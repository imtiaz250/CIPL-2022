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11dbbdbdc738ed/Desktop/Nahid/12. Intercompany Payables/"/>
    </mc:Choice>
  </mc:AlternateContent>
  <xr:revisionPtr revIDLastSave="145" documentId="11_6EEDA909C792B91487E4F6E0C24EEEE5B28267DC" xr6:coauthVersionLast="45" xr6:coauthVersionMax="45" xr10:uidLastSave="{6C9A8DD4-D50B-4711-8B4A-4B052433EDC1}"/>
  <bookViews>
    <workbookView xWindow="-120" yWindow="-120" windowWidth="20730" windowHeight="11160" xr2:uid="{00000000-000D-0000-FFFF-FFFF00000000}"/>
  </bookViews>
  <sheets>
    <sheet name="IP 120 Recon with Balance Conf" sheetId="4" r:id="rId1"/>
    <sheet name="IC-130 Adv confirm with BS" sheetId="13" state="hidden" r:id="rId2"/>
    <sheet name="GL details-AB" sheetId="9" state="hidden" r:id="rId3"/>
    <sheet name="IP 125 Confirmation Control" sheetId="14" r:id="rId4"/>
    <sheet name="IP 130 Recon with Ageing" sheetId="15" r:id="rId5"/>
    <sheet name="Summary-ICR" sheetId="2" state="hidden" r:id="rId6"/>
    <sheet name="Summary-AB" sheetId="10" state="hidden" r:id="rId7"/>
    <sheet name="GL details-ICP" sheetId="11" state="hidden" r:id="rId8"/>
    <sheet name="Summary-ICP" sheetId="12" state="hidden" r:id="rId9"/>
  </sheets>
  <definedNames>
    <definedName name="_xlnm._FilterDatabase" localSheetId="2" hidden="1">'GL details-AB'!$A$11:$AB$3349</definedName>
    <definedName name="_xlnm._FilterDatabase" localSheetId="7" hidden="1">'GL details-ICP'!$G$3:$G$15</definedName>
    <definedName name="_xlnm.Print_Area" localSheetId="2">'GL details-AB'!$A$1:$AB$3349</definedName>
    <definedName name="_xlnm.Print_Area" localSheetId="1">'IC-130 Adv confirm with BS'!$A$1:$K$21</definedName>
    <definedName name="_xlnm.Print_Area" localSheetId="0">'IP 120 Recon with Balance Conf'!$A$1:$L$21</definedName>
    <definedName name="_xlnm.Print_Area" localSheetId="3">'IP 125 Confirmation Control'!$A$1:$O$19</definedName>
    <definedName name="_xlnm.Print_Area" localSheetId="4">'IP 130 Recon with Ageing'!$A$1:$H$19</definedName>
  </definedNames>
  <calcPr calcId="191029"/>
  <pivotCaches>
    <pivotCache cacheId="0" r:id="rId10"/>
    <pivotCache cacheId="1" r:id="rId11"/>
    <pivotCache cacheId="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5" l="1"/>
  <c r="M16" i="14" l="1"/>
  <c r="G13" i="4"/>
  <c r="I15" i="4"/>
  <c r="E15" i="15" l="1"/>
  <c r="D15" i="15"/>
  <c r="F17" i="4" l="1"/>
  <c r="D17" i="4"/>
  <c r="G16" i="4"/>
  <c r="E17" i="4"/>
  <c r="I16" i="4" l="1"/>
  <c r="I13" i="4"/>
  <c r="G14" i="4" l="1"/>
  <c r="I14" i="4" s="1"/>
  <c r="C17" i="4"/>
  <c r="G17" i="4" s="1"/>
  <c r="F13" i="15"/>
  <c r="F15" i="15" l="1"/>
  <c r="M14" i="14" l="1"/>
  <c r="H13" i="13" l="1"/>
  <c r="H14" i="13"/>
  <c r="H15" i="13"/>
  <c r="H16" i="13"/>
  <c r="H17" i="13"/>
  <c r="H12" i="13"/>
  <c r="G16" i="11" l="1"/>
  <c r="G3349" i="9" l="1"/>
  <c r="M17" i="14" l="1"/>
  <c r="M15" i="14"/>
  <c r="H17" i="4"/>
  <c r="I17" i="4" s="1"/>
</calcChain>
</file>

<file path=xl/sharedStrings.xml><?xml version="1.0" encoding="utf-8"?>
<sst xmlns="http://schemas.openxmlformats.org/spreadsheetml/2006/main" count="70594" uniqueCount="6546">
  <si>
    <t>DZ</t>
  </si>
  <si>
    <t>USD</t>
  </si>
  <si>
    <t>BDT</t>
  </si>
  <si>
    <t/>
  </si>
  <si>
    <t>0000005010</t>
  </si>
  <si>
    <t>0</t>
  </si>
  <si>
    <t>10301001</t>
  </si>
  <si>
    <t>DA</t>
  </si>
  <si>
    <t>EGM1</t>
  </si>
  <si>
    <t>0000001010</t>
  </si>
  <si>
    <t>EGM2</t>
  </si>
  <si>
    <t>Document Number</t>
  </si>
  <si>
    <t>Posting Date</t>
  </si>
  <si>
    <t>Document Date</t>
  </si>
  <si>
    <t>Document Type</t>
  </si>
  <si>
    <t>Document currency</t>
  </si>
  <si>
    <t>Amount in doc. curr.</t>
  </si>
  <si>
    <t>Local Currency</t>
  </si>
  <si>
    <t>Business Area</t>
  </si>
  <si>
    <t>Amount in local currency</t>
  </si>
  <si>
    <t>Text/CI No</t>
  </si>
  <si>
    <t>Assignment</t>
  </si>
  <si>
    <t>Reference</t>
  </si>
  <si>
    <t>Cost Center</t>
  </si>
  <si>
    <t>Purchasing Document</t>
  </si>
  <si>
    <t>Item</t>
  </si>
  <si>
    <t>Document Header Text</t>
  </si>
  <si>
    <t>PI Number</t>
  </si>
  <si>
    <t>File Number</t>
  </si>
  <si>
    <t>Buyer Name</t>
  </si>
  <si>
    <t>LC Number</t>
  </si>
  <si>
    <t>Profit Center</t>
  </si>
  <si>
    <t>G/L Account</t>
  </si>
  <si>
    <t>Clearing date</t>
  </si>
  <si>
    <t>Clearing Document</t>
  </si>
  <si>
    <t>Payment date</t>
  </si>
  <si>
    <t>Payment reference</t>
  </si>
  <si>
    <t>Invoice reference</t>
  </si>
  <si>
    <t>AB</t>
  </si>
  <si>
    <t>10301002</t>
  </si>
  <si>
    <t>0000001020</t>
  </si>
  <si>
    <t>EGM3</t>
  </si>
  <si>
    <t>1913003310</t>
  </si>
  <si>
    <t>KZ</t>
  </si>
  <si>
    <t>E55385AC20CK0250</t>
  </si>
  <si>
    <t>424130950904</t>
  </si>
  <si>
    <t>Amount in USD</t>
  </si>
  <si>
    <t>Grand Total</t>
  </si>
  <si>
    <t>Sum of Amount in USD</t>
  </si>
  <si>
    <t>S.l</t>
  </si>
  <si>
    <t>GL code</t>
  </si>
  <si>
    <t>Nurul Faruk Hasan &amp; Co.</t>
  </si>
  <si>
    <t>Chartered Accountants</t>
  </si>
  <si>
    <r>
      <rPr>
        <b/>
        <sz val="11"/>
        <color theme="1"/>
        <rFont val="Open Sans"/>
        <family val="2"/>
      </rPr>
      <t>Accounting Period:</t>
    </r>
    <r>
      <rPr>
        <sz val="11"/>
        <color theme="1"/>
        <rFont val="Open Sans"/>
        <family val="2"/>
      </rPr>
      <t xml:space="preserve"> 01 July 2019 to 30 June 2020</t>
    </r>
  </si>
  <si>
    <r>
      <rPr>
        <b/>
        <sz val="11"/>
        <color theme="1"/>
        <rFont val="Open Sans"/>
        <family val="2"/>
      </rPr>
      <t>Prepared by:</t>
    </r>
    <r>
      <rPr>
        <sz val="11"/>
        <color theme="1"/>
        <rFont val="Open Sans"/>
        <family val="2"/>
      </rPr>
      <t xml:space="preserve"> Siamon Malacar</t>
    </r>
  </si>
  <si>
    <r>
      <rPr>
        <b/>
        <sz val="11"/>
        <color theme="1"/>
        <rFont val="Open Sans"/>
        <family val="2"/>
      </rPr>
      <t>Date:</t>
    </r>
    <r>
      <rPr>
        <sz val="11"/>
        <color theme="1"/>
        <rFont val="Open Sans"/>
        <family val="2"/>
      </rPr>
      <t xml:space="preserve"> 19 July 2020</t>
    </r>
  </si>
  <si>
    <r>
      <rPr>
        <b/>
        <sz val="11"/>
        <color theme="1"/>
        <rFont val="Open Sans"/>
        <family val="2"/>
      </rPr>
      <t>Date:</t>
    </r>
    <r>
      <rPr>
        <sz val="11"/>
        <color theme="1"/>
        <rFont val="Open Sans"/>
        <family val="2"/>
      </rPr>
      <t xml:space="preserve"> </t>
    </r>
  </si>
  <si>
    <t>Total</t>
  </si>
  <si>
    <t>Inter. com. Receivable in FS</t>
  </si>
  <si>
    <t>Inter. com. Payable in FS</t>
  </si>
  <si>
    <t>Remarks</t>
  </si>
  <si>
    <t>Epic Garments DWC - LLC</t>
  </si>
  <si>
    <t xml:space="preserve">Difference </t>
  </si>
  <si>
    <r>
      <rPr>
        <b/>
        <sz val="11"/>
        <color theme="1"/>
        <rFont val="Open Sans"/>
        <family val="2"/>
      </rPr>
      <t>Name of the Client:</t>
    </r>
    <r>
      <rPr>
        <sz val="11"/>
        <color theme="1"/>
        <rFont val="Open Sans"/>
        <family val="2"/>
      </rPr>
      <t xml:space="preserve"> Epic Garments Manufacturing  Company Limited</t>
    </r>
  </si>
  <si>
    <t>WP Ref</t>
  </si>
  <si>
    <t>30900940</t>
  </si>
  <si>
    <t>20100002</t>
  </si>
  <si>
    <t>20100001</t>
  </si>
  <si>
    <t>20121001</t>
  </si>
  <si>
    <t>Balance as per confirmation letter</t>
  </si>
  <si>
    <t>1503004089</t>
  </si>
  <si>
    <t>CM ADVANCE</t>
  </si>
  <si>
    <t>E32706TC16MY0251</t>
  </si>
  <si>
    <t>CM ADVANCE, FEB-16</t>
  </si>
  <si>
    <t>1503004231</t>
  </si>
  <si>
    <t>E32706T16MY0251</t>
  </si>
  <si>
    <t>1506000010</t>
  </si>
  <si>
    <t>1509000316</t>
  </si>
  <si>
    <t>E2441G15UK0737E2538G15UK0740</t>
  </si>
  <si>
    <t>424130268643</t>
  </si>
  <si>
    <t>EXPORT COLLECTION</t>
  </si>
  <si>
    <t>1509000387</t>
  </si>
  <si>
    <t>1509000388</t>
  </si>
  <si>
    <t>1603013872</t>
  </si>
  <si>
    <t>Funds in Transit</t>
  </si>
  <si>
    <t>FUNDS IN TRANSIT</t>
  </si>
  <si>
    <t>Funds in Transit.</t>
  </si>
  <si>
    <t>1603015079</t>
  </si>
  <si>
    <t>CM ADVIANCE</t>
  </si>
  <si>
    <t>424130415967</t>
  </si>
  <si>
    <t>1603015080</t>
  </si>
  <si>
    <t>424130417689</t>
  </si>
  <si>
    <t>1603016869</t>
  </si>
  <si>
    <t>Funds in Transit Mar-17-CM advance</t>
  </si>
  <si>
    <t>CM ADV FIT</t>
  </si>
  <si>
    <t>CM ADV FIT MAR-17</t>
  </si>
  <si>
    <t>1603016870</t>
  </si>
  <si>
    <t>FUND IN TRANSIT</t>
  </si>
  <si>
    <t>1603017781</t>
  </si>
  <si>
    <t>1603017947</t>
  </si>
  <si>
    <t>CM ADVANCE ADJUST, REF-424130451962</t>
  </si>
  <si>
    <t>03720170245CH</t>
  </si>
  <si>
    <t>424130464404</t>
  </si>
  <si>
    <t>1603018778</t>
  </si>
  <si>
    <t>Funds in Transit Apr-17-CM advance</t>
  </si>
  <si>
    <t>CM ADV FIT APR-17</t>
  </si>
  <si>
    <t>1603018779</t>
  </si>
  <si>
    <t>FUND IN TR</t>
  </si>
  <si>
    <t>1603020540</t>
  </si>
  <si>
    <t>Funds in Transit May-17-CM advance</t>
  </si>
  <si>
    <t>CM ADV FIT MAY-17</t>
  </si>
  <si>
    <t>1606000022</t>
  </si>
  <si>
    <t>CM ADJUST250407</t>
  </si>
  <si>
    <t>CM ADJUST - 250407</t>
  </si>
  <si>
    <t>1609000242</t>
  </si>
  <si>
    <t>424130392009</t>
  </si>
  <si>
    <t>1609000244</t>
  </si>
  <si>
    <t>1609000243</t>
  </si>
  <si>
    <t>424130392056</t>
  </si>
  <si>
    <t>1609000258</t>
  </si>
  <si>
    <t>424130393115</t>
  </si>
  <si>
    <t>1609000245</t>
  </si>
  <si>
    <t>E43137DC16US1598</t>
  </si>
  <si>
    <t>424130393080</t>
  </si>
  <si>
    <t>1609000248</t>
  </si>
  <si>
    <t>E03256WM16US1562E03255WM16US1508</t>
  </si>
  <si>
    <t>424130393311</t>
  </si>
  <si>
    <t>1609000249</t>
  </si>
  <si>
    <t>E03257WM16CA1569</t>
  </si>
  <si>
    <t>424130393357</t>
  </si>
  <si>
    <t>1609000250</t>
  </si>
  <si>
    <t>E03255WM16US1472E03256WM16US1515</t>
  </si>
  <si>
    <t>424130393393</t>
  </si>
  <si>
    <t>1609000251</t>
  </si>
  <si>
    <t>E03290WM16US1473E03289WM16US1476</t>
  </si>
  <si>
    <t>424130393918</t>
  </si>
  <si>
    <t>1609000252</t>
  </si>
  <si>
    <t>E32996TC16US1693E33132TC16US1548</t>
  </si>
  <si>
    <t>424130394007</t>
  </si>
  <si>
    <t>1609000253</t>
  </si>
  <si>
    <t>E43116SB16UK1607E43302SB16UK1608</t>
  </si>
  <si>
    <t>424130394043</t>
  </si>
  <si>
    <t>1609000256</t>
  </si>
  <si>
    <t>E03251WM16US1481E03251WM16US1483</t>
  </si>
  <si>
    <t>1609000254</t>
  </si>
  <si>
    <t>CM ADVANCE U-2</t>
  </si>
  <si>
    <t>1609000255</t>
  </si>
  <si>
    <t>424130393302</t>
  </si>
  <si>
    <t>1609000260</t>
  </si>
  <si>
    <t>E23258VF16US0220E23239VF16US0222</t>
  </si>
  <si>
    <t>424130394837</t>
  </si>
  <si>
    <t>E33170TS16UK1660E33265TS16UK1604</t>
  </si>
  <si>
    <t>424130394846</t>
  </si>
  <si>
    <t>1609000259</t>
  </si>
  <si>
    <t>E03252WM16US1521E03252WM16US1525</t>
  </si>
  <si>
    <t>424130394855</t>
  </si>
  <si>
    <t>1609000262</t>
  </si>
  <si>
    <t>E03289WM16US1477E03289WM16US1479</t>
  </si>
  <si>
    <t>424130394891</t>
  </si>
  <si>
    <t>1609000268</t>
  </si>
  <si>
    <t>E23239VF16US0233E23258VF16US0230</t>
  </si>
  <si>
    <t>424130396087</t>
  </si>
  <si>
    <t>1609000263</t>
  </si>
  <si>
    <t>E43137DC16US1599</t>
  </si>
  <si>
    <t>424130396078</t>
  </si>
  <si>
    <t>1609000264</t>
  </si>
  <si>
    <t>E03168WM16US1532E03168WM16US1535</t>
  </si>
  <si>
    <t>424130396096</t>
  </si>
  <si>
    <t>1609000265</t>
  </si>
  <si>
    <t>E03168US16-1620E03168US16-1624</t>
  </si>
  <si>
    <t>424130396167</t>
  </si>
  <si>
    <t>1609000266</t>
  </si>
  <si>
    <t>E33265TS16CE1655</t>
  </si>
  <si>
    <t>424130396121</t>
  </si>
  <si>
    <t>1609000267</t>
  </si>
  <si>
    <t>E03349US16-1616E03349US16-1617</t>
  </si>
  <si>
    <t>424130396176</t>
  </si>
  <si>
    <t>1609000289</t>
  </si>
  <si>
    <t>E03237WM16CA1586E03237WM16CA1587</t>
  </si>
  <si>
    <t>424130396149</t>
  </si>
  <si>
    <t>1609000273</t>
  </si>
  <si>
    <t>E23258VF16US0226E23258VF16US0227</t>
  </si>
  <si>
    <t>1609000269</t>
  </si>
  <si>
    <t>424130396648</t>
  </si>
  <si>
    <t>EG3-03385</t>
  </si>
  <si>
    <t>1609000279</t>
  </si>
  <si>
    <t>E23258VF16US0224</t>
  </si>
  <si>
    <t>424130397781</t>
  </si>
  <si>
    <t>424130400018</t>
  </si>
  <si>
    <t>1609000280</t>
  </si>
  <si>
    <t>E03168US16-1623E03168US16-1632</t>
  </si>
  <si>
    <t>424130400009</t>
  </si>
  <si>
    <t>1609000281</t>
  </si>
  <si>
    <t>E03087WM16US1513E03474WM16US1595</t>
  </si>
  <si>
    <t>424130400036</t>
  </si>
  <si>
    <t>E03177WM16US1460E03168US16-1621</t>
  </si>
  <si>
    <t>1609000283</t>
  </si>
  <si>
    <t>424130401963</t>
  </si>
  <si>
    <t>1609000319</t>
  </si>
  <si>
    <t>1609000285</t>
  </si>
  <si>
    <t>1609000288</t>
  </si>
  <si>
    <t>424130402294</t>
  </si>
  <si>
    <t>1609000291</t>
  </si>
  <si>
    <t>E43264DC16US1747E03177WM16US1457</t>
  </si>
  <si>
    <t>424130403355</t>
  </si>
  <si>
    <t>1609000294</t>
  </si>
  <si>
    <t>E03177WM16US1453E03177WM16US1456</t>
  </si>
  <si>
    <t>424130403346</t>
  </si>
  <si>
    <t>1609000306</t>
  </si>
  <si>
    <t>E03497US16-1667E03367US16-1669</t>
  </si>
  <si>
    <t>1609000295</t>
  </si>
  <si>
    <t>1609000297</t>
  </si>
  <si>
    <t>424130405665</t>
  </si>
  <si>
    <t>1609000298</t>
  </si>
  <si>
    <t>E33265TS16CE1606E33265TS16CE1609</t>
  </si>
  <si>
    <t>424130405674</t>
  </si>
  <si>
    <t>1609000299</t>
  </si>
  <si>
    <t>E03177WM16US1455E03176WM16US1506</t>
  </si>
  <si>
    <t>424130405852</t>
  </si>
  <si>
    <t>1609000301</t>
  </si>
  <si>
    <t>E43151DC16US1748</t>
  </si>
  <si>
    <t>424130406165</t>
  </si>
  <si>
    <t>1609000302</t>
  </si>
  <si>
    <t>E03423US16-1733E03256US16-1721</t>
  </si>
  <si>
    <t>424130406227</t>
  </si>
  <si>
    <t>1609000303</t>
  </si>
  <si>
    <t>E33135TC16US1727E33273TC16US1726</t>
  </si>
  <si>
    <t>424130406600</t>
  </si>
  <si>
    <t>1609000304</t>
  </si>
  <si>
    <t>E03509US16-1734E03394US16-1752</t>
  </si>
  <si>
    <t>424130408127</t>
  </si>
  <si>
    <t>1609000305</t>
  </si>
  <si>
    <t>E43337SB16UK1793E33385TS16CE1794</t>
  </si>
  <si>
    <t>424130408118</t>
  </si>
  <si>
    <t>E03176WM16US1566E03176WM16US1567</t>
  </si>
  <si>
    <t>E33385TS16CE1795</t>
  </si>
  <si>
    <t>424130408136</t>
  </si>
  <si>
    <t>1609000310</t>
  </si>
  <si>
    <t>424130411337</t>
  </si>
  <si>
    <t>1609000329</t>
  </si>
  <si>
    <t>424130412210</t>
  </si>
  <si>
    <t>EXPORTCOLLECTION</t>
  </si>
  <si>
    <t>1609000320</t>
  </si>
  <si>
    <t>E22549CA17TL0001</t>
  </si>
  <si>
    <t>424130405683</t>
  </si>
  <si>
    <t>1609000321</t>
  </si>
  <si>
    <t>E23307VF16US0191</t>
  </si>
  <si>
    <t>424130406147</t>
  </si>
  <si>
    <t>1609000325</t>
  </si>
  <si>
    <t>E23239VF16US0245E23258VF16US0244</t>
  </si>
  <si>
    <t>1609000324</t>
  </si>
  <si>
    <t>CMADVANCE</t>
  </si>
  <si>
    <t>424130405692</t>
  </si>
  <si>
    <t>424130411364</t>
  </si>
  <si>
    <t>1609000326</t>
  </si>
  <si>
    <t>E23209VF17US0003</t>
  </si>
  <si>
    <t>424130404050</t>
  </si>
  <si>
    <t>1609000331</t>
  </si>
  <si>
    <t>E23258VF16US0241</t>
  </si>
  <si>
    <t>424130413399</t>
  </si>
  <si>
    <t>1609000330</t>
  </si>
  <si>
    <t>E33425TC17US0024E33435TC17US0025</t>
  </si>
  <si>
    <t>424130413371</t>
  </si>
  <si>
    <t>1609000332</t>
  </si>
  <si>
    <t>E03438US16-1801E03439US16-1787</t>
  </si>
  <si>
    <t>424130413380</t>
  </si>
  <si>
    <t>1609000364</t>
  </si>
  <si>
    <t>E23259VF17US0006</t>
  </si>
  <si>
    <t>424130413781</t>
  </si>
  <si>
    <t>1609000333</t>
  </si>
  <si>
    <t>E43391SB17UK0021</t>
  </si>
  <si>
    <t>424130413790</t>
  </si>
  <si>
    <t>1609000334</t>
  </si>
  <si>
    <t>E03212US16-0006E03212US16-0009</t>
  </si>
  <si>
    <t>424130413763</t>
  </si>
  <si>
    <t>1609000339</t>
  </si>
  <si>
    <t>E33385TS16UK1844</t>
  </si>
  <si>
    <t>1609000336</t>
  </si>
  <si>
    <t>424130413567</t>
  </si>
  <si>
    <t>1609000341</t>
  </si>
  <si>
    <t>1609000337</t>
  </si>
  <si>
    <t>424130411373</t>
  </si>
  <si>
    <t>1609000353</t>
  </si>
  <si>
    <t>424130416341</t>
  </si>
  <si>
    <t>1609000340</t>
  </si>
  <si>
    <t>E33385TS16CE1822E33470TS16CE1826</t>
  </si>
  <si>
    <t>424130416323</t>
  </si>
  <si>
    <t>E43442SB17UK0023</t>
  </si>
  <si>
    <t>424130416261</t>
  </si>
  <si>
    <t>1609000342</t>
  </si>
  <si>
    <t>E03587US17-0062</t>
  </si>
  <si>
    <t>424130416289</t>
  </si>
  <si>
    <t>1609000343</t>
  </si>
  <si>
    <t>E33435TC17US0026E33482TC17MY0029</t>
  </si>
  <si>
    <t>424130417698</t>
  </si>
  <si>
    <t>1609000344</t>
  </si>
  <si>
    <t>E03587US17-0060E03587US17-0061</t>
  </si>
  <si>
    <t>424130417714</t>
  </si>
  <si>
    <t>1609000345</t>
  </si>
  <si>
    <t>E03470TS17UK0093E33470TS16CE1829</t>
  </si>
  <si>
    <t>424130417723</t>
  </si>
  <si>
    <t>1609000346</t>
  </si>
  <si>
    <t>E43152DC17US0051</t>
  </si>
  <si>
    <t>424130418713</t>
  </si>
  <si>
    <t>1609000347</t>
  </si>
  <si>
    <t>E03476US17-0052E03449US16-1841</t>
  </si>
  <si>
    <t>424130418704</t>
  </si>
  <si>
    <t>1609000348</t>
  </si>
  <si>
    <t>E03634US17-0030E03487US17-0031</t>
  </si>
  <si>
    <t>424130416305</t>
  </si>
  <si>
    <t>1609000349</t>
  </si>
  <si>
    <t>E03213US17-0019E03213US17-0020</t>
  </si>
  <si>
    <t>424130419473</t>
  </si>
  <si>
    <t>1609000350</t>
  </si>
  <si>
    <t>E03634US17-0034</t>
  </si>
  <si>
    <t>424130419464</t>
  </si>
  <si>
    <t>1609000352</t>
  </si>
  <si>
    <t>E43443SB17UK0144E43392SB17UK0103</t>
  </si>
  <si>
    <t>424130419482</t>
  </si>
  <si>
    <t>1609000355</t>
  </si>
  <si>
    <t>E43264DC17US0048E43152DC17US0050</t>
  </si>
  <si>
    <t>424130419455</t>
  </si>
  <si>
    <t>1609000366</t>
  </si>
  <si>
    <t>E23374VF17US0005E23259VF17US0011</t>
  </si>
  <si>
    <t>424130420443</t>
  </si>
  <si>
    <t>1609000363</t>
  </si>
  <si>
    <t>E33265TS16UK1843E33385TS16CE1828</t>
  </si>
  <si>
    <t>424130421763</t>
  </si>
  <si>
    <t>1609000372</t>
  </si>
  <si>
    <t>E03287US17-0125E03287US17-0128</t>
  </si>
  <si>
    <t>424130417705</t>
  </si>
  <si>
    <t>1609000365</t>
  </si>
  <si>
    <t>0344617000703446170008CA</t>
  </si>
  <si>
    <t>424130419730</t>
  </si>
  <si>
    <t>03446170014US03446170015HR</t>
  </si>
  <si>
    <t>424130420416</t>
  </si>
  <si>
    <t>1609000368</t>
  </si>
  <si>
    <t>424130423306</t>
  </si>
  <si>
    <t>1609000373</t>
  </si>
  <si>
    <t>03446170016DE03446170018AU</t>
  </si>
  <si>
    <t>E03489US17-0047E03491US17-0064</t>
  </si>
  <si>
    <t>424130424733</t>
  </si>
  <si>
    <t>424130424305</t>
  </si>
  <si>
    <t>1609000388</t>
  </si>
  <si>
    <t>E23260VF17US0026</t>
  </si>
  <si>
    <t>1609000383</t>
  </si>
  <si>
    <t>1609000384</t>
  </si>
  <si>
    <t>1609000386</t>
  </si>
  <si>
    <t>1609000387</t>
  </si>
  <si>
    <t>1609000389</t>
  </si>
  <si>
    <t>424130419721</t>
  </si>
  <si>
    <t>E23259VF17US0011</t>
  </si>
  <si>
    <t>424130426161</t>
  </si>
  <si>
    <t>1706000009</t>
  </si>
  <si>
    <t>E23260VF17US0051</t>
  </si>
  <si>
    <t>1609000405</t>
  </si>
  <si>
    <t>03446170021NZ</t>
  </si>
  <si>
    <t>424130427106</t>
  </si>
  <si>
    <t>1609000407</t>
  </si>
  <si>
    <t>E23464VFUS0055</t>
  </si>
  <si>
    <t>424130428310</t>
  </si>
  <si>
    <t>1609000418</t>
  </si>
  <si>
    <t>CM advance (Pack &amp; Hold) receive, ref-424130427099</t>
  </si>
  <si>
    <t>VF+H&amp;M INVOICE</t>
  </si>
  <si>
    <t>424130427099</t>
  </si>
  <si>
    <t>1706000019</t>
  </si>
  <si>
    <t>1609000421</t>
  </si>
  <si>
    <t>CM advance (Pack &amp; Hold) receive, ref-424130431672</t>
  </si>
  <si>
    <t>424130431672</t>
  </si>
  <si>
    <t>1706000018</t>
  </si>
  <si>
    <t>1609000422</t>
  </si>
  <si>
    <t>CM ADVANCE ADJUST, REF-424130427099</t>
  </si>
  <si>
    <t>03551170073TH</t>
  </si>
  <si>
    <t>424130433206</t>
  </si>
  <si>
    <t>1609000428</t>
  </si>
  <si>
    <t>VF-68-89-17</t>
  </si>
  <si>
    <t>424130433215-L</t>
  </si>
  <si>
    <t>1609000436</t>
  </si>
  <si>
    <t>E23260VF17US0091</t>
  </si>
  <si>
    <t>424130436793</t>
  </si>
  <si>
    <t>1609000437</t>
  </si>
  <si>
    <t>03654170077CA</t>
  </si>
  <si>
    <t>424130436784</t>
  </si>
  <si>
    <t>1609000444</t>
  </si>
  <si>
    <t>03551170061NZ</t>
  </si>
  <si>
    <t>424130438755</t>
  </si>
  <si>
    <t>1609000446</t>
  </si>
  <si>
    <t>CM ADVANCE ADJUST, REF-424130431672</t>
  </si>
  <si>
    <t>03654170101BE</t>
  </si>
  <si>
    <t>424130439512</t>
  </si>
  <si>
    <t>1609000452</t>
  </si>
  <si>
    <t>CM ADVANCE - 424130438764</t>
  </si>
  <si>
    <t>JCP+WMV INVOICE</t>
  </si>
  <si>
    <t>424130438764</t>
  </si>
  <si>
    <t>1609000453</t>
  </si>
  <si>
    <t>E03214US17-0292</t>
  </si>
  <si>
    <t>424130440234</t>
  </si>
  <si>
    <t>1609000458</t>
  </si>
  <si>
    <t>03654170085RS</t>
  </si>
  <si>
    <t>424130441251</t>
  </si>
  <si>
    <t>1609000459</t>
  </si>
  <si>
    <t>03654170119CL</t>
  </si>
  <si>
    <t>424130441260</t>
  </si>
  <si>
    <t>1609000460</t>
  </si>
  <si>
    <t>E23260VF17US0092</t>
  </si>
  <si>
    <t>424130441475</t>
  </si>
  <si>
    <t>1609000461</t>
  </si>
  <si>
    <t>E43481DC17US0340</t>
  </si>
  <si>
    <t>424130442312</t>
  </si>
  <si>
    <t>1609000462</t>
  </si>
  <si>
    <t>CM ADVANCE-424130440635</t>
  </si>
  <si>
    <t>IT06591704060169</t>
  </si>
  <si>
    <t>424130440635</t>
  </si>
  <si>
    <t>1706000017</t>
  </si>
  <si>
    <t>1609000468</t>
  </si>
  <si>
    <t>E23616VF17US0071</t>
  </si>
  <si>
    <t>424130443017</t>
  </si>
  <si>
    <t>1609000469</t>
  </si>
  <si>
    <t>E03649US17-0367</t>
  </si>
  <si>
    <t>424130443026</t>
  </si>
  <si>
    <t>1609000473</t>
  </si>
  <si>
    <t>1609000478</t>
  </si>
  <si>
    <t>1609000482</t>
  </si>
  <si>
    <t>1609000484</t>
  </si>
  <si>
    <t>03654170139TH</t>
  </si>
  <si>
    <t>424130446826</t>
  </si>
  <si>
    <t>1609000485</t>
  </si>
  <si>
    <t>CM ADVANCE ADJUST, REF-424130440635</t>
  </si>
  <si>
    <t>03654170141KR</t>
  </si>
  <si>
    <t>424130446817</t>
  </si>
  <si>
    <t>1609000488</t>
  </si>
  <si>
    <t>E23611VF17US0166</t>
  </si>
  <si>
    <t>424130446309</t>
  </si>
  <si>
    <t>1609000489</t>
  </si>
  <si>
    <t>03675170147CA</t>
  </si>
  <si>
    <t>424130446292</t>
  </si>
  <si>
    <t>1609000490</t>
  </si>
  <si>
    <t>03654170087MX</t>
  </si>
  <si>
    <t>424130445355</t>
  </si>
  <si>
    <t>1609000501</t>
  </si>
  <si>
    <t>E23503VF17US0167</t>
  </si>
  <si>
    <t>424130449672</t>
  </si>
  <si>
    <t>1609000504</t>
  </si>
  <si>
    <t>03675170104CN</t>
  </si>
  <si>
    <t>424130450419</t>
  </si>
  <si>
    <t>1609000510</t>
  </si>
  <si>
    <t>CM ADVANCE -424130451962</t>
  </si>
  <si>
    <t>IT06591705030072</t>
  </si>
  <si>
    <t>424130451962</t>
  </si>
  <si>
    <t>1706000006</t>
  </si>
  <si>
    <t>1609000511</t>
  </si>
  <si>
    <t>CM ADVANCE -424130451926</t>
  </si>
  <si>
    <t>IT06591705020274</t>
  </si>
  <si>
    <t>424130451926</t>
  </si>
  <si>
    <t>1706000002</t>
  </si>
  <si>
    <t>1609000514</t>
  </si>
  <si>
    <t>03675170179PE</t>
  </si>
  <si>
    <t>424130452337</t>
  </si>
  <si>
    <t>1609000527</t>
  </si>
  <si>
    <t>E23631VF17US0115</t>
  </si>
  <si>
    <t>424130451258</t>
  </si>
  <si>
    <t>1609000528</t>
  </si>
  <si>
    <t>037011701963OF</t>
  </si>
  <si>
    <t>424130456020</t>
  </si>
  <si>
    <t>1609000529</t>
  </si>
  <si>
    <t>E23662VF17US0113</t>
  </si>
  <si>
    <t>424130456422</t>
  </si>
  <si>
    <t>1609000530</t>
  </si>
  <si>
    <t>1609000534</t>
  </si>
  <si>
    <t>CM ADVANCE ADJUST, REF-424130451926</t>
  </si>
  <si>
    <t>E03525US17-0571</t>
  </si>
  <si>
    <t>424130456823</t>
  </si>
  <si>
    <t>1609000537</t>
  </si>
  <si>
    <t>E23612VF17US0224</t>
  </si>
  <si>
    <t>424130456805</t>
  </si>
  <si>
    <t>1609000540</t>
  </si>
  <si>
    <t>E03571US17-04722</t>
  </si>
  <si>
    <t>424130458484</t>
  </si>
  <si>
    <t>1609000542</t>
  </si>
  <si>
    <t>E23503VF17US0258</t>
  </si>
  <si>
    <t>424130459367</t>
  </si>
  <si>
    <t>1609000543</t>
  </si>
  <si>
    <t>CM ADVANCE ADJUSTED REF-424130451926</t>
  </si>
  <si>
    <t>E03621US17-0546</t>
  </si>
  <si>
    <t>424130457449</t>
  </si>
  <si>
    <t>1609000545</t>
  </si>
  <si>
    <t>03853170257OT</t>
  </si>
  <si>
    <t>424130460480</t>
  </si>
  <si>
    <t>1609000552</t>
  </si>
  <si>
    <t>03720170210RU</t>
  </si>
  <si>
    <t>424130462111</t>
  </si>
  <si>
    <t>1609000556</t>
  </si>
  <si>
    <t>CM ADVANCE RECEIVED , REF-424130462497</t>
  </si>
  <si>
    <t>IT06591705250167</t>
  </si>
  <si>
    <t>424130462497</t>
  </si>
  <si>
    <t>1706000007</t>
  </si>
  <si>
    <t>1609000562</t>
  </si>
  <si>
    <t>1609000563</t>
  </si>
  <si>
    <t>03824170284CA</t>
  </si>
  <si>
    <t>424130464413</t>
  </si>
  <si>
    <t>1609000564</t>
  </si>
  <si>
    <t>1609000565</t>
  </si>
  <si>
    <t>CM ADVANCE RECEIVED , REF-424130465234</t>
  </si>
  <si>
    <t>IT06591706030002</t>
  </si>
  <si>
    <t>424130465234</t>
  </si>
  <si>
    <t>1706000008</t>
  </si>
  <si>
    <t>1609000570</t>
  </si>
  <si>
    <t>03853170295OR</t>
  </si>
  <si>
    <t>424130465387</t>
  </si>
  <si>
    <t>1609000572</t>
  </si>
  <si>
    <t>03824170294MX</t>
  </si>
  <si>
    <t>424130465412</t>
  </si>
  <si>
    <t>CM ADVANCE ADJUST, REF-424130462497</t>
  </si>
  <si>
    <t>1609000578</t>
  </si>
  <si>
    <t>CM ADVANCE ADJUST REF-424130465234</t>
  </si>
  <si>
    <t>03824170171IT</t>
  </si>
  <si>
    <t>424130467492</t>
  </si>
  <si>
    <t>CM ADVANCE ADJUST REF-424130462497</t>
  </si>
  <si>
    <t>1609000579</t>
  </si>
  <si>
    <t>E23710VF17US0262</t>
  </si>
  <si>
    <t>424130467483</t>
  </si>
  <si>
    <t>1609000581</t>
  </si>
  <si>
    <t>BTB ADVANCE RECEIVED, REF-424130467839</t>
  </si>
  <si>
    <t>IT06591706120089</t>
  </si>
  <si>
    <t>424130467839</t>
  </si>
  <si>
    <t>1706000014</t>
  </si>
  <si>
    <t>1609000584</t>
  </si>
  <si>
    <t>1609000585</t>
  </si>
  <si>
    <t>1609000587</t>
  </si>
  <si>
    <t>CM ADVANCE RECEIVED, REF-424130468847</t>
  </si>
  <si>
    <t>IT06591706150028</t>
  </si>
  <si>
    <t>424130468847</t>
  </si>
  <si>
    <t>1706000004</t>
  </si>
  <si>
    <t>1609000588</t>
  </si>
  <si>
    <t>03824170349TW</t>
  </si>
  <si>
    <t>424130468197</t>
  </si>
  <si>
    <t>1609000590</t>
  </si>
  <si>
    <t>E23710VF17US0298</t>
  </si>
  <si>
    <t>424130470157</t>
  </si>
  <si>
    <t>1609000591</t>
  </si>
  <si>
    <t>03824170344AU</t>
  </si>
  <si>
    <t>424130470442</t>
  </si>
  <si>
    <t>1609000592</t>
  </si>
  <si>
    <t>CM ADVANCE ADJUST REF-424130451962</t>
  </si>
  <si>
    <t>E23661VF17US0320</t>
  </si>
  <si>
    <t>424130470451</t>
  </si>
  <si>
    <t>1609000593</t>
  </si>
  <si>
    <t>CM ADVANCE ADJUST REF-424130468847</t>
  </si>
  <si>
    <t>E03621US17-0705</t>
  </si>
  <si>
    <t>424130472681</t>
  </si>
  <si>
    <t>1609000594</t>
  </si>
  <si>
    <t>E33557TC17US0783</t>
  </si>
  <si>
    <t>424130472707</t>
  </si>
  <si>
    <t>1609000595</t>
  </si>
  <si>
    <t>E33505TC17CA0853</t>
  </si>
  <si>
    <t>424130472716</t>
  </si>
  <si>
    <t>1609000596</t>
  </si>
  <si>
    <t>E03549US17-0796</t>
  </si>
  <si>
    <t>424130472690</t>
  </si>
  <si>
    <t>1609000597</t>
  </si>
  <si>
    <t>E03752WM17CA0747</t>
  </si>
  <si>
    <t>424130472985</t>
  </si>
  <si>
    <t>1609000598</t>
  </si>
  <si>
    <t>E43535SB17UK0734</t>
  </si>
  <si>
    <t>424130473001</t>
  </si>
  <si>
    <t>1609000599</t>
  </si>
  <si>
    <t>E03766WM17CA0326</t>
  </si>
  <si>
    <t>424130473029</t>
  </si>
  <si>
    <t>1609000601</t>
  </si>
  <si>
    <t>03825170338RS</t>
  </si>
  <si>
    <t>424130471370</t>
  </si>
  <si>
    <t>1609000602</t>
  </si>
  <si>
    <t>CM ADVANCE RECEVIED REF-424130471334</t>
  </si>
  <si>
    <t>IT06591706190128</t>
  </si>
  <si>
    <t>424130471334</t>
  </si>
  <si>
    <t>1706000015</t>
  </si>
  <si>
    <t>1609000603</t>
  </si>
  <si>
    <t>BTB ADJUST REF-424130467839</t>
  </si>
  <si>
    <t>03824170369TH</t>
  </si>
  <si>
    <t>424130473252</t>
  </si>
  <si>
    <t>1609000604</t>
  </si>
  <si>
    <t>03825170340MX</t>
  </si>
  <si>
    <t>424130473261</t>
  </si>
  <si>
    <t>1609000606</t>
  </si>
  <si>
    <t>E0374US170799</t>
  </si>
  <si>
    <t>424130473314</t>
  </si>
  <si>
    <t>1609000607</t>
  </si>
  <si>
    <t>E0364US170818</t>
  </si>
  <si>
    <t>424130473332</t>
  </si>
  <si>
    <t>1609000610</t>
  </si>
  <si>
    <t>C M ADVANCE ADJUSTED REF-424130462497</t>
  </si>
  <si>
    <t>E23662VF17US0259</t>
  </si>
  <si>
    <t>424130466947</t>
  </si>
  <si>
    <t>1609000612</t>
  </si>
  <si>
    <t>Funds in Transit-CM Advance-Jun'17</t>
  </si>
  <si>
    <t>FIT-CM ADV-JUN17</t>
  </si>
  <si>
    <t>FIT CM Advance Jun-17</t>
  </si>
  <si>
    <t>1703001205</t>
  </si>
  <si>
    <t>1703001216</t>
  </si>
  <si>
    <t>Funds in Transit-CM Advance-Jul'17</t>
  </si>
  <si>
    <t>FIT-CM ADV-JUL17</t>
  </si>
  <si>
    <t>FIT CM Advance Jul-17</t>
  </si>
  <si>
    <t>1703002069</t>
  </si>
  <si>
    <t>1703004709</t>
  </si>
  <si>
    <t>FIT-CM ADV-AUG17</t>
  </si>
  <si>
    <t>FIT CM Advance Aug-17</t>
  </si>
  <si>
    <t>1703004772</t>
  </si>
  <si>
    <t>FIT-CM ADV-SEP'17</t>
  </si>
  <si>
    <t>FIT-CM ADV-SEP17</t>
  </si>
  <si>
    <t>1703005670</t>
  </si>
  <si>
    <t>1703007865</t>
  </si>
  <si>
    <t>FIT-CM ADV-NOV'17</t>
  </si>
  <si>
    <t>FIT-CM ADV-NOV17</t>
  </si>
  <si>
    <t>1703008930</t>
  </si>
  <si>
    <t>FIT-CM ADV-DEC'17</t>
  </si>
  <si>
    <t>FIT-CM ADV-DEC17</t>
  </si>
  <si>
    <t>1703009746</t>
  </si>
  <si>
    <t>FIT-CM ADV-JAN'18</t>
  </si>
  <si>
    <t>FIT-CM ADV-JAN1</t>
  </si>
  <si>
    <t>1703010073</t>
  </si>
  <si>
    <t>CM ADVANCE RECEIVED REF-424130590401</t>
  </si>
  <si>
    <t>IT06591803310015</t>
  </si>
  <si>
    <t>424130590401</t>
  </si>
  <si>
    <t>1703010675</t>
  </si>
  <si>
    <t>CM ADVANCE ADJUST REF-424130569015</t>
  </si>
  <si>
    <t>E04067WM18CA0079</t>
  </si>
  <si>
    <t>424130578522</t>
  </si>
  <si>
    <t>CM ADVANCE ADJUST REF-424130565199</t>
  </si>
  <si>
    <t>1703010881</t>
  </si>
  <si>
    <t>FIT-CM ADV-FEB-18</t>
  </si>
  <si>
    <t>FIT-CM ADV-FEB18</t>
  </si>
  <si>
    <t>CM ADV. FIT - FEB-18</t>
  </si>
  <si>
    <t>1703011866</t>
  </si>
  <si>
    <t>FIT-CM ADV-MAR18</t>
  </si>
  <si>
    <t>CM ADV. FIT - MAR-18</t>
  </si>
  <si>
    <t>FIT-CM ADV-MAR-18</t>
  </si>
  <si>
    <t>1703011867</t>
  </si>
  <si>
    <t>FIT-CM ADV-EGDWC-MAR-18</t>
  </si>
  <si>
    <t>FIT-CMADWC-MAR18</t>
  </si>
  <si>
    <t>1703012745</t>
  </si>
  <si>
    <t>CM ADVANCE ADJUSTED REF-424130616303</t>
  </si>
  <si>
    <t>E24306VF18US0188</t>
  </si>
  <si>
    <t>424130619818</t>
  </si>
  <si>
    <t>1703012956</t>
  </si>
  <si>
    <t>FIT-CM ADV-APR-18</t>
  </si>
  <si>
    <t>FIT-CM ADV-APR18</t>
  </si>
  <si>
    <t>CM ADV. FIT - APR-18</t>
  </si>
  <si>
    <t>1703013596</t>
  </si>
  <si>
    <t>FIT-CM ADV-MAY-18</t>
  </si>
  <si>
    <t>FIT-CM ADV-MAY18</t>
  </si>
  <si>
    <t>CM ADV. FIT - MAY-18</t>
  </si>
  <si>
    <t>1706000001</t>
  </si>
  <si>
    <t>818K G/L CLR</t>
  </si>
  <si>
    <t>CM ADV 818K G/L CLR</t>
  </si>
  <si>
    <t>783K G/L CLR</t>
  </si>
  <si>
    <t>CM ADV 783K G/L CLR</t>
  </si>
  <si>
    <t>1706000003</t>
  </si>
  <si>
    <t>759K G/L CLR</t>
  </si>
  <si>
    <t>CM ADV 759K G/L CLR</t>
  </si>
  <si>
    <t>502K G/L CLR</t>
  </si>
  <si>
    <t>CM ADV 502K G/L CLR</t>
  </si>
  <si>
    <t>1706000005</t>
  </si>
  <si>
    <t>432K G/L CLR</t>
  </si>
  <si>
    <t>CM ADV 432K G/L CLR</t>
  </si>
  <si>
    <t>206K GL CLR</t>
  </si>
  <si>
    <t>CM ADV 206k GL CLR</t>
  </si>
  <si>
    <t>150K GL CLR</t>
  </si>
  <si>
    <t>CM ADV 150K GL CLR</t>
  </si>
  <si>
    <t>196K GL CLR</t>
  </si>
  <si>
    <t>CM ADV 196k GL CLR</t>
  </si>
  <si>
    <t>CM ADV GL CLEARI</t>
  </si>
  <si>
    <t>CM ADVANCE GL CLEARING</t>
  </si>
  <si>
    <t>1706000010</t>
  </si>
  <si>
    <t>CM ADV 141k CLEARING</t>
  </si>
  <si>
    <t>GL CLEARING 141K</t>
  </si>
  <si>
    <t>1706000011</t>
  </si>
  <si>
    <t>ADV 139K GL CLEA</t>
  </si>
  <si>
    <t>CM ADV 139K GL CLEARING</t>
  </si>
  <si>
    <t>1706000012</t>
  </si>
  <si>
    <t>CM ADV 109K GL CLEARING</t>
  </si>
  <si>
    <t>ADV 109K GL CLEA</t>
  </si>
  <si>
    <t>1706000013</t>
  </si>
  <si>
    <t>CM ADV 40K GL CLEARING</t>
  </si>
  <si>
    <t>ADV 40K GL CLEA</t>
  </si>
  <si>
    <t>CM ADV 103K GL CLEARING</t>
  </si>
  <si>
    <t>ADV 103K GL CLEA</t>
  </si>
  <si>
    <t>CM ADV 94K GL CLEARING</t>
  </si>
  <si>
    <t>ADV 94K GL CLEA</t>
  </si>
  <si>
    <t>1706000016</t>
  </si>
  <si>
    <t>CM ADV 74K GL CLEARING</t>
  </si>
  <si>
    <t>ADV 74K GL CLEA</t>
  </si>
  <si>
    <t>ADV 118K GL CLEA</t>
  </si>
  <si>
    <t>CM ADV 118K GL CLEARING</t>
  </si>
  <si>
    <t>CM ADV 111K GL CLEARING</t>
  </si>
  <si>
    <t>ADV 111K GL CLEA</t>
  </si>
  <si>
    <t>1706000020</t>
  </si>
  <si>
    <t>ADV 27K GL CLR</t>
  </si>
  <si>
    <t>CM ADV 27K GL CLEARING</t>
  </si>
  <si>
    <t>1706000021</t>
  </si>
  <si>
    <t>493K CM ADV G/L CLR</t>
  </si>
  <si>
    <t>493K G/L CLR</t>
  </si>
  <si>
    <t>1706000022</t>
  </si>
  <si>
    <t>294K CM ADV G/L CLR</t>
  </si>
  <si>
    <t>294K G/L CLR</t>
  </si>
  <si>
    <t>1706000023</t>
  </si>
  <si>
    <t>210K CM ADV G/L CLR</t>
  </si>
  <si>
    <t>210K G/L CLR</t>
  </si>
  <si>
    <t>1706000024</t>
  </si>
  <si>
    <t>121K CM ADV G/L CLR</t>
  </si>
  <si>
    <t>121K G/L CLR</t>
  </si>
  <si>
    <t>1706000025</t>
  </si>
  <si>
    <t>32K CM ADV G/L CLR</t>
  </si>
  <si>
    <t>32K G/L CLR</t>
  </si>
  <si>
    <t>1706000026</t>
  </si>
  <si>
    <t>75K CM ADV G/L CLR</t>
  </si>
  <si>
    <t>75K G/L CLR</t>
  </si>
  <si>
    <t>1706000027</t>
  </si>
  <si>
    <t>CM ADV 34K G/L CLR</t>
  </si>
  <si>
    <t>34K G/L CLR</t>
  </si>
  <si>
    <t>1706000028</t>
  </si>
  <si>
    <t>CM ADV 37K G/L CLR</t>
  </si>
  <si>
    <t>37K G/L CLR</t>
  </si>
  <si>
    <t>1706000029</t>
  </si>
  <si>
    <t>G/L CLEARING 358K</t>
  </si>
  <si>
    <t>CM ADV 358K</t>
  </si>
  <si>
    <t>1706000030</t>
  </si>
  <si>
    <t>G/L CLEARING 621K</t>
  </si>
  <si>
    <t>CM ADV 621K</t>
  </si>
  <si>
    <t>1706000031</t>
  </si>
  <si>
    <t>CM ADV 112K G/L CLR</t>
  </si>
  <si>
    <t>112K G/L CLR</t>
  </si>
  <si>
    <t>1706000032</t>
  </si>
  <si>
    <t>192K G/L CLR</t>
  </si>
  <si>
    <t>CM ADV 192K G/L CLR</t>
  </si>
  <si>
    <t>1706000033</t>
  </si>
  <si>
    <t>59K CM  ADV G/L CL</t>
  </si>
  <si>
    <t>59K G/L CL</t>
  </si>
  <si>
    <t>1706000034</t>
  </si>
  <si>
    <t>106K G/L CL</t>
  </si>
  <si>
    <t>106K CM  ADV G/L CL</t>
  </si>
  <si>
    <t>1706000035</t>
  </si>
  <si>
    <t>846K CM  ADV G/L CL</t>
  </si>
  <si>
    <t>846K G/L CL</t>
  </si>
  <si>
    <t>1706000036</t>
  </si>
  <si>
    <t>280K CM  ADV G/L CL</t>
  </si>
  <si>
    <t>280K G/L CL</t>
  </si>
  <si>
    <t>1706000037</t>
  </si>
  <si>
    <t>133K CM  ADV G/L CL</t>
  </si>
  <si>
    <t>133K G/L CL</t>
  </si>
  <si>
    <t>1706000038</t>
  </si>
  <si>
    <t>316K CM  ADV G/L CL</t>
  </si>
  <si>
    <t>316K G/L CL</t>
  </si>
  <si>
    <t>1706000041</t>
  </si>
  <si>
    <t>CM 68K G/L CLEARING</t>
  </si>
  <si>
    <t>CM 68K G/L</t>
  </si>
  <si>
    <t>1706000042</t>
  </si>
  <si>
    <t>CM 105K G/L CLEARING</t>
  </si>
  <si>
    <t>CM 105K G/L</t>
  </si>
  <si>
    <t>1706000043</t>
  </si>
  <si>
    <t>CM 146K G/L CLEARING</t>
  </si>
  <si>
    <t>CM 146K G/L</t>
  </si>
  <si>
    <t>1706000044</t>
  </si>
  <si>
    <t>CM 407K G/L CLEARING</t>
  </si>
  <si>
    <t>CM 407K G/L</t>
  </si>
  <si>
    <t>1706000045</t>
  </si>
  <si>
    <t>CM 73K G/L CLEARING</t>
  </si>
  <si>
    <t>CM 73K G/L</t>
  </si>
  <si>
    <t>1706000047</t>
  </si>
  <si>
    <t>10K CM ADV G/L CLR</t>
  </si>
  <si>
    <t>CM ADV G/L CLR</t>
  </si>
  <si>
    <t>1706000048</t>
  </si>
  <si>
    <t>78K CM ADV G/L CLR</t>
  </si>
  <si>
    <t>1706000049</t>
  </si>
  <si>
    <t>82K CM ADV G/L CLR</t>
  </si>
  <si>
    <t>1706000050</t>
  </si>
  <si>
    <t>92K CM ADV G/L CLR</t>
  </si>
  <si>
    <t>1706000051</t>
  </si>
  <si>
    <t>132K CM ADV G/L CLR</t>
  </si>
  <si>
    <t>1706000052</t>
  </si>
  <si>
    <t>133K CM ADV G/L CLR</t>
  </si>
  <si>
    <t>1706000053</t>
  </si>
  <si>
    <t>173K CM ADV G/L CLR</t>
  </si>
  <si>
    <t>1706000054</t>
  </si>
  <si>
    <t>182K CM ADV G/L CLR</t>
  </si>
  <si>
    <t>1706000055</t>
  </si>
  <si>
    <t>358K CM ADV G/L CLR</t>
  </si>
  <si>
    <t>1706000056</t>
  </si>
  <si>
    <t>514K CM ADV G/L CLR</t>
  </si>
  <si>
    <t>1706000057</t>
  </si>
  <si>
    <t>85K CM ADV G/L CLR</t>
  </si>
  <si>
    <t>1706000058</t>
  </si>
  <si>
    <t>465K CM ADV G/L CLR</t>
  </si>
  <si>
    <t>1706000059</t>
  </si>
  <si>
    <t>643K CM ADV G/L CLR</t>
  </si>
  <si>
    <t>1706000060</t>
  </si>
  <si>
    <t>475K CM ADV G/L CLR</t>
  </si>
  <si>
    <t>1706000061</t>
  </si>
  <si>
    <t>536K CM ADV G/L CLR</t>
  </si>
  <si>
    <t>1706000062</t>
  </si>
  <si>
    <t>115K CM ADV G/L CLR</t>
  </si>
  <si>
    <t>1706000063</t>
  </si>
  <si>
    <t>108K CM ADV G/L CLR</t>
  </si>
  <si>
    <t>1706000064</t>
  </si>
  <si>
    <t>96K CM ADV G/L CLR</t>
  </si>
  <si>
    <t>1706000065</t>
  </si>
  <si>
    <t>93K CM ADV G/L CLR</t>
  </si>
  <si>
    <t>1706000066</t>
  </si>
  <si>
    <t>72K CM ADV G/L CLR</t>
  </si>
  <si>
    <t>1706000067</t>
  </si>
  <si>
    <t>G/L CLEARING CM ADV 354K</t>
  </si>
  <si>
    <t>CM ADV 354K</t>
  </si>
  <si>
    <t>1706000068</t>
  </si>
  <si>
    <t>G/L CLEARING CM ADV 268K</t>
  </si>
  <si>
    <t>CM ADV 268K</t>
  </si>
  <si>
    <t>1706000069</t>
  </si>
  <si>
    <t>G/L CLEARING CM ADV 237K</t>
  </si>
  <si>
    <t>CM ADV 237K</t>
  </si>
  <si>
    <t>1706000070</t>
  </si>
  <si>
    <t>G/L CLEARING CM ADV 228K</t>
  </si>
  <si>
    <t>CM ADV 228K</t>
  </si>
  <si>
    <t>1706000071</t>
  </si>
  <si>
    <t>G/L CLEARING CM ADV 134K</t>
  </si>
  <si>
    <t>CM ADV 134K</t>
  </si>
  <si>
    <t>1706000072</t>
  </si>
  <si>
    <t>G/L CLEARING CM ADV 108K</t>
  </si>
  <si>
    <t>CM ADV 108K</t>
  </si>
  <si>
    <t>1706000073</t>
  </si>
  <si>
    <t>G/L CLEARING CM ADV 107K</t>
  </si>
  <si>
    <t>CM ADV 107K</t>
  </si>
  <si>
    <t>1706000074</t>
  </si>
  <si>
    <t>G/L CLEARING CM ADV 32K</t>
  </si>
  <si>
    <t>CM ADV 32K</t>
  </si>
  <si>
    <t>1706000075</t>
  </si>
  <si>
    <t>G/L CLEARING CM ADV 262K</t>
  </si>
  <si>
    <t>CM ADV 262K</t>
  </si>
  <si>
    <t>1706000076</t>
  </si>
  <si>
    <t>G/L CLEARING CM ADV 443K</t>
  </si>
  <si>
    <t>CM ADV 443K</t>
  </si>
  <si>
    <t>1706000077</t>
  </si>
  <si>
    <t>G/L CLEARING CM ADV 602K</t>
  </si>
  <si>
    <t>CM ADV 602K</t>
  </si>
  <si>
    <t>1706000080</t>
  </si>
  <si>
    <t>G.L CL CMAD 128K</t>
  </si>
  <si>
    <t>G.L CLEAR  CM ADV 1289 K</t>
  </si>
  <si>
    <t>1706000081</t>
  </si>
  <si>
    <t>G.L CL CMAD 634K</t>
  </si>
  <si>
    <t>G.L CLEAR  CM ADV 634 K</t>
  </si>
  <si>
    <t>1706000082</t>
  </si>
  <si>
    <t>G.L CL CMAD 620K</t>
  </si>
  <si>
    <t>G.L CLEAR  CM ADV 620 K</t>
  </si>
  <si>
    <t>1706000083</t>
  </si>
  <si>
    <t>G.L CL CMAD 358K</t>
  </si>
  <si>
    <t>G.L CLEAR  CM ADV 358 K</t>
  </si>
  <si>
    <t>1706000084</t>
  </si>
  <si>
    <t>G.L CL CMAD 156K</t>
  </si>
  <si>
    <t>G.L CLEAR  CM ADV 156 K</t>
  </si>
  <si>
    <t>1706000085</t>
  </si>
  <si>
    <t>G.L CL CMAD 81 K</t>
  </si>
  <si>
    <t>G.L CLEAR  CM ADV 81 K</t>
  </si>
  <si>
    <t>1709000001</t>
  </si>
  <si>
    <t>E03739WM17CA0324</t>
  </si>
  <si>
    <t>424130473804</t>
  </si>
  <si>
    <t>1709000002</t>
  </si>
  <si>
    <t>CM ADVANCE RECEIVED REF-424130474162</t>
  </si>
  <si>
    <t>IT06591706280053</t>
  </si>
  <si>
    <t>424130474162</t>
  </si>
  <si>
    <t>1709000003</t>
  </si>
  <si>
    <t>CM ADVANCE RECEIVED REF-424130474402</t>
  </si>
  <si>
    <t>IT06591707050050</t>
  </si>
  <si>
    <t>424130474402</t>
  </si>
  <si>
    <t>1709000004</t>
  </si>
  <si>
    <t>E03932US17-0824</t>
  </si>
  <si>
    <t>424130474331</t>
  </si>
  <si>
    <t>1709000008</t>
  </si>
  <si>
    <t>C M ADVANCE ADJUSTED REF-424130465234</t>
  </si>
  <si>
    <t>03824170347NZ</t>
  </si>
  <si>
    <t>424130474386</t>
  </si>
  <si>
    <t>1709000009</t>
  </si>
  <si>
    <t>03886170442NZ</t>
  </si>
  <si>
    <t>424130474377</t>
  </si>
  <si>
    <t>1709000010</t>
  </si>
  <si>
    <t>0388517037</t>
  </si>
  <si>
    <t>424130474368</t>
  </si>
  <si>
    <t>C M ADVANCE ADJUSTED REF-424130471334</t>
  </si>
  <si>
    <t>1709000012</t>
  </si>
  <si>
    <t>03825170416DE</t>
  </si>
  <si>
    <t>424130475492</t>
  </si>
  <si>
    <t>1709000014</t>
  </si>
  <si>
    <t>C M ADVANCE ADJUSTED REF-424130474162</t>
  </si>
  <si>
    <t>E10345WM17JP0503</t>
  </si>
  <si>
    <t>424130475456</t>
  </si>
  <si>
    <t>1709000015</t>
  </si>
  <si>
    <t>E03752WM17CA0883</t>
  </si>
  <si>
    <t>424130475474</t>
  </si>
  <si>
    <t>1709000017</t>
  </si>
  <si>
    <t>C M ADVANCE ADJUSTED REF-424130474402</t>
  </si>
  <si>
    <t>E23710VF17US0484</t>
  </si>
  <si>
    <t>424130476712</t>
  </si>
  <si>
    <t>1709000019</t>
  </si>
  <si>
    <t>C M ADVANCE RECEIVED REF-424130477640</t>
  </si>
  <si>
    <t>IT06591707130004</t>
  </si>
  <si>
    <t>424130477640</t>
  </si>
  <si>
    <t>1709000020</t>
  </si>
  <si>
    <t>E23662VF17US0299</t>
  </si>
  <si>
    <t>424130476204</t>
  </si>
  <si>
    <t>1709000021</t>
  </si>
  <si>
    <t>E23920VF17US0451</t>
  </si>
  <si>
    <t>424130478444</t>
  </si>
  <si>
    <t>1709000022</t>
  </si>
  <si>
    <t>E33560TC17US0912</t>
  </si>
  <si>
    <t>424130478435</t>
  </si>
  <si>
    <t>1709000023</t>
  </si>
  <si>
    <t>E43754SB17UK0924</t>
  </si>
  <si>
    <t>424130479871</t>
  </si>
  <si>
    <t>1709000024</t>
  </si>
  <si>
    <t>E33605TC17US0906</t>
  </si>
  <si>
    <t>424130479434</t>
  </si>
  <si>
    <t>1709000025</t>
  </si>
  <si>
    <t>E43653DC17US0915</t>
  </si>
  <si>
    <t>424130479443</t>
  </si>
  <si>
    <t>1709000026</t>
  </si>
  <si>
    <t>E03867US17-0830</t>
  </si>
  <si>
    <t>424130480459</t>
  </si>
  <si>
    <t>1709000027</t>
  </si>
  <si>
    <t>E03948US17-0842</t>
  </si>
  <si>
    <t>424130480468</t>
  </si>
  <si>
    <t>1709000028</t>
  </si>
  <si>
    <t>C M ADVANCE ADJUSTED REF-424130451962</t>
  </si>
  <si>
    <t>E23804VF17US0490</t>
  </si>
  <si>
    <t>424130480477</t>
  </si>
  <si>
    <t>C M ADVANCE ADJUSTED REF-424130477640</t>
  </si>
  <si>
    <t>1709000029</t>
  </si>
  <si>
    <t>E03840US17-0901</t>
  </si>
  <si>
    <t>424130480770</t>
  </si>
  <si>
    <t>1709000030</t>
  </si>
  <si>
    <t>E33559TC17CA0914</t>
  </si>
  <si>
    <t>424130481564</t>
  </si>
  <si>
    <t>1709000031</t>
  </si>
  <si>
    <t>E23802VF17US0487</t>
  </si>
  <si>
    <t>424130481528</t>
  </si>
  <si>
    <t>1709000036</t>
  </si>
  <si>
    <t>C M ADVANCE RECEVIED REF-424130483303</t>
  </si>
  <si>
    <t>IT06591707260164</t>
  </si>
  <si>
    <t>424130483303</t>
  </si>
  <si>
    <t>1709000037</t>
  </si>
  <si>
    <t>C M ADVANCE ADJUST REF-424130474162</t>
  </si>
  <si>
    <t>E03648US17-0846</t>
  </si>
  <si>
    <t>424130484106</t>
  </si>
  <si>
    <t>1709000038</t>
  </si>
  <si>
    <t>E03646US17-0903</t>
  </si>
  <si>
    <t>424130484124</t>
  </si>
  <si>
    <t>1709000041</t>
  </si>
  <si>
    <t>E03752WM17CA0882</t>
  </si>
  <si>
    <t>424130481519</t>
  </si>
  <si>
    <t>1709000043</t>
  </si>
  <si>
    <t>E03721US17-0891</t>
  </si>
  <si>
    <t>424130484437</t>
  </si>
  <si>
    <t>1709000044</t>
  </si>
  <si>
    <t>C M ADVANCE ADJUST REF-424130471334</t>
  </si>
  <si>
    <t>03825170453TH</t>
  </si>
  <si>
    <t>424130484428</t>
  </si>
  <si>
    <t>1709000045</t>
  </si>
  <si>
    <t>C M ADVANCE ADJUST REF-424130474402</t>
  </si>
  <si>
    <t>03885170464KR</t>
  </si>
  <si>
    <t>424130484160</t>
  </si>
  <si>
    <t>1709000046</t>
  </si>
  <si>
    <t>03886170460ES</t>
  </si>
  <si>
    <t>424130484419</t>
  </si>
  <si>
    <t>1709000047</t>
  </si>
  <si>
    <t>03824170455MY</t>
  </si>
  <si>
    <t>424130484151</t>
  </si>
  <si>
    <t>1709000048</t>
  </si>
  <si>
    <t>E03739WM17CA0420</t>
  </si>
  <si>
    <t>424130484400</t>
  </si>
  <si>
    <t>1709000049</t>
  </si>
  <si>
    <t>C M ADVANCE ADJUST REF-424130477640</t>
  </si>
  <si>
    <t>EG3738WM17JP0419</t>
  </si>
  <si>
    <t>424130483312</t>
  </si>
  <si>
    <t>1709000051</t>
  </si>
  <si>
    <t>E03839US17-0887</t>
  </si>
  <si>
    <t>424130486211</t>
  </si>
  <si>
    <t>1709000052</t>
  </si>
  <si>
    <t>E03648US17-0848</t>
  </si>
  <si>
    <t>424130486202</t>
  </si>
  <si>
    <t>1709000053</t>
  </si>
  <si>
    <t>CM ADVANCE RECEIVED REF-424130486195</t>
  </si>
  <si>
    <t>IT06591708010252</t>
  </si>
  <si>
    <t>424130486195</t>
  </si>
  <si>
    <t>1709000055</t>
  </si>
  <si>
    <t>C M ADVANCE ADJUST REF-424130483303</t>
  </si>
  <si>
    <t>E23662VF17US0436</t>
  </si>
  <si>
    <t>424130486925</t>
  </si>
  <si>
    <t>1709000062</t>
  </si>
  <si>
    <t>C M ADVANCE ADJUST REF-424130486195</t>
  </si>
  <si>
    <t>E03722US17-1021</t>
  </si>
  <si>
    <t>424130488086</t>
  </si>
  <si>
    <t>1709000063</t>
  </si>
  <si>
    <t>E03722US17-1020</t>
  </si>
  <si>
    <t>424130488095</t>
  </si>
  <si>
    <t>1709000064</t>
  </si>
  <si>
    <t>1709000065</t>
  </si>
  <si>
    <t>1709000068</t>
  </si>
  <si>
    <t>CM ADVANCE ADJUSTED REF-424130486195</t>
  </si>
  <si>
    <t>E03788US17-1003</t>
  </si>
  <si>
    <t>424130489879</t>
  </si>
  <si>
    <t>1709000069</t>
  </si>
  <si>
    <t>E43852SB17UK1065</t>
  </si>
  <si>
    <t>424130489860</t>
  </si>
  <si>
    <t>1709000073</t>
  </si>
  <si>
    <t>E03913US17-1105</t>
  </si>
  <si>
    <t>424130491278</t>
  </si>
  <si>
    <t>1709000075</t>
  </si>
  <si>
    <t>E43851SB17UK1113</t>
  </si>
  <si>
    <t>424130492106</t>
  </si>
  <si>
    <t>1709000076</t>
  </si>
  <si>
    <t>E03645US17-1071</t>
  </si>
  <si>
    <t>424130492099</t>
  </si>
  <si>
    <t>1709000078</t>
  </si>
  <si>
    <t>CM ADVANCE RECEIVED REF-424130492062</t>
  </si>
  <si>
    <t>IT06591708190010</t>
  </si>
  <si>
    <t>424130492062</t>
  </si>
  <si>
    <t>1709000079</t>
  </si>
  <si>
    <t>CM ADVANCE RECEIVED REF-424130492053</t>
  </si>
  <si>
    <t>IT06591708190002</t>
  </si>
  <si>
    <t>424130492053</t>
  </si>
  <si>
    <t>1709000080</t>
  </si>
  <si>
    <t>CM ADVANCE RECEIVED REF-424130494444</t>
  </si>
  <si>
    <t>IT06591708220026</t>
  </si>
  <si>
    <t>424130494444</t>
  </si>
  <si>
    <t>1709000081</t>
  </si>
  <si>
    <t>E33918TC17US1079</t>
  </si>
  <si>
    <t>424130493677</t>
  </si>
  <si>
    <t>1709000083</t>
  </si>
  <si>
    <t>CM ADVANCE ADJUSTED REF-424130492062</t>
  </si>
  <si>
    <t>E04055US17-1130</t>
  </si>
  <si>
    <t>424130495899</t>
  </si>
  <si>
    <t>1709000084</t>
  </si>
  <si>
    <t>E43754SB17UK1156</t>
  </si>
  <si>
    <t>424130495906</t>
  </si>
  <si>
    <t>1709000086</t>
  </si>
  <si>
    <t>CM ADVANCE ADJUSTED REF-424130483303</t>
  </si>
  <si>
    <t>03929170528ID</t>
  </si>
  <si>
    <t>424130488834</t>
  </si>
  <si>
    <t>1709000087</t>
  </si>
  <si>
    <t>03929170497RU</t>
  </si>
  <si>
    <t>424130488825</t>
  </si>
  <si>
    <t>1709000088</t>
  </si>
  <si>
    <t>03925170480OK</t>
  </si>
  <si>
    <t>424130488772</t>
  </si>
  <si>
    <t>1709000093</t>
  </si>
  <si>
    <t>03929170516DE</t>
  </si>
  <si>
    <t>424130495167</t>
  </si>
  <si>
    <t>1709000096</t>
  </si>
  <si>
    <t>03929170520BE</t>
  </si>
  <si>
    <t>424130497566</t>
  </si>
  <si>
    <t>1709000097</t>
  </si>
  <si>
    <t>E23897VF17US0545</t>
  </si>
  <si>
    <t>424130490180</t>
  </si>
  <si>
    <t>1709000098</t>
  </si>
  <si>
    <t>CM ADVANCE ADJUSTED REF-424130465234</t>
  </si>
  <si>
    <t>03885170407MX</t>
  </si>
  <si>
    <t>424130489851</t>
  </si>
  <si>
    <t>BTB ADJUSTED REF-424130467839</t>
  </si>
  <si>
    <t>1709000102</t>
  </si>
  <si>
    <t>E33860TC17US1206</t>
  </si>
  <si>
    <t>424130500197</t>
  </si>
  <si>
    <t>1709000103</t>
  </si>
  <si>
    <t>E03943US17-1164</t>
  </si>
  <si>
    <t>424130500400</t>
  </si>
  <si>
    <t>1709000105</t>
  </si>
  <si>
    <t>E03706US17-1058</t>
  </si>
  <si>
    <t>424130501141</t>
  </si>
  <si>
    <t>1709000109</t>
  </si>
  <si>
    <t>E3854SB17UK1037</t>
  </si>
  <si>
    <t>424130505192</t>
  </si>
  <si>
    <t>1709000110</t>
  </si>
  <si>
    <t>CM ADVANCE ADJUSTED REF-424130492053</t>
  </si>
  <si>
    <t>E23832DN17IR0543</t>
  </si>
  <si>
    <t>424130501043</t>
  </si>
  <si>
    <t>1709000111</t>
  </si>
  <si>
    <t>CM ADVANCE ADJUSTED REF-424130494444</t>
  </si>
  <si>
    <t>E23955VF17US0581</t>
  </si>
  <si>
    <t>424130501169</t>
  </si>
  <si>
    <t>1709000112</t>
  </si>
  <si>
    <t>E23832DN17IR0544</t>
  </si>
  <si>
    <t>424130501052</t>
  </si>
  <si>
    <t>1709000114</t>
  </si>
  <si>
    <t>E23710VF17US0418</t>
  </si>
  <si>
    <t>424130502051</t>
  </si>
  <si>
    <t>1709000115</t>
  </si>
  <si>
    <t>E23954VF17US0618</t>
  </si>
  <si>
    <t>424130502694</t>
  </si>
  <si>
    <t>1709000116</t>
  </si>
  <si>
    <t>E23815AC17JF0627</t>
  </si>
  <si>
    <t>424130503149</t>
  </si>
  <si>
    <t>1709000117</t>
  </si>
  <si>
    <t>03986170567NZ</t>
  </si>
  <si>
    <t>424130502729</t>
  </si>
  <si>
    <t>1709000119</t>
  </si>
  <si>
    <t>CM ADVANCE ADJUSTED REF-424130474402</t>
  </si>
  <si>
    <t>E03766WM17CA0481</t>
  </si>
  <si>
    <t>424130486220</t>
  </si>
  <si>
    <t>1709000123</t>
  </si>
  <si>
    <t>CM ADVANCE RECEIVED REF-424130501891</t>
  </si>
  <si>
    <t>IT06591709120004</t>
  </si>
  <si>
    <t>424130501891</t>
  </si>
  <si>
    <t>1709000124</t>
  </si>
  <si>
    <t>CM ADVANCE RECEIVED REF-424130502426</t>
  </si>
  <si>
    <t>IT06591709130203</t>
  </si>
  <si>
    <t>424130502426</t>
  </si>
  <si>
    <t>1709000125</t>
  </si>
  <si>
    <t>CM ADVANCE RECEIVED REF-424130504969</t>
  </si>
  <si>
    <t>ARV</t>
  </si>
  <si>
    <t>424130504969</t>
  </si>
  <si>
    <t>1709000126</t>
  </si>
  <si>
    <t>CM ADVANCE ADJUST REF-424130492062</t>
  </si>
  <si>
    <t>E3847SB17UK1173</t>
  </si>
  <si>
    <t>424130502042</t>
  </si>
  <si>
    <t>1709000127</t>
  </si>
  <si>
    <t>E03943US17-1163</t>
  </si>
  <si>
    <t>424130501908</t>
  </si>
  <si>
    <t>1709000132</t>
  </si>
  <si>
    <t>SE3991VF17US0637</t>
  </si>
  <si>
    <t>424130506388</t>
  </si>
  <si>
    <t>CM ADVANCE ADJUST REF-424130502426</t>
  </si>
  <si>
    <t>1709000133</t>
  </si>
  <si>
    <t>CM ADVANCE ADJUST REF-424130494444</t>
  </si>
  <si>
    <t>E23815AC17CK0628</t>
  </si>
  <si>
    <t>424130506404</t>
  </si>
  <si>
    <t>1709000134</t>
  </si>
  <si>
    <t>E23832DN17IR0633</t>
  </si>
  <si>
    <t>424130506397</t>
  </si>
  <si>
    <t>1709000137</t>
  </si>
  <si>
    <t>1709000138</t>
  </si>
  <si>
    <t>CM ADVANCE RECEIVED REF-424130507653</t>
  </si>
  <si>
    <t>IT06591709250109</t>
  </si>
  <si>
    <t>424130507653</t>
  </si>
  <si>
    <t>1709000140</t>
  </si>
  <si>
    <t>CM ADVANCE ADJUSTMENT REF-424130494444</t>
  </si>
  <si>
    <t>E23815AC17CK0629</t>
  </si>
  <si>
    <t>424130507733</t>
  </si>
  <si>
    <t>1709000141</t>
  </si>
  <si>
    <t>CM ADVANCE ADJUSTMENT REF-424130483303</t>
  </si>
  <si>
    <t>03929170521ES</t>
  </si>
  <si>
    <t>424130506351</t>
  </si>
  <si>
    <t>CM ADVANCE ADJUSTMENT REF-424130502426</t>
  </si>
  <si>
    <t>1709000143</t>
  </si>
  <si>
    <t>CM ADVANCE ADJUSTMENT REF-424130504969</t>
  </si>
  <si>
    <t>IT06591709260023</t>
  </si>
  <si>
    <t>424130507742</t>
  </si>
  <si>
    <t>1709000149</t>
  </si>
  <si>
    <t>CM ADVANCE ADJUSTMENT REF-424130501891</t>
  </si>
  <si>
    <t>E04125US17-1232</t>
  </si>
  <si>
    <t>424130506422</t>
  </si>
  <si>
    <t>1709000150</t>
  </si>
  <si>
    <t>E03646US17-1186</t>
  </si>
  <si>
    <t>424130509802</t>
  </si>
  <si>
    <t>1709000156</t>
  </si>
  <si>
    <t>E23942VF17US0624</t>
  </si>
  <si>
    <t>424130511103</t>
  </si>
  <si>
    <t>1709000157</t>
  </si>
  <si>
    <t>E23955VF17US0468</t>
  </si>
  <si>
    <t>424130509731</t>
  </si>
  <si>
    <t>1709000160</t>
  </si>
  <si>
    <t>E23887DN17IR0632</t>
  </si>
  <si>
    <t>424130509759</t>
  </si>
  <si>
    <t>1709000163</t>
  </si>
  <si>
    <t>CM ADVANCE ADJUSTMENT REF-424130507653</t>
  </si>
  <si>
    <t>E3848SB17UK1323</t>
  </si>
  <si>
    <t>424130512442</t>
  </si>
  <si>
    <t>1709000164</t>
  </si>
  <si>
    <t>CM ADVANCE RECEIVED REF-424130511372</t>
  </si>
  <si>
    <t>IT06591710040160</t>
  </si>
  <si>
    <t>424130511372</t>
  </si>
  <si>
    <t>1709000165</t>
  </si>
  <si>
    <t>CM ADVANCE RECEIVED REF-424130511381</t>
  </si>
  <si>
    <t>IT06591710040156</t>
  </si>
  <si>
    <t>424130511381</t>
  </si>
  <si>
    <t>1709000166</t>
  </si>
  <si>
    <t>CM ADVANCE ADJUSTMENT REF-424130511372</t>
  </si>
  <si>
    <t>E23956VF17US0621</t>
  </si>
  <si>
    <t>424130512451</t>
  </si>
  <si>
    <t>1709000167</t>
  </si>
  <si>
    <t>E23832DN17IR0635</t>
  </si>
  <si>
    <t>424130512460</t>
  </si>
  <si>
    <t>1709000169</t>
  </si>
  <si>
    <t>E02895US17-1312</t>
  </si>
  <si>
    <t>424130513628</t>
  </si>
  <si>
    <t>1709000172</t>
  </si>
  <si>
    <t>CM ADVANCE ADJUSTMENT REF-424130511381</t>
  </si>
  <si>
    <t>E04050US17-1330</t>
  </si>
  <si>
    <t>424130514958</t>
  </si>
  <si>
    <t>1709000173</t>
  </si>
  <si>
    <t>E04068US17-1307</t>
  </si>
  <si>
    <t>424130514967</t>
  </si>
  <si>
    <t>1709000174</t>
  </si>
  <si>
    <t>E4046SB17UK1347</t>
  </si>
  <si>
    <t>424130514921</t>
  </si>
  <si>
    <t>1709000175</t>
  </si>
  <si>
    <t>E33692TC17US1357</t>
  </si>
  <si>
    <t>424130514930</t>
  </si>
  <si>
    <t>1709000177</t>
  </si>
  <si>
    <t>1709000179</t>
  </si>
  <si>
    <t>1709000180</t>
  </si>
  <si>
    <t>CM ADVANCE ADJUST, REF-424130511372</t>
  </si>
  <si>
    <t>E23832DN17IR0634</t>
  </si>
  <si>
    <t>424130514903</t>
  </si>
  <si>
    <t>1709000181</t>
  </si>
  <si>
    <t>E23815AC17KT0648</t>
  </si>
  <si>
    <t>424130516288</t>
  </si>
  <si>
    <t>1709000182</t>
  </si>
  <si>
    <t>CM ADVANCE RECEIVED, REF-424130518017</t>
  </si>
  <si>
    <t>IT06591710180007</t>
  </si>
  <si>
    <t>424130518017</t>
  </si>
  <si>
    <t>1709000183</t>
  </si>
  <si>
    <t>CM ADVANCE ADJUST, REF-424130518017</t>
  </si>
  <si>
    <t>E23993VF17US0438</t>
  </si>
  <si>
    <t>424130519347</t>
  </si>
  <si>
    <t>1709000184</t>
  </si>
  <si>
    <t>E23832DN17IR0663</t>
  </si>
  <si>
    <t>424130519365</t>
  </si>
  <si>
    <t>1709000185</t>
  </si>
  <si>
    <t>CM ADVANCE ADJUST, REF-424130504969</t>
  </si>
  <si>
    <t>IT06591710160111</t>
  </si>
  <si>
    <t>424130519338</t>
  </si>
  <si>
    <t>1709000186</t>
  </si>
  <si>
    <t>CM ADVANCE ADJUST, REF-424130511381</t>
  </si>
  <si>
    <t>E03981US17-1305</t>
  </si>
  <si>
    <t>424130516634</t>
  </si>
  <si>
    <t>1709000187</t>
  </si>
  <si>
    <t>E03818US17-1353</t>
  </si>
  <si>
    <t>424130516643</t>
  </si>
  <si>
    <t>1709000196</t>
  </si>
  <si>
    <t>CM ADVANCE RECEIVED, REF-424130522155</t>
  </si>
  <si>
    <t>IT06591710250015</t>
  </si>
  <si>
    <t>424130522155</t>
  </si>
  <si>
    <t>1709000200</t>
  </si>
  <si>
    <t>E24030VF17US0622</t>
  </si>
  <si>
    <t>424130515546</t>
  </si>
  <si>
    <t>1709000206</t>
  </si>
  <si>
    <t>CM ADVANCE ADJUST, REF-424130522155</t>
  </si>
  <si>
    <t>E24104VF17US0664</t>
  </si>
  <si>
    <t>424130523494</t>
  </si>
  <si>
    <t>1709000209</t>
  </si>
  <si>
    <t>CM ADVANCE RECEIVED REF-424130525376</t>
  </si>
  <si>
    <t>IT06591711020063</t>
  </si>
  <si>
    <t>424130525376</t>
  </si>
  <si>
    <t>1709000210</t>
  </si>
  <si>
    <t>CM ADVANCE RECEIVED REF-424130525866</t>
  </si>
  <si>
    <t>IT06591711040003</t>
  </si>
  <si>
    <t>424130525866</t>
  </si>
  <si>
    <t>1709000212</t>
  </si>
  <si>
    <t>CM ADVANCE ADJUST REF-424130522155</t>
  </si>
  <si>
    <t>E24028VF17US0666</t>
  </si>
  <si>
    <t>424130525875</t>
  </si>
  <si>
    <t>1709000214</t>
  </si>
  <si>
    <t>CM ADVANCE ADJUST REF-424130525376</t>
  </si>
  <si>
    <t>E24106VF17US0669</t>
  </si>
  <si>
    <t>424130527267</t>
  </si>
  <si>
    <t>1709000215</t>
  </si>
  <si>
    <t>CM ADVANCE ADJUST REF-424130525866</t>
  </si>
  <si>
    <t>E34147TC17US1457</t>
  </si>
  <si>
    <t>424130528239</t>
  </si>
  <si>
    <t>1709000216</t>
  </si>
  <si>
    <t>E04287US17-1470</t>
  </si>
  <si>
    <t>424130528202</t>
  </si>
  <si>
    <t>1709000217</t>
  </si>
  <si>
    <t>E24083VF17US0641</t>
  </si>
  <si>
    <t>424130528211</t>
  </si>
  <si>
    <t>1709000219</t>
  </si>
  <si>
    <t>E4110SB17UK1454</t>
  </si>
  <si>
    <t>424130529791</t>
  </si>
  <si>
    <t>1709000221</t>
  </si>
  <si>
    <t>E04070US17-1390</t>
  </si>
  <si>
    <t>424130532607</t>
  </si>
  <si>
    <t>1709000230</t>
  </si>
  <si>
    <t>CM ADVANCE RECEIVED REF-424130534589</t>
  </si>
  <si>
    <t>IT06591711210191</t>
  </si>
  <si>
    <t>424130534589</t>
  </si>
  <si>
    <t>1709000233</t>
  </si>
  <si>
    <t>E34144TC17CA1495</t>
  </si>
  <si>
    <t>424130530878</t>
  </si>
  <si>
    <t>1709000234</t>
  </si>
  <si>
    <t>E3971SB17UK1505</t>
  </si>
  <si>
    <t>424130531715</t>
  </si>
  <si>
    <t>1709000235</t>
  </si>
  <si>
    <t>E04013US17-1428</t>
  </si>
  <si>
    <t>424130528220</t>
  </si>
  <si>
    <t>1709000236</t>
  </si>
  <si>
    <t>E04080US17-1461</t>
  </si>
  <si>
    <t>424130529782</t>
  </si>
  <si>
    <t>1709000238</t>
  </si>
  <si>
    <t>CM ADVANCE ADJUST REF-424130534589</t>
  </si>
  <si>
    <t>E24053AC17KT0671</t>
  </si>
  <si>
    <t>424130536596</t>
  </si>
  <si>
    <t>1709000239</t>
  </si>
  <si>
    <t>E24143VF17US0661</t>
  </si>
  <si>
    <t>424130536603</t>
  </si>
  <si>
    <t>1709000241</t>
  </si>
  <si>
    <t>E23805VF17US0491</t>
  </si>
  <si>
    <t>424130536916</t>
  </si>
  <si>
    <t>1709000242</t>
  </si>
  <si>
    <t>CM ADVANCE RECEIVED REF-424130536907</t>
  </si>
  <si>
    <t>IT06591711290013</t>
  </si>
  <si>
    <t>424130536907</t>
  </si>
  <si>
    <t>1709000243</t>
  </si>
  <si>
    <t>E24075VF17US0683</t>
  </si>
  <si>
    <t>424130537844</t>
  </si>
  <si>
    <t>1709000250</t>
  </si>
  <si>
    <t>CM ADVANCE RECEIVED REF-424130539496</t>
  </si>
  <si>
    <t>IT06591712040187</t>
  </si>
  <si>
    <t>424130539496</t>
  </si>
  <si>
    <t>1709000251</t>
  </si>
  <si>
    <t>CM ADVANCE ADJUST REF-424130536907</t>
  </si>
  <si>
    <t>E24053AC17KT0691</t>
  </si>
  <si>
    <t>424130540466</t>
  </si>
  <si>
    <t>1709000252</t>
  </si>
  <si>
    <t>E23942VF17US0686</t>
  </si>
  <si>
    <t>424130540475</t>
  </si>
  <si>
    <t>1709000256</t>
  </si>
  <si>
    <t>E04065WM17CA1541</t>
  </si>
  <si>
    <t>424130537862</t>
  </si>
  <si>
    <t>1709000258</t>
  </si>
  <si>
    <t>CM ADVANCE ADJUST REF-424130539496</t>
  </si>
  <si>
    <t>E04139WM17CN1573</t>
  </si>
  <si>
    <t>424130542035</t>
  </si>
  <si>
    <t>1709000260</t>
  </si>
  <si>
    <t>IT06591712110084</t>
  </si>
  <si>
    <t>424130542437</t>
  </si>
  <si>
    <t>1709000261</t>
  </si>
  <si>
    <t>IT06591712110081</t>
  </si>
  <si>
    <t>424130542400</t>
  </si>
  <si>
    <t>1709000262</t>
  </si>
  <si>
    <t>CM ADVANCE RECEVIED REF-424130542730</t>
  </si>
  <si>
    <t>IT06591712120233</t>
  </si>
  <si>
    <t>424130542730</t>
  </si>
  <si>
    <t>1709000263</t>
  </si>
  <si>
    <t>E24158VF17US0709</t>
  </si>
  <si>
    <t>424130542767</t>
  </si>
  <si>
    <t>1709000264</t>
  </si>
  <si>
    <t>IT06591712090050</t>
  </si>
  <si>
    <t>424130542428</t>
  </si>
  <si>
    <t>1709000267</t>
  </si>
  <si>
    <t>1709000271</t>
  </si>
  <si>
    <t>E04117US17-1564</t>
  </si>
  <si>
    <t>424130543506</t>
  </si>
  <si>
    <t>1709000272</t>
  </si>
  <si>
    <t>E04191US17-1578</t>
  </si>
  <si>
    <t>424130543515</t>
  </si>
  <si>
    <t>1709000273</t>
  </si>
  <si>
    <t>E04117US17-1563</t>
  </si>
  <si>
    <t>424130543524</t>
  </si>
  <si>
    <t>1709000275</t>
  </si>
  <si>
    <t>CM ADVANCE RECEIVED REF-424130543490</t>
  </si>
  <si>
    <t>IT06591712170008</t>
  </si>
  <si>
    <t>424130543490</t>
  </si>
  <si>
    <t>1709000276</t>
  </si>
  <si>
    <t>CM ADVANCE ADJUST REF-424130542730</t>
  </si>
  <si>
    <t>EGKER17STK00201</t>
  </si>
  <si>
    <t>424130544792</t>
  </si>
  <si>
    <t>1709000279</t>
  </si>
  <si>
    <t>E04117US17-1581</t>
  </si>
  <si>
    <t>424130545540</t>
  </si>
  <si>
    <t>1709000280</t>
  </si>
  <si>
    <t>E44149DC17US1596</t>
  </si>
  <si>
    <t>424130545531</t>
  </si>
  <si>
    <t>1709000281</t>
  </si>
  <si>
    <t>E04101WM17CN1588</t>
  </si>
  <si>
    <t>424130545522</t>
  </si>
  <si>
    <t>1709000282</t>
  </si>
  <si>
    <t>E04066WM17CA1589</t>
  </si>
  <si>
    <t>424130545513</t>
  </si>
  <si>
    <t>1709000283</t>
  </si>
  <si>
    <t>CM ADVANCE ADJUST REF-424130543490</t>
  </si>
  <si>
    <t>E24247VF17US0687</t>
  </si>
  <si>
    <t>424130546219</t>
  </si>
  <si>
    <t>1709000284</t>
  </si>
  <si>
    <t>E34015TC17MY1669</t>
  </si>
  <si>
    <t>424130546200</t>
  </si>
  <si>
    <t>1709000285</t>
  </si>
  <si>
    <t>E04117US17-1562</t>
  </si>
  <si>
    <t>424130546193</t>
  </si>
  <si>
    <t>1709000286</t>
  </si>
  <si>
    <t>04265170698MT</t>
  </si>
  <si>
    <t>424130547110</t>
  </si>
  <si>
    <t>1709000287</t>
  </si>
  <si>
    <t>E04117US17-1625</t>
  </si>
  <si>
    <t>424130547101</t>
  </si>
  <si>
    <t>1709000288</t>
  </si>
  <si>
    <t>E04117US17-1600</t>
  </si>
  <si>
    <t>424130547094</t>
  </si>
  <si>
    <t>1709000290</t>
  </si>
  <si>
    <t>E24143VF17US0728</t>
  </si>
  <si>
    <t>424130548100</t>
  </si>
  <si>
    <t>1709000291</t>
  </si>
  <si>
    <t>424130548119</t>
  </si>
  <si>
    <t>1709000293</t>
  </si>
  <si>
    <t>CM ADVANCE RECEIVED REF-424130549957</t>
  </si>
  <si>
    <t>ARVTT</t>
  </si>
  <si>
    <t>424130549957</t>
  </si>
  <si>
    <t>1709000299</t>
  </si>
  <si>
    <t>CM ADVANCE ADJUSTED REF;424130542730</t>
  </si>
  <si>
    <t>424130550926</t>
  </si>
  <si>
    <t>E04199US17-1603</t>
  </si>
  <si>
    <t>1709000306</t>
  </si>
  <si>
    <t>E4194SB17UK1654</t>
  </si>
  <si>
    <t>424130551729</t>
  </si>
  <si>
    <t>1709000310</t>
  </si>
  <si>
    <t>CM ADVANCE RECEIVED REF:424130551765</t>
  </si>
  <si>
    <t>IT06591801020097</t>
  </si>
  <si>
    <t>424130551765</t>
  </si>
  <si>
    <t>1709000311</t>
  </si>
  <si>
    <t>04265170705TW</t>
  </si>
  <si>
    <t>424130551756</t>
  </si>
  <si>
    <t>1709000312</t>
  </si>
  <si>
    <t>E24210VF17US0723</t>
  </si>
  <si>
    <t>424130552381</t>
  </si>
  <si>
    <t>CM ADVANCE ADJUST REF-424130549957</t>
  </si>
  <si>
    <t>1709000313</t>
  </si>
  <si>
    <t>E24173VF17US0733</t>
  </si>
  <si>
    <t>424130553996</t>
  </si>
  <si>
    <t>1709000315</t>
  </si>
  <si>
    <t>CM ADVANCE RECEIVED REF:424130551710</t>
  </si>
  <si>
    <t>IT06591801030017</t>
  </si>
  <si>
    <t>424130551710</t>
  </si>
  <si>
    <t>1709000316</t>
  </si>
  <si>
    <t>CM ADVANCE RECEIVED REF:424130551701</t>
  </si>
  <si>
    <t>IT06591801030021</t>
  </si>
  <si>
    <t>424130551701</t>
  </si>
  <si>
    <t>1709000317</t>
  </si>
  <si>
    <t>E04116US17-1701</t>
  </si>
  <si>
    <t>424130554842</t>
  </si>
  <si>
    <t>1709000321</t>
  </si>
  <si>
    <t>1709000331</t>
  </si>
  <si>
    <t>CM ADVANCE ADJUST REF-424130551701</t>
  </si>
  <si>
    <t>E4196SB17UK1741</t>
  </si>
  <si>
    <t>424130555360</t>
  </si>
  <si>
    <t>1709000333</t>
  </si>
  <si>
    <t>E04066WM17CA1686</t>
  </si>
  <si>
    <t>424130555397</t>
  </si>
  <si>
    <t>1709000334</t>
  </si>
  <si>
    <t>E14088WM17JP1642</t>
  </si>
  <si>
    <t>424130555388</t>
  </si>
  <si>
    <t>1709000335</t>
  </si>
  <si>
    <t>CM ADVANCE RECEIVED REF: 424130555351</t>
  </si>
  <si>
    <t>IT06591801110017</t>
  </si>
  <si>
    <t>424130555351</t>
  </si>
  <si>
    <t>1709000337</t>
  </si>
  <si>
    <t>E04116US17-1786</t>
  </si>
  <si>
    <t>424130556476</t>
  </si>
  <si>
    <t>1709000338</t>
  </si>
  <si>
    <t>E04238US17-1720</t>
  </si>
  <si>
    <t>424130556467</t>
  </si>
  <si>
    <t>1709000339</t>
  </si>
  <si>
    <t>04265170707MY</t>
  </si>
  <si>
    <t>424130557402</t>
  </si>
  <si>
    <t>CM ADVANCE ADJUST REF-424130551765</t>
  </si>
  <si>
    <t>1709000340</t>
  </si>
  <si>
    <t>E04120US17-1749</t>
  </si>
  <si>
    <t>424130557377</t>
  </si>
  <si>
    <t>1709000341</t>
  </si>
  <si>
    <t>E34241TC17US1762</t>
  </si>
  <si>
    <t>424130557386</t>
  </si>
  <si>
    <t>1709000343</t>
  </si>
  <si>
    <t>CM ADVANCE RECEIVED REF-424130557698</t>
  </si>
  <si>
    <t>IT06591801160224</t>
  </si>
  <si>
    <t>424130557698</t>
  </si>
  <si>
    <t>1709000349</t>
  </si>
  <si>
    <t>CM ADVANCE ADJUST REF: 424130551701</t>
  </si>
  <si>
    <t>E4194SB17UK1739</t>
  </si>
  <si>
    <t>424130557741</t>
  </si>
  <si>
    <t>1709000350</t>
  </si>
  <si>
    <t>CM ADVANCE ADJUST REF: 424130551765</t>
  </si>
  <si>
    <t>E24216VF17US0734</t>
  </si>
  <si>
    <t>424130558606</t>
  </si>
  <si>
    <t>1709000351</t>
  </si>
  <si>
    <t>CM ADVANCE RECEIVED REF-424130558580</t>
  </si>
  <si>
    <t>IT06591801170213</t>
  </si>
  <si>
    <t>424130558580</t>
  </si>
  <si>
    <t>1709000352</t>
  </si>
  <si>
    <t>E04123US17-1745</t>
  </si>
  <si>
    <t>424130559892</t>
  </si>
  <si>
    <t>CM ADVANCE ADJUST REF-424130555351</t>
  </si>
  <si>
    <t>1709000353</t>
  </si>
  <si>
    <t>E04142US17-1742</t>
  </si>
  <si>
    <t>424130559883</t>
  </si>
  <si>
    <t>1709000354</t>
  </si>
  <si>
    <t>E34109WM17JP1764</t>
  </si>
  <si>
    <t>424130559909</t>
  </si>
  <si>
    <t>1709000359</t>
  </si>
  <si>
    <t>E4194SB17UK1801</t>
  </si>
  <si>
    <t>424130561406</t>
  </si>
  <si>
    <t>1709000360</t>
  </si>
  <si>
    <t>CM ADVANCE ADJUST REF-424130558580</t>
  </si>
  <si>
    <t>04328180001SE</t>
  </si>
  <si>
    <t>424130561415</t>
  </si>
  <si>
    <t>1709000361</t>
  </si>
  <si>
    <t>E24173VF18US0001</t>
  </si>
  <si>
    <t>424130561754</t>
  </si>
  <si>
    <t>1709000362</t>
  </si>
  <si>
    <t>CM ADVANCE RECEIVED REF-424130561763</t>
  </si>
  <si>
    <t>IT06591801250006</t>
  </si>
  <si>
    <t>424130561763</t>
  </si>
  <si>
    <t>1709000363</t>
  </si>
  <si>
    <t>CM ADVANCE ADJUST REF-424130557698</t>
  </si>
  <si>
    <t>E04256US17-1794</t>
  </si>
  <si>
    <t>424130562192</t>
  </si>
  <si>
    <t>1709000364</t>
  </si>
  <si>
    <t>E04260US18-0017</t>
  </si>
  <si>
    <t>424130562209</t>
  </si>
  <si>
    <t>1709000365</t>
  </si>
  <si>
    <t>04328180005CN</t>
  </si>
  <si>
    <t>424130562218</t>
  </si>
  <si>
    <t>1709000367</t>
  </si>
  <si>
    <t>CM ADVANCE RECEIVED REF-424130563100</t>
  </si>
  <si>
    <t>IT06591801290135</t>
  </si>
  <si>
    <t>424130563100</t>
  </si>
  <si>
    <t>1709000369</t>
  </si>
  <si>
    <t>04328180006BE</t>
  </si>
  <si>
    <t>424130564323</t>
  </si>
  <si>
    <t>1709000370</t>
  </si>
  <si>
    <t>CM ADVANCE ADJUST REF-424130561763</t>
  </si>
  <si>
    <t>E24075VF17US0695</t>
  </si>
  <si>
    <t>424130565279</t>
  </si>
  <si>
    <t>1709000372</t>
  </si>
  <si>
    <t>CM ADVANCE RECEIVED REF-424130565199</t>
  </si>
  <si>
    <t>IT06591802030009</t>
  </si>
  <si>
    <t>424130565199</t>
  </si>
  <si>
    <t>1709000373</t>
  </si>
  <si>
    <t>CM ADVANCE RECEIVED REF-424130565206</t>
  </si>
  <si>
    <t>IT06591802010270</t>
  </si>
  <si>
    <t>424130565206</t>
  </si>
  <si>
    <t>1709000374</t>
  </si>
  <si>
    <t>04328180015VN</t>
  </si>
  <si>
    <t>424130565527</t>
  </si>
  <si>
    <t>1709000375</t>
  </si>
  <si>
    <t>E24054AC18CK0026</t>
  </si>
  <si>
    <t>424130565518</t>
  </si>
  <si>
    <t>1709000376</t>
  </si>
  <si>
    <t>04328180007IT</t>
  </si>
  <si>
    <t>424130565509</t>
  </si>
  <si>
    <t>1709000377</t>
  </si>
  <si>
    <t>E4194SB18UK0046</t>
  </si>
  <si>
    <t>424130565536</t>
  </si>
  <si>
    <t>1709000378</t>
  </si>
  <si>
    <t>CM ADVANCE ADJUST REF-424130563100</t>
  </si>
  <si>
    <t>E34225TC18US0095</t>
  </si>
  <si>
    <t>424130565545</t>
  </si>
  <si>
    <t>1709000381</t>
  </si>
  <si>
    <t>CM ADVANCE Adjust REF-424130551710</t>
  </si>
  <si>
    <t>E34017TC17US1763</t>
  </si>
  <si>
    <t>424130552354</t>
  </si>
  <si>
    <t>1709000382</t>
  </si>
  <si>
    <t>E04116US17-1678</t>
  </si>
  <si>
    <t>424130552363</t>
  </si>
  <si>
    <t>1709000383</t>
  </si>
  <si>
    <t>E4196SB17UK1710</t>
  </si>
  <si>
    <t>424130552372</t>
  </si>
  <si>
    <t>1709000384</t>
  </si>
  <si>
    <t>CM ADVANCE RECEIVED REF-424130565894</t>
  </si>
  <si>
    <t>IT06591802060015</t>
  </si>
  <si>
    <t>424130565894</t>
  </si>
  <si>
    <t>1709000385</t>
  </si>
  <si>
    <t>CM ADVANCE Adjust REF-424130561763</t>
  </si>
  <si>
    <t>E24275VF17US0032</t>
  </si>
  <si>
    <t>424130565901</t>
  </si>
  <si>
    <t>1709000386</t>
  </si>
  <si>
    <t>CM ADVANCE Adjust REF-424130558580</t>
  </si>
  <si>
    <t>0432818009RU</t>
  </si>
  <si>
    <t>424130566759</t>
  </si>
  <si>
    <t>1709000387</t>
  </si>
  <si>
    <t>CM ADVANCE Adjust REF-424130563100</t>
  </si>
  <si>
    <t>E04251US18-0002</t>
  </si>
  <si>
    <t>424130566740</t>
  </si>
  <si>
    <t>1709000391</t>
  </si>
  <si>
    <t>E04280US180020</t>
  </si>
  <si>
    <t>424130567393</t>
  </si>
  <si>
    <t>1709000392</t>
  </si>
  <si>
    <t>E04422US180081</t>
  </si>
  <si>
    <t>424130567650</t>
  </si>
  <si>
    <t>1709000394</t>
  </si>
  <si>
    <t>1709000397</t>
  </si>
  <si>
    <t>E04204US18-0058</t>
  </si>
  <si>
    <t>424130569033</t>
  </si>
  <si>
    <t>1709000398</t>
  </si>
  <si>
    <t>CM ADVANCE Adjust REF-424130565206</t>
  </si>
  <si>
    <t>04328180022JP</t>
  </si>
  <si>
    <t>424130569006</t>
  </si>
  <si>
    <t>1709000399</t>
  </si>
  <si>
    <t>E24054AC18JF0031</t>
  </si>
  <si>
    <t>424130568980</t>
  </si>
  <si>
    <t>1709000400</t>
  </si>
  <si>
    <t>CM ADVANCE RECEIVED REF-424130569015</t>
  </si>
  <si>
    <t>IT06591802120141</t>
  </si>
  <si>
    <t>424130569015</t>
  </si>
  <si>
    <t>1709000401</t>
  </si>
  <si>
    <t>CM ADVANCE RECEIVED REF-424130568999</t>
  </si>
  <si>
    <t>IT06591802120142</t>
  </si>
  <si>
    <t>424130568999</t>
  </si>
  <si>
    <t>1709000402</t>
  </si>
  <si>
    <t>E04067WM18CA0077</t>
  </si>
  <si>
    <t>424130569480</t>
  </si>
  <si>
    <t>1709000403</t>
  </si>
  <si>
    <t>E04429US180092</t>
  </si>
  <si>
    <t>424130569514</t>
  </si>
  <si>
    <t>1709000405</t>
  </si>
  <si>
    <t>E4307SB18UK0109</t>
  </si>
  <si>
    <t>424130570691</t>
  </si>
  <si>
    <t>1709000406</t>
  </si>
  <si>
    <t>E4196SB18UK0048</t>
  </si>
  <si>
    <t>424130569471</t>
  </si>
  <si>
    <t>1709000407</t>
  </si>
  <si>
    <t>E04395US180120</t>
  </si>
  <si>
    <t>424130569505</t>
  </si>
  <si>
    <t>1709000408</t>
  </si>
  <si>
    <t>EGMKERA18STK0143</t>
  </si>
  <si>
    <t>424130570708</t>
  </si>
  <si>
    <t>1709000409</t>
  </si>
  <si>
    <t>CM ADVANCE ADJUST REF-424130565206</t>
  </si>
  <si>
    <t>04328180024KR</t>
  </si>
  <si>
    <t>424130569462</t>
  </si>
  <si>
    <t>1709000410</t>
  </si>
  <si>
    <t>E24266VF17US0036</t>
  </si>
  <si>
    <t>424130570717</t>
  </si>
  <si>
    <t>1709000411</t>
  </si>
  <si>
    <t>E24210VF17US0725</t>
  </si>
  <si>
    <t>424130570726</t>
  </si>
  <si>
    <t>1709000413</t>
  </si>
  <si>
    <t>CM ADVANCE ADJUST REF-424130565894</t>
  </si>
  <si>
    <t>E04133US18-0140</t>
  </si>
  <si>
    <t>424130571164</t>
  </si>
  <si>
    <t>1709000422</t>
  </si>
  <si>
    <t>CM ADVANCE RECEIVED REF-424130573322</t>
  </si>
  <si>
    <t>IT06591802200184</t>
  </si>
  <si>
    <t>424130573322</t>
  </si>
  <si>
    <t>1709000423</t>
  </si>
  <si>
    <t>CM ADVANCE RECEIVED REF-424130573331</t>
  </si>
  <si>
    <t>IT06591802200180</t>
  </si>
  <si>
    <t>424130573331</t>
  </si>
  <si>
    <t>1709000424</t>
  </si>
  <si>
    <t>CM ADVANCE ADJUST REF-424130568999</t>
  </si>
  <si>
    <t>E24082VF17US0682</t>
  </si>
  <si>
    <t>424130573876</t>
  </si>
  <si>
    <t>1709000425</t>
  </si>
  <si>
    <t>E04261US18-0129</t>
  </si>
  <si>
    <t>424130573885</t>
  </si>
  <si>
    <t>1709000426</t>
  </si>
  <si>
    <t>E04374180053ES</t>
  </si>
  <si>
    <t>424130575534</t>
  </si>
  <si>
    <t>1709000427</t>
  </si>
  <si>
    <t>CM ADVANCE ADJUST REF-424130573322</t>
  </si>
  <si>
    <t>E04289US-0164</t>
  </si>
  <si>
    <t>424130576070</t>
  </si>
  <si>
    <t>1709000428</t>
  </si>
  <si>
    <t>E04283US18-0159</t>
  </si>
  <si>
    <t>424130576043</t>
  </si>
  <si>
    <t>1709000429</t>
  </si>
  <si>
    <t>E04289US18-0061</t>
  </si>
  <si>
    <t>424130575570</t>
  </si>
  <si>
    <t>1709000430</t>
  </si>
  <si>
    <t>E4196SB18UK0186</t>
  </si>
  <si>
    <t>424130576007</t>
  </si>
  <si>
    <t>1709000431</t>
  </si>
  <si>
    <t>E04133US18-0147</t>
  </si>
  <si>
    <t>424130575552</t>
  </si>
  <si>
    <t>1709000432</t>
  </si>
  <si>
    <t>E4291SB18UK0144</t>
  </si>
  <si>
    <t>424130576016</t>
  </si>
  <si>
    <t>1709000433</t>
  </si>
  <si>
    <t>E04133US18-0148</t>
  </si>
  <si>
    <t>424130576025</t>
  </si>
  <si>
    <t>1709000434</t>
  </si>
  <si>
    <t>E04283US18-0170</t>
  </si>
  <si>
    <t>424130576034</t>
  </si>
  <si>
    <t>1709000435</t>
  </si>
  <si>
    <t>E04211WM18JP0008</t>
  </si>
  <si>
    <t>424130575561</t>
  </si>
  <si>
    <t>1709000436</t>
  </si>
  <si>
    <t>04374180065US</t>
  </si>
  <si>
    <t>424130575543</t>
  </si>
  <si>
    <t>1709000437</t>
  </si>
  <si>
    <t>E04204US18-0056</t>
  </si>
  <si>
    <t>424130569499</t>
  </si>
  <si>
    <t>1709000441</t>
  </si>
  <si>
    <t>DASH/18/STK/0107</t>
  </si>
  <si>
    <t>424130569024</t>
  </si>
  <si>
    <t>1709000443</t>
  </si>
  <si>
    <t>CM ADVANCE RECEIVED REF-424130576472</t>
  </si>
  <si>
    <t>IT06591803010108</t>
  </si>
  <si>
    <t>424130576472</t>
  </si>
  <si>
    <t>1709000444</t>
  </si>
  <si>
    <t>CM ADVANCE RECEIVED REF-424130577694</t>
  </si>
  <si>
    <t>IT06591803030010</t>
  </si>
  <si>
    <t>424130577694</t>
  </si>
  <si>
    <t>1709000445</t>
  </si>
  <si>
    <t>E04303US18-0177</t>
  </si>
  <si>
    <t>424130577747</t>
  </si>
  <si>
    <t>1709000446</t>
  </si>
  <si>
    <t>E04283US18-167</t>
  </si>
  <si>
    <t>424130577756</t>
  </si>
  <si>
    <t>1709000448</t>
  </si>
  <si>
    <t>E04309US18-0163</t>
  </si>
  <si>
    <t>424130578513</t>
  </si>
  <si>
    <t>1709000449</t>
  </si>
  <si>
    <t>1709000450</t>
  </si>
  <si>
    <t>04374180072BE</t>
  </si>
  <si>
    <t>424130578540</t>
  </si>
  <si>
    <t>1709000451</t>
  </si>
  <si>
    <t>CM ADVANCE ADJUST REF-424130573331</t>
  </si>
  <si>
    <t>E24266VF17US0099</t>
  </si>
  <si>
    <t>424130579291</t>
  </si>
  <si>
    <t>1709000452</t>
  </si>
  <si>
    <t>CM ADVANCE RECEIVED REF-424130579512</t>
  </si>
  <si>
    <t>IT06591803060205</t>
  </si>
  <si>
    <t>424130579512</t>
  </si>
  <si>
    <t>1709000453</t>
  </si>
  <si>
    <t>CM ADVANCE ADJUST REF-424130576472</t>
  </si>
  <si>
    <t>E24310VF18US0103</t>
  </si>
  <si>
    <t>424130579273</t>
  </si>
  <si>
    <t>1709000454</t>
  </si>
  <si>
    <t>04374180071IT</t>
  </si>
  <si>
    <t>424130579282</t>
  </si>
  <si>
    <t>1709000458</t>
  </si>
  <si>
    <t>CM ADVANCE ADJUST REF-424130577694</t>
  </si>
  <si>
    <t>E04302US18-0189</t>
  </si>
  <si>
    <t>424130580519</t>
  </si>
  <si>
    <t>1709000459</t>
  </si>
  <si>
    <t>E24310VF18US0098</t>
  </si>
  <si>
    <t>424130580546</t>
  </si>
  <si>
    <t>1709000460</t>
  </si>
  <si>
    <t>E24316VF18US0124</t>
  </si>
  <si>
    <t>424130581331</t>
  </si>
  <si>
    <t>1709000462</t>
  </si>
  <si>
    <t>04374180110JP</t>
  </si>
  <si>
    <t>424130581340</t>
  </si>
  <si>
    <t>1709000463</t>
  </si>
  <si>
    <t>E04181US180201</t>
  </si>
  <si>
    <t>424130581313</t>
  </si>
  <si>
    <t>1709000464</t>
  </si>
  <si>
    <t>E4307SB18UK0202</t>
  </si>
  <si>
    <t>424130581322</t>
  </si>
  <si>
    <t>1709000467</t>
  </si>
  <si>
    <t>CM ADVANCE RECEIVED REF-424130581297</t>
  </si>
  <si>
    <t>IT06591803080224</t>
  </si>
  <si>
    <t>424130581297</t>
  </si>
  <si>
    <t>1709000469</t>
  </si>
  <si>
    <t>1709000471</t>
  </si>
  <si>
    <t>04413180085ME</t>
  </si>
  <si>
    <t>424130581359</t>
  </si>
  <si>
    <t>1709000473</t>
  </si>
  <si>
    <t>CM ADVANCE RECEIVED REF-424130582919</t>
  </si>
  <si>
    <t>IT06591803120078</t>
  </si>
  <si>
    <t>424130582919</t>
  </si>
  <si>
    <t>1709000474</t>
  </si>
  <si>
    <t>04374180112KR</t>
  </si>
  <si>
    <t>424130583525</t>
  </si>
  <si>
    <t>1709000475</t>
  </si>
  <si>
    <t>E04371US18-0221</t>
  </si>
  <si>
    <t>424130583534</t>
  </si>
  <si>
    <t>1709000477</t>
  </si>
  <si>
    <t>CM ADVANCE RECEIVED REF-424130582928</t>
  </si>
  <si>
    <t>IT06591803130007</t>
  </si>
  <si>
    <t>424130582928</t>
  </si>
  <si>
    <t>1709000478</t>
  </si>
  <si>
    <t>CM ADVANCE RECEIVED REF-424130583543</t>
  </si>
  <si>
    <t>IT06591803130205</t>
  </si>
  <si>
    <t>424130583543</t>
  </si>
  <si>
    <t>1709000479</t>
  </si>
  <si>
    <t>CM ADVANCE ADJUST REF-424130579512</t>
  </si>
  <si>
    <t>E04121US18-0227</t>
  </si>
  <si>
    <t>424130583847</t>
  </si>
  <si>
    <t>1709000480</t>
  </si>
  <si>
    <t>E4307SB18UK0249</t>
  </si>
  <si>
    <t>424130583838</t>
  </si>
  <si>
    <t>1709000481</t>
  </si>
  <si>
    <t>CM ADVANCE RECEIVED REF- 424130584374</t>
  </si>
  <si>
    <t>IT06591803180012</t>
  </si>
  <si>
    <t>424130584374</t>
  </si>
  <si>
    <t>1709000482</t>
  </si>
  <si>
    <t>CM ADVANCE RECEIVED REF-424130584365</t>
  </si>
  <si>
    <t>IT06591803150187</t>
  </si>
  <si>
    <t>424130584365</t>
  </si>
  <si>
    <t>1709000517</t>
  </si>
  <si>
    <t>1709000483</t>
  </si>
  <si>
    <t>CM ADVANCE RECEIVED REF-424130586354</t>
  </si>
  <si>
    <t>IT06591803200204</t>
  </si>
  <si>
    <t>424130586354</t>
  </si>
  <si>
    <t>1709000484</t>
  </si>
  <si>
    <t>CM ADVANCE RECEIVED REF-424130586363</t>
  </si>
  <si>
    <t>IT06591803200205</t>
  </si>
  <si>
    <t>424130586363</t>
  </si>
  <si>
    <t>1709000485</t>
  </si>
  <si>
    <t>CM ADVANCE RECEIVED REF-424130586096</t>
  </si>
  <si>
    <t>IT06591803200054</t>
  </si>
  <si>
    <t>424130586096</t>
  </si>
  <si>
    <t>1709000486</t>
  </si>
  <si>
    <t>CM ADVANCE ADJUST REF-424130582928</t>
  </si>
  <si>
    <t>04374180120MY</t>
  </si>
  <si>
    <t>424130586112</t>
  </si>
  <si>
    <t>1709000487</t>
  </si>
  <si>
    <t>04413180108CN</t>
  </si>
  <si>
    <t>424130586103</t>
  </si>
  <si>
    <t>1709000488</t>
  </si>
  <si>
    <t>E042404US18-0199</t>
  </si>
  <si>
    <t>424130584356</t>
  </si>
  <si>
    <t>1709000489</t>
  </si>
  <si>
    <t>E04204US18-0197</t>
  </si>
  <si>
    <t>424130585337</t>
  </si>
  <si>
    <t>1709000490</t>
  </si>
  <si>
    <t>E4196SB18UK0260</t>
  </si>
  <si>
    <t>424130586121</t>
  </si>
  <si>
    <t>1709000494</t>
  </si>
  <si>
    <t>CM ADVANCE ADJUST REF-424130582919</t>
  </si>
  <si>
    <t>E04121US18-0226</t>
  </si>
  <si>
    <t>424130587228</t>
  </si>
  <si>
    <t>1709000495</t>
  </si>
  <si>
    <t>E04424US18-0256</t>
  </si>
  <si>
    <t>424130587219</t>
  </si>
  <si>
    <t>CM ADVANCE ADJUST REF-424130586363</t>
  </si>
  <si>
    <t>CM ADVANCE ADJUST REF-424130581297</t>
  </si>
  <si>
    <t>CM ADVANCE ADJUST REF-424130583543</t>
  </si>
  <si>
    <t>1709000496</t>
  </si>
  <si>
    <t>E04067WM18CA0247</t>
  </si>
  <si>
    <t>424130587193</t>
  </si>
  <si>
    <t>1709000497</t>
  </si>
  <si>
    <t>CM ADVANCE RECEIVED REF-424130587807</t>
  </si>
  <si>
    <t>IT06591803270177</t>
  </si>
  <si>
    <t>424130587807</t>
  </si>
  <si>
    <t>1709000498</t>
  </si>
  <si>
    <t>04413180119DE</t>
  </si>
  <si>
    <t>424130588851</t>
  </si>
  <si>
    <t>1709000499</t>
  </si>
  <si>
    <t>04394180121MY</t>
  </si>
  <si>
    <t>424130588833</t>
  </si>
  <si>
    <t>1709000500</t>
  </si>
  <si>
    <t>E24433VF18US0139</t>
  </si>
  <si>
    <t>424130588842</t>
  </si>
  <si>
    <t>1709000502</t>
  </si>
  <si>
    <t>E04283US18-0255</t>
  </si>
  <si>
    <t>424130588824</t>
  </si>
  <si>
    <t>CM ADVANCE ADJUST REF-424130584374</t>
  </si>
  <si>
    <t>1709000503</t>
  </si>
  <si>
    <t>E4196SB18UK0285</t>
  </si>
  <si>
    <t>424130588815</t>
  </si>
  <si>
    <t>1709000506</t>
  </si>
  <si>
    <t>E04290US18-0280</t>
  </si>
  <si>
    <t>424130590946</t>
  </si>
  <si>
    <t>1709000507</t>
  </si>
  <si>
    <t>CM ADVANCE RECEIVED REF-424130590394</t>
  </si>
  <si>
    <t>IT06591803290016</t>
  </si>
  <si>
    <t>424130590394</t>
  </si>
  <si>
    <t>1709000508</t>
  </si>
  <si>
    <t>1709000509</t>
  </si>
  <si>
    <t>CM ADVANCE RECEIVED REF-424130590385</t>
  </si>
  <si>
    <t>IT06591803290438</t>
  </si>
  <si>
    <t>424130590385</t>
  </si>
  <si>
    <t>1709000510</t>
  </si>
  <si>
    <t>1709000591</t>
  </si>
  <si>
    <t>1709000513</t>
  </si>
  <si>
    <t>CM ADVANCE ADJUST REF-424130587807</t>
  </si>
  <si>
    <t>E24348VF18US0141</t>
  </si>
  <si>
    <t>424130592212</t>
  </si>
  <si>
    <t>CM ADVANCE ADJUST REF-424130586096</t>
  </si>
  <si>
    <t>1709000514</t>
  </si>
  <si>
    <t>04413180129SE</t>
  </si>
  <si>
    <t>424130592463</t>
  </si>
  <si>
    <t>1709000515</t>
  </si>
  <si>
    <t>CM ADVANCE ADJUST REF-424130590394</t>
  </si>
  <si>
    <t>E04454US18-0309</t>
  </si>
  <si>
    <t>424130591794</t>
  </si>
  <si>
    <t>1709000516</t>
  </si>
  <si>
    <t>E04203US18-0237</t>
  </si>
  <si>
    <t>424130591801</t>
  </si>
  <si>
    <t>E04377US18-0299</t>
  </si>
  <si>
    <t>424130592187</t>
  </si>
  <si>
    <t>1709000519</t>
  </si>
  <si>
    <t>CM ADVANCE RECEIVED REF-424130592141</t>
  </si>
  <si>
    <t>IT06591804040229</t>
  </si>
  <si>
    <t>424130592141</t>
  </si>
  <si>
    <t>1709000520</t>
  </si>
  <si>
    <t>CM ADVANCE RECEIVED REF-424130592454</t>
  </si>
  <si>
    <t>IT06591804070113</t>
  </si>
  <si>
    <t>424130592454</t>
  </si>
  <si>
    <t>1709000521</t>
  </si>
  <si>
    <t>1709000522</t>
  </si>
  <si>
    <t>E04289US18-0279</t>
  </si>
  <si>
    <t>424130594265</t>
  </si>
  <si>
    <t>1709000523</t>
  </si>
  <si>
    <t>E4291SB18UK0311</t>
  </si>
  <si>
    <t>424130594194</t>
  </si>
  <si>
    <t>1709000524</t>
  </si>
  <si>
    <t>E04203US180241</t>
  </si>
  <si>
    <t>424130594648</t>
  </si>
  <si>
    <t>1709000525</t>
  </si>
  <si>
    <t>DASH/18STK/0106</t>
  </si>
  <si>
    <t>424130594201</t>
  </si>
  <si>
    <t>1709000526</t>
  </si>
  <si>
    <t>E24350VF18US0145</t>
  </si>
  <si>
    <t>424130594185</t>
  </si>
  <si>
    <t>1709000527</t>
  </si>
  <si>
    <t>CM ADVANCE RECEIVED REF-424130594639</t>
  </si>
  <si>
    <t>IT06591804110024</t>
  </si>
  <si>
    <t>424130594639</t>
  </si>
  <si>
    <t>1709000549</t>
  </si>
  <si>
    <t>1709000528</t>
  </si>
  <si>
    <t>CM ADVANCE RECEIVED REF-424130594611</t>
  </si>
  <si>
    <t>IT06591804110033</t>
  </si>
  <si>
    <t>424130594611</t>
  </si>
  <si>
    <t>1709000547</t>
  </si>
  <si>
    <t>1709000530</t>
  </si>
  <si>
    <t>E24054AC18KT0137</t>
  </si>
  <si>
    <t>424130594620</t>
  </si>
  <si>
    <t>1709000533</t>
  </si>
  <si>
    <t>E4196SB18UK0312</t>
  </si>
  <si>
    <t>424130595433</t>
  </si>
  <si>
    <t>1709000536</t>
  </si>
  <si>
    <t>1709000537</t>
  </si>
  <si>
    <t>CM ADVANCE ADJUST REF-424130590385</t>
  </si>
  <si>
    <t>E04420US18-0331</t>
  </si>
  <si>
    <t>424130596619</t>
  </si>
  <si>
    <t>1709000538</t>
  </si>
  <si>
    <t>CM ADVANCE ADJUST REF-424130592141</t>
  </si>
  <si>
    <t>E04392US18-0348</t>
  </si>
  <si>
    <t>424130596628</t>
  </si>
  <si>
    <t>1709000539</t>
  </si>
  <si>
    <t>CM ADVANCE RECEIVED REF-424130596192</t>
  </si>
  <si>
    <t>IT06591804150023</t>
  </si>
  <si>
    <t>424130596192</t>
  </si>
  <si>
    <t>1709000543</t>
  </si>
  <si>
    <t>E4196SB18UK0328</t>
  </si>
  <si>
    <t>424130597226</t>
  </si>
  <si>
    <t>1709000544</t>
  </si>
  <si>
    <t>1709000545</t>
  </si>
  <si>
    <t>CM ADVANCE RECEIVED REF-424130597510</t>
  </si>
  <si>
    <t>IT06591804180017</t>
  </si>
  <si>
    <t>424130597510</t>
  </si>
  <si>
    <t>1709000546</t>
  </si>
  <si>
    <t>CM ADVANCE RECEIVED REF-424130597501</t>
  </si>
  <si>
    <t>IT06591804180013</t>
  </si>
  <si>
    <t>424130597501</t>
  </si>
  <si>
    <t>1709000573</t>
  </si>
  <si>
    <t>E24341VF18US0150</t>
  </si>
  <si>
    <t>424130598261</t>
  </si>
  <si>
    <t>CM ADVANCE ADJUST REF-424130592454</t>
  </si>
  <si>
    <t>E04401US18-0355</t>
  </si>
  <si>
    <t>424130598680</t>
  </si>
  <si>
    <t>CM ADVANCE ADJUST REF-424130596192</t>
  </si>
  <si>
    <t>1709000550</t>
  </si>
  <si>
    <t>CM ADVANCE RECEIVED REF-424130598699</t>
  </si>
  <si>
    <t>IT06591804220067</t>
  </si>
  <si>
    <t>424130598699</t>
  </si>
  <si>
    <t>1709000552</t>
  </si>
  <si>
    <t>04413180133CN</t>
  </si>
  <si>
    <t>424130600034</t>
  </si>
  <si>
    <t>1709000553</t>
  </si>
  <si>
    <t>CM ADV ADJUST REF-424130592141</t>
  </si>
  <si>
    <t>1709000556</t>
  </si>
  <si>
    <t>E4291SB18UK0344</t>
  </si>
  <si>
    <t>424130601499</t>
  </si>
  <si>
    <t>1709000557</t>
  </si>
  <si>
    <t>CM ADVANCE RECEIVED REF-424130601505</t>
  </si>
  <si>
    <t>IT06591804240249</t>
  </si>
  <si>
    <t>424130601505</t>
  </si>
  <si>
    <t>1709000558</t>
  </si>
  <si>
    <t>CM ADVANCE ADJUST REF-424130597510</t>
  </si>
  <si>
    <t>E24353VF18US0151</t>
  </si>
  <si>
    <t>424130602096</t>
  </si>
  <si>
    <t>1709000559</t>
  </si>
  <si>
    <t>E24346VF18US0152</t>
  </si>
  <si>
    <t>424130602103</t>
  </si>
  <si>
    <t>1709000560</t>
  </si>
  <si>
    <t>E04289US180367</t>
  </si>
  <si>
    <t>424130602434</t>
  </si>
  <si>
    <t>1709000561</t>
  </si>
  <si>
    <t>CM ADVANCE RECEIVED REF-424130602354</t>
  </si>
  <si>
    <t>IT06591804260234</t>
  </si>
  <si>
    <t>424130602354</t>
  </si>
  <si>
    <t>1709000562</t>
  </si>
  <si>
    <t>E04420US18-0334</t>
  </si>
  <si>
    <t>424130597235</t>
  </si>
  <si>
    <t>1709000563</t>
  </si>
  <si>
    <t>E04067WM18CA0345</t>
  </si>
  <si>
    <t>424130600025</t>
  </si>
  <si>
    <t>1709000564</t>
  </si>
  <si>
    <t>E24354VF18US053</t>
  </si>
  <si>
    <t>424130602577</t>
  </si>
  <si>
    <t>1709000565</t>
  </si>
  <si>
    <t>CM ADVANCE ADJUST REF-424130598699</t>
  </si>
  <si>
    <t>E04288US180363</t>
  </si>
  <si>
    <t>424130602568</t>
  </si>
  <si>
    <t>1709000567</t>
  </si>
  <si>
    <t>CM ADVANCE RECEIVED REF-424130605226</t>
  </si>
  <si>
    <t>IT06591805080038</t>
  </si>
  <si>
    <t>424130605226</t>
  </si>
  <si>
    <t>1709000568</t>
  </si>
  <si>
    <t>CM ADVANCE ADJUST REF-424130601505</t>
  </si>
  <si>
    <t>E24447VF18US0156</t>
  </si>
  <si>
    <t>424130605538</t>
  </si>
  <si>
    <t>1709000569</t>
  </si>
  <si>
    <t>E24447VF18US0158</t>
  </si>
  <si>
    <t>424130606225</t>
  </si>
  <si>
    <t>1709000570</t>
  </si>
  <si>
    <t>CM ADVANCE RECEIVED REF-424130605217</t>
  </si>
  <si>
    <t>IT06591805080040</t>
  </si>
  <si>
    <t>424130605217</t>
  </si>
  <si>
    <t>1709000571</t>
  </si>
  <si>
    <t>E04345US18-0341</t>
  </si>
  <si>
    <t>424130603585</t>
  </si>
  <si>
    <t>E04378US18-0386</t>
  </si>
  <si>
    <t>424130605529</t>
  </si>
  <si>
    <t>CM ADVANCE ADJUST REF-424130602354</t>
  </si>
  <si>
    <t>CM ADVANCE ADJUST REF-424130597501</t>
  </si>
  <si>
    <t>1709000575</t>
  </si>
  <si>
    <t>E04288US180365</t>
  </si>
  <si>
    <t>424130606234</t>
  </si>
  <si>
    <t>1709000576</t>
  </si>
  <si>
    <t>CM ADVANCE RECEIVED REF-424130606699</t>
  </si>
  <si>
    <t>IT06591805120014</t>
  </si>
  <si>
    <t>424130606699</t>
  </si>
  <si>
    <t>1709000577</t>
  </si>
  <si>
    <t>CM ADVANCE RECEIVED REF-424130603193</t>
  </si>
  <si>
    <t>IT06591805030485</t>
  </si>
  <si>
    <t>424130603193</t>
  </si>
  <si>
    <t>1806000013</t>
  </si>
  <si>
    <t>1709000578</t>
  </si>
  <si>
    <t>CM ADVANCE ADJUST REF-424130603193</t>
  </si>
  <si>
    <t>E24448VF18US0163</t>
  </si>
  <si>
    <t>424130606724</t>
  </si>
  <si>
    <t>CM ADVANCE ADJUST REF-424130605226</t>
  </si>
  <si>
    <t>1709000579</t>
  </si>
  <si>
    <t>CM ADVANCE RECEIVED REF-424130603166</t>
  </si>
  <si>
    <t>IT06591804300326</t>
  </si>
  <si>
    <t>424130603166</t>
  </si>
  <si>
    <t>1709000585</t>
  </si>
  <si>
    <t>1709000580</t>
  </si>
  <si>
    <t>CM ADVANCE RECEIVED REF-424130603175</t>
  </si>
  <si>
    <t>IT06591805030483</t>
  </si>
  <si>
    <t>424130603175</t>
  </si>
  <si>
    <t>1709000581</t>
  </si>
  <si>
    <t>CM ADVANCE RECEIVED REF- 424130603184</t>
  </si>
  <si>
    <t>IT06591805030486</t>
  </si>
  <si>
    <t>424130603184</t>
  </si>
  <si>
    <t>1709000582</t>
  </si>
  <si>
    <t>E04428US18-0376</t>
  </si>
  <si>
    <t>424130606733</t>
  </si>
  <si>
    <t>1709000583</t>
  </si>
  <si>
    <t>CM ADVANCE ADJUST REF-424130603175</t>
  </si>
  <si>
    <t>E04365US18-0413</t>
  </si>
  <si>
    <t>424130606706</t>
  </si>
  <si>
    <t>1709000584</t>
  </si>
  <si>
    <t>E04431US18-0351</t>
  </si>
  <si>
    <t>424130603594</t>
  </si>
  <si>
    <t>CM ADVANCE ADJUST REF-424130603166</t>
  </si>
  <si>
    <t>E04441US18-0419</t>
  </si>
  <si>
    <t>424130606715</t>
  </si>
  <si>
    <t>1709000586</t>
  </si>
  <si>
    <t>E24388VF18US0154</t>
  </si>
  <si>
    <t>424130603601</t>
  </si>
  <si>
    <t>1709000589</t>
  </si>
  <si>
    <t>E34228TC18US0100</t>
  </si>
  <si>
    <t>424130604450</t>
  </si>
  <si>
    <t>1709000593</t>
  </si>
  <si>
    <t>CM ADVANCE ADJUST REF-424130605217</t>
  </si>
  <si>
    <t>E04427US18-0416</t>
  </si>
  <si>
    <t>424130609179</t>
  </si>
  <si>
    <t>1709000594</t>
  </si>
  <si>
    <t>CM ADVANCE RECEIVED REF-424130608857</t>
  </si>
  <si>
    <t>IT06591805150212</t>
  </si>
  <si>
    <t>424130608857</t>
  </si>
  <si>
    <t>1709000608</t>
  </si>
  <si>
    <t>1709000595</t>
  </si>
  <si>
    <t>CM ADVANCE RECEIVED REF-424130610032</t>
  </si>
  <si>
    <t>IT06591805160243</t>
  </si>
  <si>
    <t>424130610032</t>
  </si>
  <si>
    <t>1709000596</t>
  </si>
  <si>
    <t>E24351VF18US0173</t>
  </si>
  <si>
    <t>424130610023</t>
  </si>
  <si>
    <t>1709000597</t>
  </si>
  <si>
    <t>E04401US18-0471</t>
  </si>
  <si>
    <t>424130610522</t>
  </si>
  <si>
    <t>1709000598</t>
  </si>
  <si>
    <t>CM ADVANCE ADJUST REF-424130606699</t>
  </si>
  <si>
    <t>E04365US18-0414</t>
  </si>
  <si>
    <t>424130610513</t>
  </si>
  <si>
    <t>CM ADVANCE ADJUST REF-424130603184</t>
  </si>
  <si>
    <t>1709000601</t>
  </si>
  <si>
    <t>CM ADVANCE RECEIVED REF-424130611914</t>
  </si>
  <si>
    <t>IT06591805210153</t>
  </si>
  <si>
    <t>424130611914</t>
  </si>
  <si>
    <t>1709000602</t>
  </si>
  <si>
    <t>CM ADVANCE RECEIVED REF-424130611923</t>
  </si>
  <si>
    <t>IT06591805210135</t>
  </si>
  <si>
    <t>424130611923</t>
  </si>
  <si>
    <t>1709000604</t>
  </si>
  <si>
    <t>E04428US18-0457</t>
  </si>
  <si>
    <t>424130613002</t>
  </si>
  <si>
    <t>CM ADVANCE ADJUST REF-424130610032</t>
  </si>
  <si>
    <t>1709000605</t>
  </si>
  <si>
    <t>E04344US18-403</t>
  </si>
  <si>
    <t>424130612995</t>
  </si>
  <si>
    <t>1709000607</t>
  </si>
  <si>
    <t>CM ADVANCE RECEIVED REF-424130613495</t>
  </si>
  <si>
    <t>IT06591805260008</t>
  </si>
  <si>
    <t>424130613495</t>
  </si>
  <si>
    <t>E24361VF18US0182</t>
  </si>
  <si>
    <t>424130615359</t>
  </si>
  <si>
    <t>1709000609</t>
  </si>
  <si>
    <t>CM ADVANCE ADJUST REF-424130611914</t>
  </si>
  <si>
    <t>E04385US18 0460</t>
  </si>
  <si>
    <t>424130615439</t>
  </si>
  <si>
    <t>1709000610</t>
  </si>
  <si>
    <t>E04122US18-0511</t>
  </si>
  <si>
    <t>424130616394</t>
  </si>
  <si>
    <t>1709000611</t>
  </si>
  <si>
    <t>E04437WM18JP0503</t>
  </si>
  <si>
    <t>424130616385</t>
  </si>
  <si>
    <t>1709000612</t>
  </si>
  <si>
    <t>E04122US18-0510</t>
  </si>
  <si>
    <t>424130615992</t>
  </si>
  <si>
    <t>1709000613</t>
  </si>
  <si>
    <t>E04378US18-0476</t>
  </si>
  <si>
    <t>424130615974</t>
  </si>
  <si>
    <t>1709000615</t>
  </si>
  <si>
    <t>CM ADVANCE RECEIVED REF-424130616303</t>
  </si>
  <si>
    <t>IT06591805290228</t>
  </si>
  <si>
    <t>424130616303</t>
  </si>
  <si>
    <t>1709000618</t>
  </si>
  <si>
    <t>CM ADVANCE RECEIVED REF-424130617044</t>
  </si>
  <si>
    <t>IT06591805310894</t>
  </si>
  <si>
    <t>424130617044</t>
  </si>
  <si>
    <t>1806000011</t>
  </si>
  <si>
    <t>1709000619</t>
  </si>
  <si>
    <t>CM ADVANCE RECEIVED REF-424130618999</t>
  </si>
  <si>
    <t>IT06591806060156</t>
  </si>
  <si>
    <t>424130618999</t>
  </si>
  <si>
    <t>1806000037</t>
  </si>
  <si>
    <t>1709000620</t>
  </si>
  <si>
    <t>1709000621</t>
  </si>
  <si>
    <t>CM ADVANCE ADJUSTED REF-424130611923</t>
  </si>
  <si>
    <t>E24361VF18US0179</t>
  </si>
  <si>
    <t>424130617286</t>
  </si>
  <si>
    <t>1709000622</t>
  </si>
  <si>
    <t>1709000624</t>
  </si>
  <si>
    <t>CM ADVANCE ADJUSTED REF-424130610032</t>
  </si>
  <si>
    <t>E04461WM18CA0539</t>
  </si>
  <si>
    <t>424130617295</t>
  </si>
  <si>
    <t>1709000627</t>
  </si>
  <si>
    <t>CM ADVANCE ADJUSTED REF-424130611914</t>
  </si>
  <si>
    <t>E04345US18-0410</t>
  </si>
  <si>
    <t>424130620469</t>
  </si>
  <si>
    <t>CM ADVANCE ADJUSTED REF-424130606699</t>
  </si>
  <si>
    <t>1709000628</t>
  </si>
  <si>
    <t>CM ADVANCE RECEIVED REF-424130623046</t>
  </si>
  <si>
    <t>IT06591806110118</t>
  </si>
  <si>
    <t>424130623046</t>
  </si>
  <si>
    <t>1806000009</t>
  </si>
  <si>
    <t>1709000629</t>
  </si>
  <si>
    <t>CM ADVANCE RECEIVED REF-424130623037</t>
  </si>
  <si>
    <t>IT06591806110122</t>
  </si>
  <si>
    <t>424130623037</t>
  </si>
  <si>
    <t>1806000038</t>
  </si>
  <si>
    <t>1709000630</t>
  </si>
  <si>
    <t>CM ADVANCE ADJUSTED REF-424130617044</t>
  </si>
  <si>
    <t>IT06591806180021</t>
  </si>
  <si>
    <t>424130623698</t>
  </si>
  <si>
    <t>1709000631</t>
  </si>
  <si>
    <t>CM ADVANCE ADJUSTED REF-424130623046</t>
  </si>
  <si>
    <t>IT06591806180023</t>
  </si>
  <si>
    <t>424130623689</t>
  </si>
  <si>
    <t>1709000633</t>
  </si>
  <si>
    <t>EO4344US18-0428</t>
  </si>
  <si>
    <t>424130623670</t>
  </si>
  <si>
    <t>CM ADVANCE ADJUSTED REF-424130613495</t>
  </si>
  <si>
    <t>1709000634</t>
  </si>
  <si>
    <t>EO4344US18-0436</t>
  </si>
  <si>
    <t>424130623652</t>
  </si>
  <si>
    <t>1709000635</t>
  </si>
  <si>
    <t>CM ADVANCE ADJUSTED REF-424130618999</t>
  </si>
  <si>
    <t>IT06591806180016</t>
  </si>
  <si>
    <t>424130623661</t>
  </si>
  <si>
    <t>1709000638</t>
  </si>
  <si>
    <t>CM ADVANCE RECEIVED REF-424130626711</t>
  </si>
  <si>
    <t>IT06591806260029</t>
  </si>
  <si>
    <t>424130626711</t>
  </si>
  <si>
    <t>1806000046</t>
  </si>
  <si>
    <t>1709000639</t>
  </si>
  <si>
    <t>CM ADVANCE ADJUSTED REF-424130623037</t>
  </si>
  <si>
    <t>E04443US18-0580</t>
  </si>
  <si>
    <t>424130626720</t>
  </si>
  <si>
    <t>1709000641</t>
  </si>
  <si>
    <t>1709000643</t>
  </si>
  <si>
    <t>E24306VF18US0181</t>
  </si>
  <si>
    <t>424130618445</t>
  </si>
  <si>
    <t>1709000644</t>
  </si>
  <si>
    <t>CM ADVANCE RECEIVED REF-424130618436</t>
  </si>
  <si>
    <t>IT06591806040164</t>
  </si>
  <si>
    <t>424130618436</t>
  </si>
  <si>
    <t>1806000022</t>
  </si>
  <si>
    <t>1709000648</t>
  </si>
  <si>
    <t>FIT-CM ADV-JUN-18</t>
  </si>
  <si>
    <t>FIT-CM ADV-JUN18</t>
  </si>
  <si>
    <t>CM ADV. FIT - JUN-18</t>
  </si>
  <si>
    <t>1803001175</t>
  </si>
  <si>
    <t>1803001815</t>
  </si>
  <si>
    <t>CM ADVANCE RECEVIED REF-424130657027</t>
  </si>
  <si>
    <t>IT06591809050207</t>
  </si>
  <si>
    <t>424130657027</t>
  </si>
  <si>
    <t>1803001833</t>
  </si>
  <si>
    <t>FIT-CM ADV-JUL-18</t>
  </si>
  <si>
    <t>FIT-CM ADV-JUL18</t>
  </si>
  <si>
    <t>CM ADV. FIT - JUl-18</t>
  </si>
  <si>
    <t>1803002862</t>
  </si>
  <si>
    <t>FIT-CM ADV-AUG-18</t>
  </si>
  <si>
    <t>FIT-CM ADV-AUG18</t>
  </si>
  <si>
    <t>CM ADV. FIT - AUG-18</t>
  </si>
  <si>
    <t>1803003902</t>
  </si>
  <si>
    <t>FIT-CM ADV-SEP-18</t>
  </si>
  <si>
    <t>FIT-CM ADV-SEP18</t>
  </si>
  <si>
    <t>CM ADV. FIT - SEP-18</t>
  </si>
  <si>
    <t>1803004801</t>
  </si>
  <si>
    <t>FIT-CM ADV-OCT-18</t>
  </si>
  <si>
    <t>FIT-CM ADV-OCT18</t>
  </si>
  <si>
    <t>CM ADV. FIT - OCT-18</t>
  </si>
  <si>
    <t>1803005999</t>
  </si>
  <si>
    <t>FIT-CM ADV-NOV-18</t>
  </si>
  <si>
    <t>FIT-CM ADV-NOV18</t>
  </si>
  <si>
    <t>CM ADV. FIT - NOV-18</t>
  </si>
  <si>
    <t>1803006002</t>
  </si>
  <si>
    <t>FIT-CM ADV -EGDWC-Nov-18</t>
  </si>
  <si>
    <t>FIT-EGDWC-NOV-18</t>
  </si>
  <si>
    <t>FIT-CM ADV-EGDWC-Nov-18</t>
  </si>
  <si>
    <t>1803006650</t>
  </si>
  <si>
    <t>FIT-CM ADV-DEC-18</t>
  </si>
  <si>
    <t>FIT-CM ADV-DEC18</t>
  </si>
  <si>
    <t>CM ADV. FIT - DEC-18</t>
  </si>
  <si>
    <t>1803006651</t>
  </si>
  <si>
    <t>FIT-CM ADV -EGDWC-DEC-18</t>
  </si>
  <si>
    <t>FIT-EGDWC-DEC-18</t>
  </si>
  <si>
    <t>1803007024</t>
  </si>
  <si>
    <t>Cm Advance Received-424130713804</t>
  </si>
  <si>
    <t>IT06591901070069</t>
  </si>
  <si>
    <t>424130713804</t>
  </si>
  <si>
    <t>1803007025</t>
  </si>
  <si>
    <t>Cm Advance Received-424130713813</t>
  </si>
  <si>
    <t>IT06591901070070</t>
  </si>
  <si>
    <t>424130713813</t>
  </si>
  <si>
    <t>1803007034</t>
  </si>
  <si>
    <t>Cm Advance Received-424130720431</t>
  </si>
  <si>
    <t>IT06591901150293</t>
  </si>
  <si>
    <t>424130720431</t>
  </si>
  <si>
    <t>1803007103</t>
  </si>
  <si>
    <t>Cm Advance Received-424130722162</t>
  </si>
  <si>
    <t>IT06591901190070</t>
  </si>
  <si>
    <t>424130722162</t>
  </si>
  <si>
    <t>1803007119</t>
  </si>
  <si>
    <t>1803007120</t>
  </si>
  <si>
    <t>1803007121</t>
  </si>
  <si>
    <t>Cm Advance Received-424130713822</t>
  </si>
  <si>
    <t>IT06591901070071</t>
  </si>
  <si>
    <t>424130713822</t>
  </si>
  <si>
    <t>1803007122</t>
  </si>
  <si>
    <t>Cm Advance Received-424130717016</t>
  </si>
  <si>
    <t>IT06591901100078</t>
  </si>
  <si>
    <t>424130717016</t>
  </si>
  <si>
    <t>1803007123</t>
  </si>
  <si>
    <t>Cm Advance Received-424130717025</t>
  </si>
  <si>
    <t>IT06591901100074</t>
  </si>
  <si>
    <t>424130717025</t>
  </si>
  <si>
    <t>1803007309</t>
  </si>
  <si>
    <t>1803007310</t>
  </si>
  <si>
    <t>1803007326</t>
  </si>
  <si>
    <t>1803007327</t>
  </si>
  <si>
    <t>1803007328</t>
  </si>
  <si>
    <t>1803007330</t>
  </si>
  <si>
    <t>FIT-CM ADV-JAN-19</t>
  </si>
  <si>
    <t>FIT-CM ADV-JAN19</t>
  </si>
  <si>
    <t>CM ADV. FIT - JAN-19</t>
  </si>
  <si>
    <t>1803007333</t>
  </si>
  <si>
    <t>1803008468</t>
  </si>
  <si>
    <t>FIT-CM ADV-JAN'19-DWC</t>
  </si>
  <si>
    <t>CM ADV.FIT-JAN19</t>
  </si>
  <si>
    <t>1803008469</t>
  </si>
  <si>
    <t>1803008481</t>
  </si>
  <si>
    <t>FIT-CM ADV DWC-FEB-19</t>
  </si>
  <si>
    <t>FIT-CM DWC-FEB19</t>
  </si>
  <si>
    <t>1803008509</t>
  </si>
  <si>
    <t>E04806US18-1528</t>
  </si>
  <si>
    <t>424130731134</t>
  </si>
  <si>
    <t>1803008518</t>
  </si>
  <si>
    <t>1803008999</t>
  </si>
  <si>
    <t>1803009001</t>
  </si>
  <si>
    <t>FIT-CM ADV-FEB-19</t>
  </si>
  <si>
    <t>FIT-CM ADV-FEB19</t>
  </si>
  <si>
    <t>CM ADV. FIT - FEB-19</t>
  </si>
  <si>
    <t>1803009023</t>
  </si>
  <si>
    <t>Cm Advanc adjust-424130746725</t>
  </si>
  <si>
    <t>E24809VF19US0002</t>
  </si>
  <si>
    <t>424130754154</t>
  </si>
  <si>
    <t>Cm Advanc adjust-424130735103</t>
  </si>
  <si>
    <t>Cm Advanc adjust-424130713822</t>
  </si>
  <si>
    <t>Cm Advanc adjust-424130713813</t>
  </si>
  <si>
    <t>1803009042</t>
  </si>
  <si>
    <t>CM Advance Received-424130746734</t>
  </si>
  <si>
    <t>IT06591903050244</t>
  </si>
  <si>
    <t>424130746734</t>
  </si>
  <si>
    <t>1803010026</t>
  </si>
  <si>
    <t>Cm Adv Received-424130762902</t>
  </si>
  <si>
    <t>IT06591904040719</t>
  </si>
  <si>
    <t>424130762902</t>
  </si>
  <si>
    <t>1803010803</t>
  </si>
  <si>
    <t>Cm Advance ref-424130775587</t>
  </si>
  <si>
    <t>IT06591905040028</t>
  </si>
  <si>
    <t>424130775587</t>
  </si>
  <si>
    <t>1803011024</t>
  </si>
  <si>
    <t>FIT-CM ADV-MAR-19</t>
  </si>
  <si>
    <t>FIT-CM ADV-MAR19</t>
  </si>
  <si>
    <t>CM ADV. FIT - MAR-19</t>
  </si>
  <si>
    <t>1803011025</t>
  </si>
  <si>
    <t>FIT-CM ADV DWC-MAR-19</t>
  </si>
  <si>
    <t>FIT-CM DWC-MAR19</t>
  </si>
  <si>
    <t>1803011026</t>
  </si>
  <si>
    <t>FIT-CM ADV DWC-APR-19</t>
  </si>
  <si>
    <t>FIT-CM-DWC-APR19</t>
  </si>
  <si>
    <t>FIT CM ADV DWC- APR-19</t>
  </si>
  <si>
    <t>1803011027</t>
  </si>
  <si>
    <t>FIT-CM EDL-APR19</t>
  </si>
  <si>
    <t>FIT-CM ADV EDL-APR-19</t>
  </si>
  <si>
    <t>1803011184</t>
  </si>
  <si>
    <t>Cm Adv Rec-424130785754</t>
  </si>
  <si>
    <t>424130785754</t>
  </si>
  <si>
    <t>IT06591905210286</t>
  </si>
  <si>
    <t>1803012096</t>
  </si>
  <si>
    <t>1010</t>
  </si>
  <si>
    <t>FIT-CMAD-EDL-APR-19</t>
  </si>
  <si>
    <t>1803012097</t>
  </si>
  <si>
    <t>5010</t>
  </si>
  <si>
    <t>1803012133</t>
  </si>
  <si>
    <t>FIT-CM ADV DWC-MAY-19</t>
  </si>
  <si>
    <t>FIT-CMDWC-MAY-19</t>
  </si>
  <si>
    <t>1803012186</t>
  </si>
  <si>
    <t>FIT-CM ADV EDL-MAY-19</t>
  </si>
  <si>
    <t>FIT-CM EDL-MAY19</t>
  </si>
  <si>
    <t>FIT-CMAD-EDL-MAY-19</t>
  </si>
  <si>
    <t>1803012913</t>
  </si>
  <si>
    <t>1803012915</t>
  </si>
  <si>
    <t>1806000006</t>
  </si>
  <si>
    <t>G/L CLEAR 314K</t>
  </si>
  <si>
    <t>G/L clear 314k</t>
  </si>
  <si>
    <t>1806000007</t>
  </si>
  <si>
    <t>G/L CLEAR 76K</t>
  </si>
  <si>
    <t>G/L clear 76k</t>
  </si>
  <si>
    <t>1806000008</t>
  </si>
  <si>
    <t>G/L CLEAR 45K</t>
  </si>
  <si>
    <t>G/L clear 45k</t>
  </si>
  <si>
    <t>G/L clear 270k</t>
  </si>
  <si>
    <t>G/L CLEAR 270K</t>
  </si>
  <si>
    <t>1806000010</t>
  </si>
  <si>
    <t>G/L clear 234k</t>
  </si>
  <si>
    <t>G/L CLEAR 234K</t>
  </si>
  <si>
    <t>G/L clear 211k</t>
  </si>
  <si>
    <t>G/L CLEAR 211K</t>
  </si>
  <si>
    <t>1806000012</t>
  </si>
  <si>
    <t>G/L CLEAR 192K</t>
  </si>
  <si>
    <t>G/L clear 192k</t>
  </si>
  <si>
    <t>G/L clear 91k</t>
  </si>
  <si>
    <t>G/L CLEAR 91K</t>
  </si>
  <si>
    <t>1806000014</t>
  </si>
  <si>
    <t>G/L clear 87k</t>
  </si>
  <si>
    <t>G/L CLEAR 87K</t>
  </si>
  <si>
    <t>1806000015</t>
  </si>
  <si>
    <t>G/L clear 85k</t>
  </si>
  <si>
    <t>G/L CLEAR 85K</t>
  </si>
  <si>
    <t>1806000016</t>
  </si>
  <si>
    <t>G/L clear 80k</t>
  </si>
  <si>
    <t>G/L CLEAR 80K</t>
  </si>
  <si>
    <t>1806000017</t>
  </si>
  <si>
    <t>1806000018</t>
  </si>
  <si>
    <t>G/L CLEAR 74K</t>
  </si>
  <si>
    <t>1806000019</t>
  </si>
  <si>
    <t>G/L clear 68k</t>
  </si>
  <si>
    <t>G/L CLEAR 68K</t>
  </si>
  <si>
    <t>1806000020</t>
  </si>
  <si>
    <t>G/L clear 64k</t>
  </si>
  <si>
    <t>G/L CLEAR 64K</t>
  </si>
  <si>
    <t>1806000021</t>
  </si>
  <si>
    <t>G/L clear 63k</t>
  </si>
  <si>
    <t>G/L CLEAR 63K</t>
  </si>
  <si>
    <t>1806000023</t>
  </si>
  <si>
    <t>G/L clear 62k</t>
  </si>
  <si>
    <t>G/L CLEAR 62K</t>
  </si>
  <si>
    <t>1806000024</t>
  </si>
  <si>
    <t>G/L clear 50k</t>
  </si>
  <si>
    <t>G/L CLEAR 50K</t>
  </si>
  <si>
    <t>1806000025</t>
  </si>
  <si>
    <t>G/L clear 49k</t>
  </si>
  <si>
    <t>G/L CLEAR 49K</t>
  </si>
  <si>
    <t>1806000026</t>
  </si>
  <si>
    <t>G/L clear 35k</t>
  </si>
  <si>
    <t>G/L CLEAR 35K</t>
  </si>
  <si>
    <t>1806000027</t>
  </si>
  <si>
    <t>G/L Clr-31k- Cm advance</t>
  </si>
  <si>
    <t>G/L CLR-31K</t>
  </si>
  <si>
    <t>1806000028</t>
  </si>
  <si>
    <t>G/L Clr-27k- Cm advance</t>
  </si>
  <si>
    <t>G/L CLR-27K</t>
  </si>
  <si>
    <t>1806000029</t>
  </si>
  <si>
    <t>G/L CLR-23K</t>
  </si>
  <si>
    <t>G/L Clr-23k- Cm advance</t>
  </si>
  <si>
    <t>1806000030</t>
  </si>
  <si>
    <t>G/L CLR-21K</t>
  </si>
  <si>
    <t>G/L Clr-21k</t>
  </si>
  <si>
    <t>1806000031</t>
  </si>
  <si>
    <t>G/L CLR-13K</t>
  </si>
  <si>
    <t>G/L Clr-13k</t>
  </si>
  <si>
    <t>1806000032</t>
  </si>
  <si>
    <t>G/L CLR-76K</t>
  </si>
  <si>
    <t>G/L Clr-76k</t>
  </si>
  <si>
    <t>G/l clear 914k</t>
  </si>
  <si>
    <t>G/L CLEAR</t>
  </si>
  <si>
    <t>G/l clear 694k</t>
  </si>
  <si>
    <t>1806000039</t>
  </si>
  <si>
    <t>G/l clear 641k</t>
  </si>
  <si>
    <t>1806000040</t>
  </si>
  <si>
    <t>G/l clear 638k</t>
  </si>
  <si>
    <t>1806000041</t>
  </si>
  <si>
    <t>G/l clear 574k</t>
  </si>
  <si>
    <t>1806000042</t>
  </si>
  <si>
    <t>G/l clear 444k</t>
  </si>
  <si>
    <t>1806000043</t>
  </si>
  <si>
    <t>G/l clear 433k</t>
  </si>
  <si>
    <t>1806000044</t>
  </si>
  <si>
    <t>G/l clear 423k</t>
  </si>
  <si>
    <t>1806000045</t>
  </si>
  <si>
    <t>G/l clear 414k</t>
  </si>
  <si>
    <t>G/l clear 330k</t>
  </si>
  <si>
    <t>1806000047</t>
  </si>
  <si>
    <t>G/l clear 312k</t>
  </si>
  <si>
    <t>1806000048</t>
  </si>
  <si>
    <t>G/l clear 294k</t>
  </si>
  <si>
    <t>1806000049</t>
  </si>
  <si>
    <t>G/l clear 270k</t>
  </si>
  <si>
    <t>1806000050</t>
  </si>
  <si>
    <t>G/l clear 269k</t>
  </si>
  <si>
    <t>1806000051</t>
  </si>
  <si>
    <t>CM ADV CLR 257k</t>
  </si>
  <si>
    <t>CM ADV CLR</t>
  </si>
  <si>
    <t>1806000052</t>
  </si>
  <si>
    <t>CM ADV CLR 252k</t>
  </si>
  <si>
    <t>1806000053</t>
  </si>
  <si>
    <t>CM ADV CLR 182k</t>
  </si>
  <si>
    <t>1806000054</t>
  </si>
  <si>
    <t>CM ADV CLR 180k</t>
  </si>
  <si>
    <t>1806000055</t>
  </si>
  <si>
    <t>CM ADV CLR 156k</t>
  </si>
  <si>
    <t>1806000056</t>
  </si>
  <si>
    <t>CM ADV CLR 154k</t>
  </si>
  <si>
    <t>1806000057</t>
  </si>
  <si>
    <t>CM ADV CLR 149k</t>
  </si>
  <si>
    <t>1806000058</t>
  </si>
  <si>
    <t>CM ADV CLR 149kk</t>
  </si>
  <si>
    <t>1806000059</t>
  </si>
  <si>
    <t>CM ADV CLR 100k</t>
  </si>
  <si>
    <t>1806000060</t>
  </si>
  <si>
    <t>CM ADV CLR 97k</t>
  </si>
  <si>
    <t>1806000061</t>
  </si>
  <si>
    <t>CM ADV CLR 87k</t>
  </si>
  <si>
    <t>1806000062</t>
  </si>
  <si>
    <t>CM ADV CLR 67k</t>
  </si>
  <si>
    <t>1806000063</t>
  </si>
  <si>
    <t>CM ADV CLR 54k</t>
  </si>
  <si>
    <t>1806000064</t>
  </si>
  <si>
    <t>CM ADV CLR 50k</t>
  </si>
  <si>
    <t>1806000065</t>
  </si>
  <si>
    <t>566k CM ADV G/l CLEAR</t>
  </si>
  <si>
    <t>CM ADV CLEAR</t>
  </si>
  <si>
    <t>1806000066</t>
  </si>
  <si>
    <t>400k CM ADV G/l CLEAR</t>
  </si>
  <si>
    <t>1806000067</t>
  </si>
  <si>
    <t>347k CM ADV G/l CLEAR</t>
  </si>
  <si>
    <t>1806000068</t>
  </si>
  <si>
    <t>306k CM ADV G/l CLEAR</t>
  </si>
  <si>
    <t>1806000069</t>
  </si>
  <si>
    <t>100k CM ADV G/l CLEAR</t>
  </si>
  <si>
    <t>1806000070</t>
  </si>
  <si>
    <t>91k CM ADV G/l CLEAR</t>
  </si>
  <si>
    <t>1806000071</t>
  </si>
  <si>
    <t>45k CM ADV G/l CLEAR</t>
  </si>
  <si>
    <t>1806000072</t>
  </si>
  <si>
    <t>611k CM ADV G/l CLEAR</t>
  </si>
  <si>
    <t>1806000073</t>
  </si>
  <si>
    <t>565k CM ADV G/l CLEAR</t>
  </si>
  <si>
    <t>1806000074</t>
  </si>
  <si>
    <t>316k CM ADV G/l CLEAR</t>
  </si>
  <si>
    <t>1806000075</t>
  </si>
  <si>
    <t>165k CM ADV G/l CLEAR</t>
  </si>
  <si>
    <t>1806000076</t>
  </si>
  <si>
    <t>133k CM ADV G/l CLEAR</t>
  </si>
  <si>
    <t>1806000077</t>
  </si>
  <si>
    <t>110k CM ADV G/l CLEAR</t>
  </si>
  <si>
    <t>1806000078</t>
  </si>
  <si>
    <t>106k CM ADV G/l CLEAR</t>
  </si>
  <si>
    <t>1806000079</t>
  </si>
  <si>
    <t>1806000080</t>
  </si>
  <si>
    <t>67k CM ADV G/l CLEAR</t>
  </si>
  <si>
    <t>1806000081</t>
  </si>
  <si>
    <t>41k CM ADV G/l CLEAR</t>
  </si>
  <si>
    <t>1806000082</t>
  </si>
  <si>
    <t>27k CM ADV G/l CLEAR</t>
  </si>
  <si>
    <t>1806000083</t>
  </si>
  <si>
    <t>22k CM ADV G/l CLEAR</t>
  </si>
  <si>
    <t>1806000084</t>
  </si>
  <si>
    <t>150k CM ADV G/l CLEAR</t>
  </si>
  <si>
    <t>1806000085</t>
  </si>
  <si>
    <t>814k CM ADV G/l CLEAR</t>
  </si>
  <si>
    <t>1806000086</t>
  </si>
  <si>
    <t>170k CM ADV G/l CLEAR</t>
  </si>
  <si>
    <t>1806000087</t>
  </si>
  <si>
    <t>47,191k CM ADV G/l CLEAR</t>
  </si>
  <si>
    <t>1806000088</t>
  </si>
  <si>
    <t>46k CM ADV G/l CLEAR</t>
  </si>
  <si>
    <t>1806000089</t>
  </si>
  <si>
    <t>23k CM ADV G/l CLEAR</t>
  </si>
  <si>
    <t>1806000090</t>
  </si>
  <si>
    <t>14k CM ADV G/l CLEAR</t>
  </si>
  <si>
    <t>1809000000</t>
  </si>
  <si>
    <t>E24449VF18US0222</t>
  </si>
  <si>
    <t>424130628265</t>
  </si>
  <si>
    <t>1809000001</t>
  </si>
  <si>
    <t>E24448VF18US0175</t>
  </si>
  <si>
    <t>424130629157</t>
  </si>
  <si>
    <t>1809000002</t>
  </si>
  <si>
    <t>CM ADVANCE RECEIVED REF-424130629148</t>
  </si>
  <si>
    <t>IT06591807040040</t>
  </si>
  <si>
    <t>424130629148</t>
  </si>
  <si>
    <t>1809000003</t>
  </si>
  <si>
    <t>E04463US18-0480</t>
  </si>
  <si>
    <t>424130627827</t>
  </si>
  <si>
    <t>1809000005</t>
  </si>
  <si>
    <t>CM ADVANCE RECEIVED REF-424130629479</t>
  </si>
  <si>
    <t>IT06591807050108</t>
  </si>
  <si>
    <t>424130629479</t>
  </si>
  <si>
    <t>1809000007</t>
  </si>
  <si>
    <t>E04485US18-0590</t>
  </si>
  <si>
    <t>424130630234</t>
  </si>
  <si>
    <t>1809000008</t>
  </si>
  <si>
    <t>E04485US180589</t>
  </si>
  <si>
    <t>424130630252</t>
  </si>
  <si>
    <t>CM ADVANCE ADJUSTED REF-424130626711</t>
  </si>
  <si>
    <t>1809000011</t>
  </si>
  <si>
    <t>E04468US18-0568</t>
  </si>
  <si>
    <t>424130630207</t>
  </si>
  <si>
    <t>1809000014</t>
  </si>
  <si>
    <t>E04477US180191</t>
  </si>
  <si>
    <t>424130631536</t>
  </si>
  <si>
    <t>1809000015</t>
  </si>
  <si>
    <t>CM ADVANCE ADJUSTED REF-424130629148</t>
  </si>
  <si>
    <t>E24459VF18US0216</t>
  </si>
  <si>
    <t>424130631545</t>
  </si>
  <si>
    <t>1809000016</t>
  </si>
  <si>
    <t>E04564US18-0609</t>
  </si>
  <si>
    <t>424130631144</t>
  </si>
  <si>
    <t>1809000017</t>
  </si>
  <si>
    <t>CM ADVANCE ADJUSTED REF-424130629479</t>
  </si>
  <si>
    <t>E04550US180626</t>
  </si>
  <si>
    <t>424130631910</t>
  </si>
  <si>
    <t>1809000019</t>
  </si>
  <si>
    <t>CM ADVANCE RECEIVED REF-424130631901</t>
  </si>
  <si>
    <t>IT06591807110387</t>
  </si>
  <si>
    <t>424130631901</t>
  </si>
  <si>
    <t>1809000020</t>
  </si>
  <si>
    <t>CM ADVANCE RECEIVED REF-424130631894</t>
  </si>
  <si>
    <t>IT06591807110390</t>
  </si>
  <si>
    <t>424130631894</t>
  </si>
  <si>
    <t>1809000021</t>
  </si>
  <si>
    <t>E24449VF18US0227</t>
  </si>
  <si>
    <t>424130632839</t>
  </si>
  <si>
    <t>1809000022</t>
  </si>
  <si>
    <t>E0447US18-0218</t>
  </si>
  <si>
    <t>424130632848</t>
  </si>
  <si>
    <t>1809000023</t>
  </si>
  <si>
    <t>E04463US18-0482</t>
  </si>
  <si>
    <t>424130632811</t>
  </si>
  <si>
    <t>1809000024</t>
  </si>
  <si>
    <t>E04549US18-0616</t>
  </si>
  <si>
    <t>424130632857</t>
  </si>
  <si>
    <t>1809000026</t>
  </si>
  <si>
    <t>E04356US18-0169</t>
  </si>
  <si>
    <t>424130635881</t>
  </si>
  <si>
    <t>CM ADVANCE ADJUSTED REF-424130618436</t>
  </si>
  <si>
    <t>1809000029</t>
  </si>
  <si>
    <t>CM ADVANCE ADJUSTED REF-424130631901</t>
  </si>
  <si>
    <t>E04643US18-0646</t>
  </si>
  <si>
    <t>424130636906</t>
  </si>
  <si>
    <t>1809000030</t>
  </si>
  <si>
    <t>E04463US18-0483</t>
  </si>
  <si>
    <t>424130637610</t>
  </si>
  <si>
    <t>1809000032</t>
  </si>
  <si>
    <t>E4478SB18UK0605</t>
  </si>
  <si>
    <t>424130637601</t>
  </si>
  <si>
    <t>1809000038</t>
  </si>
  <si>
    <t>E04434US180206</t>
  </si>
  <si>
    <t>424130639994</t>
  </si>
  <si>
    <t>CM ADVANCE ADJUSTED REF-424130631894</t>
  </si>
  <si>
    <t>1809000039</t>
  </si>
  <si>
    <t>E04434US18-0195</t>
  </si>
  <si>
    <t>424130640018</t>
  </si>
  <si>
    <t>1809000040</t>
  </si>
  <si>
    <t>E24472VF18US0250</t>
  </si>
  <si>
    <t>424130640009</t>
  </si>
  <si>
    <t>1809000041</t>
  </si>
  <si>
    <t>CM ADVANCE RECEIVED REF-424130639949</t>
  </si>
  <si>
    <t>IT06591807230212</t>
  </si>
  <si>
    <t>424130639949</t>
  </si>
  <si>
    <t>1809000042</t>
  </si>
  <si>
    <t>CM ADVANCE RECEIVED REF-424130639930</t>
  </si>
  <si>
    <t>IT06591807240225</t>
  </si>
  <si>
    <t>424130639930</t>
  </si>
  <si>
    <t>1809000043</t>
  </si>
  <si>
    <t>E04434US180196</t>
  </si>
  <si>
    <t>424130640376</t>
  </si>
  <si>
    <t>1809000044</t>
  </si>
  <si>
    <t>CM ADVANCE ADJUSTED REF-424130639949</t>
  </si>
  <si>
    <t>E24475VS18US0251</t>
  </si>
  <si>
    <t>424130640544</t>
  </si>
  <si>
    <t>1809000046</t>
  </si>
  <si>
    <t>E4478SB18UK0666</t>
  </si>
  <si>
    <t>424130640571</t>
  </si>
  <si>
    <t>1809000049</t>
  </si>
  <si>
    <t>CM ADVANCE RECEIVED REF-424130640526</t>
  </si>
  <si>
    <t>IT06591807280022</t>
  </si>
  <si>
    <t>424130640526</t>
  </si>
  <si>
    <t>1809000050</t>
  </si>
  <si>
    <t>E4478SB18UK0603</t>
  </si>
  <si>
    <t>424130630190</t>
  </si>
  <si>
    <t>1809000053</t>
  </si>
  <si>
    <t>E04551US18-0618</t>
  </si>
  <si>
    <t>424130634631</t>
  </si>
  <si>
    <t>1809000057</t>
  </si>
  <si>
    <t>CM ADVANCE RECEIVED REF-424130642212</t>
  </si>
  <si>
    <t>IT06591807300112</t>
  </si>
  <si>
    <t>424130642212</t>
  </si>
  <si>
    <t>1809000058</t>
  </si>
  <si>
    <t>CM ADVANCE RECEIVED REF-424130643630</t>
  </si>
  <si>
    <t>IT06591807310449</t>
  </si>
  <si>
    <t>424130643630</t>
  </si>
  <si>
    <t>1809000060</t>
  </si>
  <si>
    <t>CM ADVANCE RECEIVED REF-424130642203</t>
  </si>
  <si>
    <t>424130642203</t>
  </si>
  <si>
    <t>1809000062</t>
  </si>
  <si>
    <t>CM ADVANCE RECEIVED REF-424130644559</t>
  </si>
  <si>
    <t>IT06591808040017</t>
  </si>
  <si>
    <t>424130644559</t>
  </si>
  <si>
    <t>1809000144</t>
  </si>
  <si>
    <t>1809000063</t>
  </si>
  <si>
    <t>CM ADVANCE ADJUSTED REF-OBCDAK880381ARV</t>
  </si>
  <si>
    <t>E04415US18-0688</t>
  </si>
  <si>
    <t>424130644568</t>
  </si>
  <si>
    <t>1809000064</t>
  </si>
  <si>
    <t>CM ADVANCE ADJUSTED REF-424130639930</t>
  </si>
  <si>
    <t>E4478SB18UK0693</t>
  </si>
  <si>
    <t>424130644620</t>
  </si>
  <si>
    <t>1809000065</t>
  </si>
  <si>
    <t>E04516US18-06591</t>
  </si>
  <si>
    <t>424130644586</t>
  </si>
  <si>
    <t>1809000066</t>
  </si>
  <si>
    <t>E04477US18-0237</t>
  </si>
  <si>
    <t>424130644602</t>
  </si>
  <si>
    <t>1809000067</t>
  </si>
  <si>
    <t>CM ADVANCE ADJUSTED REF-424130640526</t>
  </si>
  <si>
    <t>E24449VF18US0258</t>
  </si>
  <si>
    <t>424130645095</t>
  </si>
  <si>
    <t>CM ADVANCE ADJUSTED REF-424130642212</t>
  </si>
  <si>
    <t>1809000069</t>
  </si>
  <si>
    <t>E24475VF18US0263</t>
  </si>
  <si>
    <t>424130646762</t>
  </si>
  <si>
    <t>1809000070</t>
  </si>
  <si>
    <t>E4478SB18UK0694</t>
  </si>
  <si>
    <t>424130648010</t>
  </si>
  <si>
    <t>CM ADVANCE ADJUSTED REF-424130642203</t>
  </si>
  <si>
    <t>1809000071</t>
  </si>
  <si>
    <t>E04645US180699</t>
  </si>
  <si>
    <t>424130648029</t>
  </si>
  <si>
    <t>1809000072</t>
  </si>
  <si>
    <t>E04401US18-0566</t>
  </si>
  <si>
    <t>424130628256</t>
  </si>
  <si>
    <t>1809000073</t>
  </si>
  <si>
    <t>CM ADVANCE RECEIVED REF-424130651176</t>
  </si>
  <si>
    <t>IT06591808160271</t>
  </si>
  <si>
    <t>424130651176</t>
  </si>
  <si>
    <t>1809000074</t>
  </si>
  <si>
    <t>CM ADVANCE RECEIVED REF-424130651158</t>
  </si>
  <si>
    <t>IT06591808140231</t>
  </si>
  <si>
    <t>424130651158</t>
  </si>
  <si>
    <t>1809000145</t>
  </si>
  <si>
    <t>1809000075</t>
  </si>
  <si>
    <t>CM ADVANCE RECEIVED REF-424130651167</t>
  </si>
  <si>
    <t>IT06591808160270</t>
  </si>
  <si>
    <t>424130651167</t>
  </si>
  <si>
    <t>1809000110</t>
  </si>
  <si>
    <t>1809000076</t>
  </si>
  <si>
    <t>CM ADVANCE RECEIVED REF-424130651185</t>
  </si>
  <si>
    <t>IT06591808160273</t>
  </si>
  <si>
    <t>424130651185</t>
  </si>
  <si>
    <t>1809000077</t>
  </si>
  <si>
    <t>CM ADVANCE RECEIVED REF- 424130650532</t>
  </si>
  <si>
    <t>IT06591808130179</t>
  </si>
  <si>
    <t>424130650532</t>
  </si>
  <si>
    <t>1809000078</t>
  </si>
  <si>
    <t>CM ADVANCE RECEIVED REF-424130648234</t>
  </si>
  <si>
    <t>IT06591808110019</t>
  </si>
  <si>
    <t>424130648234</t>
  </si>
  <si>
    <t>1809000079</t>
  </si>
  <si>
    <t>CM ADVANCE RECEIVED REF-424130648225</t>
  </si>
  <si>
    <t>IT06591808090796</t>
  </si>
  <si>
    <t>424130648225</t>
  </si>
  <si>
    <t>1809000082</t>
  </si>
  <si>
    <t>1809000084</t>
  </si>
  <si>
    <t>E4480SB18UK0756</t>
  </si>
  <si>
    <t>424130652040</t>
  </si>
  <si>
    <t>1809000085</t>
  </si>
  <si>
    <t>CM ADVANCE ADJUSTED REF-424130648234</t>
  </si>
  <si>
    <t>E24565VF18US0269</t>
  </si>
  <si>
    <t>424130654707</t>
  </si>
  <si>
    <t>CM ADVANCE ADJUSTED REF-424130650532</t>
  </si>
  <si>
    <t>CM ADVANCE ADJUSTED REF-424130643630</t>
  </si>
  <si>
    <t>1809000086</t>
  </si>
  <si>
    <t>E24512VFUS0268</t>
  </si>
  <si>
    <t>424130654716</t>
  </si>
  <si>
    <t>1809000087</t>
  </si>
  <si>
    <t>E04405US18-0257</t>
  </si>
  <si>
    <t>424130654690</t>
  </si>
  <si>
    <t>1809000088</t>
  </si>
  <si>
    <t>CM ADVANCE ADJUSTED REF-424130648225</t>
  </si>
  <si>
    <t>E4552SB18UK0757</t>
  </si>
  <si>
    <t>424130654681</t>
  </si>
  <si>
    <t>1809000089</t>
  </si>
  <si>
    <t>CM ADVANCE ADJUSTED REF-424130651185</t>
  </si>
  <si>
    <t>E44523C18GR0771</t>
  </si>
  <si>
    <t>424130654654</t>
  </si>
  <si>
    <t>1809000090</t>
  </si>
  <si>
    <t>E44524C18GR0768</t>
  </si>
  <si>
    <t>424130654663</t>
  </si>
  <si>
    <t>1809000091</t>
  </si>
  <si>
    <t>E44523C18GR0717</t>
  </si>
  <si>
    <t>424130654672</t>
  </si>
  <si>
    <t>1809000094</t>
  </si>
  <si>
    <t>E24449VF18US0265</t>
  </si>
  <si>
    <t>424130652022</t>
  </si>
  <si>
    <t>1809000095</t>
  </si>
  <si>
    <t>E44523CAND716</t>
  </si>
  <si>
    <t>424130652004</t>
  </si>
  <si>
    <t>1809000096</t>
  </si>
  <si>
    <t>E04592US18-0735</t>
  </si>
  <si>
    <t>424130652031</t>
  </si>
  <si>
    <t>1809000097</t>
  </si>
  <si>
    <t>E04592US18-0738</t>
  </si>
  <si>
    <t>424130652013</t>
  </si>
  <si>
    <t>1809000099</t>
  </si>
  <si>
    <t>E04434US18 0256</t>
  </si>
  <si>
    <t>424130654725</t>
  </si>
  <si>
    <t>1809000100</t>
  </si>
  <si>
    <t>CM ADVANCE ADJUSTED REF-424130603193</t>
  </si>
  <si>
    <t>EG2KERA18STK0147</t>
  </si>
  <si>
    <t>424130651997,424130651988</t>
  </si>
  <si>
    <t>1809000101</t>
  </si>
  <si>
    <t>E04645US18 0698</t>
  </si>
  <si>
    <t>424130644577</t>
  </si>
  <si>
    <t>1809000102</t>
  </si>
  <si>
    <t>E4633SB17UK0728</t>
  </si>
  <si>
    <t>424130649992</t>
  </si>
  <si>
    <t>1809000103</t>
  </si>
  <si>
    <t>E04416US18-0721</t>
  </si>
  <si>
    <t>424130650523</t>
  </si>
  <si>
    <t>1809000109</t>
  </si>
  <si>
    <t>E04592US18-0736</t>
  </si>
  <si>
    <t>424130654921</t>
  </si>
  <si>
    <t>CM ADVANCE ADJUSTED REF-424130651167</t>
  </si>
  <si>
    <t>E24569VF18US0276</t>
  </si>
  <si>
    <t>424130655387</t>
  </si>
  <si>
    <t>1809000111</t>
  </si>
  <si>
    <t>CM ADVANCE RECEVIED REF-424130655369</t>
  </si>
  <si>
    <t>IT06591808300213</t>
  </si>
  <si>
    <t>424130655369</t>
  </si>
  <si>
    <t>1809000112</t>
  </si>
  <si>
    <t>E4552SB18UK0812</t>
  </si>
  <si>
    <t>424130655396</t>
  </si>
  <si>
    <t>1809000113</t>
  </si>
  <si>
    <t>CM ADVANCE RECEVIED REF-424130655528</t>
  </si>
  <si>
    <t>IT06591809040128</t>
  </si>
  <si>
    <t>424130655528</t>
  </si>
  <si>
    <t>1809000147</t>
  </si>
  <si>
    <t>1809000114</t>
  </si>
  <si>
    <t>CM ADVANCE RECEVIED REF-424130655519</t>
  </si>
  <si>
    <t>IT06591809040119</t>
  </si>
  <si>
    <t>424130655519</t>
  </si>
  <si>
    <t>1809000115</t>
  </si>
  <si>
    <t>CM ADVANCE RECEVIED REF-424130655500</t>
  </si>
  <si>
    <t>IT06591809040122</t>
  </si>
  <si>
    <t>424130655500</t>
  </si>
  <si>
    <t>1809000116</t>
  </si>
  <si>
    <t>1809000117</t>
  </si>
  <si>
    <t>1809000118</t>
  </si>
  <si>
    <t>E04461WM18CA0781</t>
  </si>
  <si>
    <t>424130658669</t>
  </si>
  <si>
    <t>1809000119</t>
  </si>
  <si>
    <t>E04593US180759</t>
  </si>
  <si>
    <t>424130657250</t>
  </si>
  <si>
    <t>1809000121</t>
  </si>
  <si>
    <t>1809000123</t>
  </si>
  <si>
    <t>E04532US1800747</t>
  </si>
  <si>
    <t>424130657269</t>
  </si>
  <si>
    <t>1809000125</t>
  </si>
  <si>
    <t>CM ADVANCE RECEVIED REF-424130660317</t>
  </si>
  <si>
    <t>IT06591809110025</t>
  </si>
  <si>
    <t>424130660317</t>
  </si>
  <si>
    <t>1809000126</t>
  </si>
  <si>
    <t>CM ADVANCE RECEVIED REF-424130660503</t>
  </si>
  <si>
    <t>IT06591809110244</t>
  </si>
  <si>
    <t>424130660503</t>
  </si>
  <si>
    <t>1809000127</t>
  </si>
  <si>
    <t>E04595US18-0739</t>
  </si>
  <si>
    <t>424130660326</t>
  </si>
  <si>
    <t>CM ADVANCE ADJUSTED REF-424130655369</t>
  </si>
  <si>
    <t>CM ADVANCE ADJUSTED REF-424130655500</t>
  </si>
  <si>
    <t>1809000128</t>
  </si>
  <si>
    <t>E4552SB18UK0813</t>
  </si>
  <si>
    <t>424130660344</t>
  </si>
  <si>
    <t>1809000130</t>
  </si>
  <si>
    <t>E04596WM18JP0818</t>
  </si>
  <si>
    <t>424130661405</t>
  </si>
  <si>
    <t>1809000131</t>
  </si>
  <si>
    <t>CM Adv Adjusted.424130655369</t>
  </si>
  <si>
    <t>E4552SB18UK0831</t>
  </si>
  <si>
    <t>424130661414</t>
  </si>
  <si>
    <t>1809000134</t>
  </si>
  <si>
    <t>CM Adv Adjusted.424130655500</t>
  </si>
  <si>
    <t>E04662US18-0814</t>
  </si>
  <si>
    <t>424130661833</t>
  </si>
  <si>
    <t>1809000136</t>
  </si>
  <si>
    <t>CM Adv Adjusted.424130655519</t>
  </si>
  <si>
    <t>E04678US18-0836</t>
  </si>
  <si>
    <t>424130663751</t>
  </si>
  <si>
    <t>1809000138</t>
  </si>
  <si>
    <t>E4552SB18UK0844</t>
  </si>
  <si>
    <t>424130665973</t>
  </si>
  <si>
    <t>1809000139</t>
  </si>
  <si>
    <t>E04463US18-0820</t>
  </si>
  <si>
    <t>424130665982</t>
  </si>
  <si>
    <t>CM Adv Adjusted.424130660503</t>
  </si>
  <si>
    <t>1809000142</t>
  </si>
  <si>
    <t>E04691US18-0856</t>
  </si>
  <si>
    <t>424130668088</t>
  </si>
  <si>
    <t>1809000143</t>
  </si>
  <si>
    <t>CM Adv Adjusted.424130650532</t>
  </si>
  <si>
    <t>E24570VF18US0272</t>
  </si>
  <si>
    <t>424130658678</t>
  </si>
  <si>
    <t>CM Adv Adjusted.424130643630</t>
  </si>
  <si>
    <t>CM Adv Adjusted.424130644559</t>
  </si>
  <si>
    <t>E04405US18-0266</t>
  </si>
  <si>
    <t>424130659098</t>
  </si>
  <si>
    <t>CM Adv Adjusted.424130651158</t>
  </si>
  <si>
    <t>E04414US18-0274</t>
  </si>
  <si>
    <t>424130661815</t>
  </si>
  <si>
    <t>E24539VF18US0254</t>
  </si>
  <si>
    <t>424130664714</t>
  </si>
  <si>
    <t>CM Adv Adjusted.424130660317 &amp; 424130655528</t>
  </si>
  <si>
    <t>1809000148</t>
  </si>
  <si>
    <t>CM Adv Adjusted.424130657027</t>
  </si>
  <si>
    <t>E24618VF18US0284</t>
  </si>
  <si>
    <t>424130668097</t>
  </si>
  <si>
    <t>CM Adv Adjusted.424130651176</t>
  </si>
  <si>
    <t>1809000149</t>
  </si>
  <si>
    <t>CM advance receive, ref-424130664705</t>
  </si>
  <si>
    <t>IT065918092005</t>
  </si>
  <si>
    <t>424130664705</t>
  </si>
  <si>
    <t>1809000150</t>
  </si>
  <si>
    <t>CM advance receive, ref-424130667301</t>
  </si>
  <si>
    <t>IT06591809240175</t>
  </si>
  <si>
    <t>424130667301</t>
  </si>
  <si>
    <t>1809000151</t>
  </si>
  <si>
    <t>E04639US18-0799</t>
  </si>
  <si>
    <t>424130659132,424130659141</t>
  </si>
  <si>
    <t>1809000153</t>
  </si>
  <si>
    <t>1809000158</t>
  </si>
  <si>
    <t>E4552SB18UK0876</t>
  </si>
  <si>
    <t>424130670814</t>
  </si>
  <si>
    <t>1809000160</t>
  </si>
  <si>
    <t>CM Adv Adjusted.424130667301</t>
  </si>
  <si>
    <t>IT065918100279</t>
  </si>
  <si>
    <t>424130670832</t>
  </si>
  <si>
    <t>1809000161</t>
  </si>
  <si>
    <t>E4612SB18UK0901</t>
  </si>
  <si>
    <t>424130672420</t>
  </si>
  <si>
    <t>1809000164</t>
  </si>
  <si>
    <t>CM ADVANCE RECEIVE -424130670789</t>
  </si>
  <si>
    <t>IT065918100276</t>
  </si>
  <si>
    <t>424130670789</t>
  </si>
  <si>
    <t>1809000165</t>
  </si>
  <si>
    <t>CM ADVANCE RECEIVE -424130670985</t>
  </si>
  <si>
    <t>424130670985</t>
  </si>
  <si>
    <t>1809000166</t>
  </si>
  <si>
    <t>CM ADVANCE RECEIVE -424130673072</t>
  </si>
  <si>
    <t>424130673072</t>
  </si>
  <si>
    <t>1809000167</t>
  </si>
  <si>
    <t>CM ADVANCE RECEIVE -424130673713</t>
  </si>
  <si>
    <t>424130673713</t>
  </si>
  <si>
    <t>1809000377</t>
  </si>
  <si>
    <t>1809000168</t>
  </si>
  <si>
    <t>CM ADVANCE RECEIVE -424130671261</t>
  </si>
  <si>
    <t>424130671261</t>
  </si>
  <si>
    <t>1809000170</t>
  </si>
  <si>
    <t>CM ADVANCE RECEIVE -424130660503</t>
  </si>
  <si>
    <t>E4612SB18UK0872</t>
  </si>
  <si>
    <t>424130668998</t>
  </si>
  <si>
    <t>1809000171</t>
  </si>
  <si>
    <t>CM ADVANCE ADJUSTED-424130657027</t>
  </si>
  <si>
    <t>E24566VF18US0285</t>
  </si>
  <si>
    <t>424130669014</t>
  </si>
  <si>
    <t>1809000173</t>
  </si>
  <si>
    <t>E24616VF18US0288</t>
  </si>
  <si>
    <t>424130671289</t>
  </si>
  <si>
    <t>1809000174</t>
  </si>
  <si>
    <t>E04414US18-0279</t>
  </si>
  <si>
    <t>424130669005</t>
  </si>
  <si>
    <t>CM ADVANCE ADJUSTED-424130651176</t>
  </si>
  <si>
    <t>1809000175</t>
  </si>
  <si>
    <t>CM ADV RECEIVE-424130670994</t>
  </si>
  <si>
    <t>424130670994</t>
  </si>
  <si>
    <t>1809000176</t>
  </si>
  <si>
    <t>CM ADV RECEIVE-424130674357</t>
  </si>
  <si>
    <t>424130674357</t>
  </si>
  <si>
    <t>1809000177</t>
  </si>
  <si>
    <t>CM ADVANCE ADJUSTED-424130667301</t>
  </si>
  <si>
    <t>E04518US18-0896</t>
  </si>
  <si>
    <t>424130673036</t>
  </si>
  <si>
    <t>CM ADVANCE ADJUSTED-424130655519</t>
  </si>
  <si>
    <t>CM ADVANCE ADJUSTED-424130670789</t>
  </si>
  <si>
    <t>1809000178</t>
  </si>
  <si>
    <t>CM ADVANCE ADJUSTED-424130673072</t>
  </si>
  <si>
    <t>E04718US18-0879</t>
  </si>
  <si>
    <t>1809000179</t>
  </si>
  <si>
    <t>E4612SB18UK0933</t>
  </si>
  <si>
    <t>424130674570</t>
  </si>
  <si>
    <t>1809000183</t>
  </si>
  <si>
    <t>E24537VF18US0296</t>
  </si>
  <si>
    <t>424130674561</t>
  </si>
  <si>
    <t>CM ADVANCE ADJUSTED-424130664705</t>
  </si>
  <si>
    <t>1809000184</t>
  </si>
  <si>
    <t>CM ADV RECEIVE-424130675677</t>
  </si>
  <si>
    <t>424130675677</t>
  </si>
  <si>
    <t>1809000186</t>
  </si>
  <si>
    <t>CM ADV RECEIVE-424130677318</t>
  </si>
  <si>
    <t>424130677318</t>
  </si>
  <si>
    <t>1809000187</t>
  </si>
  <si>
    <t>CM ADV RECEIVE-424130678040</t>
  </si>
  <si>
    <t>424130678040</t>
  </si>
  <si>
    <t>1809000191</t>
  </si>
  <si>
    <t>Cm adv adjust-424130671261</t>
  </si>
  <si>
    <t>E04637US18-0927</t>
  </si>
  <si>
    <t>424130678843</t>
  </si>
  <si>
    <t>1809000192</t>
  </si>
  <si>
    <t>CM ADVANCE RECEIVED REF-424130679432</t>
  </si>
  <si>
    <t>IT06591810230232</t>
  </si>
  <si>
    <t>424130679432</t>
  </si>
  <si>
    <t>1906000005</t>
  </si>
  <si>
    <t>1809000193</t>
  </si>
  <si>
    <t>Cm adv adjust-424130673072</t>
  </si>
  <si>
    <t>E04715WM18CA0931</t>
  </si>
  <si>
    <t>424130679469</t>
  </si>
  <si>
    <t>1809000194</t>
  </si>
  <si>
    <t>CM ADVANCE ADJUST-424130673072</t>
  </si>
  <si>
    <t>E4612SB18UK0948</t>
  </si>
  <si>
    <t>424130679450</t>
  </si>
  <si>
    <t>1809000195</t>
  </si>
  <si>
    <t>CM ADVANCE ADJUST-424130678040</t>
  </si>
  <si>
    <t>E24736VF18US0309</t>
  </si>
  <si>
    <t>424130680055</t>
  </si>
  <si>
    <t>1809000196</t>
  </si>
  <si>
    <t>CM ADVANCE ADJUST-424130670985</t>
  </si>
  <si>
    <t>E04695US18-0922</t>
  </si>
  <si>
    <t>424130682794</t>
  </si>
  <si>
    <t>1809000197</t>
  </si>
  <si>
    <t>CM ADVANCE RECEIVED REF-424130682810</t>
  </si>
  <si>
    <t>IT06591810290143</t>
  </si>
  <si>
    <t>424130682810</t>
  </si>
  <si>
    <t>1809000198</t>
  </si>
  <si>
    <t>E4707SB18UK0964</t>
  </si>
  <si>
    <t>424130683301</t>
  </si>
  <si>
    <t>1809000199</t>
  </si>
  <si>
    <t>CM ADVANCE RECEIVED REF-424130679441</t>
  </si>
  <si>
    <t>IT06591810230230</t>
  </si>
  <si>
    <t>424130679441</t>
  </si>
  <si>
    <t>1809000204</t>
  </si>
  <si>
    <t>1809000200</t>
  </si>
  <si>
    <t>CM ADVANCE RECEIVED REF-424130681081</t>
  </si>
  <si>
    <t>IT06591810250223</t>
  </si>
  <si>
    <t>424130681081</t>
  </si>
  <si>
    <t>1809000202</t>
  </si>
  <si>
    <t>CM ADVANCE ADJUST-424130675677</t>
  </si>
  <si>
    <t>E32472OVF18US301</t>
  </si>
  <si>
    <t>424130682829</t>
  </si>
  <si>
    <t>CM ADVANCE ADJUST-424130670994</t>
  </si>
  <si>
    <t>1809000203</t>
  </si>
  <si>
    <t>CM ADVANCE RECEIVED REF-424130683310</t>
  </si>
  <si>
    <t>IT06591810310052</t>
  </si>
  <si>
    <t>424130683310</t>
  </si>
  <si>
    <t>CM ADVANCE ADJUST-424130679441</t>
  </si>
  <si>
    <t>424130681090</t>
  </si>
  <si>
    <t>1809000205</t>
  </si>
  <si>
    <t>CM ADVANCE ADJUST-424130657027</t>
  </si>
  <si>
    <t>E24704VF18US0299</t>
  </si>
  <si>
    <t>424130680064</t>
  </si>
  <si>
    <t>CM ADVANCE ADJUST-424130674357</t>
  </si>
  <si>
    <t>CM ADVANCE ADJUST-424130664705</t>
  </si>
  <si>
    <t>1809000206</t>
  </si>
  <si>
    <t>CM ADVANCE ADJUST-424130670789</t>
  </si>
  <si>
    <t>E4454OKH18US0905</t>
  </si>
  <si>
    <t>424130674311</t>
  </si>
  <si>
    <t>1809000207</t>
  </si>
  <si>
    <t>E04723US18-0943</t>
  </si>
  <si>
    <t>424130682801</t>
  </si>
  <si>
    <t>CM ADVANCE ADJUST-424130677318</t>
  </si>
  <si>
    <t>CM ADVANCE ADJUST-424130671261</t>
  </si>
  <si>
    <t>1809000208</t>
  </si>
  <si>
    <t>CM ADVANCE RECEIVED REF-424130683926</t>
  </si>
  <si>
    <t>IT06591810310607</t>
  </si>
  <si>
    <t>424130683926</t>
  </si>
  <si>
    <t>1906000003</t>
  </si>
  <si>
    <t>1809000209</t>
  </si>
  <si>
    <t>E04714WM18CN0950</t>
  </si>
  <si>
    <t>424130683917</t>
  </si>
  <si>
    <t>1809000213</t>
  </si>
  <si>
    <t>E04639US18-0841</t>
  </si>
  <si>
    <t>424130684890</t>
  </si>
  <si>
    <t>1809000217</t>
  </si>
  <si>
    <t>1809000220</t>
  </si>
  <si>
    <t>CM ADVANCE RECEIVED REF-424130687708</t>
  </si>
  <si>
    <t>EG204700</t>
  </si>
  <si>
    <t>424130687708</t>
  </si>
  <si>
    <t>1809000290</t>
  </si>
  <si>
    <t>1809000221</t>
  </si>
  <si>
    <t>CM ADVANCE ADJUST REF-424130681081</t>
  </si>
  <si>
    <t>E24736VF18US0314</t>
  </si>
  <si>
    <t>424130687094</t>
  </si>
  <si>
    <t>CM ADVANCE ADJUST REF-424130674357</t>
  </si>
  <si>
    <t>CM ADVANCE ADJUST REF-424130683310</t>
  </si>
  <si>
    <t>1809000222</t>
  </si>
  <si>
    <t>CM ADVANCE RECEIVED REF-424130687691</t>
  </si>
  <si>
    <t>EG2-04700</t>
  </si>
  <si>
    <t>424130687691</t>
  </si>
  <si>
    <t>1809000223</t>
  </si>
  <si>
    <t>CM ADVANCE RECEIVED REF-424130687717</t>
  </si>
  <si>
    <t>424130687717</t>
  </si>
  <si>
    <t>1809000224</t>
  </si>
  <si>
    <t>E24720VF18US0303</t>
  </si>
  <si>
    <t>424130689626</t>
  </si>
  <si>
    <t>CM ADVANCE ADJUST REF-424130687717</t>
  </si>
  <si>
    <t>1809000225</t>
  </si>
  <si>
    <t>E24736VF18US0317</t>
  </si>
  <si>
    <t>424130691613</t>
  </si>
  <si>
    <t>1809000226</t>
  </si>
  <si>
    <t>CM ADVANCE RECEIVED REF-424130693238</t>
  </si>
  <si>
    <t>IT06591811220103</t>
  </si>
  <si>
    <t>424130693238</t>
  </si>
  <si>
    <t>1809000228</t>
  </si>
  <si>
    <t>CM Advance Receive -424130687726</t>
  </si>
  <si>
    <t>IT06591811070844</t>
  </si>
  <si>
    <t>424130687726</t>
  </si>
  <si>
    <t>1809000229</t>
  </si>
  <si>
    <t>CM Advance Adjusted-424130687726</t>
  </si>
  <si>
    <t>E04686US18-0969</t>
  </si>
  <si>
    <t>424130689617</t>
  </si>
  <si>
    <t>CM Advance Adjusted-424130679432</t>
  </si>
  <si>
    <t>1809000234</t>
  </si>
  <si>
    <t>CM Advance Receive -424130690801</t>
  </si>
  <si>
    <t>IT06591811150445</t>
  </si>
  <si>
    <t>424130690801</t>
  </si>
  <si>
    <t>1809000235</t>
  </si>
  <si>
    <t>CM Advance Adjusted-424130690801</t>
  </si>
  <si>
    <t>E04715WM18CA0944</t>
  </si>
  <si>
    <t>424130692177</t>
  </si>
  <si>
    <t>1809000236</t>
  </si>
  <si>
    <t>CM advance adjust ref-424130690801</t>
  </si>
  <si>
    <t>E4715WM18CA0995</t>
  </si>
  <si>
    <t>424130693247</t>
  </si>
  <si>
    <t>1809000238</t>
  </si>
  <si>
    <t>CM advance adjust ref-424130682810</t>
  </si>
  <si>
    <t>E04698US18-0934</t>
  </si>
  <si>
    <t>424130693327</t>
  </si>
  <si>
    <t>CM advance adjust ref-424130687726</t>
  </si>
  <si>
    <t>CM advance adjust ref-424130677318</t>
  </si>
  <si>
    <t>CM advance adjust ref-424130678040</t>
  </si>
  <si>
    <t>1809000240</t>
  </si>
  <si>
    <t>E4480SB18UK1002</t>
  </si>
  <si>
    <t>424130692168</t>
  </si>
  <si>
    <t>1809000242</t>
  </si>
  <si>
    <t>E04715WM18CA0999</t>
  </si>
  <si>
    <t>424130690856</t>
  </si>
  <si>
    <t>1809000244</t>
  </si>
  <si>
    <t>CM advance receive ref-424130693540</t>
  </si>
  <si>
    <t>IT06591811240016</t>
  </si>
  <si>
    <t>424130693540</t>
  </si>
  <si>
    <t>1809000245</t>
  </si>
  <si>
    <t>CM advance adjust ref-424130687691</t>
  </si>
  <si>
    <t>E24720VF18US0306</t>
  </si>
  <si>
    <t>424130694905</t>
  </si>
  <si>
    <t>CM advance adjust ref-424130681081</t>
  </si>
  <si>
    <t>CM advance adjust ref-424130674357</t>
  </si>
  <si>
    <t>1809000247</t>
  </si>
  <si>
    <t>1809000249</t>
  </si>
  <si>
    <t>1809000250</t>
  </si>
  <si>
    <t>CM ADVANCE RECEIVED REF-424130696306</t>
  </si>
  <si>
    <t>IT06591811290544</t>
  </si>
  <si>
    <t>424130696306</t>
  </si>
  <si>
    <t>1809000251</t>
  </si>
  <si>
    <t>CM ADVANCE RECEIVED REF-424130696315</t>
  </si>
  <si>
    <t>IT06591812010047</t>
  </si>
  <si>
    <t>424130696315</t>
  </si>
  <si>
    <t>1809000252</t>
  </si>
  <si>
    <t>CM ADVANCE adjust REF-424130683926</t>
  </si>
  <si>
    <t>E04790US18-1027</t>
  </si>
  <si>
    <t>424130696440</t>
  </si>
  <si>
    <t>1809000253</t>
  </si>
  <si>
    <t>CM ADVANCE RECEIVED REF-424130698279</t>
  </si>
  <si>
    <t>IT06591812040047</t>
  </si>
  <si>
    <t>424130698279</t>
  </si>
  <si>
    <t>1906000002</t>
  </si>
  <si>
    <t>1809000254</t>
  </si>
  <si>
    <t>CM ADVANCE RECEIVED REF-424130698288</t>
  </si>
  <si>
    <t>IT06591812040050</t>
  </si>
  <si>
    <t>424130698288</t>
  </si>
  <si>
    <t>1809000255</t>
  </si>
  <si>
    <t>CM ADVANCE adjust REF-424130696306</t>
  </si>
  <si>
    <t>E04790US18-1033</t>
  </si>
  <si>
    <t>424130698689</t>
  </si>
  <si>
    <t>1809000256</t>
  </si>
  <si>
    <t>E44682C18GR1024</t>
  </si>
  <si>
    <t>424130698698</t>
  </si>
  <si>
    <t>1809000257</t>
  </si>
  <si>
    <t>E04715WM18CA1066</t>
  </si>
  <si>
    <t>424130698705</t>
  </si>
  <si>
    <t>1809000258</t>
  </si>
  <si>
    <t>E04790US18-1030</t>
  </si>
  <si>
    <t>424130698297</t>
  </si>
  <si>
    <t>1809000259</t>
  </si>
  <si>
    <t>CM ADVANCE RECEIVED REF-424130699385</t>
  </si>
  <si>
    <t>IT06591812060077</t>
  </si>
  <si>
    <t>424130699385</t>
  </si>
  <si>
    <t>1809000260</t>
  </si>
  <si>
    <t>CM ADVANCE adjust REF-424130699385</t>
  </si>
  <si>
    <t>DE4681TS18CS1018</t>
  </si>
  <si>
    <t>424130700248</t>
  </si>
  <si>
    <t>1809000261</t>
  </si>
  <si>
    <t>E34625TC18CA1051</t>
  </si>
  <si>
    <t>424130700257</t>
  </si>
  <si>
    <t>1809000262</t>
  </si>
  <si>
    <t>CM ADVANCE adjust REF-424130696315</t>
  </si>
  <si>
    <t>E04771US18-1069</t>
  </si>
  <si>
    <t>424130701149</t>
  </si>
  <si>
    <t>1809000263</t>
  </si>
  <si>
    <t>CM ADVANCE RECEIVED REF-424130701808</t>
  </si>
  <si>
    <t>IT06591812110245</t>
  </si>
  <si>
    <t>424130701808</t>
  </si>
  <si>
    <t>1809000266</t>
  </si>
  <si>
    <t>DE4681TS18CE1038</t>
  </si>
  <si>
    <t>424130702585</t>
  </si>
  <si>
    <t>1809000267</t>
  </si>
  <si>
    <t>CM ADVANCE RECEIVED REF-424130702843</t>
  </si>
  <si>
    <t>IT06591812150005</t>
  </si>
  <si>
    <t>424130702843</t>
  </si>
  <si>
    <t>1809000268</t>
  </si>
  <si>
    <t>CM ADVANCE RECEIVED REF-424130702852</t>
  </si>
  <si>
    <t>IT06591812150006</t>
  </si>
  <si>
    <t>424130702852</t>
  </si>
  <si>
    <t>1809000270</t>
  </si>
  <si>
    <t>E34622TC18US1060</t>
  </si>
  <si>
    <t>424130703995</t>
  </si>
  <si>
    <t>1809000272</t>
  </si>
  <si>
    <t>E4480SB18UK1053</t>
  </si>
  <si>
    <t>424130705298</t>
  </si>
  <si>
    <t>1809000273</t>
  </si>
  <si>
    <t>E04698US18-1013</t>
  </si>
  <si>
    <t>424130705289</t>
  </si>
  <si>
    <t>1809000274</t>
  </si>
  <si>
    <t>E04698US18-0992</t>
  </si>
  <si>
    <t>424130705305</t>
  </si>
  <si>
    <t>CM ADVANCE adjust REF-424130677318</t>
  </si>
  <si>
    <t>1809000275</t>
  </si>
  <si>
    <t>CM ADVANCE RECEIVED REF-424130706055</t>
  </si>
  <si>
    <t>IT06591812200086</t>
  </si>
  <si>
    <t>424130706055</t>
  </si>
  <si>
    <t>1809000276</t>
  </si>
  <si>
    <t>CM ADVANCE RECEIVED REF-424130707483</t>
  </si>
  <si>
    <t>IT06591812200249</t>
  </si>
  <si>
    <t>424130707483</t>
  </si>
  <si>
    <t>1809000277</t>
  </si>
  <si>
    <t>CM ADVANCE adjust REF-424130702852</t>
  </si>
  <si>
    <t>E04897US18-1079</t>
  </si>
  <si>
    <t>424130707544</t>
  </si>
  <si>
    <t>CM ADVANCE adjust REF-424130698288</t>
  </si>
  <si>
    <t>1809000278</t>
  </si>
  <si>
    <t>CM ADVANCE RECEIVED REF-424130708650</t>
  </si>
  <si>
    <t>424130708650</t>
  </si>
  <si>
    <t>1809000279</t>
  </si>
  <si>
    <t>E04698US18-0988</t>
  </si>
  <si>
    <t>424130708669</t>
  </si>
  <si>
    <t>CM ADVANCE adjust REF-424130707483</t>
  </si>
  <si>
    <t>CM ADVANCE adjust REF-424130701808</t>
  </si>
  <si>
    <t>1809000280</t>
  </si>
  <si>
    <t>DE468ITS18CE10</t>
  </si>
  <si>
    <t>424130708678</t>
  </si>
  <si>
    <t>1809000282</t>
  </si>
  <si>
    <t>CM ADVANCE RECEIVED REF-424130696351</t>
  </si>
  <si>
    <t>IT06591811290541</t>
  </si>
  <si>
    <t>424130696351</t>
  </si>
  <si>
    <t>1809000295</t>
  </si>
  <si>
    <t>1809000283</t>
  </si>
  <si>
    <t>CM ADVANCE RECEIVED REF-424130696360</t>
  </si>
  <si>
    <t>IT06591812010040</t>
  </si>
  <si>
    <t>424130696360</t>
  </si>
  <si>
    <t>1809000284</t>
  </si>
  <si>
    <t>CM ADVANCE adjust REF-424130687691</t>
  </si>
  <si>
    <t>E24738VFUS0322</t>
  </si>
  <si>
    <t>424130696388</t>
  </si>
  <si>
    <t>CM ADVANCE adjust REF-424130681081</t>
  </si>
  <si>
    <t>CM ADVANCE adjust REF-424130674357</t>
  </si>
  <si>
    <t>1809000285</t>
  </si>
  <si>
    <t>E24736VF18US0339</t>
  </si>
  <si>
    <t>424130696397</t>
  </si>
  <si>
    <t>1809000287</t>
  </si>
  <si>
    <t>CM ADVANCE RECEIVED REF-424130698260</t>
  </si>
  <si>
    <t>IT06591812040188</t>
  </si>
  <si>
    <t>424130698260</t>
  </si>
  <si>
    <t>1809000288</t>
  </si>
  <si>
    <t>CM ADVANCE RECEIVED REF-424130698670</t>
  </si>
  <si>
    <t>IT06591812050135</t>
  </si>
  <si>
    <t>424130698670</t>
  </si>
  <si>
    <t>1809000289</t>
  </si>
  <si>
    <t>CM ADVANCE RECEIVED REF-424130698858</t>
  </si>
  <si>
    <t>IT06591812050229</t>
  </si>
  <si>
    <t>424130698858</t>
  </si>
  <si>
    <t>E24720VF18US0321</t>
  </si>
  <si>
    <t>424130699394</t>
  </si>
  <si>
    <t>CM ADVANCE adjust REF-424130670994</t>
  </si>
  <si>
    <t>CM ADVANCE adjust REF-424130687708</t>
  </si>
  <si>
    <t>1809000291</t>
  </si>
  <si>
    <t>CM ADVANCE RECEIVED REF-424130701130</t>
  </si>
  <si>
    <t>IT06591812100180</t>
  </si>
  <si>
    <t>424130701130</t>
  </si>
  <si>
    <t>1809000292</t>
  </si>
  <si>
    <t>CM ADVANCE adjust REF-424130696360</t>
  </si>
  <si>
    <t>04830180328OB</t>
  </si>
  <si>
    <t>424130701862</t>
  </si>
  <si>
    <t>1809000293</t>
  </si>
  <si>
    <t>04830180332CA</t>
  </si>
  <si>
    <t>424130702594</t>
  </si>
  <si>
    <t>1809000294</t>
  </si>
  <si>
    <t>E24738VF18US0351</t>
  </si>
  <si>
    <t>424130703977</t>
  </si>
  <si>
    <t>CM ADVANCE adjust REF-424130698670</t>
  </si>
  <si>
    <t>CM ADVANCE adjust REF-424130698260</t>
  </si>
  <si>
    <t>CM ADVANCE adjust REF-424130693540</t>
  </si>
  <si>
    <t>E24720VF18US0342</t>
  </si>
  <si>
    <t>424130705314</t>
  </si>
  <si>
    <t>CM ADVANCE adjust REF-424130693238</t>
  </si>
  <si>
    <t>CM ADVANCE adjust REF-424130696351</t>
  </si>
  <si>
    <t>1809000297</t>
  </si>
  <si>
    <t>E24738VF18US0350</t>
  </si>
  <si>
    <t>424130706073</t>
  </si>
  <si>
    <t>1809000298</t>
  </si>
  <si>
    <t>04830180330SE</t>
  </si>
  <si>
    <t>424130706082</t>
  </si>
  <si>
    <t>1809000299</t>
  </si>
  <si>
    <t>CM ADVANCE adjust REF-424130701130</t>
  </si>
  <si>
    <t>04830180353DE</t>
  </si>
  <si>
    <t>424130707562</t>
  </si>
  <si>
    <t>1809000301</t>
  </si>
  <si>
    <t>E24785VF18US0365</t>
  </si>
  <si>
    <t>424130708703</t>
  </si>
  <si>
    <t>CM ADVANCE adjust REF-424130698858</t>
  </si>
  <si>
    <t>1809000303</t>
  </si>
  <si>
    <t>CM ADVANCE adjust REF-424130690801</t>
  </si>
  <si>
    <t>E04893US18-1039</t>
  </si>
  <si>
    <t>424130698304</t>
  </si>
  <si>
    <t>1809000304</t>
  </si>
  <si>
    <t>CM ADVANCE adjust REF-424130687726</t>
  </si>
  <si>
    <t>E4707SB18UK1034</t>
  </si>
  <si>
    <t>424130696333</t>
  </si>
  <si>
    <t>1809000305</t>
  </si>
  <si>
    <t>E4753SB18UK1054</t>
  </si>
  <si>
    <t>424130696342</t>
  </si>
  <si>
    <t>1809000307</t>
  </si>
  <si>
    <t>1809000309</t>
  </si>
  <si>
    <t>1809000310</t>
  </si>
  <si>
    <t>Cm Advance Received-424130710157</t>
  </si>
  <si>
    <t>IT06591812270122</t>
  </si>
  <si>
    <t>424130710157</t>
  </si>
  <si>
    <t>1809000311</t>
  </si>
  <si>
    <t>Cm Advance Received-424130710166</t>
  </si>
  <si>
    <t>IT06591901010033</t>
  </si>
  <si>
    <t>424130710166</t>
  </si>
  <si>
    <t>1809000312</t>
  </si>
  <si>
    <t>Cm Advance adjust-424130710166</t>
  </si>
  <si>
    <t>DE4681TS18CE1074</t>
  </si>
  <si>
    <t>424130710148</t>
  </si>
  <si>
    <t>1809000313</t>
  </si>
  <si>
    <t>Cm Advance adjust-424130706055</t>
  </si>
  <si>
    <t>E34620TC18US1096</t>
  </si>
  <si>
    <t>424130711281</t>
  </si>
  <si>
    <t>1809000314</t>
  </si>
  <si>
    <t>Cm Advance adjust-424130696315</t>
  </si>
  <si>
    <t>E04714WM18CN1065</t>
  </si>
  <si>
    <t>424130711290</t>
  </si>
  <si>
    <t>Cm Advance adjust-424130698288</t>
  </si>
  <si>
    <t>1809000315</t>
  </si>
  <si>
    <t>Cm Advance Received-424130711548</t>
  </si>
  <si>
    <t>IT06591901020145</t>
  </si>
  <si>
    <t>424130711548</t>
  </si>
  <si>
    <t>1809000316</t>
  </si>
  <si>
    <t>Cm Advance Received-424130712976</t>
  </si>
  <si>
    <t>IT06591901050043</t>
  </si>
  <si>
    <t>424130712976</t>
  </si>
  <si>
    <t>1809000317</t>
  </si>
  <si>
    <t>Cm Advance Received-424130712985</t>
  </si>
  <si>
    <t>IT06591901050037</t>
  </si>
  <si>
    <t>424130712985</t>
  </si>
  <si>
    <t>1906000001</t>
  </si>
  <si>
    <t>1809000318</t>
  </si>
  <si>
    <t>Cm Advance adjust-424130702852</t>
  </si>
  <si>
    <t>E04761US181089</t>
  </si>
  <si>
    <t>424130714518</t>
  </si>
  <si>
    <t>1809000319</t>
  </si>
  <si>
    <t>Cm Advance adjust-424130714545</t>
  </si>
  <si>
    <t>IT06591901070097</t>
  </si>
  <si>
    <t>424130714545</t>
  </si>
  <si>
    <t>1809000321</t>
  </si>
  <si>
    <t>Cm Advance adjust-424130708650</t>
  </si>
  <si>
    <t>E04715WM18CA1134</t>
  </si>
  <si>
    <t>424130714572</t>
  </si>
  <si>
    <t>1809000322</t>
  </si>
  <si>
    <t>Cm Advance adjust-424130702843</t>
  </si>
  <si>
    <t>E04725US181145</t>
  </si>
  <si>
    <t>424130714590</t>
  </si>
  <si>
    <t>1809000323</t>
  </si>
  <si>
    <t>Cm Advance adjust-424130707483</t>
  </si>
  <si>
    <t>E04755US181138</t>
  </si>
  <si>
    <t>424130714563</t>
  </si>
  <si>
    <t>1809000324</t>
  </si>
  <si>
    <t>Cm Advance adjust-424130701808</t>
  </si>
  <si>
    <t>E4707SB18UK1088</t>
  </si>
  <si>
    <t>424130714554</t>
  </si>
  <si>
    <t>1809000325</t>
  </si>
  <si>
    <t>Cm Advance Received-424130717007</t>
  </si>
  <si>
    <t>IT06591901090247</t>
  </si>
  <si>
    <t>424130717007</t>
  </si>
  <si>
    <t>1809000327</t>
  </si>
  <si>
    <t>E34626TC18US1095</t>
  </si>
  <si>
    <t>424130715802</t>
  </si>
  <si>
    <t>Cm Advance adjust-424130710157</t>
  </si>
  <si>
    <t>1809000328</t>
  </si>
  <si>
    <t>Cm Advance adjust-424130711548</t>
  </si>
  <si>
    <t>E04787WM18CA1467</t>
  </si>
  <si>
    <t>424130717141</t>
  </si>
  <si>
    <t>1809000329</t>
  </si>
  <si>
    <t>E4707SB18UK1451</t>
  </si>
  <si>
    <t>424130717533</t>
  </si>
  <si>
    <t>1809000330</t>
  </si>
  <si>
    <t>W04765WM18JP1093</t>
  </si>
  <si>
    <t>424130717579</t>
  </si>
  <si>
    <t>1809000331</t>
  </si>
  <si>
    <t>E44682C18GR1116</t>
  </si>
  <si>
    <t>424130717597</t>
  </si>
  <si>
    <t>1809000332</t>
  </si>
  <si>
    <t>E44541KH18US1122</t>
  </si>
  <si>
    <t>424130717542</t>
  </si>
  <si>
    <t>1809000333</t>
  </si>
  <si>
    <t>E44542KH18US1127</t>
  </si>
  <si>
    <t>424130717588</t>
  </si>
  <si>
    <t>1809000334</t>
  </si>
  <si>
    <t>E44748DC18US1481</t>
  </si>
  <si>
    <t>424130717551</t>
  </si>
  <si>
    <t>1809000335</t>
  </si>
  <si>
    <t>Cm Advance Received-424130718809</t>
  </si>
  <si>
    <t>IT06591901140286</t>
  </si>
  <si>
    <t>424130718809</t>
  </si>
  <si>
    <t>1809000488</t>
  </si>
  <si>
    <t>1809000336</t>
  </si>
  <si>
    <t>E04795US18-1502</t>
  </si>
  <si>
    <t>424130719416</t>
  </si>
  <si>
    <t>1809000338</t>
  </si>
  <si>
    <t>E04766WM18JP1092</t>
  </si>
  <si>
    <t>424130719434</t>
  </si>
  <si>
    <t>1809000339</t>
  </si>
  <si>
    <t>DE4762TS18UK1111</t>
  </si>
  <si>
    <t>424130719443</t>
  </si>
  <si>
    <t>1809000340</t>
  </si>
  <si>
    <t>Cm Advance Received-424130720422</t>
  </si>
  <si>
    <t>IT06591901150292</t>
  </si>
  <si>
    <t>424130720422</t>
  </si>
  <si>
    <t>1906000004</t>
  </si>
  <si>
    <t>1809000341</t>
  </si>
  <si>
    <t>E04795US18-1500</t>
  </si>
  <si>
    <t>424130721591</t>
  </si>
  <si>
    <t>1809000343</t>
  </si>
  <si>
    <t>1809000344</t>
  </si>
  <si>
    <t>DE4681TS18CE1105</t>
  </si>
  <si>
    <t>424130717560</t>
  </si>
  <si>
    <t>1809000345</t>
  </si>
  <si>
    <t>Cm Advance Received-424130724295</t>
  </si>
  <si>
    <t>IT06591901220118</t>
  </si>
  <si>
    <t>424130724295</t>
  </si>
  <si>
    <t>1809000346</t>
  </si>
  <si>
    <t>Cm Advance adjust-424130717007</t>
  </si>
  <si>
    <t>E44682C,18GR</t>
  </si>
  <si>
    <t>424130724507</t>
  </si>
  <si>
    <t>1809000347</t>
  </si>
  <si>
    <t>E04726US18-1457</t>
  </si>
  <si>
    <t>424130725132</t>
  </si>
  <si>
    <t>1809000348</t>
  </si>
  <si>
    <t>Cm Advance Received-424130725622</t>
  </si>
  <si>
    <t>IT06591901230295</t>
  </si>
  <si>
    <t>424130725622</t>
  </si>
  <si>
    <t>1809000349</t>
  </si>
  <si>
    <t>Cm Advance Received-424130710120</t>
  </si>
  <si>
    <t>IT06591901010036</t>
  </si>
  <si>
    <t>424130710120</t>
  </si>
  <si>
    <t>1809000350</t>
  </si>
  <si>
    <t>Cm Advance adjust-424130701130</t>
  </si>
  <si>
    <t>04830180356DK</t>
  </si>
  <si>
    <t>424130710139</t>
  </si>
  <si>
    <t>1809000351</t>
  </si>
  <si>
    <t>Cm Advance Received-424130712921</t>
  </si>
  <si>
    <t>IT06591901030191</t>
  </si>
  <si>
    <t>424130712921</t>
  </si>
  <si>
    <t>1809000366</t>
  </si>
  <si>
    <t>1809000352</t>
  </si>
  <si>
    <t>Cm Advance Received-424130712930</t>
  </si>
  <si>
    <t>IT06591901030179</t>
  </si>
  <si>
    <t>424130712930</t>
  </si>
  <si>
    <t>1809000353</t>
  </si>
  <si>
    <t>Cm Advance Received-424130712949</t>
  </si>
  <si>
    <t>IT06591901050100</t>
  </si>
  <si>
    <t>424130712949</t>
  </si>
  <si>
    <t>1906000000</t>
  </si>
  <si>
    <t>1809000354</t>
  </si>
  <si>
    <t>Cm Advance Received-424130712958</t>
  </si>
  <si>
    <t>IT06591901050105</t>
  </si>
  <si>
    <t>424130712958</t>
  </si>
  <si>
    <t>1809000355</t>
  </si>
  <si>
    <t>Cm Advance Received-424130713485</t>
  </si>
  <si>
    <t>IT06591901070059</t>
  </si>
  <si>
    <t>424130713485</t>
  </si>
  <si>
    <t>1809000356</t>
  </si>
  <si>
    <t>1809000357</t>
  </si>
  <si>
    <t>1809000358</t>
  </si>
  <si>
    <t>1809000359</t>
  </si>
  <si>
    <t>1809000360</t>
  </si>
  <si>
    <t>1809000361</t>
  </si>
  <si>
    <t>Cm Advance adjust-424130698858</t>
  </si>
  <si>
    <t>E24785VF18US0368</t>
  </si>
  <si>
    <t>424130714607</t>
  </si>
  <si>
    <t>Cm Advance adjust-424130693238</t>
  </si>
  <si>
    <t>1809000362</t>
  </si>
  <si>
    <t>Cm Advance adjust-424130710120</t>
  </si>
  <si>
    <t>E24785VF18US0391</t>
  </si>
  <si>
    <t>424130714616</t>
  </si>
  <si>
    <t>1809000363</t>
  </si>
  <si>
    <t>1809000364</t>
  </si>
  <si>
    <t>1809000365</t>
  </si>
  <si>
    <t>04830180388MY</t>
  </si>
  <si>
    <t>424130722180</t>
  </si>
  <si>
    <t>1809000367</t>
  </si>
  <si>
    <t>Cm Advance adjust-424130712949</t>
  </si>
  <si>
    <t>04913180393OU</t>
  </si>
  <si>
    <t>424130724482</t>
  </si>
  <si>
    <t>1809000368</t>
  </si>
  <si>
    <t>Cm Advance adjust-424130712930</t>
  </si>
  <si>
    <t>E04871US18-400</t>
  </si>
  <si>
    <t>424130724491</t>
  </si>
  <si>
    <t>1809000369</t>
  </si>
  <si>
    <t>Cm Advance Received-424130726854</t>
  </si>
  <si>
    <t>IT06591901260038</t>
  </si>
  <si>
    <t>424130726854</t>
  </si>
  <si>
    <t>1809000370</t>
  </si>
  <si>
    <t>1809000371</t>
  </si>
  <si>
    <t>Cm Advance adjust-424130720431</t>
  </si>
  <si>
    <t>E24738VF19US0024</t>
  </si>
  <si>
    <t>424130726863</t>
  </si>
  <si>
    <t>1809000372</t>
  </si>
  <si>
    <t>Cm Advance adjust-4424130713485</t>
  </si>
  <si>
    <t>E04871US18-0399</t>
  </si>
  <si>
    <t>424130726907</t>
  </si>
  <si>
    <t>1809000373</t>
  </si>
  <si>
    <t>04830180336RU</t>
  </si>
  <si>
    <t>424130718284</t>
  </si>
  <si>
    <t>Cm Advance adjust-424130698260</t>
  </si>
  <si>
    <t>1809000374</t>
  </si>
  <si>
    <t>E24638VF19US0001</t>
  </si>
  <si>
    <t>424130725686</t>
  </si>
  <si>
    <t>1809000375</t>
  </si>
  <si>
    <t>04830180358ID</t>
  </si>
  <si>
    <t>424130714625,424130715820</t>
  </si>
  <si>
    <t>Cm Advance adjust-424130670985</t>
  </si>
  <si>
    <t>424130722199</t>
  </si>
  <si>
    <t>424130722206,424130722215</t>
  </si>
  <si>
    <t>E04653us18-1460,1465,1464</t>
  </si>
  <si>
    <t>1809000378</t>
  </si>
  <si>
    <t>E44775BM18UK1459</t>
  </si>
  <si>
    <t>424130725631</t>
  </si>
  <si>
    <t>1809000379</t>
  </si>
  <si>
    <t>E4758SB18UK1525</t>
  </si>
  <si>
    <t>424130725640</t>
  </si>
  <si>
    <t>1809000383</t>
  </si>
  <si>
    <t>1809000384</t>
  </si>
  <si>
    <t>CM Adv adj- 424130722162</t>
  </si>
  <si>
    <t>E34836TC19US0015</t>
  </si>
  <si>
    <t>424130726881</t>
  </si>
  <si>
    <t>1809000385</t>
  </si>
  <si>
    <t>Cm Advance adjust-424130712985</t>
  </si>
  <si>
    <t>E04636US18-1489</t>
  </si>
  <si>
    <t>424130726890</t>
  </si>
  <si>
    <t>Cm Advance adjust-424130698279</t>
  </si>
  <si>
    <t>1809000386</t>
  </si>
  <si>
    <t>Cm Advance adjust-424130720422</t>
  </si>
  <si>
    <t>E04761US19-0010</t>
  </si>
  <si>
    <t>424130728004</t>
  </si>
  <si>
    <t>1809000387</t>
  </si>
  <si>
    <t>E04871US190009</t>
  </si>
  <si>
    <t>424130728772</t>
  </si>
  <si>
    <t>Cm Advance adjust-424130679432</t>
  </si>
  <si>
    <t>1809000388</t>
  </si>
  <si>
    <t>E04771US181521</t>
  </si>
  <si>
    <t>424130729735</t>
  </si>
  <si>
    <t>1809000389</t>
  </si>
  <si>
    <t>E04766WM18JP1498</t>
  </si>
  <si>
    <t>424130729744</t>
  </si>
  <si>
    <t>1809000391</t>
  </si>
  <si>
    <t>04913180394SW</t>
  </si>
  <si>
    <t>424130728013</t>
  </si>
  <si>
    <t>1809000392</t>
  </si>
  <si>
    <t>04913190015OJ</t>
  </si>
  <si>
    <t>424130728754</t>
  </si>
  <si>
    <t>1809000393</t>
  </si>
  <si>
    <t>Cm Advance adjust-424130726854</t>
  </si>
  <si>
    <t>424130728763</t>
  </si>
  <si>
    <t>1809000394</t>
  </si>
  <si>
    <t>E24737VF19US0006</t>
  </si>
  <si>
    <t>424130729753</t>
  </si>
  <si>
    <t>1809000395</t>
  </si>
  <si>
    <t>E04871US190007</t>
  </si>
  <si>
    <t>424130729851</t>
  </si>
  <si>
    <t>1809000396</t>
  </si>
  <si>
    <t>04913190030US</t>
  </si>
  <si>
    <t>424130730475</t>
  </si>
  <si>
    <t>1809000397</t>
  </si>
  <si>
    <t>Cm Advance Received-424130730457</t>
  </si>
  <si>
    <t>IT06591901300329</t>
  </si>
  <si>
    <t>424130730457</t>
  </si>
  <si>
    <t>1809000398</t>
  </si>
  <si>
    <t>E4758SB18UK1523</t>
  </si>
  <si>
    <t>424130730509</t>
  </si>
  <si>
    <t>1809000399</t>
  </si>
  <si>
    <t>DE4681TS18CE1509</t>
  </si>
  <si>
    <t>424130730484</t>
  </si>
  <si>
    <t>Cm Advance adjust-424130722162</t>
  </si>
  <si>
    <t>1809000401</t>
  </si>
  <si>
    <t>E34820BM19UK0001</t>
  </si>
  <si>
    <t>424130729762</t>
  </si>
  <si>
    <t>1809000402</t>
  </si>
  <si>
    <t>E44759AC1113</t>
  </si>
  <si>
    <t>424130717132</t>
  </si>
  <si>
    <t>1809000403</t>
  </si>
  <si>
    <t>E44775BM18UK1112</t>
  </si>
  <si>
    <t>424130706091</t>
  </si>
  <si>
    <t>1809000404</t>
  </si>
  <si>
    <t>1809000405</t>
  </si>
  <si>
    <t>1809000406</t>
  </si>
  <si>
    <t>1809000407</t>
  </si>
  <si>
    <t>1809000408</t>
  </si>
  <si>
    <t>1809000411</t>
  </si>
  <si>
    <t>Cm Advance Recevied-424130717025</t>
  </si>
  <si>
    <t>1809000524</t>
  </si>
  <si>
    <t>1809000412</t>
  </si>
  <si>
    <t>Cm Advance Recevied-424130717016</t>
  </si>
  <si>
    <t>1809000413</t>
  </si>
  <si>
    <t>Cm Advance Recevied-424130713804</t>
  </si>
  <si>
    <t>1809000414</t>
  </si>
  <si>
    <t>Cm Advance Recevied-424130713813</t>
  </si>
  <si>
    <t>1809000415</t>
  </si>
  <si>
    <t>Cm Advance Recevied-424130713822</t>
  </si>
  <si>
    <t>1809000417</t>
  </si>
  <si>
    <t>1809000419</t>
  </si>
  <si>
    <t>1809000420</t>
  </si>
  <si>
    <t>1809000421</t>
  </si>
  <si>
    <t>1809000422</t>
  </si>
  <si>
    <t>CM Adv Adjust-424130726854</t>
  </si>
  <si>
    <t>04913190034SE</t>
  </si>
  <si>
    <t>424130731991</t>
  </si>
  <si>
    <t>CM Adv Adjust-424130713485</t>
  </si>
  <si>
    <t>CM Adv Adjust-424130712949</t>
  </si>
  <si>
    <t>1809000426</t>
  </si>
  <si>
    <t>E04871US19-0008</t>
  </si>
  <si>
    <t>424130732669</t>
  </si>
  <si>
    <t>1809000427</t>
  </si>
  <si>
    <t>E04871US19-0012</t>
  </si>
  <si>
    <t>424130736031</t>
  </si>
  <si>
    <t>1809000428</t>
  </si>
  <si>
    <t>04913180396OR</t>
  </si>
  <si>
    <t>424130736095</t>
  </si>
  <si>
    <t>CM Adv Adjust-424130720431</t>
  </si>
  <si>
    <t>1809000429</t>
  </si>
  <si>
    <t>CM Advance Received-424130730965</t>
  </si>
  <si>
    <t>IT06591901310544</t>
  </si>
  <si>
    <t>424130730965</t>
  </si>
  <si>
    <t>1809000431</t>
  </si>
  <si>
    <t>Cm adv adjust-424130712985</t>
  </si>
  <si>
    <t>E04636US18-1490</t>
  </si>
  <si>
    <t>424130732017</t>
  </si>
  <si>
    <t>Cm adv adjust-424130683926</t>
  </si>
  <si>
    <t>Cm adv adjust-424130720422</t>
  </si>
  <si>
    <t>Cm adv adjust-424130679432</t>
  </si>
  <si>
    <t>Cm adv adjust-424130730457</t>
  </si>
  <si>
    <t>1809000434</t>
  </si>
  <si>
    <t>CM Advance Received-424130732605</t>
  </si>
  <si>
    <t>IT06591902040150</t>
  </si>
  <si>
    <t>424130732605</t>
  </si>
  <si>
    <t>1809000435</t>
  </si>
  <si>
    <t>E04834WM19CA0056</t>
  </si>
  <si>
    <t>424130732614</t>
  </si>
  <si>
    <t>1809000436</t>
  </si>
  <si>
    <t>E04713WM19CN0009</t>
  </si>
  <si>
    <t>424130734462</t>
  </si>
  <si>
    <t>1809000437</t>
  </si>
  <si>
    <t>Cm adv adjust-424130725622</t>
  </si>
  <si>
    <t>E54813KH19US0004</t>
  </si>
  <si>
    <t>424130734453</t>
  </si>
  <si>
    <t>1809000438</t>
  </si>
  <si>
    <t>E44777BM19UK0003</t>
  </si>
  <si>
    <t>424130734444</t>
  </si>
  <si>
    <t>1809000443</t>
  </si>
  <si>
    <t>CM Advance Received-424130736022</t>
  </si>
  <si>
    <t>IT06591902120287</t>
  </si>
  <si>
    <t>424130736022</t>
  </si>
  <si>
    <t>1809000444</t>
  </si>
  <si>
    <t>CM Advance Received-424130725622</t>
  </si>
  <si>
    <t>E4896SB19UK0066</t>
  </si>
  <si>
    <t>424130736086</t>
  </si>
  <si>
    <t>1809000445</t>
  </si>
  <si>
    <t>E04787WM19CA0064</t>
  </si>
  <si>
    <t>424130736059</t>
  </si>
  <si>
    <t>1809000446</t>
  </si>
  <si>
    <t>Cm adv adjust-424130707483</t>
  </si>
  <si>
    <t>E04914US18-1091</t>
  </si>
  <si>
    <t>424130736068</t>
  </si>
  <si>
    <t>1809000447</t>
  </si>
  <si>
    <t>E04726US18-1514</t>
  </si>
  <si>
    <t>424130736040</t>
  </si>
  <si>
    <t>1809000448</t>
  </si>
  <si>
    <t>Cm adv adjust-424130732605</t>
  </si>
  <si>
    <t>DE4681TS18CE1539</t>
  </si>
  <si>
    <t>424130736077</t>
  </si>
  <si>
    <t>1809000449</t>
  </si>
  <si>
    <t>E34798BM19UK0078</t>
  </si>
  <si>
    <t>424130737487</t>
  </si>
  <si>
    <t>1809000450</t>
  </si>
  <si>
    <t>Adv adjust ref-424130732605</t>
  </si>
  <si>
    <t>DE4681TS19CE0022</t>
  </si>
  <si>
    <t>424130738636</t>
  </si>
  <si>
    <t>1809000451</t>
  </si>
  <si>
    <t>Adv adjust ref-424130725622</t>
  </si>
  <si>
    <t>E4896SB19UK0089</t>
  </si>
  <si>
    <t>424130738351</t>
  </si>
  <si>
    <t>1809000452</t>
  </si>
  <si>
    <t>Cm adv Received-424130732650</t>
  </si>
  <si>
    <t>IT06591902040105</t>
  </si>
  <si>
    <t>424130732650</t>
  </si>
  <si>
    <t>1809000453</t>
  </si>
  <si>
    <t>Cm adv adjust-424130732650</t>
  </si>
  <si>
    <t>E24819VF19US0005</t>
  </si>
  <si>
    <t>424130738360</t>
  </si>
  <si>
    <t>1809000454</t>
  </si>
  <si>
    <t>Cm adv Received-424130732641</t>
  </si>
  <si>
    <t>IT06591902040106</t>
  </si>
  <si>
    <t>424130732641</t>
  </si>
  <si>
    <t>1809000455</t>
  </si>
  <si>
    <t>Cm adv Received-424130732632</t>
  </si>
  <si>
    <t>IT06591902040115</t>
  </si>
  <si>
    <t>424130732632</t>
  </si>
  <si>
    <t>1809000456</t>
  </si>
  <si>
    <t>Cm adv Received-424130735112</t>
  </si>
  <si>
    <t>IT06591902110118</t>
  </si>
  <si>
    <t>424130735112</t>
  </si>
  <si>
    <t>1809000457</t>
  </si>
  <si>
    <t>Cm adv Received-424130735103</t>
  </si>
  <si>
    <t>IT06591902110124</t>
  </si>
  <si>
    <t>424130735103</t>
  </si>
  <si>
    <t>1809000458</t>
  </si>
  <si>
    <t>Cm adv Received-424130732623</t>
  </si>
  <si>
    <t>IT06591902040107</t>
  </si>
  <si>
    <t>424130732623</t>
  </si>
  <si>
    <t>1809000512</t>
  </si>
  <si>
    <t>1809000459</t>
  </si>
  <si>
    <t>Cm adv Adjust-424130714545</t>
  </si>
  <si>
    <t>DE4681TS18UK1541</t>
  </si>
  <si>
    <t>424130735498</t>
  </si>
  <si>
    <t>Cm adv Adjust-424130722162</t>
  </si>
  <si>
    <t>Cm adv Adjust-4241307101572</t>
  </si>
  <si>
    <t>1809000460</t>
  </si>
  <si>
    <t>Cm adv Adjust-424130713485</t>
  </si>
  <si>
    <t>04913190036SE</t>
  </si>
  <si>
    <t>424130738379</t>
  </si>
  <si>
    <t>Cm adv Adjust-424130712949</t>
  </si>
  <si>
    <t>Cm adv Adjust-424130732650</t>
  </si>
  <si>
    <t>1809000462</t>
  </si>
  <si>
    <t>E04821WM19CA0049</t>
  </si>
  <si>
    <t>424130740570</t>
  </si>
  <si>
    <t>1809000468</t>
  </si>
  <si>
    <t>094913190052</t>
  </si>
  <si>
    <t>424130740552</t>
  </si>
  <si>
    <t>1809000469</t>
  </si>
  <si>
    <t>Cm adv Adjust-424130732641</t>
  </si>
  <si>
    <t>04913190075VN</t>
  </si>
  <si>
    <t>424130741150</t>
  </si>
  <si>
    <t>1809000470</t>
  </si>
  <si>
    <t>Cm adv Adjust-424130702843</t>
  </si>
  <si>
    <t>E04796US19-0036</t>
  </si>
  <si>
    <t>424130740589</t>
  </si>
  <si>
    <t>Cm adv Adjust-424130712985</t>
  </si>
  <si>
    <t>Cm adv Adjust-424130724295</t>
  </si>
  <si>
    <t>Cm adv Adjust-424130730457</t>
  </si>
  <si>
    <t>1809000471</t>
  </si>
  <si>
    <t>Cm adv Adjust-424130732632</t>
  </si>
  <si>
    <t>E04871US19-0066</t>
  </si>
  <si>
    <t>424130743158</t>
  </si>
  <si>
    <t>1809000472</t>
  </si>
  <si>
    <t>04913190077BE</t>
  </si>
  <si>
    <t>424130743167</t>
  </si>
  <si>
    <t>1809000475</t>
  </si>
  <si>
    <t>04796US19-0098</t>
  </si>
  <si>
    <t>424130743130</t>
  </si>
  <si>
    <t>1809000476</t>
  </si>
  <si>
    <t>E24738VF19US0070</t>
  </si>
  <si>
    <t>424130741141</t>
  </si>
  <si>
    <t>1809000478</t>
  </si>
  <si>
    <t>04913190016WE</t>
  </si>
  <si>
    <t>424130731964</t>
  </si>
  <si>
    <t>1809000481</t>
  </si>
  <si>
    <t>1809000479</t>
  </si>
  <si>
    <t>04913190059CH</t>
  </si>
  <si>
    <t>1809000483</t>
  </si>
  <si>
    <t>1809000485</t>
  </si>
  <si>
    <t>1809000486</t>
  </si>
  <si>
    <t>1809000487</t>
  </si>
  <si>
    <t>1809000491</t>
  </si>
  <si>
    <t>CM Advance Received-424130746253</t>
  </si>
  <si>
    <t>424130746253</t>
  </si>
  <si>
    <t>1809000493</t>
  </si>
  <si>
    <t>CM Advance Adjust-424130724295</t>
  </si>
  <si>
    <t>E04761US19-0103</t>
  </si>
  <si>
    <t>424130746752</t>
  </si>
  <si>
    <t>1809000497</t>
  </si>
  <si>
    <t>E04827US19-0122</t>
  </si>
  <si>
    <t>424130747225</t>
  </si>
  <si>
    <t>1809000498</t>
  </si>
  <si>
    <t>CM Advance Adjust-424130730457</t>
  </si>
  <si>
    <t>E44775BM19UK0203</t>
  </si>
  <si>
    <t>424130748572</t>
  </si>
  <si>
    <t>1809000501</t>
  </si>
  <si>
    <t>CM Advance Received-424130749198</t>
  </si>
  <si>
    <t>IT06591903060364</t>
  </si>
  <si>
    <t>424130749198</t>
  </si>
  <si>
    <t>1809000503</t>
  </si>
  <si>
    <t>CM Advance Adjust-424130730965</t>
  </si>
  <si>
    <t>E04796US19-0127</t>
  </si>
  <si>
    <t>424130750728</t>
  </si>
  <si>
    <t>1809000505</t>
  </si>
  <si>
    <t>CM ADV ADJ-424130749198</t>
  </si>
  <si>
    <t>E44759AC19KT0189</t>
  </si>
  <si>
    <t>424130751923</t>
  </si>
  <si>
    <t>1809000506</t>
  </si>
  <si>
    <t>E04834WM19CA0132</t>
  </si>
  <si>
    <t>424130752726</t>
  </si>
  <si>
    <t>1809000509</t>
  </si>
  <si>
    <t>CM Advance adjust-424130736022</t>
  </si>
  <si>
    <t>E04859US19-0171</t>
  </si>
  <si>
    <t>424130753501</t>
  </si>
  <si>
    <t>CM Advance adjust-424130732623</t>
  </si>
  <si>
    <t>04913190089KR</t>
  </si>
  <si>
    <t>424130745067</t>
  </si>
  <si>
    <t>1809000513</t>
  </si>
  <si>
    <t>CM Advance Received-424130746725</t>
  </si>
  <si>
    <t>IT06591903060183</t>
  </si>
  <si>
    <t>424130746725</t>
  </si>
  <si>
    <t>1809000514</t>
  </si>
  <si>
    <t>1809000515</t>
  </si>
  <si>
    <t>CM Advance adjust-424130713813</t>
  </si>
  <si>
    <t>E24883VF19US0047</t>
  </si>
  <si>
    <t>424130747234</t>
  </si>
  <si>
    <t>1809000516</t>
  </si>
  <si>
    <t>CM Advance adjust-424130674357</t>
  </si>
  <si>
    <t>04913190101MY</t>
  </si>
  <si>
    <t>424130747243</t>
  </si>
  <si>
    <t>1809000518</t>
  </si>
  <si>
    <t>CM Advance adjust-424130712985</t>
  </si>
  <si>
    <t>E24721VF19US0067</t>
  </si>
  <si>
    <t>424130750755</t>
  </si>
  <si>
    <t>1809000519</t>
  </si>
  <si>
    <t>CM Advance adjust-424130687691</t>
  </si>
  <si>
    <t>E24736VF19US0107</t>
  </si>
  <si>
    <t>424130752744</t>
  </si>
  <si>
    <t>CM Advance adjust-424130698858</t>
  </si>
  <si>
    <t>1809000520</t>
  </si>
  <si>
    <t>CM ADVANCE RECEIVE REF-424130745469</t>
  </si>
  <si>
    <t>IT06591903020026</t>
  </si>
  <si>
    <t>424130745469</t>
  </si>
  <si>
    <t>1809000521</t>
  </si>
  <si>
    <t>CM ADV Adjusted REF-424130745469</t>
  </si>
  <si>
    <t>E54813KH19US0141</t>
  </si>
  <si>
    <t>424130750737</t>
  </si>
  <si>
    <t>1809000522</t>
  </si>
  <si>
    <t>E4829SB19UK0206</t>
  </si>
  <si>
    <t>424130753510</t>
  </si>
  <si>
    <t>1809000523</t>
  </si>
  <si>
    <t>1809000525</t>
  </si>
  <si>
    <t>Cm Advanc adjust-424130745469</t>
  </si>
  <si>
    <t>E4763SB19UK0233</t>
  </si>
  <si>
    <t>424130755634</t>
  </si>
  <si>
    <t>1809000527</t>
  </si>
  <si>
    <t>Cm Advance Received-424130746734</t>
  </si>
  <si>
    <t>1809000528</t>
  </si>
  <si>
    <t>Cm Advanc adjust-424130746734</t>
  </si>
  <si>
    <t>05041190111US</t>
  </si>
  <si>
    <t>424130754172</t>
  </si>
  <si>
    <t>1809000529</t>
  </si>
  <si>
    <t>05041190112SE</t>
  </si>
  <si>
    <t>424130757231</t>
  </si>
  <si>
    <t>1809000530</t>
  </si>
  <si>
    <t>Cm Advanc adjust-424130681081</t>
  </si>
  <si>
    <t>05041190133ES</t>
  </si>
  <si>
    <t>424130759845</t>
  </si>
  <si>
    <t>1809000531</t>
  </si>
  <si>
    <t>Cm Advanc adjust-424130749198</t>
  </si>
  <si>
    <t>E34663TC19US0199</t>
  </si>
  <si>
    <t>424130753495</t>
  </si>
  <si>
    <t>1809000534</t>
  </si>
  <si>
    <t>Cm Advanc adjust-424130736022</t>
  </si>
  <si>
    <t>E04878US19-0216</t>
  </si>
  <si>
    <t>424130757222</t>
  </si>
  <si>
    <t>Cm Advanc adjust-424130730965</t>
  </si>
  <si>
    <t>1809000535</t>
  </si>
  <si>
    <t>E25047VF19MX0141</t>
  </si>
  <si>
    <t>424130758490</t>
  </si>
  <si>
    <t>1809000536</t>
  </si>
  <si>
    <t>Cm Advanc adjust-424130746253</t>
  </si>
  <si>
    <t>DE4747TS19UK0244</t>
  </si>
  <si>
    <t>424130759827</t>
  </si>
  <si>
    <t>1809000537</t>
  </si>
  <si>
    <t>E4488BM19UK0253</t>
  </si>
  <si>
    <t>424130759836</t>
  </si>
  <si>
    <t>1809000538</t>
  </si>
  <si>
    <t>E04877US19-0213</t>
  </si>
  <si>
    <t>424130759729</t>
  </si>
  <si>
    <t>1809000539</t>
  </si>
  <si>
    <t>E4752SB19UK0090</t>
  </si>
  <si>
    <t>424130758481</t>
  </si>
  <si>
    <t>1809000540</t>
  </si>
  <si>
    <t>DE4747TS19CE0174</t>
  </si>
  <si>
    <t>424130758472</t>
  </si>
  <si>
    <t>1809000541</t>
  </si>
  <si>
    <t>E24939VF19US0110</t>
  </si>
  <si>
    <t>424130754163</t>
  </si>
  <si>
    <t>1809000544</t>
  </si>
  <si>
    <t>1809000546</t>
  </si>
  <si>
    <t>1809000550</t>
  </si>
  <si>
    <t>Cm adv adujust Ref-424130736022</t>
  </si>
  <si>
    <t>E04841US19-0210</t>
  </si>
  <si>
    <t>424130761547</t>
  </si>
  <si>
    <t>1809000551</t>
  </si>
  <si>
    <t>Cm adv adujust Ref-424130745469</t>
  </si>
  <si>
    <t>E4959SB19UK0280</t>
  </si>
  <si>
    <t>424130762154</t>
  </si>
  <si>
    <t>1809000552</t>
  </si>
  <si>
    <t>Cm Adv Received-424130762136</t>
  </si>
  <si>
    <t>IT06591904020271</t>
  </si>
  <si>
    <t>424130762136</t>
  </si>
  <si>
    <t>1809000553</t>
  </si>
  <si>
    <t>Cm Adv Received-424130761217</t>
  </si>
  <si>
    <t>IT06591904010116</t>
  </si>
  <si>
    <t>424130761217</t>
  </si>
  <si>
    <t>1809000554</t>
  </si>
  <si>
    <t>Cm adv adujust Ref-424130746725</t>
  </si>
  <si>
    <t>E24908VF19US0121</t>
  </si>
  <si>
    <t>424130762145</t>
  </si>
  <si>
    <t>1809000556</t>
  </si>
  <si>
    <t>1809000557</t>
  </si>
  <si>
    <t>E54813KH19US0285</t>
  </si>
  <si>
    <t>424130762822</t>
  </si>
  <si>
    <t>1809000558</t>
  </si>
  <si>
    <t>E04841US19-0212</t>
  </si>
  <si>
    <t>424130762813</t>
  </si>
  <si>
    <t>1809000559</t>
  </si>
  <si>
    <t>Cm adv adujust Ref-424130746253</t>
  </si>
  <si>
    <t>DE4747TS19CE0245</t>
  </si>
  <si>
    <t>424130763527</t>
  </si>
  <si>
    <t>1809000560</t>
  </si>
  <si>
    <t>Cm Adv Received-424130763554</t>
  </si>
  <si>
    <t>IT06591904060155</t>
  </si>
  <si>
    <t>424130763554</t>
  </si>
  <si>
    <t>1809000562</t>
  </si>
  <si>
    <t>E44780BM19UK0299</t>
  </si>
  <si>
    <t>424130763536</t>
  </si>
  <si>
    <t>1809000563</t>
  </si>
  <si>
    <t>E34730TC19US0271</t>
  </si>
  <si>
    <t>424130763493</t>
  </si>
  <si>
    <t>1809000564</t>
  </si>
  <si>
    <t>E54746DC19US0221</t>
  </si>
  <si>
    <t>424130763484</t>
  </si>
  <si>
    <t>1809000565</t>
  </si>
  <si>
    <t>E05010US190225</t>
  </si>
  <si>
    <t>424130763509</t>
  </si>
  <si>
    <t>Cm adv adujust Ref-424130730965</t>
  </si>
  <si>
    <t>1809000566</t>
  </si>
  <si>
    <t>E34962TC19US0272</t>
  </si>
  <si>
    <t>424130764615</t>
  </si>
  <si>
    <t>1809000570</t>
  </si>
  <si>
    <t>E04884US190263</t>
  </si>
  <si>
    <t>424130766150</t>
  </si>
  <si>
    <t>1809000571</t>
  </si>
  <si>
    <t>E45001SB19UK0342</t>
  </si>
  <si>
    <t>424130767079</t>
  </si>
  <si>
    <t>1809000572</t>
  </si>
  <si>
    <t>CM Advance adjust-424130761217</t>
  </si>
  <si>
    <t>05064190180ID</t>
  </si>
  <si>
    <t>424130767042</t>
  </si>
  <si>
    <t>1809000573</t>
  </si>
  <si>
    <t>05064190139US</t>
  </si>
  <si>
    <t>424130767051</t>
  </si>
  <si>
    <t>1809000575</t>
  </si>
  <si>
    <t>CM Advance adjust-424130745469</t>
  </si>
  <si>
    <t>E54813KH19US0287</t>
  </si>
  <si>
    <t>424130768130</t>
  </si>
  <si>
    <t>1809000576</t>
  </si>
  <si>
    <t>CM Advance adjust-424130746253</t>
  </si>
  <si>
    <t>DE4747TS19CE0308</t>
  </si>
  <si>
    <t>424130768112</t>
  </si>
  <si>
    <t>1809000579</t>
  </si>
  <si>
    <t>E34962TC19CA0305</t>
  </si>
  <si>
    <t>424130769656</t>
  </si>
  <si>
    <t>1809000581</t>
  </si>
  <si>
    <t>DE4747TS19CE0208</t>
  </si>
  <si>
    <t>424130769665</t>
  </si>
  <si>
    <t>1809000582</t>
  </si>
  <si>
    <t>05041190177TH</t>
  </si>
  <si>
    <t>424130769727</t>
  </si>
  <si>
    <t>1809000583</t>
  </si>
  <si>
    <t>DE4681TS19UK0344</t>
  </si>
  <si>
    <t>424130771331</t>
  </si>
  <si>
    <t>1809000586</t>
  </si>
  <si>
    <t>CM Advance adjust-424130762136</t>
  </si>
  <si>
    <t>E04840US19-0346</t>
  </si>
  <si>
    <t>424130773197,424130773188</t>
  </si>
  <si>
    <t>1809000587</t>
  </si>
  <si>
    <t>E04902US19-0294</t>
  </si>
  <si>
    <t>424130773222</t>
  </si>
  <si>
    <t>1809000589</t>
  </si>
  <si>
    <t>05069190189ID</t>
  </si>
  <si>
    <t>424130773927</t>
  </si>
  <si>
    <t>1809000590</t>
  </si>
  <si>
    <t>CM Advance adjust-424130763554</t>
  </si>
  <si>
    <t>E34962TC19CA0366</t>
  </si>
  <si>
    <t>424130773936</t>
  </si>
  <si>
    <t>1809000592</t>
  </si>
  <si>
    <t>E4833AMZ19US0306</t>
  </si>
  <si>
    <t>424130773954</t>
  </si>
  <si>
    <t>1809000594</t>
  </si>
  <si>
    <t>05064190198BE</t>
  </si>
  <si>
    <t>424130774230</t>
  </si>
  <si>
    <t>1809000595</t>
  </si>
  <si>
    <t>CM Advance REC-424130762902</t>
  </si>
  <si>
    <t>1809000596</t>
  </si>
  <si>
    <t>CM Advance adjust-424130762902</t>
  </si>
  <si>
    <t>E24988VF19US0146</t>
  </si>
  <si>
    <t>424130774249</t>
  </si>
  <si>
    <t>CM Advance adjust-424130746725</t>
  </si>
  <si>
    <t>1809000598</t>
  </si>
  <si>
    <t>Cm Advance adjusted-424130746253</t>
  </si>
  <si>
    <t>E44759AC19KT0284</t>
  </si>
  <si>
    <t>424130773945</t>
  </si>
  <si>
    <t>1809000599</t>
  </si>
  <si>
    <t>Cm adv adj424130762136</t>
  </si>
  <si>
    <t>E04902US190307</t>
  </si>
  <si>
    <t>424130775060</t>
  </si>
  <si>
    <t>Cm adv adj424130745469</t>
  </si>
  <si>
    <t>1809000601</t>
  </si>
  <si>
    <t>E45042SB19UK0405</t>
  </si>
  <si>
    <t>424130775667</t>
  </si>
  <si>
    <t>1809000602</t>
  </si>
  <si>
    <t>Cm adv adjust-424130762136</t>
  </si>
  <si>
    <t>E04936US19-0317</t>
  </si>
  <si>
    <t>424130775658,424130775649</t>
  </si>
  <si>
    <t>Cm adv adjust-424130745469</t>
  </si>
  <si>
    <t>1809000603</t>
  </si>
  <si>
    <t>Cm Advance ref-424130775569</t>
  </si>
  <si>
    <t>IT06591905040024</t>
  </si>
  <si>
    <t>424130775569</t>
  </si>
  <si>
    <t>1906000008</t>
  </si>
  <si>
    <t>1809000604</t>
  </si>
  <si>
    <t>Cm Advance ref-424130775578</t>
  </si>
  <si>
    <t>IT06591905021054</t>
  </si>
  <si>
    <t>424130775578</t>
  </si>
  <si>
    <t>1809000605</t>
  </si>
  <si>
    <t>1809000606</t>
  </si>
  <si>
    <t>1906000010</t>
  </si>
  <si>
    <t>1809000607</t>
  </si>
  <si>
    <t>Cm Advance ref-424130775596</t>
  </si>
  <si>
    <t>424130775596</t>
  </si>
  <si>
    <t>1809000608</t>
  </si>
  <si>
    <t>Cm Advance ref-424130762902</t>
  </si>
  <si>
    <t>E24991VF19US0164</t>
  </si>
  <si>
    <t>424130776292</t>
  </si>
  <si>
    <t>1809000609</t>
  </si>
  <si>
    <t>Cm Advance ref-424130746253</t>
  </si>
  <si>
    <t>E34865TC19CA0367</t>
  </si>
  <si>
    <t>424130776309</t>
  </si>
  <si>
    <t>1809000612</t>
  </si>
  <si>
    <t>Cm adv adj-424130775569</t>
  </si>
  <si>
    <t>E34873BM19UK0365</t>
  </si>
  <si>
    <t>424130777004</t>
  </si>
  <si>
    <t>Cm adv adj-424130762136</t>
  </si>
  <si>
    <t>1809000613</t>
  </si>
  <si>
    <t>Cm adv adj-424130763554</t>
  </si>
  <si>
    <t>E4831AMZ19US0277</t>
  </si>
  <si>
    <t>424130777013</t>
  </si>
  <si>
    <t>1809000614</t>
  </si>
  <si>
    <t>Cm adv adj-424130746253</t>
  </si>
  <si>
    <t>DE4747TS19UK0345</t>
  </si>
  <si>
    <t>424130777022</t>
  </si>
  <si>
    <t>1809000615</t>
  </si>
  <si>
    <t>cm adv adj-424130762136</t>
  </si>
  <si>
    <t>E04997US19-0381</t>
  </si>
  <si>
    <t>424130777781,424130777763</t>
  </si>
  <si>
    <t>1809000616</t>
  </si>
  <si>
    <t>cm adv adj-424130763554</t>
  </si>
  <si>
    <t>E44973DC19US0374</t>
  </si>
  <si>
    <t>424130777031</t>
  </si>
  <si>
    <t>1809000617</t>
  </si>
  <si>
    <t>E04902US190352</t>
  </si>
  <si>
    <t>424130779351</t>
  </si>
  <si>
    <t>1809000618</t>
  </si>
  <si>
    <t>cm adv adj-424130687691</t>
  </si>
  <si>
    <t>05069190207OE</t>
  </si>
  <si>
    <t>424130779342</t>
  </si>
  <si>
    <t>cm adv adj-424130775587</t>
  </si>
  <si>
    <t>1809000619</t>
  </si>
  <si>
    <t>cm adv adj-424130698858</t>
  </si>
  <si>
    <t>05064190211GB</t>
  </si>
  <si>
    <t>424130775676</t>
  </si>
  <si>
    <t>1809000620</t>
  </si>
  <si>
    <t>05064190217HR</t>
  </si>
  <si>
    <t>424130777790</t>
  </si>
  <si>
    <t>1809000621</t>
  </si>
  <si>
    <t>cm adv adj-424130745469</t>
  </si>
  <si>
    <t>E34873BM19UK0421</t>
  </si>
  <si>
    <t>424130780223</t>
  </si>
  <si>
    <t>1809000624</t>
  </si>
  <si>
    <t>1809000626</t>
  </si>
  <si>
    <t>1809000627</t>
  </si>
  <si>
    <t>1809000628</t>
  </si>
  <si>
    <t>1809000629</t>
  </si>
  <si>
    <t>Cm Adv Adj Ref-424130762136</t>
  </si>
  <si>
    <t>E04902US19-0351</t>
  </si>
  <si>
    <t>424130780214</t>
  </si>
  <si>
    <t>1809000631</t>
  </si>
  <si>
    <t>Cm Adv Adj Ref-424130775587</t>
  </si>
  <si>
    <t>05064190216KR</t>
  </si>
  <si>
    <t>424130780232</t>
  </si>
  <si>
    <t>Cm Adv Adj Ref-424130761217</t>
  </si>
  <si>
    <t>1809000632</t>
  </si>
  <si>
    <t>05064190218IX</t>
  </si>
  <si>
    <t>424130780241</t>
  </si>
  <si>
    <t>1809000633</t>
  </si>
  <si>
    <t>E24966VF19CA0144</t>
  </si>
  <si>
    <t>424130780250</t>
  </si>
  <si>
    <t>1809000634</t>
  </si>
  <si>
    <t>CM Adv adj- 424130762902</t>
  </si>
  <si>
    <t>E24992VF19US0195</t>
  </si>
  <si>
    <t>424130781071</t>
  </si>
  <si>
    <t>1809000635</t>
  </si>
  <si>
    <t>Cm Adv Adj Ref-424130763554</t>
  </si>
  <si>
    <t>E4831AMZ19US0408</t>
  </si>
  <si>
    <t>424130781035</t>
  </si>
  <si>
    <t>1809000636</t>
  </si>
  <si>
    <t>E34963TC19US0420</t>
  </si>
  <si>
    <t>424130781053</t>
  </si>
  <si>
    <t>1809000637</t>
  </si>
  <si>
    <t>E34995DC19US0389</t>
  </si>
  <si>
    <t>424130781044</t>
  </si>
  <si>
    <t>1809000638</t>
  </si>
  <si>
    <t>E4852AMZ19US0288</t>
  </si>
  <si>
    <t>424130781026</t>
  </si>
  <si>
    <t>1809000639</t>
  </si>
  <si>
    <t>Cm Adv Adj Ref-424130746253</t>
  </si>
  <si>
    <t>E34904TC19CA0436</t>
  </si>
  <si>
    <t>424130781062</t>
  </si>
  <si>
    <t>1809000640</t>
  </si>
  <si>
    <t>Cm Adv Adj Ref-424130762902</t>
  </si>
  <si>
    <t>E24907VF19US0209</t>
  </si>
  <si>
    <t>424130781730</t>
  </si>
  <si>
    <t>Cm Adv Adj Ref-424130746725</t>
  </si>
  <si>
    <t>1809000641</t>
  </si>
  <si>
    <t>05069190234IX</t>
  </si>
  <si>
    <t>424130783355</t>
  </si>
  <si>
    <t>1809000643</t>
  </si>
  <si>
    <t>cm adv adj-424130775569</t>
  </si>
  <si>
    <t>E04970US190444</t>
  </si>
  <si>
    <t>424130784256</t>
  </si>
  <si>
    <t>1809000644</t>
  </si>
  <si>
    <t>E05039US19-0401</t>
  </si>
  <si>
    <t>424130784247,424130784238</t>
  </si>
  <si>
    <t>1809000645</t>
  </si>
  <si>
    <t>CM Adv adj- 424130763554</t>
  </si>
  <si>
    <t>E349057C19US0437</t>
  </si>
  <si>
    <t>424130784274</t>
  </si>
  <si>
    <t>Cm Adv adj-424130746253</t>
  </si>
  <si>
    <t>1809000647</t>
  </si>
  <si>
    <t>Cm Adv adj-424130762136</t>
  </si>
  <si>
    <t>E04993WM19CA0417</t>
  </si>
  <si>
    <t>424130784648</t>
  </si>
  <si>
    <t>1809000648</t>
  </si>
  <si>
    <t>05064190232HK</t>
  </si>
  <si>
    <t>424130784292</t>
  </si>
  <si>
    <t>1809000649</t>
  </si>
  <si>
    <t>E15022DM19US0483</t>
  </si>
  <si>
    <t>424130785157</t>
  </si>
  <si>
    <t>1809000651</t>
  </si>
  <si>
    <t>Cm Adv Rec-424130785148</t>
  </si>
  <si>
    <t>424130785148</t>
  </si>
  <si>
    <t>1906000017</t>
  </si>
  <si>
    <t>1809000652</t>
  </si>
  <si>
    <t>Cm Adv adj-424130775569</t>
  </si>
  <si>
    <t>E34873BM19UK0449</t>
  </si>
  <si>
    <t>424130785763</t>
  </si>
  <si>
    <t>Cm adv adj-424130745469</t>
  </si>
  <si>
    <t>1809000653</t>
  </si>
  <si>
    <t>1809000655</t>
  </si>
  <si>
    <t>E05118US19-0356</t>
  </si>
  <si>
    <t>424130786548</t>
  </si>
  <si>
    <t>Cm adv adj-424130785148</t>
  </si>
  <si>
    <t>1809000656</t>
  </si>
  <si>
    <t>cm adv adj424130775569</t>
  </si>
  <si>
    <t>E05021US19-0469</t>
  </si>
  <si>
    <t>424130787495,424130787486</t>
  </si>
  <si>
    <t>1809000659</t>
  </si>
  <si>
    <t>Cm Ad Rec-424130789448</t>
  </si>
  <si>
    <t>IT06591905280172</t>
  </si>
  <si>
    <t>424130789448</t>
  </si>
  <si>
    <t>1906000006</t>
  </si>
  <si>
    <t>1809000660</t>
  </si>
  <si>
    <t>Cm Ad Rec-424130789439</t>
  </si>
  <si>
    <t>424130789439</t>
  </si>
  <si>
    <t>1906000009</t>
  </si>
  <si>
    <t>1809000662</t>
  </si>
  <si>
    <t>Cm adv adj-424130775587</t>
  </si>
  <si>
    <t>05143190267OU</t>
  </si>
  <si>
    <t>424130791471</t>
  </si>
  <si>
    <t>1809000663</t>
  </si>
  <si>
    <t>Cm Ad Rec-424130790837</t>
  </si>
  <si>
    <t>IT06591905280360</t>
  </si>
  <si>
    <t>424130790837</t>
  </si>
  <si>
    <t>1809000664</t>
  </si>
  <si>
    <t>424130790533</t>
  </si>
  <si>
    <t>E45059SB19UK0509</t>
  </si>
  <si>
    <t>1809000665</t>
  </si>
  <si>
    <t>E44780BM19UK0473</t>
  </si>
  <si>
    <t>424130791462</t>
  </si>
  <si>
    <t>1809000666</t>
  </si>
  <si>
    <t>E04937US19-0489</t>
  </si>
  <si>
    <t>424130790542</t>
  </si>
  <si>
    <t>1809000667</t>
  </si>
  <si>
    <t>E44759AC19CK0446</t>
  </si>
  <si>
    <t>424130793193</t>
  </si>
  <si>
    <t>1809000668</t>
  </si>
  <si>
    <t>Cm Adv adj-424130763554</t>
  </si>
  <si>
    <t>E34994DC19US0481</t>
  </si>
  <si>
    <t>424130793184</t>
  </si>
  <si>
    <t>1809000669</t>
  </si>
  <si>
    <t>Cm Adv Rec-424130793139</t>
  </si>
  <si>
    <t>IT06591905300111</t>
  </si>
  <si>
    <t>424130793139</t>
  </si>
  <si>
    <t>1809000670</t>
  </si>
  <si>
    <t>1809000671</t>
  </si>
  <si>
    <t>Cm Adv adj-424130775578</t>
  </si>
  <si>
    <t>E35004TC19MY0480</t>
  </si>
  <si>
    <t>424130793175</t>
  </si>
  <si>
    <t>Cm Adv adj-424130785754</t>
  </si>
  <si>
    <t>1809000672</t>
  </si>
  <si>
    <t>Cm Adv adj-424130762902</t>
  </si>
  <si>
    <t>E24940VF19US0229</t>
  </si>
  <si>
    <t>424130793166</t>
  </si>
  <si>
    <t>Cm Adv adj-424130775596</t>
  </si>
  <si>
    <t>1809000673</t>
  </si>
  <si>
    <t>E54935DM19US0368</t>
  </si>
  <si>
    <t>424130786557</t>
  </si>
  <si>
    <t>1809000679</t>
  </si>
  <si>
    <t>1809000681</t>
  </si>
  <si>
    <t>Cm Adv Adj-424130785148</t>
  </si>
  <si>
    <t>E45059SB19UK0477</t>
  </si>
  <si>
    <t>424130787501</t>
  </si>
  <si>
    <t>1809000683</t>
  </si>
  <si>
    <t>1809000684</t>
  </si>
  <si>
    <t>1809000686</t>
  </si>
  <si>
    <t>Cm Adv Adj-424130761217</t>
  </si>
  <si>
    <t>BAC0153471</t>
  </si>
  <si>
    <t>424130793754</t>
  </si>
  <si>
    <t>1809000687</t>
  </si>
  <si>
    <t>Cm Adv Adj-424130775569</t>
  </si>
  <si>
    <t>E04937US19-0492</t>
  </si>
  <si>
    <t>424130793736</t>
  </si>
  <si>
    <t>Cm Adv Adj-424130789439</t>
  </si>
  <si>
    <t>1809000688</t>
  </si>
  <si>
    <t>E45059SB19UK0537</t>
  </si>
  <si>
    <t>424130793772</t>
  </si>
  <si>
    <t>1809000692</t>
  </si>
  <si>
    <t>Cm Adv Adj-424130789448</t>
  </si>
  <si>
    <t>05143190286PL</t>
  </si>
  <si>
    <t>424130796127</t>
  </si>
  <si>
    <t>1809000693</t>
  </si>
  <si>
    <t>Cm Adv Adj-424130775587</t>
  </si>
  <si>
    <t>E04989US19-0256</t>
  </si>
  <si>
    <t>424130796092</t>
  </si>
  <si>
    <t>1809000694</t>
  </si>
  <si>
    <t>cm adv adj-424130785754</t>
  </si>
  <si>
    <t>E5028TS19UK0531</t>
  </si>
  <si>
    <t>424130796109</t>
  </si>
  <si>
    <t>1809000695</t>
  </si>
  <si>
    <t>cm adv adj-424130793139</t>
  </si>
  <si>
    <t>E14987DC19US0523</t>
  </si>
  <si>
    <t>424130796056</t>
  </si>
  <si>
    <t>1809000696</t>
  </si>
  <si>
    <t>E34905TC19US0455</t>
  </si>
  <si>
    <t>424130796074</t>
  </si>
  <si>
    <t>cm adv adj-424130746253</t>
  </si>
  <si>
    <t>1809000697</t>
  </si>
  <si>
    <t>cm adv adj-424130789439</t>
  </si>
  <si>
    <t>E15034DM19US0524</t>
  </si>
  <si>
    <t>424130796118</t>
  </si>
  <si>
    <t>1809000698</t>
  </si>
  <si>
    <t>E54814KH19US0521</t>
  </si>
  <si>
    <t>424130796083</t>
  </si>
  <si>
    <t>1809000699</t>
  </si>
  <si>
    <t>cm adv adj-424130785148</t>
  </si>
  <si>
    <t>E34990BM19UK0559</t>
  </si>
  <si>
    <t>424130796065</t>
  </si>
  <si>
    <t>1809000700</t>
  </si>
  <si>
    <t>cm adv adj-424130762902</t>
  </si>
  <si>
    <t>E24991VF19US0170</t>
  </si>
  <si>
    <t>424130797037</t>
  </si>
  <si>
    <t>cm adv adj-424130775596</t>
  </si>
  <si>
    <t>1809000701</t>
  </si>
  <si>
    <t>E34924TC19US0510</t>
  </si>
  <si>
    <t>424130797046</t>
  </si>
  <si>
    <t>cm adv adj-424130790837</t>
  </si>
  <si>
    <t>1809000703</t>
  </si>
  <si>
    <t>E5028TS19CE0551</t>
  </si>
  <si>
    <t>424130797395</t>
  </si>
  <si>
    <t>1809000704</t>
  </si>
  <si>
    <t>E34927TC19US0581</t>
  </si>
  <si>
    <t>424130798580</t>
  </si>
  <si>
    <t>cm adv adj-424130775578</t>
  </si>
  <si>
    <t>1809000705</t>
  </si>
  <si>
    <t>E25054AC19JF0294</t>
  </si>
  <si>
    <t>424130798679</t>
  </si>
  <si>
    <t>1809000706</t>
  </si>
  <si>
    <t>E45117SB19UK0570</t>
  </si>
  <si>
    <t>424130800041</t>
  </si>
  <si>
    <t>1809000707</t>
  </si>
  <si>
    <t>E4831AMZ19US0536</t>
  </si>
  <si>
    <t>424130799213</t>
  </si>
  <si>
    <t>1809000708</t>
  </si>
  <si>
    <t>E34996DC19US0525</t>
  </si>
  <si>
    <t>424130799231</t>
  </si>
  <si>
    <t>1809000709</t>
  </si>
  <si>
    <t>cm adv adj-424130789448</t>
  </si>
  <si>
    <t>05143190303MX</t>
  </si>
  <si>
    <t>424130800023</t>
  </si>
  <si>
    <t>1809000710</t>
  </si>
  <si>
    <t>E25019VF19US0296</t>
  </si>
  <si>
    <t>424130800032</t>
  </si>
  <si>
    <t>1809000711</t>
  </si>
  <si>
    <t>E04989US19 0255</t>
  </si>
  <si>
    <t>424130799240</t>
  </si>
  <si>
    <t>cm adv adj-424130761217</t>
  </si>
  <si>
    <t>1809000712</t>
  </si>
  <si>
    <t>E34927TC19US0562</t>
  </si>
  <si>
    <t>424130799222</t>
  </si>
  <si>
    <t>1809000713</t>
  </si>
  <si>
    <t>424130801068,424</t>
  </si>
  <si>
    <t>E05007US190527</t>
  </si>
  <si>
    <t>1809000714</t>
  </si>
  <si>
    <t>E04997US19-0518</t>
  </si>
  <si>
    <t>424130799204</t>
  </si>
  <si>
    <t>1809000715</t>
  </si>
  <si>
    <t>E04975US19-0472</t>
  </si>
  <si>
    <t>424130799197</t>
  </si>
  <si>
    <t>1809000717</t>
  </si>
  <si>
    <t>1809000719</t>
  </si>
  <si>
    <t>E04937US19-0490</t>
  </si>
  <si>
    <t>424130796047</t>
  </si>
  <si>
    <t>1809000720</t>
  </si>
  <si>
    <t>E04937US19-0394</t>
  </si>
  <si>
    <t>424130796038</t>
  </si>
  <si>
    <t>1809000721</t>
  </si>
  <si>
    <t>E34926TC19US0561</t>
  </si>
  <si>
    <t>424130797028</t>
  </si>
  <si>
    <t>1809000722</t>
  </si>
  <si>
    <t>E15034DM19US0579</t>
  </si>
  <si>
    <t>424130797019</t>
  </si>
  <si>
    <t>1809000723</t>
  </si>
  <si>
    <t>05143190277OD</t>
  </si>
  <si>
    <t>424130797055</t>
  </si>
  <si>
    <t>1809000724</t>
  </si>
  <si>
    <t>E04989US19-0311</t>
  </si>
  <si>
    <t>424130801111</t>
  </si>
  <si>
    <t>1809000726</t>
  </si>
  <si>
    <t>E04989US19-0313</t>
  </si>
  <si>
    <t>424130801102</t>
  </si>
  <si>
    <t>1809000727</t>
  </si>
  <si>
    <t>E05016US19-0495</t>
  </si>
  <si>
    <t>424130801077</t>
  </si>
  <si>
    <t>1809000728</t>
  </si>
  <si>
    <t>E54814KH19US0522</t>
  </si>
  <si>
    <t>424130801086</t>
  </si>
  <si>
    <t>1809000729</t>
  </si>
  <si>
    <t>E34873BM19UK0474</t>
  </si>
  <si>
    <t>424130801095</t>
  </si>
  <si>
    <t>1809000731</t>
  </si>
  <si>
    <t>E5028TS19UK0573</t>
  </si>
  <si>
    <t>424130802361</t>
  </si>
  <si>
    <t>1809000733</t>
  </si>
  <si>
    <t>E04975US19-0543</t>
  </si>
  <si>
    <t>424130803869</t>
  </si>
  <si>
    <t>1809000734</t>
  </si>
  <si>
    <t>CM ADVANCE REC-424130804207</t>
  </si>
  <si>
    <t>IT06591906290031</t>
  </si>
  <si>
    <t>424130804207</t>
  </si>
  <si>
    <t>1809000735</t>
  </si>
  <si>
    <t>CM ADVANCE REC-424130775596</t>
  </si>
  <si>
    <t>E24953VF19US0339</t>
  </si>
  <si>
    <t>424130804001</t>
  </si>
  <si>
    <t>CM ADVANCE REC-424130790837</t>
  </si>
  <si>
    <t>1809000737</t>
  </si>
  <si>
    <t>CM ADVANCE REC-424130775587</t>
  </si>
  <si>
    <t>04964190336AU</t>
  </si>
  <si>
    <t>424130803994</t>
  </si>
  <si>
    <t>CM ADVANCE REC-424130789448</t>
  </si>
  <si>
    <t>1809000738</t>
  </si>
  <si>
    <t>CM ADVANCE REC-424130775569</t>
  </si>
  <si>
    <t>E04998US19-0554</t>
  </si>
  <si>
    <t>424130803967</t>
  </si>
  <si>
    <t>CM ADVANCE REC-424130789439</t>
  </si>
  <si>
    <t>CM ADVANCE REC-424130785148</t>
  </si>
  <si>
    <t>1809000744</t>
  </si>
  <si>
    <t>FIT-CM ADV DWC-JUN-19</t>
  </si>
  <si>
    <t>FIT-CMDWC-JUN-19</t>
  </si>
  <si>
    <t>1903001049</t>
  </si>
  <si>
    <t>1903000033</t>
  </si>
  <si>
    <t>CM ADV RECEIVED REF-424130806054</t>
  </si>
  <si>
    <t>IT06591907030070</t>
  </si>
  <si>
    <t>424130806054</t>
  </si>
  <si>
    <t>1903000240</t>
  </si>
  <si>
    <t>CM Adv ADJ REF-424130775596</t>
  </si>
  <si>
    <t>E25019VF19US0370</t>
  </si>
  <si>
    <t>424130818407</t>
  </si>
  <si>
    <t>CM Adv ADJ REF-424130806054</t>
  </si>
  <si>
    <t>CM Adv ADJ REF-424130790837</t>
  </si>
  <si>
    <t>CM Adv ADJ REF-424130815767</t>
  </si>
  <si>
    <t>1903000242</t>
  </si>
  <si>
    <t>CM Adv Rec REF-424130815758</t>
  </si>
  <si>
    <t>IT06591907220052</t>
  </si>
  <si>
    <t>424130815758</t>
  </si>
  <si>
    <t>1903001312</t>
  </si>
  <si>
    <t>FIT-CM ADV EDL-JUL-19</t>
  </si>
  <si>
    <t>FIT-CMADV-JUL-19</t>
  </si>
  <si>
    <t>1903001314</t>
  </si>
  <si>
    <t>FIT-CM ADV DWC-JUL-19</t>
  </si>
  <si>
    <t>FIT-CMDWC-JUL-19</t>
  </si>
  <si>
    <t>1903002387</t>
  </si>
  <si>
    <t>CM ADV ADJ-424130853190</t>
  </si>
  <si>
    <t>EG4-05078</t>
  </si>
  <si>
    <t>424130853190</t>
  </si>
  <si>
    <t>1903002430</t>
  </si>
  <si>
    <t>FIT-CM ADV EDL-AUG-19</t>
  </si>
  <si>
    <t>FIT-CM-EDL-AUG19</t>
  </si>
  <si>
    <t>FIT-CMAD-EDL-AUG-19</t>
  </si>
  <si>
    <t>1903002431</t>
  </si>
  <si>
    <t>FIT-CM ADV DWC-AUG-19</t>
  </si>
  <si>
    <t>FIT-CMDWC-AUG-19</t>
  </si>
  <si>
    <t>1903003060</t>
  </si>
  <si>
    <t>FIT-CM ADV DWC-SEP-19</t>
  </si>
  <si>
    <t>FIT-CMDWC-SEP-19</t>
  </si>
  <si>
    <t>1903003551</t>
  </si>
  <si>
    <t>FIT-CM ADV EDL-SEP-19</t>
  </si>
  <si>
    <t>FIT-CM-EDL-SEP19</t>
  </si>
  <si>
    <t>FIT-CMAD-EDL-SEP-19</t>
  </si>
  <si>
    <t>1903003552</t>
  </si>
  <si>
    <t>1903004480</t>
  </si>
  <si>
    <t>CM ADV REC-424130877030</t>
  </si>
  <si>
    <t>EGA-EG3-05361</t>
  </si>
  <si>
    <t>424130877030</t>
  </si>
  <si>
    <t>1903005337</t>
  </si>
  <si>
    <t>FIT-CM ADV EDL-OCT-19</t>
  </si>
  <si>
    <t>FIT-CM-EDL-OCT19</t>
  </si>
  <si>
    <t>FIT-CMADV-EDL-OCT-19</t>
  </si>
  <si>
    <t>1903005338</t>
  </si>
  <si>
    <t>FIT-CM ADV DWC-OCT-19</t>
  </si>
  <si>
    <t>FIT-CMDWC-OCT-19</t>
  </si>
  <si>
    <t>1903005536</t>
  </si>
  <si>
    <t>CM ADV REF-424130897759</t>
  </si>
  <si>
    <t>EGA05416</t>
  </si>
  <si>
    <t>424130897759</t>
  </si>
  <si>
    <t>1903005939</t>
  </si>
  <si>
    <t>CM ADV REC-424130904457</t>
  </si>
  <si>
    <t>EGA-05401</t>
  </si>
  <si>
    <t>424130904457</t>
  </si>
  <si>
    <t>1903006336</t>
  </si>
  <si>
    <t>FIT-CM ADV EDL-NOV-19</t>
  </si>
  <si>
    <t>FIT-CM-EDL-NOV19</t>
  </si>
  <si>
    <t>FIT-CMADV-EDL-NOV-19</t>
  </si>
  <si>
    <t>1903006337</t>
  </si>
  <si>
    <t>FIT-CM ADV DWC-NOV-19</t>
  </si>
  <si>
    <t>FIT-CMDWC-NOV-19</t>
  </si>
  <si>
    <t>1903007480</t>
  </si>
  <si>
    <t>FIT-CM ADV EDL-DEC-19</t>
  </si>
  <si>
    <t>FIT-CM-EDL-DEC19</t>
  </si>
  <si>
    <t>FIT-CMADV-EDL-DEC-19</t>
  </si>
  <si>
    <t>1903007481</t>
  </si>
  <si>
    <t>FIT-CM ADV DWC-DEC-19</t>
  </si>
  <si>
    <t>FIT-CMDWC-DEC-19</t>
  </si>
  <si>
    <t>1903007768</t>
  </si>
  <si>
    <t>FIT-CM ADV EDL-JAN-20</t>
  </si>
  <si>
    <t>FIT-CM-EDL-JAN20</t>
  </si>
  <si>
    <t>FIT-CMADV-EDL-JAN-20</t>
  </si>
  <si>
    <t>1903007775</t>
  </si>
  <si>
    <t>FIT-CM ADV DWC-JAN-20</t>
  </si>
  <si>
    <t>FIT-CMDWC-JAN-20</t>
  </si>
  <si>
    <t>1903008731</t>
  </si>
  <si>
    <t>FIT-CM ADV EDL-FEB-20</t>
  </si>
  <si>
    <t>FIT-CM-EDL-FEB20</t>
  </si>
  <si>
    <t>FIT-CMADV-EDL-FEB-20</t>
  </si>
  <si>
    <t>1903008736</t>
  </si>
  <si>
    <t>FIT-CM ADV DWC-FEB-20</t>
  </si>
  <si>
    <t>FIT-CMDWC-FEB-20</t>
  </si>
  <si>
    <t>1903009077</t>
  </si>
  <si>
    <t>FIT-CMAD-DWC-Mar-20</t>
  </si>
  <si>
    <t>FIT-CM-DWC-MAR20</t>
  </si>
  <si>
    <t>1903010553</t>
  </si>
  <si>
    <t>FIT-CMAD-DWC-April-20</t>
  </si>
  <si>
    <t>FIT-CMDWC-APR-20</t>
  </si>
  <si>
    <t>FIT-CM Adv-EGDWC-April-20</t>
  </si>
  <si>
    <t>1903010574</t>
  </si>
  <si>
    <t>FIT-CM-ADV-EDL-Apr-20</t>
  </si>
  <si>
    <t>FIT-CM-EDL-APR20</t>
  </si>
  <si>
    <t>FIT-CM-EDL-APR-20</t>
  </si>
  <si>
    <t>1903010816</t>
  </si>
  <si>
    <t>Amount received from EPIC Gamt DWC(25666VF20US0214</t>
  </si>
  <si>
    <t>424130959727</t>
  </si>
  <si>
    <t>E25666VF20US0214</t>
  </si>
  <si>
    <t>2020110001</t>
  </si>
  <si>
    <t>1903010964</t>
  </si>
  <si>
    <t>FIT-CM ADV EDL-May-20</t>
  </si>
  <si>
    <t>FIT-CM-EDL-MAY20</t>
  </si>
  <si>
    <t>FIT-CMADV-EDL-May-20</t>
  </si>
  <si>
    <t>1903010967</t>
  </si>
  <si>
    <t>FIT-CMAD-DWC-May-20</t>
  </si>
  <si>
    <t>FIT-CM-DWC-MAY20</t>
  </si>
  <si>
    <t>1903011114</t>
  </si>
  <si>
    <t>CM ADV</t>
  </si>
  <si>
    <t>CM-ADVDWC-JUN20</t>
  </si>
  <si>
    <t>CM-AdvDWC-Jun20</t>
  </si>
  <si>
    <t>G/L CLR 36k</t>
  </si>
  <si>
    <t>G/L CLR</t>
  </si>
  <si>
    <t>36k G/L CLR</t>
  </si>
  <si>
    <t>G/L CLR 298k</t>
  </si>
  <si>
    <t>298k G/L CLR</t>
  </si>
  <si>
    <t>295k G/L CLR</t>
  </si>
  <si>
    <t>G/L CLR 295k</t>
  </si>
  <si>
    <t>282k G/L CLR</t>
  </si>
  <si>
    <t>275k G/L CLR</t>
  </si>
  <si>
    <t>245k G/L CLR</t>
  </si>
  <si>
    <t>77k G/L CLR</t>
  </si>
  <si>
    <t>1906000007</t>
  </si>
  <si>
    <t>33k G/L CLR</t>
  </si>
  <si>
    <t>G/L CLEAR 15.21k</t>
  </si>
  <si>
    <t>G/L CLEAR 967k</t>
  </si>
  <si>
    <t>G/L CLEAR 91k</t>
  </si>
  <si>
    <t>CLEARING</t>
  </si>
  <si>
    <t>1909000000</t>
  </si>
  <si>
    <t>CM Adv adj- 424130785754</t>
  </si>
  <si>
    <t>E5028TS19CE0572</t>
  </si>
  <si>
    <t>424130805509</t>
  </si>
  <si>
    <t>1909000001</t>
  </si>
  <si>
    <t>CM ADV RECEIVED REF-424130806063</t>
  </si>
  <si>
    <t>IT06591907030073</t>
  </si>
  <si>
    <t>424130806063</t>
  </si>
  <si>
    <t>1909000002</t>
  </si>
  <si>
    <t>1909000003</t>
  </si>
  <si>
    <t>E45117SB19UK0592</t>
  </si>
  <si>
    <t>424130807071</t>
  </si>
  <si>
    <t>1909000004</t>
  </si>
  <si>
    <t>CM ADV ADJ-424130806063</t>
  </si>
  <si>
    <t>E34996DC19US0652</t>
  </si>
  <si>
    <t>424130807053</t>
  </si>
  <si>
    <t>CM ADV ADJ-424130793139</t>
  </si>
  <si>
    <t>1909000005</t>
  </si>
  <si>
    <t>1909000006</t>
  </si>
  <si>
    <t>CM ADV ADJ REF-424130775596</t>
  </si>
  <si>
    <t>E25019VF19US0317</t>
  </si>
  <si>
    <t>424130807044</t>
  </si>
  <si>
    <t>CM ADV ADJ REF-424130806054</t>
  </si>
  <si>
    <t>CM ADV ADJ REF-424130790837</t>
  </si>
  <si>
    <t>1909000007</t>
  </si>
  <si>
    <t>CM ADV ADJ REF-424130789439</t>
  </si>
  <si>
    <t>E05074US19-0568</t>
  </si>
  <si>
    <t>424130805956</t>
  </si>
  <si>
    <t>CM ADV ADJ REF-424130785148</t>
  </si>
  <si>
    <t>1909000008</t>
  </si>
  <si>
    <t>CM ADV ADJ REF-424130775587</t>
  </si>
  <si>
    <t>05143190352PE</t>
  </si>
  <si>
    <t>424130808150</t>
  </si>
  <si>
    <t>1909000011</t>
  </si>
  <si>
    <t>E05068US19-0546</t>
  </si>
  <si>
    <t>424130808123</t>
  </si>
  <si>
    <t>1909000012</t>
  </si>
  <si>
    <t>CM ADV ADJ REF-424130804207</t>
  </si>
  <si>
    <t>E05012US19 0618</t>
  </si>
  <si>
    <t>424130808114</t>
  </si>
  <si>
    <t>1909000014</t>
  </si>
  <si>
    <t>E45052KH19US0595</t>
  </si>
  <si>
    <t>424130809612</t>
  </si>
  <si>
    <t>1909000015</t>
  </si>
  <si>
    <t>E25017VF19US0348</t>
  </si>
  <si>
    <t>424130810218</t>
  </si>
  <si>
    <t>1909000016</t>
  </si>
  <si>
    <t>CM ADV ADJ REF-424130793139</t>
  </si>
  <si>
    <t>E34994DC19US0654</t>
  </si>
  <si>
    <t>424130810192</t>
  </si>
  <si>
    <t>1909000017</t>
  </si>
  <si>
    <t>CM ADV ADJ REF-424130806063</t>
  </si>
  <si>
    <t>E04961AMZUS0629</t>
  </si>
  <si>
    <t>424130810209</t>
  </si>
  <si>
    <t>1909000018</t>
  </si>
  <si>
    <t>CM ADV ADJUST REF-424130793139</t>
  </si>
  <si>
    <t>E5028TS19CE0576</t>
  </si>
  <si>
    <t>424130810879</t>
  </si>
  <si>
    <t>CM ADV ADJUST REF-424130785754</t>
  </si>
  <si>
    <t>1909000019</t>
  </si>
  <si>
    <t>CM ADV ADJUST REF-424130804207</t>
  </si>
  <si>
    <t>E05007US190633,E</t>
  </si>
  <si>
    <t>424130810888,424130810897</t>
  </si>
  <si>
    <t>CM ADV ADJUST REF-424130789439</t>
  </si>
  <si>
    <t>1909000020</t>
  </si>
  <si>
    <t>E05014WM19CA0622</t>
  </si>
  <si>
    <t>424130811565</t>
  </si>
  <si>
    <t>1909000021</t>
  </si>
  <si>
    <t>E04975US19-0611</t>
  </si>
  <si>
    <t>424130811574</t>
  </si>
  <si>
    <t>CM ADV ADJUST REF-424130785148</t>
  </si>
  <si>
    <t>1909000025</t>
  </si>
  <si>
    <t>CM ADV ADJUST REF-424130806063</t>
  </si>
  <si>
    <t>E34926TC19US0605</t>
  </si>
  <si>
    <t>424130812403</t>
  </si>
  <si>
    <t>CM ADV ADJUST REF-424130775578</t>
  </si>
  <si>
    <t>1909000026</t>
  </si>
  <si>
    <t>CM ADV ADJUST REF-424130806054</t>
  </si>
  <si>
    <t>E25061AC19JF0366</t>
  </si>
  <si>
    <t>424130812699</t>
  </si>
  <si>
    <t>1909000027</t>
  </si>
  <si>
    <t>E34904TC19CA0607</t>
  </si>
  <si>
    <t>424130812742</t>
  </si>
  <si>
    <t>1909000028</t>
  </si>
  <si>
    <t>E5028TS19CE0636</t>
  </si>
  <si>
    <t>424130812733</t>
  </si>
  <si>
    <t>1909000031</t>
  </si>
  <si>
    <t>E05068US19-634</t>
  </si>
  <si>
    <t>424130812715</t>
  </si>
  <si>
    <t>CM ADV ADJUST REF-424130775569</t>
  </si>
  <si>
    <t>1909000032</t>
  </si>
  <si>
    <t>E35063BM19UK0676</t>
  </si>
  <si>
    <t>424130813484</t>
  </si>
  <si>
    <t>1909000033</t>
  </si>
  <si>
    <t>CM ADV ADJUST REF-424130762902</t>
  </si>
  <si>
    <t>E25018VF19US0344</t>
  </si>
  <si>
    <t>424130813509</t>
  </si>
  <si>
    <t>CM ADV ADJUST REF-424130775596</t>
  </si>
  <si>
    <t>CM ADV ADJUST REF-424130790837</t>
  </si>
  <si>
    <t>1909000036</t>
  </si>
  <si>
    <t>CM ADV REC-424130814875</t>
  </si>
  <si>
    <t>IT06591907200031</t>
  </si>
  <si>
    <t>424130814875</t>
  </si>
  <si>
    <t>1909000037</t>
  </si>
  <si>
    <t>CM ADV REC-424130814884</t>
  </si>
  <si>
    <t>IT06591907200034</t>
  </si>
  <si>
    <t>424130814884</t>
  </si>
  <si>
    <t>1909000039</t>
  </si>
  <si>
    <t>CM ADV ADJ-424130804207</t>
  </si>
  <si>
    <t>E05068US19-0635</t>
  </si>
  <si>
    <t>424130814900</t>
  </si>
  <si>
    <t>CM ADV ADJ-424130789439</t>
  </si>
  <si>
    <t>CM ADV ADJ-424130785148</t>
  </si>
  <si>
    <t>1909000040</t>
  </si>
  <si>
    <t>E15106DM19US0653</t>
  </si>
  <si>
    <t>424130814919</t>
  </si>
  <si>
    <t>1909000041</t>
  </si>
  <si>
    <t>E05151US19-0648</t>
  </si>
  <si>
    <t>424130814893</t>
  </si>
  <si>
    <t>1909000042</t>
  </si>
  <si>
    <t>E5028TS19CE0658</t>
  </si>
  <si>
    <t>424130814937</t>
  </si>
  <si>
    <t>1909000043</t>
  </si>
  <si>
    <t>CM ADV REC-424130815767</t>
  </si>
  <si>
    <t>IT06591907220055</t>
  </si>
  <si>
    <t>424130815767</t>
  </si>
  <si>
    <t>1909000044</t>
  </si>
  <si>
    <t>E55089KH19US0598</t>
  </si>
  <si>
    <t>424130815749</t>
  </si>
  <si>
    <t>1909000045</t>
  </si>
  <si>
    <t>E5028TS19UK0657</t>
  </si>
  <si>
    <t>424130815730</t>
  </si>
  <si>
    <t>1909000046</t>
  </si>
  <si>
    <t>E55127KH19US0603</t>
  </si>
  <si>
    <t>424130816588</t>
  </si>
  <si>
    <t>1909000047</t>
  </si>
  <si>
    <t>E5028TS19CE0681</t>
  </si>
  <si>
    <t>424130817202</t>
  </si>
  <si>
    <t>1909000050</t>
  </si>
  <si>
    <t>E45044DN19IR0589</t>
  </si>
  <si>
    <t>424130817211</t>
  </si>
  <si>
    <t>1909000052</t>
  </si>
  <si>
    <t>E35262TC19CA0687</t>
  </si>
  <si>
    <t>424130816597</t>
  </si>
  <si>
    <t>1909000053</t>
  </si>
  <si>
    <t>CM ADV ADJ-424130775587</t>
  </si>
  <si>
    <t>E04989US19-0374</t>
  </si>
  <si>
    <t>424130817827</t>
  </si>
  <si>
    <t>CM ADV ADJ-424130789448</t>
  </si>
  <si>
    <t>CM ADV ADJ-424130814875</t>
  </si>
  <si>
    <t>1909000054</t>
  </si>
  <si>
    <t>E05141US19-0669</t>
  </si>
  <si>
    <t>424130817818</t>
  </si>
  <si>
    <t>1909000055</t>
  </si>
  <si>
    <t>CM Adv ADJ REF-424130804207</t>
  </si>
  <si>
    <t>E45189SB19UK0714</t>
  </si>
  <si>
    <t>424130818425</t>
  </si>
  <si>
    <t>1909000056</t>
  </si>
  <si>
    <t>1909000057</t>
  </si>
  <si>
    <t>CM Adv ADJ REF-424130814875</t>
  </si>
  <si>
    <t>05143190379CL</t>
  </si>
  <si>
    <t>424130818416</t>
  </si>
  <si>
    <t>1909000058</t>
  </si>
  <si>
    <t>1909000061</t>
  </si>
  <si>
    <t>1909000062</t>
  </si>
  <si>
    <t>1909000063</t>
  </si>
  <si>
    <t>1909000064</t>
  </si>
  <si>
    <t>CM ADV ADJ-424130775596</t>
  </si>
  <si>
    <t>E25076VF19US0373</t>
  </si>
  <si>
    <t>424130817266</t>
  </si>
  <si>
    <t>CM ADV ADJ-424130806054</t>
  </si>
  <si>
    <t>CM ADV ADJ-424130815767</t>
  </si>
  <si>
    <t>1909000065</t>
  </si>
  <si>
    <t>E25061AC9CK0365</t>
  </si>
  <si>
    <t>424130810227</t>
  </si>
  <si>
    <t>1909000066</t>
  </si>
  <si>
    <t>E25019VF19US0378</t>
  </si>
  <si>
    <t>424130820582</t>
  </si>
  <si>
    <t>1909000067</t>
  </si>
  <si>
    <t>05143190380ZA</t>
  </si>
  <si>
    <t>424130820573</t>
  </si>
  <si>
    <t>1909000069</t>
  </si>
  <si>
    <t>CM Adv ADJ REF-424130806063</t>
  </si>
  <si>
    <t>E5028TS19UK0711</t>
  </si>
  <si>
    <t>424130820564</t>
  </si>
  <si>
    <t>CM Adv ADJ REF-424130793139</t>
  </si>
  <si>
    <t>1909000070</t>
  </si>
  <si>
    <t>E05215US19-0694</t>
  </si>
  <si>
    <t>424130820546</t>
  </si>
  <si>
    <t>1909000071</t>
  </si>
  <si>
    <t>E35168TC19US0690</t>
  </si>
  <si>
    <t>424130820555</t>
  </si>
  <si>
    <t>1909000073</t>
  </si>
  <si>
    <t>E35063BM19UK071</t>
  </si>
  <si>
    <t>424130821741</t>
  </si>
  <si>
    <t>1909000075</t>
  </si>
  <si>
    <t>E45117SB19UK0713</t>
  </si>
  <si>
    <t>424130821787</t>
  </si>
  <si>
    <t>1909000076</t>
  </si>
  <si>
    <t>CM Adv ADJ REF-424130763554</t>
  </si>
  <si>
    <t>E35049TC19MY05</t>
  </si>
  <si>
    <t>424130807062</t>
  </si>
  <si>
    <t>CM Adv ADJ REF-424130775578</t>
  </si>
  <si>
    <t>1909000077</t>
  </si>
  <si>
    <t>CM Adv Received REF-424130823133</t>
  </si>
  <si>
    <t>IT06591907310531</t>
  </si>
  <si>
    <t>424130823133</t>
  </si>
  <si>
    <t>1909000171</t>
  </si>
  <si>
    <t>1909000078</t>
  </si>
  <si>
    <t>CM Adv Adjust REF-424130815767</t>
  </si>
  <si>
    <t>E25096VF19US0389</t>
  </si>
  <si>
    <t>424130823963</t>
  </si>
  <si>
    <t>1909000079</t>
  </si>
  <si>
    <t>CM Adv Recevied REF-424130823936</t>
  </si>
  <si>
    <t>IT06591908030031</t>
  </si>
  <si>
    <t>424130823936</t>
  </si>
  <si>
    <t>1909000080</t>
  </si>
  <si>
    <t>CM Adv Recevied REF-424130804207</t>
  </si>
  <si>
    <t>E05141US19-0670</t>
  </si>
  <si>
    <t>424130823945</t>
  </si>
  <si>
    <t>CM Adv Recevied REF-424130814884</t>
  </si>
  <si>
    <t>1909000081</t>
  </si>
  <si>
    <t>E34994DC19US0722</t>
  </si>
  <si>
    <t>424130823954</t>
  </si>
  <si>
    <t>1909000083</t>
  </si>
  <si>
    <t>1909000084</t>
  </si>
  <si>
    <t>CM ADV REC-424130824383</t>
  </si>
  <si>
    <t>IT06591908050083</t>
  </si>
  <si>
    <t>424130824383</t>
  </si>
  <si>
    <t>1909000085</t>
  </si>
  <si>
    <t>CM ADV REC-424130824392</t>
  </si>
  <si>
    <t>IT06591908050076</t>
  </si>
  <si>
    <t>424130824392</t>
  </si>
  <si>
    <t>1909000087</t>
  </si>
  <si>
    <t>E5028TS19CE0710</t>
  </si>
  <si>
    <t>424130824418</t>
  </si>
  <si>
    <t>1909000089</t>
  </si>
  <si>
    <t>E05111US19-0705</t>
  </si>
  <si>
    <t>424130824999</t>
  </si>
  <si>
    <t>CM ADV ADJ-424130775569</t>
  </si>
  <si>
    <t>CM ADV ADJ-424130814884</t>
  </si>
  <si>
    <t>1909000090</t>
  </si>
  <si>
    <t>CM ADV REC-424130824374</t>
  </si>
  <si>
    <t>IT06591908050073</t>
  </si>
  <si>
    <t>424130824374</t>
  </si>
  <si>
    <t>1909000095</t>
  </si>
  <si>
    <t>CM ADV ADJ-424130824383</t>
  </si>
  <si>
    <t>E34994DC19US0794</t>
  </si>
  <si>
    <t>424130826041</t>
  </si>
  <si>
    <t>1909000096</t>
  </si>
  <si>
    <t>E5100SB19UK0725</t>
  </si>
  <si>
    <t>424130826032</t>
  </si>
  <si>
    <t>1909000097</t>
  </si>
  <si>
    <t>4996,34994,349</t>
  </si>
  <si>
    <t>424130827807</t>
  </si>
  <si>
    <t>1909000098</t>
  </si>
  <si>
    <t>5039,5215,5244</t>
  </si>
  <si>
    <t>424130828922</t>
  </si>
  <si>
    <t>CM ADV ADJ-424130823936</t>
  </si>
  <si>
    <t>1909000099</t>
  </si>
  <si>
    <t>E25095VF19</t>
  </si>
  <si>
    <t>424130827825</t>
  </si>
  <si>
    <t>1909000100</t>
  </si>
  <si>
    <t>0394,0395,0396</t>
  </si>
  <si>
    <t>424130827816</t>
  </si>
  <si>
    <t>CM ADV ADJ-424130824374</t>
  </si>
  <si>
    <t>1909000101</t>
  </si>
  <si>
    <t>E24870VF19USO310</t>
  </si>
  <si>
    <t>424130827790</t>
  </si>
  <si>
    <t>1909000103</t>
  </si>
  <si>
    <t>52090,25090,5090</t>
  </si>
  <si>
    <t>424130830544</t>
  </si>
  <si>
    <t>1909000104</t>
  </si>
  <si>
    <t>E5078</t>
  </si>
  <si>
    <t>424130830483</t>
  </si>
  <si>
    <t>CM ADV ADJ-424130815758</t>
  </si>
  <si>
    <t>1909000105</t>
  </si>
  <si>
    <t>5127,5129,5181</t>
  </si>
  <si>
    <t>424130830465</t>
  </si>
  <si>
    <t>1909000106</t>
  </si>
  <si>
    <t>E25105VF19US0392</t>
  </si>
  <si>
    <t>424130830553</t>
  </si>
  <si>
    <t>1909000107</t>
  </si>
  <si>
    <t>E35262TC19US0791</t>
  </si>
  <si>
    <t>424130830580</t>
  </si>
  <si>
    <t>1909000108</t>
  </si>
  <si>
    <t>E5078TS19UK0751</t>
  </si>
  <si>
    <t>424130830562</t>
  </si>
  <si>
    <t>1909000109</t>
  </si>
  <si>
    <t>E5028TS19UK0781</t>
  </si>
  <si>
    <t>424130830571</t>
  </si>
  <si>
    <t>1909000111</t>
  </si>
  <si>
    <t>1909000113</t>
  </si>
  <si>
    <t>E5028,5136,502</t>
  </si>
  <si>
    <t>424130832196</t>
  </si>
  <si>
    <t>1909000114</t>
  </si>
  <si>
    <t>E05068,E05040</t>
  </si>
  <si>
    <t>424130832203</t>
  </si>
  <si>
    <t>1909000115</t>
  </si>
  <si>
    <t>E25241VF19US0393</t>
  </si>
  <si>
    <t>424130832686</t>
  </si>
  <si>
    <t>1909000117</t>
  </si>
  <si>
    <t>E05140US19-0784</t>
  </si>
  <si>
    <t>424130832739</t>
  </si>
  <si>
    <t>1909000118</t>
  </si>
  <si>
    <t>E35063BM9UK0816</t>
  </si>
  <si>
    <t>424130832702</t>
  </si>
  <si>
    <t>1909000119</t>
  </si>
  <si>
    <t>E05183US190793</t>
  </si>
  <si>
    <t>424130832720</t>
  </si>
  <si>
    <t>1909000121</t>
  </si>
  <si>
    <t>0760,0767,0808</t>
  </si>
  <si>
    <t>424130834112</t>
  </si>
  <si>
    <t>1909000122</t>
  </si>
  <si>
    <t>846,848</t>
  </si>
  <si>
    <t>424130834103</t>
  </si>
  <si>
    <t>1909000123</t>
  </si>
  <si>
    <t>E351720799</t>
  </si>
  <si>
    <t>424130833239</t>
  </si>
  <si>
    <t>1909000124</t>
  </si>
  <si>
    <t>EG305162,05163</t>
  </si>
  <si>
    <t>424130833220</t>
  </si>
  <si>
    <t>1909000125</t>
  </si>
  <si>
    <t>E450440815</t>
  </si>
  <si>
    <t>424130833211</t>
  </si>
  <si>
    <t>1909000126</t>
  </si>
  <si>
    <t>CM ADV ADJ-424130824392</t>
  </si>
  <si>
    <t>E4852AMZ19US0744</t>
  </si>
  <si>
    <t>424130833195</t>
  </si>
  <si>
    <t>1909000127</t>
  </si>
  <si>
    <t>E50780833</t>
  </si>
  <si>
    <t>424130833202</t>
  </si>
  <si>
    <t>1909000128</t>
  </si>
  <si>
    <t>756,755</t>
  </si>
  <si>
    <t>424130835790</t>
  </si>
  <si>
    <t>1909000129</t>
  </si>
  <si>
    <t>762,769,766,830</t>
  </si>
  <si>
    <t>424130835781,424130835772</t>
  </si>
  <si>
    <t>1909000133</t>
  </si>
  <si>
    <t>802,800,801</t>
  </si>
  <si>
    <t>424130835175</t>
  </si>
  <si>
    <t>1909000134</t>
  </si>
  <si>
    <t>872,870,821.82</t>
  </si>
  <si>
    <t>424130835816</t>
  </si>
  <si>
    <t>1909000135</t>
  </si>
  <si>
    <t>E05008US19-0759</t>
  </si>
  <si>
    <t>424130836370</t>
  </si>
  <si>
    <t>1909000136</t>
  </si>
  <si>
    <t>CM ADV REC-424130838261</t>
  </si>
  <si>
    <t>IT06591909030208</t>
  </si>
  <si>
    <t>424130838261</t>
  </si>
  <si>
    <t>1909000137</t>
  </si>
  <si>
    <t>CM ADV REC-424130838252</t>
  </si>
  <si>
    <t>IT06591909040036</t>
  </si>
  <si>
    <t>424130838252</t>
  </si>
  <si>
    <t>1909000138</t>
  </si>
  <si>
    <t>CM ADV REC-424130838243</t>
  </si>
  <si>
    <t>IT06591909030209</t>
  </si>
  <si>
    <t>424130838243</t>
  </si>
  <si>
    <t>1909000139</t>
  </si>
  <si>
    <t>CM ADV REC-424130838234</t>
  </si>
  <si>
    <t>424130838234</t>
  </si>
  <si>
    <t>1909000140</t>
  </si>
  <si>
    <t>E3499DC19US0873</t>
  </si>
  <si>
    <t>424130837529</t>
  </si>
  <si>
    <t>1909000141</t>
  </si>
  <si>
    <t>0874</t>
  </si>
  <si>
    <t>424130838305</t>
  </si>
  <si>
    <t>1909000142</t>
  </si>
  <si>
    <t>E5028TS19CE0819</t>
  </si>
  <si>
    <t>424130838270</t>
  </si>
  <si>
    <t>1909000143</t>
  </si>
  <si>
    <t>5211,5213</t>
  </si>
  <si>
    <t>424130838298</t>
  </si>
  <si>
    <t>1909000144</t>
  </si>
  <si>
    <t>E5078TS19UK0857</t>
  </si>
  <si>
    <t>424130837556</t>
  </si>
  <si>
    <t>1909000145</t>
  </si>
  <si>
    <t>E05175US19-0842</t>
  </si>
  <si>
    <t>424130838289</t>
  </si>
  <si>
    <t>1909000146</t>
  </si>
  <si>
    <t>E25087VF19US0411</t>
  </si>
  <si>
    <t>424130837547</t>
  </si>
  <si>
    <t>1909000148</t>
  </si>
  <si>
    <t>E05124US19-0876</t>
  </si>
  <si>
    <t>424130839849</t>
  </si>
  <si>
    <t>CM ADV ADJ-424130838234</t>
  </si>
  <si>
    <t>1909000149</t>
  </si>
  <si>
    <t>E5589KH19US0861</t>
  </si>
  <si>
    <t>424130839830</t>
  </si>
  <si>
    <t>CM ADV ADJ-424130838243</t>
  </si>
  <si>
    <t>1909000151</t>
  </si>
  <si>
    <t>1909000152</t>
  </si>
  <si>
    <t>E05207US19-0805</t>
  </si>
  <si>
    <t>424130839867</t>
  </si>
  <si>
    <t>1909000153</t>
  </si>
  <si>
    <t>CM ADV ADJ-424130838252</t>
  </si>
  <si>
    <t>E25193VF19US0415</t>
  </si>
  <si>
    <t>424130840677</t>
  </si>
  <si>
    <t>CM ADV ADJ-424130735103</t>
  </si>
  <si>
    <t>1909000155</t>
  </si>
  <si>
    <t>1909000156</t>
  </si>
  <si>
    <t>E34996DC19US0875</t>
  </si>
  <si>
    <t>424130840695</t>
  </si>
  <si>
    <t>1909000157</t>
  </si>
  <si>
    <t>E45044DN19IR0910</t>
  </si>
  <si>
    <t>424130840668</t>
  </si>
  <si>
    <t>1909000158</t>
  </si>
  <si>
    <t>E55181KH19US0869</t>
  </si>
  <si>
    <t>424130841765</t>
  </si>
  <si>
    <t>1909000160</t>
  </si>
  <si>
    <t>IT06591909090025</t>
  </si>
  <si>
    <t>424130840686</t>
  </si>
  <si>
    <t>1909000161</t>
  </si>
  <si>
    <t>E25076WD19US0416</t>
  </si>
  <si>
    <t>424130840702</t>
  </si>
  <si>
    <t>1909000162</t>
  </si>
  <si>
    <t>E25055AC19CK0417</t>
  </si>
  <si>
    <t>424130843031</t>
  </si>
  <si>
    <t>1909000163</t>
  </si>
  <si>
    <t>E25087VF19US0412</t>
  </si>
  <si>
    <t>424130843059</t>
  </si>
  <si>
    <t>1909000164</t>
  </si>
  <si>
    <t>CM ADV ADJ-424130838261</t>
  </si>
  <si>
    <t>05252190410UY</t>
  </si>
  <si>
    <t>424130843040</t>
  </si>
  <si>
    <t>1909000165</t>
  </si>
  <si>
    <t>E45189SB19UK0885</t>
  </si>
  <si>
    <t>424130843013</t>
  </si>
  <si>
    <t>1909000166</t>
  </si>
  <si>
    <t>E55130KH19US0866</t>
  </si>
  <si>
    <t>424130843004</t>
  </si>
  <si>
    <t>1909000167</t>
  </si>
  <si>
    <t>E05186US19-0880</t>
  </si>
  <si>
    <t>424130843022</t>
  </si>
  <si>
    <t>1909000168</t>
  </si>
  <si>
    <t>E15196DM19US0803</t>
  </si>
  <si>
    <t>424130843102</t>
  </si>
  <si>
    <t>1909000169</t>
  </si>
  <si>
    <t>E35163TC19US0897</t>
  </si>
  <si>
    <t>424130837538</t>
  </si>
  <si>
    <t>1909000170</t>
  </si>
  <si>
    <t>E05058WM19JP0860</t>
  </si>
  <si>
    <t>424130843610</t>
  </si>
  <si>
    <t>E04989US19-0413</t>
  </si>
  <si>
    <t>424130839858</t>
  </si>
  <si>
    <t>1909000172</t>
  </si>
  <si>
    <t>05252190409PE</t>
  </si>
  <si>
    <t>424130839876</t>
  </si>
  <si>
    <t>1909000173</t>
  </si>
  <si>
    <t>E25190VF19US0427</t>
  </si>
  <si>
    <t>424130845878</t>
  </si>
  <si>
    <t>1909000174</t>
  </si>
  <si>
    <t>E25190VF19US0423</t>
  </si>
  <si>
    <t>424130844673</t>
  </si>
  <si>
    <t>1909000175</t>
  </si>
  <si>
    <t>E35211TC19US0901</t>
  </si>
  <si>
    <t>424130844664</t>
  </si>
  <si>
    <t>1909000176</t>
  </si>
  <si>
    <t>E5171TS19UK0879</t>
  </si>
  <si>
    <t>424130844655</t>
  </si>
  <si>
    <t>1909000177</t>
  </si>
  <si>
    <t>E45188DC19US0951</t>
  </si>
  <si>
    <t>424130845912</t>
  </si>
  <si>
    <t>1909000178</t>
  </si>
  <si>
    <t>E35210TC19US0958</t>
  </si>
  <si>
    <t>424130845903</t>
  </si>
  <si>
    <t>1909000179</t>
  </si>
  <si>
    <t>E05138US19-0849</t>
  </si>
  <si>
    <t>424130845887</t>
  </si>
  <si>
    <t>1909000180</t>
  </si>
  <si>
    <t>E35137BM19UK0926</t>
  </si>
  <si>
    <t>424130845921</t>
  </si>
  <si>
    <t>1909000181</t>
  </si>
  <si>
    <t>E5205SB19UK0935</t>
  </si>
  <si>
    <t>424130845896</t>
  </si>
  <si>
    <t>1909000182</t>
  </si>
  <si>
    <t>E05177US190893,E</t>
  </si>
  <si>
    <t>424130846840,424130846831</t>
  </si>
  <si>
    <t>1909000183</t>
  </si>
  <si>
    <t>E05148US190944</t>
  </si>
  <si>
    <t>424130846868</t>
  </si>
  <si>
    <t>1909000184</t>
  </si>
  <si>
    <t>05252190425CL</t>
  </si>
  <si>
    <t>424130846859</t>
  </si>
  <si>
    <t>1909000185</t>
  </si>
  <si>
    <t>E25249VF19US0428</t>
  </si>
  <si>
    <t>424130848731</t>
  </si>
  <si>
    <t>1909000186</t>
  </si>
  <si>
    <t>5214</t>
  </si>
  <si>
    <t>424130848722</t>
  </si>
  <si>
    <t>1909000187</t>
  </si>
  <si>
    <t>35210</t>
  </si>
  <si>
    <t>424130848759</t>
  </si>
  <si>
    <t>1909000189</t>
  </si>
  <si>
    <t>CM ADV REC-424130851922</t>
  </si>
  <si>
    <t>EG105179</t>
  </si>
  <si>
    <t>424130851922</t>
  </si>
  <si>
    <t>1909000190</t>
  </si>
  <si>
    <t>E5189SB19UK0973</t>
  </si>
  <si>
    <t>424130850095</t>
  </si>
  <si>
    <t>1909000191</t>
  </si>
  <si>
    <t>E35245BM19UK0928</t>
  </si>
  <si>
    <t>424130850086</t>
  </si>
  <si>
    <t>1909000192</t>
  </si>
  <si>
    <t>E05146US19-0957</t>
  </si>
  <si>
    <t>424130850727</t>
  </si>
  <si>
    <t>1909000193</t>
  </si>
  <si>
    <t>05252190430ZA</t>
  </si>
  <si>
    <t>424130850745</t>
  </si>
  <si>
    <t>1909000195</t>
  </si>
  <si>
    <t>E5214AMZ19PL0922</t>
  </si>
  <si>
    <t>424130850718</t>
  </si>
  <si>
    <t>1909000197</t>
  </si>
  <si>
    <t>CM ADV Rec-424130853181</t>
  </si>
  <si>
    <t>EGMCL-EG2-05307</t>
  </si>
  <si>
    <t>424130853181</t>
  </si>
  <si>
    <t>1909000198</t>
  </si>
  <si>
    <t>CM ADV Rec-424130853190</t>
  </si>
  <si>
    <t>1909000199</t>
  </si>
  <si>
    <t>E5206TS19CE0946</t>
  </si>
  <si>
    <t>424130852707</t>
  </si>
  <si>
    <t>1909000201</t>
  </si>
  <si>
    <t>E05079US19-0942</t>
  </si>
  <si>
    <t>424130853261</t>
  </si>
  <si>
    <t>1909000202</t>
  </si>
  <si>
    <t>CM ADV Rec-424130854527</t>
  </si>
  <si>
    <t>EGA-05124</t>
  </si>
  <si>
    <t>424130854527</t>
  </si>
  <si>
    <t>1909000204</t>
  </si>
  <si>
    <t>05252190433AU</t>
  </si>
  <si>
    <t>424130855492</t>
  </si>
  <si>
    <t>1909000206</t>
  </si>
  <si>
    <t>E05079US19-0943</t>
  </si>
  <si>
    <t>424130855474</t>
  </si>
  <si>
    <t>CM ADV ADJ-424130851922</t>
  </si>
  <si>
    <t>1909000207</t>
  </si>
  <si>
    <t>CM ADV ADV-424130823936</t>
  </si>
  <si>
    <t>E05201US19-0969</t>
  </si>
  <si>
    <t>424130856598</t>
  </si>
  <si>
    <t>1909000208</t>
  </si>
  <si>
    <t>CM ADV REC-424130853190</t>
  </si>
  <si>
    <t>1909000209</t>
  </si>
  <si>
    <t>E5078TS19UK0996</t>
  </si>
  <si>
    <t>424130855893</t>
  </si>
  <si>
    <t>1909000210</t>
  </si>
  <si>
    <t>E34996DC19US0988</t>
  </si>
  <si>
    <t>424130855875</t>
  </si>
  <si>
    <t>1909000211</t>
  </si>
  <si>
    <t>CM ADV adj-424130853190</t>
  </si>
  <si>
    <t>E35212TC19US0995</t>
  </si>
  <si>
    <t>424130855884</t>
  </si>
  <si>
    <t>CM ADV adj-424130838234</t>
  </si>
  <si>
    <t>CM ADV adj-424130824383</t>
  </si>
  <si>
    <t>1909000213</t>
  </si>
  <si>
    <t>1909000214</t>
  </si>
  <si>
    <t>CM ADV adj-424130853181</t>
  </si>
  <si>
    <t>E25055AC19JF0438</t>
  </si>
  <si>
    <t>424130857141</t>
  </si>
  <si>
    <t>CM ADV adj-424130838252</t>
  </si>
  <si>
    <t>CM ADV adj-424130824374</t>
  </si>
  <si>
    <t>1909000215</t>
  </si>
  <si>
    <t>CM ADV adj-424130838243</t>
  </si>
  <si>
    <t>E5189SB19UK0993</t>
  </si>
  <si>
    <t>424130856605</t>
  </si>
  <si>
    <t>CM ADV adj-424130851922</t>
  </si>
  <si>
    <t>1909000216</t>
  </si>
  <si>
    <t>E35213TC19US1011</t>
  </si>
  <si>
    <t>424130857132</t>
  </si>
  <si>
    <t>1909000217</t>
  </si>
  <si>
    <t>1909000219</t>
  </si>
  <si>
    <t>1909000220</t>
  </si>
  <si>
    <t>CM ADV ADJ REF-424130823936</t>
  </si>
  <si>
    <t>IT06591910120035</t>
  </si>
  <si>
    <t>424130858417</t>
  </si>
  <si>
    <t>CM ADV ADJ REF-424130838243</t>
  </si>
  <si>
    <t>CM ADV ADJ REF-424130851922</t>
  </si>
  <si>
    <t>1909000221</t>
  </si>
  <si>
    <t>IT06591910120018</t>
  </si>
  <si>
    <t>424130858408</t>
  </si>
  <si>
    <t>1909000222</t>
  </si>
  <si>
    <t>IT06591910120036</t>
  </si>
  <si>
    <t>424130858391</t>
  </si>
  <si>
    <t>1909000224</t>
  </si>
  <si>
    <t>CM ADV REC REF-424130860137</t>
  </si>
  <si>
    <t>IT06591910150086</t>
  </si>
  <si>
    <t>424130860137</t>
  </si>
  <si>
    <t>1909000225</t>
  </si>
  <si>
    <t>CM ADV REC REF-424130862135</t>
  </si>
  <si>
    <t>IT06591910160374</t>
  </si>
  <si>
    <t>424130862135</t>
  </si>
  <si>
    <t>1909000226</t>
  </si>
  <si>
    <t>CM ADV REC REF-424130862144</t>
  </si>
  <si>
    <t>IT06591910160257</t>
  </si>
  <si>
    <t>424130862144</t>
  </si>
  <si>
    <t>1909000227</t>
  </si>
  <si>
    <t>CM ADV ADJ REF-424130853181</t>
  </si>
  <si>
    <t>E25283VF19US0451</t>
  </si>
  <si>
    <t>424130860958</t>
  </si>
  <si>
    <t>1909000229</t>
  </si>
  <si>
    <t>E45044DN19IR1010</t>
  </si>
  <si>
    <t>424130860930</t>
  </si>
  <si>
    <t>1909000230</t>
  </si>
  <si>
    <t>5271,5257,5271</t>
  </si>
  <si>
    <t>424130862153</t>
  </si>
  <si>
    <t>CM ADV ADJ REF-424130854527</t>
  </si>
  <si>
    <t>CM ADV ADJ REF-424130860137</t>
  </si>
  <si>
    <t>1909000231</t>
  </si>
  <si>
    <t>CM ADV ADJ REF-424130853190</t>
  </si>
  <si>
    <t>E15278DC19US1025</t>
  </si>
  <si>
    <t>424130860949</t>
  </si>
  <si>
    <t>CM ADV ADJ REF-424130838234</t>
  </si>
  <si>
    <t>1909000232</t>
  </si>
  <si>
    <t>E06068US19-0918</t>
  </si>
  <si>
    <t>424130860921</t>
  </si>
  <si>
    <t>CM ADV ADJ REF-424130814884</t>
  </si>
  <si>
    <t>1909000233</t>
  </si>
  <si>
    <t>E34994DC19US1026</t>
  </si>
  <si>
    <t>424130860146</t>
  </si>
  <si>
    <t>1909000234</t>
  </si>
  <si>
    <t>05252190435ZA</t>
  </si>
  <si>
    <t>424130862910</t>
  </si>
  <si>
    <t>1909000236</t>
  </si>
  <si>
    <t>CM ADV ADJ-424130860137</t>
  </si>
  <si>
    <t>E5225SB19UK1031</t>
  </si>
  <si>
    <t>424130862885</t>
  </si>
  <si>
    <t>1909000237</t>
  </si>
  <si>
    <t>CM ADV ADJ-424130853181</t>
  </si>
  <si>
    <t>E25275VF19US0443</t>
  </si>
  <si>
    <t>424130862938</t>
  </si>
  <si>
    <t>1909000238</t>
  </si>
  <si>
    <t>E5171TS19UK1006</t>
  </si>
  <si>
    <t>1909000239</t>
  </si>
  <si>
    <t>E15278DC19US1044</t>
  </si>
  <si>
    <t>424130863759</t>
  </si>
  <si>
    <t>CM ADV ADJ-424130862144</t>
  </si>
  <si>
    <t>1909000240</t>
  </si>
  <si>
    <t>05625190436NZ</t>
  </si>
  <si>
    <t>424130866532</t>
  </si>
  <si>
    <t>1909000243</t>
  </si>
  <si>
    <t>E45203DC19US1030</t>
  </si>
  <si>
    <t>424130865132</t>
  </si>
  <si>
    <t>1909000244</t>
  </si>
  <si>
    <t>E05148US19-0998</t>
  </si>
  <si>
    <t>424130865123</t>
  </si>
  <si>
    <t>1909000245</t>
  </si>
  <si>
    <t>E55133KH19US1034</t>
  </si>
  <si>
    <t>424130865141</t>
  </si>
  <si>
    <t>1909000246</t>
  </si>
  <si>
    <t>E05068US19-0919</t>
  </si>
  <si>
    <t>424130862894</t>
  </si>
  <si>
    <t>1909000247</t>
  </si>
  <si>
    <t>E05260US191054</t>
  </si>
  <si>
    <t>424130867158</t>
  </si>
  <si>
    <t>CM ADV ADJ-424130854527</t>
  </si>
  <si>
    <t>1909000248</t>
  </si>
  <si>
    <t>E15278DC19US1081</t>
  </si>
  <si>
    <t>424130868013</t>
  </si>
  <si>
    <t>1909000249</t>
  </si>
  <si>
    <t>E25283VF19US0455</t>
  </si>
  <si>
    <t>424130868004</t>
  </si>
  <si>
    <t>CM ADV ADJ-424130862135</t>
  </si>
  <si>
    <t>1909000250</t>
  </si>
  <si>
    <t>E25275VF19US0466</t>
  </si>
  <si>
    <t>424130867997</t>
  </si>
  <si>
    <t>1909000251</t>
  </si>
  <si>
    <t>CM ADV REC REF-424130869147</t>
  </si>
  <si>
    <t>EGA-05239</t>
  </si>
  <si>
    <t>424130869147</t>
  </si>
  <si>
    <t>1909000252</t>
  </si>
  <si>
    <t>E15204DM19US0966</t>
  </si>
  <si>
    <t>424130868433</t>
  </si>
  <si>
    <t>1909000253</t>
  </si>
  <si>
    <t>E05239US19-0986</t>
  </si>
  <si>
    <t>424130868424</t>
  </si>
  <si>
    <t>1909000254</t>
  </si>
  <si>
    <t>E25330VF19US0462</t>
  </si>
  <si>
    <t>424130869753</t>
  </si>
  <si>
    <t>1909000255</t>
  </si>
  <si>
    <t>CM ADV Rec-424130869726</t>
  </si>
  <si>
    <t>EGA-05290</t>
  </si>
  <si>
    <t>424130869726</t>
  </si>
  <si>
    <t>1909000256</t>
  </si>
  <si>
    <t>CM ADV Rec-424130869735</t>
  </si>
  <si>
    <t>EG2-05289</t>
  </si>
  <si>
    <t>424130869735</t>
  </si>
  <si>
    <t>1909000257</t>
  </si>
  <si>
    <t>E25273VF19US0467</t>
  </si>
  <si>
    <t>424130870466</t>
  </si>
  <si>
    <t>CM ADV ADJ-424130869735</t>
  </si>
  <si>
    <t>1909000258</t>
  </si>
  <si>
    <t>E25057AC19JF0469</t>
  </si>
  <si>
    <t>424130870475</t>
  </si>
  <si>
    <t>1909000259</t>
  </si>
  <si>
    <t>E5171TS19UK1053</t>
  </si>
  <si>
    <t>424130869744</t>
  </si>
  <si>
    <t>1909000260</t>
  </si>
  <si>
    <t>E35290TC19US1052</t>
  </si>
  <si>
    <t>424130869762</t>
  </si>
  <si>
    <t>CM ADV ADJ-424130869726</t>
  </si>
  <si>
    <t>1909000261</t>
  </si>
  <si>
    <t>CM ADV REC REF-424130871205</t>
  </si>
  <si>
    <t>EGA-EG1-05124</t>
  </si>
  <si>
    <t>424130871205</t>
  </si>
  <si>
    <t>1909000262</t>
  </si>
  <si>
    <t>E35391TC19US1084</t>
  </si>
  <si>
    <t>424130871223</t>
  </si>
  <si>
    <t>1909000263</t>
  </si>
  <si>
    <t>E35245BM19UK1029</t>
  </si>
  <si>
    <t>424130871232</t>
  </si>
  <si>
    <t>1909000264</t>
  </si>
  <si>
    <t>CM ADV ADJ-424130869147</t>
  </si>
  <si>
    <t>E55132KH19US1035</t>
  </si>
  <si>
    <t>424130871241</t>
  </si>
  <si>
    <t>1909000265</t>
  </si>
  <si>
    <t>E05139US19-1032,</t>
  </si>
  <si>
    <t>424130871330,424130871349</t>
  </si>
  <si>
    <t>1909000266</t>
  </si>
  <si>
    <t>E05239US19-1002</t>
  </si>
  <si>
    <t>424130872231</t>
  </si>
  <si>
    <t>1909000268</t>
  </si>
  <si>
    <t>1909000270</t>
  </si>
  <si>
    <t>E25057AC19CK0468</t>
  </si>
  <si>
    <t>424130873212</t>
  </si>
  <si>
    <t>1909000271</t>
  </si>
  <si>
    <t>E25351VF19US0472</t>
  </si>
  <si>
    <t>424130873230</t>
  </si>
  <si>
    <t>1909000272</t>
  </si>
  <si>
    <t>E5294TS19UK1110</t>
  </si>
  <si>
    <t>424130873221</t>
  </si>
  <si>
    <t>1909000273</t>
  </si>
  <si>
    <t>E35292TC19CA1114</t>
  </si>
  <si>
    <t>424130873249</t>
  </si>
  <si>
    <t>1909000275</t>
  </si>
  <si>
    <t>E35172DC19US1123</t>
  </si>
  <si>
    <t>424130873203</t>
  </si>
  <si>
    <t>1909000276</t>
  </si>
  <si>
    <t>E35291TC19US1125</t>
  </si>
  <si>
    <t>424130874685</t>
  </si>
  <si>
    <t>1909000277</t>
  </si>
  <si>
    <t>E05328US191091</t>
  </si>
  <si>
    <t>424130874676</t>
  </si>
  <si>
    <t>1909000278</t>
  </si>
  <si>
    <t>E05374US19-1102</t>
  </si>
  <si>
    <t>424130874694</t>
  </si>
  <si>
    <t>1909000280</t>
  </si>
  <si>
    <t>1909000281</t>
  </si>
  <si>
    <t>1909000282</t>
  </si>
  <si>
    <t>1909000293</t>
  </si>
  <si>
    <t>1909000283</t>
  </si>
  <si>
    <t>04994</t>
  </si>
  <si>
    <t>424130877646</t>
  </si>
  <si>
    <t>1909000284</t>
  </si>
  <si>
    <t>05252190460PE</t>
  </si>
  <si>
    <t>424130879724</t>
  </si>
  <si>
    <t>1909000285</t>
  </si>
  <si>
    <t>E25323VF19US0473</t>
  </si>
  <si>
    <t>424130879546</t>
  </si>
  <si>
    <t>1909000286</t>
  </si>
  <si>
    <t>E5294TS19CE1121</t>
  </si>
  <si>
    <t>424130879537</t>
  </si>
  <si>
    <t>1909000287</t>
  </si>
  <si>
    <t>1909000288</t>
  </si>
  <si>
    <t>CM ADV REV-424130880776</t>
  </si>
  <si>
    <t>EG2-05291</t>
  </si>
  <si>
    <t>424130880776</t>
  </si>
  <si>
    <t>1909000289</t>
  </si>
  <si>
    <t>CM ADV REV-424130880767</t>
  </si>
  <si>
    <t>EGA-EG3-05291</t>
  </si>
  <si>
    <t>424130880767</t>
  </si>
  <si>
    <t>1909000292</t>
  </si>
  <si>
    <t>CM ADV Adj-424130871205</t>
  </si>
  <si>
    <t>E5365SB19UK1145</t>
  </si>
  <si>
    <t>424130882649</t>
  </si>
  <si>
    <t>CM ADV Adj-424130869147</t>
  </si>
  <si>
    <t>E05329US19-1105</t>
  </si>
  <si>
    <t>424130881329</t>
  </si>
  <si>
    <t>CM ADV Adj-424130851922</t>
  </si>
  <si>
    <t>CM ADV Adj-424130854527</t>
  </si>
  <si>
    <t>CM ADV Adj-424130785148</t>
  </si>
  <si>
    <t>1909000294</t>
  </si>
  <si>
    <t>CM ADV Adj-424130869726</t>
  </si>
  <si>
    <t>E35292</t>
  </si>
  <si>
    <t>424130883158</t>
  </si>
  <si>
    <t>CM ADV Adj-424130880767</t>
  </si>
  <si>
    <t>1909000295</t>
  </si>
  <si>
    <t>CM ADV Adj-424130880776</t>
  </si>
  <si>
    <t>E25273,350,413</t>
  </si>
  <si>
    <t>424130883167</t>
  </si>
  <si>
    <t>CM ADV Adj-424130862135</t>
  </si>
  <si>
    <t>CM ADV Adj-424130869735</t>
  </si>
  <si>
    <t>1909000298</t>
  </si>
  <si>
    <t>CM ADV Adj-424130853190</t>
  </si>
  <si>
    <t>E5294TS19UK1127</t>
  </si>
  <si>
    <t>424130885030</t>
  </si>
  <si>
    <t>CM ADV Adj-424130862144</t>
  </si>
  <si>
    <t>1909000299</t>
  </si>
  <si>
    <t>CM ADV REC-424130886565</t>
  </si>
  <si>
    <t>EG205289</t>
  </si>
  <si>
    <t>424130886565</t>
  </si>
  <si>
    <t>1909000300</t>
  </si>
  <si>
    <t>E25307VF19US0480</t>
  </si>
  <si>
    <t>424130886574</t>
  </si>
  <si>
    <t>1909000301</t>
  </si>
  <si>
    <t>CM ADV Adj-424130853181</t>
  </si>
  <si>
    <t>E25307VF19US0478</t>
  </si>
  <si>
    <t>424130885021</t>
  </si>
  <si>
    <t>1909000302</t>
  </si>
  <si>
    <t>5263,1148</t>
  </si>
  <si>
    <t>424130886592</t>
  </si>
  <si>
    <t>1909000303</t>
  </si>
  <si>
    <t>1160,1165</t>
  </si>
  <si>
    <t>424130886583</t>
  </si>
  <si>
    <t>1909000304</t>
  </si>
  <si>
    <t>CM Adv adj- 424130869726</t>
  </si>
  <si>
    <t>35292,35299</t>
  </si>
  <si>
    <t>424130886609</t>
  </si>
  <si>
    <t>CM Adv adj- 424130880767</t>
  </si>
  <si>
    <t>1909000305</t>
  </si>
  <si>
    <t>CM ADV REC-424130887458</t>
  </si>
  <si>
    <t>EGA-EG305302</t>
  </si>
  <si>
    <t>424130887458</t>
  </si>
  <si>
    <t>1909000306</t>
  </si>
  <si>
    <t>CM ADV REC-424130887467</t>
  </si>
  <si>
    <t>EGAEG305291</t>
  </si>
  <si>
    <t>424130887467</t>
  </si>
  <si>
    <t>1909000307</t>
  </si>
  <si>
    <t>CM ADV REC-424130869147</t>
  </si>
  <si>
    <t>5378,5363,5363</t>
  </si>
  <si>
    <t>424130889303</t>
  </si>
  <si>
    <t>CM Adv adj-424130851922</t>
  </si>
  <si>
    <t>CM ADV REC-424130854527</t>
  </si>
  <si>
    <t>CM ADV REC-424130871205</t>
  </si>
  <si>
    <t>1909000308</t>
  </si>
  <si>
    <t>CM ADV REC-424130889090</t>
  </si>
  <si>
    <t>424130889090</t>
  </si>
  <si>
    <t>1909000310</t>
  </si>
  <si>
    <t>25289,25289</t>
  </si>
  <si>
    <t>424130887975</t>
  </si>
  <si>
    <t>CM ADV Adj-424130886565</t>
  </si>
  <si>
    <t>1909000312</t>
  </si>
  <si>
    <t>E5294TS19CE1147</t>
  </si>
  <si>
    <t>424130890765</t>
  </si>
  <si>
    <t>1909000313</t>
  </si>
  <si>
    <t>E5365SB19UK1176</t>
  </si>
  <si>
    <t>424130890756</t>
  </si>
  <si>
    <t>1909000314</t>
  </si>
  <si>
    <t>E25351VF19US0490</t>
  </si>
  <si>
    <t>424130890774</t>
  </si>
  <si>
    <t>1909000316</t>
  </si>
  <si>
    <t>E25371VF19US0498</t>
  </si>
  <si>
    <t>424130891274</t>
  </si>
  <si>
    <t>1909000318</t>
  </si>
  <si>
    <t>1909000319</t>
  </si>
  <si>
    <t>E05376US191139</t>
  </si>
  <si>
    <t>424130891899</t>
  </si>
  <si>
    <t>CM ADV Adj-424130887458</t>
  </si>
  <si>
    <t>CM ADV Adj-424130838243</t>
  </si>
  <si>
    <t>1909000320</t>
  </si>
  <si>
    <t>CM ADV Adj-424130804207</t>
  </si>
  <si>
    <t>E05124US191149</t>
  </si>
  <si>
    <t>424130891960</t>
  </si>
  <si>
    <t>CM ADV Adj-424130823936</t>
  </si>
  <si>
    <t>CM ADV Adj-424130814884</t>
  </si>
  <si>
    <t>1909000322</t>
  </si>
  <si>
    <t>1909000323</t>
  </si>
  <si>
    <t>5479,472,480,380</t>
  </si>
  <si>
    <t>424130887984</t>
  </si>
  <si>
    <t>CM ADV Adj-424130887467</t>
  </si>
  <si>
    <t>1909000325</t>
  </si>
  <si>
    <t>E5132KH19US1170</t>
  </si>
  <si>
    <t>424130892754</t>
  </si>
  <si>
    <t>1909000326</t>
  </si>
  <si>
    <t>5337,265,431</t>
  </si>
  <si>
    <t>424130893904</t>
  </si>
  <si>
    <t>CM ADV Adj-424130889090</t>
  </si>
  <si>
    <t>1909000327</t>
  </si>
  <si>
    <t>5289,288,318</t>
  </si>
  <si>
    <t>424130893897</t>
  </si>
  <si>
    <t>1909000328</t>
  </si>
  <si>
    <t>E25372VF19US0500</t>
  </si>
  <si>
    <t>424130894413</t>
  </si>
  <si>
    <t>1909000329</t>
  </si>
  <si>
    <t>5350,5372,5373</t>
  </si>
  <si>
    <t>424130893860</t>
  </si>
  <si>
    <t>1909000330</t>
  </si>
  <si>
    <t>E4519DC19US1201</t>
  </si>
  <si>
    <t>424130894422</t>
  </si>
  <si>
    <t>1909000331</t>
  </si>
  <si>
    <t>E5333TS19CE1174</t>
  </si>
  <si>
    <t>424130894431</t>
  </si>
  <si>
    <t>1909000332</t>
  </si>
  <si>
    <t>05333,5294</t>
  </si>
  <si>
    <t>424130893888</t>
  </si>
  <si>
    <t>1909000333</t>
  </si>
  <si>
    <t>424130893879</t>
  </si>
  <si>
    <t>1909000334</t>
  </si>
  <si>
    <t>CM ADV REF-424130896901</t>
  </si>
  <si>
    <t>EG2-05318</t>
  </si>
  <si>
    <t>424130896901</t>
  </si>
  <si>
    <t>1909000335</t>
  </si>
  <si>
    <t>CM ADV REF-424130896894</t>
  </si>
  <si>
    <t>EGA-05291</t>
  </si>
  <si>
    <t>424130896894</t>
  </si>
  <si>
    <t>1909000336</t>
  </si>
  <si>
    <t>1909000337</t>
  </si>
  <si>
    <t>1909000338</t>
  </si>
  <si>
    <t>E05431US19-1179</t>
  </si>
  <si>
    <t>424130897820</t>
  </si>
  <si>
    <t>1909000339</t>
  </si>
  <si>
    <t>35291</t>
  </si>
  <si>
    <t>424130897367</t>
  </si>
  <si>
    <t>1909000340</t>
  </si>
  <si>
    <t>25370</t>
  </si>
  <si>
    <t>424130897349</t>
  </si>
  <si>
    <t>1909000341</t>
  </si>
  <si>
    <t>05197</t>
  </si>
  <si>
    <t>424130898357</t>
  </si>
  <si>
    <t>CM ADV Adj-424130838234</t>
  </si>
  <si>
    <t>CM ADV Adj-424130896894</t>
  </si>
  <si>
    <t>1909000342</t>
  </si>
  <si>
    <t>2537</t>
  </si>
  <si>
    <t>424130898366</t>
  </si>
  <si>
    <t>CM ADV Adj-424130896901</t>
  </si>
  <si>
    <t>1909000343</t>
  </si>
  <si>
    <t>E3524PC19UK1116</t>
  </si>
  <si>
    <t>424130899356</t>
  </si>
  <si>
    <t>1909000344</t>
  </si>
  <si>
    <t>E5132KH19US1173</t>
  </si>
  <si>
    <t>424130899347</t>
  </si>
  <si>
    <t>1909000345</t>
  </si>
  <si>
    <t>E05281US19-1183</t>
  </si>
  <si>
    <t>424130899365</t>
  </si>
  <si>
    <t>1909000346</t>
  </si>
  <si>
    <t>CM ADV REC-424130902609</t>
  </si>
  <si>
    <t>IT06591912300100</t>
  </si>
  <si>
    <t>424130902609</t>
  </si>
  <si>
    <t>1909000347</t>
  </si>
  <si>
    <t>CM ADV REC-424130902618</t>
  </si>
  <si>
    <t>IT06591912300101</t>
  </si>
  <si>
    <t>424130902618</t>
  </si>
  <si>
    <t>1909000348</t>
  </si>
  <si>
    <t>05327,05291</t>
  </si>
  <si>
    <t>424130901673</t>
  </si>
  <si>
    <t>CM ADV ADJ-424130896894</t>
  </si>
  <si>
    <t>CM ADV ADJ-424130880767</t>
  </si>
  <si>
    <t>CM ADV ADJ-424130887467</t>
  </si>
  <si>
    <t>1909000349</t>
  </si>
  <si>
    <t>4519</t>
  </si>
  <si>
    <t>424130901664</t>
  </si>
  <si>
    <t>1909000350</t>
  </si>
  <si>
    <t>5294,5294</t>
  </si>
  <si>
    <t>424130901682</t>
  </si>
  <si>
    <t>1909000351</t>
  </si>
  <si>
    <t>IT06592001010449</t>
  </si>
  <si>
    <t>424130902878</t>
  </si>
  <si>
    <t>CM ADV ADJ-424130887458</t>
  </si>
  <si>
    <t>CM ADV ADJ-424130871205</t>
  </si>
  <si>
    <t>CM ADV ADJ-424130889090</t>
  </si>
  <si>
    <t>CM ADV ADJ-424130902618</t>
  </si>
  <si>
    <t>1909000352</t>
  </si>
  <si>
    <t>1909000353</t>
  </si>
  <si>
    <t>1909000354</t>
  </si>
  <si>
    <t>CM ADV REC-424130904466</t>
  </si>
  <si>
    <t>424130904466</t>
  </si>
  <si>
    <t>1909000355</t>
  </si>
  <si>
    <t>E35245PC19UK1194</t>
  </si>
  <si>
    <t>424130904484</t>
  </si>
  <si>
    <t>1909000356</t>
  </si>
  <si>
    <t>E5420SB19UK1241</t>
  </si>
  <si>
    <t>424130904493</t>
  </si>
  <si>
    <t>CM ADV ADJ-424130897759</t>
  </si>
  <si>
    <t>1909000357</t>
  </si>
  <si>
    <t>CM ADV ADJ-424130904457</t>
  </si>
  <si>
    <t>E4536DC19US1258</t>
  </si>
  <si>
    <t>424130904509</t>
  </si>
  <si>
    <t>1909000358</t>
  </si>
  <si>
    <t>E5294TS19UK1226</t>
  </si>
  <si>
    <t>424130904518</t>
  </si>
  <si>
    <t>1909000359</t>
  </si>
  <si>
    <t>CM ADV ADJ-424130880776</t>
  </si>
  <si>
    <t>E25320VF19US0505</t>
  </si>
  <si>
    <t>424130904475</t>
  </si>
  <si>
    <t>CM ADV ADJ-424130896901</t>
  </si>
  <si>
    <t>CM ADV ADJ-424130886565</t>
  </si>
  <si>
    <t>1909000360</t>
  </si>
  <si>
    <t>E05336US19-1212</t>
  </si>
  <si>
    <t>424130906703</t>
  </si>
  <si>
    <t>1909000361</t>
  </si>
  <si>
    <t>E55479AC19JF1243</t>
  </si>
  <si>
    <t>424130905553</t>
  </si>
  <si>
    <t>CM ADV ADJ-424130904466</t>
  </si>
  <si>
    <t>1909000363</t>
  </si>
  <si>
    <t>1909000364</t>
  </si>
  <si>
    <t>E25372VF19US0507</t>
  </si>
  <si>
    <t>424130907917</t>
  </si>
  <si>
    <t>1909000365</t>
  </si>
  <si>
    <t>1909000366</t>
  </si>
  <si>
    <t>E35402TC19US1253</t>
  </si>
  <si>
    <t>424130907908</t>
  </si>
  <si>
    <t>1909000368</t>
  </si>
  <si>
    <t>E05376US19-1263</t>
  </si>
  <si>
    <t>424130907891</t>
  </si>
  <si>
    <t>1909000369</t>
  </si>
  <si>
    <t>E053336US19-1296</t>
  </si>
  <si>
    <t>424130908569</t>
  </si>
  <si>
    <t>1909000370</t>
  </si>
  <si>
    <t>E25372VF19US0511</t>
  </si>
  <si>
    <t>424130910164</t>
  </si>
  <si>
    <t>1909000371</t>
  </si>
  <si>
    <t>E35286PC19UK1251</t>
  </si>
  <si>
    <t>424130910119</t>
  </si>
  <si>
    <t>1909000372</t>
  </si>
  <si>
    <t>E5416KH19US1259</t>
  </si>
  <si>
    <t>424130910155</t>
  </si>
  <si>
    <t>1909000374</t>
  </si>
  <si>
    <t>E5294TS19US1256</t>
  </si>
  <si>
    <t>424130910137</t>
  </si>
  <si>
    <t>1909000375</t>
  </si>
  <si>
    <t>E05376US19-1264</t>
  </si>
  <si>
    <t>424130910100</t>
  </si>
  <si>
    <t>1909000376</t>
  </si>
  <si>
    <t>E55479AC19CK1242</t>
  </si>
  <si>
    <t>424130910146</t>
  </si>
  <si>
    <t>1909000377</t>
  </si>
  <si>
    <t>E25307VF19US0504</t>
  </si>
  <si>
    <t>424130910654</t>
  </si>
  <si>
    <t>1909000378</t>
  </si>
  <si>
    <t>E25289AC19JF0514</t>
  </si>
  <si>
    <t>424130910663</t>
  </si>
  <si>
    <t>1909000379</t>
  </si>
  <si>
    <t>E5294TS19CE1255</t>
  </si>
  <si>
    <t>424130910681</t>
  </si>
  <si>
    <t>1909000380</t>
  </si>
  <si>
    <t>E45197D19US1277</t>
  </si>
  <si>
    <t>424130910672</t>
  </si>
  <si>
    <t>1909000381</t>
  </si>
  <si>
    <t>05459,05365,05</t>
  </si>
  <si>
    <t>424130910690</t>
  </si>
  <si>
    <t>1909000382</t>
  </si>
  <si>
    <t>05416,5419,5419</t>
  </si>
  <si>
    <t>424130910645</t>
  </si>
  <si>
    <t>1909000383</t>
  </si>
  <si>
    <t>E5420SB19UK1338</t>
  </si>
  <si>
    <t>424130910636</t>
  </si>
  <si>
    <t>1909000384</t>
  </si>
  <si>
    <t>CM ADV REC-424130911733</t>
  </si>
  <si>
    <t>EG2-05566</t>
  </si>
  <si>
    <t>424130911733</t>
  </si>
  <si>
    <t>1909000385</t>
  </si>
  <si>
    <t>E25353VF19US0512</t>
  </si>
  <si>
    <t>424130911779</t>
  </si>
  <si>
    <t>1909000386</t>
  </si>
  <si>
    <t>E25289AC19KT0515</t>
  </si>
  <si>
    <t>424130911760</t>
  </si>
  <si>
    <t>1909000388</t>
  </si>
  <si>
    <t>E4519DC19US1342</t>
  </si>
  <si>
    <t>424130911804</t>
  </si>
  <si>
    <t>1909000389</t>
  </si>
  <si>
    <t>E5294TS19CE1319</t>
  </si>
  <si>
    <t>424130912368</t>
  </si>
  <si>
    <t>1909000390</t>
  </si>
  <si>
    <t>E55479AC19KT1244</t>
  </si>
  <si>
    <t>424130911788</t>
  </si>
  <si>
    <t>1909000391</t>
  </si>
  <si>
    <t>CM ADV REC-424130912359</t>
  </si>
  <si>
    <t>EG2-05319</t>
  </si>
  <si>
    <t>424130912359</t>
  </si>
  <si>
    <t>1909000392</t>
  </si>
  <si>
    <t>05253</t>
  </si>
  <si>
    <t>424130904037</t>
  </si>
  <si>
    <t>1909000393</t>
  </si>
  <si>
    <t>E05334US19-1331</t>
  </si>
  <si>
    <t>424130911751</t>
  </si>
  <si>
    <t>1909000394</t>
  </si>
  <si>
    <t>CM ADV REC-424130912340</t>
  </si>
  <si>
    <t>EG5-05452</t>
  </si>
  <si>
    <t>424130912340</t>
  </si>
  <si>
    <t>1909000395</t>
  </si>
  <si>
    <t>E05336US19-1216</t>
  </si>
  <si>
    <t>424130907882</t>
  </si>
  <si>
    <t>1909000398</t>
  </si>
  <si>
    <t>424130915882</t>
  </si>
  <si>
    <t>E5470,5534,5420</t>
  </si>
  <si>
    <t>CM ADV ADJ424130897759</t>
  </si>
  <si>
    <t>1909000399</t>
  </si>
  <si>
    <t>E5416</t>
  </si>
  <si>
    <t>424130916159</t>
  </si>
  <si>
    <t>1909000400</t>
  </si>
  <si>
    <t>CM ADV ADJ-424130912340</t>
  </si>
  <si>
    <t>E4519DC20US0020</t>
  </si>
  <si>
    <t>424130916523</t>
  </si>
  <si>
    <t>1909000401</t>
  </si>
  <si>
    <t>CM ADV ADJ-4424130904457</t>
  </si>
  <si>
    <t>E35433TC19MY1254</t>
  </si>
  <si>
    <t>424130916532</t>
  </si>
  <si>
    <t>1909000403</t>
  </si>
  <si>
    <t>E5294TS19UK1356</t>
  </si>
  <si>
    <t>424130917568</t>
  </si>
  <si>
    <t>1909000404</t>
  </si>
  <si>
    <t>E35435,35435</t>
  </si>
  <si>
    <t>424130920331</t>
  </si>
  <si>
    <t>1909000405</t>
  </si>
  <si>
    <t>CM ADV ADJ-424130911733</t>
  </si>
  <si>
    <t>05566190539RU</t>
  </si>
  <si>
    <t>424130919101</t>
  </si>
  <si>
    <t>1909000406</t>
  </si>
  <si>
    <t>E05389US20-0030,</t>
  </si>
  <si>
    <t>424130920475,42413092048</t>
  </si>
  <si>
    <t>CM Adv adj-424130889090</t>
  </si>
  <si>
    <t>CM ADV ADJ-424130902609</t>
  </si>
  <si>
    <t>1909000407</t>
  </si>
  <si>
    <t>CM ADV REC-424130911742</t>
  </si>
  <si>
    <t>EG5-05470</t>
  </si>
  <si>
    <t>424130911742</t>
  </si>
  <si>
    <t>1909000408</t>
  </si>
  <si>
    <t>E05013,5364</t>
  </si>
  <si>
    <t>424130915917</t>
  </si>
  <si>
    <t>CM ADV ADJ-424130911742</t>
  </si>
  <si>
    <t>1909000409</t>
  </si>
  <si>
    <t>25369</t>
  </si>
  <si>
    <t>424130921232</t>
  </si>
  <si>
    <t>CM ADV ADJ-424130912359</t>
  </si>
  <si>
    <t>1909000410</t>
  </si>
  <si>
    <t>25353</t>
  </si>
  <si>
    <t>424130921269</t>
  </si>
  <si>
    <t>1909000411</t>
  </si>
  <si>
    <t>CM ADV ADJ-424130763554</t>
  </si>
  <si>
    <t>E45392DC20US0036</t>
  </si>
  <si>
    <t>424130921250</t>
  </si>
  <si>
    <t>1909000412</t>
  </si>
  <si>
    <t>E4536DC19US1346</t>
  </si>
  <si>
    <t>424130922669</t>
  </si>
  <si>
    <t>1909000413</t>
  </si>
  <si>
    <t>45392</t>
  </si>
  <si>
    <t>424130921241</t>
  </si>
  <si>
    <t>1909000414</t>
  </si>
  <si>
    <t>E35402TC20US0057</t>
  </si>
  <si>
    <t>424130922678</t>
  </si>
  <si>
    <t>1909000415</t>
  </si>
  <si>
    <t>CM ADV REC-424130923819</t>
  </si>
  <si>
    <t>EG2-05640</t>
  </si>
  <si>
    <t>424130923819</t>
  </si>
  <si>
    <t>1909000416</t>
  </si>
  <si>
    <t>CM ADV REC-424130923828</t>
  </si>
  <si>
    <t>EG3-05518</t>
  </si>
  <si>
    <t>424130923828</t>
  </si>
  <si>
    <t>1909000417</t>
  </si>
  <si>
    <t>CM ADV REC-424130923837</t>
  </si>
  <si>
    <t>EG1-05527</t>
  </si>
  <si>
    <t>424130923837</t>
  </si>
  <si>
    <t>1909000418</t>
  </si>
  <si>
    <t>CM ADV REC-424130925149</t>
  </si>
  <si>
    <t>EG205319A</t>
  </si>
  <si>
    <t>424130925149</t>
  </si>
  <si>
    <t>1909000419</t>
  </si>
  <si>
    <t>CM ADV REC-424130925158</t>
  </si>
  <si>
    <t>EG5-05453</t>
  </si>
  <si>
    <t>424130925158</t>
  </si>
  <si>
    <t>1909000420</t>
  </si>
  <si>
    <t>E25425</t>
  </si>
  <si>
    <t>424130924097</t>
  </si>
  <si>
    <t>1909000421</t>
  </si>
  <si>
    <t>0041</t>
  </si>
  <si>
    <t>424130924140</t>
  </si>
  <si>
    <t>1909000422</t>
  </si>
  <si>
    <t>5364</t>
  </si>
  <si>
    <t>424130924131</t>
  </si>
  <si>
    <t>1909000424</t>
  </si>
  <si>
    <t>E4517KH20US0010</t>
  </si>
  <si>
    <t>424130926326</t>
  </si>
  <si>
    <t>1909000425</t>
  </si>
  <si>
    <t>E5338TS19CE0058</t>
  </si>
  <si>
    <t>424130926335</t>
  </si>
  <si>
    <t>CM AD ADJ-424130880767</t>
  </si>
  <si>
    <t>1909000426</t>
  </si>
  <si>
    <t>E0536US20-0048</t>
  </si>
  <si>
    <t>424130926852</t>
  </si>
  <si>
    <t>CM ADV ADJ-424130923837</t>
  </si>
  <si>
    <t>CM Adv adj-424130897759</t>
  </si>
  <si>
    <t>1909000428</t>
  </si>
  <si>
    <t>1909000429</t>
  </si>
  <si>
    <t>05566200044GB</t>
  </si>
  <si>
    <t>424130926870</t>
  </si>
  <si>
    <t>1909000430</t>
  </si>
  <si>
    <t>5509CAND20GR0095</t>
  </si>
  <si>
    <t>424130926861</t>
  </si>
  <si>
    <t>1909000431</t>
  </si>
  <si>
    <t>0049</t>
  </si>
  <si>
    <t>424130924113</t>
  </si>
  <si>
    <t>1909000432</t>
  </si>
  <si>
    <t>E5440</t>
  </si>
  <si>
    <t>424130924104</t>
  </si>
  <si>
    <t>1909000433</t>
  </si>
  <si>
    <t>CM AD ADJ-424130923837</t>
  </si>
  <si>
    <t>E53650B20UK0116</t>
  </si>
  <si>
    <t>424130927646</t>
  </si>
  <si>
    <t>CM AD ADJ-424130902609</t>
  </si>
  <si>
    <t>CM AD ADJ-424130902618</t>
  </si>
  <si>
    <t>CM AD ADJ-424130897759</t>
  </si>
  <si>
    <t>CM AD ADJ-424130911742</t>
  </si>
  <si>
    <t>1909000435</t>
  </si>
  <si>
    <t>1909000436</t>
  </si>
  <si>
    <t>E546SB20UK0055</t>
  </si>
  <si>
    <t>424130927628</t>
  </si>
  <si>
    <t>1909000437</t>
  </si>
  <si>
    <t>E5417KH20US0092</t>
  </si>
  <si>
    <t>424130927655</t>
  </si>
  <si>
    <t>1909000438</t>
  </si>
  <si>
    <t>055952000620E</t>
  </si>
  <si>
    <t>424130927637</t>
  </si>
  <si>
    <t>CM AD ADJ-424130923819</t>
  </si>
  <si>
    <t>1909000440</t>
  </si>
  <si>
    <t>CM AD ADJ-424130896901</t>
  </si>
  <si>
    <t>E25318AC20KT0043</t>
  </si>
  <si>
    <t>424130928805</t>
  </si>
  <si>
    <t>CM AD ADJ-424130886565</t>
  </si>
  <si>
    <t>CM AD ADJ-424130904466</t>
  </si>
  <si>
    <t>CM AD ADJ-424130912359</t>
  </si>
  <si>
    <t>1909000441</t>
  </si>
  <si>
    <t>E25425AC20KT0040</t>
  </si>
  <si>
    <t>424130928770</t>
  </si>
  <si>
    <t>1909000442</t>
  </si>
  <si>
    <t>CM AD ADJ-424130912340</t>
  </si>
  <si>
    <t>E55480AC20KT0044</t>
  </si>
  <si>
    <t>CM AD ADJ-424130904457</t>
  </si>
  <si>
    <t>CM AD ADJ-424130925158</t>
  </si>
  <si>
    <t>CM AD ADJ-424130896894</t>
  </si>
  <si>
    <t>CM AD ADJ-424130887467</t>
  </si>
  <si>
    <t>1909000443</t>
  </si>
  <si>
    <t>CM AD ADJ-424130887458</t>
  </si>
  <si>
    <t>E05414US20-0073</t>
  </si>
  <si>
    <t>424130928761</t>
  </si>
  <si>
    <t>CM AD ADJ-424130851922</t>
  </si>
  <si>
    <t>CM AD ADJ-424130854527</t>
  </si>
  <si>
    <t>1909000444</t>
  </si>
  <si>
    <t>E05565US20-0083</t>
  </si>
  <si>
    <t>424130928798</t>
  </si>
  <si>
    <t>1909000445</t>
  </si>
  <si>
    <t>E25425AC20JF0039</t>
  </si>
  <si>
    <t>424130929494</t>
  </si>
  <si>
    <t>1909000446</t>
  </si>
  <si>
    <t>E25503VF20US0010</t>
  </si>
  <si>
    <t>424130930419</t>
  </si>
  <si>
    <t>1909000447</t>
  </si>
  <si>
    <t>CTPLBD200079</t>
  </si>
  <si>
    <t>424130930428</t>
  </si>
  <si>
    <t>1909000449</t>
  </si>
  <si>
    <t>CM Adv adj-424130912340</t>
  </si>
  <si>
    <t>E55480AC20CK0042</t>
  </si>
  <si>
    <t>424130929485</t>
  </si>
  <si>
    <t>1909000450</t>
  </si>
  <si>
    <t>E25318C20CK0041</t>
  </si>
  <si>
    <t>424130930972</t>
  </si>
  <si>
    <t>1909000451</t>
  </si>
  <si>
    <t>CM AD REC-424130930936</t>
  </si>
  <si>
    <t>EG2-05640A</t>
  </si>
  <si>
    <t>424130930936</t>
  </si>
  <si>
    <t>1909000452</t>
  </si>
  <si>
    <t>E5294TS20UK0094</t>
  </si>
  <si>
    <t>424130930954</t>
  </si>
  <si>
    <t>1909000453</t>
  </si>
  <si>
    <t>CM AD ADJ-424130869147</t>
  </si>
  <si>
    <t>E15230DM20US0127</t>
  </si>
  <si>
    <t>424130930963</t>
  </si>
  <si>
    <t>CM AD ADJ-424130871205</t>
  </si>
  <si>
    <t>1909000454</t>
  </si>
  <si>
    <t>E05340US20-0039</t>
  </si>
  <si>
    <t>424130930945</t>
  </si>
  <si>
    <t>1909000455</t>
  </si>
  <si>
    <t>CM AD REC-424130932060</t>
  </si>
  <si>
    <t>EG2-05319A</t>
  </si>
  <si>
    <t>424130932060</t>
  </si>
  <si>
    <t>1909000456</t>
  </si>
  <si>
    <t>CM AD ADJ-424130911733</t>
  </si>
  <si>
    <t>055920034DE</t>
  </si>
  <si>
    <t>424130931016</t>
  </si>
  <si>
    <t>1909000457</t>
  </si>
  <si>
    <t>05566200086</t>
  </si>
  <si>
    <t>424130931025</t>
  </si>
  <si>
    <t>1909000458</t>
  </si>
  <si>
    <t>E05518US20-0111</t>
  </si>
  <si>
    <t>424130932088</t>
  </si>
  <si>
    <t>1909000459</t>
  </si>
  <si>
    <t>CM AD REC-424130932079</t>
  </si>
  <si>
    <t>EG5-05453A</t>
  </si>
  <si>
    <t>424130932079</t>
  </si>
  <si>
    <t>1909000461</t>
  </si>
  <si>
    <t>E35402TC20US007</t>
  </si>
  <si>
    <t>424130931007</t>
  </si>
  <si>
    <t>1909000462</t>
  </si>
  <si>
    <t>E5338TS20UK011</t>
  </si>
  <si>
    <t>424130931579</t>
  </si>
  <si>
    <t>1909000463</t>
  </si>
  <si>
    <t>CM AD ADJ-424130925149</t>
  </si>
  <si>
    <t>E25503VF20US0080</t>
  </si>
  <si>
    <t>424130932140</t>
  </si>
  <si>
    <t>1909000464</t>
  </si>
  <si>
    <t>E5459SB20UK0137</t>
  </si>
  <si>
    <t>424130932097</t>
  </si>
  <si>
    <t>CM Adv adj-424130902618</t>
  </si>
  <si>
    <t>CM Adv adj-424130911742</t>
  </si>
  <si>
    <t>1909000465</t>
  </si>
  <si>
    <t>E5338TS19CE0067</t>
  </si>
  <si>
    <t>424130932122</t>
  </si>
  <si>
    <t>1909000466</t>
  </si>
  <si>
    <t>E35402TC20US0126</t>
  </si>
  <si>
    <t>424130932113</t>
  </si>
  <si>
    <t>1909000468</t>
  </si>
  <si>
    <t>E05518US20-0109</t>
  </si>
  <si>
    <t>424130932462</t>
  </si>
  <si>
    <t>CM AD ADJ-424130889090</t>
  </si>
  <si>
    <t>CM AD ADJ-424130923828</t>
  </si>
  <si>
    <t>1909000469</t>
  </si>
  <si>
    <t>E45392DC20US0143</t>
  </si>
  <si>
    <t>424130932471</t>
  </si>
  <si>
    <t>CM AD ADJ-424130932079</t>
  </si>
  <si>
    <t>1909000470</t>
  </si>
  <si>
    <t>E05518US20-0122</t>
  </si>
  <si>
    <t>424130933960</t>
  </si>
  <si>
    <t>1909000471</t>
  </si>
  <si>
    <t>E35403TC20US0150</t>
  </si>
  <si>
    <t>424130934585</t>
  </si>
  <si>
    <t>CM Adv adj- 424130932079</t>
  </si>
  <si>
    <t>1909000472</t>
  </si>
  <si>
    <t>E45556</t>
  </si>
  <si>
    <t>424130934594</t>
  </si>
  <si>
    <t>1909000473</t>
  </si>
  <si>
    <t>E4852</t>
  </si>
  <si>
    <t>424130934601</t>
  </si>
  <si>
    <t>1909000474</t>
  </si>
  <si>
    <t>E5459</t>
  </si>
  <si>
    <t>424130934576</t>
  </si>
  <si>
    <t>1909000475</t>
  </si>
  <si>
    <t>056402000990E</t>
  </si>
  <si>
    <t>424130934610</t>
  </si>
  <si>
    <t>CM AD ADJ-424130930936</t>
  </si>
  <si>
    <t>1909000476</t>
  </si>
  <si>
    <t>E25505</t>
  </si>
  <si>
    <t>424130934629</t>
  </si>
  <si>
    <t>1909000478</t>
  </si>
  <si>
    <t>E55480SC20CK0047</t>
  </si>
  <si>
    <t>424130930981</t>
  </si>
  <si>
    <t>1909000479</t>
  </si>
  <si>
    <t>E5522C20GR0165</t>
  </si>
  <si>
    <t>424130935619</t>
  </si>
  <si>
    <t>1909000480</t>
  </si>
  <si>
    <t>E5338TS20CE0138</t>
  </si>
  <si>
    <t>424130936789</t>
  </si>
  <si>
    <t>1909000481</t>
  </si>
  <si>
    <t>05640200132CO</t>
  </si>
  <si>
    <t>424130936798</t>
  </si>
  <si>
    <t>1909000482</t>
  </si>
  <si>
    <t>E05483US20-0125</t>
  </si>
  <si>
    <t>424130935637</t>
  </si>
  <si>
    <t>1909000483</t>
  </si>
  <si>
    <t>E545443DC20US046</t>
  </si>
  <si>
    <t>424130932131</t>
  </si>
  <si>
    <t>1909000484</t>
  </si>
  <si>
    <t>CM ADJ -424130912340</t>
  </si>
  <si>
    <t>E45443DC20US0163</t>
  </si>
  <si>
    <t>424130937902</t>
  </si>
  <si>
    <t>CM ADJ -424130932079</t>
  </si>
  <si>
    <t>CM ADJ -424130925158</t>
  </si>
  <si>
    <t>1909000486</t>
  </si>
  <si>
    <t>CM ADV REC-424130939009</t>
  </si>
  <si>
    <t>EG3-05652A</t>
  </si>
  <si>
    <t>424130939009</t>
  </si>
  <si>
    <t>1909000487</t>
  </si>
  <si>
    <t>CM ADV REC-424130939018</t>
  </si>
  <si>
    <t>EG3-05652</t>
  </si>
  <si>
    <t>424130939018</t>
  </si>
  <si>
    <t>1909000488</t>
  </si>
  <si>
    <t>CM ADV REC-424130939027</t>
  </si>
  <si>
    <t>E52-05289</t>
  </si>
  <si>
    <t>424130939027</t>
  </si>
  <si>
    <t>1909000489</t>
  </si>
  <si>
    <t>CM ADJ -424130923819</t>
  </si>
  <si>
    <t>05595200103MY</t>
  </si>
  <si>
    <t>424130939036</t>
  </si>
  <si>
    <t>1909000490</t>
  </si>
  <si>
    <t>CM ADV REC-424130940006</t>
  </si>
  <si>
    <t>EG2-058219</t>
  </si>
  <si>
    <t>424130940006</t>
  </si>
  <si>
    <t>1909000491</t>
  </si>
  <si>
    <t>CM ADV REC-424130939991</t>
  </si>
  <si>
    <t>EG5-05453B</t>
  </si>
  <si>
    <t>424130939991</t>
  </si>
  <si>
    <t>1909000492</t>
  </si>
  <si>
    <t>E35435TC20US0151</t>
  </si>
  <si>
    <t>424130939385</t>
  </si>
  <si>
    <t>CM ADJ -424130904457</t>
  </si>
  <si>
    <t>CM ADJ -424130896894</t>
  </si>
  <si>
    <t>CM ADJ -424130887467</t>
  </si>
  <si>
    <t>1909000493</t>
  </si>
  <si>
    <t>E5404AMZ20US0068</t>
  </si>
  <si>
    <t>: 424130939376</t>
  </si>
  <si>
    <t>1909000494</t>
  </si>
  <si>
    <t>CM ADJ -424130932060</t>
  </si>
  <si>
    <t>E25506BF20US0084</t>
  </si>
  <si>
    <t>424130940024</t>
  </si>
  <si>
    <t>1909000495</t>
  </si>
  <si>
    <t>E55475AC20CK0148</t>
  </si>
  <si>
    <t>424130940033</t>
  </si>
  <si>
    <t>1909000496</t>
  </si>
  <si>
    <t>CM ADJ -424130869147</t>
  </si>
  <si>
    <t>E05141US20-0152</t>
  </si>
  <si>
    <t>424130940015</t>
  </si>
  <si>
    <t>CM ADJ -424130887458</t>
  </si>
  <si>
    <t>CM ADJ -424130923837</t>
  </si>
  <si>
    <t>CM ADJ -424130851922</t>
  </si>
  <si>
    <t>CM ADJ -424130854527</t>
  </si>
  <si>
    <t>CM ADJ -424130889090</t>
  </si>
  <si>
    <t>CM ADJ -424130923828</t>
  </si>
  <si>
    <t>CM ADJ -424130902609</t>
  </si>
  <si>
    <t>CM ADJ -424130902618</t>
  </si>
  <si>
    <t>CM ADJ -424130939018</t>
  </si>
  <si>
    <t>CM ADJ -424130911742</t>
  </si>
  <si>
    <t>1909000497</t>
  </si>
  <si>
    <t>E5534SB20</t>
  </si>
  <si>
    <t>424130941504</t>
  </si>
  <si>
    <t>CM ADJ 424130939018</t>
  </si>
  <si>
    <t>1909000498</t>
  </si>
  <si>
    <t>CM ADJ - 424130923819</t>
  </si>
  <si>
    <t>05640200120IN</t>
  </si>
  <si>
    <t>424130941513</t>
  </si>
  <si>
    <t>CM ADJ - 424130930936</t>
  </si>
  <si>
    <t>CM ADJ - 424130939027</t>
  </si>
  <si>
    <t>1909000500</t>
  </si>
  <si>
    <t>1909000504</t>
  </si>
  <si>
    <t>1909000505</t>
  </si>
  <si>
    <t>E25319AC20CK0141</t>
  </si>
  <si>
    <t>424130942148</t>
  </si>
  <si>
    <t>CM ADJ -424130912359</t>
  </si>
  <si>
    <t>CM ADJ -424130925149</t>
  </si>
  <si>
    <t>CM ADJ -424130940006</t>
  </si>
  <si>
    <t>1909000506</t>
  </si>
  <si>
    <t>E35403TC20US0196</t>
  </si>
  <si>
    <t>424130942157</t>
  </si>
  <si>
    <t>CM ADJ -424130939991</t>
  </si>
  <si>
    <t>1909000507</t>
  </si>
  <si>
    <t>E55475AC20KT0149</t>
  </si>
  <si>
    <t>424130942166</t>
  </si>
  <si>
    <t>1909000508</t>
  </si>
  <si>
    <t>05640200147</t>
  </si>
  <si>
    <t>424130943986</t>
  </si>
  <si>
    <t>CM ADJ -424130930936</t>
  </si>
  <si>
    <t>CM ADJ -424130939027</t>
  </si>
  <si>
    <t>1909000510</t>
  </si>
  <si>
    <t>E5338TS20CE0189</t>
  </si>
  <si>
    <t>424130943968</t>
  </si>
  <si>
    <t>1909000511</t>
  </si>
  <si>
    <t>E55473SC20KT0186</t>
  </si>
  <si>
    <t>424130943959</t>
  </si>
  <si>
    <t>1909000512</t>
  </si>
  <si>
    <t>E05483US20-0179</t>
  </si>
  <si>
    <t>424130943940</t>
  </si>
  <si>
    <t>1909000513</t>
  </si>
  <si>
    <t>E35401TC20US0234</t>
  </si>
  <si>
    <t>424130944235</t>
  </si>
  <si>
    <t>1909000514</t>
  </si>
  <si>
    <t>CM Adv adj- 424130923837</t>
  </si>
  <si>
    <t>424130944226</t>
  </si>
  <si>
    <t>CM Adv adj- 424130923828</t>
  </si>
  <si>
    <t>CM Adv adj- 424130902609</t>
  </si>
  <si>
    <t>CM Adv adj- 424130902618</t>
  </si>
  <si>
    <t>CM Adv adj- 424130939018</t>
  </si>
  <si>
    <t>1909000515</t>
  </si>
  <si>
    <t>150,168,169,125</t>
  </si>
  <si>
    <t>424130945984</t>
  </si>
  <si>
    <t>1909000516</t>
  </si>
  <si>
    <t>173,174,175</t>
  </si>
  <si>
    <t>424130945993</t>
  </si>
  <si>
    <t>1909000519</t>
  </si>
  <si>
    <t>D130</t>
  </si>
  <si>
    <t>424130945957</t>
  </si>
  <si>
    <t>1909000520</t>
  </si>
  <si>
    <t>E15279DM20US0217</t>
  </si>
  <si>
    <t>424130945948</t>
  </si>
  <si>
    <t>1909000521</t>
  </si>
  <si>
    <t>E05565US20-0173</t>
  </si>
  <si>
    <t>424130945939</t>
  </si>
  <si>
    <t>CM ADJ -424130871205</t>
  </si>
  <si>
    <t>1909000522</t>
  </si>
  <si>
    <t>E05546US20-0199</t>
  </si>
  <si>
    <t>424130945920</t>
  </si>
  <si>
    <t>CM Adv adj- 424130889090</t>
  </si>
  <si>
    <t>CM ADJ -424130897759</t>
  </si>
  <si>
    <t>1909000523</t>
  </si>
  <si>
    <t>E5338TS20CE0228</t>
  </si>
  <si>
    <t>424130946741</t>
  </si>
  <si>
    <t>1909000524</t>
  </si>
  <si>
    <t>E25503VF20US0165</t>
  </si>
  <si>
    <t>424130946769</t>
  </si>
  <si>
    <t>1909000525</t>
  </si>
  <si>
    <t>E25427AC20CK0162</t>
  </si>
  <si>
    <t>424130946750</t>
  </si>
  <si>
    <t>1909000526</t>
  </si>
  <si>
    <t>CM ADV REC -424130945902</t>
  </si>
  <si>
    <t>EG3-05652B</t>
  </si>
  <si>
    <t>424130945902</t>
  </si>
  <si>
    <t>1909000527</t>
  </si>
  <si>
    <t>CM ADV REC -424130947848</t>
  </si>
  <si>
    <t>05319</t>
  </si>
  <si>
    <t>424130947848</t>
  </si>
  <si>
    <t>1909000528</t>
  </si>
  <si>
    <t>CM ADV REC -424130947857</t>
  </si>
  <si>
    <t>05453</t>
  </si>
  <si>
    <t>424130947857</t>
  </si>
  <si>
    <t>1909000529</t>
  </si>
  <si>
    <t>E5440KH20US0227</t>
  </si>
  <si>
    <t>424130948641</t>
  </si>
  <si>
    <t>1909000530</t>
  </si>
  <si>
    <t>E5536SB20UK0239</t>
  </si>
  <si>
    <t>424130947713</t>
  </si>
  <si>
    <t>1909000531</t>
  </si>
  <si>
    <t>E05340US20-0190</t>
  </si>
  <si>
    <t>424130947722</t>
  </si>
  <si>
    <t>1909000532</t>
  </si>
  <si>
    <t>E05518US200210</t>
  </si>
  <si>
    <t>424130948669</t>
  </si>
  <si>
    <t>1909000533</t>
  </si>
  <si>
    <t>E25427AC20KT0164</t>
  </si>
  <si>
    <t>0164</t>
  </si>
  <si>
    <t>1909000534</t>
  </si>
  <si>
    <t>E25577VF20US0167</t>
  </si>
  <si>
    <t>424130949089</t>
  </si>
  <si>
    <t>1909000535</t>
  </si>
  <si>
    <t>170,177,178,179</t>
  </si>
  <si>
    <t>424130948650</t>
  </si>
  <si>
    <t>1909000536</t>
  </si>
  <si>
    <t>258,237,257,259</t>
  </si>
  <si>
    <t>424130949052</t>
  </si>
  <si>
    <t>1909000537</t>
  </si>
  <si>
    <t>229</t>
  </si>
  <si>
    <t>424130949070</t>
  </si>
  <si>
    <t>1909000538</t>
  </si>
  <si>
    <t>1909000539</t>
  </si>
  <si>
    <t>E55554AC20KT0232</t>
  </si>
  <si>
    <t>424130949310</t>
  </si>
  <si>
    <t>CM ADJ -424130749198</t>
  </si>
  <si>
    <t>CM Adv adj- 424130939991</t>
  </si>
  <si>
    <t>1909000540</t>
  </si>
  <si>
    <t>E35402TC20CA0249</t>
  </si>
  <si>
    <t>424130949105</t>
  </si>
  <si>
    <t>1909000541</t>
  </si>
  <si>
    <t>E5500AMZ20US0238</t>
  </si>
  <si>
    <t>424130950913</t>
  </si>
  <si>
    <t>1909000542</t>
  </si>
  <si>
    <t>E05340US20-0191</t>
  </si>
  <si>
    <t>424130951299</t>
  </si>
  <si>
    <t>CM ADJ -4424130854527</t>
  </si>
  <si>
    <t>CM ADJ -424130939009</t>
  </si>
  <si>
    <t>1909000545</t>
  </si>
  <si>
    <t>1909000546</t>
  </si>
  <si>
    <t>CM ADVANCE ADJUSTED-424130932079</t>
  </si>
  <si>
    <t>E5500AMZ20US0261</t>
  </si>
  <si>
    <t>424130952341</t>
  </si>
  <si>
    <t>1909000547</t>
  </si>
  <si>
    <t>CM ADVANCE RECEIVED-424130951976</t>
  </si>
  <si>
    <t>IT06592004040018</t>
  </si>
  <si>
    <t>424130951976</t>
  </si>
  <si>
    <t>1909000548</t>
  </si>
  <si>
    <t>CM ADVANCE ADJUSTED-424130923837</t>
  </si>
  <si>
    <t>E5596SB20UK0287</t>
  </si>
  <si>
    <t>424130952298</t>
  </si>
  <si>
    <t>CM ADVANCE ADJUSTED-424130923828</t>
  </si>
  <si>
    <t>CM ADVANCE ADJUSTED-424130939009</t>
  </si>
  <si>
    <t>1909000549</t>
  </si>
  <si>
    <t>E05546US20-0284</t>
  </si>
  <si>
    <t>424130952305</t>
  </si>
  <si>
    <t>CM ADVANCE ADJUSTED-424130902609</t>
  </si>
  <si>
    <t>1909000550</t>
  </si>
  <si>
    <t>CM ADVANCE ADJUSTED-424130912340</t>
  </si>
  <si>
    <t>E5338TS20UK0241</t>
  </si>
  <si>
    <t>424130952350</t>
  </si>
  <si>
    <t>CM ADVANCE ADJUSTED-424130925158</t>
  </si>
  <si>
    <t>CM ADVANCE ADJUSTED-424130880767</t>
  </si>
  <si>
    <t>CM ADVANCE ADJUSTED-424130939991</t>
  </si>
  <si>
    <t>1909000552</t>
  </si>
  <si>
    <t>E5500AMZ20PLO260</t>
  </si>
  <si>
    <t>424130952323</t>
  </si>
  <si>
    <t>1909000553</t>
  </si>
  <si>
    <t>CM ADVANCE RECEIVED-424130952289</t>
  </si>
  <si>
    <t>IT06592004070017</t>
  </si>
  <si>
    <t>424130952289</t>
  </si>
  <si>
    <t>1909000554</t>
  </si>
  <si>
    <t>E55385AC20JF0251</t>
  </si>
  <si>
    <t>424130952332</t>
  </si>
  <si>
    <t>CM ADVANCE ADJUSTED-424130749198</t>
  </si>
  <si>
    <t>1909000555</t>
  </si>
  <si>
    <t>E55385AC20KT0252</t>
  </si>
  <si>
    <t>424130952314</t>
  </si>
  <si>
    <t>1909000556</t>
  </si>
  <si>
    <t>CM ADVANCE RECEIVED-424130952751</t>
  </si>
  <si>
    <t>IT06592004180028</t>
  </si>
  <si>
    <t>424130952751</t>
  </si>
  <si>
    <t>1909000557</t>
  </si>
  <si>
    <t>E55473AC20CK0298</t>
  </si>
  <si>
    <t>424130952788</t>
  </si>
  <si>
    <t>CM ADVANCE ADJUSTED-424130904457</t>
  </si>
  <si>
    <t>CM ADVANCE ADJUSTED-424130947857</t>
  </si>
  <si>
    <t>1909000558</t>
  </si>
  <si>
    <t>CM ADVANCE ADJUSTED-424130869147</t>
  </si>
  <si>
    <t>E05548US20-0321</t>
  </si>
  <si>
    <t>424130952760</t>
  </si>
  <si>
    <t>1909000559</t>
  </si>
  <si>
    <t>E455550C2OUS0292</t>
  </si>
  <si>
    <t>424130952715</t>
  </si>
  <si>
    <t>1909000560</t>
  </si>
  <si>
    <t>E5543AMZ20US0316</t>
  </si>
  <si>
    <t>424130952733</t>
  </si>
  <si>
    <t>1909000561</t>
  </si>
  <si>
    <t>E0534OUS20-0276</t>
  </si>
  <si>
    <t>424130952706</t>
  </si>
  <si>
    <t>CM ADVANCE ADJUSTED-424130887458</t>
  </si>
  <si>
    <t>CM ADVANCE ADJUSTED-424130851922</t>
  </si>
  <si>
    <t>CM ADVANCE ADJUSTED-424130854527</t>
  </si>
  <si>
    <t>CM ADVANCE ADJUSTED-424130871205</t>
  </si>
  <si>
    <t>CM ADVANCE ADJUSTED-424130902618</t>
  </si>
  <si>
    <t>CM ADVANCE ADJUSTED-424130939018</t>
  </si>
  <si>
    <t>CM ADVANCE ADJUSTED-424130897759</t>
  </si>
  <si>
    <t>1909000566</t>
  </si>
  <si>
    <t>CM ADVANCE RECEIVED-424130953055</t>
  </si>
  <si>
    <t>424130953055</t>
  </si>
  <si>
    <t>1909000567</t>
  </si>
  <si>
    <t>P &amp; H advance receive, ref- 424130952270</t>
  </si>
  <si>
    <t>P &amp; H ADVANCE</t>
  </si>
  <si>
    <t>424130952270</t>
  </si>
  <si>
    <t>1909000568</t>
  </si>
  <si>
    <t>CM advance adjusted, ref- 424130932060</t>
  </si>
  <si>
    <t>E25583VF20US0180</t>
  </si>
  <si>
    <t>424130952724</t>
  </si>
  <si>
    <t>1909000569</t>
  </si>
  <si>
    <t>E25605AC20JF0184</t>
  </si>
  <si>
    <t>424130952779</t>
  </si>
  <si>
    <t>CM advance adjusted, ref- 424130947848</t>
  </si>
  <si>
    <t>CM advance adjusted, ref- 424130940006</t>
  </si>
  <si>
    <t>1909000570</t>
  </si>
  <si>
    <t>CM advance adjusted, ref- 424130953019</t>
  </si>
  <si>
    <t>424130953019</t>
  </si>
  <si>
    <t>1909000571</t>
  </si>
  <si>
    <t>IT06592004250033</t>
  </si>
  <si>
    <t>424130953117</t>
  </si>
  <si>
    <t>CM ADJ -424130952751</t>
  </si>
  <si>
    <t>1909000572</t>
  </si>
  <si>
    <t>05640200171VN</t>
  </si>
  <si>
    <t>424130951994</t>
  </si>
  <si>
    <t>1909000574</t>
  </si>
  <si>
    <t>1909000576</t>
  </si>
  <si>
    <t>1909000577</t>
  </si>
  <si>
    <t>CM ADJ adj -424130932079</t>
  </si>
  <si>
    <t>E5338TS20UK0269</t>
  </si>
  <si>
    <t>424130953215</t>
  </si>
  <si>
    <t>CM ADJ adj -424130749198</t>
  </si>
  <si>
    <t>CM ADJ adj -424130947857</t>
  </si>
  <si>
    <t>1909000578</t>
  </si>
  <si>
    <t>CM ADJ adj -424130912340</t>
  </si>
  <si>
    <t>E55473AC20KT0297</t>
  </si>
  <si>
    <t>424130953233</t>
  </si>
  <si>
    <t>CM ADJ adj -424130904457</t>
  </si>
  <si>
    <t>CM ADJ adj -424130925158</t>
  </si>
  <si>
    <t>CM ADJ adj -424130952270</t>
  </si>
  <si>
    <t>CM ADJ adj -424130939991</t>
  </si>
  <si>
    <t>1909000579</t>
  </si>
  <si>
    <t>E35403TC20US0265</t>
  </si>
  <si>
    <t>424130953251</t>
  </si>
  <si>
    <t>1909000580</t>
  </si>
  <si>
    <t>CM ADJ adj -424130869147</t>
  </si>
  <si>
    <t>E5639SB20UK0281</t>
  </si>
  <si>
    <t>424130953297</t>
  </si>
  <si>
    <t>CM Adv adj- 424130854527</t>
  </si>
  <si>
    <t>CM Adv adj- 424130871205</t>
  </si>
  <si>
    <t>CM Adv adj- 424130939009</t>
  </si>
  <si>
    <t>CM Adv adj- 424130952751</t>
  </si>
  <si>
    <t>1909000581</t>
  </si>
  <si>
    <t>E5500AMZ20US0336</t>
  </si>
  <si>
    <t>424130953304</t>
  </si>
  <si>
    <t>CM Adv adj- 424130947857</t>
  </si>
  <si>
    <t>1909000582</t>
  </si>
  <si>
    <t>CM Adv adj- 424130887458</t>
  </si>
  <si>
    <t>EG3-05598,05482</t>
  </si>
  <si>
    <t>424130953402</t>
  </si>
  <si>
    <t>1909000583</t>
  </si>
  <si>
    <t>E5339TS20UK0315</t>
  </si>
  <si>
    <t>424130953439</t>
  </si>
  <si>
    <t>CM Adv adj- 424130862144</t>
  </si>
  <si>
    <t>CM Adv adj- 424130887467</t>
  </si>
  <si>
    <t>CM Adv adj- 424130952289</t>
  </si>
  <si>
    <t>CM Adv adj- 424130953055</t>
  </si>
  <si>
    <t>1909000584</t>
  </si>
  <si>
    <t>CM Adv adj- 424130912340</t>
  </si>
  <si>
    <t>E55385AC20KT0299</t>
  </si>
  <si>
    <t>424130953448</t>
  </si>
  <si>
    <t>CM Adv adj- 424130925158</t>
  </si>
  <si>
    <t>1909000585</t>
  </si>
  <si>
    <t>E05624US200325</t>
  </si>
  <si>
    <t>424130953457</t>
  </si>
  <si>
    <t>CM Adv adj- 424130851922</t>
  </si>
  <si>
    <t>1909000586</t>
  </si>
  <si>
    <t>E5500AMZ20US0353</t>
  </si>
  <si>
    <t>424130954278</t>
  </si>
  <si>
    <t>1909000587</t>
  </si>
  <si>
    <t>CM Adv adj- 424130952270</t>
  </si>
  <si>
    <t>E25427AC20KT0189</t>
  </si>
  <si>
    <t>424130953224</t>
  </si>
  <si>
    <t>CM Adv adj- 424130932060</t>
  </si>
  <si>
    <t>CM Adv adj- 424130947848</t>
  </si>
  <si>
    <t>CM Adv adj- 424130912359</t>
  </si>
  <si>
    <t>CM Adv adj- 424130925149</t>
  </si>
  <si>
    <t>1909000588</t>
  </si>
  <si>
    <t>CM ADJ adj -424130947848</t>
  </si>
  <si>
    <t>E25581VF20US0191</t>
  </si>
  <si>
    <t>424130953242</t>
  </si>
  <si>
    <t>CM ADJ adj -424130940006</t>
  </si>
  <si>
    <t>1909000589</t>
  </si>
  <si>
    <t>E25580VF20US0181</t>
  </si>
  <si>
    <t>424130953260</t>
  </si>
  <si>
    <t>1909000590</t>
  </si>
  <si>
    <t>E25319AC20KT0196</t>
  </si>
  <si>
    <t>424130953279</t>
  </si>
  <si>
    <t>CM ADJ adj -424130932060</t>
  </si>
  <si>
    <t>CM ADJ adj -424130912359</t>
  </si>
  <si>
    <t>CM ADJ adj -424130925149</t>
  </si>
  <si>
    <t>1909000591</t>
  </si>
  <si>
    <t>E25588VF20US0192</t>
  </si>
  <si>
    <t>424130953288</t>
  </si>
  <si>
    <t>CM ADJ adj -424130953019</t>
  </si>
  <si>
    <t>1909000592</t>
  </si>
  <si>
    <t>E25319AC20CK0194</t>
  </si>
  <si>
    <t>424130953466</t>
  </si>
  <si>
    <t>1909000593</t>
  </si>
  <si>
    <t>E55383SC20KT0349</t>
  </si>
  <si>
    <t>424130954312</t>
  </si>
  <si>
    <t>1909000594</t>
  </si>
  <si>
    <t>CM ADJ adj -424130824374</t>
  </si>
  <si>
    <t>E25582VF20US0176</t>
  </si>
  <si>
    <t>424130954303</t>
  </si>
  <si>
    <t>1909000595</t>
  </si>
  <si>
    <t>E25606AC20KT0199</t>
  </si>
  <si>
    <t>424130954321</t>
  </si>
  <si>
    <t>1909000596</t>
  </si>
  <si>
    <t>CM ADJ adj -424130923837</t>
  </si>
  <si>
    <t>E05624US20-0358M</t>
  </si>
  <si>
    <t>424130954679</t>
  </si>
  <si>
    <t>CM ADJ adj -424130923828</t>
  </si>
  <si>
    <t>CM ADJ adj -424130939009</t>
  </si>
  <si>
    <t>CM ADJ adj -424130902609</t>
  </si>
  <si>
    <t>CM ADJ adj -424130939018</t>
  </si>
  <si>
    <t>CM ADJ adj -424130945902</t>
  </si>
  <si>
    <t>1909000597</t>
  </si>
  <si>
    <t>E35403TC19MY0264</t>
  </si>
  <si>
    <t>424130954928</t>
  </si>
  <si>
    <t>CM ADJ adj -424130952289</t>
  </si>
  <si>
    <t>1909000598</t>
  </si>
  <si>
    <t>E05648US20369</t>
  </si>
  <si>
    <t>424130954919</t>
  </si>
  <si>
    <t>CM ADJ adj -424130952751</t>
  </si>
  <si>
    <t>CM ADJ adj -424130951976</t>
  </si>
  <si>
    <t>1909000599</t>
  </si>
  <si>
    <t>CM ADV ADJ REF-424130951976</t>
  </si>
  <si>
    <t>E05648US20-0367</t>
  </si>
  <si>
    <t>424130955776</t>
  </si>
  <si>
    <t>1909000600</t>
  </si>
  <si>
    <t>CM ADV REC REF-424130955552</t>
  </si>
  <si>
    <t>IT06592005160050</t>
  </si>
  <si>
    <t>424130955552</t>
  </si>
  <si>
    <t>1909000601</t>
  </si>
  <si>
    <t>CM ADV REC REF-424130955767</t>
  </si>
  <si>
    <t>IT06592005180056</t>
  </si>
  <si>
    <t>424130955767</t>
  </si>
  <si>
    <t>1909000602</t>
  </si>
  <si>
    <t>CM ADV ADJ REF-424130939009</t>
  </si>
  <si>
    <t>EG3-05688,649</t>
  </si>
  <si>
    <t>424130954900</t>
  </si>
  <si>
    <t>CM ADV ADJ REF-424130939018</t>
  </si>
  <si>
    <t>CM ADV ADJ REF-424130945902</t>
  </si>
  <si>
    <t>1909000603</t>
  </si>
  <si>
    <t>E05651US20-0380</t>
  </si>
  <si>
    <t>424130956070</t>
  </si>
  <si>
    <t>CM ADV ADJ REF-424130955552</t>
  </si>
  <si>
    <t>CM ADV ADJ REF-424130952751</t>
  </si>
  <si>
    <t>1909000604</t>
  </si>
  <si>
    <t>CM ADV REC REF-424130956711</t>
  </si>
  <si>
    <t>IT06592005180057</t>
  </si>
  <si>
    <t>424130956711</t>
  </si>
  <si>
    <t>1909000605</t>
  </si>
  <si>
    <t>1909000607</t>
  </si>
  <si>
    <t>1909000608</t>
  </si>
  <si>
    <t>E05648US200386</t>
  </si>
  <si>
    <t>424130957033</t>
  </si>
  <si>
    <t>CM ADVANCE ADJUSTED-424130955552</t>
  </si>
  <si>
    <t>CM ADVANCE ADJUSTED-424130951976</t>
  </si>
  <si>
    <t>1909000609</t>
  </si>
  <si>
    <t>E5495SB20UK0372</t>
  </si>
  <si>
    <t>424130957051</t>
  </si>
  <si>
    <t>CM ADVANCE ADJUSTED-424130952751</t>
  </si>
  <si>
    <t>1909000610</t>
  </si>
  <si>
    <t>CM ADVANCE ADJ- 424130923828</t>
  </si>
  <si>
    <t>E5494SB20UK0406</t>
  </si>
  <si>
    <t>424130957042</t>
  </si>
  <si>
    <t>CM ADVANCE ADJ- 424130939009</t>
  </si>
  <si>
    <t>CM ADVANCE ADJ- 424130939018</t>
  </si>
  <si>
    <t>CM ADVANCE ADJ- 424130952751</t>
  </si>
  <si>
    <t>1909000611</t>
  </si>
  <si>
    <t>CM ADVANCE ADJ- 424130932079</t>
  </si>
  <si>
    <t>E55383AC20JF0351</t>
  </si>
  <si>
    <t>424130957569</t>
  </si>
  <si>
    <t>CM ADVANCE ADJ- 424130925158</t>
  </si>
  <si>
    <t>CM ADVANCE ADJ- 424130952289</t>
  </si>
  <si>
    <t>CM ADVANCE ADJ- 424130939991</t>
  </si>
  <si>
    <t>CM ADVANCE ADJ- 424130947857</t>
  </si>
  <si>
    <t>CM ADVANCE ADJ- 424130953055</t>
  </si>
  <si>
    <t>CM ADVANCE ADJ- 424130956711</t>
  </si>
  <si>
    <t>1909000612</t>
  </si>
  <si>
    <t>E5339TS20UK0374</t>
  </si>
  <si>
    <t>424130957060</t>
  </si>
  <si>
    <t>1909000613</t>
  </si>
  <si>
    <t>CM ADVANCE REC- 424130959184</t>
  </si>
  <si>
    <t>EG5-05768</t>
  </si>
  <si>
    <t>424130959184</t>
  </si>
  <si>
    <t>1909000614</t>
  </si>
  <si>
    <t>CM ADVANCE REC- 424130959718</t>
  </si>
  <si>
    <t>EG3-05609</t>
  </si>
  <si>
    <t>424130959718</t>
  </si>
  <si>
    <t>1909000615</t>
  </si>
  <si>
    <t>CM ADVANCE ADJ- 424130959184</t>
  </si>
  <si>
    <t>E05706US20-0425</t>
  </si>
  <si>
    <t>424130960573</t>
  </si>
  <si>
    <t>CM ADVANCE ADJ- 424130945902</t>
  </si>
  <si>
    <t>1909000616</t>
  </si>
  <si>
    <t>CM ADVANCE ADJ- 424130923837</t>
  </si>
  <si>
    <t>E05649US20-0408</t>
  </si>
  <si>
    <t>424130960895</t>
  </si>
  <si>
    <t>CM ADVANCE ADJ- 424130955552</t>
  </si>
  <si>
    <t>1909000617</t>
  </si>
  <si>
    <t>05751US20-0499</t>
  </si>
  <si>
    <t>424130960902</t>
  </si>
  <si>
    <t>1909000618</t>
  </si>
  <si>
    <t>CM ADVANCE ADJ- 424130912340</t>
  </si>
  <si>
    <t>E55761AC20CK0346</t>
  </si>
  <si>
    <t>424130962134</t>
  </si>
  <si>
    <t>1909000619</t>
  </si>
  <si>
    <t>E5544AMZ20JP0354</t>
  </si>
  <si>
    <t>424130962143</t>
  </si>
  <si>
    <t>1909000620</t>
  </si>
  <si>
    <t>424130957587</t>
  </si>
  <si>
    <t>E25580VF20US0203</t>
  </si>
  <si>
    <t>1909000621</t>
  </si>
  <si>
    <t>1909000622</t>
  </si>
  <si>
    <t>424130962937</t>
  </si>
  <si>
    <t>E25607AC20CK0204</t>
  </si>
  <si>
    <t>1909000623</t>
  </si>
  <si>
    <t>424130962946</t>
  </si>
  <si>
    <t>E25647VF20US0207</t>
  </si>
  <si>
    <t>1909000624</t>
  </si>
  <si>
    <t>424130964409</t>
  </si>
  <si>
    <t>E25654VF20US0211</t>
  </si>
  <si>
    <t>1909000625</t>
  </si>
  <si>
    <t>E5516SB20UK0455</t>
  </si>
  <si>
    <t>424130962660</t>
  </si>
  <si>
    <t>1909000626</t>
  </si>
  <si>
    <t>E05701US20-0432</t>
  </si>
  <si>
    <t>424130963302</t>
  </si>
  <si>
    <t>1909000627</t>
  </si>
  <si>
    <t>CM ADVANCE REC- 424130964864</t>
  </si>
  <si>
    <t>EG5-05609</t>
  </si>
  <si>
    <t>424130964864</t>
  </si>
  <si>
    <t>1909000629</t>
  </si>
  <si>
    <t>CM ADVANCE REC- 424130965257</t>
  </si>
  <si>
    <t>EG5-05688</t>
  </si>
  <si>
    <t>424130965257</t>
  </si>
  <si>
    <t>1909000630</t>
  </si>
  <si>
    <t>E5545AMZ20US0352</t>
  </si>
  <si>
    <t>424130965266</t>
  </si>
  <si>
    <t>1909000632</t>
  </si>
  <si>
    <t>E05753US20-0510</t>
  </si>
  <si>
    <t>424130966933</t>
  </si>
  <si>
    <t>1909000633</t>
  </si>
  <si>
    <t>CM ADVANCE ADJ- 424130887458</t>
  </si>
  <si>
    <t>E05657US20-0484</t>
  </si>
  <si>
    <t>424130966924</t>
  </si>
  <si>
    <t>CM ADVANCE ADJ- 424130902609</t>
  </si>
  <si>
    <t>CM ADVANCE ADJ- 424130951976</t>
  </si>
  <si>
    <t>1909000634</t>
  </si>
  <si>
    <t>CM Advance received from EPIC Design DWE</t>
  </si>
  <si>
    <t>1909000635</t>
  </si>
  <si>
    <t>CM ADVANCE ADJ-424130923828</t>
  </si>
  <si>
    <t>E05693US20-0445</t>
  </si>
  <si>
    <t>424130967095</t>
  </si>
  <si>
    <t>CM ADVANCE ADJ-424130939009</t>
  </si>
  <si>
    <t>CM ADVANCE ADJ-424130959184</t>
  </si>
  <si>
    <t>CM ADVANCE ADJ-424130965257</t>
  </si>
  <si>
    <t>1909000636</t>
  </si>
  <si>
    <t>CM ADVANCE ADJ-424130932079</t>
  </si>
  <si>
    <t>E5339TS20UK0523</t>
  </si>
  <si>
    <t>424130970517</t>
  </si>
  <si>
    <t>CM ADVANCE ADJ-424130956711</t>
  </si>
  <si>
    <t>1909000637</t>
  </si>
  <si>
    <t>CM ADVANCE ADJ-424130964864</t>
  </si>
  <si>
    <t>E35687TC20CA0420</t>
  </si>
  <si>
    <t>424130969039</t>
  </si>
  <si>
    <t>1909000638</t>
  </si>
  <si>
    <t>E5495SB20UK0453</t>
  </si>
  <si>
    <t>424130968708</t>
  </si>
  <si>
    <t>CM ADVANCE ADJ-424130951976</t>
  </si>
  <si>
    <t>1909000639</t>
  </si>
  <si>
    <t>E05755US20-0517</t>
  </si>
  <si>
    <t>424130968717</t>
  </si>
  <si>
    <t>1909000640</t>
  </si>
  <si>
    <t>E05551US20-0565</t>
  </si>
  <si>
    <t>424130969020</t>
  </si>
  <si>
    <t>1909000641</t>
  </si>
  <si>
    <t>424130957578</t>
  </si>
  <si>
    <t>E25606AC20CK0197</t>
  </si>
  <si>
    <t>1909000642</t>
  </si>
  <si>
    <t>CM Advance received (424130964855)</t>
  </si>
  <si>
    <t>424130964855</t>
  </si>
  <si>
    <t>E52-05608</t>
  </si>
  <si>
    <t>1909000643</t>
  </si>
  <si>
    <t>FIT-CM ADV-Jun-20</t>
  </si>
  <si>
    <t>FIT-CM-EDL-JUN20</t>
  </si>
  <si>
    <t>FIT-CM-EDL-Jun20</t>
  </si>
  <si>
    <t>1909000645</t>
  </si>
  <si>
    <t>1909000646</t>
  </si>
  <si>
    <t>Row Labels</t>
  </si>
  <si>
    <t>Sum of Amount in loc.curr.2</t>
  </si>
  <si>
    <t>Amount in loc.curr.2</t>
  </si>
  <si>
    <t>1912009256</t>
  </si>
  <si>
    <t>KR</t>
  </si>
  <si>
    <t>Payable to CIPL for washing cost for Jan'19</t>
  </si>
  <si>
    <t>0000002010</t>
  </si>
  <si>
    <t>CIPL-EG2-0058-19</t>
  </si>
  <si>
    <t>Embroidary Cost Jan'19</t>
  </si>
  <si>
    <t>1912014109</t>
  </si>
  <si>
    <t>EGM4</t>
  </si>
  <si>
    <t>Purchase of 18000 PCS under EG4-05738</t>
  </si>
  <si>
    <t>GRN-2020-10045</t>
  </si>
  <si>
    <t>2000127680</t>
  </si>
  <si>
    <t>1912014255</t>
  </si>
  <si>
    <t>Purchase of 5000 PCS under EG2-05683</t>
  </si>
  <si>
    <t>GRN-2020-10578</t>
  </si>
  <si>
    <t>AB/2331/19</t>
  </si>
  <si>
    <t>EG2-05683</t>
  </si>
  <si>
    <t>2000132160</t>
  </si>
  <si>
    <t>1912014256</t>
  </si>
  <si>
    <t>Purchase of 900 DZ under EG2-05707</t>
  </si>
  <si>
    <t>GRN-2020-10574</t>
  </si>
  <si>
    <t>EG2-05707</t>
  </si>
  <si>
    <t>2000132150</t>
  </si>
  <si>
    <t>1912014288</t>
  </si>
  <si>
    <t>Purchase of 24805 PCS under EG2-05748</t>
  </si>
  <si>
    <t>GRN-2020-10300</t>
  </si>
  <si>
    <t>AB/2321/19</t>
  </si>
  <si>
    <t>EG2-05748</t>
  </si>
  <si>
    <t>2000129090</t>
  </si>
  <si>
    <t>1912014289</t>
  </si>
  <si>
    <t>Purchase of 18000 PCS under EG2-05590</t>
  </si>
  <si>
    <t>GRN-2020-10299</t>
  </si>
  <si>
    <t>EG2-05590</t>
  </si>
  <si>
    <t>2000129080</t>
  </si>
  <si>
    <t>1912014918</t>
  </si>
  <si>
    <t>ASL reconciliation with EGMCL the month of June20</t>
  </si>
  <si>
    <t>ASL RECON JUNE20</t>
  </si>
  <si>
    <t>ASL RECON June20</t>
  </si>
  <si>
    <t>1912014329</t>
  </si>
  <si>
    <t>VM Ware  Support Renewal</t>
  </si>
  <si>
    <t>DN/414/19</t>
  </si>
  <si>
    <t>1912014330</t>
  </si>
  <si>
    <t>WM Testing  Charge CTL</t>
  </si>
  <si>
    <t>DN/421/19</t>
  </si>
  <si>
    <t>1912014332</t>
  </si>
  <si>
    <t>Kohls Cahrge back   Mar-20 - May-20</t>
  </si>
  <si>
    <t>DN/411/19</t>
  </si>
  <si>
    <t>1912014333</t>
  </si>
  <si>
    <t>Walmart Claim INV 7000215966</t>
  </si>
  <si>
    <t>DN/433/19</t>
  </si>
  <si>
    <t>1912014919</t>
  </si>
  <si>
    <t>Manequin For WM</t>
  </si>
  <si>
    <t>DN/399/19</t>
  </si>
  <si>
    <t>1912014920</t>
  </si>
  <si>
    <t>Walmart Claim INV700046627</t>
  </si>
  <si>
    <t>DN/407/19</t>
  </si>
  <si>
    <t>Defered Liability Fo transfer to Inter. Com. Payable</t>
  </si>
  <si>
    <r>
      <t xml:space="preserve">Reviewed by: </t>
    </r>
    <r>
      <rPr>
        <sz val="11"/>
        <color theme="1"/>
        <rFont val="Open Sans"/>
        <family val="2"/>
      </rPr>
      <t>Humaun Ahamed</t>
    </r>
  </si>
  <si>
    <r>
      <rPr>
        <b/>
        <sz val="11"/>
        <color theme="1"/>
        <rFont val="Open Sans"/>
        <family val="2"/>
      </rPr>
      <t>Purpose:</t>
    </r>
    <r>
      <rPr>
        <sz val="11"/>
        <color theme="1"/>
        <rFont val="Open Sans"/>
        <family val="2"/>
      </rPr>
      <t xml:space="preserve"> To check advance receive from buyer with bank statement</t>
    </r>
  </si>
  <si>
    <t>Voucher No</t>
  </si>
  <si>
    <t>Amount in BDT</t>
  </si>
  <si>
    <t>Amount (USD) as per BS</t>
  </si>
  <si>
    <t>Epic Designers Ltd (HK)</t>
  </si>
  <si>
    <t>Epic Garments DWC-LLC</t>
  </si>
  <si>
    <t>Ref: IC-130</t>
  </si>
  <si>
    <r>
      <rPr>
        <b/>
        <sz val="11"/>
        <color theme="1"/>
        <rFont val="Open Sans"/>
        <family val="2"/>
      </rPr>
      <t>Purpose:</t>
    </r>
    <r>
      <rPr>
        <sz val="11"/>
        <color theme="1"/>
        <rFont val="Open Sans"/>
        <family val="2"/>
      </rPr>
      <t xml:space="preserve"> To select sample for further testing</t>
    </r>
  </si>
  <si>
    <t>IC-130</t>
  </si>
  <si>
    <t>SL#</t>
  </si>
  <si>
    <t>Date of management authority in letter of confirmation</t>
  </si>
  <si>
    <t>Confirmation sent details</t>
  </si>
  <si>
    <t>Currency</t>
  </si>
  <si>
    <t>Difference</t>
  </si>
  <si>
    <t>Sent through email</t>
  </si>
  <si>
    <t>Name &amp; designation of contact person</t>
  </si>
  <si>
    <t>Contact information</t>
  </si>
  <si>
    <t>Amount per confirmation letter</t>
  </si>
  <si>
    <t>Confirmation obtain Date</t>
  </si>
  <si>
    <t>Inter. com. Receivable as per Ageing</t>
  </si>
  <si>
    <t>Nurul Faruk Hasan &amp; Co</t>
  </si>
  <si>
    <t>Advance from Buyer</t>
  </si>
  <si>
    <t>Epic Designers Ltd., Hong Kong.</t>
  </si>
  <si>
    <t>Alpha Start Ltd, Hong Kong</t>
  </si>
  <si>
    <t>Interest on promotors loan</t>
  </si>
  <si>
    <t>DIVYA RAJARTNAM
Junior Accounts Executive | Finance</t>
  </si>
  <si>
    <t>divya.rajaratnam@Epicdwc.com</t>
  </si>
  <si>
    <t>MARCO TONG</t>
  </si>
  <si>
    <t>Accounts</t>
  </si>
  <si>
    <t>MARCO TONG
Accounts</t>
  </si>
  <si>
    <t> EDLAccounts@epichk.com</t>
  </si>
  <si>
    <r>
      <rPr>
        <b/>
        <sz val="11"/>
        <color theme="1"/>
        <rFont val="Calibri"/>
        <family val="2"/>
        <scheme val="minor"/>
      </rPr>
      <t>Accounting Period:</t>
    </r>
    <r>
      <rPr>
        <sz val="11"/>
        <color theme="1"/>
        <rFont val="Calibri"/>
        <family val="2"/>
        <scheme val="minor"/>
      </rPr>
      <t xml:space="preserve"> 01 July 2020 to 30 June 2021</t>
    </r>
  </si>
  <si>
    <r>
      <rPr>
        <b/>
        <sz val="11"/>
        <rFont val="Calibri"/>
        <family val="2"/>
        <scheme val="minor"/>
      </rPr>
      <t xml:space="preserve">Purpose: </t>
    </r>
    <r>
      <rPr>
        <sz val="11"/>
        <rFont val="Calibri"/>
        <family val="2"/>
        <scheme val="minor"/>
      </rPr>
      <t>The purpose of this work paper is to track balance confirmation letters</t>
    </r>
  </si>
  <si>
    <r>
      <rPr>
        <b/>
        <sz val="11"/>
        <color theme="1"/>
        <rFont val="Calibri"/>
        <family val="2"/>
        <scheme val="minor"/>
      </rPr>
      <t>Purpose:</t>
    </r>
    <r>
      <rPr>
        <sz val="11"/>
        <color theme="1"/>
        <rFont val="Calibri"/>
        <family val="2"/>
        <scheme val="minor"/>
      </rPr>
      <t xml:space="preserve"> To tieout with net amount of intercompany receivable/payable and amount confirmed by balance confirmation letter.</t>
    </r>
  </si>
  <si>
    <r>
      <rPr>
        <b/>
        <sz val="11"/>
        <color theme="1"/>
        <rFont val="Calibri"/>
        <family val="2"/>
        <scheme val="minor"/>
      </rPr>
      <t>Purpose:</t>
    </r>
    <r>
      <rPr>
        <sz val="11"/>
        <color theme="1"/>
        <rFont val="Calibri"/>
        <family val="2"/>
        <scheme val="minor"/>
      </rPr>
      <t xml:space="preserve"> To tieout the balances of intercompany payable with ageing schedule.</t>
    </r>
  </si>
  <si>
    <t>Trade Payable</t>
  </si>
  <si>
    <t>Notes Head</t>
  </si>
  <si>
    <t>Deferred Liability FO</t>
  </si>
  <si>
    <t>WP ref</t>
  </si>
  <si>
    <t>Ref: IP 130</t>
  </si>
  <si>
    <t>Ref: IP 120</t>
  </si>
  <si>
    <t>Nothing noted</t>
  </si>
  <si>
    <r>
      <rPr>
        <b/>
        <sz val="11"/>
        <color theme="1"/>
        <rFont val="Calibri"/>
        <family val="2"/>
        <scheme val="minor"/>
      </rPr>
      <t xml:space="preserve">Prepared by: </t>
    </r>
    <r>
      <rPr>
        <sz val="11"/>
        <rFont val="Calibri"/>
        <family val="2"/>
        <scheme val="minor"/>
      </rPr>
      <t>Md. Nahid Hasan Badhan</t>
    </r>
  </si>
  <si>
    <r>
      <rPr>
        <b/>
        <sz val="11"/>
        <rFont val="Calibri"/>
        <family val="2"/>
        <scheme val="minor"/>
      </rPr>
      <t xml:space="preserve">Date: </t>
    </r>
    <r>
      <rPr>
        <sz val="11"/>
        <rFont val="Calibri"/>
        <family val="2"/>
        <scheme val="minor"/>
      </rPr>
      <t>18 August 2021</t>
    </r>
  </si>
  <si>
    <r>
      <t xml:space="preserve">Reviewed by : </t>
    </r>
    <r>
      <rPr>
        <sz val="11"/>
        <rFont val="Calibri"/>
        <family val="2"/>
        <scheme val="minor"/>
      </rPr>
      <t>Rounak Rayhan Shuban</t>
    </r>
  </si>
  <si>
    <r>
      <t xml:space="preserve">Date: </t>
    </r>
    <r>
      <rPr>
        <sz val="11"/>
        <rFont val="Calibri"/>
        <family val="2"/>
        <scheme val="minor"/>
      </rPr>
      <t>19 August 2021</t>
    </r>
  </si>
  <si>
    <r>
      <t xml:space="preserve">Further Reviewed by </t>
    </r>
    <r>
      <rPr>
        <sz val="11"/>
        <rFont val="Calibri"/>
        <family val="2"/>
        <scheme val="minor"/>
      </rPr>
      <t>: Humaun Ahamed</t>
    </r>
  </si>
  <si>
    <r>
      <t xml:space="preserve">Date: </t>
    </r>
    <r>
      <rPr>
        <sz val="11"/>
        <rFont val="Calibri"/>
        <family val="2"/>
        <scheme val="minor"/>
      </rPr>
      <t>18 August 2021</t>
    </r>
  </si>
  <si>
    <t>Pearl Garments Company Limited</t>
  </si>
  <si>
    <t>Amount of USD due to/(by)</t>
  </si>
  <si>
    <t>ann.woo@epichk.com</t>
  </si>
  <si>
    <t>ANN WOO
Accounts</t>
  </si>
  <si>
    <t>zahidulhm@epicbd.com</t>
  </si>
  <si>
    <t>IP 131.1</t>
  </si>
  <si>
    <t>IP 133.1</t>
  </si>
  <si>
    <t>IP 132.1</t>
  </si>
  <si>
    <t>IP 134.1</t>
  </si>
  <si>
    <t>IP 131</t>
  </si>
  <si>
    <t>IP 132</t>
  </si>
  <si>
    <t>IP 133</t>
  </si>
  <si>
    <t>IP 134</t>
  </si>
  <si>
    <t>HM Zahid
Manager-Controller | Central Finance</t>
  </si>
  <si>
    <r>
      <rPr>
        <b/>
        <sz val="11"/>
        <color theme="1"/>
        <rFont val="Calibri"/>
        <family val="2"/>
        <scheme val="minor"/>
      </rPr>
      <t>Name of the Client:</t>
    </r>
    <r>
      <rPr>
        <sz val="11"/>
        <color theme="1"/>
        <rFont val="Calibri"/>
        <family val="2"/>
        <scheme val="minor"/>
      </rPr>
      <t xml:space="preserve"> Cosmopolitan Industries (Pvt.) Limited</t>
    </r>
  </si>
  <si>
    <t>Ref: IP 125</t>
  </si>
  <si>
    <t>IP 140 Intercompany Confirmation Control Sheet Work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</si>
</sst>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d/mmm/yyyy;@"/>
    <numFmt numFmtId="166" formatCode="_(* #,##0_);_(* \(#,##0\);_(* \-??_);_(@_)"/>
    <numFmt numFmtId="167" formatCode="_(* #,##0.00_);_(* \(\ #,##0.00\ \);_(* &quot;-&quot;??_);_(\ @_ \)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Open Sans"/>
      <family val="2"/>
    </font>
    <font>
      <sz val="11"/>
      <color theme="1"/>
      <name val="Open Sans"/>
      <family val="2"/>
    </font>
    <font>
      <b/>
      <sz val="11"/>
      <color rgb="FFFF0000"/>
      <name val="Open Sans"/>
      <family val="2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name val="Open Sans"/>
      <family val="2"/>
    </font>
    <font>
      <sz val="11"/>
      <color theme="0"/>
      <name val="Open Sans"/>
      <family val="2"/>
    </font>
    <font>
      <sz val="11"/>
      <name val="Open Sans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sz val="10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</font>
    <font>
      <sz val="11"/>
      <color rgb="FF93959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/>
    <xf numFmtId="0" fontId="3" fillId="0" borderId="0"/>
    <xf numFmtId="0" fontId="4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167" fontId="16" fillId="0" borderId="0" applyFont="0" applyFill="0" applyBorder="0" applyAlignment="0" applyProtection="0"/>
  </cellStyleXfs>
  <cellXfs count="13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/>
    </xf>
    <xf numFmtId="0" fontId="0" fillId="0" borderId="1" xfId="0" pivotButton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0" fontId="7" fillId="0" borderId="0" xfId="3" applyFont="1"/>
    <xf numFmtId="0" fontId="7" fillId="0" borderId="0" xfId="3" applyFont="1" applyAlignment="1">
      <alignment wrapText="1"/>
    </xf>
    <xf numFmtId="0" fontId="6" fillId="0" borderId="0" xfId="3" applyFont="1"/>
    <xf numFmtId="164" fontId="7" fillId="0" borderId="0" xfId="1" applyNumberFormat="1" applyFont="1"/>
    <xf numFmtId="0" fontId="8" fillId="0" borderId="0" xfId="3" applyFont="1"/>
    <xf numFmtId="0" fontId="11" fillId="0" borderId="0" xfId="0" applyFont="1" applyAlignment="1">
      <alignment vertical="top"/>
    </xf>
    <xf numFmtId="0" fontId="12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/>
    </xf>
    <xf numFmtId="164" fontId="11" fillId="0" borderId="1" xfId="1" applyNumberFormat="1" applyFont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10" fillId="0" borderId="0" xfId="1" applyNumberFormat="1" applyFont="1" applyAlignment="1">
      <alignment vertical="top"/>
    </xf>
    <xf numFmtId="0" fontId="4" fillId="0" borderId="0" xfId="3" applyAlignment="1">
      <alignment vertical="top"/>
    </xf>
    <xf numFmtId="0" fontId="4" fillId="0" borderId="0" xfId="3" applyAlignment="1">
      <alignment horizontal="left" vertical="top"/>
    </xf>
    <xf numFmtId="43" fontId="4" fillId="0" borderId="0" xfId="3" applyNumberFormat="1" applyAlignment="1">
      <alignment vertical="top"/>
    </xf>
    <xf numFmtId="0" fontId="4" fillId="2" borderId="1" xfId="3" applyFill="1" applyBorder="1" applyAlignment="1">
      <alignment vertical="top"/>
    </xf>
    <xf numFmtId="0" fontId="4" fillId="2" borderId="1" xfId="3" applyFill="1" applyBorder="1" applyAlignment="1">
      <alignment vertical="top" wrapText="1"/>
    </xf>
    <xf numFmtId="14" fontId="4" fillId="0" borderId="0" xfId="3" applyNumberFormat="1" applyAlignment="1">
      <alignment horizontal="right" vertical="top"/>
    </xf>
    <xf numFmtId="4" fontId="4" fillId="0" borderId="0" xfId="3" applyNumberFormat="1" applyAlignment="1">
      <alignment horizontal="right" vertical="top"/>
    </xf>
    <xf numFmtId="0" fontId="4" fillId="0" borderId="0" xfId="3" quotePrefix="1" applyAlignment="1">
      <alignment vertical="top"/>
    </xf>
    <xf numFmtId="0" fontId="0" fillId="0" borderId="1" xfId="0" pivotButton="1" applyBorder="1" applyAlignment="1">
      <alignment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vertical="top"/>
    </xf>
    <xf numFmtId="0" fontId="0" fillId="6" borderId="0" xfId="0" applyFill="1" applyAlignment="1">
      <alignment vertical="top"/>
    </xf>
    <xf numFmtId="14" fontId="0" fillId="6" borderId="0" xfId="0" applyNumberFormat="1" applyFill="1" applyAlignment="1">
      <alignment horizontal="right" vertical="top"/>
    </xf>
    <xf numFmtId="4" fontId="0" fillId="6" borderId="0" xfId="0" applyNumberFormat="1" applyFill="1" applyAlignment="1">
      <alignment horizontal="right" vertical="top"/>
    </xf>
    <xf numFmtId="0" fontId="0" fillId="0" borderId="0" xfId="0" applyFill="1" applyAlignment="1">
      <alignment vertical="top"/>
    </xf>
    <xf numFmtId="14" fontId="0" fillId="0" borderId="0" xfId="0" applyNumberFormat="1" applyFill="1" applyAlignment="1">
      <alignment horizontal="right" vertical="top"/>
    </xf>
    <xf numFmtId="4" fontId="0" fillId="0" borderId="0" xfId="0" applyNumberFormat="1" applyFill="1" applyAlignment="1">
      <alignment horizontal="right" vertical="top"/>
    </xf>
    <xf numFmtId="0" fontId="4" fillId="6" borderId="0" xfId="0" quotePrefix="1" applyFont="1" applyFill="1" applyAlignment="1">
      <alignment vertical="top"/>
    </xf>
    <xf numFmtId="164" fontId="13" fillId="0" borderId="1" xfId="1" applyNumberFormat="1" applyFont="1" applyBorder="1" applyAlignment="1">
      <alignment vertical="top"/>
    </xf>
    <xf numFmtId="0" fontId="4" fillId="0" borderId="0" xfId="3" applyFill="1" applyAlignment="1">
      <alignment vertical="top"/>
    </xf>
    <xf numFmtId="14" fontId="4" fillId="0" borderId="0" xfId="3" applyNumberFormat="1" applyFill="1" applyAlignment="1">
      <alignment horizontal="right" vertical="top"/>
    </xf>
    <xf numFmtId="4" fontId="4" fillId="0" borderId="0" xfId="3" applyNumberFormat="1" applyFill="1" applyAlignment="1">
      <alignment horizontal="right" vertical="top"/>
    </xf>
    <xf numFmtId="0" fontId="4" fillId="0" borderId="0" xfId="3" quotePrefix="1" applyFill="1" applyAlignment="1">
      <alignment vertical="top"/>
    </xf>
    <xf numFmtId="0" fontId="11" fillId="0" borderId="1" xfId="1" applyNumberFormat="1" applyFont="1" applyBorder="1" applyAlignment="1">
      <alignment horizontal="center" vertical="top"/>
    </xf>
    <xf numFmtId="164" fontId="11" fillId="0" borderId="1" xfId="1" applyNumberFormat="1" applyFont="1" applyBorder="1" applyAlignment="1">
      <alignment horizontal="center" vertical="top"/>
    </xf>
    <xf numFmtId="0" fontId="0" fillId="2" borderId="7" xfId="0" applyFill="1" applyBorder="1" applyAlignment="1">
      <alignment vertical="top" wrapText="1"/>
    </xf>
    <xf numFmtId="0" fontId="7" fillId="6" borderId="8" xfId="3" applyFont="1" applyFill="1" applyBorder="1"/>
    <xf numFmtId="0" fontId="14" fillId="4" borderId="1" xfId="0" applyFont="1" applyFill="1" applyBorder="1" applyAlignment="1">
      <alignment vertical="top"/>
    </xf>
    <xf numFmtId="0" fontId="14" fillId="4" borderId="7" xfId="0" applyFont="1" applyFill="1" applyBorder="1" applyAlignment="1">
      <alignment vertical="top" wrapText="1"/>
    </xf>
    <xf numFmtId="164" fontId="0" fillId="6" borderId="0" xfId="1" applyNumberFormat="1" applyFont="1" applyFill="1" applyAlignment="1">
      <alignment horizontal="right" vertical="top"/>
    </xf>
    <xf numFmtId="0" fontId="21" fillId="0" borderId="1" xfId="0" applyFont="1" applyBorder="1" applyAlignment="1">
      <alignment vertical="top"/>
    </xf>
    <xf numFmtId="0" fontId="18" fillId="0" borderId="1" xfId="5" applyFont="1" applyFill="1" applyBorder="1" applyAlignment="1">
      <alignment horizontal="center" vertical="top"/>
    </xf>
    <xf numFmtId="164" fontId="21" fillId="0" borderId="1" xfId="1" applyNumberFormat="1" applyFont="1" applyFill="1" applyBorder="1" applyAlignment="1">
      <alignment vertical="top"/>
    </xf>
    <xf numFmtId="164" fontId="21" fillId="0" borderId="1" xfId="7" applyNumberFormat="1" applyFont="1" applyFill="1" applyBorder="1" applyAlignment="1">
      <alignment horizontal="center" vertical="top"/>
    </xf>
    <xf numFmtId="0" fontId="18" fillId="0" borderId="1" xfId="5" applyFont="1" applyBorder="1" applyAlignment="1">
      <alignment horizontal="center" vertical="top"/>
    </xf>
    <xf numFmtId="164" fontId="21" fillId="0" borderId="1" xfId="1" applyNumberFormat="1" applyFont="1" applyBorder="1" applyAlignment="1">
      <alignment vertical="top"/>
    </xf>
    <xf numFmtId="43" fontId="21" fillId="0" borderId="1" xfId="7" applyNumberFormat="1" applyFont="1" applyBorder="1" applyAlignment="1">
      <alignment horizontal="center" vertical="top"/>
    </xf>
    <xf numFmtId="0" fontId="21" fillId="0" borderId="1" xfId="0" applyFont="1" applyBorder="1" applyAlignment="1">
      <alignment horizontal="center" vertical="top"/>
    </xf>
    <xf numFmtId="15" fontId="22" fillId="0" borderId="1" xfId="0" applyNumberFormat="1" applyFont="1" applyBorder="1" applyAlignment="1">
      <alignment horizontal="center" vertical="center"/>
    </xf>
    <xf numFmtId="166" fontId="21" fillId="0" borderId="1" xfId="7" applyNumberFormat="1" applyFont="1" applyFill="1" applyBorder="1" applyAlignment="1" applyProtection="1">
      <alignment horizontal="center" vertical="top"/>
    </xf>
    <xf numFmtId="164" fontId="21" fillId="0" borderId="1" xfId="1" applyNumberFormat="1" applyFont="1" applyFill="1" applyBorder="1" applyAlignment="1">
      <alignment horizontal="center" vertical="top"/>
    </xf>
    <xf numFmtId="164" fontId="21" fillId="0" borderId="1" xfId="1" applyNumberFormat="1" applyFont="1" applyBorder="1" applyAlignment="1">
      <alignment horizontal="center" vertical="top"/>
    </xf>
    <xf numFmtId="0" fontId="23" fillId="0" borderId="0" xfId="3" applyFont="1"/>
    <xf numFmtId="0" fontId="24" fillId="0" borderId="0" xfId="6" applyFont="1" applyFill="1" applyBorder="1"/>
    <xf numFmtId="0" fontId="21" fillId="0" borderId="0" xfId="5" applyFont="1"/>
    <xf numFmtId="0" fontId="20" fillId="4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top"/>
    </xf>
    <xf numFmtId="0" fontId="21" fillId="5" borderId="1" xfId="0" applyFont="1" applyFill="1" applyBorder="1"/>
    <xf numFmtId="164" fontId="24" fillId="0" borderId="1" xfId="1" applyNumberFormat="1" applyFont="1" applyBorder="1" applyAlignment="1">
      <alignment vertical="top"/>
    </xf>
    <xf numFmtId="164" fontId="21" fillId="0" borderId="0" xfId="0" applyNumberFormat="1" applyFont="1" applyAlignment="1">
      <alignment vertical="top"/>
    </xf>
    <xf numFmtId="0" fontId="21" fillId="0" borderId="0" xfId="0" applyFont="1" applyFill="1" applyAlignment="1">
      <alignment vertical="top"/>
    </xf>
    <xf numFmtId="0" fontId="19" fillId="0" borderId="0" xfId="0" applyFont="1"/>
    <xf numFmtId="0" fontId="19" fillId="0" borderId="0" xfId="0" applyFont="1" applyAlignment="1">
      <alignment horizontal="left"/>
    </xf>
    <xf numFmtId="164" fontId="18" fillId="0" borderId="1" xfId="7" applyNumberFormat="1" applyFont="1" applyFill="1" applyBorder="1" applyAlignment="1">
      <alignment horizontal="center" vertical="top"/>
    </xf>
    <xf numFmtId="0" fontId="21" fillId="0" borderId="0" xfId="0" applyFont="1"/>
    <xf numFmtId="164" fontId="21" fillId="0" borderId="0" xfId="1" applyNumberFormat="1" applyFont="1"/>
    <xf numFmtId="164" fontId="21" fillId="0" borderId="1" xfId="1" applyNumberFormat="1" applyFont="1" applyFill="1" applyBorder="1" applyAlignment="1">
      <alignment horizontal="right"/>
    </xf>
    <xf numFmtId="164" fontId="24" fillId="0" borderId="1" xfId="1" applyNumberFormat="1" applyFont="1" applyBorder="1" applyAlignment="1">
      <alignment horizontal="right"/>
    </xf>
    <xf numFmtId="0" fontId="21" fillId="0" borderId="1" xfId="0" applyFont="1" applyFill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5" fillId="0" borderId="1" xfId="9" applyFont="1" applyFill="1" applyBorder="1" applyAlignment="1">
      <alignment horizontal="left" vertical="top"/>
    </xf>
    <xf numFmtId="0" fontId="25" fillId="0" borderId="0" xfId="9" applyFont="1" applyAlignment="1">
      <alignment horizontal="left" vertical="top"/>
    </xf>
    <xf numFmtId="0" fontId="24" fillId="0" borderId="1" xfId="0" applyFont="1" applyBorder="1" applyAlignment="1">
      <alignment horizontal="center" vertical="top"/>
    </xf>
    <xf numFmtId="0" fontId="17" fillId="4" borderId="6" xfId="5" applyFont="1" applyFill="1" applyBorder="1" applyAlignment="1">
      <alignment horizontal="center" vertical="center" wrapText="1"/>
    </xf>
    <xf numFmtId="0" fontId="17" fillId="4" borderId="7" xfId="5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/>
    </xf>
    <xf numFmtId="0" fontId="1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164" fontId="7" fillId="0" borderId="0" xfId="1" applyNumberFormat="1" applyFont="1" applyAlignment="1">
      <alignment horizontal="center"/>
    </xf>
    <xf numFmtId="0" fontId="7" fillId="0" borderId="0" xfId="3" applyFont="1" applyAlignment="1">
      <alignment horizontal="left" vertical="top" wrapText="1"/>
    </xf>
    <xf numFmtId="0" fontId="21" fillId="0" borderId="0" xfId="5" applyFont="1" applyAlignment="1">
      <alignment horizontal="left"/>
    </xf>
    <xf numFmtId="0" fontId="17" fillId="4" borderId="2" xfId="5" applyFont="1" applyFill="1" applyBorder="1" applyAlignment="1">
      <alignment horizontal="center" vertical="center" wrapText="1"/>
    </xf>
    <xf numFmtId="0" fontId="17" fillId="4" borderId="4" xfId="5" applyFont="1" applyFill="1" applyBorder="1" applyAlignment="1">
      <alignment horizontal="center" vertical="center" wrapText="1"/>
    </xf>
    <xf numFmtId="0" fontId="17" fillId="4" borderId="3" xfId="5" applyFont="1" applyFill="1" applyBorder="1" applyAlignment="1">
      <alignment horizontal="center" vertical="center"/>
    </xf>
    <xf numFmtId="0" fontId="17" fillId="4" borderId="5" xfId="5" applyFont="1" applyFill="1" applyBorder="1" applyAlignment="1">
      <alignment horizontal="center" vertical="center"/>
    </xf>
    <xf numFmtId="0" fontId="17" fillId="4" borderId="6" xfId="5" applyFont="1" applyFill="1" applyBorder="1" applyAlignment="1">
      <alignment horizontal="center" vertical="center" wrapText="1"/>
    </xf>
    <xf numFmtId="0" fontId="17" fillId="4" borderId="7" xfId="5" applyFont="1" applyFill="1" applyBorder="1" applyAlignment="1">
      <alignment horizontal="center" vertical="center" wrapText="1"/>
    </xf>
    <xf numFmtId="0" fontId="17" fillId="4" borderId="6" xfId="5" applyFont="1" applyFill="1" applyBorder="1" applyAlignment="1">
      <alignment horizontal="center" vertical="center"/>
    </xf>
    <xf numFmtId="0" fontId="17" fillId="4" borderId="7" xfId="5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164" fontId="18" fillId="0" borderId="6" xfId="1" applyNumberFormat="1" applyFont="1" applyFill="1" applyBorder="1" applyAlignment="1">
      <alignment horizontal="center" vertical="center"/>
    </xf>
    <xf numFmtId="164" fontId="18" fillId="0" borderId="9" xfId="1" applyNumberFormat="1" applyFont="1" applyFill="1" applyBorder="1" applyAlignment="1">
      <alignment horizontal="center" vertical="center"/>
    </xf>
    <xf numFmtId="164" fontId="18" fillId="0" borderId="7" xfId="1" applyNumberFormat="1" applyFont="1" applyFill="1" applyBorder="1" applyAlignment="1">
      <alignment horizontal="center" vertical="center"/>
    </xf>
    <xf numFmtId="0" fontId="1" fillId="0" borderId="0" xfId="3" applyFont="1"/>
    <xf numFmtId="164" fontId="1" fillId="0" borderId="0" xfId="1" applyNumberFormat="1" applyFont="1" applyAlignment="1">
      <alignment horizontal="center"/>
    </xf>
    <xf numFmtId="164" fontId="1" fillId="0" borderId="0" xfId="1" applyNumberFormat="1" applyFont="1"/>
    <xf numFmtId="0" fontId="1" fillId="0" borderId="0" xfId="0" applyFont="1"/>
    <xf numFmtId="0" fontId="1" fillId="0" borderId="0" xfId="3" applyFont="1" applyAlignment="1">
      <alignment horizontal="left" vertical="top" wrapText="1"/>
    </xf>
    <xf numFmtId="0" fontId="1" fillId="0" borderId="0" xfId="3" applyFont="1" applyAlignment="1">
      <alignment wrapText="1"/>
    </xf>
    <xf numFmtId="0" fontId="1" fillId="0" borderId="0" xfId="5" applyFont="1"/>
    <xf numFmtId="0" fontId="1" fillId="0" borderId="1" xfId="5" applyFont="1" applyFill="1" applyBorder="1" applyAlignment="1">
      <alignment horizontal="center" vertical="top"/>
    </xf>
    <xf numFmtId="0" fontId="1" fillId="0" borderId="1" xfId="5" applyFont="1" applyFill="1" applyBorder="1" applyAlignment="1">
      <alignment horizontal="center" vertical="top" wrapText="1"/>
    </xf>
    <xf numFmtId="165" fontId="1" fillId="0" borderId="1" xfId="5" applyNumberFormat="1" applyFont="1" applyFill="1" applyBorder="1" applyAlignment="1">
      <alignment horizontal="center" vertical="top" wrapText="1"/>
    </xf>
    <xf numFmtId="164" fontId="1" fillId="0" borderId="1" xfId="7" applyNumberFormat="1" applyFont="1" applyFill="1" applyBorder="1" applyAlignment="1">
      <alignment horizontal="center" vertical="top"/>
    </xf>
    <xf numFmtId="0" fontId="1" fillId="0" borderId="0" xfId="5" applyFont="1" applyFill="1"/>
    <xf numFmtId="0" fontId="1" fillId="6" borderId="0" xfId="5" applyFont="1" applyFill="1"/>
    <xf numFmtId="0" fontId="1" fillId="0" borderId="1" xfId="5" applyFont="1" applyBorder="1" applyAlignment="1">
      <alignment horizontal="center" vertical="top"/>
    </xf>
    <xf numFmtId="0" fontId="1" fillId="0" borderId="1" xfId="5" applyFont="1" applyBorder="1" applyAlignment="1">
      <alignment horizontal="center" vertical="top" wrapText="1"/>
    </xf>
    <xf numFmtId="165" fontId="1" fillId="0" borderId="1" xfId="5" applyNumberFormat="1" applyFont="1" applyBorder="1" applyAlignment="1">
      <alignment horizontal="center" vertical="top" wrapText="1"/>
    </xf>
    <xf numFmtId="164" fontId="1" fillId="0" borderId="1" xfId="7" applyNumberFormat="1" applyFont="1" applyBorder="1" applyAlignment="1">
      <alignment horizontal="center" vertical="top"/>
    </xf>
    <xf numFmtId="164" fontId="1" fillId="0" borderId="0" xfId="7" applyNumberFormat="1" applyFont="1"/>
    <xf numFmtId="0" fontId="25" fillId="0" borderId="1" xfId="9" applyFont="1" applyBorder="1" applyAlignment="1">
      <alignment horizontal="left" vertical="top"/>
    </xf>
    <xf numFmtId="0" fontId="25" fillId="0" borderId="0" xfId="9" applyFont="1" applyAlignment="1">
      <alignment vertical="top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center" wrapText="1"/>
    </xf>
    <xf numFmtId="164" fontId="25" fillId="0" borderId="6" xfId="9" applyNumberFormat="1" applyFont="1" applyFill="1" applyBorder="1" applyAlignment="1">
      <alignment horizontal="center" vertical="center" wrapText="1"/>
    </xf>
    <xf numFmtId="164" fontId="25" fillId="0" borderId="9" xfId="9" applyNumberFormat="1" applyFont="1" applyFill="1" applyBorder="1" applyAlignment="1">
      <alignment horizontal="center" vertical="center" wrapText="1"/>
    </xf>
    <xf numFmtId="164" fontId="25" fillId="0" borderId="7" xfId="9" applyNumberFormat="1" applyFont="1" applyFill="1" applyBorder="1" applyAlignment="1">
      <alignment horizontal="center" vertical="center" wrapText="1"/>
    </xf>
  </cellXfs>
  <cellStyles count="13">
    <cellStyle name="Comma" xfId="1" builtinId="3"/>
    <cellStyle name="Comma 10 11 2 2" xfId="8" xr:uid="{00000000-0005-0000-0000-000001000000}"/>
    <cellStyle name="Comma 128" xfId="11" xr:uid="{00000000-0005-0000-0000-000002000000}"/>
    <cellStyle name="Comma 2" xfId="7" xr:uid="{00000000-0005-0000-0000-000003000000}"/>
    <cellStyle name="Comma 2 2 2 2 2" xfId="12" xr:uid="{00000000-0005-0000-0000-000004000000}"/>
    <cellStyle name="Hyperlink" xfId="9" builtinId="8"/>
    <cellStyle name="Normal" xfId="0" builtinId="0"/>
    <cellStyle name="Normal 10 6" xfId="10" xr:uid="{00000000-0005-0000-0000-000007000000}"/>
    <cellStyle name="Normal 14" xfId="2" xr:uid="{00000000-0005-0000-0000-000008000000}"/>
    <cellStyle name="Normal 2" xfId="3" xr:uid="{00000000-0005-0000-0000-000009000000}"/>
    <cellStyle name="Normal 2 2" xfId="6" xr:uid="{00000000-0005-0000-0000-00000A000000}"/>
    <cellStyle name="Normal 3" xfId="5" xr:uid="{00000000-0005-0000-0000-00000B000000}"/>
    <cellStyle name="Normal 651" xfId="4" xr:uid="{00000000-0005-0000-0000-00000C000000}"/>
  </cellStyles>
  <dxfs count="8"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horizontal="right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udit.EPICBD/Desktop/Siamon/Adv%20from%20buyer/Adv%20from%20buyer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" refreshedDate="44031.621739814815" createdVersion="4" refreshedVersion="4" minRefreshableVersion="3" recordCount="208" xr:uid="{00000000-000A-0000-FFFF-FFFF08000000}">
  <cacheSource type="worksheet">
    <worksheetSource ref="A1:AB209" sheet="ICR-GL details"/>
  </cacheSource>
  <cacheFields count="28">
    <cacheField name="Document Number" numFmtId="0">
      <sharedItems/>
    </cacheField>
    <cacheField name="Posting Date" numFmtId="14">
      <sharedItems containsSemiMixedTypes="0" containsNonDate="0" containsDate="1" containsString="0" minDate="2018-01-22T00:00:00" maxDate="2020-07-01T00:00:00"/>
    </cacheField>
    <cacheField name="Document Date" numFmtId="14">
      <sharedItems containsSemiMixedTypes="0" containsNonDate="0" containsDate="1" containsString="0" minDate="2018-01-22T00:00:00" maxDate="2020-07-01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472348.86" maxValue="237717.87"/>
    </cacheField>
    <cacheField name="Amount in USD" numFmtId="4">
      <sharedItems containsSemiMixedTypes="0" containsString="0" containsNumber="1" minValue="-472348.86" maxValue="237717.87"/>
    </cacheField>
    <cacheField name="Local Currency" numFmtId="0">
      <sharedItems/>
    </cacheField>
    <cacheField name="Business Area" numFmtId="0">
      <sharedItems/>
    </cacheField>
    <cacheField name="Amount in local currency" numFmtId="4">
      <sharedItems containsSemiMixedTypes="0" containsString="0" containsNumber="1" minValue="-39653686.799999997" maxValue="19956415.190000001"/>
    </cacheField>
    <cacheField name="Text/CI No" numFmtId="0">
      <sharedItems/>
    </cacheField>
    <cacheField name="Assignment" numFmtId="0">
      <sharedItems/>
    </cacheField>
    <cacheField name="Reference" numFmtId="0">
      <sharedItems/>
    </cacheField>
    <cacheField name="Cost Center" numFmtId="0">
      <sharedItems/>
    </cacheField>
    <cacheField name="Purchasing Document" numFmtId="0">
      <sharedItems/>
    </cacheField>
    <cacheField name="Item" numFmtId="0">
      <sharedItems/>
    </cacheField>
    <cacheField name="Document Header Text" numFmtId="0">
      <sharedItems/>
    </cacheField>
    <cacheField name="PI Number" numFmtId="0">
      <sharedItems/>
    </cacheField>
    <cacheField name="File Number" numFmtId="0">
      <sharedItems/>
    </cacheField>
    <cacheField name="Buyer Name" numFmtId="0">
      <sharedItems/>
    </cacheField>
    <cacheField name="LC Number" numFmtId="0">
      <sharedItems/>
    </cacheField>
    <cacheField name="Profit Center" numFmtId="0">
      <sharedItems/>
    </cacheField>
    <cacheField name="G/L Account" numFmtId="0">
      <sharedItems count="2">
        <s v="10301001"/>
        <s v="10301002"/>
      </sharedItems>
    </cacheField>
    <cacheField name="Clearing date" numFmtId="14">
      <sharedItems containsNonDate="0" containsDate="1" containsString="0" containsBlank="1" minDate="2019-09-19T00:00:00" maxDate="2020-06-23T00:00:00"/>
    </cacheField>
    <cacheField name="Clearing Document" numFmtId="0">
      <sharedItems/>
    </cacheField>
    <cacheField name="Payment date" numFmtId="14">
      <sharedItems containsSemiMixedTypes="0" containsNonDate="0" containsDate="1" containsString="0" minDate="2018-01-22T00:00:00" maxDate="2020-07-01T00:00:00"/>
    </cacheField>
    <cacheField name="Payment reference" numFmtId="0">
      <sharedItems/>
    </cacheField>
    <cacheField name="Invoice refer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" refreshedDate="44031.75346550926" createdVersion="4" refreshedVersion="4" minRefreshableVersion="3" recordCount="3337" xr:uid="{00000000-000A-0000-FFFF-FFFF09000000}">
  <cacheSource type="worksheet">
    <worksheetSource ref="A1:AB3338" sheet="Sheet1" r:id="rId2"/>
  </cacheSource>
  <cacheFields count="28">
    <cacheField name="Document Number" numFmtId="0">
      <sharedItems/>
    </cacheField>
    <cacheField name="Posting Date" numFmtId="14">
      <sharedItems containsSemiMixedTypes="0" containsNonDate="0" containsDate="1" containsString="0" minDate="2016-01-12T00:00:00" maxDate="2020-07-01T00:00:00"/>
    </cacheField>
    <cacheField name="Document Date" numFmtId="14">
      <sharedItems containsSemiMixedTypes="0" containsNonDate="0" containsDate="1" containsString="0" minDate="2016-01-12T00:00:00" maxDate="2020-07-01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2159776" maxValue="2159776"/>
    </cacheField>
    <cacheField name="Amount in loc.curr.2" numFmtId="4">
      <sharedItems containsSemiMixedTypes="0" containsString="0" containsNumber="1" minValue="-2159776" maxValue="2159776"/>
    </cacheField>
    <cacheField name="Local Currency" numFmtId="0">
      <sharedItems/>
    </cacheField>
    <cacheField name="Business Area" numFmtId="0">
      <sharedItems/>
    </cacheField>
    <cacheField name="Amount in local currency" numFmtId="4">
      <sharedItems containsSemiMixedTypes="0" containsString="0" containsNumber="1" minValue="-180298100.47999999" maxValue="180298100.47999999"/>
    </cacheField>
    <cacheField name="Text/CI No" numFmtId="0">
      <sharedItems/>
    </cacheField>
    <cacheField name="Assignment" numFmtId="0">
      <sharedItems/>
    </cacheField>
    <cacheField name="Reference" numFmtId="0">
      <sharedItems/>
    </cacheField>
    <cacheField name="Cost Center" numFmtId="0">
      <sharedItems/>
    </cacheField>
    <cacheField name="Purchasing Document" numFmtId="0">
      <sharedItems/>
    </cacheField>
    <cacheField name="Item" numFmtId="0">
      <sharedItems/>
    </cacheField>
    <cacheField name="Document Header Text" numFmtId="0">
      <sharedItems/>
    </cacheField>
    <cacheField name="PI Number" numFmtId="0">
      <sharedItems/>
    </cacheField>
    <cacheField name="File Number" numFmtId="0">
      <sharedItems/>
    </cacheField>
    <cacheField name="Buyer Name" numFmtId="0">
      <sharedItems/>
    </cacheField>
    <cacheField name="LC Number" numFmtId="0">
      <sharedItems/>
    </cacheField>
    <cacheField name="Profit Center" numFmtId="0">
      <sharedItems/>
    </cacheField>
    <cacheField name="G/L Account" numFmtId="0">
      <sharedItems count="1">
        <s v="20121001"/>
      </sharedItems>
    </cacheField>
    <cacheField name="Clearing date" numFmtId="14">
      <sharedItems containsNonDate="0" containsDate="1" containsString="0" containsBlank="1" minDate="2016-01-21T00:00:00" maxDate="2020-07-01T00:00:00"/>
    </cacheField>
    <cacheField name="Clearing Document" numFmtId="0">
      <sharedItems/>
    </cacheField>
    <cacheField name="Payment date" numFmtId="14">
      <sharedItems containsSemiMixedTypes="0" containsNonDate="0" containsDate="1" containsString="0" minDate="2016-01-12T00:00:00" maxDate="2020-07-01T00:00:00"/>
    </cacheField>
    <cacheField name="Payment reference" numFmtId="0">
      <sharedItems/>
    </cacheField>
    <cacheField name="Invoice refere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" refreshedDate="44037.438664583337" createdVersion="4" refreshedVersion="4" minRefreshableVersion="3" recordCount="14" xr:uid="{00000000-000A-0000-FFFF-FFFF0A000000}">
  <cacheSource type="worksheet">
    <worksheetSource ref="A1:AB15" sheet="GL details-ICP"/>
  </cacheSource>
  <cacheFields count="28">
    <cacheField name="Document Number" numFmtId="0">
      <sharedItems containsBlank="1"/>
    </cacheField>
    <cacheField name="Posting Date" numFmtId="14">
      <sharedItems containsNonDate="0" containsDate="1" containsString="0" containsBlank="1" minDate="2020-01-01T00:00:00" maxDate="2020-07-01T00:00:00"/>
    </cacheField>
    <cacheField name="Document Date" numFmtId="14">
      <sharedItems containsNonDate="0" containsDate="1" containsString="0" containsBlank="1" minDate="2020-01-01T00:00:00" maxDate="2020-07-01T00:00:00"/>
    </cacheField>
    <cacheField name="Document Type" numFmtId="0">
      <sharedItems containsBlank="1"/>
    </cacheField>
    <cacheField name="Document currency" numFmtId="0">
      <sharedItems containsBlank="1"/>
    </cacheField>
    <cacheField name="Amount in doc. curr." numFmtId="4">
      <sharedItems containsString="0" containsBlank="1" containsNumber="1" minValue="-47602.61" maxValue="-4"/>
    </cacheField>
    <cacheField name="Amount in loc.curr.2" numFmtId="4">
      <sharedItems containsSemiMixedTypes="0" containsString="0" containsNumber="1" minValue="-3202415.08" maxValue="-4"/>
    </cacheField>
    <cacheField name="Local Currency" numFmtId="0">
      <sharedItems containsBlank="1"/>
    </cacheField>
    <cacheField name="Business Area" numFmtId="0">
      <sharedItems containsBlank="1"/>
    </cacheField>
    <cacheField name="Amount in local currency" numFmtId="4">
      <sharedItems containsString="0" containsBlank="1" containsNumber="1" minValue="-3996239.11" maxValue="-335.8"/>
    </cacheField>
    <cacheField name="Text/CI No" numFmtId="0">
      <sharedItems/>
    </cacheField>
    <cacheField name="Assignment" numFmtId="0">
      <sharedItems containsBlank="1"/>
    </cacheField>
    <cacheField name="Reference" numFmtId="0">
      <sharedItems containsBlank="1"/>
    </cacheField>
    <cacheField name="Cost Center" numFmtId="0">
      <sharedItems containsBlank="1"/>
    </cacheField>
    <cacheField name="Purchasing Document" numFmtId="0">
      <sharedItems containsBlank="1"/>
    </cacheField>
    <cacheField name="Item" numFmtId="0">
      <sharedItems containsBlank="1"/>
    </cacheField>
    <cacheField name="Document Header Text" numFmtId="0">
      <sharedItems containsBlank="1"/>
    </cacheField>
    <cacheField name="PI Number" numFmtId="0">
      <sharedItems containsBlank="1"/>
    </cacheField>
    <cacheField name="File Number" numFmtId="0">
      <sharedItems containsBlank="1"/>
    </cacheField>
    <cacheField name="Buyer Name" numFmtId="0">
      <sharedItems containsBlank="1"/>
    </cacheField>
    <cacheField name="LC Number" numFmtId="0">
      <sharedItems containsBlank="1"/>
    </cacheField>
    <cacheField name="Profit Center" numFmtId="0">
      <sharedItems containsBlank="1"/>
    </cacheField>
    <cacheField name="G/L Account" numFmtId="0">
      <sharedItems count="3">
        <s v="30900940"/>
        <s v="20100001"/>
        <s v="20100002"/>
      </sharedItems>
    </cacheField>
    <cacheField name="Clearing date" numFmtId="14">
      <sharedItems containsNonDate="0" containsString="0" containsBlank="1"/>
    </cacheField>
    <cacheField name="Clearing Document" numFmtId="0">
      <sharedItems containsBlank="1"/>
    </cacheField>
    <cacheField name="Payment date" numFmtId="14">
      <sharedItems containsNonDate="0" containsDate="1" containsString="0" containsBlank="1" minDate="2020-01-01T00:00:00" maxDate="2020-07-01T00:00:00"/>
    </cacheField>
    <cacheField name="Payment reference" numFmtId="0">
      <sharedItems containsBlank="1"/>
    </cacheField>
    <cacheField name="Invoice referen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8">
  <r>
    <s v="1718001132"/>
    <d v="2018-01-22T00:00:00"/>
    <d v="2018-01-22T00:00:00"/>
    <s v="RV"/>
    <s v="USD"/>
    <n v="18424.099999999999"/>
    <n v="18424.099999999999"/>
    <s v="BDT"/>
    <s v=""/>
    <n v="1514461.02"/>
    <s v=""/>
    <s v="0000005010"/>
    <s v="E34227TC18US0102"/>
    <s v=""/>
    <s v=""/>
    <s v="0"/>
    <s v=""/>
    <s v=""/>
    <s v=""/>
    <s v=""/>
    <s v=""/>
    <s v=""/>
    <x v="0"/>
    <m/>
    <s v=""/>
    <d v="2018-01-22T00:00:00"/>
    <s v=""/>
    <s v="1718001132"/>
  </r>
  <r>
    <s v="1709000468"/>
    <d v="2018-02-15T00:00:00"/>
    <d v="2018-02-15T00:00:00"/>
    <s v="DZ"/>
    <s v="USD"/>
    <n v="-18244.099999999999"/>
    <n v="-18244.099999999999"/>
    <s v="BDT"/>
    <s v=""/>
    <n v="-1499665.02"/>
    <s v=""/>
    <s v="0000005010"/>
    <s v="E34227TC18US0102"/>
    <s v=""/>
    <s v=""/>
    <s v="0"/>
    <s v="424130570682"/>
    <s v=""/>
    <s v=""/>
    <s v=""/>
    <s v=""/>
    <s v=""/>
    <x v="0"/>
    <m/>
    <s v=""/>
    <d v="2018-02-15T00:00:00"/>
    <s v=""/>
    <s v="1709000468"/>
  </r>
  <r>
    <s v="1818001239"/>
    <d v="2019-04-01T00:00:00"/>
    <d v="2019-04-01T00:00:00"/>
    <s v="RV"/>
    <s v="USD"/>
    <n v="790.54"/>
    <n v="790.54"/>
    <s v="BDT"/>
    <s v=""/>
    <n v="65851.98"/>
    <s v=""/>
    <s v="0000005010"/>
    <s v="E34845TC19US0334"/>
    <s v=""/>
    <s v=""/>
    <s v="0"/>
    <s v=""/>
    <s v=""/>
    <s v=""/>
    <s v=""/>
    <s v=""/>
    <s v=""/>
    <x v="0"/>
    <m/>
    <s v=""/>
    <d v="2019-04-01T00:00:00"/>
    <s v="0095021704"/>
    <s v="1818001239"/>
  </r>
  <r>
    <s v="1806000092"/>
    <d v="2019-06-30T00:00:00"/>
    <d v="2019-06-30T00:00:00"/>
    <s v="DA"/>
    <s v="USD"/>
    <n v="-710.54"/>
    <n v="-710.54"/>
    <s v="BDT"/>
    <s v=""/>
    <n v="-59330.09"/>
    <s v="E34845TC19US0334"/>
    <s v="0000005010"/>
    <s v="E34845TC19US0334"/>
    <s v=""/>
    <s v=""/>
    <s v="0"/>
    <s v="E34845TC19US0334"/>
    <s v=""/>
    <s v=""/>
    <s v=""/>
    <s v=""/>
    <s v=""/>
    <x v="0"/>
    <m/>
    <s v=""/>
    <d v="2019-06-30T00:00:00"/>
    <s v="0095021704"/>
    <s v="1806000092"/>
  </r>
  <r>
    <s v="1908000001"/>
    <d v="2019-07-13T00:00:00"/>
    <d v="2019-07-13T00:00:00"/>
    <s v="DR"/>
    <s v="USD"/>
    <n v="1350"/>
    <n v="1350"/>
    <s v="BDT"/>
    <s v="EGM1"/>
    <n v="112725"/>
    <s v="MENDING COST FOR FILE EG-05141/5146/5142 (Hu"/>
    <s v="0000001020"/>
    <s v="ASL-19-20/01"/>
    <s v=""/>
    <s v=""/>
    <s v="0"/>
    <s v="MENDING COST"/>
    <s v=""/>
    <s v=""/>
    <s v=""/>
    <s v=""/>
    <s v=""/>
    <x v="1"/>
    <d v="2019-09-19T00:00:00"/>
    <s v="1909000203"/>
    <d v="2019-07-13T00:00:00"/>
    <s v=""/>
    <s v="1908000001"/>
  </r>
  <r>
    <s v="1908000002"/>
    <d v="2019-07-13T00:00:00"/>
    <d v="2019-07-13T00:00:00"/>
    <s v="DR"/>
    <s v="USD"/>
    <n v="180"/>
    <n v="180"/>
    <s v="BDT"/>
    <s v="EGM1"/>
    <n v="15030"/>
    <s v="POLYB REPLACEMENT COST"/>
    <s v="0000001020"/>
    <s v="ASL-19-20/02"/>
    <s v=""/>
    <s v=""/>
    <s v="0"/>
    <s v="POLYB REPLACEMENT COST"/>
    <s v=""/>
    <s v=""/>
    <s v=""/>
    <s v=""/>
    <s v=""/>
    <x v="1"/>
    <d v="2019-09-19T00:00:00"/>
    <s v="1909000203"/>
    <d v="2019-07-13T00:00:00"/>
    <s v=""/>
    <s v="1908000002"/>
  </r>
  <r>
    <s v="1908000003"/>
    <d v="2019-07-16T00:00:00"/>
    <d v="2019-07-16T00:00:00"/>
    <s v="DR"/>
    <s v="USD"/>
    <n v="102"/>
    <n v="102"/>
    <s v="BDT"/>
    <s v="EGM1"/>
    <n v="8517"/>
    <s v="Tuchup cost  File No- A-05058)"/>
    <s v="0000001010"/>
    <s v="EDL-EG-19-20/01"/>
    <s v=""/>
    <s v=""/>
    <s v="0"/>
    <s v="EDL-EG-19-20/01"/>
    <s v=""/>
    <s v=""/>
    <s v=""/>
    <s v=""/>
    <s v=""/>
    <x v="1"/>
    <d v="2019-09-19T00:00:00"/>
    <s v="1913001085"/>
    <d v="2019-07-16T00:00:00"/>
    <s v=""/>
    <s v="1908000003"/>
  </r>
  <r>
    <s v="1908000004"/>
    <d v="2019-07-16T00:00:00"/>
    <d v="2019-07-16T00:00:00"/>
    <s v="DR"/>
    <s v="USD"/>
    <n v="364.07"/>
    <n v="364.07"/>
    <s v="BDT"/>
    <s v="EGM1"/>
    <n v="30399.85"/>
    <s v="Belt Loop Folder Making cost Jordan Factory"/>
    <s v="0000001010"/>
    <s v="EDL-EG-19-20/02"/>
    <s v=""/>
    <s v=""/>
    <s v="0"/>
    <s v="EDL-EG-19-20/02"/>
    <s v=""/>
    <s v=""/>
    <s v=""/>
    <s v=""/>
    <s v=""/>
    <x v="1"/>
    <d v="2019-09-19T00:00:00"/>
    <s v="1913001085"/>
    <d v="2019-07-16T00:00:00"/>
    <s v=""/>
    <s v="1908000004"/>
  </r>
  <r>
    <s v="1907000000"/>
    <d v="2019-07-30T00:00:00"/>
    <d v="2019-07-30T00:00:00"/>
    <s v="DG"/>
    <s v="USD"/>
    <n v="-1000"/>
    <n v="-1000"/>
    <s v="BDT"/>
    <s v="EGM1"/>
    <n v="-83500"/>
    <s v="Academy Sports &amp; Outdoors Chargeback (PO 4669049)"/>
    <s v="0000005010"/>
    <s v="DN/03/19/EGMCL"/>
    <s v=""/>
    <s v=""/>
    <s v="0"/>
    <s v="DN/03/19/EGMCL"/>
    <s v=""/>
    <s v=""/>
    <s v=""/>
    <s v=""/>
    <s v=""/>
    <x v="1"/>
    <d v="2020-02-20T00:00:00"/>
    <s v="1906000015"/>
    <d v="2019-07-30T00:00:00"/>
    <s v=""/>
    <s v="1907000000"/>
  </r>
  <r>
    <s v="1907000001"/>
    <d v="2019-07-31T00:00:00"/>
    <d v="2019-07-31T00:00:00"/>
    <s v="DG"/>
    <s v="USD"/>
    <n v="-1000"/>
    <n v="-1000"/>
    <s v="BDT"/>
    <s v="EGM1"/>
    <n v="-83500"/>
    <s v="QA Factory IRP INITIAL Training Charge"/>
    <s v="0000005010"/>
    <s v="DN/02/19/EGMCL"/>
    <s v=""/>
    <s v=""/>
    <s v="0"/>
    <s v="DN/02/19/EGMCL"/>
    <s v=""/>
    <s v=""/>
    <s v=""/>
    <s v=""/>
    <s v=""/>
    <x v="1"/>
    <d v="2020-02-20T00:00:00"/>
    <s v="1906000015"/>
    <d v="2019-07-31T00:00:00"/>
    <s v=""/>
    <s v="1907000001"/>
  </r>
  <r>
    <s v="1908000011"/>
    <d v="2019-08-18T00:00:00"/>
    <d v="2019-08-18T00:00:00"/>
    <s v="DR"/>
    <s v="USD"/>
    <n v="390"/>
    <n v="390"/>
    <s v="BDT"/>
    <s v="EGM3"/>
    <n v="32565"/>
    <s v="MENDING COST FOR EG3-05137"/>
    <s v="0000001020"/>
    <s v="ASL-19-20/03"/>
    <s v=""/>
    <s v=""/>
    <s v="0"/>
    <s v="MENDING COST FOR EG3-051"/>
    <s v=""/>
    <s v=""/>
    <s v=""/>
    <s v=""/>
    <s v=""/>
    <x v="1"/>
    <d v="2019-09-19T00:00:00"/>
    <s v="1909000203"/>
    <d v="2019-08-18T00:00:00"/>
    <s v=""/>
    <s v="1908000011"/>
  </r>
  <r>
    <s v="1908000012"/>
    <d v="2019-08-18T00:00:00"/>
    <d v="2019-08-18T00:00:00"/>
    <s v="DR"/>
    <s v="USD"/>
    <n v="350"/>
    <n v="350"/>
    <s v="BDT"/>
    <s v="EGM3"/>
    <n v="29225"/>
    <s v="MENDING COST FOR EG-5296/5233/5084/5223/5240"/>
    <s v="0000001020"/>
    <s v="ASL-19-20/04"/>
    <s v=""/>
    <s v=""/>
    <s v="0"/>
    <s v="MENDING COST FOR EG-5296/"/>
    <s v=""/>
    <s v=""/>
    <s v=""/>
    <s v=""/>
    <s v=""/>
    <x v="1"/>
    <d v="2019-09-19T00:00:00"/>
    <s v="1909000203"/>
    <d v="2019-08-18T00:00:00"/>
    <s v=""/>
    <s v="1908000012"/>
  </r>
  <r>
    <s v="1908000013"/>
    <d v="2019-08-31T00:00:00"/>
    <d v="2019-08-31T00:00:00"/>
    <s v="DR"/>
    <s v="USD"/>
    <n v="556.87"/>
    <n v="556.87"/>
    <s v="BDT"/>
    <s v="EGM2"/>
    <n v="46498.65"/>
    <s v="MENDING AIR FREIGHT FOR EG2-05070"/>
    <s v="0000001020"/>
    <s v="ASL-19-20/06"/>
    <s v=""/>
    <s v=""/>
    <s v="0"/>
    <s v="MENDING AIR FREIGHT FOR E"/>
    <s v=""/>
    <s v=""/>
    <s v=""/>
    <s v=""/>
    <s v=""/>
    <x v="1"/>
    <d v="2019-09-19T00:00:00"/>
    <s v="1909000203"/>
    <d v="2019-08-31T00:00:00"/>
    <s v=""/>
    <s v="1908000013"/>
  </r>
  <r>
    <s v="1908000015"/>
    <d v="2019-08-31T00:00:00"/>
    <d v="2019-08-31T00:00:00"/>
    <s v="DR"/>
    <s v="USD"/>
    <n v="100258"/>
    <n v="100258"/>
    <s v="BDT"/>
    <s v="EGWH"/>
    <n v="8371543"/>
    <s v="WASH UP-CHGS/TEST COST FOR EG3-5111,5153ETC"/>
    <s v="0000001020"/>
    <s v="ASL-19-20/05"/>
    <s v=""/>
    <s v=""/>
    <s v="0"/>
    <s v="WASH UP-CHGS/TEST COST FO"/>
    <s v=""/>
    <s v=""/>
    <s v=""/>
    <s v=""/>
    <s v=""/>
    <x v="1"/>
    <d v="2019-09-19T00:00:00"/>
    <s v="1909000203"/>
    <d v="2019-08-31T00:00:00"/>
    <s v=""/>
    <s v="1908000015"/>
  </r>
  <r>
    <s v="1908000018"/>
    <d v="2019-09-19T00:00:00"/>
    <d v="2019-09-19T00:00:00"/>
    <s v="DR"/>
    <s v="USD"/>
    <n v="-21570.63"/>
    <n v="-21570.63"/>
    <s v="BDT"/>
    <s v="EGM1"/>
    <n v="-1801147.61"/>
    <s v="GL TRANSFER FOR DN FUND RECIPT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8000018"/>
  </r>
  <r>
    <s v="1909000203"/>
    <d v="2019-09-19T00:00:00"/>
    <d v="2019-09-19T00:00:00"/>
    <s v="DZ"/>
    <s v="USD"/>
    <n v="22578.2"/>
    <n v="22578.2"/>
    <s v="BDT"/>
    <s v="EGM1"/>
    <n v="1885279.71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09000203"/>
    <d v="2019-09-19T00:00:00"/>
    <d v="2019-09-19T00:00:00"/>
    <s v="DZ"/>
    <s v="USD"/>
    <n v="-556.87"/>
    <n v="-556.87"/>
    <s v="BDT"/>
    <s v="EGM2"/>
    <n v="-46498.65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09000203"/>
    <d v="2019-09-19T00:00:00"/>
    <d v="2019-09-19T00:00:00"/>
    <s v="DZ"/>
    <s v="USD"/>
    <n v="-740"/>
    <n v="-740"/>
    <s v="BDT"/>
    <s v="EGM3"/>
    <n v="-61790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09000203"/>
    <d v="2019-09-19T00:00:00"/>
    <d v="2019-09-19T00:00:00"/>
    <s v="DZ"/>
    <s v="USD"/>
    <n v="-100258"/>
    <n v="-100258"/>
    <s v="BDT"/>
    <s v="EGWH"/>
    <n v="-8371543"/>
    <s v="FUND RECIPT FROM ASL FOR DN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09000203"/>
  </r>
  <r>
    <s v="1913001085"/>
    <d v="2019-09-19T00:00:00"/>
    <d v="2019-09-19T00:00:00"/>
    <s v="KZ"/>
    <s v="USD"/>
    <n v="-466.07"/>
    <n v="-466.07"/>
    <s v="BDT"/>
    <s v="EGM1"/>
    <n v="-38916.85"/>
    <s v=""/>
    <s v="0000001010"/>
    <s v="IT06591909180816"/>
    <s v=""/>
    <s v=""/>
    <s v="0"/>
    <s v="IT06591909180816"/>
    <s v=""/>
    <s v=""/>
    <s v=""/>
    <s v=""/>
    <s v=""/>
    <x v="1"/>
    <d v="2019-09-19T00:00:00"/>
    <s v="1913001085"/>
    <d v="2019-09-19T00:00:00"/>
    <s v=""/>
    <s v="1913001085"/>
  </r>
  <r>
    <s v="1913001087"/>
    <d v="2019-09-19T00:00:00"/>
    <d v="2019-09-19T00:00:00"/>
    <s v="KZ"/>
    <s v="USD"/>
    <n v="-2537.5700000000002"/>
    <n v="-2537.5700000000002"/>
    <s v="BDT"/>
    <s v="EGM1"/>
    <n v="-211887.1"/>
    <s v="GL TRANSFER FOR DN FUND RECIPT"/>
    <s v="0000001020"/>
    <s v="IT06591909180816"/>
    <s v=""/>
    <s v=""/>
    <s v="0"/>
    <s v="GL TRANSFER FOR DN"/>
    <s v=""/>
    <s v=""/>
    <s v=""/>
    <s v=""/>
    <s v=""/>
    <x v="1"/>
    <d v="2019-09-19T00:00:00"/>
    <s v="1909000203"/>
    <d v="2019-09-19T00:00:00"/>
    <s v=""/>
    <s v="1913001087"/>
  </r>
  <r>
    <s v="1908000026"/>
    <d v="2019-10-13T00:00:00"/>
    <d v="2019-10-13T00:00:00"/>
    <s v="DR"/>
    <s v="USD"/>
    <n v="21788"/>
    <n v="21788"/>
    <s v="BDT"/>
    <s v="EGWH"/>
    <n v="1819298"/>
    <s v="Boys Twill wash up charge for Polymer cost"/>
    <s v="0000001020"/>
    <s v="ASL-19-20/07"/>
    <s v=""/>
    <s v=""/>
    <s v="0"/>
    <s v="Boys Twill wash up charge"/>
    <s v=""/>
    <s v=""/>
    <s v=""/>
    <s v=""/>
    <s v=""/>
    <x v="1"/>
    <d v="2019-11-26T00:00:00"/>
    <s v="1909000309"/>
    <d v="2019-10-13T00:00:00"/>
    <s v=""/>
    <s v="1908000026"/>
  </r>
  <r>
    <s v="1908000027"/>
    <d v="2019-10-17T00:00:00"/>
    <d v="2019-10-17T00:00:00"/>
    <s v="DR"/>
    <s v="USD"/>
    <n v="635"/>
    <n v="635"/>
    <s v="BDT"/>
    <s v="EGM1"/>
    <n v="53022.5"/>
    <s v="Inspection costs FILE NO # EG105269EG105287EG10530"/>
    <s v="0000001020"/>
    <s v="ASL-19-20/08"/>
    <s v=""/>
    <s v=""/>
    <s v="0"/>
    <s v="Inspection costs"/>
    <s v=""/>
    <s v=""/>
    <s v=""/>
    <s v=""/>
    <s v=""/>
    <x v="1"/>
    <d v="2019-11-26T00:00:00"/>
    <s v="1909000309"/>
    <d v="2019-10-17T00:00:00"/>
    <s v=""/>
    <s v="1908000027"/>
  </r>
  <r>
    <s v="1908000028"/>
    <d v="2019-10-17T00:00:00"/>
    <d v="2019-10-17T00:00:00"/>
    <s v="DR"/>
    <s v="USD"/>
    <n v="600"/>
    <n v="600"/>
    <s v="BDT"/>
    <s v="EGM1"/>
    <n v="50100"/>
    <s v="Mending costFILE NO # EG105312 / EG105331"/>
    <s v="0000001020"/>
    <s v="ASL-19-20/09"/>
    <s v=""/>
    <s v=""/>
    <s v="0"/>
    <s v="MENDING COST"/>
    <s v=""/>
    <s v=""/>
    <s v=""/>
    <s v=""/>
    <s v=""/>
    <x v="1"/>
    <d v="2019-11-26T00:00:00"/>
    <s v="1909000309"/>
    <d v="2019-10-17T00:00:00"/>
    <s v=""/>
    <s v="1908000028"/>
  </r>
  <r>
    <s v="1908000029"/>
    <d v="2019-10-21T00:00:00"/>
    <d v="2019-10-21T00:00:00"/>
    <s v="DR"/>
    <s v="USD"/>
    <n v="400"/>
    <n v="400"/>
    <s v="BDT"/>
    <s v="EGM3"/>
    <n v="33400"/>
    <s v="Zipper resize cost recoveryFILE NO # EG3-05337"/>
    <s v="0000001020"/>
    <s v="ASL-19-20/10"/>
    <s v=""/>
    <s v=""/>
    <s v="0"/>
    <s v="Zipper resize cost recove"/>
    <s v=""/>
    <s v=""/>
    <s v=""/>
    <s v=""/>
    <s v=""/>
    <x v="1"/>
    <d v="2019-11-26T00:00:00"/>
    <s v="1909000309"/>
    <d v="2019-10-21T00:00:00"/>
    <s v=""/>
    <s v="1908000029"/>
  </r>
  <r>
    <s v="1908000024"/>
    <d v="2019-10-27T00:00:00"/>
    <d v="2019-10-27T00:00:00"/>
    <s v="DR"/>
    <s v="USD"/>
    <n v="2111.56"/>
    <n v="2111.56"/>
    <s v="BDT"/>
    <s v="EGM2"/>
    <n v="176315.26"/>
    <s v="Air Freight Cost ( EGMCL-5076)"/>
    <s v="0000001010"/>
    <s v="EDL-EG-19-20/04"/>
    <s v=""/>
    <s v=""/>
    <s v="0"/>
    <s v="EDL-EG-19-20/04"/>
    <s v=""/>
    <s v=""/>
    <s v=""/>
    <s v=""/>
    <s v=""/>
    <x v="1"/>
    <d v="2020-04-01T00:00:00"/>
    <s v="1906000016"/>
    <d v="2019-10-27T00:00:00"/>
    <s v=""/>
    <s v="1908000024"/>
  </r>
  <r>
    <s v="1903003564"/>
    <d v="2019-10-29T00:00:00"/>
    <d v="2019-10-29T00:00:00"/>
    <s v="AB"/>
    <s v="USD"/>
    <n v="-527.21"/>
    <n v="-527.21"/>
    <s v="BDT"/>
    <s v="EGM2"/>
    <n v="-44022.04"/>
    <s v="Courier Cost for 34 Pcs Sample"/>
    <s v="0000001010"/>
    <s v="EDL-EG-19-20/05"/>
    <s v=""/>
    <s v=""/>
    <s v="0"/>
    <s v="EDL-EG-19-20/05"/>
    <s v=""/>
    <s v=""/>
    <s v=""/>
    <s v=""/>
    <s v=""/>
    <x v="1"/>
    <d v="2019-10-29T00:00:00"/>
    <s v="1903003564"/>
    <d v="2019-10-29T00:00:00"/>
    <s v=""/>
    <s v="1903003564"/>
  </r>
  <r>
    <s v="1908000023"/>
    <d v="2019-10-29T00:00:00"/>
    <d v="2019-10-29T00:00:00"/>
    <s v="DR"/>
    <s v="USD"/>
    <n v="527.21"/>
    <n v="527.21"/>
    <s v="BDT"/>
    <s v="EGM2"/>
    <n v="44022.04"/>
    <s v="Courier Cost for 34 Pcs Sample"/>
    <s v="0000001010"/>
    <s v="EDL-EG-19-20/05"/>
    <s v=""/>
    <s v=""/>
    <s v="0"/>
    <s v="EDL-EG-19-20/05"/>
    <s v=""/>
    <s v=""/>
    <s v=""/>
    <s v=""/>
    <s v=""/>
    <x v="1"/>
    <d v="2019-10-29T00:00:00"/>
    <s v="1903003564"/>
    <d v="2019-10-29T00:00:00"/>
    <s v=""/>
    <s v="1908000023"/>
  </r>
  <r>
    <s v="1903003565"/>
    <d v="2019-10-31T00:00:00"/>
    <d v="2019-10-31T00:00:00"/>
    <s v="AB"/>
    <s v="USD"/>
    <n v="-44.51"/>
    <n v="-44.51"/>
    <s v="BDT"/>
    <s v="EGM2"/>
    <n v="-3727.71"/>
    <s v="Courier Cost for  Sample"/>
    <s v="0000001010"/>
    <s v="EDL-EG-19-20/06"/>
    <s v=""/>
    <s v=""/>
    <s v="0"/>
    <s v="EDL-EG-19-20/06"/>
    <s v=""/>
    <s v=""/>
    <s v=""/>
    <s v=""/>
    <s v=""/>
    <x v="1"/>
    <d v="2019-10-31T00:00:00"/>
    <s v="1903003565"/>
    <d v="2019-10-31T00:00:00"/>
    <s v=""/>
    <s v="1903003565"/>
  </r>
  <r>
    <s v="1907000002"/>
    <d v="2019-10-31T00:00:00"/>
    <d v="2019-10-31T00:00:00"/>
    <s v="DG"/>
    <s v="USD"/>
    <n v="-150"/>
    <n v="-150"/>
    <s v="BDT"/>
    <s v=""/>
    <n v="-12562.5"/>
    <s v="Charge back the cost of tumble EG4-05188"/>
    <s v="0000005010"/>
    <s v="DN/04/19/EGMCL"/>
    <s v=""/>
    <s v=""/>
    <s v="0"/>
    <s v="DN/04/19/EGMCL"/>
    <s v=""/>
    <s v=""/>
    <s v=""/>
    <s v=""/>
    <s v=""/>
    <x v="1"/>
    <d v="2020-02-20T00:00:00"/>
    <s v="1906000015"/>
    <d v="2019-10-31T00:00:00"/>
    <s v=""/>
    <s v="1907000002"/>
  </r>
  <r>
    <s v="1908000025"/>
    <d v="2019-10-31T00:00:00"/>
    <d v="2019-10-31T00:00:00"/>
    <s v="DR"/>
    <s v="USD"/>
    <n v="44.51"/>
    <n v="44.51"/>
    <s v="BDT"/>
    <s v="EGM2"/>
    <n v="3727.71"/>
    <s v="Courier Cost for  Sample"/>
    <s v="0000001010"/>
    <s v="EDL-EG-19-20/06"/>
    <s v=""/>
    <s v=""/>
    <s v="0"/>
    <s v="EDL-EG-19-20/06"/>
    <s v=""/>
    <s v=""/>
    <s v=""/>
    <s v=""/>
    <s v=""/>
    <x v="1"/>
    <d v="2019-10-31T00:00:00"/>
    <s v="1903003565"/>
    <d v="2019-10-31T00:00:00"/>
    <s v=""/>
    <s v="1908000025"/>
  </r>
  <r>
    <s v="1908000030"/>
    <d v="2019-10-31T00:00:00"/>
    <d v="2019-10-31T00:00:00"/>
    <s v="DR"/>
    <s v="USD"/>
    <n v="400"/>
    <n v="400"/>
    <s v="BDT"/>
    <s v="EGM3"/>
    <n v="33500"/>
    <s v="Mending costFILE NO # EG-5358 , EG-5363, EG-5364 ,"/>
    <s v="0000001020"/>
    <s v="ASL-19-20/11"/>
    <s v=""/>
    <s v=""/>
    <s v="0"/>
    <s v="MENDING COST"/>
    <s v=""/>
    <s v=""/>
    <s v=""/>
    <s v=""/>
    <s v=""/>
    <x v="1"/>
    <d v="2019-11-26T00:00:00"/>
    <s v="1909000309"/>
    <d v="2019-10-31T00:00:00"/>
    <s v=""/>
    <s v="1908000030"/>
  </r>
  <r>
    <s v="1908000032"/>
    <d v="2019-10-31T00:00:00"/>
    <d v="2019-10-31T00:00:00"/>
    <s v="DR"/>
    <s v="USD"/>
    <n v="285.86"/>
    <n v="285.86"/>
    <s v="BDT"/>
    <s v="EGM2"/>
    <n v="23940.78"/>
    <s v="Courier cost - Sample Yardage for VF"/>
    <s v="0000001010"/>
    <s v="EDL-EG-19-20/05R"/>
    <s v=""/>
    <s v=""/>
    <s v="0"/>
    <s v="EDL-EG-19-20/05 Revised"/>
    <s v=""/>
    <s v=""/>
    <s v=""/>
    <s v=""/>
    <s v=""/>
    <x v="1"/>
    <d v="2020-04-01T00:00:00"/>
    <s v="1906000016"/>
    <d v="2019-10-31T00:00:00"/>
    <s v=""/>
    <s v="1908000032"/>
  </r>
  <r>
    <s v="1909000309"/>
    <d v="2019-11-26T00:00:00"/>
    <d v="2019-11-26T00:00:00"/>
    <s v="DZ"/>
    <s v="USD"/>
    <n v="971.92"/>
    <n v="971.92"/>
    <s v="BDT"/>
    <s v="EGM1"/>
    <n v="81927.740000000005"/>
    <s v="DN FUND RECEIVED FROM ASL"/>
    <s v="0000001020"/>
    <s v="IT06591911140032"/>
    <s v=""/>
    <s v=""/>
    <s v="0"/>
    <s v="FUND RECEIVED FROM ASL"/>
    <s v=""/>
    <s v=""/>
    <s v=""/>
    <s v=""/>
    <s v=""/>
    <x v="1"/>
    <d v="2019-11-26T00:00:00"/>
    <s v="1909000309"/>
    <d v="2019-11-26T00:00:00"/>
    <s v=""/>
    <s v="1909000309"/>
  </r>
  <r>
    <s v="1909000309"/>
    <d v="2019-11-26T00:00:00"/>
    <d v="2019-11-26T00:00:00"/>
    <s v="DZ"/>
    <s v="USD"/>
    <n v="-800"/>
    <n v="-800"/>
    <s v="BDT"/>
    <s v="EGM3"/>
    <n v="-66900"/>
    <s v="DN FUND RECEIVED FROM ASL"/>
    <s v="0000001020"/>
    <s v="IT06591911140032"/>
    <s v=""/>
    <s v=""/>
    <s v="0"/>
    <s v="FUND RECEIVED FROM ASL"/>
    <s v=""/>
    <s v=""/>
    <s v=""/>
    <s v=""/>
    <s v=""/>
    <x v="1"/>
    <d v="2019-11-26T00:00:00"/>
    <s v="1909000309"/>
    <d v="2019-11-26T00:00:00"/>
    <s v=""/>
    <s v="1909000309"/>
  </r>
  <r>
    <s v="1909000309"/>
    <d v="2019-11-26T00:00:00"/>
    <d v="2019-11-26T00:00:00"/>
    <s v="DZ"/>
    <s v="USD"/>
    <n v="-21788"/>
    <n v="-21788"/>
    <s v="BDT"/>
    <s v="EGWH"/>
    <n v="-1819298"/>
    <s v="DN FUND RECEIVED FROM ASL"/>
    <s v="0000001020"/>
    <s v="IT06591911140032"/>
    <s v=""/>
    <s v=""/>
    <s v="0"/>
    <s v="FUND RECEIVED FROM ASL"/>
    <s v=""/>
    <s v=""/>
    <s v=""/>
    <s v=""/>
    <s v=""/>
    <x v="1"/>
    <d v="2019-11-26T00:00:00"/>
    <s v="1909000309"/>
    <d v="2019-11-26T00:00:00"/>
    <s v=""/>
    <s v="1909000309"/>
  </r>
  <r>
    <s v="1913001766"/>
    <d v="2019-11-26T00:00:00"/>
    <d v="2019-11-26T00:00:00"/>
    <s v="KZ"/>
    <s v="USD"/>
    <n v="-2206.92"/>
    <n v="-2206.92"/>
    <s v="BDT"/>
    <s v="EGM1"/>
    <n v="-185050.23999999999"/>
    <s v="IT06591911140032 ALPHA START LIMIT"/>
    <s v="0000001020"/>
    <s v="IT06591911140032"/>
    <s v=""/>
    <s v=""/>
    <s v="0"/>
    <s v="IT06591911140032"/>
    <s v=""/>
    <s v=""/>
    <s v=""/>
    <s v=""/>
    <s v=""/>
    <x v="1"/>
    <d v="2019-11-26T00:00:00"/>
    <s v="1909000309"/>
    <d v="2019-11-26T00:00:00"/>
    <s v=""/>
    <s v="1913001766"/>
  </r>
  <r>
    <s v="1908000037"/>
    <d v="2019-11-27T00:00:00"/>
    <d v="2019-11-27T00:00:00"/>
    <s v="DR"/>
    <s v="USD"/>
    <n v="75"/>
    <n v="75"/>
    <s v="BDT"/>
    <s v="EGM1"/>
    <n v="6288.75"/>
    <s v="Mending cost FILE NO # A-5291/5401/5292"/>
    <s v="0000001020"/>
    <s v="ASL-19-20/13"/>
    <s v=""/>
    <s v=""/>
    <s v="0"/>
    <s v="MENDING COST"/>
    <s v=""/>
    <s v=""/>
    <s v=""/>
    <s v=""/>
    <s v=""/>
    <x v="1"/>
    <d v="2020-04-01T00:00:00"/>
    <s v="1909000563"/>
    <d v="2019-11-27T00:00:00"/>
    <s v=""/>
    <s v="1908000037"/>
  </r>
  <r>
    <s v="1907000003"/>
    <d v="2019-12-31T00:00:00"/>
    <d v="2019-12-31T00:00:00"/>
    <s v="DG"/>
    <s v="USD"/>
    <n v="-1000"/>
    <n v="-1000"/>
    <s v="BDT"/>
    <s v="EGM2"/>
    <n v="-83950"/>
    <s v="Charge back the cost of 592195 (E25190VF19US0427)"/>
    <s v="0000005010"/>
    <s v="DN/05/19/VF"/>
    <s v=""/>
    <s v=""/>
    <s v="0"/>
    <s v="DN-05/19/VF"/>
    <s v=""/>
    <s v=""/>
    <s v=""/>
    <s v=""/>
    <s v=""/>
    <x v="1"/>
    <d v="2020-02-20T00:00:00"/>
    <s v="1906000015"/>
    <d v="2019-12-31T00:00:00"/>
    <s v=""/>
    <s v="1907000003"/>
  </r>
  <r>
    <s v="1908000041"/>
    <d v="2020-01-09T00:00:00"/>
    <d v="2020-01-09T00:00:00"/>
    <s v="DR"/>
    <s v="USD"/>
    <n v="650"/>
    <n v="650"/>
    <s v="BDT"/>
    <s v="EGM1"/>
    <n v="54567.5"/>
    <s v="Mending cost FILE NO # EG105312 / EG105497"/>
    <s v="0000001020"/>
    <s v="ASL-19-20/15 REV"/>
    <s v=""/>
    <s v=""/>
    <s v="0"/>
    <s v="ASL-19-20/15 revised"/>
    <s v=""/>
    <s v=""/>
    <s v=""/>
    <s v=""/>
    <s v=""/>
    <x v="1"/>
    <m/>
    <s v=""/>
    <d v="2020-01-09T00:00:00"/>
    <s v=""/>
    <s v="1908000041"/>
  </r>
  <r>
    <s v="1908000040"/>
    <d v="2020-01-17T00:00:00"/>
    <d v="2020-01-17T00:00:00"/>
    <s v="DR"/>
    <s v="USD"/>
    <n v="49604"/>
    <n v="49604"/>
    <s v="BDT"/>
    <s v="EGWH"/>
    <n v="4164255.8"/>
    <s v="Polymer cost FILE NO # EG 5361/5389/ 5414/ 5444/54"/>
    <s v="0000001020"/>
    <s v="ASL-19-20/16 REV"/>
    <s v=""/>
    <s v=""/>
    <s v="0"/>
    <s v=""/>
    <s v=""/>
    <s v=""/>
    <s v=""/>
    <s v=""/>
    <s v=""/>
    <x v="1"/>
    <d v="2020-04-01T00:00:00"/>
    <s v="1909000565"/>
    <d v="2020-01-17T00:00:00"/>
    <s v=""/>
    <s v="1908000040"/>
  </r>
  <r>
    <s v="1906000013"/>
    <d v="2020-02-20T00:00:00"/>
    <d v="2020-02-20T00:00:00"/>
    <s v="DA"/>
    <s v="USD"/>
    <n v="150"/>
    <n v="150"/>
    <s v="BDT"/>
    <s v=""/>
    <n v="12562.5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3"/>
  </r>
  <r>
    <s v="1906000013"/>
    <d v="2020-02-20T00:00:00"/>
    <d v="2020-02-20T00:00:00"/>
    <s v="DA"/>
    <s v="USD"/>
    <n v="2000"/>
    <n v="2000"/>
    <s v="BDT"/>
    <s v="EGM1"/>
    <n v="16700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3"/>
  </r>
  <r>
    <s v="1906000013"/>
    <d v="2020-02-20T00:00:00"/>
    <d v="2020-02-20T00:00:00"/>
    <s v="DA"/>
    <s v="USD"/>
    <n v="1000"/>
    <n v="1000"/>
    <s v="BDT"/>
    <s v="EGM2"/>
    <n v="8395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3"/>
  </r>
  <r>
    <s v="1906000014"/>
    <d v="2020-02-20T00:00:00"/>
    <d v="2020-02-20T00:00:00"/>
    <s v="DA"/>
    <s v="USD"/>
    <n v="-150"/>
    <n v="-150"/>
    <s v="BDT"/>
    <s v=""/>
    <n v="-12562.5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4"/>
  </r>
  <r>
    <s v="1906000014"/>
    <d v="2020-02-20T00:00:00"/>
    <d v="2020-02-20T00:00:00"/>
    <s v="DA"/>
    <s v="USD"/>
    <n v="-2000"/>
    <n v="-2000"/>
    <s v="BDT"/>
    <s v="EGM1"/>
    <n v="-16700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4"/>
  </r>
  <r>
    <s v="1906000014"/>
    <d v="2020-02-20T00:00:00"/>
    <d v="2020-02-20T00:00:00"/>
    <s v="DA"/>
    <s v="USD"/>
    <n v="-1000"/>
    <n v="-1000"/>
    <s v="BDT"/>
    <s v="EGM2"/>
    <n v="-8395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4"/>
    <d v="2020-02-20T00:00:00"/>
    <s v=""/>
    <s v="1906000014"/>
  </r>
  <r>
    <s v="1906000015"/>
    <d v="2020-02-20T00:00:00"/>
    <d v="2020-02-20T00:00:00"/>
    <s v="DA"/>
    <s v="USD"/>
    <n v="150"/>
    <n v="150"/>
    <s v="BDT"/>
    <s v=""/>
    <n v="12562.5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5"/>
    <d v="2020-02-20T00:00:00"/>
    <s v=""/>
    <s v="1906000015"/>
  </r>
  <r>
    <s v="1906000015"/>
    <d v="2020-02-20T00:00:00"/>
    <d v="2020-02-20T00:00:00"/>
    <s v="DA"/>
    <s v="USD"/>
    <n v="2000"/>
    <n v="2000"/>
    <s v="BDT"/>
    <s v="EGM1"/>
    <n v="16700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5"/>
    <d v="2020-02-20T00:00:00"/>
    <s v=""/>
    <s v="1906000015"/>
  </r>
  <r>
    <s v="1906000015"/>
    <d v="2020-02-20T00:00:00"/>
    <d v="2020-02-20T00:00:00"/>
    <s v="DA"/>
    <s v="USD"/>
    <n v="1000"/>
    <n v="1000"/>
    <s v="BDT"/>
    <s v="EGM2"/>
    <n v="83950"/>
    <s v=""/>
    <s v="0000005010"/>
    <s v="D/N SETTLEMENT"/>
    <s v=""/>
    <s v=""/>
    <s v="0"/>
    <s v="EPIC GARMENTS DWC LLC"/>
    <s v=""/>
    <s v=""/>
    <s v=""/>
    <s v=""/>
    <s v=""/>
    <x v="1"/>
    <d v="2020-02-20T00:00:00"/>
    <s v="1906000015"/>
    <d v="2020-02-20T00:00:00"/>
    <s v=""/>
    <s v="1906000015"/>
  </r>
  <r>
    <s v="1906000011"/>
    <d v="2020-02-23T00:00:00"/>
    <d v="2020-02-23T00:00:00"/>
    <s v="DA"/>
    <s v="USD"/>
    <n v="150"/>
    <n v="150"/>
    <s v="BDT"/>
    <s v=""/>
    <n v="12562.5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1"/>
  </r>
  <r>
    <s v="1906000011"/>
    <d v="2020-02-23T00:00:00"/>
    <d v="2020-02-23T00:00:00"/>
    <s v="DA"/>
    <s v="USD"/>
    <n v="2000"/>
    <n v="2000"/>
    <s v="BDT"/>
    <s v="EGM1"/>
    <n v="16700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1"/>
  </r>
  <r>
    <s v="1906000011"/>
    <d v="2020-02-23T00:00:00"/>
    <d v="2020-02-23T00:00:00"/>
    <s v="DA"/>
    <s v="USD"/>
    <n v="1000"/>
    <n v="1000"/>
    <s v="BDT"/>
    <s v="EGM2"/>
    <n v="8395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1"/>
  </r>
  <r>
    <s v="1906000012"/>
    <d v="2020-02-23T00:00:00"/>
    <d v="2020-02-23T00:00:00"/>
    <s v="DA"/>
    <s v="USD"/>
    <n v="-150"/>
    <n v="-150"/>
    <s v="BDT"/>
    <s v=""/>
    <n v="-12562.5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2"/>
  </r>
  <r>
    <s v="1906000012"/>
    <d v="2020-02-23T00:00:00"/>
    <d v="2020-02-23T00:00:00"/>
    <s v="DA"/>
    <s v="USD"/>
    <n v="-2000"/>
    <n v="-2000"/>
    <s v="BDT"/>
    <s v="EGM1"/>
    <n v="-16700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2"/>
  </r>
  <r>
    <s v="1906000012"/>
    <d v="2020-02-23T00:00:00"/>
    <d v="2020-02-23T00:00:00"/>
    <s v="DA"/>
    <s v="USD"/>
    <n v="-1000"/>
    <n v="-1000"/>
    <s v="BDT"/>
    <s v="EGM2"/>
    <n v="-83950"/>
    <s v=""/>
    <s v="0000005010"/>
    <s v="D/N SETTLEMENT"/>
    <s v=""/>
    <s v=""/>
    <s v="0"/>
    <s v="EPIC GARMENTS DWC LLC"/>
    <s v=""/>
    <s v=""/>
    <s v=""/>
    <s v=""/>
    <s v=""/>
    <x v="1"/>
    <d v="2020-02-23T00:00:00"/>
    <s v="1906000012"/>
    <d v="2020-02-23T00:00:00"/>
    <s v=""/>
    <s v="1906000012"/>
  </r>
  <r>
    <s v="1903007769"/>
    <d v="2020-02-29T00:00:00"/>
    <d v="2020-02-29T00:00:00"/>
    <s v="AB"/>
    <s v="USD"/>
    <n v="24802"/>
    <n v="24802"/>
    <s v="BDT"/>
    <s v="EGM1"/>
    <n v="2082127.9"/>
    <s v="FUND IN  TRANSIT ASL DN FUND"/>
    <s v="0000001020"/>
    <s v="FUND IN  TRANSIT"/>
    <s v=""/>
    <s v=""/>
    <s v="0"/>
    <s v="FUND IN  TRANSIT"/>
    <s v=""/>
    <s v=""/>
    <s v=""/>
    <s v=""/>
    <s v=""/>
    <x v="1"/>
    <d v="2020-02-29T00:00:00"/>
    <s v="1903007769"/>
    <d v="2020-02-29T00:00:00"/>
    <s v=""/>
    <s v="1903007769"/>
  </r>
  <r>
    <s v="1907000004"/>
    <d v="2020-02-29T00:00:00"/>
    <d v="2020-02-29T00:00:00"/>
    <s v="DG"/>
    <s v="USD"/>
    <n v="-2250"/>
    <n v="-2250"/>
    <s v="BDT"/>
    <s v="EGM2"/>
    <n v="-188887.5"/>
    <s v="DN/02/19  Received for Academy Charge Back"/>
    <s v="0000005010"/>
    <s v="DN/01/19"/>
    <s v=""/>
    <s v=""/>
    <s v="0"/>
    <s v="DN Received from DWC"/>
    <s v=""/>
    <s v=""/>
    <s v=""/>
    <s v=""/>
    <s v=""/>
    <x v="1"/>
    <d v="2020-06-01T00:00:00"/>
    <s v="1913004127"/>
    <d v="2019-12-31T00:00:00"/>
    <s v=""/>
    <s v="1907000004"/>
  </r>
  <r>
    <s v="1909000501"/>
    <d v="2020-02-29T00:00:00"/>
    <d v="2020-02-29T00:00:00"/>
    <s v="DZ"/>
    <s v="USD"/>
    <n v="-24802"/>
    <n v="-24802"/>
    <s v="BDT"/>
    <s v="EGM1"/>
    <n v="-2082127.9"/>
    <s v="FUND IN  TRANSIT ASL DN FUND"/>
    <s v="0000001020"/>
    <s v="FUND IN  TRANSIT"/>
    <s v=""/>
    <s v=""/>
    <s v="0"/>
    <s v="FUND IN  TRANSIT"/>
    <s v=""/>
    <s v=""/>
    <s v=""/>
    <s v=""/>
    <s v=""/>
    <x v="1"/>
    <d v="2020-02-29T00:00:00"/>
    <s v="1903007769"/>
    <d v="2020-02-29T00:00:00"/>
    <s v=""/>
    <s v="1909000501"/>
  </r>
  <r>
    <s v="1909000502"/>
    <d v="2020-02-29T00:00:00"/>
    <d v="2020-02-29T00:00:00"/>
    <s v="DZ"/>
    <s v="USD"/>
    <n v="-24877"/>
    <n v="-24877"/>
    <s v="BDT"/>
    <s v="EGM1"/>
    <n v="-2088424.15"/>
    <s v="FUND IN  TRANSIT ASL DN FUND"/>
    <s v="0000001020"/>
    <s v="FUND IN  TRANSIT"/>
    <s v=""/>
    <s v=""/>
    <s v="0"/>
    <s v="FUND IN  TRANSIT"/>
    <s v=""/>
    <s v=""/>
    <s v=""/>
    <s v=""/>
    <s v=""/>
    <x v="1"/>
    <d v="2020-04-01T00:00:00"/>
    <s v="1903008966"/>
    <d v="2020-02-29T00:00:00"/>
    <s v=""/>
    <s v="1909000502"/>
  </r>
  <r>
    <s v="1907000005"/>
    <d v="2020-03-10T00:00:00"/>
    <d v="2020-03-10T00:00:00"/>
    <s v="DG"/>
    <s v="USD"/>
    <n v="-500"/>
    <n v="-500"/>
    <s v="BDT"/>
    <s v="EGM1"/>
    <n v="-41975"/>
    <s v="Inspection Charge  159645, 5486723/724/725"/>
    <s v="0000005010"/>
    <s v="DN/01/20/EGMCL"/>
    <s v=""/>
    <s v=""/>
    <s v="0"/>
    <s v="DN/01/20/EGMCL"/>
    <s v=""/>
    <s v=""/>
    <s v=""/>
    <s v=""/>
    <s v=""/>
    <x v="1"/>
    <d v="2020-03-24T00:00:00"/>
    <s v="1913003310"/>
    <d v="2020-03-10T00:00:00"/>
    <s v=""/>
    <s v="1907000005"/>
  </r>
  <r>
    <s v="1907000007"/>
    <d v="2020-03-10T00:00:00"/>
    <d v="2020-03-10T00:00:00"/>
    <s v="DG"/>
    <s v="USD"/>
    <n v="-500"/>
    <n v="-500"/>
    <s v="BDT"/>
    <s v="EGM2"/>
    <n v="-41975"/>
    <s v="DN Rec for Academy re inspection after insp.failur"/>
    <s v="0000005010"/>
    <s v="DN/01/20 ACADEMY"/>
    <s v=""/>
    <s v=""/>
    <s v="0"/>
    <s v="DN Received from DWC"/>
    <s v=""/>
    <s v=""/>
    <s v=""/>
    <s v=""/>
    <s v=""/>
    <x v="1"/>
    <d v="2020-06-01T00:00:00"/>
    <s v="1913004128"/>
    <d v="2019-12-31T00:00:00"/>
    <s v=""/>
    <s v="1907000007"/>
  </r>
  <r>
    <s v="1908000049"/>
    <d v="2020-03-16T00:00:00"/>
    <d v="2020-03-16T00:00:00"/>
    <s v="DR"/>
    <s v="USD"/>
    <n v="9388.2199999999993"/>
    <n v="9388.2199999999993"/>
    <s v="BDT"/>
    <s v="EGWH"/>
    <n v="788141.07"/>
    <s v="Polymercost File EG-3-05529/EG-3-05552"/>
    <s v="0000001020"/>
    <s v="ASL 19-20-17"/>
    <s v=""/>
    <s v=""/>
    <s v="0"/>
    <s v="ASL 19-20-17"/>
    <s v=""/>
    <s v=""/>
    <s v=""/>
    <s v=""/>
    <s v=""/>
    <x v="1"/>
    <d v="2020-06-22T00:00:00"/>
    <s v="1903010916"/>
    <d v="2020-03-16T00:00:00"/>
    <s v=""/>
    <s v="1908000049"/>
  </r>
  <r>
    <s v="1913003310"/>
    <d v="2020-03-24T00:00:00"/>
    <d v="2020-03-24T00:00:00"/>
    <s v="KZ"/>
    <s v="USD"/>
    <n v="500"/>
    <n v="500"/>
    <s v="BDT"/>
    <s v="EGM1"/>
    <n v="41975"/>
    <s v="E55385AC20CK0250"/>
    <s v="0000005010"/>
    <s v="E55385AC20CK0250"/>
    <s v=""/>
    <s v=""/>
    <s v="0"/>
    <s v="424130950904"/>
    <s v=""/>
    <s v=""/>
    <s v=""/>
    <s v=""/>
    <s v=""/>
    <x v="1"/>
    <d v="2020-03-24T00:00:00"/>
    <s v="1913003310"/>
    <d v="2020-03-24T00:00:00"/>
    <s v=""/>
    <s v="1913003310"/>
  </r>
  <r>
    <s v="1903008617"/>
    <d v="2020-03-31T00:00:00"/>
    <d v="2020-03-31T00:00:00"/>
    <s v="AB"/>
    <s v="USD"/>
    <n v="500"/>
    <n v="500"/>
    <s v="BDT"/>
    <s v="EGM2"/>
    <n v="41975"/>
    <s v="DN Rec for Academy re inspection after insp.failur"/>
    <s v="0000005010"/>
    <s v="DN/01/20 ACADEMY"/>
    <s v=""/>
    <s v=""/>
    <s v="0"/>
    <s v="DN Received from DWC"/>
    <s v=""/>
    <s v=""/>
    <s v=""/>
    <s v=""/>
    <s v=""/>
    <x v="1"/>
    <d v="2020-03-31T00:00:00"/>
    <s v="1903008617"/>
    <d v="2019-12-31T00:00:00"/>
    <s v=""/>
    <s v="1903008617"/>
  </r>
  <r>
    <s v="1907000006"/>
    <d v="2020-03-31T00:00:00"/>
    <d v="2020-03-31T00:00:00"/>
    <s v="DG"/>
    <s v="USD"/>
    <n v="-500"/>
    <n v="-500"/>
    <s v="BDT"/>
    <s v="EGM2"/>
    <n v="-41975"/>
    <s v="DN Rec for Academy re inspection after insp.failur"/>
    <s v="0000005010"/>
    <s v="DN/01/20 ACADEMY"/>
    <s v=""/>
    <s v=""/>
    <s v="0"/>
    <s v="DN Received from DWC"/>
    <s v=""/>
    <s v=""/>
    <s v=""/>
    <s v=""/>
    <s v=""/>
    <x v="1"/>
    <d v="2020-03-31T00:00:00"/>
    <s v="1903008617"/>
    <d v="2019-12-31T00:00:00"/>
    <s v=""/>
    <s v="1907000006"/>
  </r>
  <r>
    <s v="1909000543"/>
    <d v="2020-03-31T00:00:00"/>
    <d v="2020-03-31T00:00:00"/>
    <s v="DZ"/>
    <s v="USD"/>
    <n v="-24802"/>
    <n v="-24802"/>
    <s v="BDT"/>
    <s v="EGM1"/>
    <n v="-2082127.9"/>
    <s v="FIT MAR-20 ASL RECEIVALE PAYMENT"/>
    <s v="0000001020"/>
    <s v="FIT MAR-20"/>
    <s v=""/>
    <s v=""/>
    <s v="0"/>
    <s v="FIT Mar-20"/>
    <s v=""/>
    <s v=""/>
    <s v=""/>
    <s v=""/>
    <s v=""/>
    <x v="1"/>
    <d v="2020-04-01T00:00:00"/>
    <s v="1903008967"/>
    <d v="2020-03-31T00:00:00"/>
    <s v=""/>
    <s v="1909000543"/>
  </r>
  <r>
    <s v="1903008966"/>
    <d v="2020-04-01T00:00:00"/>
    <d v="2020-02-29T00:00:00"/>
    <s v="AB"/>
    <s v="USD"/>
    <n v="24877"/>
    <n v="24877"/>
    <s v="BDT"/>
    <s v="EGM1"/>
    <n v="2088424.15"/>
    <s v="FUND IN  TRANSIT ASL DN FUND"/>
    <s v="0000001020"/>
    <s v="FUND IN  TRANSIT"/>
    <s v=""/>
    <s v=""/>
    <s v="0"/>
    <s v="FUND IN  TRANSIT"/>
    <s v=""/>
    <s v=""/>
    <s v=""/>
    <s v=""/>
    <s v=""/>
    <x v="1"/>
    <d v="2020-04-01T00:00:00"/>
    <s v="1903008966"/>
    <d v="2020-02-29T00:00:00"/>
    <s v=""/>
    <s v="1903008966"/>
  </r>
  <r>
    <s v="1903008967"/>
    <d v="2020-04-01T00:00:00"/>
    <d v="2020-03-31T00:00:00"/>
    <s v="AB"/>
    <s v="USD"/>
    <n v="24802"/>
    <n v="24802"/>
    <s v="BDT"/>
    <s v="EGM1"/>
    <n v="2082127.9"/>
    <s v="FIT MAR-20 ASL RECEIVALE PAYMENT"/>
    <s v="0000001020"/>
    <s v="FIT MAR-20"/>
    <s v=""/>
    <s v=""/>
    <s v="0"/>
    <s v="FIT Mar-20"/>
    <s v=""/>
    <s v=""/>
    <s v=""/>
    <s v=""/>
    <s v=""/>
    <x v="1"/>
    <d v="2020-04-01T00:00:00"/>
    <s v="1903008967"/>
    <d v="2020-03-31T00:00:00"/>
    <s v=""/>
    <s v="1903008967"/>
  </r>
  <r>
    <s v="1906000016"/>
    <d v="2020-04-01T00:00:00"/>
    <d v="2020-04-01T00:00:00"/>
    <s v="DA"/>
    <s v="USD"/>
    <n v="-2397.42"/>
    <n v="-2397.42"/>
    <s v="BDT"/>
    <s v="EGM2"/>
    <n v="-200256.04"/>
    <s v=""/>
    <s v="0000001010"/>
    <s v="GL TRANSFER"/>
    <s v=""/>
    <s v=""/>
    <s v="0"/>
    <s v="GL TRANSFER"/>
    <s v=""/>
    <s v=""/>
    <s v=""/>
    <s v=""/>
    <s v=""/>
    <x v="1"/>
    <d v="2020-04-01T00:00:00"/>
    <s v="1906000016"/>
    <d v="2020-04-01T00:00:00"/>
    <s v=""/>
    <s v="1906000016"/>
  </r>
  <r>
    <s v="1909000562"/>
    <d v="2020-04-01T00:00:00"/>
    <d v="2020-03-01T00:00:00"/>
    <s v="DZ"/>
    <s v="USD"/>
    <n v="-6958.14"/>
    <n v="-6958.14"/>
    <s v="BDT"/>
    <s v="EGM1"/>
    <n v="-582691.55000000005"/>
    <s v="FUND RECEIVED FROM ALPHA START LIMIT"/>
    <s v="0000001020"/>
    <s v="IT0659200219"/>
    <s v=""/>
    <s v=""/>
    <s v="0"/>
    <s v="GL TRANSFER"/>
    <s v=""/>
    <s v=""/>
    <s v=""/>
    <s v=""/>
    <s v=""/>
    <x v="1"/>
    <d v="2020-04-01T00:00:00"/>
    <s v="1909000563"/>
    <d v="2020-03-01T00:00:00"/>
    <s v=""/>
    <s v="1909000562"/>
  </r>
  <r>
    <s v="1909000563"/>
    <d v="2020-04-01T00:00:00"/>
    <d v="2020-03-01T00:00:00"/>
    <s v="DZ"/>
    <s v="USD"/>
    <n v="-24802"/>
    <n v="-24802"/>
    <s v="BDT"/>
    <s v="EGWH"/>
    <n v="-2082127.9"/>
    <s v=""/>
    <s v="0000001020"/>
    <s v="IT0659200219"/>
    <s v=""/>
    <s v=""/>
    <s v="0"/>
    <s v="FUND RECEIVED FROM ALPHA"/>
    <s v=""/>
    <s v=""/>
    <s v=""/>
    <s v=""/>
    <s v=""/>
    <x v="1"/>
    <d v="2020-04-01T00:00:00"/>
    <s v="1909000565"/>
    <d v="2020-04-16T00:00:00"/>
    <s v=""/>
    <s v="1909000563"/>
  </r>
  <r>
    <s v="1909000563"/>
    <d v="2020-04-01T00:00:00"/>
    <d v="2020-03-01T00:00:00"/>
    <s v="DZ"/>
    <s v="USD"/>
    <n v="6883.14"/>
    <n v="6883.14"/>
    <s v="BDT"/>
    <s v="EGM1"/>
    <n v="576402.80000000005"/>
    <s v="FUND RECEIVED FROM ALPHA START LIMIT"/>
    <s v="0000001020"/>
    <s v="IT0659200219"/>
    <s v=""/>
    <s v=""/>
    <s v="0"/>
    <s v="FUND RECEIVED FROM ALPHA"/>
    <s v=""/>
    <s v=""/>
    <s v=""/>
    <s v=""/>
    <s v=""/>
    <x v="1"/>
    <d v="2020-04-01T00:00:00"/>
    <s v="1909000563"/>
    <d v="2020-03-01T00:00:00"/>
    <s v=""/>
    <s v="1909000563"/>
  </r>
  <r>
    <s v="1909000564"/>
    <d v="2020-04-01T00:00:00"/>
    <d v="2020-03-16T00:00:00"/>
    <s v="DZ"/>
    <s v="USD"/>
    <n v="-91.03"/>
    <n v="-91.03"/>
    <s v="BDT"/>
    <s v="EGM1"/>
    <n v="-7641.97"/>
    <s v="FUND RECEIVED FROM ALPHA START LIMIT"/>
    <s v="0000001020"/>
    <s v="IT0659200314"/>
    <s v=""/>
    <s v=""/>
    <s v="0"/>
    <s v="FUND RECEIVED FROM ALPHA"/>
    <s v=""/>
    <s v=""/>
    <s v=""/>
    <s v=""/>
    <s v=""/>
    <x v="1"/>
    <d v="2020-04-01T00:00:00"/>
    <s v="1909000565"/>
    <d v="2020-03-16T00:00:00"/>
    <s v=""/>
    <s v="1909000564"/>
  </r>
  <r>
    <s v="1909000565"/>
    <d v="2020-04-01T00:00:00"/>
    <d v="2020-03-16T00:00:00"/>
    <s v="DZ"/>
    <s v="USD"/>
    <n v="91.03"/>
    <n v="91.03"/>
    <s v="BDT"/>
    <s v="EGM1"/>
    <n v="7641.97"/>
    <s v="FUND RECEIVED FROM ALPHA START LIMIT"/>
    <s v="0000001020"/>
    <s v="IT06592003140034"/>
    <s v=""/>
    <s v=""/>
    <s v="0"/>
    <s v="FUND RECEIVED FROM ALPHA"/>
    <s v=""/>
    <s v=""/>
    <s v=""/>
    <s v=""/>
    <s v=""/>
    <x v="1"/>
    <d v="2020-04-01T00:00:00"/>
    <s v="1909000565"/>
    <d v="2020-03-16T00:00:00"/>
    <s v=""/>
    <s v="1909000565"/>
  </r>
  <r>
    <s v="1909000565"/>
    <d v="2020-04-01T00:00:00"/>
    <d v="2020-03-16T00:00:00"/>
    <s v="DZ"/>
    <s v="USD"/>
    <n v="-24802"/>
    <n v="-24802"/>
    <s v="BDT"/>
    <s v="EGWH"/>
    <n v="-2082127.9"/>
    <s v="FUND RECEIVED FROM ALPHA START LIMIT"/>
    <s v="0000001020"/>
    <s v="IT06592003140034"/>
    <s v=""/>
    <s v=""/>
    <s v="0"/>
    <s v="FUND RECEIVED FROM ALPHA"/>
    <s v=""/>
    <s v=""/>
    <s v=""/>
    <s v=""/>
    <s v=""/>
    <x v="1"/>
    <d v="2020-04-01T00:00:00"/>
    <s v="1909000565"/>
    <d v="2020-03-16T00:00:00"/>
    <s v=""/>
    <s v="1909000565"/>
  </r>
  <r>
    <s v="1908000050"/>
    <d v="2020-05-12T00:00:00"/>
    <d v="2020-05-12T00:00:00"/>
    <s v="DR"/>
    <s v="USD"/>
    <n v="5000"/>
    <n v="5000"/>
    <s v="BDT"/>
    <s v="EGM3"/>
    <n v="419750"/>
    <s v="Mending Cost EG3-5651/EG3-35658/EG3-5649"/>
    <s v="0000001020"/>
    <s v="ASL 19-20-18"/>
    <s v=""/>
    <s v=""/>
    <s v="0"/>
    <s v="ASL 19-20-18"/>
    <s v=""/>
    <s v=""/>
    <s v=""/>
    <s v=""/>
    <s v=""/>
    <x v="1"/>
    <d v="2020-06-22T00:00:00"/>
    <s v="1903010916"/>
    <d v="2020-05-12T00:00:00"/>
    <s v=""/>
    <s v="1908000050"/>
  </r>
  <r>
    <s v="1907000008"/>
    <d v="2020-05-22T00:00:00"/>
    <d v="2020-05-22T00:00:00"/>
    <s v="DG"/>
    <s v="USD"/>
    <n v="-725"/>
    <n v="-725"/>
    <s v="BDT"/>
    <s v="EGM5"/>
    <n v="-60863.75"/>
    <s v="EG5-04852 Care Label Ar# G17-PFL-Denim"/>
    <s v="0000005010"/>
    <s v="DN/13/19/AMZ"/>
    <s v=""/>
    <s v=""/>
    <s v="0"/>
    <s v="DN/13/19/AMZ"/>
    <s v=""/>
    <s v=""/>
    <s v=""/>
    <s v=""/>
    <s v=""/>
    <x v="1"/>
    <m/>
    <s v=""/>
    <d v="2020-05-22T00:00:00"/>
    <s v=""/>
    <s v="1907000008"/>
  </r>
  <r>
    <s v="1908000051"/>
    <d v="2020-05-31T00:00:00"/>
    <d v="2020-05-31T00:00:00"/>
    <s v="DR"/>
    <s v="USD"/>
    <n v="107.32"/>
    <n v="107.32"/>
    <s v="BDT"/>
    <s v="EGM3"/>
    <n v="9009.51"/>
    <s v="Zipper re-seizing cost"/>
    <s v="0000001020"/>
    <s v="ASL 19-20-19"/>
    <s v=""/>
    <s v=""/>
    <s v="0"/>
    <s v="ASL 19-20-19"/>
    <s v=""/>
    <s v=""/>
    <s v=""/>
    <s v=""/>
    <s v=""/>
    <x v="1"/>
    <d v="2020-06-22T00:00:00"/>
    <s v="1903010916"/>
    <d v="2020-05-31T00:00:00"/>
    <s v=""/>
    <s v="1908000051"/>
  </r>
  <r>
    <s v="1913004127"/>
    <d v="2020-06-01T00:00:00"/>
    <d v="2020-06-01T00:00:00"/>
    <s v="KZ"/>
    <s v="USD"/>
    <n v="2250"/>
    <n v="2250"/>
    <s v="BDT"/>
    <s v="EGM2"/>
    <n v="188887.5"/>
    <s v="DN/02/19  Received for Academy Charge Back"/>
    <s v="0000005010"/>
    <s v="OT06592006010012"/>
    <s v=""/>
    <s v=""/>
    <s v="0"/>
    <s v="OT06592006010012"/>
    <s v=""/>
    <s v=""/>
    <s v=""/>
    <s v=""/>
    <s v=""/>
    <x v="1"/>
    <d v="2020-06-01T00:00:00"/>
    <s v="1913004127"/>
    <d v="2020-06-01T00:00:00"/>
    <s v=""/>
    <s v="1913004127"/>
  </r>
  <r>
    <s v="1913004128"/>
    <d v="2020-06-01T00:00:00"/>
    <d v="2020-06-01T00:00:00"/>
    <s v="KZ"/>
    <s v="USD"/>
    <n v="500"/>
    <n v="500"/>
    <s v="BDT"/>
    <s v="EGM2"/>
    <n v="41975"/>
    <s v="DN Rec for Academy re inspection after insp.failur"/>
    <s v="0000005010"/>
    <s v="OT06592006010010"/>
    <s v=""/>
    <s v=""/>
    <s v="0"/>
    <s v="OT06592006010012"/>
    <s v=""/>
    <s v=""/>
    <s v=""/>
    <s v=""/>
    <s v=""/>
    <x v="1"/>
    <d v="2020-06-01T00:00:00"/>
    <s v="1913004128"/>
    <d v="2020-06-01T00:00:00"/>
    <s v=""/>
    <s v="1913004128"/>
  </r>
  <r>
    <s v="1907000010"/>
    <d v="2020-06-03T00:00:00"/>
    <d v="2020-06-03T00:00:00"/>
    <s v="DG"/>
    <s v="USD"/>
    <n v="-500"/>
    <n v="-500"/>
    <s v="BDT"/>
    <s v="EGM5"/>
    <n v="-41975"/>
    <s v="Re-Inspection of Merchandise Invoice # 495579"/>
    <s v="0000005010"/>
    <s v="DN/03/20/ACD/EGM"/>
    <s v=""/>
    <s v=""/>
    <s v="0"/>
    <s v="DN/03/20/ACD/EGMCL"/>
    <s v=""/>
    <s v=""/>
    <s v=""/>
    <s v=""/>
    <s v=""/>
    <x v="1"/>
    <m/>
    <s v=""/>
    <d v="2020-06-03T00:00:00"/>
    <s v=""/>
    <s v="1907000010"/>
  </r>
  <r>
    <s v="1907000011"/>
    <d v="2020-06-04T00:00:00"/>
    <d v="2020-06-04T00:00:00"/>
    <s v="DG"/>
    <s v="USD"/>
    <n v="-1000"/>
    <n v="-1000"/>
    <s v="BDT"/>
    <s v="EGM2"/>
    <n v="-83950"/>
    <s v="DN/02/20  Received for Academy Charge Back"/>
    <s v="0000005010"/>
    <s v="DN/02/20/ACADEMY"/>
    <s v=""/>
    <s v=""/>
    <s v="0"/>
    <s v="DN Received from DWC"/>
    <s v=""/>
    <s v=""/>
    <s v=""/>
    <s v=""/>
    <s v=""/>
    <x v="1"/>
    <m/>
    <s v=""/>
    <d v="2020-06-04T00:00:00"/>
    <s v=""/>
    <s v="1907000011"/>
  </r>
  <r>
    <s v="1918001592"/>
    <d v="2020-06-05T00:00:00"/>
    <d v="2020-06-05T00:00:00"/>
    <s v="RV"/>
    <s v="USD"/>
    <n v="82154.039999999994"/>
    <n v="82154.039999999994"/>
    <s v="BDT"/>
    <s v=""/>
    <n v="6896831.6600000001"/>
    <s v=""/>
    <s v="0000005010"/>
    <s v="E25707VF20US0221"/>
    <s v=""/>
    <s v=""/>
    <s v="0"/>
    <s v=""/>
    <s v=""/>
    <s v=""/>
    <s v=""/>
    <s v=""/>
    <s v=""/>
    <x v="0"/>
    <m/>
    <s v=""/>
    <d v="2020-06-05T00:00:00"/>
    <s v="0095028067"/>
    <s v="1918001592"/>
  </r>
  <r>
    <s v="1918001593"/>
    <d v="2020-06-05T00:00:00"/>
    <d v="2020-06-05T00:00:00"/>
    <s v="RV"/>
    <s v="USD"/>
    <n v="103992.96000000001"/>
    <n v="103992.96000000001"/>
    <s v="BDT"/>
    <s v=""/>
    <n v="8730208.9900000002"/>
    <s v=""/>
    <s v="0000005010"/>
    <s v="E25580VF20US0217"/>
    <s v=""/>
    <s v=""/>
    <s v="0"/>
    <s v=""/>
    <s v=""/>
    <s v=""/>
    <s v=""/>
    <s v=""/>
    <s v=""/>
    <x v="0"/>
    <m/>
    <s v=""/>
    <d v="2020-06-05T00:00:00"/>
    <s v="0095028068"/>
    <s v="1918001593"/>
  </r>
  <r>
    <s v="1918001594"/>
    <d v="2020-06-05T00:00:00"/>
    <d v="2020-06-05T00:00:00"/>
    <s v="RV"/>
    <s v="USD"/>
    <n v="91023.38"/>
    <n v="91023.38"/>
    <s v="BDT"/>
    <s v=""/>
    <n v="7641412.75"/>
    <s v=""/>
    <s v="0000005010"/>
    <s v="E25580VF20US0218"/>
    <s v=""/>
    <s v=""/>
    <s v="0"/>
    <s v=""/>
    <s v=""/>
    <s v=""/>
    <s v=""/>
    <s v=""/>
    <s v=""/>
    <x v="0"/>
    <m/>
    <s v=""/>
    <d v="2020-06-05T00:00:00"/>
    <s v="0095028069"/>
    <s v="1918001594"/>
  </r>
  <r>
    <s v="1918001595"/>
    <d v="2020-06-05T00:00:00"/>
    <d v="2020-06-05T00:00:00"/>
    <s v="RV"/>
    <s v="USD"/>
    <n v="52362.73"/>
    <n v="52362.73"/>
    <s v="BDT"/>
    <s v=""/>
    <n v="4395851.18"/>
    <s v=""/>
    <s v="0000005010"/>
    <s v="E25587VF20US0219"/>
    <s v=""/>
    <s v=""/>
    <s v="0"/>
    <s v=""/>
    <s v=""/>
    <s v=""/>
    <s v=""/>
    <s v=""/>
    <s v=""/>
    <x v="0"/>
    <m/>
    <s v=""/>
    <d v="2020-06-05T00:00:00"/>
    <s v="0095028070"/>
    <s v="1918001595"/>
  </r>
  <r>
    <s v="1918001596"/>
    <d v="2020-06-05T00:00:00"/>
    <d v="2020-06-05T00:00:00"/>
    <s v="RV"/>
    <s v="USD"/>
    <n v="89380.9"/>
    <n v="89380.9"/>
    <s v="BDT"/>
    <s v=""/>
    <n v="7503526.5599999996"/>
    <s v=""/>
    <s v="0000005010"/>
    <s v="E25588VF20US0220"/>
    <s v=""/>
    <s v=""/>
    <s v="0"/>
    <s v=""/>
    <s v=""/>
    <s v=""/>
    <s v=""/>
    <s v=""/>
    <s v=""/>
    <x v="0"/>
    <m/>
    <s v=""/>
    <d v="2020-06-05T00:00:00"/>
    <s v="0095028071"/>
    <s v="1918001596"/>
  </r>
  <r>
    <s v="1918001597"/>
    <d v="2020-06-05T00:00:00"/>
    <d v="2020-06-05T00:00:00"/>
    <s v="RV"/>
    <s v="USD"/>
    <n v="1575.62"/>
    <n v="1575.62"/>
    <s v="BDT"/>
    <s v=""/>
    <n v="132273.29999999999"/>
    <s v=""/>
    <s v="0000005010"/>
    <s v="E25707VF20US0215"/>
    <s v=""/>
    <s v=""/>
    <s v="0"/>
    <s v=""/>
    <s v=""/>
    <s v=""/>
    <s v=""/>
    <s v=""/>
    <s v=""/>
    <x v="0"/>
    <m/>
    <s v=""/>
    <d v="2020-06-05T00:00:00"/>
    <s v="0095028072"/>
    <s v="1918001597"/>
  </r>
  <r>
    <s v="1918001606"/>
    <d v="2020-06-05T00:00:00"/>
    <d v="2020-06-05T00:00:00"/>
    <s v="RV"/>
    <s v="USD"/>
    <n v="89994.34"/>
    <n v="89994.34"/>
    <s v="BDT"/>
    <s v=""/>
    <n v="7555024.8399999999"/>
    <s v=""/>
    <s v="0000005010"/>
    <s v="E25531VF20US0216"/>
    <s v=""/>
    <s v=""/>
    <s v="0"/>
    <s v=""/>
    <s v=""/>
    <s v=""/>
    <s v=""/>
    <s v=""/>
    <s v=""/>
    <x v="0"/>
    <m/>
    <s v=""/>
    <d v="2020-06-05T00:00:00"/>
    <s v="0095028097"/>
    <s v="1918001606"/>
  </r>
  <r>
    <s v="1918001632"/>
    <d v="2020-06-11T00:00:00"/>
    <d v="2020-06-11T00:00:00"/>
    <s v="RV"/>
    <s v="USD"/>
    <n v="117470.22"/>
    <n v="117470.22"/>
    <s v="BDT"/>
    <s v=""/>
    <n v="9861624.9700000007"/>
    <s v=""/>
    <s v="0000005010"/>
    <s v="E25581VF20US0222"/>
    <s v=""/>
    <s v=""/>
    <s v="0"/>
    <s v=""/>
    <s v=""/>
    <s v=""/>
    <s v=""/>
    <s v=""/>
    <s v=""/>
    <x v="0"/>
    <m/>
    <s v=""/>
    <d v="2020-06-11T00:00:00"/>
    <s v="0095028194"/>
    <s v="1918001632"/>
  </r>
  <r>
    <s v="1918001633"/>
    <d v="2020-06-11T00:00:00"/>
    <d v="2020-06-11T00:00:00"/>
    <s v="RV"/>
    <s v="USD"/>
    <n v="113375.85"/>
    <n v="113375.85"/>
    <s v="BDT"/>
    <s v=""/>
    <n v="9517902.6099999994"/>
    <s v=""/>
    <s v="0000005010"/>
    <s v="E25647VF20US0223"/>
    <s v=""/>
    <s v=""/>
    <s v="0"/>
    <s v=""/>
    <s v=""/>
    <s v=""/>
    <s v=""/>
    <s v=""/>
    <s v=""/>
    <x v="0"/>
    <m/>
    <s v=""/>
    <d v="2020-06-11T00:00:00"/>
    <s v="0095028195"/>
    <s v="1918001633"/>
  </r>
  <r>
    <s v="1918001634"/>
    <d v="2020-06-11T00:00:00"/>
    <d v="2020-06-11T00:00:00"/>
    <s v="RV"/>
    <s v="USD"/>
    <n v="100163.72"/>
    <n v="100163.72"/>
    <s v="BDT"/>
    <s v=""/>
    <n v="8408744.2899999991"/>
    <s v=""/>
    <s v="0000005010"/>
    <s v="E25647VF20US0224"/>
    <s v=""/>
    <s v=""/>
    <s v="0"/>
    <s v=""/>
    <s v=""/>
    <s v=""/>
    <s v=""/>
    <s v=""/>
    <s v=""/>
    <x v="0"/>
    <m/>
    <s v=""/>
    <d v="2020-06-11T00:00:00"/>
    <s v="0095028196"/>
    <s v="1918001634"/>
  </r>
  <r>
    <s v="1918001635"/>
    <d v="2020-06-11T00:00:00"/>
    <d v="2020-06-11T00:00:00"/>
    <s v="RV"/>
    <s v="USD"/>
    <n v="35047.370000000003"/>
    <n v="35047.370000000003"/>
    <s v="BDT"/>
    <s v=""/>
    <n v="2942226.71"/>
    <s v=""/>
    <s v="0000005010"/>
    <s v="E25707VF20US0225"/>
    <s v=""/>
    <s v=""/>
    <s v="0"/>
    <s v=""/>
    <s v=""/>
    <s v=""/>
    <s v=""/>
    <s v=""/>
    <s v=""/>
    <x v="0"/>
    <m/>
    <s v=""/>
    <d v="2020-06-11T00:00:00"/>
    <s v="0095028197"/>
    <s v="1918001635"/>
  </r>
  <r>
    <s v="1918001690"/>
    <d v="2020-06-11T00:00:00"/>
    <d v="2020-06-11T00:00:00"/>
    <s v="RV"/>
    <s v="USD"/>
    <n v="15599.12"/>
    <n v="15599.12"/>
    <s v="BDT"/>
    <s v=""/>
    <n v="1309546.1200000001"/>
    <s v=""/>
    <s v="0000001010"/>
    <s v="E5533SB20UK0546"/>
    <s v=""/>
    <s v=""/>
    <s v="0"/>
    <s v=""/>
    <s v=""/>
    <s v=""/>
    <s v=""/>
    <s v=""/>
    <s v=""/>
    <x v="0"/>
    <m/>
    <s v=""/>
    <d v="2020-06-11T00:00:00"/>
    <s v="0095028366"/>
    <s v="1918001690"/>
  </r>
  <r>
    <s v="1918001665"/>
    <d v="2020-06-13T00:00:00"/>
    <d v="2020-06-13T00:00:00"/>
    <s v="RV"/>
    <s v="USD"/>
    <n v="88452.72"/>
    <n v="88452.72"/>
    <s v="BDT"/>
    <s v=""/>
    <n v="7425605.8399999999"/>
    <s v=""/>
    <s v="0000005010"/>
    <s v="E5339TS20CE0545"/>
    <s v=""/>
    <s v=""/>
    <s v="0"/>
    <s v=""/>
    <s v=""/>
    <s v=""/>
    <s v=""/>
    <s v=""/>
    <s v=""/>
    <x v="0"/>
    <m/>
    <s v=""/>
    <d v="2020-06-13T00:00:00"/>
    <s v="0095028282"/>
    <s v="1918001665"/>
  </r>
  <r>
    <s v="1918001666"/>
    <d v="2020-06-14T00:00:00"/>
    <d v="2020-06-14T00:00:00"/>
    <s v="RV"/>
    <s v="USD"/>
    <n v="57152.82"/>
    <n v="57152.82"/>
    <s v="BDT"/>
    <s v=""/>
    <n v="4797979.24"/>
    <s v=""/>
    <s v="0000005010"/>
    <s v="E5339TS20UK0581"/>
    <s v=""/>
    <s v=""/>
    <s v="0"/>
    <s v=""/>
    <s v=""/>
    <s v=""/>
    <s v=""/>
    <s v=""/>
    <s v=""/>
    <x v="0"/>
    <m/>
    <s v=""/>
    <d v="2020-06-14T00:00:00"/>
    <s v="0095028286"/>
    <s v="1918001666"/>
  </r>
  <r>
    <s v="1908000053"/>
    <d v="2020-06-16T00:00:00"/>
    <d v="2020-06-16T00:00:00"/>
    <s v="DR"/>
    <s v="USD"/>
    <n v="4736"/>
    <n v="4736"/>
    <s v="BDT"/>
    <s v="EGM1"/>
    <n v="397587.20000000001"/>
    <s v="Secondry  Sales to EDLHK"/>
    <s v="0000001010"/>
    <s v="EGKERA20GR0544"/>
    <s v=""/>
    <s v=""/>
    <s v="0"/>
    <s v="Secondry sales to edlhk"/>
    <s v=""/>
    <s v=""/>
    <s v=""/>
    <s v=""/>
    <s v=""/>
    <x v="0"/>
    <m/>
    <s v=""/>
    <d v="2020-06-16T00:00:00"/>
    <s v=""/>
    <s v="1908000053"/>
  </r>
  <r>
    <s v="1918001664"/>
    <d v="2020-06-16T00:00:00"/>
    <d v="2020-06-16T00:00:00"/>
    <s v="RV"/>
    <s v="USD"/>
    <n v="60697.9"/>
    <n v="60697.9"/>
    <s v="BDT"/>
    <s v=""/>
    <n v="5095588.71"/>
    <s v=""/>
    <s v="0000001010"/>
    <s v="E05754US20-0598"/>
    <s v=""/>
    <s v=""/>
    <s v="0"/>
    <s v=""/>
    <s v=""/>
    <s v=""/>
    <s v=""/>
    <s v=""/>
    <s v=""/>
    <x v="0"/>
    <m/>
    <s v=""/>
    <d v="2020-06-16T00:00:00"/>
    <s v="0095028277"/>
    <s v="1918001664"/>
  </r>
  <r>
    <s v="1918001697"/>
    <d v="2020-06-17T00:00:00"/>
    <d v="2020-06-17T00:00:00"/>
    <s v="RV"/>
    <s v="USD"/>
    <n v="1337.08"/>
    <n v="1337.08"/>
    <s v="BDT"/>
    <s v=""/>
    <n v="112247.87"/>
    <s v=""/>
    <s v="0000001010"/>
    <s v="E05657US20-0526"/>
    <s v=""/>
    <s v=""/>
    <s v="0"/>
    <s v=""/>
    <s v=""/>
    <s v=""/>
    <s v=""/>
    <s v=""/>
    <s v=""/>
    <x v="0"/>
    <m/>
    <s v=""/>
    <d v="2020-06-17T00:00:00"/>
    <s v="0095028376"/>
    <s v="1918001697"/>
  </r>
  <r>
    <s v="1918001698"/>
    <d v="2020-06-17T00:00:00"/>
    <d v="2020-06-17T00:00:00"/>
    <s v="RV"/>
    <s v="USD"/>
    <n v="21136.16"/>
    <n v="21136.16"/>
    <s v="BDT"/>
    <s v=""/>
    <n v="1774380.63"/>
    <s v=""/>
    <s v="0000001010"/>
    <s v="E05659US20-0583"/>
    <s v=""/>
    <s v=""/>
    <s v="0"/>
    <s v=""/>
    <s v=""/>
    <s v=""/>
    <s v=""/>
    <s v=""/>
    <s v=""/>
    <x v="0"/>
    <m/>
    <s v=""/>
    <d v="2020-06-17T00:00:00"/>
    <s v="0095028377"/>
    <s v="1918001698"/>
  </r>
  <r>
    <s v="1918001699"/>
    <d v="2020-06-17T00:00:00"/>
    <d v="2020-06-17T00:00:00"/>
    <s v="RV"/>
    <s v="USD"/>
    <n v="4169.53"/>
    <n v="4169.53"/>
    <s v="BDT"/>
    <s v=""/>
    <n v="350032.04"/>
    <s v=""/>
    <s v="0000001010"/>
    <s v="E05686US20-0578"/>
    <s v=""/>
    <s v=""/>
    <s v="0"/>
    <s v=""/>
    <s v=""/>
    <s v=""/>
    <s v=""/>
    <s v=""/>
    <s v=""/>
    <x v="0"/>
    <m/>
    <s v=""/>
    <d v="2020-06-17T00:00:00"/>
    <s v="0095028378"/>
    <s v="1918001699"/>
  </r>
  <r>
    <s v="1918001702"/>
    <d v="2020-06-17T00:00:00"/>
    <d v="2020-06-17T00:00:00"/>
    <s v="RV"/>
    <s v="USD"/>
    <n v="5321.1"/>
    <n v="5321.1"/>
    <s v="BDT"/>
    <s v=""/>
    <n v="446706.35"/>
    <s v=""/>
    <s v="0000001010"/>
    <s v="E05706US20-0570"/>
    <s v=""/>
    <s v=""/>
    <s v="0"/>
    <s v=""/>
    <s v=""/>
    <s v=""/>
    <s v=""/>
    <s v=""/>
    <s v=""/>
    <x v="0"/>
    <m/>
    <s v=""/>
    <d v="2020-06-17T00:00:00"/>
    <s v="0095028381"/>
    <s v="1918001702"/>
  </r>
  <r>
    <s v="1918001703"/>
    <d v="2020-06-17T00:00:00"/>
    <d v="2020-06-17T00:00:00"/>
    <s v="RV"/>
    <s v="USD"/>
    <n v="309.12"/>
    <n v="309.12"/>
    <s v="BDT"/>
    <s v=""/>
    <n v="25950.62"/>
    <s v=""/>
    <s v="0000001010"/>
    <s v="E05710US20-0551"/>
    <s v=""/>
    <s v=""/>
    <s v="0"/>
    <s v=""/>
    <s v=""/>
    <s v=""/>
    <s v=""/>
    <s v=""/>
    <s v=""/>
    <x v="0"/>
    <m/>
    <s v=""/>
    <d v="2020-06-17T00:00:00"/>
    <s v="0095028382"/>
    <s v="1918001703"/>
  </r>
  <r>
    <s v="1918001704"/>
    <d v="2020-06-17T00:00:00"/>
    <d v="2020-06-17T00:00:00"/>
    <s v="RV"/>
    <s v="USD"/>
    <n v="360.58"/>
    <n v="360.58"/>
    <s v="BDT"/>
    <s v=""/>
    <n v="30270.69"/>
    <s v=""/>
    <s v="0000001010"/>
    <s v="E05711US20-0553"/>
    <s v=""/>
    <s v=""/>
    <s v="0"/>
    <s v=""/>
    <s v=""/>
    <s v=""/>
    <s v=""/>
    <s v=""/>
    <s v=""/>
    <x v="0"/>
    <m/>
    <s v=""/>
    <d v="2020-06-17T00:00:00"/>
    <s v="0095028383"/>
    <s v="1918001704"/>
  </r>
  <r>
    <s v="1918001705"/>
    <d v="2020-06-17T00:00:00"/>
    <d v="2020-06-17T00:00:00"/>
    <s v="RV"/>
    <s v="USD"/>
    <n v="1235.78"/>
    <n v="1235.78"/>
    <s v="BDT"/>
    <s v=""/>
    <n v="103743.73"/>
    <s v=""/>
    <s v="0000001010"/>
    <s v="E05768US20-0554"/>
    <s v=""/>
    <s v=""/>
    <s v="0"/>
    <s v=""/>
    <s v=""/>
    <s v=""/>
    <s v=""/>
    <s v=""/>
    <s v=""/>
    <x v="0"/>
    <m/>
    <s v=""/>
    <d v="2020-06-17T00:00:00"/>
    <s v="0095028384"/>
    <s v="1918001705"/>
  </r>
  <r>
    <s v="1918001706"/>
    <d v="2020-06-17T00:00:00"/>
    <d v="2020-06-17T00:00:00"/>
    <s v="RV"/>
    <s v="USD"/>
    <n v="1763.31"/>
    <n v="1763.31"/>
    <s v="BDT"/>
    <s v=""/>
    <n v="148029.87"/>
    <s v=""/>
    <s v="0000001010"/>
    <s v="E05768US20-0556"/>
    <s v=""/>
    <s v=""/>
    <s v="0"/>
    <s v=""/>
    <s v=""/>
    <s v=""/>
    <s v=""/>
    <s v=""/>
    <s v=""/>
    <x v="0"/>
    <m/>
    <s v=""/>
    <d v="2020-06-17T00:00:00"/>
    <s v="0095028385"/>
    <s v="1918001706"/>
  </r>
  <r>
    <s v="1918001721"/>
    <d v="2020-06-17T00:00:00"/>
    <d v="2020-06-17T00:00:00"/>
    <s v="RV"/>
    <s v="USD"/>
    <n v="967.38"/>
    <n v="967.38"/>
    <s v="BDT"/>
    <s v=""/>
    <n v="81211.55"/>
    <s v=""/>
    <s v="0000001010"/>
    <s v="E05710US20-0552"/>
    <s v=""/>
    <s v=""/>
    <s v="0"/>
    <s v=""/>
    <s v=""/>
    <s v=""/>
    <s v=""/>
    <s v=""/>
    <s v=""/>
    <x v="0"/>
    <m/>
    <s v=""/>
    <d v="2020-06-17T00:00:00"/>
    <s v="0095028425"/>
    <s v="1918001721"/>
  </r>
  <r>
    <s v="1907000009"/>
    <d v="2020-06-17T00:00:00"/>
    <d v="2020-06-17T00:00:00"/>
    <s v="DG"/>
    <s v="USD"/>
    <n v="-109.85"/>
    <n v="-109.85"/>
    <s v="BDT"/>
    <s v="EGM5"/>
    <n v="-9221.91"/>
    <s v="Late booking of Import Shipment EG5-5500"/>
    <s v="0000005010"/>
    <s v="DN/04/20/AMZ/EGM"/>
    <s v=""/>
    <s v=""/>
    <s v="0"/>
    <s v="DN/04/20/AMZ/EGMCL"/>
    <s v=""/>
    <s v=""/>
    <s v=""/>
    <s v=""/>
    <s v=""/>
    <x v="1"/>
    <m/>
    <s v=""/>
    <d v="2020-06-17T00:00:00"/>
    <s v=""/>
    <s v="1907000009"/>
  </r>
  <r>
    <s v="1918001672"/>
    <d v="2020-06-18T00:00:00"/>
    <d v="2020-06-18T00:00:00"/>
    <s v="RV"/>
    <s v="USD"/>
    <n v="1970.07"/>
    <n v="1970.07"/>
    <s v="BDT"/>
    <s v=""/>
    <n v="165387.38"/>
    <s v=""/>
    <s v="0000001010"/>
    <s v="E05657US20-0614"/>
    <s v=""/>
    <s v=""/>
    <s v="0"/>
    <s v=""/>
    <s v=""/>
    <s v=""/>
    <s v=""/>
    <s v=""/>
    <s v=""/>
    <x v="0"/>
    <m/>
    <s v=""/>
    <d v="2020-06-18T00:00:00"/>
    <s v="0095028331"/>
    <s v="1918001672"/>
  </r>
  <r>
    <s v="1918001673"/>
    <d v="2020-06-18T00:00:00"/>
    <d v="2020-06-18T00:00:00"/>
    <s v="RV"/>
    <s v="USD"/>
    <n v="20419.68"/>
    <n v="20419.68"/>
    <s v="BDT"/>
    <s v=""/>
    <n v="1714232.14"/>
    <s v=""/>
    <s v="0000001010"/>
    <s v="E05659US20-0626"/>
    <s v=""/>
    <s v=""/>
    <s v="0"/>
    <s v=""/>
    <s v=""/>
    <s v=""/>
    <s v=""/>
    <s v=""/>
    <s v=""/>
    <x v="0"/>
    <m/>
    <s v=""/>
    <d v="2020-06-18T00:00:00"/>
    <s v="0095028332"/>
    <s v="1918001673"/>
  </r>
  <r>
    <s v="1918001687"/>
    <d v="2020-06-18T00:00:00"/>
    <d v="2020-06-18T00:00:00"/>
    <s v="RV"/>
    <s v="USD"/>
    <n v="1253.4000000000001"/>
    <n v="1253.4000000000001"/>
    <s v="BDT"/>
    <s v=""/>
    <n v="105222.93"/>
    <s v=""/>
    <s v="0000001010"/>
    <s v="E05768US20-0619"/>
    <s v=""/>
    <s v=""/>
    <s v="0"/>
    <s v=""/>
    <s v=""/>
    <s v=""/>
    <s v=""/>
    <s v=""/>
    <s v=""/>
    <x v="0"/>
    <m/>
    <s v=""/>
    <d v="2020-06-18T00:00:00"/>
    <s v="0095028348"/>
    <s v="1918001687"/>
  </r>
  <r>
    <s v="1918001688"/>
    <d v="2020-06-18T00:00:00"/>
    <d v="2020-06-18T00:00:00"/>
    <s v="RV"/>
    <s v="USD"/>
    <n v="594.16"/>
    <n v="594.16"/>
    <s v="BDT"/>
    <s v=""/>
    <n v="49879.73"/>
    <s v=""/>
    <s v="0000001010"/>
    <s v="E05768US20-0620"/>
    <s v=""/>
    <s v=""/>
    <s v="0"/>
    <s v=""/>
    <s v=""/>
    <s v=""/>
    <s v=""/>
    <s v=""/>
    <s v=""/>
    <x v="0"/>
    <m/>
    <s v=""/>
    <d v="2020-06-18T00:00:00"/>
    <s v="0095028349"/>
    <s v="1918001688"/>
  </r>
  <r>
    <s v="1918001691"/>
    <d v="2020-06-18T00:00:00"/>
    <d v="2020-06-18T00:00:00"/>
    <s v="RV"/>
    <s v="USD"/>
    <n v="70560.960000000006"/>
    <n v="70560.960000000006"/>
    <s v="BDT"/>
    <s v=""/>
    <n v="5923592.5899999999"/>
    <s v=""/>
    <s v="0000005010"/>
    <s v="E25674VF20US0232"/>
    <s v=""/>
    <s v=""/>
    <s v="0"/>
    <s v=""/>
    <s v=""/>
    <s v=""/>
    <s v=""/>
    <s v=""/>
    <s v=""/>
    <x v="0"/>
    <m/>
    <s v=""/>
    <d v="2020-06-18T00:00:00"/>
    <s v="0095028368"/>
    <s v="1918001691"/>
  </r>
  <r>
    <s v="1918001692"/>
    <d v="2020-06-18T00:00:00"/>
    <d v="2020-06-18T00:00:00"/>
    <s v="RV"/>
    <s v="USD"/>
    <n v="70413.350000000006"/>
    <n v="70413.350000000006"/>
    <s v="BDT"/>
    <s v=""/>
    <n v="5911200.7300000004"/>
    <s v=""/>
    <s v="0000005010"/>
    <s v="E25674VF20US0233"/>
    <s v=""/>
    <s v=""/>
    <s v="0"/>
    <s v=""/>
    <s v=""/>
    <s v=""/>
    <s v=""/>
    <s v=""/>
    <s v=""/>
    <x v="0"/>
    <m/>
    <s v=""/>
    <d v="2020-06-18T00:00:00"/>
    <s v="0095028369"/>
    <s v="1918001692"/>
  </r>
  <r>
    <s v="1918001693"/>
    <d v="2020-06-18T00:00:00"/>
    <d v="2020-06-18T00:00:00"/>
    <s v="RV"/>
    <s v="USD"/>
    <n v="70574.38"/>
    <n v="70574.38"/>
    <s v="BDT"/>
    <s v=""/>
    <n v="5924719.2000000002"/>
    <s v=""/>
    <s v="0000005010"/>
    <s v="E25674VF20US0234"/>
    <s v=""/>
    <s v=""/>
    <s v="0"/>
    <s v=""/>
    <s v=""/>
    <s v=""/>
    <s v=""/>
    <s v=""/>
    <s v=""/>
    <x v="0"/>
    <m/>
    <s v=""/>
    <d v="2020-06-18T00:00:00"/>
    <s v="0095028370"/>
    <s v="1918001693"/>
  </r>
  <r>
    <s v="1918001694"/>
    <d v="2020-06-18T00:00:00"/>
    <d v="2020-06-18T00:00:00"/>
    <s v="RV"/>
    <s v="USD"/>
    <n v="93181"/>
    <n v="93181"/>
    <s v="BDT"/>
    <s v=""/>
    <n v="7822544.9500000002"/>
    <s v=""/>
    <s v="0000005010"/>
    <s v="E25712VF20US0231"/>
    <s v=""/>
    <s v=""/>
    <s v="0"/>
    <s v=""/>
    <s v=""/>
    <s v=""/>
    <s v=""/>
    <s v=""/>
    <s v=""/>
    <x v="0"/>
    <m/>
    <s v=""/>
    <d v="2020-06-18T00:00:00"/>
    <s v="0095028371"/>
    <s v="1918001694"/>
  </r>
  <r>
    <s v="1918001695"/>
    <d v="2020-06-18T00:00:00"/>
    <d v="2020-06-18T00:00:00"/>
    <s v="RV"/>
    <s v="USD"/>
    <n v="209956.15"/>
    <n v="209956.15"/>
    <s v="BDT"/>
    <s v=""/>
    <n v="17625818.789999999"/>
    <s v=""/>
    <s v="0000005010"/>
    <s v="E35687TC20US0421"/>
    <s v=""/>
    <s v=""/>
    <s v="0"/>
    <s v=""/>
    <s v=""/>
    <s v=""/>
    <s v=""/>
    <s v=""/>
    <s v=""/>
    <x v="0"/>
    <m/>
    <s v=""/>
    <d v="2020-06-18T00:00:00"/>
    <s v="0095028372"/>
    <s v="1918001695"/>
  </r>
  <r>
    <s v="1918001696"/>
    <d v="2020-06-18T00:00:00"/>
    <d v="2020-06-18T00:00:00"/>
    <s v="RV"/>
    <s v="USD"/>
    <n v="187116.75"/>
    <n v="187116.75"/>
    <s v="BDT"/>
    <s v=""/>
    <n v="15708451.16"/>
    <s v=""/>
    <s v="0000005010"/>
    <s v="E35687TC20US0422"/>
    <s v=""/>
    <s v=""/>
    <s v="0"/>
    <s v=""/>
    <s v=""/>
    <s v=""/>
    <s v=""/>
    <s v=""/>
    <s v=""/>
    <x v="0"/>
    <m/>
    <s v=""/>
    <d v="2020-06-18T00:00:00"/>
    <s v="0095028373"/>
    <s v="1918001696"/>
  </r>
  <r>
    <s v="1918001708"/>
    <d v="2020-06-18T00:00:00"/>
    <d v="2020-06-18T00:00:00"/>
    <s v="RV"/>
    <s v="USD"/>
    <n v="155093.32"/>
    <n v="155093.32"/>
    <s v="BDT"/>
    <s v=""/>
    <n v="13020084.210000001"/>
    <s v=""/>
    <s v="0000001010"/>
    <s v="E05652US20-0550"/>
    <s v=""/>
    <s v=""/>
    <s v="0"/>
    <s v=""/>
    <s v=""/>
    <s v=""/>
    <s v=""/>
    <s v=""/>
    <s v=""/>
    <x v="0"/>
    <m/>
    <s v=""/>
    <d v="2020-06-18T00:00:00"/>
    <s v="0095028401"/>
    <s v="1918001708"/>
  </r>
  <r>
    <s v="1918001709"/>
    <d v="2020-06-18T00:00:00"/>
    <d v="2020-06-18T00:00:00"/>
    <s v="RV"/>
    <s v="USD"/>
    <n v="24585.119999999999"/>
    <n v="24585.119999999999"/>
    <s v="BDT"/>
    <s v=""/>
    <n v="2063920.82"/>
    <s v=""/>
    <s v="0000001010"/>
    <s v="E05658US20-0528"/>
    <s v=""/>
    <s v=""/>
    <s v="0"/>
    <s v=""/>
    <s v=""/>
    <s v=""/>
    <s v=""/>
    <s v=""/>
    <s v=""/>
    <x v="0"/>
    <m/>
    <s v=""/>
    <d v="2020-06-18T00:00:00"/>
    <s v="0095028402"/>
    <s v="1918001709"/>
  </r>
  <r>
    <s v="1918001743"/>
    <d v="2020-06-18T00:00:00"/>
    <d v="2020-06-18T00:00:00"/>
    <s v="RV"/>
    <s v="USD"/>
    <n v="34894.99"/>
    <n v="34894.99"/>
    <s v="BDT"/>
    <s v=""/>
    <n v="2929434.41"/>
    <s v=""/>
    <s v="0000001010"/>
    <s v="E5541SB20UK0624"/>
    <s v=""/>
    <s v=""/>
    <s v="0"/>
    <s v=""/>
    <s v=""/>
    <s v=""/>
    <s v=""/>
    <s v=""/>
    <s v=""/>
    <x v="0"/>
    <m/>
    <s v=""/>
    <d v="2020-06-18T00:00:00"/>
    <s v="0095028492"/>
    <s v="1918001743"/>
  </r>
  <r>
    <s v="1918001663"/>
    <d v="2020-06-19T00:00:00"/>
    <d v="2020-06-19T00:00:00"/>
    <s v="RV"/>
    <s v="USD"/>
    <n v="88199.72"/>
    <n v="88199.72"/>
    <s v="BDT"/>
    <s v=""/>
    <n v="7404366.4900000002"/>
    <s v=""/>
    <s v="0000001010"/>
    <s v="E05750US20-0596"/>
    <s v=""/>
    <s v=""/>
    <s v="0"/>
    <s v=""/>
    <s v=""/>
    <s v=""/>
    <s v=""/>
    <s v=""/>
    <s v=""/>
    <x v="0"/>
    <m/>
    <s v=""/>
    <d v="2020-06-19T00:00:00"/>
    <s v="0095028276"/>
    <s v="1918001663"/>
  </r>
  <r>
    <s v="1918001674"/>
    <d v="2020-06-19T00:00:00"/>
    <d v="2020-06-19T00:00:00"/>
    <s v="RV"/>
    <s v="USD"/>
    <n v="656.66"/>
    <n v="656.66"/>
    <s v="BDT"/>
    <s v=""/>
    <n v="55126.61"/>
    <s v=""/>
    <s v="0000001010"/>
    <s v="E05686US20-0579"/>
    <s v=""/>
    <s v=""/>
    <s v="0"/>
    <s v=""/>
    <s v=""/>
    <s v=""/>
    <s v=""/>
    <s v=""/>
    <s v=""/>
    <x v="0"/>
    <m/>
    <s v=""/>
    <d v="2020-06-19T00:00:00"/>
    <s v="0095028333"/>
    <s v="1918001674"/>
  </r>
  <r>
    <s v="1918001675"/>
    <d v="2020-06-19T00:00:00"/>
    <d v="2020-06-19T00:00:00"/>
    <s v="RV"/>
    <s v="USD"/>
    <n v="58659.72"/>
    <n v="58659.72"/>
    <s v="BDT"/>
    <s v=""/>
    <n v="4924483.49"/>
    <s v=""/>
    <s v="0000001010"/>
    <s v="E05689US20-0621"/>
    <s v=""/>
    <s v=""/>
    <s v="0"/>
    <s v=""/>
    <s v=""/>
    <s v=""/>
    <s v=""/>
    <s v=""/>
    <s v=""/>
    <x v="0"/>
    <m/>
    <s v=""/>
    <d v="2020-06-19T00:00:00"/>
    <s v="0095028334"/>
    <s v="1918001675"/>
  </r>
  <r>
    <s v="1918001676"/>
    <d v="2020-06-19T00:00:00"/>
    <d v="2020-06-19T00:00:00"/>
    <s v="RV"/>
    <s v="USD"/>
    <n v="87280.33"/>
    <n v="87280.33"/>
    <s v="BDT"/>
    <s v=""/>
    <n v="7327183.7000000002"/>
    <s v=""/>
    <s v="0000001010"/>
    <s v="E05689US20-0622"/>
    <s v=""/>
    <s v=""/>
    <s v="0"/>
    <s v=""/>
    <s v=""/>
    <s v=""/>
    <s v=""/>
    <s v=""/>
    <s v=""/>
    <x v="0"/>
    <m/>
    <s v=""/>
    <d v="2020-06-19T00:00:00"/>
    <s v="0095028335"/>
    <s v="1918001676"/>
  </r>
  <r>
    <s v="1918001677"/>
    <d v="2020-06-19T00:00:00"/>
    <d v="2020-06-19T00:00:00"/>
    <s v="RV"/>
    <s v="USD"/>
    <n v="78789.259999999995"/>
    <n v="78789.259999999995"/>
    <s v="BDT"/>
    <s v=""/>
    <n v="6614358.3799999999"/>
    <s v=""/>
    <s v="0000001010"/>
    <s v="E05699US20-0628"/>
    <s v=""/>
    <s v=""/>
    <s v="0"/>
    <s v=""/>
    <s v=""/>
    <s v=""/>
    <s v=""/>
    <s v=""/>
    <s v=""/>
    <x v="0"/>
    <m/>
    <s v=""/>
    <d v="2020-06-19T00:00:00"/>
    <s v="0095028336"/>
    <s v="1918001677"/>
  </r>
  <r>
    <s v="1918001678"/>
    <d v="2020-06-19T00:00:00"/>
    <d v="2020-06-19T00:00:00"/>
    <s v="RV"/>
    <s v="USD"/>
    <n v="3473.33"/>
    <n v="3473.33"/>
    <s v="BDT"/>
    <s v=""/>
    <n v="291586.05"/>
    <s v=""/>
    <s v="0000001010"/>
    <s v="E05700US20-0617"/>
    <s v=""/>
    <s v=""/>
    <s v="0"/>
    <s v=""/>
    <s v=""/>
    <s v=""/>
    <s v=""/>
    <s v=""/>
    <s v=""/>
    <x v="0"/>
    <m/>
    <s v=""/>
    <d v="2020-06-19T00:00:00"/>
    <s v="0095028337"/>
    <s v="1918001678"/>
  </r>
  <r>
    <s v="1918001679"/>
    <d v="2020-06-19T00:00:00"/>
    <d v="2020-06-19T00:00:00"/>
    <s v="RV"/>
    <s v="USD"/>
    <n v="72.489999999999995"/>
    <n v="72.489999999999995"/>
    <s v="BDT"/>
    <s v=""/>
    <n v="6085.54"/>
    <s v=""/>
    <s v="0000001010"/>
    <s v="E05702US20-0606"/>
    <s v=""/>
    <s v=""/>
    <s v="0"/>
    <s v=""/>
    <s v=""/>
    <s v=""/>
    <s v=""/>
    <s v=""/>
    <s v=""/>
    <x v="0"/>
    <m/>
    <s v=""/>
    <d v="2020-06-19T00:00:00"/>
    <s v="0095028338"/>
    <s v="1918001679"/>
  </r>
  <r>
    <s v="1918001680"/>
    <d v="2020-06-19T00:00:00"/>
    <d v="2020-06-19T00:00:00"/>
    <s v="RV"/>
    <s v="USD"/>
    <n v="1681.42"/>
    <n v="1681.42"/>
    <s v="BDT"/>
    <s v=""/>
    <n v="141155.21"/>
    <s v=""/>
    <s v="0000001010"/>
    <s v="E05706US20-0571"/>
    <s v=""/>
    <s v=""/>
    <s v="0"/>
    <s v=""/>
    <s v=""/>
    <s v=""/>
    <s v=""/>
    <s v=""/>
    <s v=""/>
    <x v="0"/>
    <m/>
    <s v=""/>
    <d v="2020-06-19T00:00:00"/>
    <s v="0095028339"/>
    <s v="1918001680"/>
  </r>
  <r>
    <s v="1918001681"/>
    <d v="2020-06-19T00:00:00"/>
    <d v="2020-06-19T00:00:00"/>
    <s v="RV"/>
    <s v="USD"/>
    <n v="6791.29"/>
    <n v="6791.29"/>
    <s v="BDT"/>
    <s v=""/>
    <n v="570128.80000000005"/>
    <s v=""/>
    <s v="0000001010"/>
    <s v="E05710US20-0582"/>
    <s v=""/>
    <s v=""/>
    <s v="0"/>
    <s v=""/>
    <s v=""/>
    <s v=""/>
    <s v=""/>
    <s v=""/>
    <s v=""/>
    <x v="0"/>
    <m/>
    <s v=""/>
    <d v="2020-06-19T00:00:00"/>
    <s v="0095028340"/>
    <s v="1918001681"/>
  </r>
  <r>
    <s v="1918001682"/>
    <d v="2020-06-19T00:00:00"/>
    <d v="2020-06-19T00:00:00"/>
    <s v="RV"/>
    <s v="USD"/>
    <n v="2529.12"/>
    <n v="2529.12"/>
    <s v="BDT"/>
    <s v=""/>
    <n v="212319.62"/>
    <s v=""/>
    <s v="0000001010"/>
    <s v="E05710US20-0592"/>
    <s v=""/>
    <s v=""/>
    <s v="0"/>
    <s v=""/>
    <s v=""/>
    <s v=""/>
    <s v=""/>
    <s v=""/>
    <s v=""/>
    <x v="0"/>
    <m/>
    <s v=""/>
    <d v="2020-06-19T00:00:00"/>
    <s v="0095028341"/>
    <s v="1918001682"/>
  </r>
  <r>
    <s v="1918001683"/>
    <d v="2020-06-19T00:00:00"/>
    <d v="2020-06-19T00:00:00"/>
    <s v="RV"/>
    <s v="USD"/>
    <n v="2534.61"/>
    <n v="2534.61"/>
    <s v="BDT"/>
    <s v=""/>
    <n v="212780.51"/>
    <s v=""/>
    <s v="0000001010"/>
    <s v="E05711US20-0595"/>
    <s v=""/>
    <s v=""/>
    <s v="0"/>
    <s v=""/>
    <s v=""/>
    <s v=""/>
    <s v=""/>
    <s v=""/>
    <s v=""/>
    <x v="0"/>
    <m/>
    <s v=""/>
    <d v="2020-06-19T00:00:00"/>
    <s v="0095028342"/>
    <s v="1918001683"/>
  </r>
  <r>
    <s v="1918001684"/>
    <d v="2020-06-19T00:00:00"/>
    <d v="2020-06-19T00:00:00"/>
    <s v="RV"/>
    <s v="USD"/>
    <n v="52945.9"/>
    <n v="52945.9"/>
    <s v="BDT"/>
    <s v=""/>
    <n v="4444808.3099999996"/>
    <s v=""/>
    <s v="0000001010"/>
    <s v="E05750US20-0597"/>
    <s v=""/>
    <s v=""/>
    <s v="0"/>
    <s v=""/>
    <s v=""/>
    <s v=""/>
    <s v=""/>
    <s v=""/>
    <s v=""/>
    <x v="0"/>
    <m/>
    <s v=""/>
    <d v="2020-06-19T00:00:00"/>
    <s v="0095028343"/>
    <s v="1918001684"/>
  </r>
  <r>
    <s v="1918001685"/>
    <d v="2020-06-19T00:00:00"/>
    <d v="2020-06-19T00:00:00"/>
    <s v="RV"/>
    <s v="USD"/>
    <n v="2695.89"/>
    <n v="2695.89"/>
    <s v="BDT"/>
    <s v=""/>
    <n v="226319.97"/>
    <s v=""/>
    <s v="0000001010"/>
    <s v="E05768US20-0555"/>
    <s v=""/>
    <s v=""/>
    <s v="0"/>
    <s v=""/>
    <s v=""/>
    <s v=""/>
    <s v=""/>
    <s v=""/>
    <s v=""/>
    <x v="0"/>
    <m/>
    <s v=""/>
    <d v="2020-06-19T00:00:00"/>
    <s v="0095028344"/>
    <s v="1918001685"/>
  </r>
  <r>
    <s v="1918001686"/>
    <d v="2020-06-19T00:00:00"/>
    <d v="2020-06-19T00:00:00"/>
    <s v="RV"/>
    <s v="USD"/>
    <n v="4924.38"/>
    <n v="4924.38"/>
    <s v="BDT"/>
    <s v=""/>
    <n v="413401.7"/>
    <s v=""/>
    <s v="0000001010"/>
    <s v="E05768US20-0557"/>
    <s v=""/>
    <s v=""/>
    <s v="0"/>
    <s v=""/>
    <s v=""/>
    <s v=""/>
    <s v=""/>
    <s v=""/>
    <s v=""/>
    <x v="0"/>
    <m/>
    <s v=""/>
    <d v="2020-06-19T00:00:00"/>
    <s v="0095028347"/>
    <s v="1918001686"/>
  </r>
  <r>
    <s v="1918001689"/>
    <d v="2020-06-19T00:00:00"/>
    <d v="2020-06-19T00:00:00"/>
    <s v="RV"/>
    <s v="USD"/>
    <n v="3129.84"/>
    <n v="3129.84"/>
    <s v="BDT"/>
    <s v=""/>
    <n v="262750.07"/>
    <s v=""/>
    <s v="0000001010"/>
    <s v="E05810US20-0590"/>
    <s v=""/>
    <s v=""/>
    <s v="0"/>
    <s v=""/>
    <s v=""/>
    <s v=""/>
    <s v=""/>
    <s v=""/>
    <s v=""/>
    <x v="0"/>
    <m/>
    <s v=""/>
    <d v="2020-06-19T00:00:00"/>
    <s v="0095028350"/>
    <s v="1918001689"/>
  </r>
  <r>
    <s v="1918001700"/>
    <d v="2020-06-19T00:00:00"/>
    <d v="2020-06-19T00:00:00"/>
    <s v="RV"/>
    <s v="USD"/>
    <n v="12268.22"/>
    <n v="12268.22"/>
    <s v="BDT"/>
    <s v=""/>
    <n v="1029917.07"/>
    <s v=""/>
    <s v="0000001010"/>
    <s v="E05699US20-0629"/>
    <s v=""/>
    <s v=""/>
    <s v="0"/>
    <s v=""/>
    <s v=""/>
    <s v=""/>
    <s v=""/>
    <s v=""/>
    <s v=""/>
    <x v="0"/>
    <m/>
    <s v=""/>
    <d v="2020-06-19T00:00:00"/>
    <s v="0095028379"/>
    <s v="1918001700"/>
  </r>
  <r>
    <s v="1918001701"/>
    <d v="2020-06-19T00:00:00"/>
    <d v="2020-06-19T00:00:00"/>
    <s v="RV"/>
    <s v="USD"/>
    <n v="143.34"/>
    <n v="143.34"/>
    <s v="BDT"/>
    <s v=""/>
    <n v="12033.39"/>
    <s v=""/>
    <s v="0000001010"/>
    <s v="E05704US20-0608"/>
    <s v=""/>
    <s v=""/>
    <s v="0"/>
    <s v=""/>
    <s v=""/>
    <s v=""/>
    <s v=""/>
    <s v=""/>
    <s v=""/>
    <x v="0"/>
    <m/>
    <s v=""/>
    <d v="2020-06-19T00:00:00"/>
    <s v="0095028380"/>
    <s v="1918001701"/>
  </r>
  <r>
    <s v="1908000054"/>
    <d v="2020-06-21T00:00:00"/>
    <d v="2020-06-21T00:00:00"/>
    <s v="DR"/>
    <s v="USD"/>
    <n v="655.62"/>
    <n v="655.62"/>
    <s v="BDT"/>
    <s v="EGM2"/>
    <n v="55039.3"/>
    <s v="Excess  Sales to EDLHK"/>
    <s v="0000001010"/>
    <s v="05640200226PE"/>
    <s v=""/>
    <s v=""/>
    <s v="0"/>
    <s v="Excess Sales to EDL HK"/>
    <s v=""/>
    <s v=""/>
    <s v=""/>
    <s v=""/>
    <s v=""/>
    <x v="0"/>
    <m/>
    <s v=""/>
    <d v="2020-06-21T00:00:00"/>
    <s v=""/>
    <s v="1908000054"/>
  </r>
  <r>
    <s v="1918001710"/>
    <d v="2020-06-21T00:00:00"/>
    <d v="2020-06-21T00:00:00"/>
    <s v="RV"/>
    <s v="USD"/>
    <n v="30665.35"/>
    <n v="30665.35"/>
    <s v="BDT"/>
    <s v=""/>
    <n v="2574356.13"/>
    <s v=""/>
    <s v="0000001010"/>
    <s v="E05659US20-0627"/>
    <s v=""/>
    <s v=""/>
    <s v="0"/>
    <s v=""/>
    <s v=""/>
    <s v=""/>
    <s v=""/>
    <s v=""/>
    <s v=""/>
    <x v="0"/>
    <m/>
    <s v=""/>
    <d v="2020-06-21T00:00:00"/>
    <s v="0095028403"/>
    <s v="1918001710"/>
  </r>
  <r>
    <s v="1918001711"/>
    <d v="2020-06-21T00:00:00"/>
    <d v="2020-06-21T00:00:00"/>
    <s v="RV"/>
    <s v="USD"/>
    <n v="644.84"/>
    <n v="644.84"/>
    <s v="BDT"/>
    <s v=""/>
    <n v="54134.32"/>
    <s v=""/>
    <s v="0000001010"/>
    <s v="E05659US20-0633"/>
    <s v=""/>
    <s v=""/>
    <s v="0"/>
    <s v=""/>
    <s v=""/>
    <s v=""/>
    <s v=""/>
    <s v=""/>
    <s v=""/>
    <x v="0"/>
    <m/>
    <s v=""/>
    <d v="2020-06-21T00:00:00"/>
    <s v="0095028404"/>
    <s v="1918001711"/>
  </r>
  <r>
    <s v="1918001712"/>
    <d v="2020-06-21T00:00:00"/>
    <d v="2020-06-21T00:00:00"/>
    <s v="RV"/>
    <s v="USD"/>
    <n v="1964.78"/>
    <n v="1964.78"/>
    <s v="BDT"/>
    <s v=""/>
    <n v="164943.28"/>
    <s v=""/>
    <s v="0000001010"/>
    <s v="E05693US20-0522"/>
    <s v=""/>
    <s v=""/>
    <s v="0"/>
    <s v=""/>
    <s v=""/>
    <s v=""/>
    <s v=""/>
    <s v=""/>
    <s v=""/>
    <x v="0"/>
    <m/>
    <s v=""/>
    <d v="2020-06-21T00:00:00"/>
    <s v="0095028405"/>
    <s v="1918001712"/>
  </r>
  <r>
    <s v="1918001716"/>
    <d v="2020-06-21T00:00:00"/>
    <d v="2020-06-21T00:00:00"/>
    <s v="RV"/>
    <s v="USD"/>
    <n v="900.8"/>
    <n v="900.8"/>
    <s v="BDT"/>
    <s v=""/>
    <n v="75622.16"/>
    <s v=""/>
    <s v="0000001010"/>
    <s v="E05710US20-0591"/>
    <s v=""/>
    <s v=""/>
    <s v="0"/>
    <s v=""/>
    <s v=""/>
    <s v=""/>
    <s v=""/>
    <s v=""/>
    <s v=""/>
    <x v="0"/>
    <m/>
    <s v=""/>
    <d v="2020-06-21T00:00:00"/>
    <s v="0095028409"/>
    <s v="1918001716"/>
  </r>
  <r>
    <s v="1918001717"/>
    <d v="2020-06-21T00:00:00"/>
    <d v="2020-06-21T00:00:00"/>
    <s v="RV"/>
    <s v="USD"/>
    <n v="2270.36"/>
    <n v="2270.36"/>
    <s v="BDT"/>
    <s v=""/>
    <n v="190596.72"/>
    <s v=""/>
    <s v="0000001010"/>
    <s v="E05710US20-0593"/>
    <s v=""/>
    <s v=""/>
    <s v="0"/>
    <s v=""/>
    <s v=""/>
    <s v=""/>
    <s v=""/>
    <s v=""/>
    <s v=""/>
    <x v="0"/>
    <m/>
    <s v=""/>
    <d v="2020-06-21T00:00:00"/>
    <s v="0095028410"/>
    <s v="1918001717"/>
  </r>
  <r>
    <s v="1918001718"/>
    <d v="2020-06-21T00:00:00"/>
    <d v="2020-06-21T00:00:00"/>
    <s v="RV"/>
    <s v="USD"/>
    <n v="934.75"/>
    <n v="934.75"/>
    <s v="BDT"/>
    <s v=""/>
    <n v="78472.259999999995"/>
    <s v=""/>
    <s v="0000001010"/>
    <s v="E05711US20-0594"/>
    <s v=""/>
    <s v=""/>
    <s v="0"/>
    <s v=""/>
    <s v=""/>
    <s v=""/>
    <s v=""/>
    <s v=""/>
    <s v=""/>
    <x v="0"/>
    <m/>
    <s v=""/>
    <d v="2020-06-21T00:00:00"/>
    <s v="0095028411"/>
    <s v="1918001718"/>
  </r>
  <r>
    <s v="1918001719"/>
    <d v="2020-06-21T00:00:00"/>
    <d v="2020-06-21T00:00:00"/>
    <s v="RV"/>
    <s v="USD"/>
    <n v="66969"/>
    <n v="66969"/>
    <s v="BDT"/>
    <s v=""/>
    <n v="5622047.5499999998"/>
    <s v=""/>
    <s v="0000001010"/>
    <s v="E05754US20-0599"/>
    <s v=""/>
    <s v=""/>
    <s v="0"/>
    <s v=""/>
    <s v=""/>
    <s v=""/>
    <s v=""/>
    <s v=""/>
    <s v=""/>
    <x v="0"/>
    <m/>
    <s v=""/>
    <d v="2020-06-21T00:00:00"/>
    <s v="0095028412"/>
    <s v="1918001719"/>
  </r>
  <r>
    <s v="1918001707"/>
    <d v="2020-06-22T00:00:00"/>
    <d v="2020-06-22T00:00:00"/>
    <s v="RV"/>
    <s v="USD"/>
    <n v="77451.56"/>
    <n v="77451.56"/>
    <s v="BDT"/>
    <s v=""/>
    <n v="6502058.46"/>
    <s v=""/>
    <s v="0000001010"/>
    <s v="E05652US20-0541"/>
    <s v=""/>
    <s v=""/>
    <s v="0"/>
    <s v=""/>
    <s v=""/>
    <s v=""/>
    <s v=""/>
    <s v=""/>
    <s v=""/>
    <x v="0"/>
    <m/>
    <s v=""/>
    <d v="2020-06-22T00:00:00"/>
    <s v="0095028400"/>
    <s v="1918001707"/>
  </r>
  <r>
    <s v="1918001713"/>
    <d v="2020-06-22T00:00:00"/>
    <d v="2020-06-22T00:00:00"/>
    <s v="RV"/>
    <s v="USD"/>
    <n v="12779.58"/>
    <n v="12779.58"/>
    <s v="BDT"/>
    <s v=""/>
    <n v="1072845.74"/>
    <s v=""/>
    <s v="0000001010"/>
    <s v="E05700US20-0616"/>
    <s v=""/>
    <s v=""/>
    <s v="0"/>
    <s v=""/>
    <s v=""/>
    <s v=""/>
    <s v=""/>
    <s v=""/>
    <s v=""/>
    <x v="0"/>
    <m/>
    <s v=""/>
    <d v="2020-06-22T00:00:00"/>
    <s v="0095028406"/>
    <s v="1918001713"/>
  </r>
  <r>
    <s v="1918001714"/>
    <d v="2020-06-22T00:00:00"/>
    <d v="2020-06-22T00:00:00"/>
    <s v="RV"/>
    <s v="USD"/>
    <n v="6575.91"/>
    <n v="6575.91"/>
    <s v="BDT"/>
    <s v=""/>
    <n v="552047.64"/>
    <s v=""/>
    <s v="0000001010"/>
    <s v="E05702US20-0605"/>
    <s v=""/>
    <s v=""/>
    <s v="0"/>
    <s v=""/>
    <s v=""/>
    <s v=""/>
    <s v=""/>
    <s v=""/>
    <s v=""/>
    <x v="0"/>
    <m/>
    <s v=""/>
    <d v="2020-06-22T00:00:00"/>
    <s v="0095028407"/>
    <s v="1918001714"/>
  </r>
  <r>
    <s v="1918001715"/>
    <d v="2020-06-22T00:00:00"/>
    <d v="2020-06-22T00:00:00"/>
    <s v="RV"/>
    <s v="USD"/>
    <n v="2006.79"/>
    <n v="2006.79"/>
    <s v="BDT"/>
    <s v=""/>
    <n v="168470.02"/>
    <s v=""/>
    <s v="0000001010"/>
    <s v="E05704US20-0607"/>
    <s v=""/>
    <s v=""/>
    <s v="0"/>
    <s v=""/>
    <s v=""/>
    <s v=""/>
    <s v=""/>
    <s v=""/>
    <s v=""/>
    <x v="0"/>
    <m/>
    <s v=""/>
    <d v="2020-06-22T00:00:00"/>
    <s v="0095028408"/>
    <s v="1918001715"/>
  </r>
  <r>
    <s v="1918001720"/>
    <d v="2020-06-22T00:00:00"/>
    <d v="2020-06-22T00:00:00"/>
    <s v="RV"/>
    <s v="USD"/>
    <n v="11163.91"/>
    <n v="11163.91"/>
    <s v="BDT"/>
    <s v=""/>
    <n v="937210.24"/>
    <s v=""/>
    <s v="0000001010"/>
    <s v="E05810US20-0610"/>
    <s v=""/>
    <s v=""/>
    <s v="0"/>
    <s v=""/>
    <s v=""/>
    <s v=""/>
    <s v=""/>
    <s v=""/>
    <s v=""/>
    <x v="0"/>
    <m/>
    <s v=""/>
    <d v="2020-06-22T00:00:00"/>
    <s v="0095028413"/>
    <s v="1918001720"/>
  </r>
  <r>
    <s v="1918001722"/>
    <d v="2020-06-22T00:00:00"/>
    <d v="2020-06-22T00:00:00"/>
    <s v="RV"/>
    <s v="USD"/>
    <n v="27711.16"/>
    <n v="27711.16"/>
    <s v="BDT"/>
    <s v=""/>
    <n v="2326351.88"/>
    <s v=""/>
    <s v="0000005010"/>
    <s v="E25608AC20JF0229"/>
    <s v=""/>
    <s v=""/>
    <s v="0"/>
    <s v=""/>
    <s v=""/>
    <s v=""/>
    <s v=""/>
    <s v=""/>
    <s v=""/>
    <x v="0"/>
    <m/>
    <s v=""/>
    <d v="2020-06-22T00:00:00"/>
    <s v="0095028428"/>
    <s v="1918001722"/>
  </r>
  <r>
    <s v="1918001731"/>
    <d v="2020-06-22T00:00:00"/>
    <d v="2020-06-22T00:00:00"/>
    <s v="RV"/>
    <s v="USD"/>
    <n v="104581.2"/>
    <n v="104581.2"/>
    <s v="BDT"/>
    <s v=""/>
    <n v="8779591.7400000002"/>
    <s v=""/>
    <s v="0000005010"/>
    <s v="E5339TS20UK0634"/>
    <s v=""/>
    <s v=""/>
    <s v="0"/>
    <s v=""/>
    <s v=""/>
    <s v=""/>
    <s v=""/>
    <s v=""/>
    <s v=""/>
    <x v="0"/>
    <m/>
    <s v=""/>
    <d v="2020-06-22T00:00:00"/>
    <s v="0095028448"/>
    <s v="1918001731"/>
  </r>
  <r>
    <s v="1903010916"/>
    <d v="2020-06-22T00:00:00"/>
    <d v="2020-06-22T00:00:00"/>
    <s v="AB"/>
    <s v="USD"/>
    <n v="-5107.32"/>
    <n v="-5107.32"/>
    <s v="BDT"/>
    <s v="EGM3"/>
    <n v="-428759.51"/>
    <s v=""/>
    <s v="0000001020"/>
    <s v="IT06592006130045"/>
    <s v=""/>
    <s v=""/>
    <s v="0"/>
    <s v="DN FUND RCVD FROM ASL"/>
    <s v=""/>
    <s v=""/>
    <s v=""/>
    <s v=""/>
    <s v=""/>
    <x v="1"/>
    <d v="2020-06-22T00:00:00"/>
    <s v="1903010916"/>
    <d v="2020-06-22T00:00:00"/>
    <s v=""/>
    <s v="1903010916"/>
  </r>
  <r>
    <s v="1903010916"/>
    <d v="2020-06-22T00:00:00"/>
    <d v="2020-06-22T00:00:00"/>
    <s v="AB"/>
    <s v="USD"/>
    <n v="-9388.2199999999993"/>
    <n v="-9388.2199999999993"/>
    <s v="BDT"/>
    <s v="EGWH"/>
    <n v="-788141.07"/>
    <s v=""/>
    <s v="0000001020"/>
    <s v="IT06592006130045"/>
    <s v=""/>
    <s v=""/>
    <s v="0"/>
    <s v="DN FUND RCVD FROM ASL"/>
    <s v=""/>
    <s v=""/>
    <s v=""/>
    <s v=""/>
    <s v=""/>
    <x v="1"/>
    <d v="2020-06-22T00:00:00"/>
    <s v="1903010916"/>
    <d v="2020-06-22T00:00:00"/>
    <s v=""/>
    <s v="1903010916"/>
  </r>
  <r>
    <s v="1918001723"/>
    <d v="2020-06-23T00:00:00"/>
    <d v="2020-06-23T00:00:00"/>
    <s v="RV"/>
    <s v="USD"/>
    <n v="108198.98"/>
    <n v="108198.98"/>
    <s v="BDT"/>
    <s v=""/>
    <n v="9083304.3699999992"/>
    <s v=""/>
    <s v="0000001010"/>
    <s v="E05658US20-0631"/>
    <s v=""/>
    <s v=""/>
    <s v="0"/>
    <s v=""/>
    <s v=""/>
    <s v=""/>
    <s v=""/>
    <s v=""/>
    <s v=""/>
    <x v="0"/>
    <m/>
    <s v=""/>
    <d v="2020-06-23T00:00:00"/>
    <s v="0095028430"/>
    <s v="1918001723"/>
  </r>
  <r>
    <s v="1918001724"/>
    <d v="2020-06-23T00:00:00"/>
    <d v="2020-06-23T00:00:00"/>
    <s v="RV"/>
    <s v="USD"/>
    <n v="32384.9"/>
    <n v="32384.9"/>
    <s v="BDT"/>
    <s v=""/>
    <n v="2718712.36"/>
    <s v=""/>
    <s v="0000001010"/>
    <s v="E05659US20-0612"/>
    <s v=""/>
    <s v=""/>
    <s v="0"/>
    <s v=""/>
    <s v=""/>
    <s v=""/>
    <s v=""/>
    <s v=""/>
    <s v=""/>
    <x v="0"/>
    <m/>
    <s v=""/>
    <d v="2020-06-23T00:00:00"/>
    <s v="0095028431"/>
    <s v="1918001724"/>
  </r>
  <r>
    <s v="1918001725"/>
    <d v="2020-06-23T00:00:00"/>
    <d v="2020-06-23T00:00:00"/>
    <s v="RV"/>
    <s v="USD"/>
    <n v="3056.18"/>
    <n v="3056.18"/>
    <s v="BDT"/>
    <s v=""/>
    <n v="256566.31"/>
    <s v=""/>
    <s v="0000001010"/>
    <s v="E05657US20-0613"/>
    <s v=""/>
    <s v=""/>
    <s v="0"/>
    <s v=""/>
    <s v=""/>
    <s v=""/>
    <s v=""/>
    <s v=""/>
    <s v=""/>
    <x v="0"/>
    <m/>
    <s v=""/>
    <d v="2020-06-23T00:00:00"/>
    <s v="0095028432"/>
    <s v="1918001725"/>
  </r>
  <r>
    <s v="1918001744"/>
    <d v="2020-06-23T00:00:00"/>
    <d v="2020-06-23T00:00:00"/>
    <s v="RV"/>
    <s v="USD"/>
    <n v="40354.300000000003"/>
    <n v="40354.300000000003"/>
    <s v="BDT"/>
    <s v=""/>
    <n v="3387743.49"/>
    <s v=""/>
    <s v="0000001010"/>
    <s v="E5650SB20UK0625"/>
    <s v=""/>
    <s v=""/>
    <s v="0"/>
    <s v=""/>
    <s v=""/>
    <s v=""/>
    <s v=""/>
    <s v=""/>
    <s v=""/>
    <x v="0"/>
    <m/>
    <s v=""/>
    <d v="2020-06-23T00:00:00"/>
    <s v="0095028493"/>
    <s v="1918001744"/>
  </r>
  <r>
    <s v="1903010829"/>
    <d v="2020-06-24T00:00:00"/>
    <d v="2020-06-24T00:00:00"/>
    <s v="AB"/>
    <s v="USD"/>
    <n v="-835.73"/>
    <n v="-835.73"/>
    <s v="BDT"/>
    <s v="EGM2"/>
    <n v="-69992.39"/>
    <s v="DN rec from EDL for support renewal VM"/>
    <s v="0000001010"/>
    <s v="DN/415/19"/>
    <s v=""/>
    <s v=""/>
    <s v="0"/>
    <s v="DN rec from EDL"/>
    <s v=""/>
    <s v=""/>
    <s v=""/>
    <s v=""/>
    <s v=""/>
    <x v="1"/>
    <m/>
    <s v=""/>
    <d v="2020-06-24T00:00:00"/>
    <s v=""/>
    <s v="1903010829"/>
  </r>
  <r>
    <s v="1918001732"/>
    <d v="2020-06-25T00:00:00"/>
    <d v="2020-06-25T00:00:00"/>
    <s v="RV"/>
    <s v="USD"/>
    <n v="88477.31"/>
    <n v="88477.31"/>
    <s v="BDT"/>
    <s v=""/>
    <n v="7427670.1699999999"/>
    <s v=""/>
    <s v="0000005010"/>
    <s v="E25608AC20KT0230"/>
    <s v=""/>
    <s v=""/>
    <s v="0"/>
    <s v=""/>
    <s v=""/>
    <s v=""/>
    <s v=""/>
    <s v=""/>
    <s v=""/>
    <x v="0"/>
    <m/>
    <s v=""/>
    <d v="2020-06-25T00:00:00"/>
    <s v="0095028463"/>
    <s v="1918001732"/>
  </r>
  <r>
    <s v="1918001733"/>
    <d v="2020-06-25T00:00:00"/>
    <d v="2020-06-25T00:00:00"/>
    <s v="RV"/>
    <s v="USD"/>
    <n v="18752.59"/>
    <n v="18752.59"/>
    <s v="BDT"/>
    <s v=""/>
    <n v="1574279.93"/>
    <s v=""/>
    <s v="0000005010"/>
    <s v="E55473AC20KT0589"/>
    <s v=""/>
    <s v=""/>
    <s v="0"/>
    <s v=""/>
    <s v=""/>
    <s v=""/>
    <s v=""/>
    <s v=""/>
    <s v=""/>
    <x v="0"/>
    <m/>
    <s v=""/>
    <d v="2020-06-25T00:00:00"/>
    <s v="0095028464"/>
    <s v="1918001733"/>
  </r>
  <r>
    <s v="1918001734"/>
    <d v="2020-06-25T00:00:00"/>
    <d v="2020-06-25T00:00:00"/>
    <s v="RV"/>
    <s v="USD"/>
    <n v="573.19000000000005"/>
    <n v="573.19000000000005"/>
    <s v="BDT"/>
    <s v=""/>
    <n v="48119.3"/>
    <s v=""/>
    <s v="0000001010"/>
    <s v="E05659US20-0632"/>
    <s v=""/>
    <s v=""/>
    <s v="0"/>
    <s v=""/>
    <s v=""/>
    <s v=""/>
    <s v=""/>
    <s v=""/>
    <s v=""/>
    <x v="0"/>
    <m/>
    <s v=""/>
    <d v="2020-06-25T00:00:00"/>
    <s v="0095028471"/>
    <s v="1918001734"/>
  </r>
  <r>
    <s v="1918001735"/>
    <d v="2020-06-25T00:00:00"/>
    <d v="2020-06-25T00:00:00"/>
    <s v="RV"/>
    <s v="USD"/>
    <n v="180.34"/>
    <n v="180.34"/>
    <s v="BDT"/>
    <s v=""/>
    <n v="15139.54"/>
    <s v=""/>
    <s v="0000001010"/>
    <s v="E05686US20-0580"/>
    <s v=""/>
    <s v=""/>
    <s v="0"/>
    <s v=""/>
    <s v=""/>
    <s v=""/>
    <s v=""/>
    <s v=""/>
    <s v=""/>
    <x v="0"/>
    <m/>
    <s v=""/>
    <d v="2020-06-25T00:00:00"/>
    <s v="0095028472"/>
    <s v="1918001735"/>
  </r>
  <r>
    <s v="1918001736"/>
    <d v="2020-06-25T00:00:00"/>
    <d v="2020-06-25T00:00:00"/>
    <s v="RV"/>
    <s v="USD"/>
    <n v="143.34"/>
    <n v="143.34"/>
    <s v="BDT"/>
    <s v=""/>
    <n v="12033.39"/>
    <s v=""/>
    <s v="0000001010"/>
    <s v="E05704US20-0609"/>
    <s v=""/>
    <s v=""/>
    <s v="0"/>
    <s v=""/>
    <s v=""/>
    <s v=""/>
    <s v=""/>
    <s v=""/>
    <s v=""/>
    <x v="0"/>
    <m/>
    <s v=""/>
    <d v="2020-06-25T00:00:00"/>
    <s v="0095028473"/>
    <s v="1918001736"/>
  </r>
  <r>
    <s v="1918001737"/>
    <d v="2020-06-25T00:00:00"/>
    <d v="2020-06-25T00:00:00"/>
    <s v="RV"/>
    <s v="USD"/>
    <n v="1213.22"/>
    <n v="1213.22"/>
    <s v="BDT"/>
    <s v=""/>
    <n v="101849.82"/>
    <s v=""/>
    <s v="0000001010"/>
    <s v="E05706US20-0572"/>
    <s v=""/>
    <s v=""/>
    <s v="0"/>
    <s v=""/>
    <s v=""/>
    <s v=""/>
    <s v=""/>
    <s v=""/>
    <s v=""/>
    <x v="0"/>
    <m/>
    <s v=""/>
    <d v="2020-06-25T00:00:00"/>
    <s v="0095028474"/>
    <s v="1918001737"/>
  </r>
  <r>
    <s v="1918001738"/>
    <d v="2020-06-25T00:00:00"/>
    <d v="2020-06-25T00:00:00"/>
    <s v="RV"/>
    <s v="USD"/>
    <n v="579.20000000000005"/>
    <n v="579.20000000000005"/>
    <s v="BDT"/>
    <s v=""/>
    <n v="48623.839999999997"/>
    <s v=""/>
    <s v="0000001010"/>
    <s v="E05710US20-0635"/>
    <s v=""/>
    <s v=""/>
    <s v="0"/>
    <s v=""/>
    <s v=""/>
    <s v=""/>
    <s v=""/>
    <s v=""/>
    <s v=""/>
    <x v="0"/>
    <m/>
    <s v=""/>
    <d v="2020-06-25T00:00:00"/>
    <s v="0095028475"/>
    <s v="1918001738"/>
  </r>
  <r>
    <s v="1918001739"/>
    <d v="2020-06-25T00:00:00"/>
    <d v="2020-06-25T00:00:00"/>
    <s v="RV"/>
    <s v="USD"/>
    <n v="568.89"/>
    <n v="568.89"/>
    <s v="BDT"/>
    <s v=""/>
    <n v="47758.32"/>
    <s v=""/>
    <s v="0000001010"/>
    <s v="E05711US20-0636"/>
    <s v=""/>
    <s v=""/>
    <s v="0"/>
    <s v=""/>
    <s v=""/>
    <s v=""/>
    <s v=""/>
    <s v=""/>
    <s v=""/>
    <x v="0"/>
    <m/>
    <s v=""/>
    <d v="2020-06-25T00:00:00"/>
    <s v="0095028476"/>
    <s v="1918001739"/>
  </r>
  <r>
    <s v="1918001740"/>
    <d v="2020-06-25T00:00:00"/>
    <d v="2020-06-25T00:00:00"/>
    <s v="RV"/>
    <s v="USD"/>
    <n v="2467.2800000000002"/>
    <n v="2467.2800000000002"/>
    <s v="BDT"/>
    <s v=""/>
    <n v="207128.16"/>
    <s v=""/>
    <s v="0000001010"/>
    <s v="E05810US20-0623"/>
    <s v=""/>
    <s v=""/>
    <s v="0"/>
    <s v=""/>
    <s v=""/>
    <s v=""/>
    <s v=""/>
    <s v=""/>
    <s v=""/>
    <x v="0"/>
    <m/>
    <s v=""/>
    <d v="2020-06-25T00:00:00"/>
    <s v="0095028477"/>
    <s v="1918001740"/>
  </r>
  <r>
    <s v="1918001751"/>
    <d v="2020-06-25T00:00:00"/>
    <d v="2020-06-25T00:00:00"/>
    <s v="RV"/>
    <s v="USD"/>
    <n v="2714.33"/>
    <n v="2714.33"/>
    <s v="BDT"/>
    <s v=""/>
    <n v="227868"/>
    <s v=""/>
    <s v="0000001010"/>
    <s v="E05700US20-0618"/>
    <s v=""/>
    <s v=""/>
    <s v="0"/>
    <s v=""/>
    <s v=""/>
    <s v=""/>
    <s v=""/>
    <s v=""/>
    <s v=""/>
    <x v="0"/>
    <m/>
    <s v=""/>
    <d v="2020-06-25T00:00:00"/>
    <s v="0095028505"/>
    <s v="1918001751"/>
  </r>
  <r>
    <s v="1918001726"/>
    <d v="2020-06-26T00:00:00"/>
    <d v="2020-06-26T00:00:00"/>
    <s v="RV"/>
    <s v="USD"/>
    <n v="89491.43"/>
    <n v="89491.43"/>
    <s v="BDT"/>
    <s v=""/>
    <n v="7512805.5499999998"/>
    <s v=""/>
    <s v="0000001010"/>
    <s v="E5436KH20US0270"/>
    <s v=""/>
    <s v=""/>
    <s v="0"/>
    <s v=""/>
    <s v=""/>
    <s v=""/>
    <s v=""/>
    <s v=""/>
    <s v=""/>
    <x v="0"/>
    <m/>
    <s v=""/>
    <d v="2020-06-26T00:00:00"/>
    <s v="0095028437"/>
    <s v="1918001726"/>
  </r>
  <r>
    <s v="1918001727"/>
    <d v="2020-06-26T00:00:00"/>
    <d v="2020-06-26T00:00:00"/>
    <s v="RV"/>
    <s v="USD"/>
    <n v="31794.82"/>
    <n v="31794.82"/>
    <s v="BDT"/>
    <s v=""/>
    <n v="2669175.14"/>
    <s v=""/>
    <s v="0000001010"/>
    <s v="E5436KH20US0273"/>
    <s v=""/>
    <s v=""/>
    <s v="0"/>
    <s v=""/>
    <s v=""/>
    <s v=""/>
    <s v=""/>
    <s v=""/>
    <s v=""/>
    <x v="0"/>
    <m/>
    <s v=""/>
    <d v="2020-06-26T00:00:00"/>
    <s v="0095028438"/>
    <s v="1918001727"/>
  </r>
  <r>
    <s v="1918001728"/>
    <d v="2020-06-26T00:00:00"/>
    <d v="2020-06-26T00:00:00"/>
    <s v="RV"/>
    <s v="USD"/>
    <n v="11442.89"/>
    <n v="11442.89"/>
    <s v="BDT"/>
    <s v=""/>
    <n v="960630.62"/>
    <s v=""/>
    <s v="0000001010"/>
    <s v="E5436KH20US0274"/>
    <s v=""/>
    <s v=""/>
    <s v="0"/>
    <s v=""/>
    <s v=""/>
    <s v=""/>
    <s v=""/>
    <s v=""/>
    <s v=""/>
    <x v="0"/>
    <m/>
    <s v=""/>
    <d v="2020-06-26T00:00:00"/>
    <s v="0095028439"/>
    <s v="1918001728"/>
  </r>
  <r>
    <s v="1918001729"/>
    <d v="2020-06-26T00:00:00"/>
    <d v="2020-06-26T00:00:00"/>
    <s v="RV"/>
    <s v="USD"/>
    <n v="13550.29"/>
    <n v="13550.29"/>
    <s v="BDT"/>
    <s v=""/>
    <n v="1137546.8500000001"/>
    <s v=""/>
    <s v="0000001010"/>
    <s v="E5438KH20US0271"/>
    <s v=""/>
    <s v=""/>
    <s v="0"/>
    <s v=""/>
    <s v=""/>
    <s v=""/>
    <s v=""/>
    <s v=""/>
    <s v=""/>
    <x v="0"/>
    <m/>
    <s v=""/>
    <d v="2020-06-26T00:00:00"/>
    <s v="0095028440"/>
    <s v="1918001729"/>
  </r>
  <r>
    <s v="1918001730"/>
    <d v="2020-06-26T00:00:00"/>
    <d v="2020-06-26T00:00:00"/>
    <s v="RV"/>
    <s v="USD"/>
    <n v="9451.0499999999993"/>
    <n v="9451.0499999999993"/>
    <s v="BDT"/>
    <s v=""/>
    <n v="793415.65"/>
    <s v=""/>
    <s v="0000001010"/>
    <s v="E5438KH20US0272"/>
    <s v=""/>
    <s v=""/>
    <s v="0"/>
    <s v=""/>
    <s v=""/>
    <s v=""/>
    <s v=""/>
    <s v=""/>
    <s v=""/>
    <x v="0"/>
    <m/>
    <s v=""/>
    <d v="2020-06-26T00:00:00"/>
    <s v="0095028441"/>
    <s v="1918001730"/>
  </r>
  <r>
    <s v="1918001741"/>
    <d v="2020-06-26T00:00:00"/>
    <d v="2020-06-26T00:00:00"/>
    <s v="RV"/>
    <s v="USD"/>
    <n v="86050.04"/>
    <n v="86050.04"/>
    <s v="BDT"/>
    <s v=""/>
    <n v="7223900.8600000003"/>
    <s v=""/>
    <s v="0000005010"/>
    <s v="E35663DC20US0585"/>
    <s v=""/>
    <s v=""/>
    <s v="0"/>
    <s v=""/>
    <s v=""/>
    <s v=""/>
    <s v=""/>
    <s v=""/>
    <s v=""/>
    <x v="0"/>
    <m/>
    <s v=""/>
    <d v="2020-06-26T00:00:00"/>
    <s v="0095028478"/>
    <s v="1918001741"/>
  </r>
  <r>
    <s v="1918001742"/>
    <d v="2020-06-26T00:00:00"/>
    <d v="2020-06-26T00:00:00"/>
    <s v="RV"/>
    <s v="USD"/>
    <n v="14450.91"/>
    <n v="14450.91"/>
    <s v="BDT"/>
    <s v=""/>
    <n v="1213153.8899999999"/>
    <s v=""/>
    <s v="0000005010"/>
    <s v="E35663DC20US0586"/>
    <s v=""/>
    <s v=""/>
    <s v="0"/>
    <s v=""/>
    <s v=""/>
    <s v=""/>
    <s v=""/>
    <s v=""/>
    <s v=""/>
    <x v="0"/>
    <m/>
    <s v=""/>
    <d v="2020-06-26T00:00:00"/>
    <s v="0095028479"/>
    <s v="1918001742"/>
  </r>
  <r>
    <s v="1918001745"/>
    <d v="2020-06-26T00:00:00"/>
    <d v="2020-06-26T00:00:00"/>
    <s v="RV"/>
    <s v="USD"/>
    <n v="2101.12"/>
    <n v="2101.12"/>
    <s v="BDT"/>
    <s v=""/>
    <n v="176389.02"/>
    <s v=""/>
    <s v="0000001010"/>
    <s v="E05657US20-0615"/>
    <s v=""/>
    <s v=""/>
    <s v="0"/>
    <s v=""/>
    <s v=""/>
    <s v=""/>
    <s v=""/>
    <s v=""/>
    <s v=""/>
    <x v="0"/>
    <m/>
    <s v=""/>
    <d v="2020-06-26T00:00:00"/>
    <s v="0095028498"/>
    <s v="1918001745"/>
  </r>
  <r>
    <s v="1918001746"/>
    <d v="2020-06-26T00:00:00"/>
    <d v="2020-06-26T00:00:00"/>
    <s v="RV"/>
    <s v="USD"/>
    <n v="1243.44"/>
    <n v="1243.44"/>
    <s v="BDT"/>
    <s v=""/>
    <n v="104386.79"/>
    <s v=""/>
    <s v="0000001010"/>
    <s v="E05694US20-0637"/>
    <s v=""/>
    <s v=""/>
    <s v="0"/>
    <s v=""/>
    <s v=""/>
    <s v=""/>
    <s v=""/>
    <s v=""/>
    <s v=""/>
    <x v="0"/>
    <m/>
    <s v=""/>
    <d v="2020-06-26T00:00:00"/>
    <s v="0095028499"/>
    <s v="1918001746"/>
  </r>
  <r>
    <s v="1918001747"/>
    <d v="2020-06-26T00:00:00"/>
    <d v="2020-06-26T00:00:00"/>
    <s v="RV"/>
    <s v="USD"/>
    <n v="22318.49"/>
    <n v="22318.49"/>
    <s v="BDT"/>
    <s v=""/>
    <n v="1873637.24"/>
    <s v=""/>
    <s v="0000001010"/>
    <s v="E05709US20-0639"/>
    <s v=""/>
    <s v=""/>
    <s v="0"/>
    <s v=""/>
    <s v=""/>
    <s v=""/>
    <s v=""/>
    <s v=""/>
    <s v=""/>
    <x v="0"/>
    <m/>
    <s v=""/>
    <d v="2020-06-26T00:00:00"/>
    <s v="0095028500"/>
    <s v="1918001747"/>
  </r>
  <r>
    <s v="1918001748"/>
    <d v="2020-06-26T00:00:00"/>
    <d v="2020-06-26T00:00:00"/>
    <s v="RV"/>
    <s v="USD"/>
    <n v="23174.1"/>
    <n v="23174.1"/>
    <s v="BDT"/>
    <s v=""/>
    <n v="1945465.7"/>
    <s v=""/>
    <s v="0000001010"/>
    <s v="E05709US20-0640"/>
    <s v=""/>
    <s v=""/>
    <s v="0"/>
    <s v=""/>
    <s v=""/>
    <s v=""/>
    <s v=""/>
    <s v=""/>
    <s v=""/>
    <x v="0"/>
    <m/>
    <s v=""/>
    <d v="2020-06-26T00:00:00"/>
    <s v="0095028501"/>
    <s v="1918001748"/>
  </r>
  <r>
    <s v="1918001749"/>
    <d v="2020-06-26T00:00:00"/>
    <d v="2020-06-26T00:00:00"/>
    <s v="RV"/>
    <s v="USD"/>
    <n v="13150.59"/>
    <n v="13150.59"/>
    <s v="BDT"/>
    <s v=""/>
    <n v="1103992.03"/>
    <s v=""/>
    <s v="0000001010"/>
    <s v="E05709US20-0641"/>
    <s v=""/>
    <s v=""/>
    <s v="0"/>
    <s v=""/>
    <s v=""/>
    <s v=""/>
    <s v=""/>
    <s v=""/>
    <s v=""/>
    <x v="0"/>
    <m/>
    <s v=""/>
    <d v="2020-06-26T00:00:00"/>
    <s v="0095028502"/>
    <s v="1918001749"/>
  </r>
  <r>
    <s v="1918001750"/>
    <d v="2020-06-26T00:00:00"/>
    <d v="2020-06-26T00:00:00"/>
    <s v="RV"/>
    <s v="USD"/>
    <n v="13024.14"/>
    <n v="13024.14"/>
    <s v="BDT"/>
    <s v=""/>
    <n v="1093376.55"/>
    <s v=""/>
    <s v="0000001010"/>
    <s v="E05709US20-0642"/>
    <s v=""/>
    <s v=""/>
    <s v="0"/>
    <s v=""/>
    <s v=""/>
    <s v=""/>
    <s v=""/>
    <s v=""/>
    <s v=""/>
    <x v="0"/>
    <m/>
    <s v=""/>
    <d v="2020-06-26T00:00:00"/>
    <s v="0095028503"/>
    <s v="1918001750"/>
  </r>
  <r>
    <s v="1918001752"/>
    <d v="2020-06-26T00:00:00"/>
    <d v="2020-06-26T00:00:00"/>
    <s v="RV"/>
    <s v="USD"/>
    <n v="98534.59"/>
    <n v="98534.59"/>
    <s v="BDT"/>
    <s v=""/>
    <n v="8271978.8300000001"/>
    <s v=""/>
    <s v="0000005010"/>
    <s v="E25707VF20US0238"/>
    <s v=""/>
    <s v=""/>
    <s v="0"/>
    <s v=""/>
    <s v=""/>
    <s v=""/>
    <s v=""/>
    <s v=""/>
    <s v=""/>
    <x v="0"/>
    <m/>
    <s v=""/>
    <d v="2020-06-26T00:00:00"/>
    <s v="0095028524"/>
    <s v="1918001752"/>
  </r>
  <r>
    <s v="1918001753"/>
    <d v="2020-06-26T00:00:00"/>
    <d v="2020-06-26T00:00:00"/>
    <s v="RV"/>
    <s v="USD"/>
    <n v="44185.79"/>
    <n v="44185.79"/>
    <s v="BDT"/>
    <s v=""/>
    <n v="3709397.07"/>
    <s v=""/>
    <s v="0000005010"/>
    <s v="E25707VF20US0239"/>
    <s v=""/>
    <s v=""/>
    <s v="0"/>
    <s v=""/>
    <s v=""/>
    <s v=""/>
    <s v=""/>
    <s v=""/>
    <s v=""/>
    <x v="0"/>
    <m/>
    <s v=""/>
    <d v="2020-06-26T00:00:00"/>
    <s v="0095028525"/>
    <s v="1918001753"/>
  </r>
  <r>
    <s v="1918001754"/>
    <d v="2020-06-26T00:00:00"/>
    <d v="2020-06-26T00:00:00"/>
    <s v="RV"/>
    <s v="USD"/>
    <n v="87938.29"/>
    <n v="87938.29"/>
    <s v="BDT"/>
    <s v=""/>
    <n v="7382419.4500000002"/>
    <s v=""/>
    <s v="0000005010"/>
    <s v="E25712VF20US0235"/>
    <s v=""/>
    <s v=""/>
    <s v="0"/>
    <s v=""/>
    <s v=""/>
    <s v=""/>
    <s v=""/>
    <s v=""/>
    <s v=""/>
    <x v="0"/>
    <m/>
    <s v=""/>
    <d v="2020-06-26T00:00:00"/>
    <s v="0095028526"/>
    <s v="1918001754"/>
  </r>
  <r>
    <s v="1918001756"/>
    <d v="2020-06-26T00:00:00"/>
    <d v="2020-06-26T00:00:00"/>
    <s v="RV"/>
    <s v="USD"/>
    <n v="9859.66"/>
    <n v="9859.66"/>
    <s v="BDT"/>
    <s v=""/>
    <n v="827718.46"/>
    <s v=""/>
    <s v="0000005010"/>
    <s v="E25674VF20US0242"/>
    <s v=""/>
    <s v=""/>
    <s v="0"/>
    <s v=""/>
    <s v=""/>
    <s v=""/>
    <s v=""/>
    <s v=""/>
    <s v=""/>
    <x v="0"/>
    <m/>
    <s v=""/>
    <d v="2020-06-26T00:00:00"/>
    <s v="0095028528"/>
    <s v="1918001756"/>
  </r>
  <r>
    <s v="1918001757"/>
    <d v="2020-06-26T00:00:00"/>
    <d v="2020-06-26T00:00:00"/>
    <s v="RV"/>
    <s v="USD"/>
    <n v="117267.08"/>
    <n v="117267.08"/>
    <s v="BDT"/>
    <s v=""/>
    <n v="9844571.3699999992"/>
    <s v=""/>
    <s v="0000005010"/>
    <s v="E25707VF20US0236"/>
    <s v=""/>
    <s v=""/>
    <s v="0"/>
    <s v=""/>
    <s v=""/>
    <s v=""/>
    <s v=""/>
    <s v=""/>
    <s v=""/>
    <x v="0"/>
    <m/>
    <s v=""/>
    <d v="2020-06-26T00:00:00"/>
    <s v="0095028529"/>
    <s v="1918001757"/>
  </r>
  <r>
    <s v="1918001758"/>
    <d v="2020-06-26T00:00:00"/>
    <d v="2020-06-26T00:00:00"/>
    <s v="RV"/>
    <s v="USD"/>
    <n v="33620.22"/>
    <n v="33620.22"/>
    <s v="BDT"/>
    <s v=""/>
    <n v="2822417.47"/>
    <s v=""/>
    <s v="0000005010"/>
    <s v="E25712VF20US0241"/>
    <s v=""/>
    <s v=""/>
    <s v="0"/>
    <s v=""/>
    <s v=""/>
    <s v=""/>
    <s v=""/>
    <s v=""/>
    <s v=""/>
    <x v="0"/>
    <m/>
    <s v=""/>
    <d v="2020-06-26T00:00:00"/>
    <s v="0095028530"/>
    <s v="1918001758"/>
  </r>
  <r>
    <s v="1918001763"/>
    <d v="2020-06-26T00:00:00"/>
    <d v="2020-06-26T00:00:00"/>
    <s v="RV"/>
    <s v="USD"/>
    <n v="128211.63"/>
    <n v="128211.63"/>
    <s v="BDT"/>
    <s v=""/>
    <n v="10763366.34"/>
    <s v=""/>
    <s v="0000005010"/>
    <s v="E25707VF20US0237"/>
    <s v=""/>
    <s v=""/>
    <s v="0"/>
    <s v=""/>
    <s v=""/>
    <s v=""/>
    <s v=""/>
    <s v=""/>
    <s v=""/>
    <x v="0"/>
    <m/>
    <s v=""/>
    <d v="2020-06-26T00:00:00"/>
    <s v="0095028543"/>
    <s v="1918001763"/>
  </r>
  <r>
    <s v="1918001772"/>
    <d v="2020-06-26T00:00:00"/>
    <d v="2020-06-26T00:00:00"/>
    <s v="RV"/>
    <s v="USD"/>
    <n v="47513.05"/>
    <n v="47513.05"/>
    <s v="BDT"/>
    <s v=""/>
    <n v="3988720.55"/>
    <s v=""/>
    <s v="0000005010"/>
    <s v="E25714VF20US0240"/>
    <s v=""/>
    <s v=""/>
    <s v="0"/>
    <s v=""/>
    <s v=""/>
    <s v=""/>
    <s v=""/>
    <s v=""/>
    <s v=""/>
    <x v="0"/>
    <m/>
    <s v=""/>
    <d v="2020-06-26T00:00:00"/>
    <s v="0095028562"/>
    <s v="1918001772"/>
  </r>
  <r>
    <s v="1918001764"/>
    <d v="2020-06-28T00:00:00"/>
    <d v="2020-06-28T00:00:00"/>
    <s v="RV"/>
    <s v="USD"/>
    <n v="31387.06"/>
    <n v="31387.06"/>
    <s v="BDT"/>
    <s v=""/>
    <n v="2634943.69"/>
    <s v=""/>
    <s v="0000001010"/>
    <s v="E5437KH20US0559"/>
    <s v=""/>
    <s v=""/>
    <s v="0"/>
    <s v=""/>
    <s v=""/>
    <s v=""/>
    <s v=""/>
    <s v=""/>
    <s v=""/>
    <x v="0"/>
    <m/>
    <s v=""/>
    <d v="2020-06-28T00:00:00"/>
    <s v="0095028544"/>
    <s v="1918001764"/>
  </r>
  <r>
    <s v="1918001771"/>
    <d v="2020-06-28T00:00:00"/>
    <d v="2020-06-28T00:00:00"/>
    <s v="RV"/>
    <s v="USD"/>
    <n v="24636.959999999999"/>
    <n v="24636.959999999999"/>
    <s v="BDT"/>
    <s v=""/>
    <n v="2068272.79"/>
    <s v=""/>
    <s v="0000005010"/>
    <s v="E5339TS20UK0668"/>
    <s v=""/>
    <s v=""/>
    <s v="0"/>
    <s v=""/>
    <s v=""/>
    <s v=""/>
    <s v=""/>
    <s v=""/>
    <s v=""/>
    <x v="0"/>
    <m/>
    <s v=""/>
    <d v="2020-06-28T00:00:00"/>
    <s v="0095028561"/>
    <s v="1918001771"/>
  </r>
  <r>
    <s v="1918001773"/>
    <d v="2020-06-28T00:00:00"/>
    <d v="2020-06-28T00:00:00"/>
    <s v="RV"/>
    <s v="USD"/>
    <n v="17014.830000000002"/>
    <n v="17014.830000000002"/>
    <s v="BDT"/>
    <s v=""/>
    <n v="1428394.98"/>
    <s v=""/>
    <s v="0000001010"/>
    <s v="E5533SB20UK0650"/>
    <s v=""/>
    <s v=""/>
    <s v="0"/>
    <s v=""/>
    <s v=""/>
    <s v=""/>
    <s v=""/>
    <s v=""/>
    <s v=""/>
    <x v="0"/>
    <m/>
    <s v=""/>
    <d v="2020-06-28T00:00:00"/>
    <s v="0095028611"/>
    <s v="1918001773"/>
  </r>
  <r>
    <s v="1918001774"/>
    <d v="2020-06-28T00:00:00"/>
    <d v="2020-06-28T00:00:00"/>
    <s v="RV"/>
    <s v="USD"/>
    <n v="12778.66"/>
    <n v="12778.66"/>
    <s v="BDT"/>
    <s v=""/>
    <n v="1072768.51"/>
    <s v=""/>
    <s v="0000001010"/>
    <s v="E5650SB20UK0651"/>
    <s v=""/>
    <s v=""/>
    <s v="0"/>
    <s v=""/>
    <s v=""/>
    <s v=""/>
    <s v=""/>
    <s v=""/>
    <s v=""/>
    <x v="0"/>
    <m/>
    <s v=""/>
    <d v="2020-06-28T00:00:00"/>
    <s v="0095028612"/>
    <s v="1918001774"/>
  </r>
  <r>
    <s v="1918001755"/>
    <d v="2020-06-29T00:00:00"/>
    <d v="2020-06-29T00:00:00"/>
    <s v="RV"/>
    <s v="USD"/>
    <n v="20484.400000000001"/>
    <n v="20484.400000000001"/>
    <s v="BDT"/>
    <s v=""/>
    <n v="1719665.38"/>
    <s v=""/>
    <s v="0000005010"/>
    <s v="E25608AC20CK0228"/>
    <s v=""/>
    <s v=""/>
    <s v="0"/>
    <s v=""/>
    <s v=""/>
    <s v=""/>
    <s v=""/>
    <s v=""/>
    <s v=""/>
    <x v="0"/>
    <m/>
    <s v=""/>
    <d v="2020-06-29T00:00:00"/>
    <s v="0095028527"/>
    <s v="1918001755"/>
  </r>
  <r>
    <s v="1918001759"/>
    <d v="2020-06-29T00:00:00"/>
    <d v="2020-06-29T00:00:00"/>
    <s v="RV"/>
    <s v="USD"/>
    <n v="156387.57999999999"/>
    <n v="156387.57999999999"/>
    <s v="BDT"/>
    <s v=""/>
    <n v="13128737.34"/>
    <s v=""/>
    <s v="0000005010"/>
    <s v="E35718TC20US0661"/>
    <s v=""/>
    <s v=""/>
    <s v="0"/>
    <s v=""/>
    <s v=""/>
    <s v=""/>
    <s v=""/>
    <s v=""/>
    <s v=""/>
    <x v="0"/>
    <m/>
    <s v=""/>
    <d v="2020-06-29T00:00:00"/>
    <s v="0095028531"/>
    <s v="1918001759"/>
  </r>
  <r>
    <s v="1918001760"/>
    <d v="2020-06-29T00:00:00"/>
    <d v="2020-06-29T00:00:00"/>
    <s v="RV"/>
    <s v="USD"/>
    <n v="166782.51"/>
    <n v="166782.51"/>
    <s v="BDT"/>
    <s v=""/>
    <n v="14001391.710000001"/>
    <s v=""/>
    <s v="0000005010"/>
    <s v="E35726TC20US0660"/>
    <s v=""/>
    <s v=""/>
    <s v="0"/>
    <s v=""/>
    <s v=""/>
    <s v=""/>
    <s v=""/>
    <s v=""/>
    <s v=""/>
    <x v="0"/>
    <m/>
    <s v=""/>
    <d v="2020-06-29T00:00:00"/>
    <s v="0095028532"/>
    <s v="1918001760"/>
  </r>
  <r>
    <s v="1918001761"/>
    <d v="2020-06-29T00:00:00"/>
    <d v="2020-06-29T00:00:00"/>
    <s v="RV"/>
    <s v="USD"/>
    <n v="5666.94"/>
    <n v="5666.94"/>
    <s v="BDT"/>
    <s v=""/>
    <n v="475739.61"/>
    <s v=""/>
    <s v="0000005010"/>
    <s v="E55473AC20CK0587"/>
    <s v=""/>
    <s v=""/>
    <s v="0"/>
    <s v=""/>
    <s v=""/>
    <s v=""/>
    <s v=""/>
    <s v=""/>
    <s v=""/>
    <x v="0"/>
    <m/>
    <s v=""/>
    <d v="2020-06-29T00:00:00"/>
    <s v="0095028533"/>
    <s v="1918001761"/>
  </r>
  <r>
    <s v="1918001762"/>
    <d v="2020-06-29T00:00:00"/>
    <d v="2020-06-29T00:00:00"/>
    <s v="RV"/>
    <s v="USD"/>
    <n v="7120.9"/>
    <n v="7120.9"/>
    <s v="BDT"/>
    <s v=""/>
    <n v="597799.56000000006"/>
    <s v=""/>
    <s v="0000005010"/>
    <s v="E55473AC20JF0588"/>
    <s v=""/>
    <s v=""/>
    <s v="0"/>
    <s v=""/>
    <s v=""/>
    <s v=""/>
    <s v=""/>
    <s v=""/>
    <s v=""/>
    <x v="0"/>
    <m/>
    <s v=""/>
    <d v="2020-06-29T00:00:00"/>
    <s v="0095028534"/>
    <s v="1918001762"/>
  </r>
  <r>
    <s v="1918001765"/>
    <d v="2020-06-29T00:00:00"/>
    <d v="2020-06-29T00:00:00"/>
    <s v="RV"/>
    <s v="USD"/>
    <n v="237717.87"/>
    <n v="237717.87"/>
    <s v="BDT"/>
    <s v=""/>
    <n v="19956415.190000001"/>
    <s v=""/>
    <s v="0000001010"/>
    <s v="E05652US20-0643"/>
    <s v=""/>
    <s v=""/>
    <s v="0"/>
    <s v=""/>
    <s v=""/>
    <s v=""/>
    <s v=""/>
    <s v=""/>
    <s v=""/>
    <x v="0"/>
    <m/>
    <s v=""/>
    <d v="2020-06-29T00:00:00"/>
    <s v="0095028547"/>
    <s v="1918001765"/>
  </r>
  <r>
    <s v="1918001766"/>
    <d v="2020-06-29T00:00:00"/>
    <d v="2020-06-29T00:00:00"/>
    <s v="RV"/>
    <s v="USD"/>
    <n v="12172.51"/>
    <n v="12172.51"/>
    <s v="BDT"/>
    <s v=""/>
    <n v="1021882.21"/>
    <s v=""/>
    <s v="0000001010"/>
    <s v="E05701US20-0665"/>
    <s v=""/>
    <s v=""/>
    <s v="0"/>
    <s v=""/>
    <s v=""/>
    <s v=""/>
    <s v=""/>
    <s v=""/>
    <s v=""/>
    <x v="0"/>
    <m/>
    <s v=""/>
    <d v="2020-06-29T00:00:00"/>
    <s v="0095028548"/>
    <s v="1918001766"/>
  </r>
  <r>
    <s v="1918001767"/>
    <d v="2020-06-29T00:00:00"/>
    <d v="2020-06-29T00:00:00"/>
    <s v="RV"/>
    <s v="USD"/>
    <n v="5035.46"/>
    <n v="5035.46"/>
    <s v="BDT"/>
    <s v=""/>
    <n v="422726.87"/>
    <s v=""/>
    <s v="0000001010"/>
    <s v="E05703US20-0662"/>
    <s v=""/>
    <s v=""/>
    <s v="0"/>
    <s v=""/>
    <s v=""/>
    <s v=""/>
    <s v=""/>
    <s v=""/>
    <s v=""/>
    <x v="0"/>
    <m/>
    <s v=""/>
    <d v="2020-06-29T00:00:00"/>
    <s v="0095028549"/>
    <s v="1918001767"/>
  </r>
  <r>
    <s v="1918001768"/>
    <d v="2020-06-29T00:00:00"/>
    <d v="2020-06-29T00:00:00"/>
    <s v="RV"/>
    <s v="USD"/>
    <n v="1441.15"/>
    <n v="1441.15"/>
    <s v="BDT"/>
    <s v=""/>
    <n v="120984.54"/>
    <s v=""/>
    <s v="0000001010"/>
    <s v="E05704US20-0664"/>
    <s v=""/>
    <s v=""/>
    <s v="0"/>
    <s v=""/>
    <s v=""/>
    <s v=""/>
    <s v=""/>
    <s v=""/>
    <s v=""/>
    <x v="0"/>
    <m/>
    <s v=""/>
    <d v="2020-06-29T00:00:00"/>
    <s v="0095028550"/>
    <s v="1918001768"/>
  </r>
  <r>
    <s v="1918001769"/>
    <d v="2020-06-29T00:00:00"/>
    <d v="2020-06-29T00:00:00"/>
    <s v="RV"/>
    <s v="USD"/>
    <n v="1763.31"/>
    <n v="1763.31"/>
    <s v="BDT"/>
    <s v=""/>
    <n v="148029.87"/>
    <s v=""/>
    <s v="0000001010"/>
    <s v="E05768US20-0654"/>
    <s v=""/>
    <s v=""/>
    <s v="0"/>
    <s v=""/>
    <s v=""/>
    <s v=""/>
    <s v=""/>
    <s v=""/>
    <s v=""/>
    <x v="0"/>
    <m/>
    <s v=""/>
    <d v="2020-06-29T00:00:00"/>
    <s v="0095028551"/>
    <s v="1918001769"/>
  </r>
  <r>
    <s v="1918001770"/>
    <d v="2020-06-29T00:00:00"/>
    <d v="2020-06-29T00:00:00"/>
    <s v="RV"/>
    <s v="USD"/>
    <n v="1235.78"/>
    <n v="1235.78"/>
    <s v="BDT"/>
    <s v=""/>
    <n v="103743.73"/>
    <s v=""/>
    <s v="0000001010"/>
    <s v="E05768US20-0657"/>
    <s v=""/>
    <s v=""/>
    <s v="0"/>
    <s v=""/>
    <s v=""/>
    <s v=""/>
    <s v=""/>
    <s v=""/>
    <s v=""/>
    <x v="0"/>
    <m/>
    <s v=""/>
    <d v="2020-06-29T00:00:00"/>
    <s v="0095028552"/>
    <s v="1918001770"/>
  </r>
  <r>
    <s v="1909000644"/>
    <d v="2020-06-30T00:00:00"/>
    <d v="2020-06-30T00:00:00"/>
    <s v="DZ"/>
    <s v="USD"/>
    <n v="-472348.86"/>
    <n v="-472348.86"/>
    <s v="BDT"/>
    <s v="EGM1"/>
    <n v="-39653686.799999997"/>
    <s v="FIT JUN-20"/>
    <s v="0000001010"/>
    <s v="FIT- JUN-20"/>
    <s v=""/>
    <s v=""/>
    <s v="0"/>
    <s v="FIT- JUN-20"/>
    <s v=""/>
    <s v=""/>
    <s v=""/>
    <s v=""/>
    <s v=""/>
    <x v="0"/>
    <m/>
    <s v=""/>
    <d v="2020-06-30T00:00:00"/>
    <s v=""/>
    <s v="19090006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37">
  <r>
    <s v="1503004089"/>
    <d v="2016-02-29T00:00:00"/>
    <d v="2016-02-29T00:00:00"/>
    <s v="AB"/>
    <s v="USD"/>
    <n v="-2486.3000000000002"/>
    <n v="-2486.3000000000002"/>
    <s v="BDT"/>
    <s v="EGM3"/>
    <n v="-193807.09"/>
    <s v="CM ADVANCE"/>
    <s v="0000001010"/>
    <s v="E32706TC16MY0251"/>
    <s v=""/>
    <s v=""/>
    <s v="0"/>
    <s v="CM ADVANCE, FEB-16"/>
    <s v=""/>
    <s v=""/>
    <s v=""/>
    <s v=""/>
    <s v=""/>
    <x v="0"/>
    <d v="2016-02-29T00:00:00"/>
    <s v="1503004089"/>
    <d v="2016-03-01T00:00:00"/>
    <s v=""/>
    <s v="1503004089"/>
  </r>
  <r>
    <s v="1503004231"/>
    <d v="2016-03-01T00:00:00"/>
    <d v="2016-02-29T00:00:00"/>
    <s v="AB"/>
    <s v="USD"/>
    <n v="2486.3000000000002"/>
    <n v="2486.3000000000002"/>
    <s v="BDT"/>
    <s v="EGM3"/>
    <n v="193807.09"/>
    <s v="CM ADVANCE"/>
    <s v="0000001010"/>
    <s v="E32706T16MY0251"/>
    <s v=""/>
    <s v=""/>
    <s v="0"/>
    <s v="CM ADVANCE, FEB-16"/>
    <s v=""/>
    <s v=""/>
    <s v=""/>
    <s v=""/>
    <s v=""/>
    <x v="0"/>
    <d v="2016-03-01T00:00:00"/>
    <s v="1503004231"/>
    <d v="2016-02-29T00:00:00"/>
    <s v=""/>
    <s v="1503004231"/>
  </r>
  <r>
    <s v="1506000010"/>
    <d v="2016-01-21T00:00:00"/>
    <d v="2016-01-21T00:00:00"/>
    <s v="DA"/>
    <s v="USD"/>
    <n v="26215.24"/>
    <n v="26215.24"/>
    <s v="BDT"/>
    <s v="EGM1"/>
    <n v="2042167.2"/>
    <s v=""/>
    <s v="0000001010"/>
    <s v=""/>
    <s v=""/>
    <s v=""/>
    <s v="0"/>
    <s v=""/>
    <s v=""/>
    <s v=""/>
    <s v=""/>
    <s v=""/>
    <s v=""/>
    <x v="0"/>
    <d v="2016-01-21T00:00:00"/>
    <s v="1506000010"/>
    <d v="2016-01-21T00:00:00"/>
    <s v=""/>
    <s v="1506000010"/>
  </r>
  <r>
    <s v="1509000316"/>
    <d v="2016-01-12T00:00:00"/>
    <d v="2016-01-12T00:00:00"/>
    <s v="DZ"/>
    <s v="USD"/>
    <n v="-26215.24"/>
    <n v="-26215.24"/>
    <s v="BDT"/>
    <s v="EGM1"/>
    <n v="-2042167.2"/>
    <s v="E2441G15UK0737E2538G15UK0740"/>
    <s v="0000001010"/>
    <s v="424130268643"/>
    <s v=""/>
    <s v=""/>
    <s v="0"/>
    <s v="EXPORT COLLECTION"/>
    <s v=""/>
    <s v=""/>
    <s v=""/>
    <s v=""/>
    <s v=""/>
    <x v="0"/>
    <d v="2016-01-21T00:00:00"/>
    <s v="1506000010"/>
    <d v="2016-01-12T00:00:00"/>
    <s v=""/>
    <s v="1509000316"/>
  </r>
  <r>
    <s v="1509000387"/>
    <d v="2016-02-29T00:00:00"/>
    <d v="2016-02-29T00:00:00"/>
    <s v="DZ"/>
    <s v="USD"/>
    <n v="2486.3000000000002"/>
    <n v="2486.3000000000002"/>
    <s v="BDT"/>
    <s v="EGM3"/>
    <n v="193807.09"/>
    <s v="CM ADVANCE"/>
    <s v="0000001010"/>
    <s v="E32706TC16MY0251"/>
    <s v=""/>
    <s v=""/>
    <s v="0"/>
    <s v="CM ADVANCE, FEB-16"/>
    <s v=""/>
    <s v=""/>
    <s v=""/>
    <s v=""/>
    <s v=""/>
    <x v="0"/>
    <d v="2016-02-29T00:00:00"/>
    <s v="1503004089"/>
    <d v="2016-03-01T00:00:00"/>
    <s v=""/>
    <s v="1509000387"/>
  </r>
  <r>
    <s v="1509000388"/>
    <d v="2016-02-29T00:00:00"/>
    <d v="2016-02-29T00:00:00"/>
    <s v="DZ"/>
    <s v="USD"/>
    <n v="-2486.3000000000002"/>
    <n v="-2486.3000000000002"/>
    <s v="BDT"/>
    <s v="EGM3"/>
    <n v="-193807.09"/>
    <s v="CM ADVANCE"/>
    <s v="0000001010"/>
    <s v="E32706T16MY0251"/>
    <s v=""/>
    <s v=""/>
    <s v="0"/>
    <s v="CM ADVANCE, FEB-16"/>
    <s v=""/>
    <s v=""/>
    <s v=""/>
    <s v=""/>
    <s v=""/>
    <x v="0"/>
    <d v="2016-03-01T00:00:00"/>
    <s v="1503004231"/>
    <d v="2016-02-29T00:00:00"/>
    <s v=""/>
    <s v="1509000388"/>
  </r>
  <r>
    <s v="1603013872"/>
    <d v="2017-01-01T00:00:00"/>
    <d v="2016-12-31T00:00:00"/>
    <s v="AB"/>
    <s v="USD"/>
    <n v="-35100.15"/>
    <n v="-35100.15"/>
    <s v="BDT"/>
    <s v="EGM1"/>
    <n v="-2737811.7"/>
    <s v="Funds in Transit"/>
    <s v="0000001010"/>
    <s v="FUNDS IN TRANSIT"/>
    <s v=""/>
    <s v=""/>
    <s v="0"/>
    <s v="Funds in Transit."/>
    <s v=""/>
    <s v=""/>
    <s v=""/>
    <s v=""/>
    <s v=""/>
    <x v="0"/>
    <d v="2017-01-01T00:00:00"/>
    <s v="1603013872"/>
    <d v="2016-12-31T00:00:00"/>
    <s v=""/>
    <s v="1603013872"/>
  </r>
  <r>
    <s v="1603015079"/>
    <d v="2017-02-05T00:00:00"/>
    <d v="2017-02-05T00:00:00"/>
    <s v="AB"/>
    <s v="USD"/>
    <n v="52104.15"/>
    <n v="52104.15"/>
    <s v="BDT"/>
    <s v="EGM2"/>
    <n v="4113622.64"/>
    <s v="CM ADVIANCE"/>
    <s v="0000001010"/>
    <s v="424130415967"/>
    <s v=""/>
    <s v=""/>
    <s v="0"/>
    <s v="CM ADVIANCE"/>
    <s v=""/>
    <s v=""/>
    <s v=""/>
    <s v=""/>
    <s v=""/>
    <x v="0"/>
    <d v="2017-02-05T00:00:00"/>
    <s v="1603015079"/>
    <d v="2017-02-05T00:00:00"/>
    <s v=""/>
    <s v="1603015079"/>
  </r>
  <r>
    <s v="1603015080"/>
    <d v="2017-02-07T00:00:00"/>
    <d v="2017-02-07T00:00:00"/>
    <s v="AB"/>
    <s v="USD"/>
    <n v="103556.3"/>
    <n v="103556.3"/>
    <s v="BDT"/>
    <s v="EGM2"/>
    <n v="8175769.8899999997"/>
    <s v="CM ADVIANCE"/>
    <s v="0000001010"/>
    <s v="424130417689"/>
    <s v=""/>
    <s v=""/>
    <s v="0"/>
    <s v="CM ADVIANCE"/>
    <s v=""/>
    <s v=""/>
    <s v=""/>
    <s v=""/>
    <s v=""/>
    <x v="0"/>
    <d v="2017-02-07T00:00:00"/>
    <s v="1603015080"/>
    <d v="2017-02-07T00:00:00"/>
    <s v=""/>
    <s v="1603015080"/>
  </r>
  <r>
    <s v="1603016869"/>
    <d v="2017-03-31T00:00:00"/>
    <d v="2017-03-31T00:00:00"/>
    <s v="AB"/>
    <s v="USD"/>
    <n v="242864"/>
    <n v="242864"/>
    <s v="BDT"/>
    <s v="EGM1"/>
    <n v="19356260.800000001"/>
    <s v="Funds in Transit Mar-17-CM advance"/>
    <s v="0000001010"/>
    <s v="CM ADV FIT"/>
    <s v=""/>
    <s v=""/>
    <s v="0"/>
    <s v="CM ADV FIT MAR-17"/>
    <s v=""/>
    <s v=""/>
    <s v=""/>
    <s v=""/>
    <s v=""/>
    <x v="0"/>
    <d v="2017-03-31T00:00:00"/>
    <s v="1603016869"/>
    <d v="2017-03-31T00:00:00"/>
    <s v=""/>
    <s v="1603016869"/>
  </r>
  <r>
    <s v="1603016870"/>
    <d v="2017-03-31T00:00:00"/>
    <d v="2017-03-31T00:00:00"/>
    <s v="AB"/>
    <s v="USD"/>
    <n v="448"/>
    <n v="448"/>
    <s v="BDT"/>
    <s v="EGM1"/>
    <n v="35705.599999999999"/>
    <s v="Funds in Transit"/>
    <s v="0000001010"/>
    <s v="FUND IN TRANSIT"/>
    <s v=""/>
    <s v=""/>
    <s v="0"/>
    <s v="FUND IN TRANSIT"/>
    <s v=""/>
    <s v=""/>
    <s v=""/>
    <s v=""/>
    <s v=""/>
    <x v="0"/>
    <d v="2017-03-31T00:00:00"/>
    <s v="1603016870"/>
    <d v="2017-03-31T00:00:00"/>
    <s v=""/>
    <s v="1603016870"/>
  </r>
  <r>
    <s v="1603017781"/>
    <d v="2017-04-01T00:00:00"/>
    <d v="2017-03-31T00:00:00"/>
    <s v="AB"/>
    <s v="USD"/>
    <n v="243312"/>
    <n v="243312"/>
    <s v="BDT"/>
    <s v="EGM1"/>
    <n v="19391966.399999999"/>
    <s v="Funds in Transit Mar-17-CM advance"/>
    <s v="0000001010"/>
    <s v="CM ADV FIT"/>
    <s v=""/>
    <s v=""/>
    <s v="0"/>
    <s v="CM ADV FIT MAR-17"/>
    <s v=""/>
    <s v=""/>
    <s v=""/>
    <s v=""/>
    <s v=""/>
    <x v="0"/>
    <d v="2017-04-01T00:00:00"/>
    <s v="1603017781"/>
    <d v="2017-03-31T00:00:00"/>
    <s v=""/>
    <s v="1603017781"/>
  </r>
  <r>
    <s v="1603017947"/>
    <d v="2017-05-31T00:00:00"/>
    <d v="2017-05-31T00:00:00"/>
    <s v="AB"/>
    <s v="USD"/>
    <n v="-15989"/>
    <n v="-15989"/>
    <s v="BDT"/>
    <s v="EGM2"/>
    <n v="-1291111.75"/>
    <s v="CM ADVANCE ADJUST, REF-424130451962"/>
    <s v="0000001010"/>
    <s v="03720170245CH"/>
    <s v=""/>
    <s v=""/>
    <s v="0"/>
    <s v="424130464404"/>
    <s v=""/>
    <s v=""/>
    <s v=""/>
    <s v=""/>
    <s v=""/>
    <x v="0"/>
    <d v="2017-05-31T00:00:00"/>
    <s v="1603017947"/>
    <d v="2017-05-31T00:00:00"/>
    <s v=""/>
    <s v="1603017947"/>
  </r>
  <r>
    <s v="1603018778"/>
    <d v="2017-05-01T00:00:00"/>
    <d v="2017-04-30T00:00:00"/>
    <s v="AB"/>
    <s v="USD"/>
    <n v="-3943"/>
    <n v="-3943"/>
    <s v="BDT"/>
    <s v="EGM1"/>
    <n v="-318397.25"/>
    <s v="Funds in Transit Apr-17-CM advance"/>
    <s v="0000001010"/>
    <s v="CM ADV FIT"/>
    <s v=""/>
    <s v=""/>
    <s v="0"/>
    <s v="CM ADV FIT APR-17"/>
    <s v=""/>
    <s v=""/>
    <s v=""/>
    <s v=""/>
    <s v=""/>
    <x v="0"/>
    <d v="2017-05-01T00:00:00"/>
    <s v="1603018778"/>
    <d v="2017-04-30T00:00:00"/>
    <s v=""/>
    <s v="1603018778"/>
  </r>
  <r>
    <s v="1603018779"/>
    <d v="2017-05-31T00:00:00"/>
    <d v="2017-05-31T00:00:00"/>
    <s v="AB"/>
    <s v="USD"/>
    <n v="-29757"/>
    <n v="-29757"/>
    <s v="BDT"/>
    <s v="EGM1"/>
    <n v="-2384130.84"/>
    <s v="Funds in Transit"/>
    <s v="0000001010"/>
    <s v="FUND IN TR"/>
    <s v=""/>
    <s v=""/>
    <s v="0"/>
    <s v="Funds in Transit."/>
    <s v=""/>
    <s v=""/>
    <s v=""/>
    <s v=""/>
    <s v=""/>
    <x v="0"/>
    <d v="2017-05-31T00:00:00"/>
    <s v="1603018779"/>
    <d v="2017-05-31T00:00:00"/>
    <s v=""/>
    <s v="1603018779"/>
  </r>
  <r>
    <s v="1603020540"/>
    <d v="2017-06-01T00:00:00"/>
    <d v="2017-05-31T00:00:00"/>
    <s v="AB"/>
    <s v="USD"/>
    <n v="-33700"/>
    <n v="-33700"/>
    <s v="BDT"/>
    <s v="EGM1"/>
    <n v="-2700044"/>
    <s v="Funds in Transit May-17-CM advance"/>
    <s v="0000001010"/>
    <s v="CM ADV FIT"/>
    <s v=""/>
    <s v=""/>
    <s v="0"/>
    <s v="CM ADV FIT MAY-17"/>
    <s v=""/>
    <s v=""/>
    <s v=""/>
    <s v=""/>
    <s v=""/>
    <x v="0"/>
    <d v="2017-06-01T00:00:00"/>
    <s v="1603020540"/>
    <d v="2017-05-31T00:00:00"/>
    <s v=""/>
    <s v="1603020540"/>
  </r>
  <r>
    <s v="1606000022"/>
    <d v="2017-04-30T00:00:00"/>
    <d v="2017-04-30T00:00:00"/>
    <s v="DA"/>
    <s v="USD"/>
    <n v="250407"/>
    <n v="250407"/>
    <s v="BDT"/>
    <s v="EGM1"/>
    <n v="19957437.899999999"/>
    <s v=""/>
    <s v="0000001010"/>
    <s v="CM ADJUST250407"/>
    <s v=""/>
    <s v=""/>
    <s v="0"/>
    <s v="CM ADJUST - 250407"/>
    <s v=""/>
    <s v=""/>
    <s v=""/>
    <s v=""/>
    <s v=""/>
    <x v="0"/>
    <d v="2017-04-30T00:00:00"/>
    <s v="1606000022"/>
    <d v="2017-04-30T00:00:00"/>
    <s v=""/>
    <s v="1606000022"/>
  </r>
  <r>
    <s v="1606000022"/>
    <d v="2017-04-30T00:00:00"/>
    <d v="2017-04-30T00:00:00"/>
    <s v="DA"/>
    <s v="USD"/>
    <n v="-250407"/>
    <n v="-250407"/>
    <s v="BDT"/>
    <s v="EGM1"/>
    <n v="-19957437.899999999"/>
    <s v=""/>
    <s v="0000001010"/>
    <s v="CM ADJUST250407"/>
    <s v=""/>
    <s v=""/>
    <s v="0"/>
    <s v="CM ADJUST - 250407"/>
    <s v=""/>
    <s v=""/>
    <s v=""/>
    <s v=""/>
    <s v=""/>
    <x v="0"/>
    <d v="2017-04-30T00:00:00"/>
    <s v="1606000022"/>
    <d v="2017-04-30T00:00:00"/>
    <s v=""/>
    <s v="1606000022"/>
  </r>
  <r>
    <s v="1609000242"/>
    <d v="2016-12-04T00:00:00"/>
    <d v="2016-12-04T00:00:00"/>
    <s v="DZ"/>
    <s v="USD"/>
    <n v="-996754.29"/>
    <n v="-996754.29"/>
    <s v="BDT"/>
    <s v="EGM1"/>
    <n v="-79142290.629999995"/>
    <s v="CM ADVANCE"/>
    <s v="0000001010"/>
    <s v="424130392009"/>
    <s v=""/>
    <s v=""/>
    <s v="0"/>
    <s v="CM ADVANCE"/>
    <s v=""/>
    <s v=""/>
    <s v=""/>
    <s v=""/>
    <s v=""/>
    <x v="0"/>
    <d v="2016-12-04T00:00:00"/>
    <s v="1609000244"/>
    <d v="2016-12-04T00:00:00"/>
    <s v=""/>
    <s v="1609000242"/>
  </r>
  <r>
    <s v="1609000243"/>
    <d v="2016-12-04T00:00:00"/>
    <d v="2016-12-04T00:00:00"/>
    <s v="DZ"/>
    <s v="USD"/>
    <n v="-221840.14"/>
    <n v="-221840.14"/>
    <s v="BDT"/>
    <s v="EGM1"/>
    <n v="-17614107.120000001"/>
    <s v="CM ADVANCE"/>
    <s v="0000001010"/>
    <s v="424130392056"/>
    <s v=""/>
    <s v=""/>
    <s v="0"/>
    <s v="CM ADVANCE"/>
    <s v=""/>
    <s v=""/>
    <s v=""/>
    <s v=""/>
    <s v=""/>
    <x v="0"/>
    <d v="2016-12-11T00:00:00"/>
    <s v="1609000258"/>
    <d v="2016-12-04T00:00:00"/>
    <s v=""/>
    <s v="1609000243"/>
  </r>
  <r>
    <s v="1609000244"/>
    <d v="2016-12-04T00:00:00"/>
    <d v="2016-12-04T00:00:00"/>
    <s v="DZ"/>
    <s v="USD"/>
    <n v="-873054.29"/>
    <n v="-873054.29"/>
    <s v="BDT"/>
    <s v="EGM1"/>
    <n v="-69320510.629999995"/>
    <s v=""/>
    <s v="0000001010"/>
    <s v="424130393115"/>
    <s v=""/>
    <s v=""/>
    <s v="0"/>
    <s v="EXPORT COLLECTION"/>
    <s v=""/>
    <s v=""/>
    <s v=""/>
    <s v=""/>
    <s v=""/>
    <x v="0"/>
    <d v="2016-12-04T00:00:00"/>
    <s v="1609000245"/>
    <d v="2016-12-04T00:00:00"/>
    <s v=""/>
    <s v="1609000244"/>
  </r>
  <r>
    <s v="1609000244"/>
    <d v="2016-12-04T00:00:00"/>
    <d v="2016-12-04T00:00:00"/>
    <s v="DZ"/>
    <s v="USD"/>
    <n v="996754.29"/>
    <n v="996754.29"/>
    <s v="BDT"/>
    <s v="EGM1"/>
    <n v="79142290.629999995"/>
    <s v="E43137DC16US1598"/>
    <s v="0000001010"/>
    <s v="424130393115"/>
    <s v=""/>
    <s v=""/>
    <s v="0"/>
    <s v="EXPORT COLLECTION"/>
    <s v=""/>
    <s v=""/>
    <s v=""/>
    <s v=""/>
    <s v=""/>
    <x v="0"/>
    <d v="2016-12-04T00:00:00"/>
    <s v="1609000244"/>
    <d v="2016-12-04T00:00:00"/>
    <s v=""/>
    <s v="1609000244"/>
  </r>
  <r>
    <s v="1609000245"/>
    <d v="2016-12-04T00:00:00"/>
    <d v="2016-12-04T00:00:00"/>
    <s v="DZ"/>
    <s v="USD"/>
    <n v="-871954.29"/>
    <n v="-871954.29"/>
    <s v="BDT"/>
    <s v="EGM1"/>
    <n v="-69233170.629999995"/>
    <s v=""/>
    <s v="0000001010"/>
    <s v="424130393080"/>
    <s v=""/>
    <s v=""/>
    <s v="0"/>
    <s v="EXPORT COLLECTION"/>
    <s v=""/>
    <s v=""/>
    <s v=""/>
    <s v=""/>
    <s v=""/>
    <x v="0"/>
    <d v="2016-12-07T00:00:00"/>
    <s v="1609000248"/>
    <d v="2016-12-04T00:00:00"/>
    <s v=""/>
    <s v="1609000245"/>
  </r>
  <r>
    <s v="1609000245"/>
    <d v="2016-12-04T00:00:00"/>
    <d v="2016-12-04T00:00:00"/>
    <s v="DZ"/>
    <s v="USD"/>
    <n v="873054.29"/>
    <n v="873054.29"/>
    <s v="BDT"/>
    <s v="EGM1"/>
    <n v="69320510.629999995"/>
    <s v="E03256WM16US1562E03255WM16US1508"/>
    <s v="0000001010"/>
    <s v="424130393080"/>
    <s v=""/>
    <s v=""/>
    <s v="0"/>
    <s v="EXPORT COLLECTION"/>
    <s v=""/>
    <s v=""/>
    <s v=""/>
    <s v=""/>
    <s v=""/>
    <x v="0"/>
    <d v="2016-12-04T00:00:00"/>
    <s v="1609000245"/>
    <d v="2016-12-04T00:00:00"/>
    <s v=""/>
    <s v="1609000245"/>
  </r>
  <r>
    <s v="1609000248"/>
    <d v="2016-12-07T00:00:00"/>
    <d v="2016-12-07T00:00:00"/>
    <s v="DZ"/>
    <s v="USD"/>
    <n v="-846754.29"/>
    <n v="-846754.29"/>
    <s v="BDT"/>
    <s v="EGM1"/>
    <n v="-67232290.629999995"/>
    <s v=""/>
    <s v="0000001010"/>
    <s v="424130393311"/>
    <s v=""/>
    <s v=""/>
    <s v="0"/>
    <s v="EXPORT COLLECTION"/>
    <s v=""/>
    <s v=""/>
    <s v=""/>
    <s v=""/>
    <s v=""/>
    <x v="0"/>
    <d v="2016-12-07T00:00:00"/>
    <s v="1609000249"/>
    <d v="2016-12-07T00:00:00"/>
    <s v=""/>
    <s v="1609000248"/>
  </r>
  <r>
    <s v="1609000248"/>
    <d v="2016-12-07T00:00:00"/>
    <d v="2016-12-07T00:00:00"/>
    <s v="DZ"/>
    <s v="USD"/>
    <n v="871954.29"/>
    <n v="871954.29"/>
    <s v="BDT"/>
    <s v="EGM1"/>
    <n v="69233170.629999995"/>
    <s v="E03257WM16CA1569"/>
    <s v="0000001010"/>
    <s v="424130393311"/>
    <s v=""/>
    <s v=""/>
    <s v="0"/>
    <s v="EXPORT COLLECTION"/>
    <s v=""/>
    <s v=""/>
    <s v=""/>
    <s v=""/>
    <s v=""/>
    <x v="0"/>
    <d v="2016-12-07T00:00:00"/>
    <s v="1609000248"/>
    <d v="2016-12-07T00:00:00"/>
    <s v=""/>
    <s v="1609000248"/>
  </r>
  <r>
    <s v="1609000249"/>
    <d v="2016-12-07T00:00:00"/>
    <d v="2016-12-07T00:00:00"/>
    <s v="DZ"/>
    <s v="USD"/>
    <n v="-782954.29"/>
    <n v="-782954.29"/>
    <s v="BDT"/>
    <s v="EGM1"/>
    <n v="-62166570.630000003"/>
    <s v=""/>
    <s v="0000001010"/>
    <s v="424130393357"/>
    <s v=""/>
    <s v=""/>
    <s v="0"/>
    <s v="EXPORT COLLECTION"/>
    <s v=""/>
    <s v=""/>
    <s v=""/>
    <s v=""/>
    <s v=""/>
    <x v="0"/>
    <d v="2016-12-07T00:00:00"/>
    <s v="1609000250"/>
    <d v="2016-12-07T00:00:00"/>
    <s v=""/>
    <s v="1609000249"/>
  </r>
  <r>
    <s v="1609000249"/>
    <d v="2016-12-07T00:00:00"/>
    <d v="2016-12-07T00:00:00"/>
    <s v="DZ"/>
    <s v="USD"/>
    <n v="846754.29"/>
    <n v="846754.29"/>
    <s v="BDT"/>
    <s v="EGM1"/>
    <n v="67232290.629999995"/>
    <s v="E03255WM16US1472E03256WM16US1515"/>
    <s v="0000001010"/>
    <s v="424130393357"/>
    <s v=""/>
    <s v=""/>
    <s v="0"/>
    <s v="EXPORT COLLECTION"/>
    <s v=""/>
    <s v=""/>
    <s v=""/>
    <s v=""/>
    <s v=""/>
    <x v="0"/>
    <d v="2016-12-07T00:00:00"/>
    <s v="1609000249"/>
    <d v="2016-12-07T00:00:00"/>
    <s v=""/>
    <s v="1609000249"/>
  </r>
  <r>
    <s v="1609000250"/>
    <d v="2016-12-07T00:00:00"/>
    <d v="2016-12-07T00:00:00"/>
    <s v="DZ"/>
    <s v="USD"/>
    <n v="-770754.29"/>
    <n v="-770754.29"/>
    <s v="BDT"/>
    <s v="EGM1"/>
    <n v="-61197890.630000003"/>
    <s v=""/>
    <s v="0000001010"/>
    <s v="424130393393"/>
    <s v=""/>
    <s v=""/>
    <s v="0"/>
    <s v="EXPORT COLLECTION"/>
    <s v=""/>
    <s v=""/>
    <s v=""/>
    <s v=""/>
    <s v=""/>
    <x v="0"/>
    <d v="2016-12-08T00:00:00"/>
    <s v="1609000251"/>
    <d v="2016-12-07T00:00:00"/>
    <s v=""/>
    <s v="1609000250"/>
  </r>
  <r>
    <s v="1609000250"/>
    <d v="2016-12-07T00:00:00"/>
    <d v="2016-12-07T00:00:00"/>
    <s v="DZ"/>
    <s v="USD"/>
    <n v="782954.29"/>
    <n v="782954.29"/>
    <s v="BDT"/>
    <s v="EGM1"/>
    <n v="62166570.630000003"/>
    <s v="E03290WM16US1473E03289WM16US1476"/>
    <s v="0000001010"/>
    <s v="424130393393"/>
    <s v=""/>
    <s v=""/>
    <s v="0"/>
    <s v="EXPORT COLLECTION"/>
    <s v=""/>
    <s v=""/>
    <s v=""/>
    <s v=""/>
    <s v=""/>
    <x v="0"/>
    <d v="2016-12-07T00:00:00"/>
    <s v="1609000250"/>
    <d v="2016-12-07T00:00:00"/>
    <s v=""/>
    <s v="1609000250"/>
  </r>
  <r>
    <s v="1609000251"/>
    <d v="2016-12-08T00:00:00"/>
    <d v="2016-12-08T00:00:00"/>
    <s v="DZ"/>
    <s v="USD"/>
    <n v="-641054.29"/>
    <n v="-641054.29"/>
    <s v="BDT"/>
    <s v="EGM1"/>
    <n v="-50899710.630000003"/>
    <s v="CM ADVANCE"/>
    <s v="0000001010"/>
    <s v="424130393918"/>
    <s v=""/>
    <s v=""/>
    <s v="0"/>
    <s v="EXPORT COLLECTION"/>
    <s v=""/>
    <s v=""/>
    <s v=""/>
    <s v=""/>
    <s v=""/>
    <x v="0"/>
    <d v="2016-12-08T00:00:00"/>
    <s v="1609000252"/>
    <d v="2016-12-08T00:00:00"/>
    <s v=""/>
    <s v="1609000251"/>
  </r>
  <r>
    <s v="1609000251"/>
    <d v="2016-12-08T00:00:00"/>
    <d v="2016-12-08T00:00:00"/>
    <s v="DZ"/>
    <s v="USD"/>
    <n v="770754.29"/>
    <n v="770754.29"/>
    <s v="BDT"/>
    <s v="EGM1"/>
    <n v="61197890.630000003"/>
    <s v="E32996TC16US1693E33132TC16US1548"/>
    <s v="0000001010"/>
    <s v="424130393918"/>
    <s v=""/>
    <s v=""/>
    <s v="0"/>
    <s v="EXPORT COLLECTION"/>
    <s v=""/>
    <s v=""/>
    <s v=""/>
    <s v=""/>
    <s v=""/>
    <x v="0"/>
    <d v="2016-12-08T00:00:00"/>
    <s v="1609000251"/>
    <d v="2016-12-08T00:00:00"/>
    <s v=""/>
    <s v="1609000251"/>
  </r>
  <r>
    <s v="1609000252"/>
    <d v="2016-12-08T00:00:00"/>
    <d v="2016-12-08T00:00:00"/>
    <s v="DZ"/>
    <s v="USD"/>
    <n v="-634454.29"/>
    <n v="-634454.29"/>
    <s v="BDT"/>
    <s v="EGM1"/>
    <n v="-50375670.630000003"/>
    <s v=""/>
    <s v="0000001010"/>
    <s v="424130394007"/>
    <s v=""/>
    <s v=""/>
    <s v="0"/>
    <s v="EXPORT COLLECTION"/>
    <s v=""/>
    <s v=""/>
    <s v=""/>
    <s v=""/>
    <s v=""/>
    <x v="0"/>
    <d v="2016-12-08T00:00:00"/>
    <s v="1609000253"/>
    <d v="2016-12-08T00:00:00"/>
    <s v=""/>
    <s v="1609000252"/>
  </r>
  <r>
    <s v="1609000252"/>
    <d v="2016-12-08T00:00:00"/>
    <d v="2016-12-08T00:00:00"/>
    <s v="DZ"/>
    <s v="USD"/>
    <n v="641054.29"/>
    <n v="641054.29"/>
    <s v="BDT"/>
    <s v="EGM1"/>
    <n v="50899710.630000003"/>
    <s v="E43116SB16UK1607E43302SB16UK1608"/>
    <s v="0000001010"/>
    <s v="424130394007"/>
    <s v=""/>
    <s v=""/>
    <s v="0"/>
    <s v="EXPORT COLLECTION"/>
    <s v=""/>
    <s v=""/>
    <s v=""/>
    <s v=""/>
    <s v=""/>
    <x v="0"/>
    <d v="2016-12-08T00:00:00"/>
    <s v="1609000252"/>
    <d v="2016-12-08T00:00:00"/>
    <s v=""/>
    <s v="1609000252"/>
  </r>
  <r>
    <s v="1609000253"/>
    <d v="2016-12-08T00:00:00"/>
    <d v="2016-12-08T00:00:00"/>
    <s v="DZ"/>
    <s v="USD"/>
    <n v="-482854.29"/>
    <n v="-482854.29"/>
    <s v="BDT"/>
    <s v="EGM1"/>
    <n v="-38338630.630000003"/>
    <s v=""/>
    <s v="0000001010"/>
    <s v="424130394043"/>
    <s v=""/>
    <s v=""/>
    <s v="0"/>
    <s v="EXPORT COLLECTION"/>
    <s v=""/>
    <s v=""/>
    <s v=""/>
    <s v=""/>
    <s v=""/>
    <x v="0"/>
    <d v="2016-12-11T00:00:00"/>
    <s v="1609000256"/>
    <d v="2016-12-08T00:00:00"/>
    <s v=""/>
    <s v="1609000253"/>
  </r>
  <r>
    <s v="1609000253"/>
    <d v="2016-12-08T00:00:00"/>
    <d v="2016-12-08T00:00:00"/>
    <s v="DZ"/>
    <s v="USD"/>
    <n v="634454.29"/>
    <n v="634454.29"/>
    <s v="BDT"/>
    <s v="EGM1"/>
    <n v="50375670.630000003"/>
    <s v="E03251WM16US1481E03251WM16US1483"/>
    <s v="0000001010"/>
    <s v="424130394043"/>
    <s v=""/>
    <s v=""/>
    <s v="0"/>
    <s v="EXPORT COLLECTION"/>
    <s v=""/>
    <s v=""/>
    <s v=""/>
    <s v=""/>
    <s v=""/>
    <x v="0"/>
    <d v="2016-12-08T00:00:00"/>
    <s v="1609000253"/>
    <d v="2016-12-08T00:00:00"/>
    <s v=""/>
    <s v="1609000253"/>
  </r>
  <r>
    <s v="1609000254"/>
    <d v="2016-12-04T00:00:00"/>
    <d v="2016-12-04T00:00:00"/>
    <s v="DZ"/>
    <s v="USD"/>
    <n v="-230100"/>
    <n v="-230100"/>
    <s v="BDT"/>
    <s v="EGM2"/>
    <n v="-18269940"/>
    <s v="CM ADVANCE U-2"/>
    <s v="0000001010"/>
    <s v="CM ADVANCE U-2"/>
    <s v=""/>
    <s v=""/>
    <s v="0"/>
    <s v="CM ADVANCE U-2"/>
    <s v=""/>
    <s v=""/>
    <s v=""/>
    <s v=""/>
    <s v=""/>
    <x v="0"/>
    <d v="2016-12-07T00:00:00"/>
    <s v="1609000255"/>
    <d v="2016-12-04T00:00:00"/>
    <s v=""/>
    <s v="1609000254"/>
  </r>
  <r>
    <s v="1609000255"/>
    <d v="2016-12-07T00:00:00"/>
    <d v="2016-12-07T00:00:00"/>
    <s v="DZ"/>
    <s v="USD"/>
    <n v="-144300"/>
    <n v="-144300"/>
    <s v="BDT"/>
    <s v="EGM2"/>
    <n v="-11457420"/>
    <s v=""/>
    <s v="0000001010"/>
    <s v="424130393302"/>
    <s v=""/>
    <s v=""/>
    <s v="0"/>
    <s v="EXPORT COLLECTION"/>
    <s v=""/>
    <s v=""/>
    <s v=""/>
    <s v=""/>
    <s v=""/>
    <x v="0"/>
    <d v="2016-12-11T00:00:00"/>
    <s v="1609000260"/>
    <d v="2016-12-07T00:00:00"/>
    <s v=""/>
    <s v="1609000255"/>
  </r>
  <r>
    <s v="1609000255"/>
    <d v="2016-12-07T00:00:00"/>
    <d v="2016-12-07T00:00:00"/>
    <s v="DZ"/>
    <s v="USD"/>
    <n v="230100"/>
    <n v="230100"/>
    <s v="BDT"/>
    <s v="EGM2"/>
    <n v="18269940"/>
    <s v="E23258VF16US0220E23239VF16US0222"/>
    <s v="0000001010"/>
    <s v="424130393302"/>
    <s v=""/>
    <s v=""/>
    <s v="0"/>
    <s v="EXPORT COLLECTION"/>
    <s v=""/>
    <s v=""/>
    <s v=""/>
    <s v=""/>
    <s v=""/>
    <x v="0"/>
    <d v="2016-12-07T00:00:00"/>
    <s v="1609000255"/>
    <d v="2016-12-07T00:00:00"/>
    <s v=""/>
    <s v="1609000255"/>
  </r>
  <r>
    <s v="1609000256"/>
    <d v="2016-12-11T00:00:00"/>
    <d v="2016-12-11T00:00:00"/>
    <s v="DZ"/>
    <s v="USD"/>
    <n v="-461254.29"/>
    <n v="-461254.29"/>
    <s v="BDT"/>
    <s v="EGM1"/>
    <n v="-36623590.630000003"/>
    <s v=""/>
    <s v="0000001010"/>
    <s v="424130394837"/>
    <s v=""/>
    <s v=""/>
    <s v="0"/>
    <s v="EXPORT COLLECTION"/>
    <s v=""/>
    <s v=""/>
    <s v=""/>
    <s v=""/>
    <s v=""/>
    <x v="0"/>
    <d v="2016-12-11T00:00:00"/>
    <s v="1609000258"/>
    <d v="2016-12-11T00:00:00"/>
    <s v=""/>
    <s v="1609000256"/>
  </r>
  <r>
    <s v="1609000256"/>
    <d v="2016-12-11T00:00:00"/>
    <d v="2016-12-11T00:00:00"/>
    <s v="DZ"/>
    <s v="USD"/>
    <n v="482854.29"/>
    <n v="482854.29"/>
    <s v="BDT"/>
    <s v="EGM1"/>
    <n v="38338630.630000003"/>
    <s v="E33170TS16UK1660E33265TS16UK1604"/>
    <s v="0000001010"/>
    <s v="424130394837"/>
    <s v=""/>
    <s v=""/>
    <s v="0"/>
    <s v="EXPORT COLLECTION"/>
    <s v=""/>
    <s v=""/>
    <s v=""/>
    <s v=""/>
    <s v=""/>
    <x v="0"/>
    <d v="2016-12-11T00:00:00"/>
    <s v="1609000256"/>
    <d v="2016-12-11T00:00:00"/>
    <s v=""/>
    <s v="1609000256"/>
  </r>
  <r>
    <s v="1609000258"/>
    <d v="2016-12-11T00:00:00"/>
    <d v="2016-12-11T00:00:00"/>
    <s v="DZ"/>
    <s v="USD"/>
    <n v="-419194.43"/>
    <n v="-419194.43"/>
    <s v="BDT"/>
    <s v="EGM1"/>
    <n v="-33284037.739999998"/>
    <s v=""/>
    <s v="0000001010"/>
    <s v="424130394846"/>
    <s v=""/>
    <s v=""/>
    <s v="0"/>
    <s v="EXPORT COLLECTION"/>
    <s v=""/>
    <s v=""/>
    <s v=""/>
    <s v=""/>
    <s v=""/>
    <x v="0"/>
    <d v="2016-12-11T00:00:00"/>
    <s v="1609000259"/>
    <d v="2016-12-11T00:00:00"/>
    <s v=""/>
    <s v="1609000258"/>
  </r>
  <r>
    <s v="1609000258"/>
    <d v="2016-12-11T00:00:00"/>
    <d v="2016-12-11T00:00:00"/>
    <s v="DZ"/>
    <s v="USD"/>
    <n v="683094.43"/>
    <n v="683094.43"/>
    <s v="BDT"/>
    <s v="EGM1"/>
    <n v="54237697.75"/>
    <s v="E03252WM16US1521E03252WM16US1525"/>
    <s v="0000001010"/>
    <s v="424130394846"/>
    <s v=""/>
    <s v=""/>
    <s v="0"/>
    <s v="EXPORT COLLECTION"/>
    <s v=""/>
    <s v=""/>
    <s v=""/>
    <s v=""/>
    <s v=""/>
    <x v="0"/>
    <d v="2016-12-11T00:00:00"/>
    <s v="1609000258"/>
    <d v="2016-12-11T00:00:00"/>
    <s v=""/>
    <s v="1609000258"/>
  </r>
  <r>
    <s v="1609000259"/>
    <d v="2016-12-11T00:00:00"/>
    <d v="2016-12-11T00:00:00"/>
    <s v="DZ"/>
    <s v="USD"/>
    <n v="-374694.43"/>
    <n v="-374694.43"/>
    <s v="BDT"/>
    <s v="EGM1"/>
    <n v="-29750737.739999998"/>
    <s v=""/>
    <s v="0000001010"/>
    <s v="424130394855"/>
    <s v=""/>
    <s v=""/>
    <s v="0"/>
    <s v="EXPORT COLLECTION"/>
    <s v=""/>
    <s v=""/>
    <s v=""/>
    <s v=""/>
    <s v=""/>
    <x v="0"/>
    <d v="2016-12-14T00:00:00"/>
    <s v="1609000262"/>
    <d v="2016-12-11T00:00:00"/>
    <s v=""/>
    <s v="1609000259"/>
  </r>
  <r>
    <s v="1609000259"/>
    <d v="2016-12-11T00:00:00"/>
    <d v="2016-12-11T00:00:00"/>
    <s v="DZ"/>
    <s v="USD"/>
    <n v="419194.43"/>
    <n v="419194.43"/>
    <s v="BDT"/>
    <s v="EGM1"/>
    <n v="33284037.739999998"/>
    <s v="E03289WM16US1477E03289WM16US1479"/>
    <s v="0000001010"/>
    <s v="424130394855"/>
    <s v=""/>
    <s v=""/>
    <s v="0"/>
    <s v="EXPORT COLLECTION"/>
    <s v=""/>
    <s v=""/>
    <s v=""/>
    <s v=""/>
    <s v=""/>
    <x v="0"/>
    <d v="2016-12-11T00:00:00"/>
    <s v="1609000259"/>
    <d v="2016-12-11T00:00:00"/>
    <s v=""/>
    <s v="1609000259"/>
  </r>
  <r>
    <s v="1609000260"/>
    <d v="2016-12-11T00:00:00"/>
    <d v="2016-12-11T00:00:00"/>
    <s v="DZ"/>
    <s v="USD"/>
    <n v="-130200"/>
    <n v="-130200"/>
    <s v="BDT"/>
    <s v="EGM2"/>
    <n v="-10337880"/>
    <s v=""/>
    <s v="0000001010"/>
    <s v="424130394891"/>
    <s v=""/>
    <s v=""/>
    <s v="0"/>
    <s v="EXPORT COLLECTION"/>
    <s v=""/>
    <s v=""/>
    <s v=""/>
    <s v=""/>
    <s v=""/>
    <x v="0"/>
    <d v="2016-12-14T00:00:00"/>
    <s v="1609000268"/>
    <d v="2016-12-11T00:00:00"/>
    <s v=""/>
    <s v="1609000260"/>
  </r>
  <r>
    <s v="1609000260"/>
    <d v="2016-12-11T00:00:00"/>
    <d v="2016-12-11T00:00:00"/>
    <s v="DZ"/>
    <s v="USD"/>
    <n v="144300"/>
    <n v="144300"/>
    <s v="BDT"/>
    <s v="EGM2"/>
    <n v="11457420"/>
    <s v="E23239VF16US0233E23258VF16US0230"/>
    <s v="0000001010"/>
    <s v="424130394891"/>
    <s v=""/>
    <s v=""/>
    <s v="0"/>
    <s v="EXPORT COLLECTION"/>
    <s v=""/>
    <s v=""/>
    <s v=""/>
    <s v=""/>
    <s v=""/>
    <x v="0"/>
    <d v="2016-12-11T00:00:00"/>
    <s v="1609000260"/>
    <d v="2016-12-11T00:00:00"/>
    <s v=""/>
    <s v="1609000260"/>
  </r>
  <r>
    <s v="1609000262"/>
    <d v="2016-12-14T00:00:00"/>
    <d v="2016-12-14T00:00:00"/>
    <s v="DZ"/>
    <s v="USD"/>
    <n v="-363894.43"/>
    <n v="-363894.43"/>
    <s v="BDT"/>
    <s v="EGM1"/>
    <n v="-28893217.739999998"/>
    <s v=""/>
    <s v="0000001010"/>
    <s v="424130396087"/>
    <s v=""/>
    <s v=""/>
    <s v="0"/>
    <s v="EXPORT COLLECTION"/>
    <s v=""/>
    <s v=""/>
    <s v=""/>
    <s v=""/>
    <s v=""/>
    <x v="0"/>
    <d v="2016-12-14T00:00:00"/>
    <s v="1609000263"/>
    <d v="2016-12-14T00:00:00"/>
    <s v=""/>
    <s v="1609000262"/>
  </r>
  <r>
    <s v="1609000262"/>
    <d v="2016-12-14T00:00:00"/>
    <d v="2016-12-14T00:00:00"/>
    <s v="DZ"/>
    <s v="USD"/>
    <n v="374694.43"/>
    <n v="374694.43"/>
    <s v="BDT"/>
    <s v="EGM1"/>
    <n v="29750737.739999998"/>
    <s v="E43137DC16US1599"/>
    <s v="0000001010"/>
    <s v="424130396087"/>
    <s v=""/>
    <s v=""/>
    <s v="0"/>
    <s v="EXPORT COLLECTION"/>
    <s v=""/>
    <s v=""/>
    <s v=""/>
    <s v=""/>
    <s v=""/>
    <x v="0"/>
    <d v="2016-12-14T00:00:00"/>
    <s v="1609000262"/>
    <d v="2016-12-14T00:00:00"/>
    <s v=""/>
    <s v="1609000262"/>
  </r>
  <r>
    <s v="1609000263"/>
    <d v="2016-12-14T00:00:00"/>
    <d v="2016-12-14T00:00:00"/>
    <s v="DZ"/>
    <s v="USD"/>
    <n v="-358694.43"/>
    <n v="-358694.43"/>
    <s v="BDT"/>
    <s v="EGM1"/>
    <n v="-28480337.739999998"/>
    <s v=""/>
    <s v="0000001010"/>
    <s v="424130396078"/>
    <s v=""/>
    <s v=""/>
    <s v="0"/>
    <s v="EXPORT COLLECTION"/>
    <s v=""/>
    <s v=""/>
    <s v=""/>
    <s v=""/>
    <s v=""/>
    <x v="0"/>
    <d v="2016-12-14T00:00:00"/>
    <s v="1609000264"/>
    <d v="2016-12-14T00:00:00"/>
    <s v=""/>
    <s v="1609000263"/>
  </r>
  <r>
    <s v="1609000263"/>
    <d v="2016-12-14T00:00:00"/>
    <d v="2016-12-14T00:00:00"/>
    <s v="DZ"/>
    <s v="USD"/>
    <n v="363894.43"/>
    <n v="363894.43"/>
    <s v="BDT"/>
    <s v="EGM1"/>
    <n v="28893217.739999998"/>
    <s v="E03168WM16US1532E03168WM16US1535"/>
    <s v="0000001010"/>
    <s v="424130396078"/>
    <s v=""/>
    <s v=""/>
    <s v="0"/>
    <s v="EXPORT COLLECTION"/>
    <s v=""/>
    <s v=""/>
    <s v=""/>
    <s v=""/>
    <s v=""/>
    <x v="0"/>
    <d v="2016-12-14T00:00:00"/>
    <s v="1609000263"/>
    <d v="2016-12-14T00:00:00"/>
    <s v=""/>
    <s v="1609000263"/>
  </r>
  <r>
    <s v="1609000264"/>
    <d v="2016-12-14T00:00:00"/>
    <d v="2016-12-14T00:00:00"/>
    <s v="DZ"/>
    <s v="USD"/>
    <n v="-302994.43"/>
    <n v="-302994.43"/>
    <s v="BDT"/>
    <s v="EGM1"/>
    <n v="-24057757.739999998"/>
    <s v=""/>
    <s v="0000001010"/>
    <s v="424130396096"/>
    <s v=""/>
    <s v=""/>
    <s v="0"/>
    <s v="EXPORT COLLECTION"/>
    <s v=""/>
    <s v=""/>
    <s v=""/>
    <s v=""/>
    <s v=""/>
    <x v="0"/>
    <d v="2016-12-14T00:00:00"/>
    <s v="1609000265"/>
    <d v="2016-12-14T00:00:00"/>
    <s v=""/>
    <s v="1609000264"/>
  </r>
  <r>
    <s v="1609000264"/>
    <d v="2016-12-14T00:00:00"/>
    <d v="2016-12-14T00:00:00"/>
    <s v="DZ"/>
    <s v="USD"/>
    <n v="358694.43"/>
    <n v="358694.43"/>
    <s v="BDT"/>
    <s v="EGM1"/>
    <n v="28480337.739999998"/>
    <s v="E03168US16-1620E03168US16-1624"/>
    <s v="0000001010"/>
    <s v="424130396096"/>
    <s v=""/>
    <s v=""/>
    <s v="0"/>
    <s v="EXPORT COLLECTION"/>
    <s v=""/>
    <s v=""/>
    <s v=""/>
    <s v=""/>
    <s v=""/>
    <x v="0"/>
    <d v="2016-12-14T00:00:00"/>
    <s v="1609000264"/>
    <d v="2016-12-14T00:00:00"/>
    <s v=""/>
    <s v="1609000264"/>
  </r>
  <r>
    <s v="1609000265"/>
    <d v="2016-12-14T00:00:00"/>
    <d v="2016-12-14T00:00:00"/>
    <s v="DZ"/>
    <s v="USD"/>
    <n v="-293694.43"/>
    <n v="-293694.43"/>
    <s v="BDT"/>
    <s v="EGM1"/>
    <n v="-23319337.739999998"/>
    <s v=""/>
    <s v="0000001010"/>
    <s v="424130396167"/>
    <s v=""/>
    <s v=""/>
    <s v="0"/>
    <s v="EXPORT COLLECTION"/>
    <s v=""/>
    <s v=""/>
    <s v=""/>
    <s v=""/>
    <s v=""/>
    <x v="0"/>
    <d v="2016-12-14T00:00:00"/>
    <s v="1609000266"/>
    <d v="2016-12-14T00:00:00"/>
    <s v=""/>
    <s v="1609000265"/>
  </r>
  <r>
    <s v="1609000265"/>
    <d v="2016-12-14T00:00:00"/>
    <d v="2016-12-14T00:00:00"/>
    <s v="DZ"/>
    <s v="USD"/>
    <n v="302994.43"/>
    <n v="302994.43"/>
    <s v="BDT"/>
    <s v="EGM1"/>
    <n v="24057757.739999998"/>
    <s v="E33265TS16CE1655"/>
    <s v="0000001010"/>
    <s v="424130396167"/>
    <s v=""/>
    <s v=""/>
    <s v="0"/>
    <s v="EXPORT COLLECTION"/>
    <s v=""/>
    <s v=""/>
    <s v=""/>
    <s v=""/>
    <s v=""/>
    <x v="0"/>
    <d v="2016-12-14T00:00:00"/>
    <s v="1609000265"/>
    <d v="2016-12-14T00:00:00"/>
    <s v=""/>
    <s v="1609000265"/>
  </r>
  <r>
    <s v="1609000266"/>
    <d v="2016-12-14T00:00:00"/>
    <d v="2016-12-14T00:00:00"/>
    <s v="DZ"/>
    <s v="USD"/>
    <n v="-26594.43"/>
    <n v="-26594.43"/>
    <s v="BDT"/>
    <s v="EGM1"/>
    <n v="-2111597.7400000002"/>
    <s v=""/>
    <s v="0000001010"/>
    <s v="424130396121"/>
    <s v=""/>
    <s v=""/>
    <s v="0"/>
    <s v="EXPORT COLLECTION"/>
    <s v=""/>
    <s v=""/>
    <s v=""/>
    <s v=""/>
    <s v=""/>
    <x v="0"/>
    <d v="2016-12-14T00:00:00"/>
    <s v="1609000267"/>
    <d v="2016-12-14T00:00:00"/>
    <s v=""/>
    <s v="1609000266"/>
  </r>
  <r>
    <s v="1609000266"/>
    <d v="2016-12-14T00:00:00"/>
    <d v="2016-12-14T00:00:00"/>
    <s v="DZ"/>
    <s v="USD"/>
    <n v="293694.43"/>
    <n v="293694.43"/>
    <s v="BDT"/>
    <s v="EGM1"/>
    <n v="23319337.739999998"/>
    <s v="E03349US16-1616E03349US16-1617"/>
    <s v="0000001010"/>
    <s v="424130396121"/>
    <s v=""/>
    <s v=""/>
    <s v="0"/>
    <s v="EXPORT COLLECTION"/>
    <s v=""/>
    <s v=""/>
    <s v=""/>
    <s v=""/>
    <s v=""/>
    <x v="0"/>
    <d v="2016-12-14T00:00:00"/>
    <s v="1609000266"/>
    <d v="2016-12-14T00:00:00"/>
    <s v=""/>
    <s v="1609000266"/>
  </r>
  <r>
    <s v="1609000267"/>
    <d v="2016-12-14T00:00:00"/>
    <d v="2016-12-14T00:00:00"/>
    <s v="DZ"/>
    <s v="USD"/>
    <n v="-1894.43"/>
    <n v="-1894.43"/>
    <s v="BDT"/>
    <s v="EGM1"/>
    <n v="-150417.74"/>
    <s v=""/>
    <s v="0000001010"/>
    <s v="424130396176"/>
    <s v=""/>
    <s v=""/>
    <s v="0"/>
    <s v="EXPORT COLLECTION"/>
    <s v=""/>
    <s v=""/>
    <s v=""/>
    <s v=""/>
    <s v=""/>
    <x v="0"/>
    <d v="2017-01-01T00:00:00"/>
    <s v="1609000289"/>
    <d v="2016-12-14T00:00:00"/>
    <s v=""/>
    <s v="1609000267"/>
  </r>
  <r>
    <s v="1609000267"/>
    <d v="2016-12-14T00:00:00"/>
    <d v="2016-12-14T00:00:00"/>
    <s v="DZ"/>
    <s v="USD"/>
    <n v="26594.43"/>
    <n v="26594.43"/>
    <s v="BDT"/>
    <s v="EGM1"/>
    <n v="2111597.7400000002"/>
    <s v="E03237WM16CA1586E03237WM16CA1587"/>
    <s v="0000001010"/>
    <s v="424130396176"/>
    <s v=""/>
    <s v=""/>
    <s v="0"/>
    <s v="EXPORT COLLECTION"/>
    <s v=""/>
    <s v=""/>
    <s v=""/>
    <s v=""/>
    <s v=""/>
    <x v="0"/>
    <d v="2016-12-14T00:00:00"/>
    <s v="1609000267"/>
    <d v="2016-12-14T00:00:00"/>
    <s v=""/>
    <s v="1609000267"/>
  </r>
  <r>
    <s v="1609000268"/>
    <d v="2016-12-14T00:00:00"/>
    <d v="2016-12-14T00:00:00"/>
    <s v="DZ"/>
    <s v="USD"/>
    <n v="-27700"/>
    <n v="-27700"/>
    <s v="BDT"/>
    <s v="EGM2"/>
    <n v="-2199380"/>
    <s v=""/>
    <s v="0000001010"/>
    <s v="424130396149"/>
    <s v=""/>
    <s v=""/>
    <s v="0"/>
    <s v="EXPORT COLLECTION"/>
    <s v=""/>
    <s v=""/>
    <s v=""/>
    <s v=""/>
    <s v=""/>
    <x v="0"/>
    <d v="2016-12-20T00:00:00"/>
    <s v="1609000273"/>
    <d v="2016-12-14T00:00:00"/>
    <s v=""/>
    <s v="1609000268"/>
  </r>
  <r>
    <s v="1609000268"/>
    <d v="2016-12-14T00:00:00"/>
    <d v="2016-12-14T00:00:00"/>
    <s v="DZ"/>
    <s v="USD"/>
    <n v="130200"/>
    <n v="130200"/>
    <s v="BDT"/>
    <s v="EGM2"/>
    <n v="10337880"/>
    <s v="E23258VF16US0226E23258VF16US0227"/>
    <s v="0000001010"/>
    <s v="424130396149"/>
    <s v=""/>
    <s v=""/>
    <s v="0"/>
    <s v="EXPORT COLLECTION"/>
    <s v=""/>
    <s v=""/>
    <s v=""/>
    <s v=""/>
    <s v=""/>
    <x v="0"/>
    <d v="2016-12-14T00:00:00"/>
    <s v="1609000268"/>
    <d v="2016-12-14T00:00:00"/>
    <s v=""/>
    <s v="1609000268"/>
  </r>
  <r>
    <s v="1609000269"/>
    <d v="2016-12-15T00:00:00"/>
    <d v="2016-12-15T00:00:00"/>
    <s v="DZ"/>
    <s v="USD"/>
    <n v="-1027200"/>
    <n v="-1027200"/>
    <s v="BDT"/>
    <s v="EGM1"/>
    <n v="-81559680"/>
    <s v="CM ADVANCE"/>
    <s v="0000001010"/>
    <s v="424130396648"/>
    <s v=""/>
    <s v=""/>
    <s v="0"/>
    <s v="CM ADVANCE"/>
    <s v="424130396648"/>
    <s v="EG3-03385"/>
    <s v=""/>
    <s v="424130396648"/>
    <s v=""/>
    <x v="0"/>
    <d v="2016-12-26T00:00:00"/>
    <s v="1609000279"/>
    <d v="2016-12-15T00:00:00"/>
    <s v=""/>
    <s v="1609000269"/>
  </r>
  <r>
    <s v="1609000273"/>
    <d v="2016-12-20T00:00:00"/>
    <d v="2016-12-20T00:00:00"/>
    <s v="DZ"/>
    <s v="USD"/>
    <n v="27700"/>
    <n v="27700"/>
    <s v="BDT"/>
    <s v="EGM2"/>
    <n v="2199380"/>
    <s v="E23258VF16US0224"/>
    <s v="0000001010"/>
    <s v="424130397781"/>
    <s v=""/>
    <s v=""/>
    <s v="0"/>
    <s v="EXPORT COLLECTION"/>
    <s v=""/>
    <s v=""/>
    <s v=""/>
    <s v=""/>
    <s v=""/>
    <x v="0"/>
    <d v="2016-12-20T00:00:00"/>
    <s v="1609000273"/>
    <d v="2016-12-20T00:00:00"/>
    <s v=""/>
    <s v="1609000273"/>
  </r>
  <r>
    <s v="1609000279"/>
    <d v="2016-12-26T00:00:00"/>
    <d v="2016-12-26T00:00:00"/>
    <s v="DZ"/>
    <s v="USD"/>
    <n v="-776500"/>
    <n v="-776500"/>
    <s v="BDT"/>
    <s v="EGM1"/>
    <n v="-61654100"/>
    <s v=""/>
    <s v="0000001010"/>
    <s v="424130400018"/>
    <s v=""/>
    <s v=""/>
    <s v="0"/>
    <s v="EXPORT COLLECTION"/>
    <s v="424130396648"/>
    <s v="EG3-03385"/>
    <s v=""/>
    <s v="424130396648"/>
    <s v=""/>
    <x v="0"/>
    <d v="2016-12-26T00:00:00"/>
    <s v="1609000280"/>
    <d v="2016-12-26T00:00:00"/>
    <s v=""/>
    <s v="1609000279"/>
  </r>
  <r>
    <s v="1609000279"/>
    <d v="2016-12-26T00:00:00"/>
    <d v="2016-12-26T00:00:00"/>
    <s v="DZ"/>
    <s v="USD"/>
    <n v="1027200"/>
    <n v="1027200"/>
    <s v="BDT"/>
    <s v="EGM1"/>
    <n v="81559680"/>
    <s v="E03168US16-1623E03168US16-1632"/>
    <s v="0000001010"/>
    <s v="424130400018"/>
    <s v=""/>
    <s v=""/>
    <s v="0"/>
    <s v="EXPORT COLLECTION"/>
    <s v="424130396648"/>
    <s v="EG3-03385"/>
    <s v=""/>
    <s v="424130396648"/>
    <s v=""/>
    <x v="0"/>
    <d v="2016-12-26T00:00:00"/>
    <s v="1609000279"/>
    <d v="2016-12-26T00:00:00"/>
    <s v=""/>
    <s v="1609000279"/>
  </r>
  <r>
    <s v="1609000280"/>
    <d v="2016-12-26T00:00:00"/>
    <d v="2016-12-26T00:00:00"/>
    <s v="DZ"/>
    <s v="USD"/>
    <n v="-681500"/>
    <n v="-681500"/>
    <s v="BDT"/>
    <s v="EGM1"/>
    <n v="-54111100"/>
    <s v=""/>
    <s v="0000001010"/>
    <s v="424130400009"/>
    <s v=""/>
    <s v=""/>
    <s v="0"/>
    <s v="EXPORT COLLECTION"/>
    <s v="424130396648"/>
    <s v="EG3-03385"/>
    <s v=""/>
    <s v="424130396648"/>
    <s v=""/>
    <x v="0"/>
    <d v="2016-12-26T00:00:00"/>
    <s v="1609000281"/>
    <d v="2016-12-26T00:00:00"/>
    <s v=""/>
    <s v="1609000280"/>
  </r>
  <r>
    <s v="1609000280"/>
    <d v="2016-12-26T00:00:00"/>
    <d v="2016-12-26T00:00:00"/>
    <s v="DZ"/>
    <s v="USD"/>
    <n v="776500"/>
    <n v="776500"/>
    <s v="BDT"/>
    <s v="EGM1"/>
    <n v="61654100"/>
    <s v="E03087WM16US1513E03474WM16US1595"/>
    <s v="0000001010"/>
    <s v="424130400009"/>
    <s v=""/>
    <s v=""/>
    <s v="0"/>
    <s v="EXPORT COLLECTION"/>
    <s v="424130396648"/>
    <s v="EG3-03385"/>
    <s v=""/>
    <s v="424130396648"/>
    <s v=""/>
    <x v="0"/>
    <d v="2016-12-26T00:00:00"/>
    <s v="1609000280"/>
    <d v="2016-12-26T00:00:00"/>
    <s v=""/>
    <s v="1609000280"/>
  </r>
  <r>
    <s v="1609000281"/>
    <d v="2016-12-26T00:00:00"/>
    <d v="2016-12-26T00:00:00"/>
    <s v="DZ"/>
    <s v="USD"/>
    <n v="-264500"/>
    <n v="-264500"/>
    <s v="BDT"/>
    <s v="EGM1"/>
    <n v="-21001300"/>
    <s v=""/>
    <s v="0000001010"/>
    <s v="424130400036"/>
    <s v=""/>
    <s v=""/>
    <s v="0"/>
    <s v="EXPORT COLLECTION"/>
    <s v="424130396648"/>
    <s v="EG3-03385"/>
    <s v=""/>
    <s v="424130396648"/>
    <s v=""/>
    <x v="0"/>
    <d v="2017-01-01T00:00:00"/>
    <s v="1609000289"/>
    <d v="2016-12-26T00:00:00"/>
    <s v=""/>
    <s v="1609000281"/>
  </r>
  <r>
    <s v="1609000281"/>
    <d v="2016-12-26T00:00:00"/>
    <d v="2016-12-26T00:00:00"/>
    <s v="DZ"/>
    <s v="USD"/>
    <n v="681500"/>
    <n v="681500"/>
    <s v="BDT"/>
    <s v="EGM1"/>
    <n v="54111100"/>
    <s v="E03177WM16US1460E03168US16-1621"/>
    <s v="0000001010"/>
    <s v="424130400036"/>
    <s v=""/>
    <s v=""/>
    <s v="0"/>
    <s v="EXPORT COLLECTION"/>
    <s v="424130396648"/>
    <s v="EG3-03385"/>
    <s v=""/>
    <s v="424130396648"/>
    <s v=""/>
    <x v="0"/>
    <d v="2016-12-26T00:00:00"/>
    <s v="1609000281"/>
    <d v="2016-12-26T00:00:00"/>
    <s v=""/>
    <s v="1609000281"/>
  </r>
  <r>
    <s v="1609000283"/>
    <d v="2016-12-29T00:00:00"/>
    <d v="2016-12-29T00:00:00"/>
    <s v="DZ"/>
    <s v="USD"/>
    <n v="-168555.15"/>
    <n v="-168555.15"/>
    <s v="BDT"/>
    <s v="EGM2"/>
    <n v="-13383278.91"/>
    <s v="CM ADVANCE U-2"/>
    <s v="0000001010"/>
    <s v="424130401963"/>
    <s v=""/>
    <s v=""/>
    <s v="0"/>
    <s v="CM ADVANCE U-2"/>
    <s v=""/>
    <s v=""/>
    <s v=""/>
    <s v=""/>
    <s v=""/>
    <x v="0"/>
    <d v="2017-01-24T00:00:00"/>
    <s v="1609000319"/>
    <d v="2016-12-29T00:00:00"/>
    <s v=""/>
    <s v="1609000283"/>
  </r>
  <r>
    <s v="1609000285"/>
    <d v="2016-12-31T00:00:00"/>
    <d v="2016-12-31T00:00:00"/>
    <s v="DZ"/>
    <s v="USD"/>
    <n v="-105.57"/>
    <n v="-105.57"/>
    <s v="BDT"/>
    <s v="EGM1"/>
    <n v="-8234.4599999999991"/>
    <s v="CM ADVANCE"/>
    <s v="0000001010"/>
    <s v="CM ADVANCE"/>
    <s v=""/>
    <s v=""/>
    <s v="0"/>
    <s v="CM ADVANCE"/>
    <s v=""/>
    <s v=""/>
    <s v=""/>
    <s v=""/>
    <s v=""/>
    <x v="0"/>
    <d v="2017-01-01T00:00:00"/>
    <s v="1609000289"/>
    <d v="2016-12-31T00:00:00"/>
    <s v=""/>
    <s v="1609000285"/>
  </r>
  <r>
    <s v="1609000288"/>
    <d v="2016-12-31T00:00:00"/>
    <d v="2016-12-31T00:00:00"/>
    <s v="DZ"/>
    <s v="USD"/>
    <n v="35100.15"/>
    <n v="35100.15"/>
    <s v="BDT"/>
    <s v="EGM1"/>
    <n v="2737811.7"/>
    <s v="Funds in Transit"/>
    <s v="0000001010"/>
    <s v="FUNDS IN TRANSIT"/>
    <s v=""/>
    <s v=""/>
    <s v="0"/>
    <s v="Funds in Transit."/>
    <s v=""/>
    <s v=""/>
    <s v=""/>
    <s v=""/>
    <s v=""/>
    <x v="0"/>
    <d v="2017-01-01T00:00:00"/>
    <s v="1603013872"/>
    <d v="2016-12-31T00:00:00"/>
    <s v=""/>
    <s v="1609000288"/>
  </r>
  <r>
    <s v="1609000289"/>
    <d v="2017-01-01T00:00:00"/>
    <d v="2017-01-01T00:00:00"/>
    <s v="DZ"/>
    <s v="USD"/>
    <n v="-231400"/>
    <n v="-231400"/>
    <s v="BDT"/>
    <s v="EGM1"/>
    <n v="-18049200"/>
    <s v=""/>
    <s v="0000001010"/>
    <s v="424130402294"/>
    <s v=""/>
    <s v=""/>
    <s v="0"/>
    <s v="EXPORT COLLECTION"/>
    <s v=""/>
    <s v=""/>
    <s v=""/>
    <s v=""/>
    <s v=""/>
    <x v="0"/>
    <d v="2017-01-04T00:00:00"/>
    <s v="1609000291"/>
    <d v="2017-01-01T00:00:00"/>
    <s v=""/>
    <s v="1609000289"/>
  </r>
  <r>
    <s v="1609000289"/>
    <d v="2017-01-01T00:00:00"/>
    <d v="2017-01-01T00:00:00"/>
    <s v="DZ"/>
    <s v="USD"/>
    <n v="266500"/>
    <n v="266500"/>
    <s v="BDT"/>
    <s v="EGM1"/>
    <n v="21159952.199999999"/>
    <s v="E43264DC16US1747E03177WM16US1457"/>
    <s v="0000001010"/>
    <s v="424130402294"/>
    <s v=""/>
    <s v=""/>
    <s v="0"/>
    <s v="EXPORT COLLECTION"/>
    <s v=""/>
    <s v=""/>
    <s v=""/>
    <s v=""/>
    <s v=""/>
    <x v="0"/>
    <d v="2017-01-01T00:00:00"/>
    <s v="1609000289"/>
    <d v="2017-01-01T00:00:00"/>
    <s v=""/>
    <s v="1609000289"/>
  </r>
  <r>
    <s v="1609000291"/>
    <d v="2017-01-04T00:00:00"/>
    <d v="2017-01-04T00:00:00"/>
    <s v="DZ"/>
    <s v="USD"/>
    <n v="-97800"/>
    <n v="-97800"/>
    <s v="BDT"/>
    <s v="EGM1"/>
    <n v="-7628400"/>
    <s v=""/>
    <s v="0000001010"/>
    <s v="424130403355"/>
    <s v=""/>
    <s v=""/>
    <s v="0"/>
    <s v="EXPORT COLLECTION"/>
    <s v=""/>
    <s v=""/>
    <s v=""/>
    <s v=""/>
    <s v=""/>
    <x v="0"/>
    <d v="2017-01-04T00:00:00"/>
    <s v="1609000294"/>
    <d v="2017-01-04T00:00:00"/>
    <s v=""/>
    <s v="1609000291"/>
  </r>
  <r>
    <s v="1609000291"/>
    <d v="2017-01-04T00:00:00"/>
    <d v="2017-01-04T00:00:00"/>
    <s v="DZ"/>
    <s v="USD"/>
    <n v="231400"/>
    <n v="231400"/>
    <s v="BDT"/>
    <s v="EGM1"/>
    <n v="18049200"/>
    <s v="E03177WM16US1453E03177WM16US1456"/>
    <s v="0000001010"/>
    <s v="424130403355"/>
    <s v=""/>
    <s v=""/>
    <s v="0"/>
    <s v="EXPORT COLLECTION"/>
    <s v=""/>
    <s v=""/>
    <s v=""/>
    <s v=""/>
    <s v=""/>
    <x v="0"/>
    <d v="2017-01-04T00:00:00"/>
    <s v="1609000291"/>
    <d v="2017-01-04T00:00:00"/>
    <s v=""/>
    <s v="1609000291"/>
  </r>
  <r>
    <s v="1609000294"/>
    <d v="2017-01-04T00:00:00"/>
    <d v="2017-01-04T00:00:00"/>
    <s v="DZ"/>
    <s v="USD"/>
    <n v="-2000"/>
    <n v="-2000"/>
    <s v="BDT"/>
    <s v="EGM1"/>
    <n v="-156000"/>
    <s v=""/>
    <s v="0000001010"/>
    <s v="424130403346"/>
    <s v=""/>
    <s v=""/>
    <s v="0"/>
    <s v="EXPORT COLLECTION"/>
    <s v=""/>
    <s v=""/>
    <s v=""/>
    <s v=""/>
    <s v=""/>
    <x v="0"/>
    <d v="2017-01-17T00:00:00"/>
    <s v="1609000306"/>
    <d v="2017-01-04T00:00:00"/>
    <s v=""/>
    <s v="1609000294"/>
  </r>
  <r>
    <s v="1609000294"/>
    <d v="2017-01-04T00:00:00"/>
    <d v="2017-01-04T00:00:00"/>
    <s v="DZ"/>
    <s v="USD"/>
    <n v="97800"/>
    <n v="97800"/>
    <s v="BDT"/>
    <s v="EGM1"/>
    <n v="7628400"/>
    <s v="E03497US16-1667E03367US16-1669"/>
    <s v="0000001010"/>
    <s v="424130403346"/>
    <s v=""/>
    <s v=""/>
    <s v="0"/>
    <s v="EXPORT COLLECTION"/>
    <s v=""/>
    <s v=""/>
    <s v=""/>
    <s v=""/>
    <s v=""/>
    <x v="0"/>
    <d v="2017-01-04T00:00:00"/>
    <s v="1609000294"/>
    <d v="2017-01-04T00:00:00"/>
    <s v=""/>
    <s v="1609000294"/>
  </r>
  <r>
    <s v="1609000295"/>
    <d v="2017-01-04T00:00:00"/>
    <d v="2017-01-04T00:00:00"/>
    <s v="DZ"/>
    <s v="USD"/>
    <n v="-998200"/>
    <n v="-998200"/>
    <s v="BDT"/>
    <s v="EGM1"/>
    <n v="-77859600"/>
    <s v="CM ADVANCE"/>
    <s v="0000001010"/>
    <s v="CM ADVANCE"/>
    <s v=""/>
    <s v=""/>
    <s v="0"/>
    <s v="CM ADVANCE"/>
    <s v=""/>
    <s v=""/>
    <s v=""/>
    <s v=""/>
    <s v=""/>
    <x v="0"/>
    <d v="2017-01-09T00:00:00"/>
    <s v="1609000297"/>
    <d v="2017-01-04T00:00:00"/>
    <s v=""/>
    <s v="1609000295"/>
  </r>
  <r>
    <s v="1609000297"/>
    <d v="2017-01-09T00:00:00"/>
    <d v="2017-01-09T00:00:00"/>
    <s v="DZ"/>
    <s v="USD"/>
    <n v="-894100"/>
    <n v="-894100"/>
    <s v="BDT"/>
    <s v="EGM1"/>
    <n v="-69739800"/>
    <s v=""/>
    <s v="0000001010"/>
    <s v="424130405665"/>
    <s v=""/>
    <s v=""/>
    <s v="0"/>
    <s v="EXPORT COLLECTION"/>
    <s v=""/>
    <s v=""/>
    <s v=""/>
    <s v=""/>
    <s v=""/>
    <x v="0"/>
    <d v="2017-01-09T00:00:00"/>
    <s v="1609000298"/>
    <d v="2017-01-09T00:00:00"/>
    <s v=""/>
    <s v="1609000297"/>
  </r>
  <r>
    <s v="1609000297"/>
    <d v="2017-01-09T00:00:00"/>
    <d v="2017-01-09T00:00:00"/>
    <s v="DZ"/>
    <s v="USD"/>
    <n v="998200"/>
    <n v="998200"/>
    <s v="BDT"/>
    <s v="EGM1"/>
    <n v="77859600"/>
    <s v="E33265TS16CE1606E33265TS16CE1609"/>
    <s v="0000001010"/>
    <s v="424130405665"/>
    <s v=""/>
    <s v=""/>
    <s v="0"/>
    <s v="EXPORT COLLECTION"/>
    <s v=""/>
    <s v=""/>
    <s v=""/>
    <s v=""/>
    <s v=""/>
    <x v="0"/>
    <d v="2017-01-09T00:00:00"/>
    <s v="1609000297"/>
    <d v="2017-01-09T00:00:00"/>
    <s v=""/>
    <s v="1609000297"/>
  </r>
  <r>
    <s v="1609000298"/>
    <d v="2017-01-09T00:00:00"/>
    <d v="2017-01-09T00:00:00"/>
    <s v="DZ"/>
    <s v="USD"/>
    <n v="-850700"/>
    <n v="-850700"/>
    <s v="BDT"/>
    <s v="EGM1"/>
    <n v="-66354600"/>
    <s v=""/>
    <s v="0000001010"/>
    <s v="424130405674"/>
    <s v=""/>
    <s v=""/>
    <s v="0"/>
    <s v="EXPORT COLLECTION"/>
    <s v=""/>
    <s v=""/>
    <s v=""/>
    <s v=""/>
    <s v=""/>
    <x v="0"/>
    <d v="2017-01-10T00:00:00"/>
    <s v="1609000299"/>
    <d v="2017-01-09T00:00:00"/>
    <s v=""/>
    <s v="1609000298"/>
  </r>
  <r>
    <s v="1609000298"/>
    <d v="2017-01-09T00:00:00"/>
    <d v="2017-01-09T00:00:00"/>
    <s v="DZ"/>
    <s v="USD"/>
    <n v="894100"/>
    <n v="894100"/>
    <s v="BDT"/>
    <s v="EGM1"/>
    <n v="69739800"/>
    <s v="E03177WM16US1455E03176WM16US1506"/>
    <s v="0000001010"/>
    <s v="424130405674"/>
    <s v=""/>
    <s v=""/>
    <s v="0"/>
    <s v="EXPORT COLLECTION"/>
    <s v=""/>
    <s v=""/>
    <s v=""/>
    <s v=""/>
    <s v=""/>
    <x v="0"/>
    <d v="2017-01-09T00:00:00"/>
    <s v="1609000298"/>
    <d v="2017-01-09T00:00:00"/>
    <s v=""/>
    <s v="1609000298"/>
  </r>
  <r>
    <s v="1609000299"/>
    <d v="2017-01-10T00:00:00"/>
    <d v="2017-01-10T00:00:00"/>
    <s v="DZ"/>
    <s v="USD"/>
    <n v="-843000"/>
    <n v="-843000"/>
    <s v="BDT"/>
    <s v="EGM1"/>
    <n v="-65754000"/>
    <s v=""/>
    <s v="0000001010"/>
    <s v="424130405852"/>
    <s v=""/>
    <s v=""/>
    <s v="0"/>
    <s v="EXPORT COLLECTION"/>
    <s v=""/>
    <s v=""/>
    <s v=""/>
    <s v=""/>
    <s v=""/>
    <x v="0"/>
    <d v="2017-01-11T00:00:00"/>
    <s v="1609000301"/>
    <d v="2017-01-10T00:00:00"/>
    <s v=""/>
    <s v="1609000299"/>
  </r>
  <r>
    <s v="1609000299"/>
    <d v="2017-01-10T00:00:00"/>
    <d v="2017-01-10T00:00:00"/>
    <s v="DZ"/>
    <s v="USD"/>
    <n v="850700"/>
    <n v="850700"/>
    <s v="BDT"/>
    <s v="EGM1"/>
    <n v="66354600"/>
    <s v="E43151DC16US1748"/>
    <s v="0000001010"/>
    <s v="424130405852"/>
    <s v=""/>
    <s v=""/>
    <s v="0"/>
    <s v="EXPORT COLLECTION"/>
    <s v=""/>
    <s v=""/>
    <s v=""/>
    <s v=""/>
    <s v=""/>
    <x v="0"/>
    <d v="2017-01-10T00:00:00"/>
    <s v="1609000299"/>
    <d v="2017-01-10T00:00:00"/>
    <s v=""/>
    <s v="1609000299"/>
  </r>
  <r>
    <s v="1609000301"/>
    <d v="2017-01-11T00:00:00"/>
    <d v="2017-01-11T00:00:00"/>
    <s v="DZ"/>
    <s v="USD"/>
    <n v="-508800"/>
    <n v="-508800"/>
    <s v="BDT"/>
    <s v="EGM1"/>
    <n v="-39686400"/>
    <s v=""/>
    <s v="0000001010"/>
    <s v="424130406165"/>
    <s v=""/>
    <s v=""/>
    <s v="0"/>
    <s v="EXPORT COLLECTION"/>
    <s v=""/>
    <s v=""/>
    <s v=""/>
    <s v=""/>
    <s v=""/>
    <x v="0"/>
    <d v="2017-01-11T00:00:00"/>
    <s v="1609000302"/>
    <d v="2017-01-11T00:00:00"/>
    <s v=""/>
    <s v="1609000301"/>
  </r>
  <r>
    <s v="1609000301"/>
    <d v="2017-01-11T00:00:00"/>
    <d v="2017-01-11T00:00:00"/>
    <s v="DZ"/>
    <s v="USD"/>
    <n v="843000"/>
    <n v="843000"/>
    <s v="BDT"/>
    <s v="EGM1"/>
    <n v="65754000"/>
    <s v="E03423US16-1733E03256US16-1721"/>
    <s v="0000001010"/>
    <s v="424130406165"/>
    <s v=""/>
    <s v=""/>
    <s v="0"/>
    <s v="EXPORT COLLECTION"/>
    <s v=""/>
    <s v=""/>
    <s v=""/>
    <s v=""/>
    <s v=""/>
    <x v="0"/>
    <d v="2017-01-11T00:00:00"/>
    <s v="1609000301"/>
    <d v="2017-01-11T00:00:00"/>
    <s v=""/>
    <s v="1609000301"/>
  </r>
  <r>
    <s v="1609000302"/>
    <d v="2017-01-11T00:00:00"/>
    <d v="2017-01-11T00:00:00"/>
    <s v="DZ"/>
    <s v="USD"/>
    <n v="-432600"/>
    <n v="-432600"/>
    <s v="BDT"/>
    <s v="EGM1"/>
    <n v="-33742800"/>
    <s v=""/>
    <s v="0000001010"/>
    <s v="424130406227"/>
    <s v=""/>
    <s v=""/>
    <s v="0"/>
    <s v="EXPORT COLLECTION"/>
    <s v=""/>
    <s v=""/>
    <s v=""/>
    <s v=""/>
    <s v=""/>
    <x v="0"/>
    <d v="2017-01-12T00:00:00"/>
    <s v="1609000303"/>
    <d v="2017-01-11T00:00:00"/>
    <s v=""/>
    <s v="1609000302"/>
  </r>
  <r>
    <s v="1609000302"/>
    <d v="2017-01-11T00:00:00"/>
    <d v="2017-01-11T00:00:00"/>
    <s v="DZ"/>
    <s v="USD"/>
    <n v="508800"/>
    <n v="508800"/>
    <s v="BDT"/>
    <s v="EGM1"/>
    <n v="39686400"/>
    <s v="E33135TC16US1727E33273TC16US1726"/>
    <s v="0000001010"/>
    <s v="424130406227"/>
    <s v=""/>
    <s v=""/>
    <s v="0"/>
    <s v="EXPORT COLLECTION"/>
    <s v=""/>
    <s v=""/>
    <s v=""/>
    <s v=""/>
    <s v=""/>
    <x v="0"/>
    <d v="2017-01-11T00:00:00"/>
    <s v="1609000302"/>
    <d v="2017-01-11T00:00:00"/>
    <s v=""/>
    <s v="1609000302"/>
  </r>
  <r>
    <s v="1609000303"/>
    <d v="2017-01-12T00:00:00"/>
    <d v="2017-01-12T00:00:00"/>
    <s v="DZ"/>
    <s v="USD"/>
    <n v="-115600"/>
    <n v="-115600"/>
    <s v="BDT"/>
    <s v="EGM1"/>
    <n v="-9016800"/>
    <s v=""/>
    <s v="0000001010"/>
    <s v="424130406600"/>
    <s v=""/>
    <s v=""/>
    <s v="0"/>
    <s v="EXPORT COLLECTION"/>
    <s v=""/>
    <s v=""/>
    <s v=""/>
    <s v=""/>
    <s v=""/>
    <x v="0"/>
    <d v="2017-01-17T00:00:00"/>
    <s v="1609000304"/>
    <d v="2017-01-12T00:00:00"/>
    <s v=""/>
    <s v="1609000303"/>
  </r>
  <r>
    <s v="1609000303"/>
    <d v="2017-01-12T00:00:00"/>
    <d v="2017-01-12T00:00:00"/>
    <s v="DZ"/>
    <s v="USD"/>
    <n v="432600"/>
    <n v="432600"/>
    <s v="BDT"/>
    <s v="EGM1"/>
    <n v="33742800"/>
    <s v="E03509US16-1734E03394US16-1752"/>
    <s v="0000001010"/>
    <s v="424130406600"/>
    <s v=""/>
    <s v=""/>
    <s v="0"/>
    <s v="EXPORT COLLECTION"/>
    <s v=""/>
    <s v=""/>
    <s v=""/>
    <s v=""/>
    <s v=""/>
    <x v="0"/>
    <d v="2017-01-12T00:00:00"/>
    <s v="1609000303"/>
    <d v="2017-01-12T00:00:00"/>
    <s v=""/>
    <s v="1609000303"/>
  </r>
  <r>
    <s v="1609000304"/>
    <d v="2017-01-17T00:00:00"/>
    <d v="2017-01-17T00:00:00"/>
    <s v="DZ"/>
    <s v="USD"/>
    <n v="-109100"/>
    <n v="-109100"/>
    <s v="BDT"/>
    <s v="EGM1"/>
    <n v="-8509800"/>
    <s v=""/>
    <s v="0000001010"/>
    <s v="424130408127"/>
    <s v=""/>
    <s v=""/>
    <s v="0"/>
    <s v="EXPORT COLLECTION"/>
    <s v=""/>
    <s v=""/>
    <s v=""/>
    <s v=""/>
    <s v=""/>
    <x v="0"/>
    <d v="2017-01-17T00:00:00"/>
    <s v="1609000305"/>
    <d v="2017-01-17T00:00:00"/>
    <s v=""/>
    <s v="1609000304"/>
  </r>
  <r>
    <s v="1609000304"/>
    <d v="2017-01-17T00:00:00"/>
    <d v="2017-01-17T00:00:00"/>
    <s v="DZ"/>
    <s v="USD"/>
    <n v="115600"/>
    <n v="115600"/>
    <s v="BDT"/>
    <s v="EGM1"/>
    <n v="9016800"/>
    <s v="E43337SB16UK1793E33385TS16CE1794"/>
    <s v="0000001010"/>
    <s v="424130408127"/>
    <s v=""/>
    <s v=""/>
    <s v="0"/>
    <s v="EXPORT COLLECTION"/>
    <s v=""/>
    <s v=""/>
    <s v=""/>
    <s v=""/>
    <s v=""/>
    <x v="0"/>
    <d v="2017-01-17T00:00:00"/>
    <s v="1609000304"/>
    <d v="2017-01-17T00:00:00"/>
    <s v=""/>
    <s v="1609000304"/>
  </r>
  <r>
    <s v="1609000305"/>
    <d v="2017-01-17T00:00:00"/>
    <d v="2017-01-17T00:00:00"/>
    <s v="DZ"/>
    <s v="USD"/>
    <n v="-9700"/>
    <n v="-9700"/>
    <s v="BDT"/>
    <s v="EGM1"/>
    <n v="-756600"/>
    <s v=""/>
    <s v="0000001010"/>
    <s v="424130408118"/>
    <s v=""/>
    <s v=""/>
    <s v="0"/>
    <s v="EXPORT COLLECTION"/>
    <s v=""/>
    <s v=""/>
    <s v=""/>
    <s v=""/>
    <s v=""/>
    <x v="0"/>
    <d v="2017-01-17T00:00:00"/>
    <s v="1609000306"/>
    <d v="2017-01-17T00:00:00"/>
    <s v=""/>
    <s v="1609000305"/>
  </r>
  <r>
    <s v="1609000305"/>
    <d v="2017-01-17T00:00:00"/>
    <d v="2017-01-17T00:00:00"/>
    <s v="DZ"/>
    <s v="USD"/>
    <n v="109100"/>
    <n v="109100"/>
    <s v="BDT"/>
    <s v="EGM1"/>
    <n v="8509800"/>
    <s v="E03176WM16US1566E03176WM16US1567"/>
    <s v="0000001010"/>
    <s v="424130408118"/>
    <s v=""/>
    <s v=""/>
    <s v="0"/>
    <s v="EXPORT COLLECTION"/>
    <s v=""/>
    <s v=""/>
    <s v=""/>
    <s v=""/>
    <s v=""/>
    <x v="0"/>
    <d v="2017-01-17T00:00:00"/>
    <s v="1609000305"/>
    <d v="2017-01-17T00:00:00"/>
    <s v=""/>
    <s v="1609000305"/>
  </r>
  <r>
    <s v="1609000306"/>
    <d v="2017-01-17T00:00:00"/>
    <d v="2017-01-17T00:00:00"/>
    <s v="DZ"/>
    <s v="USD"/>
    <n v="11700"/>
    <n v="11700"/>
    <s v="BDT"/>
    <s v="EGM1"/>
    <n v="912600"/>
    <s v="E33385TS16CE1795"/>
    <s v="0000001010"/>
    <s v="424130408136"/>
    <s v=""/>
    <s v=""/>
    <s v="0"/>
    <s v="EXPORT COLLECTION"/>
    <s v=""/>
    <s v=""/>
    <s v=""/>
    <s v=""/>
    <s v=""/>
    <x v="0"/>
    <d v="2017-01-17T00:00:00"/>
    <s v="1609000306"/>
    <d v="2017-01-17T00:00:00"/>
    <s v=""/>
    <s v="1609000306"/>
  </r>
  <r>
    <s v="1609000310"/>
    <d v="2017-01-23T00:00:00"/>
    <d v="2017-01-23T00:00:00"/>
    <s v="DZ"/>
    <s v="USD"/>
    <n v="-455704"/>
    <n v="-455704"/>
    <s v="BDT"/>
    <s v="EGM1"/>
    <n v="-35544912"/>
    <s v="CM ADVANCE"/>
    <s v="0000001010"/>
    <s v="424130411337"/>
    <s v=""/>
    <s v=""/>
    <s v="0"/>
    <s v="CM ADVANCE"/>
    <s v=""/>
    <s v=""/>
    <s v=""/>
    <s v=""/>
    <s v=""/>
    <x v="0"/>
    <d v="2017-01-29T00:00:00"/>
    <s v="1609000329"/>
    <d v="2017-01-23T00:00:00"/>
    <s v=""/>
    <s v="1609000310"/>
  </r>
  <r>
    <s v="1609000319"/>
    <d v="2017-01-24T00:00:00"/>
    <d v="2017-01-24T00:00:00"/>
    <s v="DZ"/>
    <s v="USD"/>
    <n v="-159630.15"/>
    <n v="-159630.15"/>
    <s v="BDT"/>
    <s v="EGM2"/>
    <n v="-12451151.699999999"/>
    <s v=""/>
    <s v="0000001010"/>
    <s v="424130412210"/>
    <s v=""/>
    <s v=""/>
    <s v="0"/>
    <s v="EXPORTCOLLECTION"/>
    <s v=""/>
    <s v=""/>
    <s v=""/>
    <s v=""/>
    <s v=""/>
    <x v="0"/>
    <d v="2017-01-24T00:00:00"/>
    <s v="1609000320"/>
    <d v="2017-01-24T00:00:00"/>
    <s v=""/>
    <s v="1609000319"/>
  </r>
  <r>
    <s v="1609000319"/>
    <d v="2017-01-24T00:00:00"/>
    <d v="2017-01-24T00:00:00"/>
    <s v="DZ"/>
    <s v="USD"/>
    <n v="168555.15"/>
    <n v="168555.15"/>
    <s v="BDT"/>
    <s v="EGM2"/>
    <n v="13383278.91"/>
    <s v="E22549CA17TL0001"/>
    <s v="0000001010"/>
    <s v="424130412210"/>
    <s v=""/>
    <s v=""/>
    <s v="0"/>
    <s v="EXPORTCOLLECTION"/>
    <s v=""/>
    <s v=""/>
    <s v=""/>
    <s v=""/>
    <s v=""/>
    <x v="0"/>
    <d v="2017-01-24T00:00:00"/>
    <s v="1609000319"/>
    <d v="2017-01-24T00:00:00"/>
    <s v=""/>
    <s v="1609000319"/>
  </r>
  <r>
    <s v="1609000320"/>
    <d v="2017-01-09T00:00:00"/>
    <d v="2017-01-09T00:00:00"/>
    <s v="DZ"/>
    <s v="USD"/>
    <n v="-155177.15"/>
    <n v="-155177.15"/>
    <s v="BDT"/>
    <s v="EGM2"/>
    <n v="-12103817.699999999"/>
    <s v=""/>
    <s v="0000001010"/>
    <s v="424130405683"/>
    <s v=""/>
    <s v=""/>
    <s v="0"/>
    <s v="EXPORTCOLLECTION"/>
    <s v=""/>
    <s v=""/>
    <s v=""/>
    <s v=""/>
    <s v=""/>
    <x v="0"/>
    <d v="2017-01-11T00:00:00"/>
    <s v="1609000321"/>
    <d v="2017-01-09T00:00:00"/>
    <s v=""/>
    <s v="1609000320"/>
  </r>
  <r>
    <s v="1609000320"/>
    <d v="2017-01-09T00:00:00"/>
    <d v="2017-01-09T00:00:00"/>
    <s v="DZ"/>
    <s v="USD"/>
    <n v="159630.15"/>
    <n v="159630.15"/>
    <s v="BDT"/>
    <s v="EGM2"/>
    <n v="12451151.699999999"/>
    <s v="E23307VF16US0191"/>
    <s v="0000001010"/>
    <s v="424130405683"/>
    <s v=""/>
    <s v=""/>
    <s v="0"/>
    <s v="EXPORTCOLLECTION"/>
    <s v=""/>
    <s v=""/>
    <s v=""/>
    <s v=""/>
    <s v=""/>
    <x v="0"/>
    <d v="2017-01-24T00:00:00"/>
    <s v="1609000320"/>
    <d v="2017-01-09T00:00:00"/>
    <s v=""/>
    <s v="1609000320"/>
  </r>
  <r>
    <s v="1609000321"/>
    <d v="2017-01-11T00:00:00"/>
    <d v="2017-01-11T00:00:00"/>
    <s v="DZ"/>
    <s v="USD"/>
    <n v="-35269.15"/>
    <n v="-35269.15"/>
    <s v="BDT"/>
    <s v="EGM2"/>
    <n v="-2750993.7"/>
    <s v=""/>
    <s v="0000001010"/>
    <s v="424130406147"/>
    <s v=""/>
    <s v=""/>
    <s v="0"/>
    <s v="EXPORTCOLLECTION"/>
    <s v=""/>
    <s v=""/>
    <s v=""/>
    <s v=""/>
    <s v=""/>
    <x v="0"/>
    <d v="2017-01-23T00:00:00"/>
    <s v="1609000325"/>
    <d v="2017-01-11T00:00:00"/>
    <s v=""/>
    <s v="1609000321"/>
  </r>
  <r>
    <s v="1609000321"/>
    <d v="2017-01-11T00:00:00"/>
    <d v="2017-01-11T00:00:00"/>
    <s v="DZ"/>
    <s v="USD"/>
    <n v="155177.15"/>
    <n v="155177.15"/>
    <s v="BDT"/>
    <s v="EGM2"/>
    <n v="12103817.699999999"/>
    <s v="E23239VF16US0245E23258VF16US0244"/>
    <s v="0000001010"/>
    <s v="424130406147"/>
    <s v=""/>
    <s v=""/>
    <s v="0"/>
    <s v="EXPORTCOLLECTION"/>
    <s v=""/>
    <s v=""/>
    <s v=""/>
    <s v=""/>
    <s v=""/>
    <x v="0"/>
    <d v="2017-01-11T00:00:00"/>
    <s v="1609000321"/>
    <d v="2017-01-11T00:00:00"/>
    <s v=""/>
    <s v="1609000321"/>
  </r>
  <r>
    <s v="1609000324"/>
    <d v="2017-01-09T00:00:00"/>
    <d v="2017-01-09T00:00:00"/>
    <s v="DZ"/>
    <s v="USD"/>
    <n v="-179793"/>
    <n v="-179793"/>
    <s v="BDT"/>
    <s v="EGM2"/>
    <n v="-14023854"/>
    <s v="CMADVANCE"/>
    <s v="0000001010"/>
    <s v="424130405692"/>
    <s v=""/>
    <s v=""/>
    <s v="0"/>
    <s v="CMADVANCE"/>
    <s v=""/>
    <s v=""/>
    <s v=""/>
    <s v=""/>
    <s v=""/>
    <x v="0"/>
    <d v="2017-01-23T00:00:00"/>
    <s v="1609000325"/>
    <d v="2017-01-09T00:00:00"/>
    <s v=""/>
    <s v="1609000324"/>
  </r>
  <r>
    <s v="1609000325"/>
    <d v="2017-01-23T00:00:00"/>
    <d v="2017-01-23T00:00:00"/>
    <s v="DZ"/>
    <s v="USD"/>
    <n v="-106096.15"/>
    <n v="-106096.15"/>
    <s v="BDT"/>
    <s v="EGM2"/>
    <n v="-8275499.7000000002"/>
    <s v=""/>
    <s v="0000001010"/>
    <s v="424130411364"/>
    <s v=""/>
    <s v=""/>
    <s v="0"/>
    <s v="EXPORTCOLLECTION"/>
    <s v=""/>
    <s v=""/>
    <s v=""/>
    <s v=""/>
    <s v=""/>
    <x v="0"/>
    <d v="2017-01-23T00:00:00"/>
    <s v="1609000326"/>
    <d v="2017-01-23T00:00:00"/>
    <s v=""/>
    <s v="1609000325"/>
  </r>
  <r>
    <s v="1609000325"/>
    <d v="2017-01-23T00:00:00"/>
    <d v="2017-01-23T00:00:00"/>
    <s v="DZ"/>
    <s v="USD"/>
    <n v="215062.15"/>
    <n v="215062.15"/>
    <s v="BDT"/>
    <s v="EGM2"/>
    <n v="16774847.699999999"/>
    <s v="E23209VF17US0003"/>
    <s v="0000001010"/>
    <s v="424130411364"/>
    <s v=""/>
    <s v=""/>
    <s v="0"/>
    <s v="EXPORTCOLLECTION"/>
    <s v=""/>
    <s v=""/>
    <s v=""/>
    <s v=""/>
    <s v=""/>
    <x v="0"/>
    <d v="2017-01-23T00:00:00"/>
    <s v="1609000325"/>
    <d v="2017-01-23T00:00:00"/>
    <s v=""/>
    <s v="1609000325"/>
  </r>
  <r>
    <s v="1609000326"/>
    <d v="2017-01-05T00:00:00"/>
    <d v="2017-01-05T00:00:00"/>
    <s v="DZ"/>
    <s v="USD"/>
    <n v="-61901.15"/>
    <n v="-61901.15"/>
    <s v="BDT"/>
    <s v="EGM2"/>
    <n v="-4828289.7"/>
    <s v=""/>
    <s v="0000001010"/>
    <s v="424130404050"/>
    <s v=""/>
    <s v=""/>
    <s v="0"/>
    <s v="EXPORTCOLLECTION"/>
    <s v=""/>
    <s v=""/>
    <s v=""/>
    <s v=""/>
    <s v=""/>
    <x v="0"/>
    <d v="2017-01-30T00:00:00"/>
    <s v="1609000331"/>
    <d v="2017-01-05T00:00:00"/>
    <s v=""/>
    <s v="1609000326"/>
  </r>
  <r>
    <s v="1609000326"/>
    <d v="2017-01-05T00:00:00"/>
    <d v="2017-01-05T00:00:00"/>
    <s v="DZ"/>
    <s v="USD"/>
    <n v="106096.15"/>
    <n v="106096.15"/>
    <s v="BDT"/>
    <s v="EGM2"/>
    <n v="8275499.7000000002"/>
    <s v="E23258VF16US0241"/>
    <s v="0000001010"/>
    <s v="424130404050"/>
    <s v=""/>
    <s v=""/>
    <s v="0"/>
    <s v="EXPORTCOLLECTION"/>
    <s v=""/>
    <s v=""/>
    <s v=""/>
    <s v=""/>
    <s v=""/>
    <x v="0"/>
    <d v="2017-01-23T00:00:00"/>
    <s v="1609000326"/>
    <d v="2017-01-05T00:00:00"/>
    <s v=""/>
    <s v="1609000326"/>
  </r>
  <r>
    <s v="1609000329"/>
    <d v="2017-01-29T00:00:00"/>
    <d v="2017-01-29T00:00:00"/>
    <s v="DZ"/>
    <s v="USD"/>
    <n v="-448481"/>
    <n v="-448481"/>
    <s v="BDT"/>
    <s v="EGM1"/>
    <n v="-34981518"/>
    <s v=""/>
    <s v="0000001010"/>
    <s v="424130413399"/>
    <s v=""/>
    <s v=""/>
    <s v="0"/>
    <s v="EXPORTCOLLECTION"/>
    <s v=""/>
    <s v=""/>
    <s v=""/>
    <s v=""/>
    <s v=""/>
    <x v="0"/>
    <d v="2017-01-29T00:00:00"/>
    <s v="1609000330"/>
    <d v="2017-01-29T00:00:00"/>
    <s v=""/>
    <s v="1609000329"/>
  </r>
  <r>
    <s v="1609000329"/>
    <d v="2017-01-29T00:00:00"/>
    <d v="2017-01-29T00:00:00"/>
    <s v="DZ"/>
    <s v="USD"/>
    <n v="455704"/>
    <n v="455704"/>
    <s v="BDT"/>
    <s v="EGM1"/>
    <n v="35544912"/>
    <s v="E33425TC17US0024E33435TC17US0025"/>
    <s v="0000001010"/>
    <s v="424130413399"/>
    <s v=""/>
    <s v=""/>
    <s v="0"/>
    <s v="EXPORTCOLLECTION"/>
    <s v=""/>
    <s v=""/>
    <s v=""/>
    <s v=""/>
    <s v=""/>
    <x v="0"/>
    <d v="2017-01-29T00:00:00"/>
    <s v="1609000329"/>
    <d v="2017-01-29T00:00:00"/>
    <s v=""/>
    <s v="1609000329"/>
  </r>
  <r>
    <s v="1609000330"/>
    <d v="2017-01-29T00:00:00"/>
    <d v="2017-01-29T00:00:00"/>
    <s v="DZ"/>
    <s v="USD"/>
    <n v="-175411"/>
    <n v="-175411"/>
    <s v="BDT"/>
    <s v="EGM1"/>
    <n v="-13682058"/>
    <s v=""/>
    <s v="0000001010"/>
    <s v="424130413371"/>
    <s v=""/>
    <s v=""/>
    <s v="0"/>
    <s v="EXPORTCOLLECTION"/>
    <s v=""/>
    <s v=""/>
    <s v=""/>
    <s v=""/>
    <s v=""/>
    <x v="0"/>
    <d v="2017-01-30T00:00:00"/>
    <s v="1609000332"/>
    <d v="2017-01-29T00:00:00"/>
    <s v=""/>
    <s v="1609000330"/>
  </r>
  <r>
    <s v="1609000330"/>
    <d v="2017-01-29T00:00:00"/>
    <d v="2017-01-29T00:00:00"/>
    <s v="DZ"/>
    <s v="USD"/>
    <n v="448481"/>
    <n v="448481"/>
    <s v="BDT"/>
    <s v="EGM1"/>
    <n v="34981518"/>
    <s v="E03438US16-1801E03439US16-1787"/>
    <s v="0000001010"/>
    <s v="424130413371"/>
    <s v=""/>
    <s v=""/>
    <s v="0"/>
    <s v="EXPORTCOLLECTION"/>
    <s v=""/>
    <s v=""/>
    <s v=""/>
    <s v=""/>
    <s v=""/>
    <x v="0"/>
    <d v="2017-01-29T00:00:00"/>
    <s v="1609000330"/>
    <d v="2017-01-29T00:00:00"/>
    <s v=""/>
    <s v="1609000330"/>
  </r>
  <r>
    <s v="1609000331"/>
    <d v="2017-01-30T00:00:00"/>
    <d v="2017-01-30T00:00:00"/>
    <s v="DZ"/>
    <s v="USD"/>
    <n v="-45459.15"/>
    <n v="-45459.15"/>
    <s v="BDT"/>
    <s v="EGM2"/>
    <n v="-3545813.7"/>
    <s v=""/>
    <s v="0000001010"/>
    <s v="424130413380"/>
    <s v=""/>
    <s v=""/>
    <s v="0"/>
    <s v="EXPORTCOLLECTION"/>
    <s v=""/>
    <s v=""/>
    <s v=""/>
    <s v=""/>
    <s v=""/>
    <x v="0"/>
    <d v="2017-02-07T00:00:00"/>
    <s v="1609000364"/>
    <d v="2017-01-30T00:00:00"/>
    <s v=""/>
    <s v="1609000331"/>
  </r>
  <r>
    <s v="1609000331"/>
    <d v="2017-01-30T00:00:00"/>
    <d v="2017-01-30T00:00:00"/>
    <s v="DZ"/>
    <s v="USD"/>
    <n v="61901.15"/>
    <n v="61901.15"/>
    <s v="BDT"/>
    <s v="EGM2"/>
    <n v="4828289.7"/>
    <s v="E23259VF17US0006"/>
    <s v="0000001010"/>
    <s v="424130413380"/>
    <s v=""/>
    <s v=""/>
    <s v="0"/>
    <s v="EXPORTCOLLECTION"/>
    <s v=""/>
    <s v=""/>
    <s v=""/>
    <s v=""/>
    <s v=""/>
    <x v="0"/>
    <d v="2017-01-30T00:00:00"/>
    <s v="1609000331"/>
    <d v="2017-01-30T00:00:00"/>
    <s v=""/>
    <s v="1609000331"/>
  </r>
  <r>
    <s v="1609000332"/>
    <d v="2017-01-30T00:00:00"/>
    <d v="2017-01-30T00:00:00"/>
    <s v="DZ"/>
    <s v="USD"/>
    <n v="-168463"/>
    <n v="-168463"/>
    <s v="BDT"/>
    <s v="EGM1"/>
    <n v="-13140114"/>
    <s v=""/>
    <s v="0000001010"/>
    <s v="424130413781"/>
    <s v=""/>
    <s v=""/>
    <s v="0"/>
    <s v="EXPORTCOLLECTION"/>
    <s v=""/>
    <s v=""/>
    <s v=""/>
    <s v=""/>
    <s v=""/>
    <x v="0"/>
    <d v="2017-01-30T00:00:00"/>
    <s v="1609000333"/>
    <d v="2017-01-30T00:00:00"/>
    <s v=""/>
    <s v="1609000332"/>
  </r>
  <r>
    <s v="1609000332"/>
    <d v="2017-01-30T00:00:00"/>
    <d v="2017-01-30T00:00:00"/>
    <s v="DZ"/>
    <s v="USD"/>
    <n v="175411"/>
    <n v="175411"/>
    <s v="BDT"/>
    <s v="EGM1"/>
    <n v="13682058"/>
    <s v="E43391SB17UK0021"/>
    <s v="0000001010"/>
    <s v="424130413781"/>
    <s v=""/>
    <s v=""/>
    <s v="0"/>
    <s v="EXPORTCOLLECTION"/>
    <s v=""/>
    <s v=""/>
    <s v=""/>
    <s v=""/>
    <s v=""/>
    <x v="0"/>
    <d v="2017-01-30T00:00:00"/>
    <s v="1609000332"/>
    <d v="2017-01-30T00:00:00"/>
    <s v=""/>
    <s v="1609000332"/>
  </r>
  <r>
    <s v="1609000333"/>
    <d v="2017-01-30T00:00:00"/>
    <d v="2017-01-30T00:00:00"/>
    <s v="DZ"/>
    <s v="USD"/>
    <n v="-53093"/>
    <n v="-53093"/>
    <s v="BDT"/>
    <s v="EGM1"/>
    <n v="-4141254"/>
    <s v=""/>
    <s v="0000001010"/>
    <s v="424130413790"/>
    <s v=""/>
    <s v=""/>
    <s v="0"/>
    <s v="EXPORTCOLLECTION"/>
    <s v=""/>
    <s v=""/>
    <s v=""/>
    <s v=""/>
    <s v=""/>
    <x v="0"/>
    <d v="2017-01-30T00:00:00"/>
    <s v="1609000334"/>
    <d v="2017-01-30T00:00:00"/>
    <s v=""/>
    <s v="1609000333"/>
  </r>
  <r>
    <s v="1609000333"/>
    <d v="2017-01-30T00:00:00"/>
    <d v="2017-01-30T00:00:00"/>
    <s v="DZ"/>
    <s v="USD"/>
    <n v="168463"/>
    <n v="168463"/>
    <s v="BDT"/>
    <s v="EGM1"/>
    <n v="13140114"/>
    <s v="E03212US16-0006E03212US16-0009"/>
    <s v="0000001010"/>
    <s v="424130413790"/>
    <s v=""/>
    <s v=""/>
    <s v="0"/>
    <s v="EXPORTCOLLECTION"/>
    <s v=""/>
    <s v=""/>
    <s v=""/>
    <s v=""/>
    <s v=""/>
    <x v="0"/>
    <d v="2017-01-30T00:00:00"/>
    <s v="1609000333"/>
    <d v="2017-01-30T00:00:00"/>
    <s v=""/>
    <s v="1609000333"/>
  </r>
  <r>
    <s v="1609000334"/>
    <d v="2017-01-30T00:00:00"/>
    <d v="2017-01-30T00:00:00"/>
    <s v="DZ"/>
    <s v="USD"/>
    <n v="-47119"/>
    <n v="-47119"/>
    <s v="BDT"/>
    <s v="EGM1"/>
    <n v="-3675282"/>
    <s v=""/>
    <s v="0000001010"/>
    <s v="424130413763"/>
    <s v=""/>
    <s v=""/>
    <s v="0"/>
    <s v="EXPORTCOLLECTION"/>
    <s v=""/>
    <s v=""/>
    <s v=""/>
    <s v=""/>
    <s v=""/>
    <x v="0"/>
    <d v="2017-02-05T00:00:00"/>
    <s v="1609000339"/>
    <d v="2017-01-30T00:00:00"/>
    <s v=""/>
    <s v="1609000334"/>
  </r>
  <r>
    <s v="1609000334"/>
    <d v="2017-01-30T00:00:00"/>
    <d v="2017-01-30T00:00:00"/>
    <s v="DZ"/>
    <s v="USD"/>
    <n v="53093"/>
    <n v="53093"/>
    <s v="BDT"/>
    <s v="EGM1"/>
    <n v="4141254"/>
    <s v="E33385TS16UK1844"/>
    <s v="0000001010"/>
    <s v="424130413763"/>
    <s v=""/>
    <s v=""/>
    <s v="0"/>
    <s v="EXPORTCOLLECTION"/>
    <s v=""/>
    <s v=""/>
    <s v=""/>
    <s v=""/>
    <s v=""/>
    <x v="0"/>
    <d v="2017-01-30T00:00:00"/>
    <s v="1609000334"/>
    <d v="2017-01-30T00:00:00"/>
    <s v=""/>
    <s v="1609000334"/>
  </r>
  <r>
    <s v="1609000336"/>
    <d v="2017-01-29T00:00:00"/>
    <d v="2017-01-29T00:00:00"/>
    <s v="DZ"/>
    <s v="USD"/>
    <n v="-1065107"/>
    <n v="-1065107"/>
    <s v="BDT"/>
    <s v="EGM1"/>
    <n v="-83078346"/>
    <s v="CM ADVANCE"/>
    <s v="0000001010"/>
    <s v="424130413567"/>
    <s v=""/>
    <s v=""/>
    <s v="0"/>
    <s v="CM ADVANCE"/>
    <s v=""/>
    <s v=""/>
    <s v=""/>
    <s v=""/>
    <s v=""/>
    <x v="0"/>
    <d v="2017-02-05T00:00:00"/>
    <s v="1609000341"/>
    <d v="2017-01-29T00:00:00"/>
    <s v=""/>
    <s v="1609000336"/>
  </r>
  <r>
    <s v="1609000337"/>
    <d v="2017-01-19T00:00:00"/>
    <d v="2017-01-19T00:00:00"/>
    <s v="DZ"/>
    <s v="USD"/>
    <n v="-82488"/>
    <n v="-82488"/>
    <s v="BDT"/>
    <s v="EGM2"/>
    <n v="-6434064"/>
    <s v="CM ADVANCE"/>
    <s v="0000001010"/>
    <s v="424130411373"/>
    <s v=""/>
    <s v=""/>
    <s v="0"/>
    <s v="CM ADVANCE"/>
    <s v=""/>
    <s v=""/>
    <s v=""/>
    <s v=""/>
    <s v=""/>
    <x v="0"/>
    <d v="2017-02-12T00:00:00"/>
    <s v="1609000353"/>
    <d v="2017-01-19T00:00:00"/>
    <s v=""/>
    <s v="1609000337"/>
  </r>
  <r>
    <s v="1609000339"/>
    <d v="2017-02-05T00:00:00"/>
    <d v="2017-02-05T00:00:00"/>
    <s v="DZ"/>
    <s v="USD"/>
    <n v="-32636"/>
    <n v="-32636"/>
    <s v="BDT"/>
    <s v="EGM1"/>
    <n v="-2576612.2000000002"/>
    <s v=""/>
    <s v="0000001010"/>
    <s v="424130416341"/>
    <s v=""/>
    <s v=""/>
    <s v="0"/>
    <s v="EXPORT COLLECTION"/>
    <s v=""/>
    <s v=""/>
    <s v=""/>
    <s v=""/>
    <s v=""/>
    <x v="0"/>
    <d v="2017-02-05T00:00:00"/>
    <s v="1609000340"/>
    <d v="2017-02-05T00:00:00"/>
    <s v=""/>
    <s v="1609000339"/>
  </r>
  <r>
    <s v="1609000339"/>
    <d v="2017-02-05T00:00:00"/>
    <d v="2017-02-05T00:00:00"/>
    <s v="DZ"/>
    <s v="USD"/>
    <n v="47119"/>
    <n v="47119"/>
    <s v="BDT"/>
    <s v="EGM1"/>
    <n v="3675282"/>
    <s v="E33385TS16CE1822E33470TS16CE1826"/>
    <s v="0000001010"/>
    <s v="424130416341"/>
    <s v=""/>
    <s v=""/>
    <s v="0"/>
    <s v="EXPORT COLLECTION"/>
    <s v=""/>
    <s v=""/>
    <s v=""/>
    <s v=""/>
    <s v=""/>
    <x v="0"/>
    <d v="2017-02-05T00:00:00"/>
    <s v="1609000339"/>
    <d v="2017-02-05T00:00:00"/>
    <s v=""/>
    <s v="1609000339"/>
  </r>
  <r>
    <s v="1609000340"/>
    <d v="2017-02-05T00:00:00"/>
    <d v="2017-02-05T00:00:00"/>
    <s v="DZ"/>
    <s v="USD"/>
    <n v="-24748"/>
    <n v="-24748"/>
    <s v="BDT"/>
    <s v="EGM1"/>
    <n v="-1953854.6"/>
    <s v=""/>
    <s v="0000001010"/>
    <s v="424130416323"/>
    <s v=""/>
    <s v=""/>
    <s v="0"/>
    <s v="EXPORT COLLECTION"/>
    <s v=""/>
    <s v=""/>
    <s v=""/>
    <s v=""/>
    <s v=""/>
    <x v="0"/>
    <d v="2017-02-05T00:00:00"/>
    <s v="1609000341"/>
    <d v="2017-02-05T00:00:00"/>
    <s v=""/>
    <s v="1609000340"/>
  </r>
  <r>
    <s v="1609000340"/>
    <d v="2017-02-05T00:00:00"/>
    <d v="2017-02-05T00:00:00"/>
    <s v="DZ"/>
    <s v="USD"/>
    <n v="32636"/>
    <n v="32636"/>
    <s v="BDT"/>
    <s v="EGM1"/>
    <n v="2576612.2000000002"/>
    <s v="E43442SB17UK0023"/>
    <s v="0000001010"/>
    <s v="424130416323"/>
    <s v=""/>
    <s v=""/>
    <s v="0"/>
    <s v="EXPORT COLLECTION"/>
    <s v=""/>
    <s v=""/>
    <s v=""/>
    <s v=""/>
    <s v=""/>
    <x v="0"/>
    <d v="2017-02-05T00:00:00"/>
    <s v="1609000340"/>
    <d v="2017-02-05T00:00:00"/>
    <s v=""/>
    <s v="1609000340"/>
  </r>
  <r>
    <s v="1609000341"/>
    <d v="2017-02-05T00:00:00"/>
    <d v="2017-02-05T00:00:00"/>
    <s v="DZ"/>
    <s v="USD"/>
    <n v="-1064572"/>
    <n v="-1064572"/>
    <s v="BDT"/>
    <s v="EGM1"/>
    <n v="-84047959.400000006"/>
    <s v=""/>
    <s v="0000001010"/>
    <s v="424130416261"/>
    <s v=""/>
    <s v=""/>
    <s v="0"/>
    <s v="EXPORT COLLECTION"/>
    <s v=""/>
    <s v=""/>
    <s v=""/>
    <s v=""/>
    <s v=""/>
    <x v="0"/>
    <d v="2017-02-05T00:00:00"/>
    <s v="1609000342"/>
    <d v="2017-02-05T00:00:00"/>
    <s v=""/>
    <s v="1609000341"/>
  </r>
  <r>
    <s v="1609000341"/>
    <d v="2017-02-05T00:00:00"/>
    <d v="2017-02-05T00:00:00"/>
    <s v="DZ"/>
    <s v="USD"/>
    <n v="1089855"/>
    <n v="1089855"/>
    <s v="BDT"/>
    <s v="EGM1"/>
    <n v="85032200.599999994"/>
    <s v="E03587US17-0062"/>
    <s v="0000001010"/>
    <s v="424130416261"/>
    <s v=""/>
    <s v=""/>
    <s v="0"/>
    <s v="EXPORT COLLECTION"/>
    <s v=""/>
    <s v=""/>
    <s v=""/>
    <s v=""/>
    <s v=""/>
    <x v="0"/>
    <d v="2017-02-05T00:00:00"/>
    <s v="1609000341"/>
    <d v="2017-02-05T00:00:00"/>
    <s v=""/>
    <s v="1609000341"/>
  </r>
  <r>
    <s v="1609000342"/>
    <d v="2017-02-05T00:00:00"/>
    <d v="2017-02-05T00:00:00"/>
    <s v="DZ"/>
    <s v="USD"/>
    <n v="-1061699"/>
    <n v="-1061699"/>
    <s v="BDT"/>
    <s v="EGM1"/>
    <n v="-83821136.049999997"/>
    <s v=""/>
    <s v="0000001010"/>
    <s v="424130416289"/>
    <s v=""/>
    <s v=""/>
    <s v="0"/>
    <s v="EXPORT COLLECTION"/>
    <s v=""/>
    <s v=""/>
    <s v=""/>
    <s v=""/>
    <s v=""/>
    <x v="0"/>
    <d v="2017-02-07T00:00:00"/>
    <s v="1609000343"/>
    <d v="2017-02-05T00:00:00"/>
    <s v=""/>
    <s v="1609000342"/>
  </r>
  <r>
    <s v="1609000342"/>
    <d v="2017-02-05T00:00:00"/>
    <d v="2017-02-05T00:00:00"/>
    <s v="DZ"/>
    <s v="USD"/>
    <n v="1064572"/>
    <n v="1064572"/>
    <s v="BDT"/>
    <s v="EGM1"/>
    <n v="84047959.400000006"/>
    <s v="E33435TC17US0026E33482TC17MY0029"/>
    <s v="0000001010"/>
    <s v="424130416289"/>
    <s v=""/>
    <s v=""/>
    <s v="0"/>
    <s v="EXPORT COLLECTION"/>
    <s v=""/>
    <s v=""/>
    <s v=""/>
    <s v=""/>
    <s v=""/>
    <x v="0"/>
    <d v="2017-02-05T00:00:00"/>
    <s v="1609000342"/>
    <d v="2017-02-05T00:00:00"/>
    <s v=""/>
    <s v="1609000342"/>
  </r>
  <r>
    <s v="1609000343"/>
    <d v="2017-02-07T00:00:00"/>
    <d v="2017-02-07T00:00:00"/>
    <s v="DZ"/>
    <s v="USD"/>
    <n v="-1043665"/>
    <n v="-1043665"/>
    <s v="BDT"/>
    <s v="EGM1"/>
    <n v="-82397351.75"/>
    <s v=""/>
    <s v="0000001010"/>
    <s v="424130417698"/>
    <s v=""/>
    <s v=""/>
    <s v="0"/>
    <s v="EXPORT COLLECTION"/>
    <s v=""/>
    <s v=""/>
    <s v=""/>
    <s v=""/>
    <s v=""/>
    <x v="0"/>
    <d v="2017-02-07T00:00:00"/>
    <s v="1609000344"/>
    <d v="2017-02-07T00:00:00"/>
    <s v=""/>
    <s v="1609000343"/>
  </r>
  <r>
    <s v="1609000343"/>
    <d v="2017-02-07T00:00:00"/>
    <d v="2017-02-07T00:00:00"/>
    <s v="DZ"/>
    <s v="USD"/>
    <n v="1061699"/>
    <n v="1061699"/>
    <s v="BDT"/>
    <s v="EGM1"/>
    <n v="83821136.049999997"/>
    <s v="E03587US17-0060E03587US17-0061"/>
    <s v="0000001010"/>
    <s v="424130417698"/>
    <s v=""/>
    <s v=""/>
    <s v="0"/>
    <s v="EXPORT COLLECTION"/>
    <s v=""/>
    <s v=""/>
    <s v=""/>
    <s v=""/>
    <s v=""/>
    <x v="0"/>
    <d v="2017-02-07T00:00:00"/>
    <s v="1609000343"/>
    <d v="2017-02-07T00:00:00"/>
    <s v=""/>
    <s v="1609000343"/>
  </r>
  <r>
    <s v="1609000344"/>
    <d v="2017-02-07T00:00:00"/>
    <d v="2017-02-07T00:00:00"/>
    <s v="DZ"/>
    <s v="USD"/>
    <n v="-1034015"/>
    <n v="-1034015"/>
    <s v="BDT"/>
    <s v="EGM1"/>
    <n v="-81635484.25"/>
    <s v=""/>
    <s v="0000001010"/>
    <s v="424130417714"/>
    <s v=""/>
    <s v=""/>
    <s v="0"/>
    <s v="EXPORT COLLECTION"/>
    <s v=""/>
    <s v=""/>
    <s v=""/>
    <s v=""/>
    <s v=""/>
    <x v="0"/>
    <d v="2017-02-07T00:00:00"/>
    <s v="1609000345"/>
    <d v="2017-02-07T00:00:00"/>
    <s v=""/>
    <s v="1609000344"/>
  </r>
  <r>
    <s v="1609000344"/>
    <d v="2017-02-07T00:00:00"/>
    <d v="2017-02-07T00:00:00"/>
    <s v="DZ"/>
    <s v="USD"/>
    <n v="1043665"/>
    <n v="1043665"/>
    <s v="BDT"/>
    <s v="EGM1"/>
    <n v="82397351.75"/>
    <s v="E03470TS17UK0093E33470TS16CE1829"/>
    <s v="0000001010"/>
    <s v="424130417714"/>
    <s v=""/>
    <s v=""/>
    <s v="0"/>
    <s v="EXPORT COLLECTION"/>
    <s v=""/>
    <s v=""/>
    <s v=""/>
    <s v=""/>
    <s v=""/>
    <x v="0"/>
    <d v="2017-02-07T00:00:00"/>
    <s v="1609000344"/>
    <d v="2017-02-07T00:00:00"/>
    <s v=""/>
    <s v="1609000344"/>
  </r>
  <r>
    <s v="1609000345"/>
    <d v="2017-02-07T00:00:00"/>
    <d v="2017-02-07T00:00:00"/>
    <s v="DZ"/>
    <s v="USD"/>
    <n v="-1027470"/>
    <n v="-1027470"/>
    <s v="BDT"/>
    <s v="EGM1"/>
    <n v="-81118756.5"/>
    <s v=""/>
    <s v="0000001010"/>
    <s v="424130417723"/>
    <s v=""/>
    <s v=""/>
    <s v="0"/>
    <s v="EXPORT COLLECTION"/>
    <s v=""/>
    <s v=""/>
    <s v=""/>
    <s v=""/>
    <s v=""/>
    <x v="0"/>
    <d v="2017-02-09T00:00:00"/>
    <s v="1609000346"/>
    <d v="2017-02-07T00:00:00"/>
    <s v=""/>
    <s v="1609000345"/>
  </r>
  <r>
    <s v="1609000345"/>
    <d v="2017-02-07T00:00:00"/>
    <d v="2017-02-07T00:00:00"/>
    <s v="DZ"/>
    <s v="USD"/>
    <n v="1034015"/>
    <n v="1034015"/>
    <s v="BDT"/>
    <s v="EGM1"/>
    <n v="81635484.25"/>
    <s v="E43152DC17US0051"/>
    <s v="0000001010"/>
    <s v="424130417723"/>
    <s v=""/>
    <s v=""/>
    <s v="0"/>
    <s v="EXPORT COLLECTION"/>
    <s v=""/>
    <s v=""/>
    <s v=""/>
    <s v=""/>
    <s v=""/>
    <x v="0"/>
    <d v="2017-02-07T00:00:00"/>
    <s v="1609000345"/>
    <d v="2017-02-07T00:00:00"/>
    <s v=""/>
    <s v="1609000345"/>
  </r>
  <r>
    <s v="1609000346"/>
    <d v="2017-02-09T00:00:00"/>
    <d v="2017-02-09T00:00:00"/>
    <s v="DZ"/>
    <s v="USD"/>
    <n v="-1005330"/>
    <n v="-1005330"/>
    <s v="BDT"/>
    <s v="EGM1"/>
    <n v="-79370803.5"/>
    <s v=""/>
    <s v="0000001010"/>
    <s v="424130418713"/>
    <s v=""/>
    <s v=""/>
    <s v="0"/>
    <s v="EXPORT COLLECTION"/>
    <s v=""/>
    <s v=""/>
    <s v=""/>
    <s v=""/>
    <s v=""/>
    <x v="0"/>
    <d v="2017-02-09T00:00:00"/>
    <s v="1609000347"/>
    <d v="2017-02-09T00:00:00"/>
    <s v=""/>
    <s v="1609000346"/>
  </r>
  <r>
    <s v="1609000346"/>
    <d v="2017-02-09T00:00:00"/>
    <d v="2017-02-09T00:00:00"/>
    <s v="DZ"/>
    <s v="USD"/>
    <n v="1027470"/>
    <n v="1027470"/>
    <s v="BDT"/>
    <s v="EGM1"/>
    <n v="81118756.5"/>
    <s v="E03476US17-0052E03449US16-1841"/>
    <s v="0000001010"/>
    <s v="424130418713"/>
    <s v=""/>
    <s v=""/>
    <s v="0"/>
    <s v="EXPORT COLLECTION"/>
    <s v=""/>
    <s v=""/>
    <s v=""/>
    <s v=""/>
    <s v=""/>
    <x v="0"/>
    <d v="2017-02-09T00:00:00"/>
    <s v="1609000346"/>
    <d v="2017-02-09T00:00:00"/>
    <s v=""/>
    <s v="1609000346"/>
  </r>
  <r>
    <s v="1609000347"/>
    <d v="2017-02-09T00:00:00"/>
    <d v="2017-02-09T00:00:00"/>
    <s v="DZ"/>
    <s v="USD"/>
    <n v="-581184"/>
    <n v="-581184"/>
    <s v="BDT"/>
    <s v="EGM1"/>
    <n v="-45884476.799999997"/>
    <s v=""/>
    <s v="0000001010"/>
    <s v="424130418704"/>
    <s v=""/>
    <s v=""/>
    <s v="0"/>
    <s v="EXPORT COLLECTION"/>
    <s v=""/>
    <s v=""/>
    <s v=""/>
    <s v=""/>
    <s v=""/>
    <x v="0"/>
    <d v="2017-02-09T00:00:00"/>
    <s v="1609000348"/>
    <d v="2017-02-09T00:00:00"/>
    <s v=""/>
    <s v="1609000347"/>
  </r>
  <r>
    <s v="1609000347"/>
    <d v="2017-02-09T00:00:00"/>
    <d v="2017-02-09T00:00:00"/>
    <s v="DZ"/>
    <s v="USD"/>
    <n v="1005330"/>
    <n v="1005330"/>
    <s v="BDT"/>
    <s v="EGM1"/>
    <n v="79370803.5"/>
    <s v="E03634US17-0030E03487US17-0031"/>
    <s v="0000001010"/>
    <s v="424130418704"/>
    <s v=""/>
    <s v=""/>
    <s v="0"/>
    <s v="EXPORT COLLECTION"/>
    <s v=""/>
    <s v=""/>
    <s v=""/>
    <s v=""/>
    <s v=""/>
    <x v="0"/>
    <d v="2017-02-09T00:00:00"/>
    <s v="1609000347"/>
    <d v="2017-02-09T00:00:00"/>
    <s v=""/>
    <s v="1609000347"/>
  </r>
  <r>
    <s v="1609000348"/>
    <d v="2017-02-05T00:00:00"/>
    <d v="2017-02-05T00:00:00"/>
    <s v="DZ"/>
    <s v="USD"/>
    <n v="-191677"/>
    <n v="-191677"/>
    <s v="BDT"/>
    <s v="EGM1"/>
    <n v="-15132899.15"/>
    <s v=""/>
    <s v="0000001010"/>
    <s v="424130416305"/>
    <s v=""/>
    <s v=""/>
    <s v="0"/>
    <s v="EXPORT COLLECTION"/>
    <s v=""/>
    <s v=""/>
    <s v=""/>
    <s v=""/>
    <s v=""/>
    <x v="0"/>
    <d v="2017-02-12T00:00:00"/>
    <s v="1609000349"/>
    <d v="2017-02-05T00:00:00"/>
    <s v=""/>
    <s v="1609000348"/>
  </r>
  <r>
    <s v="1609000348"/>
    <d v="2017-02-05T00:00:00"/>
    <d v="2017-02-05T00:00:00"/>
    <s v="DZ"/>
    <s v="USD"/>
    <n v="581184"/>
    <n v="581184"/>
    <s v="BDT"/>
    <s v="EGM1"/>
    <n v="45884476.799999997"/>
    <s v="E03213US17-0019E03213US17-0020"/>
    <s v="0000001010"/>
    <s v="424130416305"/>
    <s v=""/>
    <s v=""/>
    <s v="0"/>
    <s v="EXPORT COLLECTION"/>
    <s v=""/>
    <s v=""/>
    <s v=""/>
    <s v=""/>
    <s v=""/>
    <x v="0"/>
    <d v="2017-02-09T00:00:00"/>
    <s v="1609000348"/>
    <d v="2017-02-05T00:00:00"/>
    <s v=""/>
    <s v="1609000348"/>
  </r>
  <r>
    <s v="1609000349"/>
    <d v="2017-02-12T00:00:00"/>
    <d v="2017-02-12T00:00:00"/>
    <s v="DZ"/>
    <s v="USD"/>
    <n v="-182711"/>
    <n v="-182711"/>
    <s v="BDT"/>
    <s v="EGM1"/>
    <n v="-14425033.449999999"/>
    <s v=""/>
    <s v="0000001010"/>
    <s v="424130419473"/>
    <s v=""/>
    <s v=""/>
    <s v="0"/>
    <s v="EXPORT COLLECTION"/>
    <s v=""/>
    <s v=""/>
    <s v=""/>
    <s v=""/>
    <s v=""/>
    <x v="0"/>
    <d v="2017-02-12T00:00:00"/>
    <s v="1609000350"/>
    <d v="2017-02-12T00:00:00"/>
    <s v=""/>
    <s v="1609000349"/>
  </r>
  <r>
    <s v="1609000349"/>
    <d v="2017-02-12T00:00:00"/>
    <d v="2017-02-12T00:00:00"/>
    <s v="DZ"/>
    <s v="USD"/>
    <n v="191677"/>
    <n v="191677"/>
    <s v="BDT"/>
    <s v="EGM1"/>
    <n v="15132899.15"/>
    <s v="E03634US17-0034"/>
    <s v="0000001010"/>
    <s v="424130419473"/>
    <s v=""/>
    <s v=""/>
    <s v="0"/>
    <s v="EXPORT COLLECTION"/>
    <s v=""/>
    <s v=""/>
    <s v=""/>
    <s v=""/>
    <s v=""/>
    <x v="0"/>
    <d v="2017-02-12T00:00:00"/>
    <s v="1609000349"/>
    <d v="2017-02-12T00:00:00"/>
    <s v=""/>
    <s v="1609000349"/>
  </r>
  <r>
    <s v="1609000350"/>
    <d v="2017-02-12T00:00:00"/>
    <d v="2017-02-12T00:00:00"/>
    <s v="DZ"/>
    <s v="USD"/>
    <n v="-138011"/>
    <n v="-138011"/>
    <s v="BDT"/>
    <s v="EGM1"/>
    <n v="-10895968.449999999"/>
    <s v=""/>
    <s v="0000001010"/>
    <s v="424130419464"/>
    <s v=""/>
    <s v=""/>
    <s v="0"/>
    <s v="EXPORT COLLECTION"/>
    <s v=""/>
    <s v=""/>
    <s v=""/>
    <s v=""/>
    <s v=""/>
    <x v="0"/>
    <d v="2017-02-12T00:00:00"/>
    <s v="1609000352"/>
    <d v="2017-02-12T00:00:00"/>
    <s v=""/>
    <s v="1609000350"/>
  </r>
  <r>
    <s v="1609000350"/>
    <d v="2017-02-12T00:00:00"/>
    <d v="2017-02-12T00:00:00"/>
    <s v="DZ"/>
    <s v="USD"/>
    <n v="182711"/>
    <n v="182711"/>
    <s v="BDT"/>
    <s v="EGM1"/>
    <n v="14425033.449999999"/>
    <s v="E43443SB17UK0144E43392SB17UK0103"/>
    <s v="0000001010"/>
    <s v="424130419464"/>
    <s v=""/>
    <s v=""/>
    <s v="0"/>
    <s v="EXPORT COLLECTION"/>
    <s v=""/>
    <s v=""/>
    <s v=""/>
    <s v=""/>
    <s v=""/>
    <x v="0"/>
    <d v="2017-02-12T00:00:00"/>
    <s v="1609000350"/>
    <d v="2017-02-12T00:00:00"/>
    <s v=""/>
    <s v="1609000350"/>
  </r>
  <r>
    <s v="1609000352"/>
    <d v="2017-02-12T00:00:00"/>
    <d v="2017-02-12T00:00:00"/>
    <s v="DZ"/>
    <s v="USD"/>
    <n v="-81192"/>
    <n v="-81192"/>
    <s v="BDT"/>
    <s v="EGM1"/>
    <n v="-6410108.4000000004"/>
    <s v=""/>
    <s v="0000001010"/>
    <s v="424130419482"/>
    <s v=""/>
    <s v=""/>
    <s v="0"/>
    <s v="EXPORT COLLECTION"/>
    <s v=""/>
    <s v=""/>
    <s v=""/>
    <s v=""/>
    <s v=""/>
    <x v="0"/>
    <d v="2017-02-14T00:00:00"/>
    <s v="1609000355"/>
    <d v="2017-02-12T00:00:00"/>
    <s v=""/>
    <s v="1609000352"/>
  </r>
  <r>
    <s v="1609000352"/>
    <d v="2017-02-12T00:00:00"/>
    <d v="2017-02-12T00:00:00"/>
    <s v="DZ"/>
    <s v="USD"/>
    <n v="138011"/>
    <n v="138011"/>
    <s v="BDT"/>
    <s v="EGM1"/>
    <n v="10895968.449999999"/>
    <s v="E43264DC17US0048E43152DC17US0050"/>
    <s v="0000001010"/>
    <s v="424130419482"/>
    <s v=""/>
    <s v=""/>
    <s v="0"/>
    <s v="EXPORT COLLECTION"/>
    <s v=""/>
    <s v=""/>
    <s v=""/>
    <s v=""/>
    <s v=""/>
    <x v="0"/>
    <d v="2017-02-12T00:00:00"/>
    <s v="1609000352"/>
    <d v="2017-02-12T00:00:00"/>
    <s v=""/>
    <s v="1609000352"/>
  </r>
  <r>
    <s v="1609000353"/>
    <d v="2017-02-12T00:00:00"/>
    <d v="2017-02-12T00:00:00"/>
    <s v="DZ"/>
    <s v="USD"/>
    <n v="-74387"/>
    <n v="-74387"/>
    <s v="BDT"/>
    <s v="EGM2"/>
    <n v="-5872853.6500000004"/>
    <s v=""/>
    <s v="0000001010"/>
    <s v="424130419455"/>
    <s v=""/>
    <s v=""/>
    <s v="0"/>
    <s v="EXPORT COLLECTION"/>
    <s v=""/>
    <s v=""/>
    <s v=""/>
    <s v=""/>
    <s v=""/>
    <x v="0"/>
    <d v="2017-02-14T00:00:00"/>
    <s v="1609000366"/>
    <d v="2017-02-12T00:00:00"/>
    <s v=""/>
    <s v="1609000353"/>
  </r>
  <r>
    <s v="1609000353"/>
    <d v="2017-02-12T00:00:00"/>
    <d v="2017-02-12T00:00:00"/>
    <s v="DZ"/>
    <s v="USD"/>
    <n v="82488"/>
    <n v="82488"/>
    <s v="BDT"/>
    <s v="EGM2"/>
    <n v="6434064"/>
    <s v="E23374VF17US0005E23259VF17US0011"/>
    <s v="0000001010"/>
    <s v="424130419455"/>
    <s v=""/>
    <s v=""/>
    <s v="0"/>
    <s v="EXPORT COLLECTION"/>
    <s v=""/>
    <s v=""/>
    <s v=""/>
    <s v=""/>
    <s v=""/>
    <x v="0"/>
    <d v="2017-02-12T00:00:00"/>
    <s v="1609000353"/>
    <d v="2017-02-12T00:00:00"/>
    <s v=""/>
    <s v="1609000353"/>
  </r>
  <r>
    <s v="1609000355"/>
    <d v="2017-02-14T00:00:00"/>
    <d v="2017-02-14T00:00:00"/>
    <s v="DZ"/>
    <s v="USD"/>
    <n v="-27200"/>
    <n v="-27200"/>
    <s v="BDT"/>
    <s v="EGM1"/>
    <n v="-2147440"/>
    <s v=""/>
    <s v="0000001010"/>
    <s v="424130420443"/>
    <s v=""/>
    <s v=""/>
    <s v="0"/>
    <s v="EXPORT COLLECTION"/>
    <s v=""/>
    <s v=""/>
    <s v=""/>
    <s v=""/>
    <s v=""/>
    <x v="0"/>
    <d v="2017-02-15T00:00:00"/>
    <s v="1609000363"/>
    <d v="2017-02-14T00:00:00"/>
    <s v=""/>
    <s v="1609000355"/>
  </r>
  <r>
    <s v="1609000355"/>
    <d v="2017-02-14T00:00:00"/>
    <d v="2017-02-14T00:00:00"/>
    <s v="DZ"/>
    <s v="USD"/>
    <n v="81192"/>
    <n v="81192"/>
    <s v="BDT"/>
    <s v="EGM1"/>
    <n v="6410108.4000000004"/>
    <s v="E33265TS16UK1843E33385TS16CE1828"/>
    <s v="0000001010"/>
    <s v="424130420443"/>
    <s v=""/>
    <s v=""/>
    <s v="0"/>
    <s v="EXPORT COLLECTION"/>
    <s v=""/>
    <s v=""/>
    <s v=""/>
    <s v=""/>
    <s v=""/>
    <x v="0"/>
    <d v="2017-02-14T00:00:00"/>
    <s v="1609000355"/>
    <d v="2017-02-14T00:00:00"/>
    <s v=""/>
    <s v="1609000355"/>
  </r>
  <r>
    <s v="1609000363"/>
    <d v="2017-02-15T00:00:00"/>
    <d v="2017-02-15T00:00:00"/>
    <s v="DZ"/>
    <s v="USD"/>
    <n v="-10324"/>
    <n v="-10324"/>
    <s v="BDT"/>
    <s v="EGM1"/>
    <n v="-815079.8"/>
    <s v=""/>
    <s v="0000001010"/>
    <s v="424130421763"/>
    <s v=""/>
    <s v=""/>
    <s v="0"/>
    <s v="EXPORT COLLECTION"/>
    <s v=""/>
    <s v=""/>
    <s v=""/>
    <s v=""/>
    <s v=""/>
    <x v="0"/>
    <d v="2017-02-23T00:00:00"/>
    <s v="1609000372"/>
    <d v="2017-02-15T00:00:00"/>
    <s v=""/>
    <s v="1609000363"/>
  </r>
  <r>
    <s v="1609000363"/>
    <d v="2017-02-15T00:00:00"/>
    <d v="2017-02-15T00:00:00"/>
    <s v="DZ"/>
    <s v="USD"/>
    <n v="27200"/>
    <n v="27200"/>
    <s v="BDT"/>
    <s v="EGM1"/>
    <n v="2147440"/>
    <s v="E03287US17-0125E03287US17-0128"/>
    <s v="0000001010"/>
    <s v="424130421763"/>
    <s v=""/>
    <s v=""/>
    <s v="0"/>
    <s v="EXPORT COLLECTION"/>
    <s v=""/>
    <s v=""/>
    <s v=""/>
    <s v=""/>
    <s v=""/>
    <x v="0"/>
    <d v="2017-02-15T00:00:00"/>
    <s v="1609000363"/>
    <d v="2017-02-15T00:00:00"/>
    <s v=""/>
    <s v="1609000363"/>
  </r>
  <r>
    <s v="1609000364"/>
    <d v="2017-02-07T00:00:00"/>
    <d v="2017-02-07T00:00:00"/>
    <s v="DZ"/>
    <s v="USD"/>
    <n v="-39646.15"/>
    <n v="-39646.15"/>
    <s v="BDT"/>
    <s v="EGM2"/>
    <n v="-3130063.54"/>
    <s v=""/>
    <s v="0000001010"/>
    <s v="424130417705"/>
    <s v=""/>
    <s v=""/>
    <s v="0"/>
    <s v="EXPORT COLLECTION"/>
    <s v=""/>
    <s v=""/>
    <s v=""/>
    <s v=""/>
    <s v=""/>
    <x v="0"/>
    <d v="2017-02-13T00:00:00"/>
    <s v="1609000365"/>
    <d v="2017-02-07T00:00:00"/>
    <s v=""/>
    <s v="1609000364"/>
  </r>
  <r>
    <s v="1609000364"/>
    <d v="2017-02-07T00:00:00"/>
    <d v="2017-02-07T00:00:00"/>
    <s v="DZ"/>
    <s v="USD"/>
    <n v="45459.15"/>
    <n v="45459.15"/>
    <s v="BDT"/>
    <s v="EGM2"/>
    <n v="3545813.7"/>
    <s v="0344617000703446170008CA"/>
    <s v="0000001010"/>
    <s v="424130417705"/>
    <s v=""/>
    <s v=""/>
    <s v="0"/>
    <s v="EXPORT COLLECTION"/>
    <s v=""/>
    <s v=""/>
    <s v=""/>
    <s v=""/>
    <s v=""/>
    <x v="0"/>
    <d v="2017-02-07T00:00:00"/>
    <s v="1609000364"/>
    <d v="2017-02-07T00:00:00"/>
    <s v=""/>
    <s v="1609000364"/>
  </r>
  <r>
    <s v="1609000365"/>
    <d v="2017-02-13T00:00:00"/>
    <d v="2017-02-13T00:00:00"/>
    <s v="DZ"/>
    <s v="USD"/>
    <n v="-32651.15"/>
    <n v="-32651.15"/>
    <s v="BDT"/>
    <s v="EGM2"/>
    <n v="-2577808.29"/>
    <s v=""/>
    <s v="0000001010"/>
    <s v="424130419730"/>
    <s v=""/>
    <s v=""/>
    <s v="0"/>
    <s v="EXPORT COLLECTION"/>
    <s v=""/>
    <s v=""/>
    <s v=""/>
    <s v=""/>
    <s v=""/>
    <x v="0"/>
    <d v="2017-02-14T00:00:00"/>
    <s v="1609000366"/>
    <d v="2017-02-13T00:00:00"/>
    <s v=""/>
    <s v="1609000365"/>
  </r>
  <r>
    <s v="1609000365"/>
    <d v="2017-02-13T00:00:00"/>
    <d v="2017-02-13T00:00:00"/>
    <s v="DZ"/>
    <s v="USD"/>
    <n v="39646.15"/>
    <n v="39646.15"/>
    <s v="BDT"/>
    <s v="EGM2"/>
    <n v="3130063.54"/>
    <s v="03446170014US03446170015HR"/>
    <s v="0000001010"/>
    <s v="424130419730"/>
    <s v=""/>
    <s v=""/>
    <s v="0"/>
    <s v="EXPORT COLLECTION"/>
    <s v=""/>
    <s v=""/>
    <s v=""/>
    <s v=""/>
    <s v=""/>
    <x v="0"/>
    <d v="2017-02-13T00:00:00"/>
    <s v="1609000365"/>
    <d v="2017-02-13T00:00:00"/>
    <s v=""/>
    <s v="1609000365"/>
  </r>
  <r>
    <s v="1609000366"/>
    <d v="2017-02-14T00:00:00"/>
    <d v="2017-02-14T00:00:00"/>
    <s v="DZ"/>
    <s v="USD"/>
    <n v="-70052.149999999994"/>
    <n v="-70052.149999999994"/>
    <s v="BDT"/>
    <s v="EGM2"/>
    <n v="-5530617.2400000002"/>
    <s v=""/>
    <s v="0000001010"/>
    <s v="424130420416"/>
    <s v=""/>
    <s v=""/>
    <s v="0"/>
    <s v="EXPORT COLLECTION"/>
    <s v=""/>
    <s v=""/>
    <s v=""/>
    <s v=""/>
    <s v=""/>
    <x v="0"/>
    <d v="2017-02-19T00:00:00"/>
    <s v="1609000368"/>
    <d v="2017-02-14T00:00:00"/>
    <s v=""/>
    <s v="1609000366"/>
  </r>
  <r>
    <s v="1609000366"/>
    <d v="2017-02-14T00:00:00"/>
    <d v="2017-02-14T00:00:00"/>
    <s v="DZ"/>
    <s v="USD"/>
    <n v="107038.15"/>
    <n v="107038.15"/>
    <s v="BDT"/>
    <s v="EGM2"/>
    <n v="8450661.9399999995"/>
    <s v="E23374VF17US0005E23259VF17US0011"/>
    <s v="0000001010"/>
    <s v="424130420416"/>
    <s v=""/>
    <s v=""/>
    <s v="0"/>
    <s v="EXPORT COLLECTION"/>
    <s v=""/>
    <s v=""/>
    <s v=""/>
    <s v=""/>
    <s v=""/>
    <x v="0"/>
    <d v="2017-02-14T00:00:00"/>
    <s v="1609000366"/>
    <d v="2017-02-14T00:00:00"/>
    <s v=""/>
    <s v="1609000366"/>
  </r>
  <r>
    <s v="1609000368"/>
    <d v="2017-02-19T00:00:00"/>
    <d v="2017-02-19T00:00:00"/>
    <s v="DZ"/>
    <s v="USD"/>
    <n v="-50234.15"/>
    <n v="-50234.15"/>
    <s v="BDT"/>
    <s v="EGM2"/>
    <n v="-3965986.14"/>
    <s v=""/>
    <s v="0000001010"/>
    <s v="424130423306"/>
    <s v=""/>
    <s v=""/>
    <s v="0"/>
    <s v="EXPORT COLLECTION"/>
    <s v=""/>
    <s v=""/>
    <s v=""/>
    <s v=""/>
    <s v=""/>
    <x v="0"/>
    <d v="2017-02-26T00:00:00"/>
    <s v="1609000373"/>
    <d v="2017-02-19T00:00:00"/>
    <s v=""/>
    <s v="1609000368"/>
  </r>
  <r>
    <s v="1609000368"/>
    <d v="2017-02-19T00:00:00"/>
    <d v="2017-02-19T00:00:00"/>
    <s v="DZ"/>
    <s v="USD"/>
    <n v="70052.149999999994"/>
    <n v="70052.149999999994"/>
    <s v="BDT"/>
    <s v="EGM2"/>
    <n v="5530617.2400000002"/>
    <s v="03446170016DE03446170018AU"/>
    <s v="0000001010"/>
    <s v="424130423306"/>
    <s v=""/>
    <s v=""/>
    <s v="0"/>
    <s v="EXPORT COLLECTION"/>
    <s v=""/>
    <s v=""/>
    <s v=""/>
    <s v=""/>
    <s v=""/>
    <x v="0"/>
    <d v="2017-02-19T00:00:00"/>
    <s v="1609000368"/>
    <d v="2017-02-19T00:00:00"/>
    <s v=""/>
    <s v="1609000368"/>
  </r>
  <r>
    <s v="1609000372"/>
    <d v="2017-02-23T00:00:00"/>
    <d v="2017-02-23T00:00:00"/>
    <s v="DZ"/>
    <s v="USD"/>
    <n v="10324"/>
    <n v="10324"/>
    <s v="BDT"/>
    <s v="EGM1"/>
    <n v="815079.8"/>
    <s v="E03489US17-0047E03491US17-0064"/>
    <s v="0000001010"/>
    <s v="424130424733"/>
    <s v=""/>
    <s v=""/>
    <s v="0"/>
    <s v="EXPORT COLLECTION"/>
    <s v=""/>
    <s v=""/>
    <s v=""/>
    <s v=""/>
    <s v=""/>
    <x v="0"/>
    <d v="2017-02-23T00:00:00"/>
    <s v="1609000372"/>
    <d v="2017-02-23T00:00:00"/>
    <s v=""/>
    <s v="1609000372"/>
  </r>
  <r>
    <s v="1609000373"/>
    <d v="2017-02-26T00:00:00"/>
    <d v="2017-02-26T00:00:00"/>
    <s v="DZ"/>
    <s v="USD"/>
    <n v="-35304.15"/>
    <n v="-35304.15"/>
    <s v="BDT"/>
    <s v="EGM2"/>
    <n v="-2787262.64"/>
    <s v=""/>
    <s v="0000001010"/>
    <s v="424130424305"/>
    <s v=""/>
    <s v=""/>
    <s v="0"/>
    <s v="EXPORT COLLECTION"/>
    <s v=""/>
    <s v=""/>
    <s v=""/>
    <s v=""/>
    <s v=""/>
    <x v="0"/>
    <d v="2017-02-28T00:00:00"/>
    <s v="1609000388"/>
    <d v="2017-02-26T00:00:00"/>
    <s v=""/>
    <s v="1609000373"/>
  </r>
  <r>
    <s v="1609000373"/>
    <d v="2017-02-26T00:00:00"/>
    <d v="2017-02-26T00:00:00"/>
    <s v="DZ"/>
    <s v="USD"/>
    <n v="50234.15"/>
    <n v="50234.15"/>
    <s v="BDT"/>
    <s v="EGM2"/>
    <n v="3965986.14"/>
    <s v="E23260VF17US0026"/>
    <s v="0000001010"/>
    <s v="424130424305"/>
    <s v=""/>
    <s v=""/>
    <s v="0"/>
    <s v="EXPORT COLLECTION"/>
    <s v=""/>
    <s v=""/>
    <s v=""/>
    <s v=""/>
    <s v=""/>
    <x v="0"/>
    <d v="2017-02-26T00:00:00"/>
    <s v="1609000373"/>
    <d v="2017-02-26T00:00:00"/>
    <s v=""/>
    <s v="1609000373"/>
  </r>
  <r>
    <s v="1609000383"/>
    <d v="2017-02-07T00:00:00"/>
    <d v="2017-02-07T00:00:00"/>
    <s v="DZ"/>
    <s v="USD"/>
    <n v="-103556.3"/>
    <n v="-103556.3"/>
    <s v="BDT"/>
    <s v="EGM2"/>
    <n v="-8175769.8899999997"/>
    <s v="CM ADVIANCE"/>
    <s v="0000001010"/>
    <s v="424130417689"/>
    <s v=""/>
    <s v=""/>
    <s v="0"/>
    <s v="CM ADVIANCE"/>
    <s v=""/>
    <s v=""/>
    <s v=""/>
    <s v=""/>
    <s v=""/>
    <x v="0"/>
    <d v="2017-02-07T00:00:00"/>
    <s v="1603015080"/>
    <d v="2017-02-07T00:00:00"/>
    <s v=""/>
    <s v="1609000383"/>
  </r>
  <r>
    <s v="1609000384"/>
    <d v="2017-02-05T00:00:00"/>
    <d v="2017-02-05T00:00:00"/>
    <s v="DZ"/>
    <s v="USD"/>
    <n v="-52104.15"/>
    <n v="-52104.15"/>
    <s v="BDT"/>
    <s v="EGM2"/>
    <n v="-4113622.64"/>
    <s v="CM ADVIANCE"/>
    <s v="0000001010"/>
    <s v="424130415967"/>
    <s v=""/>
    <s v=""/>
    <s v="0"/>
    <s v="CM ADVIANCE"/>
    <s v=""/>
    <s v=""/>
    <s v=""/>
    <s v=""/>
    <s v=""/>
    <x v="0"/>
    <d v="2017-02-05T00:00:00"/>
    <s v="1603015079"/>
    <d v="2017-02-05T00:00:00"/>
    <s v=""/>
    <s v="1609000384"/>
  </r>
  <r>
    <s v="1609000386"/>
    <d v="2017-02-05T00:00:00"/>
    <d v="2017-02-05T00:00:00"/>
    <s v="DZ"/>
    <s v="USD"/>
    <n v="-52165"/>
    <n v="-52165"/>
    <s v="BDT"/>
    <s v="EGM2"/>
    <n v="-4118426.75"/>
    <s v="CM ADVIANCE"/>
    <s v="0000001010"/>
    <s v="424130415967"/>
    <s v=""/>
    <s v=""/>
    <s v="0"/>
    <s v="CM ADVIANCE"/>
    <s v=""/>
    <s v=""/>
    <s v=""/>
    <s v=""/>
    <s v=""/>
    <x v="0"/>
    <d v="2017-02-28T00:00:00"/>
    <s v="1609000388"/>
    <d v="2017-02-05T00:00:00"/>
    <s v=""/>
    <s v="1609000386"/>
  </r>
  <r>
    <s v="1609000387"/>
    <d v="2017-02-05T00:00:00"/>
    <d v="2017-02-05T00:00:00"/>
    <s v="DZ"/>
    <s v="USD"/>
    <n v="-103602"/>
    <n v="-103602"/>
    <s v="BDT"/>
    <s v="EGM2"/>
    <n v="-8179377.9100000001"/>
    <s v="CM ADVIANCE"/>
    <s v="0000001010"/>
    <s v="424130417689"/>
    <s v=""/>
    <s v=""/>
    <s v="0"/>
    <s v="CM ADVIANCE"/>
    <s v=""/>
    <s v=""/>
    <s v=""/>
    <s v=""/>
    <s v=""/>
    <x v="0"/>
    <d v="2017-02-28T00:00:00"/>
    <s v="1609000389"/>
    <d v="2017-02-05T00:00:00"/>
    <s v=""/>
    <s v="1609000387"/>
  </r>
  <r>
    <s v="1609000388"/>
    <d v="2017-02-28T00:00:00"/>
    <d v="2017-02-28T00:00:00"/>
    <s v="DZ"/>
    <s v="USD"/>
    <n v="-5397.15"/>
    <n v="-5397.15"/>
    <s v="BDT"/>
    <s v="EGM2"/>
    <n v="-426914.57"/>
    <s v=""/>
    <s v="0000001010"/>
    <s v="424130419721"/>
    <s v=""/>
    <s v=""/>
    <s v="0"/>
    <s v="EXPORT COLLECTION"/>
    <s v=""/>
    <s v=""/>
    <s v=""/>
    <s v=""/>
    <s v=""/>
    <x v="0"/>
    <d v="2017-02-28T00:00:00"/>
    <s v="1609000389"/>
    <d v="2017-02-28T00:00:00"/>
    <s v=""/>
    <s v="1609000388"/>
  </r>
  <r>
    <s v="1609000388"/>
    <d v="2017-02-28T00:00:00"/>
    <d v="2017-02-28T00:00:00"/>
    <s v="DZ"/>
    <s v="USD"/>
    <n v="87469.15"/>
    <n v="87469.15"/>
    <s v="BDT"/>
    <s v="EGM2"/>
    <n v="6905689.3899999997"/>
    <s v="E23259VF17US0011"/>
    <s v="0000001010"/>
    <s v="424130419721"/>
    <s v=""/>
    <s v=""/>
    <s v="0"/>
    <s v="EXPORT COLLECTION"/>
    <s v=""/>
    <s v=""/>
    <s v=""/>
    <s v=""/>
    <s v=""/>
    <x v="0"/>
    <d v="2017-02-28T00:00:00"/>
    <s v="1609000388"/>
    <d v="2017-02-28T00:00:00"/>
    <s v=""/>
    <s v="1609000388"/>
  </r>
  <r>
    <s v="1609000389"/>
    <d v="2017-02-28T00:00:00"/>
    <d v="2017-02-28T00:00:00"/>
    <s v="DZ"/>
    <s v="USD"/>
    <n v="-41121.71"/>
    <n v="-41121.71"/>
    <s v="BDT"/>
    <s v="EGM2"/>
    <n v="-3252727.26"/>
    <s v=""/>
    <s v="0000001010"/>
    <s v="424130426161"/>
    <s v=""/>
    <s v=""/>
    <s v="0"/>
    <s v="EXPORT COLLECTION"/>
    <s v=""/>
    <s v=""/>
    <s v=""/>
    <s v=""/>
    <s v=""/>
    <x v="0"/>
    <d v="2017-09-30T00:00:00"/>
    <s v="1706000009"/>
    <d v="2017-02-28T00:00:00"/>
    <s v=""/>
    <s v="1609000389"/>
  </r>
  <r>
    <s v="1609000389"/>
    <d v="2017-02-28T00:00:00"/>
    <d v="2017-02-28T00:00:00"/>
    <s v="DZ"/>
    <s v="USD"/>
    <n v="108999.15"/>
    <n v="108999.15"/>
    <s v="BDT"/>
    <s v="EGM2"/>
    <n v="8606292.4800000004"/>
    <s v="E23260VF17US0051"/>
    <s v="0000001010"/>
    <s v="424130426161"/>
    <s v=""/>
    <s v=""/>
    <s v="0"/>
    <s v="EXPORT COLLECTION"/>
    <s v=""/>
    <s v=""/>
    <s v=""/>
    <s v=""/>
    <s v=""/>
    <x v="0"/>
    <d v="2017-02-28T00:00:00"/>
    <s v="1609000389"/>
    <d v="2017-02-28T00:00:00"/>
    <s v=""/>
    <s v="1609000389"/>
  </r>
  <r>
    <s v="1609000405"/>
    <d v="2017-03-05T00:00:00"/>
    <d v="2017-03-05T00:00:00"/>
    <s v="DZ"/>
    <s v="USD"/>
    <n v="15179"/>
    <n v="15179"/>
    <s v="BDT"/>
    <s v="EGM2"/>
    <n v="1200658.8999999999"/>
    <s v=""/>
    <s v="0000001010"/>
    <s v="03446170021NZ"/>
    <s v=""/>
    <s v=""/>
    <s v="0"/>
    <s v="424130427106"/>
    <s v=""/>
    <s v=""/>
    <s v=""/>
    <s v=""/>
    <s v=""/>
    <x v="0"/>
    <d v="2017-09-30T00:00:00"/>
    <s v="1706000009"/>
    <d v="2017-03-05T00:00:00"/>
    <s v=""/>
    <s v="1609000405"/>
  </r>
  <r>
    <s v="1609000407"/>
    <d v="2017-03-07T00:00:00"/>
    <d v="2017-03-07T00:00:00"/>
    <s v="DZ"/>
    <s v="USD"/>
    <n v="25942.71"/>
    <n v="25942.71"/>
    <s v="BDT"/>
    <s v="EGM2"/>
    <n v="2052068.36"/>
    <s v=""/>
    <s v="0000001010"/>
    <s v="E23464VFUS0055"/>
    <s v=""/>
    <s v=""/>
    <s v="0"/>
    <s v="424130428310"/>
    <s v=""/>
    <s v=""/>
    <s v=""/>
    <s v=""/>
    <s v=""/>
    <x v="0"/>
    <d v="2017-09-30T00:00:00"/>
    <s v="1706000009"/>
    <d v="2017-03-07T00:00:00"/>
    <s v=""/>
    <s v="1609000407"/>
  </r>
  <r>
    <s v="1609000418"/>
    <d v="2017-03-05T00:00:00"/>
    <d v="2017-03-05T00:00:00"/>
    <s v="DZ"/>
    <s v="USD"/>
    <n v="-111193"/>
    <n v="-111193"/>
    <s v="BDT"/>
    <s v="EGM2"/>
    <n v="-8812045.25"/>
    <s v="CM advance (Pack &amp; Hold) receive, ref-424130427099"/>
    <s v="0000001010"/>
    <s v="VF+H&amp;M INVOICE"/>
    <s v=""/>
    <s v=""/>
    <s v="0"/>
    <s v="424130427099"/>
    <s v=""/>
    <s v=""/>
    <s v=""/>
    <s v=""/>
    <s v=""/>
    <x v="0"/>
    <d v="2017-09-01T00:00:00"/>
    <s v="1706000019"/>
    <d v="2017-03-05T00:00:00"/>
    <s v=""/>
    <s v="1609000418"/>
  </r>
  <r>
    <s v="1609000421"/>
    <d v="2017-03-15T00:00:00"/>
    <d v="2017-03-15T00:00:00"/>
    <s v="DZ"/>
    <s v="USD"/>
    <n v="-118422"/>
    <n v="-118422"/>
    <s v="BDT"/>
    <s v="EGM2"/>
    <n v="-9384943.5"/>
    <s v="CM advance (Pack &amp; Hold) receive, ref-424130431672"/>
    <s v="0000001010"/>
    <s v="VF+H&amp;M INVOICE"/>
    <s v=""/>
    <s v=""/>
    <s v="0"/>
    <s v="424130431672"/>
    <s v=""/>
    <s v=""/>
    <s v=""/>
    <s v=""/>
    <s v=""/>
    <x v="0"/>
    <d v="2017-09-30T00:00:00"/>
    <s v="1706000018"/>
    <d v="2017-03-15T00:00:00"/>
    <s v=""/>
    <s v="1609000421"/>
  </r>
  <r>
    <s v="1609000422"/>
    <d v="2017-03-19T00:00:00"/>
    <d v="2017-03-19T00:00:00"/>
    <s v="DZ"/>
    <s v="USD"/>
    <n v="5502"/>
    <n v="5502"/>
    <s v="BDT"/>
    <s v="EGM2"/>
    <n v="435208.2"/>
    <s v="CM ADVANCE ADJUST, REF-424130427099"/>
    <s v="0000001010"/>
    <s v="03551170073TH"/>
    <s v=""/>
    <s v=""/>
    <s v="0"/>
    <s v="424130433206"/>
    <s v=""/>
    <s v=""/>
    <s v=""/>
    <s v=""/>
    <s v=""/>
    <x v="0"/>
    <d v="2017-09-01T00:00:00"/>
    <s v="1706000019"/>
    <d v="2017-03-19T00:00:00"/>
    <s v=""/>
    <s v="1609000422"/>
  </r>
  <r>
    <s v="1609000428"/>
    <d v="2017-03-20T00:00:00"/>
    <d v="2017-03-20T00:00:00"/>
    <s v="DZ"/>
    <s v="USD"/>
    <n v="28150"/>
    <n v="28150"/>
    <s v="BDT"/>
    <s v="EGM2"/>
    <n v="2230887.5"/>
    <s v="CM ADVANCE ADJUST, REF-424130427099"/>
    <s v="0000001010"/>
    <s v="VF-68-89-17"/>
    <s v=""/>
    <s v=""/>
    <s v="0"/>
    <s v="424130433215-L"/>
    <s v=""/>
    <s v=""/>
    <s v=""/>
    <s v=""/>
    <s v=""/>
    <x v="0"/>
    <d v="2017-09-01T00:00:00"/>
    <s v="1706000019"/>
    <d v="2017-03-20T00:00:00"/>
    <s v=""/>
    <s v="1609000428"/>
  </r>
  <r>
    <s v="1609000436"/>
    <d v="2017-03-29T00:00:00"/>
    <d v="2017-03-29T00:00:00"/>
    <s v="DZ"/>
    <s v="USD"/>
    <n v="9187"/>
    <n v="9187"/>
    <s v="BDT"/>
    <s v="EGM2"/>
    <n v="728069.75"/>
    <s v="CM ADVANCE ADJUST, REF-424130427099"/>
    <s v="0000001010"/>
    <s v="E23260VF17US0091"/>
    <s v=""/>
    <s v=""/>
    <s v="0"/>
    <s v="424130436793"/>
    <s v=""/>
    <s v=""/>
    <s v=""/>
    <s v=""/>
    <s v=""/>
    <x v="0"/>
    <d v="2017-09-01T00:00:00"/>
    <s v="1706000019"/>
    <d v="2017-03-29T00:00:00"/>
    <s v=""/>
    <s v="1609000436"/>
  </r>
  <r>
    <s v="1609000437"/>
    <d v="2017-03-29T00:00:00"/>
    <d v="2017-03-29T00:00:00"/>
    <s v="DZ"/>
    <s v="USD"/>
    <n v="7590"/>
    <n v="7590"/>
    <s v="BDT"/>
    <s v="EGM2"/>
    <n v="601507.5"/>
    <s v=""/>
    <s v="0000001010"/>
    <s v="03654170077CA"/>
    <s v=""/>
    <s v=""/>
    <s v="0"/>
    <s v="424130436784"/>
    <s v=""/>
    <s v=""/>
    <s v=""/>
    <s v=""/>
    <s v=""/>
    <x v="0"/>
    <d v="2017-09-01T00:00:00"/>
    <s v="1706000019"/>
    <d v="2017-03-29T00:00:00"/>
    <s v=""/>
    <s v="1609000437"/>
  </r>
  <r>
    <s v="1609000444"/>
    <d v="2017-04-03T00:00:00"/>
    <d v="2017-04-03T00:00:00"/>
    <s v="DZ"/>
    <s v="USD"/>
    <n v="5692"/>
    <n v="5692"/>
    <s v="BDT"/>
    <s v="EGM2"/>
    <n v="451091"/>
    <s v="CM ADVANCE ADJUST, REF-424130427099"/>
    <s v="0000001010"/>
    <s v="03551170061NZ"/>
    <s v=""/>
    <s v=""/>
    <s v="0"/>
    <s v="424130438755"/>
    <s v=""/>
    <s v=""/>
    <s v=""/>
    <s v=""/>
    <s v=""/>
    <x v="0"/>
    <d v="2017-09-01T00:00:00"/>
    <s v="1706000019"/>
    <d v="2017-04-03T00:00:00"/>
    <s v=""/>
    <s v="1609000444"/>
  </r>
  <r>
    <s v="1609000446"/>
    <d v="2017-04-05T00:00:00"/>
    <d v="2017-04-05T00:00:00"/>
    <s v="DZ"/>
    <s v="USD"/>
    <n v="1423"/>
    <n v="1423"/>
    <s v="BDT"/>
    <s v="EGM2"/>
    <n v="112772.75"/>
    <s v="CM ADVANCE ADJUST, REF-424130431672"/>
    <s v="0000001010"/>
    <s v="03654170101BE"/>
    <s v=""/>
    <s v=""/>
    <s v="0"/>
    <s v="424130439512"/>
    <s v=""/>
    <s v=""/>
    <s v=""/>
    <s v=""/>
    <s v=""/>
    <x v="0"/>
    <d v="2017-09-30T00:00:00"/>
    <s v="1706000018"/>
    <d v="2017-04-05T00:00:00"/>
    <s v=""/>
    <s v="1609000446"/>
  </r>
  <r>
    <s v="1609000452"/>
    <d v="2017-04-03T00:00:00"/>
    <d v="2017-04-03T00:00:00"/>
    <s v="DZ"/>
    <s v="USD"/>
    <n v="-250407"/>
    <n v="-250407"/>
    <s v="BDT"/>
    <s v="EGM1"/>
    <n v="-19957437.899999999"/>
    <s v="CM ADVANCE - 424130438764"/>
    <s v="0000001010"/>
    <s v="JCP+WMV INVOICE"/>
    <s v=""/>
    <s v=""/>
    <s v="0"/>
    <s v="424130438764"/>
    <s v=""/>
    <s v=""/>
    <s v=""/>
    <s v=""/>
    <s v=""/>
    <x v="0"/>
    <d v="2017-04-30T00:00:00"/>
    <s v="1606000022"/>
    <d v="2017-04-03T00:00:00"/>
    <s v=""/>
    <s v="1609000452"/>
  </r>
  <r>
    <s v="1609000453"/>
    <d v="2017-04-05T00:00:00"/>
    <d v="2017-04-05T00:00:00"/>
    <s v="DZ"/>
    <s v="USD"/>
    <n v="36718"/>
    <n v="36718"/>
    <s v="BDT"/>
    <s v="EGM1"/>
    <n v="2926424.6"/>
    <s v=""/>
    <s v="0000001010"/>
    <s v="E03214US17-0292"/>
    <s v=""/>
    <s v=""/>
    <s v="0"/>
    <s v="424130440234"/>
    <s v=""/>
    <s v=""/>
    <s v=""/>
    <s v=""/>
    <s v=""/>
    <x v="0"/>
    <d v="2017-04-30T00:00:00"/>
    <s v="1606000022"/>
    <d v="2017-04-05T00:00:00"/>
    <s v=""/>
    <s v="1609000453"/>
  </r>
  <r>
    <s v="1609000458"/>
    <d v="2017-04-10T00:00:00"/>
    <d v="2017-04-10T00:00:00"/>
    <s v="DZ"/>
    <s v="USD"/>
    <n v="9999"/>
    <n v="9999"/>
    <s v="BDT"/>
    <s v="EGM2"/>
    <n v="792420.75"/>
    <s v="CM ADVANCE ADJUST, REF-424130431672"/>
    <s v="0000001010"/>
    <s v="03654170085RS"/>
    <s v=""/>
    <s v=""/>
    <s v="0"/>
    <s v="424130441251"/>
    <s v=""/>
    <s v=""/>
    <s v=""/>
    <s v=""/>
    <s v=""/>
    <x v="0"/>
    <d v="2017-09-30T00:00:00"/>
    <s v="1706000018"/>
    <d v="2017-04-10T00:00:00"/>
    <s v=""/>
    <s v="1609000458"/>
  </r>
  <r>
    <s v="1609000458"/>
    <d v="2017-04-10T00:00:00"/>
    <d v="2017-04-10T00:00:00"/>
    <s v="DZ"/>
    <s v="USD"/>
    <n v="19289"/>
    <n v="19289"/>
    <s v="BDT"/>
    <s v="EGM2"/>
    <n v="1528653.25"/>
    <s v="CM ADVANCE ADJUST, REF-424130427099"/>
    <s v="0000001010"/>
    <s v="03654170085RS"/>
    <s v=""/>
    <s v=""/>
    <s v="0"/>
    <s v="424130441251"/>
    <s v=""/>
    <s v=""/>
    <s v=""/>
    <s v=""/>
    <s v=""/>
    <x v="0"/>
    <d v="2017-09-01T00:00:00"/>
    <s v="1706000019"/>
    <d v="2017-04-10T00:00:00"/>
    <s v=""/>
    <s v="1609000458"/>
  </r>
  <r>
    <s v="1609000459"/>
    <d v="2017-04-10T00:00:00"/>
    <d v="2017-04-10T00:00:00"/>
    <s v="DZ"/>
    <s v="USD"/>
    <n v="2678"/>
    <n v="2678"/>
    <s v="BDT"/>
    <s v="EGM2"/>
    <n v="212231.5"/>
    <s v="CM ADVANCE ADJUST, REF-424130431672"/>
    <s v="0000001010"/>
    <s v="03654170119CL"/>
    <s v=""/>
    <s v=""/>
    <s v="0"/>
    <s v="424130441260"/>
    <s v=""/>
    <s v=""/>
    <s v=""/>
    <s v=""/>
    <s v=""/>
    <x v="0"/>
    <d v="2017-09-30T00:00:00"/>
    <s v="1706000018"/>
    <d v="2017-04-10T00:00:00"/>
    <s v=""/>
    <s v="1609000459"/>
  </r>
  <r>
    <s v="1609000459"/>
    <d v="2017-04-10T00:00:00"/>
    <d v="2017-04-10T00:00:00"/>
    <s v="DZ"/>
    <s v="USD"/>
    <n v="1423"/>
    <n v="1423"/>
    <s v="BDT"/>
    <s v="EGM2"/>
    <n v="112772.75"/>
    <s v="CM ADVANCE ADJUST, REF-424130427099"/>
    <s v="0000001010"/>
    <s v="03654170119CL"/>
    <s v=""/>
    <s v=""/>
    <s v="0"/>
    <s v="424130441260"/>
    <s v=""/>
    <s v=""/>
    <s v=""/>
    <s v=""/>
    <s v=""/>
    <x v="0"/>
    <d v="2017-09-01T00:00:00"/>
    <s v="1706000019"/>
    <d v="2017-04-10T00:00:00"/>
    <s v=""/>
    <s v="1609000459"/>
  </r>
  <r>
    <s v="1609000460"/>
    <d v="2017-04-10T00:00:00"/>
    <d v="2017-04-10T00:00:00"/>
    <s v="DZ"/>
    <s v="USD"/>
    <n v="55476"/>
    <n v="55476"/>
    <s v="BDT"/>
    <s v="EGM2"/>
    <n v="4396473"/>
    <s v="CM ADVANCE ADJUST, REF-424130431672"/>
    <s v="0000001010"/>
    <s v="E23260VF17US0092"/>
    <s v=""/>
    <s v=""/>
    <s v="0"/>
    <s v="424130441475"/>
    <s v=""/>
    <s v=""/>
    <s v=""/>
    <s v=""/>
    <s v=""/>
    <x v="0"/>
    <d v="2017-09-30T00:00:00"/>
    <s v="1706000018"/>
    <d v="2017-04-10T00:00:00"/>
    <s v=""/>
    <s v="1609000460"/>
  </r>
  <r>
    <s v="1609000460"/>
    <d v="2017-04-10T00:00:00"/>
    <d v="2017-04-10T00:00:00"/>
    <s v="DZ"/>
    <s v="USD"/>
    <n v="34359"/>
    <n v="34359"/>
    <s v="BDT"/>
    <s v="EGM2"/>
    <n v="2722950.75"/>
    <s v="CM ADVANCE ADJUST, REF-424130427099"/>
    <s v="0000001010"/>
    <s v="E23260VF17US0092"/>
    <s v=""/>
    <s v=""/>
    <s v="0"/>
    <s v="424130441475"/>
    <s v=""/>
    <s v=""/>
    <s v=""/>
    <s v=""/>
    <s v=""/>
    <x v="0"/>
    <d v="2017-09-01T00:00:00"/>
    <s v="1706000019"/>
    <d v="2017-04-10T00:00:00"/>
    <s v=""/>
    <s v="1609000460"/>
  </r>
  <r>
    <s v="1609000461"/>
    <d v="2017-04-11T00:00:00"/>
    <d v="2017-04-11T00:00:00"/>
    <s v="DZ"/>
    <s v="USD"/>
    <n v="145929"/>
    <n v="145929"/>
    <s v="BDT"/>
    <s v="EGM1"/>
    <n v="11630541.300000001"/>
    <s v=""/>
    <s v="0000001010"/>
    <s v="E43481DC17US0340"/>
    <s v=""/>
    <s v=""/>
    <s v="0"/>
    <s v="424130442312"/>
    <s v=""/>
    <s v=""/>
    <s v=""/>
    <s v=""/>
    <s v=""/>
    <x v="0"/>
    <d v="2017-04-30T00:00:00"/>
    <s v="1606000022"/>
    <d v="2017-04-11T00:00:00"/>
    <s v=""/>
    <s v="1609000461"/>
  </r>
  <r>
    <s v="1609000462"/>
    <d v="2017-04-09T00:00:00"/>
    <d v="2017-04-09T00:00:00"/>
    <s v="DZ"/>
    <s v="USD"/>
    <n v="-139902"/>
    <n v="-139902"/>
    <s v="BDT"/>
    <s v="EGM2"/>
    <n v="-11150189.4"/>
    <s v="CM ADVANCE-424130440635"/>
    <s v="0000001010"/>
    <s v="IT06591704060169"/>
    <s v=""/>
    <s v=""/>
    <s v="0"/>
    <s v="424130440635"/>
    <s v=""/>
    <s v=""/>
    <s v=""/>
    <s v=""/>
    <s v=""/>
    <x v="0"/>
    <d v="2017-09-30T00:00:00"/>
    <s v="1706000017"/>
    <d v="2017-04-09T00:00:00"/>
    <s v=""/>
    <s v="1609000462"/>
  </r>
  <r>
    <s v="1609000468"/>
    <d v="2017-04-13T00:00:00"/>
    <d v="2017-04-13T00:00:00"/>
    <s v="DZ"/>
    <s v="USD"/>
    <n v="9115"/>
    <n v="9115"/>
    <s v="BDT"/>
    <s v="EGM2"/>
    <n v="722363.75"/>
    <s v="CM ADVANCE ADJUST, REF-424130431672"/>
    <s v="0000001010"/>
    <s v="E23616VF17US0071"/>
    <s v=""/>
    <s v=""/>
    <s v="0"/>
    <s v="424130443017"/>
    <s v=""/>
    <s v=""/>
    <s v=""/>
    <s v=""/>
    <s v=""/>
    <x v="0"/>
    <d v="2017-09-30T00:00:00"/>
    <s v="1706000018"/>
    <d v="2017-04-13T00:00:00"/>
    <s v=""/>
    <s v="1609000468"/>
  </r>
  <r>
    <s v="1609000469"/>
    <d v="2017-04-13T00:00:00"/>
    <d v="2017-04-13T00:00:00"/>
    <s v="DZ"/>
    <s v="USD"/>
    <n v="67760"/>
    <n v="67760"/>
    <s v="BDT"/>
    <s v="EGM1"/>
    <n v="5400472"/>
    <s v=""/>
    <s v="0000001010"/>
    <s v="E03649US17-0367"/>
    <s v=""/>
    <s v=""/>
    <s v="0"/>
    <s v="424130443026"/>
    <s v=""/>
    <s v=""/>
    <s v=""/>
    <s v=""/>
    <s v=""/>
    <x v="0"/>
    <d v="2017-04-30T00:00:00"/>
    <s v="1606000022"/>
    <d v="2017-04-13T00:00:00"/>
    <s v=""/>
    <s v="1609000469"/>
  </r>
  <r>
    <s v="1609000473"/>
    <d v="2017-03-31T00:00:00"/>
    <d v="2017-03-31T00:00:00"/>
    <s v="DZ"/>
    <s v="USD"/>
    <n v="-242864"/>
    <n v="-242864"/>
    <s v="BDT"/>
    <s v="EGM1"/>
    <n v="-19356260.800000001"/>
    <s v="Funds in Transit Mar-17-CM advance"/>
    <s v="0000001010"/>
    <s v="CM ADV FIT"/>
    <s v=""/>
    <s v=""/>
    <s v="0"/>
    <s v="CM ADV FIT MAR-17"/>
    <s v=""/>
    <s v=""/>
    <s v=""/>
    <s v=""/>
    <s v=""/>
    <x v="0"/>
    <d v="2017-03-31T00:00:00"/>
    <s v="1603016869"/>
    <d v="2017-03-31T00:00:00"/>
    <s v=""/>
    <s v="1609000473"/>
  </r>
  <r>
    <s v="1609000478"/>
    <d v="2017-03-31T00:00:00"/>
    <d v="2017-03-31T00:00:00"/>
    <s v="DZ"/>
    <s v="USD"/>
    <n v="-448"/>
    <n v="-448"/>
    <s v="BDT"/>
    <s v="EGM1"/>
    <n v="-35705.599999999999"/>
    <s v="Funds in Transit"/>
    <s v="0000001010"/>
    <s v="FUND IN TRANSIT"/>
    <s v=""/>
    <s v=""/>
    <s v="0"/>
    <s v="FUND IN TRANSIT"/>
    <s v=""/>
    <s v=""/>
    <s v=""/>
    <s v=""/>
    <s v=""/>
    <x v="0"/>
    <d v="2017-03-31T00:00:00"/>
    <s v="1603016870"/>
    <d v="2017-03-31T00:00:00"/>
    <s v=""/>
    <s v="1609000478"/>
  </r>
  <r>
    <s v="1609000482"/>
    <d v="2017-03-31T00:00:00"/>
    <d v="2017-03-31T00:00:00"/>
    <s v="DZ"/>
    <s v="USD"/>
    <n v="-243312"/>
    <n v="-243312"/>
    <s v="BDT"/>
    <s v="EGM1"/>
    <n v="-19391966.399999999"/>
    <s v="Funds in Transit Mar-17-CM advance"/>
    <s v="0000001010"/>
    <s v="CM ADV FIT"/>
    <s v=""/>
    <s v=""/>
    <s v="0"/>
    <s v="CM ADV FIT MAR-17"/>
    <s v=""/>
    <s v=""/>
    <s v=""/>
    <s v=""/>
    <s v=""/>
    <x v="0"/>
    <d v="2017-04-01T00:00:00"/>
    <s v="1603017781"/>
    <d v="2017-03-31T00:00:00"/>
    <s v=""/>
    <s v="1609000482"/>
  </r>
  <r>
    <s v="1609000484"/>
    <d v="2017-04-20T00:00:00"/>
    <d v="2017-04-20T00:00:00"/>
    <s v="DZ"/>
    <s v="USD"/>
    <n v="5976"/>
    <n v="5976"/>
    <s v="BDT"/>
    <s v="EGM2"/>
    <n v="473598"/>
    <s v="CM ADVANCE ADJUST, REF-424130431672"/>
    <s v="0000001010"/>
    <s v="03654170139TH"/>
    <s v=""/>
    <s v=""/>
    <s v="0"/>
    <s v="424130446826"/>
    <s v=""/>
    <s v=""/>
    <s v=""/>
    <s v=""/>
    <s v=""/>
    <x v="0"/>
    <d v="2017-09-30T00:00:00"/>
    <s v="1706000018"/>
    <d v="2017-04-20T00:00:00"/>
    <s v=""/>
    <s v="1609000484"/>
  </r>
  <r>
    <s v="1609000485"/>
    <d v="2017-04-20T00:00:00"/>
    <d v="2017-04-20T00:00:00"/>
    <s v="DZ"/>
    <s v="USD"/>
    <n v="17242"/>
    <n v="17242"/>
    <s v="BDT"/>
    <s v="EGM2"/>
    <n v="1374187.4"/>
    <s v="CM ADVANCE ADJUST, REF-424130440635"/>
    <s v="0000001010"/>
    <s v="03654170141KR"/>
    <s v=""/>
    <s v=""/>
    <s v="0"/>
    <s v="424130446817"/>
    <s v=""/>
    <s v=""/>
    <s v=""/>
    <s v=""/>
    <s v=""/>
    <x v="0"/>
    <d v="2017-09-30T00:00:00"/>
    <s v="1706000017"/>
    <d v="2017-04-20T00:00:00"/>
    <s v=""/>
    <s v="1609000485"/>
  </r>
  <r>
    <s v="1609000485"/>
    <d v="2017-04-20T00:00:00"/>
    <d v="2017-04-20T00:00:00"/>
    <s v="DZ"/>
    <s v="USD"/>
    <n v="414"/>
    <n v="414"/>
    <s v="BDT"/>
    <s v="EGM2"/>
    <n v="32809.5"/>
    <s v="CM ADVANCE ADJUST, REF-424130431672"/>
    <s v="0000001010"/>
    <s v="03654170141KR"/>
    <s v=""/>
    <s v=""/>
    <s v="0"/>
    <s v="424130446817"/>
    <s v=""/>
    <s v=""/>
    <s v=""/>
    <s v=""/>
    <s v=""/>
    <x v="0"/>
    <d v="2017-09-30T00:00:00"/>
    <s v="1706000018"/>
    <d v="2017-04-20T00:00:00"/>
    <s v=""/>
    <s v="1609000485"/>
  </r>
  <r>
    <s v="1609000488"/>
    <d v="2017-04-19T00:00:00"/>
    <d v="2017-04-19T00:00:00"/>
    <s v="DZ"/>
    <s v="USD"/>
    <n v="8430"/>
    <n v="8430"/>
    <s v="BDT"/>
    <s v="EGM2"/>
    <n v="671871"/>
    <s v="CM ADVANCE ADJUST, REF-424130440635"/>
    <s v="0000001010"/>
    <s v="E23611VF17US0166"/>
    <s v=""/>
    <s v=""/>
    <s v="0"/>
    <s v="424130446309"/>
    <s v=""/>
    <s v=""/>
    <s v=""/>
    <s v=""/>
    <s v=""/>
    <x v="0"/>
    <d v="2017-09-30T00:00:00"/>
    <s v="1706000017"/>
    <d v="2017-04-19T00:00:00"/>
    <s v=""/>
    <s v="1609000488"/>
  </r>
  <r>
    <s v="1609000488"/>
    <d v="2017-04-19T00:00:00"/>
    <d v="2017-04-19T00:00:00"/>
    <s v="DZ"/>
    <s v="USD"/>
    <n v="19516"/>
    <n v="19516"/>
    <s v="BDT"/>
    <s v="EGM2"/>
    <n v="1546643"/>
    <s v="CM ADVANCE ADJUST, REF-424130431672"/>
    <s v="0000001010"/>
    <s v="E23611VF17US0166"/>
    <s v=""/>
    <s v=""/>
    <s v="0"/>
    <s v="424130446309"/>
    <s v=""/>
    <s v=""/>
    <s v=""/>
    <s v=""/>
    <s v=""/>
    <x v="0"/>
    <d v="2017-09-30T00:00:00"/>
    <s v="1706000018"/>
    <d v="2017-04-19T00:00:00"/>
    <s v=""/>
    <s v="1609000488"/>
  </r>
  <r>
    <s v="1609000489"/>
    <d v="2017-04-19T00:00:00"/>
    <d v="2017-04-19T00:00:00"/>
    <s v="DZ"/>
    <s v="USD"/>
    <n v="4842"/>
    <n v="4842"/>
    <s v="BDT"/>
    <s v="EGM2"/>
    <n v="383728.5"/>
    <s v="CM ADVANCE ADJUST, REF-424130431672"/>
    <s v="0000001010"/>
    <s v="03675170147CA"/>
    <s v=""/>
    <s v=""/>
    <s v="0"/>
    <s v="424130446292"/>
    <s v=""/>
    <s v=""/>
    <s v=""/>
    <s v=""/>
    <s v=""/>
    <x v="0"/>
    <d v="2017-09-30T00:00:00"/>
    <s v="1706000018"/>
    <d v="2017-04-19T00:00:00"/>
    <s v=""/>
    <s v="1609000489"/>
  </r>
  <r>
    <s v="1609000490"/>
    <d v="2017-04-18T00:00:00"/>
    <d v="2017-04-18T00:00:00"/>
    <s v="DZ"/>
    <s v="USD"/>
    <n v="1564"/>
    <n v="1564"/>
    <s v="BDT"/>
    <s v="EGM2"/>
    <n v="123947"/>
    <s v="CM ADVANCE ADJUST, REF-424130431672"/>
    <s v="0000001010"/>
    <s v="03654170087MX"/>
    <s v=""/>
    <s v=""/>
    <s v="0"/>
    <s v="424130445355"/>
    <s v=""/>
    <s v=""/>
    <s v=""/>
    <s v=""/>
    <s v=""/>
    <x v="0"/>
    <d v="2017-09-30T00:00:00"/>
    <s v="1706000018"/>
    <d v="2017-04-18T00:00:00"/>
    <s v=""/>
    <s v="1609000490"/>
  </r>
  <r>
    <s v="1609000501"/>
    <d v="2017-04-27T00:00:00"/>
    <d v="2017-04-27T00:00:00"/>
    <s v="DZ"/>
    <s v="USD"/>
    <n v="30077"/>
    <n v="30077"/>
    <s v="BDT"/>
    <s v="EGM2"/>
    <n v="2397136.9"/>
    <s v="CM ADVANCE ADJUST, REF-424130440635"/>
    <s v="0000001010"/>
    <s v="E23503VF17US0167"/>
    <s v=""/>
    <s v=""/>
    <s v="0"/>
    <s v="424130449672"/>
    <s v=""/>
    <s v=""/>
    <s v=""/>
    <s v=""/>
    <s v=""/>
    <x v="0"/>
    <d v="2017-09-30T00:00:00"/>
    <s v="1706000017"/>
    <d v="2017-04-27T00:00:00"/>
    <s v=""/>
    <s v="1609000501"/>
  </r>
  <r>
    <s v="1609000504"/>
    <d v="2017-04-27T00:00:00"/>
    <d v="2017-04-27T00:00:00"/>
    <s v="DZ"/>
    <s v="USD"/>
    <n v="67198"/>
    <n v="67198"/>
    <s v="BDT"/>
    <s v="EGM2"/>
    <n v="5355680.5999999996"/>
    <s v="CM ADVANCE ADJUST, REF-424130440635"/>
    <s v="0000001010"/>
    <s v="03675170104CN"/>
    <s v=""/>
    <s v=""/>
    <s v="0"/>
    <s v="424130450419"/>
    <s v=""/>
    <s v=""/>
    <s v=""/>
    <s v=""/>
    <s v=""/>
    <x v="0"/>
    <d v="2017-09-30T00:00:00"/>
    <s v="1706000017"/>
    <d v="2017-04-27T00:00:00"/>
    <s v=""/>
    <s v="1609000504"/>
  </r>
  <r>
    <s v="1609000504"/>
    <d v="2017-04-27T00:00:00"/>
    <d v="2017-04-27T00:00:00"/>
    <s v="DZ"/>
    <s v="USD"/>
    <n v="4924"/>
    <n v="4924"/>
    <s v="BDT"/>
    <s v="EGM2"/>
    <n v="390227"/>
    <s v="CM ADVANCE ADJUST, REF-424130431672"/>
    <s v="0000001010"/>
    <s v="03675170104CN"/>
    <s v=""/>
    <s v=""/>
    <s v="0"/>
    <s v="424130450419"/>
    <s v=""/>
    <s v=""/>
    <s v=""/>
    <s v=""/>
    <s v=""/>
    <x v="0"/>
    <d v="2017-09-30T00:00:00"/>
    <s v="1706000018"/>
    <d v="2017-04-27T00:00:00"/>
    <s v=""/>
    <s v="1609000504"/>
  </r>
  <r>
    <s v="1609000510"/>
    <d v="2017-05-03T00:00:00"/>
    <d v="2017-05-03T00:00:00"/>
    <s v="DZ"/>
    <s v="USD"/>
    <n v="-206302"/>
    <n v="-206302"/>
    <s v="BDT"/>
    <s v="EGM2"/>
    <n v="-16658886.5"/>
    <s v="CM ADVANCE -424130451962"/>
    <s v="0000001010"/>
    <s v="IT06591705030072"/>
    <s v=""/>
    <s v=""/>
    <s v="0"/>
    <s v="424130451962"/>
    <s v=""/>
    <s v=""/>
    <s v=""/>
    <s v=""/>
    <s v=""/>
    <x v="0"/>
    <d v="2017-09-30T00:00:00"/>
    <s v="1706000006"/>
    <d v="2017-05-03T00:00:00"/>
    <s v=""/>
    <s v="1609000510"/>
  </r>
  <r>
    <s v="1609000511"/>
    <d v="2017-05-03T00:00:00"/>
    <d v="2017-05-03T00:00:00"/>
    <s v="DZ"/>
    <s v="USD"/>
    <n v="-783000"/>
    <n v="-783000"/>
    <s v="BDT"/>
    <s v="EGM1"/>
    <n v="-63227250"/>
    <s v="CM ADVANCE -424130451926"/>
    <s v="0000001010"/>
    <s v="IT06591705020274"/>
    <s v=""/>
    <s v=""/>
    <s v="0"/>
    <s v="424130451926"/>
    <s v=""/>
    <s v=""/>
    <s v=""/>
    <s v=""/>
    <s v=""/>
    <x v="0"/>
    <d v="2017-09-01T00:00:00"/>
    <s v="1706000002"/>
    <d v="2017-05-03T00:00:00"/>
    <s v=""/>
    <s v="1609000511"/>
  </r>
  <r>
    <s v="1609000514"/>
    <d v="2017-05-04T00:00:00"/>
    <d v="2017-05-04T00:00:00"/>
    <s v="DZ"/>
    <s v="USD"/>
    <n v="11807"/>
    <n v="11807"/>
    <s v="BDT"/>
    <s v="EGM2"/>
    <n v="941017.9"/>
    <s v="CM ADVANCE ADJUST, REF-424130440635"/>
    <s v="0000001010"/>
    <s v="03675170179PE"/>
    <s v=""/>
    <s v=""/>
    <s v="0"/>
    <s v="424130452337"/>
    <s v=""/>
    <s v=""/>
    <s v=""/>
    <s v=""/>
    <s v=""/>
    <x v="0"/>
    <d v="2017-09-30T00:00:00"/>
    <s v="1706000017"/>
    <d v="2017-05-04T00:00:00"/>
    <s v=""/>
    <s v="1609000514"/>
  </r>
  <r>
    <s v="1609000514"/>
    <d v="2017-05-04T00:00:00"/>
    <d v="2017-05-04T00:00:00"/>
    <s v="DZ"/>
    <s v="USD"/>
    <n v="109"/>
    <n v="109"/>
    <s v="BDT"/>
    <s v="EGM2"/>
    <n v="8638.25"/>
    <s v="CM ADVANCE ADJUST, REF-424130431672"/>
    <s v="0000001010"/>
    <s v="03675170179PE"/>
    <s v=""/>
    <s v=""/>
    <s v="0"/>
    <s v="424130452337"/>
    <s v=""/>
    <s v=""/>
    <s v=""/>
    <s v=""/>
    <s v=""/>
    <x v="0"/>
    <d v="2017-09-30T00:00:00"/>
    <s v="1706000018"/>
    <d v="2017-05-04T00:00:00"/>
    <s v=""/>
    <s v="1609000514"/>
  </r>
  <r>
    <s v="1609000527"/>
    <d v="2017-05-02T00:00:00"/>
    <d v="2017-05-02T00:00:00"/>
    <s v="DZ"/>
    <s v="USD"/>
    <n v="3963"/>
    <n v="3963"/>
    <s v="BDT"/>
    <s v="EGM2"/>
    <n v="315851.09999999998"/>
    <s v="CM ADVANCE ADJUST, REF-424130440635"/>
    <s v="0000001010"/>
    <s v="E23631VF17US0115"/>
    <s v=""/>
    <s v=""/>
    <s v="0"/>
    <s v="424130451258"/>
    <s v=""/>
    <s v=""/>
    <s v=""/>
    <s v=""/>
    <s v=""/>
    <x v="0"/>
    <d v="2017-09-30T00:00:00"/>
    <s v="1706000017"/>
    <d v="2017-05-02T00:00:00"/>
    <s v=""/>
    <s v="1609000527"/>
  </r>
  <r>
    <s v="1609000528"/>
    <d v="2017-05-15T00:00:00"/>
    <d v="2017-05-15T00:00:00"/>
    <s v="DZ"/>
    <s v="USD"/>
    <n v="1185"/>
    <n v="1185"/>
    <s v="BDT"/>
    <s v="EGM2"/>
    <n v="94444.5"/>
    <s v="CM ADVANCE ADJUST, REF-424130440635"/>
    <s v="0000001010"/>
    <s v="037011701963OF"/>
    <s v=""/>
    <s v=""/>
    <s v="0"/>
    <s v="424130456020"/>
    <s v=""/>
    <s v=""/>
    <s v=""/>
    <s v=""/>
    <s v=""/>
    <x v="0"/>
    <d v="2017-09-30T00:00:00"/>
    <s v="1706000017"/>
    <d v="2017-05-15T00:00:00"/>
    <s v=""/>
    <s v="1609000528"/>
  </r>
  <r>
    <s v="1609000528"/>
    <d v="2017-05-15T00:00:00"/>
    <d v="2017-05-15T00:00:00"/>
    <s v="DZ"/>
    <s v="USD"/>
    <n v="2298"/>
    <n v="2298"/>
    <s v="BDT"/>
    <s v="EGM2"/>
    <n v="182116.5"/>
    <s v="CM ADVANCE ADJUST, REF-424130431672"/>
    <s v="0000001010"/>
    <s v="037011701963OF"/>
    <s v=""/>
    <s v=""/>
    <s v="0"/>
    <s v="424130456020"/>
    <s v=""/>
    <s v=""/>
    <s v=""/>
    <s v=""/>
    <s v=""/>
    <x v="0"/>
    <d v="2017-09-30T00:00:00"/>
    <s v="1706000018"/>
    <d v="2017-05-15T00:00:00"/>
    <s v=""/>
    <s v="1609000528"/>
  </r>
  <r>
    <s v="1609000529"/>
    <d v="2017-05-15T00:00:00"/>
    <d v="2017-05-15T00:00:00"/>
    <s v="DZ"/>
    <s v="USD"/>
    <n v="30289"/>
    <n v="30289"/>
    <s v="BDT"/>
    <s v="EGM2"/>
    <n v="2445836.75"/>
    <s v="CM ADVANCE ADJUST, REF-424130451962"/>
    <s v="0000001010"/>
    <s v="E23662VF17US0113"/>
    <s v=""/>
    <s v=""/>
    <s v="0"/>
    <s v="424130456422"/>
    <s v=""/>
    <s v=""/>
    <s v=""/>
    <s v=""/>
    <s v=""/>
    <x v="0"/>
    <d v="2017-09-30T00:00:00"/>
    <s v="1706000006"/>
    <d v="2017-05-15T00:00:00"/>
    <s v=""/>
    <s v="1609000529"/>
  </r>
  <r>
    <s v="1609000530"/>
    <d v="2017-04-30T00:00:00"/>
    <d v="2017-04-30T00:00:00"/>
    <s v="DZ"/>
    <s v="USD"/>
    <n v="3943"/>
    <n v="3943"/>
    <s v="BDT"/>
    <s v="EGM1"/>
    <n v="318397.25"/>
    <s v="Funds in Transit Apr-17-CM advance"/>
    <s v="0000001010"/>
    <s v="CM ADV FIT"/>
    <s v=""/>
    <s v=""/>
    <s v="0"/>
    <s v="CM ADV FIT APR-17"/>
    <s v=""/>
    <s v=""/>
    <s v=""/>
    <s v=""/>
    <s v=""/>
    <x v="0"/>
    <d v="2017-05-01T00:00:00"/>
    <s v="1603018778"/>
    <d v="2017-04-30T00:00:00"/>
    <s v=""/>
    <s v="1609000530"/>
  </r>
  <r>
    <s v="1609000534"/>
    <d v="2017-05-16T00:00:00"/>
    <d v="2017-05-16T00:00:00"/>
    <s v="DZ"/>
    <s v="USD"/>
    <n v="561211"/>
    <n v="561211"/>
    <s v="BDT"/>
    <s v="EGM1"/>
    <n v="45317788.25"/>
    <s v="CM ADVANCE ADJUST, REF-424130451926"/>
    <s v="0000001010"/>
    <s v="E03525US17-0571"/>
    <s v=""/>
    <s v=""/>
    <s v="0"/>
    <s v="424130456823"/>
    <s v=""/>
    <s v=""/>
    <s v=""/>
    <s v=""/>
    <s v=""/>
    <x v="0"/>
    <d v="2017-09-01T00:00:00"/>
    <s v="1706000002"/>
    <d v="2017-05-16T00:00:00"/>
    <s v=""/>
    <s v="1609000534"/>
  </r>
  <r>
    <s v="1609000537"/>
    <d v="2017-05-16T00:00:00"/>
    <d v="2017-05-16T00:00:00"/>
    <s v="DZ"/>
    <s v="USD"/>
    <n v="109"/>
    <n v="109"/>
    <s v="BDT"/>
    <s v="EGM2"/>
    <n v="8638.25"/>
    <s v="CM ADVANCE ADJUST, REF-424130431672"/>
    <s v="0000001010"/>
    <s v="E23612VF17US0224"/>
    <s v=""/>
    <s v=""/>
    <s v="0"/>
    <s v="424130456805"/>
    <s v=""/>
    <s v=""/>
    <s v=""/>
    <s v=""/>
    <s v=""/>
    <x v="0"/>
    <d v="2017-09-30T00:00:00"/>
    <s v="1706000018"/>
    <d v="2017-05-16T00:00:00"/>
    <s v=""/>
    <s v="1609000537"/>
  </r>
  <r>
    <s v="1609000540"/>
    <d v="2017-05-21T00:00:00"/>
    <d v="2017-05-21T00:00:00"/>
    <s v="DZ"/>
    <s v="USD"/>
    <n v="81726"/>
    <n v="81726"/>
    <s v="BDT"/>
    <s v="EGM1"/>
    <n v="6599374.5"/>
    <s v="CM ADVANCE ADJUST, REF-424130451926"/>
    <s v="0000001010"/>
    <s v="E03571US17-04722"/>
    <s v=""/>
    <s v=""/>
    <s v="0"/>
    <s v="424130458484"/>
    <s v=""/>
    <s v=""/>
    <s v=""/>
    <s v=""/>
    <s v=""/>
    <x v="0"/>
    <d v="2017-09-01T00:00:00"/>
    <s v="1706000002"/>
    <d v="2017-05-21T00:00:00"/>
    <s v=""/>
    <s v="1609000540"/>
  </r>
  <r>
    <s v="1609000542"/>
    <d v="2017-05-22T00:00:00"/>
    <d v="2017-05-22T00:00:00"/>
    <s v="DZ"/>
    <s v="USD"/>
    <n v="89919"/>
    <n v="89919"/>
    <s v="BDT"/>
    <s v="EGM2"/>
    <n v="7260959.25"/>
    <s v="CM ADVANCE ADJUST, REF-424130451962"/>
    <s v="0000001010"/>
    <s v="E23503VF17US0258"/>
    <s v=""/>
    <s v=""/>
    <s v="0"/>
    <s v="424130459367"/>
    <s v=""/>
    <s v=""/>
    <s v=""/>
    <s v=""/>
    <s v=""/>
    <x v="0"/>
    <d v="2017-09-30T00:00:00"/>
    <s v="1706000006"/>
    <d v="2017-05-22T00:00:00"/>
    <s v=""/>
    <s v="1609000542"/>
  </r>
  <r>
    <s v="1609000543"/>
    <d v="2017-05-17T00:00:00"/>
    <d v="2017-05-17T00:00:00"/>
    <s v="DZ"/>
    <s v="USD"/>
    <n v="140063"/>
    <n v="140063"/>
    <s v="BDT"/>
    <s v="EGM1"/>
    <n v="11310087.25"/>
    <s v="CM ADVANCE ADJUSTED REF-424130451926"/>
    <s v="0000001010"/>
    <s v="E03621US17-0546"/>
    <s v=""/>
    <s v=""/>
    <s v="0"/>
    <s v="424130457449"/>
    <s v=""/>
    <s v=""/>
    <s v=""/>
    <s v=""/>
    <s v=""/>
    <x v="0"/>
    <d v="2017-09-01T00:00:00"/>
    <s v="1706000002"/>
    <d v="2017-05-17T00:00:00"/>
    <s v=""/>
    <s v="1609000543"/>
  </r>
  <r>
    <s v="1609000545"/>
    <d v="2017-05-23T00:00:00"/>
    <d v="2017-05-23T00:00:00"/>
    <s v="DZ"/>
    <s v="USD"/>
    <n v="4630"/>
    <n v="4630"/>
    <s v="BDT"/>
    <s v="EGM2"/>
    <n v="373872.5"/>
    <s v="CM ADVANCE ADJUST, REF-424130451962"/>
    <s v="0000001010"/>
    <s v="03853170257OT"/>
    <s v=""/>
    <s v=""/>
    <s v="0"/>
    <s v="424130460480"/>
    <s v=""/>
    <s v=""/>
    <s v=""/>
    <s v=""/>
    <s v=""/>
    <x v="0"/>
    <d v="2017-09-30T00:00:00"/>
    <s v="1706000006"/>
    <d v="2017-05-23T00:00:00"/>
    <s v=""/>
    <s v="1609000545"/>
  </r>
  <r>
    <s v="1609000552"/>
    <d v="2017-05-25T00:00:00"/>
    <d v="2017-05-25T00:00:00"/>
    <s v="DZ"/>
    <s v="USD"/>
    <n v="14980"/>
    <n v="14980"/>
    <s v="BDT"/>
    <s v="EGM2"/>
    <n v="1209635"/>
    <s v="CM ADVANCE ADJUST, REF-424130451962"/>
    <s v="0000001010"/>
    <s v="03720170210RU"/>
    <s v=""/>
    <s v=""/>
    <s v="0"/>
    <s v="424130462111"/>
    <s v=""/>
    <s v=""/>
    <s v=""/>
    <s v=""/>
    <s v=""/>
    <x v="0"/>
    <d v="2017-09-30T00:00:00"/>
    <s v="1706000006"/>
    <d v="2017-05-25T00:00:00"/>
    <s v=""/>
    <s v="1609000552"/>
  </r>
  <r>
    <s v="1609000556"/>
    <d v="2017-05-28T00:00:00"/>
    <d v="2017-05-28T00:00:00"/>
    <s v="DZ"/>
    <s v="USD"/>
    <n v="-150509"/>
    <n v="-150509"/>
    <s v="BDT"/>
    <s v="EGM2"/>
    <n v="-12153601.75"/>
    <s v="CM ADVANCE RECEIVED , REF-424130462497"/>
    <s v="0000001010"/>
    <s v="IT06591705250167"/>
    <s v=""/>
    <s v=""/>
    <s v="0"/>
    <s v="424130462497"/>
    <s v=""/>
    <s v=""/>
    <s v=""/>
    <s v=""/>
    <s v=""/>
    <x v="0"/>
    <d v="2017-09-30T00:00:00"/>
    <s v="1706000007"/>
    <d v="2017-05-28T00:00:00"/>
    <s v=""/>
    <s v="1609000556"/>
  </r>
  <r>
    <s v="1609000562"/>
    <d v="2017-05-31T00:00:00"/>
    <d v="2017-05-31T00:00:00"/>
    <s v="DZ"/>
    <s v="USD"/>
    <n v="15989"/>
    <n v="15989"/>
    <s v="BDT"/>
    <s v="EGM2"/>
    <n v="1291111.75"/>
    <s v="CM ADVANCE ADJUST, REF-424130451962"/>
    <s v="0000001010"/>
    <s v="03720170245CH"/>
    <s v=""/>
    <s v=""/>
    <s v="0"/>
    <s v="424130464404"/>
    <s v=""/>
    <s v=""/>
    <s v=""/>
    <s v=""/>
    <s v=""/>
    <x v="0"/>
    <d v="2017-05-31T00:00:00"/>
    <s v="1603017947"/>
    <d v="2017-05-31T00:00:00"/>
    <s v=""/>
    <s v="1609000562"/>
  </r>
  <r>
    <s v="1609000563"/>
    <d v="2017-06-01T00:00:00"/>
    <d v="2017-06-01T00:00:00"/>
    <s v="DZ"/>
    <s v="USD"/>
    <n v="17731"/>
    <n v="17731"/>
    <s v="BDT"/>
    <s v="EGM2"/>
    <n v="1431778.25"/>
    <s v="CM ADVANCE ADJUST, REF-424130451962"/>
    <s v="0000001010"/>
    <s v="03824170284CA"/>
    <s v=""/>
    <s v=""/>
    <s v="0"/>
    <s v="424130464413"/>
    <s v=""/>
    <s v=""/>
    <s v=""/>
    <s v=""/>
    <s v=""/>
    <x v="0"/>
    <d v="2017-09-30T00:00:00"/>
    <s v="1706000007"/>
    <d v="2017-06-01T00:00:00"/>
    <s v=""/>
    <s v="1609000563"/>
  </r>
  <r>
    <s v="1609000564"/>
    <d v="2017-06-01T00:00:00"/>
    <d v="2017-06-01T00:00:00"/>
    <s v="DZ"/>
    <s v="USD"/>
    <n v="15989"/>
    <n v="15989"/>
    <s v="BDT"/>
    <s v="EGM2"/>
    <n v="1291111.75"/>
    <s v="CM ADVANCE ADJUST, REF-424130451962"/>
    <s v="0000001010"/>
    <s v="03720170245CH"/>
    <s v=""/>
    <s v=""/>
    <s v="0"/>
    <s v="424130464404"/>
    <s v=""/>
    <s v=""/>
    <s v=""/>
    <s v=""/>
    <s v=""/>
    <x v="0"/>
    <d v="2017-09-30T00:00:00"/>
    <s v="1706000006"/>
    <d v="2017-06-01T00:00:00"/>
    <s v=""/>
    <s v="1609000564"/>
  </r>
  <r>
    <s v="1609000565"/>
    <d v="2017-06-04T00:00:00"/>
    <d v="2017-06-04T00:00:00"/>
    <s v="DZ"/>
    <s v="USD"/>
    <n v="-196937"/>
    <n v="-196937"/>
    <s v="BDT"/>
    <s v="EGM2"/>
    <n v="-15902662.75"/>
    <s v="CM ADVANCE RECEIVED , REF-424130465234"/>
    <s v="0000001010"/>
    <s v="IT06591706030002"/>
    <s v=""/>
    <s v=""/>
    <s v="0"/>
    <s v="424130465234"/>
    <s v=""/>
    <s v=""/>
    <s v=""/>
    <s v=""/>
    <s v=""/>
    <x v="0"/>
    <d v="2017-09-01T00:00:00"/>
    <s v="1706000008"/>
    <d v="2017-06-04T00:00:00"/>
    <s v=""/>
    <s v="1609000565"/>
  </r>
  <r>
    <s v="1609000570"/>
    <d v="2017-06-05T00:00:00"/>
    <d v="2017-06-05T00:00:00"/>
    <s v="DZ"/>
    <s v="USD"/>
    <n v="1211"/>
    <n v="1211"/>
    <s v="BDT"/>
    <s v="EGM2"/>
    <n v="97788.25"/>
    <s v="CM ADVANCE ADJUST, REF-424130451962"/>
    <s v="0000001010"/>
    <s v="03853170295OR"/>
    <s v=""/>
    <s v=""/>
    <s v="0"/>
    <s v="424130465387"/>
    <s v=""/>
    <s v=""/>
    <s v=""/>
    <s v=""/>
    <s v=""/>
    <x v="0"/>
    <d v="2017-09-30T00:00:00"/>
    <s v="1706000006"/>
    <d v="2017-06-05T00:00:00"/>
    <s v=""/>
    <s v="1609000570"/>
  </r>
  <r>
    <s v="1609000572"/>
    <d v="2017-06-06T00:00:00"/>
    <d v="2017-06-06T00:00:00"/>
    <s v="DZ"/>
    <s v="USD"/>
    <n v="8733"/>
    <n v="8733"/>
    <s v="BDT"/>
    <s v="EGM2"/>
    <n v="705189.75"/>
    <s v="CM ADVANCE ADJUST, REF-424130451962"/>
    <s v="0000001010"/>
    <s v="03824170294MX"/>
    <s v=""/>
    <s v=""/>
    <s v="0"/>
    <s v="424130465412"/>
    <s v=""/>
    <s v=""/>
    <s v=""/>
    <s v=""/>
    <s v=""/>
    <x v="0"/>
    <d v="2017-09-30T00:00:00"/>
    <s v="1706000006"/>
    <d v="2017-06-06T00:00:00"/>
    <s v=""/>
    <s v="1609000572"/>
  </r>
  <r>
    <s v="1609000572"/>
    <d v="2017-06-06T00:00:00"/>
    <d v="2017-06-06T00:00:00"/>
    <s v="DZ"/>
    <s v="USD"/>
    <n v="12463"/>
    <n v="12463"/>
    <s v="BDT"/>
    <s v="EGM2"/>
    <n v="1006387.25"/>
    <s v="CM ADVANCE ADJUST, REF-424130462497"/>
    <s v="0000001010"/>
    <s v="03824170294MX"/>
    <s v=""/>
    <s v=""/>
    <s v="0"/>
    <s v="424130465412"/>
    <s v=""/>
    <s v=""/>
    <s v=""/>
    <s v=""/>
    <s v=""/>
    <x v="0"/>
    <d v="2017-09-30T00:00:00"/>
    <s v="1706000007"/>
    <d v="2017-06-06T00:00:00"/>
    <s v=""/>
    <s v="1609000572"/>
  </r>
  <r>
    <s v="1609000578"/>
    <d v="2017-06-12T00:00:00"/>
    <d v="2017-06-12T00:00:00"/>
    <s v="DZ"/>
    <s v="USD"/>
    <n v="1981"/>
    <n v="1981"/>
    <s v="BDT"/>
    <s v="EGM2"/>
    <n v="159965.75"/>
    <s v="CM ADVANCE ADJUST REF-424130465234"/>
    <s v="0000001010"/>
    <s v="03824170171IT"/>
    <s v=""/>
    <s v=""/>
    <s v="0"/>
    <s v="424130467492"/>
    <s v=""/>
    <s v=""/>
    <s v=""/>
    <s v=""/>
    <s v=""/>
    <x v="0"/>
    <d v="2017-09-01T00:00:00"/>
    <s v="1706000008"/>
    <d v="2017-06-12T00:00:00"/>
    <s v=""/>
    <s v="1609000578"/>
  </r>
  <r>
    <s v="1609000578"/>
    <d v="2017-06-12T00:00:00"/>
    <d v="2017-06-12T00:00:00"/>
    <s v="DZ"/>
    <s v="USD"/>
    <n v="30858"/>
    <n v="30858"/>
    <s v="BDT"/>
    <s v="EGM2"/>
    <n v="2491783.5"/>
    <s v="CM ADVANCE ADJUST REF-424130462497"/>
    <s v="0000001010"/>
    <s v="03824170171IT"/>
    <s v=""/>
    <s v=""/>
    <s v="0"/>
    <s v="424130467492"/>
    <s v=""/>
    <s v=""/>
    <s v=""/>
    <s v=""/>
    <s v=""/>
    <x v="0"/>
    <d v="2017-09-30T00:00:00"/>
    <s v="1706000007"/>
    <d v="2017-06-12T00:00:00"/>
    <s v=""/>
    <s v="1609000578"/>
  </r>
  <r>
    <s v="1609000579"/>
    <d v="2017-06-12T00:00:00"/>
    <d v="2017-06-12T00:00:00"/>
    <s v="DZ"/>
    <s v="USD"/>
    <n v="2059"/>
    <n v="2059"/>
    <s v="BDT"/>
    <s v="EGM2"/>
    <n v="166264.25"/>
    <s v="CM ADVANCE ADJUST REF-424130465234"/>
    <s v="0000001010"/>
    <s v="E23710VF17US0262"/>
    <s v=""/>
    <s v=""/>
    <s v="0"/>
    <s v="424130467483"/>
    <s v=""/>
    <s v=""/>
    <s v=""/>
    <s v=""/>
    <s v=""/>
    <x v="0"/>
    <d v="2017-09-01T00:00:00"/>
    <s v="1706000008"/>
    <d v="2017-06-12T00:00:00"/>
    <s v=""/>
    <s v="1609000579"/>
  </r>
  <r>
    <s v="1609000579"/>
    <d v="2017-06-12T00:00:00"/>
    <d v="2017-06-12T00:00:00"/>
    <s v="DZ"/>
    <s v="USD"/>
    <n v="39418"/>
    <n v="39418"/>
    <s v="BDT"/>
    <s v="EGM2"/>
    <n v="3183003.5"/>
    <s v="CM ADVANCE ADJUST REF-424130462497"/>
    <s v="0000001010"/>
    <s v="E23710VF17US0262"/>
    <s v=""/>
    <s v=""/>
    <s v="0"/>
    <s v="424130467483"/>
    <s v=""/>
    <s v=""/>
    <s v=""/>
    <s v=""/>
    <s v=""/>
    <x v="0"/>
    <d v="2017-09-30T00:00:00"/>
    <s v="1706000007"/>
    <d v="2017-06-12T00:00:00"/>
    <s v=""/>
    <s v="1609000579"/>
  </r>
  <r>
    <s v="1609000581"/>
    <d v="2017-06-13T00:00:00"/>
    <d v="2017-06-13T00:00:00"/>
    <s v="DZ"/>
    <s v="USD"/>
    <n v="-103498"/>
    <n v="-103498"/>
    <s v="BDT"/>
    <s v="EGM2"/>
    <n v="-8292259.7599999998"/>
    <s v="BTB ADVANCE RECEIVED, REF-424130467839"/>
    <s v="0000001010"/>
    <s v="IT06591706120089"/>
    <s v=""/>
    <s v=""/>
    <s v="0"/>
    <s v="424130467839"/>
    <s v=""/>
    <s v=""/>
    <s v=""/>
    <s v=""/>
    <s v=""/>
    <x v="0"/>
    <d v="2017-09-30T00:00:00"/>
    <s v="1706000014"/>
    <d v="2017-06-13T00:00:00"/>
    <s v=""/>
    <s v="1609000581"/>
  </r>
  <r>
    <s v="1609000584"/>
    <d v="2017-05-31T00:00:00"/>
    <d v="2017-05-31T00:00:00"/>
    <s v="DZ"/>
    <s v="USD"/>
    <n v="29757"/>
    <n v="29757"/>
    <s v="BDT"/>
    <s v="EGM1"/>
    <n v="2384130.84"/>
    <s v="Funds in Transit"/>
    <s v="0000001010"/>
    <s v="FUND IN TR"/>
    <s v=""/>
    <s v=""/>
    <s v="0"/>
    <s v="Funds in Transit."/>
    <s v=""/>
    <s v=""/>
    <s v=""/>
    <s v=""/>
    <s v=""/>
    <x v="0"/>
    <d v="2017-05-31T00:00:00"/>
    <s v="1603018779"/>
    <d v="2017-05-31T00:00:00"/>
    <s v=""/>
    <s v="1609000584"/>
  </r>
  <r>
    <s v="1609000585"/>
    <d v="2017-05-31T00:00:00"/>
    <d v="2017-05-31T00:00:00"/>
    <s v="DZ"/>
    <s v="USD"/>
    <n v="33700"/>
    <n v="33700"/>
    <s v="BDT"/>
    <s v="EGM1"/>
    <n v="2700044"/>
    <s v="Funds in Transit May-17-CM advance"/>
    <s v="0000001010"/>
    <s v="CM ADV FIT"/>
    <s v=""/>
    <s v=""/>
    <s v="0"/>
    <s v="CM ADV FIT MAY-17"/>
    <s v=""/>
    <s v=""/>
    <s v=""/>
    <s v=""/>
    <s v=""/>
    <x v="0"/>
    <d v="2017-06-01T00:00:00"/>
    <s v="1603020540"/>
    <d v="2017-05-31T00:00:00"/>
    <s v=""/>
    <s v="1609000585"/>
  </r>
  <r>
    <s v="1609000587"/>
    <d v="2017-06-15T00:00:00"/>
    <d v="2017-06-15T00:00:00"/>
    <s v="DZ"/>
    <s v="USD"/>
    <n v="-502280"/>
    <n v="-502280"/>
    <s v="BDT"/>
    <s v="EGM1"/>
    <n v="-40242673.600000001"/>
    <s v="CM ADVANCE RECEIVED, REF-424130468847"/>
    <s v="0000001010"/>
    <s v="IT06591706150028"/>
    <s v=""/>
    <s v=""/>
    <s v="0"/>
    <s v="424130468847"/>
    <s v=""/>
    <s v=""/>
    <s v=""/>
    <s v=""/>
    <s v=""/>
    <x v="0"/>
    <d v="2017-09-01T00:00:00"/>
    <s v="1706000004"/>
    <d v="2017-06-15T00:00:00"/>
    <s v=""/>
    <s v="1609000587"/>
  </r>
  <r>
    <s v="1609000588"/>
    <d v="2017-06-14T00:00:00"/>
    <d v="2017-06-14T00:00:00"/>
    <s v="DZ"/>
    <s v="USD"/>
    <n v="1829"/>
    <n v="1829"/>
    <s v="BDT"/>
    <s v="EGM2"/>
    <n v="147691.75"/>
    <s v="CM ADVANCE ADJUST REF-424130465234"/>
    <s v="0000001010"/>
    <s v="03824170349TW"/>
    <s v=""/>
    <s v=""/>
    <s v="0"/>
    <s v="424130468197"/>
    <s v=""/>
    <s v=""/>
    <s v=""/>
    <s v=""/>
    <s v=""/>
    <x v="0"/>
    <d v="2017-09-01T00:00:00"/>
    <s v="1706000008"/>
    <d v="2017-06-14T00:00:00"/>
    <s v=""/>
    <s v="1609000588"/>
  </r>
  <r>
    <s v="1609000590"/>
    <d v="2017-06-18T00:00:00"/>
    <d v="2017-06-18T00:00:00"/>
    <s v="DZ"/>
    <s v="USD"/>
    <n v="19388"/>
    <n v="19388"/>
    <s v="BDT"/>
    <s v="EGM2"/>
    <n v="1565581"/>
    <s v="CM ADVANCE ADJUST REF-424130465234"/>
    <s v="0000001010"/>
    <s v="E23710VF17US0298"/>
    <s v=""/>
    <s v=""/>
    <s v="0"/>
    <s v="424130470157"/>
    <s v=""/>
    <s v=""/>
    <s v=""/>
    <s v=""/>
    <s v=""/>
    <x v="0"/>
    <d v="2017-09-01T00:00:00"/>
    <s v="1706000008"/>
    <d v="2017-06-18T00:00:00"/>
    <s v=""/>
    <s v="1609000590"/>
  </r>
  <r>
    <s v="1609000591"/>
    <d v="2017-06-19T00:00:00"/>
    <d v="2017-06-19T00:00:00"/>
    <s v="DZ"/>
    <s v="USD"/>
    <n v="5846"/>
    <n v="5846"/>
    <s v="BDT"/>
    <s v="EGM2"/>
    <n v="472064.5"/>
    <s v="CM ADVANCE ADJUST REF-424130465234"/>
    <s v="0000001010"/>
    <s v="03824170344AU"/>
    <s v=""/>
    <s v=""/>
    <s v="0"/>
    <s v="424130470442"/>
    <s v=""/>
    <s v=""/>
    <s v=""/>
    <s v=""/>
    <s v=""/>
    <x v="0"/>
    <d v="2017-09-01T00:00:00"/>
    <s v="1706000008"/>
    <d v="2017-06-19T00:00:00"/>
    <s v=""/>
    <s v="1609000591"/>
  </r>
  <r>
    <s v="1609000592"/>
    <d v="2017-06-19T00:00:00"/>
    <d v="2017-06-19T00:00:00"/>
    <s v="DZ"/>
    <s v="USD"/>
    <n v="13959"/>
    <n v="13959"/>
    <s v="BDT"/>
    <s v="EGM2"/>
    <n v="1127189.25"/>
    <s v="CM ADVANCE ADJUST REF-424130451962"/>
    <s v="0000001010"/>
    <s v="E23661VF17US0320"/>
    <s v=""/>
    <s v=""/>
    <s v="0"/>
    <s v="424130470451"/>
    <s v=""/>
    <s v=""/>
    <s v=""/>
    <s v=""/>
    <s v=""/>
    <x v="0"/>
    <d v="2017-09-30T00:00:00"/>
    <s v="1706000006"/>
    <d v="2017-06-19T00:00:00"/>
    <s v=""/>
    <s v="1609000592"/>
  </r>
  <r>
    <s v="1609000592"/>
    <d v="2017-06-19T00:00:00"/>
    <d v="2017-06-19T00:00:00"/>
    <s v="DZ"/>
    <s v="USD"/>
    <n v="104905"/>
    <n v="104905"/>
    <s v="BDT"/>
    <s v="EGM2"/>
    <n v="8471078.75"/>
    <s v="CM ADVANCE ADJUST REF-424130465234"/>
    <s v="0000001010"/>
    <s v="E23661VF17US0320"/>
    <s v=""/>
    <s v=""/>
    <s v="0"/>
    <s v="424130470451"/>
    <s v=""/>
    <s v=""/>
    <s v=""/>
    <s v=""/>
    <s v=""/>
    <x v="0"/>
    <d v="2017-09-01T00:00:00"/>
    <s v="1706000008"/>
    <d v="2017-06-19T00:00:00"/>
    <s v=""/>
    <s v="1609000592"/>
  </r>
  <r>
    <s v="1609000593"/>
    <d v="2017-06-21T00:00:00"/>
    <d v="2017-06-21T00:00:00"/>
    <s v="DZ"/>
    <s v="USD"/>
    <n v="39738"/>
    <n v="39738"/>
    <s v="BDT"/>
    <s v="EGM1"/>
    <n v="3183808.56"/>
    <s v="CM ADVANCE ADJUST REF-424130468847"/>
    <s v="0000001010"/>
    <s v="E03621US17-0705"/>
    <s v=""/>
    <s v=""/>
    <s v="0"/>
    <s v="424130472681"/>
    <s v=""/>
    <s v=""/>
    <s v=""/>
    <s v=""/>
    <s v=""/>
    <x v="0"/>
    <d v="2017-09-01T00:00:00"/>
    <s v="1706000004"/>
    <d v="2017-06-21T00:00:00"/>
    <s v=""/>
    <s v="1609000593"/>
  </r>
  <r>
    <s v="1609000594"/>
    <d v="2017-06-21T00:00:00"/>
    <d v="2017-06-21T00:00:00"/>
    <s v="DZ"/>
    <s v="USD"/>
    <n v="114922"/>
    <n v="114922"/>
    <s v="BDT"/>
    <s v="EGM1"/>
    <n v="9207550.6400000006"/>
    <s v="CM ADVANCE ADJUST REF-424130468847"/>
    <s v="0000001010"/>
    <s v="E33557TC17US0783"/>
    <s v=""/>
    <s v=""/>
    <s v="0"/>
    <s v="424130472707"/>
    <s v=""/>
    <s v=""/>
    <s v=""/>
    <s v=""/>
    <s v=""/>
    <x v="0"/>
    <d v="2017-09-01T00:00:00"/>
    <s v="1706000004"/>
    <d v="2017-06-21T00:00:00"/>
    <s v=""/>
    <s v="1609000594"/>
  </r>
  <r>
    <s v="1609000595"/>
    <d v="2017-06-21T00:00:00"/>
    <d v="2017-06-21T00:00:00"/>
    <s v="DZ"/>
    <s v="USD"/>
    <n v="29234"/>
    <n v="29234"/>
    <s v="BDT"/>
    <s v="EGM1"/>
    <n v="2342228.08"/>
    <s v="CM ADVANCE ADJUST REF-424130468847"/>
    <s v="0000001010"/>
    <s v="E33505TC17CA0853"/>
    <s v=""/>
    <s v=""/>
    <s v="0"/>
    <s v="424130472716"/>
    <s v=""/>
    <s v=""/>
    <s v=""/>
    <s v=""/>
    <s v=""/>
    <x v="0"/>
    <d v="2017-09-01T00:00:00"/>
    <s v="1706000004"/>
    <d v="2017-06-21T00:00:00"/>
    <s v=""/>
    <s v="1609000595"/>
  </r>
  <r>
    <s v="1609000596"/>
    <d v="2017-06-21T00:00:00"/>
    <d v="2017-06-21T00:00:00"/>
    <s v="DZ"/>
    <s v="USD"/>
    <n v="83409"/>
    <n v="83409"/>
    <s v="BDT"/>
    <s v="EGM1"/>
    <n v="6682729.0800000001"/>
    <s v="CM ADVANCE ADJUST REF-424130468847"/>
    <s v="0000001010"/>
    <s v="E03549US17-0796"/>
    <s v=""/>
    <s v=""/>
    <s v="0"/>
    <s v="424130472690"/>
    <s v=""/>
    <s v=""/>
    <s v=""/>
    <s v=""/>
    <s v=""/>
    <x v="0"/>
    <d v="2017-09-01T00:00:00"/>
    <s v="1706000004"/>
    <d v="2017-06-21T00:00:00"/>
    <s v=""/>
    <s v="1609000596"/>
  </r>
  <r>
    <s v="1609000597"/>
    <d v="2017-06-22T00:00:00"/>
    <d v="2017-06-22T00:00:00"/>
    <s v="DZ"/>
    <s v="USD"/>
    <n v="10518"/>
    <n v="10518"/>
    <s v="BDT"/>
    <s v="EGM1"/>
    <n v="842702.16"/>
    <s v="CM ADVANCE ADJUST REF-424130468847"/>
    <s v="0000001010"/>
    <s v="E03752WM17CA0747"/>
    <s v=""/>
    <s v=""/>
    <s v="0"/>
    <s v="424130472985"/>
    <s v=""/>
    <s v=""/>
    <s v=""/>
    <s v=""/>
    <s v=""/>
    <x v="0"/>
    <d v="2017-09-01T00:00:00"/>
    <s v="1706000004"/>
    <d v="2017-06-22T00:00:00"/>
    <s v=""/>
    <s v="1609000597"/>
  </r>
  <r>
    <s v="1609000598"/>
    <d v="2017-06-22T00:00:00"/>
    <d v="2017-06-22T00:00:00"/>
    <s v="DZ"/>
    <s v="USD"/>
    <n v="5238"/>
    <n v="5238"/>
    <s v="BDT"/>
    <s v="EGM1"/>
    <n v="419668.56"/>
    <s v="CM ADVANCE ADJUST REF-424130468847"/>
    <s v="0000001010"/>
    <s v="E43535SB17UK0734"/>
    <s v=""/>
    <s v=""/>
    <s v="0"/>
    <s v="424130473001"/>
    <s v=""/>
    <s v=""/>
    <s v=""/>
    <s v=""/>
    <s v=""/>
    <x v="0"/>
    <d v="2017-09-01T00:00:00"/>
    <s v="1706000004"/>
    <d v="2017-06-22T00:00:00"/>
    <s v=""/>
    <s v="1609000598"/>
  </r>
  <r>
    <s v="1609000599"/>
    <d v="2017-06-22T00:00:00"/>
    <d v="2017-06-22T00:00:00"/>
    <s v="DZ"/>
    <s v="USD"/>
    <n v="17209"/>
    <n v="17209"/>
    <s v="BDT"/>
    <s v="EGM2"/>
    <n v="1389626.75"/>
    <s v="CM ADVANCE ADJUST REF-424130465234"/>
    <s v="0000001010"/>
    <s v="E03766WM17CA0326"/>
    <s v=""/>
    <s v=""/>
    <s v="0"/>
    <s v="424130473029"/>
    <s v=""/>
    <s v=""/>
    <s v=""/>
    <s v=""/>
    <s v=""/>
    <x v="0"/>
    <d v="2017-09-01T00:00:00"/>
    <s v="1706000008"/>
    <d v="2017-06-22T00:00:00"/>
    <s v=""/>
    <s v="1609000599"/>
  </r>
  <r>
    <s v="1609000601"/>
    <d v="2017-06-20T00:00:00"/>
    <d v="2017-06-20T00:00:00"/>
    <s v="DZ"/>
    <s v="USD"/>
    <n v="16908"/>
    <n v="16908"/>
    <s v="BDT"/>
    <s v="EGM2"/>
    <n v="1365321"/>
    <s v="CM ADVANCE ADJUST REF-424130451962"/>
    <s v="0000001010"/>
    <s v="03825170338RS"/>
    <s v=""/>
    <s v=""/>
    <s v="0"/>
    <s v="424130471370"/>
    <s v=""/>
    <s v=""/>
    <s v=""/>
    <s v=""/>
    <s v=""/>
    <x v="0"/>
    <d v="2017-09-30T00:00:00"/>
    <s v="1706000006"/>
    <d v="2017-06-20T00:00:00"/>
    <s v=""/>
    <s v="1609000601"/>
  </r>
  <r>
    <s v="1609000601"/>
    <d v="2017-06-20T00:00:00"/>
    <d v="2017-06-20T00:00:00"/>
    <s v="DZ"/>
    <s v="USD"/>
    <n v="33137"/>
    <n v="33137"/>
    <s v="BDT"/>
    <s v="EGM2"/>
    <n v="2675812.75"/>
    <s v="CM ADVANCE ADJUST REF-424130465234"/>
    <s v="0000001010"/>
    <s v="03825170338RS"/>
    <s v=""/>
    <s v=""/>
    <s v="0"/>
    <s v="424130471370"/>
    <s v=""/>
    <s v=""/>
    <s v=""/>
    <s v=""/>
    <s v=""/>
    <x v="0"/>
    <d v="2017-09-01T00:00:00"/>
    <s v="1706000008"/>
    <d v="2017-06-20T00:00:00"/>
    <s v=""/>
    <s v="1609000601"/>
  </r>
  <r>
    <s v="1609000602"/>
    <d v="2017-06-20T00:00:00"/>
    <d v="2017-06-20T00:00:00"/>
    <s v="DZ"/>
    <s v="USD"/>
    <n v="-94194"/>
    <n v="-94194"/>
    <s v="BDT"/>
    <s v="EGM2"/>
    <n v="-7546823.2800000003"/>
    <s v="CM ADVANCE RECEVIED REF-424130471334"/>
    <s v="0000001010"/>
    <s v="IT06591706190128"/>
    <s v=""/>
    <s v=""/>
    <s v="0"/>
    <s v="424130471334"/>
    <s v=""/>
    <s v=""/>
    <s v=""/>
    <s v=""/>
    <s v=""/>
    <x v="0"/>
    <d v="2017-09-30T00:00:00"/>
    <s v="1706000015"/>
    <d v="2017-06-20T00:00:00"/>
    <s v=""/>
    <s v="1609000602"/>
  </r>
  <r>
    <s v="1609000603"/>
    <d v="2017-06-28T00:00:00"/>
    <d v="2017-06-28T00:00:00"/>
    <s v="DZ"/>
    <s v="USD"/>
    <n v="5245"/>
    <n v="5245"/>
    <s v="BDT"/>
    <s v="EGM2"/>
    <n v="420229.4"/>
    <s v="BTB ADJUST REF-424130467839"/>
    <s v="0000001010"/>
    <s v="03824170369TH"/>
    <s v=""/>
    <s v=""/>
    <s v="0"/>
    <s v="424130473252"/>
    <s v=""/>
    <s v=""/>
    <s v=""/>
    <s v=""/>
    <s v=""/>
    <x v="0"/>
    <d v="2017-09-30T00:00:00"/>
    <s v="1706000014"/>
    <d v="2017-06-28T00:00:00"/>
    <s v=""/>
    <s v="1609000603"/>
  </r>
  <r>
    <s v="1609000604"/>
    <d v="2017-06-28T00:00:00"/>
    <d v="2017-06-28T00:00:00"/>
    <s v="DZ"/>
    <s v="USD"/>
    <n v="1223"/>
    <n v="1223"/>
    <s v="BDT"/>
    <s v="EGM2"/>
    <n v="98757.25"/>
    <s v="CM ADVANCE ADJUST REF-424130465234"/>
    <s v="0000001010"/>
    <s v="03825170340MX"/>
    <s v=""/>
    <s v=""/>
    <s v="0"/>
    <s v="424130473261"/>
    <s v=""/>
    <s v=""/>
    <s v=""/>
    <s v=""/>
    <s v=""/>
    <x v="0"/>
    <d v="2017-09-01T00:00:00"/>
    <s v="1706000008"/>
    <d v="2017-06-28T00:00:00"/>
    <s v=""/>
    <s v="1609000604"/>
  </r>
  <r>
    <s v="1609000604"/>
    <d v="2017-06-28T00:00:00"/>
    <d v="2017-06-28T00:00:00"/>
    <s v="DZ"/>
    <s v="USD"/>
    <n v="3494"/>
    <n v="3494"/>
    <s v="BDT"/>
    <s v="EGM2"/>
    <n v="279939.28000000003"/>
    <s v="BTB ADJUST REF-424130467839"/>
    <s v="0000001010"/>
    <s v="03825170340MX"/>
    <s v=""/>
    <s v=""/>
    <s v="0"/>
    <s v="424130473261"/>
    <s v=""/>
    <s v=""/>
    <s v=""/>
    <s v=""/>
    <s v=""/>
    <x v="0"/>
    <d v="2017-09-30T00:00:00"/>
    <s v="1706000014"/>
    <d v="2017-06-28T00:00:00"/>
    <s v=""/>
    <s v="1609000604"/>
  </r>
  <r>
    <s v="1609000606"/>
    <d v="2017-06-29T00:00:00"/>
    <d v="2017-06-29T00:00:00"/>
    <s v="DZ"/>
    <s v="USD"/>
    <n v="204664"/>
    <n v="204664"/>
    <s v="BDT"/>
    <s v="EGM1"/>
    <n v="16397679.68"/>
    <s v="CM ADVANCE ADJUST REF-424130468847"/>
    <s v="0000001010"/>
    <s v="E0374US170799"/>
    <s v=""/>
    <s v=""/>
    <s v="0"/>
    <s v="424130473314"/>
    <s v=""/>
    <s v=""/>
    <s v=""/>
    <s v=""/>
    <s v=""/>
    <x v="0"/>
    <d v="2017-09-01T00:00:00"/>
    <s v="1706000004"/>
    <d v="2017-06-29T00:00:00"/>
    <s v=""/>
    <s v="1609000606"/>
  </r>
  <r>
    <s v="1609000607"/>
    <d v="2017-06-29T00:00:00"/>
    <d v="2017-06-29T00:00:00"/>
    <s v="DZ"/>
    <s v="USD"/>
    <n v="14558"/>
    <n v="14558"/>
    <s v="BDT"/>
    <s v="EGM1"/>
    <n v="1166386.96"/>
    <s v="CM ADVANCE ADJUST REF-424130468847"/>
    <s v="0000001010"/>
    <s v="E0364US170818"/>
    <s v=""/>
    <s v=""/>
    <s v="0"/>
    <s v="424130473332"/>
    <s v=""/>
    <s v=""/>
    <s v=""/>
    <s v=""/>
    <s v=""/>
    <x v="0"/>
    <d v="2017-09-01T00:00:00"/>
    <s v="1706000004"/>
    <d v="2017-06-29T00:00:00"/>
    <s v=""/>
    <s v="1609000607"/>
  </r>
  <r>
    <s v="1609000610"/>
    <d v="2017-06-08T00:00:00"/>
    <d v="2017-06-08T00:00:00"/>
    <s v="DZ"/>
    <s v="USD"/>
    <n v="47382"/>
    <n v="47382"/>
    <s v="BDT"/>
    <s v="EGM2"/>
    <n v="3826096.5"/>
    <s v="C M ADVANCE ADJUSTED REF-424130462497"/>
    <s v="0000001010"/>
    <s v="E23662VF17US0259"/>
    <s v=""/>
    <s v=""/>
    <s v="0"/>
    <s v="424130466947"/>
    <s v=""/>
    <s v=""/>
    <s v=""/>
    <s v=""/>
    <s v=""/>
    <x v="0"/>
    <d v="2017-09-01T00:00:00"/>
    <s v="1706000008"/>
    <d v="2017-06-08T00:00:00"/>
    <s v=""/>
    <s v="1609000610"/>
  </r>
  <r>
    <s v="1609000612"/>
    <d v="2017-06-30T00:00:00"/>
    <d v="2017-06-30T00:00:00"/>
    <s v="DZ"/>
    <s v="USD"/>
    <n v="-563820"/>
    <n v="-563820"/>
    <s v="BDT"/>
    <s v="EGM1"/>
    <n v="-45161982"/>
    <s v="Funds in Transit-CM Advance-Jun'17"/>
    <s v="0000001010"/>
    <s v="FIT-CM ADV-JUN17"/>
    <s v=""/>
    <s v=""/>
    <s v="0"/>
    <s v="FIT CM Advance Jun-17"/>
    <s v=""/>
    <s v=""/>
    <s v=""/>
    <s v=""/>
    <s v=""/>
    <x v="0"/>
    <d v="2017-07-01T00:00:00"/>
    <s v="1703001205"/>
    <d v="2017-06-30T00:00:00"/>
    <s v=""/>
    <s v="1609000612"/>
  </r>
  <r>
    <s v="1703001205"/>
    <d v="2017-07-01T00:00:00"/>
    <d v="2017-06-30T00:00:00"/>
    <s v="AB"/>
    <s v="USD"/>
    <n v="563820"/>
    <n v="563820"/>
    <s v="BDT"/>
    <s v="EGM1"/>
    <n v="45161982"/>
    <s v="Funds in Transit-CM Advance-Jun'17"/>
    <s v="0000001010"/>
    <s v="FIT-CM ADV-JUN17"/>
    <s v=""/>
    <s v=""/>
    <s v="0"/>
    <s v="FIT CM Advance Jun-17"/>
    <s v=""/>
    <s v=""/>
    <s v=""/>
    <s v=""/>
    <s v=""/>
    <x v="0"/>
    <d v="2017-07-01T00:00:00"/>
    <s v="1703001205"/>
    <d v="2017-06-30T00:00:00"/>
    <s v=""/>
    <s v="1703001205"/>
  </r>
  <r>
    <s v="1703001216"/>
    <d v="2017-07-31T00:00:00"/>
    <d v="2017-07-31T00:00:00"/>
    <s v="AB"/>
    <s v="USD"/>
    <n v="92367"/>
    <n v="92367"/>
    <s v="BDT"/>
    <s v="EGM1"/>
    <n v="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7-31T00:00:00"/>
    <s v="1703001216"/>
    <d v="2017-07-31T00:00:00"/>
    <s v=""/>
    <s v="1703001216"/>
  </r>
  <r>
    <s v="1703002069"/>
    <d v="2017-08-01T00:00:00"/>
    <d v="2017-07-31T00:00:00"/>
    <s v="AB"/>
    <s v="USD"/>
    <n v="-92367"/>
    <n v="-92367"/>
    <s v="BDT"/>
    <s v="EGM1"/>
    <n v="-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8-01T00:00:00"/>
    <s v="1703002069"/>
    <d v="2017-07-31T00:00:00"/>
    <s v=""/>
    <s v="1703002069"/>
  </r>
  <r>
    <s v="1703004709"/>
    <d v="2017-09-01T00:00:00"/>
    <d v="2017-08-31T00:00:00"/>
    <s v="AB"/>
    <s v="USD"/>
    <n v="-635801"/>
    <n v="-635801"/>
    <s v="BDT"/>
    <s v="EGM1"/>
    <n v="-51309140.700000003"/>
    <s v="Funds in Transit-CM Advance-Jul'17"/>
    <s v="0000001010"/>
    <s v="FIT-CM ADV-AUG17"/>
    <s v=""/>
    <s v=""/>
    <s v="0"/>
    <s v="FIT CM Advance Aug-17"/>
    <s v=""/>
    <s v=""/>
    <s v=""/>
    <s v=""/>
    <s v=""/>
    <x v="0"/>
    <d v="2017-09-01T00:00:00"/>
    <s v="1703004709"/>
    <d v="2017-08-31T00:00:00"/>
    <s v=""/>
    <s v="1703004709"/>
  </r>
  <r>
    <s v="1703004772"/>
    <d v="2017-09-30T00:00:00"/>
    <d v="2017-09-30T00:00:00"/>
    <s v="AB"/>
    <s v="USD"/>
    <n v="-198396"/>
    <n v="-198396"/>
    <s v="BDT"/>
    <s v="EGM1"/>
    <n v="-16010557.199999999"/>
    <s v="FIT-CM ADV-SEP'17"/>
    <s v="0000001010"/>
    <s v="FIT-CM ADV-SEP17"/>
    <s v=""/>
    <s v=""/>
    <s v="0"/>
    <s v="FIT-CM ADV-SEP'17"/>
    <s v=""/>
    <s v=""/>
    <s v=""/>
    <s v=""/>
    <s v=""/>
    <x v="0"/>
    <d v="2017-09-30T00:00:00"/>
    <s v="1703004772"/>
    <d v="2017-09-30T00:00:00"/>
    <s v=""/>
    <s v="1703004772"/>
  </r>
  <r>
    <s v="1703005670"/>
    <d v="2017-10-01T00:00:00"/>
    <d v="2017-09-30T00:00:00"/>
    <s v="AB"/>
    <s v="USD"/>
    <n v="-198418"/>
    <n v="-198418"/>
    <s v="BDT"/>
    <s v="EGM1"/>
    <n v="-16012332.6"/>
    <s v="FIT-CM ADV-SEP'17"/>
    <s v="0000001010"/>
    <s v="FIT-CM ADV-SEP17"/>
    <s v=""/>
    <s v=""/>
    <s v="0"/>
    <s v="FIT-CM ADV-SEP'17"/>
    <s v=""/>
    <s v=""/>
    <s v=""/>
    <s v=""/>
    <s v=""/>
    <x v="0"/>
    <d v="2017-10-01T00:00:00"/>
    <s v="1703005670"/>
    <d v="2017-09-30T00:00:00"/>
    <s v=""/>
    <s v="1703005670"/>
  </r>
  <r>
    <s v="1703007865"/>
    <d v="2017-12-01T00:00:00"/>
    <d v="2017-11-30T00:00:00"/>
    <s v="AB"/>
    <s v="USD"/>
    <n v="-41654"/>
    <n v="-41654"/>
    <s v="BDT"/>
    <s v="EGM1"/>
    <n v="-3413545.3"/>
    <s v="FIT-CM ADV-NOV'17"/>
    <s v="0000001010"/>
    <s v="FIT-CM ADV-NOV17"/>
    <s v=""/>
    <s v=""/>
    <s v="0"/>
    <s v="FIT-CM ADV-NOV'17"/>
    <s v=""/>
    <s v=""/>
    <s v=""/>
    <s v=""/>
    <s v=""/>
    <x v="0"/>
    <d v="2017-12-01T00:00:00"/>
    <s v="1703007865"/>
    <d v="2017-11-30T00:00:00"/>
    <s v=""/>
    <s v="1703007865"/>
  </r>
  <r>
    <s v="1703008930"/>
    <d v="2018-01-01T00:00:00"/>
    <d v="2017-12-31T00:00:00"/>
    <s v="AB"/>
    <s v="USD"/>
    <n v="-60524"/>
    <n v="-60524"/>
    <s v="BDT"/>
    <s v="EGM1"/>
    <n v="-4975072.8"/>
    <s v="FIT-CM ADV-DEC'17"/>
    <s v="0000001010"/>
    <s v="FIT-CM ADV-DEC17"/>
    <s v=""/>
    <s v=""/>
    <s v="0"/>
    <s v="FIT-CM ADV-DEC'17"/>
    <s v=""/>
    <s v=""/>
    <s v=""/>
    <s v=""/>
    <s v=""/>
    <x v="0"/>
    <d v="2018-01-01T00:00:00"/>
    <s v="1703008930"/>
    <d v="2017-12-31T00:00:00"/>
    <s v=""/>
    <s v="1703008930"/>
  </r>
  <r>
    <s v="1703009746"/>
    <d v="2018-02-01T00:00:00"/>
    <d v="2018-01-31T00:00:00"/>
    <s v="AB"/>
    <s v="USD"/>
    <n v="-78005"/>
    <n v="-78005"/>
    <s v="BDT"/>
    <s v="EGM1"/>
    <n v="-6427612"/>
    <s v="FIT-CM ADV-JAN'18"/>
    <s v="0000001010"/>
    <s v="FIT-CM ADV-JAN1"/>
    <s v=""/>
    <s v=""/>
    <s v="0"/>
    <s v="FIT-CM ADV-JAN'18"/>
    <s v=""/>
    <s v=""/>
    <s v=""/>
    <s v=""/>
    <s v=""/>
    <x v="0"/>
    <d v="2018-02-01T00:00:00"/>
    <s v="1703009746"/>
    <d v="2018-01-31T00:00:00"/>
    <s v=""/>
    <s v="1703009746"/>
  </r>
  <r>
    <s v="1703010073"/>
    <d v="2018-04-01T00:00:00"/>
    <d v="2018-04-01T00:00:00"/>
    <s v="AB"/>
    <s v="USD"/>
    <n v="190381.44"/>
    <n v="190381.44"/>
    <s v="BDT"/>
    <s v="EGM1"/>
    <n v="15706468.82"/>
    <s v="CM ADVANCE RECEIVED REF-424130590401"/>
    <s v="0000001010"/>
    <s v="IT06591803310015"/>
    <s v=""/>
    <s v=""/>
    <s v="0"/>
    <s v="424130590401"/>
    <s v=""/>
    <s v=""/>
    <s v=""/>
    <s v=""/>
    <s v=""/>
    <x v="0"/>
    <d v="2018-04-01T00:00:00"/>
    <s v="1703010073"/>
    <d v="2018-04-01T00:00:00"/>
    <s v=""/>
    <s v="1703010073"/>
  </r>
  <r>
    <s v="1703010675"/>
    <d v="2018-03-05T00:00:00"/>
    <d v="2018-03-05T00:00:00"/>
    <s v="AB"/>
    <s v="USD"/>
    <n v="-18399"/>
    <n v="-18399"/>
    <s v="BDT"/>
    <s v="EGM1"/>
    <n v="-1516077.6"/>
    <s v="CM ADVANCE ADJUST REF-424130569015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3010675"/>
  </r>
  <r>
    <s v="1703010675"/>
    <d v="2018-03-05T00:00:00"/>
    <d v="2018-03-05T00:00:00"/>
    <s v="AB"/>
    <s v="USD"/>
    <n v="-3986"/>
    <n v="-3986"/>
    <s v="BDT"/>
    <s v="EGM1"/>
    <n v="-328446.40000000002"/>
    <s v="CM ADVANCE ADJUST REF-424130565199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3010675"/>
  </r>
  <r>
    <s v="1703010881"/>
    <d v="2018-03-01T00:00:00"/>
    <d v="2018-02-28T00:00:00"/>
    <s v="AB"/>
    <s v="USD"/>
    <n v="85114"/>
    <n v="85114"/>
    <s v="BDT"/>
    <s v="EGM1"/>
    <n v="7021905"/>
    <s v="FIT-CM ADV-FEB-18"/>
    <s v="0000001010"/>
    <s v="FIT-CM ADV-FEB18"/>
    <s v=""/>
    <s v=""/>
    <s v="0"/>
    <s v="CM ADV. FIT - FEB-18"/>
    <s v=""/>
    <s v=""/>
    <s v=""/>
    <s v=""/>
    <s v=""/>
    <x v="0"/>
    <d v="2018-03-01T00:00:00"/>
    <s v="1703010881"/>
    <d v="2018-02-28T00:00:00"/>
    <s v=""/>
    <s v="1703010881"/>
  </r>
  <r>
    <s v="1703011866"/>
    <d v="2018-04-01T00:00:00"/>
    <d v="2018-03-31T00:00:00"/>
    <s v="AB"/>
    <s v="USD"/>
    <n v="645343"/>
    <n v="645343"/>
    <s v="BDT"/>
    <s v="EGM1"/>
    <n v="53240797.5"/>
    <s v="FIT-CM ADV-FEB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3011866"/>
  </r>
  <r>
    <s v="1703011866"/>
    <d v="2018-04-01T00:00:00"/>
    <d v="2018-03-31T00:00:00"/>
    <s v="AB"/>
    <s v="USD"/>
    <n v="-11418"/>
    <n v="-11418"/>
    <s v="BDT"/>
    <s v="EGM1"/>
    <n v="-941985"/>
    <s v="FIT-CM ADV-MAR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3011866"/>
  </r>
  <r>
    <s v="1703011867"/>
    <d v="2018-04-01T00:00:00"/>
    <d v="2018-03-31T00:00:00"/>
    <s v="AB"/>
    <s v="USD"/>
    <n v="190381"/>
    <n v="190381"/>
    <s v="BDT"/>
    <s v="EGM1"/>
    <n v="15706432.5"/>
    <s v="FIT-CM ADV-EGDWC-MAR-18"/>
    <s v="0000005010"/>
    <s v="FIT-CMADWC-MAR18"/>
    <s v=""/>
    <s v=""/>
    <s v="0"/>
    <s v="FIT-CM ADV-EGDWC-MAR-18"/>
    <s v=""/>
    <s v=""/>
    <s v=""/>
    <s v=""/>
    <s v=""/>
    <x v="0"/>
    <d v="2018-04-01T00:00:00"/>
    <s v="1703011867"/>
    <d v="2018-03-31T00:00:00"/>
    <s v=""/>
    <s v="1703011867"/>
  </r>
  <r>
    <s v="1703012745"/>
    <d v="2018-06-07T00:00:00"/>
    <d v="2018-06-07T00:00:00"/>
    <s v="AB"/>
    <s v="USD"/>
    <n v="-14228"/>
    <n v="-14228"/>
    <s v="BDT"/>
    <s v="EGM2"/>
    <n v="-1173810"/>
    <s v="CM ADVANCE ADJUSTED REF-424130616303"/>
    <s v="0000001010"/>
    <s v="E24306VF18US0188"/>
    <s v=""/>
    <s v=""/>
    <s v="0"/>
    <s v="424130619818"/>
    <s v=""/>
    <s v=""/>
    <s v=""/>
    <s v=""/>
    <s v=""/>
    <x v="0"/>
    <d v="2018-06-07T00:00:00"/>
    <s v="1703012745"/>
    <d v="2018-06-07T00:00:00"/>
    <s v=""/>
    <s v="1703012745"/>
  </r>
  <r>
    <s v="1703012956"/>
    <d v="2018-05-01T00:00:00"/>
    <d v="2018-04-30T00:00:00"/>
    <s v="AB"/>
    <s v="USD"/>
    <n v="348430"/>
    <n v="348430"/>
    <s v="BDT"/>
    <s v="EGM1"/>
    <n v="2874547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3012956"/>
  </r>
  <r>
    <s v="1703012956"/>
    <d v="2018-05-01T00:00:00"/>
    <d v="2018-04-30T00:00:00"/>
    <s v="AB"/>
    <s v="USD"/>
    <n v="-244793"/>
    <n v="-244793"/>
    <s v="BDT"/>
    <s v="EGM1"/>
    <n v="-20195422.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3012956"/>
  </r>
  <r>
    <s v="1703013596"/>
    <d v="2018-06-01T00:00:00"/>
    <d v="2018-05-31T00:00:00"/>
    <s v="AB"/>
    <s v="USD"/>
    <n v="211337"/>
    <n v="211337"/>
    <s v="BDT"/>
    <s v="EGM1"/>
    <n v="17477569.899999999"/>
    <s v="FIT-CM ADV-MAY-18"/>
    <s v="0000001010"/>
    <s v="FIT-CM ADV-MAY18"/>
    <s v=""/>
    <s v=""/>
    <s v="0"/>
    <s v="CM ADV. FIT - MAY-18"/>
    <s v=""/>
    <s v=""/>
    <s v=""/>
    <s v=""/>
    <s v=""/>
    <x v="0"/>
    <d v="2018-06-01T00:00:00"/>
    <s v="1703013596"/>
    <d v="2018-05-31T00:00:00"/>
    <s v=""/>
    <s v="1703013596"/>
  </r>
  <r>
    <s v="1706000001"/>
    <d v="2017-09-30T00:00:00"/>
    <d v="2017-09-30T00:00:00"/>
    <s v="DA"/>
    <s v="USD"/>
    <n v="1"/>
    <n v="1"/>
    <s v="BDT"/>
    <s v="EGM1"/>
    <n v="80.75"/>
    <s v=""/>
    <s v="0000001010"/>
    <s v="818K G/L CLR"/>
    <s v=""/>
    <s v=""/>
    <s v="0"/>
    <s v="CM ADV 818K G/L CLR"/>
    <s v=""/>
    <s v=""/>
    <s v=""/>
    <s v=""/>
    <s v=""/>
    <x v="0"/>
    <d v="2017-09-30T00:00:00"/>
    <s v="1706000001"/>
    <d v="2017-09-30T00:00:00"/>
    <s v=""/>
    <s v="1706000001"/>
  </r>
  <r>
    <s v="1706000002"/>
    <d v="2017-09-01T00:00:00"/>
    <d v="2017-09-01T00:00:00"/>
    <s v="DA"/>
    <s v="USD"/>
    <n v="783000"/>
    <n v="783000"/>
    <s v="BDT"/>
    <s v="EGM1"/>
    <n v="63227250"/>
    <s v=""/>
    <s v="0000001010"/>
    <s v="783K G/L CLR"/>
    <s v=""/>
    <s v=""/>
    <s v="0"/>
    <s v="CM ADV 783K G/L CLR"/>
    <s v=""/>
    <s v=""/>
    <s v=""/>
    <s v=""/>
    <s v=""/>
    <x v="0"/>
    <d v="2017-09-01T00:00:00"/>
    <s v="1706000002"/>
    <d v="2017-09-01T00:00:00"/>
    <s v=""/>
    <s v="1706000002"/>
  </r>
  <r>
    <s v="1706000002"/>
    <d v="2017-09-01T00:00:00"/>
    <d v="2017-09-01T00:00:00"/>
    <s v="DA"/>
    <s v="USD"/>
    <n v="-783000"/>
    <n v="-783000"/>
    <s v="BDT"/>
    <s v="EGM1"/>
    <n v="-63227250"/>
    <s v=""/>
    <s v="0000001010"/>
    <s v="783K G/L CLR"/>
    <s v=""/>
    <s v=""/>
    <s v="0"/>
    <s v="CM ADV 783K G/L CLR"/>
    <s v=""/>
    <s v=""/>
    <s v=""/>
    <s v=""/>
    <s v=""/>
    <x v="0"/>
    <d v="2017-09-01T00:00:00"/>
    <s v="1706000002"/>
    <d v="2017-09-01T00:00:00"/>
    <s v=""/>
    <s v="1706000002"/>
  </r>
  <r>
    <s v="1706000003"/>
    <d v="2017-09-01T00:00:00"/>
    <d v="2017-09-01T00:00:00"/>
    <s v="DA"/>
    <s v="USD"/>
    <n v="759252"/>
    <n v="759252"/>
    <s v="BDT"/>
    <s v="EGM1"/>
    <n v="60816085.200000003"/>
    <s v=""/>
    <s v="0000001010"/>
    <s v="759K G/L CLR"/>
    <s v=""/>
    <s v=""/>
    <s v="0"/>
    <s v="CM ADV 759K G/L CLR"/>
    <s v=""/>
    <s v=""/>
    <s v=""/>
    <s v=""/>
    <s v=""/>
    <x v="0"/>
    <d v="2017-09-01T00:00:00"/>
    <s v="1706000003"/>
    <d v="2017-09-01T00:00:00"/>
    <s v=""/>
    <s v="1706000003"/>
  </r>
  <r>
    <s v="1706000003"/>
    <d v="2017-09-01T00:00:00"/>
    <d v="2017-09-01T00:00:00"/>
    <s v="DA"/>
    <s v="USD"/>
    <n v="-759252"/>
    <n v="-759252"/>
    <s v="BDT"/>
    <s v="EGM1"/>
    <n v="-60816085.200000003"/>
    <s v=""/>
    <s v="0000001010"/>
    <s v="759K G/L CLR"/>
    <s v=""/>
    <s v=""/>
    <s v="0"/>
    <s v="CM ADV 759K G/L CLR"/>
    <s v=""/>
    <s v=""/>
    <s v=""/>
    <s v=""/>
    <s v=""/>
    <x v="0"/>
    <d v="2017-09-01T00:00:00"/>
    <s v="1706000003"/>
    <d v="2017-09-01T00:00:00"/>
    <s v=""/>
    <s v="1706000003"/>
  </r>
  <r>
    <s v="1706000004"/>
    <d v="2017-09-01T00:00:00"/>
    <d v="2017-09-01T00:00:00"/>
    <s v="DA"/>
    <s v="USD"/>
    <n v="-1"/>
    <n v="-1"/>
    <s v="BDT"/>
    <s v="EGM1"/>
    <n v="-80.12"/>
    <s v=""/>
    <s v="0000001010"/>
    <s v="502K G/L CLR"/>
    <s v=""/>
    <s v=""/>
    <s v="0"/>
    <s v="CM ADV 502K G/L CLR"/>
    <s v=""/>
    <s v=""/>
    <s v=""/>
    <s v=""/>
    <s v=""/>
    <x v="0"/>
    <d v="2017-09-01T00:00:00"/>
    <s v="1706000004"/>
    <d v="2017-09-01T00:00:00"/>
    <s v=""/>
    <s v="1706000004"/>
  </r>
  <r>
    <s v="1706000005"/>
    <d v="2017-09-01T00:00:00"/>
    <d v="2017-09-01T00:00:00"/>
    <s v="DA"/>
    <s v="USD"/>
    <n v="432377"/>
    <n v="432377"/>
    <s v="BDT"/>
    <s v="EGM1"/>
    <n v="34914442.75"/>
    <s v=""/>
    <s v="0000001010"/>
    <s v="432K G/L CLR"/>
    <s v=""/>
    <s v=""/>
    <s v="0"/>
    <s v="CM ADV 432K G/L CLR"/>
    <s v=""/>
    <s v=""/>
    <s v=""/>
    <s v=""/>
    <s v=""/>
    <x v="0"/>
    <d v="2017-09-01T00:00:00"/>
    <s v="1706000005"/>
    <d v="2017-09-01T00:00:00"/>
    <s v=""/>
    <s v="1706000005"/>
  </r>
  <r>
    <s v="1706000005"/>
    <d v="2017-09-01T00:00:00"/>
    <d v="2017-09-01T00:00:00"/>
    <s v="DA"/>
    <s v="USD"/>
    <n v="-432377"/>
    <n v="-432377"/>
    <s v="BDT"/>
    <s v="EGM1"/>
    <n v="-34914442.75"/>
    <s v=""/>
    <s v="0000001010"/>
    <s v="432K G/L CLR"/>
    <s v=""/>
    <s v=""/>
    <s v="0"/>
    <s v="CM ADV 432K G/L CLR"/>
    <s v=""/>
    <s v=""/>
    <s v=""/>
    <s v=""/>
    <s v=""/>
    <x v="0"/>
    <d v="2017-09-01T00:00:00"/>
    <s v="1706000005"/>
    <d v="2017-09-01T00:00:00"/>
    <s v=""/>
    <s v="1706000005"/>
  </r>
  <r>
    <s v="1706000006"/>
    <d v="2017-09-30T00:00:00"/>
    <d v="2017-09-30T00:00:00"/>
    <s v="DA"/>
    <s v="USD"/>
    <n v="-8087"/>
    <n v="-8087"/>
    <s v="BDT"/>
    <s v="EGM2"/>
    <n v="-660707.9"/>
    <s v=""/>
    <s v="0000001010"/>
    <s v="206K GL CLR"/>
    <s v=""/>
    <s v=""/>
    <s v="0"/>
    <s v="CM ADV 206k GL CLR"/>
    <s v=""/>
    <s v=""/>
    <s v=""/>
    <s v=""/>
    <s v=""/>
    <x v="0"/>
    <d v="2017-09-30T00:00:00"/>
    <s v="1706000007"/>
    <d v="2017-09-30T00:00:00"/>
    <s v=""/>
    <s v="1706000006"/>
  </r>
  <r>
    <s v="1706000006"/>
    <d v="2017-09-30T00:00:00"/>
    <d v="2017-09-30T00:00:00"/>
    <s v="DA"/>
    <s v="USD"/>
    <n v="-806"/>
    <n v="-806"/>
    <s v="BDT"/>
    <s v="EGM1"/>
    <n v="-65084.5"/>
    <s v=""/>
    <s v="0000001010"/>
    <s v="206K GL CLR"/>
    <s v=""/>
    <s v=""/>
    <s v="0"/>
    <s v="CM ADV 206k GL CLR"/>
    <s v=""/>
    <s v=""/>
    <s v=""/>
    <s v=""/>
    <s v=""/>
    <x v="0"/>
    <d v="2017-09-30T00:00:00"/>
    <s v="1706000006"/>
    <d v="2017-09-30T00:00:00"/>
    <s v=""/>
    <s v="1706000006"/>
  </r>
  <r>
    <s v="1706000006"/>
    <d v="2017-09-30T00:00:00"/>
    <d v="2017-09-30T00:00:00"/>
    <s v="DA"/>
    <s v="USD"/>
    <n v="8893"/>
    <n v="8893"/>
    <s v="BDT"/>
    <s v="EGM2"/>
    <n v="718109.75"/>
    <s v=""/>
    <s v="0000001010"/>
    <s v="206K GL CLR"/>
    <s v=""/>
    <s v=""/>
    <s v="0"/>
    <s v="CM ADV 206k GL CLR"/>
    <s v=""/>
    <s v=""/>
    <s v=""/>
    <s v=""/>
    <s v=""/>
    <x v="0"/>
    <d v="2017-09-30T00:00:00"/>
    <s v="1706000006"/>
    <d v="2017-09-30T00:00:00"/>
    <s v=""/>
    <s v="1706000006"/>
  </r>
  <r>
    <s v="1706000007"/>
    <d v="2017-09-01T00:00:00"/>
    <d v="2017-09-01T00:00:00"/>
    <s v="DA"/>
    <s v="USD"/>
    <n v="-46290"/>
    <n v="-46290"/>
    <s v="BDT"/>
    <s v="EGM2"/>
    <n v="-3740232"/>
    <s v=""/>
    <s v="0000001010"/>
    <s v="150K GL CLR"/>
    <s v=""/>
    <s v=""/>
    <s v="0"/>
    <s v="CM ADV 150K GL CLR"/>
    <s v=""/>
    <s v=""/>
    <s v=""/>
    <s v=""/>
    <s v=""/>
    <x v="0"/>
    <d v="2017-09-01T00:00:00"/>
    <s v="1706000008"/>
    <d v="2017-09-01T00:00:00"/>
    <s v=""/>
    <s v="1706000007"/>
  </r>
  <r>
    <s v="1706000007"/>
    <d v="2017-09-01T00:00:00"/>
    <d v="2017-09-01T00:00:00"/>
    <s v="DA"/>
    <s v="USD"/>
    <n v="46290"/>
    <n v="46290"/>
    <s v="BDT"/>
    <s v="EGM2"/>
    <n v="3745600.15"/>
    <s v=""/>
    <s v="0000001010"/>
    <s v="150K GL CLR"/>
    <s v=""/>
    <s v=""/>
    <s v="0"/>
    <s v="CM ADV 150K GL CLR"/>
    <s v=""/>
    <s v=""/>
    <s v=""/>
    <s v=""/>
    <s v=""/>
    <x v="0"/>
    <d v="2017-09-30T00:00:00"/>
    <s v="1706000007"/>
    <d v="2017-09-01T00:00:00"/>
    <s v=""/>
    <s v="1706000007"/>
  </r>
  <r>
    <s v="1706000008"/>
    <d v="2017-09-01T00:00:00"/>
    <d v="2017-09-01T00:00:00"/>
    <s v="DA"/>
    <s v="USD"/>
    <n v="1"/>
    <n v="1"/>
    <s v="BDT"/>
    <s v="EGM2"/>
    <n v="2395.25"/>
    <s v=""/>
    <s v="0000001010"/>
    <s v="196K GL CLR"/>
    <s v=""/>
    <s v=""/>
    <s v="0"/>
    <s v="CM ADV 196k GL CLR"/>
    <s v=""/>
    <s v=""/>
    <s v=""/>
    <s v=""/>
    <s v=""/>
    <x v="0"/>
    <d v="2017-09-01T00:00:00"/>
    <s v="1706000008"/>
    <d v="2017-09-01T00:00:00"/>
    <s v=""/>
    <s v="1706000008"/>
  </r>
  <r>
    <s v="1706000009"/>
    <d v="2017-09-30T00:00:00"/>
    <d v="2017-09-30T00:00:00"/>
    <s v="DA"/>
    <s v="USD"/>
    <n v="41121.71"/>
    <n v="41121.71"/>
    <s v="BDT"/>
    <s v="EGM2"/>
    <n v="3252727.26"/>
    <s v=""/>
    <s v="0000001010"/>
    <s v="CM ADV GL CLEARI"/>
    <s v=""/>
    <s v=""/>
    <s v="0"/>
    <s v="CM ADVANCE GL CLEARING"/>
    <s v=""/>
    <s v=""/>
    <s v=""/>
    <s v=""/>
    <s v=""/>
    <x v="0"/>
    <d v="2017-09-30T00:00:00"/>
    <s v="1706000009"/>
    <d v="2017-09-30T00:00:00"/>
    <s v=""/>
    <s v="1706000009"/>
  </r>
  <r>
    <s v="1706000009"/>
    <d v="2017-09-30T00:00:00"/>
    <d v="2017-09-30T00:00:00"/>
    <s v="DA"/>
    <s v="USD"/>
    <n v="-41121.71"/>
    <n v="-41121.71"/>
    <s v="BDT"/>
    <s v="EGM2"/>
    <n v="-3252727.26"/>
    <s v=""/>
    <s v="0000001010"/>
    <s v="CM ADV GL CLEARI"/>
    <s v=""/>
    <s v=""/>
    <s v="0"/>
    <s v="CM ADVANCE GL CLEARING"/>
    <s v=""/>
    <s v=""/>
    <s v=""/>
    <s v=""/>
    <s v=""/>
    <x v="0"/>
    <d v="2017-09-30T00:00:00"/>
    <s v="1706000009"/>
    <d v="2017-09-30T00:00:00"/>
    <s v=""/>
    <s v="1706000009"/>
  </r>
  <r>
    <s v="1706000010"/>
    <d v="2017-09-30T00:00:00"/>
    <d v="2017-09-30T00:00:00"/>
    <s v="DA"/>
    <s v="USD"/>
    <n v="141808"/>
    <n v="141808"/>
    <s v="BDT"/>
    <s v="EGM2"/>
    <n v="11358820.800000001"/>
    <s v="CM ADV 141k CLEARING"/>
    <s v="0000001010"/>
    <s v="GL CLEARING 141K"/>
    <s v=""/>
    <s v=""/>
    <s v="0"/>
    <s v="CM ADV 141k CLEARING"/>
    <s v=""/>
    <s v=""/>
    <s v=""/>
    <s v=""/>
    <s v=""/>
    <x v="0"/>
    <d v="2017-09-30T00:00:00"/>
    <s v="1706000010"/>
    <d v="2017-09-30T00:00:00"/>
    <s v=""/>
    <s v="1706000010"/>
  </r>
  <r>
    <s v="1706000010"/>
    <d v="2017-09-30T00:00:00"/>
    <d v="2017-09-30T00:00:00"/>
    <s v="DA"/>
    <s v="USD"/>
    <n v="-141808"/>
    <n v="-141808"/>
    <s v="BDT"/>
    <s v="EGM2"/>
    <n v="-11358820.800000001"/>
    <s v="CM ADV 141k CLEARING"/>
    <s v="0000001010"/>
    <s v="GL CLEARING 141K"/>
    <s v=""/>
    <s v=""/>
    <s v="0"/>
    <s v="CM ADV 141k CLEARING"/>
    <s v=""/>
    <s v=""/>
    <s v=""/>
    <s v=""/>
    <s v=""/>
    <x v="0"/>
    <d v="2017-09-30T00:00:00"/>
    <s v="1706000010"/>
    <d v="2017-09-30T00:00:00"/>
    <s v=""/>
    <s v="1706000010"/>
  </r>
  <r>
    <s v="1706000011"/>
    <d v="2017-09-30T00:00:00"/>
    <d v="2017-09-30T00:00:00"/>
    <s v="DA"/>
    <s v="USD"/>
    <n v="-2"/>
    <n v="-2"/>
    <s v="BDT"/>
    <s v="EGM2"/>
    <n v="-160.19999999999999"/>
    <s v=""/>
    <s v="0000001010"/>
    <s v="ADV 139K GL CLEA"/>
    <s v=""/>
    <s v=""/>
    <s v="0"/>
    <s v="CM ADV 139K GL CLEARING"/>
    <s v=""/>
    <s v=""/>
    <s v=""/>
    <s v=""/>
    <s v=""/>
    <x v="0"/>
    <d v="2017-09-30T00:00:00"/>
    <s v="1706000011"/>
    <d v="2017-09-30T00:00:00"/>
    <s v=""/>
    <s v="1706000011"/>
  </r>
  <r>
    <s v="1706000012"/>
    <d v="2017-09-30T00:00:00"/>
    <d v="2017-09-30T00:00:00"/>
    <s v="DA"/>
    <s v="USD"/>
    <n v="109294"/>
    <n v="109294"/>
    <s v="BDT"/>
    <s v="EGM2"/>
    <n v="8825490.5"/>
    <s v="CM ADV 109K GL CLEARING"/>
    <s v="0000001010"/>
    <s v="ADV 109K GL CLEA"/>
    <s v=""/>
    <s v=""/>
    <s v="0"/>
    <s v="CM ADV 109K GL CLEARING"/>
    <s v=""/>
    <s v=""/>
    <s v=""/>
    <s v=""/>
    <s v=""/>
    <x v="0"/>
    <d v="2017-09-30T00:00:00"/>
    <s v="1706000012"/>
    <d v="2017-09-30T00:00:00"/>
    <s v=""/>
    <s v="1706000012"/>
  </r>
  <r>
    <s v="1706000012"/>
    <d v="2017-09-30T00:00:00"/>
    <d v="2017-09-30T00:00:00"/>
    <s v="DA"/>
    <s v="USD"/>
    <n v="-109294"/>
    <n v="-109294"/>
    <s v="BDT"/>
    <s v="EGM2"/>
    <n v="-8825490.5"/>
    <s v=""/>
    <s v="0000001010"/>
    <s v="ADV 109K GL CLEA"/>
    <s v=""/>
    <s v=""/>
    <s v="0"/>
    <s v="CM ADV 109K GL CLEARING"/>
    <s v=""/>
    <s v=""/>
    <s v=""/>
    <s v=""/>
    <s v=""/>
    <x v="0"/>
    <d v="2017-09-30T00:00:00"/>
    <s v="1706000012"/>
    <d v="2017-09-30T00:00:00"/>
    <s v=""/>
    <s v="1706000012"/>
  </r>
  <r>
    <s v="1706000013"/>
    <d v="2017-09-30T00:00:00"/>
    <d v="2017-09-30T00:00:00"/>
    <s v="DA"/>
    <s v="USD"/>
    <n v="40125"/>
    <n v="40125"/>
    <s v="BDT"/>
    <s v="EGM2"/>
    <n v="3240093.75"/>
    <s v="CM ADV 40K GL CLEARING"/>
    <s v="0000001010"/>
    <s v="ADV 40K GL CLEA"/>
    <s v=""/>
    <s v=""/>
    <s v="0"/>
    <s v="CM ADV 40K GL CLEARING"/>
    <s v=""/>
    <s v=""/>
    <s v=""/>
    <s v=""/>
    <s v=""/>
    <x v="0"/>
    <d v="2017-09-30T00:00:00"/>
    <s v="1706000013"/>
    <d v="2017-09-30T00:00:00"/>
    <s v=""/>
    <s v="1706000013"/>
  </r>
  <r>
    <s v="1706000013"/>
    <d v="2017-09-30T00:00:00"/>
    <d v="2017-09-30T00:00:00"/>
    <s v="DA"/>
    <s v="USD"/>
    <n v="-40125"/>
    <n v="-40125"/>
    <s v="BDT"/>
    <s v="EGM2"/>
    <n v="-3240093.75"/>
    <s v="CM ADV 109K GL CLEARING"/>
    <s v="0000001010"/>
    <s v="ADV 40K GL CLEA"/>
    <s v=""/>
    <s v=""/>
    <s v="0"/>
    <s v="CM ADV 40K GL CLEARING"/>
    <s v=""/>
    <s v=""/>
    <s v=""/>
    <s v=""/>
    <s v=""/>
    <x v="0"/>
    <d v="2017-09-30T00:00:00"/>
    <s v="1706000013"/>
    <d v="2017-09-30T00:00:00"/>
    <s v=""/>
    <s v="1706000013"/>
  </r>
  <r>
    <s v="1706000014"/>
    <d v="2017-09-30T00:00:00"/>
    <d v="2017-09-30T00:00:00"/>
    <s v="DA"/>
    <s v="USD"/>
    <n v="103498"/>
    <n v="103498"/>
    <s v="BDT"/>
    <s v="EGM2"/>
    <n v="8292259.7599999998"/>
    <s v="CM ADV 103K GL CLEARING"/>
    <s v="0000001010"/>
    <s v="ADV 103K GL CLEA"/>
    <s v=""/>
    <s v=""/>
    <s v="0"/>
    <s v="CM ADV 103K GL CLEARING"/>
    <s v=""/>
    <s v=""/>
    <s v=""/>
    <s v=""/>
    <s v=""/>
    <x v="0"/>
    <d v="2017-09-30T00:00:00"/>
    <s v="1706000014"/>
    <d v="2017-09-30T00:00:00"/>
    <s v=""/>
    <s v="1706000014"/>
  </r>
  <r>
    <s v="1706000014"/>
    <d v="2017-09-30T00:00:00"/>
    <d v="2017-09-30T00:00:00"/>
    <s v="DA"/>
    <s v="USD"/>
    <n v="-103498"/>
    <n v="-103498"/>
    <s v="BDT"/>
    <s v="EGM2"/>
    <n v="-8292259.7599999998"/>
    <s v="CM ADV 103K GL CLEARING"/>
    <s v="0000001010"/>
    <s v="ADV 103K GL CLEA"/>
    <s v=""/>
    <s v=""/>
    <s v="0"/>
    <s v="CM ADV 103K GL CLEARING"/>
    <s v=""/>
    <s v=""/>
    <s v=""/>
    <s v=""/>
    <s v=""/>
    <x v="0"/>
    <d v="2017-09-30T00:00:00"/>
    <s v="1706000014"/>
    <d v="2017-09-30T00:00:00"/>
    <s v=""/>
    <s v="1706000014"/>
  </r>
  <r>
    <s v="1706000015"/>
    <d v="2017-09-30T00:00:00"/>
    <d v="2017-09-30T00:00:00"/>
    <s v="DA"/>
    <s v="USD"/>
    <n v="-1"/>
    <n v="-1"/>
    <s v="BDT"/>
    <s v="EGM2"/>
    <n v="-80.12"/>
    <s v="CM ADV 94K GL CLEARING"/>
    <s v="0000001010"/>
    <s v="ADV 94K GL CLEA"/>
    <s v=""/>
    <s v=""/>
    <s v="0"/>
    <s v="CM ADV 94K GL CLEARING"/>
    <s v=""/>
    <s v=""/>
    <s v=""/>
    <s v=""/>
    <s v=""/>
    <x v="0"/>
    <d v="2017-09-30T00:00:00"/>
    <s v="1706000015"/>
    <d v="2017-09-30T00:00:00"/>
    <s v=""/>
    <s v="1706000015"/>
  </r>
  <r>
    <s v="1706000016"/>
    <d v="2017-09-01T00:00:00"/>
    <d v="2017-09-01T00:00:00"/>
    <s v="DA"/>
    <s v="USD"/>
    <n v="74584"/>
    <n v="74584"/>
    <s v="BDT"/>
    <s v="EGM2"/>
    <n v="5974178.4100000001"/>
    <s v="CM ADV 74K GL CLEARING"/>
    <s v="0000001010"/>
    <s v="ADV 74K GL CLEA"/>
    <s v=""/>
    <s v=""/>
    <s v="0"/>
    <s v="CM ADV 74K GL CLEARING"/>
    <s v=""/>
    <s v=""/>
    <s v=""/>
    <s v=""/>
    <s v=""/>
    <x v="0"/>
    <d v="2017-09-01T00:00:00"/>
    <s v="1706000016"/>
    <d v="2017-09-01T00:00:00"/>
    <s v=""/>
    <s v="1706000016"/>
  </r>
  <r>
    <s v="1706000016"/>
    <d v="2017-09-01T00:00:00"/>
    <d v="2017-09-01T00:00:00"/>
    <s v="DA"/>
    <s v="USD"/>
    <n v="-74584"/>
    <n v="-74584"/>
    <s v="BDT"/>
    <s v="EGM2"/>
    <n v="-5974178.4100000001"/>
    <s v=""/>
    <s v="0000001010"/>
    <s v="ADV 74K GL CLEA"/>
    <s v=""/>
    <s v=""/>
    <s v="0"/>
    <s v="CM ADV 74K GL CLEARING"/>
    <s v=""/>
    <s v=""/>
    <s v=""/>
    <s v=""/>
    <s v=""/>
    <x v="0"/>
    <d v="2017-09-01T00:00:00"/>
    <s v="1706000016"/>
    <d v="2017-09-01T00:00:00"/>
    <s v=""/>
    <s v="1706000016"/>
  </r>
  <r>
    <s v="1706000017"/>
    <d v="2017-09-30T00:00:00"/>
    <d v="2017-09-30T00:00:00"/>
    <s v="DA"/>
    <s v="USD"/>
    <n v="139902"/>
    <n v="139902"/>
    <s v="BDT"/>
    <s v="EGM2"/>
    <n v="11150189.4"/>
    <s v="CM ADV 139K GL CLEARING"/>
    <s v="0000001010"/>
    <s v="ADV 139K GL CLEA"/>
    <s v=""/>
    <s v=""/>
    <s v="0"/>
    <s v="CM ADV 139K GL CLEARING"/>
    <s v=""/>
    <s v=""/>
    <s v=""/>
    <s v=""/>
    <s v=""/>
    <x v="0"/>
    <d v="2017-09-30T00:00:00"/>
    <s v="1706000017"/>
    <d v="2017-09-30T00:00:00"/>
    <s v=""/>
    <s v="1706000017"/>
  </r>
  <r>
    <s v="1706000017"/>
    <d v="2017-09-30T00:00:00"/>
    <d v="2017-09-30T00:00:00"/>
    <s v="DA"/>
    <s v="USD"/>
    <n v="-139902"/>
    <n v="-139902"/>
    <s v="BDT"/>
    <s v="EGM2"/>
    <n v="-11150189.4"/>
    <s v="CM ADV 139K GL CLEARING"/>
    <s v="0000001010"/>
    <s v="ADV 139K GL CLEA"/>
    <s v=""/>
    <s v=""/>
    <s v="0"/>
    <s v="CM ADV 139K GL CLEARING"/>
    <s v=""/>
    <s v=""/>
    <s v=""/>
    <s v=""/>
    <s v=""/>
    <x v="0"/>
    <d v="2017-09-30T00:00:00"/>
    <s v="1706000017"/>
    <d v="2017-09-30T00:00:00"/>
    <s v=""/>
    <s v="1706000017"/>
  </r>
  <r>
    <s v="1706000018"/>
    <d v="2017-09-30T00:00:00"/>
    <d v="2017-09-30T00:00:00"/>
    <s v="DA"/>
    <s v="USD"/>
    <n v="-21"/>
    <n v="-21"/>
    <s v="BDT"/>
    <s v="EGM2"/>
    <n v="-1664.25"/>
    <s v=""/>
    <s v="0000001010"/>
    <s v="ADV 118K GL CLEA"/>
    <s v=""/>
    <s v=""/>
    <s v="0"/>
    <s v="CM ADV 118K GL CLEARING"/>
    <s v=""/>
    <s v=""/>
    <s v=""/>
    <s v=""/>
    <s v=""/>
    <x v="0"/>
    <d v="2017-09-30T00:00:00"/>
    <s v="1706000018"/>
    <d v="2017-09-30T00:00:00"/>
    <s v=""/>
    <s v="1706000018"/>
  </r>
  <r>
    <s v="1706000019"/>
    <d v="2017-09-01T00:00:00"/>
    <d v="2017-09-01T00:00:00"/>
    <s v="DA"/>
    <s v="USD"/>
    <n v="1"/>
    <n v="1"/>
    <s v="BDT"/>
    <s v="EGM2"/>
    <n v="904.55"/>
    <s v="CM ADV 111K GL CLEARING"/>
    <s v="0000001010"/>
    <s v="ADV 111K GL CLEA"/>
    <s v=""/>
    <s v=""/>
    <s v="0"/>
    <s v="CM ADV 111K GL CLEARING"/>
    <s v=""/>
    <s v=""/>
    <s v=""/>
    <s v=""/>
    <s v=""/>
    <x v="0"/>
    <d v="2017-09-01T00:00:00"/>
    <s v="1706000019"/>
    <d v="2017-09-01T00:00:00"/>
    <s v=""/>
    <s v="1706000019"/>
  </r>
  <r>
    <s v="1706000020"/>
    <d v="2017-09-30T00:00:00"/>
    <d v="2017-09-30T00:00:00"/>
    <s v="DA"/>
    <s v="USD"/>
    <n v="27878"/>
    <n v="27878"/>
    <s v="BDT"/>
    <s v="EGM2"/>
    <n v="2252542.4"/>
    <s v=""/>
    <s v="0000001010"/>
    <s v="ADV 27K GL CLR"/>
    <s v=""/>
    <s v=""/>
    <s v="0"/>
    <s v="CM ADV 27K GL CLEARING"/>
    <s v=""/>
    <s v=""/>
    <s v=""/>
    <s v=""/>
    <s v=""/>
    <x v="0"/>
    <d v="2017-09-30T00:00:00"/>
    <s v="1706000020"/>
    <d v="2017-09-30T00:00:00"/>
    <s v=""/>
    <s v="1706000020"/>
  </r>
  <r>
    <s v="1706000020"/>
    <d v="2017-09-30T00:00:00"/>
    <d v="2017-09-30T00:00:00"/>
    <s v="DA"/>
    <s v="USD"/>
    <n v="-27878"/>
    <n v="-27878"/>
    <s v="BDT"/>
    <s v="EGM2"/>
    <n v="-2252542.4"/>
    <s v=""/>
    <s v="0000001010"/>
    <s v="ADV 27K GL CLR"/>
    <s v=""/>
    <s v=""/>
    <s v="0"/>
    <s v="CM ADV 27K GL CLEARING"/>
    <s v=""/>
    <s v=""/>
    <s v=""/>
    <s v=""/>
    <s v=""/>
    <x v="0"/>
    <d v="2017-09-30T00:00:00"/>
    <s v="1706000020"/>
    <d v="2017-09-30T00:00:00"/>
    <s v=""/>
    <s v="1706000020"/>
  </r>
  <r>
    <s v="1706000021"/>
    <d v="2017-10-31T00:00:00"/>
    <d v="2017-10-31T00:00:00"/>
    <s v="DA"/>
    <s v="USD"/>
    <n v="493774"/>
    <n v="493774"/>
    <s v="BDT"/>
    <s v="EGM1"/>
    <n v="40193203.600000001"/>
    <s v="493K CM ADV G/L CLR"/>
    <s v="0000001010"/>
    <s v="493K G/L CLR"/>
    <s v=""/>
    <s v=""/>
    <s v="0"/>
    <s v="493K CM ADV G/L CLR"/>
    <s v=""/>
    <s v=""/>
    <s v=""/>
    <s v=""/>
    <s v=""/>
    <x v="0"/>
    <d v="2017-10-31T00:00:00"/>
    <s v="1706000021"/>
    <d v="2017-10-31T00:00:00"/>
    <s v=""/>
    <s v="1706000021"/>
  </r>
  <r>
    <s v="1706000021"/>
    <d v="2017-10-31T00:00:00"/>
    <d v="2017-10-31T00:00:00"/>
    <s v="DA"/>
    <s v="USD"/>
    <n v="-493774"/>
    <n v="-493774"/>
    <s v="BDT"/>
    <s v="EGM1"/>
    <n v="-40193203.600000001"/>
    <s v="493K CM ADV G/L CLR"/>
    <s v="0000001010"/>
    <s v="493K G/L CLR"/>
    <s v=""/>
    <s v=""/>
    <s v="0"/>
    <s v="493K CM ADV G/L CLR"/>
    <s v=""/>
    <s v=""/>
    <s v=""/>
    <s v=""/>
    <s v=""/>
    <x v="0"/>
    <d v="2017-10-31T00:00:00"/>
    <s v="1706000021"/>
    <d v="2017-10-31T00:00:00"/>
    <s v=""/>
    <s v="1706000021"/>
  </r>
  <r>
    <s v="1706000022"/>
    <d v="2017-10-31T00:00:00"/>
    <d v="2017-10-31T00:00:00"/>
    <s v="DA"/>
    <s v="USD"/>
    <n v="294346"/>
    <n v="294346"/>
    <s v="BDT"/>
    <s v="EGM1"/>
    <n v="23783156.800000001"/>
    <s v="294K CM ADV G/L CLR"/>
    <s v="0000001010"/>
    <s v="294K G/L CLR"/>
    <s v=""/>
    <s v=""/>
    <s v="0"/>
    <s v="294K CM ADV G/L CLR"/>
    <s v=""/>
    <s v=""/>
    <s v=""/>
    <s v=""/>
    <s v=""/>
    <x v="0"/>
    <d v="2017-10-31T00:00:00"/>
    <s v="1706000022"/>
    <d v="2017-10-31T00:00:00"/>
    <s v=""/>
    <s v="1706000022"/>
  </r>
  <r>
    <s v="1706000022"/>
    <d v="2017-10-31T00:00:00"/>
    <d v="2017-10-31T00:00:00"/>
    <s v="DA"/>
    <s v="USD"/>
    <n v="-294346"/>
    <n v="-294346"/>
    <s v="BDT"/>
    <s v="EGM1"/>
    <n v="-23783156.800000001"/>
    <s v="294K CM ADV G/L CLR"/>
    <s v="0000001010"/>
    <s v="294K G/L CLR"/>
    <s v=""/>
    <s v=""/>
    <s v="0"/>
    <s v="294K CM ADV G/L CLR"/>
    <s v=""/>
    <s v=""/>
    <s v=""/>
    <s v=""/>
    <s v=""/>
    <x v="0"/>
    <d v="2017-10-31T00:00:00"/>
    <s v="1706000022"/>
    <d v="2017-10-31T00:00:00"/>
    <s v=""/>
    <s v="1706000022"/>
  </r>
  <r>
    <s v="1706000023"/>
    <d v="2017-10-31T00:00:00"/>
    <d v="2017-10-31T00:00:00"/>
    <s v="DA"/>
    <s v="USD"/>
    <n v="210797"/>
    <n v="210797"/>
    <s v="BDT"/>
    <s v="EGM1"/>
    <n v="17032397.600000001"/>
    <s v="210K CM ADV G/L CLR"/>
    <s v="0000001010"/>
    <s v="210K G/L CLR"/>
    <s v=""/>
    <s v=""/>
    <s v="0"/>
    <s v="210K CM ADV G/L CLR"/>
    <s v=""/>
    <s v=""/>
    <s v=""/>
    <s v=""/>
    <s v=""/>
    <x v="0"/>
    <d v="2017-10-31T00:00:00"/>
    <s v="1706000023"/>
    <d v="2017-10-31T00:00:00"/>
    <s v=""/>
    <s v="1706000023"/>
  </r>
  <r>
    <s v="1706000023"/>
    <d v="2017-10-31T00:00:00"/>
    <d v="2017-10-31T00:00:00"/>
    <s v="DA"/>
    <s v="USD"/>
    <n v="-210797"/>
    <n v="-210797"/>
    <s v="BDT"/>
    <s v="EGM1"/>
    <n v="-17032397.600000001"/>
    <s v="210K CM ADV G/L CLR"/>
    <s v="0000001010"/>
    <s v="210K G/L CLR"/>
    <s v=""/>
    <s v=""/>
    <s v="0"/>
    <s v="210K CM ADV G/L CLR"/>
    <s v=""/>
    <s v=""/>
    <s v=""/>
    <s v=""/>
    <s v=""/>
    <x v="0"/>
    <d v="2017-10-31T00:00:00"/>
    <s v="1706000023"/>
    <d v="2017-10-31T00:00:00"/>
    <s v=""/>
    <s v="1706000023"/>
  </r>
  <r>
    <s v="1706000024"/>
    <d v="2017-10-31T00:00:00"/>
    <d v="2017-10-31T00:00:00"/>
    <s v="DA"/>
    <s v="USD"/>
    <n v="121110"/>
    <n v="121110"/>
    <s v="BDT"/>
    <s v="EGM2"/>
    <n v="9858354"/>
    <s v="121K CM ADV G/L CLR"/>
    <s v="0000001010"/>
    <s v="121K G/L CLR"/>
    <s v=""/>
    <s v=""/>
    <s v="0"/>
    <s v="121K CM ADV G/L CLR"/>
    <s v=""/>
    <s v=""/>
    <s v=""/>
    <s v=""/>
    <s v=""/>
    <x v="0"/>
    <d v="2017-10-31T00:00:00"/>
    <s v="1706000024"/>
    <d v="2017-10-31T00:00:00"/>
    <s v=""/>
    <s v="1706000024"/>
  </r>
  <r>
    <s v="1706000024"/>
    <d v="2017-10-31T00:00:00"/>
    <d v="2017-10-31T00:00:00"/>
    <s v="DA"/>
    <s v="USD"/>
    <n v="-121110"/>
    <n v="-121110"/>
    <s v="BDT"/>
    <s v="EGM2"/>
    <n v="-9858354"/>
    <s v="121K CM ADV G/L CLR"/>
    <s v="0000001010"/>
    <s v="121K G/L CLR"/>
    <s v=""/>
    <s v=""/>
    <s v="0"/>
    <s v="121K CM ADV G/L CLR"/>
    <s v=""/>
    <s v=""/>
    <s v=""/>
    <s v=""/>
    <s v=""/>
    <x v="0"/>
    <d v="2017-10-31T00:00:00"/>
    <s v="1706000024"/>
    <d v="2017-10-31T00:00:00"/>
    <s v=""/>
    <s v="1706000024"/>
  </r>
  <r>
    <s v="1706000025"/>
    <d v="2017-10-31T00:00:00"/>
    <d v="2017-10-31T00:00:00"/>
    <s v="DA"/>
    <s v="USD"/>
    <n v="32967"/>
    <n v="32967"/>
    <s v="BDT"/>
    <s v="EGM2"/>
    <n v="2683513.7999999998"/>
    <s v="32K CM ADV G/L CLR"/>
    <s v="0000001010"/>
    <s v="32K G/L CLR"/>
    <s v=""/>
    <s v=""/>
    <s v="0"/>
    <s v="32K CM ADV G/L CLR"/>
    <s v=""/>
    <s v=""/>
    <s v=""/>
    <s v=""/>
    <s v=""/>
    <x v="0"/>
    <d v="2017-10-31T00:00:00"/>
    <s v="1706000025"/>
    <d v="2017-10-31T00:00:00"/>
    <s v=""/>
    <s v="1706000025"/>
  </r>
  <r>
    <s v="1706000025"/>
    <d v="2017-10-31T00:00:00"/>
    <d v="2017-10-31T00:00:00"/>
    <s v="DA"/>
    <s v="USD"/>
    <n v="-32967"/>
    <n v="-32967"/>
    <s v="BDT"/>
    <s v="EGM2"/>
    <n v="-2683513.7999999998"/>
    <s v="32K CM ADV G/L CLR"/>
    <s v="0000001010"/>
    <s v="32K G/L CLR"/>
    <s v=""/>
    <s v=""/>
    <s v="0"/>
    <s v="32K CM ADV G/L CLR"/>
    <s v=""/>
    <s v=""/>
    <s v=""/>
    <s v=""/>
    <s v=""/>
    <x v="0"/>
    <d v="2017-10-31T00:00:00"/>
    <s v="1706000025"/>
    <d v="2017-10-31T00:00:00"/>
    <s v=""/>
    <s v="1706000025"/>
  </r>
  <r>
    <s v="1706000026"/>
    <d v="2017-10-31T00:00:00"/>
    <d v="2017-10-31T00:00:00"/>
    <s v="DA"/>
    <s v="USD"/>
    <n v="75129"/>
    <n v="75129"/>
    <s v="BDT"/>
    <s v="EGM2"/>
    <n v="6070423.2000000002"/>
    <s v="75K CM ADV G/L CLR"/>
    <s v="0000001010"/>
    <s v="75K G/L CLR"/>
    <s v=""/>
    <s v=""/>
    <s v="0"/>
    <s v="75K CM ADV G/L CLR"/>
    <s v=""/>
    <s v=""/>
    <s v=""/>
    <s v=""/>
    <s v=""/>
    <x v="0"/>
    <d v="2017-10-31T00:00:00"/>
    <s v="1706000026"/>
    <d v="2017-10-31T00:00:00"/>
    <s v=""/>
    <s v="1706000026"/>
  </r>
  <r>
    <s v="1706000026"/>
    <d v="2017-10-31T00:00:00"/>
    <d v="2017-10-31T00:00:00"/>
    <s v="DA"/>
    <s v="USD"/>
    <n v="-75129"/>
    <n v="-75129"/>
    <s v="BDT"/>
    <s v="EGM2"/>
    <n v="-6070423.2000000002"/>
    <s v="75K CM ADV G/L CLR"/>
    <s v="0000001010"/>
    <s v="75K G/L CLR"/>
    <s v=""/>
    <s v=""/>
    <s v="0"/>
    <s v="75K CM ADV G/L CLR"/>
    <s v=""/>
    <s v=""/>
    <s v=""/>
    <s v=""/>
    <s v=""/>
    <x v="0"/>
    <d v="2017-10-31T00:00:00"/>
    <s v="1706000026"/>
    <d v="2017-10-31T00:00:00"/>
    <s v=""/>
    <s v="1706000026"/>
  </r>
  <r>
    <s v="1706000027"/>
    <d v="2017-11-05T00:00:00"/>
    <d v="2017-11-05T00:00:00"/>
    <s v="DA"/>
    <s v="USD"/>
    <n v="34293"/>
    <n v="34293"/>
    <s v="BDT"/>
    <s v="EGM2"/>
    <n v="2791450.2"/>
    <s v="CM ADV 34K G/L CLR"/>
    <s v="0000001010"/>
    <s v="34K G/L CLR"/>
    <s v=""/>
    <s v=""/>
    <s v="0"/>
    <s v="CM ADV 34K G/L CLR"/>
    <s v=""/>
    <s v=""/>
    <s v=""/>
    <s v=""/>
    <s v=""/>
    <x v="0"/>
    <d v="2017-11-05T00:00:00"/>
    <s v="1706000027"/>
    <d v="2017-11-05T00:00:00"/>
    <s v=""/>
    <s v="1706000027"/>
  </r>
  <r>
    <s v="1706000027"/>
    <d v="2017-11-05T00:00:00"/>
    <d v="2017-11-05T00:00:00"/>
    <s v="DA"/>
    <s v="USD"/>
    <n v="-34293"/>
    <n v="-34293"/>
    <s v="BDT"/>
    <s v="EGM2"/>
    <n v="-2791450.2"/>
    <s v="CM ADV 34K G/L CLR"/>
    <s v="0000001010"/>
    <s v="34K G/L CLR"/>
    <s v=""/>
    <s v=""/>
    <s v="0"/>
    <s v="CM ADV 34K G/L CLR"/>
    <s v=""/>
    <s v=""/>
    <s v=""/>
    <s v=""/>
    <s v=""/>
    <x v="0"/>
    <d v="2017-11-05T00:00:00"/>
    <s v="1706000027"/>
    <d v="2017-11-05T00:00:00"/>
    <s v=""/>
    <s v="1706000027"/>
  </r>
  <r>
    <s v="1706000028"/>
    <d v="2017-11-09T00:00:00"/>
    <d v="2017-11-09T00:00:00"/>
    <s v="DA"/>
    <s v="USD"/>
    <n v="37248"/>
    <n v="37248"/>
    <s v="BDT"/>
    <s v="EGM2"/>
    <n v="3060668.16"/>
    <s v="CM ADV 37K G/L CLR"/>
    <s v="0000001010"/>
    <s v="37K G/L CLR"/>
    <s v=""/>
    <s v=""/>
    <s v="0"/>
    <s v="CM ADV 37K G/L CLR"/>
    <s v=""/>
    <s v=""/>
    <s v=""/>
    <s v=""/>
    <s v=""/>
    <x v="0"/>
    <d v="2017-11-09T00:00:00"/>
    <s v="1706000028"/>
    <d v="2017-11-09T00:00:00"/>
    <s v=""/>
    <s v="1706000028"/>
  </r>
  <r>
    <s v="1706000028"/>
    <d v="2017-11-09T00:00:00"/>
    <d v="2017-11-09T00:00:00"/>
    <s v="DA"/>
    <s v="USD"/>
    <n v="-37248"/>
    <n v="-37248"/>
    <s v="BDT"/>
    <s v="EGM2"/>
    <n v="-3060668.16"/>
    <s v="CM ADV 37K G/L CLR"/>
    <s v="0000001010"/>
    <s v="37K G/L CLR"/>
    <s v=""/>
    <s v=""/>
    <s v="0"/>
    <s v="CM ADV 37K G/L CLR"/>
    <s v=""/>
    <s v=""/>
    <s v=""/>
    <s v=""/>
    <s v=""/>
    <x v="0"/>
    <d v="2017-11-09T00:00:00"/>
    <s v="1706000028"/>
    <d v="2017-11-09T00:00:00"/>
    <s v=""/>
    <s v="1706000028"/>
  </r>
  <r>
    <s v="1706000029"/>
    <d v="2017-11-20T00:00:00"/>
    <d v="2017-11-20T00:00:00"/>
    <s v="DA"/>
    <s v="USD"/>
    <n v="358215"/>
    <n v="358215"/>
    <s v="BDT"/>
    <s v="EGM1"/>
    <n v="29434526.550000001"/>
    <s v="G/L CLEARING 358K"/>
    <s v="0000001010"/>
    <s v="CM ADV 358K"/>
    <s v=""/>
    <s v=""/>
    <s v="0"/>
    <s v="G/L CLEARING 358K"/>
    <s v=""/>
    <s v=""/>
    <s v=""/>
    <s v=""/>
    <s v=""/>
    <x v="0"/>
    <d v="2017-11-20T00:00:00"/>
    <s v="1706000029"/>
    <d v="2017-11-20T00:00:00"/>
    <s v=""/>
    <s v="1706000029"/>
  </r>
  <r>
    <s v="1706000029"/>
    <d v="2017-11-20T00:00:00"/>
    <d v="2017-11-20T00:00:00"/>
    <s v="DA"/>
    <s v="USD"/>
    <n v="-358215"/>
    <n v="-358215"/>
    <s v="BDT"/>
    <s v="EGM1"/>
    <n v="-29434526.550000001"/>
    <s v="G/L CLEARING 358K"/>
    <s v="0000001010"/>
    <s v="CM ADV 358K"/>
    <s v=""/>
    <s v=""/>
    <s v="0"/>
    <s v="G/L CLEARING 358K"/>
    <s v=""/>
    <s v=""/>
    <s v=""/>
    <s v=""/>
    <s v=""/>
    <x v="0"/>
    <d v="2017-11-20T00:00:00"/>
    <s v="1706000029"/>
    <d v="2017-11-20T00:00:00"/>
    <s v=""/>
    <s v="1706000029"/>
  </r>
  <r>
    <s v="1706000030"/>
    <d v="2017-12-21T00:00:00"/>
    <d v="2017-12-21T00:00:00"/>
    <s v="DA"/>
    <s v="USD"/>
    <n v="621713"/>
    <n v="621713"/>
    <s v="BDT"/>
    <s v="EGM1"/>
    <n v="50949380.350000001"/>
    <s v="G/L CLEARING 621K"/>
    <s v="0000001010"/>
    <s v="CM ADV 621K"/>
    <s v=""/>
    <s v=""/>
    <s v="0"/>
    <s v="G/L CLEARING 621K"/>
    <s v=""/>
    <s v=""/>
    <s v=""/>
    <s v=""/>
    <s v=""/>
    <x v="0"/>
    <d v="2017-12-21T00:00:00"/>
    <s v="1706000030"/>
    <d v="2017-12-21T00:00:00"/>
    <s v=""/>
    <s v="1706000030"/>
  </r>
  <r>
    <s v="1706000030"/>
    <d v="2017-12-21T00:00:00"/>
    <d v="2017-12-21T00:00:00"/>
    <s v="DA"/>
    <s v="USD"/>
    <n v="-621713"/>
    <n v="-621713"/>
    <s v="BDT"/>
    <s v="EGM1"/>
    <n v="-50949380.350000001"/>
    <s v="G/L CLEARING 621K"/>
    <s v="0000001010"/>
    <s v="CM ADV 621K"/>
    <s v=""/>
    <s v=""/>
    <s v="0"/>
    <s v="G/L CLEARING 621K"/>
    <s v=""/>
    <s v=""/>
    <s v=""/>
    <s v=""/>
    <s v=""/>
    <x v="0"/>
    <d v="2017-12-21T00:00:00"/>
    <s v="1706000030"/>
    <d v="2017-12-21T00:00:00"/>
    <s v=""/>
    <s v="1706000030"/>
  </r>
  <r>
    <s v="1706000031"/>
    <d v="2017-12-03T00:00:00"/>
    <d v="2017-12-03T00:00:00"/>
    <s v="DA"/>
    <s v="USD"/>
    <n v="-2"/>
    <n v="-2"/>
    <s v="BDT"/>
    <s v="EGM2"/>
    <n v="-164.34"/>
    <s v="CM ADV 112K G/L CLR"/>
    <s v="0000001010"/>
    <s v="112K G/L CLR"/>
    <s v=""/>
    <s v=""/>
    <s v="0"/>
    <s v="CM ADV 112K G/L CLR"/>
    <s v=""/>
    <s v=""/>
    <s v=""/>
    <s v=""/>
    <s v=""/>
    <x v="0"/>
    <d v="2017-12-03T00:00:00"/>
    <s v="1706000031"/>
    <d v="2017-12-03T00:00:00"/>
    <s v=""/>
    <s v="1706000031"/>
  </r>
  <r>
    <s v="1706000032"/>
    <d v="2017-12-13T00:00:00"/>
    <d v="2017-12-13T00:00:00"/>
    <s v="DA"/>
    <s v="USD"/>
    <n v="-1"/>
    <n v="-1"/>
    <s v="BDT"/>
    <s v="EGM2"/>
    <n v="-82.17"/>
    <s v=""/>
    <s v="0000001010"/>
    <s v="192K G/L CLR"/>
    <s v=""/>
    <s v=""/>
    <s v="0"/>
    <s v="CM ADV 192K G/L CLR"/>
    <s v=""/>
    <s v=""/>
    <s v=""/>
    <s v=""/>
    <s v=""/>
    <x v="0"/>
    <d v="2017-12-13T00:00:00"/>
    <s v="1706000032"/>
    <d v="2017-12-13T00:00:00"/>
    <s v=""/>
    <s v="1706000032"/>
  </r>
  <r>
    <s v="1706000033"/>
    <d v="2018-01-18T00:00:00"/>
    <d v="2018-01-18T00:00:00"/>
    <s v="DA"/>
    <s v="USD"/>
    <n v="1"/>
    <n v="1"/>
    <s v="BDT"/>
    <s v="EGM2"/>
    <n v="82.2"/>
    <s v="59K CM  ADV G/L CL"/>
    <s v="0000001010"/>
    <s v="59K G/L CL"/>
    <s v=""/>
    <s v=""/>
    <s v="0"/>
    <s v="59K CM  ADV G/L CL"/>
    <s v=""/>
    <s v=""/>
    <s v=""/>
    <s v=""/>
    <s v=""/>
    <x v="0"/>
    <d v="2018-01-18T00:00:00"/>
    <s v="1706000033"/>
    <d v="2018-01-18T00:00:00"/>
    <s v=""/>
    <s v="1706000033"/>
  </r>
  <r>
    <s v="1706000034"/>
    <d v="2018-01-28T00:00:00"/>
    <d v="2018-01-28T00:00:00"/>
    <s v="DA"/>
    <s v="USD"/>
    <n v="-1"/>
    <n v="-1"/>
    <s v="BDT"/>
    <s v="EGM1"/>
    <n v="-82.2"/>
    <s v=""/>
    <s v="0000001010"/>
    <s v="106K G/L CL"/>
    <s v=""/>
    <s v=""/>
    <s v="0"/>
    <s v="106K CM  ADV G/L CL"/>
    <s v=""/>
    <s v=""/>
    <s v=""/>
    <s v=""/>
    <s v=""/>
    <x v="0"/>
    <d v="2018-01-28T00:00:00"/>
    <s v="1706000034"/>
    <d v="2018-01-28T00:00:00"/>
    <s v=""/>
    <s v="1706000034"/>
  </r>
  <r>
    <s v="1706000035"/>
    <d v="2018-01-22T00:00:00"/>
    <d v="2018-01-22T00:00:00"/>
    <s v="DA"/>
    <s v="USD"/>
    <n v="846648"/>
    <n v="846648"/>
    <s v="BDT"/>
    <s v="EGM1"/>
    <n v="69594465.599999994"/>
    <s v="846K CM  ADV G/L CL"/>
    <s v="0000001010"/>
    <s v="846K G/L CL"/>
    <s v=""/>
    <s v=""/>
    <s v="0"/>
    <s v="846K CM  ADV G/L CL"/>
    <s v=""/>
    <s v=""/>
    <s v=""/>
    <s v=""/>
    <s v=""/>
    <x v="0"/>
    <d v="2018-01-22T00:00:00"/>
    <s v="1706000035"/>
    <d v="2018-01-22T00:00:00"/>
    <s v=""/>
    <s v="1706000035"/>
  </r>
  <r>
    <s v="1706000035"/>
    <d v="2018-01-22T00:00:00"/>
    <d v="2018-01-22T00:00:00"/>
    <s v="DA"/>
    <s v="USD"/>
    <n v="-846648"/>
    <n v="-846648"/>
    <s v="BDT"/>
    <s v="EGM1"/>
    <n v="-69594465.599999994"/>
    <s v="846K CM  ADV G/L CL"/>
    <s v="0000001010"/>
    <s v="846K G/L CL"/>
    <s v=""/>
    <s v=""/>
    <s v="0"/>
    <s v="846K CM  ADV G/L CL"/>
    <s v=""/>
    <s v=""/>
    <s v=""/>
    <s v=""/>
    <s v=""/>
    <x v="0"/>
    <d v="2018-01-22T00:00:00"/>
    <s v="1706000035"/>
    <d v="2018-01-22T00:00:00"/>
    <s v=""/>
    <s v="1706000035"/>
  </r>
  <r>
    <s v="1706000036"/>
    <d v="2018-01-28T00:00:00"/>
    <d v="2018-01-28T00:00:00"/>
    <s v="DA"/>
    <s v="USD"/>
    <n v="326271"/>
    <n v="326271"/>
    <s v="BDT"/>
    <s v="EGM1"/>
    <n v="26819476.210000001"/>
    <s v="280K CM  ADV G/L CL"/>
    <s v="0000001010"/>
    <s v="280K G/L CL"/>
    <s v=""/>
    <s v=""/>
    <s v="0"/>
    <s v="280K CM  ADV G/L CL"/>
    <s v=""/>
    <s v=""/>
    <s v=""/>
    <s v=""/>
    <s v=""/>
    <x v="0"/>
    <d v="2018-02-05T00:00:00"/>
    <s v="1706000036"/>
    <d v="2018-01-28T00:00:00"/>
    <s v=""/>
    <s v="1706000036"/>
  </r>
  <r>
    <s v="1706000036"/>
    <d v="2018-01-28T00:00:00"/>
    <d v="2018-01-28T00:00:00"/>
    <s v="DA"/>
    <s v="USD"/>
    <n v="-326271"/>
    <n v="-326271"/>
    <s v="BDT"/>
    <s v="EGM1"/>
    <n v="-26819476.210000001"/>
    <s v="280K CM  ADV G/L CL"/>
    <s v="0000001010"/>
    <s v="280K G/L CL"/>
    <s v=""/>
    <s v=""/>
    <s v="0"/>
    <s v="280K CM  ADV G/L CL"/>
    <s v=""/>
    <s v=""/>
    <s v=""/>
    <s v=""/>
    <s v=""/>
    <x v="0"/>
    <d v="2018-02-05T00:00:00"/>
    <s v="1706000036"/>
    <d v="2018-01-28T00:00:00"/>
    <s v=""/>
    <s v="1706000036"/>
  </r>
  <r>
    <s v="1706000037"/>
    <d v="2018-01-28T00:00:00"/>
    <d v="2018-01-28T00:00:00"/>
    <s v="DA"/>
    <s v="USD"/>
    <n v="133646"/>
    <n v="133646"/>
    <s v="BDT"/>
    <s v="EGM2"/>
    <n v="10985701.199999999"/>
    <s v="133K CM  ADV G/L CL"/>
    <s v="0000001010"/>
    <s v="133K G/L CL"/>
    <s v=""/>
    <s v=""/>
    <s v="0"/>
    <s v="133K CM  ADV G/L CL"/>
    <s v=""/>
    <s v=""/>
    <s v=""/>
    <s v=""/>
    <s v=""/>
    <x v="0"/>
    <d v="2018-02-07T00:00:00"/>
    <s v="1706000037"/>
    <d v="2018-01-28T00:00:00"/>
    <s v=""/>
    <s v="1706000037"/>
  </r>
  <r>
    <s v="1706000037"/>
    <d v="2018-01-28T00:00:00"/>
    <d v="2018-01-28T00:00:00"/>
    <s v="DA"/>
    <s v="USD"/>
    <n v="-133646"/>
    <n v="-133646"/>
    <s v="BDT"/>
    <s v="EGM2"/>
    <n v="-10985701.199999999"/>
    <s v="133K CM  ADV G/L CL"/>
    <s v="0000001010"/>
    <s v="133K G/L CL"/>
    <s v=""/>
    <s v=""/>
    <s v="0"/>
    <s v="133K CM  ADV G/L CL"/>
    <s v=""/>
    <s v=""/>
    <s v=""/>
    <s v=""/>
    <s v=""/>
    <x v="0"/>
    <d v="2018-02-07T00:00:00"/>
    <s v="1706000037"/>
    <d v="2018-01-28T00:00:00"/>
    <s v=""/>
    <s v="1706000037"/>
  </r>
  <r>
    <s v="1706000038"/>
    <d v="2018-01-04T00:00:00"/>
    <d v="2018-01-04T00:00:00"/>
    <s v="DA"/>
    <s v="USD"/>
    <n v="316544"/>
    <n v="316544"/>
    <s v="BDT"/>
    <s v="EGM1"/>
    <n v="26019916.800000001"/>
    <s v="316K CM  ADV G/L CL"/>
    <s v="0000001010"/>
    <s v="316K G/L CL"/>
    <s v=""/>
    <s v=""/>
    <s v="0"/>
    <s v="316K CM  ADV G/L CL"/>
    <s v=""/>
    <s v=""/>
    <s v=""/>
    <s v=""/>
    <s v=""/>
    <x v="0"/>
    <d v="2018-01-04T00:00:00"/>
    <s v="1706000038"/>
    <d v="2018-01-04T00:00:00"/>
    <s v=""/>
    <s v="1706000038"/>
  </r>
  <r>
    <s v="1706000038"/>
    <d v="2018-01-04T00:00:00"/>
    <d v="2018-01-04T00:00:00"/>
    <s v="DA"/>
    <s v="USD"/>
    <n v="-316544"/>
    <n v="-316544"/>
    <s v="BDT"/>
    <s v="EGM1"/>
    <n v="-26019916.800000001"/>
    <s v=""/>
    <s v="0000001010"/>
    <s v="316K G/L CL"/>
    <s v=""/>
    <s v=""/>
    <s v="0"/>
    <s v="316K CM  ADV G/L CL"/>
    <s v=""/>
    <s v=""/>
    <s v=""/>
    <s v=""/>
    <s v=""/>
    <x v="0"/>
    <d v="2018-01-04T00:00:00"/>
    <s v="1706000038"/>
    <d v="2018-01-04T00:00:00"/>
    <s v=""/>
    <s v="1706000038"/>
  </r>
  <r>
    <s v="1706000041"/>
    <d v="2018-02-28T00:00:00"/>
    <d v="2018-02-28T00:00:00"/>
    <s v="DA"/>
    <s v="USD"/>
    <n v="68265"/>
    <n v="68265"/>
    <s v="BDT"/>
    <s v="EGM2"/>
    <n v="5625036.0099999998"/>
    <s v="CM 68K G/L CLEARING"/>
    <s v="0000001010"/>
    <s v="CM 68K G/L"/>
    <s v=""/>
    <s v=""/>
    <s v="0"/>
    <s v="CM 68K G/L CLEARING"/>
    <s v=""/>
    <s v=""/>
    <s v=""/>
    <s v=""/>
    <s v=""/>
    <x v="0"/>
    <d v="2018-02-28T00:00:00"/>
    <s v="1706000041"/>
    <d v="2018-02-28T00:00:00"/>
    <s v=""/>
    <s v="1706000041"/>
  </r>
  <r>
    <s v="1706000041"/>
    <d v="2018-02-28T00:00:00"/>
    <d v="2018-02-28T00:00:00"/>
    <s v="DA"/>
    <s v="USD"/>
    <n v="-68265"/>
    <n v="-68265"/>
    <s v="BDT"/>
    <s v="EGM2"/>
    <n v="-5625036.0099999998"/>
    <s v="CM 68K G/L CLEARING"/>
    <s v="0000001010"/>
    <s v="CM 68K G/L"/>
    <s v=""/>
    <s v=""/>
    <s v="0"/>
    <s v="CM 68K G/L CLEARING"/>
    <s v=""/>
    <s v=""/>
    <s v=""/>
    <s v=""/>
    <s v=""/>
    <x v="0"/>
    <d v="2018-02-28T00:00:00"/>
    <s v="1706000041"/>
    <d v="2018-02-28T00:00:00"/>
    <s v=""/>
    <s v="1706000041"/>
  </r>
  <r>
    <s v="1706000042"/>
    <d v="2018-02-28T00:00:00"/>
    <d v="2018-02-28T00:00:00"/>
    <s v="DA"/>
    <s v="USD"/>
    <n v="105909"/>
    <n v="105909"/>
    <s v="BDT"/>
    <s v="EGM2"/>
    <n v="8705719.8000000007"/>
    <s v="CM 105K G/L CLEARING"/>
    <s v="0000001010"/>
    <s v="CM 105K G/L"/>
    <s v=""/>
    <s v=""/>
    <s v="0"/>
    <s v="CM 105K G/L CLEARING"/>
    <s v=""/>
    <s v=""/>
    <s v=""/>
    <s v=""/>
    <s v=""/>
    <x v="0"/>
    <d v="2018-02-28T00:00:00"/>
    <s v="1706000042"/>
    <d v="2018-02-28T00:00:00"/>
    <s v=""/>
    <s v="1706000042"/>
  </r>
  <r>
    <s v="1706000042"/>
    <d v="2018-02-28T00:00:00"/>
    <d v="2018-02-28T00:00:00"/>
    <s v="DA"/>
    <s v="USD"/>
    <n v="-105909"/>
    <n v="-105909"/>
    <s v="BDT"/>
    <s v="EGM2"/>
    <n v="-8705719.8000000007"/>
    <s v="CM 105K G/L CLEARING"/>
    <s v="0000001010"/>
    <s v="CM 105K G/L"/>
    <s v=""/>
    <s v=""/>
    <s v="0"/>
    <s v="CM 105K G/L CLEARING"/>
    <s v=""/>
    <s v=""/>
    <s v=""/>
    <s v=""/>
    <s v=""/>
    <x v="0"/>
    <d v="2018-02-28T00:00:00"/>
    <s v="1706000042"/>
    <d v="2018-02-28T00:00:00"/>
    <s v=""/>
    <s v="1706000042"/>
  </r>
  <r>
    <s v="1706000043"/>
    <d v="2018-02-28T00:00:00"/>
    <d v="2018-02-28T00:00:00"/>
    <s v="DA"/>
    <s v="USD"/>
    <n v="146084"/>
    <n v="146084"/>
    <s v="BDT"/>
    <s v="EGM2"/>
    <n v="11971583.800000001"/>
    <s v="CM 146K G/L CLEARING"/>
    <s v="0000001010"/>
    <s v="CM 146K G/L"/>
    <s v=""/>
    <s v=""/>
    <s v="0"/>
    <s v="CM 146K G/L CLEARING"/>
    <s v=""/>
    <s v=""/>
    <s v=""/>
    <s v=""/>
    <s v=""/>
    <x v="0"/>
    <d v="2018-02-28T00:00:00"/>
    <s v="1706000043"/>
    <d v="2018-02-28T00:00:00"/>
    <s v=""/>
    <s v="1706000043"/>
  </r>
  <r>
    <s v="1706000043"/>
    <d v="2018-02-28T00:00:00"/>
    <d v="2018-02-28T00:00:00"/>
    <s v="DA"/>
    <s v="USD"/>
    <n v="-146084"/>
    <n v="-146084"/>
    <s v="BDT"/>
    <s v="EGM2"/>
    <n v="-11971583.800000001"/>
    <s v="CM 146K G/L CLEARING"/>
    <s v="0000001010"/>
    <s v="CM 146K G/L"/>
    <s v=""/>
    <s v=""/>
    <s v="0"/>
    <s v="CM 146K G/L CLEARING"/>
    <s v=""/>
    <s v=""/>
    <s v=""/>
    <s v=""/>
    <s v=""/>
    <x v="0"/>
    <d v="2018-02-28T00:00:00"/>
    <s v="1706000043"/>
    <d v="2018-02-28T00:00:00"/>
    <s v=""/>
    <s v="1706000043"/>
  </r>
  <r>
    <s v="1706000044"/>
    <d v="2018-02-28T00:00:00"/>
    <d v="2018-02-28T00:00:00"/>
    <s v="DA"/>
    <s v="USD"/>
    <n v="60523"/>
    <n v="60523"/>
    <s v="BDT"/>
    <s v="EGM1"/>
    <n v="4959859.8499999996"/>
    <s v="CM 407K G/L CLEARING"/>
    <s v="0000001010"/>
    <s v="CM 407K G/L"/>
    <s v=""/>
    <s v=""/>
    <s v="0"/>
    <s v="CM 407K G/L CLEARING"/>
    <s v=""/>
    <s v=""/>
    <s v=""/>
    <s v=""/>
    <s v=""/>
    <x v="0"/>
    <d v="2018-02-28T00:00:00"/>
    <s v="1706000044"/>
    <d v="2018-02-28T00:00:00"/>
    <s v=""/>
    <s v="1706000044"/>
  </r>
  <r>
    <s v="1706000044"/>
    <d v="2018-02-28T00:00:00"/>
    <d v="2018-02-28T00:00:00"/>
    <s v="DA"/>
    <s v="USD"/>
    <n v="-60524"/>
    <n v="-60524"/>
    <s v="BDT"/>
    <s v="EGM1"/>
    <n v="-4959941.8"/>
    <s v="CM 407K G/L CLEARING"/>
    <s v="0000001010"/>
    <s v="CM 407K G/L"/>
    <s v=""/>
    <s v=""/>
    <s v="0"/>
    <s v="CM 407K G/L CLEARING"/>
    <s v=""/>
    <s v=""/>
    <s v=""/>
    <s v=""/>
    <s v=""/>
    <x v="0"/>
    <d v="2018-02-28T00:00:00"/>
    <s v="1706000044"/>
    <d v="2018-02-28T00:00:00"/>
    <s v=""/>
    <s v="1706000044"/>
  </r>
  <r>
    <s v="1706000045"/>
    <d v="2018-02-28T00:00:00"/>
    <d v="2018-02-28T00:00:00"/>
    <s v="DA"/>
    <s v="USD"/>
    <n v="-1"/>
    <n v="-1"/>
    <s v="BDT"/>
    <s v="EGM2"/>
    <n v="-81.95"/>
    <s v="CM 73K G/L CLEARING"/>
    <s v="0000001010"/>
    <s v="CM 73K G/L"/>
    <s v=""/>
    <s v=""/>
    <s v="0"/>
    <s v="CM 73K G/L CLEARING"/>
    <s v=""/>
    <s v=""/>
    <s v=""/>
    <s v=""/>
    <s v=""/>
    <x v="0"/>
    <d v="2018-02-28T00:00:00"/>
    <s v="1706000045"/>
    <d v="2018-02-28T00:00:00"/>
    <s v=""/>
    <s v="1706000045"/>
  </r>
  <r>
    <s v="1706000047"/>
    <d v="2018-03-31T00:00:00"/>
    <d v="2018-03-31T00:00:00"/>
    <s v="DA"/>
    <s v="USD"/>
    <n v="10398"/>
    <n v="10398"/>
    <s v="BDT"/>
    <s v="EGM2"/>
    <n v="857835.01"/>
    <s v="10K CM ADV G/L CLR"/>
    <s v="0000001010"/>
    <s v="CM ADV G/L CLR"/>
    <s v=""/>
    <s v=""/>
    <s v="0"/>
    <s v="10K CM ADV G/L CLR"/>
    <s v=""/>
    <s v=""/>
    <s v=""/>
    <s v=""/>
    <s v=""/>
    <x v="0"/>
    <d v="2018-03-31T00:00:00"/>
    <s v="1706000047"/>
    <d v="2018-03-31T00:00:00"/>
    <s v=""/>
    <s v="1706000047"/>
  </r>
  <r>
    <s v="1706000047"/>
    <d v="2018-03-31T00:00:00"/>
    <d v="2018-03-31T00:00:00"/>
    <s v="DA"/>
    <s v="USD"/>
    <n v="-10398"/>
    <n v="-10398"/>
    <s v="BDT"/>
    <s v="EGM2"/>
    <n v="-857835.01"/>
    <s v="10K CM ADV G/L CLR"/>
    <s v="0000001010"/>
    <s v="CM ADV G/L CLR"/>
    <s v=""/>
    <s v=""/>
    <s v="0"/>
    <s v="10K CM ADV G/L CLR"/>
    <s v=""/>
    <s v=""/>
    <s v=""/>
    <s v=""/>
    <s v=""/>
    <x v="0"/>
    <d v="2018-03-31T00:00:00"/>
    <s v="1706000047"/>
    <d v="2018-03-31T00:00:00"/>
    <s v=""/>
    <s v="1706000047"/>
  </r>
  <r>
    <s v="1706000048"/>
    <d v="2018-03-31T00:00:00"/>
    <d v="2018-03-31T00:00:00"/>
    <s v="DA"/>
    <s v="USD"/>
    <n v="1"/>
    <n v="1"/>
    <s v="BDT"/>
    <s v="EGM2"/>
    <n v="82.4"/>
    <s v="78K CM ADV G/L CLR"/>
    <s v="0000001010"/>
    <s v="CM ADV G/L CLR"/>
    <s v=""/>
    <s v=""/>
    <s v="0"/>
    <s v="78K CM ADV G/L CLR"/>
    <s v=""/>
    <s v=""/>
    <s v=""/>
    <s v=""/>
    <s v=""/>
    <x v="0"/>
    <d v="2018-03-31T00:00:00"/>
    <s v="1706000048"/>
    <d v="2018-03-31T00:00:00"/>
    <s v=""/>
    <s v="1706000048"/>
  </r>
  <r>
    <s v="1706000049"/>
    <d v="2018-03-31T00:00:00"/>
    <d v="2018-03-31T00:00:00"/>
    <s v="DA"/>
    <s v="USD"/>
    <n v="82843"/>
    <n v="82843"/>
    <s v="BDT"/>
    <s v="EGM1"/>
    <n v="6834547.5099999998"/>
    <s v="82K CM ADV G/L CLR"/>
    <s v="0000001010"/>
    <s v="CM ADV G/L CLR"/>
    <s v=""/>
    <s v=""/>
    <s v="0"/>
    <s v="82K CM ADV G/L CLR"/>
    <s v=""/>
    <s v=""/>
    <s v=""/>
    <s v=""/>
    <s v=""/>
    <x v="0"/>
    <d v="2018-03-31T00:00:00"/>
    <s v="1706000049"/>
    <d v="2018-03-31T00:00:00"/>
    <s v=""/>
    <s v="1706000049"/>
  </r>
  <r>
    <s v="1706000049"/>
    <d v="2018-03-31T00:00:00"/>
    <d v="2018-03-31T00:00:00"/>
    <s v="DA"/>
    <s v="USD"/>
    <n v="-82843"/>
    <n v="-82843"/>
    <s v="BDT"/>
    <s v="EGM1"/>
    <n v="-6834547.5099999998"/>
    <s v="82K CM ADV G/L CLR"/>
    <s v="0000001010"/>
    <s v="CM ADV G/L CLR"/>
    <s v=""/>
    <s v=""/>
    <s v="0"/>
    <s v="82K CM ADV G/L CLR"/>
    <s v=""/>
    <s v=""/>
    <s v=""/>
    <s v=""/>
    <s v=""/>
    <x v="0"/>
    <d v="2018-03-31T00:00:00"/>
    <s v="1706000049"/>
    <d v="2018-03-31T00:00:00"/>
    <s v=""/>
    <s v="1706000049"/>
  </r>
  <r>
    <s v="1706000050"/>
    <d v="2018-03-31T00:00:00"/>
    <d v="2018-03-31T00:00:00"/>
    <s v="DA"/>
    <s v="USD"/>
    <n v="92997"/>
    <n v="92997"/>
    <s v="BDT"/>
    <s v="EGM1"/>
    <n v="7672252.5099999998"/>
    <s v="92K CM ADV G/L CLR"/>
    <s v="0000001010"/>
    <s v="CM ADV G/L CLR"/>
    <s v=""/>
    <s v=""/>
    <s v="0"/>
    <s v="92K CM ADV G/L CLR"/>
    <s v=""/>
    <s v=""/>
    <s v=""/>
    <s v=""/>
    <s v=""/>
    <x v="0"/>
    <d v="2018-03-31T00:00:00"/>
    <s v="1706000050"/>
    <d v="2018-03-31T00:00:00"/>
    <s v=""/>
    <s v="1706000050"/>
  </r>
  <r>
    <s v="1706000050"/>
    <d v="2018-03-31T00:00:00"/>
    <d v="2018-03-31T00:00:00"/>
    <s v="DA"/>
    <s v="USD"/>
    <n v="-92997"/>
    <n v="-92997"/>
    <s v="BDT"/>
    <s v="EGM1"/>
    <n v="-7672252.5099999998"/>
    <s v="92K CM ADV G/L CLR"/>
    <s v="0000001010"/>
    <s v="CM ADV G/L CLR"/>
    <s v=""/>
    <s v=""/>
    <s v="0"/>
    <s v="92K CM ADV G/L CLR"/>
    <s v=""/>
    <s v=""/>
    <s v=""/>
    <s v=""/>
    <s v=""/>
    <x v="0"/>
    <d v="2018-03-31T00:00:00"/>
    <s v="1706000050"/>
    <d v="2018-03-31T00:00:00"/>
    <s v=""/>
    <s v="1706000050"/>
  </r>
  <r>
    <s v="1706000051"/>
    <d v="2018-03-31T00:00:00"/>
    <d v="2018-03-31T00:00:00"/>
    <s v="DA"/>
    <s v="USD"/>
    <n v="132473"/>
    <n v="132473"/>
    <s v="BDT"/>
    <s v="EGM1"/>
    <n v="10929022.51"/>
    <s v="132K CM ADV G/L CLR"/>
    <s v="0000001010"/>
    <s v="CM ADV G/L CLR"/>
    <s v=""/>
    <s v=""/>
    <s v="0"/>
    <s v="132K CM ADV G/L CLR"/>
    <s v=""/>
    <s v=""/>
    <s v=""/>
    <s v=""/>
    <s v=""/>
    <x v="0"/>
    <d v="2018-03-31T00:00:00"/>
    <s v="1706000051"/>
    <d v="2018-03-31T00:00:00"/>
    <s v=""/>
    <s v="1706000051"/>
  </r>
  <r>
    <s v="1706000051"/>
    <d v="2018-03-31T00:00:00"/>
    <d v="2018-03-31T00:00:00"/>
    <s v="DA"/>
    <s v="USD"/>
    <n v="-132473"/>
    <n v="-132473"/>
    <s v="BDT"/>
    <s v="EGM1"/>
    <n v="-10929022.51"/>
    <s v="132K CM ADV G/L CLR"/>
    <s v="0000001010"/>
    <s v="CM ADV G/L CLR"/>
    <s v=""/>
    <s v=""/>
    <s v="0"/>
    <s v="132K CM ADV G/L CLR"/>
    <s v=""/>
    <s v=""/>
    <s v=""/>
    <s v=""/>
    <s v=""/>
    <x v="0"/>
    <d v="2018-03-31T00:00:00"/>
    <s v="1706000051"/>
    <d v="2018-03-31T00:00:00"/>
    <s v=""/>
    <s v="1706000051"/>
  </r>
  <r>
    <s v="1706000052"/>
    <d v="2018-03-31T00:00:00"/>
    <d v="2018-03-31T00:00:00"/>
    <s v="DA"/>
    <s v="USD"/>
    <n v="133257"/>
    <n v="133257"/>
    <s v="BDT"/>
    <s v="EGM2"/>
    <n v="10980376.800000001"/>
    <s v="133K CM ADV G/L CLR"/>
    <s v="0000001010"/>
    <s v="CM ADV G/L CLR"/>
    <s v=""/>
    <s v=""/>
    <s v="0"/>
    <s v="133K CM ADV G/L CLR"/>
    <s v=""/>
    <s v=""/>
    <s v=""/>
    <s v=""/>
    <s v=""/>
    <x v="0"/>
    <d v="2018-03-31T00:00:00"/>
    <s v="1706000052"/>
    <d v="2018-03-31T00:00:00"/>
    <s v=""/>
    <s v="1706000052"/>
  </r>
  <r>
    <s v="1706000052"/>
    <d v="2018-03-31T00:00:00"/>
    <d v="2018-03-31T00:00:00"/>
    <s v="DA"/>
    <s v="USD"/>
    <n v="-133257"/>
    <n v="-133257"/>
    <s v="BDT"/>
    <s v="EGM2"/>
    <n v="-10980376.800000001"/>
    <s v="133K CM ADV G/L CLR"/>
    <s v="0000001010"/>
    <s v="CM ADV G/L CLR"/>
    <s v=""/>
    <s v=""/>
    <s v="0"/>
    <s v="133K CM ADV G/L CLR"/>
    <s v=""/>
    <s v=""/>
    <s v=""/>
    <s v=""/>
    <s v=""/>
    <x v="0"/>
    <d v="2018-03-31T00:00:00"/>
    <s v="1706000052"/>
    <d v="2018-03-31T00:00:00"/>
    <s v=""/>
    <s v="1706000052"/>
  </r>
  <r>
    <s v="1706000053"/>
    <d v="2018-03-31T00:00:00"/>
    <d v="2018-03-31T00:00:00"/>
    <s v="DA"/>
    <s v="USD"/>
    <n v="0"/>
    <n v="0"/>
    <s v="BDT"/>
    <s v="EGM1"/>
    <n v="0.01"/>
    <s v="173K CM ADV G/L CLR"/>
    <s v="0000001010"/>
    <s v="CM ADV G/L CLR"/>
    <s v=""/>
    <s v=""/>
    <s v="0"/>
    <s v="173K CM ADV G/L CLR"/>
    <s v=""/>
    <s v=""/>
    <s v=""/>
    <s v=""/>
    <s v=""/>
    <x v="0"/>
    <d v="2018-03-31T00:00:00"/>
    <s v="1706000053"/>
    <d v="2018-03-31T00:00:00"/>
    <s v=""/>
    <s v="1706000053"/>
  </r>
  <r>
    <s v="1706000054"/>
    <d v="2018-03-31T00:00:00"/>
    <d v="2018-03-31T00:00:00"/>
    <s v="DA"/>
    <s v="USD"/>
    <n v="1"/>
    <n v="1"/>
    <s v="BDT"/>
    <s v="EGM1"/>
    <n v="82.4"/>
    <s v="182K CM ADV G/L CLR"/>
    <s v="0000001010"/>
    <s v="CM ADV G/L CLR"/>
    <s v=""/>
    <s v=""/>
    <s v="0"/>
    <s v="182K CM ADV G/L CLR"/>
    <s v=""/>
    <s v=""/>
    <s v=""/>
    <s v=""/>
    <s v=""/>
    <x v="0"/>
    <d v="2018-03-31T00:00:00"/>
    <s v="1706000054"/>
    <d v="2018-03-31T00:00:00"/>
    <s v=""/>
    <s v="1706000054"/>
  </r>
  <r>
    <s v="1706000055"/>
    <d v="2018-03-31T00:00:00"/>
    <d v="2018-03-31T00:00:00"/>
    <s v="DA"/>
    <s v="USD"/>
    <n v="358963"/>
    <n v="358963"/>
    <s v="BDT"/>
    <s v="EGM1"/>
    <n v="29578551.199999999"/>
    <s v="358K CM ADV G/L CLR"/>
    <s v="0000001010"/>
    <s v="CM ADV G/L CLR"/>
    <s v=""/>
    <s v=""/>
    <s v="0"/>
    <s v="358K CM ADV G/L CLR"/>
    <s v=""/>
    <s v=""/>
    <s v=""/>
    <s v=""/>
    <s v=""/>
    <x v="0"/>
    <d v="2018-03-31T00:00:00"/>
    <s v="1706000055"/>
    <d v="2018-03-31T00:00:00"/>
    <s v=""/>
    <s v="1706000055"/>
  </r>
  <r>
    <s v="1706000055"/>
    <d v="2018-03-31T00:00:00"/>
    <d v="2018-03-31T00:00:00"/>
    <s v="DA"/>
    <s v="USD"/>
    <n v="-358963"/>
    <n v="-358963"/>
    <s v="BDT"/>
    <s v="EGM1"/>
    <n v="-29578551.199999999"/>
    <s v="358K CM ADV G/L CLR"/>
    <s v="0000001010"/>
    <s v="CM ADV G/L CLR"/>
    <s v=""/>
    <s v=""/>
    <s v="0"/>
    <s v="358K CM ADV G/L CLR"/>
    <s v=""/>
    <s v=""/>
    <s v=""/>
    <s v=""/>
    <s v=""/>
    <x v="0"/>
    <d v="2018-03-31T00:00:00"/>
    <s v="1706000055"/>
    <d v="2018-03-31T00:00:00"/>
    <s v=""/>
    <s v="1706000055"/>
  </r>
  <r>
    <s v="1706000056"/>
    <d v="2018-03-31T00:00:00"/>
    <d v="2018-03-31T00:00:00"/>
    <s v="DA"/>
    <s v="USD"/>
    <n v="514644"/>
    <n v="514644"/>
    <s v="BDT"/>
    <s v="EGM1"/>
    <n v="42303736.799999997"/>
    <s v="514K CM ADV G/L CLR"/>
    <s v="0000001010"/>
    <s v="CM ADV G/L CLR"/>
    <s v=""/>
    <s v=""/>
    <s v="0"/>
    <s v="514K CM ADV G/L CLR"/>
    <s v=""/>
    <s v=""/>
    <s v=""/>
    <s v=""/>
    <s v=""/>
    <x v="0"/>
    <d v="2018-03-31T00:00:00"/>
    <s v="1706000056"/>
    <d v="2018-03-31T00:00:00"/>
    <s v=""/>
    <s v="1706000056"/>
  </r>
  <r>
    <s v="1706000056"/>
    <d v="2018-03-31T00:00:00"/>
    <d v="2018-03-31T00:00:00"/>
    <s v="DA"/>
    <s v="USD"/>
    <n v="-514644"/>
    <n v="-514644"/>
    <s v="BDT"/>
    <s v="EGM1"/>
    <n v="-42303736.799999997"/>
    <s v="514K CM ADV G/L CLR"/>
    <s v="0000001010"/>
    <s v="CM ADV G/L CLR"/>
    <s v=""/>
    <s v=""/>
    <s v="0"/>
    <s v="514K CM ADV G/L CLR"/>
    <s v=""/>
    <s v=""/>
    <s v=""/>
    <s v=""/>
    <s v=""/>
    <x v="0"/>
    <d v="2018-03-31T00:00:00"/>
    <s v="1706000056"/>
    <d v="2018-03-31T00:00:00"/>
    <s v=""/>
    <s v="1706000056"/>
  </r>
  <r>
    <s v="1706000057"/>
    <d v="2018-03-31T00:00:00"/>
    <d v="2018-03-31T00:00:00"/>
    <s v="DA"/>
    <s v="USD"/>
    <n v="0"/>
    <n v="0"/>
    <s v="BDT"/>
    <s v="EGM2"/>
    <n v="0.01"/>
    <s v="85K CM ADV G/L CLR"/>
    <s v="0000001010"/>
    <s v="CM ADV G/L CLR"/>
    <s v=""/>
    <s v=""/>
    <s v="0"/>
    <s v="85K CM ADV G/L CLR"/>
    <s v=""/>
    <s v=""/>
    <s v=""/>
    <s v=""/>
    <s v=""/>
    <x v="0"/>
    <d v="2018-03-31T00:00:00"/>
    <s v="1706000057"/>
    <d v="2018-03-31T00:00:00"/>
    <s v=""/>
    <s v="1706000057"/>
  </r>
  <r>
    <s v="1706000058"/>
    <d v="2018-03-31T00:00:00"/>
    <d v="2018-03-31T00:00:00"/>
    <s v="DA"/>
    <s v="USD"/>
    <n v="1051"/>
    <n v="1051"/>
    <s v="BDT"/>
    <s v="EGM1"/>
    <n v="86602.4"/>
    <s v="465K CM ADV G/L CLR"/>
    <s v="0000001010"/>
    <s v="CM ADV G/L CLR"/>
    <s v=""/>
    <s v=""/>
    <s v="0"/>
    <s v="465K CM ADV G/L CLR"/>
    <s v=""/>
    <s v=""/>
    <s v=""/>
    <s v=""/>
    <s v=""/>
    <x v="0"/>
    <d v="2018-03-31T00:00:00"/>
    <s v="1706000058"/>
    <d v="2018-03-31T00:00:00"/>
    <s v=""/>
    <s v="1706000058"/>
  </r>
  <r>
    <s v="1706000058"/>
    <d v="2018-03-31T00:00:00"/>
    <d v="2018-03-31T00:00:00"/>
    <s v="DA"/>
    <s v="USD"/>
    <n v="-1052"/>
    <n v="-1052"/>
    <s v="BDT"/>
    <s v="EGM1"/>
    <n v="-86684.800000000003"/>
    <s v="465K CM ADV G/L CLR"/>
    <s v="0000001010"/>
    <s v="CM ADV G/L CLR"/>
    <s v=""/>
    <s v=""/>
    <s v="0"/>
    <s v="465K CM ADV G/L CLR"/>
    <s v=""/>
    <s v=""/>
    <s v=""/>
    <s v=""/>
    <s v=""/>
    <x v="0"/>
    <d v="2018-03-31T00:00:00"/>
    <s v="1706000058"/>
    <d v="2018-03-31T00:00:00"/>
    <s v=""/>
    <s v="1706000058"/>
  </r>
  <r>
    <s v="1706000059"/>
    <d v="2018-03-31T00:00:00"/>
    <d v="2018-03-31T00:00:00"/>
    <s v="DA"/>
    <s v="USD"/>
    <n v="1"/>
    <n v="1"/>
    <s v="BDT"/>
    <s v="EGM1"/>
    <n v="82.5"/>
    <s v="643K CM ADV G/L CLR"/>
    <s v="0000001010"/>
    <s v="CM ADV G/L CLR"/>
    <s v=""/>
    <s v=""/>
    <s v="0"/>
    <s v="643K CM ADV G/L CLR"/>
    <s v=""/>
    <s v=""/>
    <s v=""/>
    <s v=""/>
    <s v=""/>
    <x v="0"/>
    <d v="2018-03-31T00:00:00"/>
    <s v="1706000059"/>
    <d v="2018-03-31T00:00:00"/>
    <s v=""/>
    <s v="1706000059"/>
  </r>
  <r>
    <s v="1706000060"/>
    <d v="2018-03-31T00:00:00"/>
    <d v="2018-03-31T00:00:00"/>
    <s v="DA"/>
    <s v="USD"/>
    <n v="475138"/>
    <n v="475138"/>
    <s v="BDT"/>
    <s v="EGM1"/>
    <n v="39151371.200000003"/>
    <s v="475K CM ADV G/L CLR"/>
    <s v="0000001010"/>
    <s v="CM ADV G/L CLR"/>
    <s v=""/>
    <s v=""/>
    <s v="0"/>
    <s v="475K CM ADV G/L CLR"/>
    <s v=""/>
    <s v=""/>
    <s v=""/>
    <s v=""/>
    <s v=""/>
    <x v="0"/>
    <d v="2018-03-31T00:00:00"/>
    <s v="1706000060"/>
    <d v="2018-03-31T00:00:00"/>
    <s v=""/>
    <s v="1706000060"/>
  </r>
  <r>
    <s v="1706000060"/>
    <d v="2018-03-31T00:00:00"/>
    <d v="2018-03-31T00:00:00"/>
    <s v="DA"/>
    <s v="USD"/>
    <n v="-475138"/>
    <n v="-475138"/>
    <s v="BDT"/>
    <s v="EGM1"/>
    <n v="-39151371.200000003"/>
    <s v="475K CM ADV G/L CLR"/>
    <s v="0000001010"/>
    <s v="CM ADV G/L CLR"/>
    <s v=""/>
    <s v=""/>
    <s v="0"/>
    <s v="475K CM ADV G/L CLR"/>
    <s v=""/>
    <s v=""/>
    <s v=""/>
    <s v=""/>
    <s v=""/>
    <x v="0"/>
    <d v="2018-03-31T00:00:00"/>
    <s v="1706000060"/>
    <d v="2018-03-31T00:00:00"/>
    <s v=""/>
    <s v="1706000060"/>
  </r>
  <r>
    <s v="1706000061"/>
    <d v="2018-04-30T00:00:00"/>
    <d v="2018-04-30T00:00:00"/>
    <s v="DA"/>
    <s v="USD"/>
    <n v="3"/>
    <n v="3"/>
    <s v="BDT"/>
    <s v="EGM1"/>
    <n v="247.5"/>
    <s v="536K CM ADV G/L CLR"/>
    <s v="0000001010"/>
    <s v="CM ADV G/L CLR"/>
    <s v=""/>
    <s v=""/>
    <s v="0"/>
    <s v="536K CM ADV G/L CLR"/>
    <s v=""/>
    <s v=""/>
    <s v=""/>
    <s v=""/>
    <s v=""/>
    <x v="0"/>
    <d v="2018-04-30T00:00:00"/>
    <s v="1706000061"/>
    <d v="2018-04-30T00:00:00"/>
    <s v=""/>
    <s v="1706000061"/>
  </r>
  <r>
    <s v="1706000062"/>
    <d v="2018-04-30T00:00:00"/>
    <d v="2018-04-30T00:00:00"/>
    <s v="DA"/>
    <s v="USD"/>
    <n v="-1"/>
    <n v="-1"/>
    <s v="BDT"/>
    <s v="EGM1"/>
    <n v="-82.5"/>
    <s v="536K CM ADV G/L CLR"/>
    <s v="0000001010"/>
    <s v="CM ADV G/L CLR"/>
    <s v=""/>
    <s v=""/>
    <s v="0"/>
    <s v="115K CM ADV G/L CLR"/>
    <s v=""/>
    <s v=""/>
    <s v=""/>
    <s v=""/>
    <s v=""/>
    <x v="0"/>
    <d v="2018-04-30T00:00:00"/>
    <s v="1706000062"/>
    <d v="2018-04-30T00:00:00"/>
    <s v=""/>
    <s v="1706000062"/>
  </r>
  <r>
    <s v="1706000063"/>
    <d v="2018-04-30T00:00:00"/>
    <d v="2018-04-30T00:00:00"/>
    <s v="DA"/>
    <s v="USD"/>
    <n v="108946"/>
    <n v="108946"/>
    <s v="BDT"/>
    <s v="EGM1"/>
    <n v="8988045"/>
    <s v="108K CM ADV G/L CLR"/>
    <s v="0000001010"/>
    <s v="CM ADV G/L CLR"/>
    <s v=""/>
    <s v=""/>
    <s v="0"/>
    <s v="108K CM ADV G/L CLR"/>
    <s v=""/>
    <s v=""/>
    <s v=""/>
    <s v=""/>
    <s v=""/>
    <x v="0"/>
    <d v="2018-04-30T00:00:00"/>
    <s v="1706000063"/>
    <d v="2018-04-30T00:00:00"/>
    <s v=""/>
    <s v="1706000063"/>
  </r>
  <r>
    <s v="1706000063"/>
    <d v="2018-04-30T00:00:00"/>
    <d v="2018-04-30T00:00:00"/>
    <s v="DA"/>
    <s v="USD"/>
    <n v="-108946"/>
    <n v="-108946"/>
    <s v="BDT"/>
    <s v="EGM1"/>
    <n v="-8988045"/>
    <s v="108K CM ADV G/L CLR"/>
    <s v="0000001010"/>
    <s v="CM ADV G/L CLR"/>
    <s v=""/>
    <s v=""/>
    <s v="0"/>
    <s v="108K CM ADV G/L CLR"/>
    <s v=""/>
    <s v=""/>
    <s v=""/>
    <s v=""/>
    <s v=""/>
    <x v="0"/>
    <d v="2018-04-30T00:00:00"/>
    <s v="1706000063"/>
    <d v="2018-04-30T00:00:00"/>
    <s v=""/>
    <s v="1706000063"/>
  </r>
  <r>
    <s v="1706000064"/>
    <d v="2018-04-30T00:00:00"/>
    <d v="2018-04-30T00:00:00"/>
    <s v="DA"/>
    <s v="USD"/>
    <n v="96819"/>
    <n v="96819"/>
    <s v="BDT"/>
    <s v="EGM2"/>
    <n v="7987567.5"/>
    <s v="96K CM ADV G/L CLR"/>
    <s v="0000001010"/>
    <s v="CM ADV G/L CLR"/>
    <s v=""/>
    <s v=""/>
    <s v="0"/>
    <s v="96K CM ADV G/L CLR"/>
    <s v=""/>
    <s v=""/>
    <s v=""/>
    <s v=""/>
    <s v=""/>
    <x v="0"/>
    <d v="2018-04-30T00:00:00"/>
    <s v="1706000064"/>
    <d v="2018-04-30T00:00:00"/>
    <s v=""/>
    <s v="1706000064"/>
  </r>
  <r>
    <s v="1706000064"/>
    <d v="2018-04-30T00:00:00"/>
    <d v="2018-04-30T00:00:00"/>
    <s v="DA"/>
    <s v="USD"/>
    <n v="-96819"/>
    <n v="-96819"/>
    <s v="BDT"/>
    <s v="EGM2"/>
    <n v="-7987567.5"/>
    <s v="96K CM ADV G/L CLR"/>
    <s v="0000001010"/>
    <s v="CM ADV G/L CLR"/>
    <s v=""/>
    <s v=""/>
    <s v="0"/>
    <s v="96K CM ADV G/L CLR"/>
    <s v=""/>
    <s v=""/>
    <s v=""/>
    <s v=""/>
    <s v=""/>
    <x v="0"/>
    <d v="2018-04-30T00:00:00"/>
    <s v="1706000064"/>
    <d v="2018-04-30T00:00:00"/>
    <s v=""/>
    <s v="1706000064"/>
  </r>
  <r>
    <s v="1706000065"/>
    <d v="2018-04-30T00:00:00"/>
    <d v="2018-04-30T00:00:00"/>
    <s v="DA"/>
    <s v="USD"/>
    <n v="93088"/>
    <n v="93088"/>
    <s v="BDT"/>
    <s v="EGM2"/>
    <n v="7679760.0099999998"/>
    <s v="93K CM ADV G/L CLR"/>
    <s v="0000001010"/>
    <s v="CM ADV G/L CLR"/>
    <s v=""/>
    <s v=""/>
    <s v="0"/>
    <s v="93K CM ADV G/L CLR"/>
    <s v=""/>
    <s v=""/>
    <s v=""/>
    <s v=""/>
    <s v=""/>
    <x v="0"/>
    <d v="2018-04-30T00:00:00"/>
    <s v="1706000065"/>
    <d v="2018-04-30T00:00:00"/>
    <s v=""/>
    <s v="1706000065"/>
  </r>
  <r>
    <s v="1706000065"/>
    <d v="2018-04-30T00:00:00"/>
    <d v="2018-04-30T00:00:00"/>
    <s v="DA"/>
    <s v="USD"/>
    <n v="-93088"/>
    <n v="-93088"/>
    <s v="BDT"/>
    <s v="EGM2"/>
    <n v="-7679760.0099999998"/>
    <s v="93K CM ADV G/L CLR"/>
    <s v="0000001010"/>
    <s v="CM ADV G/L CLR"/>
    <s v=""/>
    <s v=""/>
    <s v="0"/>
    <s v="93K CM ADV G/L CLR"/>
    <s v=""/>
    <s v=""/>
    <s v=""/>
    <s v=""/>
    <s v=""/>
    <x v="0"/>
    <d v="2018-04-30T00:00:00"/>
    <s v="1706000065"/>
    <d v="2018-04-30T00:00:00"/>
    <s v=""/>
    <s v="1706000065"/>
  </r>
  <r>
    <s v="1706000066"/>
    <d v="2018-04-30T00:00:00"/>
    <d v="2018-04-30T00:00:00"/>
    <s v="DA"/>
    <s v="USD"/>
    <n v="72752"/>
    <n v="72752"/>
    <s v="BDT"/>
    <s v="EGM1"/>
    <n v="6002040.0099999998"/>
    <s v="72K CM ADV G/L CLR"/>
    <s v="0000001010"/>
    <s v="CM ADV G/L CLR"/>
    <s v=""/>
    <s v=""/>
    <s v="0"/>
    <s v="72K CM ADV G/L CLR"/>
    <s v=""/>
    <s v=""/>
    <s v=""/>
    <s v=""/>
    <s v=""/>
    <x v="0"/>
    <d v="2018-04-30T00:00:00"/>
    <s v="1706000066"/>
    <d v="2018-04-30T00:00:00"/>
    <s v=""/>
    <s v="1706000066"/>
  </r>
  <r>
    <s v="1706000066"/>
    <d v="2018-04-30T00:00:00"/>
    <d v="2018-04-30T00:00:00"/>
    <s v="DA"/>
    <s v="USD"/>
    <n v="-72752"/>
    <n v="-72752"/>
    <s v="BDT"/>
    <s v="EGM1"/>
    <n v="-6002040.0099999998"/>
    <s v="72K CM ADV G/L CLR"/>
    <s v="0000001010"/>
    <s v="CM ADV G/L CLR"/>
    <s v=""/>
    <s v=""/>
    <s v="0"/>
    <s v="72K CM ADV G/L CLR"/>
    <s v=""/>
    <s v=""/>
    <s v=""/>
    <s v=""/>
    <s v=""/>
    <x v="0"/>
    <d v="2018-04-30T00:00:00"/>
    <s v="1706000066"/>
    <d v="2018-04-30T00:00:00"/>
    <s v=""/>
    <s v="1706000066"/>
  </r>
  <r>
    <s v="1706000067"/>
    <d v="2018-05-14T00:00:00"/>
    <d v="2018-05-14T00:00:00"/>
    <s v="DA"/>
    <s v="USD"/>
    <n v="354088"/>
    <n v="354088"/>
    <s v="BDT"/>
    <s v="EGM1"/>
    <n v="29212260.010000002"/>
    <s v="G/L CLEARING CM ADV 354K"/>
    <s v="0000001010"/>
    <s v="CM ADV 354K"/>
    <s v=""/>
    <s v=""/>
    <s v="0"/>
    <s v="G/L CLEARING CM ADV 354K"/>
    <s v=""/>
    <s v=""/>
    <s v=""/>
    <s v=""/>
    <s v=""/>
    <x v="0"/>
    <d v="2018-05-14T00:00:00"/>
    <s v="1706000067"/>
    <d v="2018-05-14T00:00:00"/>
    <s v=""/>
    <s v="1706000067"/>
  </r>
  <r>
    <s v="1706000067"/>
    <d v="2018-05-14T00:00:00"/>
    <d v="2018-05-14T00:00:00"/>
    <s v="DA"/>
    <s v="USD"/>
    <n v="-354088"/>
    <n v="-354088"/>
    <s v="BDT"/>
    <s v="EGM1"/>
    <n v="-29212260.010000002"/>
    <s v="G/L CLEARING CM ADV 354K"/>
    <s v="0000001010"/>
    <s v="CM ADV 354K"/>
    <s v=""/>
    <s v=""/>
    <s v="0"/>
    <s v="G/L CLEARING CM ADV 354K"/>
    <s v=""/>
    <s v=""/>
    <s v=""/>
    <s v=""/>
    <s v=""/>
    <x v="0"/>
    <d v="2018-05-14T00:00:00"/>
    <s v="1706000067"/>
    <d v="2018-05-14T00:00:00"/>
    <s v=""/>
    <s v="1706000067"/>
  </r>
  <r>
    <s v="1706000068"/>
    <d v="2018-05-25T00:00:00"/>
    <d v="2018-05-25T00:00:00"/>
    <s v="DA"/>
    <s v="USD"/>
    <n v="268446"/>
    <n v="268446"/>
    <s v="BDT"/>
    <s v="EGM1"/>
    <n v="22146795.010000002"/>
    <s v="G/L CLEARING CM ADV 268K"/>
    <s v="0000001010"/>
    <s v="CM ADV 268K"/>
    <s v=""/>
    <s v=""/>
    <s v="0"/>
    <s v="G/L CLEARING CM ADV 268K"/>
    <s v=""/>
    <s v=""/>
    <s v=""/>
    <s v=""/>
    <s v=""/>
    <x v="0"/>
    <d v="2018-05-25T00:00:00"/>
    <s v="1706000068"/>
    <d v="2018-05-25T00:00:00"/>
    <s v=""/>
    <s v="1706000068"/>
  </r>
  <r>
    <s v="1706000068"/>
    <d v="2018-05-25T00:00:00"/>
    <d v="2018-05-25T00:00:00"/>
    <s v="DA"/>
    <s v="USD"/>
    <n v="-268446"/>
    <n v="-268446"/>
    <s v="BDT"/>
    <s v="EGM1"/>
    <n v="-22146795.010000002"/>
    <s v="G/L CLEARING CM ADV 268K"/>
    <s v="0000001010"/>
    <s v="CM ADV 268K"/>
    <s v=""/>
    <s v=""/>
    <s v="0"/>
    <s v="G/L CLEARING CM ADV 268K"/>
    <s v=""/>
    <s v=""/>
    <s v=""/>
    <s v=""/>
    <s v=""/>
    <x v="0"/>
    <d v="2018-05-25T00:00:00"/>
    <s v="1706000068"/>
    <d v="2018-05-25T00:00:00"/>
    <s v=""/>
    <s v="1706000068"/>
  </r>
  <r>
    <s v="1706000069"/>
    <d v="2018-05-21T00:00:00"/>
    <d v="2018-05-21T00:00:00"/>
    <s v="DA"/>
    <s v="USD"/>
    <n v="237942"/>
    <n v="237942"/>
    <s v="BDT"/>
    <s v="EGM1"/>
    <n v="19630215.010000002"/>
    <s v="G/L CLEARING CM ADV 237K"/>
    <s v="0000001010"/>
    <s v="CM ADV 237K"/>
    <s v=""/>
    <s v=""/>
    <s v="0"/>
    <s v="G/L CLEARING CM ADV 237K"/>
    <s v=""/>
    <s v=""/>
    <s v=""/>
    <s v=""/>
    <s v=""/>
    <x v="0"/>
    <d v="2018-05-21T00:00:00"/>
    <s v="1706000069"/>
    <d v="2018-05-21T00:00:00"/>
    <s v=""/>
    <s v="1706000069"/>
  </r>
  <r>
    <s v="1706000069"/>
    <d v="2018-05-21T00:00:00"/>
    <d v="2018-05-21T00:00:00"/>
    <s v="DA"/>
    <s v="USD"/>
    <n v="-237942"/>
    <n v="-237942"/>
    <s v="BDT"/>
    <s v="EGM1"/>
    <n v="-19630215.010000002"/>
    <s v="G/L CLEARING CM ADV 237K"/>
    <s v="0000001010"/>
    <s v="CM ADV 237K"/>
    <s v=""/>
    <s v=""/>
    <s v="0"/>
    <s v="G/L CLEARING CM ADV 237K"/>
    <s v=""/>
    <s v=""/>
    <s v=""/>
    <s v=""/>
    <s v=""/>
    <x v="0"/>
    <d v="2018-05-21T00:00:00"/>
    <s v="1706000069"/>
    <d v="2018-05-21T00:00:00"/>
    <s v=""/>
    <s v="1706000069"/>
  </r>
  <r>
    <s v="1706000070"/>
    <d v="2018-05-11T00:00:00"/>
    <d v="2018-05-11T00:00:00"/>
    <s v="DA"/>
    <s v="USD"/>
    <n v="228779"/>
    <n v="228779"/>
    <s v="BDT"/>
    <s v="EGM2"/>
    <n v="18874267.510000002"/>
    <s v="G/L CLEARING CM ADV 228K"/>
    <s v="0000001010"/>
    <s v="CM ADV 228K"/>
    <s v=""/>
    <s v=""/>
    <s v="0"/>
    <s v="G/L CLEARING CM ADV 228K"/>
    <s v=""/>
    <s v=""/>
    <s v=""/>
    <s v=""/>
    <s v=""/>
    <x v="0"/>
    <d v="2018-05-11T00:00:00"/>
    <s v="1706000070"/>
    <d v="2018-05-11T00:00:00"/>
    <s v=""/>
    <s v="1706000070"/>
  </r>
  <r>
    <s v="1706000070"/>
    <d v="2018-05-11T00:00:00"/>
    <d v="2018-05-11T00:00:00"/>
    <s v="DA"/>
    <s v="USD"/>
    <n v="-228779"/>
    <n v="-228779"/>
    <s v="BDT"/>
    <s v="EGM2"/>
    <n v="-18874267.510000002"/>
    <s v="G/L CLEARING CM ADV 228K"/>
    <s v="0000001010"/>
    <s v="CM ADV 228K"/>
    <s v=""/>
    <s v=""/>
    <s v="0"/>
    <s v="G/L CLEARING CM ADV 228K"/>
    <s v=""/>
    <s v=""/>
    <s v=""/>
    <s v=""/>
    <s v=""/>
    <x v="0"/>
    <d v="2018-05-11T00:00:00"/>
    <s v="1706000070"/>
    <d v="2018-05-11T00:00:00"/>
    <s v=""/>
    <s v="1706000070"/>
  </r>
  <r>
    <s v="1706000071"/>
    <d v="2018-05-07T00:00:00"/>
    <d v="2018-05-07T00:00:00"/>
    <s v="DA"/>
    <s v="USD"/>
    <n v="134023"/>
    <n v="134023"/>
    <s v="BDT"/>
    <s v="EGM1"/>
    <n v="11056897.51"/>
    <s v="G/L CLEARING CM ADV 134K"/>
    <s v="0000001010"/>
    <s v="CM ADV 134K"/>
    <s v=""/>
    <s v=""/>
    <s v="0"/>
    <s v="G/L CLEARING CM ADV 134K"/>
    <s v=""/>
    <s v=""/>
    <s v=""/>
    <s v=""/>
    <s v=""/>
    <x v="0"/>
    <d v="2018-05-07T00:00:00"/>
    <s v="1706000071"/>
    <d v="2018-05-07T00:00:00"/>
    <s v=""/>
    <s v="1706000071"/>
  </r>
  <r>
    <s v="1706000071"/>
    <d v="2018-05-07T00:00:00"/>
    <d v="2018-05-07T00:00:00"/>
    <s v="DA"/>
    <s v="USD"/>
    <n v="-134023"/>
    <n v="-134023"/>
    <s v="BDT"/>
    <s v="EGM1"/>
    <n v="-11056897.51"/>
    <s v="G/L CLEARING CM ADV 134K"/>
    <s v="0000001010"/>
    <s v="CM ADV 134K"/>
    <s v=""/>
    <s v=""/>
    <s v="0"/>
    <s v="G/L CLEARING CM ADV 134K"/>
    <s v=""/>
    <s v=""/>
    <s v=""/>
    <s v=""/>
    <s v=""/>
    <x v="0"/>
    <d v="2018-05-07T00:00:00"/>
    <s v="1706000071"/>
    <d v="2018-05-07T00:00:00"/>
    <s v=""/>
    <s v="1706000071"/>
  </r>
  <r>
    <s v="1706000072"/>
    <d v="2018-05-03T00:00:00"/>
    <d v="2018-05-03T00:00:00"/>
    <s v="DA"/>
    <s v="USD"/>
    <n v="108440"/>
    <n v="108440"/>
    <s v="BDT"/>
    <s v="EGM1"/>
    <n v="8946300.0099999998"/>
    <s v="G/L CLEARING CM ADV 108K"/>
    <s v="0000001010"/>
    <s v="CM ADV 108K"/>
    <s v=""/>
    <s v=""/>
    <s v="0"/>
    <s v="G/L CLEARING CM ADV 108K"/>
    <s v=""/>
    <s v=""/>
    <s v=""/>
    <s v=""/>
    <s v=""/>
    <x v="0"/>
    <d v="2018-05-03T00:00:00"/>
    <s v="1706000072"/>
    <d v="2018-05-03T00:00:00"/>
    <s v=""/>
    <s v="1706000072"/>
  </r>
  <r>
    <s v="1706000072"/>
    <d v="2018-05-03T00:00:00"/>
    <d v="2018-05-03T00:00:00"/>
    <s v="DA"/>
    <s v="USD"/>
    <n v="-108440"/>
    <n v="-108440"/>
    <s v="BDT"/>
    <s v="EGM1"/>
    <n v="-8946300.0099999998"/>
    <s v="G/L CLEARING CM ADV 108K"/>
    <s v="0000001010"/>
    <s v="CM ADV 108K"/>
    <s v=""/>
    <s v=""/>
    <s v="0"/>
    <s v="G/L CLEARING CM ADV 108K"/>
    <s v=""/>
    <s v=""/>
    <s v=""/>
    <s v=""/>
    <s v=""/>
    <x v="0"/>
    <d v="2018-05-03T00:00:00"/>
    <s v="1706000072"/>
    <d v="2018-05-03T00:00:00"/>
    <s v=""/>
    <s v="1706000072"/>
  </r>
  <r>
    <s v="1706000073"/>
    <d v="2018-05-03T00:00:00"/>
    <d v="2018-05-03T00:00:00"/>
    <s v="DA"/>
    <s v="USD"/>
    <n v="0"/>
    <n v="0"/>
    <s v="BDT"/>
    <s v="EGM2"/>
    <n v="0.01"/>
    <s v="G/L CLEARING CM ADV 107K"/>
    <s v="0000001010"/>
    <s v="CM ADV 107K"/>
    <s v=""/>
    <s v=""/>
    <s v="0"/>
    <s v="G/L CLEARING CM ADV 107K"/>
    <s v=""/>
    <s v=""/>
    <s v=""/>
    <s v=""/>
    <s v=""/>
    <x v="0"/>
    <d v="2018-05-03T00:00:00"/>
    <s v="1706000073"/>
    <d v="2018-05-03T00:00:00"/>
    <s v=""/>
    <s v="1706000073"/>
  </r>
  <r>
    <s v="1706000074"/>
    <d v="2018-05-21T00:00:00"/>
    <d v="2018-05-21T00:00:00"/>
    <s v="DA"/>
    <s v="USD"/>
    <n v="32757"/>
    <n v="32757"/>
    <s v="BDT"/>
    <s v="EGM2"/>
    <n v="2702452.51"/>
    <s v="G/L CLEARING CM ADV 32K"/>
    <s v="0000001010"/>
    <s v="CM ADV 32K"/>
    <s v=""/>
    <s v=""/>
    <s v="0"/>
    <s v="G/L CLEARING CM ADV 32K"/>
    <s v=""/>
    <s v=""/>
    <s v=""/>
    <s v=""/>
    <s v=""/>
    <x v="0"/>
    <d v="2018-05-21T00:00:00"/>
    <s v="1706000074"/>
    <d v="2018-05-21T00:00:00"/>
    <s v=""/>
    <s v="1706000074"/>
  </r>
  <r>
    <s v="1706000074"/>
    <d v="2018-05-21T00:00:00"/>
    <d v="2018-05-21T00:00:00"/>
    <s v="DA"/>
    <s v="USD"/>
    <n v="-32757"/>
    <n v="-32757"/>
    <s v="BDT"/>
    <s v="EGM2"/>
    <n v="-2702452.51"/>
    <s v="G/L CLEARING CM ADV 32K"/>
    <s v="0000001010"/>
    <s v="CM ADV 32K"/>
    <s v=""/>
    <s v=""/>
    <s v="0"/>
    <s v="G/L CLEARING CM ADV 32K"/>
    <s v=""/>
    <s v=""/>
    <s v=""/>
    <s v=""/>
    <s v=""/>
    <x v="0"/>
    <d v="2018-05-21T00:00:00"/>
    <s v="1706000074"/>
    <d v="2018-05-21T00:00:00"/>
    <s v=""/>
    <s v="1706000074"/>
  </r>
  <r>
    <s v="1706000075"/>
    <d v="2018-05-03T00:00:00"/>
    <d v="2018-05-03T00:00:00"/>
    <s v="DA"/>
    <s v="USD"/>
    <n v="1"/>
    <n v="1"/>
    <s v="BDT"/>
    <s v="EGM1"/>
    <n v="82.5"/>
    <s v="G/L CLEARING CM ADV 262K"/>
    <s v="0000001010"/>
    <s v="CM ADV 262K"/>
    <s v=""/>
    <s v=""/>
    <s v="0"/>
    <s v="G/L CLEARING CM ADV 262K"/>
    <s v=""/>
    <s v=""/>
    <s v=""/>
    <s v=""/>
    <s v=""/>
    <x v="0"/>
    <d v="2018-05-03T00:00:00"/>
    <s v="1706000075"/>
    <d v="2018-05-03T00:00:00"/>
    <s v=""/>
    <s v="1706000075"/>
  </r>
  <r>
    <s v="1706000076"/>
    <d v="2018-05-25T00:00:00"/>
    <d v="2018-05-25T00:00:00"/>
    <s v="DA"/>
    <s v="USD"/>
    <n v="-1"/>
    <n v="-1"/>
    <s v="BDT"/>
    <s v="EGM1"/>
    <n v="-82.5"/>
    <s v="G/L CLEARING CM ADV 443K"/>
    <s v="0000001010"/>
    <s v="CM ADV 443K"/>
    <s v=""/>
    <s v=""/>
    <s v="0"/>
    <s v="G/L CLEARING CM ADV 443K"/>
    <s v=""/>
    <s v=""/>
    <s v=""/>
    <s v=""/>
    <s v=""/>
    <x v="0"/>
    <d v="2018-05-25T00:00:00"/>
    <s v="1706000076"/>
    <d v="2018-05-25T00:00:00"/>
    <s v=""/>
    <s v="1706000076"/>
  </r>
  <r>
    <s v="1706000077"/>
    <d v="2018-05-14T00:00:00"/>
    <d v="2018-05-14T00:00:00"/>
    <s v="DA"/>
    <s v="USD"/>
    <n v="-3"/>
    <n v="-3"/>
    <s v="BDT"/>
    <s v="EGM1"/>
    <n v="-247.5"/>
    <s v="G/L CLEARING CM ADV 602K"/>
    <s v="0000001010"/>
    <s v="CM ADV 602K"/>
    <s v=""/>
    <s v=""/>
    <s v="0"/>
    <s v="G/L CLEARING CM ADV 602K"/>
    <s v=""/>
    <s v=""/>
    <s v=""/>
    <s v=""/>
    <s v=""/>
    <x v="0"/>
    <d v="2018-05-14T00:00:00"/>
    <s v="1706000077"/>
    <d v="2018-05-14T00:00:00"/>
    <s v=""/>
    <s v="1706000077"/>
  </r>
  <r>
    <s v="1706000080"/>
    <d v="2018-06-30T00:00:00"/>
    <d v="2018-06-30T00:00:00"/>
    <s v="DA"/>
    <s v="USD"/>
    <n v="0"/>
    <n v="0"/>
    <s v="BDT"/>
    <s v="EGM1"/>
    <n v="0.01"/>
    <s v=""/>
    <s v="0000001010"/>
    <s v="G.L CL CMAD 128K"/>
    <s v=""/>
    <s v=""/>
    <s v="0"/>
    <s v="G.L CLEAR  CM ADV 1289 K"/>
    <s v=""/>
    <s v=""/>
    <s v=""/>
    <s v=""/>
    <s v=""/>
    <x v="0"/>
    <d v="2018-06-30T00:00:00"/>
    <s v="1706000080"/>
    <d v="2018-06-30T00:00:00"/>
    <s v=""/>
    <s v="1706000080"/>
  </r>
  <r>
    <s v="1706000081"/>
    <d v="2018-06-30T00:00:00"/>
    <d v="2018-06-30T00:00:00"/>
    <s v="DA"/>
    <s v="USD"/>
    <n v="634598"/>
    <n v="634598"/>
    <s v="BDT"/>
    <s v="EGM1"/>
    <n v="52354335.020000003"/>
    <s v=""/>
    <s v="0000001010"/>
    <s v="G.L CL CMAD 634K"/>
    <s v=""/>
    <s v=""/>
    <s v="0"/>
    <s v="G.L CLEAR  CM ADV 634 K"/>
    <s v=""/>
    <s v=""/>
    <s v=""/>
    <s v=""/>
    <s v=""/>
    <x v="0"/>
    <d v="2018-06-30T00:00:00"/>
    <s v="1706000081"/>
    <d v="2018-06-30T00:00:00"/>
    <s v=""/>
    <s v="1706000081"/>
  </r>
  <r>
    <s v="1706000081"/>
    <d v="2018-06-30T00:00:00"/>
    <d v="2018-06-30T00:00:00"/>
    <s v="DA"/>
    <s v="USD"/>
    <n v="-634598"/>
    <n v="-634598"/>
    <s v="BDT"/>
    <s v="EGM1"/>
    <n v="-52354335.020000003"/>
    <s v=""/>
    <s v="0000001010"/>
    <s v="G.L CL CMAD 634K"/>
    <s v=""/>
    <s v=""/>
    <s v="0"/>
    <s v="G.L CLEAR  CM ADV 634 K"/>
    <s v=""/>
    <s v=""/>
    <s v=""/>
    <s v=""/>
    <s v=""/>
    <x v="0"/>
    <d v="2018-06-30T00:00:00"/>
    <s v="1706000081"/>
    <d v="2018-06-30T00:00:00"/>
    <s v=""/>
    <s v="1706000081"/>
  </r>
  <r>
    <s v="1706000082"/>
    <d v="2018-06-30T00:00:00"/>
    <d v="2018-06-30T00:00:00"/>
    <s v="DA"/>
    <s v="USD"/>
    <n v="620843"/>
    <n v="620843"/>
    <s v="BDT"/>
    <s v="EGM1"/>
    <n v="51219547.509999998"/>
    <s v=""/>
    <s v="0000001010"/>
    <s v="G.L CL CMAD 620K"/>
    <s v=""/>
    <s v=""/>
    <s v="0"/>
    <s v="G.L CLEAR  CM ADV 620 K"/>
    <s v=""/>
    <s v=""/>
    <s v=""/>
    <s v=""/>
    <s v=""/>
    <x v="0"/>
    <d v="2018-06-30T00:00:00"/>
    <s v="1706000082"/>
    <d v="2018-06-30T00:00:00"/>
    <s v=""/>
    <s v="1706000082"/>
  </r>
  <r>
    <s v="1706000082"/>
    <d v="2018-06-30T00:00:00"/>
    <d v="2018-06-30T00:00:00"/>
    <s v="DA"/>
    <s v="USD"/>
    <n v="-620843"/>
    <n v="-620843"/>
    <s v="BDT"/>
    <s v="EGM1"/>
    <n v="-51219547.509999998"/>
    <s v=""/>
    <s v="0000001010"/>
    <s v="G.L CL CMAD 620K"/>
    <s v=""/>
    <s v=""/>
    <s v="0"/>
    <s v="G.L CLEAR  CM ADV 620 K"/>
    <s v=""/>
    <s v=""/>
    <s v=""/>
    <s v=""/>
    <s v=""/>
    <x v="0"/>
    <d v="2018-06-30T00:00:00"/>
    <s v="1706000082"/>
    <d v="2018-06-30T00:00:00"/>
    <s v=""/>
    <s v="1706000082"/>
  </r>
  <r>
    <s v="1706000083"/>
    <d v="2018-06-30T00:00:00"/>
    <d v="2018-06-30T00:00:00"/>
    <s v="DA"/>
    <s v="USD"/>
    <n v="0"/>
    <n v="0"/>
    <s v="BDT"/>
    <s v="EGM1"/>
    <n v="0.01"/>
    <s v=""/>
    <s v="0000001010"/>
    <s v="G.L CL CMAD 358K"/>
    <s v=""/>
    <s v=""/>
    <s v="0"/>
    <s v="G.L CLEAR  CM ADV 358 K"/>
    <s v=""/>
    <s v=""/>
    <s v=""/>
    <s v=""/>
    <s v=""/>
    <x v="0"/>
    <d v="2018-06-30T00:00:00"/>
    <s v="1706000083"/>
    <d v="2018-06-30T00:00:00"/>
    <s v=""/>
    <s v="1706000083"/>
  </r>
  <r>
    <s v="1706000084"/>
    <d v="2018-06-30T00:00:00"/>
    <d v="2018-06-30T00:00:00"/>
    <s v="DA"/>
    <s v="USD"/>
    <n v="156697"/>
    <n v="156697"/>
    <s v="BDT"/>
    <s v="EGM2"/>
    <n v="12927502.51"/>
    <s v=""/>
    <s v="0000001010"/>
    <s v="G.L CL CMAD 156K"/>
    <s v=""/>
    <s v=""/>
    <s v="0"/>
    <s v="G.L CLEAR  CM ADV 156 K"/>
    <s v=""/>
    <s v=""/>
    <s v=""/>
    <s v=""/>
    <s v=""/>
    <x v="0"/>
    <d v="2018-06-30T00:00:00"/>
    <s v="1706000084"/>
    <d v="2018-06-30T00:00:00"/>
    <s v=""/>
    <s v="1706000084"/>
  </r>
  <r>
    <s v="1706000084"/>
    <d v="2018-06-30T00:00:00"/>
    <d v="2018-06-30T00:00:00"/>
    <s v="DA"/>
    <s v="USD"/>
    <n v="-156697"/>
    <n v="-156697"/>
    <s v="BDT"/>
    <s v="EGM2"/>
    <n v="-12927502.51"/>
    <s v=""/>
    <s v="0000001010"/>
    <s v="G.L CL CMAD 156K"/>
    <s v=""/>
    <s v=""/>
    <s v="0"/>
    <s v="G.L CLEAR  CM ADV 156 K"/>
    <s v=""/>
    <s v=""/>
    <s v=""/>
    <s v=""/>
    <s v=""/>
    <x v="0"/>
    <d v="2018-06-30T00:00:00"/>
    <s v="1706000084"/>
    <d v="2018-06-30T00:00:00"/>
    <s v=""/>
    <s v="1706000084"/>
  </r>
  <r>
    <s v="1706000085"/>
    <d v="2018-06-30T00:00:00"/>
    <d v="2018-06-30T00:00:00"/>
    <s v="DA"/>
    <s v="USD"/>
    <n v="0"/>
    <n v="0"/>
    <s v="BDT"/>
    <s v="EGM2"/>
    <n v="0.01"/>
    <s v=""/>
    <s v="0000001010"/>
    <s v="G.L CL CMAD 81 K"/>
    <s v=""/>
    <s v=""/>
    <s v="0"/>
    <s v="G.L CLEAR  CM ADV 81 K"/>
    <s v=""/>
    <s v=""/>
    <s v=""/>
    <s v=""/>
    <s v=""/>
    <x v="0"/>
    <d v="2018-06-30T00:00:00"/>
    <s v="1706000085"/>
    <d v="2018-06-30T00:00:00"/>
    <s v=""/>
    <s v="1706000085"/>
  </r>
  <r>
    <s v="1709000001"/>
    <d v="2017-07-02T00:00:00"/>
    <d v="2017-07-02T00:00:00"/>
    <s v="DZ"/>
    <s v="USD"/>
    <n v="28692"/>
    <n v="28692"/>
    <s v="BDT"/>
    <s v="EGM2"/>
    <n v="2298803.04"/>
    <s v="BTB ADJUST REF-424130467839"/>
    <s v="0000001010"/>
    <s v="E03739WM17CA0324"/>
    <s v=""/>
    <s v=""/>
    <s v="0"/>
    <s v="424130473804"/>
    <s v=""/>
    <s v=""/>
    <s v=""/>
    <s v=""/>
    <s v=""/>
    <x v="0"/>
    <d v="2017-09-30T00:00:00"/>
    <s v="1706000014"/>
    <d v="2017-07-02T00:00:00"/>
    <s v=""/>
    <s v="1709000001"/>
  </r>
  <r>
    <s v="1709000002"/>
    <d v="2017-07-04T00:00:00"/>
    <d v="2017-07-04T00:00:00"/>
    <s v="DZ"/>
    <s v="USD"/>
    <n v="-759252"/>
    <n v="-759252"/>
    <s v="BDT"/>
    <s v="EGM1"/>
    <n v="-60816085.200000003"/>
    <s v="CM ADVANCE RECEIVED REF-424130474162"/>
    <s v="0000001010"/>
    <s v="IT06591706280053"/>
    <s v=""/>
    <s v=""/>
    <s v="0"/>
    <s v="424130474162"/>
    <s v=""/>
    <s v=""/>
    <s v=""/>
    <s v=""/>
    <s v=""/>
    <x v="0"/>
    <d v="2017-09-01T00:00:00"/>
    <s v="1706000003"/>
    <d v="2017-07-04T00:00:00"/>
    <s v=""/>
    <s v="1709000002"/>
  </r>
  <r>
    <s v="1709000003"/>
    <d v="2017-07-05T00:00:00"/>
    <d v="2017-07-05T00:00:00"/>
    <s v="DZ"/>
    <s v="USD"/>
    <n v="-141808"/>
    <n v="-141808"/>
    <s v="BDT"/>
    <s v="EGM2"/>
    <n v="-11358820.800000001"/>
    <s v="CM ADVANCE RECEIVED REF-424130474402"/>
    <s v="0000001010"/>
    <s v="IT06591707050050"/>
    <s v=""/>
    <s v=""/>
    <s v="0"/>
    <s v="424130474402"/>
    <s v=""/>
    <s v=""/>
    <s v=""/>
    <s v=""/>
    <s v=""/>
    <x v="0"/>
    <d v="2017-09-30T00:00:00"/>
    <s v="1706000010"/>
    <d v="2017-07-05T00:00:00"/>
    <s v=""/>
    <s v="1709000003"/>
  </r>
  <r>
    <s v="1709000004"/>
    <d v="2017-07-05T00:00:00"/>
    <d v="2017-07-05T00:00:00"/>
    <s v="DZ"/>
    <s v="USD"/>
    <n v="22984"/>
    <n v="22984"/>
    <s v="BDT"/>
    <s v="EGM1"/>
    <n v="1841018.4"/>
    <s v="CM ADVANCE RECEIVED REF-424130474162"/>
    <s v="0000001010"/>
    <s v="E03932US17-0824"/>
    <s v=""/>
    <s v=""/>
    <s v="0"/>
    <s v="424130474331"/>
    <s v=""/>
    <s v=""/>
    <s v=""/>
    <s v=""/>
    <s v=""/>
    <x v="0"/>
    <d v="2017-09-01T00:00:00"/>
    <s v="1706000003"/>
    <d v="2017-07-05T00:00:00"/>
    <s v=""/>
    <s v="1709000004"/>
  </r>
  <r>
    <s v="1709000008"/>
    <d v="2017-07-05T00:00:00"/>
    <d v="2017-07-05T00:00:00"/>
    <s v="DZ"/>
    <s v="USD"/>
    <n v="5464"/>
    <n v="5464"/>
    <s v="BDT"/>
    <s v="EGM2"/>
    <n v="441218"/>
    <s v="C M ADVANCE ADJUSTED REF-424130465234"/>
    <s v="0000001010"/>
    <s v="03824170347NZ"/>
    <s v=""/>
    <s v=""/>
    <s v="0"/>
    <s v="424130474386"/>
    <s v=""/>
    <s v=""/>
    <s v=""/>
    <s v=""/>
    <s v=""/>
    <x v="0"/>
    <d v="2017-09-01T00:00:00"/>
    <s v="1706000008"/>
    <d v="2017-07-05T00:00:00"/>
    <s v=""/>
    <s v="1709000008"/>
  </r>
  <r>
    <s v="1709000009"/>
    <d v="2017-07-05T00:00:00"/>
    <d v="2017-07-05T00:00:00"/>
    <s v="DZ"/>
    <s v="USD"/>
    <n v="5128"/>
    <n v="5128"/>
    <s v="BDT"/>
    <s v="EGM2"/>
    <n v="410855.36"/>
    <s v="BTB ADJUST REF-424130467839"/>
    <s v="0000001010"/>
    <s v="03886170442NZ"/>
    <s v=""/>
    <s v=""/>
    <s v="0"/>
    <s v="424130474377"/>
    <s v=""/>
    <s v=""/>
    <s v=""/>
    <s v=""/>
    <s v=""/>
    <x v="0"/>
    <d v="2017-09-30T00:00:00"/>
    <s v="1706000014"/>
    <d v="2017-07-05T00:00:00"/>
    <s v=""/>
    <s v="1709000009"/>
  </r>
  <r>
    <s v="1709000010"/>
    <d v="2017-07-05T00:00:00"/>
    <d v="2017-07-05T00:00:00"/>
    <s v="DZ"/>
    <s v="USD"/>
    <n v="13010"/>
    <n v="13010"/>
    <s v="BDT"/>
    <s v="EGM2"/>
    <n v="1042361.2"/>
    <s v="BTB ADJUST REF-424130467839"/>
    <s v="0000001010"/>
    <s v="0388517037"/>
    <s v=""/>
    <s v=""/>
    <s v="0"/>
    <s v="424130474368"/>
    <s v=""/>
    <s v=""/>
    <s v=""/>
    <s v=""/>
    <s v=""/>
    <x v="0"/>
    <d v="2017-09-30T00:00:00"/>
    <s v="1706000014"/>
    <d v="2017-07-05T00:00:00"/>
    <s v=""/>
    <s v="1709000010"/>
  </r>
  <r>
    <s v="1709000010"/>
    <d v="2017-07-05T00:00:00"/>
    <d v="2017-07-05T00:00:00"/>
    <s v="DZ"/>
    <s v="USD"/>
    <n v="3715"/>
    <n v="3715"/>
    <s v="BDT"/>
    <s v="EGM2"/>
    <n v="297645.8"/>
    <s v="C M ADVANCE ADJUSTED REF-424130471334"/>
    <s v="0000001010"/>
    <s v="0388517037"/>
    <s v=""/>
    <s v=""/>
    <s v="0"/>
    <s v="424130474368"/>
    <s v=""/>
    <s v=""/>
    <s v=""/>
    <s v=""/>
    <s v=""/>
    <x v="0"/>
    <d v="2017-09-30T00:00:00"/>
    <s v="1706000015"/>
    <d v="2017-07-05T00:00:00"/>
    <s v=""/>
    <s v="1709000010"/>
  </r>
  <r>
    <s v="1709000012"/>
    <d v="2017-07-09T00:00:00"/>
    <d v="2017-07-09T00:00:00"/>
    <s v="DZ"/>
    <s v="USD"/>
    <n v="11442"/>
    <n v="11442"/>
    <s v="BDT"/>
    <s v="EGM2"/>
    <n v="916733.04"/>
    <s v="BTB ADJUST REF-424130467839"/>
    <s v="0000001010"/>
    <s v="03825170416DE"/>
    <s v=""/>
    <s v=""/>
    <s v="0"/>
    <s v="424130475492"/>
    <s v=""/>
    <s v=""/>
    <s v=""/>
    <s v=""/>
    <s v=""/>
    <x v="0"/>
    <d v="2017-09-30T00:00:00"/>
    <s v="1706000014"/>
    <d v="2017-07-09T00:00:00"/>
    <s v=""/>
    <s v="1709000012"/>
  </r>
  <r>
    <s v="1709000014"/>
    <d v="2017-07-09T00:00:00"/>
    <d v="2017-07-09T00:00:00"/>
    <s v="DZ"/>
    <s v="USD"/>
    <n v="13396"/>
    <n v="13396"/>
    <s v="BDT"/>
    <s v="EGM1"/>
    <n v="1073019.6000000001"/>
    <s v="C M ADVANCE ADJUSTED REF-424130474162"/>
    <s v="0000001010"/>
    <s v="E10345WM17JP0503"/>
    <s v=""/>
    <s v=""/>
    <s v="0"/>
    <s v="424130475456"/>
    <s v=""/>
    <s v=""/>
    <s v=""/>
    <s v=""/>
    <s v=""/>
    <x v="0"/>
    <d v="2017-09-01T00:00:00"/>
    <s v="1706000003"/>
    <d v="2017-07-09T00:00:00"/>
    <s v=""/>
    <s v="1709000014"/>
  </r>
  <r>
    <s v="1709000015"/>
    <d v="2017-07-09T00:00:00"/>
    <d v="2017-07-09T00:00:00"/>
    <s v="DZ"/>
    <s v="USD"/>
    <n v="3945"/>
    <n v="3945"/>
    <s v="BDT"/>
    <s v="EGM1"/>
    <n v="315994.5"/>
    <s v="C M ADVANCE ADJUSTED REF-424130474162"/>
    <s v="0000001010"/>
    <s v="E03752WM17CA0883"/>
    <s v=""/>
    <s v=""/>
    <s v="0"/>
    <s v="424130475474"/>
    <s v=""/>
    <s v=""/>
    <s v=""/>
    <s v=""/>
    <s v=""/>
    <x v="0"/>
    <d v="2017-09-01T00:00:00"/>
    <s v="1706000003"/>
    <d v="2017-07-09T00:00:00"/>
    <s v=""/>
    <s v="1709000015"/>
  </r>
  <r>
    <s v="1709000017"/>
    <d v="2017-07-11T00:00:00"/>
    <d v="2017-07-11T00:00:00"/>
    <s v="DZ"/>
    <s v="USD"/>
    <n v="107108"/>
    <n v="107108"/>
    <s v="BDT"/>
    <s v="EGM2"/>
    <n v="8579350.8000000007"/>
    <s v="C M ADVANCE ADJUSTED REF-424130474402"/>
    <s v="0000001010"/>
    <s v="E23710VF17US0484"/>
    <s v=""/>
    <s v=""/>
    <s v="0"/>
    <s v="424130476712"/>
    <s v=""/>
    <s v=""/>
    <s v=""/>
    <s v=""/>
    <s v=""/>
    <x v="0"/>
    <d v="2017-09-30T00:00:00"/>
    <s v="1706000010"/>
    <d v="2017-07-11T00:00:00"/>
    <s v=""/>
    <s v="1709000017"/>
  </r>
  <r>
    <s v="1709000019"/>
    <d v="2017-07-13T00:00:00"/>
    <d v="2017-07-13T00:00:00"/>
    <s v="DZ"/>
    <s v="USD"/>
    <n v="-74584"/>
    <n v="-74584"/>
    <s v="BDT"/>
    <s v="EGM2"/>
    <n v="-5974178.4100000001"/>
    <s v="C M ADVANCE RECEIVED REF-424130477640"/>
    <s v="0000001010"/>
    <s v="IT06591707130004"/>
    <s v=""/>
    <s v=""/>
    <s v="0"/>
    <s v="424130477640"/>
    <s v=""/>
    <s v=""/>
    <s v=""/>
    <s v=""/>
    <s v=""/>
    <x v="0"/>
    <d v="2017-09-01T00:00:00"/>
    <s v="1706000016"/>
    <d v="2017-07-13T00:00:00"/>
    <s v=""/>
    <s v="1709000019"/>
  </r>
  <r>
    <s v="1709000020"/>
    <d v="2017-07-16T00:00:00"/>
    <d v="2017-07-16T00:00:00"/>
    <s v="DZ"/>
    <s v="USD"/>
    <n v="11836"/>
    <n v="11836"/>
    <s v="BDT"/>
    <s v="EGM2"/>
    <n v="955757"/>
    <s v="C M ADVANCE ADJUSTED REF-424130462497"/>
    <s v="0000001010"/>
    <s v="E23662VF17US0299"/>
    <s v=""/>
    <s v=""/>
    <s v="0"/>
    <s v="424130476204"/>
    <s v=""/>
    <s v=""/>
    <s v=""/>
    <s v=""/>
    <s v=""/>
    <x v="0"/>
    <d v="2017-09-30T00:00:00"/>
    <s v="1706000007"/>
    <d v="2017-07-16T00:00:00"/>
    <s v=""/>
    <s v="1709000020"/>
  </r>
  <r>
    <s v="1709000020"/>
    <d v="2017-07-16T00:00:00"/>
    <d v="2017-07-16T00:00:00"/>
    <s v="DZ"/>
    <s v="USD"/>
    <n v="34878"/>
    <n v="34878"/>
    <s v="BDT"/>
    <s v="EGM2"/>
    <n v="2794425.36"/>
    <s v="BTB ADJUST REF-424130467839"/>
    <s v="0000001010"/>
    <s v="E23662VF17US0299"/>
    <s v=""/>
    <s v=""/>
    <s v="0"/>
    <s v="424130476204"/>
    <s v=""/>
    <s v=""/>
    <s v=""/>
    <s v=""/>
    <s v=""/>
    <x v="0"/>
    <d v="2017-09-30T00:00:00"/>
    <s v="1706000014"/>
    <d v="2017-07-16T00:00:00"/>
    <s v=""/>
    <s v="1709000020"/>
  </r>
  <r>
    <s v="1709000020"/>
    <d v="2017-07-16T00:00:00"/>
    <d v="2017-07-16T00:00:00"/>
    <s v="DZ"/>
    <s v="USD"/>
    <n v="58305"/>
    <n v="58305"/>
    <s v="BDT"/>
    <s v="EGM2"/>
    <n v="4671396.5999999996"/>
    <s v="C M ADVANCE ADJUSTED REF-424130471334"/>
    <s v="0000001010"/>
    <s v="E23662VF17US0299"/>
    <s v=""/>
    <s v=""/>
    <s v="0"/>
    <s v="424130476204"/>
    <s v=""/>
    <s v=""/>
    <s v=""/>
    <s v=""/>
    <s v=""/>
    <x v="0"/>
    <d v="2017-09-30T00:00:00"/>
    <s v="1706000015"/>
    <d v="2017-07-16T00:00:00"/>
    <s v=""/>
    <s v="1709000020"/>
  </r>
  <r>
    <s v="1709000021"/>
    <d v="2017-07-16T00:00:00"/>
    <d v="2017-07-16T00:00:00"/>
    <s v="DZ"/>
    <s v="USD"/>
    <n v="11997"/>
    <n v="11997"/>
    <s v="BDT"/>
    <s v="EGM2"/>
    <n v="960959.7"/>
    <s v="C M ADVANCE ADJUSTED REF-424130474402"/>
    <s v="0000001010"/>
    <s v="E23920VF17US0451"/>
    <s v=""/>
    <s v=""/>
    <s v="0"/>
    <s v="424130478444"/>
    <s v=""/>
    <s v=""/>
    <s v=""/>
    <s v=""/>
    <s v=""/>
    <x v="0"/>
    <d v="2017-09-30T00:00:00"/>
    <s v="1706000010"/>
    <d v="2017-07-16T00:00:00"/>
    <s v=""/>
    <s v="1709000021"/>
  </r>
  <r>
    <s v="1709000022"/>
    <d v="2017-07-16T00:00:00"/>
    <d v="2017-07-16T00:00:00"/>
    <s v="DZ"/>
    <s v="USD"/>
    <n v="50748"/>
    <n v="50748"/>
    <s v="BDT"/>
    <s v="EGM1"/>
    <n v="4064914.8"/>
    <s v="C M ADVANCE ADJUSTED REF-424130474162"/>
    <s v="0000001010"/>
    <s v="E33560TC17US0912"/>
    <s v=""/>
    <s v=""/>
    <s v="0"/>
    <s v="424130478435"/>
    <s v=""/>
    <s v=""/>
    <s v=""/>
    <s v=""/>
    <s v=""/>
    <x v="0"/>
    <d v="2017-09-01T00:00:00"/>
    <s v="1706000003"/>
    <d v="2017-07-16T00:00:00"/>
    <s v=""/>
    <s v="1709000022"/>
  </r>
  <r>
    <s v="1709000023"/>
    <d v="2017-07-18T00:00:00"/>
    <d v="2017-07-18T00:00:00"/>
    <s v="DZ"/>
    <s v="USD"/>
    <n v="24497"/>
    <n v="24497"/>
    <s v="BDT"/>
    <s v="EGM1"/>
    <n v="1962209.7"/>
    <s v="C M ADVANCE ADJUSTED REF-424130474162"/>
    <s v="0000001010"/>
    <s v="E43754SB17UK0924"/>
    <s v=""/>
    <s v=""/>
    <s v="0"/>
    <s v="424130479871"/>
    <s v=""/>
    <s v=""/>
    <s v=""/>
    <s v=""/>
    <s v=""/>
    <x v="0"/>
    <d v="2017-09-01T00:00:00"/>
    <s v="1706000003"/>
    <d v="2017-07-18T00:00:00"/>
    <s v=""/>
    <s v="1709000023"/>
  </r>
  <r>
    <s v="1709000024"/>
    <d v="2017-07-18T00:00:00"/>
    <d v="2017-07-18T00:00:00"/>
    <s v="DZ"/>
    <s v="USD"/>
    <n v="35844"/>
    <n v="35844"/>
    <s v="BDT"/>
    <s v="EGM1"/>
    <n v="2871104.4"/>
    <s v="C M ADVANCE ADJUSTED REF-424130474162"/>
    <s v="0000001010"/>
    <s v="E33605TC17US0906"/>
    <s v=""/>
    <s v=""/>
    <s v="0"/>
    <s v="424130479434"/>
    <s v=""/>
    <s v=""/>
    <s v=""/>
    <s v=""/>
    <s v=""/>
    <x v="0"/>
    <d v="2017-09-01T00:00:00"/>
    <s v="1706000003"/>
    <d v="2017-07-18T00:00:00"/>
    <s v=""/>
    <s v="1709000024"/>
  </r>
  <r>
    <s v="1709000025"/>
    <d v="2017-07-18T00:00:00"/>
    <d v="2017-07-18T00:00:00"/>
    <s v="DZ"/>
    <s v="USD"/>
    <n v="5072"/>
    <n v="5072"/>
    <s v="BDT"/>
    <s v="EGM1"/>
    <n v="406267.2"/>
    <s v="C M ADVANCE ADJUSTED REF-424130474162"/>
    <s v="0000001010"/>
    <s v="E43653DC17US0915"/>
    <s v=""/>
    <s v=""/>
    <s v="0"/>
    <s v="424130479443"/>
    <s v=""/>
    <s v=""/>
    <s v=""/>
    <s v=""/>
    <s v=""/>
    <x v="0"/>
    <d v="2017-09-01T00:00:00"/>
    <s v="1706000003"/>
    <d v="2017-07-18T00:00:00"/>
    <s v=""/>
    <s v="1709000025"/>
  </r>
  <r>
    <s v="1709000026"/>
    <d v="2017-07-20T00:00:00"/>
    <d v="2017-07-20T00:00:00"/>
    <s v="DZ"/>
    <s v="USD"/>
    <n v="227028"/>
    <n v="227028"/>
    <s v="BDT"/>
    <s v="EGM1"/>
    <n v="18184942.800000001"/>
    <s v="C M ADVANCE ADJUSTED REF-424130474162"/>
    <s v="0000001010"/>
    <s v="E03867US17-0830"/>
    <s v=""/>
    <s v=""/>
    <s v="0"/>
    <s v="424130480459"/>
    <s v=""/>
    <s v=""/>
    <s v=""/>
    <s v=""/>
    <s v=""/>
    <x v="0"/>
    <d v="2017-09-01T00:00:00"/>
    <s v="1706000003"/>
    <d v="2017-07-20T00:00:00"/>
    <s v=""/>
    <s v="1709000026"/>
  </r>
  <r>
    <s v="1709000027"/>
    <d v="2017-07-20T00:00:00"/>
    <d v="2017-07-20T00:00:00"/>
    <s v="DZ"/>
    <s v="USD"/>
    <n v="124506"/>
    <n v="124506"/>
    <s v="BDT"/>
    <s v="EGM1"/>
    <n v="9972930.5999999996"/>
    <s v="C M ADVANCE ADJUSTED REF-424130474162"/>
    <s v="0000001010"/>
    <s v="E03948US17-0842"/>
    <s v=""/>
    <s v=""/>
    <s v="0"/>
    <s v="424130480468"/>
    <s v=""/>
    <s v=""/>
    <s v=""/>
    <s v=""/>
    <s v=""/>
    <x v="0"/>
    <d v="2017-09-01T00:00:00"/>
    <s v="1706000003"/>
    <d v="2017-07-20T00:00:00"/>
    <s v=""/>
    <s v="1709000027"/>
  </r>
  <r>
    <s v="1709000028"/>
    <d v="2017-07-20T00:00:00"/>
    <d v="2017-07-20T00:00:00"/>
    <s v="DZ"/>
    <s v="USD"/>
    <n v="791"/>
    <n v="791"/>
    <s v="BDT"/>
    <s v="EGM2"/>
    <n v="63873.25"/>
    <s v="C M ADVANCE ADJUSTED REF-424130451962"/>
    <s v="0000001010"/>
    <s v="E23804VF17US0490"/>
    <s v=""/>
    <s v=""/>
    <s v="0"/>
    <s v="424130480477"/>
    <s v=""/>
    <s v=""/>
    <s v=""/>
    <s v=""/>
    <s v=""/>
    <x v="0"/>
    <d v="2017-09-30T00:00:00"/>
    <s v="1706000006"/>
    <d v="2017-07-20T00:00:00"/>
    <s v=""/>
    <s v="1709000028"/>
  </r>
  <r>
    <s v="1709000028"/>
    <d v="2017-07-20T00:00:00"/>
    <d v="2017-07-20T00:00:00"/>
    <s v="DZ"/>
    <s v="USD"/>
    <n v="58492"/>
    <n v="58492"/>
    <s v="BDT"/>
    <s v="EGM2"/>
    <n v="4685209.21"/>
    <s v="C M ADVANCE ADJUSTED REF-424130477640"/>
    <s v="0000001010"/>
    <s v="E23804VF17US0490"/>
    <s v=""/>
    <s v=""/>
    <s v="0"/>
    <s v="424130480477"/>
    <s v=""/>
    <s v=""/>
    <s v=""/>
    <s v=""/>
    <s v=""/>
    <x v="0"/>
    <d v="2017-09-01T00:00:00"/>
    <s v="1706000016"/>
    <d v="2017-07-20T00:00:00"/>
    <s v=""/>
    <s v="1709000028"/>
  </r>
  <r>
    <s v="1709000029"/>
    <d v="2017-07-23T00:00:00"/>
    <d v="2017-07-23T00:00:00"/>
    <s v="DZ"/>
    <s v="USD"/>
    <n v="9599"/>
    <n v="9599"/>
    <s v="BDT"/>
    <s v="EGM1"/>
    <n v="768879.9"/>
    <s v="C M ADVANCE ADJUSTED REF-424130474162"/>
    <s v="0000001010"/>
    <s v="E03840US17-0901"/>
    <s v=""/>
    <s v=""/>
    <s v="0"/>
    <s v="424130480770"/>
    <s v=""/>
    <s v=""/>
    <s v=""/>
    <s v=""/>
    <s v=""/>
    <x v="0"/>
    <d v="2017-09-01T00:00:00"/>
    <s v="1706000003"/>
    <d v="2017-07-23T00:00:00"/>
    <s v=""/>
    <s v="1709000029"/>
  </r>
  <r>
    <s v="1709000030"/>
    <d v="2017-07-24T00:00:00"/>
    <d v="2017-07-24T00:00:00"/>
    <s v="DZ"/>
    <s v="USD"/>
    <n v="4911"/>
    <n v="4911"/>
    <s v="BDT"/>
    <s v="EGM1"/>
    <n v="393371.1"/>
    <s v="C M ADVANCE ADJUSTED REF-424130474162"/>
    <s v="0000001010"/>
    <s v="E33559TC17CA0914"/>
    <s v=""/>
    <s v=""/>
    <s v="0"/>
    <s v="424130481564"/>
    <s v=""/>
    <s v=""/>
    <s v=""/>
    <s v=""/>
    <s v=""/>
    <x v="0"/>
    <d v="2017-09-01T00:00:00"/>
    <s v="1706000003"/>
    <d v="2017-07-24T00:00:00"/>
    <s v=""/>
    <s v="1709000030"/>
  </r>
  <r>
    <s v="1709000031"/>
    <d v="2017-07-24T00:00:00"/>
    <d v="2017-07-24T00:00:00"/>
    <s v="DZ"/>
    <s v="USD"/>
    <n v="6307"/>
    <n v="6307"/>
    <s v="BDT"/>
    <s v="EGM2"/>
    <n v="505190.7"/>
    <s v="C M ADVANCE ADJUSTED REF-424130477640"/>
    <s v="0000001010"/>
    <s v="E23802VF17US0487"/>
    <s v=""/>
    <s v=""/>
    <s v="0"/>
    <s v="424130481528"/>
    <s v=""/>
    <s v=""/>
    <s v=""/>
    <s v=""/>
    <s v=""/>
    <x v="0"/>
    <d v="2017-09-01T00:00:00"/>
    <s v="1706000016"/>
    <d v="2017-07-24T00:00:00"/>
    <s v=""/>
    <s v="1709000031"/>
  </r>
  <r>
    <s v="1709000036"/>
    <d v="2017-07-27T00:00:00"/>
    <d v="2017-07-27T00:00:00"/>
    <s v="DZ"/>
    <s v="USD"/>
    <n v="-139323"/>
    <n v="-139323"/>
    <s v="BDT"/>
    <s v="EGM2"/>
    <n v="-11159772.300000001"/>
    <s v="C M ADVANCE RECEVIED REF-424130483303"/>
    <s v="0000001010"/>
    <s v="IT06591707260164"/>
    <s v=""/>
    <s v=""/>
    <s v="0"/>
    <s v="424130483303"/>
    <s v=""/>
    <s v=""/>
    <s v=""/>
    <s v=""/>
    <s v=""/>
    <x v="0"/>
    <d v="2017-09-30T00:00:00"/>
    <s v="1706000011"/>
    <d v="2017-07-27T00:00:00"/>
    <s v=""/>
    <s v="1709000036"/>
  </r>
  <r>
    <s v="1709000037"/>
    <d v="2017-07-30T00:00:00"/>
    <d v="2017-07-30T00:00:00"/>
    <s v="DZ"/>
    <s v="USD"/>
    <n v="116462"/>
    <n v="116462"/>
    <s v="BDT"/>
    <s v="EGM1"/>
    <n v="9328606.1999999993"/>
    <s v="C M ADVANCE ADJUST REF-424130474162"/>
    <s v="0000001010"/>
    <s v="E03648US17-0846"/>
    <s v=""/>
    <s v=""/>
    <s v="0"/>
    <s v="424130484106"/>
    <s v=""/>
    <s v=""/>
    <s v=""/>
    <s v=""/>
    <s v=""/>
    <x v="0"/>
    <d v="2017-09-01T00:00:00"/>
    <s v="1706000003"/>
    <d v="2017-07-30T00:00:00"/>
    <s v=""/>
    <s v="1709000037"/>
  </r>
  <r>
    <s v="1709000038"/>
    <d v="2017-07-30T00:00:00"/>
    <d v="2017-07-30T00:00:00"/>
    <s v="DZ"/>
    <s v="USD"/>
    <n v="344"/>
    <n v="344"/>
    <s v="BDT"/>
    <s v="EGM1"/>
    <n v="27554.400000000001"/>
    <s v="C M ADVANCE ADJUST REF-424130474162"/>
    <s v="0000001010"/>
    <s v="E03646US17-0903"/>
    <s v=""/>
    <s v=""/>
    <s v="0"/>
    <s v="424130484124"/>
    <s v=""/>
    <s v=""/>
    <s v=""/>
    <s v=""/>
    <s v=""/>
    <x v="0"/>
    <d v="2017-09-01T00:00:00"/>
    <s v="1706000003"/>
    <d v="2017-07-30T00:00:00"/>
    <s v=""/>
    <s v="1709000038"/>
  </r>
  <r>
    <s v="1709000041"/>
    <d v="2017-07-30T00:00:00"/>
    <d v="2017-07-30T00:00:00"/>
    <s v="DZ"/>
    <s v="USD"/>
    <n v="3255"/>
    <n v="3255"/>
    <s v="BDT"/>
    <s v="EGM1"/>
    <n v="260725.5"/>
    <s v="C M ADVANCE ADJUST REF-424130474162"/>
    <s v="0000001010"/>
    <s v="E03752WM17CA0882"/>
    <s v=""/>
    <s v=""/>
    <s v="0"/>
    <s v="424130481519"/>
    <s v=""/>
    <s v=""/>
    <s v=""/>
    <s v=""/>
    <s v=""/>
    <x v="0"/>
    <d v="2017-09-01T00:00:00"/>
    <s v="1706000003"/>
    <d v="2017-07-30T00:00:00"/>
    <s v=""/>
    <s v="1709000041"/>
  </r>
  <r>
    <s v="1709000043"/>
    <d v="2017-07-31T00:00:00"/>
    <d v="2017-07-31T00:00:00"/>
    <s v="DZ"/>
    <s v="USD"/>
    <n v="46956"/>
    <n v="46956"/>
    <s v="BDT"/>
    <s v="EGM1"/>
    <n v="3761175.6"/>
    <s v="C M ADVANCE ADJUST REF-424130474162"/>
    <s v="0000001010"/>
    <s v="E03721US17-0891"/>
    <s v=""/>
    <s v=""/>
    <s v="0"/>
    <s v="424130484437"/>
    <s v=""/>
    <s v=""/>
    <s v=""/>
    <s v=""/>
    <s v=""/>
    <x v="0"/>
    <d v="2017-09-01T00:00:00"/>
    <s v="1706000003"/>
    <d v="2017-07-31T00:00:00"/>
    <s v=""/>
    <s v="1709000043"/>
  </r>
  <r>
    <s v="1709000044"/>
    <d v="2017-07-31T00:00:00"/>
    <d v="2017-07-31T00:00:00"/>
    <s v="DZ"/>
    <s v="USD"/>
    <n v="3096"/>
    <n v="3096"/>
    <s v="BDT"/>
    <s v="EGM2"/>
    <n v="248051.52"/>
    <s v="C M ADVANCE ADJUST REF-424130471334"/>
    <s v="0000001010"/>
    <s v="03825170453TH"/>
    <s v=""/>
    <s v=""/>
    <s v="0"/>
    <s v="424130484428"/>
    <s v=""/>
    <s v=""/>
    <s v=""/>
    <s v=""/>
    <s v=""/>
    <x v="0"/>
    <d v="2017-09-30T00:00:00"/>
    <s v="1706000015"/>
    <d v="2017-07-31T00:00:00"/>
    <s v=""/>
    <s v="1709000044"/>
  </r>
  <r>
    <s v="1709000045"/>
    <d v="2017-07-31T00:00:00"/>
    <d v="2017-07-31T00:00:00"/>
    <s v="DZ"/>
    <s v="USD"/>
    <n v="3225"/>
    <n v="3225"/>
    <s v="BDT"/>
    <s v="EGM2"/>
    <n v="258322.5"/>
    <s v="C M ADVANCE ADJUST REF-424130474402"/>
    <s v="0000001010"/>
    <s v="03885170464KR"/>
    <s v=""/>
    <s v=""/>
    <s v="0"/>
    <s v="424130484160"/>
    <s v=""/>
    <s v=""/>
    <s v=""/>
    <s v=""/>
    <s v=""/>
    <x v="0"/>
    <d v="2017-09-30T00:00:00"/>
    <s v="1706000010"/>
    <d v="2017-07-31T00:00:00"/>
    <s v=""/>
    <s v="1709000045"/>
  </r>
  <r>
    <s v="1709000046"/>
    <d v="2017-07-31T00:00:00"/>
    <d v="2017-07-31T00:00:00"/>
    <s v="DZ"/>
    <s v="USD"/>
    <n v="4336"/>
    <n v="4336"/>
    <s v="BDT"/>
    <s v="EGM2"/>
    <n v="347400.32"/>
    <s v="C M ADVANCE ADJUST REF-424130471334"/>
    <s v="0000001010"/>
    <s v="03886170460ES"/>
    <s v=""/>
    <s v=""/>
    <s v="0"/>
    <s v="424130484419"/>
    <s v=""/>
    <s v=""/>
    <s v=""/>
    <s v=""/>
    <s v=""/>
    <x v="0"/>
    <d v="2017-09-30T00:00:00"/>
    <s v="1706000015"/>
    <d v="2017-07-31T00:00:00"/>
    <s v=""/>
    <s v="1709000046"/>
  </r>
  <r>
    <s v="1709000047"/>
    <d v="2017-07-31T00:00:00"/>
    <d v="2017-07-31T00:00:00"/>
    <s v="DZ"/>
    <s v="USD"/>
    <n v="1207"/>
    <n v="1207"/>
    <s v="BDT"/>
    <s v="EGM2"/>
    <n v="96680.7"/>
    <s v="C M ADVANCE ADJUST REF-424130474402"/>
    <s v="0000001010"/>
    <s v="03824170455MY"/>
    <s v=""/>
    <s v=""/>
    <s v="0"/>
    <s v="424130484151"/>
    <s v=""/>
    <s v=""/>
    <s v=""/>
    <s v=""/>
    <s v=""/>
    <x v="0"/>
    <d v="2017-09-30T00:00:00"/>
    <s v="1706000010"/>
    <d v="2017-07-31T00:00:00"/>
    <s v=""/>
    <s v="1709000047"/>
  </r>
  <r>
    <s v="1709000048"/>
    <d v="2017-07-31T00:00:00"/>
    <d v="2017-07-31T00:00:00"/>
    <s v="DZ"/>
    <s v="USD"/>
    <n v="24743"/>
    <n v="24743"/>
    <s v="BDT"/>
    <s v="EGM2"/>
    <n v="1982409.16"/>
    <s v="C M ADVANCE ADJUST REF-424130471334"/>
    <s v="0000001010"/>
    <s v="E03739WM17CA0420"/>
    <s v=""/>
    <s v=""/>
    <s v="0"/>
    <s v="424130484400"/>
    <s v=""/>
    <s v=""/>
    <s v=""/>
    <s v=""/>
    <s v=""/>
    <x v="0"/>
    <d v="2017-09-30T00:00:00"/>
    <s v="1706000015"/>
    <d v="2017-07-31T00:00:00"/>
    <s v=""/>
    <s v="1709000048"/>
  </r>
  <r>
    <s v="1709000049"/>
    <d v="2017-07-31T00:00:00"/>
    <d v="2017-07-31T00:00:00"/>
    <s v="DZ"/>
    <s v="USD"/>
    <n v="9785"/>
    <n v="9785"/>
    <s v="BDT"/>
    <s v="EGM2"/>
    <n v="783778.5"/>
    <s v="C M ADVANCE ADJUST REF-424130477640"/>
    <s v="0000001010"/>
    <s v="EG3738WM17JP0419"/>
    <s v=""/>
    <s v=""/>
    <s v="0"/>
    <s v="424130483312"/>
    <s v=""/>
    <s v=""/>
    <s v=""/>
    <s v=""/>
    <s v=""/>
    <x v="0"/>
    <d v="2017-09-01T00:00:00"/>
    <s v="1706000016"/>
    <d v="2017-07-31T00:00:00"/>
    <s v=""/>
    <s v="1709000049"/>
  </r>
  <r>
    <s v="1709000051"/>
    <d v="2017-08-02T00:00:00"/>
    <d v="2017-08-02T00:00:00"/>
    <s v="DZ"/>
    <s v="USD"/>
    <n v="35882"/>
    <n v="35882"/>
    <s v="BDT"/>
    <s v="EGM1"/>
    <n v="2874148.2"/>
    <s v="C M ADVANCE ADJUST REF-424130474162"/>
    <s v="0000001010"/>
    <s v="E03839US17-0887"/>
    <s v=""/>
    <s v=""/>
    <s v="0"/>
    <s v="424130486211"/>
    <s v=""/>
    <s v=""/>
    <s v=""/>
    <s v=""/>
    <s v=""/>
    <x v="0"/>
    <d v="2017-09-01T00:00:00"/>
    <s v="1706000003"/>
    <d v="2017-08-02T00:00:00"/>
    <s v=""/>
    <s v="1709000051"/>
  </r>
  <r>
    <s v="1709000052"/>
    <d v="2017-08-02T00:00:00"/>
    <d v="2017-08-02T00:00:00"/>
    <s v="DZ"/>
    <s v="USD"/>
    <n v="33823"/>
    <n v="33823"/>
    <s v="BDT"/>
    <s v="EGM1"/>
    <n v="2709222.3"/>
    <s v="C M ADVANCE ADJUST REF-424130474162"/>
    <s v="0000001010"/>
    <s v="E03648US17-0848"/>
    <s v=""/>
    <s v=""/>
    <s v="0"/>
    <s v="424130486202"/>
    <s v=""/>
    <s v=""/>
    <s v=""/>
    <s v=""/>
    <s v=""/>
    <x v="0"/>
    <d v="2017-09-01T00:00:00"/>
    <s v="1706000003"/>
    <d v="2017-08-02T00:00:00"/>
    <s v=""/>
    <s v="1709000052"/>
  </r>
  <r>
    <s v="1709000053"/>
    <d v="2017-08-02T00:00:00"/>
    <d v="2017-08-02T00:00:00"/>
    <s v="DZ"/>
    <s v="USD"/>
    <n v="-432377"/>
    <n v="-432377"/>
    <s v="BDT"/>
    <s v="EGM1"/>
    <n v="-34914442.75"/>
    <s v="CM ADVANCE RECEIVED REF-424130486195"/>
    <s v="0000001010"/>
    <s v="IT06591708010252"/>
    <s v=""/>
    <s v=""/>
    <s v="0"/>
    <s v="424130486195"/>
    <s v=""/>
    <s v=""/>
    <s v=""/>
    <s v=""/>
    <s v=""/>
    <x v="0"/>
    <d v="2017-09-01T00:00:00"/>
    <s v="1706000005"/>
    <d v="2017-08-02T00:00:00"/>
    <s v=""/>
    <s v="1709000053"/>
  </r>
  <r>
    <s v="1709000055"/>
    <d v="2017-08-06T00:00:00"/>
    <d v="2017-08-06T00:00:00"/>
    <s v="DZ"/>
    <s v="USD"/>
    <n v="32641"/>
    <n v="32641"/>
    <s v="BDT"/>
    <s v="EGM2"/>
    <n v="2614544.1"/>
    <s v="C M ADVANCE ADJUST REF-424130483303"/>
    <s v="0000001010"/>
    <s v="E23662VF17US0436"/>
    <s v=""/>
    <s v=""/>
    <s v="0"/>
    <s v="424130486925"/>
    <s v=""/>
    <s v=""/>
    <s v=""/>
    <s v=""/>
    <s v=""/>
    <x v="0"/>
    <d v="2017-09-30T00:00:00"/>
    <s v="1706000011"/>
    <d v="2017-08-06T00:00:00"/>
    <s v=""/>
    <s v="1709000055"/>
  </r>
  <r>
    <s v="1709000062"/>
    <d v="2017-08-08T00:00:00"/>
    <d v="2017-08-08T00:00:00"/>
    <s v="DZ"/>
    <s v="USD"/>
    <n v="132086"/>
    <n v="132086"/>
    <s v="BDT"/>
    <s v="EGM1"/>
    <n v="10665944.5"/>
    <s v="C M ADVANCE ADJUST REF-424130486195"/>
    <s v="0000001010"/>
    <s v="E03722US17-1021"/>
    <s v=""/>
    <s v=""/>
    <s v="0"/>
    <s v="424130488086"/>
    <s v=""/>
    <s v=""/>
    <s v=""/>
    <s v=""/>
    <s v=""/>
    <x v="0"/>
    <d v="2017-09-01T00:00:00"/>
    <s v="1706000005"/>
    <d v="2017-08-08T00:00:00"/>
    <s v=""/>
    <s v="1709000062"/>
  </r>
  <r>
    <s v="1709000063"/>
    <d v="2017-08-08T00:00:00"/>
    <d v="2017-08-08T00:00:00"/>
    <s v="DZ"/>
    <s v="USD"/>
    <n v="127697"/>
    <n v="127697"/>
    <s v="BDT"/>
    <s v="EGM1"/>
    <n v="10311532.75"/>
    <s v="C M ADVANCE ADJUST REF-424130486195"/>
    <s v="0000001010"/>
    <s v="E03722US17-1020"/>
    <s v=""/>
    <s v=""/>
    <s v="0"/>
    <s v="424130488095"/>
    <s v=""/>
    <s v=""/>
    <s v=""/>
    <s v=""/>
    <s v=""/>
    <x v="0"/>
    <d v="2017-09-01T00:00:00"/>
    <s v="1706000005"/>
    <d v="2017-08-08T00:00:00"/>
    <s v=""/>
    <s v="1709000063"/>
  </r>
  <r>
    <s v="1709000064"/>
    <d v="2017-07-31T00:00:00"/>
    <d v="2017-07-31T00:00:00"/>
    <s v="DZ"/>
    <s v="USD"/>
    <n v="-92367"/>
    <n v="-92367"/>
    <s v="BDT"/>
    <s v="EGM1"/>
    <n v="-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7-31T00:00:00"/>
    <s v="1703001216"/>
    <d v="2017-07-31T00:00:00"/>
    <s v=""/>
    <s v="1709000064"/>
  </r>
  <r>
    <s v="1709000065"/>
    <d v="2017-07-31T00:00:00"/>
    <d v="2017-07-31T00:00:00"/>
    <s v="DZ"/>
    <s v="USD"/>
    <n v="92367"/>
    <n v="92367"/>
    <s v="BDT"/>
    <s v="EGM1"/>
    <n v="7449398.5499999998"/>
    <s v="Funds in Transit-CM Advance-Jul'17"/>
    <s v="0000001010"/>
    <s v="FIT-CM ADV-JUL17"/>
    <s v=""/>
    <s v=""/>
    <s v="0"/>
    <s v="FIT CM Advance Jul-17"/>
    <s v=""/>
    <s v=""/>
    <s v=""/>
    <s v=""/>
    <s v=""/>
    <x v="0"/>
    <d v="2017-08-01T00:00:00"/>
    <s v="1703002069"/>
    <d v="2017-07-31T00:00:00"/>
    <s v=""/>
    <s v="1709000065"/>
  </r>
  <r>
    <s v="1709000068"/>
    <d v="2017-08-10T00:00:00"/>
    <d v="2017-08-10T00:00:00"/>
    <s v="DZ"/>
    <s v="USD"/>
    <n v="43013"/>
    <n v="43013"/>
    <s v="BDT"/>
    <s v="EGM1"/>
    <n v="3473299.75"/>
    <s v="CM ADVANCE ADJUSTED REF-424130486195"/>
    <s v="0000001010"/>
    <s v="E03788US17-1003"/>
    <s v=""/>
    <s v=""/>
    <s v="0"/>
    <s v="424130489879"/>
    <s v=""/>
    <s v=""/>
    <s v=""/>
    <s v=""/>
    <s v=""/>
    <x v="0"/>
    <d v="2017-09-01T00:00:00"/>
    <s v="1706000005"/>
    <d v="2017-08-10T00:00:00"/>
    <s v=""/>
    <s v="1709000068"/>
  </r>
  <r>
    <s v="1709000069"/>
    <d v="2017-08-10T00:00:00"/>
    <d v="2017-08-10T00:00:00"/>
    <s v="DZ"/>
    <s v="USD"/>
    <n v="52120"/>
    <n v="52120"/>
    <s v="BDT"/>
    <s v="EGM1"/>
    <n v="4208690"/>
    <s v="CM ADVANCE ADJUSTED REF-424130486195"/>
    <s v="0000001010"/>
    <s v="E43852SB17UK1065"/>
    <s v=""/>
    <s v=""/>
    <s v="0"/>
    <s v="424130489860"/>
    <s v=""/>
    <s v=""/>
    <s v=""/>
    <s v=""/>
    <s v=""/>
    <x v="0"/>
    <d v="2017-09-01T00:00:00"/>
    <s v="1706000005"/>
    <d v="2017-08-10T00:00:00"/>
    <s v=""/>
    <s v="1709000069"/>
  </r>
  <r>
    <s v="1709000073"/>
    <d v="2017-08-17T00:00:00"/>
    <d v="2017-08-17T00:00:00"/>
    <s v="DZ"/>
    <s v="USD"/>
    <n v="11738"/>
    <n v="11738"/>
    <s v="BDT"/>
    <s v="EGM1"/>
    <n v="947843.5"/>
    <s v="CM ADVANCE ADJUSTED REF-424130486195"/>
    <s v="0000001010"/>
    <s v="E03913US17-1105"/>
    <s v=""/>
    <s v=""/>
    <s v="0"/>
    <s v="424130491278"/>
    <s v=""/>
    <s v=""/>
    <s v=""/>
    <s v=""/>
    <s v=""/>
    <x v="0"/>
    <d v="2017-09-01T00:00:00"/>
    <s v="1706000005"/>
    <d v="2017-08-17T00:00:00"/>
    <s v=""/>
    <s v="1709000073"/>
  </r>
  <r>
    <s v="1709000075"/>
    <d v="2017-08-20T00:00:00"/>
    <d v="2017-08-20T00:00:00"/>
    <s v="DZ"/>
    <s v="USD"/>
    <n v="33069"/>
    <n v="33069"/>
    <s v="BDT"/>
    <s v="EGM1"/>
    <n v="2670321.75"/>
    <s v="CM ADVANCE ADJUSTED REF-424130486195"/>
    <s v="0000001010"/>
    <s v="E43851SB17UK1113"/>
    <s v=""/>
    <s v=""/>
    <s v="0"/>
    <s v="424130492106"/>
    <s v=""/>
    <s v=""/>
    <s v=""/>
    <s v=""/>
    <s v=""/>
    <x v="0"/>
    <d v="2017-09-01T00:00:00"/>
    <s v="1706000005"/>
    <d v="2017-08-20T00:00:00"/>
    <s v=""/>
    <s v="1709000075"/>
  </r>
  <r>
    <s v="1709000076"/>
    <d v="2017-08-20T00:00:00"/>
    <d v="2017-08-20T00:00:00"/>
    <s v="DZ"/>
    <s v="USD"/>
    <n v="27137"/>
    <n v="27137"/>
    <s v="BDT"/>
    <s v="EGM1"/>
    <n v="2191312.75"/>
    <s v="CM ADVANCE ADJUSTED REF-424130486195"/>
    <s v="0000001010"/>
    <s v="E03645US17-1071"/>
    <s v=""/>
    <s v=""/>
    <s v="0"/>
    <s v="424130492099"/>
    <s v=""/>
    <s v=""/>
    <s v=""/>
    <s v=""/>
    <s v=""/>
    <x v="0"/>
    <d v="2017-09-01T00:00:00"/>
    <s v="1706000005"/>
    <d v="2017-08-20T00:00:00"/>
    <s v=""/>
    <s v="1709000076"/>
  </r>
  <r>
    <s v="1709000078"/>
    <d v="2017-08-20T00:00:00"/>
    <d v="2017-08-20T00:00:00"/>
    <s v="DZ"/>
    <s v="USD"/>
    <n v="-818104"/>
    <n v="-818104"/>
    <s v="BDT"/>
    <s v="EGM1"/>
    <n v="-66061898"/>
    <s v="CM ADVANCE RECEIVED REF-424130492062"/>
    <s v="0000001010"/>
    <s v="IT06591708190010"/>
    <s v=""/>
    <s v=""/>
    <s v="0"/>
    <s v="424130492062"/>
    <s v=""/>
    <s v=""/>
    <s v=""/>
    <s v=""/>
    <s v=""/>
    <x v="0"/>
    <d v="2017-09-30T00:00:00"/>
    <s v="1706000001"/>
    <d v="2017-08-20T00:00:00"/>
    <s v=""/>
    <s v="1709000078"/>
  </r>
  <r>
    <s v="1709000079"/>
    <d v="2017-08-20T00:00:00"/>
    <d v="2017-08-20T00:00:00"/>
    <s v="DZ"/>
    <s v="USD"/>
    <n v="-40125"/>
    <n v="-40125"/>
    <s v="BDT"/>
    <s v="EGM2"/>
    <n v="-3240093.75"/>
    <s v="CM ADVANCE RECEIVED REF-424130492053"/>
    <s v="0000001010"/>
    <s v="IT06591708190002"/>
    <s v=""/>
    <s v=""/>
    <s v="0"/>
    <s v="424130492053"/>
    <s v=""/>
    <s v=""/>
    <s v=""/>
    <s v=""/>
    <s v=""/>
    <x v="0"/>
    <d v="2017-09-30T00:00:00"/>
    <s v="1706000013"/>
    <d v="2017-08-20T00:00:00"/>
    <s v=""/>
    <s v="1709000079"/>
  </r>
  <r>
    <s v="1709000080"/>
    <d v="2017-08-22T00:00:00"/>
    <d v="2017-08-22T00:00:00"/>
    <s v="DZ"/>
    <s v="USD"/>
    <n v="-109294"/>
    <n v="-109294"/>
    <s v="BDT"/>
    <s v="EGM2"/>
    <n v="-8825490.5"/>
    <s v="CM ADVANCE RECEIVED REF-424130494444"/>
    <s v="0000001010"/>
    <s v="IT06591708220026"/>
    <s v=""/>
    <s v=""/>
    <s v="0"/>
    <s v="424130494444"/>
    <s v=""/>
    <s v=""/>
    <s v=""/>
    <s v=""/>
    <s v=""/>
    <x v="0"/>
    <d v="2017-09-30T00:00:00"/>
    <s v="1706000012"/>
    <d v="2017-08-22T00:00:00"/>
    <s v=""/>
    <s v="1709000080"/>
  </r>
  <r>
    <s v="1709000081"/>
    <d v="2017-08-21T00:00:00"/>
    <d v="2017-08-21T00:00:00"/>
    <s v="DZ"/>
    <s v="USD"/>
    <n v="5517"/>
    <n v="5517"/>
    <s v="BDT"/>
    <s v="EGM1"/>
    <n v="445497.75"/>
    <s v="CM ADVANCE ADJUSTED REF-424130486195"/>
    <s v="0000001010"/>
    <s v="E33918TC17US1079"/>
    <s v=""/>
    <s v=""/>
    <s v="0"/>
    <s v="424130493677"/>
    <s v=""/>
    <s v=""/>
    <s v=""/>
    <s v=""/>
    <s v=""/>
    <x v="0"/>
    <d v="2017-09-01T00:00:00"/>
    <s v="1706000005"/>
    <d v="2017-08-21T00:00:00"/>
    <s v=""/>
    <s v="1709000081"/>
  </r>
  <r>
    <s v="1709000083"/>
    <d v="2017-08-27T00:00:00"/>
    <d v="2017-08-27T00:00:00"/>
    <s v="DZ"/>
    <s v="USD"/>
    <n v="185812"/>
    <n v="185812"/>
    <s v="BDT"/>
    <s v="EGM1"/>
    <n v="15004319"/>
    <s v="CM ADVANCE ADJUSTED REF-424130492062"/>
    <s v="0000001010"/>
    <s v="E04055US17-1130"/>
    <s v=""/>
    <s v=""/>
    <s v="0"/>
    <s v="424130495899"/>
    <s v=""/>
    <s v=""/>
    <s v=""/>
    <s v=""/>
    <s v=""/>
    <x v="0"/>
    <d v="2017-09-30T00:00:00"/>
    <s v="1706000001"/>
    <d v="2017-08-27T00:00:00"/>
    <s v=""/>
    <s v="1709000083"/>
  </r>
  <r>
    <s v="1709000084"/>
    <d v="2017-08-27T00:00:00"/>
    <d v="2017-08-27T00:00:00"/>
    <s v="DZ"/>
    <s v="USD"/>
    <n v="18608"/>
    <n v="18608"/>
    <s v="BDT"/>
    <s v="EGM1"/>
    <n v="1502596"/>
    <s v="CM ADVANCE ADJUSTED REF-424130492062"/>
    <s v="0000001010"/>
    <s v="E43754SB17UK1156"/>
    <s v=""/>
    <s v=""/>
    <s v="0"/>
    <s v="424130495906"/>
    <s v=""/>
    <s v=""/>
    <s v=""/>
    <s v=""/>
    <s v=""/>
    <x v="0"/>
    <d v="2017-09-30T00:00:00"/>
    <s v="1706000001"/>
    <d v="2017-08-27T00:00:00"/>
    <s v=""/>
    <s v="1709000084"/>
  </r>
  <r>
    <s v="1709000086"/>
    <d v="2017-08-09T00:00:00"/>
    <d v="2017-08-09T00:00:00"/>
    <s v="DZ"/>
    <s v="USD"/>
    <n v="1295"/>
    <n v="1295"/>
    <s v="BDT"/>
    <s v="EGM2"/>
    <n v="103729.5"/>
    <s v="CM ADVANCE ADJUSTED REF-424130483303"/>
    <s v="0000001010"/>
    <s v="03929170528ID"/>
    <s v=""/>
    <s v=""/>
    <s v="0"/>
    <s v="424130488834"/>
    <s v=""/>
    <s v=""/>
    <s v=""/>
    <s v=""/>
    <s v=""/>
    <x v="0"/>
    <d v="2017-09-30T00:00:00"/>
    <s v="1706000011"/>
    <d v="2017-08-09T00:00:00"/>
    <s v=""/>
    <s v="1709000086"/>
  </r>
  <r>
    <s v="1709000087"/>
    <d v="2017-08-09T00:00:00"/>
    <d v="2017-08-09T00:00:00"/>
    <s v="DZ"/>
    <s v="USD"/>
    <n v="6908"/>
    <n v="6908"/>
    <s v="BDT"/>
    <s v="EGM2"/>
    <n v="553330.80000000005"/>
    <s v="CM ADVANCE ADJUSTED REF-424130483303"/>
    <s v="0000001010"/>
    <s v="03929170497RU"/>
    <s v=""/>
    <s v=""/>
    <s v="0"/>
    <s v="424130488825"/>
    <s v=""/>
    <s v=""/>
    <s v=""/>
    <s v=""/>
    <s v=""/>
    <x v="0"/>
    <d v="2017-09-30T00:00:00"/>
    <s v="1706000011"/>
    <d v="2017-08-09T00:00:00"/>
    <s v=""/>
    <s v="1709000087"/>
  </r>
  <r>
    <s v="1709000088"/>
    <d v="2017-08-09T00:00:00"/>
    <d v="2017-08-09T00:00:00"/>
    <s v="DZ"/>
    <s v="USD"/>
    <n v="9831"/>
    <n v="9831"/>
    <s v="BDT"/>
    <s v="EGM2"/>
    <n v="787463.1"/>
    <s v="CM ADVANCE ADJUSTED REF-424130483303"/>
    <s v="0000001010"/>
    <s v="03925170480OK"/>
    <s v=""/>
    <s v=""/>
    <s v="0"/>
    <s v="424130488772"/>
    <s v=""/>
    <s v=""/>
    <s v=""/>
    <s v=""/>
    <s v=""/>
    <x v="0"/>
    <d v="2017-09-30T00:00:00"/>
    <s v="1706000011"/>
    <d v="2017-08-09T00:00:00"/>
    <s v=""/>
    <s v="1709000088"/>
  </r>
  <r>
    <s v="1709000093"/>
    <d v="2017-08-24T00:00:00"/>
    <d v="2017-08-24T00:00:00"/>
    <s v="DZ"/>
    <s v="USD"/>
    <n v="11101"/>
    <n v="11101"/>
    <s v="BDT"/>
    <s v="EGM2"/>
    <n v="889190.1"/>
    <s v="CM ADVANCE ADJUSTED REF-424130483303"/>
    <s v="0000001010"/>
    <s v="03929170516DE"/>
    <s v=""/>
    <s v=""/>
    <s v="0"/>
    <s v="424130495167"/>
    <s v=""/>
    <s v=""/>
    <s v=""/>
    <s v=""/>
    <s v=""/>
    <x v="0"/>
    <d v="2017-09-30T00:00:00"/>
    <s v="1706000011"/>
    <d v="2017-08-24T00:00:00"/>
    <s v=""/>
    <s v="1709000093"/>
  </r>
  <r>
    <s v="1709000096"/>
    <d v="2017-08-30T00:00:00"/>
    <d v="2017-08-30T00:00:00"/>
    <s v="DZ"/>
    <s v="USD"/>
    <n v="6975"/>
    <n v="6975"/>
    <s v="BDT"/>
    <s v="EGM2"/>
    <n v="558697.5"/>
    <s v="CM ADVANCE ADJUSTED REF-424130483303"/>
    <s v="0000001010"/>
    <s v="03929170520BE"/>
    <s v=""/>
    <s v=""/>
    <s v="0"/>
    <s v="424130497566"/>
    <s v=""/>
    <s v=""/>
    <s v=""/>
    <s v=""/>
    <s v=""/>
    <x v="0"/>
    <d v="2017-09-30T00:00:00"/>
    <s v="1706000011"/>
    <d v="2017-08-30T00:00:00"/>
    <s v=""/>
    <s v="1709000096"/>
  </r>
  <r>
    <s v="1709000097"/>
    <d v="2017-08-20T00:00:00"/>
    <d v="2017-08-20T00:00:00"/>
    <s v="DZ"/>
    <s v="USD"/>
    <n v="61452"/>
    <n v="61452"/>
    <s v="BDT"/>
    <s v="EGM2"/>
    <n v="4922305.2"/>
    <s v="CM ADVANCE ADJUSTED REF-424130483303"/>
    <s v="0000001010"/>
    <s v="E23897VF17US0545"/>
    <s v=""/>
    <s v=""/>
    <s v="0"/>
    <s v="424130490180"/>
    <s v=""/>
    <s v=""/>
    <s v=""/>
    <s v=""/>
    <s v=""/>
    <x v="0"/>
    <d v="2017-09-30T00:00:00"/>
    <s v="1706000011"/>
    <d v="2017-08-20T00:00:00"/>
    <s v=""/>
    <s v="1709000097"/>
  </r>
  <r>
    <s v="1709000098"/>
    <d v="2017-08-13T00:00:00"/>
    <d v="2017-08-13T00:00:00"/>
    <s v="DZ"/>
    <s v="USD"/>
    <n v="2803"/>
    <n v="2803"/>
    <s v="BDT"/>
    <s v="EGM2"/>
    <n v="226342.25"/>
    <s v="CM ADVANCE ADJUSTED REF-424130465234"/>
    <s v="0000001010"/>
    <s v="03885170407MX"/>
    <s v=""/>
    <s v=""/>
    <s v="0"/>
    <s v="424130489851"/>
    <s v=""/>
    <s v=""/>
    <s v=""/>
    <s v=""/>
    <s v=""/>
    <x v="0"/>
    <d v="2017-09-01T00:00:00"/>
    <s v="1706000008"/>
    <d v="2017-08-13T00:00:00"/>
    <s v=""/>
    <s v="1709000098"/>
  </r>
  <r>
    <s v="1709000098"/>
    <d v="2017-08-13T00:00:00"/>
    <d v="2017-08-13T00:00:00"/>
    <s v="DZ"/>
    <s v="USD"/>
    <n v="1609"/>
    <n v="1609"/>
    <s v="BDT"/>
    <s v="EGM2"/>
    <n v="128913.08"/>
    <s v="BTB ADJUSTED REF-424130467839"/>
    <s v="0000001010"/>
    <s v="03885170407MX"/>
    <s v=""/>
    <s v=""/>
    <s v="0"/>
    <s v="424130489851"/>
    <s v=""/>
    <s v=""/>
    <s v=""/>
    <s v=""/>
    <s v=""/>
    <x v="0"/>
    <d v="2017-09-30T00:00:00"/>
    <s v="1706000014"/>
    <d v="2017-08-13T00:00:00"/>
    <s v=""/>
    <s v="1709000098"/>
  </r>
  <r>
    <s v="1709000102"/>
    <d v="2017-09-11T00:00:00"/>
    <d v="2017-09-11T00:00:00"/>
    <s v="DZ"/>
    <s v="USD"/>
    <n v="243056"/>
    <n v="243056"/>
    <s v="BDT"/>
    <s v="EGM1"/>
    <n v="19626772"/>
    <s v="CM ADVANCE ADJUSTED REF-424130492062"/>
    <s v="0000001010"/>
    <s v="E33860TC17US1206"/>
    <s v=""/>
    <s v=""/>
    <s v="0"/>
    <s v="424130500197"/>
    <s v=""/>
    <s v=""/>
    <s v=""/>
    <s v=""/>
    <s v=""/>
    <x v="0"/>
    <d v="2017-09-30T00:00:00"/>
    <s v="1706000001"/>
    <d v="2017-09-11T00:00:00"/>
    <s v=""/>
    <s v="1709000102"/>
  </r>
  <r>
    <s v="1709000103"/>
    <d v="2017-09-11T00:00:00"/>
    <d v="2017-09-11T00:00:00"/>
    <s v="DZ"/>
    <s v="USD"/>
    <n v="209762"/>
    <n v="209762"/>
    <s v="BDT"/>
    <s v="EGM1"/>
    <n v="16938281.5"/>
    <s v="CM ADVANCE ADJUSTED REF-424130492062"/>
    <s v="0000001010"/>
    <s v="E03943US17-1164"/>
    <s v=""/>
    <s v=""/>
    <s v="0"/>
    <s v="424130500400"/>
    <s v=""/>
    <s v=""/>
    <s v=""/>
    <s v=""/>
    <s v=""/>
    <x v="0"/>
    <d v="2017-09-30T00:00:00"/>
    <s v="1706000001"/>
    <d v="2017-09-11T00:00:00"/>
    <s v=""/>
    <s v="1709000103"/>
  </r>
  <r>
    <s v="1709000105"/>
    <d v="2017-09-12T00:00:00"/>
    <d v="2017-09-12T00:00:00"/>
    <s v="DZ"/>
    <s v="USD"/>
    <n v="138190"/>
    <n v="138190"/>
    <s v="BDT"/>
    <s v="EGM1"/>
    <n v="11158842.5"/>
    <s v="CM ADVANCE ADJUSTED REF-424130492062"/>
    <s v="0000001010"/>
    <s v="E03706US17-1058"/>
    <s v=""/>
    <s v=""/>
    <s v="0"/>
    <s v="424130501141"/>
    <s v=""/>
    <s v=""/>
    <s v=""/>
    <s v=""/>
    <s v=""/>
    <x v="0"/>
    <d v="2017-09-30T00:00:00"/>
    <s v="1706000001"/>
    <d v="2017-09-12T00:00:00"/>
    <s v=""/>
    <s v="1709000105"/>
  </r>
  <r>
    <s v="1709000109"/>
    <d v="2017-09-21T00:00:00"/>
    <d v="2017-09-21T00:00:00"/>
    <s v="DZ"/>
    <s v="USD"/>
    <n v="2965"/>
    <n v="2965"/>
    <s v="BDT"/>
    <s v="EGM1"/>
    <n v="239423.75"/>
    <s v="CM ADVANCE ADJUSTED REF-424130492062"/>
    <s v="0000001010"/>
    <s v="E3854SB17UK1037"/>
    <s v=""/>
    <s v=""/>
    <s v="0"/>
    <s v="424130505192"/>
    <s v=""/>
    <s v=""/>
    <s v=""/>
    <s v=""/>
    <s v=""/>
    <x v="0"/>
    <d v="2017-09-30T00:00:00"/>
    <s v="1706000001"/>
    <d v="2017-09-21T00:00:00"/>
    <s v=""/>
    <s v="1709000109"/>
  </r>
  <r>
    <s v="1709000110"/>
    <d v="2017-09-12T00:00:00"/>
    <d v="2017-09-12T00:00:00"/>
    <s v="DZ"/>
    <s v="USD"/>
    <n v="9562"/>
    <n v="9562"/>
    <s v="BDT"/>
    <s v="EGM2"/>
    <n v="772131.5"/>
    <s v="CM ADVANCE ADJUSTED REF-424130492053"/>
    <s v="0000001010"/>
    <s v="E23832DN17IR0543"/>
    <s v=""/>
    <s v=""/>
    <s v="0"/>
    <s v="424130501043"/>
    <s v=""/>
    <s v=""/>
    <s v=""/>
    <s v=""/>
    <s v=""/>
    <x v="0"/>
    <d v="2017-09-30T00:00:00"/>
    <s v="1706000013"/>
    <d v="2017-09-12T00:00:00"/>
    <s v=""/>
    <s v="1709000110"/>
  </r>
  <r>
    <s v="1709000111"/>
    <d v="2017-09-12T00:00:00"/>
    <d v="2017-09-12T00:00:00"/>
    <s v="DZ"/>
    <s v="USD"/>
    <n v="69439"/>
    <n v="69439"/>
    <s v="BDT"/>
    <s v="EGM2"/>
    <n v="5607199.25"/>
    <s v="CM ADVANCE ADJUSTED REF-424130494444"/>
    <s v="0000001010"/>
    <s v="E23955VF17US0581"/>
    <s v=""/>
    <s v=""/>
    <s v="0"/>
    <s v="424130501169"/>
    <s v=""/>
    <s v=""/>
    <s v=""/>
    <s v=""/>
    <s v=""/>
    <x v="0"/>
    <d v="2017-09-30T00:00:00"/>
    <s v="1706000012"/>
    <d v="2017-09-12T00:00:00"/>
    <s v=""/>
    <s v="1709000111"/>
  </r>
  <r>
    <s v="1709000112"/>
    <d v="2017-09-12T00:00:00"/>
    <d v="2017-09-12T00:00:00"/>
    <s v="DZ"/>
    <s v="USD"/>
    <n v="4781"/>
    <n v="4781"/>
    <s v="BDT"/>
    <s v="EGM2"/>
    <n v="386065.75"/>
    <s v="CM ADVANCE ADJUSTED REF-424130492053"/>
    <s v="0000001010"/>
    <s v="E23832DN17IR0544"/>
    <s v=""/>
    <s v=""/>
    <s v="0"/>
    <s v="424130501052"/>
    <s v=""/>
    <s v=""/>
    <s v=""/>
    <s v=""/>
    <s v=""/>
    <x v="0"/>
    <d v="2017-09-30T00:00:00"/>
    <s v="1706000013"/>
    <d v="2017-09-12T00:00:00"/>
    <s v=""/>
    <s v="1709000112"/>
  </r>
  <r>
    <s v="1709000114"/>
    <d v="2017-09-13T00:00:00"/>
    <d v="2017-09-13T00:00:00"/>
    <s v="DZ"/>
    <s v="USD"/>
    <n v="1275"/>
    <n v="1275"/>
    <s v="BDT"/>
    <s v="EGM2"/>
    <n v="102127.5"/>
    <s v="CM ADVANCE ADJUSTED REF-424130483303"/>
    <s v="0000001010"/>
    <s v="E23710VF17US0418"/>
    <s v=""/>
    <s v=""/>
    <s v="0"/>
    <s v="424130502051"/>
    <s v=""/>
    <s v=""/>
    <s v=""/>
    <s v=""/>
    <s v=""/>
    <x v="0"/>
    <d v="2017-09-30T00:00:00"/>
    <s v="1706000011"/>
    <d v="2017-09-13T00:00:00"/>
    <s v=""/>
    <s v="1709000114"/>
  </r>
  <r>
    <s v="1709000114"/>
    <d v="2017-09-13T00:00:00"/>
    <d v="2017-09-13T00:00:00"/>
    <s v="DZ"/>
    <s v="USD"/>
    <n v="25782"/>
    <n v="25782"/>
    <s v="BDT"/>
    <s v="EGM2"/>
    <n v="2081896.5"/>
    <s v="CM ADVANCE ADJUSTED REF-424130492053"/>
    <s v="0000001010"/>
    <s v="E23710VF17US0418"/>
    <s v=""/>
    <s v=""/>
    <s v="0"/>
    <s v="424130502051"/>
    <s v=""/>
    <s v=""/>
    <s v=""/>
    <s v=""/>
    <s v=""/>
    <x v="0"/>
    <d v="2017-09-30T00:00:00"/>
    <s v="1706000013"/>
    <d v="2017-09-13T00:00:00"/>
    <s v=""/>
    <s v="1709000114"/>
  </r>
  <r>
    <s v="1709000115"/>
    <d v="2017-09-14T00:00:00"/>
    <d v="2017-09-14T00:00:00"/>
    <s v="DZ"/>
    <s v="USD"/>
    <n v="6781"/>
    <n v="6781"/>
    <s v="BDT"/>
    <s v="EGM2"/>
    <n v="547565.75"/>
    <s v="CM ADVANCE ADJUSTED REF-424130494444"/>
    <s v="0000001010"/>
    <s v="E23954VF17US0618"/>
    <s v=""/>
    <s v=""/>
    <s v="0"/>
    <s v="424130502694"/>
    <s v=""/>
    <s v=""/>
    <s v=""/>
    <s v=""/>
    <s v=""/>
    <x v="0"/>
    <d v="2017-09-30T00:00:00"/>
    <s v="1706000012"/>
    <d v="2017-09-14T00:00:00"/>
    <s v=""/>
    <s v="1709000115"/>
  </r>
  <r>
    <s v="1709000116"/>
    <d v="2017-09-18T00:00:00"/>
    <d v="2017-09-18T00:00:00"/>
    <s v="DZ"/>
    <s v="USD"/>
    <n v="9986"/>
    <n v="9986"/>
    <s v="BDT"/>
    <s v="EGM2"/>
    <n v="806369.5"/>
    <s v="CM ADVANCE ADJUSTED REF-424130494444"/>
    <s v="0000001010"/>
    <s v="E23815AC17JF0627"/>
    <s v=""/>
    <s v=""/>
    <s v="0"/>
    <s v="424130503149"/>
    <s v=""/>
    <s v=""/>
    <s v=""/>
    <s v=""/>
    <s v=""/>
    <x v="0"/>
    <d v="2017-09-30T00:00:00"/>
    <s v="1706000012"/>
    <d v="2017-09-18T00:00:00"/>
    <s v=""/>
    <s v="1709000116"/>
  </r>
  <r>
    <s v="1709000117"/>
    <d v="2017-09-18T00:00:00"/>
    <d v="2017-09-18T00:00:00"/>
    <s v="DZ"/>
    <s v="USD"/>
    <n v="5231"/>
    <n v="5231"/>
    <s v="BDT"/>
    <s v="EGM2"/>
    <n v="419003.1"/>
    <s v="CM ADVANCE ADJUSTED REF-424130483303"/>
    <s v="0000001010"/>
    <s v="03986170567NZ"/>
    <s v=""/>
    <s v=""/>
    <s v="0"/>
    <s v="424130502729"/>
    <s v=""/>
    <s v=""/>
    <s v=""/>
    <s v=""/>
    <s v=""/>
    <x v="0"/>
    <d v="2017-09-30T00:00:00"/>
    <s v="1706000011"/>
    <d v="2017-09-18T00:00:00"/>
    <s v=""/>
    <s v="1709000117"/>
  </r>
  <r>
    <s v="1709000119"/>
    <d v="2017-08-02T00:00:00"/>
    <d v="2017-08-02T00:00:00"/>
    <s v="DZ"/>
    <s v="USD"/>
    <n v="18271"/>
    <n v="18271"/>
    <s v="BDT"/>
    <s v="EGM2"/>
    <n v="1463507.1"/>
    <s v="CM ADVANCE ADJUSTED REF-424130474402"/>
    <s v="0000001010"/>
    <s v="E03766WM17CA0481"/>
    <s v=""/>
    <s v=""/>
    <s v="0"/>
    <s v="424130486220"/>
    <s v=""/>
    <s v=""/>
    <s v=""/>
    <s v=""/>
    <s v=""/>
    <x v="0"/>
    <d v="2017-09-30T00:00:00"/>
    <s v="1706000010"/>
    <d v="2017-08-02T00:00:00"/>
    <s v=""/>
    <s v="1709000119"/>
  </r>
  <r>
    <s v="1709000123"/>
    <d v="2017-09-13T00:00:00"/>
    <d v="2017-09-13T00:00:00"/>
    <s v="DZ"/>
    <s v="USD"/>
    <n v="-294346"/>
    <n v="-294346"/>
    <s v="BDT"/>
    <s v="EGM1"/>
    <n v="-23783156.800000001"/>
    <s v="CM ADVANCE RECEIVED REF-424130501891"/>
    <s v="0000001010"/>
    <s v="IT06591709120004"/>
    <s v=""/>
    <s v=""/>
    <s v="0"/>
    <s v="424130501891"/>
    <s v=""/>
    <s v=""/>
    <s v=""/>
    <s v=""/>
    <s v=""/>
    <x v="0"/>
    <d v="2017-10-31T00:00:00"/>
    <s v="1706000022"/>
    <d v="2017-09-13T00:00:00"/>
    <s v=""/>
    <s v="1709000123"/>
  </r>
  <r>
    <s v="1709000124"/>
    <d v="2017-09-14T00:00:00"/>
    <d v="2017-09-14T00:00:00"/>
    <s v="DZ"/>
    <s v="USD"/>
    <n v="-27878"/>
    <n v="-27878"/>
    <s v="BDT"/>
    <s v="EGM2"/>
    <n v="-2252542.4"/>
    <s v="CM ADVANCE RECEIVED REF-424130502426"/>
    <s v="0000001010"/>
    <s v="IT06591709130203"/>
    <s v=""/>
    <s v=""/>
    <s v="0"/>
    <s v="424130502426"/>
    <s v=""/>
    <s v=""/>
    <s v=""/>
    <s v=""/>
    <s v=""/>
    <x v="0"/>
    <d v="2017-09-30T00:00:00"/>
    <s v="1706000020"/>
    <d v="2017-09-14T00:00:00"/>
    <s v=""/>
    <s v="1709000124"/>
  </r>
  <r>
    <s v="1709000125"/>
    <d v="2017-09-20T00:00:00"/>
    <d v="2017-09-20T00:00:00"/>
    <s v="DZ"/>
    <s v="USD"/>
    <n v="-75129"/>
    <n v="-75129"/>
    <s v="BDT"/>
    <s v="EGM2"/>
    <n v="-6070423.2000000002"/>
    <s v="CM ADVANCE RECEIVED REF-424130504969"/>
    <s v="0000001010"/>
    <s v="ARV"/>
    <s v=""/>
    <s v=""/>
    <s v="0"/>
    <s v="424130504969"/>
    <s v=""/>
    <s v=""/>
    <s v=""/>
    <s v=""/>
    <s v=""/>
    <x v="0"/>
    <d v="2017-10-31T00:00:00"/>
    <s v="1706000026"/>
    <d v="2017-09-20T00:00:00"/>
    <s v=""/>
    <s v="1709000125"/>
  </r>
  <r>
    <s v="1709000126"/>
    <d v="2017-09-13T00:00:00"/>
    <d v="2017-09-13T00:00:00"/>
    <s v="DZ"/>
    <s v="USD"/>
    <n v="12982"/>
    <n v="12982"/>
    <s v="BDT"/>
    <s v="EGM1"/>
    <n v="1048296.5"/>
    <s v="CM ADVANCE ADJUST REF-424130492062"/>
    <s v="0000001010"/>
    <s v="E3847SB17UK1173"/>
    <s v=""/>
    <s v=""/>
    <s v="0"/>
    <s v="424130502042"/>
    <s v=""/>
    <s v=""/>
    <s v=""/>
    <s v=""/>
    <s v=""/>
    <x v="0"/>
    <d v="2017-09-30T00:00:00"/>
    <s v="1706000001"/>
    <d v="2017-09-13T00:00:00"/>
    <s v=""/>
    <s v="1709000126"/>
  </r>
  <r>
    <s v="1709000127"/>
    <d v="2017-09-13T00:00:00"/>
    <d v="2017-09-13T00:00:00"/>
    <s v="DZ"/>
    <s v="USD"/>
    <n v="6728"/>
    <n v="6728"/>
    <s v="BDT"/>
    <s v="EGM1"/>
    <n v="543286"/>
    <s v="CM ADVANCE ADJUST REF-424130492062"/>
    <s v="0000001010"/>
    <s v="E03943US17-1163"/>
    <s v=""/>
    <s v=""/>
    <s v="0"/>
    <s v="424130501908"/>
    <s v=""/>
    <s v=""/>
    <s v=""/>
    <s v=""/>
    <s v=""/>
    <x v="0"/>
    <d v="2017-09-30T00:00:00"/>
    <s v="1706000001"/>
    <d v="2017-09-13T00:00:00"/>
    <s v=""/>
    <s v="1709000127"/>
  </r>
  <r>
    <s v="1709000132"/>
    <d v="2017-09-25T00:00:00"/>
    <d v="2017-09-25T00:00:00"/>
    <s v="DZ"/>
    <s v="USD"/>
    <n v="806"/>
    <n v="806"/>
    <s v="BDT"/>
    <s v="EGM1"/>
    <n v="65084.5"/>
    <s v="CM ADVANCE ADJUST REF-424130451962"/>
    <s v="0000001010"/>
    <s v="SE3991VF17US0637"/>
    <s v=""/>
    <s v=""/>
    <s v="0"/>
    <s v="424130506388"/>
    <s v=""/>
    <s v=""/>
    <s v=""/>
    <s v=""/>
    <s v=""/>
    <x v="0"/>
    <d v="2017-09-30T00:00:00"/>
    <s v="1706000006"/>
    <d v="2017-09-25T00:00:00"/>
    <s v=""/>
    <s v="1709000132"/>
  </r>
  <r>
    <s v="1709000132"/>
    <d v="2017-09-25T00:00:00"/>
    <d v="2017-09-25T00:00:00"/>
    <s v="DZ"/>
    <s v="USD"/>
    <n v="6200"/>
    <n v="6200"/>
    <s v="BDT"/>
    <s v="EGM2"/>
    <n v="500960"/>
    <s v="CM ADVANCE ADJUST REF-424130502426"/>
    <s v="0000001010"/>
    <s v="SE3991VF17US0637"/>
    <s v=""/>
    <s v=""/>
    <s v="0"/>
    <s v="424130506388"/>
    <s v=""/>
    <s v=""/>
    <s v=""/>
    <s v=""/>
    <s v=""/>
    <x v="0"/>
    <d v="2017-09-30T00:00:00"/>
    <s v="1706000020"/>
    <d v="2017-09-25T00:00:00"/>
    <s v=""/>
    <s v="1709000132"/>
  </r>
  <r>
    <s v="1709000133"/>
    <d v="2017-09-25T00:00:00"/>
    <d v="2017-09-25T00:00:00"/>
    <s v="DZ"/>
    <s v="USD"/>
    <n v="11698"/>
    <n v="11698"/>
    <s v="BDT"/>
    <s v="EGM2"/>
    <n v="944613.5"/>
    <s v="CM ADVANCE ADJUST REF-424130494444"/>
    <s v="0000001010"/>
    <s v="E23815AC17CK0628"/>
    <s v=""/>
    <s v=""/>
    <s v="0"/>
    <s v="424130506404"/>
    <s v=""/>
    <s v=""/>
    <s v=""/>
    <s v=""/>
    <s v=""/>
    <x v="0"/>
    <d v="2017-09-30T00:00:00"/>
    <s v="1706000012"/>
    <d v="2017-09-25T00:00:00"/>
    <s v=""/>
    <s v="1709000133"/>
  </r>
  <r>
    <s v="1709000134"/>
    <d v="2017-09-25T00:00:00"/>
    <d v="2017-09-25T00:00:00"/>
    <s v="DZ"/>
    <s v="USD"/>
    <n v="9577"/>
    <n v="9577"/>
    <s v="BDT"/>
    <s v="EGM2"/>
    <n v="773821.6"/>
    <s v="CM ADVANCE ADJUST REF-424130502426"/>
    <s v="0000001010"/>
    <s v="E23832DN17IR0633"/>
    <s v=""/>
    <s v=""/>
    <s v="0"/>
    <s v="424130506397"/>
    <s v=""/>
    <s v=""/>
    <s v=""/>
    <s v=""/>
    <s v=""/>
    <x v="0"/>
    <d v="2017-09-30T00:00:00"/>
    <s v="1706000020"/>
    <d v="2017-09-25T00:00:00"/>
    <s v=""/>
    <s v="1709000134"/>
  </r>
  <r>
    <s v="1709000137"/>
    <d v="2017-08-31T00:00:00"/>
    <d v="2017-08-31T00:00:00"/>
    <s v="DZ"/>
    <s v="USD"/>
    <n v="635801"/>
    <n v="635801"/>
    <s v="BDT"/>
    <s v="EGM1"/>
    <n v="51309140.700000003"/>
    <s v="Funds in Transit-CM Advance-Jul'17"/>
    <s v="0000001010"/>
    <s v="FIT-CM ADV-AUG17"/>
    <s v=""/>
    <s v=""/>
    <s v="0"/>
    <s v="FIT CM Advance Aug-17"/>
    <s v=""/>
    <s v=""/>
    <s v=""/>
    <s v=""/>
    <s v=""/>
    <x v="0"/>
    <d v="2017-09-01T00:00:00"/>
    <s v="1703004709"/>
    <d v="2017-08-31T00:00:00"/>
    <s v=""/>
    <s v="1709000137"/>
  </r>
  <r>
    <s v="1709000138"/>
    <d v="2017-09-26T00:00:00"/>
    <d v="2017-09-26T00:00:00"/>
    <s v="DZ"/>
    <s v="USD"/>
    <n v="-210797"/>
    <n v="-210797"/>
    <s v="BDT"/>
    <s v="EGM1"/>
    <n v="-17032397.600000001"/>
    <s v="CM ADVANCE RECEIVED REF-424130507653"/>
    <s v="0000001010"/>
    <s v="IT06591709250109"/>
    <s v=""/>
    <s v=""/>
    <s v="0"/>
    <s v="424130507653"/>
    <s v=""/>
    <s v=""/>
    <s v=""/>
    <s v=""/>
    <s v=""/>
    <x v="0"/>
    <d v="2017-10-31T00:00:00"/>
    <s v="1706000023"/>
    <d v="2017-09-26T00:00:00"/>
    <s v=""/>
    <s v="1709000138"/>
  </r>
  <r>
    <s v="1709000140"/>
    <d v="2017-09-26T00:00:00"/>
    <d v="2017-09-26T00:00:00"/>
    <s v="DZ"/>
    <s v="USD"/>
    <n v="11390"/>
    <n v="11390"/>
    <s v="BDT"/>
    <s v="EGM2"/>
    <n v="919742.5"/>
    <s v="CM ADVANCE ADJUSTMENT REF-424130494444"/>
    <s v="0000001010"/>
    <s v="E23815AC17CK0629"/>
    <s v=""/>
    <s v=""/>
    <s v="0"/>
    <s v="424130507733"/>
    <s v=""/>
    <s v=""/>
    <s v=""/>
    <s v=""/>
    <s v=""/>
    <x v="0"/>
    <d v="2017-09-30T00:00:00"/>
    <s v="1706000012"/>
    <d v="2017-09-26T00:00:00"/>
    <s v=""/>
    <s v="1709000140"/>
  </r>
  <r>
    <s v="1709000141"/>
    <d v="2017-09-26T00:00:00"/>
    <d v="2017-09-26T00:00:00"/>
    <s v="DZ"/>
    <s v="USD"/>
    <n v="2616"/>
    <n v="2616"/>
    <s v="BDT"/>
    <s v="EGM2"/>
    <n v="209541.6"/>
    <s v="CM ADVANCE ADJUSTMENT REF-424130483303"/>
    <s v="0000001010"/>
    <s v="03929170521ES"/>
    <s v=""/>
    <s v=""/>
    <s v="0"/>
    <s v="424130506351"/>
    <s v=""/>
    <s v=""/>
    <s v=""/>
    <s v=""/>
    <s v=""/>
    <x v="0"/>
    <d v="2017-09-30T00:00:00"/>
    <s v="1706000011"/>
    <d v="2017-09-26T00:00:00"/>
    <s v=""/>
    <s v="1709000141"/>
  </r>
  <r>
    <s v="1709000141"/>
    <d v="2017-09-26T00:00:00"/>
    <d v="2017-09-26T00:00:00"/>
    <s v="DZ"/>
    <s v="USD"/>
    <n v="12101"/>
    <n v="12101"/>
    <s v="BDT"/>
    <s v="EGM2"/>
    <n v="977760.8"/>
    <s v="CM ADVANCE ADJUSTMENT REF-424130502426"/>
    <s v="0000001010"/>
    <s v="03929170521ES"/>
    <s v=""/>
    <s v=""/>
    <s v="0"/>
    <s v="424130506351"/>
    <s v=""/>
    <s v=""/>
    <s v=""/>
    <s v=""/>
    <s v=""/>
    <x v="0"/>
    <d v="2017-09-30T00:00:00"/>
    <s v="1706000020"/>
    <d v="2017-09-26T00:00:00"/>
    <s v=""/>
    <s v="1709000141"/>
  </r>
  <r>
    <s v="1709000143"/>
    <d v="2017-09-26T00:00:00"/>
    <d v="2017-09-26T00:00:00"/>
    <s v="DZ"/>
    <s v="USD"/>
    <n v="27769"/>
    <n v="27769"/>
    <s v="BDT"/>
    <s v="EGM2"/>
    <n v="2243735.2000000002"/>
    <s v="CM ADVANCE ADJUSTMENT REF-424130504969"/>
    <s v="0000001010"/>
    <s v="IT06591709260023"/>
    <s v=""/>
    <s v=""/>
    <s v="0"/>
    <s v="424130507742"/>
    <s v=""/>
    <s v=""/>
    <s v=""/>
    <s v=""/>
    <s v=""/>
    <x v="0"/>
    <d v="2017-10-31T00:00:00"/>
    <s v="1706000026"/>
    <d v="2017-09-26T00:00:00"/>
    <s v=""/>
    <s v="1709000143"/>
  </r>
  <r>
    <s v="1709000149"/>
    <d v="2017-09-24T00:00:00"/>
    <d v="2017-09-24T00:00:00"/>
    <s v="DZ"/>
    <s v="USD"/>
    <n v="127676"/>
    <n v="127676"/>
    <s v="BDT"/>
    <s v="EGM1"/>
    <n v="10316220.800000001"/>
    <s v="CM ADVANCE ADJUSTMENT REF-424130501891"/>
    <s v="0000001010"/>
    <s v="E04125US17-1232"/>
    <s v=""/>
    <s v=""/>
    <s v="0"/>
    <s v="424130506422"/>
    <s v=""/>
    <s v=""/>
    <s v=""/>
    <s v=""/>
    <s v=""/>
    <x v="0"/>
    <d v="2017-10-31T00:00:00"/>
    <s v="1706000022"/>
    <d v="2017-09-24T00:00:00"/>
    <s v=""/>
    <s v="1709000149"/>
  </r>
  <r>
    <s v="1709000150"/>
    <d v="2017-10-02T00:00:00"/>
    <d v="2017-10-02T00:00:00"/>
    <s v="DZ"/>
    <s v="USD"/>
    <n v="166670"/>
    <n v="166670"/>
    <s v="BDT"/>
    <s v="EGM1"/>
    <n v="13466936"/>
    <s v="CM ADVANCE ADJUSTMENT REF-424130501891"/>
    <s v="0000001010"/>
    <s v="E03646US17-1186"/>
    <s v=""/>
    <s v=""/>
    <s v="0"/>
    <s v="424130509802"/>
    <s v=""/>
    <s v=""/>
    <s v=""/>
    <s v=""/>
    <s v=""/>
    <x v="0"/>
    <d v="2017-10-31T00:00:00"/>
    <s v="1706000022"/>
    <d v="2017-10-02T00:00:00"/>
    <s v=""/>
    <s v="1709000150"/>
  </r>
  <r>
    <s v="1709000156"/>
    <d v="2017-10-03T00:00:00"/>
    <d v="2017-10-03T00:00:00"/>
    <s v="DZ"/>
    <s v="USD"/>
    <n v="4861"/>
    <n v="4861"/>
    <s v="BDT"/>
    <s v="EGM2"/>
    <n v="392768.8"/>
    <s v="CM ADVANCE ADJUSTMENT REF-424130504969"/>
    <s v="0000001010"/>
    <s v="E23942VF17US0624"/>
    <s v=""/>
    <s v=""/>
    <s v="0"/>
    <s v="424130511103"/>
    <s v=""/>
    <s v=""/>
    <s v=""/>
    <s v=""/>
    <s v=""/>
    <x v="0"/>
    <d v="2017-10-31T00:00:00"/>
    <s v="1706000026"/>
    <d v="2017-10-03T00:00:00"/>
    <s v=""/>
    <s v="1709000156"/>
  </r>
  <r>
    <s v="1709000157"/>
    <d v="2017-10-03T00:00:00"/>
    <d v="2017-10-03T00:00:00"/>
    <s v="DZ"/>
    <s v="USD"/>
    <n v="24692"/>
    <n v="24692"/>
    <s v="BDT"/>
    <s v="EGM2"/>
    <n v="1995113.6"/>
    <s v="CM ADVANCE ADJUSTMENT REF-424130504969"/>
    <s v="0000001010"/>
    <s v="E23955VF17US0468"/>
    <s v=""/>
    <s v=""/>
    <s v="0"/>
    <s v="424130509731"/>
    <s v=""/>
    <s v=""/>
    <s v=""/>
    <s v=""/>
    <s v=""/>
    <x v="0"/>
    <d v="2017-10-31T00:00:00"/>
    <s v="1706000026"/>
    <d v="2017-10-03T00:00:00"/>
    <s v=""/>
    <s v="1709000157"/>
  </r>
  <r>
    <s v="1709000160"/>
    <d v="2017-10-04T00:00:00"/>
    <d v="2017-10-04T00:00:00"/>
    <s v="DZ"/>
    <s v="USD"/>
    <n v="2195"/>
    <n v="2195"/>
    <s v="BDT"/>
    <s v="EGM2"/>
    <n v="177356"/>
    <s v="CM ADVANCE ADJUSTMENT REF-424130504969"/>
    <s v="0000001010"/>
    <s v="E23887DN17IR0632"/>
    <s v=""/>
    <s v=""/>
    <s v="0"/>
    <s v="424130509759"/>
    <s v=""/>
    <s v=""/>
    <s v=""/>
    <s v=""/>
    <s v=""/>
    <x v="0"/>
    <d v="2017-10-31T00:00:00"/>
    <s v="1706000026"/>
    <d v="2017-10-04T00:00:00"/>
    <s v=""/>
    <s v="1709000160"/>
  </r>
  <r>
    <s v="1709000163"/>
    <d v="2017-10-09T00:00:00"/>
    <d v="2017-10-09T00:00:00"/>
    <s v="DZ"/>
    <s v="USD"/>
    <n v="15220"/>
    <n v="15220"/>
    <s v="BDT"/>
    <s v="EGM1"/>
    <n v="1229776"/>
    <s v="CM ADVANCE ADJUSTMENT REF-424130507653"/>
    <s v="0000001010"/>
    <s v="E3848SB17UK1323"/>
    <s v=""/>
    <s v=""/>
    <s v="0"/>
    <s v="424130512442"/>
    <s v=""/>
    <s v=""/>
    <s v=""/>
    <s v=""/>
    <s v=""/>
    <x v="0"/>
    <d v="2017-10-31T00:00:00"/>
    <s v="1706000023"/>
    <d v="2017-10-09T00:00:00"/>
    <s v=""/>
    <s v="1709000163"/>
  </r>
  <r>
    <s v="1709000164"/>
    <d v="2017-10-04T00:00:00"/>
    <d v="2017-10-04T00:00:00"/>
    <s v="DZ"/>
    <s v="USD"/>
    <n v="-121110"/>
    <n v="-121110"/>
    <s v="BDT"/>
    <s v="EGM2"/>
    <n v="-9858354"/>
    <s v="CM ADVANCE RECEIVED REF-424130511372"/>
    <s v="0000001010"/>
    <s v="IT06591710040160"/>
    <s v=""/>
    <s v=""/>
    <s v="0"/>
    <s v="424130511372"/>
    <s v=""/>
    <s v=""/>
    <s v=""/>
    <s v=""/>
    <s v=""/>
    <x v="0"/>
    <d v="2017-10-31T00:00:00"/>
    <s v="1706000024"/>
    <d v="2017-10-04T00:00:00"/>
    <s v=""/>
    <s v="1709000164"/>
  </r>
  <r>
    <s v="1709000165"/>
    <d v="2017-10-04T00:00:00"/>
    <d v="2017-10-04T00:00:00"/>
    <s v="DZ"/>
    <s v="USD"/>
    <n v="-493774"/>
    <n v="-493774"/>
    <s v="BDT"/>
    <s v="EGM1"/>
    <n v="-40193203.600000001"/>
    <s v="CM ADVANCE RECEIVED REF-424130511381"/>
    <s v="0000001010"/>
    <s v="IT06591710040156"/>
    <s v=""/>
    <s v=""/>
    <s v="0"/>
    <s v="424130511381"/>
    <s v=""/>
    <s v=""/>
    <s v=""/>
    <s v=""/>
    <s v=""/>
    <x v="0"/>
    <d v="2017-10-31T00:00:00"/>
    <s v="1706000021"/>
    <d v="2017-10-04T00:00:00"/>
    <s v=""/>
    <s v="1709000165"/>
  </r>
  <r>
    <s v="1709000166"/>
    <d v="2017-10-09T00:00:00"/>
    <d v="2017-10-09T00:00:00"/>
    <s v="DZ"/>
    <s v="USD"/>
    <n v="15238"/>
    <n v="15238"/>
    <s v="BDT"/>
    <s v="EGM2"/>
    <n v="1240373.2"/>
    <s v="CM ADVANCE ADJUSTMENT REF-424130511372"/>
    <s v="0000001010"/>
    <s v="E23956VF17US0621"/>
    <s v=""/>
    <s v=""/>
    <s v="0"/>
    <s v="424130512451"/>
    <s v=""/>
    <s v=""/>
    <s v=""/>
    <s v=""/>
    <s v=""/>
    <x v="0"/>
    <d v="2017-10-31T00:00:00"/>
    <s v="1706000024"/>
    <d v="2017-10-09T00:00:00"/>
    <s v=""/>
    <s v="1709000166"/>
  </r>
  <r>
    <s v="1709000167"/>
    <d v="2017-10-09T00:00:00"/>
    <d v="2017-10-09T00:00:00"/>
    <s v="DZ"/>
    <s v="USD"/>
    <n v="9462"/>
    <n v="9462"/>
    <s v="BDT"/>
    <s v="EGM2"/>
    <n v="764529.6"/>
    <s v="CM ADVANCE ADJUSTMENT REF-424130504969"/>
    <s v="0000001010"/>
    <s v="E23832DN17IR0635"/>
    <s v=""/>
    <s v=""/>
    <s v="0"/>
    <s v="424130512460"/>
    <s v=""/>
    <s v=""/>
    <s v=""/>
    <s v=""/>
    <s v=""/>
    <x v="0"/>
    <d v="2017-10-31T00:00:00"/>
    <s v="1706000026"/>
    <d v="2017-10-09T00:00:00"/>
    <s v=""/>
    <s v="1709000167"/>
  </r>
  <r>
    <s v="1709000169"/>
    <d v="2017-10-10T00:00:00"/>
    <d v="2017-10-10T00:00:00"/>
    <s v="DZ"/>
    <s v="USD"/>
    <n v="90316"/>
    <n v="90316"/>
    <s v="BDT"/>
    <s v="EGM1"/>
    <n v="7297532.7999999998"/>
    <s v="CM ADVANCE ADJUSTMENT REF-424130507653"/>
    <s v="0000001010"/>
    <s v="E02895US17-1312"/>
    <s v=""/>
    <s v=""/>
    <s v="0"/>
    <s v="424130513628"/>
    <s v=""/>
    <s v=""/>
    <s v=""/>
    <s v=""/>
    <s v=""/>
    <x v="0"/>
    <d v="2017-10-31T00:00:00"/>
    <s v="1706000023"/>
    <d v="2017-10-10T00:00:00"/>
    <s v=""/>
    <s v="1709000169"/>
  </r>
  <r>
    <s v="1709000172"/>
    <d v="2017-10-12T00:00:00"/>
    <d v="2017-10-12T00:00:00"/>
    <s v="DZ"/>
    <s v="USD"/>
    <n v="117846"/>
    <n v="117846"/>
    <s v="BDT"/>
    <s v="EGM1"/>
    <n v="9592664.4000000004"/>
    <s v="CM ADVANCE ADJUSTMENT REF-424130511381"/>
    <s v="0000001010"/>
    <s v="E04050US17-1330"/>
    <s v=""/>
    <s v=""/>
    <s v="0"/>
    <s v="424130514958"/>
    <s v=""/>
    <s v=""/>
    <s v=""/>
    <s v=""/>
    <s v=""/>
    <x v="0"/>
    <d v="2017-10-31T00:00:00"/>
    <s v="1706000021"/>
    <d v="2017-10-12T00:00:00"/>
    <s v=""/>
    <s v="1709000172"/>
  </r>
  <r>
    <s v="1709000172"/>
    <d v="2017-10-12T00:00:00"/>
    <d v="2017-10-12T00:00:00"/>
    <s v="DZ"/>
    <s v="USD"/>
    <n v="52732"/>
    <n v="52732"/>
    <s v="BDT"/>
    <s v="EGM1"/>
    <n v="4260745.5999999996"/>
    <s v="CM ADVANCE ADJUSTMENT REF-424130507653"/>
    <s v="0000001010"/>
    <s v="E04050US17-1330"/>
    <s v=""/>
    <s v=""/>
    <s v="0"/>
    <s v="424130514958"/>
    <s v=""/>
    <s v=""/>
    <s v=""/>
    <s v=""/>
    <s v=""/>
    <x v="0"/>
    <d v="2017-10-31T00:00:00"/>
    <s v="1706000023"/>
    <d v="2017-10-12T00:00:00"/>
    <s v=""/>
    <s v="1709000172"/>
  </r>
  <r>
    <s v="1709000173"/>
    <d v="2017-10-12T00:00:00"/>
    <d v="2017-10-12T00:00:00"/>
    <s v="DZ"/>
    <s v="USD"/>
    <n v="46201"/>
    <n v="46201"/>
    <s v="BDT"/>
    <s v="EGM1"/>
    <n v="3733040.8"/>
    <s v="CM ADVANCE ADJUSTMENT REF-424130507653"/>
    <s v="0000001010"/>
    <s v="E04068US17-1307"/>
    <s v=""/>
    <s v=""/>
    <s v="0"/>
    <s v="424130514967"/>
    <s v=""/>
    <s v=""/>
    <s v=""/>
    <s v=""/>
    <s v=""/>
    <x v="0"/>
    <d v="2017-10-31T00:00:00"/>
    <s v="1706000023"/>
    <d v="2017-10-12T00:00:00"/>
    <s v=""/>
    <s v="1709000173"/>
  </r>
  <r>
    <s v="1709000174"/>
    <d v="2017-10-12T00:00:00"/>
    <d v="2017-10-12T00:00:00"/>
    <s v="DZ"/>
    <s v="USD"/>
    <n v="6328"/>
    <n v="6328"/>
    <s v="BDT"/>
    <s v="EGM1"/>
    <n v="511302.40000000002"/>
    <s v="CM ADVANCE ADJUSTMENT REF-424130507653"/>
    <s v="0000001010"/>
    <s v="E4046SB17UK1347"/>
    <s v=""/>
    <s v=""/>
    <s v="0"/>
    <s v="424130514921"/>
    <s v=""/>
    <s v=""/>
    <s v=""/>
    <s v=""/>
    <s v=""/>
    <x v="0"/>
    <d v="2017-10-31T00:00:00"/>
    <s v="1706000023"/>
    <d v="2017-10-12T00:00:00"/>
    <s v=""/>
    <s v="1709000174"/>
  </r>
  <r>
    <s v="1709000175"/>
    <d v="2017-10-12T00:00:00"/>
    <d v="2017-10-12T00:00:00"/>
    <s v="DZ"/>
    <s v="USD"/>
    <n v="32990"/>
    <n v="32990"/>
    <s v="BDT"/>
    <s v="EGM1"/>
    <n v="2685386"/>
    <s v="CM ADVANCE ADJUSTMENT REF-424130511381"/>
    <s v="0000001010"/>
    <s v="E33692TC17US1357"/>
    <s v=""/>
    <s v=""/>
    <s v="0"/>
    <s v="424130514930"/>
    <s v=""/>
    <s v=""/>
    <s v=""/>
    <s v=""/>
    <s v=""/>
    <x v="0"/>
    <d v="2017-10-31T00:00:00"/>
    <s v="1706000021"/>
    <d v="2017-10-12T00:00:00"/>
    <s v=""/>
    <s v="1709000175"/>
  </r>
  <r>
    <s v="1709000177"/>
    <d v="2017-09-30T00:00:00"/>
    <d v="2017-09-30T00:00:00"/>
    <s v="DZ"/>
    <s v="USD"/>
    <n v="198396"/>
    <n v="198396"/>
    <s v="BDT"/>
    <s v="EGM1"/>
    <n v="16010557.199999999"/>
    <s v="FIT-CM ADV-SEP'17"/>
    <s v="0000001010"/>
    <s v="FIT-CM ADV-SEP17"/>
    <s v=""/>
    <s v=""/>
    <s v="0"/>
    <s v="FIT-CM ADV-SEP'17"/>
    <s v=""/>
    <s v=""/>
    <s v=""/>
    <s v=""/>
    <s v=""/>
    <x v="0"/>
    <d v="2017-09-30T00:00:00"/>
    <s v="1703004772"/>
    <d v="2017-09-30T00:00:00"/>
    <s v=""/>
    <s v="1709000177"/>
  </r>
  <r>
    <s v="1709000179"/>
    <d v="2017-09-30T00:00:00"/>
    <d v="2017-09-30T00:00:00"/>
    <s v="DZ"/>
    <s v="USD"/>
    <n v="198418"/>
    <n v="198418"/>
    <s v="BDT"/>
    <s v="EGM1"/>
    <n v="16012332.6"/>
    <s v="FIT-CM ADV-SEP'17"/>
    <s v="0000001010"/>
    <s v="FIT-CM ADV-SEP17"/>
    <s v=""/>
    <s v=""/>
    <s v="0"/>
    <s v="FIT-CM ADV-SEP'17"/>
    <s v=""/>
    <s v=""/>
    <s v=""/>
    <s v=""/>
    <s v=""/>
    <x v="0"/>
    <d v="2017-10-01T00:00:00"/>
    <s v="1703005670"/>
    <d v="2017-09-30T00:00:00"/>
    <s v=""/>
    <s v="1709000179"/>
  </r>
  <r>
    <s v="1709000180"/>
    <d v="2017-10-16T00:00:00"/>
    <d v="2017-10-16T00:00:00"/>
    <s v="DZ"/>
    <s v="USD"/>
    <n v="1197"/>
    <n v="1197"/>
    <s v="BDT"/>
    <s v="EGM2"/>
    <n v="97435.8"/>
    <s v="CM ADVANCE ADJUST, REF-424130511372"/>
    <s v="0000001010"/>
    <s v="E23832DN17IR0634"/>
    <s v=""/>
    <s v=""/>
    <s v="0"/>
    <s v="424130514903"/>
    <s v=""/>
    <s v=""/>
    <s v=""/>
    <s v=""/>
    <s v=""/>
    <x v="0"/>
    <d v="2017-10-31T00:00:00"/>
    <s v="1706000024"/>
    <d v="2017-10-16T00:00:00"/>
    <s v=""/>
    <s v="1709000180"/>
  </r>
  <r>
    <s v="1709000181"/>
    <d v="2017-10-16T00:00:00"/>
    <d v="2017-10-16T00:00:00"/>
    <s v="DZ"/>
    <s v="USD"/>
    <n v="6297"/>
    <n v="6297"/>
    <s v="BDT"/>
    <s v="EGM2"/>
    <n v="512575.8"/>
    <s v="CM ADVANCE ADJUST, REF-424130511372"/>
    <s v="0000001010"/>
    <s v="E23815AC17KT0648"/>
    <s v=""/>
    <s v=""/>
    <s v="0"/>
    <s v="424130516288"/>
    <s v=""/>
    <s v=""/>
    <s v=""/>
    <s v=""/>
    <s v=""/>
    <x v="0"/>
    <d v="2017-10-31T00:00:00"/>
    <s v="1706000024"/>
    <d v="2017-10-16T00:00:00"/>
    <s v=""/>
    <s v="1709000181"/>
  </r>
  <r>
    <s v="1709000182"/>
    <d v="2017-10-18T00:00:00"/>
    <d v="2017-10-18T00:00:00"/>
    <s v="DZ"/>
    <s v="USD"/>
    <n v="-32967"/>
    <n v="-32967"/>
    <s v="BDT"/>
    <s v="EGM2"/>
    <n v="-2683513.7999999998"/>
    <s v="CM ADVANCE RECEIVED, REF-424130518017"/>
    <s v="0000001010"/>
    <s v="IT06591710180007"/>
    <s v=""/>
    <s v=""/>
    <s v="0"/>
    <s v="424130518017"/>
    <s v=""/>
    <s v=""/>
    <s v=""/>
    <s v=""/>
    <s v=""/>
    <x v="0"/>
    <d v="2017-10-31T00:00:00"/>
    <s v="1706000025"/>
    <d v="2017-10-18T00:00:00"/>
    <s v=""/>
    <s v="1709000182"/>
  </r>
  <r>
    <s v="1709000183"/>
    <d v="2017-10-16T00:00:00"/>
    <d v="2017-10-16T00:00:00"/>
    <s v="DZ"/>
    <s v="USD"/>
    <n v="6377"/>
    <n v="6377"/>
    <s v="BDT"/>
    <s v="EGM2"/>
    <n v="519087.8"/>
    <s v="CM ADVANCE ADJUST, REF-424130518017"/>
    <s v="0000001010"/>
    <s v="E23993VF17US0438"/>
    <s v=""/>
    <s v=""/>
    <s v="0"/>
    <s v="424130519347"/>
    <s v=""/>
    <s v=""/>
    <s v=""/>
    <s v=""/>
    <s v=""/>
    <x v="0"/>
    <d v="2017-10-31T00:00:00"/>
    <s v="1706000025"/>
    <d v="2017-10-18T00:00:00"/>
    <s v=""/>
    <s v="1709000183"/>
  </r>
  <r>
    <s v="1709000184"/>
    <d v="2017-10-22T00:00:00"/>
    <d v="2017-10-22T00:00:00"/>
    <s v="DZ"/>
    <s v="USD"/>
    <n v="7239"/>
    <n v="7239"/>
    <s v="BDT"/>
    <s v="EGM2"/>
    <n v="589254.6"/>
    <s v="CM ADVANCE ADJUST, REF-424130518017"/>
    <s v="0000001010"/>
    <s v="E23832DN17IR0663"/>
    <s v=""/>
    <s v=""/>
    <s v="0"/>
    <s v="424130519365"/>
    <s v=""/>
    <s v=""/>
    <s v=""/>
    <s v=""/>
    <s v=""/>
    <x v="0"/>
    <d v="2017-10-31T00:00:00"/>
    <s v="1706000025"/>
    <d v="2017-10-22T00:00:00"/>
    <s v=""/>
    <s v="1709000184"/>
  </r>
  <r>
    <s v="1709000185"/>
    <d v="2017-10-22T00:00:00"/>
    <d v="2017-10-22T00:00:00"/>
    <s v="DZ"/>
    <s v="USD"/>
    <n v="6150"/>
    <n v="6150"/>
    <s v="BDT"/>
    <s v="EGM2"/>
    <n v="496920"/>
    <s v="CM ADVANCE ADJUST, REF-424130504969"/>
    <s v="0000001010"/>
    <s v="IT06591710160111"/>
    <s v=""/>
    <s v=""/>
    <s v="0"/>
    <s v="424130519338"/>
    <s v=""/>
    <s v=""/>
    <s v=""/>
    <s v=""/>
    <s v=""/>
    <x v="0"/>
    <d v="2017-10-31T00:00:00"/>
    <s v="1706000026"/>
    <d v="2017-10-22T00:00:00"/>
    <s v=""/>
    <s v="1709000185"/>
  </r>
  <r>
    <s v="1709000186"/>
    <d v="2017-10-17T00:00:00"/>
    <d v="2017-10-17T00:00:00"/>
    <s v="DZ"/>
    <s v="USD"/>
    <n v="88183"/>
    <n v="88183"/>
    <s v="BDT"/>
    <s v="EGM1"/>
    <n v="7178096.2000000002"/>
    <s v="CM ADVANCE ADJUST, REF-424130511381"/>
    <s v="0000001010"/>
    <s v="E03981US17-1305"/>
    <s v=""/>
    <s v=""/>
    <s v="0"/>
    <s v="424130516634"/>
    <s v=""/>
    <s v=""/>
    <s v=""/>
    <s v=""/>
    <s v=""/>
    <x v="0"/>
    <d v="2017-10-31T00:00:00"/>
    <s v="1706000021"/>
    <d v="2017-10-17T00:00:00"/>
    <s v=""/>
    <s v="1709000186"/>
  </r>
  <r>
    <s v="1709000187"/>
    <d v="2017-10-17T00:00:00"/>
    <d v="2017-10-17T00:00:00"/>
    <s v="DZ"/>
    <s v="USD"/>
    <n v="254755"/>
    <n v="254755"/>
    <s v="BDT"/>
    <s v="EGM1"/>
    <n v="20737057"/>
    <s v="CM ADVANCE ADJUST, REF-424130511381"/>
    <s v="0000001010"/>
    <s v="E03818US17-1353"/>
    <s v=""/>
    <s v=""/>
    <s v="0"/>
    <s v="424130516643"/>
    <s v=""/>
    <s v=""/>
    <s v=""/>
    <s v=""/>
    <s v=""/>
    <x v="0"/>
    <d v="2017-10-31T00:00:00"/>
    <s v="1706000021"/>
    <d v="2017-10-17T00:00:00"/>
    <s v=""/>
    <s v="1709000187"/>
  </r>
  <r>
    <s v="1709000196"/>
    <d v="2017-10-25T00:00:00"/>
    <d v="2017-10-25T00:00:00"/>
    <s v="DZ"/>
    <s v="USD"/>
    <n v="-34293"/>
    <n v="-34293"/>
    <s v="BDT"/>
    <s v="EGM2"/>
    <n v="-2791450.2"/>
    <s v="CM ADVANCE RECEIVED, REF-424130522155"/>
    <s v="0000001010"/>
    <s v="IT06591710250015"/>
    <s v=""/>
    <s v=""/>
    <s v="0"/>
    <s v="424130522155"/>
    <s v=""/>
    <s v=""/>
    <s v=""/>
    <s v=""/>
    <s v=""/>
    <x v="0"/>
    <d v="2017-11-05T00:00:00"/>
    <s v="1706000027"/>
    <d v="2017-10-25T00:00:00"/>
    <s v=""/>
    <s v="1709000196"/>
  </r>
  <r>
    <s v="1709000200"/>
    <d v="2017-10-15T00:00:00"/>
    <d v="2017-10-15T00:00:00"/>
    <s v="DZ"/>
    <s v="USD"/>
    <n v="98378"/>
    <n v="98378"/>
    <s v="BDT"/>
    <s v="EGM2"/>
    <n v="8007969.2000000002"/>
    <s v="CM ADVANCE ADJUST, REF-424130511372"/>
    <s v="0000001010"/>
    <s v="E24030VF17US0622"/>
    <s v=""/>
    <s v=""/>
    <s v="0"/>
    <s v="424130515546"/>
    <s v=""/>
    <s v=""/>
    <s v=""/>
    <s v=""/>
    <s v=""/>
    <x v="0"/>
    <d v="2017-10-31T00:00:00"/>
    <s v="1706000024"/>
    <d v="2017-10-15T00:00:00"/>
    <s v=""/>
    <s v="1709000200"/>
  </r>
  <r>
    <s v="1709000206"/>
    <d v="2017-10-30T00:00:00"/>
    <d v="2017-10-30T00:00:00"/>
    <s v="DZ"/>
    <s v="USD"/>
    <n v="19358"/>
    <n v="19358"/>
    <s v="BDT"/>
    <s v="EGM2"/>
    <n v="1575741.2"/>
    <s v="CM ADVANCE ADJUST, REF-424130522155"/>
    <s v="0000001010"/>
    <s v="E24104VF17US0664"/>
    <s v=""/>
    <s v=""/>
    <s v="0"/>
    <s v="424130523494"/>
    <s v=""/>
    <s v=""/>
    <s v=""/>
    <s v=""/>
    <s v=""/>
    <x v="0"/>
    <d v="2017-11-05T00:00:00"/>
    <s v="1706000027"/>
    <d v="2017-10-30T00:00:00"/>
    <s v=""/>
    <s v="1709000206"/>
  </r>
  <r>
    <s v="1709000206"/>
    <d v="2017-10-30T00:00:00"/>
    <d v="2017-10-30T00:00:00"/>
    <s v="DZ"/>
    <s v="USD"/>
    <n v="19351"/>
    <n v="19351"/>
    <s v="BDT"/>
    <s v="EGM2"/>
    <n v="1575171.4"/>
    <s v="CM ADVANCE ADJUST, REF-424130518017"/>
    <s v="0000001010"/>
    <s v="E24104VF17US0664"/>
    <s v=""/>
    <s v=""/>
    <s v="0"/>
    <s v="424130523494"/>
    <s v=""/>
    <s v=""/>
    <s v=""/>
    <s v=""/>
    <s v=""/>
    <x v="0"/>
    <d v="2017-10-31T00:00:00"/>
    <s v="1706000025"/>
    <d v="2017-10-30T00:00:00"/>
    <s v=""/>
    <s v="1709000206"/>
  </r>
  <r>
    <s v="1709000209"/>
    <d v="2017-11-02T00:00:00"/>
    <d v="2017-11-02T00:00:00"/>
    <s v="DZ"/>
    <s v="USD"/>
    <n v="-37248"/>
    <n v="-37248"/>
    <s v="BDT"/>
    <s v="EGM2"/>
    <n v="-3060668.16"/>
    <s v="CM ADVANCE RECEIVED REF-424130525376"/>
    <s v="0000001010"/>
    <s v="IT06591711020063"/>
    <s v=""/>
    <s v=""/>
    <s v="0"/>
    <s v="424130525376"/>
    <s v=""/>
    <s v=""/>
    <s v=""/>
    <s v=""/>
    <s v=""/>
    <x v="0"/>
    <d v="2017-11-09T00:00:00"/>
    <s v="1706000028"/>
    <d v="2017-11-02T00:00:00"/>
    <s v=""/>
    <s v="1709000209"/>
  </r>
  <r>
    <s v="1709000210"/>
    <d v="2017-11-05T00:00:00"/>
    <d v="2017-11-05T00:00:00"/>
    <s v="DZ"/>
    <s v="USD"/>
    <n v="-358215"/>
    <n v="-358215"/>
    <s v="BDT"/>
    <s v="EGM1"/>
    <n v="-29434526.550000001"/>
    <s v="CM ADVANCE RECEIVED REF-424130525866"/>
    <s v="0000001010"/>
    <s v="IT06591711040003"/>
    <s v=""/>
    <s v=""/>
    <s v="0"/>
    <s v="424130525866"/>
    <s v=""/>
    <s v=""/>
    <s v=""/>
    <s v=""/>
    <s v=""/>
    <x v="0"/>
    <d v="2017-11-20T00:00:00"/>
    <s v="1706000029"/>
    <d v="2017-11-05T00:00:00"/>
    <s v=""/>
    <s v="1709000210"/>
  </r>
  <r>
    <s v="1709000212"/>
    <d v="2017-11-05T00:00:00"/>
    <d v="2017-11-05T00:00:00"/>
    <s v="DZ"/>
    <s v="USD"/>
    <n v="14935"/>
    <n v="14935"/>
    <s v="BDT"/>
    <s v="EGM2"/>
    <n v="1215709"/>
    <s v="CM ADVANCE ADJUST REF-424130522155"/>
    <s v="0000001010"/>
    <s v="E24028VF17US0666"/>
    <s v=""/>
    <s v=""/>
    <s v="0"/>
    <s v="424130525875"/>
    <s v=""/>
    <s v=""/>
    <s v=""/>
    <s v=""/>
    <s v=""/>
    <x v="0"/>
    <d v="2017-11-05T00:00:00"/>
    <s v="1706000027"/>
    <d v="2017-11-05T00:00:00"/>
    <s v=""/>
    <s v="1709000212"/>
  </r>
  <r>
    <s v="1709000214"/>
    <d v="2017-11-08T00:00:00"/>
    <d v="2017-11-08T00:00:00"/>
    <s v="DZ"/>
    <s v="USD"/>
    <n v="18212"/>
    <n v="18212"/>
    <s v="BDT"/>
    <s v="EGM2"/>
    <n v="1496480.04"/>
    <s v="CM ADVANCE ADJUST REF-424130525376"/>
    <s v="0000001010"/>
    <s v="E24106VF17US0669"/>
    <s v=""/>
    <s v=""/>
    <s v="0"/>
    <s v="424130527267"/>
    <s v=""/>
    <s v=""/>
    <s v=""/>
    <s v=""/>
    <s v=""/>
    <x v="0"/>
    <d v="2017-11-09T00:00:00"/>
    <s v="1706000028"/>
    <d v="2017-11-08T00:00:00"/>
    <s v=""/>
    <s v="1709000214"/>
  </r>
  <r>
    <s v="1709000215"/>
    <d v="2017-11-09T00:00:00"/>
    <d v="2017-11-09T00:00:00"/>
    <s v="DZ"/>
    <s v="USD"/>
    <n v="8205"/>
    <n v="8205"/>
    <s v="BDT"/>
    <s v="EGM1"/>
    <n v="674204.85"/>
    <s v="CM ADVANCE ADJUST REF-424130525866"/>
    <s v="0000001010"/>
    <s v="E34147TC17US1457"/>
    <s v=""/>
    <s v=""/>
    <s v="0"/>
    <s v="424130528239"/>
    <s v=""/>
    <s v=""/>
    <s v=""/>
    <s v=""/>
    <s v=""/>
    <x v="0"/>
    <d v="2017-11-20T00:00:00"/>
    <s v="1706000029"/>
    <d v="2017-11-09T00:00:00"/>
    <s v=""/>
    <s v="1709000215"/>
  </r>
  <r>
    <s v="1709000216"/>
    <d v="2017-11-09T00:00:00"/>
    <d v="2017-11-09T00:00:00"/>
    <s v="DZ"/>
    <s v="USD"/>
    <n v="93850"/>
    <n v="93850"/>
    <s v="BDT"/>
    <s v="EGM1"/>
    <n v="7711654.5"/>
    <s v="CM ADVANCE ADJUST REF-424130525866"/>
    <s v="0000001010"/>
    <s v="E04287US17-1470"/>
    <s v=""/>
    <s v=""/>
    <s v="0"/>
    <s v="424130528202"/>
    <s v=""/>
    <s v=""/>
    <s v=""/>
    <s v=""/>
    <s v=""/>
    <x v="0"/>
    <d v="2017-11-20T00:00:00"/>
    <s v="1706000029"/>
    <d v="2017-11-09T00:00:00"/>
    <s v=""/>
    <s v="1709000216"/>
  </r>
  <r>
    <s v="1709000217"/>
    <d v="2017-11-09T00:00:00"/>
    <d v="2017-11-09T00:00:00"/>
    <s v="DZ"/>
    <s v="USD"/>
    <n v="19036"/>
    <n v="19036"/>
    <s v="BDT"/>
    <s v="EGM2"/>
    <n v="1564188.12"/>
    <s v="CM ADVANCE ADJUST REF-424130525376"/>
    <s v="0000001010"/>
    <s v="E24083VF17US0641"/>
    <s v=""/>
    <s v=""/>
    <s v="0"/>
    <s v="424130528211"/>
    <s v=""/>
    <s v=""/>
    <s v=""/>
    <s v=""/>
    <s v=""/>
    <x v="0"/>
    <d v="2017-11-09T00:00:00"/>
    <s v="1706000028"/>
    <d v="2017-11-09T00:00:00"/>
    <s v=""/>
    <s v="1709000217"/>
  </r>
  <r>
    <s v="1709000219"/>
    <d v="2017-11-13T00:00:00"/>
    <d v="2017-11-13T00:00:00"/>
    <s v="DZ"/>
    <s v="USD"/>
    <n v="10762"/>
    <n v="10762"/>
    <s v="BDT"/>
    <s v="EGM1"/>
    <n v="884313.54"/>
    <s v="CM ADVANCE ADJUST REF-424130525866"/>
    <s v="0000001010"/>
    <s v="E4110SB17UK1454"/>
    <s v=""/>
    <s v=""/>
    <s v="0"/>
    <s v="424130529791"/>
    <s v=""/>
    <s v=""/>
    <s v=""/>
    <s v=""/>
    <s v=""/>
    <x v="0"/>
    <d v="2017-11-20T00:00:00"/>
    <s v="1706000029"/>
    <d v="2017-11-13T00:00:00"/>
    <s v=""/>
    <s v="1709000219"/>
  </r>
  <r>
    <s v="1709000221"/>
    <d v="2017-11-20T00:00:00"/>
    <d v="2017-11-20T00:00:00"/>
    <s v="DZ"/>
    <s v="USD"/>
    <n v="47639"/>
    <n v="47639"/>
    <s v="BDT"/>
    <s v="EGM1"/>
    <n v="3914496.63"/>
    <s v="CM ADVANCE ADJUST REF-424130525866"/>
    <s v="0000001010"/>
    <s v="E04070US17-1390"/>
    <s v=""/>
    <s v=""/>
    <s v="0"/>
    <s v="424130532607"/>
    <s v=""/>
    <s v=""/>
    <s v=""/>
    <s v=""/>
    <s v=""/>
    <x v="0"/>
    <d v="2017-11-20T00:00:00"/>
    <s v="1706000029"/>
    <d v="2017-11-20T00:00:00"/>
    <s v=""/>
    <s v="1709000221"/>
  </r>
  <r>
    <s v="1709000230"/>
    <d v="2017-11-22T00:00:00"/>
    <d v="2017-11-22T00:00:00"/>
    <s v="DZ"/>
    <s v="USD"/>
    <n v="-112335"/>
    <n v="-112335"/>
    <s v="BDT"/>
    <s v="EGM2"/>
    <n v="-9230566.9499999993"/>
    <s v="CM ADVANCE RECEIVED REF-424130534589"/>
    <s v="0000001010"/>
    <s v="IT06591711210191"/>
    <s v=""/>
    <s v=""/>
    <s v="0"/>
    <s v="424130534589"/>
    <s v=""/>
    <s v=""/>
    <s v=""/>
    <s v=""/>
    <s v=""/>
    <x v="0"/>
    <d v="2017-12-03T00:00:00"/>
    <s v="1706000031"/>
    <d v="2017-11-22T00:00:00"/>
    <s v=""/>
    <s v="1709000230"/>
  </r>
  <r>
    <s v="1709000233"/>
    <d v="2017-11-15T00:00:00"/>
    <d v="2017-11-15T00:00:00"/>
    <s v="DZ"/>
    <s v="USD"/>
    <n v="12824"/>
    <n v="12824"/>
    <s v="BDT"/>
    <s v="EGM1"/>
    <n v="1053748.08"/>
    <s v="CM ADVANCE RECEIVED REF-424130525866"/>
    <s v="0000001010"/>
    <s v="E34144TC17CA1495"/>
    <s v=""/>
    <s v=""/>
    <s v="0"/>
    <s v="424130530878"/>
    <s v=""/>
    <s v=""/>
    <s v=""/>
    <s v=""/>
    <s v=""/>
    <x v="0"/>
    <d v="2017-11-20T00:00:00"/>
    <s v="1706000029"/>
    <d v="2017-11-15T00:00:00"/>
    <s v=""/>
    <s v="1709000233"/>
  </r>
  <r>
    <s v="1709000234"/>
    <d v="2017-11-16T00:00:00"/>
    <d v="2017-11-16T00:00:00"/>
    <s v="DZ"/>
    <s v="USD"/>
    <n v="8553"/>
    <n v="8553"/>
    <s v="BDT"/>
    <s v="EGM1"/>
    <n v="702800.01"/>
    <s v="CM ADVANCE RECEIVED REF-424130525866"/>
    <s v="0000001010"/>
    <s v="E3971SB17UK1505"/>
    <s v=""/>
    <s v=""/>
    <s v="0"/>
    <s v="424130531715"/>
    <s v=""/>
    <s v=""/>
    <s v=""/>
    <s v=""/>
    <s v=""/>
    <x v="0"/>
    <d v="2017-11-20T00:00:00"/>
    <s v="1706000029"/>
    <d v="2017-11-16T00:00:00"/>
    <s v=""/>
    <s v="1709000234"/>
  </r>
  <r>
    <s v="1709000235"/>
    <d v="2017-11-09T00:00:00"/>
    <d v="2017-11-09T00:00:00"/>
    <s v="DZ"/>
    <s v="USD"/>
    <n v="60345"/>
    <n v="60345"/>
    <s v="BDT"/>
    <s v="EGM1"/>
    <n v="4958548.6500000004"/>
    <s v="CM ADVANCE ADJUST REF-424130525866"/>
    <s v="0000001010"/>
    <s v="E04013US17-1428"/>
    <s v=""/>
    <s v=""/>
    <s v="0"/>
    <s v="424130528220"/>
    <s v=""/>
    <s v=""/>
    <s v=""/>
    <s v=""/>
    <s v=""/>
    <x v="0"/>
    <d v="2017-11-20T00:00:00"/>
    <s v="1706000029"/>
    <d v="2017-11-09T00:00:00"/>
    <s v=""/>
    <s v="1709000235"/>
  </r>
  <r>
    <s v="1709000236"/>
    <d v="2017-11-13T00:00:00"/>
    <d v="2017-11-13T00:00:00"/>
    <s v="DZ"/>
    <s v="USD"/>
    <n v="116037"/>
    <n v="116037"/>
    <s v="BDT"/>
    <s v="EGM1"/>
    <n v="9534760.2899999991"/>
    <s v="CM ADVANCE ADJUST REF-424130525866"/>
    <s v="0000001010"/>
    <s v="E04080US17-1461"/>
    <s v=""/>
    <s v=""/>
    <s v="0"/>
    <s v="424130529782"/>
    <s v=""/>
    <s v=""/>
    <s v=""/>
    <s v=""/>
    <s v=""/>
    <x v="0"/>
    <d v="2017-11-20T00:00:00"/>
    <s v="1706000029"/>
    <d v="2017-11-13T00:00:00"/>
    <s v=""/>
    <s v="1709000236"/>
  </r>
  <r>
    <s v="1709000238"/>
    <d v="2017-11-28T00:00:00"/>
    <d v="2017-11-28T00:00:00"/>
    <s v="DZ"/>
    <s v="USD"/>
    <n v="18776"/>
    <n v="18776"/>
    <s v="BDT"/>
    <s v="EGM2"/>
    <n v="1542823.92"/>
    <s v="CM ADVANCE ADJUST REF-424130534589"/>
    <s v="0000001010"/>
    <s v="E24053AC17KT0671"/>
    <s v=""/>
    <s v=""/>
    <s v="0"/>
    <s v="424130536596"/>
    <s v=""/>
    <s v=""/>
    <s v=""/>
    <s v=""/>
    <s v=""/>
    <x v="0"/>
    <d v="2017-12-03T00:00:00"/>
    <s v="1706000031"/>
    <d v="2017-11-28T00:00:00"/>
    <s v=""/>
    <s v="1709000238"/>
  </r>
  <r>
    <s v="1709000239"/>
    <d v="2017-11-28T00:00:00"/>
    <d v="2017-11-28T00:00:00"/>
    <s v="DZ"/>
    <s v="USD"/>
    <n v="49476"/>
    <n v="49476"/>
    <s v="BDT"/>
    <s v="EGM2"/>
    <n v="4065442.92"/>
    <s v="CM ADVANCE ADJUST REF-424130534589"/>
    <s v="0000001010"/>
    <s v="E24143VF17US0661"/>
    <s v=""/>
    <s v=""/>
    <s v="0"/>
    <s v="424130536603"/>
    <s v=""/>
    <s v=""/>
    <s v=""/>
    <s v=""/>
    <s v=""/>
    <x v="0"/>
    <d v="2017-12-03T00:00:00"/>
    <s v="1706000031"/>
    <d v="2017-11-28T00:00:00"/>
    <s v=""/>
    <s v="1709000239"/>
  </r>
  <r>
    <s v="1709000241"/>
    <d v="2017-11-29T00:00:00"/>
    <d v="2017-11-29T00:00:00"/>
    <s v="DZ"/>
    <s v="USD"/>
    <n v="2429"/>
    <n v="2429"/>
    <s v="BDT"/>
    <s v="EGM2"/>
    <n v="199590.93"/>
    <s v="CM ADVANCE ADJUST REF-424130534589"/>
    <s v="0000001010"/>
    <s v="E23805VF17US0491"/>
    <s v=""/>
    <s v=""/>
    <s v="0"/>
    <s v="424130536916"/>
    <s v=""/>
    <s v=""/>
    <s v=""/>
    <s v=""/>
    <s v=""/>
    <x v="0"/>
    <d v="2017-12-03T00:00:00"/>
    <s v="1706000031"/>
    <d v="2017-11-29T00:00:00"/>
    <s v=""/>
    <s v="1709000241"/>
  </r>
  <r>
    <s v="1709000242"/>
    <d v="2017-11-29T00:00:00"/>
    <d v="2017-11-29T00:00:00"/>
    <s v="DZ"/>
    <s v="USD"/>
    <n v="-192273"/>
    <n v="-192273"/>
    <s v="BDT"/>
    <s v="EGM2"/>
    <n v="-15799072.41"/>
    <s v="CM ADVANCE RECEIVED REF-424130536907"/>
    <s v="0000001010"/>
    <s v="IT06591711290013"/>
    <s v=""/>
    <s v=""/>
    <s v="0"/>
    <s v="424130536907"/>
    <s v=""/>
    <s v=""/>
    <s v=""/>
    <s v=""/>
    <s v=""/>
    <x v="0"/>
    <d v="2017-12-13T00:00:00"/>
    <s v="1706000032"/>
    <d v="2017-11-29T00:00:00"/>
    <s v=""/>
    <s v="1709000242"/>
  </r>
  <r>
    <s v="1709000243"/>
    <d v="2017-12-03T00:00:00"/>
    <d v="2017-12-03T00:00:00"/>
    <s v="DZ"/>
    <s v="USD"/>
    <n v="28390"/>
    <n v="28390"/>
    <s v="BDT"/>
    <s v="EGM2"/>
    <n v="2332806.2999999998"/>
    <s v="CM ADVANCE ADJUST REF-424130534589"/>
    <s v="0000001010"/>
    <s v="E24075VF17US0683"/>
    <s v=""/>
    <s v=""/>
    <s v="0"/>
    <s v="424130537844"/>
    <s v=""/>
    <s v=""/>
    <s v=""/>
    <s v=""/>
    <s v=""/>
    <x v="0"/>
    <d v="2017-12-03T00:00:00"/>
    <s v="1706000031"/>
    <d v="2017-12-03T00:00:00"/>
    <s v=""/>
    <s v="1709000243"/>
  </r>
  <r>
    <s v="1709000250"/>
    <d v="2017-12-05T00:00:00"/>
    <d v="2017-12-05T00:00:00"/>
    <s v="DZ"/>
    <s v="USD"/>
    <n v="-621713"/>
    <n v="-621713"/>
    <s v="BDT"/>
    <s v="EGM1"/>
    <n v="-50949380.350000001"/>
    <s v="CM ADVANCE RECEIVED REF-424130539496"/>
    <s v="0000001010"/>
    <s v="IT06591712040187"/>
    <s v=""/>
    <s v=""/>
    <s v="0"/>
    <s v="424130539496"/>
    <s v=""/>
    <s v=""/>
    <s v=""/>
    <s v=""/>
    <s v=""/>
    <x v="0"/>
    <d v="2017-12-21T00:00:00"/>
    <s v="1706000030"/>
    <d v="2017-12-05T00:00:00"/>
    <s v=""/>
    <s v="1709000250"/>
  </r>
  <r>
    <s v="1709000251"/>
    <d v="2017-12-06T00:00:00"/>
    <d v="2017-12-06T00:00:00"/>
    <s v="DZ"/>
    <s v="USD"/>
    <n v="24094"/>
    <n v="24094"/>
    <s v="BDT"/>
    <s v="EGM2"/>
    <n v="1979803.98"/>
    <s v="CM ADVANCE ADJUST REF-424130536907"/>
    <s v="0000001010"/>
    <s v="E24053AC17KT0691"/>
    <s v=""/>
    <s v=""/>
    <s v="0"/>
    <s v="424130540466"/>
    <s v=""/>
    <s v=""/>
    <s v=""/>
    <s v=""/>
    <s v=""/>
    <x v="0"/>
    <d v="2017-12-13T00:00:00"/>
    <s v="1706000032"/>
    <d v="2017-12-06T00:00:00"/>
    <s v=""/>
    <s v="1709000251"/>
  </r>
  <r>
    <s v="1709000252"/>
    <d v="2017-12-06T00:00:00"/>
    <d v="2017-12-06T00:00:00"/>
    <s v="DZ"/>
    <s v="USD"/>
    <n v="7508"/>
    <n v="7508"/>
    <s v="BDT"/>
    <s v="EGM2"/>
    <n v="616932.36"/>
    <s v="CM ADVANCE ADJUST REF-424130536907"/>
    <s v="0000001010"/>
    <s v="E23942VF17US0686"/>
    <s v=""/>
    <s v=""/>
    <s v="0"/>
    <s v="424130540475"/>
    <s v=""/>
    <s v=""/>
    <s v=""/>
    <s v=""/>
    <s v=""/>
    <x v="0"/>
    <d v="2017-12-13T00:00:00"/>
    <s v="1706000032"/>
    <d v="2017-12-06T00:00:00"/>
    <s v=""/>
    <s v="1709000252"/>
  </r>
  <r>
    <s v="1709000256"/>
    <d v="2017-12-03T00:00:00"/>
    <d v="2017-12-03T00:00:00"/>
    <s v="DZ"/>
    <s v="USD"/>
    <n v="13266"/>
    <n v="13266"/>
    <s v="BDT"/>
    <s v="EGM2"/>
    <n v="1090067.22"/>
    <s v="CM ADVANCE ADJUST REF-424130534589"/>
    <s v="0000001010"/>
    <s v="E04065WM17CA1541"/>
    <s v=""/>
    <s v=""/>
    <s v="0"/>
    <s v="424130537862"/>
    <s v=""/>
    <s v=""/>
    <s v=""/>
    <s v=""/>
    <s v=""/>
    <x v="0"/>
    <d v="2017-12-03T00:00:00"/>
    <s v="1706000031"/>
    <d v="2017-12-03T00:00:00"/>
    <s v=""/>
    <s v="1709000256"/>
  </r>
  <r>
    <s v="1709000258"/>
    <d v="2017-12-11T00:00:00"/>
    <d v="2017-12-11T00:00:00"/>
    <s v="DZ"/>
    <s v="USD"/>
    <n v="52051"/>
    <n v="52051"/>
    <s v="BDT"/>
    <s v="EGM1"/>
    <n v="4265579.45"/>
    <s v="CM ADVANCE ADJUST REF-424130539496"/>
    <s v="0000001010"/>
    <s v="E04139WM17CN1573"/>
    <s v=""/>
    <s v=""/>
    <s v="0"/>
    <s v="424130542035"/>
    <s v=""/>
    <s v=""/>
    <s v=""/>
    <s v=""/>
    <s v=""/>
    <x v="0"/>
    <d v="2017-12-21T00:00:00"/>
    <s v="1706000030"/>
    <d v="2017-12-11T00:00:00"/>
    <s v=""/>
    <s v="1709000258"/>
  </r>
  <r>
    <s v="1709000260"/>
    <d v="2017-12-12T00:00:00"/>
    <d v="2017-12-12T00:00:00"/>
    <s v="DZ"/>
    <s v="USD"/>
    <n v="25177"/>
    <n v="25177"/>
    <s v="BDT"/>
    <s v="EGM1"/>
    <n v="2063255.15"/>
    <s v="CM ADVANCE ADJUST REF-424130539496"/>
    <s v="0000001010"/>
    <s v="IT06591712110084"/>
    <s v=""/>
    <s v=""/>
    <s v="0"/>
    <s v="424130542437"/>
    <s v=""/>
    <s v=""/>
    <s v=""/>
    <s v=""/>
    <s v=""/>
    <x v="0"/>
    <d v="2017-12-21T00:00:00"/>
    <s v="1706000030"/>
    <d v="2017-12-12T00:00:00"/>
    <s v=""/>
    <s v="1709000260"/>
  </r>
  <r>
    <s v="1709000261"/>
    <d v="2017-12-12T00:00:00"/>
    <d v="2017-12-12T00:00:00"/>
    <s v="DZ"/>
    <s v="USD"/>
    <n v="82971"/>
    <n v="82971"/>
    <s v="BDT"/>
    <s v="EGM2"/>
    <n v="6817727.0700000003"/>
    <s v="CM ADVANCE ADJUST REF-424130536907"/>
    <s v="0000001010"/>
    <s v="IT06591712110081"/>
    <s v=""/>
    <s v=""/>
    <s v="0"/>
    <s v="424130542400"/>
    <s v=""/>
    <s v=""/>
    <s v=""/>
    <s v=""/>
    <s v=""/>
    <x v="0"/>
    <d v="2017-12-13T00:00:00"/>
    <s v="1706000032"/>
    <d v="2017-12-12T00:00:00"/>
    <s v=""/>
    <s v="1709000261"/>
  </r>
  <r>
    <s v="1709000262"/>
    <d v="2017-12-13T00:00:00"/>
    <d v="2017-12-13T00:00:00"/>
    <s v="DZ"/>
    <s v="USD"/>
    <n v="-407981"/>
    <n v="-407981"/>
    <s v="BDT"/>
    <s v="EGM1"/>
    <n v="-33434042.949999999"/>
    <s v="CM ADVANCE RECEVIED REF-424130542730"/>
    <s v="0000001010"/>
    <s v="IT06591712120233"/>
    <s v=""/>
    <s v=""/>
    <s v="0"/>
    <s v="424130542730"/>
    <s v=""/>
    <s v=""/>
    <s v=""/>
    <s v=""/>
    <s v=""/>
    <x v="0"/>
    <d v="2018-02-28T00:00:00"/>
    <s v="1706000044"/>
    <d v="2017-12-13T00:00:00"/>
    <s v=""/>
    <s v="1709000262"/>
  </r>
  <r>
    <s v="1709000263"/>
    <d v="2017-12-13T00:00:00"/>
    <d v="2017-12-13T00:00:00"/>
    <s v="DZ"/>
    <s v="USD"/>
    <n v="47617"/>
    <n v="47617"/>
    <s v="BDT"/>
    <s v="EGM2"/>
    <n v="3912688.89"/>
    <s v="CM ADVANCE ADJUST REF-424130536907"/>
    <s v="0000001010"/>
    <s v="E24158VF17US0709"/>
    <s v=""/>
    <s v=""/>
    <s v="0"/>
    <s v="424130542767"/>
    <s v=""/>
    <s v=""/>
    <s v=""/>
    <s v=""/>
    <s v=""/>
    <x v="0"/>
    <d v="2017-12-13T00:00:00"/>
    <s v="1706000032"/>
    <d v="2017-12-13T00:00:00"/>
    <s v=""/>
    <s v="1709000263"/>
  </r>
  <r>
    <s v="1709000264"/>
    <d v="2017-12-13T00:00:00"/>
    <d v="2017-12-13T00:00:00"/>
    <s v="DZ"/>
    <s v="USD"/>
    <n v="30084"/>
    <n v="30084"/>
    <s v="BDT"/>
    <s v="EGM2"/>
    <n v="2472002.2799999998"/>
    <s v="CM ADVANCE ADJUST REF-424130536907"/>
    <s v="0000001010"/>
    <s v="IT06591712090050"/>
    <s v=""/>
    <s v=""/>
    <s v="0"/>
    <s v="424130542428"/>
    <s v=""/>
    <s v=""/>
    <s v=""/>
    <s v=""/>
    <s v=""/>
    <x v="0"/>
    <d v="2017-12-13T00:00:00"/>
    <s v="1706000032"/>
    <d v="2017-12-13T00:00:00"/>
    <s v=""/>
    <s v="1709000264"/>
  </r>
  <r>
    <s v="1709000267"/>
    <d v="2017-11-30T00:00:00"/>
    <d v="2017-11-30T00:00:00"/>
    <s v="DZ"/>
    <s v="USD"/>
    <n v="41654"/>
    <n v="41654"/>
    <s v="BDT"/>
    <s v="EGM1"/>
    <n v="3413545.3"/>
    <s v="FIT-CM ADV-NOV'17"/>
    <s v="0000001010"/>
    <s v="FIT-CM ADV-NOV17"/>
    <s v=""/>
    <s v=""/>
    <s v="0"/>
    <s v="FIT-CM ADV-NOV'17"/>
    <s v=""/>
    <s v=""/>
    <s v=""/>
    <s v=""/>
    <s v=""/>
    <x v="0"/>
    <d v="2017-12-01T00:00:00"/>
    <s v="1703007865"/>
    <d v="2017-11-30T00:00:00"/>
    <s v=""/>
    <s v="1709000267"/>
  </r>
  <r>
    <s v="1709000271"/>
    <d v="2017-12-17T00:00:00"/>
    <d v="2017-12-17T00:00:00"/>
    <s v="DZ"/>
    <s v="USD"/>
    <n v="134122"/>
    <n v="134122"/>
    <s v="BDT"/>
    <s v="EGM1"/>
    <n v="10991297.9"/>
    <s v="CM ADVANCE ADJUST REF-424130539496"/>
    <s v="0000001010"/>
    <s v="E04117US17-1564"/>
    <s v=""/>
    <s v=""/>
    <s v="0"/>
    <s v="424130543506"/>
    <s v=""/>
    <s v=""/>
    <s v=""/>
    <s v=""/>
    <s v=""/>
    <x v="0"/>
    <d v="2017-12-21T00:00:00"/>
    <s v="1706000030"/>
    <d v="2017-12-17T00:00:00"/>
    <s v=""/>
    <s v="1709000271"/>
  </r>
  <r>
    <s v="1709000272"/>
    <d v="2017-12-17T00:00:00"/>
    <d v="2017-12-17T00:00:00"/>
    <s v="DZ"/>
    <s v="USD"/>
    <n v="193577"/>
    <n v="193577"/>
    <s v="BDT"/>
    <s v="EGM1"/>
    <n v="15863635.15"/>
    <s v="CM ADVANCE ADJUST REF-424130539496"/>
    <s v="0000001010"/>
    <s v="E04191US17-1578"/>
    <s v=""/>
    <s v=""/>
    <s v="0"/>
    <s v="424130543515"/>
    <s v=""/>
    <s v=""/>
    <s v=""/>
    <s v=""/>
    <s v=""/>
    <x v="0"/>
    <d v="2017-12-21T00:00:00"/>
    <s v="1706000030"/>
    <d v="2017-12-17T00:00:00"/>
    <s v=""/>
    <s v="1709000272"/>
  </r>
  <r>
    <s v="1709000273"/>
    <d v="2017-12-17T00:00:00"/>
    <d v="2017-12-17T00:00:00"/>
    <s v="DZ"/>
    <s v="USD"/>
    <n v="84010"/>
    <n v="84010"/>
    <s v="BDT"/>
    <s v="EGM1"/>
    <n v="6884619.5"/>
    <s v="CM ADVANCE ADJUST REF-424130539496"/>
    <s v="0000001010"/>
    <s v="E04117US17-1563"/>
    <s v=""/>
    <s v=""/>
    <s v="0"/>
    <s v="424130543524"/>
    <s v=""/>
    <s v=""/>
    <s v=""/>
    <s v=""/>
    <s v=""/>
    <x v="0"/>
    <d v="2017-12-21T00:00:00"/>
    <s v="1706000030"/>
    <d v="2017-12-17T00:00:00"/>
    <s v=""/>
    <s v="1709000273"/>
  </r>
  <r>
    <s v="1709000275"/>
    <d v="2017-12-17T00:00:00"/>
    <d v="2017-12-17T00:00:00"/>
    <s v="DZ"/>
    <s v="USD"/>
    <n v="-146084"/>
    <n v="-146084"/>
    <s v="BDT"/>
    <s v="EGM2"/>
    <n v="-11971583.800000001"/>
    <s v="CM ADVANCE RECEIVED REF-424130543490"/>
    <s v="0000001010"/>
    <s v="IT06591712170008"/>
    <s v=""/>
    <s v=""/>
    <s v="0"/>
    <s v="424130543490"/>
    <s v=""/>
    <s v=""/>
    <s v=""/>
    <s v=""/>
    <s v=""/>
    <x v="0"/>
    <d v="2018-02-28T00:00:00"/>
    <s v="1706000043"/>
    <d v="2017-12-17T00:00:00"/>
    <s v=""/>
    <s v="1709000275"/>
  </r>
  <r>
    <s v="1709000276"/>
    <d v="2017-12-19T00:00:00"/>
    <d v="2017-12-19T00:00:00"/>
    <s v="DZ"/>
    <s v="USD"/>
    <n v="12588"/>
    <n v="12588"/>
    <s v="BDT"/>
    <s v="EGM1"/>
    <n v="1031586.6"/>
    <s v="CM ADVANCE ADJUST REF-424130542730"/>
    <s v="0000001010"/>
    <s v="EGKER17STK00201"/>
    <s v=""/>
    <s v=""/>
    <s v="0"/>
    <s v="424130544792"/>
    <s v=""/>
    <s v=""/>
    <s v=""/>
    <s v=""/>
    <s v=""/>
    <x v="0"/>
    <d v="2018-02-28T00:00:00"/>
    <s v="1706000044"/>
    <d v="2017-12-19T00:00:00"/>
    <s v=""/>
    <s v="1709000276"/>
  </r>
  <r>
    <s v="1709000279"/>
    <d v="2017-12-20T00:00:00"/>
    <d v="2017-12-20T00:00:00"/>
    <s v="DZ"/>
    <s v="USD"/>
    <n v="65105"/>
    <n v="65105"/>
    <s v="BDT"/>
    <s v="EGM1"/>
    <n v="5335354.75"/>
    <s v="CM ADVANCE ADJUST REF-424130539496"/>
    <s v="0000001010"/>
    <s v="E04117US17-1581"/>
    <s v=""/>
    <s v=""/>
    <s v="0"/>
    <s v="424130545540"/>
    <s v=""/>
    <s v=""/>
    <s v=""/>
    <s v=""/>
    <s v=""/>
    <x v="0"/>
    <d v="2017-12-21T00:00:00"/>
    <s v="1706000030"/>
    <d v="2017-12-20T00:00:00"/>
    <s v=""/>
    <s v="1709000279"/>
  </r>
  <r>
    <s v="1709000280"/>
    <d v="2017-12-20T00:00:00"/>
    <d v="2017-12-20T00:00:00"/>
    <s v="DZ"/>
    <s v="USD"/>
    <n v="80374"/>
    <n v="80374"/>
    <s v="BDT"/>
    <s v="EGM1"/>
    <n v="6586649.2999999998"/>
    <s v="CM ADVANCE ADJUST REF-424130542730"/>
    <s v="0000001010"/>
    <s v="E44149DC17US1596"/>
    <s v=""/>
    <s v=""/>
    <s v="0"/>
    <s v="424130545531"/>
    <s v=""/>
    <s v=""/>
    <s v=""/>
    <s v=""/>
    <s v=""/>
    <x v="0"/>
    <d v="2018-02-28T00:00:00"/>
    <s v="1706000044"/>
    <d v="2017-12-20T00:00:00"/>
    <s v=""/>
    <s v="1709000280"/>
  </r>
  <r>
    <s v="1709000281"/>
    <d v="2017-12-20T00:00:00"/>
    <d v="2017-12-20T00:00:00"/>
    <s v="DZ"/>
    <s v="USD"/>
    <n v="23740"/>
    <n v="23740"/>
    <s v="BDT"/>
    <s v="EGM1"/>
    <n v="1945493"/>
    <s v="CM ADVANCE ADJUST REF-424130542730"/>
    <s v="0000001010"/>
    <s v="E04101WM17CN1588"/>
    <s v=""/>
    <s v=""/>
    <s v="0"/>
    <s v="424130545522"/>
    <s v=""/>
    <s v=""/>
    <s v=""/>
    <s v=""/>
    <s v=""/>
    <x v="0"/>
    <d v="2018-02-28T00:00:00"/>
    <s v="1706000044"/>
    <d v="2017-12-20T00:00:00"/>
    <s v=""/>
    <s v="1709000281"/>
  </r>
  <r>
    <s v="1709000282"/>
    <d v="2017-12-20T00:00:00"/>
    <d v="2017-12-20T00:00:00"/>
    <s v="DZ"/>
    <s v="USD"/>
    <n v="6242"/>
    <n v="6242"/>
    <s v="BDT"/>
    <s v="EGM1"/>
    <n v="511531.9"/>
    <s v="CM ADVANCE ADJUST REF-424130542730"/>
    <s v="0000001010"/>
    <s v="E04066WM17CA1589"/>
    <s v=""/>
    <s v=""/>
    <s v="0"/>
    <s v="424130545513"/>
    <s v=""/>
    <s v=""/>
    <s v=""/>
    <s v=""/>
    <s v=""/>
    <x v="0"/>
    <d v="2018-02-28T00:00:00"/>
    <s v="1706000044"/>
    <d v="2017-12-20T00:00:00"/>
    <s v=""/>
    <s v="1709000282"/>
  </r>
  <r>
    <s v="1709000283"/>
    <d v="2017-12-21T00:00:00"/>
    <d v="2017-12-21T00:00:00"/>
    <s v="DZ"/>
    <s v="USD"/>
    <n v="100133"/>
    <n v="100133"/>
    <s v="BDT"/>
    <s v="EGM2"/>
    <n v="8205899.3499999996"/>
    <s v="CM ADVANCE ADJUST REF-424130543490"/>
    <s v="0000001010"/>
    <s v="E24247VF17US0687"/>
    <s v=""/>
    <s v=""/>
    <s v="0"/>
    <s v="424130546219"/>
    <s v=""/>
    <s v=""/>
    <s v=""/>
    <s v=""/>
    <s v=""/>
    <x v="0"/>
    <d v="2018-02-28T00:00:00"/>
    <s v="1706000043"/>
    <d v="2017-12-21T00:00:00"/>
    <s v=""/>
    <s v="1709000283"/>
  </r>
  <r>
    <s v="1709000284"/>
    <d v="2017-12-21T00:00:00"/>
    <d v="2017-12-21T00:00:00"/>
    <s v="DZ"/>
    <s v="USD"/>
    <n v="35032"/>
    <n v="35032"/>
    <s v="BDT"/>
    <s v="EGM1"/>
    <n v="2870872.4"/>
    <s v="CM ADVANCE ADJUST REF-424130542730"/>
    <s v="0000001010"/>
    <s v="E34015TC17MY1669"/>
    <s v=""/>
    <s v=""/>
    <s v="0"/>
    <s v="424130546200"/>
    <s v=""/>
    <s v=""/>
    <s v=""/>
    <s v=""/>
    <s v=""/>
    <x v="0"/>
    <d v="2018-02-28T00:00:00"/>
    <s v="1706000044"/>
    <d v="2017-12-21T00:00:00"/>
    <s v=""/>
    <s v="1709000284"/>
  </r>
  <r>
    <s v="1709000285"/>
    <d v="2017-12-21T00:00:00"/>
    <d v="2017-12-21T00:00:00"/>
    <s v="DZ"/>
    <s v="USD"/>
    <n v="67671"/>
    <n v="67671"/>
    <s v="BDT"/>
    <s v="EGM1"/>
    <n v="5545638.4500000002"/>
    <s v="CM ADVANCE ADJUST REF-424130539496"/>
    <s v="0000001010"/>
    <s v="E04117US17-1562"/>
    <s v=""/>
    <s v=""/>
    <s v="0"/>
    <s v="424130546193"/>
    <s v=""/>
    <s v=""/>
    <s v=""/>
    <s v=""/>
    <s v=""/>
    <x v="0"/>
    <d v="2017-12-21T00:00:00"/>
    <s v="1706000030"/>
    <d v="2017-12-21T00:00:00"/>
    <s v=""/>
    <s v="1709000285"/>
  </r>
  <r>
    <s v="1709000286"/>
    <d v="2017-12-24T00:00:00"/>
    <d v="2017-12-24T00:00:00"/>
    <s v="DZ"/>
    <s v="USD"/>
    <n v="1117"/>
    <n v="1117"/>
    <s v="BDT"/>
    <s v="EGM2"/>
    <n v="91538.15"/>
    <s v="CM ADVANCE ADJUST REF-424130543490"/>
    <s v="0000001010"/>
    <s v="04265170698MT"/>
    <s v=""/>
    <s v=""/>
    <s v="0"/>
    <s v="424130547110"/>
    <s v=""/>
    <s v=""/>
    <s v=""/>
    <s v=""/>
    <s v=""/>
    <x v="0"/>
    <d v="2018-02-28T00:00:00"/>
    <s v="1706000043"/>
    <d v="2017-12-24T00:00:00"/>
    <s v=""/>
    <s v="1709000286"/>
  </r>
  <r>
    <s v="1709000287"/>
    <d v="2017-12-24T00:00:00"/>
    <d v="2017-12-24T00:00:00"/>
    <s v="DZ"/>
    <s v="USD"/>
    <n v="72892"/>
    <n v="72892"/>
    <s v="BDT"/>
    <s v="EGM1"/>
    <n v="5973499.4000000004"/>
    <s v="CM ADVANCE ADJUST REF-424130542730"/>
    <s v="0000001010"/>
    <s v="E04117US17-1625"/>
    <s v=""/>
    <s v=""/>
    <s v="0"/>
    <s v="424130547101"/>
    <s v=""/>
    <s v=""/>
    <s v=""/>
    <s v=""/>
    <s v=""/>
    <x v="0"/>
    <d v="2018-02-28T00:00:00"/>
    <s v="1706000044"/>
    <d v="2017-12-24T00:00:00"/>
    <s v=""/>
    <s v="1709000287"/>
  </r>
  <r>
    <s v="1709000288"/>
    <d v="2017-12-24T00:00:00"/>
    <d v="2017-12-24T00:00:00"/>
    <s v="DZ"/>
    <s v="USD"/>
    <n v="53999"/>
    <n v="53999"/>
    <s v="BDT"/>
    <s v="EGM1"/>
    <n v="4425218.05"/>
    <s v="CM ADVANCE ADJUST REF-424130542730"/>
    <s v="0000001010"/>
    <s v="E04117US17-1600"/>
    <s v=""/>
    <s v=""/>
    <s v="0"/>
    <s v="424130547094"/>
    <s v=""/>
    <s v=""/>
    <s v=""/>
    <s v=""/>
    <s v=""/>
    <x v="0"/>
    <d v="2018-02-28T00:00:00"/>
    <s v="1706000044"/>
    <d v="2017-12-24T00:00:00"/>
    <s v=""/>
    <s v="1709000288"/>
  </r>
  <r>
    <s v="1709000290"/>
    <d v="2017-12-26T00:00:00"/>
    <d v="2017-12-26T00:00:00"/>
    <s v="DZ"/>
    <s v="USD"/>
    <n v="38077"/>
    <n v="38077"/>
    <s v="BDT"/>
    <s v="EGM1"/>
    <n v="3120410.15"/>
    <s v="CM ADVANCE ADJUST REF-424130542730"/>
    <s v="0000001010"/>
    <s v="E24143VF17US0728"/>
    <s v=""/>
    <s v=""/>
    <s v="0"/>
    <s v="424130548100"/>
    <s v=""/>
    <s v=""/>
    <s v=""/>
    <s v=""/>
    <s v=""/>
    <x v="0"/>
    <d v="2018-02-28T00:00:00"/>
    <s v="1706000044"/>
    <d v="2017-12-26T00:00:00"/>
    <s v=""/>
    <s v="1709000290"/>
  </r>
  <r>
    <s v="1709000291"/>
    <d v="2017-12-26T00:00:00"/>
    <d v="2017-12-26T00:00:00"/>
    <s v="DZ"/>
    <s v="USD"/>
    <n v="28004"/>
    <n v="28004"/>
    <s v="BDT"/>
    <s v="EGM2"/>
    <n v="2294927.7999999998"/>
    <s v="CM ADVANCE ADJUST REF-424130543490"/>
    <s v="0000001010"/>
    <s v="E24143VF17US0728"/>
    <s v=""/>
    <s v=""/>
    <s v="0"/>
    <s v="424130548119"/>
    <s v=""/>
    <s v=""/>
    <s v=""/>
    <s v=""/>
    <s v=""/>
    <x v="0"/>
    <d v="2018-02-28T00:00:00"/>
    <s v="1706000043"/>
    <d v="2017-12-26T00:00:00"/>
    <s v=""/>
    <s v="1709000291"/>
  </r>
  <r>
    <s v="1709000293"/>
    <d v="2017-12-28T00:00:00"/>
    <d v="2017-12-28T00:00:00"/>
    <s v="DZ"/>
    <s v="USD"/>
    <n v="-73213"/>
    <n v="-73213"/>
    <s v="BDT"/>
    <s v="EGM2"/>
    <n v="-5999805.3499999996"/>
    <s v="CM ADVANCE RECEIVED REF-424130549957"/>
    <s v="0000001010"/>
    <s v="ARVTT"/>
    <s v=""/>
    <s v=""/>
    <s v="0"/>
    <s v="424130549957"/>
    <s v=""/>
    <s v=""/>
    <s v=""/>
    <s v=""/>
    <s v=""/>
    <x v="0"/>
    <d v="2018-02-28T00:00:00"/>
    <s v="1706000045"/>
    <d v="2017-12-28T00:00:00"/>
    <s v=""/>
    <s v="1709000293"/>
  </r>
  <r>
    <s v="1709000299"/>
    <d v="2018-01-01T00:00:00"/>
    <d v="2018-01-01T00:00:00"/>
    <s v="DZ"/>
    <s v="USD"/>
    <n v="60524"/>
    <n v="60524"/>
    <s v="BDT"/>
    <s v="EGM1"/>
    <n v="4959941.8"/>
    <s v="CM ADVANCE ADJUSTED REF;424130542730"/>
    <s v="0000001010"/>
    <s v="424130550926"/>
    <s v=""/>
    <s v=""/>
    <s v="0"/>
    <s v="E04199US17-1603"/>
    <s v=""/>
    <s v=""/>
    <s v=""/>
    <s v=""/>
    <s v=""/>
    <x v="0"/>
    <d v="2018-02-28T00:00:00"/>
    <s v="1706000044"/>
    <d v="2018-01-01T00:00:00"/>
    <s v=""/>
    <s v="1709000299"/>
  </r>
  <r>
    <s v="1709000306"/>
    <d v="2018-01-03T00:00:00"/>
    <d v="2018-01-03T00:00:00"/>
    <s v="DZ"/>
    <s v="USD"/>
    <n v="24514"/>
    <n v="24514"/>
    <s v="BDT"/>
    <s v="EGM1"/>
    <n v="2008922.3"/>
    <s v="CM ADVANCE ADJUST REF-424130542730"/>
    <s v="0000001010"/>
    <s v="E4194SB17UK1654"/>
    <s v=""/>
    <s v=""/>
    <s v="0"/>
    <s v="424130551729"/>
    <s v=""/>
    <s v=""/>
    <s v=""/>
    <s v=""/>
    <s v=""/>
    <x v="0"/>
    <d v="2018-02-28T00:00:00"/>
    <s v="1706000044"/>
    <d v="2018-01-03T00:00:00"/>
    <s v=""/>
    <s v="1709000306"/>
  </r>
  <r>
    <s v="1709000310"/>
    <d v="2018-01-03T00:00:00"/>
    <d v="2018-01-03T00:00:00"/>
    <s v="DZ"/>
    <s v="USD"/>
    <n v="-59326"/>
    <n v="-59326"/>
    <s v="BDT"/>
    <s v="EGM2"/>
    <n v="-4876597.2"/>
    <s v="CM ADVANCE RECEIVED REF:424130551765"/>
    <s v="0000001010"/>
    <s v="IT06591801020097"/>
    <s v=""/>
    <s v=""/>
    <s v="0"/>
    <s v="424130551765"/>
    <s v=""/>
    <s v=""/>
    <s v=""/>
    <s v=""/>
    <s v=""/>
    <x v="0"/>
    <d v="2018-01-18T00:00:00"/>
    <s v="1706000033"/>
    <d v="2018-01-03T00:00:00"/>
    <s v=""/>
    <s v="1709000310"/>
  </r>
  <r>
    <s v="1709000311"/>
    <d v="2018-01-04T00:00:00"/>
    <d v="2018-01-04T00:00:00"/>
    <s v="DZ"/>
    <s v="USD"/>
    <n v="1077"/>
    <n v="1077"/>
    <s v="BDT"/>
    <s v="EGM2"/>
    <n v="88260.15"/>
    <s v="CM ADVANCE ADJUST REF-424130543490"/>
    <s v="0000001010"/>
    <s v="04265170705TW"/>
    <s v=""/>
    <s v=""/>
    <s v="0"/>
    <s v="424130551756"/>
    <s v=""/>
    <s v=""/>
    <s v=""/>
    <s v=""/>
    <s v=""/>
    <x v="0"/>
    <d v="2018-02-28T00:00:00"/>
    <s v="1706000043"/>
    <d v="2018-01-04T00:00:00"/>
    <s v=""/>
    <s v="1709000311"/>
  </r>
  <r>
    <s v="1709000312"/>
    <d v="2018-01-04T00:00:00"/>
    <d v="2018-01-04T00:00:00"/>
    <s v="DZ"/>
    <s v="USD"/>
    <n v="15753"/>
    <n v="15753"/>
    <s v="BDT"/>
    <s v="EGM2"/>
    <n v="1290958.3500000001"/>
    <s v="CM ADVANCE ADJUST REF-424130543490"/>
    <s v="0000001010"/>
    <s v="E24210VF17US0723"/>
    <s v=""/>
    <s v=""/>
    <s v="0"/>
    <s v="424130552381"/>
    <s v=""/>
    <s v=""/>
    <s v=""/>
    <s v=""/>
    <s v=""/>
    <x v="0"/>
    <d v="2018-02-28T00:00:00"/>
    <s v="1706000043"/>
    <d v="2018-01-04T00:00:00"/>
    <s v=""/>
    <s v="1709000312"/>
  </r>
  <r>
    <s v="1709000312"/>
    <d v="2018-01-04T00:00:00"/>
    <d v="2018-01-04T00:00:00"/>
    <s v="DZ"/>
    <s v="USD"/>
    <n v="22426"/>
    <n v="22426"/>
    <s v="BDT"/>
    <s v="EGM2"/>
    <n v="1837810.7"/>
    <s v="CM ADVANCE ADJUST REF-424130549957"/>
    <s v="0000001010"/>
    <s v="E24210VF17US0723"/>
    <s v=""/>
    <s v=""/>
    <s v="0"/>
    <s v="424130552381"/>
    <s v=""/>
    <s v=""/>
    <s v=""/>
    <s v=""/>
    <s v=""/>
    <x v="0"/>
    <d v="2018-02-28T00:00:00"/>
    <s v="1706000045"/>
    <d v="2018-01-04T00:00:00"/>
    <s v=""/>
    <s v="1709000312"/>
  </r>
  <r>
    <s v="1709000313"/>
    <d v="2018-01-09T00:00:00"/>
    <d v="2018-01-09T00:00:00"/>
    <s v="DZ"/>
    <s v="USD"/>
    <n v="45700"/>
    <n v="45700"/>
    <s v="BDT"/>
    <s v="EGM2"/>
    <n v="3745115"/>
    <s v="CM ADVANCE ADJUST REF-424130549957"/>
    <s v="0000001010"/>
    <s v="E24173VF17US0733"/>
    <s v=""/>
    <s v=""/>
    <s v="0"/>
    <s v="424130553996"/>
    <s v=""/>
    <s v=""/>
    <s v=""/>
    <s v=""/>
    <s v=""/>
    <x v="0"/>
    <d v="2018-02-28T00:00:00"/>
    <s v="1706000045"/>
    <d v="2018-01-09T00:00:00"/>
    <s v=""/>
    <s v="1709000313"/>
  </r>
  <r>
    <s v="1709000315"/>
    <d v="2018-01-03T00:00:00"/>
    <d v="2018-01-03T00:00:00"/>
    <s v="DZ"/>
    <s v="USD"/>
    <n v="-316544"/>
    <n v="-316544"/>
    <s v="BDT"/>
    <s v="EGM1"/>
    <n v="-26019916.800000001"/>
    <s v="CM ADVANCE RECEIVED REF:424130551710"/>
    <s v="0000001010"/>
    <s v="IT06591801030017"/>
    <s v=""/>
    <s v=""/>
    <s v="0"/>
    <s v="424130551710"/>
    <s v=""/>
    <s v=""/>
    <s v=""/>
    <s v=""/>
    <s v=""/>
    <x v="0"/>
    <d v="2018-01-04T00:00:00"/>
    <s v="1706000038"/>
    <d v="2018-01-03T00:00:00"/>
    <s v=""/>
    <s v="1709000315"/>
  </r>
  <r>
    <s v="1709000316"/>
    <d v="2018-01-03T00:00:00"/>
    <d v="2018-01-03T00:00:00"/>
    <s v="DZ"/>
    <s v="USD"/>
    <n v="-846648"/>
    <n v="-846648"/>
    <s v="BDT"/>
    <s v="EGM1"/>
    <n v="-69594465.599999994"/>
    <s v="CM ADVANCE RECEIVED REF:424130551701"/>
    <s v="0000001010"/>
    <s v="IT06591801030021"/>
    <s v=""/>
    <s v=""/>
    <s v="0"/>
    <s v="424130551701"/>
    <s v=""/>
    <s v=""/>
    <s v=""/>
    <s v=""/>
    <s v=""/>
    <x v="0"/>
    <d v="2018-01-22T00:00:00"/>
    <s v="1706000035"/>
    <d v="2018-01-03T00:00:00"/>
    <s v=""/>
    <s v="1709000316"/>
  </r>
  <r>
    <s v="1709000317"/>
    <d v="2018-01-10T00:00:00"/>
    <d v="2018-01-10T00:00:00"/>
    <s v="DZ"/>
    <s v="USD"/>
    <n v="172373"/>
    <n v="172373"/>
    <s v="BDT"/>
    <s v="EGM1"/>
    <n v="14169060.6"/>
    <s v="CM ADVANCE RECEIVED REF:424130551701"/>
    <s v="0000001010"/>
    <s v="E04116US17-1701"/>
    <s v=""/>
    <s v=""/>
    <s v="0"/>
    <s v="424130554842"/>
    <s v=""/>
    <s v=""/>
    <s v=""/>
    <s v=""/>
    <s v=""/>
    <x v="0"/>
    <d v="2018-01-22T00:00:00"/>
    <s v="1706000035"/>
    <d v="2018-01-10T00:00:00"/>
    <s v=""/>
    <s v="1709000317"/>
  </r>
  <r>
    <s v="1709000321"/>
    <d v="2017-12-31T00:00:00"/>
    <d v="2017-12-31T00:00:00"/>
    <s v="DZ"/>
    <s v="USD"/>
    <n v="60524"/>
    <n v="60524"/>
    <s v="BDT"/>
    <s v="EGM1"/>
    <n v="4975072.8"/>
    <s v="FIT-CM ADV-DEC'17"/>
    <s v="0000001010"/>
    <s v="FIT-CM ADV-DEC17"/>
    <s v=""/>
    <s v=""/>
    <s v="0"/>
    <s v="FIT-CM ADV-DEC'17"/>
    <s v=""/>
    <s v=""/>
    <s v=""/>
    <s v=""/>
    <s v=""/>
    <x v="0"/>
    <d v="2018-01-01T00:00:00"/>
    <s v="1703008930"/>
    <d v="2017-12-31T00:00:00"/>
    <s v=""/>
    <s v="1709000321"/>
  </r>
  <r>
    <s v="1709000331"/>
    <d v="2018-01-11T00:00:00"/>
    <d v="2018-01-11T00:00:00"/>
    <s v="DZ"/>
    <s v="USD"/>
    <n v="5642"/>
    <n v="5642"/>
    <s v="BDT"/>
    <s v="EGM1"/>
    <n v="463772.4"/>
    <s v="CM ADVANCE ADJUST REF-424130551701"/>
    <s v="0000001010"/>
    <s v="E4196SB17UK1741"/>
    <s v=""/>
    <s v=""/>
    <s v="0"/>
    <s v="424130555360"/>
    <s v=""/>
    <s v=""/>
    <s v=""/>
    <s v=""/>
    <s v=""/>
    <x v="0"/>
    <d v="2018-01-22T00:00:00"/>
    <s v="1706000035"/>
    <d v="2018-01-11T00:00:00"/>
    <s v=""/>
    <s v="1709000331"/>
  </r>
  <r>
    <s v="1709000333"/>
    <d v="2018-01-11T00:00:00"/>
    <d v="2018-01-11T00:00:00"/>
    <s v="DZ"/>
    <s v="USD"/>
    <n v="76873"/>
    <n v="76873"/>
    <s v="BDT"/>
    <s v="EGM1"/>
    <n v="6318960.5999999996"/>
    <s v="CM ADVANCE ADJUST REF-424130551701"/>
    <s v="0000001010"/>
    <s v="E04066WM17CA1686"/>
    <s v=""/>
    <s v=""/>
    <s v="0"/>
    <s v="424130555397"/>
    <s v=""/>
    <s v=""/>
    <s v=""/>
    <s v=""/>
    <s v=""/>
    <x v="0"/>
    <d v="2018-01-22T00:00:00"/>
    <s v="1706000035"/>
    <d v="2018-01-11T00:00:00"/>
    <s v=""/>
    <s v="1709000333"/>
  </r>
  <r>
    <s v="1709000334"/>
    <d v="2018-01-11T00:00:00"/>
    <d v="2018-01-11T00:00:00"/>
    <s v="DZ"/>
    <s v="USD"/>
    <n v="30677"/>
    <n v="30677"/>
    <s v="BDT"/>
    <s v="EGM1"/>
    <n v="2521649.4"/>
    <s v="CM ADVANCE ADJUST REF-424130551701"/>
    <s v="0000001010"/>
    <s v="E14088WM17JP1642"/>
    <s v=""/>
    <s v=""/>
    <s v="0"/>
    <s v="424130555388"/>
    <s v=""/>
    <s v=""/>
    <s v=""/>
    <s v=""/>
    <s v=""/>
    <x v="0"/>
    <d v="2018-01-22T00:00:00"/>
    <s v="1706000035"/>
    <d v="2018-01-11T00:00:00"/>
    <s v=""/>
    <s v="1709000334"/>
  </r>
  <r>
    <s v="1709000335"/>
    <d v="2018-01-11T00:00:00"/>
    <d v="2018-01-11T00:00:00"/>
    <s v="DZ"/>
    <s v="USD"/>
    <n v="-167403"/>
    <n v="-167403"/>
    <s v="BDT"/>
    <s v="EGM1"/>
    <n v="-13760526.6"/>
    <s v="CM ADVANCE RECEIVED REF: 424130555351"/>
    <s v="0000001010"/>
    <s v="IT06591801110017"/>
    <s v=""/>
    <s v=""/>
    <s v="0"/>
    <s v="424130555351"/>
    <s v=""/>
    <s v=""/>
    <s v=""/>
    <s v=""/>
    <s v=""/>
    <x v="0"/>
    <d v="2018-01-28T00:00:00"/>
    <s v="1706000034"/>
    <d v="2018-01-11T00:00:00"/>
    <s v=""/>
    <s v="1709000335"/>
  </r>
  <r>
    <s v="1709000337"/>
    <d v="2018-01-15T00:00:00"/>
    <d v="2018-01-15T00:00:00"/>
    <s v="DZ"/>
    <s v="USD"/>
    <n v="198503"/>
    <n v="198503"/>
    <s v="BDT"/>
    <s v="EGM1"/>
    <n v="16316946.6"/>
    <s v="CM ADVANCE ADJUST REF-424130551701"/>
    <s v="0000001010"/>
    <s v="E04116US17-1786"/>
    <s v=""/>
    <s v=""/>
    <s v="0"/>
    <s v="424130556476"/>
    <s v=""/>
    <s v=""/>
    <s v=""/>
    <s v=""/>
    <s v=""/>
    <x v="0"/>
    <d v="2018-01-22T00:00:00"/>
    <s v="1706000035"/>
    <d v="2018-01-15T00:00:00"/>
    <s v=""/>
    <s v="1709000337"/>
  </r>
  <r>
    <s v="1709000338"/>
    <d v="2018-01-15T00:00:00"/>
    <d v="2018-01-15T00:00:00"/>
    <s v="DZ"/>
    <s v="USD"/>
    <n v="189362"/>
    <n v="189362"/>
    <s v="BDT"/>
    <s v="EGM1"/>
    <n v="15565556.4"/>
    <s v="CM ADVANCE ADJUST REF-424130551701"/>
    <s v="0000001010"/>
    <s v="E04238US17-1720"/>
    <s v=""/>
    <s v=""/>
    <s v="0"/>
    <s v="424130556467"/>
    <s v=""/>
    <s v=""/>
    <s v=""/>
    <s v=""/>
    <s v=""/>
    <x v="0"/>
    <d v="2018-01-22T00:00:00"/>
    <s v="1706000035"/>
    <d v="2018-01-15T00:00:00"/>
    <s v=""/>
    <s v="1709000338"/>
  </r>
  <r>
    <s v="1709000339"/>
    <d v="2018-01-16T00:00:00"/>
    <d v="2018-01-16T00:00:00"/>
    <s v="DZ"/>
    <s v="USD"/>
    <n v="5088"/>
    <n v="5088"/>
    <s v="BDT"/>
    <s v="EGM2"/>
    <n v="416961.6"/>
    <s v="CM ADVANCE ADJUST REF-424130549957"/>
    <s v="0000001010"/>
    <s v="04265170707MY"/>
    <s v=""/>
    <s v=""/>
    <s v="0"/>
    <s v="424130557402"/>
    <s v=""/>
    <s v=""/>
    <s v=""/>
    <s v=""/>
    <s v=""/>
    <x v="0"/>
    <d v="2018-02-28T00:00:00"/>
    <s v="1706000045"/>
    <d v="2018-01-16T00:00:00"/>
    <s v=""/>
    <s v="1709000339"/>
  </r>
  <r>
    <s v="1709000339"/>
    <d v="2018-01-16T00:00:00"/>
    <d v="2018-01-16T00:00:00"/>
    <s v="DZ"/>
    <s v="USD"/>
    <n v="7857"/>
    <n v="7857"/>
    <s v="BDT"/>
    <s v="EGM2"/>
    <n v="645845.4"/>
    <s v="CM ADVANCE ADJUST REF-424130551765"/>
    <s v="0000001010"/>
    <s v="04265170707MY"/>
    <s v=""/>
    <s v=""/>
    <s v="0"/>
    <s v="424130557402"/>
    <s v=""/>
    <s v=""/>
    <s v=""/>
    <s v=""/>
    <s v=""/>
    <x v="0"/>
    <d v="2018-01-18T00:00:00"/>
    <s v="1706000033"/>
    <d v="2018-01-16T00:00:00"/>
    <s v=""/>
    <s v="1709000339"/>
  </r>
  <r>
    <s v="1709000340"/>
    <d v="2018-01-16T00:00:00"/>
    <d v="2018-01-16T00:00:00"/>
    <s v="DZ"/>
    <s v="USD"/>
    <n v="30109"/>
    <n v="30109"/>
    <s v="BDT"/>
    <s v="EGM1"/>
    <n v="2474959.7999999998"/>
    <s v="CM ADVANCE ADJUST REF-424130551701"/>
    <s v="0000001010"/>
    <s v="E04120US17-1749"/>
    <s v=""/>
    <s v=""/>
    <s v="0"/>
    <s v="424130557377"/>
    <s v=""/>
    <s v=""/>
    <s v=""/>
    <s v=""/>
    <s v=""/>
    <x v="0"/>
    <d v="2018-01-22T00:00:00"/>
    <s v="1706000035"/>
    <d v="2018-01-16T00:00:00"/>
    <s v=""/>
    <s v="1709000340"/>
  </r>
  <r>
    <s v="1709000341"/>
    <d v="2018-01-16T00:00:00"/>
    <d v="2018-01-16T00:00:00"/>
    <s v="DZ"/>
    <s v="USD"/>
    <n v="17414"/>
    <n v="17414"/>
    <s v="BDT"/>
    <s v="EGM1"/>
    <n v="1431430.8"/>
    <s v="CM ADVANCE ADJUST REF-424130551701"/>
    <s v="0000001010"/>
    <s v="E34241TC17US1762"/>
    <s v=""/>
    <s v=""/>
    <s v="0"/>
    <s v="424130557386"/>
    <s v=""/>
    <s v=""/>
    <s v=""/>
    <s v=""/>
    <s v=""/>
    <x v="0"/>
    <d v="2018-01-22T00:00:00"/>
    <s v="1706000035"/>
    <d v="2018-01-16T00:00:00"/>
    <s v=""/>
    <s v="1709000341"/>
  </r>
  <r>
    <s v="1709000343"/>
    <d v="2018-01-17T00:00:00"/>
    <d v="2018-01-17T00:00:00"/>
    <s v="DZ"/>
    <s v="USD"/>
    <n v="-326271"/>
    <n v="-326271"/>
    <s v="BDT"/>
    <s v="EGM1"/>
    <n v="-26819476.210000001"/>
    <s v="CM ADVANCE RECEIVED REF-424130557698"/>
    <s v="0000001010"/>
    <s v="IT06591801160224"/>
    <s v=""/>
    <s v=""/>
    <s v="0"/>
    <s v="424130557698"/>
    <s v=""/>
    <s v=""/>
    <s v=""/>
    <s v=""/>
    <s v=""/>
    <x v="0"/>
    <d v="2018-02-05T00:00:00"/>
    <s v="1706000036"/>
    <d v="2018-01-17T00:00:00"/>
    <s v=""/>
    <s v="1709000343"/>
  </r>
  <r>
    <s v="1709000349"/>
    <d v="2018-01-18T00:00:00"/>
    <d v="2018-01-18T00:00:00"/>
    <s v="DZ"/>
    <s v="USD"/>
    <n v="20017"/>
    <n v="20017"/>
    <s v="BDT"/>
    <s v="EGM1"/>
    <n v="1645397.4"/>
    <s v="CM ADVANCE ADJUST REF: 424130551701"/>
    <s v="0000001010"/>
    <s v="E4194SB17UK1739"/>
    <s v=""/>
    <s v=""/>
    <s v="0"/>
    <s v="424130557741"/>
    <s v=""/>
    <s v=""/>
    <s v=""/>
    <s v=""/>
    <s v=""/>
    <x v="0"/>
    <d v="2018-01-22T00:00:00"/>
    <s v="1706000035"/>
    <d v="2018-01-18T00:00:00"/>
    <s v=""/>
    <s v="1709000349"/>
  </r>
  <r>
    <s v="1709000350"/>
    <d v="2018-01-18T00:00:00"/>
    <d v="2018-01-18T00:00:00"/>
    <s v="DZ"/>
    <s v="USD"/>
    <n v="51468"/>
    <n v="51468"/>
    <s v="BDT"/>
    <s v="EGM2"/>
    <n v="4230669.5999999996"/>
    <s v="CM ADVANCE ADJUST REF: 424130551765"/>
    <s v="0000001010"/>
    <s v="E24216VF17US0734"/>
    <s v=""/>
    <s v=""/>
    <s v="0"/>
    <s v="424130558606"/>
    <s v=""/>
    <s v=""/>
    <s v=""/>
    <s v=""/>
    <s v=""/>
    <x v="0"/>
    <d v="2018-01-18T00:00:00"/>
    <s v="1706000033"/>
    <d v="2018-01-18T00:00:00"/>
    <s v=""/>
    <s v="1709000350"/>
  </r>
  <r>
    <s v="1709000351"/>
    <d v="2018-01-18T00:00:00"/>
    <d v="2018-01-18T00:00:00"/>
    <s v="DZ"/>
    <s v="USD"/>
    <n v="-133646"/>
    <n v="-133646"/>
    <s v="BDT"/>
    <s v="EGM2"/>
    <n v="-10985701.199999999"/>
    <s v="CM ADVANCE RECEIVED REF-424130558580"/>
    <s v="0000001010"/>
    <s v="IT06591801170213"/>
    <s v=""/>
    <s v=""/>
    <s v="0"/>
    <s v="424130558580"/>
    <s v=""/>
    <s v=""/>
    <s v=""/>
    <s v=""/>
    <s v=""/>
    <x v="0"/>
    <d v="2018-02-07T00:00:00"/>
    <s v="1706000037"/>
    <d v="2018-01-18T00:00:00"/>
    <s v=""/>
    <s v="1709000351"/>
  </r>
  <r>
    <s v="1709000352"/>
    <d v="2018-01-22T00:00:00"/>
    <d v="2018-01-22T00:00:00"/>
    <s v="DZ"/>
    <s v="USD"/>
    <n v="75813"/>
    <n v="75813"/>
    <s v="BDT"/>
    <s v="EGM1"/>
    <n v="6231828.5999999996"/>
    <s v="CM ADVANCE ADJUST REF-424130551701"/>
    <s v="0000001010"/>
    <s v="E04123US17-1745"/>
    <s v=""/>
    <s v=""/>
    <s v="0"/>
    <s v="424130559892"/>
    <s v=""/>
    <s v=""/>
    <s v=""/>
    <s v=""/>
    <s v=""/>
    <x v="0"/>
    <d v="2018-01-22T00:00:00"/>
    <s v="1706000035"/>
    <d v="2018-01-22T00:00:00"/>
    <s v=""/>
    <s v="1709000352"/>
  </r>
  <r>
    <s v="1709000352"/>
    <d v="2018-01-22T00:00:00"/>
    <d v="2018-01-22T00:00:00"/>
    <s v="DZ"/>
    <s v="USD"/>
    <n v="106568"/>
    <n v="106568"/>
    <s v="BDT"/>
    <s v="EGM1"/>
    <n v="8759889.5999999996"/>
    <s v="CM ADVANCE ADJUST REF-424130555351"/>
    <s v="0000001010"/>
    <s v="E04123US17-1745"/>
    <s v=""/>
    <s v=""/>
    <s v="0"/>
    <s v="424130559892"/>
    <s v=""/>
    <s v=""/>
    <s v=""/>
    <s v=""/>
    <s v=""/>
    <x v="0"/>
    <d v="2018-01-28T00:00:00"/>
    <s v="1706000034"/>
    <d v="2018-01-22T00:00:00"/>
    <s v=""/>
    <s v="1709000352"/>
  </r>
  <r>
    <s v="1709000353"/>
    <d v="2018-01-22T00:00:00"/>
    <d v="2018-01-22T00:00:00"/>
    <s v="DZ"/>
    <s v="USD"/>
    <n v="29865"/>
    <n v="29865"/>
    <s v="BDT"/>
    <s v="EGM1"/>
    <n v="2454903"/>
    <s v="CM ADVANCE ADJUST REF-424130551701"/>
    <s v="0000001010"/>
    <s v="E04142US17-1742"/>
    <s v=""/>
    <s v=""/>
    <s v="0"/>
    <s v="424130559883"/>
    <s v=""/>
    <s v=""/>
    <s v=""/>
    <s v=""/>
    <s v=""/>
    <x v="0"/>
    <d v="2018-01-22T00:00:00"/>
    <s v="1706000035"/>
    <d v="2018-01-22T00:00:00"/>
    <s v=""/>
    <s v="1709000353"/>
  </r>
  <r>
    <s v="1709000354"/>
    <d v="2018-01-22T00:00:00"/>
    <d v="2018-01-22T00:00:00"/>
    <s v="DZ"/>
    <s v="USD"/>
    <n v="7862"/>
    <n v="7862"/>
    <s v="BDT"/>
    <s v="EGM1"/>
    <n v="646256.4"/>
    <s v="CM ADVANCE ADJUST REF-424130555351"/>
    <s v="0000001010"/>
    <s v="E34109WM17JP1764"/>
    <s v=""/>
    <s v=""/>
    <s v="0"/>
    <s v="424130559909"/>
    <s v=""/>
    <s v=""/>
    <s v=""/>
    <s v=""/>
    <s v=""/>
    <x v="0"/>
    <d v="2018-01-28T00:00:00"/>
    <s v="1706000034"/>
    <d v="2018-01-22T00:00:00"/>
    <s v=""/>
    <s v="1709000354"/>
  </r>
  <r>
    <s v="1709000359"/>
    <d v="2018-01-24T00:00:00"/>
    <d v="2018-01-24T00:00:00"/>
    <s v="DZ"/>
    <s v="USD"/>
    <n v="8977"/>
    <n v="8977"/>
    <s v="BDT"/>
    <s v="EGM1"/>
    <n v="737909.4"/>
    <s v="CM ADVANCE ADJUST REF-424130555351"/>
    <s v="0000001010"/>
    <s v="E4194SB17UK1801"/>
    <s v=""/>
    <s v=""/>
    <s v="0"/>
    <s v="424130561406"/>
    <s v=""/>
    <s v=""/>
    <s v=""/>
    <s v=""/>
    <s v=""/>
    <x v="0"/>
    <d v="2018-01-28T00:00:00"/>
    <s v="1706000034"/>
    <d v="2018-01-24T00:00:00"/>
    <s v=""/>
    <s v="1709000359"/>
  </r>
  <r>
    <s v="1709000360"/>
    <d v="2018-01-24T00:00:00"/>
    <d v="2018-01-24T00:00:00"/>
    <s v="DZ"/>
    <s v="USD"/>
    <n v="13375"/>
    <n v="13375"/>
    <s v="BDT"/>
    <s v="EGM2"/>
    <n v="1099425"/>
    <s v="CM ADVANCE ADJUST REF-424130558580"/>
    <s v="0000001010"/>
    <s v="04328180001SE"/>
    <s v=""/>
    <s v=""/>
    <s v="0"/>
    <s v="424130561415"/>
    <s v=""/>
    <s v=""/>
    <s v=""/>
    <s v=""/>
    <s v=""/>
    <x v="0"/>
    <d v="2018-02-07T00:00:00"/>
    <s v="1706000037"/>
    <d v="2018-01-24T00:00:00"/>
    <s v=""/>
    <s v="1709000360"/>
  </r>
  <r>
    <s v="1709000361"/>
    <d v="2018-01-25T00:00:00"/>
    <d v="2018-01-25T00:00:00"/>
    <s v="DZ"/>
    <s v="USD"/>
    <n v="36103"/>
    <n v="36103"/>
    <s v="BDT"/>
    <s v="EGM2"/>
    <n v="2967666.6"/>
    <s v="CM ADVANCE ADJUST REF-424130558580"/>
    <s v="0000001010"/>
    <s v="E24173VF18US0001"/>
    <s v=""/>
    <s v=""/>
    <s v="0"/>
    <s v="424130561754"/>
    <s v=""/>
    <s v=""/>
    <s v=""/>
    <s v=""/>
    <s v=""/>
    <x v="0"/>
    <d v="2018-02-07T00:00:00"/>
    <s v="1706000037"/>
    <d v="2018-01-25T00:00:00"/>
    <s v=""/>
    <s v="1709000361"/>
  </r>
  <r>
    <s v="1709000362"/>
    <d v="2018-01-25T00:00:00"/>
    <d v="2018-01-25T00:00:00"/>
    <s v="DZ"/>
    <s v="USD"/>
    <n v="-105909"/>
    <n v="-105909"/>
    <s v="BDT"/>
    <s v="EGM2"/>
    <n v="-8705719.8000000007"/>
    <s v="CM ADVANCE RECEIVED REF-424130561763"/>
    <s v="0000001010"/>
    <s v="IT06591801250006"/>
    <s v=""/>
    <s v=""/>
    <s v="0"/>
    <s v="424130561763"/>
    <s v=""/>
    <s v=""/>
    <s v=""/>
    <s v=""/>
    <s v=""/>
    <x v="0"/>
    <d v="2018-02-28T00:00:00"/>
    <s v="1706000042"/>
    <d v="2018-01-25T00:00:00"/>
    <s v=""/>
    <s v="1709000362"/>
  </r>
  <r>
    <s v="1709000363"/>
    <d v="2018-01-28T00:00:00"/>
    <d v="2018-01-28T00:00:00"/>
    <s v="DZ"/>
    <s v="USD"/>
    <n v="280625"/>
    <n v="280625"/>
    <s v="BDT"/>
    <s v="EGM1"/>
    <n v="23067375.010000002"/>
    <s v="CM ADVANCE ADJUST REF-424130557698"/>
    <s v="0000001010"/>
    <s v="E04256US17-1794"/>
    <s v=""/>
    <s v=""/>
    <s v="0"/>
    <s v="424130562192"/>
    <s v=""/>
    <s v=""/>
    <s v=""/>
    <s v=""/>
    <s v=""/>
    <x v="0"/>
    <d v="2018-02-05T00:00:00"/>
    <s v="1706000036"/>
    <d v="2018-01-28T00:00:00"/>
    <s v=""/>
    <s v="1709000363"/>
  </r>
  <r>
    <s v="1709000363"/>
    <d v="2018-01-28T00:00:00"/>
    <d v="2018-01-28T00:00:00"/>
    <s v="DZ"/>
    <s v="USD"/>
    <n v="43997"/>
    <n v="43997"/>
    <s v="BDT"/>
    <s v="EGM1"/>
    <n v="3616553.4"/>
    <s v="CM ADVANCE ADJUST REF-424130555351"/>
    <s v="0000001010"/>
    <s v="E04256US17-1794"/>
    <s v=""/>
    <s v=""/>
    <s v="0"/>
    <s v="424130562192"/>
    <s v=""/>
    <s v=""/>
    <s v=""/>
    <s v=""/>
    <s v=""/>
    <x v="0"/>
    <d v="2018-01-28T00:00:00"/>
    <s v="1706000034"/>
    <d v="2018-01-28T00:00:00"/>
    <s v=""/>
    <s v="1709000363"/>
  </r>
  <r>
    <s v="1709000364"/>
    <d v="2018-01-28T00:00:00"/>
    <d v="2018-01-28T00:00:00"/>
    <s v="DZ"/>
    <s v="USD"/>
    <n v="34160"/>
    <n v="34160"/>
    <s v="BDT"/>
    <s v="EGM1"/>
    <n v="2807952"/>
    <s v="CM ADVANCE ADJUST REF-424130557698"/>
    <s v="0000001010"/>
    <s v="E04260US18-0017"/>
    <s v=""/>
    <s v=""/>
    <s v="0"/>
    <s v="424130562209"/>
    <s v=""/>
    <s v=""/>
    <s v=""/>
    <s v=""/>
    <s v=""/>
    <x v="0"/>
    <d v="2018-02-05T00:00:00"/>
    <s v="1706000036"/>
    <d v="2018-01-28T00:00:00"/>
    <s v=""/>
    <s v="1709000364"/>
  </r>
  <r>
    <s v="1709000365"/>
    <d v="2018-01-28T00:00:00"/>
    <d v="2018-01-28T00:00:00"/>
    <s v="DZ"/>
    <s v="USD"/>
    <n v="34390"/>
    <n v="34390"/>
    <s v="BDT"/>
    <s v="EGM2"/>
    <n v="2826858"/>
    <s v="CM ADVANCE ADJUST REF-424130558580"/>
    <s v="0000001010"/>
    <s v="04328180005CN"/>
    <s v=""/>
    <s v=""/>
    <s v="0"/>
    <s v="424130562218"/>
    <s v=""/>
    <s v=""/>
    <s v=""/>
    <s v=""/>
    <s v=""/>
    <x v="0"/>
    <d v="2018-02-07T00:00:00"/>
    <s v="1706000037"/>
    <d v="2018-01-28T00:00:00"/>
    <s v=""/>
    <s v="1709000365"/>
  </r>
  <r>
    <s v="1709000367"/>
    <d v="2018-01-30T00:00:00"/>
    <d v="2018-01-30T00:00:00"/>
    <s v="DZ"/>
    <s v="USD"/>
    <n v="-514644"/>
    <n v="-514644"/>
    <s v="BDT"/>
    <s v="EGM1"/>
    <n v="-42303736.799999997"/>
    <s v="CM ADVANCE RECEIVED REF-424130563100"/>
    <s v="0000001010"/>
    <s v="IT06591801290135"/>
    <s v=""/>
    <s v=""/>
    <s v="0"/>
    <s v="424130563100"/>
    <s v=""/>
    <s v=""/>
    <s v=""/>
    <s v=""/>
    <s v=""/>
    <x v="0"/>
    <d v="2018-03-31T00:00:00"/>
    <s v="1706000056"/>
    <d v="2018-01-30T00:00:00"/>
    <s v=""/>
    <s v="1709000367"/>
  </r>
  <r>
    <s v="1709000369"/>
    <d v="2018-02-01T00:00:00"/>
    <d v="2018-02-01T00:00:00"/>
    <s v="DZ"/>
    <s v="USD"/>
    <n v="5575"/>
    <n v="5575"/>
    <s v="BDT"/>
    <s v="EGM2"/>
    <n v="458265"/>
    <s v="CM ADVANCE ADJUST REF-424130558580"/>
    <s v="0000001010"/>
    <s v="04328180006BE"/>
    <s v=""/>
    <s v=""/>
    <s v="0"/>
    <s v="424130564323"/>
    <s v=""/>
    <s v=""/>
    <s v=""/>
    <s v=""/>
    <s v=""/>
    <x v="0"/>
    <d v="2018-02-07T00:00:00"/>
    <s v="1706000037"/>
    <d v="2018-02-01T00:00:00"/>
    <s v=""/>
    <s v="1709000369"/>
  </r>
  <r>
    <s v="1709000370"/>
    <d v="2018-02-04T00:00:00"/>
    <d v="2018-02-04T00:00:00"/>
    <s v="DZ"/>
    <s v="USD"/>
    <n v="46005"/>
    <n v="46005"/>
    <s v="BDT"/>
    <s v="EGM2"/>
    <n v="3781611"/>
    <s v="CM ADVANCE ADJUST REF-424130561763"/>
    <s v="0000001010"/>
    <s v="E24075VF17US0695"/>
    <s v=""/>
    <s v=""/>
    <s v="0"/>
    <s v="424130565279"/>
    <s v=""/>
    <s v=""/>
    <s v=""/>
    <s v=""/>
    <s v=""/>
    <x v="0"/>
    <d v="2018-02-28T00:00:00"/>
    <s v="1706000042"/>
    <d v="2018-02-04T00:00:00"/>
    <s v=""/>
    <s v="1709000370"/>
  </r>
  <r>
    <s v="1709000372"/>
    <d v="2018-02-04T00:00:00"/>
    <d v="2018-02-04T00:00:00"/>
    <s v="DZ"/>
    <s v="USD"/>
    <n v="-358963"/>
    <n v="-358963"/>
    <s v="BDT"/>
    <s v="EGM1"/>
    <n v="-29578551.199999999"/>
    <s v="CM ADVANCE RECEIVED REF-424130565199"/>
    <s v="0000001010"/>
    <s v="IT06591802030009"/>
    <s v=""/>
    <s v=""/>
    <s v="0"/>
    <s v="424130565199"/>
    <s v=""/>
    <s v=""/>
    <s v=""/>
    <s v=""/>
    <s v=""/>
    <x v="0"/>
    <d v="2018-03-31T00:00:00"/>
    <s v="1706000055"/>
    <d v="2018-02-04T00:00:00"/>
    <s v=""/>
    <s v="1709000372"/>
  </r>
  <r>
    <s v="1709000373"/>
    <d v="2018-02-04T00:00:00"/>
    <d v="2018-02-04T00:00:00"/>
    <s v="DZ"/>
    <s v="USD"/>
    <n v="-68265"/>
    <n v="-68265"/>
    <s v="BDT"/>
    <s v="EGM2"/>
    <n v="-5625036.0099999998"/>
    <s v="CM ADVANCE RECEIVED REF-424130565206"/>
    <s v="0000001010"/>
    <s v="IT06591802010270"/>
    <s v=""/>
    <s v=""/>
    <s v="0"/>
    <s v="424130565206"/>
    <s v=""/>
    <s v=""/>
    <s v=""/>
    <s v=""/>
    <s v=""/>
    <x v="0"/>
    <d v="2018-02-28T00:00:00"/>
    <s v="1706000041"/>
    <d v="2018-02-04T00:00:00"/>
    <s v=""/>
    <s v="1709000373"/>
  </r>
  <r>
    <s v="1709000374"/>
    <d v="2018-02-05T00:00:00"/>
    <d v="2018-02-05T00:00:00"/>
    <s v="DZ"/>
    <s v="USD"/>
    <n v="5068"/>
    <n v="5068"/>
    <s v="BDT"/>
    <s v="EGM2"/>
    <n v="416589.6"/>
    <s v="CM ADVANCE ADJUST REF-424130561763"/>
    <s v="0000001010"/>
    <s v="04328180015VN"/>
    <s v=""/>
    <s v=""/>
    <s v="0"/>
    <s v="424130565527"/>
    <s v=""/>
    <s v=""/>
    <s v=""/>
    <s v=""/>
    <s v=""/>
    <x v="0"/>
    <d v="2018-02-28T00:00:00"/>
    <s v="1706000042"/>
    <d v="2018-02-05T00:00:00"/>
    <s v=""/>
    <s v="1709000374"/>
  </r>
  <r>
    <s v="1709000375"/>
    <d v="2018-02-05T00:00:00"/>
    <d v="2018-02-05T00:00:00"/>
    <s v="DZ"/>
    <s v="USD"/>
    <n v="28349"/>
    <n v="28349"/>
    <s v="BDT"/>
    <s v="EGM2"/>
    <n v="2330287.7999999998"/>
    <s v="CM ADVANCE ADJUST REF-424130558580"/>
    <s v="0000001010"/>
    <s v="E24054AC18CK0026"/>
    <s v=""/>
    <s v=""/>
    <s v="0"/>
    <s v="424130565518"/>
    <s v=""/>
    <s v=""/>
    <s v=""/>
    <s v=""/>
    <s v=""/>
    <x v="0"/>
    <d v="2018-02-07T00:00:00"/>
    <s v="1706000037"/>
    <d v="2018-02-05T00:00:00"/>
    <s v=""/>
    <s v="1709000375"/>
  </r>
  <r>
    <s v="1709000376"/>
    <d v="2018-02-05T00:00:00"/>
    <d v="2018-02-05T00:00:00"/>
    <s v="DZ"/>
    <s v="USD"/>
    <n v="2277"/>
    <n v="2277"/>
    <s v="BDT"/>
    <s v="EGM2"/>
    <n v="187169.4"/>
    <s v="CM ADVANCE ADJUST REF-424130558580"/>
    <s v="0000001010"/>
    <s v="04328180007IT"/>
    <s v=""/>
    <s v=""/>
    <s v="0"/>
    <s v="424130565509"/>
    <s v=""/>
    <s v=""/>
    <s v=""/>
    <s v=""/>
    <s v=""/>
    <x v="0"/>
    <d v="2018-02-07T00:00:00"/>
    <s v="1706000037"/>
    <d v="2018-02-05T00:00:00"/>
    <s v=""/>
    <s v="1709000376"/>
  </r>
  <r>
    <s v="1709000376"/>
    <d v="2018-02-05T00:00:00"/>
    <d v="2018-02-05T00:00:00"/>
    <s v="DZ"/>
    <s v="USD"/>
    <n v="5751"/>
    <n v="5751"/>
    <s v="BDT"/>
    <s v="EGM2"/>
    <n v="472732.2"/>
    <s v="CM ADVANCE ADJUST REF-424130561763"/>
    <s v="0000001010"/>
    <s v="04328180007IT"/>
    <s v=""/>
    <s v=""/>
    <s v="0"/>
    <s v="424130565509"/>
    <s v=""/>
    <s v=""/>
    <s v=""/>
    <s v=""/>
    <s v=""/>
    <x v="0"/>
    <d v="2018-02-28T00:00:00"/>
    <s v="1706000042"/>
    <d v="2018-02-05T00:00:00"/>
    <s v=""/>
    <s v="1709000376"/>
  </r>
  <r>
    <s v="1709000377"/>
    <d v="2018-02-05T00:00:00"/>
    <d v="2018-02-05T00:00:00"/>
    <s v="DZ"/>
    <s v="USD"/>
    <n v="11486"/>
    <n v="11486"/>
    <s v="BDT"/>
    <s v="EGM1"/>
    <n v="944149.2"/>
    <s v="CM ADVANCE ADJUST REF-424130557698"/>
    <s v="0000001010"/>
    <s v="E4194SB18UK0046"/>
    <s v=""/>
    <s v=""/>
    <s v="0"/>
    <s v="424130565536"/>
    <s v=""/>
    <s v=""/>
    <s v=""/>
    <s v=""/>
    <s v=""/>
    <x v="0"/>
    <d v="2018-02-05T00:00:00"/>
    <s v="1706000036"/>
    <d v="2018-02-05T00:00:00"/>
    <s v=""/>
    <s v="1709000377"/>
  </r>
  <r>
    <s v="1709000378"/>
    <d v="2018-02-05T00:00:00"/>
    <d v="2018-02-05T00:00:00"/>
    <s v="DZ"/>
    <s v="USD"/>
    <n v="3533"/>
    <n v="3533"/>
    <s v="BDT"/>
    <s v="EGM1"/>
    <n v="290412.59999999998"/>
    <s v="CM ADVANCE ADJUST REF-424130563100"/>
    <s v="0000001010"/>
    <s v="E34225TC18US0095"/>
    <s v=""/>
    <s v=""/>
    <s v="0"/>
    <s v="424130565545"/>
    <s v=""/>
    <s v=""/>
    <s v=""/>
    <s v=""/>
    <s v=""/>
    <x v="0"/>
    <d v="2018-03-31T00:00:00"/>
    <s v="1706000056"/>
    <d v="2018-02-05T00:00:00"/>
    <s v=""/>
    <s v="1709000378"/>
  </r>
  <r>
    <s v="1709000381"/>
    <d v="2018-01-04T00:00:00"/>
    <d v="2018-01-04T00:00:00"/>
    <s v="DZ"/>
    <s v="USD"/>
    <n v="5651"/>
    <n v="5651"/>
    <s v="BDT"/>
    <s v="EGM1"/>
    <n v="464512.2"/>
    <s v="CM ADVANCE Adjust REF-424130551710"/>
    <s v="0000001010"/>
    <s v="E34017TC17US1763"/>
    <s v=""/>
    <s v=""/>
    <s v="0"/>
    <s v="424130552354"/>
    <s v=""/>
    <s v=""/>
    <s v=""/>
    <s v=""/>
    <s v=""/>
    <x v="0"/>
    <d v="2018-01-04T00:00:00"/>
    <s v="1706000038"/>
    <d v="2018-01-04T00:00:00"/>
    <s v=""/>
    <s v="1709000381"/>
  </r>
  <r>
    <s v="1709000382"/>
    <d v="2018-01-04T00:00:00"/>
    <d v="2018-01-04T00:00:00"/>
    <s v="DZ"/>
    <s v="USD"/>
    <n v="267443"/>
    <n v="267443"/>
    <s v="BDT"/>
    <s v="EGM1"/>
    <n v="21983814.600000001"/>
    <s v="CM ADVANCE Adjust REF-424130551710"/>
    <s v="0000001010"/>
    <s v="E04116US17-1678"/>
    <s v=""/>
    <s v=""/>
    <s v="0"/>
    <s v="424130552363"/>
    <s v=""/>
    <s v=""/>
    <s v=""/>
    <s v=""/>
    <s v=""/>
    <x v="0"/>
    <d v="2018-01-04T00:00:00"/>
    <s v="1706000038"/>
    <d v="2018-01-04T00:00:00"/>
    <s v=""/>
    <s v="1709000382"/>
  </r>
  <r>
    <s v="1709000383"/>
    <d v="2018-01-04T00:00:00"/>
    <d v="2018-01-04T00:00:00"/>
    <s v="DZ"/>
    <s v="USD"/>
    <n v="43450"/>
    <n v="43450"/>
    <s v="BDT"/>
    <s v="EGM1"/>
    <n v="3571590"/>
    <s v="CM ADVANCE Adjust REF-424130551710"/>
    <s v="0000001010"/>
    <s v="E4196SB17UK1710"/>
    <s v=""/>
    <s v=""/>
    <s v="0"/>
    <s v="424130552372"/>
    <s v=""/>
    <s v=""/>
    <s v=""/>
    <s v=""/>
    <s v=""/>
    <x v="0"/>
    <d v="2018-01-04T00:00:00"/>
    <s v="1706000038"/>
    <d v="2018-01-04T00:00:00"/>
    <s v=""/>
    <s v="1709000383"/>
  </r>
  <r>
    <s v="1709000384"/>
    <d v="2018-02-06T00:00:00"/>
    <d v="2018-02-06T00:00:00"/>
    <s v="DZ"/>
    <s v="USD"/>
    <n v="-182122"/>
    <n v="-182122"/>
    <s v="BDT"/>
    <s v="EGM1"/>
    <n v="-15006852.800000001"/>
    <s v="CM ADVANCE RECEIVED REF-424130565894"/>
    <s v="0000001010"/>
    <s v="IT06591802060015"/>
    <s v=""/>
    <s v=""/>
    <s v="0"/>
    <s v="424130565894"/>
    <s v=""/>
    <s v=""/>
    <s v=""/>
    <s v=""/>
    <s v=""/>
    <x v="0"/>
    <d v="2018-03-31T00:00:00"/>
    <s v="1706000054"/>
    <d v="2018-02-06T00:00:00"/>
    <s v=""/>
    <s v="1709000384"/>
  </r>
  <r>
    <s v="1709000385"/>
    <d v="2018-02-06T00:00:00"/>
    <d v="2018-02-06T00:00:00"/>
    <s v="DZ"/>
    <s v="USD"/>
    <n v="36055"/>
    <n v="36055"/>
    <s v="BDT"/>
    <s v="EGM2"/>
    <n v="2963721"/>
    <s v="CM ADVANCE Adjust REF-424130561763"/>
    <s v="0000001010"/>
    <s v="E24275VF17US0032"/>
    <s v=""/>
    <s v=""/>
    <s v="0"/>
    <s v="424130565901"/>
    <s v=""/>
    <s v=""/>
    <s v=""/>
    <s v=""/>
    <s v=""/>
    <x v="0"/>
    <d v="2018-02-28T00:00:00"/>
    <s v="1706000042"/>
    <d v="2018-02-06T00:00:00"/>
    <s v=""/>
    <s v="1709000385"/>
  </r>
  <r>
    <s v="1709000386"/>
    <d v="2018-02-07T00:00:00"/>
    <d v="2018-02-07T00:00:00"/>
    <s v="DZ"/>
    <s v="USD"/>
    <n v="13577"/>
    <n v="13577"/>
    <s v="BDT"/>
    <s v="EGM2"/>
    <n v="1116029.3999999999"/>
    <s v="CM ADVANCE Adjust REF-424130558580"/>
    <s v="0000001010"/>
    <s v="0432818009RU"/>
    <s v=""/>
    <s v=""/>
    <s v="0"/>
    <s v="424130566759"/>
    <s v=""/>
    <s v=""/>
    <s v=""/>
    <s v=""/>
    <s v=""/>
    <x v="0"/>
    <d v="2018-02-07T00:00:00"/>
    <s v="1706000037"/>
    <d v="2018-02-07T00:00:00"/>
    <s v=""/>
    <s v="1709000386"/>
  </r>
  <r>
    <s v="1709000387"/>
    <d v="2018-02-07T00:00:00"/>
    <d v="2018-02-07T00:00:00"/>
    <s v="DZ"/>
    <s v="USD"/>
    <n v="48478"/>
    <n v="48478"/>
    <s v="BDT"/>
    <s v="EGM1"/>
    <n v="3984891.6"/>
    <s v="CM ADVANCE Adjust REF-424130563100"/>
    <s v="0000001010"/>
    <s v="E04251US18-0002"/>
    <s v=""/>
    <s v=""/>
    <s v="0"/>
    <s v="424130566740"/>
    <s v=""/>
    <s v=""/>
    <s v=""/>
    <s v=""/>
    <s v=""/>
    <x v="0"/>
    <d v="2018-03-31T00:00:00"/>
    <s v="1706000056"/>
    <d v="2018-02-07T00:00:00"/>
    <s v=""/>
    <s v="1709000387"/>
  </r>
  <r>
    <s v="1709000391"/>
    <d v="2018-02-08T00:00:00"/>
    <d v="2018-02-08T00:00:00"/>
    <s v="DZ"/>
    <s v="USD"/>
    <n v="12766"/>
    <n v="12766"/>
    <s v="BDT"/>
    <s v="EGM1"/>
    <n v="1049365.2"/>
    <s v="CM ADVANCE Adjust REF-424130563100"/>
    <s v="0000001010"/>
    <s v="E04280US180020"/>
    <s v=""/>
    <s v=""/>
    <s v="0"/>
    <s v="424130567393"/>
    <s v=""/>
    <s v=""/>
    <s v=""/>
    <s v=""/>
    <s v=""/>
    <x v="0"/>
    <d v="2018-03-31T00:00:00"/>
    <s v="1706000056"/>
    <d v="2018-02-08T00:00:00"/>
    <s v=""/>
    <s v="1709000391"/>
  </r>
  <r>
    <s v="1709000392"/>
    <d v="2018-02-11T00:00:00"/>
    <d v="2018-02-11T00:00:00"/>
    <s v="DZ"/>
    <s v="USD"/>
    <n v="325015"/>
    <n v="325015"/>
    <s v="BDT"/>
    <s v="EGM1"/>
    <n v="26716233"/>
    <s v="CM ADVANCE Adjust REF-424130563100"/>
    <s v="0000001010"/>
    <s v="E04422US180081"/>
    <s v=""/>
    <s v=""/>
    <s v="0"/>
    <s v="424130567650"/>
    <s v=""/>
    <s v=""/>
    <s v=""/>
    <s v=""/>
    <s v=""/>
    <x v="0"/>
    <d v="2018-03-31T00:00:00"/>
    <s v="1706000056"/>
    <d v="2018-02-11T00:00:00"/>
    <s v=""/>
    <s v="1709000392"/>
  </r>
  <r>
    <s v="1709000394"/>
    <d v="2018-01-31T00:00:00"/>
    <d v="2018-01-31T00:00:00"/>
    <s v="DZ"/>
    <s v="USD"/>
    <n v="78005"/>
    <n v="78005"/>
    <s v="BDT"/>
    <s v="EGM1"/>
    <n v="6427612"/>
    <s v="FIT-CM ADV-JAN'18"/>
    <s v="0000001010"/>
    <s v="FIT-CM ADV-JAN1"/>
    <s v=""/>
    <s v=""/>
    <s v="0"/>
    <s v="FIT-CM ADV-JAN'18"/>
    <s v=""/>
    <s v=""/>
    <s v=""/>
    <s v=""/>
    <s v=""/>
    <x v="0"/>
    <d v="2018-02-01T00:00:00"/>
    <s v="1703009746"/>
    <d v="2018-01-31T00:00:00"/>
    <s v=""/>
    <s v="1709000394"/>
  </r>
  <r>
    <s v="1709000397"/>
    <d v="2018-02-13T00:00:00"/>
    <d v="2018-02-13T00:00:00"/>
    <s v="DZ"/>
    <s v="USD"/>
    <n v="13553"/>
    <n v="13553"/>
    <s v="BDT"/>
    <s v="EGM1"/>
    <n v="1114056.6000000001"/>
    <s v="CM ADVANCE ADJUST REF-424130563100"/>
    <s v="0000001010"/>
    <s v="E04204US18-0058"/>
    <s v=""/>
    <s v=""/>
    <s v="0"/>
    <s v="424130569033"/>
    <s v=""/>
    <s v=""/>
    <s v=""/>
    <s v=""/>
    <s v=""/>
    <x v="0"/>
    <d v="2018-03-31T00:00:00"/>
    <s v="1706000056"/>
    <d v="2018-02-13T00:00:00"/>
    <s v=""/>
    <s v="1709000397"/>
  </r>
  <r>
    <s v="1709000398"/>
    <d v="2018-02-13T00:00:00"/>
    <d v="2018-02-13T00:00:00"/>
    <s v="DZ"/>
    <s v="USD"/>
    <n v="2313"/>
    <n v="2313"/>
    <s v="BDT"/>
    <s v="EGM2"/>
    <n v="190591.2"/>
    <s v="CM ADVANCE Adjust REF-424130565206"/>
    <s v="0000001010"/>
    <s v="04328180022JP"/>
    <s v=""/>
    <s v=""/>
    <s v="0"/>
    <s v="424130569006"/>
    <s v=""/>
    <s v=""/>
    <s v=""/>
    <s v=""/>
    <s v=""/>
    <x v="0"/>
    <d v="2018-02-28T00:00:00"/>
    <s v="1706000041"/>
    <d v="2018-02-13T00:00:00"/>
    <s v=""/>
    <s v="1709000398"/>
  </r>
  <r>
    <s v="1709000399"/>
    <d v="2018-02-13T00:00:00"/>
    <d v="2018-02-13T00:00:00"/>
    <s v="DZ"/>
    <s v="USD"/>
    <n v="13030"/>
    <n v="13030"/>
    <s v="BDT"/>
    <s v="EGM2"/>
    <n v="1071066"/>
    <s v="CM ADVANCE Adjust REF-424130561763"/>
    <s v="0000001010"/>
    <s v="E24054AC18JF0031"/>
    <s v=""/>
    <s v=""/>
    <s v="0"/>
    <s v="424130568980"/>
    <s v=""/>
    <s v=""/>
    <s v=""/>
    <s v=""/>
    <s v=""/>
    <x v="0"/>
    <d v="2018-02-28T00:00:00"/>
    <s v="1706000042"/>
    <d v="2018-02-13T00:00:00"/>
    <s v=""/>
    <s v="1709000399"/>
  </r>
  <r>
    <s v="1709000400"/>
    <d v="2018-02-13T00:00:00"/>
    <d v="2018-02-13T00:00:00"/>
    <s v="DZ"/>
    <s v="USD"/>
    <n v="-465639"/>
    <n v="-465639"/>
    <s v="BDT"/>
    <s v="EGM1"/>
    <n v="-38368653.600000001"/>
    <s v="CM ADVANCE RECEIVED REF-424130569015"/>
    <s v="0000001010"/>
    <s v="IT06591802120141"/>
    <s v=""/>
    <s v=""/>
    <s v="0"/>
    <s v="424130569015"/>
    <s v=""/>
    <s v=""/>
    <s v=""/>
    <s v=""/>
    <s v=""/>
    <x v="0"/>
    <d v="2018-03-31T00:00:00"/>
    <s v="1706000058"/>
    <d v="2018-02-13T00:00:00"/>
    <s v=""/>
    <s v="1709000400"/>
  </r>
  <r>
    <s v="1709000401"/>
    <d v="2018-02-13T00:00:00"/>
    <d v="2018-02-13T00:00:00"/>
    <s v="DZ"/>
    <s v="USD"/>
    <n v="-78861"/>
    <n v="-78861"/>
    <s v="BDT"/>
    <s v="EGM2"/>
    <n v="-6498146.4000000004"/>
    <s v="CM ADVANCE RECEIVED REF-424130568999"/>
    <s v="0000001010"/>
    <s v="IT06591802120142"/>
    <s v=""/>
    <s v=""/>
    <s v="0"/>
    <s v="424130568999"/>
    <s v=""/>
    <s v=""/>
    <s v=""/>
    <s v=""/>
    <s v=""/>
    <x v="0"/>
    <d v="2018-03-31T00:00:00"/>
    <s v="1706000048"/>
    <d v="2018-02-13T00:00:00"/>
    <s v=""/>
    <s v="1709000401"/>
  </r>
  <r>
    <s v="1709000402"/>
    <d v="2018-02-15T00:00:00"/>
    <d v="2018-02-15T00:00:00"/>
    <s v="DZ"/>
    <s v="USD"/>
    <n v="170653"/>
    <n v="170653"/>
    <s v="BDT"/>
    <s v="EGM1"/>
    <n v="14061807.199999999"/>
    <s v="CM ADVANCE ADJUST REF-424130565199"/>
    <s v="0000001010"/>
    <s v="E04067WM18CA0077"/>
    <s v=""/>
    <s v=""/>
    <s v="0"/>
    <s v="424130569480"/>
    <s v=""/>
    <s v=""/>
    <s v=""/>
    <s v=""/>
    <s v=""/>
    <x v="0"/>
    <d v="2018-03-31T00:00:00"/>
    <s v="1706000055"/>
    <d v="2018-02-15T00:00:00"/>
    <s v=""/>
    <s v="1709000402"/>
  </r>
  <r>
    <s v="1709000403"/>
    <d v="2018-02-15T00:00:00"/>
    <d v="2018-02-15T00:00:00"/>
    <s v="DZ"/>
    <s v="USD"/>
    <n v="6831"/>
    <n v="6831"/>
    <s v="BDT"/>
    <s v="EGM1"/>
    <n v="561508.19999999995"/>
    <s v="CM ADVANCE ADJUST REF-424130563100"/>
    <s v="0000001010"/>
    <s v="E04429US180092"/>
    <s v=""/>
    <s v=""/>
    <s v="0"/>
    <s v="424130569514"/>
    <s v=""/>
    <s v=""/>
    <s v=""/>
    <s v=""/>
    <s v=""/>
    <x v="0"/>
    <d v="2018-03-31T00:00:00"/>
    <s v="1706000056"/>
    <d v="2018-02-15T00:00:00"/>
    <s v=""/>
    <s v="1709000403"/>
  </r>
  <r>
    <s v="1709000403"/>
    <d v="2018-02-15T00:00:00"/>
    <d v="2018-02-15T00:00:00"/>
    <s v="DZ"/>
    <s v="USD"/>
    <n v="47708"/>
    <n v="47708"/>
    <s v="BDT"/>
    <s v="EGM1"/>
    <n v="3931139.2"/>
    <s v="CM ADVANCE ADJUST REF-424130565199"/>
    <s v="0000001010"/>
    <s v="E04429US180092"/>
    <s v=""/>
    <s v=""/>
    <s v="0"/>
    <s v="424130569514"/>
    <s v=""/>
    <s v=""/>
    <s v=""/>
    <s v=""/>
    <s v=""/>
    <x v="0"/>
    <d v="2018-03-31T00:00:00"/>
    <s v="1706000055"/>
    <d v="2018-02-15T00:00:00"/>
    <s v=""/>
    <s v="1709000403"/>
  </r>
  <r>
    <s v="1709000405"/>
    <d v="2018-02-15T00:00:00"/>
    <d v="2018-02-15T00:00:00"/>
    <s v="DZ"/>
    <s v="USD"/>
    <n v="18911"/>
    <n v="18911"/>
    <s v="BDT"/>
    <s v="EGM1"/>
    <n v="1558266.4"/>
    <s v="CM ADVANCE ADJUST REF-424130565199"/>
    <s v="0000001010"/>
    <s v="E4307SB18UK0109"/>
    <s v=""/>
    <s v=""/>
    <s v="0"/>
    <s v="424130570691"/>
    <s v=""/>
    <s v=""/>
    <s v=""/>
    <s v=""/>
    <s v=""/>
    <x v="0"/>
    <d v="2018-03-31T00:00:00"/>
    <s v="1706000055"/>
    <d v="2018-02-15T00:00:00"/>
    <s v=""/>
    <s v="1709000405"/>
  </r>
  <r>
    <s v="1709000406"/>
    <d v="2018-02-15T00:00:00"/>
    <d v="2018-02-15T00:00:00"/>
    <s v="DZ"/>
    <s v="USD"/>
    <n v="13799"/>
    <n v="13799"/>
    <s v="BDT"/>
    <s v="EGM1"/>
    <n v="1134277.8"/>
    <s v="CM ADVANCE ADJUST REF-424130563100"/>
    <s v="0000001010"/>
    <s v="E4196SB18UK0048"/>
    <s v=""/>
    <s v=""/>
    <s v="0"/>
    <s v="424130569471"/>
    <s v=""/>
    <s v=""/>
    <s v=""/>
    <s v=""/>
    <s v=""/>
    <x v="0"/>
    <d v="2018-03-31T00:00:00"/>
    <s v="1706000056"/>
    <d v="2018-02-15T00:00:00"/>
    <s v=""/>
    <s v="1709000406"/>
  </r>
  <r>
    <s v="1709000407"/>
    <d v="2018-02-15T00:00:00"/>
    <d v="2018-02-15T00:00:00"/>
    <s v="DZ"/>
    <s v="USD"/>
    <n v="44328"/>
    <n v="44328"/>
    <s v="BDT"/>
    <s v="EGM1"/>
    <n v="3652627.2"/>
    <s v="CM ADVANCE ADJUST REF-424130565199"/>
    <s v="0000001010"/>
    <s v="E04395US180120"/>
    <s v=""/>
    <s v=""/>
    <s v="0"/>
    <s v="424130569505"/>
    <s v=""/>
    <s v=""/>
    <s v=""/>
    <s v=""/>
    <s v=""/>
    <x v="0"/>
    <d v="2018-03-31T00:00:00"/>
    <s v="1706000055"/>
    <d v="2018-02-15T00:00:00"/>
    <s v=""/>
    <s v="1709000407"/>
  </r>
  <r>
    <s v="1709000408"/>
    <d v="2018-02-15T00:00:00"/>
    <d v="2018-02-15T00:00:00"/>
    <s v="DZ"/>
    <s v="USD"/>
    <n v="8258"/>
    <n v="8258"/>
    <s v="BDT"/>
    <s v="EGM1"/>
    <n v="680459.2"/>
    <s v="CM ADVANCE ADJUST REF-424130565199"/>
    <s v="0000001010"/>
    <s v="EGMKERA18STK0143"/>
    <s v=""/>
    <s v=""/>
    <s v="0"/>
    <s v="424130570708"/>
    <s v=""/>
    <s v=""/>
    <s v=""/>
    <s v=""/>
    <s v=""/>
    <x v="0"/>
    <d v="2018-03-31T00:00:00"/>
    <s v="1706000055"/>
    <d v="2018-02-15T00:00:00"/>
    <s v=""/>
    <s v="1709000408"/>
  </r>
  <r>
    <s v="1709000409"/>
    <d v="2018-02-15T00:00:00"/>
    <d v="2018-02-15T00:00:00"/>
    <s v="DZ"/>
    <s v="USD"/>
    <n v="16281"/>
    <n v="16281"/>
    <s v="BDT"/>
    <s v="EGM2"/>
    <n v="1341554.3999999999"/>
    <s v="CM ADVANCE ADJUST REF-424130565206"/>
    <s v="0000001010"/>
    <s v="04328180024KR"/>
    <s v=""/>
    <s v=""/>
    <s v="0"/>
    <s v="424130569462"/>
    <s v=""/>
    <s v=""/>
    <s v=""/>
    <s v=""/>
    <s v=""/>
    <x v="0"/>
    <d v="2018-02-28T00:00:00"/>
    <s v="1706000041"/>
    <d v="2018-02-15T00:00:00"/>
    <s v=""/>
    <s v="1709000409"/>
  </r>
  <r>
    <s v="1709000410"/>
    <d v="2018-02-15T00:00:00"/>
    <d v="2018-02-15T00:00:00"/>
    <s v="DZ"/>
    <s v="USD"/>
    <n v="35431"/>
    <n v="35431"/>
    <s v="BDT"/>
    <s v="EGM2"/>
    <n v="2919514.41"/>
    <s v="CM ADVANCE ADJUST REF-424130565206"/>
    <s v="0000001010"/>
    <s v="E24266VF17US0036"/>
    <s v=""/>
    <s v=""/>
    <s v="0"/>
    <s v="424130570717"/>
    <s v=""/>
    <s v=""/>
    <s v=""/>
    <s v=""/>
    <s v=""/>
    <x v="0"/>
    <d v="2018-02-28T00:00:00"/>
    <s v="1706000041"/>
    <d v="2018-02-15T00:00:00"/>
    <s v=""/>
    <s v="1709000410"/>
  </r>
  <r>
    <s v="1709000411"/>
    <d v="2018-02-15T00:00:00"/>
    <d v="2018-02-15T00:00:00"/>
    <s v="DZ"/>
    <s v="USD"/>
    <n v="14240"/>
    <n v="14240"/>
    <s v="BDT"/>
    <s v="EGM2"/>
    <n v="1173376"/>
    <s v="CM ADVANCE ADJUST REF-424130565206"/>
    <s v="0000001010"/>
    <s v="E24210VF17US0725"/>
    <s v=""/>
    <s v=""/>
    <s v="0"/>
    <s v="424130570726"/>
    <s v=""/>
    <s v=""/>
    <s v=""/>
    <s v=""/>
    <s v=""/>
    <x v="0"/>
    <d v="2018-02-28T00:00:00"/>
    <s v="1706000041"/>
    <d v="2018-02-15T00:00:00"/>
    <s v=""/>
    <s v="1709000411"/>
  </r>
  <r>
    <s v="1709000413"/>
    <d v="2018-02-18T00:00:00"/>
    <d v="2018-02-18T00:00:00"/>
    <s v="DZ"/>
    <s v="USD"/>
    <n v="14724"/>
    <n v="14724"/>
    <s v="BDT"/>
    <s v="EGM1"/>
    <n v="1213257.6000000001"/>
    <s v="CM ADVANCE ADJUST REF-424130565894"/>
    <s v="0000001010"/>
    <s v="E04133US18-0140"/>
    <s v=""/>
    <s v=""/>
    <s v="0"/>
    <s v="424130571164"/>
    <s v=""/>
    <s v=""/>
    <s v=""/>
    <s v=""/>
    <s v=""/>
    <x v="0"/>
    <d v="2018-03-31T00:00:00"/>
    <s v="1706000054"/>
    <d v="2018-02-18T00:00:00"/>
    <s v=""/>
    <s v="1709000413"/>
  </r>
  <r>
    <s v="1709000422"/>
    <d v="2018-02-25T00:00:00"/>
    <d v="2018-02-25T00:00:00"/>
    <s v="DZ"/>
    <s v="USD"/>
    <n v="-475138"/>
    <n v="-475138"/>
    <s v="BDT"/>
    <s v="EGM1"/>
    <n v="-39151371.200000003"/>
    <s v="CM ADVANCE RECEIVED REF-424130573322"/>
    <s v="0000001010"/>
    <s v="IT06591802200184"/>
    <s v=""/>
    <s v=""/>
    <s v="0"/>
    <s v="424130573322"/>
    <s v=""/>
    <s v=""/>
    <s v=""/>
    <s v=""/>
    <s v=""/>
    <x v="0"/>
    <d v="2018-03-31T00:00:00"/>
    <s v="1706000060"/>
    <d v="2018-02-25T00:00:00"/>
    <s v=""/>
    <s v="1709000422"/>
  </r>
  <r>
    <s v="1709000423"/>
    <d v="2018-02-25T00:00:00"/>
    <d v="2018-02-25T00:00:00"/>
    <s v="DZ"/>
    <s v="USD"/>
    <n v="-133257"/>
    <n v="-133257"/>
    <s v="BDT"/>
    <s v="EGM2"/>
    <n v="-10980376.800000001"/>
    <s v="CM ADVANCE RECEIVED REF-424130573331"/>
    <s v="0000001010"/>
    <s v="IT06591802200180"/>
    <s v=""/>
    <s v=""/>
    <s v="0"/>
    <s v="424130573331"/>
    <s v=""/>
    <s v=""/>
    <s v=""/>
    <s v=""/>
    <s v=""/>
    <x v="0"/>
    <d v="2018-03-31T00:00:00"/>
    <s v="1706000052"/>
    <d v="2018-02-25T00:00:00"/>
    <s v=""/>
    <s v="1709000423"/>
  </r>
  <r>
    <s v="1709000424"/>
    <d v="2018-02-26T00:00:00"/>
    <d v="2018-02-26T00:00:00"/>
    <s v="DZ"/>
    <s v="USD"/>
    <n v="28782"/>
    <n v="28782"/>
    <s v="BDT"/>
    <s v="EGM2"/>
    <n v="2371636.7999999998"/>
    <s v="CM ADVANCE ADJUST REF-424130568999"/>
    <s v="0000001010"/>
    <s v="E24082VF17US0682"/>
    <s v=""/>
    <s v=""/>
    <s v="0"/>
    <s v="424130573876"/>
    <s v=""/>
    <s v=""/>
    <s v=""/>
    <s v=""/>
    <s v=""/>
    <x v="0"/>
    <d v="2018-03-31T00:00:00"/>
    <s v="1706000048"/>
    <d v="2018-02-26T00:00:00"/>
    <s v=""/>
    <s v="1709000424"/>
  </r>
  <r>
    <s v="1709000425"/>
    <d v="2018-02-26T00:00:00"/>
    <d v="2018-02-26T00:00:00"/>
    <s v="DZ"/>
    <s v="USD"/>
    <n v="33483"/>
    <n v="33483"/>
    <s v="BDT"/>
    <s v="EGM1"/>
    <n v="2758999.2"/>
    <s v="CM ADVANCE ADJUST REF-424130565199"/>
    <s v="0000001010"/>
    <s v="E04261US18-0129"/>
    <s v=""/>
    <s v=""/>
    <s v="0"/>
    <s v="424130573885"/>
    <s v=""/>
    <s v=""/>
    <s v=""/>
    <s v=""/>
    <s v=""/>
    <x v="0"/>
    <d v="2018-03-31T00:00:00"/>
    <s v="1706000055"/>
    <d v="2018-02-26T00:00:00"/>
    <s v=""/>
    <s v="1709000425"/>
  </r>
  <r>
    <s v="1709000425"/>
    <d v="2018-02-26T00:00:00"/>
    <d v="2018-02-26T00:00:00"/>
    <s v="DZ"/>
    <s v="USD"/>
    <n v="153513"/>
    <n v="153513"/>
    <s v="BDT"/>
    <s v="EGM1"/>
    <n v="12649471.199999999"/>
    <s v="CM ADVANCE ADJUST REF-424130565894"/>
    <s v="0000001010"/>
    <s v="E04261US18-0129"/>
    <s v=""/>
    <s v=""/>
    <s v="0"/>
    <s v="424130573885"/>
    <s v=""/>
    <s v=""/>
    <s v=""/>
    <s v=""/>
    <s v=""/>
    <x v="0"/>
    <d v="2018-03-31T00:00:00"/>
    <s v="1706000054"/>
    <d v="2018-02-26T00:00:00"/>
    <s v=""/>
    <s v="1709000425"/>
  </r>
  <r>
    <s v="1709000426"/>
    <d v="2018-02-28T00:00:00"/>
    <d v="2018-02-28T00:00:00"/>
    <s v="DZ"/>
    <s v="USD"/>
    <n v="9652"/>
    <n v="9652"/>
    <s v="BDT"/>
    <s v="EGM2"/>
    <n v="795324.8"/>
    <s v="CM ADVANCE ADJUST REF-424130568999"/>
    <s v="0000001010"/>
    <s v="E04374180053ES"/>
    <s v=""/>
    <s v=""/>
    <s v="0"/>
    <s v="424130575534"/>
    <s v=""/>
    <s v=""/>
    <s v=""/>
    <s v=""/>
    <s v=""/>
    <x v="0"/>
    <d v="2018-03-31T00:00:00"/>
    <s v="1706000048"/>
    <d v="2018-02-28T00:00:00"/>
    <s v=""/>
    <s v="1709000426"/>
  </r>
  <r>
    <s v="1709000427"/>
    <d v="2018-02-28T00:00:00"/>
    <d v="2018-02-28T00:00:00"/>
    <s v="DZ"/>
    <s v="USD"/>
    <n v="76759"/>
    <n v="76759"/>
    <s v="BDT"/>
    <s v="EGM1"/>
    <n v="6324941.5999999996"/>
    <s v="CM ADVANCE ADJUST REF-424130573322"/>
    <s v="0000001010"/>
    <s v="E04289US-0164"/>
    <s v=""/>
    <s v=""/>
    <s v="0"/>
    <s v="424130576070"/>
    <s v=""/>
    <s v=""/>
    <s v=""/>
    <s v=""/>
    <s v=""/>
    <x v="0"/>
    <d v="2018-03-31T00:00:00"/>
    <s v="1706000060"/>
    <d v="2018-02-28T00:00:00"/>
    <s v=""/>
    <s v="1709000427"/>
  </r>
  <r>
    <s v="1709000427"/>
    <d v="2018-02-28T00:00:00"/>
    <d v="2018-02-28T00:00:00"/>
    <s v="DZ"/>
    <s v="USD"/>
    <n v="150213"/>
    <n v="150213"/>
    <s v="BDT"/>
    <s v="EGM1"/>
    <n v="12377551.199999999"/>
    <s v="CM ADVANCE ADJUST REF-424130569015"/>
    <s v="0000001010"/>
    <s v="E04289US-0164"/>
    <s v=""/>
    <s v=""/>
    <s v="0"/>
    <s v="424130576070"/>
    <s v=""/>
    <s v=""/>
    <s v=""/>
    <s v=""/>
    <s v=""/>
    <x v="0"/>
    <d v="2018-03-31T00:00:00"/>
    <s v="1706000058"/>
    <d v="2018-02-28T00:00:00"/>
    <s v=""/>
    <s v="1709000427"/>
  </r>
  <r>
    <s v="1709000428"/>
    <d v="2018-02-28T00:00:00"/>
    <d v="2018-02-28T00:00:00"/>
    <s v="DZ"/>
    <s v="USD"/>
    <n v="68245"/>
    <n v="68245"/>
    <s v="BDT"/>
    <s v="EGM1"/>
    <n v="5623388"/>
    <s v="CM ADVANCE ADJUST REF-424130573322"/>
    <s v="0000001010"/>
    <s v="E04283US18-0159"/>
    <s v=""/>
    <s v=""/>
    <s v="0"/>
    <s v="424130576043"/>
    <s v=""/>
    <s v=""/>
    <s v=""/>
    <s v=""/>
    <s v=""/>
    <x v="0"/>
    <d v="2018-03-31T00:00:00"/>
    <s v="1706000060"/>
    <d v="2018-02-28T00:00:00"/>
    <s v=""/>
    <s v="1709000428"/>
  </r>
  <r>
    <s v="1709000428"/>
    <d v="2018-02-28T00:00:00"/>
    <d v="2018-02-28T00:00:00"/>
    <s v="DZ"/>
    <s v="USD"/>
    <n v="101629"/>
    <n v="101629"/>
    <s v="BDT"/>
    <s v="EGM1"/>
    <n v="8374229.5999999996"/>
    <s v="CM ADVANCE ADJUST REF-424130569015"/>
    <s v="0000001010"/>
    <s v="E04283US18-0159"/>
    <s v=""/>
    <s v=""/>
    <s v="0"/>
    <s v="424130576043"/>
    <s v=""/>
    <s v=""/>
    <s v=""/>
    <s v=""/>
    <s v=""/>
    <x v="0"/>
    <d v="2018-03-31T00:00:00"/>
    <s v="1706000058"/>
    <d v="2018-02-28T00:00:00"/>
    <s v=""/>
    <s v="1709000428"/>
  </r>
  <r>
    <s v="1709000429"/>
    <d v="2018-02-28T00:00:00"/>
    <d v="2018-02-28T00:00:00"/>
    <s v="DZ"/>
    <s v="USD"/>
    <n v="12191"/>
    <n v="12191"/>
    <s v="BDT"/>
    <s v="EGM1"/>
    <n v="1004538.4"/>
    <s v="CM ADVANCE ADJUST REF-424130565199"/>
    <s v="0000001010"/>
    <s v="E04289US18-0061"/>
    <s v=""/>
    <s v=""/>
    <s v="0"/>
    <s v="424130575570"/>
    <s v=""/>
    <s v=""/>
    <s v=""/>
    <s v=""/>
    <s v=""/>
    <x v="0"/>
    <d v="2018-03-31T00:00:00"/>
    <s v="1706000055"/>
    <d v="2018-02-28T00:00:00"/>
    <s v=""/>
    <s v="1709000429"/>
  </r>
  <r>
    <s v="1709000430"/>
    <d v="2018-02-28T00:00:00"/>
    <d v="2018-02-28T00:00:00"/>
    <s v="DZ"/>
    <s v="USD"/>
    <n v="23416"/>
    <n v="23416"/>
    <s v="BDT"/>
    <s v="EGM1"/>
    <n v="1929478.4"/>
    <s v="CM ADVANCE ADJUST REF-424130569015"/>
    <s v="0000001010"/>
    <s v="E4196SB18UK0186"/>
    <s v=""/>
    <s v=""/>
    <s v="0"/>
    <s v="424130576007"/>
    <s v=""/>
    <s v=""/>
    <s v=""/>
    <s v=""/>
    <s v=""/>
    <x v="0"/>
    <d v="2018-03-31T00:00:00"/>
    <s v="1706000058"/>
    <d v="2018-02-28T00:00:00"/>
    <s v=""/>
    <s v="1709000430"/>
  </r>
  <r>
    <s v="1709000431"/>
    <d v="2018-02-28T00:00:00"/>
    <d v="2018-02-28T00:00:00"/>
    <s v="DZ"/>
    <s v="USD"/>
    <n v="11233"/>
    <n v="11233"/>
    <s v="BDT"/>
    <s v="EGM1"/>
    <n v="925599.2"/>
    <s v="CM ADVANCE ADJUST REF-424130573322"/>
    <s v="0000001010"/>
    <s v="E04133US18-0147"/>
    <s v=""/>
    <s v=""/>
    <s v="0"/>
    <s v="424130575552"/>
    <s v=""/>
    <s v=""/>
    <s v=""/>
    <s v=""/>
    <s v=""/>
    <x v="0"/>
    <d v="2018-03-31T00:00:00"/>
    <s v="1706000060"/>
    <d v="2018-02-28T00:00:00"/>
    <s v=""/>
    <s v="1709000431"/>
  </r>
  <r>
    <s v="1709000431"/>
    <d v="2018-02-28T00:00:00"/>
    <d v="2018-02-28T00:00:00"/>
    <s v="DZ"/>
    <s v="USD"/>
    <n v="28667"/>
    <n v="28667"/>
    <s v="BDT"/>
    <s v="EGM1"/>
    <n v="2362160.7999999998"/>
    <s v="CM ADVANCE ADJUST REF-424130569015"/>
    <s v="0000001010"/>
    <s v="E04133US18-0147"/>
    <s v=""/>
    <s v=""/>
    <s v="0"/>
    <s v="424130575552"/>
    <s v=""/>
    <s v=""/>
    <s v=""/>
    <s v=""/>
    <s v=""/>
    <x v="0"/>
    <d v="2018-03-31T00:00:00"/>
    <s v="1706000058"/>
    <d v="2018-02-28T00:00:00"/>
    <s v=""/>
    <s v="1709000431"/>
  </r>
  <r>
    <s v="1709000432"/>
    <d v="2018-02-28T00:00:00"/>
    <d v="2018-02-28T00:00:00"/>
    <s v="DZ"/>
    <s v="USD"/>
    <n v="13884"/>
    <n v="13884"/>
    <s v="BDT"/>
    <s v="EGM1"/>
    <n v="1144041.6000000001"/>
    <s v="CM ADVANCE ADJUST REF-424130565894"/>
    <s v="0000001010"/>
    <s v="E4291SB18UK0144"/>
    <s v=""/>
    <s v=""/>
    <s v="0"/>
    <s v="424130576016"/>
    <s v=""/>
    <s v=""/>
    <s v=""/>
    <s v=""/>
    <s v=""/>
    <x v="0"/>
    <d v="2018-03-31T00:00:00"/>
    <s v="1706000054"/>
    <d v="2018-02-28T00:00:00"/>
    <s v=""/>
    <s v="1709000432"/>
  </r>
  <r>
    <s v="1709000433"/>
    <d v="2018-02-28T00:00:00"/>
    <d v="2018-02-28T00:00:00"/>
    <s v="DZ"/>
    <s v="USD"/>
    <n v="16394"/>
    <n v="16394"/>
    <s v="BDT"/>
    <s v="EGM1"/>
    <n v="1350865.6"/>
    <s v="CM ADVANCE ADJUST REF-424130569015"/>
    <s v="0000001010"/>
    <s v="E04133US18-0148"/>
    <s v=""/>
    <s v=""/>
    <s v="0"/>
    <s v="424130576025"/>
    <s v=""/>
    <s v=""/>
    <s v=""/>
    <s v=""/>
    <s v=""/>
    <x v="0"/>
    <d v="2018-03-31T00:00:00"/>
    <s v="1706000058"/>
    <d v="2018-02-28T00:00:00"/>
    <s v=""/>
    <s v="1709000433"/>
  </r>
  <r>
    <s v="1709000434"/>
    <d v="2018-02-28T00:00:00"/>
    <d v="2018-02-28T00:00:00"/>
    <s v="DZ"/>
    <s v="USD"/>
    <n v="51831"/>
    <n v="51831"/>
    <s v="BDT"/>
    <s v="EGM1"/>
    <n v="4270874.4000000004"/>
    <s v="CM ADVANCE ADJUST REF-424130573322"/>
    <s v="0000001010"/>
    <s v="E04283US18-0170"/>
    <s v=""/>
    <s v=""/>
    <s v="0"/>
    <s v="424130576034"/>
    <s v=""/>
    <s v=""/>
    <s v=""/>
    <s v=""/>
    <s v=""/>
    <x v="0"/>
    <d v="2018-03-31T00:00:00"/>
    <s v="1706000060"/>
    <d v="2018-02-28T00:00:00"/>
    <s v=""/>
    <s v="1709000434"/>
  </r>
  <r>
    <s v="1709000435"/>
    <d v="2018-02-28T00:00:00"/>
    <d v="2018-02-28T00:00:00"/>
    <s v="DZ"/>
    <s v="USD"/>
    <n v="5442"/>
    <n v="5442"/>
    <s v="BDT"/>
    <s v="EGM1"/>
    <n v="448420.8"/>
    <s v="CM ADVANCE ADJUST REF-424130573322"/>
    <s v="0000001010"/>
    <s v="E04211WM18JP0008"/>
    <s v=""/>
    <s v=""/>
    <s v="0"/>
    <s v="424130575561"/>
    <s v=""/>
    <s v=""/>
    <s v=""/>
    <s v=""/>
    <s v=""/>
    <x v="0"/>
    <d v="2018-03-31T00:00:00"/>
    <s v="1706000060"/>
    <d v="2018-02-28T00:00:00"/>
    <s v=""/>
    <s v="1709000435"/>
  </r>
  <r>
    <s v="1709000436"/>
    <d v="2018-02-28T00:00:00"/>
    <d v="2018-02-28T00:00:00"/>
    <s v="DZ"/>
    <s v="USD"/>
    <n v="27573"/>
    <n v="27573"/>
    <s v="BDT"/>
    <s v="EGM2"/>
    <n v="2272015.2000000002"/>
    <s v="CM ADVANCE ADJUST REF-424130568999"/>
    <s v="0000001010"/>
    <s v="04374180065US"/>
    <s v=""/>
    <s v=""/>
    <s v="0"/>
    <s v="424130575543"/>
    <s v=""/>
    <s v=""/>
    <s v=""/>
    <s v=""/>
    <s v=""/>
    <x v="0"/>
    <d v="2018-03-31T00:00:00"/>
    <s v="1706000048"/>
    <d v="2018-02-28T00:00:00"/>
    <s v=""/>
    <s v="1709000436"/>
  </r>
  <r>
    <s v="1709000437"/>
    <d v="2018-02-15T00:00:00"/>
    <d v="2018-02-15T00:00:00"/>
    <s v="DZ"/>
    <s v="USD"/>
    <n v="90669"/>
    <n v="90669"/>
    <s v="BDT"/>
    <s v="EGM1"/>
    <n v="7452991.7999999998"/>
    <s v="CM ADVANCE ADJUST REF-424130563100"/>
    <s v="0000001010"/>
    <s v="E04204US18-0056"/>
    <s v=""/>
    <s v=""/>
    <s v="0"/>
    <s v="424130569499"/>
    <s v=""/>
    <s v=""/>
    <s v=""/>
    <s v=""/>
    <s v=""/>
    <x v="0"/>
    <d v="2018-03-31T00:00:00"/>
    <s v="1706000056"/>
    <d v="2018-02-15T00:00:00"/>
    <s v=""/>
    <s v="1709000437"/>
  </r>
  <r>
    <s v="1709000441"/>
    <d v="2018-02-13T00:00:00"/>
    <d v="2018-02-13T00:00:00"/>
    <s v="DZ"/>
    <s v="USD"/>
    <n v="19445"/>
    <n v="19445"/>
    <s v="BDT"/>
    <s v="EGM1"/>
    <n v="1602268"/>
    <s v="CM ADVANCE ADJUST REF-424130565199"/>
    <s v="0000001010"/>
    <s v="DASH/18/STK/0107"/>
    <s v=""/>
    <s v=""/>
    <s v="0"/>
    <s v="424130569024"/>
    <s v=""/>
    <s v=""/>
    <s v=""/>
    <s v=""/>
    <s v=""/>
    <x v="0"/>
    <d v="2018-03-31T00:00:00"/>
    <s v="1706000055"/>
    <d v="2018-02-13T00:00:00"/>
    <s v=""/>
    <s v="1709000441"/>
  </r>
  <r>
    <s v="1709000443"/>
    <d v="2018-03-01T00:00:00"/>
    <d v="2018-03-01T00:00:00"/>
    <s v="DZ"/>
    <s v="USD"/>
    <n v="-85116"/>
    <n v="-85116"/>
    <s v="BDT"/>
    <s v="EGM2"/>
    <n v="-7022070.0099999998"/>
    <s v="CM ADVANCE RECEIVED REF-424130576472"/>
    <s v="0000001010"/>
    <s v="IT06591803010108"/>
    <s v=""/>
    <s v=""/>
    <s v="0"/>
    <s v="424130576472"/>
    <s v=""/>
    <s v=""/>
    <s v=""/>
    <s v=""/>
    <s v=""/>
    <x v="0"/>
    <d v="2018-03-31T00:00:00"/>
    <s v="1706000057"/>
    <d v="2018-03-01T00:00:00"/>
    <s v=""/>
    <s v="1709000443"/>
  </r>
  <r>
    <s v="1709000444"/>
    <d v="2018-03-04T00:00:00"/>
    <d v="2018-03-04T00:00:00"/>
    <s v="DZ"/>
    <s v="USD"/>
    <n v="-643892"/>
    <n v="-643892"/>
    <s v="BDT"/>
    <s v="EGM1"/>
    <n v="-53121090.020000003"/>
    <s v="CM ADVANCE RECEIVED REF-424130577694"/>
    <s v="0000001010"/>
    <s v="IT06591803030010"/>
    <s v=""/>
    <s v=""/>
    <s v="0"/>
    <s v="424130577694"/>
    <s v=""/>
    <s v=""/>
    <s v=""/>
    <s v=""/>
    <s v=""/>
    <x v="0"/>
    <d v="2018-03-31T00:00:00"/>
    <s v="1706000059"/>
    <d v="2018-03-04T00:00:00"/>
    <s v=""/>
    <s v="1709000444"/>
  </r>
  <r>
    <s v="1709000445"/>
    <d v="2018-03-04T00:00:00"/>
    <d v="2018-03-04T00:00:00"/>
    <s v="DZ"/>
    <s v="USD"/>
    <n v="79682"/>
    <n v="79682"/>
    <s v="BDT"/>
    <s v="EGM1"/>
    <n v="6565796.7999999998"/>
    <s v="CM ADVANCE ADJUST REF-424130569015"/>
    <s v="0000001010"/>
    <s v="E04303US18-0177"/>
    <s v=""/>
    <s v=""/>
    <s v="0"/>
    <s v="424130577747"/>
    <s v=""/>
    <s v=""/>
    <s v=""/>
    <s v=""/>
    <s v=""/>
    <x v="0"/>
    <d v="2018-03-31T00:00:00"/>
    <s v="1706000058"/>
    <d v="2018-03-04T00:00:00"/>
    <s v=""/>
    <s v="1709000445"/>
  </r>
  <r>
    <s v="1709000446"/>
    <d v="2018-03-04T00:00:00"/>
    <d v="2018-03-04T00:00:00"/>
    <s v="DZ"/>
    <s v="USD"/>
    <n v="242773"/>
    <n v="242773"/>
    <s v="BDT"/>
    <s v="EGM1"/>
    <n v="20004495.199999999"/>
    <s v="CM ADVANCE ADJUST REF-424130573322"/>
    <s v="0000001010"/>
    <s v="E04283US18-167"/>
    <s v=""/>
    <s v=""/>
    <s v="0"/>
    <s v="424130577756"/>
    <s v=""/>
    <s v=""/>
    <s v=""/>
    <s v=""/>
    <s v=""/>
    <x v="0"/>
    <d v="2018-03-31T00:00:00"/>
    <s v="1706000060"/>
    <d v="2018-03-04T00:00:00"/>
    <s v=""/>
    <s v="1709000446"/>
  </r>
  <r>
    <s v="1709000446"/>
    <d v="2018-03-04T00:00:00"/>
    <d v="2018-03-04T00:00:00"/>
    <s v="DZ"/>
    <s v="USD"/>
    <n v="46188"/>
    <n v="46188"/>
    <s v="BDT"/>
    <s v="EGM1"/>
    <n v="3805891.2"/>
    <s v="CM ADVANCE ADJUST REF-424130569015"/>
    <s v="0000001010"/>
    <s v="E04283US18-167"/>
    <s v=""/>
    <s v=""/>
    <s v="0"/>
    <s v="424130577756"/>
    <s v=""/>
    <s v=""/>
    <s v=""/>
    <s v=""/>
    <s v=""/>
    <x v="0"/>
    <d v="2018-03-31T00:00:00"/>
    <s v="1706000058"/>
    <d v="2018-03-04T00:00:00"/>
    <s v=""/>
    <s v="1709000446"/>
  </r>
  <r>
    <s v="1709000448"/>
    <d v="2018-03-05T00:00:00"/>
    <d v="2018-03-05T00:00:00"/>
    <s v="DZ"/>
    <s v="USD"/>
    <n v="1052"/>
    <n v="1052"/>
    <s v="BDT"/>
    <s v="EGM1"/>
    <n v="86684.800000000003"/>
    <s v="CM ADVANCE ADJUST REF-424130569015"/>
    <s v="0000001010"/>
    <s v="E04309US18-0163"/>
    <s v=""/>
    <s v=""/>
    <s v="0"/>
    <s v="424130578513"/>
    <s v=""/>
    <s v=""/>
    <s v=""/>
    <s v=""/>
    <s v=""/>
    <x v="0"/>
    <d v="2018-03-31T00:00:00"/>
    <s v="1706000058"/>
    <d v="2018-03-05T00:00:00"/>
    <s v=""/>
    <s v="1709000448"/>
  </r>
  <r>
    <s v="1709000449"/>
    <d v="2018-03-05T00:00:00"/>
    <d v="2018-03-05T00:00:00"/>
    <s v="DZ"/>
    <s v="USD"/>
    <n v="18399"/>
    <n v="18399"/>
    <s v="BDT"/>
    <s v="EGM1"/>
    <n v="1516077.6"/>
    <s v="CM ADVANCE ADJUST REF-424130569015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9000449"/>
  </r>
  <r>
    <s v="1709000449"/>
    <d v="2018-03-05T00:00:00"/>
    <d v="2018-03-05T00:00:00"/>
    <s v="DZ"/>
    <s v="USD"/>
    <n v="3986"/>
    <n v="3986"/>
    <s v="BDT"/>
    <s v="EGM1"/>
    <n v="328446.40000000002"/>
    <s v="CM ADVANCE ADJUST REF-424130565199"/>
    <s v="0000001010"/>
    <s v="E04067WM18CA0079"/>
    <s v=""/>
    <s v=""/>
    <s v="0"/>
    <s v="424130578522"/>
    <s v=""/>
    <s v=""/>
    <s v=""/>
    <s v=""/>
    <s v=""/>
    <x v="0"/>
    <d v="2018-03-05T00:00:00"/>
    <s v="1703010675"/>
    <d v="2018-03-05T00:00:00"/>
    <s v=""/>
    <s v="1709000449"/>
  </r>
  <r>
    <s v="1709000450"/>
    <d v="2018-03-05T00:00:00"/>
    <d v="2018-03-05T00:00:00"/>
    <s v="DZ"/>
    <s v="USD"/>
    <n v="10574"/>
    <n v="10574"/>
    <s v="BDT"/>
    <s v="EGM2"/>
    <n v="871297.6"/>
    <s v="CM ADVANCE ADJUST REF-424130568999"/>
    <s v="0000001010"/>
    <s v="04374180072BE"/>
    <s v=""/>
    <s v=""/>
    <s v="0"/>
    <s v="424130578540"/>
    <s v=""/>
    <s v=""/>
    <s v=""/>
    <s v=""/>
    <s v=""/>
    <x v="0"/>
    <d v="2018-03-31T00:00:00"/>
    <s v="1706000048"/>
    <d v="2018-03-05T00:00:00"/>
    <s v=""/>
    <s v="1709000450"/>
  </r>
  <r>
    <s v="1709000451"/>
    <d v="2018-03-06T00:00:00"/>
    <d v="2018-03-06T00:00:00"/>
    <s v="DZ"/>
    <s v="USD"/>
    <n v="96243"/>
    <n v="96243"/>
    <s v="BDT"/>
    <s v="EGM2"/>
    <n v="7930423.2000000002"/>
    <s v="CM ADVANCE ADJUST REF-424130573331"/>
    <s v="0000001010"/>
    <s v="E24266VF17US0099"/>
    <s v=""/>
    <s v=""/>
    <s v="0"/>
    <s v="424130579291"/>
    <s v=""/>
    <s v=""/>
    <s v=""/>
    <s v=""/>
    <s v=""/>
    <x v="0"/>
    <d v="2018-03-31T00:00:00"/>
    <s v="1706000052"/>
    <d v="2018-03-06T00:00:00"/>
    <s v=""/>
    <s v="1709000451"/>
  </r>
  <r>
    <s v="1709000452"/>
    <d v="2018-03-07T00:00:00"/>
    <d v="2018-03-07T00:00:00"/>
    <s v="DZ"/>
    <s v="USD"/>
    <n v="-132473"/>
    <n v="-132473"/>
    <s v="BDT"/>
    <s v="EGM1"/>
    <n v="-10929022.51"/>
    <s v="CM ADVANCE RECEIVED REF-424130579512"/>
    <s v="0000001010"/>
    <s v="IT06591803060205"/>
    <s v=""/>
    <s v=""/>
    <s v="0"/>
    <s v="424130579512"/>
    <s v=""/>
    <s v=""/>
    <s v=""/>
    <s v=""/>
    <s v=""/>
    <x v="0"/>
    <d v="2018-03-31T00:00:00"/>
    <s v="1706000051"/>
    <d v="2018-03-07T00:00:00"/>
    <s v=""/>
    <s v="1709000452"/>
  </r>
  <r>
    <s v="1709000453"/>
    <d v="2018-03-07T00:00:00"/>
    <d v="2018-03-07T00:00:00"/>
    <s v="DZ"/>
    <s v="USD"/>
    <n v="15030"/>
    <n v="15030"/>
    <s v="BDT"/>
    <s v="EGM2"/>
    <n v="1239975"/>
    <s v="CM ADVANCE ADJUST REF-424130576472"/>
    <s v="0000001010"/>
    <s v="E24310VF18US0103"/>
    <s v=""/>
    <s v=""/>
    <s v="0"/>
    <s v="424130579273"/>
    <s v=""/>
    <s v=""/>
    <s v=""/>
    <s v=""/>
    <s v=""/>
    <x v="0"/>
    <d v="2018-03-31T00:00:00"/>
    <s v="1706000057"/>
    <d v="2018-03-07T00:00:00"/>
    <s v=""/>
    <s v="1709000453"/>
  </r>
  <r>
    <s v="1709000454"/>
    <d v="2018-03-07T00:00:00"/>
    <d v="2018-03-07T00:00:00"/>
    <s v="DZ"/>
    <s v="USD"/>
    <n v="27256"/>
    <n v="27256"/>
    <s v="BDT"/>
    <s v="EGM2"/>
    <n v="2245894.4"/>
    <s v="CM ADVANCE ADJUST REF-424130573331"/>
    <s v="0000001010"/>
    <s v="04374180071IT"/>
    <s v=""/>
    <s v=""/>
    <s v="0"/>
    <s v="424130579282"/>
    <s v=""/>
    <s v=""/>
    <s v=""/>
    <s v=""/>
    <s v=""/>
    <x v="0"/>
    <d v="2018-03-31T00:00:00"/>
    <s v="1706000052"/>
    <d v="2018-03-07T00:00:00"/>
    <s v=""/>
    <s v="1709000454"/>
  </r>
  <r>
    <s v="1709000454"/>
    <d v="2018-03-07T00:00:00"/>
    <d v="2018-03-07T00:00:00"/>
    <s v="DZ"/>
    <s v="USD"/>
    <n v="2279"/>
    <n v="2279"/>
    <s v="BDT"/>
    <s v="EGM2"/>
    <n v="187789.6"/>
    <s v="CM ADVANCE ADJUST REF-424130568999"/>
    <s v="0000001010"/>
    <s v="04374180071IT"/>
    <s v=""/>
    <s v=""/>
    <s v="0"/>
    <s v="424130579282"/>
    <s v=""/>
    <s v=""/>
    <s v=""/>
    <s v=""/>
    <s v=""/>
    <x v="0"/>
    <d v="2018-03-31T00:00:00"/>
    <s v="1706000048"/>
    <d v="2018-03-07T00:00:00"/>
    <s v=""/>
    <s v="1709000454"/>
  </r>
  <r>
    <s v="1709000458"/>
    <d v="2018-03-08T00:00:00"/>
    <d v="2018-03-08T00:00:00"/>
    <s v="DZ"/>
    <s v="USD"/>
    <n v="176926"/>
    <n v="176926"/>
    <s v="BDT"/>
    <s v="EGM1"/>
    <n v="14596395.01"/>
    <s v="CM ADVANCE ADJUST REF-424130577694"/>
    <s v="0000001010"/>
    <s v="E04302US18-0189"/>
    <s v=""/>
    <s v=""/>
    <s v="0"/>
    <s v="424130580519"/>
    <s v=""/>
    <s v=""/>
    <s v=""/>
    <s v=""/>
    <s v=""/>
    <x v="0"/>
    <d v="2018-03-31T00:00:00"/>
    <s v="1706000059"/>
    <d v="2018-03-08T00:00:00"/>
    <s v=""/>
    <s v="1709000458"/>
  </r>
  <r>
    <s v="1709000459"/>
    <d v="2018-03-08T00:00:00"/>
    <d v="2018-03-08T00:00:00"/>
    <s v="DZ"/>
    <s v="USD"/>
    <n v="10023"/>
    <n v="10023"/>
    <s v="BDT"/>
    <s v="EGM2"/>
    <n v="826897.5"/>
    <s v="CM ADVANCE ADJUST REF-424130576472"/>
    <s v="0000001010"/>
    <s v="E24310VF18US0098"/>
    <s v=""/>
    <s v=""/>
    <s v="0"/>
    <s v="424130580546"/>
    <s v=""/>
    <s v=""/>
    <s v=""/>
    <s v=""/>
    <s v=""/>
    <x v="0"/>
    <d v="2018-03-31T00:00:00"/>
    <s v="1706000057"/>
    <d v="2018-03-08T00:00:00"/>
    <s v=""/>
    <s v="1709000459"/>
  </r>
  <r>
    <s v="1709000460"/>
    <d v="2018-03-11T00:00:00"/>
    <d v="2018-03-11T00:00:00"/>
    <s v="DZ"/>
    <s v="USD"/>
    <n v="13879"/>
    <n v="13879"/>
    <s v="BDT"/>
    <s v="EGM2"/>
    <n v="1145017.5"/>
    <s v="CM ADVANCE ADJUST REF-424130576472"/>
    <s v="0000001010"/>
    <s v="E24316VF18US0124"/>
    <s v=""/>
    <s v=""/>
    <s v="0"/>
    <s v="424130581331"/>
    <s v=""/>
    <s v=""/>
    <s v=""/>
    <s v=""/>
    <s v=""/>
    <x v="0"/>
    <d v="2018-03-31T00:00:00"/>
    <s v="1706000057"/>
    <d v="2018-03-11T00:00:00"/>
    <s v=""/>
    <s v="1709000460"/>
  </r>
  <r>
    <s v="1709000462"/>
    <d v="2018-03-12T00:00:00"/>
    <d v="2018-03-12T00:00:00"/>
    <s v="DZ"/>
    <s v="USD"/>
    <n v="1583"/>
    <n v="1583"/>
    <s v="BDT"/>
    <s v="EGM2"/>
    <n v="130597.5"/>
    <s v="CM ADVANCE ADJUST REF-424130576472"/>
    <s v="0000001010"/>
    <s v="04374180110JP"/>
    <s v=""/>
    <s v=""/>
    <s v="0"/>
    <s v="424130581340"/>
    <s v=""/>
    <s v=""/>
    <s v=""/>
    <s v=""/>
    <s v=""/>
    <x v="0"/>
    <d v="2018-03-31T00:00:00"/>
    <s v="1706000057"/>
    <d v="2018-03-12T00:00:00"/>
    <s v=""/>
    <s v="1709000462"/>
  </r>
  <r>
    <s v="1709000463"/>
    <d v="2018-03-12T00:00:00"/>
    <d v="2018-03-12T00:00:00"/>
    <s v="DZ"/>
    <s v="USD"/>
    <n v="217335"/>
    <n v="217335"/>
    <s v="BDT"/>
    <s v="EGM1"/>
    <n v="17930137.510000002"/>
    <s v="CM ADVANCE ADJUST REF-424130577694"/>
    <s v="0000001010"/>
    <s v="E04181US180201"/>
    <s v=""/>
    <s v=""/>
    <s v="0"/>
    <s v="424130581313"/>
    <s v=""/>
    <s v=""/>
    <s v=""/>
    <s v=""/>
    <s v=""/>
    <x v="0"/>
    <d v="2018-03-31T00:00:00"/>
    <s v="1706000059"/>
    <d v="2018-03-12T00:00:00"/>
    <s v=""/>
    <s v="1709000463"/>
  </r>
  <r>
    <s v="1709000464"/>
    <d v="2018-03-12T00:00:00"/>
    <d v="2018-03-12T00:00:00"/>
    <s v="DZ"/>
    <s v="USD"/>
    <n v="18855"/>
    <n v="18855"/>
    <s v="BDT"/>
    <s v="EGM1"/>
    <n v="1553652"/>
    <s v="CM ADVANCE ADJUST REF-424130573322"/>
    <s v="0000001010"/>
    <s v="E4307SB18UK0202"/>
    <s v=""/>
    <s v=""/>
    <s v="0"/>
    <s v="424130581322"/>
    <s v=""/>
    <s v=""/>
    <s v=""/>
    <s v=""/>
    <s v=""/>
    <x v="0"/>
    <d v="2018-03-31T00:00:00"/>
    <s v="1706000060"/>
    <d v="2018-03-12T00:00:00"/>
    <s v=""/>
    <s v="1709000464"/>
  </r>
  <r>
    <s v="1709000467"/>
    <d v="2018-03-12T00:00:00"/>
    <d v="2018-03-12T00:00:00"/>
    <s v="DZ"/>
    <s v="USD"/>
    <n v="-92997"/>
    <n v="-92997"/>
    <s v="BDT"/>
    <s v="EGM1"/>
    <n v="-7672252.5099999998"/>
    <s v="CM ADVANCE RECEIVED REF-424130581297"/>
    <s v="0000001010"/>
    <s v="IT06591803080224"/>
    <s v=""/>
    <s v=""/>
    <s v="0"/>
    <s v="424130581297"/>
    <s v=""/>
    <s v=""/>
    <s v=""/>
    <s v=""/>
    <s v=""/>
    <x v="0"/>
    <d v="2018-03-31T00:00:00"/>
    <s v="1706000050"/>
    <d v="2018-03-12T00:00:00"/>
    <s v=""/>
    <s v="1709000467"/>
  </r>
  <r>
    <s v="1709000469"/>
    <d v="2018-02-28T00:00:00"/>
    <d v="2018-02-28T00:00:00"/>
    <s v="DZ"/>
    <s v="USD"/>
    <n v="-85114"/>
    <n v="-85114"/>
    <s v="BDT"/>
    <s v="EGM1"/>
    <n v="-7021905"/>
    <s v="FIT-CM ADV-FEB-18"/>
    <s v="0000001010"/>
    <s v="FIT-CM ADV-FEB18"/>
    <s v=""/>
    <s v=""/>
    <s v="0"/>
    <s v="CM ADV. FIT - FEB-18"/>
    <s v=""/>
    <s v=""/>
    <s v=""/>
    <s v=""/>
    <s v=""/>
    <x v="0"/>
    <d v="2018-03-01T00:00:00"/>
    <s v="1703010881"/>
    <d v="2018-02-28T00:00:00"/>
    <s v=""/>
    <s v="1709000469"/>
  </r>
  <r>
    <s v="1709000471"/>
    <d v="2018-03-13T00:00:00"/>
    <d v="2018-03-13T00:00:00"/>
    <s v="DZ"/>
    <s v="USD"/>
    <n v="9758"/>
    <n v="9758"/>
    <s v="BDT"/>
    <s v="EGM2"/>
    <n v="804059.2"/>
    <s v="CM ADVANCE ADJUST REF-424130573331"/>
    <s v="0000001010"/>
    <s v="04413180085ME"/>
    <s v=""/>
    <s v=""/>
    <s v="0"/>
    <s v="424130581359"/>
    <s v=""/>
    <s v=""/>
    <s v=""/>
    <s v=""/>
    <s v=""/>
    <x v="0"/>
    <d v="2018-03-31T00:00:00"/>
    <s v="1706000052"/>
    <d v="2018-03-13T00:00:00"/>
    <s v=""/>
    <s v="1709000471"/>
  </r>
  <r>
    <s v="1709000471"/>
    <d v="2018-03-13T00:00:00"/>
    <d v="2018-03-13T00:00:00"/>
    <s v="DZ"/>
    <s v="USD"/>
    <n v="5300"/>
    <n v="5300"/>
    <s v="BDT"/>
    <s v="EGM2"/>
    <n v="437250"/>
    <s v="CM ADVANCE ADJUST REF-424130576472"/>
    <s v="0000001010"/>
    <s v="04413180085ME"/>
    <s v=""/>
    <s v=""/>
    <s v="0"/>
    <s v="424130581359"/>
    <s v=""/>
    <s v=""/>
    <s v=""/>
    <s v=""/>
    <s v=""/>
    <x v="0"/>
    <d v="2018-03-31T00:00:00"/>
    <s v="1706000057"/>
    <d v="2018-03-13T00:00:00"/>
    <s v=""/>
    <s v="1709000471"/>
  </r>
  <r>
    <s v="1709000473"/>
    <d v="2018-03-13T00:00:00"/>
    <d v="2018-03-13T00:00:00"/>
    <s v="DZ"/>
    <s v="USD"/>
    <n v="-173562"/>
    <n v="-173562"/>
    <s v="BDT"/>
    <s v="EGM1"/>
    <n v="-14318865.01"/>
    <s v="CM ADVANCE RECEIVED REF-424130582919"/>
    <s v="0000001010"/>
    <s v="IT06591803120078"/>
    <s v=""/>
    <s v=""/>
    <s v="0"/>
    <s v="424130582919"/>
    <s v=""/>
    <s v=""/>
    <s v=""/>
    <s v=""/>
    <s v=""/>
    <x v="0"/>
    <d v="2018-03-31T00:00:00"/>
    <s v="1706000053"/>
    <d v="2018-03-13T00:00:00"/>
    <s v=""/>
    <s v="1709000473"/>
  </r>
  <r>
    <s v="1709000474"/>
    <d v="2018-03-14T00:00:00"/>
    <d v="2018-03-14T00:00:00"/>
    <s v="DZ"/>
    <s v="USD"/>
    <n v="8215"/>
    <n v="8215"/>
    <s v="BDT"/>
    <s v="EGM2"/>
    <n v="677737.5"/>
    <s v="CM ADVANCE ADJUST REF-424130576472"/>
    <s v="0000001010"/>
    <s v="04374180112KR"/>
    <s v=""/>
    <s v=""/>
    <s v="0"/>
    <s v="424130583525"/>
    <s v=""/>
    <s v=""/>
    <s v=""/>
    <s v=""/>
    <s v=""/>
    <x v="0"/>
    <d v="2018-03-31T00:00:00"/>
    <s v="1706000057"/>
    <d v="2018-03-14T00:00:00"/>
    <s v=""/>
    <s v="1709000474"/>
  </r>
  <r>
    <s v="1709000475"/>
    <d v="2018-03-14T00:00:00"/>
    <d v="2018-03-14T00:00:00"/>
    <s v="DZ"/>
    <s v="USD"/>
    <n v="126279"/>
    <n v="126279"/>
    <s v="BDT"/>
    <s v="EGM1"/>
    <n v="10418017.5"/>
    <s v="CM ADVANCE ADJUST REF-424130577694"/>
    <s v="0000001010"/>
    <s v="E04371US18-0221"/>
    <s v=""/>
    <s v=""/>
    <s v="0"/>
    <s v="424130583534"/>
    <s v=""/>
    <s v=""/>
    <s v=""/>
    <s v=""/>
    <s v=""/>
    <x v="0"/>
    <d v="2018-03-31T00:00:00"/>
    <s v="1706000059"/>
    <d v="2018-03-14T00:00:00"/>
    <s v=""/>
    <s v="1709000475"/>
  </r>
  <r>
    <s v="1709000477"/>
    <d v="2018-03-14T00:00:00"/>
    <d v="2018-03-14T00:00:00"/>
    <s v="DZ"/>
    <s v="USD"/>
    <n v="-10398"/>
    <n v="-10398"/>
    <s v="BDT"/>
    <s v="EGM2"/>
    <n v="-857835.01"/>
    <s v="CM ADVANCE RECEIVED REF-424130582928"/>
    <s v="0000001010"/>
    <s v="IT06591803130007"/>
    <s v=""/>
    <s v=""/>
    <s v="0"/>
    <s v="424130582928"/>
    <s v=""/>
    <s v=""/>
    <s v=""/>
    <s v=""/>
    <s v=""/>
    <x v="0"/>
    <d v="2018-03-31T00:00:00"/>
    <s v="1706000047"/>
    <d v="2018-03-14T00:00:00"/>
    <s v=""/>
    <s v="1709000477"/>
  </r>
  <r>
    <s v="1709000478"/>
    <d v="2018-03-14T00:00:00"/>
    <d v="2018-03-14T00:00:00"/>
    <s v="DZ"/>
    <s v="USD"/>
    <n v="-82843"/>
    <n v="-82843"/>
    <s v="BDT"/>
    <s v="EGM1"/>
    <n v="-6834547.5099999998"/>
    <s v="CM ADVANCE RECEIVED REF-424130583543"/>
    <s v="0000001010"/>
    <s v="IT06591803130205"/>
    <s v=""/>
    <s v=""/>
    <s v="0"/>
    <s v="424130583543"/>
    <s v=""/>
    <s v=""/>
    <s v=""/>
    <s v=""/>
    <s v=""/>
    <x v="0"/>
    <d v="2018-03-31T00:00:00"/>
    <s v="1706000049"/>
    <d v="2018-03-14T00:00:00"/>
    <s v=""/>
    <s v="1709000478"/>
  </r>
  <r>
    <s v="1709000479"/>
    <d v="2018-03-15T00:00:00"/>
    <d v="2018-03-15T00:00:00"/>
    <s v="DZ"/>
    <s v="USD"/>
    <n v="1186"/>
    <n v="1186"/>
    <s v="BDT"/>
    <s v="EGM1"/>
    <n v="97845"/>
    <s v="CM ADVANCE ADJUST REF-424130579512"/>
    <s v="0000001010"/>
    <s v="E04121US18-0227"/>
    <s v=""/>
    <s v=""/>
    <s v="0"/>
    <s v="424130583847"/>
    <s v=""/>
    <s v=""/>
    <s v=""/>
    <s v=""/>
    <s v=""/>
    <x v="0"/>
    <d v="2018-03-31T00:00:00"/>
    <s v="1706000051"/>
    <d v="2018-03-15T00:00:00"/>
    <s v=""/>
    <s v="1709000479"/>
  </r>
  <r>
    <s v="1709000480"/>
    <d v="2018-03-15T00:00:00"/>
    <d v="2018-03-15T00:00:00"/>
    <s v="DZ"/>
    <s v="USD"/>
    <n v="14341"/>
    <n v="14341"/>
    <s v="BDT"/>
    <s v="EGM1"/>
    <n v="1183132.5"/>
    <s v="CM ADVANCE ADJUST REF-424130577694"/>
    <s v="0000001010"/>
    <s v="E4307SB18UK0249"/>
    <s v=""/>
    <s v=""/>
    <s v="0"/>
    <s v="424130583838"/>
    <s v=""/>
    <s v=""/>
    <s v=""/>
    <s v=""/>
    <s v=""/>
    <x v="0"/>
    <d v="2018-03-31T00:00:00"/>
    <s v="1706000059"/>
    <d v="2018-03-15T00:00:00"/>
    <s v=""/>
    <s v="1709000480"/>
  </r>
  <r>
    <s v="1709000481"/>
    <d v="2018-03-18T00:00:00"/>
    <d v="2018-03-18T00:00:00"/>
    <s v="DZ"/>
    <s v="USD"/>
    <n v="-108946"/>
    <n v="-108946"/>
    <s v="BDT"/>
    <s v="EGM1"/>
    <n v="-8988045"/>
    <s v="CM ADVANCE RECEIVED REF- 424130584374"/>
    <s v="0000001010"/>
    <s v="IT06591803180012"/>
    <s v=""/>
    <s v=""/>
    <s v="0"/>
    <s v="424130584374"/>
    <s v=""/>
    <s v=""/>
    <s v=""/>
    <s v=""/>
    <s v=""/>
    <x v="0"/>
    <d v="2018-04-30T00:00:00"/>
    <s v="1706000063"/>
    <d v="2018-03-18T00:00:00"/>
    <s v=""/>
    <s v="1709000481"/>
  </r>
  <r>
    <s v="1709000482"/>
    <d v="2018-03-18T00:00:00"/>
    <d v="2018-03-18T00:00:00"/>
    <s v="DZ"/>
    <s v="USD"/>
    <n v="-100870"/>
    <n v="-100870"/>
    <s v="BDT"/>
    <s v="EGM1"/>
    <n v="-8321775.0099999998"/>
    <s v="CM ADVANCE RECEIVED REF-424130584365"/>
    <s v="0000001010"/>
    <s v="IT06591803150187"/>
    <s v=""/>
    <s v=""/>
    <s v="0"/>
    <s v="424130584365"/>
    <s v=""/>
    <s v=""/>
    <s v=""/>
    <s v=""/>
    <s v=""/>
    <x v="0"/>
    <d v="2018-04-05T00:00:00"/>
    <s v="1709000517"/>
    <d v="2018-03-18T00:00:00"/>
    <s v=""/>
    <s v="1709000482"/>
  </r>
  <r>
    <s v="1709000483"/>
    <d v="2018-03-21T00:00:00"/>
    <d v="2018-03-21T00:00:00"/>
    <s v="DZ"/>
    <s v="USD"/>
    <n v="-243146"/>
    <n v="-243146"/>
    <s v="BDT"/>
    <s v="EGM1"/>
    <n v="-20059545.010000002"/>
    <s v="CM ADVANCE RECEIVED REF-424130586354"/>
    <s v="0000001010"/>
    <s v="IT06591803200204"/>
    <s v=""/>
    <s v=""/>
    <s v="0"/>
    <s v="424130586354"/>
    <s v=""/>
    <s v=""/>
    <s v=""/>
    <s v=""/>
    <s v=""/>
    <x v="0"/>
    <d v="2018-04-05T00:00:00"/>
    <s v="1709000517"/>
    <d v="2018-03-21T00:00:00"/>
    <s v=""/>
    <s v="1709000483"/>
  </r>
  <r>
    <s v="1709000484"/>
    <d v="2018-03-21T00:00:00"/>
    <d v="2018-03-21T00:00:00"/>
    <s v="DZ"/>
    <s v="USD"/>
    <n v="-115719"/>
    <n v="-115719"/>
    <s v="BDT"/>
    <s v="EGM1"/>
    <n v="-9546817.5099999998"/>
    <s v="CM ADVANCE RECEIVED REF-424130586363"/>
    <s v="0000001010"/>
    <s v="IT06591803200205"/>
    <s v=""/>
    <s v=""/>
    <s v="0"/>
    <s v="424130586363"/>
    <s v=""/>
    <s v=""/>
    <s v=""/>
    <s v=""/>
    <s v=""/>
    <x v="0"/>
    <d v="2018-04-30T00:00:00"/>
    <s v="1706000062"/>
    <d v="2018-03-21T00:00:00"/>
    <s v=""/>
    <s v="1709000484"/>
  </r>
  <r>
    <s v="1709000485"/>
    <d v="2018-03-20T00:00:00"/>
    <d v="2018-03-20T00:00:00"/>
    <s v="DZ"/>
    <s v="USD"/>
    <n v="-93088"/>
    <n v="-93088"/>
    <s v="BDT"/>
    <s v="EGM2"/>
    <n v="-7679760.0099999998"/>
    <s v="CM ADVANCE RECEIVED REF-424130586096"/>
    <s v="0000001010"/>
    <s v="IT06591803200054"/>
    <s v=""/>
    <s v=""/>
    <s v="0"/>
    <s v="424130586096"/>
    <s v=""/>
    <s v=""/>
    <s v=""/>
    <s v=""/>
    <s v=""/>
    <x v="0"/>
    <d v="2018-04-30T00:00:00"/>
    <s v="1706000065"/>
    <d v="2018-03-20T00:00:00"/>
    <s v=""/>
    <s v="1709000485"/>
  </r>
  <r>
    <s v="1709000486"/>
    <d v="2018-03-20T00:00:00"/>
    <d v="2018-03-20T00:00:00"/>
    <s v="DZ"/>
    <s v="USD"/>
    <n v="1179"/>
    <n v="1179"/>
    <s v="BDT"/>
    <s v="EGM2"/>
    <n v="97267.5"/>
    <s v="CM ADVANCE ADJUST REF-424130582928"/>
    <s v="0000001010"/>
    <s v="04374180120MY"/>
    <s v=""/>
    <s v=""/>
    <s v="0"/>
    <s v="424130586112"/>
    <s v=""/>
    <s v=""/>
    <s v=""/>
    <s v=""/>
    <s v=""/>
    <x v="0"/>
    <d v="2018-03-31T00:00:00"/>
    <s v="1706000047"/>
    <d v="2018-03-20T00:00:00"/>
    <s v=""/>
    <s v="1709000486"/>
  </r>
  <r>
    <s v="1709000487"/>
    <d v="2018-03-20T00:00:00"/>
    <d v="2018-03-20T00:00:00"/>
    <s v="DZ"/>
    <s v="USD"/>
    <n v="31086"/>
    <n v="31086"/>
    <s v="BDT"/>
    <s v="EGM2"/>
    <n v="2564595"/>
    <s v="CM ADVANCE ADJUST REF-424130576472"/>
    <s v="0000001010"/>
    <s v="04413180108CN"/>
    <s v=""/>
    <s v=""/>
    <s v="0"/>
    <s v="424130586103"/>
    <s v=""/>
    <s v=""/>
    <s v=""/>
    <s v=""/>
    <s v=""/>
    <x v="0"/>
    <d v="2018-03-31T00:00:00"/>
    <s v="1706000057"/>
    <d v="2018-03-20T00:00:00"/>
    <s v=""/>
    <s v="1709000487"/>
  </r>
  <r>
    <s v="1709000488"/>
    <d v="2018-03-18T00:00:00"/>
    <d v="2018-03-18T00:00:00"/>
    <s v="DZ"/>
    <s v="USD"/>
    <n v="90222"/>
    <n v="90222"/>
    <s v="BDT"/>
    <s v="EGM1"/>
    <n v="7443315"/>
    <s v="CM ADVANCE ADJUST REF-424130577694"/>
    <s v="0000001010"/>
    <s v="E042404US18-0199"/>
    <s v=""/>
    <s v=""/>
    <s v="0"/>
    <s v="424130584356"/>
    <s v=""/>
    <s v=""/>
    <s v=""/>
    <s v=""/>
    <s v=""/>
    <x v="0"/>
    <d v="2018-03-31T00:00:00"/>
    <s v="1706000059"/>
    <d v="2018-03-18T00:00:00"/>
    <s v=""/>
    <s v="1709000488"/>
  </r>
  <r>
    <s v="1709000489"/>
    <d v="2018-03-19T00:00:00"/>
    <d v="2018-03-19T00:00:00"/>
    <s v="DZ"/>
    <s v="USD"/>
    <n v="18788"/>
    <n v="18788"/>
    <s v="BDT"/>
    <s v="EGM1"/>
    <n v="1550010"/>
    <s v="CM ADVANCE ADJUST REF-424130577694"/>
    <s v="0000001010"/>
    <s v="E04204US18-0197"/>
    <s v=""/>
    <s v=""/>
    <s v="0"/>
    <s v="424130585337"/>
    <s v=""/>
    <s v=""/>
    <s v=""/>
    <s v=""/>
    <s v=""/>
    <x v="0"/>
    <d v="2018-03-31T00:00:00"/>
    <s v="1706000059"/>
    <d v="2018-03-19T00:00:00"/>
    <s v=""/>
    <s v="1709000489"/>
  </r>
  <r>
    <s v="1709000489"/>
    <d v="2018-03-19T00:00:00"/>
    <d v="2018-03-19T00:00:00"/>
    <s v="DZ"/>
    <s v="USD"/>
    <n v="125402"/>
    <n v="125402"/>
    <s v="BDT"/>
    <s v="EGM1"/>
    <n v="10345665.01"/>
    <s v="CM ADVANCE ADJUST REF-424130579512"/>
    <s v="0000001010"/>
    <s v="E04204US18-0197"/>
    <s v=""/>
    <s v=""/>
    <s v="0"/>
    <s v="424130585337"/>
    <s v=""/>
    <s v=""/>
    <s v=""/>
    <s v=""/>
    <s v=""/>
    <x v="0"/>
    <d v="2018-03-31T00:00:00"/>
    <s v="1706000051"/>
    <d v="2018-03-19T00:00:00"/>
    <s v=""/>
    <s v="1709000489"/>
  </r>
  <r>
    <s v="1709000490"/>
    <d v="2018-03-20T00:00:00"/>
    <d v="2018-03-20T00:00:00"/>
    <s v="DZ"/>
    <s v="USD"/>
    <n v="5885"/>
    <n v="5885"/>
    <s v="BDT"/>
    <s v="EGM1"/>
    <n v="485512.5"/>
    <s v="CM ADVANCE ADJUST REF-424130579512"/>
    <s v="0000001010"/>
    <s v="E4196SB18UK0260"/>
    <s v=""/>
    <s v=""/>
    <s v="0"/>
    <s v="424130586121"/>
    <s v=""/>
    <s v=""/>
    <s v=""/>
    <s v=""/>
    <s v=""/>
    <x v="0"/>
    <d v="2018-03-31T00:00:00"/>
    <s v="1706000051"/>
    <d v="2018-03-20T00:00:00"/>
    <s v=""/>
    <s v="1709000490"/>
  </r>
  <r>
    <s v="1709000494"/>
    <d v="2018-03-25T00:00:00"/>
    <d v="2018-03-25T00:00:00"/>
    <s v="DZ"/>
    <s v="USD"/>
    <n v="57691"/>
    <n v="57691"/>
    <s v="BDT"/>
    <s v="EGM1"/>
    <n v="4759507.5"/>
    <s v="CM ADVANCE ADJUST REF-424130582919"/>
    <s v="0000001010"/>
    <s v="E04121US18-0226"/>
    <s v=""/>
    <s v=""/>
    <s v="0"/>
    <s v="424130587228"/>
    <s v=""/>
    <s v=""/>
    <s v=""/>
    <s v=""/>
    <s v=""/>
    <x v="0"/>
    <d v="2018-03-31T00:00:00"/>
    <s v="1706000053"/>
    <d v="2018-03-25T00:00:00"/>
    <s v=""/>
    <s v="1709000494"/>
  </r>
  <r>
    <s v="1709000495"/>
    <d v="2018-03-25T00:00:00"/>
    <d v="2018-03-25T00:00:00"/>
    <s v="DZ"/>
    <s v="USD"/>
    <n v="65372"/>
    <n v="65372"/>
    <s v="BDT"/>
    <s v="EGM1"/>
    <n v="5393190"/>
    <s v="CM ADVANCE ADJUST REF-424130582919"/>
    <s v="0000001010"/>
    <s v="E04424US18-0256"/>
    <s v=""/>
    <s v=""/>
    <s v="0"/>
    <s v="424130587219"/>
    <s v=""/>
    <s v=""/>
    <s v=""/>
    <s v=""/>
    <s v=""/>
    <x v="0"/>
    <d v="2018-03-31T00:00:00"/>
    <s v="1706000053"/>
    <d v="2018-03-25T00:00:00"/>
    <s v=""/>
    <s v="1709000495"/>
  </r>
  <r>
    <s v="1709000495"/>
    <d v="2018-03-25T00:00:00"/>
    <d v="2018-03-25T00:00:00"/>
    <s v="DZ"/>
    <s v="USD"/>
    <n v="956"/>
    <n v="956"/>
    <s v="BDT"/>
    <s v="EGM1"/>
    <n v="78870"/>
    <s v="CM ADVANCE ADJUST REF-424130586363"/>
    <s v="0000001010"/>
    <s v="E04424US18-0256"/>
    <s v=""/>
    <s v=""/>
    <s v="0"/>
    <s v="424130587219"/>
    <s v=""/>
    <s v=""/>
    <s v=""/>
    <s v=""/>
    <s v=""/>
    <x v="0"/>
    <d v="2018-04-30T00:00:00"/>
    <s v="1706000062"/>
    <d v="2018-03-25T00:00:00"/>
    <s v=""/>
    <s v="1709000495"/>
  </r>
  <r>
    <s v="1709000495"/>
    <d v="2018-03-25T00:00:00"/>
    <d v="2018-03-25T00:00:00"/>
    <s v="DZ"/>
    <s v="USD"/>
    <n v="75978"/>
    <n v="75978"/>
    <s v="BDT"/>
    <s v="EGM1"/>
    <n v="6268185.0099999998"/>
    <s v="CM ADVANCE ADJUST REF-424130581297"/>
    <s v="0000001010"/>
    <s v="E04424US18-0256"/>
    <s v=""/>
    <s v=""/>
    <s v="0"/>
    <s v="424130587219"/>
    <s v=""/>
    <s v=""/>
    <s v=""/>
    <s v=""/>
    <s v=""/>
    <x v="0"/>
    <d v="2018-03-31T00:00:00"/>
    <s v="1706000050"/>
    <d v="2018-03-25T00:00:00"/>
    <s v=""/>
    <s v="1709000495"/>
  </r>
  <r>
    <s v="1709000495"/>
    <d v="2018-03-25T00:00:00"/>
    <d v="2018-03-25T00:00:00"/>
    <s v="DZ"/>
    <s v="USD"/>
    <n v="7453"/>
    <n v="7453"/>
    <s v="BDT"/>
    <s v="EGM1"/>
    <n v="614872.5"/>
    <s v="CM ADVANCE ADJUST REF-424130583543"/>
    <s v="0000001010"/>
    <s v="E04424US18-0256"/>
    <s v=""/>
    <s v=""/>
    <s v="0"/>
    <s v="424130587219"/>
    <s v=""/>
    <s v=""/>
    <s v=""/>
    <s v=""/>
    <s v=""/>
    <x v="0"/>
    <d v="2018-03-31T00:00:00"/>
    <s v="1706000049"/>
    <d v="2018-03-25T00:00:00"/>
    <s v=""/>
    <s v="1709000495"/>
  </r>
  <r>
    <s v="1709000496"/>
    <d v="2018-03-27T00:00:00"/>
    <d v="2018-03-27T00:00:00"/>
    <s v="DZ"/>
    <s v="USD"/>
    <n v="17019"/>
    <n v="17019"/>
    <s v="BDT"/>
    <s v="EGM1"/>
    <n v="1404067.5"/>
    <s v="CM ADVANCE ADJUST REF-424130581297"/>
    <s v="0000001010"/>
    <s v="E04067WM18CA0247"/>
    <s v=""/>
    <s v=""/>
    <s v="0"/>
    <s v="424130587193"/>
    <s v=""/>
    <s v=""/>
    <s v=""/>
    <s v=""/>
    <s v=""/>
    <x v="0"/>
    <d v="2018-03-31T00:00:00"/>
    <s v="1706000050"/>
    <d v="2018-03-27T00:00:00"/>
    <s v=""/>
    <s v="1709000496"/>
  </r>
  <r>
    <s v="1709000497"/>
    <d v="2018-03-27T00:00:00"/>
    <d v="2018-03-27T00:00:00"/>
    <s v="DZ"/>
    <s v="USD"/>
    <n v="-96819"/>
    <n v="-96819"/>
    <s v="BDT"/>
    <s v="EGM2"/>
    <n v="-7987567.5"/>
    <s v="CM ADVANCE RECEIVED REF-424130587807"/>
    <s v="0000001010"/>
    <s v="IT06591803270177"/>
    <s v=""/>
    <s v=""/>
    <s v="0"/>
    <s v="424130587807"/>
    <s v=""/>
    <s v=""/>
    <s v=""/>
    <s v=""/>
    <s v=""/>
    <x v="0"/>
    <d v="2018-04-30T00:00:00"/>
    <s v="1706000064"/>
    <d v="2018-03-27T00:00:00"/>
    <s v=""/>
    <s v="1709000497"/>
  </r>
  <r>
    <s v="1709000498"/>
    <d v="2018-03-28T00:00:00"/>
    <d v="2018-03-28T00:00:00"/>
    <s v="DZ"/>
    <s v="USD"/>
    <n v="7186"/>
    <n v="7186"/>
    <s v="BDT"/>
    <s v="EGM2"/>
    <n v="592845.01"/>
    <s v="CM ADVANCE ADJUST REF-424130582928"/>
    <s v="0000001010"/>
    <s v="04413180119DE"/>
    <s v=""/>
    <s v=""/>
    <s v="0"/>
    <s v="424130588851"/>
    <s v=""/>
    <s v=""/>
    <s v=""/>
    <s v=""/>
    <s v=""/>
    <x v="0"/>
    <d v="2018-03-31T00:00:00"/>
    <s v="1706000047"/>
    <d v="2018-03-28T00:00:00"/>
    <s v=""/>
    <s v="1709000498"/>
  </r>
  <r>
    <s v="1709000499"/>
    <d v="2018-03-28T00:00:00"/>
    <d v="2018-03-28T00:00:00"/>
    <s v="DZ"/>
    <s v="USD"/>
    <n v="1160"/>
    <n v="1160"/>
    <s v="BDT"/>
    <s v="EGM2"/>
    <n v="95700"/>
    <s v="CM ADVANCE ADJUST REF-424130582928"/>
    <s v="0000001010"/>
    <s v="04394180121MY"/>
    <s v=""/>
    <s v=""/>
    <s v="0"/>
    <s v="424130588833"/>
    <s v=""/>
    <s v=""/>
    <s v=""/>
    <s v=""/>
    <s v=""/>
    <x v="0"/>
    <d v="2018-03-31T00:00:00"/>
    <s v="1706000047"/>
    <d v="2018-03-28T00:00:00"/>
    <s v=""/>
    <s v="1709000499"/>
  </r>
  <r>
    <s v="1709000500"/>
    <d v="2018-03-28T00:00:00"/>
    <d v="2018-03-28T00:00:00"/>
    <s v="DZ"/>
    <s v="USD"/>
    <n v="873"/>
    <n v="873"/>
    <s v="BDT"/>
    <s v="EGM2"/>
    <n v="72022.5"/>
    <s v="CM ADVANCE ADJUST REF-424130582928"/>
    <s v="0000001010"/>
    <s v="E24433VF18US0139"/>
    <s v=""/>
    <s v=""/>
    <s v="0"/>
    <s v="424130588842"/>
    <s v=""/>
    <s v=""/>
    <s v=""/>
    <s v=""/>
    <s v=""/>
    <x v="0"/>
    <d v="2018-03-31T00:00:00"/>
    <s v="1706000047"/>
    <d v="2018-03-28T00:00:00"/>
    <s v=""/>
    <s v="1709000500"/>
  </r>
  <r>
    <s v="1709000502"/>
    <d v="2018-03-28T00:00:00"/>
    <d v="2018-03-28T00:00:00"/>
    <s v="DZ"/>
    <s v="USD"/>
    <n v="33915"/>
    <n v="33915"/>
    <s v="BDT"/>
    <s v="EGM1"/>
    <n v="2797987.5"/>
    <s v="CM ADVANCE ADJUST REF-424130582919"/>
    <s v="0000001010"/>
    <s v="E04283US18-0255"/>
    <s v=""/>
    <s v=""/>
    <s v="0"/>
    <s v="424130588824"/>
    <s v=""/>
    <s v=""/>
    <s v=""/>
    <s v=""/>
    <s v=""/>
    <x v="0"/>
    <d v="2018-03-31T00:00:00"/>
    <s v="1706000053"/>
    <d v="2018-03-28T00:00:00"/>
    <s v=""/>
    <s v="1709000502"/>
  </r>
  <r>
    <s v="1709000502"/>
    <d v="2018-03-28T00:00:00"/>
    <d v="2018-03-28T00:00:00"/>
    <s v="DZ"/>
    <s v="USD"/>
    <n v="37992"/>
    <n v="37992"/>
    <s v="BDT"/>
    <s v="EGM1"/>
    <n v="3134340"/>
    <s v="CM ADVANCE ADJUST REF-424130586363"/>
    <s v="0000001010"/>
    <s v="E04283US18-0255"/>
    <s v=""/>
    <s v=""/>
    <s v="0"/>
    <s v="424130588824"/>
    <s v=""/>
    <s v=""/>
    <s v=""/>
    <s v=""/>
    <s v=""/>
    <x v="0"/>
    <d v="2018-04-30T00:00:00"/>
    <s v="1706000062"/>
    <d v="2018-03-28T00:00:00"/>
    <s v=""/>
    <s v="1709000502"/>
  </r>
  <r>
    <s v="1709000502"/>
    <d v="2018-03-28T00:00:00"/>
    <d v="2018-03-28T00:00:00"/>
    <s v="DZ"/>
    <s v="USD"/>
    <n v="2028"/>
    <n v="2028"/>
    <s v="BDT"/>
    <s v="EGM1"/>
    <n v="167310"/>
    <s v="CM ADVANCE ADJUST REF-424130584374"/>
    <s v="0000001010"/>
    <s v="E04283US18-0255"/>
    <s v=""/>
    <s v=""/>
    <s v="0"/>
    <s v="424130588824"/>
    <s v=""/>
    <s v=""/>
    <s v=""/>
    <s v=""/>
    <s v=""/>
    <x v="0"/>
    <d v="2018-04-30T00:00:00"/>
    <s v="1706000063"/>
    <d v="2018-03-28T00:00:00"/>
    <s v=""/>
    <s v="1709000502"/>
  </r>
  <r>
    <s v="1709000502"/>
    <d v="2018-03-28T00:00:00"/>
    <d v="2018-03-28T00:00:00"/>
    <s v="DZ"/>
    <s v="USD"/>
    <n v="75390"/>
    <n v="75390"/>
    <s v="BDT"/>
    <s v="EGM1"/>
    <n v="6219675.0099999998"/>
    <s v="CM ADVANCE ADJUST REF-424130583543"/>
    <s v="0000001010"/>
    <s v="E04283US18-0255"/>
    <s v=""/>
    <s v=""/>
    <s v="0"/>
    <s v="424130588824"/>
    <s v=""/>
    <s v=""/>
    <s v=""/>
    <s v=""/>
    <s v=""/>
    <x v="0"/>
    <d v="2018-03-31T00:00:00"/>
    <s v="1706000049"/>
    <d v="2018-03-28T00:00:00"/>
    <s v=""/>
    <s v="1709000502"/>
  </r>
  <r>
    <s v="1709000503"/>
    <d v="2018-03-28T00:00:00"/>
    <d v="2018-03-28T00:00:00"/>
    <s v="DZ"/>
    <s v="USD"/>
    <n v="16584"/>
    <n v="16584"/>
    <s v="BDT"/>
    <s v="EGM1"/>
    <n v="1368180"/>
    <s v="CM ADVANCE ADJUST REF-424130582919"/>
    <s v="0000001010"/>
    <s v="E4196SB18UK0285"/>
    <s v=""/>
    <s v=""/>
    <s v="0"/>
    <s v="424130588815"/>
    <s v=""/>
    <s v=""/>
    <s v=""/>
    <s v=""/>
    <s v=""/>
    <x v="0"/>
    <d v="2018-03-31T00:00:00"/>
    <s v="1706000053"/>
    <d v="2018-03-28T00:00:00"/>
    <s v=""/>
    <s v="1709000503"/>
  </r>
  <r>
    <s v="1709000506"/>
    <d v="2018-04-02T00:00:00"/>
    <d v="2018-04-02T00:00:00"/>
    <s v="DZ"/>
    <s v="USD"/>
    <n v="11418"/>
    <n v="11418"/>
    <s v="BDT"/>
    <s v="EGM1"/>
    <n v="941985"/>
    <s v="CM ADVANCE ADJUST REF-424130584374"/>
    <s v="0000001010"/>
    <s v="E04290US18-0280"/>
    <s v=""/>
    <s v=""/>
    <s v="0"/>
    <s v="424130590946"/>
    <s v=""/>
    <s v=""/>
    <s v=""/>
    <s v=""/>
    <s v=""/>
    <x v="0"/>
    <d v="2018-04-30T00:00:00"/>
    <s v="1706000063"/>
    <d v="2018-04-02T00:00:00"/>
    <s v=""/>
    <s v="1709000506"/>
  </r>
  <r>
    <s v="1709000507"/>
    <d v="2018-04-01T00:00:00"/>
    <d v="2018-04-01T00:00:00"/>
    <s v="DZ"/>
    <s v="USD"/>
    <n v="-536903"/>
    <n v="-536903"/>
    <s v="BDT"/>
    <s v="EGM1"/>
    <n v="-44294497.509999998"/>
    <s v="CM ADVANCE RECEIVED REF-424130590394"/>
    <s v="0000001010"/>
    <s v="IT06591803290016"/>
    <s v=""/>
    <s v=""/>
    <s v="0"/>
    <s v="424130590394"/>
    <s v=""/>
    <s v=""/>
    <s v=""/>
    <s v=""/>
    <s v=""/>
    <x v="0"/>
    <d v="2018-04-30T00:00:00"/>
    <s v="1706000061"/>
    <d v="2018-04-01T00:00:00"/>
    <s v=""/>
    <s v="1709000507"/>
  </r>
  <r>
    <s v="1709000508"/>
    <d v="2018-04-01T00:00:00"/>
    <d v="2018-04-01T00:00:00"/>
    <s v="DZ"/>
    <s v="USD"/>
    <n v="-190381.44"/>
    <n v="-190381.44"/>
    <s v="BDT"/>
    <s v="EGM1"/>
    <n v="-15706468.82"/>
    <s v="CM ADVANCE RECEIVED REF-424130590401"/>
    <s v="0000001010"/>
    <s v="IT06591803310015"/>
    <s v=""/>
    <s v=""/>
    <s v="0"/>
    <s v="424130590401"/>
    <s v=""/>
    <s v=""/>
    <s v=""/>
    <s v=""/>
    <s v=""/>
    <x v="0"/>
    <d v="2018-04-01T00:00:00"/>
    <s v="1703010073"/>
    <d v="2018-04-01T00:00:00"/>
    <s v=""/>
    <s v="1709000508"/>
  </r>
  <r>
    <s v="1709000509"/>
    <d v="2018-04-01T00:00:00"/>
    <d v="2018-04-01T00:00:00"/>
    <s v="DZ"/>
    <s v="USD"/>
    <n v="-108440"/>
    <n v="-108440"/>
    <s v="BDT"/>
    <s v="EGM1"/>
    <n v="-8946300.0099999998"/>
    <s v="CM ADVANCE RECEIVED REF-424130590385"/>
    <s v="0000001010"/>
    <s v="IT06591803290438"/>
    <s v=""/>
    <s v=""/>
    <s v="0"/>
    <s v="424130590385"/>
    <s v=""/>
    <s v=""/>
    <s v=""/>
    <s v=""/>
    <s v=""/>
    <x v="0"/>
    <d v="2018-05-03T00:00:00"/>
    <s v="1706000072"/>
    <d v="2018-04-01T00:00:00"/>
    <s v=""/>
    <s v="1709000509"/>
  </r>
  <r>
    <s v="1709000510"/>
    <d v="2018-04-01T00:00:00"/>
    <d v="2018-04-01T00:00:00"/>
    <s v="DZ"/>
    <s v="USD"/>
    <n v="-190381.44"/>
    <n v="-190381.44"/>
    <s v="BDT"/>
    <s v="EGM1"/>
    <n v="-15706468.82"/>
    <s v="CM ADVANCE RECEIVED REF-424130590401"/>
    <s v="0000005010"/>
    <s v="IT06591803310015"/>
    <s v=""/>
    <s v=""/>
    <s v="0"/>
    <s v="424130590401"/>
    <s v=""/>
    <s v=""/>
    <s v=""/>
    <s v=""/>
    <s v=""/>
    <x v="0"/>
    <d v="2018-05-08T00:00:00"/>
    <s v="1709000591"/>
    <d v="2018-04-01T00:00:00"/>
    <s v=""/>
    <s v="1709000510"/>
  </r>
  <r>
    <s v="1709000513"/>
    <d v="2018-04-05T00:00:00"/>
    <d v="2018-04-05T00:00:00"/>
    <s v="DZ"/>
    <s v="USD"/>
    <n v="23643"/>
    <n v="23643"/>
    <s v="BDT"/>
    <s v="EGM2"/>
    <n v="1950547.5"/>
    <s v="CM ADVANCE ADJUST REF-424130587807"/>
    <s v="0000001010"/>
    <s v="E24348VF18US0141"/>
    <s v=""/>
    <s v=""/>
    <s v="0"/>
    <s v="424130592212"/>
    <s v=""/>
    <s v=""/>
    <s v=""/>
    <s v=""/>
    <s v=""/>
    <x v="0"/>
    <d v="2018-04-30T00:00:00"/>
    <s v="1706000064"/>
    <d v="2018-04-05T00:00:00"/>
    <s v=""/>
    <s v="1709000513"/>
  </r>
  <r>
    <s v="1709000513"/>
    <d v="2018-04-05T00:00:00"/>
    <d v="2018-04-05T00:00:00"/>
    <s v="DZ"/>
    <s v="USD"/>
    <n v="79229"/>
    <n v="79229"/>
    <s v="BDT"/>
    <s v="EGM2"/>
    <n v="6536392.5099999998"/>
    <s v="CM ADVANCE ADJUST REF-424130586096"/>
    <s v="0000001010"/>
    <s v="E24348VF18US0141"/>
    <s v=""/>
    <s v=""/>
    <s v="0"/>
    <s v="424130592212"/>
    <s v=""/>
    <s v=""/>
    <s v=""/>
    <s v=""/>
    <s v=""/>
    <x v="0"/>
    <d v="2018-04-30T00:00:00"/>
    <s v="1706000065"/>
    <d v="2018-04-05T00:00:00"/>
    <s v=""/>
    <s v="1709000513"/>
  </r>
  <r>
    <s v="1709000514"/>
    <d v="2018-04-08T00:00:00"/>
    <d v="2018-04-08T00:00:00"/>
    <s v="DZ"/>
    <s v="USD"/>
    <n v="5754"/>
    <n v="5754"/>
    <s v="BDT"/>
    <s v="EGM2"/>
    <n v="474705"/>
    <s v="CM ADVANCE ADJUST REF-424130587807"/>
    <s v="0000001010"/>
    <s v="04413180129SE"/>
    <s v=""/>
    <s v=""/>
    <s v="0"/>
    <s v="424130592463"/>
    <s v=""/>
    <s v=""/>
    <s v=""/>
    <s v=""/>
    <s v=""/>
    <x v="0"/>
    <d v="2018-04-30T00:00:00"/>
    <s v="1706000064"/>
    <d v="2018-04-08T00:00:00"/>
    <s v=""/>
    <s v="1709000514"/>
  </r>
  <r>
    <s v="1709000514"/>
    <d v="2018-04-08T00:00:00"/>
    <d v="2018-04-08T00:00:00"/>
    <s v="DZ"/>
    <s v="USD"/>
    <n v="7712"/>
    <n v="7712"/>
    <s v="BDT"/>
    <s v="EGM2"/>
    <n v="636240"/>
    <s v="CM ADVANCE ADJUST REF-424130586096"/>
    <s v="0000001010"/>
    <s v="04413180129SE"/>
    <s v=""/>
    <s v=""/>
    <s v="0"/>
    <s v="424130592463"/>
    <s v=""/>
    <s v=""/>
    <s v=""/>
    <s v=""/>
    <s v=""/>
    <x v="0"/>
    <d v="2018-04-30T00:00:00"/>
    <s v="1706000065"/>
    <d v="2018-04-08T00:00:00"/>
    <s v=""/>
    <s v="1709000514"/>
  </r>
  <r>
    <s v="1709000515"/>
    <d v="2018-04-04T00:00:00"/>
    <d v="2018-04-04T00:00:00"/>
    <s v="DZ"/>
    <s v="USD"/>
    <n v="43106"/>
    <n v="43106"/>
    <s v="BDT"/>
    <s v="EGM1"/>
    <n v="3556245"/>
    <s v="CM ADVANCE ADJUST REF-424130590394"/>
    <s v="0000001010"/>
    <s v="E04454US18-0309"/>
    <s v=""/>
    <s v=""/>
    <s v="0"/>
    <s v="424130591794"/>
    <s v=""/>
    <s v=""/>
    <s v=""/>
    <s v=""/>
    <s v=""/>
    <x v="0"/>
    <d v="2018-04-30T00:00:00"/>
    <s v="1706000061"/>
    <d v="2018-04-04T00:00:00"/>
    <s v=""/>
    <s v="1709000515"/>
  </r>
  <r>
    <s v="1709000515"/>
    <d v="2018-04-04T00:00:00"/>
    <d v="2018-04-04T00:00:00"/>
    <s v="DZ"/>
    <s v="USD"/>
    <n v="74825"/>
    <n v="74825"/>
    <s v="BDT"/>
    <s v="EGM1"/>
    <n v="6173062.5099999998"/>
    <s v="CM ADVANCE ADJUST REF-424130586363"/>
    <s v="0000001010"/>
    <s v="E04454US18-0309"/>
    <s v=""/>
    <s v=""/>
    <s v="0"/>
    <s v="424130591794"/>
    <s v=""/>
    <s v=""/>
    <s v=""/>
    <s v=""/>
    <s v=""/>
    <x v="0"/>
    <d v="2018-04-30T00:00:00"/>
    <s v="1706000062"/>
    <d v="2018-04-04T00:00:00"/>
    <s v=""/>
    <s v="1709000515"/>
  </r>
  <r>
    <s v="1709000516"/>
    <d v="2018-04-04T00:00:00"/>
    <d v="2018-04-04T00:00:00"/>
    <s v="DZ"/>
    <s v="USD"/>
    <n v="546"/>
    <n v="546"/>
    <s v="BDT"/>
    <s v="EGM1"/>
    <n v="45045"/>
    <s v="CM ADVANCE ADJUST REF-424130590394"/>
    <s v="0000001010"/>
    <s v="E04203US18-0237"/>
    <s v=""/>
    <s v=""/>
    <s v="0"/>
    <s v="424130591801"/>
    <s v=""/>
    <s v=""/>
    <s v=""/>
    <s v=""/>
    <s v=""/>
    <x v="0"/>
    <d v="2018-04-30T00:00:00"/>
    <s v="1706000061"/>
    <d v="2018-04-04T00:00:00"/>
    <s v=""/>
    <s v="1709000516"/>
  </r>
  <r>
    <s v="1709000516"/>
    <d v="2018-04-04T00:00:00"/>
    <d v="2018-04-04T00:00:00"/>
    <s v="DZ"/>
    <s v="USD"/>
    <n v="1947"/>
    <n v="1947"/>
    <s v="BDT"/>
    <s v="EGM1"/>
    <n v="160627.5"/>
    <s v="CM ADVANCE ADJUST REF-424130586363"/>
    <s v="0000001010"/>
    <s v="E04203US18-0237"/>
    <s v=""/>
    <s v=""/>
    <s v="0"/>
    <s v="424130591801"/>
    <s v=""/>
    <s v=""/>
    <s v=""/>
    <s v=""/>
    <s v=""/>
    <x v="0"/>
    <d v="2018-04-30T00:00:00"/>
    <s v="1706000062"/>
    <d v="2018-04-04T00:00:00"/>
    <s v=""/>
    <s v="1709000516"/>
  </r>
  <r>
    <s v="1709000516"/>
    <d v="2018-04-04T00:00:00"/>
    <d v="2018-04-04T00:00:00"/>
    <s v="DZ"/>
    <s v="USD"/>
    <n v="84016"/>
    <n v="84016"/>
    <s v="BDT"/>
    <s v="EGM1"/>
    <n v="6931320"/>
    <s v="CM ADVANCE ADJUST REF-424130584374"/>
    <s v="0000001010"/>
    <s v="E04203US18-0237"/>
    <s v=""/>
    <s v=""/>
    <s v="0"/>
    <s v="424130591801"/>
    <s v=""/>
    <s v=""/>
    <s v=""/>
    <s v=""/>
    <s v=""/>
    <x v="0"/>
    <d v="2018-04-30T00:00:00"/>
    <s v="1706000063"/>
    <d v="2018-04-04T00:00:00"/>
    <s v=""/>
    <s v="1709000516"/>
  </r>
  <r>
    <s v="1709000517"/>
    <d v="2018-04-05T00:00:00"/>
    <d v="2018-04-05T00:00:00"/>
    <s v="DZ"/>
    <s v="USD"/>
    <n v="110001"/>
    <n v="110001"/>
    <s v="BDT"/>
    <s v="EGM1"/>
    <n v="9075082.5"/>
    <s v="CM ADVANCE ADJUST REF-424130590394"/>
    <s v="0000001010"/>
    <s v="E04377US18-0299"/>
    <s v=""/>
    <s v=""/>
    <s v="0"/>
    <s v="424130592187"/>
    <s v=""/>
    <s v=""/>
    <s v=""/>
    <s v=""/>
    <s v=""/>
    <x v="0"/>
    <d v="2018-04-30T00:00:00"/>
    <s v="1706000061"/>
    <d v="2018-04-05T00:00:00"/>
    <s v=""/>
    <s v="1709000517"/>
  </r>
  <r>
    <s v="1709000517"/>
    <d v="2018-04-05T00:00:00"/>
    <d v="2018-04-05T00:00:00"/>
    <s v="DZ"/>
    <s v="USD"/>
    <n v="344016"/>
    <n v="344016"/>
    <s v="BDT"/>
    <s v="EGM1"/>
    <n v="28381320.02"/>
    <s v="E04377US18-0299"/>
    <s v="0000001010"/>
    <s v="E04377US18-0299"/>
    <s v=""/>
    <s v=""/>
    <s v="0"/>
    <s v="424130592187"/>
    <s v=""/>
    <s v=""/>
    <s v=""/>
    <s v=""/>
    <s v=""/>
    <x v="0"/>
    <d v="2018-04-05T00:00:00"/>
    <s v="1709000517"/>
    <d v="2018-04-05T00:00:00"/>
    <s v=""/>
    <s v="1709000517"/>
  </r>
  <r>
    <s v="1709000519"/>
    <d v="2018-04-05T00:00:00"/>
    <d v="2018-04-05T00:00:00"/>
    <s v="DZ"/>
    <s v="USD"/>
    <n v="-72752"/>
    <n v="-72752"/>
    <s v="BDT"/>
    <s v="EGM1"/>
    <n v="-6002040.0099999998"/>
    <s v="CM ADVANCE RECEIVED REF-424130592141"/>
    <s v="0000001010"/>
    <s v="IT06591804040229"/>
    <s v=""/>
    <s v=""/>
    <s v="0"/>
    <s v="424130592141"/>
    <s v=""/>
    <s v=""/>
    <s v=""/>
    <s v=""/>
    <s v=""/>
    <x v="0"/>
    <d v="2018-04-30T00:00:00"/>
    <s v="1706000066"/>
    <d v="2018-04-05T00:00:00"/>
    <s v=""/>
    <s v="1709000519"/>
  </r>
  <r>
    <s v="1709000520"/>
    <d v="2018-04-08T00:00:00"/>
    <d v="2018-04-08T00:00:00"/>
    <s v="DZ"/>
    <s v="USD"/>
    <n v="-262797"/>
    <n v="-262797"/>
    <s v="BDT"/>
    <s v="EGM1"/>
    <n v="-21680752.510000002"/>
    <s v="CM ADVANCE RECEIVED REF-424130592454"/>
    <s v="0000001010"/>
    <s v="IT06591804070113"/>
    <s v=""/>
    <s v=""/>
    <s v="0"/>
    <s v="424130592454"/>
    <s v=""/>
    <s v=""/>
    <s v=""/>
    <s v=""/>
    <s v=""/>
    <x v="0"/>
    <d v="2018-05-03T00:00:00"/>
    <s v="1706000075"/>
    <d v="2018-04-08T00:00:00"/>
    <s v=""/>
    <s v="1709000520"/>
  </r>
  <r>
    <s v="1709000521"/>
    <d v="2018-03-05T00:00:00"/>
    <d v="2018-03-05T00:00:00"/>
    <s v="DZ"/>
    <s v="USD"/>
    <n v="18399"/>
    <n v="18399"/>
    <s v="BDT"/>
    <s v="EGM1"/>
    <n v="1516077.6"/>
    <s v="CM ADVANCE ADJUST REF-424130569015"/>
    <s v="0000001010"/>
    <s v="E04067WM18CA0079"/>
    <s v=""/>
    <s v=""/>
    <s v="0"/>
    <s v="424130578522"/>
    <s v=""/>
    <s v=""/>
    <s v=""/>
    <s v=""/>
    <s v=""/>
    <x v="0"/>
    <d v="2018-03-31T00:00:00"/>
    <s v="1706000058"/>
    <d v="2018-03-05T00:00:00"/>
    <s v=""/>
    <s v="1709000521"/>
  </r>
  <r>
    <s v="1709000521"/>
    <d v="2018-03-05T00:00:00"/>
    <d v="2018-03-05T00:00:00"/>
    <s v="DZ"/>
    <s v="USD"/>
    <n v="3986"/>
    <n v="3986"/>
    <s v="BDT"/>
    <s v="EGM1"/>
    <n v="328446.40000000002"/>
    <s v="CM ADVANCE ADJUST REF-424130565199"/>
    <s v="0000001010"/>
    <s v="E04067WM18CA0079"/>
    <s v=""/>
    <s v=""/>
    <s v="0"/>
    <s v="424130578522"/>
    <s v=""/>
    <s v=""/>
    <s v=""/>
    <s v=""/>
    <s v=""/>
    <x v="0"/>
    <d v="2018-03-31T00:00:00"/>
    <s v="1706000055"/>
    <d v="2018-03-05T00:00:00"/>
    <s v=""/>
    <s v="1709000521"/>
  </r>
  <r>
    <s v="1709000522"/>
    <d v="2018-04-11T00:00:00"/>
    <d v="2018-04-11T00:00:00"/>
    <s v="DZ"/>
    <s v="USD"/>
    <n v="51837"/>
    <n v="51837"/>
    <s v="BDT"/>
    <s v="EGM1"/>
    <n v="4276552.5"/>
    <s v="CM ADVANCE ADJUST REF-424130590394"/>
    <s v="0000001010"/>
    <s v="E04289US18-0279"/>
    <s v=""/>
    <s v=""/>
    <s v="0"/>
    <s v="424130594265"/>
    <s v=""/>
    <s v=""/>
    <s v=""/>
    <s v=""/>
    <s v=""/>
    <x v="0"/>
    <d v="2018-04-30T00:00:00"/>
    <s v="1706000061"/>
    <d v="2018-04-11T00:00:00"/>
    <s v=""/>
    <s v="1709000522"/>
  </r>
  <r>
    <s v="1709000523"/>
    <d v="2018-04-11T00:00:00"/>
    <d v="2018-04-11T00:00:00"/>
    <s v="DZ"/>
    <s v="USD"/>
    <n v="740"/>
    <n v="740"/>
    <s v="BDT"/>
    <s v="EGM1"/>
    <n v="61050"/>
    <s v="CM ADVANCE ADJUST REF-424130590394"/>
    <s v="0000001010"/>
    <s v="E4291SB18UK0311"/>
    <s v=""/>
    <s v=""/>
    <s v="0"/>
    <s v="424130594194"/>
    <s v=""/>
    <s v=""/>
    <s v=""/>
    <s v=""/>
    <s v=""/>
    <x v="0"/>
    <d v="2018-04-30T00:00:00"/>
    <s v="1706000061"/>
    <d v="2018-04-11T00:00:00"/>
    <s v=""/>
    <s v="1709000523"/>
  </r>
  <r>
    <s v="1709000523"/>
    <d v="2018-04-11T00:00:00"/>
    <d v="2018-04-11T00:00:00"/>
    <s v="DZ"/>
    <s v="USD"/>
    <n v="11484"/>
    <n v="11484"/>
    <s v="BDT"/>
    <s v="EGM1"/>
    <n v="947430"/>
    <s v="CM ADVANCE ADJUST REF-424130584374"/>
    <s v="0000001010"/>
    <s v="E4291SB18UK0311"/>
    <s v=""/>
    <s v=""/>
    <s v="0"/>
    <s v="424130594194"/>
    <s v=""/>
    <s v=""/>
    <s v=""/>
    <s v=""/>
    <s v=""/>
    <x v="0"/>
    <d v="2018-04-30T00:00:00"/>
    <s v="1706000063"/>
    <d v="2018-04-11T00:00:00"/>
    <s v=""/>
    <s v="1709000523"/>
  </r>
  <r>
    <s v="1709000524"/>
    <d v="2018-04-11T00:00:00"/>
    <d v="2018-04-11T00:00:00"/>
    <s v="DZ"/>
    <s v="USD"/>
    <n v="297182"/>
    <n v="297182"/>
    <s v="BDT"/>
    <s v="EGM1"/>
    <n v="24517515.010000002"/>
    <s v="CM ADVANCE ADJUST REF-424130590394"/>
    <s v="0000001010"/>
    <s v="E04203US180241"/>
    <s v=""/>
    <s v=""/>
    <s v="0"/>
    <s v="424130594648"/>
    <s v=""/>
    <s v=""/>
    <s v=""/>
    <s v=""/>
    <s v=""/>
    <x v="0"/>
    <d v="2018-04-30T00:00:00"/>
    <s v="1706000061"/>
    <d v="2018-04-11T00:00:00"/>
    <s v=""/>
    <s v="1709000524"/>
  </r>
  <r>
    <s v="1709000525"/>
    <d v="2018-04-11T00:00:00"/>
    <d v="2018-04-11T00:00:00"/>
    <s v="DZ"/>
    <s v="USD"/>
    <n v="24916"/>
    <n v="24916"/>
    <s v="BDT"/>
    <s v="EGM1"/>
    <n v="2055570"/>
    <s v="CM ADVANCE ADJUST REF-424130590394"/>
    <s v="0000001010"/>
    <s v="DASH/18STK/0106"/>
    <s v=""/>
    <s v=""/>
    <s v="0"/>
    <s v="424130594201"/>
    <s v=""/>
    <s v=""/>
    <s v=""/>
    <s v=""/>
    <s v=""/>
    <x v="0"/>
    <d v="2018-04-30T00:00:00"/>
    <s v="1706000061"/>
    <d v="2018-04-11T00:00:00"/>
    <s v=""/>
    <s v="1709000525"/>
  </r>
  <r>
    <s v="1709000526"/>
    <d v="2018-04-11T00:00:00"/>
    <d v="2018-04-11T00:00:00"/>
    <s v="DZ"/>
    <s v="USD"/>
    <n v="61289"/>
    <n v="61289"/>
    <s v="BDT"/>
    <s v="EGM2"/>
    <n v="5056342.5"/>
    <s v="CM ADVANCE ADJUST REF-424130587807"/>
    <s v="0000001010"/>
    <s v="E24350VF18US0145"/>
    <s v=""/>
    <s v=""/>
    <s v="0"/>
    <s v="424130594185"/>
    <s v=""/>
    <s v=""/>
    <s v=""/>
    <s v=""/>
    <s v=""/>
    <x v="0"/>
    <d v="2018-04-30T00:00:00"/>
    <s v="1706000064"/>
    <d v="2018-04-11T00:00:00"/>
    <s v=""/>
    <s v="1709000526"/>
  </r>
  <r>
    <s v="1709000527"/>
    <d v="2018-04-11T00:00:00"/>
    <d v="2018-04-11T00:00:00"/>
    <s v="DZ"/>
    <s v="USD"/>
    <n v="-36727"/>
    <n v="-36727"/>
    <s v="BDT"/>
    <s v="EGM1"/>
    <n v="-3029977.51"/>
    <s v="CM ADVANCE RECEIVED REF-424130594639"/>
    <s v="0000001010"/>
    <s v="IT06591804110024"/>
    <s v=""/>
    <s v=""/>
    <s v="0"/>
    <s v="424130594639"/>
    <s v=""/>
    <s v=""/>
    <s v=""/>
    <s v=""/>
    <s v=""/>
    <x v="0"/>
    <d v="2018-04-22T00:00:00"/>
    <s v="1709000549"/>
    <d v="2018-04-11T00:00:00"/>
    <s v=""/>
    <s v="1709000527"/>
  </r>
  <r>
    <s v="1709000528"/>
    <d v="2018-04-11T00:00:00"/>
    <d v="2018-04-11T00:00:00"/>
    <s v="DZ"/>
    <s v="USD"/>
    <n v="-7616"/>
    <n v="-7616"/>
    <s v="BDT"/>
    <s v="EGM2"/>
    <n v="-628320.01"/>
    <s v="CM ADVANCE RECEIVED REF-424130594611"/>
    <s v="0000001010"/>
    <s v="IT06591804110033"/>
    <s v=""/>
    <s v=""/>
    <s v="0"/>
    <s v="424130594611"/>
    <s v=""/>
    <s v=""/>
    <s v=""/>
    <s v=""/>
    <s v=""/>
    <x v="0"/>
    <d v="2018-04-19T00:00:00"/>
    <s v="1709000547"/>
    <d v="2018-04-11T00:00:00"/>
    <s v=""/>
    <s v="1709000528"/>
  </r>
  <r>
    <s v="1709000530"/>
    <d v="2018-04-12T00:00:00"/>
    <d v="2018-04-12T00:00:00"/>
    <s v="DZ"/>
    <s v="USD"/>
    <n v="6147"/>
    <n v="6147"/>
    <s v="BDT"/>
    <s v="EGM2"/>
    <n v="507127.5"/>
    <s v="CM ADVANCE ADJUST REF-424130586096"/>
    <s v="0000001010"/>
    <s v="E24054AC18KT0137"/>
    <s v=""/>
    <s v=""/>
    <s v="0"/>
    <s v="424130594620"/>
    <s v=""/>
    <s v=""/>
    <s v=""/>
    <s v=""/>
    <s v=""/>
    <x v="0"/>
    <d v="2018-04-30T00:00:00"/>
    <s v="1706000065"/>
    <d v="2018-04-12T00:00:00"/>
    <s v=""/>
    <s v="1709000530"/>
  </r>
  <r>
    <s v="1709000533"/>
    <d v="2018-04-12T00:00:00"/>
    <d v="2018-04-12T00:00:00"/>
    <s v="DZ"/>
    <s v="USD"/>
    <n v="8572"/>
    <n v="8572"/>
    <s v="BDT"/>
    <s v="EGM1"/>
    <n v="707190"/>
    <s v="CM ADVANCE ADJUST REF-424130590394"/>
    <s v="0000001010"/>
    <s v="E4196SB18UK0312"/>
    <s v=""/>
    <s v=""/>
    <s v="0"/>
    <s v="424130595433"/>
    <s v=""/>
    <s v=""/>
    <s v=""/>
    <s v=""/>
    <s v=""/>
    <x v="0"/>
    <d v="2018-04-30T00:00:00"/>
    <s v="1706000061"/>
    <d v="2018-04-12T00:00:00"/>
    <s v=""/>
    <s v="1709000533"/>
  </r>
  <r>
    <s v="1709000536"/>
    <d v="2018-03-31T00:00:00"/>
    <d v="2018-03-31T00:00:00"/>
    <s v="DZ"/>
    <s v="USD"/>
    <n v="-645343"/>
    <n v="-645343"/>
    <s v="BDT"/>
    <s v="EGM1"/>
    <n v="-53240797.5"/>
    <s v="FIT-CM ADV-FEB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9000536"/>
  </r>
  <r>
    <s v="1709000536"/>
    <d v="2018-03-31T00:00:00"/>
    <d v="2018-03-31T00:00:00"/>
    <s v="DZ"/>
    <s v="USD"/>
    <n v="11418"/>
    <n v="11418"/>
    <s v="BDT"/>
    <s v="EGM1"/>
    <n v="941985"/>
    <s v="FIT-CM ADV-MAR-18"/>
    <s v="0000001010"/>
    <s v="FIT-CM ADV-MAR18"/>
    <s v=""/>
    <s v=""/>
    <s v="0"/>
    <s v="CM ADV. FIT - MAR-18"/>
    <s v=""/>
    <s v=""/>
    <s v=""/>
    <s v=""/>
    <s v=""/>
    <x v="0"/>
    <d v="2018-04-01T00:00:00"/>
    <s v="1703011866"/>
    <d v="2018-03-31T00:00:00"/>
    <s v=""/>
    <s v="1709000536"/>
  </r>
  <r>
    <s v="1709000537"/>
    <d v="2018-04-16T00:00:00"/>
    <d v="2018-04-16T00:00:00"/>
    <s v="DZ"/>
    <s v="USD"/>
    <n v="104114"/>
    <n v="104114"/>
    <s v="BDT"/>
    <s v="EGM1"/>
    <n v="8589405.0099999998"/>
    <s v="CM ADVANCE ADJUST REF-424130590385"/>
    <s v="0000001010"/>
    <s v="E04420US18-0331"/>
    <s v=""/>
    <s v=""/>
    <s v="0"/>
    <s v="424130596619"/>
    <s v=""/>
    <s v=""/>
    <s v=""/>
    <s v=""/>
    <s v=""/>
    <x v="0"/>
    <d v="2018-05-03T00:00:00"/>
    <s v="1706000072"/>
    <d v="2018-04-16T00:00:00"/>
    <s v=""/>
    <s v="1709000537"/>
  </r>
  <r>
    <s v="1709000538"/>
    <d v="2018-04-16T00:00:00"/>
    <d v="2018-04-16T00:00:00"/>
    <s v="DZ"/>
    <s v="USD"/>
    <n v="55264"/>
    <n v="55264"/>
    <s v="BDT"/>
    <s v="EGM1"/>
    <n v="4559280.01"/>
    <s v="CM ADVANCE ADJUST REF-424130592141"/>
    <s v="0000001010"/>
    <s v="E04392US18-0348"/>
    <s v=""/>
    <s v=""/>
    <s v="0"/>
    <s v="424130596628"/>
    <s v=""/>
    <s v=""/>
    <s v=""/>
    <s v=""/>
    <s v=""/>
    <x v="0"/>
    <d v="2018-04-30T00:00:00"/>
    <s v="1706000066"/>
    <d v="2018-04-16T00:00:00"/>
    <s v=""/>
    <s v="1709000538"/>
  </r>
  <r>
    <s v="1709000539"/>
    <d v="2018-04-16T00:00:00"/>
    <d v="2018-04-16T00:00:00"/>
    <s v="DZ"/>
    <s v="USD"/>
    <n v="-134023"/>
    <n v="-134023"/>
    <s v="BDT"/>
    <s v="EGM1"/>
    <n v="-11056897.51"/>
    <s v="CM ADVANCE RECEIVED REF-424130596192"/>
    <s v="0000001010"/>
    <s v="IT06591804150023"/>
    <s v=""/>
    <s v=""/>
    <s v="0"/>
    <s v="424130596192"/>
    <s v=""/>
    <s v=""/>
    <s v=""/>
    <s v=""/>
    <s v=""/>
    <x v="0"/>
    <d v="2018-05-07T00:00:00"/>
    <s v="1706000071"/>
    <d v="2018-04-16T00:00:00"/>
    <s v=""/>
    <s v="1709000539"/>
  </r>
  <r>
    <s v="1709000543"/>
    <d v="2018-04-17T00:00:00"/>
    <d v="2018-04-17T00:00:00"/>
    <s v="DZ"/>
    <s v="USD"/>
    <n v="17448"/>
    <n v="17448"/>
    <s v="BDT"/>
    <s v="EGM1"/>
    <n v="1439460"/>
    <s v="CM ADVANCE ADJUST REF-424130592141"/>
    <s v="0000001010"/>
    <s v="E4196SB18UK0328"/>
    <s v=""/>
    <s v=""/>
    <s v="0"/>
    <s v="424130597226"/>
    <s v=""/>
    <s v=""/>
    <s v=""/>
    <s v=""/>
    <s v=""/>
    <x v="0"/>
    <d v="2018-04-30T00:00:00"/>
    <s v="1706000066"/>
    <d v="2018-04-17T00:00:00"/>
    <s v=""/>
    <s v="1709000543"/>
  </r>
  <r>
    <s v="1709000544"/>
    <d v="2018-03-31T00:00:00"/>
    <d v="2018-03-31T00:00:00"/>
    <s v="DZ"/>
    <s v="USD"/>
    <n v="-190381"/>
    <n v="-190381"/>
    <s v="BDT"/>
    <s v="EGM1"/>
    <n v="-15706432.5"/>
    <s v="FIT-CM ADV-EGDWC-MAR-18"/>
    <s v="0000005010"/>
    <s v="FIT-CMADWC-MAR18"/>
    <s v=""/>
    <s v=""/>
    <s v="0"/>
    <s v="FIT-CM ADV-EGDWC-MAR-18"/>
    <s v=""/>
    <s v=""/>
    <s v=""/>
    <s v=""/>
    <s v=""/>
    <x v="0"/>
    <d v="2018-04-01T00:00:00"/>
    <s v="1703011867"/>
    <d v="2018-03-31T00:00:00"/>
    <s v=""/>
    <s v="1709000544"/>
  </r>
  <r>
    <s v="1709000545"/>
    <d v="2018-04-18T00:00:00"/>
    <d v="2018-04-18T00:00:00"/>
    <s v="DZ"/>
    <s v="USD"/>
    <n v="-107953"/>
    <n v="-107953"/>
    <s v="BDT"/>
    <s v="EGM2"/>
    <n v="-8906122.5099999998"/>
    <s v="CM ADVANCE RECEIVED REF-424130597510"/>
    <s v="0000001010"/>
    <s v="IT06591804180017"/>
    <s v=""/>
    <s v=""/>
    <s v="0"/>
    <s v="424130597510"/>
    <s v=""/>
    <s v=""/>
    <s v=""/>
    <s v=""/>
    <s v=""/>
    <x v="0"/>
    <d v="2018-05-03T00:00:00"/>
    <s v="1706000073"/>
    <d v="2018-04-18T00:00:00"/>
    <s v=""/>
    <s v="1709000545"/>
  </r>
  <r>
    <s v="1709000546"/>
    <d v="2018-04-18T00:00:00"/>
    <d v="2018-04-18T00:00:00"/>
    <s v="DZ"/>
    <s v="USD"/>
    <n v="-55483"/>
    <n v="-55483"/>
    <s v="BDT"/>
    <s v="EGM1"/>
    <n v="-4577347.51"/>
    <s v="CM ADVANCE RECEIVED REF-424130597501"/>
    <s v="0000001010"/>
    <s v="IT06591804180013"/>
    <s v=""/>
    <s v=""/>
    <s v="0"/>
    <s v="424130597501"/>
    <s v=""/>
    <s v=""/>
    <s v=""/>
    <s v=""/>
    <s v=""/>
    <x v="0"/>
    <d v="2018-05-09T00:00:00"/>
    <s v="1709000573"/>
    <d v="2018-04-18T00:00:00"/>
    <s v=""/>
    <s v="1709000546"/>
  </r>
  <r>
    <s v="1709000547"/>
    <d v="2018-04-19T00:00:00"/>
    <d v="2018-04-19T00:00:00"/>
    <s v="DZ"/>
    <s v="USD"/>
    <n v="7616"/>
    <n v="7616"/>
    <s v="BDT"/>
    <s v="EGM2"/>
    <n v="628320.01"/>
    <s v="E24341VF18US0150"/>
    <s v="0000001010"/>
    <s v="E24341VF18US0150"/>
    <s v=""/>
    <s v=""/>
    <s v="0"/>
    <s v="424130598261"/>
    <s v=""/>
    <s v=""/>
    <s v=""/>
    <s v=""/>
    <s v=""/>
    <x v="0"/>
    <d v="2018-04-19T00:00:00"/>
    <s v="1709000547"/>
    <d v="2018-04-19T00:00:00"/>
    <s v=""/>
    <s v="1709000547"/>
  </r>
  <r>
    <s v="1709000549"/>
    <d v="2018-04-22T00:00:00"/>
    <d v="2018-04-22T00:00:00"/>
    <s v="DZ"/>
    <s v="USD"/>
    <n v="160074"/>
    <n v="160074"/>
    <s v="BDT"/>
    <s v="EGM1"/>
    <n v="13206105.01"/>
    <s v="CM ADVANCE ADJUST REF-424130592454"/>
    <s v="0000001010"/>
    <s v="E04401US18-0355"/>
    <s v=""/>
    <s v=""/>
    <s v="0"/>
    <s v="424130598680"/>
    <s v=""/>
    <s v=""/>
    <s v=""/>
    <s v=""/>
    <s v=""/>
    <x v="0"/>
    <d v="2018-05-03T00:00:00"/>
    <s v="1706000075"/>
    <d v="2018-04-22T00:00:00"/>
    <s v=""/>
    <s v="1709000549"/>
  </r>
  <r>
    <s v="1709000549"/>
    <d v="2018-04-22T00:00:00"/>
    <d v="2018-04-22T00:00:00"/>
    <s v="DZ"/>
    <s v="USD"/>
    <n v="1727"/>
    <n v="1727"/>
    <s v="BDT"/>
    <s v="EGM1"/>
    <n v="142477.5"/>
    <s v="CM ADVANCE ADJUST REF-424130596192"/>
    <s v="0000001010"/>
    <s v="E04401US18-0355"/>
    <s v=""/>
    <s v=""/>
    <s v="0"/>
    <s v="424130598680"/>
    <s v=""/>
    <s v=""/>
    <s v=""/>
    <s v=""/>
    <s v=""/>
    <x v="0"/>
    <d v="2018-05-07T00:00:00"/>
    <s v="1706000071"/>
    <d v="2018-04-22T00:00:00"/>
    <s v=""/>
    <s v="1709000549"/>
  </r>
  <r>
    <s v="1709000549"/>
    <d v="2018-04-22T00:00:00"/>
    <d v="2018-04-22T00:00:00"/>
    <s v="DZ"/>
    <s v="USD"/>
    <n v="36727"/>
    <n v="36727"/>
    <s v="BDT"/>
    <s v="EGM1"/>
    <n v="3029977.51"/>
    <s v="E04401US18-0355"/>
    <s v="0000001010"/>
    <s v="E04401US18-0355"/>
    <s v=""/>
    <s v=""/>
    <s v="0"/>
    <s v="424130598680"/>
    <s v=""/>
    <s v=""/>
    <s v=""/>
    <s v=""/>
    <s v=""/>
    <x v="0"/>
    <d v="2018-04-22T00:00:00"/>
    <s v="1709000549"/>
    <d v="2018-04-22T00:00:00"/>
    <s v=""/>
    <s v="1709000549"/>
  </r>
  <r>
    <s v="1709000550"/>
    <d v="2018-04-22T00:00:00"/>
    <d v="2018-04-22T00:00:00"/>
    <s v="DZ"/>
    <s v="USD"/>
    <n v="-602650"/>
    <n v="-602650"/>
    <s v="BDT"/>
    <s v="EGM1"/>
    <n v="-49718625.009999998"/>
    <s v="CM ADVANCE RECEIVED REF-424130598699"/>
    <s v="0000001010"/>
    <s v="IT06591804220067"/>
    <s v=""/>
    <s v=""/>
    <s v="0"/>
    <s v="424130598699"/>
    <s v=""/>
    <s v=""/>
    <s v=""/>
    <s v=""/>
    <s v=""/>
    <x v="0"/>
    <d v="2018-05-14T00:00:00"/>
    <s v="1706000077"/>
    <d v="2018-04-22T00:00:00"/>
    <s v=""/>
    <s v="1709000550"/>
  </r>
  <r>
    <s v="1709000552"/>
    <d v="2018-04-23T00:00:00"/>
    <d v="2018-04-23T00:00:00"/>
    <s v="DZ"/>
    <s v="USD"/>
    <n v="6133"/>
    <n v="6133"/>
    <s v="BDT"/>
    <s v="EGM2"/>
    <n v="505972.5"/>
    <s v="CM ADVANCE ADJUST REF-424130587807"/>
    <s v="0000001010"/>
    <s v="04413180133CN"/>
    <s v=""/>
    <s v=""/>
    <s v="0"/>
    <s v="424130600034"/>
    <s v=""/>
    <s v=""/>
    <s v=""/>
    <s v=""/>
    <s v=""/>
    <x v="0"/>
    <d v="2018-04-30T00:00:00"/>
    <s v="1706000064"/>
    <d v="2018-04-23T00:00:00"/>
    <s v=""/>
    <s v="1709000552"/>
  </r>
  <r>
    <s v="1709000553"/>
    <d v="2018-04-17T00:00:00"/>
    <d v="2018-04-17T00:00:00"/>
    <s v="DZ"/>
    <s v="USD"/>
    <n v="40"/>
    <n v="40"/>
    <s v="BDT"/>
    <s v="EGM1"/>
    <n v="3300"/>
    <s v="CM ADV ADJUST REF-424130592141"/>
    <s v="0000001010"/>
    <s v="E4196SB18UK0328"/>
    <s v=""/>
    <s v=""/>
    <s v="0"/>
    <s v="424130597226"/>
    <s v=""/>
    <s v=""/>
    <s v=""/>
    <s v=""/>
    <s v=""/>
    <x v="0"/>
    <d v="2018-04-30T00:00:00"/>
    <s v="1706000066"/>
    <d v="2018-04-17T00:00:00"/>
    <s v=""/>
    <s v="1709000553"/>
  </r>
  <r>
    <s v="1709000556"/>
    <d v="2018-04-26T00:00:00"/>
    <d v="2018-04-26T00:00:00"/>
    <s v="DZ"/>
    <s v="USD"/>
    <n v="12734"/>
    <n v="12734"/>
    <s v="BDT"/>
    <s v="EGM1"/>
    <n v="1050555"/>
    <s v="CM ADVANCE ADJUST REF-424130592454"/>
    <s v="0000001010"/>
    <s v="E4291SB18UK0344"/>
    <s v=""/>
    <s v=""/>
    <s v="0"/>
    <s v="424130601499"/>
    <s v=""/>
    <s v=""/>
    <s v=""/>
    <s v=""/>
    <s v=""/>
    <x v="0"/>
    <d v="2018-05-03T00:00:00"/>
    <s v="1706000075"/>
    <d v="2018-04-26T00:00:00"/>
    <s v=""/>
    <s v="1709000556"/>
  </r>
  <r>
    <s v="1709000557"/>
    <d v="2018-04-26T00:00:00"/>
    <d v="2018-04-26T00:00:00"/>
    <s v="DZ"/>
    <s v="USD"/>
    <n v="-228779"/>
    <n v="-228779"/>
    <s v="BDT"/>
    <s v="EGM2"/>
    <n v="-18874267.510000002"/>
    <s v="CM ADVANCE RECEIVED REF-424130601505"/>
    <s v="0000001010"/>
    <s v="IT06591804240249"/>
    <s v=""/>
    <s v=""/>
    <s v="0"/>
    <s v="424130601505"/>
    <s v=""/>
    <s v=""/>
    <s v=""/>
    <s v=""/>
    <s v=""/>
    <x v="0"/>
    <d v="2018-05-11T00:00:00"/>
    <s v="1706000070"/>
    <d v="2018-04-26T00:00:00"/>
    <s v=""/>
    <s v="1709000557"/>
  </r>
  <r>
    <s v="1709000558"/>
    <d v="2018-04-30T00:00:00"/>
    <d v="2018-04-30T00:00:00"/>
    <s v="DZ"/>
    <s v="USD"/>
    <n v="35251"/>
    <n v="35251"/>
    <s v="BDT"/>
    <s v="EGM2"/>
    <n v="2908207.5"/>
    <s v="CM ADVANCE ADJUST REF-424130597510"/>
    <s v="0000001010"/>
    <s v="E24353VF18US0151"/>
    <s v=""/>
    <s v=""/>
    <s v="0"/>
    <s v="424130602096"/>
    <s v=""/>
    <s v=""/>
    <s v=""/>
    <s v=""/>
    <s v=""/>
    <x v="0"/>
    <d v="2018-05-03T00:00:00"/>
    <s v="1706000073"/>
    <d v="2018-04-30T00:00:00"/>
    <s v=""/>
    <s v="1709000558"/>
  </r>
  <r>
    <s v="1709000559"/>
    <d v="2018-04-30T00:00:00"/>
    <d v="2018-04-30T00:00:00"/>
    <s v="DZ"/>
    <s v="USD"/>
    <n v="37203"/>
    <n v="37203"/>
    <s v="BDT"/>
    <s v="EGM2"/>
    <n v="3069247.5"/>
    <s v="CM ADVANCE ADJUST REF-424130597510"/>
    <s v="0000001010"/>
    <s v="E24346VF18US0152"/>
    <s v=""/>
    <s v=""/>
    <s v="0"/>
    <s v="424130602103"/>
    <s v=""/>
    <s v=""/>
    <s v=""/>
    <s v=""/>
    <s v=""/>
    <x v="0"/>
    <d v="2018-05-03T00:00:00"/>
    <s v="1706000073"/>
    <d v="2018-04-30T00:00:00"/>
    <s v=""/>
    <s v="1709000559"/>
  </r>
  <r>
    <s v="1709000560"/>
    <d v="2018-04-30T00:00:00"/>
    <d v="2018-04-30T00:00:00"/>
    <s v="DZ"/>
    <s v="USD"/>
    <n v="12677"/>
    <n v="12677"/>
    <s v="BDT"/>
    <s v="EGM1"/>
    <n v="1045852.5"/>
    <s v="CM ADVANCE ADJUST REF-424130596192"/>
    <s v="0000001010"/>
    <s v="E04289US180367"/>
    <s v=""/>
    <s v=""/>
    <s v="0"/>
    <s v="424130602434"/>
    <s v=""/>
    <s v=""/>
    <s v=""/>
    <s v=""/>
    <s v=""/>
    <x v="0"/>
    <d v="2018-05-07T00:00:00"/>
    <s v="1706000071"/>
    <d v="2018-04-30T00:00:00"/>
    <s v=""/>
    <s v="1709000560"/>
  </r>
  <r>
    <s v="1709000561"/>
    <d v="2018-04-30T00:00:00"/>
    <d v="2018-04-30T00:00:00"/>
    <s v="DZ"/>
    <s v="USD"/>
    <n v="-354088"/>
    <n v="-354088"/>
    <s v="BDT"/>
    <s v="EGM1"/>
    <n v="-29212260.010000002"/>
    <s v="CM ADVANCE RECEIVED REF-424130602354"/>
    <s v="0000001010"/>
    <s v="IT06591804260234"/>
    <s v=""/>
    <s v=""/>
    <s v="0"/>
    <s v="424130602354"/>
    <s v=""/>
    <s v=""/>
    <s v=""/>
    <s v=""/>
    <s v=""/>
    <x v="0"/>
    <d v="2018-05-14T00:00:00"/>
    <s v="1706000067"/>
    <d v="2018-04-30T00:00:00"/>
    <s v=""/>
    <s v="1709000561"/>
  </r>
  <r>
    <s v="1709000562"/>
    <d v="2018-04-17T00:00:00"/>
    <d v="2018-04-17T00:00:00"/>
    <s v="DZ"/>
    <s v="USD"/>
    <n v="8222"/>
    <n v="8222"/>
    <s v="BDT"/>
    <s v="EGM1"/>
    <n v="678315"/>
    <s v="CM ADVANCE ADJUST REF-424130592454"/>
    <s v="0000001010"/>
    <s v="E04420US18-0334"/>
    <s v=""/>
    <s v=""/>
    <s v="0"/>
    <s v="424130597235"/>
    <s v=""/>
    <s v=""/>
    <s v=""/>
    <s v=""/>
    <s v=""/>
    <x v="0"/>
    <d v="2018-05-03T00:00:00"/>
    <s v="1706000075"/>
    <d v="2018-04-17T00:00:00"/>
    <s v=""/>
    <s v="1709000562"/>
  </r>
  <r>
    <s v="1709000562"/>
    <d v="2018-04-17T00:00:00"/>
    <d v="2018-04-17T00:00:00"/>
    <s v="DZ"/>
    <s v="USD"/>
    <n v="4326"/>
    <n v="4326"/>
    <s v="BDT"/>
    <s v="EGM1"/>
    <n v="356895"/>
    <s v="CM ADVANCE ADJUST REF-424130590385"/>
    <s v="0000001010"/>
    <s v="E04420US18-0334"/>
    <s v=""/>
    <s v=""/>
    <s v="0"/>
    <s v="424130597235"/>
    <s v=""/>
    <s v=""/>
    <s v=""/>
    <s v=""/>
    <s v=""/>
    <x v="0"/>
    <d v="2018-05-03T00:00:00"/>
    <s v="1706000072"/>
    <d v="2018-04-17T00:00:00"/>
    <s v=""/>
    <s v="1709000562"/>
  </r>
  <r>
    <s v="1709000563"/>
    <d v="2018-04-23T00:00:00"/>
    <d v="2018-04-23T00:00:00"/>
    <s v="DZ"/>
    <s v="USD"/>
    <n v="81766"/>
    <n v="81766"/>
    <s v="BDT"/>
    <s v="EGM1"/>
    <n v="6745695"/>
    <s v="CM ADVANCE ADJUST REF-424130592454"/>
    <s v="0000001010"/>
    <s v="E04067WM18CA0345"/>
    <s v=""/>
    <s v=""/>
    <s v="0"/>
    <s v="424130600025"/>
    <s v=""/>
    <s v=""/>
    <s v=""/>
    <s v=""/>
    <s v=""/>
    <x v="0"/>
    <d v="2018-05-03T00:00:00"/>
    <s v="1706000075"/>
    <d v="2018-04-23T00:00:00"/>
    <s v=""/>
    <s v="1709000563"/>
  </r>
  <r>
    <s v="1709000564"/>
    <d v="2018-05-03T00:00:00"/>
    <d v="2018-05-03T00:00:00"/>
    <s v="DZ"/>
    <s v="USD"/>
    <n v="35499"/>
    <n v="35499"/>
    <s v="BDT"/>
    <s v="EGM2"/>
    <n v="2928667.5"/>
    <s v="CM ADVANCE ADJUST REF-424130597510"/>
    <s v="0000001010"/>
    <s v="E24354VF18US053"/>
    <s v=""/>
    <s v=""/>
    <s v="0"/>
    <s v="424130602577"/>
    <s v=""/>
    <s v=""/>
    <s v=""/>
    <s v=""/>
    <s v=""/>
    <x v="0"/>
    <d v="2018-05-03T00:00:00"/>
    <s v="1706000073"/>
    <d v="2018-05-03T00:00:00"/>
    <s v=""/>
    <s v="1709000564"/>
  </r>
  <r>
    <s v="1709000565"/>
    <d v="2018-05-03T00:00:00"/>
    <d v="2018-05-03T00:00:00"/>
    <s v="DZ"/>
    <s v="USD"/>
    <n v="45739"/>
    <n v="45739"/>
    <s v="BDT"/>
    <s v="EGM1"/>
    <n v="3773467.5"/>
    <s v="CM ADVANCE ADJUST REF-424130598699"/>
    <s v="0000001010"/>
    <s v="E04288US180363"/>
    <s v=""/>
    <s v=""/>
    <s v="0"/>
    <s v="424130602568"/>
    <s v=""/>
    <s v=""/>
    <s v=""/>
    <s v=""/>
    <s v=""/>
    <x v="0"/>
    <d v="2018-05-14T00:00:00"/>
    <s v="1706000077"/>
    <d v="2018-05-03T00:00:00"/>
    <s v=""/>
    <s v="1709000565"/>
  </r>
  <r>
    <s v="1709000565"/>
    <d v="2018-05-03T00:00:00"/>
    <d v="2018-05-03T00:00:00"/>
    <s v="DZ"/>
    <s v="USD"/>
    <n v="9190"/>
    <n v="9190"/>
    <s v="BDT"/>
    <s v="EGM1"/>
    <n v="758175"/>
    <s v="CM ADVANCE ADJUST REF-424130596192"/>
    <s v="0000001010"/>
    <s v="E04288US180363"/>
    <s v=""/>
    <s v=""/>
    <s v="0"/>
    <s v="424130602568"/>
    <s v=""/>
    <s v=""/>
    <s v=""/>
    <s v=""/>
    <s v=""/>
    <x v="0"/>
    <d v="2018-05-07T00:00:00"/>
    <s v="1706000071"/>
    <d v="2018-05-03T00:00:00"/>
    <s v=""/>
    <s v="1709000565"/>
  </r>
  <r>
    <s v="1709000567"/>
    <d v="2018-05-08T00:00:00"/>
    <d v="2018-05-08T00:00:00"/>
    <s v="DZ"/>
    <s v="USD"/>
    <n v="-32757"/>
    <n v="-32757"/>
    <s v="BDT"/>
    <s v="EGM2"/>
    <n v="-2702452.51"/>
    <s v="CM ADVANCE RECEIVED REF-424130605226"/>
    <s v="0000001010"/>
    <s v="IT06591805080038"/>
    <s v=""/>
    <s v=""/>
    <s v="0"/>
    <s v="424130605226"/>
    <s v=""/>
    <s v=""/>
    <s v=""/>
    <s v=""/>
    <s v=""/>
    <x v="0"/>
    <d v="2018-05-21T00:00:00"/>
    <s v="1706000074"/>
    <d v="2018-05-08T00:00:00"/>
    <s v=""/>
    <s v="1709000567"/>
  </r>
  <r>
    <s v="1709000568"/>
    <d v="2018-05-09T00:00:00"/>
    <d v="2018-05-09T00:00:00"/>
    <s v="DZ"/>
    <s v="USD"/>
    <n v="192399"/>
    <n v="192399"/>
    <s v="BDT"/>
    <s v="EGM2"/>
    <n v="15872917.51"/>
    <s v="CM ADVANCE ADJUST REF-424130601505"/>
    <s v="0000001010"/>
    <s v="E24447VF18US0156"/>
    <s v=""/>
    <s v=""/>
    <s v="0"/>
    <s v="424130605538"/>
    <s v=""/>
    <s v=""/>
    <s v=""/>
    <s v=""/>
    <s v=""/>
    <x v="0"/>
    <d v="2018-05-11T00:00:00"/>
    <s v="1706000070"/>
    <d v="2018-05-09T00:00:00"/>
    <s v=""/>
    <s v="1709000568"/>
  </r>
  <r>
    <s v="1709000569"/>
    <d v="2018-05-10T00:00:00"/>
    <d v="2018-05-10T00:00:00"/>
    <s v="DZ"/>
    <s v="USD"/>
    <n v="7487"/>
    <n v="7487"/>
    <s v="BDT"/>
    <s v="EGM2"/>
    <n v="617677.5"/>
    <s v="CM ADVANCE ADJUST REF-424130601505"/>
    <s v="0000001010"/>
    <s v="E24447VF18US0158"/>
    <s v=""/>
    <s v=""/>
    <s v="0"/>
    <s v="424130606225"/>
    <s v=""/>
    <s v=""/>
    <s v=""/>
    <s v=""/>
    <s v=""/>
    <x v="0"/>
    <d v="2018-05-11T00:00:00"/>
    <s v="1706000070"/>
    <d v="2018-05-10T00:00:00"/>
    <s v=""/>
    <s v="1709000569"/>
  </r>
  <r>
    <s v="1709000570"/>
    <d v="2018-05-08T00:00:00"/>
    <d v="2018-05-08T00:00:00"/>
    <s v="DZ"/>
    <s v="USD"/>
    <n v="-443313"/>
    <n v="-443313"/>
    <s v="BDT"/>
    <s v="EGM1"/>
    <n v="-36573322.509999998"/>
    <s v="CM ADVANCE RECEIVED REF-424130605217"/>
    <s v="0000001010"/>
    <s v="IT06591805080040"/>
    <s v=""/>
    <s v=""/>
    <s v="0"/>
    <s v="424130605217"/>
    <s v=""/>
    <s v=""/>
    <s v=""/>
    <s v=""/>
    <s v=""/>
    <x v="0"/>
    <d v="2018-05-25T00:00:00"/>
    <s v="1706000076"/>
    <d v="2018-05-08T00:00:00"/>
    <s v=""/>
    <s v="1709000570"/>
  </r>
  <r>
    <s v="1709000571"/>
    <d v="2018-05-08T00:00:00"/>
    <d v="2018-05-08T00:00:00"/>
    <s v="DZ"/>
    <s v="USD"/>
    <n v="15042"/>
    <n v="15042"/>
    <s v="BDT"/>
    <s v="EGM1"/>
    <n v="1240965"/>
    <s v="CM ADVANCE ADJUST REF-424130598699"/>
    <s v="0000001010"/>
    <s v="E04345US18-0341"/>
    <s v=""/>
    <s v=""/>
    <s v="0"/>
    <s v="424130603585"/>
    <s v=""/>
    <s v=""/>
    <s v=""/>
    <s v=""/>
    <s v=""/>
    <x v="0"/>
    <d v="2018-05-14T00:00:00"/>
    <s v="1706000077"/>
    <d v="2018-05-08T00:00:00"/>
    <s v=""/>
    <s v="1709000571"/>
  </r>
  <r>
    <s v="1709000573"/>
    <d v="2018-05-09T00:00:00"/>
    <d v="2018-05-09T00:00:00"/>
    <s v="DZ"/>
    <s v="USD"/>
    <n v="467643"/>
    <n v="467643"/>
    <s v="BDT"/>
    <s v="EGM1"/>
    <n v="38580547.509999998"/>
    <s v="CM ADVANCE ADJUST REF-424130598699"/>
    <s v="0000001010"/>
    <s v="E04378US18-0386"/>
    <s v=""/>
    <s v=""/>
    <s v="0"/>
    <s v="424130605529"/>
    <s v=""/>
    <s v=""/>
    <s v=""/>
    <s v=""/>
    <s v=""/>
    <x v="0"/>
    <d v="2018-05-14T00:00:00"/>
    <s v="1706000077"/>
    <d v="2018-05-09T00:00:00"/>
    <s v=""/>
    <s v="1709000573"/>
  </r>
  <r>
    <s v="1709000573"/>
    <d v="2018-05-09T00:00:00"/>
    <d v="2018-05-09T00:00:00"/>
    <s v="DZ"/>
    <s v="USD"/>
    <n v="350639"/>
    <n v="350639"/>
    <s v="BDT"/>
    <s v="EGM1"/>
    <n v="28927717.510000002"/>
    <s v="CM ADVANCE ADJUST REF-424130602354"/>
    <s v="0000001010"/>
    <s v="E04378US18-0386"/>
    <s v=""/>
    <s v=""/>
    <s v="0"/>
    <s v="424130605529"/>
    <s v=""/>
    <s v=""/>
    <s v=""/>
    <s v=""/>
    <s v=""/>
    <x v="0"/>
    <d v="2018-05-14T00:00:00"/>
    <s v="1706000067"/>
    <d v="2018-05-09T00:00:00"/>
    <s v=""/>
    <s v="1709000573"/>
  </r>
  <r>
    <s v="1709000573"/>
    <d v="2018-05-09T00:00:00"/>
    <d v="2018-05-09T00:00:00"/>
    <s v="DZ"/>
    <s v="USD"/>
    <n v="55483"/>
    <n v="55483"/>
    <s v="BDT"/>
    <s v="EGM1"/>
    <n v="4577347.51"/>
    <s v="CM ADVANCE ADJUST REF-424130597501"/>
    <s v="0000001010"/>
    <s v="E04378US18-0386"/>
    <s v=""/>
    <s v=""/>
    <s v="0"/>
    <s v="424130605529"/>
    <s v=""/>
    <s v=""/>
    <s v=""/>
    <s v=""/>
    <s v=""/>
    <x v="0"/>
    <d v="2018-05-09T00:00:00"/>
    <s v="1709000573"/>
    <d v="2018-05-09T00:00:00"/>
    <s v=""/>
    <s v="1709000573"/>
  </r>
  <r>
    <s v="1709000575"/>
    <d v="2018-05-10T00:00:00"/>
    <d v="2018-05-10T00:00:00"/>
    <s v="DZ"/>
    <s v="USD"/>
    <n v="16839"/>
    <n v="16839"/>
    <s v="BDT"/>
    <s v="EGM1"/>
    <n v="1389217.5"/>
    <s v="CM ADVANCE ADJUST REF-424130598699"/>
    <s v="0000001010"/>
    <s v="E04288US180365"/>
    <s v=""/>
    <s v=""/>
    <s v="0"/>
    <s v="424130606234"/>
    <s v=""/>
    <s v=""/>
    <s v=""/>
    <s v=""/>
    <s v=""/>
    <x v="0"/>
    <d v="2018-05-14T00:00:00"/>
    <s v="1706000077"/>
    <d v="2018-05-10T00:00:00"/>
    <s v=""/>
    <s v="1709000575"/>
  </r>
  <r>
    <s v="1709000576"/>
    <d v="2018-05-13T00:00:00"/>
    <d v="2018-05-13T00:00:00"/>
    <s v="DZ"/>
    <s v="USD"/>
    <n v="-620843"/>
    <n v="-620843"/>
    <s v="BDT"/>
    <s v="EGM1"/>
    <n v="-51219547.509999998"/>
    <s v="CM ADVANCE RECEIVED REF-424130606699"/>
    <s v="0000001010"/>
    <s v="IT06591805120014"/>
    <s v=""/>
    <s v=""/>
    <s v="0"/>
    <s v="424130606699"/>
    <s v=""/>
    <s v=""/>
    <s v=""/>
    <s v=""/>
    <s v=""/>
    <x v="0"/>
    <d v="2018-06-30T00:00:00"/>
    <s v="1706000082"/>
    <d v="2018-05-13T00:00:00"/>
    <s v=""/>
    <s v="1709000576"/>
  </r>
  <r>
    <s v="1709000577"/>
    <d v="2018-05-06T00:00:00"/>
    <d v="2018-05-06T00:00:00"/>
    <s v="DZ"/>
    <s v="USD"/>
    <n v="-91558"/>
    <n v="-91558"/>
    <s v="BDT"/>
    <s v="EGM2"/>
    <n v="-7553535.0099999998"/>
    <s v="CM ADVANCE RECEIVED REF-424130603193"/>
    <s v="0000001010"/>
    <s v="IT06591805030485"/>
    <s v=""/>
    <s v=""/>
    <s v="0"/>
    <s v="424130603193"/>
    <s v=""/>
    <s v=""/>
    <s v=""/>
    <s v=""/>
    <s v=""/>
    <x v="0"/>
    <d v="2019-02-23T00:00:00"/>
    <s v="1806000013"/>
    <d v="2018-05-06T00:00:00"/>
    <s v=""/>
    <s v="1709000577"/>
  </r>
  <r>
    <s v="1709000578"/>
    <d v="2018-05-13T00:00:00"/>
    <d v="2018-05-13T00:00:00"/>
    <s v="DZ"/>
    <s v="USD"/>
    <n v="84071"/>
    <n v="84071"/>
    <s v="BDT"/>
    <s v="EGM2"/>
    <n v="6935857.5099999998"/>
    <s v="CM ADVANCE ADJUST REF-424130603193"/>
    <s v="0000001010"/>
    <s v="E24448VF18US0163"/>
    <s v=""/>
    <s v=""/>
    <s v="0"/>
    <s v="424130606724"/>
    <s v=""/>
    <s v=""/>
    <s v=""/>
    <s v=""/>
    <s v=""/>
    <x v="0"/>
    <d v="2019-02-23T00:00:00"/>
    <s v="1806000013"/>
    <d v="2018-05-13T00:00:00"/>
    <s v=""/>
    <s v="1709000578"/>
  </r>
  <r>
    <s v="1709000578"/>
    <d v="2018-05-13T00:00:00"/>
    <d v="2018-05-13T00:00:00"/>
    <s v="DZ"/>
    <s v="USD"/>
    <n v="26105"/>
    <n v="26105"/>
    <s v="BDT"/>
    <s v="EGM2"/>
    <n v="2153662.5099999998"/>
    <s v="CM ADVANCE ADJUST REF-424130605226"/>
    <s v="0000001010"/>
    <s v="E24448VF18US0163"/>
    <s v=""/>
    <s v=""/>
    <s v="0"/>
    <s v="424130606724"/>
    <s v=""/>
    <s v=""/>
    <s v=""/>
    <s v=""/>
    <s v=""/>
    <x v="0"/>
    <d v="2018-05-21T00:00:00"/>
    <s v="1706000074"/>
    <d v="2018-05-13T00:00:00"/>
    <s v=""/>
    <s v="1709000578"/>
  </r>
  <r>
    <s v="1709000579"/>
    <d v="2018-05-06T00:00:00"/>
    <d v="2018-05-06T00:00:00"/>
    <s v="DZ"/>
    <s v="USD"/>
    <n v="-348430"/>
    <n v="-348430"/>
    <s v="BDT"/>
    <s v="EGM1"/>
    <n v="-28745475.02"/>
    <s v="CM ADVANCE RECEIVED REF-424130603166"/>
    <s v="0000001010"/>
    <s v="IT06591804300326"/>
    <s v=""/>
    <s v=""/>
    <s v="0"/>
    <s v="424130603166"/>
    <s v=""/>
    <s v=""/>
    <s v=""/>
    <s v=""/>
    <s v=""/>
    <x v="0"/>
    <d v="2018-05-13T00:00:00"/>
    <s v="1709000585"/>
    <d v="2018-05-06T00:00:00"/>
    <s v=""/>
    <s v="1709000579"/>
  </r>
  <r>
    <s v="1709000580"/>
    <d v="2018-05-06T00:00:00"/>
    <d v="2018-05-06T00:00:00"/>
    <s v="DZ"/>
    <s v="USD"/>
    <n v="-237942"/>
    <n v="-237942"/>
    <s v="BDT"/>
    <s v="EGM1"/>
    <n v="-19630215.010000002"/>
    <s v="CM ADVANCE RECEIVED REF-424130603175"/>
    <s v="0000001010"/>
    <s v="IT06591805030483"/>
    <s v=""/>
    <s v=""/>
    <s v="0"/>
    <s v="424130603175"/>
    <s v=""/>
    <s v=""/>
    <s v=""/>
    <s v=""/>
    <s v=""/>
    <x v="0"/>
    <d v="2018-05-21T00:00:00"/>
    <s v="1706000069"/>
    <d v="2018-05-06T00:00:00"/>
    <s v=""/>
    <s v="1709000580"/>
  </r>
  <r>
    <s v="1709000581"/>
    <d v="2018-05-06T00:00:00"/>
    <d v="2018-05-06T00:00:00"/>
    <s v="DZ"/>
    <s v="USD"/>
    <n v="-268446"/>
    <n v="-268446"/>
    <s v="BDT"/>
    <s v="EGM1"/>
    <n v="-22146795.010000002"/>
    <s v="CM ADVANCE RECEIVED REF- 424130603184"/>
    <s v="0000001010"/>
    <s v="IT06591805030486"/>
    <s v=""/>
    <s v=""/>
    <s v="0"/>
    <s v="424130603184"/>
    <s v=""/>
    <s v=""/>
    <s v=""/>
    <s v=""/>
    <s v=""/>
    <x v="0"/>
    <d v="2018-05-25T00:00:00"/>
    <s v="1706000068"/>
    <d v="2018-05-06T00:00:00"/>
    <s v=""/>
    <s v="1709000581"/>
  </r>
  <r>
    <s v="1709000582"/>
    <d v="2018-05-13T00:00:00"/>
    <d v="2018-05-13T00:00:00"/>
    <s v="DZ"/>
    <s v="USD"/>
    <n v="57390"/>
    <n v="57390"/>
    <s v="BDT"/>
    <s v="EGM1"/>
    <n v="4734675"/>
    <s v="CM ADVANCE ADJUST REF-424130598699"/>
    <s v="0000001010"/>
    <s v="E04428US18-0376"/>
    <s v=""/>
    <s v=""/>
    <s v="0"/>
    <s v="424130606733"/>
    <s v=""/>
    <s v=""/>
    <s v=""/>
    <s v=""/>
    <s v=""/>
    <x v="0"/>
    <d v="2018-05-14T00:00:00"/>
    <s v="1706000077"/>
    <d v="2018-05-13T00:00:00"/>
    <s v=""/>
    <s v="1709000582"/>
  </r>
  <r>
    <s v="1709000582"/>
    <d v="2018-05-13T00:00:00"/>
    <d v="2018-05-13T00:00:00"/>
    <s v="DZ"/>
    <s v="USD"/>
    <n v="3449"/>
    <n v="3449"/>
    <s v="BDT"/>
    <s v="EGM1"/>
    <n v="284542.5"/>
    <s v="CM ADVANCE ADJUST REF-424130602354"/>
    <s v="0000001010"/>
    <s v="E04428US18-0376"/>
    <s v=""/>
    <s v=""/>
    <s v="0"/>
    <s v="424130606733"/>
    <s v=""/>
    <s v=""/>
    <s v=""/>
    <s v=""/>
    <s v=""/>
    <x v="0"/>
    <d v="2018-05-14T00:00:00"/>
    <s v="1706000067"/>
    <d v="2018-05-13T00:00:00"/>
    <s v=""/>
    <s v="1709000582"/>
  </r>
  <r>
    <s v="1709000583"/>
    <d v="2018-05-13T00:00:00"/>
    <d v="2018-05-13T00:00:00"/>
    <s v="DZ"/>
    <s v="USD"/>
    <n v="145927"/>
    <n v="145927"/>
    <s v="BDT"/>
    <s v="EGM1"/>
    <n v="12038977.51"/>
    <s v="CM ADVANCE ADJUST REF-424130603175"/>
    <s v="0000001010"/>
    <s v="E04365US18-0413"/>
    <s v=""/>
    <s v=""/>
    <s v="0"/>
    <s v="424130606706"/>
    <s v=""/>
    <s v=""/>
    <s v=""/>
    <s v=""/>
    <s v=""/>
    <x v="0"/>
    <d v="2018-05-21T00:00:00"/>
    <s v="1706000069"/>
    <d v="2018-05-13T00:00:00"/>
    <s v=""/>
    <s v="1709000583"/>
  </r>
  <r>
    <s v="1709000584"/>
    <d v="2018-05-06T00:00:00"/>
    <d v="2018-05-06T00:00:00"/>
    <s v="DZ"/>
    <s v="USD"/>
    <n v="110429"/>
    <n v="110429"/>
    <s v="BDT"/>
    <s v="EGM1"/>
    <n v="9110392.5099999998"/>
    <s v="CM ADVANCE ADJUST REF-424130596192"/>
    <s v="0000001010"/>
    <s v="E04431US18-0351"/>
    <s v=""/>
    <s v=""/>
    <s v="0"/>
    <s v="424130603594"/>
    <s v=""/>
    <s v=""/>
    <s v=""/>
    <s v=""/>
    <s v=""/>
    <x v="0"/>
    <d v="2018-05-07T00:00:00"/>
    <s v="1706000071"/>
    <d v="2018-05-06T00:00:00"/>
    <s v=""/>
    <s v="1709000584"/>
  </r>
  <r>
    <s v="1709000585"/>
    <d v="2018-05-13T00:00:00"/>
    <d v="2018-05-13T00:00:00"/>
    <s v="DZ"/>
    <s v="USD"/>
    <n v="348430"/>
    <n v="348430"/>
    <s v="BDT"/>
    <s v="EGM1"/>
    <n v="28745475.02"/>
    <s v="CM ADVANCE ADJUST REF-424130603166"/>
    <s v="0000001010"/>
    <s v="E04441US18-0419"/>
    <s v=""/>
    <s v=""/>
    <s v="0"/>
    <s v="424130606715"/>
    <s v=""/>
    <s v=""/>
    <s v=""/>
    <s v=""/>
    <s v=""/>
    <x v="0"/>
    <d v="2018-05-13T00:00:00"/>
    <s v="1709000585"/>
    <d v="2018-05-13T00:00:00"/>
    <s v=""/>
    <s v="1709000585"/>
  </r>
  <r>
    <s v="1709000586"/>
    <d v="2018-05-06T00:00:00"/>
    <d v="2018-05-06T00:00:00"/>
    <s v="DZ"/>
    <s v="USD"/>
    <n v="28893"/>
    <n v="28893"/>
    <s v="BDT"/>
    <s v="EGM2"/>
    <n v="2383672.5"/>
    <s v="CM ADVANCE ADJUST REF-424130601505"/>
    <s v="0000001010"/>
    <s v="E24388VF18US0154"/>
    <s v=""/>
    <s v=""/>
    <s v="0"/>
    <s v="424130603601"/>
    <s v=""/>
    <s v=""/>
    <s v=""/>
    <s v=""/>
    <s v=""/>
    <x v="0"/>
    <d v="2018-05-11T00:00:00"/>
    <s v="1706000070"/>
    <d v="2018-05-06T00:00:00"/>
    <s v=""/>
    <s v="1709000586"/>
  </r>
  <r>
    <s v="1709000589"/>
    <d v="2018-04-30T00:00:00"/>
    <d v="2018-04-30T00:00:00"/>
    <s v="DZ"/>
    <s v="USD"/>
    <n v="-348430"/>
    <n v="-348430"/>
    <s v="BDT"/>
    <s v="EGM1"/>
    <n v="-2874547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9000589"/>
  </r>
  <r>
    <s v="1709000589"/>
    <d v="2018-04-30T00:00:00"/>
    <d v="2018-04-30T00:00:00"/>
    <s v="DZ"/>
    <s v="USD"/>
    <n v="244793"/>
    <n v="244793"/>
    <s v="BDT"/>
    <s v="EGM1"/>
    <n v="20195422.5"/>
    <s v="FIT-CM ADV-APR-18"/>
    <s v="0000001010"/>
    <s v="FIT-CM ADV-APR18"/>
    <s v=""/>
    <s v=""/>
    <s v="0"/>
    <s v="CM ADV. FIT - APR-18"/>
    <s v=""/>
    <s v=""/>
    <s v=""/>
    <s v=""/>
    <s v=""/>
    <x v="0"/>
    <d v="2018-05-01T00:00:00"/>
    <s v="1703012956"/>
    <d v="2018-04-30T00:00:00"/>
    <s v=""/>
    <s v="1709000589"/>
  </r>
  <r>
    <s v="1709000591"/>
    <d v="2018-05-08T00:00:00"/>
    <d v="2018-05-08T00:00:00"/>
    <s v="DZ"/>
    <s v="USD"/>
    <n v="190381.44"/>
    <n v="190381.44"/>
    <s v="BDT"/>
    <s v="EGM1"/>
    <n v="15706468.82"/>
    <s v="E34228TC18US0100"/>
    <s v="0000005010"/>
    <s v="E34228TC18US0100"/>
    <s v=""/>
    <s v=""/>
    <s v="0"/>
    <s v="424130604450"/>
    <s v=""/>
    <s v=""/>
    <s v=""/>
    <s v=""/>
    <s v=""/>
    <x v="0"/>
    <d v="2018-05-08T00:00:00"/>
    <s v="1709000591"/>
    <d v="2018-05-08T00:00:00"/>
    <s v=""/>
    <s v="1709000591"/>
  </r>
  <r>
    <s v="1709000593"/>
    <d v="2018-05-16T00:00:00"/>
    <d v="2018-05-16T00:00:00"/>
    <s v="DZ"/>
    <s v="USD"/>
    <n v="224976"/>
    <n v="224976"/>
    <s v="BDT"/>
    <s v="EGM1"/>
    <n v="18560520.010000002"/>
    <s v="CM ADVANCE ADJUST REF-424130605217"/>
    <s v="0000001010"/>
    <s v="E04427US18-0416"/>
    <s v=""/>
    <s v=""/>
    <s v="0"/>
    <s v="424130609179"/>
    <s v=""/>
    <s v=""/>
    <s v=""/>
    <s v=""/>
    <s v=""/>
    <x v="0"/>
    <d v="2018-05-25T00:00:00"/>
    <s v="1706000076"/>
    <d v="2018-05-16T00:00:00"/>
    <s v=""/>
    <s v="1709000593"/>
  </r>
  <r>
    <s v="1709000594"/>
    <d v="2018-05-16T00:00:00"/>
    <d v="2018-05-16T00:00:00"/>
    <s v="DZ"/>
    <s v="USD"/>
    <n v="-131912"/>
    <n v="-131912"/>
    <s v="BDT"/>
    <s v="EGM2"/>
    <n v="-10882740.01"/>
    <s v="CM ADVANCE RECEIVED REF-424130608857"/>
    <s v="0000001010"/>
    <s v="IT06591805150212"/>
    <s v=""/>
    <s v=""/>
    <s v="0"/>
    <s v="424130608857"/>
    <s v=""/>
    <s v=""/>
    <s v=""/>
    <s v=""/>
    <s v=""/>
    <x v="0"/>
    <d v="2018-05-29T00:00:00"/>
    <s v="1709000608"/>
    <d v="2018-05-16T00:00:00"/>
    <s v=""/>
    <s v="1709000594"/>
  </r>
  <r>
    <s v="1709000595"/>
    <d v="2018-05-20T00:00:00"/>
    <d v="2018-05-20T00:00:00"/>
    <s v="DZ"/>
    <s v="USD"/>
    <n v="-358025"/>
    <n v="-358025"/>
    <s v="BDT"/>
    <s v="EGM1"/>
    <n v="-29537062.510000002"/>
    <s v="CM ADVANCE RECEIVED REF-424130610032"/>
    <s v="0000001010"/>
    <s v="IT06591805160243"/>
    <s v=""/>
    <s v=""/>
    <s v="0"/>
    <s v="424130610032"/>
    <s v=""/>
    <s v=""/>
    <s v=""/>
    <s v=""/>
    <s v=""/>
    <x v="0"/>
    <d v="2018-06-30T00:00:00"/>
    <s v="1706000083"/>
    <d v="2018-05-20T00:00:00"/>
    <s v=""/>
    <s v="1709000595"/>
  </r>
  <r>
    <s v="1709000596"/>
    <d v="2018-05-20T00:00:00"/>
    <d v="2018-05-20T00:00:00"/>
    <s v="DZ"/>
    <s v="USD"/>
    <n v="6652"/>
    <n v="6652"/>
    <s v="BDT"/>
    <s v="EGM2"/>
    <n v="548790"/>
    <s v="CM ADVANCE ADJUST REF-424130605226"/>
    <s v="0000001010"/>
    <s v="E24351VF18US0173"/>
    <s v=""/>
    <s v=""/>
    <s v="0"/>
    <s v="424130610023"/>
    <s v=""/>
    <s v=""/>
    <s v=""/>
    <s v=""/>
    <s v=""/>
    <x v="0"/>
    <d v="2018-05-21T00:00:00"/>
    <s v="1706000074"/>
    <d v="2018-05-20T00:00:00"/>
    <s v=""/>
    <s v="1709000596"/>
  </r>
  <r>
    <s v="1709000597"/>
    <d v="2018-05-20T00:00:00"/>
    <d v="2018-05-20T00:00:00"/>
    <s v="DZ"/>
    <s v="USD"/>
    <n v="65258"/>
    <n v="65258"/>
    <s v="BDT"/>
    <s v="EGM1"/>
    <n v="5383785"/>
    <s v="CM ADVANCE ADJUST REF-424130605217"/>
    <s v="0000001010"/>
    <s v="E04401US18-0471"/>
    <s v=""/>
    <s v=""/>
    <s v="0"/>
    <s v="424130610522"/>
    <s v=""/>
    <s v=""/>
    <s v=""/>
    <s v=""/>
    <s v=""/>
    <x v="0"/>
    <d v="2018-05-25T00:00:00"/>
    <s v="1706000076"/>
    <d v="2018-05-20T00:00:00"/>
    <s v=""/>
    <s v="1709000597"/>
  </r>
  <r>
    <s v="1709000597"/>
    <d v="2018-05-20T00:00:00"/>
    <d v="2018-05-20T00:00:00"/>
    <s v="DZ"/>
    <s v="USD"/>
    <n v="92015"/>
    <n v="92015"/>
    <s v="BDT"/>
    <s v="EGM1"/>
    <n v="7591237.5"/>
    <s v="CM ADVANCE ADJUST REF-424130603175"/>
    <s v="0000001010"/>
    <s v="E04401US18-0471"/>
    <s v=""/>
    <s v=""/>
    <s v="0"/>
    <s v="424130610522"/>
    <s v=""/>
    <s v=""/>
    <s v=""/>
    <s v=""/>
    <s v=""/>
    <x v="0"/>
    <d v="2018-05-21T00:00:00"/>
    <s v="1706000069"/>
    <d v="2018-05-20T00:00:00"/>
    <s v=""/>
    <s v="1709000597"/>
  </r>
  <r>
    <s v="1709000598"/>
    <d v="2018-05-21T00:00:00"/>
    <d v="2018-05-21T00:00:00"/>
    <s v="DZ"/>
    <s v="USD"/>
    <n v="311635"/>
    <n v="311635"/>
    <s v="BDT"/>
    <s v="EGM1"/>
    <n v="25709887.510000002"/>
    <s v="CM ADVANCE ADJUST REF-424130606699"/>
    <s v="0000001010"/>
    <s v="E04365US18-0414"/>
    <s v=""/>
    <s v=""/>
    <s v="0"/>
    <s v="424130610513"/>
    <s v=""/>
    <s v=""/>
    <s v=""/>
    <s v=""/>
    <s v=""/>
    <x v="0"/>
    <d v="2018-06-30T00:00:00"/>
    <s v="1706000082"/>
    <d v="2018-05-21T00:00:00"/>
    <s v=""/>
    <s v="1709000598"/>
  </r>
  <r>
    <s v="1709000598"/>
    <d v="2018-05-21T00:00:00"/>
    <d v="2018-05-21T00:00:00"/>
    <s v="DZ"/>
    <s v="USD"/>
    <n v="111895"/>
    <n v="111895"/>
    <s v="BDT"/>
    <s v="EGM1"/>
    <n v="9231337.5"/>
    <s v="CM ADVANCE ADJUST REF-424130605217"/>
    <s v="0000001010"/>
    <s v="E04365US18-0414"/>
    <s v=""/>
    <s v=""/>
    <s v="0"/>
    <s v="424130610513"/>
    <s v=""/>
    <s v=""/>
    <s v=""/>
    <s v=""/>
    <s v=""/>
    <x v="0"/>
    <d v="2018-05-25T00:00:00"/>
    <s v="1706000076"/>
    <d v="2018-05-21T00:00:00"/>
    <s v=""/>
    <s v="1709000598"/>
  </r>
  <r>
    <s v="1709000598"/>
    <d v="2018-05-21T00:00:00"/>
    <d v="2018-05-21T00:00:00"/>
    <s v="DZ"/>
    <s v="USD"/>
    <n v="194053"/>
    <n v="194053"/>
    <s v="BDT"/>
    <s v="EGM1"/>
    <n v="16009372.51"/>
    <s v="CM ADVANCE ADJUST REF-424130603184"/>
    <s v="0000001010"/>
    <s v="E04365US18-0414"/>
    <s v=""/>
    <s v=""/>
    <s v="0"/>
    <s v="424130610513"/>
    <s v=""/>
    <s v=""/>
    <s v=""/>
    <s v=""/>
    <s v=""/>
    <x v="0"/>
    <d v="2018-05-25T00:00:00"/>
    <s v="1706000068"/>
    <d v="2018-05-21T00:00:00"/>
    <s v=""/>
    <s v="1709000598"/>
  </r>
  <r>
    <s v="1709000601"/>
    <d v="2018-05-23T00:00:00"/>
    <d v="2018-05-23T00:00:00"/>
    <s v="DZ"/>
    <s v="USD"/>
    <n v="-1289053"/>
    <n v="-1289053"/>
    <s v="BDT"/>
    <s v="EGM1"/>
    <n v="-106346872.51000001"/>
    <s v="CM ADVANCE RECEIVED REF-424130611914"/>
    <s v="0000001010"/>
    <s v="IT06591805210153"/>
    <s v=""/>
    <s v=""/>
    <s v="0"/>
    <s v="424130611914"/>
    <s v=""/>
    <s v=""/>
    <s v=""/>
    <s v=""/>
    <s v=""/>
    <x v="0"/>
    <d v="2018-06-30T00:00:00"/>
    <s v="1706000080"/>
    <d v="2018-05-23T00:00:00"/>
    <s v=""/>
    <s v="1709000601"/>
  </r>
  <r>
    <s v="1709000602"/>
    <d v="2018-05-23T00:00:00"/>
    <d v="2018-05-23T00:00:00"/>
    <s v="DZ"/>
    <s v="USD"/>
    <n v="-81967"/>
    <n v="-81967"/>
    <s v="BDT"/>
    <s v="EGM2"/>
    <n v="-6762277.5099999998"/>
    <s v="CM ADVANCE RECEIVED REF-424130611923"/>
    <s v="0000001010"/>
    <s v="IT06591805210135"/>
    <s v=""/>
    <s v=""/>
    <s v="0"/>
    <s v="424130611923"/>
    <s v=""/>
    <s v=""/>
    <s v=""/>
    <s v=""/>
    <s v=""/>
    <x v="0"/>
    <d v="2018-06-30T00:00:00"/>
    <s v="1706000085"/>
    <d v="2018-05-23T00:00:00"/>
    <s v=""/>
    <s v="1709000602"/>
  </r>
  <r>
    <s v="1709000604"/>
    <d v="2018-05-24T00:00:00"/>
    <d v="2018-05-24T00:00:00"/>
    <s v="DZ"/>
    <s v="USD"/>
    <n v="41185"/>
    <n v="41185"/>
    <s v="BDT"/>
    <s v="EGM1"/>
    <n v="3397762.5"/>
    <s v="CM ADVANCE ADJUST REF-424130605217"/>
    <s v="0000001010"/>
    <s v="E04428US18-0457"/>
    <s v=""/>
    <s v=""/>
    <s v="0"/>
    <s v="424130613002"/>
    <s v=""/>
    <s v=""/>
    <s v=""/>
    <s v=""/>
    <s v=""/>
    <x v="0"/>
    <d v="2018-05-25T00:00:00"/>
    <s v="1706000076"/>
    <d v="2018-05-24T00:00:00"/>
    <s v=""/>
    <s v="1709000604"/>
  </r>
  <r>
    <s v="1709000604"/>
    <d v="2018-05-24T00:00:00"/>
    <d v="2018-05-24T00:00:00"/>
    <s v="DZ"/>
    <s v="USD"/>
    <n v="4874"/>
    <n v="4874"/>
    <s v="BDT"/>
    <s v="EGM1"/>
    <n v="402105"/>
    <s v="CM ADVANCE ADJUST REF-424130610032"/>
    <s v="0000001010"/>
    <s v="E04428US18-0457"/>
    <s v=""/>
    <s v=""/>
    <s v="0"/>
    <s v="424130613002"/>
    <s v=""/>
    <s v=""/>
    <s v=""/>
    <s v=""/>
    <s v=""/>
    <x v="0"/>
    <d v="2018-06-30T00:00:00"/>
    <s v="1706000083"/>
    <d v="2018-05-24T00:00:00"/>
    <s v=""/>
    <s v="1709000604"/>
  </r>
  <r>
    <s v="1709000605"/>
    <d v="2018-05-24T00:00:00"/>
    <d v="2018-05-24T00:00:00"/>
    <s v="DZ"/>
    <s v="USD"/>
    <n v="26027"/>
    <n v="26027"/>
    <s v="BDT"/>
    <s v="EGM1"/>
    <n v="2147227.5"/>
    <s v="CM ADVANCE ADJUST REF-424130606699"/>
    <s v="0000001010"/>
    <s v="E04344US18-403"/>
    <s v=""/>
    <s v=""/>
    <s v="0"/>
    <s v="424130612995"/>
    <s v=""/>
    <s v=""/>
    <s v=""/>
    <s v=""/>
    <s v=""/>
    <x v="0"/>
    <d v="2018-06-30T00:00:00"/>
    <s v="1706000082"/>
    <d v="2018-05-24T00:00:00"/>
    <s v=""/>
    <s v="1709000605"/>
  </r>
  <r>
    <s v="1709000605"/>
    <d v="2018-05-24T00:00:00"/>
    <d v="2018-05-24T00:00:00"/>
    <s v="DZ"/>
    <s v="USD"/>
    <n v="74393"/>
    <n v="74393"/>
    <s v="BDT"/>
    <s v="EGM1"/>
    <n v="6137422.5"/>
    <s v="CM ADVANCE ADJUST REF-424130603184"/>
    <s v="0000001010"/>
    <s v="E04344US18-403"/>
    <s v=""/>
    <s v=""/>
    <s v="0"/>
    <s v="424130612995"/>
    <s v=""/>
    <s v=""/>
    <s v=""/>
    <s v=""/>
    <s v=""/>
    <x v="0"/>
    <d v="2018-05-25T00:00:00"/>
    <s v="1706000068"/>
    <d v="2018-05-24T00:00:00"/>
    <s v=""/>
    <s v="1709000605"/>
  </r>
  <r>
    <s v="1709000607"/>
    <d v="2018-05-27T00:00:00"/>
    <d v="2018-05-27T00:00:00"/>
    <s v="DZ"/>
    <s v="USD"/>
    <n v="-634598"/>
    <n v="-634598"/>
    <s v="BDT"/>
    <s v="EGM1"/>
    <n v="-52354335.020000003"/>
    <s v="CM ADVANCE RECEIVED REF-424130613495"/>
    <s v="0000001010"/>
    <s v="IT06591805260008"/>
    <s v=""/>
    <s v=""/>
    <s v="0"/>
    <s v="424130613495"/>
    <s v=""/>
    <s v=""/>
    <s v=""/>
    <s v=""/>
    <s v=""/>
    <x v="0"/>
    <d v="2018-06-30T00:00:00"/>
    <s v="1706000081"/>
    <d v="2018-05-27T00:00:00"/>
    <s v=""/>
    <s v="1709000607"/>
  </r>
  <r>
    <s v="1709000608"/>
    <d v="2018-05-29T00:00:00"/>
    <d v="2018-05-29T00:00:00"/>
    <s v="DZ"/>
    <s v="USD"/>
    <n v="131912"/>
    <n v="131912"/>
    <s v="BDT"/>
    <s v="EGM2"/>
    <n v="10882740.01"/>
    <s v="E24361VF18US0182"/>
    <s v="0000001010"/>
    <s v="E24361VF18US0182"/>
    <s v=""/>
    <s v=""/>
    <s v="0"/>
    <s v="424130615359"/>
    <s v=""/>
    <s v=""/>
    <s v=""/>
    <s v=""/>
    <s v=""/>
    <x v="0"/>
    <d v="2018-05-29T00:00:00"/>
    <s v="1709000608"/>
    <d v="2018-05-29T00:00:00"/>
    <s v=""/>
    <s v="1709000608"/>
  </r>
  <r>
    <s v="1709000609"/>
    <d v="2018-05-29T00:00:00"/>
    <d v="2018-05-29T00:00:00"/>
    <s v="DZ"/>
    <s v="USD"/>
    <n v="124622"/>
    <n v="124622"/>
    <s v="BDT"/>
    <s v="EGM1"/>
    <n v="10281315"/>
    <s v="CM ADVANCE ADJUST REF-424130611914"/>
    <s v="0000001010"/>
    <s v="E04385US18 0460"/>
    <s v=""/>
    <s v=""/>
    <s v="0"/>
    <s v="424130615439"/>
    <s v=""/>
    <s v=""/>
    <s v=""/>
    <s v=""/>
    <s v=""/>
    <x v="0"/>
    <d v="2018-06-30T00:00:00"/>
    <s v="1706000080"/>
    <d v="2018-05-29T00:00:00"/>
    <s v=""/>
    <s v="1709000609"/>
  </r>
  <r>
    <s v="1709000609"/>
    <d v="2018-05-29T00:00:00"/>
    <d v="2018-05-29T00:00:00"/>
    <s v="DZ"/>
    <s v="USD"/>
    <n v="101483"/>
    <n v="101483"/>
    <s v="BDT"/>
    <s v="EGM1"/>
    <n v="8372347.5"/>
    <s v="CM ADVANCE ADJUST REF-424130610032"/>
    <s v="0000001010"/>
    <s v="E04385US18 0460"/>
    <s v=""/>
    <s v=""/>
    <s v="0"/>
    <s v="424130615439"/>
    <s v=""/>
    <s v=""/>
    <s v=""/>
    <s v=""/>
    <s v=""/>
    <x v="0"/>
    <d v="2018-06-30T00:00:00"/>
    <s v="1706000083"/>
    <d v="2018-05-29T00:00:00"/>
    <s v=""/>
    <s v="1709000609"/>
  </r>
  <r>
    <s v="1709000610"/>
    <d v="2018-05-31T00:00:00"/>
    <d v="2018-05-31T00:00:00"/>
    <s v="DZ"/>
    <s v="USD"/>
    <n v="5058"/>
    <n v="5058"/>
    <s v="BDT"/>
    <s v="EGM1"/>
    <n v="417285"/>
    <s v="CM ADVANCE ADJUST REF-424130611914"/>
    <s v="0000001010"/>
    <s v="E04122US18-0511"/>
    <s v=""/>
    <s v=""/>
    <s v="0"/>
    <s v="424130616394"/>
    <s v=""/>
    <s v=""/>
    <s v=""/>
    <s v=""/>
    <s v=""/>
    <x v="0"/>
    <d v="2018-06-30T00:00:00"/>
    <s v="1706000080"/>
    <d v="2018-05-31T00:00:00"/>
    <s v=""/>
    <s v="1709000610"/>
  </r>
  <r>
    <s v="1709000611"/>
    <d v="2018-05-31T00:00:00"/>
    <d v="2018-05-31T00:00:00"/>
    <s v="DZ"/>
    <s v="USD"/>
    <n v="35364"/>
    <n v="35364"/>
    <s v="BDT"/>
    <s v="EGM1"/>
    <n v="2917530"/>
    <s v="CM ADVANCE ADJUST REF-424130611914"/>
    <s v="0000001010"/>
    <s v="E04437WM18JP0503"/>
    <s v=""/>
    <s v=""/>
    <s v="0"/>
    <s v="424130616385"/>
    <s v=""/>
    <s v=""/>
    <s v=""/>
    <s v=""/>
    <s v=""/>
    <x v="0"/>
    <d v="2018-06-30T00:00:00"/>
    <s v="1706000080"/>
    <d v="2018-05-31T00:00:00"/>
    <s v=""/>
    <s v="1709000611"/>
  </r>
  <r>
    <s v="1709000612"/>
    <d v="2018-05-31T00:00:00"/>
    <d v="2018-05-31T00:00:00"/>
    <s v="DZ"/>
    <s v="USD"/>
    <n v="72795"/>
    <n v="72795"/>
    <s v="BDT"/>
    <s v="EGM1"/>
    <n v="6005587.5"/>
    <s v="CM ADVANCE ADJUST REF-424130611914"/>
    <s v="0000001010"/>
    <s v="E04122US18-0510"/>
    <s v=""/>
    <s v=""/>
    <s v="0"/>
    <s v="424130615992"/>
    <s v=""/>
    <s v=""/>
    <s v=""/>
    <s v=""/>
    <s v=""/>
    <x v="0"/>
    <d v="2018-06-30T00:00:00"/>
    <s v="1706000080"/>
    <d v="2018-05-31T00:00:00"/>
    <s v=""/>
    <s v="1709000612"/>
  </r>
  <r>
    <s v="1709000612"/>
    <d v="2018-05-31T00:00:00"/>
    <d v="2018-05-31T00:00:00"/>
    <s v="DZ"/>
    <s v="USD"/>
    <n v="54100"/>
    <n v="54100"/>
    <s v="BDT"/>
    <s v="EGM1"/>
    <n v="4463250"/>
    <s v="CM ADVANCE ADJUST REF-424130610032"/>
    <s v="0000001010"/>
    <s v="E04122US18-0510"/>
    <s v=""/>
    <s v=""/>
    <s v="0"/>
    <s v="424130615992"/>
    <s v=""/>
    <s v=""/>
    <s v=""/>
    <s v=""/>
    <s v=""/>
    <x v="0"/>
    <d v="2018-06-30T00:00:00"/>
    <s v="1706000083"/>
    <d v="2018-05-31T00:00:00"/>
    <s v=""/>
    <s v="1709000612"/>
  </r>
  <r>
    <s v="1709000613"/>
    <d v="2018-05-31T00:00:00"/>
    <d v="2018-05-31T00:00:00"/>
    <s v="DZ"/>
    <s v="USD"/>
    <n v="109420"/>
    <n v="109420"/>
    <s v="BDT"/>
    <s v="EGM1"/>
    <n v="9027150"/>
    <s v="CM ADVANCE ADJUST REF-424130610032"/>
    <s v="0000001010"/>
    <s v="E04378US18-0476"/>
    <s v=""/>
    <s v=""/>
    <s v="0"/>
    <s v="424130615974"/>
    <s v=""/>
    <s v=""/>
    <s v=""/>
    <s v=""/>
    <s v=""/>
    <x v="0"/>
    <d v="2018-06-30T00:00:00"/>
    <s v="1706000083"/>
    <d v="2018-05-31T00:00:00"/>
    <s v=""/>
    <s v="1709000613"/>
  </r>
  <r>
    <s v="1709000615"/>
    <d v="2018-05-31T00:00:00"/>
    <d v="2018-05-31T00:00:00"/>
    <s v="DZ"/>
    <s v="USD"/>
    <n v="-156697"/>
    <n v="-156697"/>
    <s v="BDT"/>
    <s v="EGM2"/>
    <n v="-12927502.51"/>
    <s v="CM ADVANCE RECEIVED REF-424130616303"/>
    <s v="0000001010"/>
    <s v="IT06591805290228"/>
    <s v=""/>
    <s v=""/>
    <s v="0"/>
    <s v="424130616303"/>
    <s v=""/>
    <s v=""/>
    <s v=""/>
    <s v=""/>
    <s v=""/>
    <x v="0"/>
    <d v="2018-06-30T00:00:00"/>
    <s v="1706000084"/>
    <d v="2018-05-31T00:00:00"/>
    <s v=""/>
    <s v="1709000615"/>
  </r>
  <r>
    <s v="1709000618"/>
    <d v="2018-06-04T00:00:00"/>
    <d v="2018-06-04T00:00:00"/>
    <s v="DZ"/>
    <s v="USD"/>
    <n v="-211337"/>
    <n v="-211337"/>
    <s v="BDT"/>
    <s v="EGM2"/>
    <n v="-17477569.899999999"/>
    <s v="CM ADVANCE RECEIVED REF-424130617044"/>
    <s v="0000001010"/>
    <s v="IT06591805310894"/>
    <s v=""/>
    <s v=""/>
    <s v="0"/>
    <s v="424130617044"/>
    <s v=""/>
    <s v=""/>
    <s v=""/>
    <s v=""/>
    <s v=""/>
    <x v="0"/>
    <d v="2019-02-23T00:00:00"/>
    <s v="1806000011"/>
    <d v="2018-06-04T00:00:00"/>
    <s v=""/>
    <s v="1709000618"/>
  </r>
  <r>
    <s v="1709000619"/>
    <d v="2018-06-07T00:00:00"/>
    <d v="2018-06-07T00:00:00"/>
    <s v="DZ"/>
    <s v="USD"/>
    <n v="-914366"/>
    <n v="-914366"/>
    <s v="BDT"/>
    <s v="EGM1"/>
    <n v="-75618068.200000003"/>
    <s v="CM ADVANCE RECEIVED REF-424130618999"/>
    <s v="0000001010"/>
    <s v="IT06591806060156"/>
    <s v=""/>
    <s v=""/>
    <s v="0"/>
    <s v="424130618999"/>
    <s v=""/>
    <s v=""/>
    <s v=""/>
    <s v=""/>
    <s v=""/>
    <x v="0"/>
    <d v="2019-05-02T00:00:00"/>
    <s v="1806000037"/>
    <d v="2018-06-07T00:00:00"/>
    <s v=""/>
    <s v="1709000619"/>
  </r>
  <r>
    <s v="1709000620"/>
    <d v="2018-06-07T00:00:00"/>
    <d v="2018-06-07T00:00:00"/>
    <s v="DZ"/>
    <s v="USD"/>
    <n v="14228"/>
    <n v="14228"/>
    <s v="BDT"/>
    <s v="EGM2"/>
    <n v="1173810"/>
    <s v="CM ADVANCE ADJUSTED REF-424130616303"/>
    <s v="0000001010"/>
    <s v="E24306VF18US0188"/>
    <s v=""/>
    <s v=""/>
    <s v="0"/>
    <s v="424130619818"/>
    <s v=""/>
    <s v=""/>
    <s v=""/>
    <s v=""/>
    <s v=""/>
    <x v="0"/>
    <d v="2018-06-07T00:00:00"/>
    <s v="1703012745"/>
    <d v="2018-06-07T00:00:00"/>
    <s v=""/>
    <s v="1709000620"/>
  </r>
  <r>
    <s v="1709000621"/>
    <d v="2018-06-03T00:00:00"/>
    <d v="2018-06-03T00:00:00"/>
    <s v="DZ"/>
    <s v="USD"/>
    <n v="26109"/>
    <n v="26109"/>
    <s v="BDT"/>
    <s v="EGM2"/>
    <n v="2153992.5"/>
    <s v="CM ADVANCE ADJUSTED REF-424130611923"/>
    <s v="0000001010"/>
    <s v="E24361VF18US0179"/>
    <s v=""/>
    <s v=""/>
    <s v="0"/>
    <s v="424130617286"/>
    <s v=""/>
    <s v=""/>
    <s v=""/>
    <s v=""/>
    <s v=""/>
    <x v="0"/>
    <d v="2018-06-30T00:00:00"/>
    <s v="1706000085"/>
    <d v="2018-06-03T00:00:00"/>
    <s v=""/>
    <s v="1709000621"/>
  </r>
  <r>
    <s v="1709000622"/>
    <d v="2018-06-07T00:00:00"/>
    <d v="2018-06-07T00:00:00"/>
    <s v="DZ"/>
    <s v="USD"/>
    <n v="14228"/>
    <n v="14228"/>
    <s v="BDT"/>
    <s v="EGM2"/>
    <n v="1173810"/>
    <s v="CM ADVANCE ADJUSTED REF-424130616303"/>
    <s v="0000001010"/>
    <s v="E24306VF18US0188"/>
    <s v=""/>
    <s v=""/>
    <s v="0"/>
    <s v="424130619818"/>
    <s v=""/>
    <s v=""/>
    <s v=""/>
    <s v=""/>
    <s v=""/>
    <x v="0"/>
    <d v="2018-06-30T00:00:00"/>
    <s v="1706000084"/>
    <d v="2018-06-07T00:00:00"/>
    <s v=""/>
    <s v="1709000622"/>
  </r>
  <r>
    <s v="1709000624"/>
    <d v="2018-06-04T00:00:00"/>
    <d v="2018-06-04T00:00:00"/>
    <s v="DZ"/>
    <s v="USD"/>
    <n v="4850"/>
    <n v="4850"/>
    <s v="BDT"/>
    <s v="EGM1"/>
    <n v="400125"/>
    <s v="CM ADVANCE ADJUSTED REF-424130610032"/>
    <s v="0000001010"/>
    <s v="E04461WM18CA0539"/>
    <s v=""/>
    <s v=""/>
    <s v="0"/>
    <s v="424130617295"/>
    <s v=""/>
    <s v=""/>
    <s v=""/>
    <s v=""/>
    <s v=""/>
    <x v="0"/>
    <d v="2018-06-30T00:00:00"/>
    <s v="1706000083"/>
    <d v="2018-06-04T00:00:00"/>
    <s v=""/>
    <s v="1709000624"/>
  </r>
  <r>
    <s v="1709000627"/>
    <d v="2018-06-12T00:00:00"/>
    <d v="2018-06-12T00:00:00"/>
    <s v="DZ"/>
    <s v="USD"/>
    <n v="235095"/>
    <n v="235095"/>
    <s v="BDT"/>
    <s v="EGM1"/>
    <n v="19395337.5"/>
    <s v="CM ADVANCE ADJUSTED REF-424130611914"/>
    <s v="0000001010"/>
    <s v="E04345US18-0410"/>
    <s v=""/>
    <s v=""/>
    <s v="0"/>
    <s v="424130620469"/>
    <s v=""/>
    <s v=""/>
    <s v=""/>
    <s v=""/>
    <s v=""/>
    <x v="0"/>
    <d v="2018-06-30T00:00:00"/>
    <s v="1706000080"/>
    <d v="2018-06-12T00:00:00"/>
    <s v=""/>
    <s v="1709000627"/>
  </r>
  <r>
    <s v="1709000627"/>
    <d v="2018-06-12T00:00:00"/>
    <d v="2018-06-12T00:00:00"/>
    <s v="DZ"/>
    <s v="USD"/>
    <n v="283181"/>
    <n v="283181"/>
    <s v="BDT"/>
    <s v="EGM1"/>
    <n v="23362432.5"/>
    <s v="CM ADVANCE ADJUSTED REF-424130606699"/>
    <s v="0000001010"/>
    <s v="E04345US18-0410"/>
    <s v=""/>
    <s v=""/>
    <s v="0"/>
    <s v="424130620469"/>
    <s v=""/>
    <s v=""/>
    <s v=""/>
    <s v=""/>
    <s v=""/>
    <x v="0"/>
    <d v="2018-06-30T00:00:00"/>
    <s v="1706000082"/>
    <d v="2018-06-12T00:00:00"/>
    <s v=""/>
    <s v="1709000627"/>
  </r>
  <r>
    <s v="1709000628"/>
    <d v="2018-06-12T00:00:00"/>
    <d v="2018-06-12T00:00:00"/>
    <s v="DZ"/>
    <s v="USD"/>
    <n v="-270448"/>
    <n v="-270448"/>
    <s v="BDT"/>
    <s v="EGM2"/>
    <n v="-22366049.600000001"/>
    <s v="CM ADVANCE RECEIVED REF-424130623046"/>
    <s v="0000001010"/>
    <s v="IT06591806110118"/>
    <s v=""/>
    <s v=""/>
    <s v="0"/>
    <s v="424130623046"/>
    <s v=""/>
    <s v=""/>
    <s v=""/>
    <s v=""/>
    <s v=""/>
    <x v="0"/>
    <d v="2019-02-23T00:00:00"/>
    <s v="1806000009"/>
    <d v="2018-06-12T00:00:00"/>
    <s v=""/>
    <s v="1709000628"/>
  </r>
  <r>
    <s v="1709000629"/>
    <d v="2018-06-14T00:00:00"/>
    <d v="2018-06-14T00:00:00"/>
    <s v="DZ"/>
    <s v="USD"/>
    <n v="-694950"/>
    <n v="-694950"/>
    <s v="BDT"/>
    <s v="EGM1"/>
    <n v="-57472365"/>
    <s v="CM ADVANCE RECEIVED REF-424130623037"/>
    <s v="0000001010"/>
    <s v="IT06591806110122"/>
    <s v=""/>
    <s v=""/>
    <s v="0"/>
    <s v="424130623037"/>
    <s v=""/>
    <s v=""/>
    <s v=""/>
    <s v=""/>
    <s v=""/>
    <x v="0"/>
    <d v="2019-05-02T00:00:00"/>
    <s v="1806000038"/>
    <d v="2018-06-14T00:00:00"/>
    <s v=""/>
    <s v="1709000629"/>
  </r>
  <r>
    <s v="1709000630"/>
    <d v="2018-06-19T00:00:00"/>
    <d v="2018-06-19T00:00:00"/>
    <s v="DZ"/>
    <s v="USD"/>
    <n v="8634"/>
    <n v="8634"/>
    <s v="BDT"/>
    <s v="EGM2"/>
    <n v="714031.8"/>
    <s v="CM ADVANCE ADJUSTED REF-424130617044"/>
    <s v="0000001010"/>
    <s v="IT06591806180021"/>
    <s v=""/>
    <s v=""/>
    <s v="0"/>
    <s v="424130623698"/>
    <s v=""/>
    <s v=""/>
    <s v=""/>
    <s v=""/>
    <s v=""/>
    <x v="0"/>
    <d v="2019-02-23T00:00:00"/>
    <s v="1806000011"/>
    <d v="2018-06-19T00:00:00"/>
    <s v=""/>
    <s v="1709000630"/>
  </r>
  <r>
    <s v="1709000630"/>
    <d v="2018-06-19T00:00:00"/>
    <d v="2018-06-19T00:00:00"/>
    <s v="DZ"/>
    <s v="USD"/>
    <n v="17478"/>
    <n v="17478"/>
    <s v="BDT"/>
    <s v="EGM2"/>
    <n v="1441935"/>
    <s v="CM ADVANCE ADJUSTED REF-424130611923"/>
    <s v="0000001010"/>
    <s v="IT06591806180021"/>
    <s v=""/>
    <s v=""/>
    <s v="0"/>
    <s v="424130623698"/>
    <s v=""/>
    <s v=""/>
    <s v=""/>
    <s v=""/>
    <s v=""/>
    <x v="0"/>
    <d v="2018-06-30T00:00:00"/>
    <s v="1706000085"/>
    <d v="2018-06-19T00:00:00"/>
    <s v=""/>
    <s v="1709000630"/>
  </r>
  <r>
    <s v="1709000631"/>
    <d v="2018-06-19T00:00:00"/>
    <d v="2018-06-19T00:00:00"/>
    <s v="DZ"/>
    <s v="USD"/>
    <n v="73960"/>
    <n v="73960"/>
    <s v="BDT"/>
    <s v="EGM2"/>
    <n v="6116492"/>
    <s v="CM ADVANCE ADJUSTED REF-424130623046"/>
    <s v="0000001010"/>
    <s v="IT06591806180023"/>
    <s v=""/>
    <s v=""/>
    <s v="0"/>
    <s v="424130623689"/>
    <s v=""/>
    <s v=""/>
    <s v=""/>
    <s v=""/>
    <s v=""/>
    <x v="0"/>
    <d v="2019-02-23T00:00:00"/>
    <s v="1806000009"/>
    <d v="2018-06-19T00:00:00"/>
    <s v=""/>
    <s v="1709000631"/>
  </r>
  <r>
    <s v="1709000633"/>
    <d v="2018-06-19T00:00:00"/>
    <d v="2018-06-19T00:00:00"/>
    <s v="DZ"/>
    <s v="USD"/>
    <n v="561598"/>
    <n v="561598"/>
    <s v="BDT"/>
    <s v="EGM1"/>
    <n v="46331835"/>
    <s v="CM ADVANCE ADJUSTED REF-424130611914"/>
    <s v="0000001010"/>
    <s v="EO4344US18-0428"/>
    <s v=""/>
    <s v=""/>
    <s v="0"/>
    <s v="424130623670"/>
    <s v=""/>
    <s v=""/>
    <s v=""/>
    <s v=""/>
    <s v=""/>
    <x v="0"/>
    <d v="2018-06-30T00:00:00"/>
    <s v="1706000080"/>
    <d v="2018-06-19T00:00:00"/>
    <s v=""/>
    <s v="1709000633"/>
  </r>
  <r>
    <s v="1709000633"/>
    <d v="2018-06-19T00:00:00"/>
    <d v="2018-06-19T00:00:00"/>
    <s v="DZ"/>
    <s v="USD"/>
    <n v="13012"/>
    <n v="13012"/>
    <s v="BDT"/>
    <s v="EGM1"/>
    <n v="1073490"/>
    <s v="CM ADVANCE ADJUSTED REF-424130613495"/>
    <s v="0000001010"/>
    <s v="EO4344US18-0428"/>
    <s v=""/>
    <s v=""/>
    <s v="0"/>
    <s v="424130623670"/>
    <s v=""/>
    <s v=""/>
    <s v=""/>
    <s v=""/>
    <s v=""/>
    <x v="0"/>
    <d v="2018-06-30T00:00:00"/>
    <s v="1706000081"/>
    <d v="2018-06-19T00:00:00"/>
    <s v=""/>
    <s v="1709000633"/>
  </r>
  <r>
    <s v="1709000633"/>
    <d v="2018-06-19T00:00:00"/>
    <d v="2018-06-19T00:00:00"/>
    <s v="DZ"/>
    <s v="USD"/>
    <n v="83298"/>
    <n v="83298"/>
    <s v="BDT"/>
    <s v="EGM1"/>
    <n v="6872085"/>
    <s v="CM ADVANCE ADJUSTED REF-424130610032"/>
    <s v="0000001010"/>
    <s v="EO4344US18-0428"/>
    <s v=""/>
    <s v=""/>
    <s v="0"/>
    <s v="424130623670"/>
    <s v=""/>
    <s v=""/>
    <s v=""/>
    <s v=""/>
    <s v=""/>
    <x v="0"/>
    <d v="2018-06-30T00:00:00"/>
    <s v="1706000083"/>
    <d v="2018-06-19T00:00:00"/>
    <s v=""/>
    <s v="1709000633"/>
  </r>
  <r>
    <s v="1709000634"/>
    <d v="2018-06-19T00:00:00"/>
    <d v="2018-06-19T00:00:00"/>
    <s v="DZ"/>
    <s v="USD"/>
    <n v="254521"/>
    <n v="254521"/>
    <s v="BDT"/>
    <s v="EGM1"/>
    <n v="20997982.5"/>
    <s v="CM ADVANCE ADJUSTED REF-424130611914"/>
    <s v="0000001010"/>
    <s v="EO4344US18-0436"/>
    <s v=""/>
    <s v=""/>
    <s v="0"/>
    <s v="424130623652"/>
    <s v=""/>
    <s v=""/>
    <s v=""/>
    <s v=""/>
    <s v=""/>
    <x v="0"/>
    <d v="2018-06-30T00:00:00"/>
    <s v="1706000080"/>
    <d v="2018-06-19T00:00:00"/>
    <s v=""/>
    <s v="1709000634"/>
  </r>
  <r>
    <s v="1709000634"/>
    <d v="2018-06-19T00:00:00"/>
    <d v="2018-06-19T00:00:00"/>
    <s v="DZ"/>
    <s v="USD"/>
    <n v="621586"/>
    <n v="621586"/>
    <s v="BDT"/>
    <s v="EGM1"/>
    <n v="51280845.020000003"/>
    <s v="CM ADVANCE ADJUSTED REF-424130613495"/>
    <s v="0000001010"/>
    <s v="EO4344US18-0436"/>
    <s v=""/>
    <s v=""/>
    <s v="0"/>
    <s v="424130623652"/>
    <s v=""/>
    <s v=""/>
    <s v=""/>
    <s v=""/>
    <s v=""/>
    <x v="0"/>
    <d v="2018-06-30T00:00:00"/>
    <s v="1706000081"/>
    <d v="2018-06-19T00:00:00"/>
    <s v=""/>
    <s v="1709000634"/>
  </r>
  <r>
    <s v="1709000635"/>
    <d v="2018-06-19T00:00:00"/>
    <d v="2018-06-19T00:00:00"/>
    <s v="DZ"/>
    <s v="USD"/>
    <n v="851680"/>
    <n v="851680"/>
    <s v="BDT"/>
    <s v="EGM1"/>
    <n v="70433936"/>
    <s v="CM ADVANCE ADJUSTED REF-424130618999"/>
    <s v="0000001010"/>
    <s v="IT06591806180016"/>
    <s v=""/>
    <s v=""/>
    <s v="0"/>
    <s v="424130623661"/>
    <s v=""/>
    <s v=""/>
    <s v=""/>
    <s v=""/>
    <s v=""/>
    <x v="0"/>
    <d v="2019-05-02T00:00:00"/>
    <s v="1806000037"/>
    <d v="2018-06-19T00:00:00"/>
    <s v=""/>
    <s v="1709000635"/>
  </r>
  <r>
    <s v="1709000638"/>
    <d v="2018-06-26T00:00:00"/>
    <d v="2018-06-26T00:00:00"/>
    <s v="DZ"/>
    <s v="USD"/>
    <n v="-330733"/>
    <n v="-330733"/>
    <s v="BDT"/>
    <s v="EGM1"/>
    <n v="-27351619.109999999"/>
    <s v="CM ADVANCE RECEIVED REF-424130626711"/>
    <s v="0000001010"/>
    <s v="IT06591806260029"/>
    <s v=""/>
    <s v=""/>
    <s v="0"/>
    <s v="424130626711"/>
    <s v=""/>
    <s v=""/>
    <s v=""/>
    <s v=""/>
    <s v=""/>
    <x v="0"/>
    <d v="2019-05-02T00:00:00"/>
    <s v="1806000046"/>
    <d v="2018-06-26T00:00:00"/>
    <s v=""/>
    <s v="1709000638"/>
  </r>
  <r>
    <s v="1709000639"/>
    <d v="2018-06-26T00:00:00"/>
    <d v="2018-06-26T00:00:00"/>
    <s v="DZ"/>
    <s v="USD"/>
    <n v="56240"/>
    <n v="56240"/>
    <s v="BDT"/>
    <s v="EGM1"/>
    <n v="4651048"/>
    <s v="CM ADVANCE ADJUSTED REF-424130623037"/>
    <s v="0000001010"/>
    <s v="E04443US18-0580"/>
    <s v=""/>
    <s v=""/>
    <s v="0"/>
    <s v="424130626720"/>
    <s v=""/>
    <s v=""/>
    <s v=""/>
    <s v=""/>
    <s v=""/>
    <x v="0"/>
    <d v="2019-05-02T00:00:00"/>
    <s v="1806000038"/>
    <d v="2018-06-26T00:00:00"/>
    <s v=""/>
    <s v="1709000639"/>
  </r>
  <r>
    <s v="1709000641"/>
    <d v="2018-05-31T00:00:00"/>
    <d v="2018-05-31T00:00:00"/>
    <s v="DZ"/>
    <s v="USD"/>
    <n v="-211337"/>
    <n v="-211337"/>
    <s v="BDT"/>
    <s v="EGM1"/>
    <n v="-17477569.899999999"/>
    <s v="FIT-CM ADV-MAY-18"/>
    <s v="0000001010"/>
    <s v="FIT-CM ADV-MAY18"/>
    <s v=""/>
    <s v=""/>
    <s v="0"/>
    <s v="CM ADV. FIT - MAY-18"/>
    <s v=""/>
    <s v=""/>
    <s v=""/>
    <s v=""/>
    <s v=""/>
    <x v="0"/>
    <d v="2018-06-01T00:00:00"/>
    <s v="1703013596"/>
    <d v="2018-05-31T00:00:00"/>
    <s v=""/>
    <s v="1709000641"/>
  </r>
  <r>
    <s v="1709000643"/>
    <d v="2018-06-05T00:00:00"/>
    <d v="2018-06-05T00:00:00"/>
    <s v="DZ"/>
    <s v="USD"/>
    <n v="142469"/>
    <n v="142469"/>
    <s v="BDT"/>
    <s v="EGM2"/>
    <n v="11753692.51"/>
    <s v="CM ADVANCE ADJUSTED REF-424130616303"/>
    <s v="0000001010"/>
    <s v="E24306VF18US0181"/>
    <s v=""/>
    <s v=""/>
    <s v="0"/>
    <s v="424130618445"/>
    <s v=""/>
    <s v=""/>
    <s v=""/>
    <s v=""/>
    <s v=""/>
    <x v="0"/>
    <d v="2018-06-30T00:00:00"/>
    <s v="1706000084"/>
    <d v="2018-06-05T00:00:00"/>
    <s v=""/>
    <s v="1709000643"/>
  </r>
  <r>
    <s v="1709000643"/>
    <d v="2018-06-05T00:00:00"/>
    <d v="2018-06-05T00:00:00"/>
    <s v="DZ"/>
    <s v="USD"/>
    <n v="38380"/>
    <n v="38380"/>
    <s v="BDT"/>
    <s v="EGM2"/>
    <n v="3166350"/>
    <s v="CM ADVANCE ADJUSTED REF-424130611923"/>
    <s v="0000001010"/>
    <s v="E24306VF18US0181"/>
    <s v=""/>
    <s v=""/>
    <s v="0"/>
    <s v="424130618445"/>
    <s v=""/>
    <s v=""/>
    <s v=""/>
    <s v=""/>
    <s v=""/>
    <x v="0"/>
    <d v="2018-06-30T00:00:00"/>
    <s v="1706000085"/>
    <d v="2018-06-05T00:00:00"/>
    <s v=""/>
    <s v="1709000643"/>
  </r>
  <r>
    <s v="1709000644"/>
    <d v="2018-06-05T00:00:00"/>
    <d v="2018-06-05T00:00:00"/>
    <s v="DZ"/>
    <s v="USD"/>
    <n v="-63319"/>
    <n v="-63319"/>
    <s v="BDT"/>
    <s v="EGM2"/>
    <n v="-5236481.3"/>
    <s v="CM ADVANCE RECEIVED REF-424130618436"/>
    <s v="0000001010"/>
    <s v="IT06591806040164"/>
    <s v=""/>
    <s v=""/>
    <s v="0"/>
    <s v="424130618436"/>
    <s v=""/>
    <s v=""/>
    <s v=""/>
    <s v=""/>
    <s v=""/>
    <x v="0"/>
    <d v="2019-02-23T00:00:00"/>
    <s v="1806000022"/>
    <d v="2018-06-05T00:00:00"/>
    <s v=""/>
    <s v="1709000644"/>
  </r>
  <r>
    <s v="1709000648"/>
    <d v="2018-06-30T00:00:00"/>
    <d v="2018-06-30T00:00:00"/>
    <s v="DZ"/>
    <s v="USD"/>
    <n v="197698"/>
    <n v="197698"/>
    <s v="BDT"/>
    <s v="EGM1"/>
    <n v="16359509.5"/>
    <s v="FIT-CM ADV-JUN-18"/>
    <s v="0000001010"/>
    <s v="FIT-CM ADV-JUN18"/>
    <s v=""/>
    <s v=""/>
    <s v="0"/>
    <s v="CM ADV. FIT - JUN-18"/>
    <s v=""/>
    <s v=""/>
    <s v=""/>
    <s v=""/>
    <s v=""/>
    <x v="0"/>
    <d v="2018-07-01T00:00:00"/>
    <s v="1803001175"/>
    <d v="2018-06-30T00:00:00"/>
    <s v=""/>
    <s v="1709000648"/>
  </r>
  <r>
    <s v="1803001175"/>
    <d v="2018-07-01T00:00:00"/>
    <d v="2018-06-30T00:00:00"/>
    <s v="AB"/>
    <s v="USD"/>
    <n v="-197698"/>
    <n v="-197698"/>
    <s v="BDT"/>
    <s v="EGM1"/>
    <n v="-16359509.5"/>
    <s v="FIT-CM ADV-JUN-18"/>
    <s v="0000001010"/>
    <s v="FIT-CM ADV-JUN18"/>
    <s v=""/>
    <s v=""/>
    <s v="0"/>
    <s v="CM ADV. FIT - JUN-18"/>
    <s v=""/>
    <s v=""/>
    <s v=""/>
    <s v=""/>
    <s v=""/>
    <x v="0"/>
    <d v="2018-07-01T00:00:00"/>
    <s v="1803001175"/>
    <d v="2018-06-30T00:00:00"/>
    <s v=""/>
    <s v="1803001175"/>
  </r>
  <r>
    <s v="1803001815"/>
    <d v="2018-09-05T00:00:00"/>
    <d v="2018-09-05T00:00:00"/>
    <s v="AB"/>
    <s v="USD"/>
    <n v="314404"/>
    <n v="314404"/>
    <s v="BDT"/>
    <s v="EGM2"/>
    <n v="26016931"/>
    <s v="CM ADVANCE RECEVIED REF-424130657027"/>
    <s v="0000001010"/>
    <s v="IT06591809050207"/>
    <s v=""/>
    <s v=""/>
    <s v="0"/>
    <s v="424130657027"/>
    <s v=""/>
    <s v=""/>
    <s v=""/>
    <s v=""/>
    <s v=""/>
    <x v="0"/>
    <d v="2018-09-05T00:00:00"/>
    <s v="1803001815"/>
    <d v="2018-09-05T00:00:00"/>
    <s v=""/>
    <s v="1803001815"/>
  </r>
  <r>
    <s v="1803001833"/>
    <d v="2018-08-01T00:00:00"/>
    <d v="2018-07-31T00:00:00"/>
    <s v="AB"/>
    <s v="USD"/>
    <n v="-149244"/>
    <n v="-149244"/>
    <s v="BDT"/>
    <s v="EGM1"/>
    <n v="-12349941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3001833"/>
  </r>
  <r>
    <s v="1803001833"/>
    <d v="2018-08-01T00:00:00"/>
    <d v="2018-07-31T00:00:00"/>
    <s v="AB"/>
    <s v="USD"/>
    <n v="394998"/>
    <n v="394998"/>
    <s v="BDT"/>
    <s v="EGM1"/>
    <n v="32686084.5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3001833"/>
  </r>
  <r>
    <s v="1803002862"/>
    <d v="2018-09-01T00:00:00"/>
    <d v="2018-08-31T00:00:00"/>
    <s v="AB"/>
    <s v="USD"/>
    <n v="-393746"/>
    <n v="-393746"/>
    <s v="BDT"/>
    <s v="EGM1"/>
    <n v="-32582481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7-31T00:00:00"/>
    <s v=""/>
    <s v="1803002862"/>
  </r>
  <r>
    <s v="1803002862"/>
    <d v="2018-09-01T00:00:00"/>
    <d v="2018-08-31T00:00:00"/>
    <s v="AB"/>
    <s v="USD"/>
    <n v="565974"/>
    <n v="565974"/>
    <s v="BDT"/>
    <s v="EGM1"/>
    <n v="46834348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8-31T00:00:00"/>
    <s v=""/>
    <s v="1803002862"/>
  </r>
  <r>
    <s v="1803003902"/>
    <d v="2018-10-01T00:00:00"/>
    <d v="2018-09-30T00:00:00"/>
    <s v="AB"/>
    <s v="USD"/>
    <n v="-192835"/>
    <n v="-192835"/>
    <s v="BDT"/>
    <s v="EGM1"/>
    <n v="-15957096.25"/>
    <s v="FIT-CM ADV-SEP-18"/>
    <s v="0000001010"/>
    <s v="FIT-CM ADV-SEP18"/>
    <s v=""/>
    <s v=""/>
    <s v="0"/>
    <s v="CM ADV. FIT - SEP-18"/>
    <s v=""/>
    <s v=""/>
    <s v=""/>
    <s v=""/>
    <s v=""/>
    <x v="0"/>
    <d v="2018-10-01T00:00:00"/>
    <s v="1803003902"/>
    <d v="2018-09-30T00:00:00"/>
    <s v=""/>
    <s v="1803003902"/>
  </r>
  <r>
    <s v="1803004801"/>
    <d v="2018-11-01T00:00:00"/>
    <d v="2018-10-31T00:00:00"/>
    <s v="AB"/>
    <s v="USD"/>
    <n v="-90225"/>
    <n v="-90225"/>
    <s v="BDT"/>
    <s v="EGM1"/>
    <n v="-7479652.5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3004801"/>
  </r>
  <r>
    <s v="1803004801"/>
    <d v="2018-11-01T00:00:00"/>
    <d v="2018-10-31T00:00:00"/>
    <s v="AB"/>
    <s v="USD"/>
    <n v="282231"/>
    <n v="282231"/>
    <s v="BDT"/>
    <s v="EGM1"/>
    <n v="23396949.899999999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3004801"/>
  </r>
  <r>
    <s v="1803005999"/>
    <d v="2018-12-01T00:00:00"/>
    <d v="2018-11-30T00:00:00"/>
    <s v="AB"/>
    <s v="USD"/>
    <n v="-176784"/>
    <n v="-176784"/>
    <s v="BDT"/>
    <s v="EGM1"/>
    <n v="-14655393.6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3005999"/>
  </r>
  <r>
    <s v="1803005999"/>
    <d v="2018-12-01T00:00:00"/>
    <d v="2018-11-30T00:00:00"/>
    <s v="AB"/>
    <s v="USD"/>
    <n v="1144527"/>
    <n v="1144527"/>
    <s v="BDT"/>
    <s v="EGM1"/>
    <n v="94881288.299999997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3005999"/>
  </r>
  <r>
    <s v="1803006002"/>
    <d v="2018-12-01T00:00:00"/>
    <d v="2018-11-30T00:00:00"/>
    <s v="AB"/>
    <s v="USD"/>
    <n v="67213.34"/>
    <n v="67213.34"/>
    <s v="BDT"/>
    <s v="EGM1"/>
    <n v="5571985.8899999997"/>
    <s v="FIT-CM ADV -EGDWC-Nov-18"/>
    <s v="0000005010"/>
    <s v="FIT-EGDWC-NOV-18"/>
    <s v=""/>
    <s v=""/>
    <s v="0"/>
    <s v="FIT-CM ADV-EGDWC-Nov-18"/>
    <s v=""/>
    <s v=""/>
    <s v=""/>
    <s v=""/>
    <s v=""/>
    <x v="0"/>
    <d v="2018-12-01T00:00:00"/>
    <s v="1803006002"/>
    <d v="2018-11-30T00:00:00"/>
    <s v=""/>
    <s v="1803006002"/>
  </r>
  <r>
    <s v="1803006650"/>
    <d v="2019-01-01T00:00:00"/>
    <d v="2018-12-31T00:00:00"/>
    <s v="AB"/>
    <s v="USD"/>
    <n v="-190047.16"/>
    <n v="-190047.16"/>
    <s v="BDT"/>
    <s v="EGM1"/>
    <n v="-15764411.92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3006650"/>
  </r>
  <r>
    <s v="1803006650"/>
    <d v="2019-01-01T00:00:00"/>
    <d v="2018-12-31T00:00:00"/>
    <s v="AB"/>
    <s v="USD"/>
    <n v="177440"/>
    <n v="177440"/>
    <s v="BDT"/>
    <s v="EGM1"/>
    <n v="14718648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3006650"/>
  </r>
  <r>
    <s v="1803006651"/>
    <d v="2019-01-01T00:00:00"/>
    <d v="2018-12-31T00:00:00"/>
    <s v="AB"/>
    <s v="USD"/>
    <n v="-54405.72"/>
    <n v="-54405.72"/>
    <s v="BDT"/>
    <s v="EGM1"/>
    <n v="-4512954.47"/>
    <s v="FIT-CM ADV -EGDWC-DEC-18"/>
    <s v="0000005010"/>
    <s v="FIT-EGDWC-DEC-18"/>
    <s v=""/>
    <s v=""/>
    <s v="0"/>
    <s v="FIT-EGDWC-DEC-18"/>
    <s v=""/>
    <s v=""/>
    <s v=""/>
    <s v=""/>
    <s v=""/>
    <x v="0"/>
    <d v="2019-01-01T00:00:00"/>
    <s v="1803006651"/>
    <d v="2018-12-31T00:00:00"/>
    <s v=""/>
    <s v="1803006651"/>
  </r>
  <r>
    <s v="1803007024"/>
    <d v="2019-01-07T00:00:00"/>
    <d v="2019-01-07T00:00:00"/>
    <s v="AB"/>
    <s v="USD"/>
    <n v="3350.41"/>
    <n v="3350.41"/>
    <s v="BDT"/>
    <s v="EGM2"/>
    <n v="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024"/>
    <d v="2019-01-07T00:00:00"/>
    <s v=""/>
    <s v="1803007024"/>
  </r>
  <r>
    <s v="1803007025"/>
    <d v="2019-01-07T00:00:00"/>
    <d v="2019-01-07T00:00:00"/>
    <s v="AB"/>
    <s v="USD"/>
    <n v="8431.56"/>
    <n v="8431.56"/>
    <s v="BDT"/>
    <s v="EGM2"/>
    <n v="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025"/>
    <d v="2019-01-07T00:00:00"/>
    <s v=""/>
    <s v="1803007025"/>
  </r>
  <r>
    <s v="1803007034"/>
    <d v="2019-01-17T00:00:00"/>
    <d v="2019-01-17T00:00:00"/>
    <s v="AB"/>
    <s v="USD"/>
    <n v="45093"/>
    <n v="45093"/>
    <s v="BDT"/>
    <s v="EGM2"/>
    <n v="3740464.36"/>
    <s v="Cm Advance Received-424130720431"/>
    <s v="0000005010"/>
    <s v="IT06591901150293"/>
    <s v=""/>
    <s v=""/>
    <s v="0"/>
    <s v="424130720431"/>
    <s v=""/>
    <s v=""/>
    <s v=""/>
    <s v=""/>
    <s v=""/>
    <x v="0"/>
    <d v="2019-01-17T00:00:00"/>
    <s v="1803007034"/>
    <d v="2019-01-17T00:00:00"/>
    <s v=""/>
    <s v="1803007034"/>
  </r>
  <r>
    <s v="1803007103"/>
    <d v="2019-01-21T00:00:00"/>
    <d v="2019-01-21T00:00:00"/>
    <s v="AB"/>
    <s v="USD"/>
    <n v="110370.71"/>
    <n v="110370.71"/>
    <s v="BDT"/>
    <s v="EGM1"/>
    <n v="9155250.4000000004"/>
    <s v="Cm Advance Received-424130722162"/>
    <s v="0000001010"/>
    <s v="IT06591901190070"/>
    <s v=""/>
    <s v=""/>
    <s v="0"/>
    <s v="424130722162"/>
    <s v=""/>
    <s v=""/>
    <s v=""/>
    <s v=""/>
    <s v=""/>
    <x v="0"/>
    <d v="2019-01-21T00:00:00"/>
    <s v="1803007103"/>
    <d v="2019-01-21T00:00:00"/>
    <s v=""/>
    <s v="1803007103"/>
  </r>
  <r>
    <s v="1803007119"/>
    <d v="2019-01-07T00:00:00"/>
    <d v="2019-01-07T00:00:00"/>
    <s v="AB"/>
    <s v="USD"/>
    <n v="3350.41"/>
    <n v="3350.41"/>
    <s v="BDT"/>
    <s v="EGM2"/>
    <n v="277916.52"/>
    <s v="Cm Advance Received-424130713804"/>
    <s v="0000005010"/>
    <s v="IT06591901070069"/>
    <s v=""/>
    <s v=""/>
    <s v="0"/>
    <s v="424130713804"/>
    <s v=""/>
    <s v=""/>
    <s v=""/>
    <s v=""/>
    <s v=""/>
    <x v="0"/>
    <d v="2019-01-07T00:00:00"/>
    <s v="1803007119"/>
    <d v="2019-01-07T00:00:00"/>
    <s v=""/>
    <s v="1803007119"/>
  </r>
  <r>
    <s v="1803007120"/>
    <d v="2019-01-07T00:00:00"/>
    <d v="2019-01-07T00:00:00"/>
    <s v="AB"/>
    <s v="USD"/>
    <n v="8431.56"/>
    <n v="8431.56"/>
    <s v="BDT"/>
    <s v="EGM2"/>
    <n v="699397.9"/>
    <s v="Cm Advance Received-424130713813"/>
    <s v="0000005010"/>
    <s v="IT06591901070070"/>
    <s v=""/>
    <s v=""/>
    <s v="0"/>
    <s v="424130713813"/>
    <s v=""/>
    <s v=""/>
    <s v=""/>
    <s v=""/>
    <s v=""/>
    <x v="0"/>
    <d v="2019-01-07T00:00:00"/>
    <s v="1803007120"/>
    <d v="2019-01-07T00:00:00"/>
    <s v=""/>
    <s v="1803007120"/>
  </r>
  <r>
    <s v="1803007121"/>
    <d v="2019-01-07T00:00:00"/>
    <d v="2019-01-07T00:00:00"/>
    <s v="AB"/>
    <s v="USD"/>
    <n v="12464.71"/>
    <n v="12464.71"/>
    <s v="BDT"/>
    <s v="EGM2"/>
    <n v="1033947.7"/>
    <s v="Cm Advance Received-424130713822"/>
    <s v="0000005010"/>
    <s v="IT06591901070071"/>
    <s v=""/>
    <s v=""/>
    <s v="0"/>
    <s v="424130713822"/>
    <s v=""/>
    <s v=""/>
    <s v=""/>
    <s v=""/>
    <s v=""/>
    <x v="0"/>
    <d v="2019-01-07T00:00:00"/>
    <s v="1803007121"/>
    <d v="2019-01-07T00:00:00"/>
    <s v=""/>
    <s v="1803007121"/>
  </r>
  <r>
    <s v="1803007122"/>
    <d v="2019-01-10T00:00:00"/>
    <d v="2019-01-10T00:00:00"/>
    <s v="AB"/>
    <s v="USD"/>
    <n v="17919.29"/>
    <n v="17919.29"/>
    <s v="BDT"/>
    <s v="EGM2"/>
    <n v="1486405.12"/>
    <s v="Cm Advance Received-424130717016"/>
    <s v="0000005010"/>
    <s v="IT06591901100078"/>
    <s v=""/>
    <s v=""/>
    <s v="0"/>
    <s v="424130717016"/>
    <s v=""/>
    <s v=""/>
    <s v=""/>
    <s v=""/>
    <s v=""/>
    <x v="0"/>
    <d v="2019-01-10T00:00:00"/>
    <s v="1803007122"/>
    <d v="2019-01-10T00:00:00"/>
    <s v=""/>
    <s v="1803007122"/>
  </r>
  <r>
    <s v="1803007123"/>
    <d v="2019-01-10T00:00:00"/>
    <d v="2019-01-10T00:00:00"/>
    <s v="AB"/>
    <s v="USD"/>
    <n v="16439.240000000002"/>
    <n v="16439.240000000002"/>
    <s v="BDT"/>
    <s v="EGM2"/>
    <n v="1363634.96"/>
    <s v="Cm Advance Received-424130717025"/>
    <s v="0000005010"/>
    <s v="IT06591901100074"/>
    <s v=""/>
    <s v=""/>
    <s v="0"/>
    <s v="424130717025"/>
    <s v=""/>
    <s v=""/>
    <s v=""/>
    <s v=""/>
    <s v=""/>
    <x v="0"/>
    <d v="2019-01-10T00:00:00"/>
    <s v="1803007123"/>
    <d v="2019-01-10T00:00:00"/>
    <s v=""/>
    <s v="1803007123"/>
  </r>
  <r>
    <s v="1803007309"/>
    <d v="2019-01-10T00:00:00"/>
    <d v="2019-01-10T00:00:00"/>
    <s v="AB"/>
    <s v="USD"/>
    <n v="16439.240000000002"/>
    <n v="16439.240000000002"/>
    <s v="BDT"/>
    <s v="EGM2"/>
    <n v="1363634.96"/>
    <s v="Cm Advance Received-424130717025"/>
    <s v="0000001010"/>
    <s v="IT06591901100074"/>
    <s v=""/>
    <s v=""/>
    <s v="0"/>
    <s v="424130717025"/>
    <s v=""/>
    <s v=""/>
    <s v=""/>
    <s v=""/>
    <s v=""/>
    <x v="0"/>
    <d v="2019-01-10T00:00:00"/>
    <s v="1803007309"/>
    <d v="2019-01-10T00:00:00"/>
    <s v=""/>
    <s v="1803007309"/>
  </r>
  <r>
    <s v="1803007310"/>
    <d v="2019-01-10T00:00:00"/>
    <d v="2019-01-10T00:00:00"/>
    <s v="AB"/>
    <s v="USD"/>
    <n v="17919.29"/>
    <n v="17919.29"/>
    <s v="BDT"/>
    <s v="EGM2"/>
    <n v="1486405.12"/>
    <s v="Cm Advance Received-424130717016"/>
    <s v="0000001010"/>
    <s v="IT06591901100078"/>
    <s v=""/>
    <s v=""/>
    <s v="0"/>
    <s v="424130717016"/>
    <s v=""/>
    <s v=""/>
    <s v=""/>
    <s v=""/>
    <s v=""/>
    <x v="0"/>
    <d v="2019-01-10T00:00:00"/>
    <s v="1803007310"/>
    <d v="2019-01-10T00:00:00"/>
    <s v=""/>
    <s v="1803007310"/>
  </r>
  <r>
    <s v="1803007326"/>
    <d v="2019-01-07T00:00:00"/>
    <d v="2019-01-07T00:00:00"/>
    <s v="AB"/>
    <s v="USD"/>
    <n v="12464.71"/>
    <n v="12464.71"/>
    <s v="BDT"/>
    <s v="EGM2"/>
    <n v="1033947.7"/>
    <s v="Cm Advance Received-424130713822"/>
    <s v="0000001010"/>
    <s v="IT06591901070071"/>
    <s v=""/>
    <s v=""/>
    <s v="0"/>
    <s v="424130713822"/>
    <s v=""/>
    <s v=""/>
    <s v=""/>
    <s v=""/>
    <s v=""/>
    <x v="0"/>
    <d v="2019-01-07T00:00:00"/>
    <s v="1803007326"/>
    <d v="2019-01-07T00:00:00"/>
    <s v=""/>
    <s v="1803007326"/>
  </r>
  <r>
    <s v="1803007327"/>
    <d v="2019-01-07T00:00:00"/>
    <d v="2019-01-07T00:00:00"/>
    <s v="AB"/>
    <s v="USD"/>
    <n v="8431.56"/>
    <n v="8431.56"/>
    <s v="BDT"/>
    <s v="EGM2"/>
    <n v="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327"/>
    <d v="2019-01-07T00:00:00"/>
    <s v=""/>
    <s v="1803007327"/>
  </r>
  <r>
    <s v="1803007328"/>
    <d v="2019-01-07T00:00:00"/>
    <d v="2019-01-07T00:00:00"/>
    <s v="AB"/>
    <s v="USD"/>
    <n v="3350.41"/>
    <n v="3350.41"/>
    <s v="BDT"/>
    <s v="EGM2"/>
    <n v="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328"/>
    <d v="2019-01-07T00:00:00"/>
    <s v=""/>
    <s v="1803007328"/>
  </r>
  <r>
    <s v="1803007330"/>
    <d v="2019-01-31T00:00:00"/>
    <d v="2019-01-31T00:00:00"/>
    <s v="AB"/>
    <s v="USD"/>
    <n v="-1039492"/>
    <n v="-1039492"/>
    <s v="BDT"/>
    <s v="EGM1"/>
    <n v="-86225861.400000006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3007330"/>
  </r>
  <r>
    <s v="1803007330"/>
    <d v="2019-01-31T00:00:00"/>
    <d v="2019-01-31T00:00:00"/>
    <s v="AB"/>
    <s v="USD"/>
    <n v="306747"/>
    <n v="306747"/>
    <s v="BDT"/>
    <s v="EGM1"/>
    <n v="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3007330"/>
  </r>
  <r>
    <s v="1803007333"/>
    <d v="2019-01-31T00:00:00"/>
    <d v="2019-01-31T00:00:00"/>
    <s v="AB"/>
    <s v="USD"/>
    <n v="-1039495.7"/>
    <n v="-1039495.7"/>
    <s v="BDT"/>
    <s v="EGM1"/>
    <n v="-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3007333"/>
  </r>
  <r>
    <s v="1803007333"/>
    <d v="2019-01-31T00:00:00"/>
    <d v="2019-01-31T00:00:00"/>
    <s v="AB"/>
    <s v="USD"/>
    <n v="1039495.7"/>
    <n v="1039495.7"/>
    <s v="BDT"/>
    <s v="EGM1"/>
    <n v="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3007333"/>
  </r>
  <r>
    <s v="1803008468"/>
    <d v="2019-02-01T00:00:00"/>
    <d v="2019-01-31T00:00:00"/>
    <s v="AB"/>
    <s v="USD"/>
    <n v="16.149999999999999"/>
    <n v="16.149999999999999"/>
    <s v="BDT"/>
    <s v="EGM1"/>
    <n v="1339.64"/>
    <s v="FIT-CM ADV-JAN'19-DWC"/>
    <s v="0000005010"/>
    <s v="CM ADV.FIT-JAN19"/>
    <s v=""/>
    <s v=""/>
    <s v="0"/>
    <s v="FIT-CM ADV-JAN'19-DWC"/>
    <s v=""/>
    <s v=""/>
    <s v=""/>
    <s v=""/>
    <s v=""/>
    <x v="0"/>
    <d v="2019-02-01T00:00:00"/>
    <s v="1803008468"/>
    <d v="2019-01-31T00:00:00"/>
    <s v=""/>
    <s v="1803008468"/>
  </r>
  <r>
    <s v="1803008469"/>
    <d v="2019-02-01T00:00:00"/>
    <d v="2019-01-31T00:00:00"/>
    <s v="AB"/>
    <s v="USD"/>
    <n v="-1039495.7"/>
    <n v="-1039495.7"/>
    <s v="BDT"/>
    <s v="EGM1"/>
    <n v="-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3008469"/>
  </r>
  <r>
    <s v="1803008469"/>
    <d v="2019-02-01T00:00:00"/>
    <d v="2019-01-31T00:00:00"/>
    <s v="AB"/>
    <s v="USD"/>
    <n v="306747"/>
    <n v="306747"/>
    <s v="BDT"/>
    <s v="EGM1"/>
    <n v="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3008469"/>
  </r>
  <r>
    <s v="1803008481"/>
    <d v="2019-02-28T00:00:00"/>
    <d v="2019-02-28T00:00:00"/>
    <s v="AB"/>
    <s v="USD"/>
    <n v="1964.64"/>
    <n v="1964.64"/>
    <s v="BDT"/>
    <s v="EGM1"/>
    <n v="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2-28T00:00:00"/>
    <s v="1803008481"/>
    <d v="2019-02-28T00:00:00"/>
    <s v=""/>
    <s v="1803008481"/>
  </r>
  <r>
    <s v="1803008509"/>
    <d v="2019-02-03T00:00:00"/>
    <d v="2019-02-03T00:00:00"/>
    <s v="AB"/>
    <s v="USD"/>
    <n v="-289323"/>
    <n v="-289323"/>
    <s v="BDT"/>
    <s v="EGM1"/>
    <n v="-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135393"/>
    <n v="-135393"/>
    <s v="BDT"/>
    <s v="EGM1"/>
    <n v="-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138418"/>
    <n v="-138418"/>
    <s v="BDT"/>
    <s v="EGM1"/>
    <n v="-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146131"/>
    <n v="-146131"/>
    <s v="BDT"/>
    <s v="EGM1"/>
    <n v="-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2422"/>
    <n v="-2422"/>
    <s v="BDT"/>
    <s v="EGM1"/>
    <n v="-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92819"/>
    <n v="-92819"/>
    <s v="BDT"/>
    <s v="EGM1"/>
    <n v="-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09"/>
    <d v="2019-02-03T00:00:00"/>
    <d v="2019-02-03T00:00:00"/>
    <s v="AB"/>
    <s v="USD"/>
    <n v="-224843"/>
    <n v="-224843"/>
    <s v="BDT"/>
    <s v="EGM1"/>
    <n v="-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3008509"/>
  </r>
  <r>
    <s v="1803008518"/>
    <d v="2019-02-03T00:00:00"/>
    <d v="2019-02-03T00:00:00"/>
    <s v="AB"/>
    <s v="USD"/>
    <n v="-289323"/>
    <n v="-289323"/>
    <s v="BDT"/>
    <s v="EGM1"/>
    <n v="-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135393"/>
    <n v="-135393"/>
    <s v="BDT"/>
    <s v="EGM1"/>
    <n v="-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138418"/>
    <n v="-138418"/>
    <s v="BDT"/>
    <s v="EGM1"/>
    <n v="-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146131"/>
    <n v="-146131"/>
    <s v="BDT"/>
    <s v="EGM1"/>
    <n v="-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2422"/>
    <n v="-2422"/>
    <s v="BDT"/>
    <s v="EGM1"/>
    <n v="-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92819"/>
    <n v="-92819"/>
    <s v="BDT"/>
    <s v="EGM1"/>
    <n v="-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518"/>
    <d v="2019-02-03T00:00:00"/>
    <d v="2019-02-03T00:00:00"/>
    <s v="AB"/>
    <s v="USD"/>
    <n v="-224843"/>
    <n v="-224843"/>
    <s v="BDT"/>
    <s v="EGM1"/>
    <n v="-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3008518"/>
  </r>
  <r>
    <s v="1803008999"/>
    <d v="2019-03-01T00:00:00"/>
    <d v="2019-02-28T00:00:00"/>
    <s v="AB"/>
    <s v="USD"/>
    <n v="-1964.64"/>
    <n v="-1964.64"/>
    <s v="BDT"/>
    <s v="EGM1"/>
    <n v="-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3-01T00:00:00"/>
    <s v="1803008999"/>
    <d v="2019-02-28T00:00:00"/>
    <s v=""/>
    <s v="1803008999"/>
  </r>
  <r>
    <s v="1803009001"/>
    <d v="2019-03-01T00:00:00"/>
    <d v="2019-02-28T00:00:00"/>
    <s v="AB"/>
    <s v="USD"/>
    <n v="-38748.78"/>
    <n v="-38748.78"/>
    <s v="BDT"/>
    <s v="EGM1"/>
    <n v="-3214211.3"/>
    <s v="FIT-CM ADV-FEB-19"/>
    <s v="0000001010"/>
    <s v="FIT-CM ADV-FEB19"/>
    <s v=""/>
    <s v=""/>
    <s v="0"/>
    <s v="CM ADV. FIT - FEB-19"/>
    <s v=""/>
    <s v=""/>
    <s v=""/>
    <s v=""/>
    <s v=""/>
    <x v="0"/>
    <d v="2019-03-01T00:00:00"/>
    <s v="1803009001"/>
    <d v="2019-02-28T00:00:00"/>
    <s v=""/>
    <s v="1803009001"/>
  </r>
  <r>
    <s v="1803009023"/>
    <d v="2019-03-19T00:00:00"/>
    <d v="2019-03-19T00:00:00"/>
    <s v="AB"/>
    <s v="USD"/>
    <n v="-121862.69"/>
    <n v="-121862.69"/>
    <s v="BDT"/>
    <s v="EGM2"/>
    <n v="-10138975.810000001"/>
    <s v="Cm Advanc adjust-424130746725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65709.37"/>
    <n v="-65709.37"/>
    <s v="BDT"/>
    <s v="EGM2"/>
    <n v="-5450592.2400000002"/>
    <s v="Cm Advanc adjust-42413073510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11306.27"/>
    <n v="-11306.27"/>
    <s v="BDT"/>
    <s v="EGM2"/>
    <n v="-937855.1"/>
    <s v="Cm Advanc adjust-42413071382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6451.23"/>
    <n v="-6451.23"/>
    <s v="BDT"/>
    <s v="EGM2"/>
    <n v="-535129.53"/>
    <s v="Cm Advanc adjust-42413071381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23"/>
    <d v="2019-03-19T00:00:00"/>
    <d v="2019-03-19T00:00:00"/>
    <s v="AB"/>
    <s v="USD"/>
    <n v="-53877.25"/>
    <n v="-53877.25"/>
    <s v="BDT"/>
    <s v="EGM2"/>
    <n v="-4469117.91"/>
    <s v="E24809VF19US000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3009023"/>
  </r>
  <r>
    <s v="1803009042"/>
    <d v="2019-03-06T00:00:00"/>
    <d v="2019-03-06T00:00:00"/>
    <s v="AB"/>
    <s v="USD"/>
    <n v="41874"/>
    <n v="41874"/>
    <s v="BDT"/>
    <s v="EGM2"/>
    <n v="3483916.8"/>
    <s v="CM Advance Received-424130746734"/>
    <s v="0000005010"/>
    <s v="IT06591903050244"/>
    <s v=""/>
    <s v=""/>
    <s v="0"/>
    <s v="424130746734"/>
    <s v=""/>
    <s v=""/>
    <s v=""/>
    <s v=""/>
    <s v=""/>
    <x v="0"/>
    <d v="2019-03-06T00:00:00"/>
    <s v="1803009042"/>
    <d v="2019-03-06T00:00:00"/>
    <s v=""/>
    <s v="1803009042"/>
  </r>
  <r>
    <s v="1803010026"/>
    <d v="2019-04-08T00:00:00"/>
    <d v="2019-04-08T00:00:00"/>
    <s v="AB"/>
    <s v="USD"/>
    <n v="384598.62"/>
    <n v="384598.62"/>
    <s v="BDT"/>
    <s v="EGM2"/>
    <n v="32037065.059999999"/>
    <s v="Cm Adv Received-424130762902"/>
    <s v="0000001010"/>
    <s v="IT06591904040719"/>
    <s v=""/>
    <s v=""/>
    <s v="0"/>
    <s v="424130762902"/>
    <s v=""/>
    <s v=""/>
    <s v=""/>
    <s v=""/>
    <s v=""/>
    <x v="0"/>
    <d v="2019-04-08T00:00:00"/>
    <s v="1803010026"/>
    <d v="2019-04-08T00:00:00"/>
    <s v=""/>
    <s v="1803010026"/>
  </r>
  <r>
    <s v="1803010803"/>
    <d v="2019-05-05T00:00:00"/>
    <d v="2019-05-05T00:00:00"/>
    <s v="AB"/>
    <s v="USD"/>
    <n v="91401"/>
    <n v="91401"/>
    <s v="BDT"/>
    <s v="EGM1"/>
    <n v="7630155.4800000004"/>
    <s v="Cm Advance ref-424130775587"/>
    <s v="0000001010"/>
    <s v="IT06591905040028"/>
    <s v=""/>
    <s v=""/>
    <s v="0"/>
    <s v="424130775587"/>
    <s v=""/>
    <s v=""/>
    <s v=""/>
    <s v=""/>
    <s v=""/>
    <x v="0"/>
    <d v="2019-05-05T00:00:00"/>
    <s v="1803010803"/>
    <d v="2019-05-05T00:00:00"/>
    <s v=""/>
    <s v="1803010803"/>
  </r>
  <r>
    <s v="1803011024"/>
    <d v="2019-04-01T00:00:00"/>
    <d v="2019-03-31T00:00:00"/>
    <s v="AB"/>
    <s v="USD"/>
    <n v="46741.62"/>
    <n v="46741.62"/>
    <s v="BDT"/>
    <s v="EGM1"/>
    <n v="3877217.38"/>
    <s v="FIT-CM ADV-MAR-19"/>
    <s v="0000001010"/>
    <s v="FIT-CM ADV-MAR19"/>
    <s v=""/>
    <s v=""/>
    <s v="0"/>
    <s v="CM ADV. FIT - MAR-19"/>
    <s v=""/>
    <s v=""/>
    <s v=""/>
    <s v=""/>
    <s v=""/>
    <x v="0"/>
    <d v="2019-04-01T00:00:00"/>
    <s v="1803011024"/>
    <d v="2019-03-31T00:00:00"/>
    <s v=""/>
    <s v="1803011024"/>
  </r>
  <r>
    <s v="1803011025"/>
    <d v="2019-04-01T00:00:00"/>
    <d v="2019-03-31T00:00:00"/>
    <s v="AB"/>
    <s v="USD"/>
    <n v="-89165.05"/>
    <n v="-89165.05"/>
    <s v="BDT"/>
    <s v="EGM1"/>
    <n v="-7418532.1600000001"/>
    <s v="FIT-CM ADV DWC-MAR-19"/>
    <s v="0000005010"/>
    <s v="FIT-CM DWC-MAR19"/>
    <s v=""/>
    <s v=""/>
    <s v="0"/>
    <s v="FIT-CM ADV DWC-MAR-19"/>
    <s v=""/>
    <s v=""/>
    <s v=""/>
    <s v=""/>
    <s v=""/>
    <x v="0"/>
    <d v="2019-04-01T00:00:00"/>
    <s v="1803011025"/>
    <d v="2019-03-31T00:00:00"/>
    <s v=""/>
    <s v="1803011025"/>
  </r>
  <r>
    <s v="1803011026"/>
    <d v="2019-04-30T00:00:00"/>
    <d v="2019-04-30T00:00:00"/>
    <s v="AB"/>
    <s v="USD"/>
    <n v="471417"/>
    <n v="471417"/>
    <s v="BDT"/>
    <s v="EGM1"/>
    <n v="39104040.149999999"/>
    <s v="FIT-CM ADV DWC-APR-19"/>
    <s v="0000001010"/>
    <s v="FIT-CM-DWC-APR19"/>
    <s v=""/>
    <s v=""/>
    <s v="0"/>
    <s v="FIT CM ADV DWC- APR-19"/>
    <s v=""/>
    <s v=""/>
    <s v=""/>
    <s v=""/>
    <s v=""/>
    <x v="0"/>
    <d v="2019-04-30T00:00:00"/>
    <s v="1803011026"/>
    <d v="2019-04-30T00:00:00"/>
    <s v=""/>
    <s v="1803011026"/>
  </r>
  <r>
    <s v="1803011027"/>
    <d v="2019-04-30T00:00:00"/>
    <d v="2019-04-30T00:00:00"/>
    <s v="AB"/>
    <s v="USD"/>
    <n v="-122721.38"/>
    <n v="-122721.38"/>
    <s v="BDT"/>
    <s v="EGM1"/>
    <n v="-10210418.82"/>
    <s v="FIT-CM ADV DWC-APR-19"/>
    <s v="0000005010"/>
    <s v="FIT-CM EDL-APR19"/>
    <s v=""/>
    <s v=""/>
    <s v="0"/>
    <s v="FIT-CM ADV EDL-APR-19"/>
    <s v=""/>
    <s v=""/>
    <s v=""/>
    <s v=""/>
    <s v=""/>
    <x v="0"/>
    <d v="2019-04-30T00:00:00"/>
    <s v="1803011027"/>
    <d v="2019-04-30T00:00:00"/>
    <s v=""/>
    <s v="1803011027"/>
  </r>
  <r>
    <s v="1803011184"/>
    <d v="2019-05-22T00:00:00"/>
    <d v="2019-05-22T00:00:00"/>
    <s v="AB"/>
    <s v="USD"/>
    <n v="143715"/>
    <n v="143715"/>
    <s v="BDT"/>
    <s v="EGM1"/>
    <n v="11997328.199999999"/>
    <s v="Cm Adv Rec-424130785754"/>
    <s v="0000001010"/>
    <s v="424130785754"/>
    <s v=""/>
    <s v=""/>
    <s v="0"/>
    <s v="IT06591905210286"/>
    <s v=""/>
    <s v=""/>
    <s v=""/>
    <s v=""/>
    <s v=""/>
    <x v="0"/>
    <d v="2019-05-22T00:00:00"/>
    <s v="1803011184"/>
    <d v="2019-05-22T00:00:00"/>
    <s v=""/>
    <s v="1803011184"/>
  </r>
  <r>
    <s v="1803012096"/>
    <d v="2019-05-01T00:00:00"/>
    <d v="2019-04-30T00:00:00"/>
    <s v="AB"/>
    <s v="USD"/>
    <n v="-122721.38"/>
    <n v="-122721.38"/>
    <s v="BDT"/>
    <s v="EGM1"/>
    <n v="-10244780.800000001"/>
    <s v="FIT-CM ADV EDL-APR-19"/>
    <s v="1010"/>
    <s v="FIT-CM EDL-APR19"/>
    <s v=""/>
    <s v=""/>
    <s v="0"/>
    <s v="FIT-CMAD-EDL-APR-19"/>
    <s v=""/>
    <s v=""/>
    <s v=""/>
    <s v=""/>
    <s v=""/>
    <x v="0"/>
    <d v="2019-05-01T00:00:00"/>
    <s v="1803012096"/>
    <d v="2019-04-30T00:00:00"/>
    <s v=""/>
    <s v="1803012096"/>
  </r>
  <r>
    <s v="1803012097"/>
    <d v="2019-05-01T00:00:00"/>
    <d v="2019-04-30T00:00:00"/>
    <s v="AB"/>
    <s v="USD"/>
    <n v="471417"/>
    <n v="471417"/>
    <s v="BDT"/>
    <s v="EGM1"/>
    <n v="39353891.159999996"/>
    <s v="FIT-CM ADV DWC-APR-19"/>
    <s v="5010"/>
    <s v="FIT-CM-DWC-APR19"/>
    <s v=""/>
    <s v=""/>
    <s v="0"/>
    <s v="FIT CM ADV DWC- APR-19"/>
    <s v=""/>
    <s v=""/>
    <s v=""/>
    <s v=""/>
    <s v=""/>
    <x v="0"/>
    <d v="2019-05-01T00:00:00"/>
    <s v="1803012097"/>
    <d v="2019-04-30T00:00:00"/>
    <s v=""/>
    <s v="1803012097"/>
  </r>
  <r>
    <s v="1803012133"/>
    <d v="2019-05-31T00:00:00"/>
    <d v="2019-05-31T00:00:00"/>
    <s v="AB"/>
    <s v="USD"/>
    <n v="-15.63"/>
    <n v="-15.63"/>
    <s v="BDT"/>
    <s v="EGM1"/>
    <n v="-1305.1099999999999"/>
    <s v="FIT-CM ADV DWC-MAY-19"/>
    <s v="0000005010"/>
    <s v="FIT-CMDWC-MAY-19"/>
    <s v=""/>
    <s v=""/>
    <s v="0"/>
    <s v="FIT-CM ADV DWC-MAY-19"/>
    <s v=""/>
    <s v=""/>
    <s v=""/>
    <s v=""/>
    <s v=""/>
    <x v="0"/>
    <d v="2019-05-31T00:00:00"/>
    <s v="1803012133"/>
    <d v="2019-03-31T00:00:00"/>
    <s v=""/>
    <s v="1803012133"/>
  </r>
  <r>
    <s v="1803012186"/>
    <d v="2019-05-31T00:00:00"/>
    <d v="2019-05-31T00:00:00"/>
    <s v="AB"/>
    <s v="USD"/>
    <n v="-97725.38"/>
    <n v="-97725.38"/>
    <s v="BDT"/>
    <s v="EGM1"/>
    <n v="-8158114.7199999997"/>
    <s v="FIT-CM ADV EDL-MAY-19"/>
    <s v="1010"/>
    <s v="FIT-CM EDL-MAY19"/>
    <s v=""/>
    <s v=""/>
    <s v="0"/>
    <s v="FIT-CMAD-EDL-MAY-19"/>
    <s v=""/>
    <s v=""/>
    <s v=""/>
    <s v=""/>
    <s v=""/>
    <x v="0"/>
    <d v="2019-05-31T00:00:00"/>
    <s v="1803012186"/>
    <d v="2019-05-31T00:00:00"/>
    <s v=""/>
    <s v="1803012186"/>
  </r>
  <r>
    <s v="1803012913"/>
    <d v="2019-06-01T00:00:00"/>
    <d v="2019-05-31T00:00:00"/>
    <s v="AB"/>
    <s v="USD"/>
    <n v="-89116.38"/>
    <n v="-89116.38"/>
    <s v="BDT"/>
    <s v="EGM1"/>
    <n v="-7439435.4000000004"/>
    <s v="FIT-CM ADV EDL-MAY-19"/>
    <s v="1010"/>
    <s v="FIT-CM EDL-MAY19"/>
    <s v=""/>
    <s v=""/>
    <s v="0"/>
    <s v="FIT-CMAD-EDL-MAY-19"/>
    <s v=""/>
    <s v=""/>
    <s v=""/>
    <s v=""/>
    <s v=""/>
    <x v="0"/>
    <d v="2019-06-01T00:00:00"/>
    <s v="1803012913"/>
    <d v="2019-05-31T00:00:00"/>
    <s v=""/>
    <s v="1803012913"/>
  </r>
  <r>
    <s v="1803012915"/>
    <d v="2019-06-01T00:00:00"/>
    <d v="2019-05-31T00:00:00"/>
    <s v="AB"/>
    <s v="USD"/>
    <n v="15.63"/>
    <n v="15.63"/>
    <s v="BDT"/>
    <s v="EGM1"/>
    <n v="1305.1099999999999"/>
    <s v="FIT-CM ADV DWC-MAY-19"/>
    <s v="5010"/>
    <s v="FIT-CMDWC-MAY-19"/>
    <s v=""/>
    <s v=""/>
    <s v="0"/>
    <s v="FIT-CM ADV DWC-MAY-19"/>
    <s v=""/>
    <s v=""/>
    <s v=""/>
    <s v=""/>
    <s v=""/>
    <x v="0"/>
    <d v="2019-06-01T00:00:00"/>
    <s v="1803012915"/>
    <d v="2019-04-30T00:00:00"/>
    <s v=""/>
    <s v="1803012915"/>
  </r>
  <r>
    <s v="1806000006"/>
    <d v="2019-02-23T00:00:00"/>
    <d v="2019-02-23T00:00:00"/>
    <s v="DA"/>
    <s v="USD"/>
    <n v="314404"/>
    <n v="314404"/>
    <s v="BDT"/>
    <s v="EGM2"/>
    <n v="26016931"/>
    <s v=""/>
    <s v="0000001010"/>
    <s v="G/L CLEAR 314K"/>
    <s v=""/>
    <s v=""/>
    <s v="0"/>
    <s v="G/L clear 314k"/>
    <s v=""/>
    <s v=""/>
    <s v=""/>
    <s v=""/>
    <s v=""/>
    <x v="0"/>
    <d v="2019-02-23T00:00:00"/>
    <s v="1806000006"/>
    <d v="2019-02-23T00:00:00"/>
    <s v=""/>
    <s v="1806000006"/>
  </r>
  <r>
    <s v="1806000006"/>
    <d v="2019-02-23T00:00:00"/>
    <d v="2019-02-23T00:00:00"/>
    <s v="DA"/>
    <s v="USD"/>
    <n v="-314404"/>
    <n v="-314404"/>
    <s v="BDT"/>
    <s v="EGM2"/>
    <n v="-26016931"/>
    <s v=""/>
    <s v="0000001010"/>
    <s v="G/L CLEAR 314K"/>
    <s v=""/>
    <s v=""/>
    <s v="0"/>
    <s v="G/L clear 314k"/>
    <s v=""/>
    <s v=""/>
    <s v=""/>
    <s v=""/>
    <s v=""/>
    <x v="0"/>
    <d v="2019-02-23T00:00:00"/>
    <s v="1806000006"/>
    <d v="2019-02-23T00:00:00"/>
    <s v=""/>
    <s v="1806000006"/>
  </r>
  <r>
    <s v="1806000007"/>
    <d v="2019-02-23T00:00:00"/>
    <d v="2019-02-23T00:00:00"/>
    <s v="DA"/>
    <s v="USD"/>
    <n v="76806"/>
    <n v="76806"/>
    <s v="BDT"/>
    <s v="EGM2"/>
    <n v="6355696.50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07"/>
    <d v="2019-02-23T00:00:00"/>
    <s v=""/>
    <s v="1806000007"/>
  </r>
  <r>
    <s v="1806000007"/>
    <d v="2019-02-23T00:00:00"/>
    <d v="2019-02-23T00:00:00"/>
    <s v="DA"/>
    <s v="USD"/>
    <n v="-76806"/>
    <n v="-76806"/>
    <s v="BDT"/>
    <s v="EGM2"/>
    <n v="-6355696.50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07"/>
    <d v="2019-02-23T00:00:00"/>
    <s v=""/>
    <s v="1806000007"/>
  </r>
  <r>
    <s v="1806000008"/>
    <d v="2019-02-23T00:00:00"/>
    <d v="2019-02-23T00:00:00"/>
    <s v="DA"/>
    <s v="USD"/>
    <n v="45093"/>
    <n v="45093"/>
    <s v="BDT"/>
    <s v="EGM2"/>
    <n v="3740464.36"/>
    <s v="G/L CLEAR 45K"/>
    <s v="0000001010"/>
    <s v="G/L CLEAR 45K"/>
    <s v=""/>
    <s v=""/>
    <s v="0"/>
    <s v="G/L clear 45k"/>
    <s v=""/>
    <s v=""/>
    <s v=""/>
    <s v=""/>
    <s v=""/>
    <x v="0"/>
    <d v="2019-02-23T00:00:00"/>
    <s v="1806000008"/>
    <d v="2019-02-23T00:00:00"/>
    <s v=""/>
    <s v="1806000008"/>
  </r>
  <r>
    <s v="1806000008"/>
    <d v="2019-02-23T00:00:00"/>
    <d v="2019-02-23T00:00:00"/>
    <s v="DA"/>
    <s v="USD"/>
    <n v="-45093"/>
    <n v="-45093"/>
    <s v="BDT"/>
    <s v="EGM2"/>
    <n v="-3740464.36"/>
    <s v="G/L CLEAR 45K"/>
    <s v="0000001010"/>
    <s v="G/L CLEAR 45K"/>
    <s v=""/>
    <s v=""/>
    <s v="0"/>
    <s v="G/L clear 45k"/>
    <s v=""/>
    <s v=""/>
    <s v=""/>
    <s v=""/>
    <s v=""/>
    <x v="0"/>
    <d v="2019-02-23T00:00:00"/>
    <s v="1806000008"/>
    <d v="2019-02-23T00:00:00"/>
    <s v=""/>
    <s v="1806000008"/>
  </r>
  <r>
    <s v="1806000009"/>
    <d v="2019-02-23T00:00:00"/>
    <d v="2019-02-23T00:00:00"/>
    <s v="DA"/>
    <s v="USD"/>
    <n v="270448"/>
    <n v="270448"/>
    <s v="BDT"/>
    <s v="EGM2"/>
    <n v="22366049.600000001"/>
    <s v="G/L clear 270k"/>
    <s v="0000001010"/>
    <s v="G/L CLEAR 270K"/>
    <s v=""/>
    <s v=""/>
    <s v="0"/>
    <s v="G/L clear 270k"/>
    <s v=""/>
    <s v=""/>
    <s v=""/>
    <s v=""/>
    <s v=""/>
    <x v="0"/>
    <d v="2019-02-23T00:00:00"/>
    <s v="1806000009"/>
    <d v="2019-02-23T00:00:00"/>
    <s v=""/>
    <s v="1806000009"/>
  </r>
  <r>
    <s v="1806000009"/>
    <d v="2019-02-23T00:00:00"/>
    <d v="2019-02-23T00:00:00"/>
    <s v="DA"/>
    <s v="USD"/>
    <n v="-270448"/>
    <n v="-270448"/>
    <s v="BDT"/>
    <s v="EGM2"/>
    <n v="-22366049.600000001"/>
    <s v="G/L clear 270k"/>
    <s v="0000001010"/>
    <s v="G/L CLEAR 270K"/>
    <s v=""/>
    <s v=""/>
    <s v="0"/>
    <s v="G/L clear 270k"/>
    <s v=""/>
    <s v=""/>
    <s v=""/>
    <s v=""/>
    <s v=""/>
    <x v="0"/>
    <d v="2019-02-23T00:00:00"/>
    <s v="1806000009"/>
    <d v="2019-02-23T00:00:00"/>
    <s v=""/>
    <s v="1806000009"/>
  </r>
  <r>
    <s v="1806000010"/>
    <d v="2019-02-23T00:00:00"/>
    <d v="2019-02-23T00:00:00"/>
    <s v="DA"/>
    <s v="USD"/>
    <n v="234204"/>
    <n v="234204"/>
    <s v="BDT"/>
    <s v="EGM2"/>
    <n v="19380381"/>
    <s v="G/L clear 234k"/>
    <s v="0000001010"/>
    <s v="G/L CLEAR 234K"/>
    <s v=""/>
    <s v=""/>
    <s v="0"/>
    <s v="G/L clear 234k"/>
    <s v=""/>
    <s v=""/>
    <s v=""/>
    <s v=""/>
    <s v=""/>
    <x v="0"/>
    <d v="2019-02-23T00:00:00"/>
    <s v="1806000010"/>
    <d v="2019-02-23T00:00:00"/>
    <s v=""/>
    <s v="1806000010"/>
  </r>
  <r>
    <s v="1806000010"/>
    <d v="2019-02-23T00:00:00"/>
    <d v="2019-02-23T00:00:00"/>
    <s v="DA"/>
    <s v="USD"/>
    <n v="-234204"/>
    <n v="-234204"/>
    <s v="BDT"/>
    <s v="EGM2"/>
    <n v="-19380381"/>
    <s v="G/L clear 234k"/>
    <s v="0000001010"/>
    <s v="G/L CLEAR 234K"/>
    <s v=""/>
    <s v=""/>
    <s v="0"/>
    <s v="G/L clear 234k"/>
    <s v=""/>
    <s v=""/>
    <s v=""/>
    <s v=""/>
    <s v=""/>
    <x v="0"/>
    <d v="2019-02-23T00:00:00"/>
    <s v="1806000010"/>
    <d v="2019-02-23T00:00:00"/>
    <s v=""/>
    <s v="1806000010"/>
  </r>
  <r>
    <s v="1806000011"/>
    <d v="2019-02-23T00:00:00"/>
    <d v="2019-02-23T00:00:00"/>
    <s v="DA"/>
    <s v="USD"/>
    <n v="211337"/>
    <n v="211337"/>
    <s v="BDT"/>
    <s v="EGM2"/>
    <n v="17477569.899999999"/>
    <s v="G/L clear 211k"/>
    <s v="0000001010"/>
    <s v="G/L CLEAR 211K"/>
    <s v=""/>
    <s v=""/>
    <s v="0"/>
    <s v="G/L clear 211k"/>
    <s v=""/>
    <s v=""/>
    <s v=""/>
    <s v=""/>
    <s v=""/>
    <x v="0"/>
    <d v="2019-02-23T00:00:00"/>
    <s v="1806000011"/>
    <d v="2019-02-23T00:00:00"/>
    <s v=""/>
    <s v="1806000011"/>
  </r>
  <r>
    <s v="1806000011"/>
    <d v="2019-02-23T00:00:00"/>
    <d v="2019-02-23T00:00:00"/>
    <s v="DA"/>
    <s v="USD"/>
    <n v="-211337"/>
    <n v="-211337"/>
    <s v="BDT"/>
    <s v="EGM2"/>
    <n v="-17477569.899999999"/>
    <s v=""/>
    <s v="0000001010"/>
    <s v="G/L CLEAR 211K"/>
    <s v=""/>
    <s v=""/>
    <s v="0"/>
    <s v="G/L clear 211k"/>
    <s v=""/>
    <s v=""/>
    <s v=""/>
    <s v=""/>
    <s v=""/>
    <x v="0"/>
    <d v="2019-02-23T00:00:00"/>
    <s v="1806000011"/>
    <d v="2019-02-23T00:00:00"/>
    <s v=""/>
    <s v="1806000011"/>
  </r>
  <r>
    <s v="1806000012"/>
    <d v="2019-02-23T00:00:00"/>
    <d v="2019-02-23T00:00:00"/>
    <s v="DA"/>
    <s v="USD"/>
    <n v="0"/>
    <n v="0"/>
    <s v="BDT"/>
    <s v="EGM2"/>
    <n v="0.01"/>
    <s v="G/L clear 211k"/>
    <s v="0000001010"/>
    <s v="G/L CLEAR 192K"/>
    <s v=""/>
    <s v=""/>
    <s v="0"/>
    <s v="G/L clear 192k"/>
    <s v=""/>
    <s v=""/>
    <s v=""/>
    <s v=""/>
    <s v=""/>
    <x v="0"/>
    <d v="2019-02-23T00:00:00"/>
    <s v="1806000012"/>
    <d v="2019-02-23T00:00:00"/>
    <s v=""/>
    <s v="1806000012"/>
  </r>
  <r>
    <s v="1806000013"/>
    <d v="2019-02-23T00:00:00"/>
    <d v="2019-02-23T00:00:00"/>
    <s v="DA"/>
    <s v="USD"/>
    <n v="91558"/>
    <n v="91558"/>
    <s v="BDT"/>
    <s v="EGM2"/>
    <n v="7553535.0099999998"/>
    <s v="G/L clear 91k"/>
    <s v="0000001010"/>
    <s v="G/L CLEAR 91K"/>
    <s v=""/>
    <s v=""/>
    <s v="0"/>
    <s v="G/L clear 91k"/>
    <s v=""/>
    <s v=""/>
    <s v=""/>
    <s v=""/>
    <s v=""/>
    <x v="0"/>
    <d v="2019-02-23T00:00:00"/>
    <s v="1806000013"/>
    <d v="2019-02-23T00:00:00"/>
    <s v=""/>
    <s v="1806000013"/>
  </r>
  <r>
    <s v="1806000013"/>
    <d v="2019-02-23T00:00:00"/>
    <d v="2019-02-23T00:00:00"/>
    <s v="DA"/>
    <s v="USD"/>
    <n v="-91558"/>
    <n v="-91558"/>
    <s v="BDT"/>
    <s v="EGM2"/>
    <n v="-7553535.0099999998"/>
    <s v="G/L clear 91k"/>
    <s v="0000001010"/>
    <s v="G/L CLEAR 91K"/>
    <s v=""/>
    <s v=""/>
    <s v="0"/>
    <s v="G/L clear 91k"/>
    <s v=""/>
    <s v=""/>
    <s v=""/>
    <s v=""/>
    <s v=""/>
    <x v="0"/>
    <d v="2019-02-23T00:00:00"/>
    <s v="1806000013"/>
    <d v="2019-02-23T00:00:00"/>
    <s v=""/>
    <s v="1806000013"/>
  </r>
  <r>
    <s v="1806000014"/>
    <d v="2019-02-23T00:00:00"/>
    <d v="2019-02-23T00:00:00"/>
    <s v="DA"/>
    <s v="USD"/>
    <n v="87537"/>
    <n v="87537"/>
    <s v="BDT"/>
    <s v="EGM2"/>
    <n v="7243686.75"/>
    <s v="G/L clear 87k"/>
    <s v="0000001010"/>
    <s v="G/L CLEAR 87K"/>
    <s v=""/>
    <s v=""/>
    <s v="0"/>
    <s v="G/L clear 87k"/>
    <s v=""/>
    <s v=""/>
    <s v=""/>
    <s v=""/>
    <s v=""/>
    <x v="0"/>
    <d v="2019-02-23T00:00:00"/>
    <s v="1806000014"/>
    <d v="2019-02-23T00:00:00"/>
    <s v=""/>
    <s v="1806000014"/>
  </r>
  <r>
    <s v="1806000014"/>
    <d v="2019-02-23T00:00:00"/>
    <d v="2019-02-23T00:00:00"/>
    <s v="DA"/>
    <s v="USD"/>
    <n v="-87537"/>
    <n v="-87537"/>
    <s v="BDT"/>
    <s v="EGM2"/>
    <n v="-7243686.75"/>
    <s v="G/L clear 87k"/>
    <s v="0000001010"/>
    <s v="G/L CLEAR 87K"/>
    <s v=""/>
    <s v=""/>
    <s v="0"/>
    <s v="G/L clear 87k"/>
    <s v=""/>
    <s v=""/>
    <s v=""/>
    <s v=""/>
    <s v=""/>
    <x v="0"/>
    <d v="2019-02-23T00:00:00"/>
    <s v="1806000014"/>
    <d v="2019-02-23T00:00:00"/>
    <s v=""/>
    <s v="1806000014"/>
  </r>
  <r>
    <s v="1806000015"/>
    <d v="2019-02-23T00:00:00"/>
    <d v="2019-02-23T00:00:00"/>
    <s v="DA"/>
    <s v="USD"/>
    <n v="85409"/>
    <n v="85409"/>
    <s v="BDT"/>
    <s v="EGM2"/>
    <n v="7071865.2000000002"/>
    <s v="G/L clear 85k"/>
    <s v="0000001010"/>
    <s v="G/L CLEAR 85K"/>
    <s v=""/>
    <s v=""/>
    <s v="0"/>
    <s v="G/L clear 85k"/>
    <s v=""/>
    <s v=""/>
    <s v=""/>
    <s v=""/>
    <s v=""/>
    <x v="0"/>
    <d v="2019-02-23T00:00:00"/>
    <s v="1806000015"/>
    <d v="2019-02-23T00:00:00"/>
    <s v=""/>
    <s v="1806000015"/>
  </r>
  <r>
    <s v="1806000015"/>
    <d v="2019-02-23T00:00:00"/>
    <d v="2019-02-23T00:00:00"/>
    <s v="DA"/>
    <s v="USD"/>
    <n v="-85409"/>
    <n v="-85409"/>
    <s v="BDT"/>
    <s v="EGM2"/>
    <n v="-7071865.2000000002"/>
    <s v="G/L clear 85k"/>
    <s v="0000001010"/>
    <s v="G/L CLEAR 85K"/>
    <s v=""/>
    <s v=""/>
    <s v="0"/>
    <s v="G/L clear 85k"/>
    <s v=""/>
    <s v=""/>
    <s v=""/>
    <s v=""/>
    <s v=""/>
    <x v="0"/>
    <d v="2019-02-23T00:00:00"/>
    <s v="1806000015"/>
    <d v="2019-02-23T00:00:00"/>
    <s v=""/>
    <s v="1806000015"/>
  </r>
  <r>
    <s v="1806000016"/>
    <d v="2019-02-23T00:00:00"/>
    <d v="2019-02-23T00:00:00"/>
    <s v="DA"/>
    <s v="USD"/>
    <n v="80429"/>
    <n v="80429"/>
    <s v="BDT"/>
    <s v="EGM2"/>
    <n v="6655499.75"/>
    <s v="G/L clear 80k"/>
    <s v="0000001010"/>
    <s v="G/L CLEAR 80K"/>
    <s v=""/>
    <s v=""/>
    <s v="0"/>
    <s v="G/L clear 80k"/>
    <s v=""/>
    <s v=""/>
    <s v=""/>
    <s v=""/>
    <s v=""/>
    <x v="0"/>
    <d v="2019-02-23T00:00:00"/>
    <s v="1806000016"/>
    <d v="2019-02-23T00:00:00"/>
    <s v=""/>
    <s v="1806000016"/>
  </r>
  <r>
    <s v="1806000016"/>
    <d v="2019-02-23T00:00:00"/>
    <d v="2019-02-23T00:00:00"/>
    <s v="DA"/>
    <s v="USD"/>
    <n v="-80429"/>
    <n v="-80429"/>
    <s v="BDT"/>
    <s v="EGM2"/>
    <n v="-6655499.75"/>
    <s v="G/L clear 80k"/>
    <s v="0000001010"/>
    <s v="G/L CLEAR 80K"/>
    <s v=""/>
    <s v=""/>
    <s v="0"/>
    <s v="G/L clear 80k"/>
    <s v=""/>
    <s v=""/>
    <s v=""/>
    <s v=""/>
    <s v=""/>
    <x v="0"/>
    <d v="2019-02-23T00:00:00"/>
    <s v="1806000016"/>
    <d v="2019-02-23T00:00:00"/>
    <s v=""/>
    <s v="1806000016"/>
  </r>
  <r>
    <s v="1806000017"/>
    <d v="2019-02-23T00:00:00"/>
    <d v="2019-02-23T00:00:00"/>
    <s v="DA"/>
    <s v="USD"/>
    <n v="76439"/>
    <n v="76439"/>
    <s v="BDT"/>
    <s v="EGM2"/>
    <n v="6340615.04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17"/>
    <d v="2019-02-23T00:00:00"/>
    <s v=""/>
    <s v="1806000017"/>
  </r>
  <r>
    <s v="1806000017"/>
    <d v="2019-02-23T00:00:00"/>
    <d v="2019-02-23T00:00:00"/>
    <s v="DA"/>
    <s v="USD"/>
    <n v="-76439"/>
    <n v="-76439"/>
    <s v="BDT"/>
    <s v="EGM2"/>
    <n v="-6340615.0499999998"/>
    <s v="G/L clear 76k"/>
    <s v="0000001010"/>
    <s v="G/L CLEAR 76K"/>
    <s v=""/>
    <s v=""/>
    <s v="0"/>
    <s v="G/L clear 76k"/>
    <s v=""/>
    <s v=""/>
    <s v=""/>
    <s v=""/>
    <s v=""/>
    <x v="0"/>
    <d v="2019-02-23T00:00:00"/>
    <s v="1806000017"/>
    <d v="2019-02-23T00:00:00"/>
    <s v=""/>
    <s v="1806000017"/>
  </r>
  <r>
    <s v="1806000018"/>
    <d v="2019-02-23T00:00:00"/>
    <d v="2019-02-23T00:00:00"/>
    <s v="DA"/>
    <s v="USD"/>
    <n v="-1"/>
    <n v="-1"/>
    <s v="BDT"/>
    <s v="EGM2"/>
    <n v="-82.75"/>
    <s v="G/L CLEAR 74K"/>
    <s v="0000001010"/>
    <s v="G/L CLEAR 76K"/>
    <s v=""/>
    <s v=""/>
    <s v="0"/>
    <s v="G/L clear 76k"/>
    <s v=""/>
    <s v=""/>
    <s v=""/>
    <s v=""/>
    <s v=""/>
    <x v="0"/>
    <d v="2019-02-23T00:00:00"/>
    <s v="1806000018"/>
    <d v="2019-02-23T00:00:00"/>
    <s v=""/>
    <s v="1806000018"/>
  </r>
  <r>
    <s v="1806000019"/>
    <d v="2019-02-23T00:00:00"/>
    <d v="2019-02-23T00:00:00"/>
    <s v="DA"/>
    <s v="USD"/>
    <n v="68390"/>
    <n v="68390"/>
    <s v="BDT"/>
    <s v="EGM2"/>
    <n v="5669531"/>
    <s v="G/L clear 68k"/>
    <s v="0000001010"/>
    <s v="G/L CLEAR 68K"/>
    <s v=""/>
    <s v=""/>
    <s v="0"/>
    <s v="G/L clear 68k"/>
    <s v=""/>
    <s v=""/>
    <s v=""/>
    <s v=""/>
    <s v=""/>
    <x v="0"/>
    <d v="2019-02-23T00:00:00"/>
    <s v="1806000019"/>
    <d v="2019-02-23T00:00:00"/>
    <s v=""/>
    <s v="1806000019"/>
  </r>
  <r>
    <s v="1806000019"/>
    <d v="2019-02-23T00:00:00"/>
    <d v="2019-02-23T00:00:00"/>
    <s v="DA"/>
    <s v="USD"/>
    <n v="-68390"/>
    <n v="-68390"/>
    <s v="BDT"/>
    <s v="EGM2"/>
    <n v="-5669531"/>
    <s v="G/L clear 68k"/>
    <s v="0000001010"/>
    <s v="G/L CLEAR 68K"/>
    <s v=""/>
    <s v=""/>
    <s v="0"/>
    <s v="G/L clear 68k"/>
    <s v=""/>
    <s v=""/>
    <s v=""/>
    <s v=""/>
    <s v=""/>
    <x v="0"/>
    <d v="2019-02-23T00:00:00"/>
    <s v="1806000019"/>
    <d v="2019-02-23T00:00:00"/>
    <s v=""/>
    <s v="1806000019"/>
  </r>
  <r>
    <s v="1806000020"/>
    <d v="2019-02-23T00:00:00"/>
    <d v="2019-02-23T00:00:00"/>
    <s v="DA"/>
    <s v="USD"/>
    <n v="64894"/>
    <n v="64894"/>
    <s v="BDT"/>
    <s v="EGM2"/>
    <n v="5382957.2999999998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0"/>
    <d v="2019-02-23T00:00:00"/>
    <s v=""/>
    <s v="1806000020"/>
  </r>
  <r>
    <s v="1806000020"/>
    <d v="2019-02-23T00:00:00"/>
    <d v="2019-02-23T00:00:00"/>
    <s v="DA"/>
    <s v="USD"/>
    <n v="-64894"/>
    <n v="-64894"/>
    <s v="BDT"/>
    <s v="EGM2"/>
    <n v="-5382957.2999999998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0"/>
    <d v="2019-02-23T00:00:00"/>
    <s v=""/>
    <s v="1806000020"/>
  </r>
  <r>
    <s v="1806000021"/>
    <d v="2019-02-23T00:00:00"/>
    <d v="2019-02-23T00:00:00"/>
    <s v="DA"/>
    <s v="USD"/>
    <n v="64060.7"/>
    <n v="64060.7"/>
    <s v="BDT"/>
    <s v="EGM2"/>
    <n v="5313835.07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1"/>
    <d v="2019-02-23T00:00:00"/>
    <s v=""/>
    <s v="1806000021"/>
  </r>
  <r>
    <s v="1806000021"/>
    <d v="2019-02-23T00:00:00"/>
    <d v="2019-02-23T00:00:00"/>
    <s v="DA"/>
    <s v="USD"/>
    <n v="-64060.7"/>
    <n v="-64060.7"/>
    <s v="BDT"/>
    <s v="EGM2"/>
    <n v="-5313835.07"/>
    <s v="G/L clear 64k"/>
    <s v="0000001010"/>
    <s v="G/L CLEAR 64K"/>
    <s v=""/>
    <s v=""/>
    <s v="0"/>
    <s v="G/L clear 64k"/>
    <s v=""/>
    <s v=""/>
    <s v=""/>
    <s v=""/>
    <s v=""/>
    <x v="0"/>
    <d v="2019-02-23T00:00:00"/>
    <s v="1806000021"/>
    <d v="2019-02-23T00:00:00"/>
    <s v=""/>
    <s v="1806000021"/>
  </r>
  <r>
    <s v="1806000022"/>
    <d v="2019-02-23T00:00:00"/>
    <d v="2019-02-23T00:00:00"/>
    <s v="DA"/>
    <s v="USD"/>
    <n v="63319"/>
    <n v="63319"/>
    <s v="BDT"/>
    <s v="EGM2"/>
    <n v="5236481.3"/>
    <s v="G/L clear 63k"/>
    <s v="0000001010"/>
    <s v="G/L CLEAR 63K"/>
    <s v=""/>
    <s v=""/>
    <s v="0"/>
    <s v="G/L clear 63k"/>
    <s v=""/>
    <s v=""/>
    <s v=""/>
    <s v=""/>
    <s v=""/>
    <x v="0"/>
    <d v="2019-02-23T00:00:00"/>
    <s v="1806000022"/>
    <d v="2019-02-23T00:00:00"/>
    <s v=""/>
    <s v="1806000022"/>
  </r>
  <r>
    <s v="1806000022"/>
    <d v="2019-02-23T00:00:00"/>
    <d v="2019-02-23T00:00:00"/>
    <s v="DA"/>
    <s v="USD"/>
    <n v="-63319"/>
    <n v="-63319"/>
    <s v="BDT"/>
    <s v="EGM2"/>
    <n v="-5236481.3"/>
    <s v="G/L clear 63k"/>
    <s v="0000001010"/>
    <s v="G/L CLEAR 63K"/>
    <s v=""/>
    <s v=""/>
    <s v="0"/>
    <s v="G/L clear 63k"/>
    <s v=""/>
    <s v=""/>
    <s v=""/>
    <s v=""/>
    <s v=""/>
    <x v="0"/>
    <d v="2019-02-23T00:00:00"/>
    <s v="1806000022"/>
    <d v="2019-02-23T00:00:00"/>
    <s v=""/>
    <s v="1806000022"/>
  </r>
  <r>
    <s v="1806000023"/>
    <d v="2019-02-23T00:00:00"/>
    <d v="2019-02-23T00:00:00"/>
    <s v="DA"/>
    <s v="USD"/>
    <n v="62991"/>
    <n v="62991"/>
    <s v="BDT"/>
    <s v="EGM2"/>
    <n v="5212505.25"/>
    <s v="G/L clear 62k"/>
    <s v="0000001010"/>
    <s v="G/L CLEAR 62K"/>
    <s v=""/>
    <s v=""/>
    <s v="0"/>
    <s v="G/L clear 62k"/>
    <s v=""/>
    <s v=""/>
    <s v=""/>
    <s v=""/>
    <s v=""/>
    <x v="0"/>
    <d v="2019-02-23T00:00:00"/>
    <s v="1806000023"/>
    <d v="2019-02-23T00:00:00"/>
    <s v=""/>
    <s v="1806000023"/>
  </r>
  <r>
    <s v="1806000023"/>
    <d v="2019-02-23T00:00:00"/>
    <d v="2019-02-23T00:00:00"/>
    <s v="DA"/>
    <s v="USD"/>
    <n v="-62991"/>
    <n v="-62991"/>
    <s v="BDT"/>
    <s v="EGM2"/>
    <n v="-5212505.25"/>
    <s v="G/L clear 62k"/>
    <s v="0000001010"/>
    <s v="G/L CLEAR 62K"/>
    <s v=""/>
    <s v=""/>
    <s v="0"/>
    <s v="G/L clear 62k"/>
    <s v=""/>
    <s v=""/>
    <s v=""/>
    <s v=""/>
    <s v=""/>
    <x v="0"/>
    <d v="2019-02-23T00:00:00"/>
    <s v="1806000023"/>
    <d v="2019-02-23T00:00:00"/>
    <s v=""/>
    <s v="1806000023"/>
  </r>
  <r>
    <s v="1806000024"/>
    <d v="2019-02-23T00:00:00"/>
    <d v="2019-02-23T00:00:00"/>
    <s v="DA"/>
    <s v="USD"/>
    <n v="50046"/>
    <n v="50046"/>
    <s v="BDT"/>
    <s v="EGM2"/>
    <n v="4141306.5"/>
    <s v="G/L clear 50k"/>
    <s v="0000001010"/>
    <s v="G/L CLEAR 50K"/>
    <s v=""/>
    <s v=""/>
    <s v="0"/>
    <s v="G/L clear 50k"/>
    <s v=""/>
    <s v=""/>
    <s v=""/>
    <s v=""/>
    <s v=""/>
    <x v="0"/>
    <d v="2019-02-23T00:00:00"/>
    <s v="1806000024"/>
    <d v="2019-02-23T00:00:00"/>
    <s v=""/>
    <s v="1806000024"/>
  </r>
  <r>
    <s v="1806000024"/>
    <d v="2019-02-23T00:00:00"/>
    <d v="2019-02-23T00:00:00"/>
    <s v="DA"/>
    <s v="USD"/>
    <n v="-50046"/>
    <n v="-50046"/>
    <s v="BDT"/>
    <s v="EGM2"/>
    <n v="-4141306.5"/>
    <s v="G/L clear 50k"/>
    <s v="0000001010"/>
    <s v="G/L CLEAR 50K"/>
    <s v=""/>
    <s v=""/>
    <s v="0"/>
    <s v="G/L clear 50k"/>
    <s v=""/>
    <s v=""/>
    <s v=""/>
    <s v=""/>
    <s v=""/>
    <x v="0"/>
    <d v="2019-02-23T00:00:00"/>
    <s v="1806000024"/>
    <d v="2019-02-23T00:00:00"/>
    <s v=""/>
    <s v="1806000024"/>
  </r>
  <r>
    <s v="1806000025"/>
    <d v="2019-02-23T00:00:00"/>
    <d v="2019-02-23T00:00:00"/>
    <s v="DA"/>
    <s v="USD"/>
    <n v="49967"/>
    <n v="49967"/>
    <s v="BDT"/>
    <s v="EGM2"/>
    <n v="4142264.3"/>
    <s v="G/L clear 49k"/>
    <s v="0000001010"/>
    <s v="G/L CLEAR 49K"/>
    <s v=""/>
    <s v=""/>
    <s v="0"/>
    <s v="G/L clear 49k"/>
    <s v=""/>
    <s v=""/>
    <s v=""/>
    <s v=""/>
    <s v=""/>
    <x v="0"/>
    <d v="2019-02-23T00:00:00"/>
    <s v="1806000025"/>
    <d v="2019-02-23T00:00:00"/>
    <s v=""/>
    <s v="1806000025"/>
  </r>
  <r>
    <s v="1806000025"/>
    <d v="2019-02-23T00:00:00"/>
    <d v="2019-02-23T00:00:00"/>
    <s v="DA"/>
    <s v="USD"/>
    <n v="-49967"/>
    <n v="-49967"/>
    <s v="BDT"/>
    <s v="EGM2"/>
    <n v="-4142264.3"/>
    <s v="G/L clear 49k"/>
    <s v="0000001010"/>
    <s v="G/L CLEAR 49K"/>
    <s v=""/>
    <s v=""/>
    <s v="0"/>
    <s v="G/L clear 49k"/>
    <s v=""/>
    <s v=""/>
    <s v=""/>
    <s v=""/>
    <s v=""/>
    <x v="0"/>
    <d v="2019-02-23T00:00:00"/>
    <s v="1806000025"/>
    <d v="2019-02-23T00:00:00"/>
    <s v=""/>
    <s v="1806000025"/>
  </r>
  <r>
    <s v="1806000026"/>
    <d v="2019-02-23T00:00:00"/>
    <d v="2019-02-23T00:00:00"/>
    <s v="DA"/>
    <s v="USD"/>
    <n v="35484"/>
    <n v="35484"/>
    <s v="BDT"/>
    <s v="EGM2"/>
    <n v="2943397.8"/>
    <s v="G/L clear 35k"/>
    <s v="0000001010"/>
    <s v="G/L CLEAR 35K"/>
    <s v=""/>
    <s v=""/>
    <s v="0"/>
    <s v="G/L clear 35k"/>
    <s v=""/>
    <s v=""/>
    <s v=""/>
    <s v=""/>
    <s v=""/>
    <x v="0"/>
    <d v="2019-02-23T00:00:00"/>
    <s v="1806000026"/>
    <d v="2019-02-23T00:00:00"/>
    <s v=""/>
    <s v="1806000026"/>
  </r>
  <r>
    <s v="1806000026"/>
    <d v="2019-02-23T00:00:00"/>
    <d v="2019-02-23T00:00:00"/>
    <s v="DA"/>
    <s v="USD"/>
    <n v="-35484"/>
    <n v="-35484"/>
    <s v="BDT"/>
    <s v="EGM2"/>
    <n v="-2943397.8"/>
    <s v=""/>
    <s v="0000001010"/>
    <s v="G/L CLEAR 35K"/>
    <s v=""/>
    <s v=""/>
    <s v="0"/>
    <s v="G/L clear 35k"/>
    <s v=""/>
    <s v=""/>
    <s v=""/>
    <s v=""/>
    <s v=""/>
    <x v="0"/>
    <d v="2019-02-23T00:00:00"/>
    <s v="1806000026"/>
    <d v="2019-02-23T00:00:00"/>
    <s v=""/>
    <s v="1806000026"/>
  </r>
  <r>
    <s v="1806000027"/>
    <d v="2019-02-26T00:00:00"/>
    <d v="2019-02-26T00:00:00"/>
    <s v="DA"/>
    <s v="USD"/>
    <n v="31752"/>
    <n v="31752"/>
    <s v="BDT"/>
    <s v="EGM2"/>
    <n v="2629065.6"/>
    <s v="G/L Clr-31k- Cm advance"/>
    <s v="0000001010"/>
    <s v="G/L CLR-31K"/>
    <s v=""/>
    <s v=""/>
    <s v="0"/>
    <s v="G/L Clr-31k- Cm advance"/>
    <s v=""/>
    <s v=""/>
    <s v=""/>
    <s v=""/>
    <s v=""/>
    <x v="0"/>
    <d v="2019-02-26T00:00:00"/>
    <s v="1806000027"/>
    <d v="2019-02-26T00:00:00"/>
    <s v=""/>
    <s v="1806000027"/>
  </r>
  <r>
    <s v="1806000027"/>
    <d v="2019-02-26T00:00:00"/>
    <d v="2019-02-26T00:00:00"/>
    <s v="DA"/>
    <s v="USD"/>
    <n v="-31752"/>
    <n v="-31752"/>
    <s v="BDT"/>
    <s v="EGM2"/>
    <n v="-2629065.6"/>
    <s v="G/L Clr-31k- Cm advance"/>
    <s v="0000001010"/>
    <s v="G/L CLR-31K"/>
    <s v=""/>
    <s v=""/>
    <s v="0"/>
    <s v="G/L Clr-31k- Cm advance"/>
    <s v=""/>
    <s v=""/>
    <s v=""/>
    <s v=""/>
    <s v=""/>
    <x v="0"/>
    <d v="2019-02-26T00:00:00"/>
    <s v="1806000027"/>
    <d v="2019-02-26T00:00:00"/>
    <s v=""/>
    <s v="1806000027"/>
  </r>
  <r>
    <s v="1806000028"/>
    <d v="2019-02-26T00:00:00"/>
    <d v="2019-02-26T00:00:00"/>
    <s v="DA"/>
    <s v="USD"/>
    <n v="27893"/>
    <n v="27893"/>
    <s v="BDT"/>
    <s v="EGM2"/>
    <n v="2308145.7599999998"/>
    <s v="G/L Clr-27k- Cm advance"/>
    <s v="0000001010"/>
    <s v="G/L CLR-27K"/>
    <s v=""/>
    <s v=""/>
    <s v="0"/>
    <s v="G/L Clr-27k- Cm advance"/>
    <s v=""/>
    <s v=""/>
    <s v=""/>
    <s v=""/>
    <s v=""/>
    <x v="0"/>
    <d v="2019-02-26T00:00:00"/>
    <s v="1806000028"/>
    <d v="2019-02-26T00:00:00"/>
    <s v=""/>
    <s v="1806000028"/>
  </r>
  <r>
    <s v="1806000028"/>
    <d v="2019-02-26T00:00:00"/>
    <d v="2019-02-26T00:00:00"/>
    <s v="DA"/>
    <s v="USD"/>
    <n v="-27893"/>
    <n v="-27893"/>
    <s v="BDT"/>
    <s v="EGM2"/>
    <n v="-2308145.7599999998"/>
    <s v="G/L Clr-27k- Cm advance"/>
    <s v="0000001010"/>
    <s v="G/L CLR-27K"/>
    <s v=""/>
    <s v=""/>
    <s v="0"/>
    <s v="G/L Clr-27k- Cm advance"/>
    <s v=""/>
    <s v=""/>
    <s v=""/>
    <s v=""/>
    <s v=""/>
    <x v="0"/>
    <d v="2019-02-26T00:00:00"/>
    <s v="1806000028"/>
    <d v="2019-02-26T00:00:00"/>
    <s v=""/>
    <s v="1806000028"/>
  </r>
  <r>
    <s v="1806000029"/>
    <d v="2019-02-26T00:00:00"/>
    <d v="2019-02-26T00:00:00"/>
    <s v="DA"/>
    <s v="USD"/>
    <n v="1"/>
    <n v="1"/>
    <s v="BDT"/>
    <s v="EGM2"/>
    <n v="82.95"/>
    <s v="G/L Clr-27k- Cm advance"/>
    <s v="0000001010"/>
    <s v="G/L CLR-23K"/>
    <s v=""/>
    <s v=""/>
    <s v="0"/>
    <s v="G/L Clr-23k- Cm advance"/>
    <s v=""/>
    <s v=""/>
    <s v=""/>
    <s v=""/>
    <s v=""/>
    <x v="0"/>
    <d v="2019-02-26T00:00:00"/>
    <s v="1806000029"/>
    <d v="2019-02-26T00:00:00"/>
    <s v=""/>
    <s v="1806000029"/>
  </r>
  <r>
    <s v="1806000030"/>
    <d v="2019-02-26T00:00:00"/>
    <d v="2019-02-26T00:00:00"/>
    <s v="DA"/>
    <s v="USD"/>
    <n v="21127"/>
    <n v="21127"/>
    <s v="BDT"/>
    <s v="EGM2"/>
    <n v="1751428.3"/>
    <s v="G/L CLR-21K"/>
    <s v="0000001010"/>
    <s v="G/L CLR-21K"/>
    <s v=""/>
    <s v=""/>
    <s v="0"/>
    <s v="G/L Clr-21k"/>
    <s v=""/>
    <s v=""/>
    <s v=""/>
    <s v=""/>
    <s v=""/>
    <x v="0"/>
    <d v="2019-02-26T00:00:00"/>
    <s v="1806000030"/>
    <d v="2019-02-26T00:00:00"/>
    <s v=""/>
    <s v="1806000030"/>
  </r>
  <r>
    <s v="1806000030"/>
    <d v="2019-02-26T00:00:00"/>
    <d v="2019-02-26T00:00:00"/>
    <s v="DA"/>
    <s v="USD"/>
    <n v="-21127"/>
    <n v="-21127"/>
    <s v="BDT"/>
    <s v="EGM2"/>
    <n v="-1751428.3"/>
    <s v="G/L CLR-21K"/>
    <s v="0000001010"/>
    <s v="G/L CLR-21K"/>
    <s v=""/>
    <s v=""/>
    <s v="0"/>
    <s v="G/L Clr-21k"/>
    <s v=""/>
    <s v=""/>
    <s v=""/>
    <s v=""/>
    <s v=""/>
    <x v="0"/>
    <d v="2019-02-26T00:00:00"/>
    <s v="1806000030"/>
    <d v="2019-02-26T00:00:00"/>
    <s v=""/>
    <s v="1806000030"/>
  </r>
  <r>
    <s v="1806000031"/>
    <d v="2019-02-26T00:00:00"/>
    <d v="2019-02-26T00:00:00"/>
    <s v="DA"/>
    <s v="USD"/>
    <n v="13887"/>
    <n v="13887"/>
    <s v="BDT"/>
    <s v="EGM2"/>
    <n v="1151232.3"/>
    <s v="G/L CLR-13K"/>
    <s v="0000001010"/>
    <s v="G/L CLR-13K"/>
    <s v=""/>
    <s v=""/>
    <s v="0"/>
    <s v="G/L Clr-13k"/>
    <s v=""/>
    <s v=""/>
    <s v=""/>
    <s v=""/>
    <s v=""/>
    <x v="0"/>
    <d v="2019-02-26T00:00:00"/>
    <s v="1806000031"/>
    <d v="2019-02-26T00:00:00"/>
    <s v=""/>
    <s v="1806000031"/>
  </r>
  <r>
    <s v="1806000031"/>
    <d v="2019-02-26T00:00:00"/>
    <d v="2019-02-26T00:00:00"/>
    <s v="DA"/>
    <s v="USD"/>
    <n v="-13887"/>
    <n v="-13887"/>
    <s v="BDT"/>
    <s v="EGM2"/>
    <n v="-1151232.3"/>
    <s v=""/>
    <s v="0000001010"/>
    <s v="G/L CLR-13K"/>
    <s v=""/>
    <s v=""/>
    <s v="0"/>
    <s v="G/L Clr-13k"/>
    <s v=""/>
    <s v=""/>
    <s v=""/>
    <s v=""/>
    <s v=""/>
    <x v="0"/>
    <d v="2019-02-26T00:00:00"/>
    <s v="1806000031"/>
    <d v="2019-02-26T00:00:00"/>
    <s v=""/>
    <s v="1806000031"/>
  </r>
  <r>
    <s v="1806000032"/>
    <d v="2019-02-26T00:00:00"/>
    <d v="2019-02-26T00:00:00"/>
    <s v="DA"/>
    <s v="USD"/>
    <n v="1"/>
    <n v="1"/>
    <s v="BDT"/>
    <s v="EGM2"/>
    <n v="82.95"/>
    <s v="G/L CLR-76K"/>
    <s v="0000001010"/>
    <s v="G/L CLR-76K"/>
    <s v=""/>
    <s v=""/>
    <s v="0"/>
    <s v="G/L Clr-76k"/>
    <s v=""/>
    <s v=""/>
    <s v=""/>
    <s v=""/>
    <s v=""/>
    <x v="0"/>
    <d v="2019-02-26T00:00:00"/>
    <s v="1806000032"/>
    <d v="2019-02-26T00:00:00"/>
    <s v=""/>
    <s v="1806000032"/>
  </r>
  <r>
    <s v="1806000037"/>
    <d v="2019-05-02T00:00:00"/>
    <d v="2019-05-02T00:00:00"/>
    <s v="DA"/>
    <s v="USD"/>
    <n v="914366"/>
    <n v="914366"/>
    <s v="BDT"/>
    <s v="EGM1"/>
    <n v="75618068.200000003"/>
    <s v="G/l clear 914k"/>
    <s v="0000001010"/>
    <s v="G/L CLEAR"/>
    <s v=""/>
    <s v=""/>
    <s v="0"/>
    <s v="G/l clear 914k"/>
    <s v=""/>
    <s v=""/>
    <s v=""/>
    <s v=""/>
    <s v=""/>
    <x v="0"/>
    <d v="2019-05-02T00:00:00"/>
    <s v="1806000037"/>
    <d v="2019-05-02T00:00:00"/>
    <s v=""/>
    <s v="1806000037"/>
  </r>
  <r>
    <s v="1806000037"/>
    <d v="2019-05-02T00:00:00"/>
    <d v="2019-05-02T00:00:00"/>
    <s v="DA"/>
    <s v="USD"/>
    <n v="-914366"/>
    <n v="-914366"/>
    <s v="BDT"/>
    <s v="EGM1"/>
    <n v="-75618068.200000003"/>
    <s v="G/l clear 914k"/>
    <s v="0000001010"/>
    <s v="G/L CLEAR"/>
    <s v=""/>
    <s v=""/>
    <s v="0"/>
    <s v="G/l clear 914k"/>
    <s v=""/>
    <s v=""/>
    <s v=""/>
    <s v=""/>
    <s v=""/>
    <x v="0"/>
    <d v="2019-05-02T00:00:00"/>
    <s v="1806000037"/>
    <d v="2019-05-02T00:00:00"/>
    <s v=""/>
    <s v="1806000037"/>
  </r>
  <r>
    <s v="1806000038"/>
    <d v="2019-05-02T00:00:00"/>
    <d v="2019-05-02T00:00:00"/>
    <s v="DA"/>
    <s v="USD"/>
    <n v="694950"/>
    <n v="694950"/>
    <s v="BDT"/>
    <s v="EGM1"/>
    <n v="57472365"/>
    <s v="G/l clear 694k"/>
    <s v="0000001010"/>
    <s v="G/L CLEAR"/>
    <s v=""/>
    <s v=""/>
    <s v="0"/>
    <s v="G/l clear 694k"/>
    <s v=""/>
    <s v=""/>
    <s v=""/>
    <s v=""/>
    <s v=""/>
    <x v="0"/>
    <d v="2019-05-02T00:00:00"/>
    <s v="1806000038"/>
    <d v="2019-05-02T00:00:00"/>
    <s v=""/>
    <s v="1806000038"/>
  </r>
  <r>
    <s v="1806000038"/>
    <d v="2019-05-02T00:00:00"/>
    <d v="2019-05-02T00:00:00"/>
    <s v="DA"/>
    <s v="USD"/>
    <n v="-694950"/>
    <n v="-694950"/>
    <s v="BDT"/>
    <s v="EGM1"/>
    <n v="-57472365"/>
    <s v="G/l clear 694k"/>
    <s v="0000001010"/>
    <s v="G/L CLEAR"/>
    <s v=""/>
    <s v=""/>
    <s v="0"/>
    <s v="G/l clear 694k"/>
    <s v=""/>
    <s v=""/>
    <s v=""/>
    <s v=""/>
    <s v=""/>
    <x v="0"/>
    <d v="2019-05-02T00:00:00"/>
    <s v="1806000038"/>
    <d v="2019-05-02T00:00:00"/>
    <s v=""/>
    <s v="1806000038"/>
  </r>
  <r>
    <s v="1806000039"/>
    <d v="2019-05-02T00:00:00"/>
    <d v="2019-05-02T00:00:00"/>
    <s v="DA"/>
    <s v="USD"/>
    <n v="1"/>
    <n v="1"/>
    <s v="BDT"/>
    <s v="EGM1"/>
    <n v="82.76"/>
    <s v="G/l clear 641k"/>
    <s v="0000001010"/>
    <s v="G/L CLEAR"/>
    <s v=""/>
    <s v=""/>
    <s v="0"/>
    <s v="G/l clear 641k"/>
    <s v=""/>
    <s v=""/>
    <s v=""/>
    <s v=""/>
    <s v=""/>
    <x v="0"/>
    <d v="2019-05-02T00:00:00"/>
    <s v="1806000039"/>
    <d v="2019-05-02T00:00:00"/>
    <s v=""/>
    <s v="1806000039"/>
  </r>
  <r>
    <s v="1806000040"/>
    <d v="2019-05-02T00:00:00"/>
    <d v="2019-05-02T00:00:00"/>
    <s v="DA"/>
    <s v="USD"/>
    <n v="638206"/>
    <n v="638206"/>
    <s v="BDT"/>
    <s v="EGM1"/>
    <n v="52939187.700000003"/>
    <s v="G/l clear 641k"/>
    <s v="0000001010"/>
    <s v="G/L CLEAR"/>
    <s v=""/>
    <s v=""/>
    <s v="0"/>
    <s v="G/l clear 638k"/>
    <s v=""/>
    <s v=""/>
    <s v=""/>
    <s v=""/>
    <s v=""/>
    <x v="0"/>
    <d v="2019-05-02T00:00:00"/>
    <s v="1806000040"/>
    <d v="2019-05-02T00:00:00"/>
    <s v=""/>
    <s v="1806000040"/>
  </r>
  <r>
    <s v="1806000040"/>
    <d v="2019-05-02T00:00:00"/>
    <d v="2019-05-02T00:00:00"/>
    <s v="DA"/>
    <s v="USD"/>
    <n v="-638206"/>
    <n v="-638206"/>
    <s v="BDT"/>
    <s v="EGM1"/>
    <n v="-52939187.700000003"/>
    <s v="G/l clear 641k"/>
    <s v="0000001010"/>
    <s v="G/L CLEAR"/>
    <s v=""/>
    <s v=""/>
    <s v="0"/>
    <s v="G/l clear 638k"/>
    <s v=""/>
    <s v=""/>
    <s v=""/>
    <s v=""/>
    <s v=""/>
    <x v="0"/>
    <d v="2019-05-02T00:00:00"/>
    <s v="1806000040"/>
    <d v="2019-05-02T00:00:00"/>
    <s v=""/>
    <s v="1806000040"/>
  </r>
  <r>
    <s v="1806000041"/>
    <d v="2019-05-02T00:00:00"/>
    <d v="2019-05-02T00:00:00"/>
    <s v="DA"/>
    <s v="USD"/>
    <n v="574279"/>
    <n v="574279"/>
    <s v="BDT"/>
    <s v="EGM1"/>
    <n v="47521587.259999998"/>
    <s v="G/l clear 641k"/>
    <s v="0000001010"/>
    <s v="G/L CLEAR"/>
    <s v=""/>
    <s v=""/>
    <s v="0"/>
    <s v="G/l clear 574k"/>
    <s v=""/>
    <s v=""/>
    <s v=""/>
    <s v=""/>
    <s v=""/>
    <x v="0"/>
    <d v="2019-05-02T00:00:00"/>
    <s v="1806000041"/>
    <d v="2019-05-02T00:00:00"/>
    <s v=""/>
    <s v="1806000041"/>
  </r>
  <r>
    <s v="1806000041"/>
    <d v="2019-05-02T00:00:00"/>
    <d v="2019-05-02T00:00:00"/>
    <s v="DA"/>
    <s v="USD"/>
    <n v="-574279"/>
    <n v="-574279"/>
    <s v="BDT"/>
    <s v="EGM1"/>
    <n v="-47521587.259999998"/>
    <s v=""/>
    <s v="0000001010"/>
    <s v="G/L CLEAR"/>
    <s v=""/>
    <s v=""/>
    <s v="0"/>
    <s v="G/l clear 574k"/>
    <s v=""/>
    <s v=""/>
    <s v=""/>
    <s v=""/>
    <s v=""/>
    <x v="0"/>
    <d v="2019-05-02T00:00:00"/>
    <s v="1806000041"/>
    <d v="2019-05-02T00:00:00"/>
    <s v=""/>
    <s v="1806000041"/>
  </r>
  <r>
    <s v="1806000042"/>
    <d v="2019-05-02T00:00:00"/>
    <d v="2019-05-02T00:00:00"/>
    <s v="DA"/>
    <s v="USD"/>
    <n v="444779"/>
    <n v="444779"/>
    <s v="BDT"/>
    <s v="EGM1"/>
    <n v="36894418.049999997"/>
    <s v="G/l clear 641k"/>
    <s v="0000001010"/>
    <s v="G/L CLEAR"/>
    <s v=""/>
    <s v=""/>
    <s v="0"/>
    <s v="G/l clear 444k"/>
    <s v=""/>
    <s v=""/>
    <s v=""/>
    <s v=""/>
    <s v=""/>
    <x v="0"/>
    <d v="2019-05-02T00:00:00"/>
    <s v="1806000042"/>
    <d v="2019-05-02T00:00:00"/>
    <s v=""/>
    <s v="1806000042"/>
  </r>
  <r>
    <s v="1806000042"/>
    <d v="2019-05-02T00:00:00"/>
    <d v="2019-05-02T00:00:00"/>
    <s v="DA"/>
    <s v="USD"/>
    <n v="-444779"/>
    <n v="-444779"/>
    <s v="BDT"/>
    <s v="EGM1"/>
    <n v="-36894418.049999997"/>
    <s v="G/l clear 641k"/>
    <s v="0000001010"/>
    <s v="G/L CLEAR"/>
    <s v=""/>
    <s v=""/>
    <s v="0"/>
    <s v="G/l clear 444k"/>
    <s v=""/>
    <s v=""/>
    <s v=""/>
    <s v=""/>
    <s v=""/>
    <x v="0"/>
    <d v="2019-05-02T00:00:00"/>
    <s v="1806000042"/>
    <d v="2019-05-02T00:00:00"/>
    <s v=""/>
    <s v="1806000042"/>
  </r>
  <r>
    <s v="1806000043"/>
    <d v="2019-05-02T00:00:00"/>
    <d v="2019-05-02T00:00:00"/>
    <s v="DA"/>
    <s v="USD"/>
    <n v="433053"/>
    <n v="433053"/>
    <s v="BDT"/>
    <s v="EGM1"/>
    <n v="35856788.399999999"/>
    <s v="G/l clear 433k"/>
    <s v="0000001010"/>
    <s v="G/L CLEAR"/>
    <s v=""/>
    <s v=""/>
    <s v="0"/>
    <s v="G/l clear 433k"/>
    <s v=""/>
    <s v=""/>
    <s v=""/>
    <s v=""/>
    <s v=""/>
    <x v="0"/>
    <d v="2019-05-02T00:00:00"/>
    <s v="1806000043"/>
    <d v="2019-05-02T00:00:00"/>
    <s v=""/>
    <s v="1806000043"/>
  </r>
  <r>
    <s v="1806000043"/>
    <d v="2019-05-02T00:00:00"/>
    <d v="2019-05-02T00:00:00"/>
    <s v="DA"/>
    <s v="USD"/>
    <n v="-433053"/>
    <n v="-433053"/>
    <s v="BDT"/>
    <s v="EGM1"/>
    <n v="-35856788.399999999"/>
    <s v=""/>
    <s v="0000001010"/>
    <s v="G/L CLEAR"/>
    <s v=""/>
    <s v=""/>
    <s v="0"/>
    <s v="G/l clear 433k"/>
    <s v=""/>
    <s v=""/>
    <s v=""/>
    <s v=""/>
    <s v=""/>
    <x v="0"/>
    <d v="2019-05-02T00:00:00"/>
    <s v="1806000043"/>
    <d v="2019-05-02T00:00:00"/>
    <s v=""/>
    <s v="1806000043"/>
  </r>
  <r>
    <s v="1806000044"/>
    <d v="2019-05-02T00:00:00"/>
    <d v="2019-05-02T00:00:00"/>
    <s v="DA"/>
    <s v="USD"/>
    <n v="423512"/>
    <n v="423512"/>
    <s v="BDT"/>
    <s v="EGM1"/>
    <n v="35045618"/>
    <s v="G/l clear 423k"/>
    <s v="0000001010"/>
    <s v="G/L CLEAR"/>
    <s v=""/>
    <s v=""/>
    <s v="0"/>
    <s v="G/l clear 423k"/>
    <s v=""/>
    <s v=""/>
    <s v=""/>
    <s v=""/>
    <s v=""/>
    <x v="0"/>
    <d v="2019-05-02T00:00:00"/>
    <s v="1806000044"/>
    <d v="2019-05-02T00:00:00"/>
    <s v=""/>
    <s v="1806000044"/>
  </r>
  <r>
    <s v="1806000044"/>
    <d v="2019-05-02T00:00:00"/>
    <d v="2019-05-02T00:00:00"/>
    <s v="DA"/>
    <s v="USD"/>
    <n v="-423512"/>
    <n v="-423512"/>
    <s v="BDT"/>
    <s v="EGM1"/>
    <n v="-35045618"/>
    <s v=""/>
    <s v="0000001010"/>
    <s v="G/L CLEAR"/>
    <s v=""/>
    <s v=""/>
    <s v="0"/>
    <s v="G/l clear 423k"/>
    <s v=""/>
    <s v=""/>
    <s v=""/>
    <s v=""/>
    <s v=""/>
    <x v="0"/>
    <d v="2019-05-02T00:00:00"/>
    <s v="1806000044"/>
    <d v="2019-05-02T00:00:00"/>
    <s v=""/>
    <s v="1806000044"/>
  </r>
  <r>
    <s v="1806000045"/>
    <d v="2019-05-02T00:00:00"/>
    <d v="2019-05-02T00:00:00"/>
    <s v="DA"/>
    <s v="USD"/>
    <n v="414344"/>
    <n v="414344"/>
    <s v="BDT"/>
    <s v="EGM1"/>
    <n v="34307683.200000003"/>
    <s v="G/l clear 414k"/>
    <s v="0000001010"/>
    <s v="G/L CLEAR"/>
    <s v=""/>
    <s v=""/>
    <s v="0"/>
    <s v="G/l clear 414k"/>
    <s v=""/>
    <s v=""/>
    <s v=""/>
    <s v=""/>
    <s v=""/>
    <x v="0"/>
    <d v="2019-05-02T00:00:00"/>
    <s v="1806000045"/>
    <d v="2019-05-02T00:00:00"/>
    <s v=""/>
    <s v="1806000045"/>
  </r>
  <r>
    <s v="1806000045"/>
    <d v="2019-05-02T00:00:00"/>
    <d v="2019-05-02T00:00:00"/>
    <s v="DA"/>
    <s v="USD"/>
    <n v="-414344"/>
    <n v="-414344"/>
    <s v="BDT"/>
    <s v="EGM1"/>
    <n v="-34307683.200000003"/>
    <s v="G/l clear 414k"/>
    <s v="0000001010"/>
    <s v="G/L CLEAR"/>
    <s v=""/>
    <s v=""/>
    <s v="0"/>
    <s v="G/l clear 414k"/>
    <s v=""/>
    <s v=""/>
    <s v=""/>
    <s v=""/>
    <s v=""/>
    <x v="0"/>
    <d v="2019-05-02T00:00:00"/>
    <s v="1806000045"/>
    <d v="2019-05-02T00:00:00"/>
    <s v=""/>
    <s v="1806000045"/>
  </r>
  <r>
    <s v="1806000046"/>
    <d v="2019-05-02T00:00:00"/>
    <d v="2019-05-02T00:00:00"/>
    <s v="DA"/>
    <s v="USD"/>
    <n v="330733"/>
    <n v="330733"/>
    <s v="BDT"/>
    <s v="EGM1"/>
    <n v="27351619.109999999"/>
    <s v="G/l clear 330k"/>
    <s v="0000001010"/>
    <s v="G/L CLEAR"/>
    <s v=""/>
    <s v=""/>
    <s v="0"/>
    <s v="G/l clear 330k"/>
    <s v=""/>
    <s v=""/>
    <s v=""/>
    <s v=""/>
    <s v=""/>
    <x v="0"/>
    <d v="2019-05-02T00:00:00"/>
    <s v="1806000046"/>
    <d v="2019-05-02T00:00:00"/>
    <s v=""/>
    <s v="1806000046"/>
  </r>
  <r>
    <s v="1806000046"/>
    <d v="2019-05-02T00:00:00"/>
    <d v="2019-05-02T00:00:00"/>
    <s v="DA"/>
    <s v="USD"/>
    <n v="-330733"/>
    <n v="-330733"/>
    <s v="BDT"/>
    <s v="EGM1"/>
    <n v="-27351619.109999999"/>
    <s v="G/l clear 330k"/>
    <s v="0000001010"/>
    <s v="G/L CLEAR"/>
    <s v=""/>
    <s v=""/>
    <s v="0"/>
    <s v="G/l clear 330k"/>
    <s v=""/>
    <s v=""/>
    <s v=""/>
    <s v=""/>
    <s v=""/>
    <x v="0"/>
    <d v="2019-05-02T00:00:00"/>
    <s v="1806000046"/>
    <d v="2019-05-02T00:00:00"/>
    <s v=""/>
    <s v="1806000046"/>
  </r>
  <r>
    <s v="1806000047"/>
    <d v="2019-05-02T00:00:00"/>
    <d v="2019-05-02T00:00:00"/>
    <s v="DA"/>
    <s v="USD"/>
    <n v="312000"/>
    <n v="312000"/>
    <s v="BDT"/>
    <s v="EGM1"/>
    <n v="25880400"/>
    <s v="G/l clear 312k"/>
    <s v="0000001010"/>
    <s v="G/L CLEAR"/>
    <s v=""/>
    <s v=""/>
    <s v="0"/>
    <s v="G/l clear 312k"/>
    <s v=""/>
    <s v=""/>
    <s v=""/>
    <s v=""/>
    <s v=""/>
    <x v="0"/>
    <d v="2019-05-02T00:00:00"/>
    <s v="1806000047"/>
    <d v="2019-05-02T00:00:00"/>
    <s v=""/>
    <s v="1806000047"/>
  </r>
  <r>
    <s v="1806000047"/>
    <d v="2019-05-02T00:00:00"/>
    <d v="2019-05-02T00:00:00"/>
    <s v="DA"/>
    <s v="USD"/>
    <n v="-312000"/>
    <n v="-312000"/>
    <s v="BDT"/>
    <s v="EGM1"/>
    <n v="-25880400"/>
    <s v="G/l clear 312k"/>
    <s v="0000001010"/>
    <s v="G/L CLEAR"/>
    <s v=""/>
    <s v=""/>
    <s v="0"/>
    <s v="G/l clear 312k"/>
    <s v=""/>
    <s v=""/>
    <s v=""/>
    <s v=""/>
    <s v=""/>
    <x v="0"/>
    <d v="2019-05-02T00:00:00"/>
    <s v="1806000047"/>
    <d v="2019-05-02T00:00:00"/>
    <s v=""/>
    <s v="1806000047"/>
  </r>
  <r>
    <s v="1806000048"/>
    <d v="2019-05-02T00:00:00"/>
    <d v="2019-05-02T00:00:00"/>
    <s v="DA"/>
    <s v="USD"/>
    <n v="294764"/>
    <n v="294764"/>
    <s v="BDT"/>
    <s v="EGM1"/>
    <n v="24435935.600000001"/>
    <s v="G/l clear 294k"/>
    <s v="0000001010"/>
    <s v="G/L CLEAR"/>
    <s v=""/>
    <s v=""/>
    <s v="0"/>
    <s v="G/l clear 294k"/>
    <s v=""/>
    <s v=""/>
    <s v=""/>
    <s v=""/>
    <s v=""/>
    <x v="0"/>
    <d v="2019-05-02T00:00:00"/>
    <s v="1806000048"/>
    <d v="2019-05-02T00:00:00"/>
    <s v=""/>
    <s v="1806000048"/>
  </r>
  <r>
    <s v="1806000048"/>
    <d v="2019-05-02T00:00:00"/>
    <d v="2019-05-02T00:00:00"/>
    <s v="DA"/>
    <s v="USD"/>
    <n v="-294764"/>
    <n v="-294764"/>
    <s v="BDT"/>
    <s v="EGM1"/>
    <n v="-24435935.600000001"/>
    <s v=""/>
    <s v="0000001010"/>
    <s v="G/L CLEAR"/>
    <s v=""/>
    <s v=""/>
    <s v="0"/>
    <s v="G/l clear 294k"/>
    <s v=""/>
    <s v=""/>
    <s v=""/>
    <s v=""/>
    <s v=""/>
    <x v="0"/>
    <d v="2019-05-02T00:00:00"/>
    <s v="1806000048"/>
    <d v="2019-05-02T00:00:00"/>
    <s v=""/>
    <s v="1806000048"/>
  </r>
  <r>
    <s v="1806000049"/>
    <d v="2019-05-02T00:00:00"/>
    <d v="2019-05-02T00:00:00"/>
    <s v="DA"/>
    <s v="USD"/>
    <n v="1"/>
    <n v="1"/>
    <s v="BDT"/>
    <s v="EGM1"/>
    <n v="82.75"/>
    <s v="G/l clear 294k"/>
    <s v="0000001010"/>
    <s v="G/L CLEAR"/>
    <s v=""/>
    <s v=""/>
    <s v="0"/>
    <s v="G/l clear 270k"/>
    <s v=""/>
    <s v=""/>
    <s v=""/>
    <s v=""/>
    <s v=""/>
    <x v="0"/>
    <d v="2019-05-02T00:00:00"/>
    <s v="1806000049"/>
    <d v="2019-05-02T00:00:00"/>
    <s v=""/>
    <s v="1806000049"/>
  </r>
  <r>
    <s v="1806000050"/>
    <d v="2019-05-02T00:00:00"/>
    <d v="2019-05-02T00:00:00"/>
    <s v="DA"/>
    <s v="USD"/>
    <n v="0"/>
    <n v="0"/>
    <s v="BDT"/>
    <s v="EGM1"/>
    <n v="0.01"/>
    <s v="G/l clear 269k"/>
    <s v="0000001010"/>
    <s v="G/L CLEAR"/>
    <s v=""/>
    <s v=""/>
    <s v="0"/>
    <s v="G/l clear 269k"/>
    <s v=""/>
    <s v=""/>
    <s v=""/>
    <s v=""/>
    <s v=""/>
    <x v="0"/>
    <d v="2019-05-02T00:00:00"/>
    <s v="1806000050"/>
    <d v="2019-05-02T00:00:00"/>
    <s v=""/>
    <s v="1806000050"/>
  </r>
  <r>
    <s v="1806000051"/>
    <d v="2019-05-02T00:00:00"/>
    <d v="2019-05-02T00:00:00"/>
    <s v="DA"/>
    <s v="USD"/>
    <n v="257485"/>
    <n v="257485"/>
    <s v="BDT"/>
    <s v="EGM1"/>
    <n v="21358380.75"/>
    <s v="CM ADV CLR 257k"/>
    <s v="0000001010"/>
    <s v="CM ADV CLR"/>
    <s v=""/>
    <s v=""/>
    <s v="0"/>
    <s v="CM ADV CLR 257k"/>
    <s v=""/>
    <s v=""/>
    <s v=""/>
    <s v=""/>
    <s v=""/>
    <x v="0"/>
    <d v="2019-05-02T00:00:00"/>
    <s v="1806000051"/>
    <d v="2019-05-02T00:00:00"/>
    <s v=""/>
    <s v="1806000051"/>
  </r>
  <r>
    <s v="1806000051"/>
    <d v="2019-05-02T00:00:00"/>
    <d v="2019-05-02T00:00:00"/>
    <s v="DA"/>
    <s v="USD"/>
    <n v="-257485"/>
    <n v="-257485"/>
    <s v="BDT"/>
    <s v="EGM1"/>
    <n v="-21358380.75"/>
    <s v="CM ADV CLR 257k"/>
    <s v="0000001010"/>
    <s v="CM ADV CLR"/>
    <s v=""/>
    <s v=""/>
    <s v="0"/>
    <s v="CM ADV CLR 257k"/>
    <s v=""/>
    <s v=""/>
    <s v=""/>
    <s v=""/>
    <s v=""/>
    <x v="0"/>
    <d v="2019-05-02T00:00:00"/>
    <s v="1806000051"/>
    <d v="2019-05-02T00:00:00"/>
    <s v=""/>
    <s v="1806000051"/>
  </r>
  <r>
    <s v="1806000052"/>
    <d v="2019-05-02T00:00:00"/>
    <d v="2019-05-02T00:00:00"/>
    <s v="DA"/>
    <s v="USD"/>
    <n v="252521"/>
    <n v="252521"/>
    <s v="BDT"/>
    <s v="EGM1"/>
    <n v="20908738.800000001"/>
    <s v="CM ADV CLR 252k"/>
    <s v="0000001010"/>
    <s v="CM ADV CLR"/>
    <s v=""/>
    <s v=""/>
    <s v="0"/>
    <s v="CM ADV CLR 252k"/>
    <s v=""/>
    <s v=""/>
    <s v=""/>
    <s v=""/>
    <s v=""/>
    <x v="0"/>
    <d v="2019-05-02T00:00:00"/>
    <s v="1806000052"/>
    <d v="2019-05-02T00:00:00"/>
    <s v=""/>
    <s v="1806000052"/>
  </r>
  <r>
    <s v="1806000052"/>
    <d v="2019-05-02T00:00:00"/>
    <d v="2019-05-02T00:00:00"/>
    <s v="DA"/>
    <s v="USD"/>
    <n v="-252521"/>
    <n v="-252521"/>
    <s v="BDT"/>
    <s v="EGM1"/>
    <n v="-20908738.800000001"/>
    <s v="CM ADV CLR 252k"/>
    <s v="0000001010"/>
    <s v="CM ADV CLR"/>
    <s v=""/>
    <s v=""/>
    <s v="0"/>
    <s v="CM ADV CLR 252k"/>
    <s v=""/>
    <s v=""/>
    <s v=""/>
    <s v=""/>
    <s v=""/>
    <x v="0"/>
    <d v="2019-05-02T00:00:00"/>
    <s v="1806000052"/>
    <d v="2019-05-02T00:00:00"/>
    <s v=""/>
    <s v="1806000052"/>
  </r>
  <r>
    <s v="1806000053"/>
    <d v="2019-05-02T00:00:00"/>
    <d v="2019-05-02T00:00:00"/>
    <s v="DA"/>
    <s v="USD"/>
    <n v="182162"/>
    <n v="182162"/>
    <s v="BDT"/>
    <s v="EGM1"/>
    <n v="15083013.6"/>
    <s v="CM ADV CLR 182k"/>
    <s v="0000001010"/>
    <s v="CM ADV CLR"/>
    <s v=""/>
    <s v=""/>
    <s v="0"/>
    <s v="CM ADV CLR 182k"/>
    <s v=""/>
    <s v=""/>
    <s v=""/>
    <s v=""/>
    <s v=""/>
    <x v="0"/>
    <d v="2019-05-02T00:00:00"/>
    <s v="1806000053"/>
    <d v="2019-05-02T00:00:00"/>
    <s v=""/>
    <s v="1806000053"/>
  </r>
  <r>
    <s v="1806000053"/>
    <d v="2019-05-02T00:00:00"/>
    <d v="2019-05-02T00:00:00"/>
    <s v="DA"/>
    <s v="USD"/>
    <n v="-182162"/>
    <n v="-182162"/>
    <s v="BDT"/>
    <s v="EGM1"/>
    <n v="-15083013.6"/>
    <s v="CM ADV CLR 182k"/>
    <s v="0000001010"/>
    <s v="CM ADV CLR"/>
    <s v=""/>
    <s v=""/>
    <s v="0"/>
    <s v="CM ADV CLR 182k"/>
    <s v=""/>
    <s v=""/>
    <s v=""/>
    <s v=""/>
    <s v=""/>
    <x v="0"/>
    <d v="2019-05-02T00:00:00"/>
    <s v="1806000053"/>
    <d v="2019-05-02T00:00:00"/>
    <s v=""/>
    <s v="1806000053"/>
  </r>
  <r>
    <s v="1806000054"/>
    <d v="2019-05-02T00:00:00"/>
    <d v="2019-05-02T00:00:00"/>
    <s v="DA"/>
    <s v="USD"/>
    <n v="180148"/>
    <n v="180148"/>
    <s v="BDT"/>
    <s v="EGM1"/>
    <n v="14943276.6"/>
    <s v="CM ADV CLR 180k"/>
    <s v="0000001010"/>
    <s v="CM ADV CLR"/>
    <s v=""/>
    <s v=""/>
    <s v="0"/>
    <s v="CM ADV CLR 180k"/>
    <s v=""/>
    <s v=""/>
    <s v=""/>
    <s v=""/>
    <s v=""/>
    <x v="0"/>
    <d v="2019-05-02T00:00:00"/>
    <s v="1806000054"/>
    <d v="2019-05-02T00:00:00"/>
    <s v=""/>
    <s v="1806000054"/>
  </r>
  <r>
    <s v="1806000054"/>
    <d v="2019-05-02T00:00:00"/>
    <d v="2019-05-02T00:00:00"/>
    <s v="DA"/>
    <s v="USD"/>
    <n v="-180148"/>
    <n v="-180148"/>
    <s v="BDT"/>
    <s v="EGM1"/>
    <n v="-14943276.6"/>
    <s v="CM ADV CLR 180k"/>
    <s v="0000001010"/>
    <s v="CM ADV CLR"/>
    <s v=""/>
    <s v=""/>
    <s v="0"/>
    <s v="CM ADV CLR 180k"/>
    <s v=""/>
    <s v=""/>
    <s v=""/>
    <s v=""/>
    <s v=""/>
    <x v="0"/>
    <d v="2019-05-02T00:00:00"/>
    <s v="1806000054"/>
    <d v="2019-05-02T00:00:00"/>
    <s v=""/>
    <s v="1806000054"/>
  </r>
  <r>
    <s v="1806000055"/>
    <d v="2019-05-02T00:00:00"/>
    <d v="2019-05-02T00:00:00"/>
    <s v="DA"/>
    <s v="USD"/>
    <n v="156300"/>
    <n v="156300"/>
    <s v="BDT"/>
    <s v="EGM1"/>
    <n v="12965085"/>
    <s v="CM ADV CLR 156k"/>
    <s v="0000001010"/>
    <s v="CM ADV CLR"/>
    <s v=""/>
    <s v=""/>
    <s v="0"/>
    <s v="CM ADV CLR 156k"/>
    <s v=""/>
    <s v=""/>
    <s v=""/>
    <s v=""/>
    <s v=""/>
    <x v="0"/>
    <d v="2019-05-02T00:00:00"/>
    <s v="1806000055"/>
    <d v="2019-05-02T00:00:00"/>
    <s v=""/>
    <s v="1806000055"/>
  </r>
  <r>
    <s v="1806000055"/>
    <d v="2019-05-02T00:00:00"/>
    <d v="2019-05-02T00:00:00"/>
    <s v="DA"/>
    <s v="USD"/>
    <n v="-156300"/>
    <n v="-156300"/>
    <s v="BDT"/>
    <s v="EGM1"/>
    <n v="-12965085"/>
    <s v="CM ADV CLR 156k"/>
    <s v="0000001010"/>
    <s v="CM ADV CLR"/>
    <s v=""/>
    <s v=""/>
    <s v="0"/>
    <s v="CM ADV CLR 156k"/>
    <s v=""/>
    <s v=""/>
    <s v=""/>
    <s v=""/>
    <s v=""/>
    <x v="0"/>
    <d v="2019-05-02T00:00:00"/>
    <s v="1806000055"/>
    <d v="2019-05-02T00:00:00"/>
    <s v=""/>
    <s v="1806000055"/>
  </r>
  <r>
    <s v="1806000056"/>
    <d v="2019-05-02T00:00:00"/>
    <d v="2019-05-02T00:00:00"/>
    <s v="DA"/>
    <s v="USD"/>
    <n v="0"/>
    <n v="0"/>
    <s v="BDT"/>
    <s v="EGM1"/>
    <n v="0.01"/>
    <s v="CM ADV CLR 156k"/>
    <s v="0000001010"/>
    <s v="CM ADV CLR"/>
    <s v=""/>
    <s v=""/>
    <s v="0"/>
    <s v="CM ADV CLR 154k"/>
    <s v=""/>
    <s v=""/>
    <s v=""/>
    <s v=""/>
    <s v=""/>
    <x v="0"/>
    <d v="2019-05-02T00:00:00"/>
    <s v="1806000056"/>
    <d v="2019-05-02T00:00:00"/>
    <s v=""/>
    <s v="1806000056"/>
  </r>
  <r>
    <s v="1806000057"/>
    <d v="2019-05-02T00:00:00"/>
    <d v="2019-05-02T00:00:00"/>
    <s v="DA"/>
    <s v="USD"/>
    <n v="149942"/>
    <n v="149942"/>
    <s v="BDT"/>
    <s v="EGM1"/>
    <n v="12407700.51"/>
    <s v="CM ADV CLR 149k"/>
    <s v="0000001010"/>
    <s v="CM ADV CLR"/>
    <s v=""/>
    <s v=""/>
    <s v="0"/>
    <s v="CM ADV CLR 149k"/>
    <s v=""/>
    <s v=""/>
    <s v=""/>
    <s v=""/>
    <s v=""/>
    <x v="0"/>
    <d v="2019-05-02T00:00:00"/>
    <s v="1806000057"/>
    <d v="2019-05-02T00:00:00"/>
    <s v=""/>
    <s v="1806000057"/>
  </r>
  <r>
    <s v="1806000057"/>
    <d v="2019-05-02T00:00:00"/>
    <d v="2019-05-02T00:00:00"/>
    <s v="DA"/>
    <s v="USD"/>
    <n v="-149942"/>
    <n v="-149942"/>
    <s v="BDT"/>
    <s v="EGM1"/>
    <n v="-12407700.51"/>
    <s v="CM ADV CLR 149k"/>
    <s v="0000001010"/>
    <s v="CM ADV CLR"/>
    <s v=""/>
    <s v=""/>
    <s v="0"/>
    <s v="CM ADV CLR 149k"/>
    <s v=""/>
    <s v=""/>
    <s v=""/>
    <s v=""/>
    <s v=""/>
    <x v="0"/>
    <d v="2019-05-02T00:00:00"/>
    <s v="1806000057"/>
    <d v="2019-05-02T00:00:00"/>
    <s v=""/>
    <s v="1806000057"/>
  </r>
  <r>
    <s v="1806000058"/>
    <d v="2019-05-02T00:00:00"/>
    <d v="2019-05-02T00:00:00"/>
    <s v="DA"/>
    <s v="USD"/>
    <n v="149423.76"/>
    <n v="149423.76"/>
    <s v="BDT"/>
    <s v="EGM1"/>
    <n v="12394700.9"/>
    <s v="CM ADV CLR 149kk"/>
    <s v="0000001010"/>
    <s v="CM ADV CLR"/>
    <s v=""/>
    <s v=""/>
    <s v="0"/>
    <s v="CM ADV CLR 149kk"/>
    <s v=""/>
    <s v=""/>
    <s v=""/>
    <s v=""/>
    <s v=""/>
    <x v="0"/>
    <d v="2019-05-02T00:00:00"/>
    <s v="1806000058"/>
    <d v="2019-05-02T00:00:00"/>
    <s v=""/>
    <s v="1806000058"/>
  </r>
  <r>
    <s v="1806000058"/>
    <d v="2019-05-02T00:00:00"/>
    <d v="2019-05-02T00:00:00"/>
    <s v="DA"/>
    <s v="USD"/>
    <n v="-149423.76"/>
    <n v="-149423.76"/>
    <s v="BDT"/>
    <s v="EGM1"/>
    <n v="-12394700.9"/>
    <s v="CM ADV CLR 149kk"/>
    <s v="0000001010"/>
    <s v="CM ADV CLR"/>
    <s v=""/>
    <s v=""/>
    <s v="0"/>
    <s v="CM ADV CLR 149kk"/>
    <s v=""/>
    <s v=""/>
    <s v=""/>
    <s v=""/>
    <s v=""/>
    <x v="0"/>
    <d v="2019-05-02T00:00:00"/>
    <s v="1806000058"/>
    <d v="2019-05-02T00:00:00"/>
    <s v=""/>
    <s v="1806000058"/>
  </r>
  <r>
    <s v="1806000059"/>
    <d v="2019-05-02T00:00:00"/>
    <d v="2019-05-02T00:00:00"/>
    <s v="DA"/>
    <s v="USD"/>
    <n v="1"/>
    <n v="1"/>
    <s v="BDT"/>
    <s v="EGM1"/>
    <n v="82.95"/>
    <s v="CM ADV CLR 100k"/>
    <s v="0000001010"/>
    <s v="CM ADV CLR"/>
    <s v=""/>
    <s v=""/>
    <s v="0"/>
    <s v="CM ADV CLR 100k"/>
    <s v=""/>
    <s v=""/>
    <s v=""/>
    <s v=""/>
    <s v=""/>
    <x v="0"/>
    <d v="2019-05-02T00:00:00"/>
    <s v="1806000059"/>
    <d v="2019-05-02T00:00:00"/>
    <s v=""/>
    <s v="1806000059"/>
  </r>
  <r>
    <s v="1806000060"/>
    <d v="2019-05-02T00:00:00"/>
    <d v="2019-05-02T00:00:00"/>
    <s v="DA"/>
    <s v="USD"/>
    <n v="97588"/>
    <n v="97588"/>
    <s v="BDT"/>
    <s v="EGM1"/>
    <n v="8090045.2000000002"/>
    <s v="CM ADV CLR 97k"/>
    <s v="0000001010"/>
    <s v="CM ADV CLR"/>
    <s v=""/>
    <s v=""/>
    <s v="0"/>
    <s v="CM ADV CLR 97k"/>
    <s v=""/>
    <s v=""/>
    <s v=""/>
    <s v=""/>
    <s v=""/>
    <x v="0"/>
    <d v="2019-05-02T00:00:00"/>
    <s v="1806000060"/>
    <d v="2019-05-02T00:00:00"/>
    <s v=""/>
    <s v="1806000060"/>
  </r>
  <r>
    <s v="1806000060"/>
    <d v="2019-05-02T00:00:00"/>
    <d v="2019-05-02T00:00:00"/>
    <s v="DA"/>
    <s v="USD"/>
    <n v="-97588"/>
    <n v="-97588"/>
    <s v="BDT"/>
    <s v="EGM1"/>
    <n v="-8090045.2000000002"/>
    <s v="CM ADV CLR 97k"/>
    <s v="0000001010"/>
    <s v="CM ADV CLR"/>
    <s v=""/>
    <s v=""/>
    <s v="0"/>
    <s v="CM ADV CLR 97k"/>
    <s v=""/>
    <s v=""/>
    <s v=""/>
    <s v=""/>
    <s v=""/>
    <x v="0"/>
    <d v="2019-05-02T00:00:00"/>
    <s v="1806000060"/>
    <d v="2019-05-02T00:00:00"/>
    <s v=""/>
    <s v="1806000060"/>
  </r>
  <r>
    <s v="1806000061"/>
    <d v="2019-05-02T00:00:00"/>
    <d v="2019-05-02T00:00:00"/>
    <s v="DA"/>
    <s v="USD"/>
    <n v="-0.02"/>
    <n v="-0.02"/>
    <s v="BDT"/>
    <s v="EGM1"/>
    <n v="-1.66"/>
    <s v="CM ADV CLR 87k"/>
    <s v="0000005010"/>
    <s v="CM ADV CLR"/>
    <s v=""/>
    <s v=""/>
    <s v="0"/>
    <s v="CM ADV CLR 97k"/>
    <s v=""/>
    <s v=""/>
    <s v=""/>
    <s v=""/>
    <s v=""/>
    <x v="0"/>
    <d v="2019-05-02T00:00:00"/>
    <s v="1806000061"/>
    <d v="2019-05-02T00:00:00"/>
    <s v=""/>
    <s v="1806000061"/>
  </r>
  <r>
    <s v="1806000062"/>
    <d v="2019-05-02T00:00:00"/>
    <d v="2019-05-02T00:00:00"/>
    <s v="DA"/>
    <s v="USD"/>
    <n v="2"/>
    <n v="2"/>
    <s v="BDT"/>
    <s v="EGM1"/>
    <n v="165.9"/>
    <s v=""/>
    <s v="0000001010"/>
    <s v="CM ADV CLR"/>
    <s v=""/>
    <s v=""/>
    <s v="0"/>
    <s v="CM ADV CLR 67k"/>
    <s v=""/>
    <s v=""/>
    <s v=""/>
    <s v=""/>
    <s v=""/>
    <x v="0"/>
    <d v="2019-05-02T00:00:00"/>
    <s v="1806000062"/>
    <d v="2019-05-02T00:00:00"/>
    <s v=""/>
    <s v="1806000062"/>
  </r>
  <r>
    <s v="1806000063"/>
    <d v="2019-05-02T00:00:00"/>
    <d v="2019-05-02T00:00:00"/>
    <s v="DA"/>
    <s v="USD"/>
    <n v="54245"/>
    <n v="54245"/>
    <s v="BDT"/>
    <s v="EGM1"/>
    <n v="4491486"/>
    <s v="CM ADV CLR 54k"/>
    <s v="0000001010"/>
    <s v="CM ADV CLR"/>
    <s v=""/>
    <s v=""/>
    <s v="0"/>
    <s v="CM ADV CLR 54k"/>
    <s v=""/>
    <s v=""/>
    <s v=""/>
    <s v=""/>
    <s v=""/>
    <x v="0"/>
    <d v="2019-05-02T00:00:00"/>
    <s v="1806000063"/>
    <d v="2019-05-02T00:00:00"/>
    <s v=""/>
    <s v="1806000063"/>
  </r>
  <r>
    <s v="1806000063"/>
    <d v="2019-05-02T00:00:00"/>
    <d v="2019-05-02T00:00:00"/>
    <s v="DA"/>
    <s v="USD"/>
    <n v="-54245"/>
    <n v="-54245"/>
    <s v="BDT"/>
    <s v="EGM1"/>
    <n v="-4491486"/>
    <s v="CM ADV CLR 54k"/>
    <s v="0000001010"/>
    <s v="CM ADV CLR"/>
    <s v=""/>
    <s v=""/>
    <s v="0"/>
    <s v="CM ADV CLR 54k"/>
    <s v=""/>
    <s v=""/>
    <s v=""/>
    <s v=""/>
    <s v=""/>
    <x v="0"/>
    <d v="2019-05-02T00:00:00"/>
    <s v="1806000063"/>
    <d v="2019-05-02T00:00:00"/>
    <s v=""/>
    <s v="1806000063"/>
  </r>
  <r>
    <s v="1806000064"/>
    <d v="2019-05-02T00:00:00"/>
    <d v="2019-05-02T00:00:00"/>
    <s v="DA"/>
    <s v="USD"/>
    <n v="50268"/>
    <n v="50268"/>
    <s v="BDT"/>
    <s v="EGM1"/>
    <n v="4159677"/>
    <s v="CM ADV CLR 50k"/>
    <s v="0000001010"/>
    <s v="CM ADV CLR"/>
    <s v=""/>
    <s v=""/>
    <s v="0"/>
    <s v="CM ADV CLR 50k"/>
    <s v=""/>
    <s v=""/>
    <s v=""/>
    <s v=""/>
    <s v=""/>
    <x v="0"/>
    <d v="2019-05-02T00:00:00"/>
    <s v="1806000064"/>
    <d v="2019-05-02T00:00:00"/>
    <s v=""/>
    <s v="1806000064"/>
  </r>
  <r>
    <s v="1806000064"/>
    <d v="2019-05-02T00:00:00"/>
    <d v="2019-05-02T00:00:00"/>
    <s v="DA"/>
    <s v="USD"/>
    <n v="-50268"/>
    <n v="-50268"/>
    <s v="BDT"/>
    <s v="EGM1"/>
    <n v="-4159677"/>
    <s v=""/>
    <s v="0000001010"/>
    <s v="CM ADV CLR"/>
    <s v=""/>
    <s v=""/>
    <s v="0"/>
    <s v="CM ADV CLR 50k"/>
    <s v=""/>
    <s v=""/>
    <s v=""/>
    <s v=""/>
    <s v=""/>
    <x v="0"/>
    <d v="2019-05-02T00:00:00"/>
    <s v="1806000064"/>
    <d v="2019-05-02T00:00:00"/>
    <s v=""/>
    <s v="1806000064"/>
  </r>
  <r>
    <s v="1806000065"/>
    <d v="2019-06-30T00:00:00"/>
    <d v="2019-06-30T00:00:00"/>
    <s v="DA"/>
    <s v="USD"/>
    <n v="566069"/>
    <n v="566069"/>
    <s v="BDT"/>
    <s v="EGM1"/>
    <n v="46955423.549999997"/>
    <s v="566k CM ADV G/l CLEAR"/>
    <s v="0000001010"/>
    <s v="CM ADV CLEAR"/>
    <s v=""/>
    <s v=""/>
    <s v="0"/>
    <s v="566k CM ADV G/l CLEAR"/>
    <s v=""/>
    <s v=""/>
    <s v=""/>
    <s v=""/>
    <s v=""/>
    <x v="0"/>
    <d v="2019-06-30T00:00:00"/>
    <s v="1806000065"/>
    <d v="2019-06-30T00:00:00"/>
    <s v=""/>
    <s v="1806000065"/>
  </r>
  <r>
    <s v="1806000065"/>
    <d v="2019-06-30T00:00:00"/>
    <d v="2019-06-30T00:00:00"/>
    <s v="DA"/>
    <s v="USD"/>
    <n v="-566069"/>
    <n v="-566069"/>
    <s v="BDT"/>
    <s v="EGM1"/>
    <n v="-46955423.549999997"/>
    <s v="566k CM ADV G/l CLEAR"/>
    <s v="0000001010"/>
    <s v="CM ADV CLEAR"/>
    <s v=""/>
    <s v=""/>
    <s v="0"/>
    <s v="566k CM ADV G/l CLEAR"/>
    <s v=""/>
    <s v=""/>
    <s v=""/>
    <s v=""/>
    <s v=""/>
    <x v="0"/>
    <d v="2019-06-30T00:00:00"/>
    <s v="1806000065"/>
    <d v="2019-06-30T00:00:00"/>
    <s v=""/>
    <s v="1806000065"/>
  </r>
  <r>
    <s v="1806000066"/>
    <d v="2019-06-30T00:00:00"/>
    <d v="2019-06-30T00:00:00"/>
    <s v="DA"/>
    <s v="USD"/>
    <n v="400114"/>
    <n v="400114"/>
    <s v="BDT"/>
    <s v="EGM1"/>
    <n v="33189456.300000001"/>
    <s v="400k CM ADV G/l CLEAR"/>
    <s v="0000001010"/>
    <s v="CM ADV CLEAR"/>
    <s v=""/>
    <s v=""/>
    <s v="0"/>
    <s v="400k CM ADV G/l CLEAR"/>
    <s v=""/>
    <s v=""/>
    <s v=""/>
    <s v=""/>
    <s v=""/>
    <x v="0"/>
    <d v="2019-06-30T00:00:00"/>
    <s v="1806000066"/>
    <d v="2019-06-30T00:00:00"/>
    <s v=""/>
    <s v="1806000066"/>
  </r>
  <r>
    <s v="1806000066"/>
    <d v="2019-06-30T00:00:00"/>
    <d v="2019-06-30T00:00:00"/>
    <s v="DA"/>
    <s v="USD"/>
    <n v="-400114"/>
    <n v="-400114"/>
    <s v="BDT"/>
    <s v="EGM1"/>
    <n v="-33189456.300000001"/>
    <s v="400k CM ADV G/l CLEAR"/>
    <s v="0000001010"/>
    <s v="CM ADV CLEAR"/>
    <s v=""/>
    <s v=""/>
    <s v="0"/>
    <s v="400k CM ADV G/l CLEAR"/>
    <s v=""/>
    <s v=""/>
    <s v=""/>
    <s v=""/>
    <s v=""/>
    <x v="0"/>
    <d v="2019-06-30T00:00:00"/>
    <s v="1806000066"/>
    <d v="2019-06-30T00:00:00"/>
    <s v=""/>
    <s v="1806000066"/>
  </r>
  <r>
    <s v="1806000067"/>
    <d v="2019-06-30T00:00:00"/>
    <d v="2019-06-30T00:00:00"/>
    <s v="DA"/>
    <s v="USD"/>
    <n v="347835"/>
    <n v="347835"/>
    <s v="BDT"/>
    <s v="EGM1"/>
    <n v="28852913.25"/>
    <s v="347k CM ADV G/l CLEAR"/>
    <s v="0000001010"/>
    <s v="CM ADV CLEAR"/>
    <s v=""/>
    <s v=""/>
    <s v="0"/>
    <s v="347k CM ADV G/l CLEAR"/>
    <s v=""/>
    <s v=""/>
    <s v=""/>
    <s v=""/>
    <s v=""/>
    <x v="0"/>
    <d v="2019-06-30T00:00:00"/>
    <s v="1806000067"/>
    <d v="2019-06-30T00:00:00"/>
    <s v=""/>
    <s v="1806000067"/>
  </r>
  <r>
    <s v="1806000067"/>
    <d v="2019-06-30T00:00:00"/>
    <d v="2019-06-30T00:00:00"/>
    <s v="DA"/>
    <s v="USD"/>
    <n v="-347835"/>
    <n v="-347835"/>
    <s v="BDT"/>
    <s v="EGM1"/>
    <n v="-28852913.25"/>
    <s v="347k CM ADV G/l CLEAR"/>
    <s v="0000001010"/>
    <s v="CM ADV CLEAR"/>
    <s v=""/>
    <s v=""/>
    <s v="0"/>
    <s v="347k CM ADV G/l CLEAR"/>
    <s v=""/>
    <s v=""/>
    <s v=""/>
    <s v=""/>
    <s v=""/>
    <x v="0"/>
    <d v="2019-06-30T00:00:00"/>
    <s v="1806000067"/>
    <d v="2019-06-30T00:00:00"/>
    <s v=""/>
    <s v="1806000067"/>
  </r>
  <r>
    <s v="1806000068"/>
    <d v="2019-06-30T00:00:00"/>
    <d v="2019-06-30T00:00:00"/>
    <s v="DA"/>
    <s v="USD"/>
    <n v="306747"/>
    <n v="306747"/>
    <s v="BDT"/>
    <s v="EGM1"/>
    <n v="25444663.649999999"/>
    <s v="306k CM ADV G/l CLEAR"/>
    <s v="0000001010"/>
    <s v="CM ADV CLEAR"/>
    <s v=""/>
    <s v=""/>
    <s v="0"/>
    <s v="306k CM ADV G/l CLEAR"/>
    <s v=""/>
    <s v=""/>
    <s v=""/>
    <s v=""/>
    <s v=""/>
    <x v="0"/>
    <d v="2019-06-30T00:00:00"/>
    <s v="1806000068"/>
    <d v="2019-06-30T00:00:00"/>
    <s v=""/>
    <s v="1806000068"/>
  </r>
  <r>
    <s v="1806000068"/>
    <d v="2019-06-30T00:00:00"/>
    <d v="2019-06-30T00:00:00"/>
    <s v="DA"/>
    <s v="USD"/>
    <n v="-306747"/>
    <n v="-306747"/>
    <s v="BDT"/>
    <s v="EGM1"/>
    <n v="-25444663.649999999"/>
    <s v="306k CM ADV G/l CLEAR"/>
    <s v="0000001010"/>
    <s v="CM ADV CLEAR"/>
    <s v=""/>
    <s v=""/>
    <s v="0"/>
    <s v="306k CM ADV G/l CLEAR"/>
    <s v=""/>
    <s v=""/>
    <s v=""/>
    <s v=""/>
    <s v=""/>
    <x v="0"/>
    <d v="2019-06-30T00:00:00"/>
    <s v="1806000068"/>
    <d v="2019-06-30T00:00:00"/>
    <s v=""/>
    <s v="1806000068"/>
  </r>
  <r>
    <s v="1806000069"/>
    <d v="2019-06-30T00:00:00"/>
    <d v="2019-06-30T00:00:00"/>
    <s v="DA"/>
    <s v="USD"/>
    <n v="100693"/>
    <n v="100693"/>
    <s v="BDT"/>
    <s v="EGM1"/>
    <n v="8352484.3600000003"/>
    <s v="100k CM ADV G/l CLEAR"/>
    <s v="0000001010"/>
    <s v="CM ADV CLEAR"/>
    <s v=""/>
    <s v=""/>
    <s v="0"/>
    <s v="100k CM ADV G/l CLEAR"/>
    <s v=""/>
    <s v=""/>
    <s v=""/>
    <s v=""/>
    <s v=""/>
    <x v="0"/>
    <d v="2019-06-30T00:00:00"/>
    <s v="1806000069"/>
    <d v="2019-06-30T00:00:00"/>
    <s v=""/>
    <s v="1806000069"/>
  </r>
  <r>
    <s v="1806000069"/>
    <d v="2019-06-30T00:00:00"/>
    <d v="2019-06-30T00:00:00"/>
    <s v="DA"/>
    <s v="USD"/>
    <n v="-100693"/>
    <n v="-100693"/>
    <s v="BDT"/>
    <s v="EGM1"/>
    <n v="-8352484.3600000003"/>
    <s v=""/>
    <s v="0000001010"/>
    <s v="CM ADV CLEAR"/>
    <s v=""/>
    <s v=""/>
    <s v="0"/>
    <s v="100k CM ADV G/l CLEAR"/>
    <s v=""/>
    <s v=""/>
    <s v=""/>
    <s v=""/>
    <s v=""/>
    <x v="0"/>
    <d v="2019-06-30T00:00:00"/>
    <s v="1806000069"/>
    <d v="2019-06-30T00:00:00"/>
    <s v=""/>
    <s v="1806000069"/>
  </r>
  <r>
    <s v="1806000070"/>
    <d v="2019-06-30T00:00:00"/>
    <d v="2019-06-30T00:00:00"/>
    <s v="DA"/>
    <s v="USD"/>
    <n v="-1"/>
    <n v="-1"/>
    <s v="BDT"/>
    <s v="EGM2"/>
    <n v="-82.94"/>
    <s v="91k CM ADV G/l CLEAR"/>
    <s v="0000001010"/>
    <s v="CM ADV CLEAR"/>
    <s v=""/>
    <s v=""/>
    <s v="0"/>
    <s v="91k CM ADV G/l CLEAR"/>
    <s v=""/>
    <s v=""/>
    <s v=""/>
    <s v=""/>
    <s v=""/>
    <x v="0"/>
    <d v="2019-06-30T00:00:00"/>
    <s v="1806000070"/>
    <d v="2019-06-30T00:00:00"/>
    <s v=""/>
    <s v="1806000070"/>
  </r>
  <r>
    <s v="1806000071"/>
    <d v="2019-06-30T00:00:00"/>
    <d v="2019-06-30T00:00:00"/>
    <s v="DA"/>
    <s v="USD"/>
    <n v="0.4"/>
    <n v="0.4"/>
    <s v="BDT"/>
    <s v="EGM2"/>
    <n v="33.18"/>
    <s v="45k CM ADV G/l CLEAR"/>
    <s v="0000001010"/>
    <s v="CM ADV CLEAR"/>
    <s v=""/>
    <s v=""/>
    <s v="0"/>
    <s v="45k CM ADV G/l CLEAR"/>
    <s v=""/>
    <s v=""/>
    <s v=""/>
    <s v=""/>
    <s v=""/>
    <x v="0"/>
    <d v="2019-06-30T00:00:00"/>
    <s v="1806000071"/>
    <d v="2019-06-30T00:00:00"/>
    <s v=""/>
    <s v="1806000071"/>
  </r>
  <r>
    <s v="1806000072"/>
    <d v="2019-06-30T00:00:00"/>
    <d v="2019-06-30T00:00:00"/>
    <s v="DA"/>
    <s v="USD"/>
    <n v="-2"/>
    <n v="-2"/>
    <s v="BDT"/>
    <s v="EGM1"/>
    <n v="-165.49"/>
    <s v="611k CM ADV G/l CLEAR"/>
    <s v="0000001010"/>
    <s v="CM ADV CLEAR"/>
    <s v=""/>
    <s v=""/>
    <s v="0"/>
    <s v="611k CM ADV G/l CLEAR"/>
    <s v=""/>
    <s v=""/>
    <s v=""/>
    <s v=""/>
    <s v=""/>
    <x v="0"/>
    <d v="2019-06-30T00:00:00"/>
    <s v="1806000072"/>
    <d v="2019-06-30T00:00:00"/>
    <s v=""/>
    <s v="1806000072"/>
  </r>
  <r>
    <s v="1806000073"/>
    <d v="2019-06-30T00:00:00"/>
    <d v="2019-06-30T00:00:00"/>
    <s v="DA"/>
    <s v="USD"/>
    <n v="565974"/>
    <n v="565974"/>
    <s v="BDT"/>
    <s v="EGM1"/>
    <n v="46834348.509999998"/>
    <s v="565k CM ADV G/l CLEAR"/>
    <s v="0000001010"/>
    <s v="CM ADV CLEAR"/>
    <s v=""/>
    <s v=""/>
    <s v="0"/>
    <s v="565k CM ADV G/l CLEAR"/>
    <s v=""/>
    <s v=""/>
    <s v=""/>
    <s v=""/>
    <s v=""/>
    <x v="0"/>
    <d v="2019-06-30T00:00:00"/>
    <s v="1806000073"/>
    <d v="2019-06-30T00:00:00"/>
    <s v=""/>
    <s v="1806000073"/>
  </r>
  <r>
    <s v="1806000073"/>
    <d v="2019-06-30T00:00:00"/>
    <d v="2019-06-30T00:00:00"/>
    <s v="DA"/>
    <s v="USD"/>
    <n v="-565974"/>
    <n v="-565974"/>
    <s v="BDT"/>
    <s v="EGM1"/>
    <n v="-46834348.509999998"/>
    <s v="565k CM ADV G/l CLEAR"/>
    <s v="0000001010"/>
    <s v="CM ADV CLEAR"/>
    <s v=""/>
    <s v=""/>
    <s v="0"/>
    <s v="565k CM ADV G/l CLEAR"/>
    <s v=""/>
    <s v=""/>
    <s v=""/>
    <s v=""/>
    <s v=""/>
    <x v="0"/>
    <d v="2019-06-30T00:00:00"/>
    <s v="1806000073"/>
    <d v="2019-06-30T00:00:00"/>
    <s v=""/>
    <s v="1806000073"/>
  </r>
  <r>
    <s v="1806000074"/>
    <d v="2019-06-30T00:00:00"/>
    <d v="2019-06-30T00:00:00"/>
    <s v="DA"/>
    <s v="USD"/>
    <n v="316719"/>
    <n v="316719"/>
    <s v="BDT"/>
    <s v="EGM1"/>
    <n v="26208497.25"/>
    <s v="316k CM ADV G/l CLEAR"/>
    <s v="0000001010"/>
    <s v="CM ADV CLEAR"/>
    <s v=""/>
    <s v=""/>
    <s v="0"/>
    <s v="316k CM ADV G/l CLEAR"/>
    <s v=""/>
    <s v=""/>
    <s v=""/>
    <s v=""/>
    <s v=""/>
    <x v="0"/>
    <d v="2019-06-30T00:00:00"/>
    <s v="1806000074"/>
    <d v="2019-06-30T00:00:00"/>
    <s v=""/>
    <s v="1806000074"/>
  </r>
  <r>
    <s v="1806000074"/>
    <d v="2019-06-30T00:00:00"/>
    <d v="2019-06-30T00:00:00"/>
    <s v="DA"/>
    <s v="USD"/>
    <n v="-316719"/>
    <n v="-316719"/>
    <s v="BDT"/>
    <s v="EGM1"/>
    <n v="-26208497.25"/>
    <s v="316k CM ADV G/l CLEAR"/>
    <s v="0000001010"/>
    <s v="CM ADV CLEAR"/>
    <s v=""/>
    <s v=""/>
    <s v="0"/>
    <s v="316k CM ADV G/l CLEAR"/>
    <s v=""/>
    <s v=""/>
    <s v=""/>
    <s v=""/>
    <s v=""/>
    <x v="0"/>
    <d v="2019-06-30T00:00:00"/>
    <s v="1806000074"/>
    <d v="2019-06-30T00:00:00"/>
    <s v=""/>
    <s v="1806000074"/>
  </r>
  <r>
    <s v="1806000075"/>
    <d v="2019-06-30T00:00:00"/>
    <d v="2019-06-30T00:00:00"/>
    <s v="DA"/>
    <s v="USD"/>
    <n v="165763"/>
    <n v="165763"/>
    <s v="BDT"/>
    <s v="EGM1"/>
    <n v="13716888.25"/>
    <s v="165k CM ADV G/l CLEAR"/>
    <s v="0000001010"/>
    <s v="CM ADV CLEAR"/>
    <s v=""/>
    <s v=""/>
    <s v="0"/>
    <s v="165k CM ADV G/l CLEAR"/>
    <s v=""/>
    <s v=""/>
    <s v=""/>
    <s v=""/>
    <s v=""/>
    <x v="0"/>
    <d v="2019-06-30T00:00:00"/>
    <s v="1806000075"/>
    <d v="2019-06-30T00:00:00"/>
    <s v=""/>
    <s v="1806000075"/>
  </r>
  <r>
    <s v="1806000075"/>
    <d v="2019-06-30T00:00:00"/>
    <d v="2019-06-30T00:00:00"/>
    <s v="DA"/>
    <s v="USD"/>
    <n v="-165763"/>
    <n v="-165763"/>
    <s v="BDT"/>
    <s v="EGM1"/>
    <n v="-13716888.25"/>
    <s v="165k CM ADV G/l CLEAR"/>
    <s v="0000001010"/>
    <s v="CM ADV CLEAR"/>
    <s v=""/>
    <s v=""/>
    <s v="0"/>
    <s v="165k CM ADV G/l CLEAR"/>
    <s v=""/>
    <s v=""/>
    <s v=""/>
    <s v=""/>
    <s v=""/>
    <x v="0"/>
    <d v="2019-06-30T00:00:00"/>
    <s v="1806000075"/>
    <d v="2019-06-30T00:00:00"/>
    <s v=""/>
    <s v="1806000075"/>
  </r>
  <r>
    <s v="1806000076"/>
    <d v="2019-06-30T00:00:00"/>
    <d v="2019-06-30T00:00:00"/>
    <s v="DA"/>
    <s v="USD"/>
    <n v="133270"/>
    <n v="133270"/>
    <s v="BDT"/>
    <s v="EGM2"/>
    <n v="11048083"/>
    <s v="133k CM ADV G/l CLEAR"/>
    <s v="0000001010"/>
    <s v="CM ADV CLEAR"/>
    <s v=""/>
    <s v=""/>
    <s v="0"/>
    <s v="133k CM ADV G/l CLEAR"/>
    <s v=""/>
    <s v=""/>
    <s v=""/>
    <s v=""/>
    <s v=""/>
    <x v="0"/>
    <d v="2019-06-30T00:00:00"/>
    <s v="1806000076"/>
    <d v="2019-06-30T00:00:00"/>
    <s v=""/>
    <s v="1806000076"/>
  </r>
  <r>
    <s v="1806000076"/>
    <d v="2019-06-30T00:00:00"/>
    <d v="2019-06-30T00:00:00"/>
    <s v="DA"/>
    <s v="USD"/>
    <n v="-133270"/>
    <n v="-133270"/>
    <s v="BDT"/>
    <s v="EGM2"/>
    <n v="-11048083"/>
    <s v="133k CM ADV G/l CLEAR"/>
    <s v="0000001010"/>
    <s v="CM ADV CLEAR"/>
    <s v=""/>
    <s v=""/>
    <s v="0"/>
    <s v="133k CM ADV G/l CLEAR"/>
    <s v=""/>
    <s v=""/>
    <s v=""/>
    <s v=""/>
    <s v=""/>
    <x v="0"/>
    <d v="2019-06-30T00:00:00"/>
    <s v="1806000076"/>
    <d v="2019-06-30T00:00:00"/>
    <s v=""/>
    <s v="1806000076"/>
  </r>
  <r>
    <s v="1806000077"/>
    <d v="2019-06-30T00:00:00"/>
    <d v="2019-06-30T00:00:00"/>
    <s v="DA"/>
    <s v="USD"/>
    <n v="110230"/>
    <n v="110230"/>
    <s v="BDT"/>
    <s v="EGM2"/>
    <n v="9143578.5"/>
    <s v="110k CM ADV G/l CLEAR"/>
    <s v="0000001010"/>
    <s v="CM ADV CLEAR"/>
    <s v=""/>
    <s v=""/>
    <s v="0"/>
    <s v="110k CM ADV G/l CLEAR"/>
    <s v=""/>
    <s v=""/>
    <s v=""/>
    <s v=""/>
    <s v=""/>
    <x v="0"/>
    <d v="2019-06-30T00:00:00"/>
    <s v="1806000077"/>
    <d v="2019-06-30T00:00:00"/>
    <s v=""/>
    <s v="1806000077"/>
  </r>
  <r>
    <s v="1806000077"/>
    <d v="2019-06-30T00:00:00"/>
    <d v="2019-06-30T00:00:00"/>
    <s v="DA"/>
    <s v="USD"/>
    <n v="-110230"/>
    <n v="-110230"/>
    <s v="BDT"/>
    <s v="EGM2"/>
    <n v="-9143578.5"/>
    <s v="110k CM ADV G/l CLEAR"/>
    <s v="0000001010"/>
    <s v="CM ADV CLEAR"/>
    <s v=""/>
    <s v=""/>
    <s v="0"/>
    <s v="110k CM ADV G/l CLEAR"/>
    <s v=""/>
    <s v=""/>
    <s v=""/>
    <s v=""/>
    <s v=""/>
    <x v="0"/>
    <d v="2019-06-30T00:00:00"/>
    <s v="1806000077"/>
    <d v="2019-06-30T00:00:00"/>
    <s v=""/>
    <s v="1806000077"/>
  </r>
  <r>
    <s v="1806000078"/>
    <d v="2019-06-30T00:00:00"/>
    <d v="2019-06-30T00:00:00"/>
    <s v="DA"/>
    <s v="USD"/>
    <n v="106655"/>
    <n v="106655"/>
    <s v="BDT"/>
    <s v="EGM2"/>
    <n v="8831034.0099999998"/>
    <s v="106k CM ADV G/l CLEAR"/>
    <s v="0000001010"/>
    <s v="CM ADV CLEAR"/>
    <s v=""/>
    <s v=""/>
    <s v="0"/>
    <s v="106k CM ADV G/l CLEAR"/>
    <s v=""/>
    <s v=""/>
    <s v=""/>
    <s v=""/>
    <s v=""/>
    <x v="0"/>
    <d v="2019-06-30T00:00:00"/>
    <s v="1806000078"/>
    <d v="2019-06-30T00:00:00"/>
    <s v=""/>
    <s v="1806000078"/>
  </r>
  <r>
    <s v="1806000078"/>
    <d v="2019-06-30T00:00:00"/>
    <d v="2019-06-30T00:00:00"/>
    <s v="DA"/>
    <s v="USD"/>
    <n v="-106655"/>
    <n v="-106655"/>
    <s v="BDT"/>
    <s v="EGM2"/>
    <n v="-8831034.0099999998"/>
    <s v="106k CM ADV G/l CLEAR"/>
    <s v="0000001010"/>
    <s v="CM ADV CLEAR"/>
    <s v=""/>
    <s v=""/>
    <s v="0"/>
    <s v="106k CM ADV G/l CLEAR"/>
    <s v=""/>
    <s v=""/>
    <s v=""/>
    <s v=""/>
    <s v=""/>
    <x v="0"/>
    <d v="2019-06-30T00:00:00"/>
    <s v="1806000078"/>
    <d v="2019-06-30T00:00:00"/>
    <s v=""/>
    <s v="1806000078"/>
  </r>
  <r>
    <s v="1806000079"/>
    <d v="2019-06-30T00:00:00"/>
    <d v="2019-06-30T00:00:00"/>
    <s v="DA"/>
    <s v="USD"/>
    <n v="91043"/>
    <n v="91043"/>
    <s v="BDT"/>
    <s v="EGM1"/>
    <n v="7533808.2599999998"/>
    <s v="91k CM ADV G/l CLEAR"/>
    <s v="0000001010"/>
    <s v="CM ADV CLEAR"/>
    <s v=""/>
    <s v=""/>
    <s v="0"/>
    <s v="91k CM ADV G/l CLEAR"/>
    <s v=""/>
    <s v=""/>
    <s v=""/>
    <s v=""/>
    <s v=""/>
    <x v="0"/>
    <d v="2019-06-30T00:00:00"/>
    <s v="1806000079"/>
    <d v="2019-06-30T00:00:00"/>
    <s v=""/>
    <s v="1806000079"/>
  </r>
  <r>
    <s v="1806000079"/>
    <d v="2019-06-30T00:00:00"/>
    <d v="2019-06-30T00:00:00"/>
    <s v="DA"/>
    <s v="USD"/>
    <n v="-91043"/>
    <n v="-91043"/>
    <s v="BDT"/>
    <s v="EGM1"/>
    <n v="-7533808.2599999998"/>
    <s v="91k CM ADV G/l CLEAR"/>
    <s v="0000001010"/>
    <s v="CM ADV CLEAR"/>
    <s v=""/>
    <s v=""/>
    <s v="0"/>
    <s v="91k CM ADV G/l CLEAR"/>
    <s v=""/>
    <s v=""/>
    <s v=""/>
    <s v=""/>
    <s v=""/>
    <x v="0"/>
    <d v="2019-06-30T00:00:00"/>
    <s v="1806000079"/>
    <d v="2019-06-30T00:00:00"/>
    <s v=""/>
    <s v="1806000079"/>
  </r>
  <r>
    <s v="1806000080"/>
    <d v="2019-06-30T00:00:00"/>
    <d v="2019-06-30T00:00:00"/>
    <s v="DA"/>
    <s v="USD"/>
    <n v="0"/>
    <n v="0"/>
    <s v="BDT"/>
    <s v="EGM2"/>
    <n v="0.01"/>
    <s v="67k CM ADV G/l CLEAR"/>
    <s v="0000001010"/>
    <s v="CM ADV CLEAR"/>
    <s v=""/>
    <s v=""/>
    <s v="0"/>
    <s v="67k CM ADV G/l CLEAR"/>
    <s v=""/>
    <s v=""/>
    <s v=""/>
    <s v=""/>
    <s v=""/>
    <x v="0"/>
    <d v="2019-06-30T00:00:00"/>
    <s v="1806000080"/>
    <d v="2019-06-30T00:00:00"/>
    <s v=""/>
    <s v="1806000080"/>
  </r>
  <r>
    <s v="1806000081"/>
    <d v="2019-06-30T00:00:00"/>
    <d v="2019-06-30T00:00:00"/>
    <s v="DA"/>
    <s v="USD"/>
    <n v="41874"/>
    <n v="41874"/>
    <s v="BDT"/>
    <s v="EGM2"/>
    <n v="3483916.8"/>
    <s v="41k CM ADV G/l CLEAR"/>
    <s v="0000001010"/>
    <s v="CM ADV CLEAR"/>
    <s v=""/>
    <s v=""/>
    <s v="0"/>
    <s v="41k CM ADV G/l CLEAR"/>
    <s v=""/>
    <s v=""/>
    <s v=""/>
    <s v=""/>
    <s v=""/>
    <x v="0"/>
    <d v="2019-06-30T00:00:00"/>
    <s v="1806000081"/>
    <d v="2019-06-30T00:00:00"/>
    <s v=""/>
    <s v="1806000081"/>
  </r>
  <r>
    <s v="1806000081"/>
    <d v="2019-06-30T00:00:00"/>
    <d v="2019-06-30T00:00:00"/>
    <s v="DA"/>
    <s v="USD"/>
    <n v="-41874"/>
    <n v="-41874"/>
    <s v="BDT"/>
    <s v="EGM2"/>
    <n v="-3483916.8"/>
    <s v="41k CM ADV G/l CLEAR"/>
    <s v="0000001010"/>
    <s v="CM ADV CLEAR"/>
    <s v=""/>
    <s v=""/>
    <s v="0"/>
    <s v="41k CM ADV G/l CLEAR"/>
    <s v=""/>
    <s v=""/>
    <s v=""/>
    <s v=""/>
    <s v=""/>
    <x v="0"/>
    <d v="2019-06-30T00:00:00"/>
    <s v="1806000081"/>
    <d v="2019-06-30T00:00:00"/>
    <s v=""/>
    <s v="1806000081"/>
  </r>
  <r>
    <s v="1806000082"/>
    <d v="2019-06-30T00:00:00"/>
    <d v="2019-06-30T00:00:00"/>
    <s v="DA"/>
    <s v="USD"/>
    <n v="-2"/>
    <n v="-2"/>
    <s v="BDT"/>
    <s v="EGM2"/>
    <n v="-165.9"/>
    <s v="27k CM ADV G/l CLEAR"/>
    <s v="0000001010"/>
    <s v="CM ADV CLEAR"/>
    <s v=""/>
    <s v=""/>
    <s v="0"/>
    <s v="27k CM ADV G/l CLEAR"/>
    <s v=""/>
    <s v=""/>
    <s v=""/>
    <s v=""/>
    <s v=""/>
    <x v="0"/>
    <d v="2019-06-30T00:00:00"/>
    <s v="1806000082"/>
    <d v="2019-06-30T00:00:00"/>
    <s v=""/>
    <s v="1806000082"/>
  </r>
  <r>
    <s v="1806000083"/>
    <d v="2019-06-30T00:00:00"/>
    <d v="2019-06-30T00:00:00"/>
    <s v="DA"/>
    <s v="USD"/>
    <n v="22505"/>
    <n v="22505"/>
    <s v="BDT"/>
    <s v="EGM2"/>
    <n v="1866789.75"/>
    <s v="22k CM ADV G/l CLEAR"/>
    <s v="0000001010"/>
    <s v="CM ADV CLEAR"/>
    <s v=""/>
    <s v=""/>
    <s v="0"/>
    <s v="22k CM ADV G/l CLEAR"/>
    <s v=""/>
    <s v=""/>
    <s v=""/>
    <s v=""/>
    <s v=""/>
    <x v="0"/>
    <d v="2019-06-30T00:00:00"/>
    <s v="1806000083"/>
    <d v="2019-06-30T00:00:00"/>
    <s v=""/>
    <s v="1806000083"/>
  </r>
  <r>
    <s v="1806000083"/>
    <d v="2019-06-30T00:00:00"/>
    <d v="2019-06-30T00:00:00"/>
    <s v="DA"/>
    <s v="USD"/>
    <n v="-22505"/>
    <n v="-22505"/>
    <s v="BDT"/>
    <s v="EGM2"/>
    <n v="-1866789.75"/>
    <s v="22k CM ADV G/l CLEAR"/>
    <s v="0000001010"/>
    <s v="CM ADV CLEAR"/>
    <s v=""/>
    <s v=""/>
    <s v="0"/>
    <s v="22k CM ADV G/l CLEAR"/>
    <s v=""/>
    <s v=""/>
    <s v=""/>
    <s v=""/>
    <s v=""/>
    <x v="0"/>
    <d v="2019-06-30T00:00:00"/>
    <s v="1806000083"/>
    <d v="2019-06-30T00:00:00"/>
    <s v=""/>
    <s v="1806000083"/>
  </r>
  <r>
    <s v="1806000084"/>
    <d v="2019-06-30T00:00:00"/>
    <d v="2019-06-30T00:00:00"/>
    <s v="DA"/>
    <s v="USD"/>
    <n v="-3"/>
    <n v="-3"/>
    <s v="BDT"/>
    <s v="EGM1"/>
    <n v="-249.9"/>
    <s v="150k CM ADV G/l CLEAR"/>
    <s v="0000001010"/>
    <s v="CM ADV CLEAR"/>
    <s v=""/>
    <s v=""/>
    <s v="0"/>
    <s v="150k CM ADV G/l CLEAR"/>
    <s v=""/>
    <s v=""/>
    <s v=""/>
    <s v=""/>
    <s v=""/>
    <x v="0"/>
    <d v="2019-06-30T00:00:00"/>
    <s v="1806000084"/>
    <d v="2019-06-30T00:00:00"/>
    <s v=""/>
    <s v="1806000084"/>
  </r>
  <r>
    <s v="1806000085"/>
    <d v="2019-06-30T00:00:00"/>
    <d v="2019-06-30T00:00:00"/>
    <s v="DA"/>
    <s v="USD"/>
    <n v="-43.4"/>
    <n v="-43.4"/>
    <s v="BDT"/>
    <s v="EGM1"/>
    <n v="-7734.44"/>
    <s v="814k CM ADV G/l CLEAR"/>
    <s v="0000001010"/>
    <s v="CM ADV CLEAR"/>
    <s v=""/>
    <s v=""/>
    <s v="0"/>
    <s v="814k CM ADV G/l CLEAR"/>
    <s v=""/>
    <s v=""/>
    <s v=""/>
    <s v=""/>
    <s v=""/>
    <x v="0"/>
    <d v="2019-06-30T00:00:00"/>
    <s v="1806000085"/>
    <d v="2019-06-30T00:00:00"/>
    <s v=""/>
    <s v="1806000085"/>
  </r>
  <r>
    <s v="1806000086"/>
    <d v="2019-06-30T00:00:00"/>
    <d v="2019-06-30T00:00:00"/>
    <s v="DA"/>
    <s v="USD"/>
    <n v="-2"/>
    <n v="-2"/>
    <s v="BDT"/>
    <s v="EGM1"/>
    <n v="-165.9"/>
    <s v=""/>
    <s v="0000001010"/>
    <s v="CM ADV CLEAR"/>
    <s v=""/>
    <s v=""/>
    <s v="0"/>
    <s v="170k CM ADV G/l CLEAR"/>
    <s v=""/>
    <s v=""/>
    <s v=""/>
    <s v=""/>
    <s v=""/>
    <x v="0"/>
    <d v="2019-06-30T00:00:00"/>
    <s v="1806000086"/>
    <d v="2019-06-30T00:00:00"/>
    <s v=""/>
    <s v="1806000086"/>
  </r>
  <r>
    <s v="1806000087"/>
    <d v="2019-06-30T00:00:00"/>
    <d v="2019-06-30T00:00:00"/>
    <s v="DA"/>
    <s v="USD"/>
    <n v="-2"/>
    <n v="-2"/>
    <s v="BDT"/>
    <s v="EGM1"/>
    <n v="-165.6"/>
    <s v="47,191k CM ADV G/l CLEAR"/>
    <s v="0000001010"/>
    <s v="CM ADV CLEAR"/>
    <s v=""/>
    <s v=""/>
    <s v="0"/>
    <s v="47,191k CM ADV G/l CLEAR"/>
    <s v=""/>
    <s v=""/>
    <s v=""/>
    <s v=""/>
    <s v=""/>
    <x v="0"/>
    <d v="2019-06-30T00:00:00"/>
    <s v="1806000087"/>
    <d v="2019-06-30T00:00:00"/>
    <s v=""/>
    <s v="1806000087"/>
  </r>
  <r>
    <s v="1806000088"/>
    <d v="2019-06-30T00:00:00"/>
    <d v="2019-06-30T00:00:00"/>
    <s v="DA"/>
    <s v="USD"/>
    <n v="1"/>
    <n v="1"/>
    <s v="BDT"/>
    <s v="EGM2"/>
    <n v="83.3"/>
    <s v=""/>
    <s v="0000001010"/>
    <s v="CM ADV CLEAR"/>
    <s v=""/>
    <s v=""/>
    <s v="0"/>
    <s v="46k CM ADV G/l CLEAR"/>
    <s v=""/>
    <s v=""/>
    <s v=""/>
    <s v=""/>
    <s v=""/>
    <x v="0"/>
    <d v="2019-06-30T00:00:00"/>
    <s v="1806000088"/>
    <d v="2019-06-30T00:00:00"/>
    <s v=""/>
    <s v="1806000088"/>
  </r>
  <r>
    <s v="1806000089"/>
    <d v="2019-06-30T00:00:00"/>
    <d v="2019-06-30T00:00:00"/>
    <s v="DA"/>
    <s v="USD"/>
    <n v="23199"/>
    <n v="23199"/>
    <s v="BDT"/>
    <s v="EGM2"/>
    <n v="1924357.06"/>
    <s v="23k CM ADV G/l CLEAR"/>
    <s v="0000001010"/>
    <s v="CM ADV CLEAR"/>
    <s v=""/>
    <s v=""/>
    <s v="0"/>
    <s v="23k CM ADV G/l CLEAR"/>
    <s v=""/>
    <s v=""/>
    <s v=""/>
    <s v=""/>
    <s v=""/>
    <x v="0"/>
    <d v="2019-06-30T00:00:00"/>
    <s v="1806000089"/>
    <d v="2019-06-30T00:00:00"/>
    <s v=""/>
    <s v="1806000089"/>
  </r>
  <r>
    <s v="1806000089"/>
    <d v="2019-06-30T00:00:00"/>
    <d v="2019-06-30T00:00:00"/>
    <s v="DA"/>
    <s v="USD"/>
    <n v="-23199"/>
    <n v="-23199"/>
    <s v="BDT"/>
    <s v="EGM2"/>
    <n v="-1924357.06"/>
    <s v="23k CM ADV G/l CLEAR"/>
    <s v="0000001010"/>
    <s v="CM ADV CLEAR"/>
    <s v=""/>
    <s v=""/>
    <s v="0"/>
    <s v="23k CM ADV G/l CLEAR"/>
    <s v=""/>
    <s v=""/>
    <s v=""/>
    <s v=""/>
    <s v=""/>
    <x v="0"/>
    <d v="2019-06-30T00:00:00"/>
    <s v="1806000089"/>
    <d v="2019-06-30T00:00:00"/>
    <s v=""/>
    <s v="1806000089"/>
  </r>
  <r>
    <s v="1806000090"/>
    <d v="2019-06-30T00:00:00"/>
    <d v="2019-06-30T00:00:00"/>
    <s v="DA"/>
    <s v="USD"/>
    <n v="-14313"/>
    <n v="-14313"/>
    <s v="BDT"/>
    <s v="EGM1"/>
    <n v="-1187263.3500000001"/>
    <s v="14k CM ADV G/l CLEAR"/>
    <s v="0000001010"/>
    <s v="CM ADV CLEAR"/>
    <s v=""/>
    <s v=""/>
    <s v="0"/>
    <s v="14k CM ADV G/l CLEAR"/>
    <s v=""/>
    <s v=""/>
    <s v=""/>
    <s v=""/>
    <s v=""/>
    <x v="0"/>
    <d v="2019-06-30T00:00:00"/>
    <s v="1806000090"/>
    <d v="2019-06-30T00:00:00"/>
    <s v=""/>
    <s v="1806000090"/>
  </r>
  <r>
    <s v="1806000090"/>
    <d v="2019-06-30T00:00:00"/>
    <d v="2019-06-30T00:00:00"/>
    <s v="DA"/>
    <s v="USD"/>
    <n v="14313"/>
    <n v="14313"/>
    <s v="BDT"/>
    <s v="EGM2"/>
    <n v="1187263.3500000001"/>
    <s v="14k CM ADV G/l CLEAR"/>
    <s v="0000001010"/>
    <s v="CM ADV CLEAR"/>
    <s v=""/>
    <s v=""/>
    <s v="0"/>
    <s v="14k CM ADV G/l CLEAR"/>
    <s v=""/>
    <s v=""/>
    <s v=""/>
    <s v=""/>
    <s v=""/>
    <x v="0"/>
    <d v="2019-06-30T00:00:00"/>
    <s v="1806000090"/>
    <d v="2019-06-30T00:00:00"/>
    <s v=""/>
    <s v="1806000090"/>
  </r>
  <r>
    <s v="1809000000"/>
    <d v="2018-07-03T00:00:00"/>
    <d v="2018-07-03T00:00:00"/>
    <s v="DZ"/>
    <s v="USD"/>
    <n v="125484"/>
    <n v="125484"/>
    <s v="BDT"/>
    <s v="EGM2"/>
    <n v="10377526.800000001"/>
    <s v="CM ADVANCE ADJUSTED REF-424130623046"/>
    <s v="0000001010"/>
    <s v="E24449VF18US0222"/>
    <s v=""/>
    <s v=""/>
    <s v="0"/>
    <s v="424130628265"/>
    <s v=""/>
    <s v=""/>
    <s v=""/>
    <s v=""/>
    <s v=""/>
    <x v="0"/>
    <d v="2019-02-23T00:00:00"/>
    <s v="1806000009"/>
    <d v="2018-07-03T00:00:00"/>
    <s v=""/>
    <s v="1809000000"/>
  </r>
  <r>
    <s v="1809000001"/>
    <d v="2018-07-05T00:00:00"/>
    <d v="2018-07-05T00:00:00"/>
    <s v="DZ"/>
    <s v="USD"/>
    <n v="11024"/>
    <n v="11024"/>
    <s v="BDT"/>
    <s v="EGM2"/>
    <n v="911684.8"/>
    <s v="CM ADVANCE ADJUSTED REF-424130617044"/>
    <s v="0000001010"/>
    <s v="E24448VF18US0175"/>
    <s v=""/>
    <s v=""/>
    <s v="0"/>
    <s v="424130629157"/>
    <s v=""/>
    <s v=""/>
    <s v=""/>
    <s v=""/>
    <s v=""/>
    <x v="0"/>
    <d v="2019-02-23T00:00:00"/>
    <s v="1806000011"/>
    <d v="2018-07-05T00:00:00"/>
    <s v=""/>
    <s v="1809000001"/>
  </r>
  <r>
    <s v="1809000002"/>
    <d v="2018-07-05T00:00:00"/>
    <d v="2018-07-05T00:00:00"/>
    <s v="DZ"/>
    <s v="USD"/>
    <n v="-234204"/>
    <n v="-234204"/>
    <s v="BDT"/>
    <s v="EGM2"/>
    <n v="-19380381"/>
    <s v="CM ADVANCE RECEIVED REF-424130629148"/>
    <s v="0000001010"/>
    <s v="IT06591807040040"/>
    <s v=""/>
    <s v=""/>
    <s v="0"/>
    <s v="424130629148"/>
    <s v=""/>
    <s v=""/>
    <s v=""/>
    <s v=""/>
    <s v=""/>
    <x v="0"/>
    <d v="2019-02-23T00:00:00"/>
    <s v="1806000010"/>
    <d v="2018-07-05T00:00:00"/>
    <s v=""/>
    <s v="1809000002"/>
  </r>
  <r>
    <s v="1809000003"/>
    <d v="2018-07-03T00:00:00"/>
    <d v="2018-07-03T00:00:00"/>
    <s v="DZ"/>
    <s v="USD"/>
    <n v="38568"/>
    <n v="38568"/>
    <s v="BDT"/>
    <s v="EGM1"/>
    <n v="3189573.6"/>
    <s v="CM ADVANCE ADJUSTED REF-424130618999"/>
    <s v="0000001010"/>
    <s v="E04463US18-0480"/>
    <s v=""/>
    <s v=""/>
    <s v="0"/>
    <s v="424130627827"/>
    <s v=""/>
    <s v=""/>
    <s v=""/>
    <s v=""/>
    <s v=""/>
    <x v="0"/>
    <d v="2019-05-02T00:00:00"/>
    <s v="1806000037"/>
    <d v="2018-07-03T00:00:00"/>
    <s v=""/>
    <s v="1809000003"/>
  </r>
  <r>
    <s v="1809000005"/>
    <d v="2018-07-08T00:00:00"/>
    <d v="2018-07-08T00:00:00"/>
    <s v="DZ"/>
    <s v="USD"/>
    <n v="-574279"/>
    <n v="-574279"/>
    <s v="BDT"/>
    <s v="EGM1"/>
    <n v="-47521587.259999998"/>
    <s v="CM ADVANCE RECEIVED REF-424130629479"/>
    <s v="0000001010"/>
    <s v="IT06591807050108"/>
    <s v=""/>
    <s v=""/>
    <s v="0"/>
    <s v="424130629479"/>
    <s v=""/>
    <s v=""/>
    <s v=""/>
    <s v=""/>
    <s v=""/>
    <x v="0"/>
    <d v="2019-05-02T00:00:00"/>
    <s v="1806000041"/>
    <d v="2018-07-08T00:00:00"/>
    <s v=""/>
    <s v="1809000005"/>
  </r>
  <r>
    <s v="1809000007"/>
    <d v="2018-07-08T00:00:00"/>
    <d v="2018-07-08T00:00:00"/>
    <s v="DZ"/>
    <s v="USD"/>
    <n v="464575"/>
    <n v="464575"/>
    <s v="BDT"/>
    <s v="EGM1"/>
    <n v="38420352.5"/>
    <s v="CM ADVANCE ADJUSTED REF-424130623037"/>
    <s v="0000001010"/>
    <s v="E04485US18-0590"/>
    <s v=""/>
    <s v=""/>
    <s v="0"/>
    <s v="424130630234"/>
    <s v=""/>
    <s v=""/>
    <s v=""/>
    <s v=""/>
    <s v=""/>
    <x v="0"/>
    <d v="2019-05-02T00:00:00"/>
    <s v="1806000038"/>
    <d v="2018-07-08T00:00:00"/>
    <s v=""/>
    <s v="1809000007"/>
  </r>
  <r>
    <s v="1809000008"/>
    <d v="2018-07-08T00:00:00"/>
    <d v="2018-07-08T00:00:00"/>
    <s v="DZ"/>
    <s v="USD"/>
    <n v="17921"/>
    <n v="17921"/>
    <s v="BDT"/>
    <s v="EGM1"/>
    <n v="1482066.7"/>
    <s v="CM ADVANCE ADJUSTED REF-424130623037"/>
    <s v="0000001010"/>
    <s v="E04485US180589"/>
    <s v=""/>
    <s v=""/>
    <s v="0"/>
    <s v="424130630252"/>
    <s v=""/>
    <s v=""/>
    <s v=""/>
    <s v=""/>
    <s v=""/>
    <x v="0"/>
    <d v="2019-05-02T00:00:00"/>
    <s v="1806000038"/>
    <d v="2018-07-08T00:00:00"/>
    <s v=""/>
    <s v="1809000008"/>
  </r>
  <r>
    <s v="1809000008"/>
    <d v="2018-07-08T00:00:00"/>
    <d v="2018-07-08T00:00:00"/>
    <s v="DZ"/>
    <s v="USD"/>
    <n v="220254"/>
    <n v="220254"/>
    <s v="BDT"/>
    <s v="EGM1"/>
    <n v="18215005.809999999"/>
    <s v="CM ADVANCE ADJUSTED REF-424130626711"/>
    <s v="0000001010"/>
    <s v="E04485US180589"/>
    <s v=""/>
    <s v=""/>
    <s v="0"/>
    <s v="424130630252"/>
    <s v=""/>
    <s v=""/>
    <s v=""/>
    <s v=""/>
    <s v=""/>
    <x v="0"/>
    <d v="2019-05-02T00:00:00"/>
    <s v="1806000046"/>
    <d v="2018-07-08T00:00:00"/>
    <s v=""/>
    <s v="1809000008"/>
  </r>
  <r>
    <s v="1809000011"/>
    <d v="2018-07-10T00:00:00"/>
    <d v="2018-07-10T00:00:00"/>
    <s v="DZ"/>
    <s v="USD"/>
    <n v="136420"/>
    <n v="136420"/>
    <s v="BDT"/>
    <s v="EGM1"/>
    <n v="11281934"/>
    <s v="CM ADVANCE ADJUSTED REF-424130623037"/>
    <s v="0000001010"/>
    <s v="E04468US18-0568"/>
    <s v=""/>
    <s v=""/>
    <s v="0"/>
    <s v="424130630207"/>
    <s v=""/>
    <s v=""/>
    <s v=""/>
    <s v=""/>
    <s v=""/>
    <x v="0"/>
    <d v="2019-05-02T00:00:00"/>
    <s v="1806000038"/>
    <d v="2018-07-10T00:00:00"/>
    <s v=""/>
    <s v="1809000011"/>
  </r>
  <r>
    <s v="1809000011"/>
    <d v="2018-07-10T00:00:00"/>
    <d v="2018-07-10T00:00:00"/>
    <s v="DZ"/>
    <s v="USD"/>
    <n v="16621"/>
    <n v="16621"/>
    <s v="BDT"/>
    <s v="EGM2"/>
    <n v="1374556.7"/>
    <s v="CM ADVANCE ADJUSTED REF-424130623046"/>
    <s v="0000001010"/>
    <s v="E04468US18-0568"/>
    <s v=""/>
    <s v=""/>
    <s v="0"/>
    <s v="424130630207"/>
    <s v=""/>
    <s v=""/>
    <s v=""/>
    <s v=""/>
    <s v=""/>
    <x v="0"/>
    <d v="2019-02-23T00:00:00"/>
    <s v="1806000009"/>
    <d v="2018-07-10T00:00:00"/>
    <s v=""/>
    <s v="1809000011"/>
  </r>
  <r>
    <s v="1809000014"/>
    <d v="2018-07-11T00:00:00"/>
    <d v="2018-07-11T00:00:00"/>
    <s v="DZ"/>
    <s v="USD"/>
    <n v="134887"/>
    <n v="134887"/>
    <s v="BDT"/>
    <s v="EGM2"/>
    <n v="11155154.9"/>
    <s v="CM ADVANCE ADJUSTED REF-424130617044"/>
    <s v="0000001010"/>
    <s v="E04477US180191"/>
    <s v=""/>
    <s v=""/>
    <s v="0"/>
    <s v="424130631536"/>
    <s v=""/>
    <s v=""/>
    <s v=""/>
    <s v=""/>
    <s v=""/>
    <x v="0"/>
    <d v="2019-02-23T00:00:00"/>
    <s v="1806000011"/>
    <d v="2018-07-11T00:00:00"/>
    <s v=""/>
    <s v="1809000014"/>
  </r>
  <r>
    <s v="1809000015"/>
    <d v="2018-07-11T00:00:00"/>
    <d v="2018-07-11T00:00:00"/>
    <s v="DZ"/>
    <s v="USD"/>
    <n v="178270"/>
    <n v="178270"/>
    <s v="BDT"/>
    <s v="EGM2"/>
    <n v="14751842.5"/>
    <s v="CM ADVANCE ADJUSTED REF-424130629148"/>
    <s v="0000001010"/>
    <s v="E24459VF18US0216"/>
    <s v=""/>
    <s v=""/>
    <s v="0"/>
    <s v="424130631545"/>
    <s v=""/>
    <s v=""/>
    <s v=""/>
    <s v=""/>
    <s v=""/>
    <x v="0"/>
    <d v="2019-02-23T00:00:00"/>
    <s v="1806000010"/>
    <d v="2018-07-11T00:00:00"/>
    <s v=""/>
    <s v="1809000015"/>
  </r>
  <r>
    <s v="1809000016"/>
    <d v="2018-07-11T00:00:00"/>
    <d v="2018-07-11T00:00:00"/>
    <s v="DZ"/>
    <s v="USD"/>
    <n v="46079"/>
    <n v="46079"/>
    <s v="BDT"/>
    <s v="EGM1"/>
    <n v="3810733.3"/>
    <s v="CM ADVANCE ADJUSTED REF-424130626711"/>
    <s v="0000001010"/>
    <s v="E04564US18-0609"/>
    <s v=""/>
    <s v=""/>
    <s v="0"/>
    <s v="424130631144"/>
    <s v=""/>
    <s v=""/>
    <s v=""/>
    <s v=""/>
    <s v=""/>
    <x v="0"/>
    <d v="2019-05-02T00:00:00"/>
    <s v="1806000046"/>
    <d v="2018-07-11T00:00:00"/>
    <s v=""/>
    <s v="1809000016"/>
  </r>
  <r>
    <s v="1809000017"/>
    <d v="2018-07-12T00:00:00"/>
    <d v="2018-07-12T00:00:00"/>
    <s v="DZ"/>
    <s v="USD"/>
    <n v="69645"/>
    <n v="69645"/>
    <s v="BDT"/>
    <s v="EGM1"/>
    <n v="5763123.75"/>
    <s v="CM ADVANCE ADJUSTED REF-424130629479"/>
    <s v="0000001010"/>
    <s v="E04550US180626"/>
    <s v=""/>
    <s v=""/>
    <s v="0"/>
    <s v="424130631910"/>
    <s v=""/>
    <s v=""/>
    <s v=""/>
    <s v=""/>
    <s v=""/>
    <x v="0"/>
    <d v="2019-05-02T00:00:00"/>
    <s v="1806000041"/>
    <d v="2018-07-12T00:00:00"/>
    <s v=""/>
    <s v="1809000017"/>
  </r>
  <r>
    <s v="1809000019"/>
    <d v="2018-07-12T00:00:00"/>
    <d v="2018-07-12T00:00:00"/>
    <s v="DZ"/>
    <s v="USD"/>
    <n v="-149942"/>
    <n v="-149942"/>
    <s v="BDT"/>
    <s v="EGM1"/>
    <n v="-12407700.51"/>
    <s v="CM ADVANCE RECEIVED REF-424130631901"/>
    <s v="0000001010"/>
    <s v="IT06591807110387"/>
    <s v=""/>
    <s v=""/>
    <s v="0"/>
    <s v="424130631901"/>
    <s v=""/>
    <s v=""/>
    <s v=""/>
    <s v=""/>
    <s v=""/>
    <x v="0"/>
    <d v="2019-05-02T00:00:00"/>
    <s v="1806000057"/>
    <d v="2018-07-12T00:00:00"/>
    <s v=""/>
    <s v="1809000019"/>
  </r>
  <r>
    <s v="1809000020"/>
    <d v="2018-07-12T00:00:00"/>
    <d v="2018-07-12T00:00:00"/>
    <s v="DZ"/>
    <s v="USD"/>
    <n v="-87537"/>
    <n v="-87537"/>
    <s v="BDT"/>
    <s v="EGM2"/>
    <n v="-7243686.75"/>
    <s v="CM ADVANCE RECEIVED REF-424130631894"/>
    <s v="0000001010"/>
    <s v="IT06591807110390"/>
    <s v=""/>
    <s v=""/>
    <s v="0"/>
    <s v="424130631894"/>
    <s v=""/>
    <s v=""/>
    <s v=""/>
    <s v=""/>
    <s v=""/>
    <x v="0"/>
    <d v="2019-02-23T00:00:00"/>
    <s v="1806000014"/>
    <d v="2018-07-12T00:00:00"/>
    <s v=""/>
    <s v="1809000020"/>
  </r>
  <r>
    <s v="1809000021"/>
    <d v="2018-07-16T00:00:00"/>
    <d v="2018-07-16T00:00:00"/>
    <s v="DZ"/>
    <s v="USD"/>
    <n v="46773"/>
    <n v="46773"/>
    <s v="BDT"/>
    <s v="EGM2"/>
    <n v="3870465.75"/>
    <s v="CM ADVANCE ADJUSTED REF-424130629148"/>
    <s v="0000001010"/>
    <s v="E24449VF18US0227"/>
    <s v=""/>
    <s v=""/>
    <s v="0"/>
    <s v="424130632839"/>
    <s v=""/>
    <s v=""/>
    <s v=""/>
    <s v=""/>
    <s v=""/>
    <x v="0"/>
    <d v="2019-02-23T00:00:00"/>
    <s v="1806000010"/>
    <d v="2018-07-16T00:00:00"/>
    <s v=""/>
    <s v="1809000021"/>
  </r>
  <r>
    <s v="1809000022"/>
    <d v="2018-07-16T00:00:00"/>
    <d v="2018-07-16T00:00:00"/>
    <s v="DZ"/>
    <s v="USD"/>
    <n v="1524"/>
    <n v="1524"/>
    <s v="BDT"/>
    <s v="EGM2"/>
    <n v="126034.8"/>
    <s v="CM ADVANCE ADJUSTED REF-424130617044"/>
    <s v="0000001010"/>
    <s v="E0447US18-0218"/>
    <s v=""/>
    <s v=""/>
    <s v="0"/>
    <s v="424130632848"/>
    <s v=""/>
    <s v=""/>
    <s v=""/>
    <s v=""/>
    <s v=""/>
    <x v="0"/>
    <d v="2019-02-23T00:00:00"/>
    <s v="1806000011"/>
    <d v="2018-07-16T00:00:00"/>
    <s v=""/>
    <s v="1809000022"/>
  </r>
  <r>
    <s v="1809000023"/>
    <d v="2018-07-16T00:00:00"/>
    <d v="2018-07-16T00:00:00"/>
    <s v="DZ"/>
    <s v="USD"/>
    <n v="17001"/>
    <n v="17001"/>
    <s v="BDT"/>
    <s v="EGM1"/>
    <n v="1406832.75"/>
    <s v="CM ADVANCE ADJUSTED REF-424130629479"/>
    <s v="0000001010"/>
    <s v="E04463US18-0482"/>
    <s v=""/>
    <s v=""/>
    <s v="0"/>
    <s v="424130632811"/>
    <s v=""/>
    <s v=""/>
    <s v=""/>
    <s v=""/>
    <s v=""/>
    <x v="0"/>
    <d v="2019-05-02T00:00:00"/>
    <s v="1806000041"/>
    <d v="2018-07-16T00:00:00"/>
    <s v=""/>
    <s v="1809000023"/>
  </r>
  <r>
    <s v="1809000023"/>
    <d v="2018-07-16T00:00:00"/>
    <d v="2018-07-16T00:00:00"/>
    <s v="DZ"/>
    <s v="USD"/>
    <n v="64400"/>
    <n v="64400"/>
    <s v="BDT"/>
    <s v="EGM1"/>
    <n v="5325880"/>
    <s v="CM ADVANCE ADJUSTED REF-424130626711"/>
    <s v="0000001010"/>
    <s v="E04463US18-0482"/>
    <s v=""/>
    <s v=""/>
    <s v="0"/>
    <s v="424130632811"/>
    <s v=""/>
    <s v=""/>
    <s v=""/>
    <s v=""/>
    <s v=""/>
    <x v="0"/>
    <d v="2019-05-02T00:00:00"/>
    <s v="1806000046"/>
    <d v="2018-07-16T00:00:00"/>
    <s v=""/>
    <s v="1809000023"/>
  </r>
  <r>
    <s v="1809000024"/>
    <d v="2018-07-16T00:00:00"/>
    <d v="2018-07-16T00:00:00"/>
    <s v="DZ"/>
    <s v="USD"/>
    <n v="426214"/>
    <n v="426214"/>
    <s v="BDT"/>
    <s v="EGM1"/>
    <n v="35269208.509999998"/>
    <s v="CM ADVANCE ADJUSTED REF-424130629479"/>
    <s v="0000001010"/>
    <s v="E04549US18-0616"/>
    <s v=""/>
    <s v=""/>
    <s v="0"/>
    <s v="424130632857"/>
    <s v=""/>
    <s v=""/>
    <s v=""/>
    <s v=""/>
    <s v=""/>
    <x v="0"/>
    <d v="2019-05-02T00:00:00"/>
    <s v="1806000041"/>
    <d v="2018-07-16T00:00:00"/>
    <s v=""/>
    <s v="1809000024"/>
  </r>
  <r>
    <s v="1809000026"/>
    <d v="2018-07-18T00:00:00"/>
    <d v="2018-07-18T00:00:00"/>
    <s v="DZ"/>
    <s v="USD"/>
    <n v="47042"/>
    <n v="47042"/>
    <s v="BDT"/>
    <s v="EGM2"/>
    <n v="3890373.4"/>
    <s v="CM ADVANCE ADJUSTED REF-424130617044"/>
    <s v="0000001010"/>
    <s v="E04356US18-0169"/>
    <s v=""/>
    <s v=""/>
    <s v="0"/>
    <s v="424130635881"/>
    <s v=""/>
    <s v=""/>
    <s v=""/>
    <s v=""/>
    <s v=""/>
    <x v="0"/>
    <d v="2019-02-23T00:00:00"/>
    <s v="1806000011"/>
    <d v="2018-07-18T00:00:00"/>
    <s v=""/>
    <s v="1809000026"/>
  </r>
  <r>
    <s v="1809000026"/>
    <d v="2018-07-18T00:00:00"/>
    <d v="2018-07-18T00:00:00"/>
    <s v="DZ"/>
    <s v="USD"/>
    <n v="53705"/>
    <n v="53705"/>
    <s v="BDT"/>
    <s v="EGM2"/>
    <n v="4441403.5"/>
    <s v="CM ADVANCE ADJUSTED REF-424130618436"/>
    <s v="0000001010"/>
    <s v="E04356US18-0169"/>
    <s v=""/>
    <s v=""/>
    <s v="0"/>
    <s v="424130635881"/>
    <s v=""/>
    <s v=""/>
    <s v=""/>
    <s v=""/>
    <s v=""/>
    <x v="0"/>
    <d v="2019-02-23T00:00:00"/>
    <s v="1806000022"/>
    <d v="2018-07-18T00:00:00"/>
    <s v=""/>
    <s v="1809000026"/>
  </r>
  <r>
    <s v="1809000029"/>
    <d v="2018-07-22T00:00:00"/>
    <d v="2018-07-22T00:00:00"/>
    <s v="DZ"/>
    <s v="USD"/>
    <n v="37788"/>
    <n v="37788"/>
    <s v="BDT"/>
    <s v="EGM1"/>
    <n v="3126957"/>
    <s v="CM ADVANCE ADJUSTED REF-424130631901"/>
    <s v="0000001010"/>
    <s v="E04643US18-0646"/>
    <s v=""/>
    <s v=""/>
    <s v="0"/>
    <s v="424130636906"/>
    <s v=""/>
    <s v=""/>
    <s v=""/>
    <s v=""/>
    <s v=""/>
    <x v="0"/>
    <d v="2019-05-02T00:00:00"/>
    <s v="1806000057"/>
    <d v="2018-07-22T00:00:00"/>
    <s v=""/>
    <s v="1809000029"/>
  </r>
  <r>
    <s v="1809000030"/>
    <d v="2018-07-23T00:00:00"/>
    <d v="2018-07-23T00:00:00"/>
    <s v="DZ"/>
    <s v="USD"/>
    <n v="88075"/>
    <n v="88075"/>
    <s v="BDT"/>
    <s v="EGM1"/>
    <n v="7288206.2599999998"/>
    <s v="CM ADVANCE ADJUSTED REF-424130631901"/>
    <s v="0000001010"/>
    <s v="E04463US18-0483"/>
    <s v=""/>
    <s v=""/>
    <s v="0"/>
    <s v="424130637610"/>
    <s v=""/>
    <s v=""/>
    <s v=""/>
    <s v=""/>
    <s v=""/>
    <x v="0"/>
    <d v="2019-05-02T00:00:00"/>
    <s v="1806000057"/>
    <d v="2018-07-23T00:00:00"/>
    <s v=""/>
    <s v="1809000030"/>
  </r>
  <r>
    <s v="1809000032"/>
    <d v="2018-07-23T00:00:00"/>
    <d v="2018-07-23T00:00:00"/>
    <s v="DZ"/>
    <s v="USD"/>
    <n v="15174"/>
    <n v="15174"/>
    <s v="BDT"/>
    <s v="EGM1"/>
    <n v="1255648.5"/>
    <s v="CM ADVANCE ADJUSTED REF-424130629479"/>
    <s v="0000001010"/>
    <s v="E4478SB18UK0605"/>
    <s v=""/>
    <s v=""/>
    <s v="0"/>
    <s v="424130637601"/>
    <s v=""/>
    <s v=""/>
    <s v=""/>
    <s v=""/>
    <s v=""/>
    <x v="0"/>
    <d v="2019-05-02T00:00:00"/>
    <s v="1806000041"/>
    <d v="2018-07-23T00:00:00"/>
    <s v=""/>
    <s v="1809000032"/>
  </r>
  <r>
    <s v="1809000038"/>
    <d v="2018-07-26T00:00:00"/>
    <d v="2018-07-26T00:00:00"/>
    <s v="DZ"/>
    <s v="USD"/>
    <n v="5957"/>
    <n v="5957"/>
    <s v="BDT"/>
    <s v="EGM2"/>
    <n v="492941.75"/>
    <s v="CM ADVANCE ADJUSTED REF-424130629148"/>
    <s v="0000001010"/>
    <s v="E04434US180206"/>
    <s v=""/>
    <s v=""/>
    <s v="0"/>
    <s v="424130639994"/>
    <s v=""/>
    <s v=""/>
    <s v=""/>
    <s v=""/>
    <s v=""/>
    <x v="0"/>
    <d v="2019-02-23T00:00:00"/>
    <s v="1806000010"/>
    <d v="2018-07-26T00:00:00"/>
    <s v=""/>
    <s v="1809000038"/>
  </r>
  <r>
    <s v="1809000038"/>
    <d v="2018-07-26T00:00:00"/>
    <d v="2018-07-26T00:00:00"/>
    <s v="DZ"/>
    <s v="USD"/>
    <n v="5077"/>
    <n v="5077"/>
    <s v="BDT"/>
    <s v="EGM2"/>
    <n v="419867.9"/>
    <s v="CM ADVANCE ADJUSTED REF-424130617044"/>
    <s v="0000001010"/>
    <s v="E04434US180206"/>
    <s v=""/>
    <s v=""/>
    <s v="0"/>
    <s v="424130639994"/>
    <s v=""/>
    <s v=""/>
    <s v=""/>
    <s v=""/>
    <s v=""/>
    <x v="0"/>
    <d v="2019-02-23T00:00:00"/>
    <s v="1806000011"/>
    <d v="2018-07-26T00:00:00"/>
    <s v=""/>
    <s v="1809000038"/>
  </r>
  <r>
    <s v="1809000038"/>
    <d v="2018-07-26T00:00:00"/>
    <d v="2018-07-26T00:00:00"/>
    <s v="DZ"/>
    <s v="USD"/>
    <n v="16640"/>
    <n v="16640"/>
    <s v="BDT"/>
    <s v="EGM2"/>
    <n v="1376960"/>
    <s v="CM ADVANCE ADJUSTED REF-424130631894"/>
    <s v="0000001010"/>
    <s v="E04434US180206"/>
    <s v=""/>
    <s v=""/>
    <s v="0"/>
    <s v="424130639994"/>
    <s v=""/>
    <s v=""/>
    <s v=""/>
    <s v=""/>
    <s v=""/>
    <x v="0"/>
    <d v="2019-02-23T00:00:00"/>
    <s v="1806000014"/>
    <d v="2018-07-26T00:00:00"/>
    <s v=""/>
    <s v="1809000038"/>
  </r>
  <r>
    <s v="1809000039"/>
    <d v="2018-07-26T00:00:00"/>
    <d v="2018-07-26T00:00:00"/>
    <s v="DZ"/>
    <s v="USD"/>
    <n v="54383"/>
    <n v="54383"/>
    <s v="BDT"/>
    <s v="EGM2"/>
    <n v="4497474.0999999996"/>
    <s v="CM ADVANCE ADJUSTED REF-424130623046"/>
    <s v="0000001010"/>
    <s v="E04434US18-0195"/>
    <s v=""/>
    <s v=""/>
    <s v="0"/>
    <s v="424130640018"/>
    <s v=""/>
    <s v=""/>
    <s v=""/>
    <s v=""/>
    <s v=""/>
    <x v="0"/>
    <d v="2019-02-23T00:00:00"/>
    <s v="1806000009"/>
    <d v="2018-07-26T00:00:00"/>
    <s v=""/>
    <s v="1809000039"/>
  </r>
  <r>
    <s v="1809000039"/>
    <d v="2018-07-26T00:00:00"/>
    <d v="2018-07-26T00:00:00"/>
    <s v="DZ"/>
    <s v="USD"/>
    <n v="3149"/>
    <n v="3149"/>
    <s v="BDT"/>
    <s v="EGM2"/>
    <n v="260422.3"/>
    <s v="CM ADVANCE ADJUSTED REF-424130617044"/>
    <s v="0000001010"/>
    <s v="E04434US18-0195"/>
    <s v=""/>
    <s v=""/>
    <s v="0"/>
    <s v="424130640018"/>
    <s v=""/>
    <s v=""/>
    <s v=""/>
    <s v=""/>
    <s v=""/>
    <x v="0"/>
    <d v="2019-02-23T00:00:00"/>
    <s v="1806000011"/>
    <d v="2018-07-26T00:00:00"/>
    <s v=""/>
    <s v="1809000039"/>
  </r>
  <r>
    <s v="1809000039"/>
    <d v="2018-07-26T00:00:00"/>
    <d v="2018-07-26T00:00:00"/>
    <s v="DZ"/>
    <s v="USD"/>
    <n v="32808"/>
    <n v="32808"/>
    <s v="BDT"/>
    <s v="EGM2"/>
    <n v="2714862"/>
    <s v="CM ADVANCE ADJUSTED REF-424130631894"/>
    <s v="0000001010"/>
    <s v="E04434US18-0195"/>
    <s v=""/>
    <s v=""/>
    <s v="0"/>
    <s v="424130640018"/>
    <s v=""/>
    <s v=""/>
    <s v=""/>
    <s v=""/>
    <s v=""/>
    <x v="0"/>
    <d v="2019-02-23T00:00:00"/>
    <s v="1806000014"/>
    <d v="2018-07-26T00:00:00"/>
    <s v=""/>
    <s v="1809000039"/>
  </r>
  <r>
    <s v="1809000039"/>
    <d v="2018-07-26T00:00:00"/>
    <d v="2018-07-26T00:00:00"/>
    <s v="DZ"/>
    <s v="USD"/>
    <n v="3836"/>
    <n v="3836"/>
    <s v="BDT"/>
    <s v="EGM2"/>
    <n v="317237.2"/>
    <s v="CM ADVANCE ADJUSTED REF-424130618436"/>
    <s v="0000001010"/>
    <s v="E04434US18-0195"/>
    <s v=""/>
    <s v=""/>
    <s v="0"/>
    <s v="424130640018"/>
    <s v=""/>
    <s v=""/>
    <s v=""/>
    <s v=""/>
    <s v=""/>
    <x v="0"/>
    <d v="2019-02-23T00:00:00"/>
    <s v="1806000022"/>
    <d v="2018-07-26T00:00:00"/>
    <s v=""/>
    <s v="1809000039"/>
  </r>
  <r>
    <s v="1809000040"/>
    <d v="2018-07-26T00:00:00"/>
    <d v="2018-07-26T00:00:00"/>
    <s v="DZ"/>
    <s v="USD"/>
    <n v="38089"/>
    <n v="38089"/>
    <s v="BDT"/>
    <s v="EGM2"/>
    <n v="3151864.75"/>
    <s v="CM ADVANCE ADJUSTED REF-424130631894"/>
    <s v="0000001010"/>
    <s v="E24472VF18US0250"/>
    <s v=""/>
    <s v=""/>
    <s v="0"/>
    <s v="424130640009"/>
    <s v=""/>
    <s v=""/>
    <s v=""/>
    <s v=""/>
    <s v=""/>
    <x v="0"/>
    <d v="2019-02-23T00:00:00"/>
    <s v="1806000014"/>
    <d v="2018-07-26T00:00:00"/>
    <s v=""/>
    <s v="1809000040"/>
  </r>
  <r>
    <s v="1809000041"/>
    <d v="2018-07-26T00:00:00"/>
    <d v="2018-07-26T00:00:00"/>
    <s v="DZ"/>
    <s v="USD"/>
    <n v="-80429"/>
    <n v="-80429"/>
    <s v="BDT"/>
    <s v="EGM2"/>
    <n v="-6655499.75"/>
    <s v="CM ADVANCE RECEIVED REF-424130639949"/>
    <s v="0000001010"/>
    <s v="IT06591807230212"/>
    <s v=""/>
    <s v=""/>
    <s v="0"/>
    <s v="424130639949"/>
    <s v=""/>
    <s v=""/>
    <s v=""/>
    <s v=""/>
    <s v=""/>
    <x v="0"/>
    <d v="2019-02-23T00:00:00"/>
    <s v="1806000016"/>
    <d v="2018-07-26T00:00:00"/>
    <s v=""/>
    <s v="1809000041"/>
  </r>
  <r>
    <s v="1809000042"/>
    <d v="2018-07-26T00:00:00"/>
    <d v="2018-07-26T00:00:00"/>
    <s v="DZ"/>
    <s v="USD"/>
    <n v="-611281"/>
    <n v="-611281"/>
    <s v="BDT"/>
    <s v="EGM1"/>
    <n v="-50583502.759999998"/>
    <s v="CM ADVANCE RECEIVED REF-424130639930"/>
    <s v="0000001010"/>
    <s v="IT06591807240225"/>
    <s v=""/>
    <s v=""/>
    <s v="0"/>
    <s v="424130639930"/>
    <s v=""/>
    <s v=""/>
    <s v=""/>
    <s v=""/>
    <s v=""/>
    <x v="0"/>
    <d v="2019-06-30T00:00:00"/>
    <s v="1806000072"/>
    <d v="2018-07-26T00:00:00"/>
    <s v=""/>
    <s v="1809000042"/>
  </r>
  <r>
    <s v="1809000043"/>
    <d v="2018-07-29T00:00:00"/>
    <d v="2018-07-29T00:00:00"/>
    <s v="DZ"/>
    <s v="USD"/>
    <n v="41530"/>
    <n v="41530"/>
    <s v="BDT"/>
    <s v="EGM2"/>
    <n v="3436607.5"/>
    <s v="CM ADVANCE RECEIVED REF-424130639949"/>
    <s v="0000001010"/>
    <s v="E04434US180196"/>
    <s v=""/>
    <s v=""/>
    <s v="0"/>
    <s v="424130640376"/>
    <s v=""/>
    <s v=""/>
    <s v=""/>
    <s v=""/>
    <s v=""/>
    <x v="0"/>
    <d v="2019-02-23T00:00:00"/>
    <s v="1806000016"/>
    <d v="2018-07-29T00:00:00"/>
    <s v=""/>
    <s v="1809000043"/>
  </r>
  <r>
    <s v="1809000044"/>
    <d v="2018-07-30T00:00:00"/>
    <d v="2018-07-30T00:00:00"/>
    <s v="DZ"/>
    <s v="USD"/>
    <n v="38899"/>
    <n v="38899"/>
    <s v="BDT"/>
    <s v="EGM2"/>
    <n v="3218892.25"/>
    <s v="CM ADVANCE ADJUSTED REF-424130639949"/>
    <s v="0000001010"/>
    <s v="E24475VS18US0251"/>
    <s v=""/>
    <s v=""/>
    <s v="0"/>
    <s v="424130640544"/>
    <s v=""/>
    <s v=""/>
    <s v=""/>
    <s v=""/>
    <s v=""/>
    <x v="0"/>
    <d v="2019-02-23T00:00:00"/>
    <s v="1806000016"/>
    <d v="2018-07-30T00:00:00"/>
    <s v=""/>
    <s v="1809000044"/>
  </r>
  <r>
    <s v="1809000046"/>
    <d v="2018-07-30T00:00:00"/>
    <d v="2018-07-30T00:00:00"/>
    <s v="DZ"/>
    <s v="USD"/>
    <n v="24079"/>
    <n v="24079"/>
    <s v="BDT"/>
    <s v="EGM1"/>
    <n v="1992537.25"/>
    <s v="CM ADVANCE ADJUSTED REF-424130631901"/>
    <s v="0000001010"/>
    <s v="E4478SB18UK0666"/>
    <s v=""/>
    <s v=""/>
    <s v="0"/>
    <s v="424130640571"/>
    <s v=""/>
    <s v=""/>
    <s v=""/>
    <s v=""/>
    <s v=""/>
    <x v="0"/>
    <d v="2019-05-02T00:00:00"/>
    <s v="1806000057"/>
    <d v="2018-07-30T00:00:00"/>
    <s v=""/>
    <s v="1809000046"/>
  </r>
  <r>
    <s v="1809000049"/>
    <d v="2018-07-30T00:00:00"/>
    <d v="2018-07-30T00:00:00"/>
    <s v="DZ"/>
    <s v="USD"/>
    <n v="-192397"/>
    <n v="-192397"/>
    <s v="BDT"/>
    <s v="EGM2"/>
    <n v="-15920851.76"/>
    <s v="CM ADVANCE RECEIVED REF-424130640526"/>
    <s v="0000001010"/>
    <s v="IT06591807280022"/>
    <s v=""/>
    <s v=""/>
    <s v="0"/>
    <s v="424130640526"/>
    <s v=""/>
    <s v=""/>
    <s v=""/>
    <s v=""/>
    <s v=""/>
    <x v="0"/>
    <d v="2019-02-23T00:00:00"/>
    <s v="1806000012"/>
    <d v="2018-07-30T00:00:00"/>
    <s v=""/>
    <s v="1809000049"/>
  </r>
  <r>
    <s v="1809000050"/>
    <d v="2018-07-10T00:00:00"/>
    <d v="2018-07-10T00:00:00"/>
    <s v="DZ"/>
    <s v="USD"/>
    <n v="16044"/>
    <n v="16044"/>
    <s v="BDT"/>
    <s v="EGM1"/>
    <n v="1326838.8"/>
    <s v="CM ADVANCE ADJUSTED REF-424130623037"/>
    <s v="0000001010"/>
    <s v="E4478SB18UK0603"/>
    <s v=""/>
    <s v=""/>
    <s v="0"/>
    <s v="424130630190"/>
    <s v=""/>
    <s v=""/>
    <s v=""/>
    <s v=""/>
    <s v=""/>
    <x v="0"/>
    <d v="2019-05-02T00:00:00"/>
    <s v="1806000038"/>
    <d v="2018-07-10T00:00:00"/>
    <s v=""/>
    <s v="1809000050"/>
  </r>
  <r>
    <s v="1809000053"/>
    <d v="2018-07-17T00:00:00"/>
    <d v="2018-07-17T00:00:00"/>
    <s v="DZ"/>
    <s v="USD"/>
    <n v="46245"/>
    <n v="46245"/>
    <s v="BDT"/>
    <s v="EGM1"/>
    <n v="3826773.75"/>
    <s v="CM ADVANCE ADJUSTED REF-424130629479"/>
    <s v="0000001010"/>
    <s v="E04551US18-0618"/>
    <s v=""/>
    <s v=""/>
    <s v="0"/>
    <s v="424130634631"/>
    <s v=""/>
    <s v=""/>
    <s v=""/>
    <s v=""/>
    <s v=""/>
    <x v="0"/>
    <d v="2019-05-02T00:00:00"/>
    <s v="1806000041"/>
    <d v="2018-07-17T00:00:00"/>
    <s v=""/>
    <s v="1809000053"/>
  </r>
  <r>
    <s v="1809000057"/>
    <d v="2018-08-01T00:00:00"/>
    <d v="2018-08-01T00:00:00"/>
    <s v="DZ"/>
    <s v="USD"/>
    <n v="-74319"/>
    <n v="-74319"/>
    <s v="BDT"/>
    <s v="EGM2"/>
    <n v="-6149897.2599999998"/>
    <s v="CM ADVANCE RECEIVED REF-424130642212"/>
    <s v="0000001010"/>
    <s v="IT06591807300112"/>
    <s v=""/>
    <s v=""/>
    <s v="0"/>
    <s v="424130642212"/>
    <s v=""/>
    <s v=""/>
    <s v=""/>
    <s v=""/>
    <s v=""/>
    <x v="0"/>
    <d v="2019-02-23T00:00:00"/>
    <s v="1806000018"/>
    <d v="2018-08-01T00:00:00"/>
    <s v=""/>
    <s v="1809000057"/>
  </r>
  <r>
    <s v="1809000058"/>
    <d v="2018-08-01T00:00:00"/>
    <d v="2018-08-01T00:00:00"/>
    <s v="DZ"/>
    <s v="USD"/>
    <n v="-50046"/>
    <n v="-50046"/>
    <s v="BDT"/>
    <s v="EGM2"/>
    <n v="-4141306.5"/>
    <s v="CM ADVANCE RECEIVED REF-424130643630"/>
    <s v="0000001010"/>
    <s v="IT06591807310449"/>
    <s v=""/>
    <s v=""/>
    <s v="0"/>
    <s v="424130643630"/>
    <s v=""/>
    <s v=""/>
    <s v=""/>
    <s v=""/>
    <s v=""/>
    <x v="0"/>
    <d v="2019-02-23T00:00:00"/>
    <s v="1806000024"/>
    <d v="2018-08-01T00:00:00"/>
    <s v=""/>
    <s v="1809000058"/>
  </r>
  <r>
    <s v="1809000060"/>
    <d v="2018-08-01T00:00:00"/>
    <d v="2018-08-01T00:00:00"/>
    <s v="DZ"/>
    <s v="USD"/>
    <n v="-270633"/>
    <n v="-270633"/>
    <s v="BDT"/>
    <s v="EGM1"/>
    <n v="-22394880.760000002"/>
    <s v="CM ADVANCE RECEIVED REF-424130642203"/>
    <s v="0000001010"/>
    <s v="IT06591807300112"/>
    <s v=""/>
    <s v=""/>
    <s v="0"/>
    <s v="424130642203"/>
    <s v=""/>
    <s v=""/>
    <s v=""/>
    <s v=""/>
    <s v=""/>
    <x v="0"/>
    <d v="2019-05-02T00:00:00"/>
    <s v="1806000049"/>
    <d v="2018-08-01T00:00:00"/>
    <s v=""/>
    <s v="1809000060"/>
  </r>
  <r>
    <s v="1809000062"/>
    <d v="2018-08-06T00:00:00"/>
    <d v="2018-08-06T00:00:00"/>
    <s v="DZ"/>
    <s v="USD"/>
    <n v="-82312"/>
    <n v="-82312"/>
    <s v="BDT"/>
    <s v="EGM2"/>
    <n v="-6811318"/>
    <s v="CM ADVANCE RECEIVED REF-424130644559"/>
    <s v="0000001010"/>
    <s v="IT06591808040017"/>
    <s v=""/>
    <s v=""/>
    <s v="0"/>
    <s v="424130644559"/>
    <s v=""/>
    <s v=""/>
    <s v=""/>
    <s v=""/>
    <s v=""/>
    <x v="0"/>
    <d v="2018-09-09T00:00:00"/>
    <s v="1809000144"/>
    <d v="2018-08-06T00:00:00"/>
    <s v=""/>
    <s v="1809000062"/>
  </r>
  <r>
    <s v="1809000063"/>
    <d v="2018-08-06T00:00:00"/>
    <d v="2018-08-06T00:00:00"/>
    <s v="DZ"/>
    <s v="USD"/>
    <n v="143465"/>
    <n v="143465"/>
    <s v="BDT"/>
    <s v="EGM1"/>
    <n v="11871728.75"/>
    <s v="CM ADVANCE ADJUSTED REF-OBCDAK880381ARV"/>
    <s v="0000001010"/>
    <s v="E04415US18-0688"/>
    <s v=""/>
    <s v=""/>
    <s v="0"/>
    <s v="424130644568"/>
    <s v=""/>
    <s v=""/>
    <s v=""/>
    <s v=""/>
    <s v=""/>
    <x v="0"/>
    <d v="2019-06-30T00:00:00"/>
    <s v="1806000072"/>
    <d v="2018-08-06T00:00:00"/>
    <s v=""/>
    <s v="1809000063"/>
  </r>
  <r>
    <s v="1809000064"/>
    <d v="2018-08-06T00:00:00"/>
    <d v="2018-08-06T00:00:00"/>
    <s v="DZ"/>
    <s v="USD"/>
    <n v="11708"/>
    <n v="11708"/>
    <s v="BDT"/>
    <s v="EGM1"/>
    <n v="968837"/>
    <s v="CM ADVANCE ADJUSTED REF-424130639930"/>
    <s v="0000001010"/>
    <s v="E4478SB18UK0693"/>
    <s v=""/>
    <s v=""/>
    <s v="0"/>
    <s v="424130644620"/>
    <s v=""/>
    <s v=""/>
    <s v=""/>
    <s v=""/>
    <s v=""/>
    <x v="0"/>
    <d v="2019-06-30T00:00:00"/>
    <s v="1806000072"/>
    <d v="2018-08-06T00:00:00"/>
    <s v=""/>
    <s v="1809000064"/>
  </r>
  <r>
    <s v="1809000065"/>
    <d v="2018-08-06T00:00:00"/>
    <d v="2018-08-06T00:00:00"/>
    <s v="DZ"/>
    <s v="USD"/>
    <n v="32324"/>
    <n v="32324"/>
    <s v="BDT"/>
    <s v="EGM1"/>
    <n v="2674811"/>
    <s v="CM ADVANCE ADJUSTED REF-424130639930"/>
    <s v="0000001010"/>
    <s v="E04516US18-06591"/>
    <s v=""/>
    <s v=""/>
    <s v="0"/>
    <s v="424130644586"/>
    <s v=""/>
    <s v=""/>
    <s v=""/>
    <s v=""/>
    <s v=""/>
    <x v="0"/>
    <d v="2019-06-30T00:00:00"/>
    <s v="1806000072"/>
    <d v="2018-08-06T00:00:00"/>
    <s v=""/>
    <s v="1809000065"/>
  </r>
  <r>
    <s v="1809000066"/>
    <d v="2018-08-06T00:00:00"/>
    <d v="2018-08-06T00:00:00"/>
    <s v="DZ"/>
    <s v="USD"/>
    <n v="3204"/>
    <n v="3204"/>
    <s v="BDT"/>
    <s v="EGM2"/>
    <n v="265131"/>
    <s v="CM ADVANCE ADJUSTED REF-424130629148"/>
    <s v="0000001010"/>
    <s v="E04477US18-0237"/>
    <s v=""/>
    <s v=""/>
    <s v="0"/>
    <s v="424130644602"/>
    <s v=""/>
    <s v=""/>
    <s v=""/>
    <s v=""/>
    <s v=""/>
    <x v="0"/>
    <d v="2019-02-23T00:00:00"/>
    <s v="1806000010"/>
    <d v="2018-08-06T00:00:00"/>
    <s v=""/>
    <s v="1809000066"/>
  </r>
  <r>
    <s v="1809000067"/>
    <d v="2018-08-07T00:00:00"/>
    <d v="2018-08-07T00:00:00"/>
    <s v="DZ"/>
    <s v="USD"/>
    <n v="86372"/>
    <n v="86372"/>
    <s v="BDT"/>
    <s v="EGM2"/>
    <n v="7147283"/>
    <s v="CM ADVANCE ADJUSTED REF-424130640526"/>
    <s v="0000001010"/>
    <s v="E24449VF18US0258"/>
    <s v=""/>
    <s v=""/>
    <s v="0"/>
    <s v="424130645095"/>
    <s v=""/>
    <s v=""/>
    <s v=""/>
    <s v=""/>
    <s v=""/>
    <x v="0"/>
    <d v="2019-02-23T00:00:00"/>
    <s v="1806000012"/>
    <d v="2018-08-07T00:00:00"/>
    <s v=""/>
    <s v="1809000067"/>
  </r>
  <r>
    <s v="1809000067"/>
    <d v="2018-08-07T00:00:00"/>
    <d v="2018-08-07T00:00:00"/>
    <s v="DZ"/>
    <s v="USD"/>
    <n v="5318"/>
    <n v="5318"/>
    <s v="BDT"/>
    <s v="EGM2"/>
    <n v="440064.5"/>
    <s v="CM ADVANCE ADJUSTED REF-424130642212"/>
    <s v="0000001010"/>
    <s v="E24449VF18US0258"/>
    <s v=""/>
    <s v=""/>
    <s v="0"/>
    <s v="424130645095"/>
    <s v=""/>
    <s v=""/>
    <s v=""/>
    <s v=""/>
    <s v=""/>
    <x v="0"/>
    <d v="2019-02-23T00:00:00"/>
    <s v="1806000018"/>
    <d v="2018-08-07T00:00:00"/>
    <s v=""/>
    <s v="1809000067"/>
  </r>
  <r>
    <s v="1809000069"/>
    <d v="2018-08-08T00:00:00"/>
    <d v="2018-08-08T00:00:00"/>
    <s v="DZ"/>
    <s v="USD"/>
    <n v="38273"/>
    <n v="38273"/>
    <s v="BDT"/>
    <s v="EGM2"/>
    <n v="3167090.75"/>
    <s v="CM ADVANCE ADJUSTED REF-424130640526"/>
    <s v="0000001010"/>
    <s v="E24475VF18US0263"/>
    <s v=""/>
    <s v=""/>
    <s v="0"/>
    <s v="424130646762"/>
    <s v=""/>
    <s v=""/>
    <s v=""/>
    <s v=""/>
    <s v=""/>
    <x v="0"/>
    <d v="2019-02-23T00:00:00"/>
    <s v="1806000012"/>
    <d v="2018-08-08T00:00:00"/>
    <s v=""/>
    <s v="1809000069"/>
  </r>
  <r>
    <s v="1809000070"/>
    <d v="2018-08-09T00:00:00"/>
    <d v="2018-08-09T00:00:00"/>
    <s v="DZ"/>
    <s v="USD"/>
    <n v="12519"/>
    <n v="12519"/>
    <s v="BDT"/>
    <s v="EGM1"/>
    <n v="1035947.25"/>
    <s v="CM ADVANCE ADJUSTED REF-424130639930"/>
    <s v="0000001010"/>
    <s v="E4478SB18UK0694"/>
    <s v=""/>
    <s v=""/>
    <s v="0"/>
    <s v="424130648010"/>
    <s v=""/>
    <s v=""/>
    <s v=""/>
    <s v=""/>
    <s v=""/>
    <x v="0"/>
    <d v="2019-06-30T00:00:00"/>
    <s v="1806000072"/>
    <d v="2018-08-09T00:00:00"/>
    <s v=""/>
    <s v="1809000070"/>
  </r>
  <r>
    <s v="1809000070"/>
    <d v="2018-08-09T00:00:00"/>
    <d v="2018-08-09T00:00:00"/>
    <s v="DZ"/>
    <s v="USD"/>
    <n v="4339"/>
    <n v="4339"/>
    <s v="BDT"/>
    <s v="EGM1"/>
    <n v="359052.25"/>
    <s v="CM ADVANCE ADJUSTED REF-424130642203"/>
    <s v="0000001010"/>
    <s v="E4478SB18UK0694"/>
    <s v=""/>
    <s v=""/>
    <s v="0"/>
    <s v="424130648010"/>
    <s v=""/>
    <s v=""/>
    <s v=""/>
    <s v=""/>
    <s v=""/>
    <x v="0"/>
    <d v="2019-05-02T00:00:00"/>
    <s v="1806000049"/>
    <d v="2018-08-09T00:00:00"/>
    <s v=""/>
    <s v="1809000070"/>
  </r>
  <r>
    <s v="1809000071"/>
    <d v="2018-08-09T00:00:00"/>
    <d v="2018-08-09T00:00:00"/>
    <s v="DZ"/>
    <s v="USD"/>
    <n v="296514"/>
    <n v="296514"/>
    <s v="BDT"/>
    <s v="EGM1"/>
    <n v="24536533.5"/>
    <s v="CM ADVANCE ADJUSTED REF-424130639930"/>
    <s v="0000001010"/>
    <s v="E04645US180699"/>
    <s v=""/>
    <s v=""/>
    <s v="0"/>
    <s v="424130648029"/>
    <s v=""/>
    <s v=""/>
    <s v=""/>
    <s v=""/>
    <s v=""/>
    <x v="0"/>
    <d v="2019-06-30T00:00:00"/>
    <s v="1806000072"/>
    <d v="2018-08-09T00:00:00"/>
    <s v=""/>
    <s v="1809000071"/>
  </r>
  <r>
    <s v="1809000071"/>
    <d v="2018-08-09T00:00:00"/>
    <d v="2018-08-09T00:00:00"/>
    <s v="DZ"/>
    <s v="USD"/>
    <n v="242358"/>
    <n v="242358"/>
    <s v="BDT"/>
    <s v="EGM1"/>
    <n v="20055124.510000002"/>
    <s v="CM ADVANCE ADJUSTED REF-424130642203"/>
    <s v="0000001010"/>
    <s v="E04645US180699"/>
    <s v=""/>
    <s v=""/>
    <s v="0"/>
    <s v="424130648029"/>
    <s v=""/>
    <s v=""/>
    <s v=""/>
    <s v=""/>
    <s v=""/>
    <x v="0"/>
    <d v="2019-05-02T00:00:00"/>
    <s v="1806000049"/>
    <d v="2018-08-09T00:00:00"/>
    <s v=""/>
    <s v="1809000071"/>
  </r>
  <r>
    <s v="1809000072"/>
    <d v="2018-07-03T00:00:00"/>
    <d v="2018-07-03T00:00:00"/>
    <s v="DZ"/>
    <s v="USD"/>
    <n v="24118"/>
    <n v="24118"/>
    <s v="BDT"/>
    <s v="EGM1"/>
    <n v="1994558.6"/>
    <s v="CM ADVANCE ADJUSTED REF-424130618999"/>
    <s v="0000001010"/>
    <s v="E04401US18-0566"/>
    <s v=""/>
    <s v=""/>
    <s v="0"/>
    <s v="424130628256"/>
    <s v=""/>
    <s v=""/>
    <s v=""/>
    <s v=""/>
    <s v=""/>
    <x v="0"/>
    <d v="2019-05-02T00:00:00"/>
    <s v="1806000037"/>
    <d v="2018-07-03T00:00:00"/>
    <s v=""/>
    <s v="1809000072"/>
  </r>
  <r>
    <s v="1809000072"/>
    <d v="2018-07-03T00:00:00"/>
    <d v="2018-07-03T00:00:00"/>
    <s v="DZ"/>
    <s v="USD"/>
    <n v="3750"/>
    <n v="3750"/>
    <s v="BDT"/>
    <s v="EGM1"/>
    <n v="310125"/>
    <s v="CM ADVANCE ADJUSTED REF-424130623037"/>
    <s v="0000001010"/>
    <s v="E04401US18-0566"/>
    <s v=""/>
    <s v=""/>
    <s v="0"/>
    <s v="424130628256"/>
    <s v=""/>
    <s v=""/>
    <s v=""/>
    <s v=""/>
    <s v=""/>
    <x v="0"/>
    <d v="2019-05-02T00:00:00"/>
    <s v="1806000038"/>
    <d v="2018-07-03T00:00:00"/>
    <s v=""/>
    <s v="1809000072"/>
  </r>
  <r>
    <s v="1809000073"/>
    <d v="2018-08-16T00:00:00"/>
    <d v="2018-08-16T00:00:00"/>
    <s v="DZ"/>
    <s v="USD"/>
    <n v="-76806"/>
    <n v="-76806"/>
    <s v="BDT"/>
    <s v="EGM2"/>
    <n v="-6355696.5099999998"/>
    <s v="CM ADVANCE RECEIVED REF-424130651176"/>
    <s v="0000001010"/>
    <s v="IT06591808160271"/>
    <s v=""/>
    <s v=""/>
    <s v="0"/>
    <s v="424130651176"/>
    <s v=""/>
    <s v=""/>
    <s v=""/>
    <s v=""/>
    <s v=""/>
    <x v="0"/>
    <d v="2019-02-23T00:00:00"/>
    <s v="1806000007"/>
    <d v="2018-08-16T00:00:00"/>
    <s v=""/>
    <s v="1809000073"/>
  </r>
  <r>
    <s v="1809000074"/>
    <d v="2018-08-16T00:00:00"/>
    <d v="2018-08-16T00:00:00"/>
    <s v="DZ"/>
    <s v="USD"/>
    <n v="-128442"/>
    <n v="-128442"/>
    <s v="BDT"/>
    <s v="EGM2"/>
    <n v="-10628575.5"/>
    <s v="CM ADVANCE RECEIVED REF-424130651158"/>
    <s v="0000001010"/>
    <s v="IT06591808140231"/>
    <s v=""/>
    <s v=""/>
    <s v="0"/>
    <s v="424130651158"/>
    <s v=""/>
    <s v=""/>
    <s v=""/>
    <s v=""/>
    <s v=""/>
    <x v="0"/>
    <d v="2018-09-16T00:00:00"/>
    <s v="1809000145"/>
    <d v="2018-08-16T00:00:00"/>
    <s v=""/>
    <s v="1809000074"/>
  </r>
  <r>
    <s v="1809000075"/>
    <d v="2018-08-16T00:00:00"/>
    <d v="2018-08-16T00:00:00"/>
    <s v="DZ"/>
    <s v="USD"/>
    <n v="-15945"/>
    <n v="-15945"/>
    <s v="BDT"/>
    <s v="EGM2"/>
    <n v="-1319448.75"/>
    <s v="CM ADVANCE RECEIVED REF-424130651167"/>
    <s v="0000001010"/>
    <s v="IT06591808160270"/>
    <s v=""/>
    <s v=""/>
    <s v="0"/>
    <s v="424130651167"/>
    <s v=""/>
    <s v=""/>
    <s v=""/>
    <s v=""/>
    <s v=""/>
    <x v="0"/>
    <d v="2018-09-03T00:00:00"/>
    <s v="1809000110"/>
    <d v="2018-08-16T00:00:00"/>
    <s v=""/>
    <s v="1809000075"/>
  </r>
  <r>
    <s v="1809000076"/>
    <d v="2018-08-16T00:00:00"/>
    <d v="2018-08-16T00:00:00"/>
    <s v="DZ"/>
    <s v="USD"/>
    <n v="-423512"/>
    <n v="-423512"/>
    <s v="BDT"/>
    <s v="EGM1"/>
    <n v="-35045618"/>
    <s v="CM ADVANCE RECEIVED REF-424130651185"/>
    <s v="0000001010"/>
    <s v="IT06591808160273"/>
    <s v=""/>
    <s v=""/>
    <s v="0"/>
    <s v="424130651185"/>
    <s v=""/>
    <s v=""/>
    <s v=""/>
    <s v=""/>
    <s v=""/>
    <x v="0"/>
    <d v="2019-05-02T00:00:00"/>
    <s v="1806000044"/>
    <d v="2018-08-16T00:00:00"/>
    <s v=""/>
    <s v="1809000076"/>
  </r>
  <r>
    <s v="1809000077"/>
    <d v="2018-08-14T00:00:00"/>
    <d v="2018-08-14T00:00:00"/>
    <s v="DZ"/>
    <s v="USD"/>
    <n v="-50268"/>
    <n v="-50268"/>
    <s v="BDT"/>
    <s v="EGM1"/>
    <n v="-4159677"/>
    <s v="CM ADVANCE RECEIVED REF- 424130650532"/>
    <s v="0000001010"/>
    <s v="IT06591808130179"/>
    <s v=""/>
    <s v=""/>
    <s v="0"/>
    <s v="424130650532"/>
    <s v=""/>
    <s v=""/>
    <s v=""/>
    <s v=""/>
    <s v=""/>
    <x v="0"/>
    <d v="2019-05-02T00:00:00"/>
    <s v="1806000064"/>
    <d v="2018-08-14T00:00:00"/>
    <s v=""/>
    <s v="1809000077"/>
  </r>
  <r>
    <s v="1809000078"/>
    <d v="2018-08-12T00:00:00"/>
    <d v="2018-08-12T00:00:00"/>
    <s v="DZ"/>
    <s v="USD"/>
    <n v="-62991"/>
    <n v="-62991"/>
    <s v="BDT"/>
    <s v="EGM2"/>
    <n v="-5212505.25"/>
    <s v="CM ADVANCE RECEIVED REF-424130648234"/>
    <s v="0000001010"/>
    <s v="IT06591808110019"/>
    <s v=""/>
    <s v=""/>
    <s v="0"/>
    <s v="424130648234"/>
    <s v=""/>
    <s v=""/>
    <s v=""/>
    <s v=""/>
    <s v=""/>
    <x v="0"/>
    <d v="2019-02-23T00:00:00"/>
    <s v="1806000023"/>
    <d v="2018-08-12T00:00:00"/>
    <s v=""/>
    <s v="1809000078"/>
  </r>
  <r>
    <s v="1809000079"/>
    <d v="2018-08-12T00:00:00"/>
    <d v="2018-08-12T00:00:00"/>
    <s v="DZ"/>
    <s v="USD"/>
    <n v="-641205"/>
    <n v="-641205"/>
    <s v="BDT"/>
    <s v="EGM1"/>
    <n v="-53059713.759999998"/>
    <s v="CM ADVANCE RECEIVED REF-424130648225"/>
    <s v="0000001010"/>
    <s v="IT06591808090796"/>
    <s v=""/>
    <s v=""/>
    <s v="0"/>
    <s v="424130648225"/>
    <s v=""/>
    <s v=""/>
    <s v=""/>
    <s v=""/>
    <s v=""/>
    <x v="0"/>
    <d v="2019-05-02T00:00:00"/>
    <s v="1806000039"/>
    <d v="2018-08-12T00:00:00"/>
    <s v=""/>
    <s v="1809000079"/>
  </r>
  <r>
    <s v="1809000082"/>
    <d v="2018-07-31T00:00:00"/>
    <d v="2018-07-31T00:00:00"/>
    <s v="DZ"/>
    <s v="USD"/>
    <n v="149244"/>
    <n v="149244"/>
    <s v="BDT"/>
    <s v="EGM1"/>
    <n v="12349941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9000082"/>
  </r>
  <r>
    <s v="1809000082"/>
    <d v="2018-07-31T00:00:00"/>
    <d v="2018-07-31T00:00:00"/>
    <s v="DZ"/>
    <s v="USD"/>
    <n v="-394998"/>
    <n v="-394998"/>
    <s v="BDT"/>
    <s v="EGM1"/>
    <n v="-32686084.5"/>
    <s v="FIT-CM ADV-JUL-18"/>
    <s v="0000001010"/>
    <s v="FIT-CM ADV-JUL18"/>
    <s v=""/>
    <s v=""/>
    <s v="0"/>
    <s v="CM ADV. FIT - JUl-18"/>
    <s v=""/>
    <s v=""/>
    <s v=""/>
    <s v=""/>
    <s v=""/>
    <x v="0"/>
    <d v="2018-08-01T00:00:00"/>
    <s v="1803001833"/>
    <d v="2018-07-31T00:00:00"/>
    <s v=""/>
    <s v="1809000082"/>
  </r>
  <r>
    <s v="1809000084"/>
    <d v="2018-08-20T00:00:00"/>
    <d v="2018-08-20T00:00:00"/>
    <s v="DZ"/>
    <s v="USD"/>
    <n v="23935"/>
    <n v="23935"/>
    <s v="BDT"/>
    <s v="EGM1"/>
    <n v="1980621.25"/>
    <s v="CM ADVANCE ADJUSTED REF-424130642203"/>
    <s v="0000001010"/>
    <s v="E4480SB18UK0756"/>
    <s v=""/>
    <s v=""/>
    <s v="0"/>
    <s v="424130652040"/>
    <s v=""/>
    <s v=""/>
    <s v=""/>
    <s v=""/>
    <s v=""/>
    <x v="0"/>
    <d v="2019-05-02T00:00:00"/>
    <s v="1806000049"/>
    <d v="2018-08-20T00:00:00"/>
    <s v=""/>
    <s v="1809000084"/>
  </r>
  <r>
    <s v="1809000085"/>
    <d v="2018-08-30T00:00:00"/>
    <d v="2018-08-30T00:00:00"/>
    <s v="DZ"/>
    <s v="USD"/>
    <n v="21786"/>
    <n v="21786"/>
    <s v="BDT"/>
    <s v="EGM2"/>
    <n v="1802791.5"/>
    <s v="CM ADVANCE ADJUSTED REF-424130648234"/>
    <s v="0000001010"/>
    <s v="E24565VF18US0269"/>
    <s v=""/>
    <s v=""/>
    <s v="0"/>
    <s v="424130654707"/>
    <s v=""/>
    <s v=""/>
    <s v=""/>
    <s v=""/>
    <s v=""/>
    <x v="0"/>
    <d v="2019-02-23T00:00:00"/>
    <s v="1806000023"/>
    <d v="2018-08-30T00:00:00"/>
    <s v=""/>
    <s v="1809000085"/>
  </r>
  <r>
    <s v="1809000085"/>
    <d v="2018-08-30T00:00:00"/>
    <d v="2018-08-30T00:00:00"/>
    <s v="DZ"/>
    <s v="USD"/>
    <n v="41674"/>
    <n v="41674"/>
    <s v="BDT"/>
    <s v="EGM1"/>
    <n v="3448523.5"/>
    <s v="CM ADVANCE ADJUSTED REF-424130650532"/>
    <s v="0000001010"/>
    <s v="E24565VF18US0269"/>
    <s v=""/>
    <s v=""/>
    <s v="0"/>
    <s v="424130654707"/>
    <s v=""/>
    <s v=""/>
    <s v=""/>
    <s v=""/>
    <s v=""/>
    <x v="0"/>
    <d v="2019-05-02T00:00:00"/>
    <s v="1806000064"/>
    <d v="2018-08-30T00:00:00"/>
    <s v=""/>
    <s v="1809000085"/>
  </r>
  <r>
    <s v="1809000085"/>
    <d v="2018-08-30T00:00:00"/>
    <d v="2018-08-30T00:00:00"/>
    <s v="DZ"/>
    <s v="USD"/>
    <n v="17210"/>
    <n v="17210"/>
    <s v="BDT"/>
    <s v="EGM2"/>
    <n v="1424127.5"/>
    <s v="CM ADVANCE ADJUSTED REF-424130643630"/>
    <s v="0000001010"/>
    <s v="E24565VF18US0269"/>
    <s v=""/>
    <s v=""/>
    <s v="0"/>
    <s v="424130654707"/>
    <s v=""/>
    <s v=""/>
    <s v=""/>
    <s v=""/>
    <s v=""/>
    <x v="0"/>
    <d v="2019-02-23T00:00:00"/>
    <s v="1806000024"/>
    <d v="2018-08-30T00:00:00"/>
    <s v=""/>
    <s v="1809000085"/>
  </r>
  <r>
    <s v="1809000086"/>
    <d v="2018-08-30T00:00:00"/>
    <d v="2018-08-30T00:00:00"/>
    <s v="DZ"/>
    <s v="USD"/>
    <n v="28859"/>
    <n v="28859"/>
    <s v="BDT"/>
    <s v="EGM2"/>
    <n v="2388082.25"/>
    <s v="CM ADVANCE ADJUSTED REF-424130648234"/>
    <s v="0000001010"/>
    <s v="E24512VFUS0268"/>
    <s v=""/>
    <s v=""/>
    <s v="0"/>
    <s v="424130654716"/>
    <s v=""/>
    <s v=""/>
    <s v=""/>
    <s v=""/>
    <s v=""/>
    <x v="0"/>
    <d v="2019-02-23T00:00:00"/>
    <s v="1806000023"/>
    <d v="2018-08-30T00:00:00"/>
    <s v=""/>
    <s v="1809000086"/>
  </r>
  <r>
    <s v="1809000087"/>
    <d v="2018-08-29T00:00:00"/>
    <d v="2018-08-29T00:00:00"/>
    <s v="DZ"/>
    <s v="USD"/>
    <n v="69002"/>
    <n v="69002"/>
    <s v="BDT"/>
    <s v="EGM2"/>
    <n v="5709915.5099999998"/>
    <s v="CM ADVANCE ADJUSTED REF-424130642212"/>
    <s v="0000001010"/>
    <s v="E04405US18-0257"/>
    <s v=""/>
    <s v=""/>
    <s v="0"/>
    <s v="424130654690"/>
    <s v=""/>
    <s v=""/>
    <s v=""/>
    <s v=""/>
    <s v=""/>
    <x v="0"/>
    <d v="2019-02-23T00:00:00"/>
    <s v="1806000018"/>
    <d v="2018-08-29T00:00:00"/>
    <s v=""/>
    <s v="1809000087"/>
  </r>
  <r>
    <s v="1809000088"/>
    <d v="2018-08-29T00:00:00"/>
    <d v="2018-08-29T00:00:00"/>
    <s v="DZ"/>
    <s v="USD"/>
    <n v="17244"/>
    <n v="17244"/>
    <s v="BDT"/>
    <s v="EGM1"/>
    <n v="1426941"/>
    <s v="CM ADVANCE ADJUSTED REF-424130648225"/>
    <s v="0000001010"/>
    <s v="E4552SB18UK0757"/>
    <s v=""/>
    <s v=""/>
    <s v="0"/>
    <s v="424130654681"/>
    <s v=""/>
    <s v=""/>
    <s v=""/>
    <s v=""/>
    <s v=""/>
    <x v="0"/>
    <d v="2019-05-02T00:00:00"/>
    <s v="1806000039"/>
    <d v="2018-08-29T00:00:00"/>
    <s v=""/>
    <s v="1809000088"/>
  </r>
  <r>
    <s v="1809000089"/>
    <d v="2018-08-29T00:00:00"/>
    <d v="2018-08-29T00:00:00"/>
    <s v="DZ"/>
    <s v="USD"/>
    <n v="19389"/>
    <n v="19389"/>
    <s v="BDT"/>
    <s v="EGM1"/>
    <n v="1604439.75"/>
    <s v="CM ADVANCE ADJUSTED REF-424130651185"/>
    <s v="0000001010"/>
    <s v="E44523C18GR0771"/>
    <s v=""/>
    <s v=""/>
    <s v="0"/>
    <s v="424130654654"/>
    <s v=""/>
    <s v=""/>
    <s v=""/>
    <s v=""/>
    <s v=""/>
    <x v="0"/>
    <d v="2019-05-02T00:00:00"/>
    <s v="1806000044"/>
    <d v="2018-08-29T00:00:00"/>
    <s v=""/>
    <s v="1809000089"/>
  </r>
  <r>
    <s v="1809000090"/>
    <d v="2018-08-29T00:00:00"/>
    <d v="2018-08-29T00:00:00"/>
    <s v="DZ"/>
    <s v="USD"/>
    <n v="42502"/>
    <n v="42502"/>
    <s v="BDT"/>
    <s v="EGM1"/>
    <n v="3517040.5"/>
    <s v="CM ADVANCE ADJUSTED REF-424130651185"/>
    <s v="0000001010"/>
    <s v="E44524C18GR0768"/>
    <s v=""/>
    <s v=""/>
    <s v="0"/>
    <s v="424130654663"/>
    <s v=""/>
    <s v=""/>
    <s v=""/>
    <s v=""/>
    <s v=""/>
    <x v="0"/>
    <d v="2019-05-02T00:00:00"/>
    <s v="1806000044"/>
    <d v="2018-08-29T00:00:00"/>
    <s v=""/>
    <s v="1809000090"/>
  </r>
  <r>
    <s v="1809000091"/>
    <d v="2018-08-29T00:00:00"/>
    <d v="2018-08-29T00:00:00"/>
    <s v="DZ"/>
    <s v="USD"/>
    <n v="38610"/>
    <n v="38610"/>
    <s v="BDT"/>
    <s v="EGM1"/>
    <n v="3194977.5"/>
    <s v="CM ADVANCE ADJUSTED REF-424130648225"/>
    <s v="0000001010"/>
    <s v="E44523C18GR0717"/>
    <s v=""/>
    <s v=""/>
    <s v="0"/>
    <s v="424130654672"/>
    <s v=""/>
    <s v=""/>
    <s v=""/>
    <s v=""/>
    <s v=""/>
    <x v="0"/>
    <d v="2019-05-02T00:00:00"/>
    <s v="1806000039"/>
    <d v="2018-08-29T00:00:00"/>
    <s v=""/>
    <s v="1809000091"/>
  </r>
  <r>
    <s v="1809000094"/>
    <d v="2018-08-20T00:00:00"/>
    <d v="2018-08-20T00:00:00"/>
    <s v="DZ"/>
    <s v="USD"/>
    <n v="21235"/>
    <n v="21235"/>
    <s v="BDT"/>
    <s v="EGM2"/>
    <n v="1757196.25"/>
    <s v="CM ADVANCE ADJUSTED REF-424130643630"/>
    <s v="0000001010"/>
    <s v="E24449VF18US0265"/>
    <s v=""/>
    <s v=""/>
    <s v="0"/>
    <s v="424130652022"/>
    <s v=""/>
    <s v=""/>
    <s v=""/>
    <s v=""/>
    <s v=""/>
    <x v="0"/>
    <d v="2019-02-23T00:00:00"/>
    <s v="1806000024"/>
    <d v="2018-08-20T00:00:00"/>
    <s v=""/>
    <s v="1809000094"/>
  </r>
  <r>
    <s v="1809000095"/>
    <d v="2018-08-20T00:00:00"/>
    <d v="2018-08-20T00:00:00"/>
    <s v="DZ"/>
    <s v="USD"/>
    <n v="47571"/>
    <n v="47571"/>
    <s v="BDT"/>
    <s v="EGM1"/>
    <n v="3936500.25"/>
    <s v="CM ADVANCE ADJUSTED REF-424130648225"/>
    <s v="0000001010"/>
    <s v="E44523CAND716"/>
    <s v=""/>
    <s v=""/>
    <s v="0"/>
    <s v="424130652004"/>
    <s v=""/>
    <s v=""/>
    <s v=""/>
    <s v=""/>
    <s v=""/>
    <x v="0"/>
    <d v="2019-05-02T00:00:00"/>
    <s v="1806000039"/>
    <d v="2018-08-20T00:00:00"/>
    <s v=""/>
    <s v="1809000095"/>
  </r>
  <r>
    <s v="1809000096"/>
    <d v="2018-08-20T00:00:00"/>
    <d v="2018-08-20T00:00:00"/>
    <s v="DZ"/>
    <s v="USD"/>
    <n v="17128"/>
    <n v="17128"/>
    <s v="BDT"/>
    <s v="EGM1"/>
    <n v="1417342"/>
    <s v="CM ADVANCE ADJUSTED REF-424130648225"/>
    <s v="0000001010"/>
    <s v="E04592US18-0735"/>
    <s v=""/>
    <s v=""/>
    <s v="0"/>
    <s v="424130652031"/>
    <s v=""/>
    <s v=""/>
    <s v=""/>
    <s v=""/>
    <s v=""/>
    <x v="0"/>
    <d v="2019-05-02T00:00:00"/>
    <s v="1806000039"/>
    <d v="2018-08-20T00:00:00"/>
    <s v=""/>
    <s v="1809000096"/>
  </r>
  <r>
    <s v="1809000097"/>
    <d v="2018-08-20T00:00:00"/>
    <d v="2018-08-20T00:00:00"/>
    <s v="DZ"/>
    <s v="USD"/>
    <n v="20018"/>
    <n v="20018"/>
    <s v="BDT"/>
    <s v="EGM1"/>
    <n v="1656489.5"/>
    <s v="CM ADVANCE ADJUSTED REF-424130648225"/>
    <s v="0000001010"/>
    <s v="E04592US18-0738"/>
    <s v=""/>
    <s v=""/>
    <s v="0"/>
    <s v="424130652013"/>
    <s v=""/>
    <s v=""/>
    <s v=""/>
    <s v=""/>
    <s v=""/>
    <x v="0"/>
    <d v="2019-05-02T00:00:00"/>
    <s v="1806000039"/>
    <d v="2018-08-20T00:00:00"/>
    <s v=""/>
    <s v="1809000097"/>
  </r>
  <r>
    <s v="1809000097"/>
    <d v="2018-08-20T00:00:00"/>
    <d v="2018-08-20T00:00:00"/>
    <s v="DZ"/>
    <s v="USD"/>
    <n v="2330"/>
    <n v="2330"/>
    <s v="BDT"/>
    <s v="EGM1"/>
    <n v="192807.5"/>
    <s v="CM ADVANCE ADJUSTED REF-424130651185"/>
    <s v="0000001010"/>
    <s v="E04592US18-0738"/>
    <s v=""/>
    <s v=""/>
    <s v="0"/>
    <s v="424130652013"/>
    <s v=""/>
    <s v=""/>
    <s v=""/>
    <s v=""/>
    <s v=""/>
    <x v="0"/>
    <d v="2019-05-02T00:00:00"/>
    <s v="1806000044"/>
    <d v="2018-08-20T00:00:00"/>
    <s v=""/>
    <s v="1809000097"/>
  </r>
  <r>
    <s v="1809000099"/>
    <d v="2018-08-29T00:00:00"/>
    <d v="2018-08-29T00:00:00"/>
    <s v="DZ"/>
    <s v="USD"/>
    <n v="67752"/>
    <n v="67752"/>
    <s v="BDT"/>
    <s v="EGM2"/>
    <n v="5606478"/>
    <s v="CM ADVANCE ADJUSTED REF-424130640526"/>
    <s v="0000001010"/>
    <s v="E04434US18 0256"/>
    <s v=""/>
    <s v=""/>
    <s v="0"/>
    <s v="424130654725"/>
    <s v=""/>
    <s v=""/>
    <s v=""/>
    <s v=""/>
    <s v=""/>
    <x v="0"/>
    <d v="2019-02-23T00:00:00"/>
    <s v="1806000012"/>
    <d v="2018-08-29T00:00:00"/>
    <s v=""/>
    <s v="1809000099"/>
  </r>
  <r>
    <s v="1809000100"/>
    <d v="2018-08-20T00:00:00"/>
    <d v="2018-08-20T00:00:00"/>
    <s v="DZ"/>
    <s v="USD"/>
    <n v="7487"/>
    <n v="7487"/>
    <s v="BDT"/>
    <s v="EGM2"/>
    <n v="617677.5"/>
    <s v="CM ADVANCE ADJUSTED REF-424130603193"/>
    <s v="0000001010"/>
    <s v="EG2KERA18STK0147"/>
    <s v=""/>
    <s v=""/>
    <s v="0"/>
    <s v="424130651997,424130651988"/>
    <s v=""/>
    <s v=""/>
    <s v=""/>
    <s v=""/>
    <s v=""/>
    <x v="0"/>
    <d v="2019-02-23T00:00:00"/>
    <s v="1806000013"/>
    <d v="2018-08-20T00:00:00"/>
    <s v=""/>
    <s v="1809000100"/>
  </r>
  <r>
    <s v="1809000100"/>
    <d v="2018-08-20T00:00:00"/>
    <d v="2018-08-20T00:00:00"/>
    <s v="DZ"/>
    <s v="USD"/>
    <n v="5778"/>
    <n v="5778"/>
    <s v="BDT"/>
    <s v="EGM2"/>
    <n v="477840.6"/>
    <s v="CM ADVANCE ADJUSTED REF-424130618436"/>
    <s v="0000001010"/>
    <s v="EG2KERA18STK0147"/>
    <s v=""/>
    <s v=""/>
    <s v="0"/>
    <s v="424130651997,424130651988"/>
    <s v=""/>
    <s v=""/>
    <s v=""/>
    <s v=""/>
    <s v=""/>
    <x v="0"/>
    <d v="2019-02-23T00:00:00"/>
    <s v="1806000022"/>
    <d v="2018-08-20T00:00:00"/>
    <s v=""/>
    <s v="1809000100"/>
  </r>
  <r>
    <s v="1809000100"/>
    <d v="2018-08-20T00:00:00"/>
    <d v="2018-08-20T00:00:00"/>
    <s v="DZ"/>
    <s v="USD"/>
    <n v="12346"/>
    <n v="12346"/>
    <s v="BDT"/>
    <s v="EGM2"/>
    <n v="1021631.5"/>
    <s v="CM ADVANCE ADJUSTED REF-424130648234"/>
    <s v="0000001010"/>
    <s v="EG2KERA18STK0147"/>
    <s v=""/>
    <s v=""/>
    <s v="0"/>
    <s v="424130651997,424130651988"/>
    <s v=""/>
    <s v=""/>
    <s v=""/>
    <s v=""/>
    <s v=""/>
    <x v="0"/>
    <d v="2019-02-23T00:00:00"/>
    <s v="1806000023"/>
    <d v="2018-08-20T00:00:00"/>
    <s v=""/>
    <s v="1809000100"/>
  </r>
  <r>
    <s v="1809000101"/>
    <d v="2018-08-06T00:00:00"/>
    <d v="2018-08-06T00:00:00"/>
    <s v="DZ"/>
    <s v="USD"/>
    <n v="43019"/>
    <n v="43019"/>
    <s v="BDT"/>
    <s v="EGM1"/>
    <n v="3559822.25"/>
    <s v="CM ADVANCE ADJUSTED REF-424130639930"/>
    <s v="0000001010"/>
    <s v="E04645US18 0698"/>
    <s v=""/>
    <s v=""/>
    <s v="0"/>
    <s v="424130644577"/>
    <s v=""/>
    <s v=""/>
    <s v=""/>
    <s v=""/>
    <s v=""/>
    <x v="0"/>
    <d v="2019-06-30T00:00:00"/>
    <s v="1806000072"/>
    <d v="2018-08-06T00:00:00"/>
    <s v=""/>
    <s v="1809000101"/>
  </r>
  <r>
    <s v="1809000102"/>
    <d v="2018-08-14T00:00:00"/>
    <d v="2018-08-14T00:00:00"/>
    <s v="DZ"/>
    <s v="USD"/>
    <n v="13063"/>
    <n v="13063"/>
    <s v="BDT"/>
    <s v="EGM1"/>
    <n v="1080963.25"/>
    <s v="CM ADVANCE ADJUSTED REF-424130639930"/>
    <s v="0000001010"/>
    <s v="E4633SB17UK0728"/>
    <s v=""/>
    <s v=""/>
    <s v="0"/>
    <s v="424130649992"/>
    <s v=""/>
    <s v=""/>
    <s v=""/>
    <s v=""/>
    <s v=""/>
    <x v="0"/>
    <d v="2019-06-30T00:00:00"/>
    <s v="1806000072"/>
    <d v="2018-08-14T00:00:00"/>
    <s v=""/>
    <s v="1809000102"/>
  </r>
  <r>
    <s v="1809000103"/>
    <d v="2018-08-14T00:00:00"/>
    <d v="2018-08-14T00:00:00"/>
    <s v="DZ"/>
    <s v="USD"/>
    <n v="58671"/>
    <n v="58671"/>
    <s v="BDT"/>
    <s v="EGM1"/>
    <n v="4855025.25"/>
    <s v="CM ADVANCE ADJUSTED REF-424130639930"/>
    <s v="0000001010"/>
    <s v="E04416US18-0721"/>
    <s v=""/>
    <s v=""/>
    <s v="0"/>
    <s v="424130650523"/>
    <s v=""/>
    <s v=""/>
    <s v=""/>
    <s v=""/>
    <s v=""/>
    <x v="0"/>
    <d v="2019-06-30T00:00:00"/>
    <s v="1806000072"/>
    <d v="2018-08-14T00:00:00"/>
    <s v=""/>
    <s v="1809000103"/>
  </r>
  <r>
    <s v="1809000109"/>
    <d v="2018-09-03T00:00:00"/>
    <d v="2018-09-03T00:00:00"/>
    <s v="DZ"/>
    <s v="USD"/>
    <n v="188326"/>
    <n v="188326"/>
    <s v="BDT"/>
    <s v="EGM1"/>
    <n v="15583976.5"/>
    <s v="CM ADVANCE ADJUSTED REF-424130648225"/>
    <s v="0000001010"/>
    <s v="E04592US18-0736"/>
    <s v=""/>
    <s v=""/>
    <s v="0"/>
    <s v="424130654921"/>
    <s v=""/>
    <s v=""/>
    <s v=""/>
    <s v=""/>
    <s v=""/>
    <x v="0"/>
    <d v="2019-05-02T00:00:00"/>
    <s v="1806000039"/>
    <d v="2018-09-03T00:00:00"/>
    <s v=""/>
    <s v="1809000109"/>
  </r>
  <r>
    <s v="1809000109"/>
    <d v="2018-09-03T00:00:00"/>
    <d v="2018-09-03T00:00:00"/>
    <s v="DZ"/>
    <s v="USD"/>
    <n v="176707"/>
    <n v="176707"/>
    <s v="BDT"/>
    <s v="EGM1"/>
    <n v="14622504.25"/>
    <s v="CM ADVANCE ADJUSTED REF-424130651185"/>
    <s v="0000001010"/>
    <s v="E04592US18-0736"/>
    <s v=""/>
    <s v=""/>
    <s v="0"/>
    <s v="424130654921"/>
    <s v=""/>
    <s v=""/>
    <s v=""/>
    <s v=""/>
    <s v=""/>
    <x v="0"/>
    <d v="2019-05-02T00:00:00"/>
    <s v="1806000044"/>
    <d v="2018-09-03T00:00:00"/>
    <s v=""/>
    <s v="1809000109"/>
  </r>
  <r>
    <s v="1809000110"/>
    <d v="2018-09-03T00:00:00"/>
    <d v="2018-09-03T00:00:00"/>
    <s v="DZ"/>
    <s v="USD"/>
    <n v="15945"/>
    <n v="15945"/>
    <s v="BDT"/>
    <s v="EGM2"/>
    <n v="1319448.75"/>
    <s v="CM ADVANCE ADJUSTED REF-424130651167"/>
    <s v="0000001010"/>
    <s v="E24569VF18US0276"/>
    <s v=""/>
    <s v=""/>
    <s v="0"/>
    <s v="424130655387"/>
    <s v=""/>
    <s v=""/>
    <s v=""/>
    <s v=""/>
    <s v=""/>
    <x v="0"/>
    <d v="2018-09-03T00:00:00"/>
    <s v="1809000110"/>
    <d v="2018-09-03T00:00:00"/>
    <s v=""/>
    <s v="1809000110"/>
  </r>
  <r>
    <s v="1809000111"/>
    <d v="2018-09-03T00:00:00"/>
    <d v="2018-09-03T00:00:00"/>
    <s v="DZ"/>
    <s v="USD"/>
    <n v="-565974"/>
    <n v="-565974"/>
    <s v="BDT"/>
    <s v="EGM1"/>
    <n v="-46834348.509999998"/>
    <s v="CM ADVANCE RECEVIED REF-424130655369"/>
    <s v="0000001010"/>
    <s v="IT06591808300213"/>
    <s v=""/>
    <s v=""/>
    <s v="0"/>
    <s v="424130655369"/>
    <s v=""/>
    <s v=""/>
    <s v=""/>
    <s v=""/>
    <s v=""/>
    <x v="0"/>
    <d v="2019-06-30T00:00:00"/>
    <s v="1806000073"/>
    <d v="2018-09-03T00:00:00"/>
    <s v=""/>
    <s v="1809000111"/>
  </r>
  <r>
    <s v="1809000112"/>
    <d v="2018-09-04T00:00:00"/>
    <d v="2018-09-04T00:00:00"/>
    <s v="DZ"/>
    <s v="USD"/>
    <n v="12769"/>
    <n v="12769"/>
    <s v="BDT"/>
    <s v="EGM1"/>
    <n v="1056634.75"/>
    <s v="CM ADVANCE ADJUSTED REF-424130651185"/>
    <s v="0000001010"/>
    <s v="E4552SB18UK0812"/>
    <s v=""/>
    <s v=""/>
    <s v="0"/>
    <s v="424130655396"/>
    <s v=""/>
    <s v=""/>
    <s v=""/>
    <s v=""/>
    <s v=""/>
    <x v="0"/>
    <d v="2019-05-02T00:00:00"/>
    <s v="1806000044"/>
    <d v="2018-09-04T00:00:00"/>
    <s v=""/>
    <s v="1809000112"/>
  </r>
  <r>
    <s v="1809000113"/>
    <d v="2018-09-04T00:00:00"/>
    <d v="2018-09-04T00:00:00"/>
    <s v="DZ"/>
    <s v="USD"/>
    <n v="-28952"/>
    <n v="-28952"/>
    <s v="BDT"/>
    <s v="EGM2"/>
    <n v="-2395778"/>
    <s v="CM ADVANCE RECEVIED REF-424130655528"/>
    <s v="0000001010"/>
    <s v="IT06591809040128"/>
    <s v=""/>
    <s v=""/>
    <s v="0"/>
    <s v="424130655528"/>
    <s v=""/>
    <s v=""/>
    <s v=""/>
    <s v=""/>
    <s v=""/>
    <x v="0"/>
    <d v="2018-09-20T00:00:00"/>
    <s v="1809000147"/>
    <d v="2018-09-04T00:00:00"/>
    <s v=""/>
    <s v="1809000113"/>
  </r>
  <r>
    <s v="1809000114"/>
    <d v="2018-09-04T00:00:00"/>
    <d v="2018-09-04T00:00:00"/>
    <s v="DZ"/>
    <s v="USD"/>
    <n v="-269879"/>
    <n v="-269879"/>
    <s v="BDT"/>
    <s v="EGM1"/>
    <n v="-22332487.260000002"/>
    <s v="CM ADVANCE RECEVIED REF-424130655519"/>
    <s v="0000001010"/>
    <s v="IT06591809040119"/>
    <s v=""/>
    <s v=""/>
    <s v="0"/>
    <s v="424130655519"/>
    <s v=""/>
    <s v=""/>
    <s v=""/>
    <s v=""/>
    <s v=""/>
    <x v="0"/>
    <d v="2019-05-02T00:00:00"/>
    <s v="1806000050"/>
    <d v="2018-09-04T00:00:00"/>
    <s v=""/>
    <s v="1809000114"/>
  </r>
  <r>
    <s v="1809000115"/>
    <d v="2018-09-04T00:00:00"/>
    <d v="2018-09-04T00:00:00"/>
    <s v="DZ"/>
    <s v="USD"/>
    <n v="-91043"/>
    <n v="-91043"/>
    <s v="BDT"/>
    <s v="EGM1"/>
    <n v="-7533808.2599999998"/>
    <s v="CM ADVANCE RECEVIED REF-424130655500"/>
    <s v="0000001010"/>
    <s v="IT06591809040122"/>
    <s v=""/>
    <s v=""/>
    <s v="0"/>
    <s v="424130655500"/>
    <s v=""/>
    <s v=""/>
    <s v=""/>
    <s v=""/>
    <s v=""/>
    <x v="0"/>
    <d v="2019-06-30T00:00:00"/>
    <s v="1806000079"/>
    <d v="2018-09-04T00:00:00"/>
    <s v=""/>
    <s v="1809000115"/>
  </r>
  <r>
    <s v="1809000116"/>
    <d v="2018-09-05T00:00:00"/>
    <d v="2018-09-05T00:00:00"/>
    <s v="DZ"/>
    <s v="USD"/>
    <n v="-314404"/>
    <n v="-314404"/>
    <s v="BDT"/>
    <s v="EGM2"/>
    <n v="-26016931"/>
    <s v="CM ADVANCE RECEVIED REF-424130657027"/>
    <s v="0000001010"/>
    <s v="IT06591809050207"/>
    <s v=""/>
    <s v=""/>
    <s v="0"/>
    <s v="424130657027"/>
    <s v=""/>
    <s v=""/>
    <s v=""/>
    <s v=""/>
    <s v=""/>
    <x v="0"/>
    <d v="2018-09-05T00:00:00"/>
    <s v="1803001815"/>
    <d v="2018-09-05T00:00:00"/>
    <s v=""/>
    <s v="1809000116"/>
  </r>
  <r>
    <s v="1809000117"/>
    <d v="2018-09-05T00:00:00"/>
    <d v="2018-09-05T00:00:00"/>
    <s v="DZ"/>
    <s v="USD"/>
    <n v="-314404"/>
    <n v="-314404"/>
    <s v="BDT"/>
    <s v="EGM2"/>
    <n v="-26016931"/>
    <s v="CM ADVANCE RECEVIED REF-424130657027"/>
    <s v="0000001010"/>
    <s v="IT06591809050207"/>
    <s v=""/>
    <s v=""/>
    <s v="0"/>
    <s v="424130657027"/>
    <s v=""/>
    <s v=""/>
    <s v=""/>
    <s v=""/>
    <s v=""/>
    <x v="0"/>
    <d v="2019-02-23T00:00:00"/>
    <s v="1806000006"/>
    <d v="2018-09-05T00:00:00"/>
    <s v=""/>
    <s v="1809000117"/>
  </r>
  <r>
    <s v="1809000118"/>
    <d v="2018-09-06T00:00:00"/>
    <d v="2018-09-06T00:00:00"/>
    <s v="DZ"/>
    <s v="USD"/>
    <n v="1772"/>
    <n v="1772"/>
    <s v="BDT"/>
    <s v="EGM1"/>
    <n v="146633"/>
    <s v="CM ADVANCE ADJUSTED REF-424130651185"/>
    <s v="0000001010"/>
    <s v="E04461WM18CA0781"/>
    <s v=""/>
    <s v=""/>
    <s v="0"/>
    <s v="424130658669"/>
    <s v=""/>
    <s v=""/>
    <s v=""/>
    <s v=""/>
    <s v=""/>
    <x v="0"/>
    <d v="2019-05-02T00:00:00"/>
    <s v="1806000044"/>
    <d v="2018-09-06T00:00:00"/>
    <s v=""/>
    <s v="1809000118"/>
  </r>
  <r>
    <s v="1809000119"/>
    <d v="2018-09-06T00:00:00"/>
    <d v="2018-09-06T00:00:00"/>
    <s v="DZ"/>
    <s v="USD"/>
    <n v="232868"/>
    <n v="232868"/>
    <s v="BDT"/>
    <s v="EGM1"/>
    <n v="19269827"/>
    <s v="CM ADVANCE ADJUSTED REF-424130648225"/>
    <s v="0000001010"/>
    <s v="E04593US180759"/>
    <s v=""/>
    <s v=""/>
    <s v="0"/>
    <s v="424130657250"/>
    <s v=""/>
    <s v=""/>
    <s v=""/>
    <s v=""/>
    <s v=""/>
    <x v="0"/>
    <d v="2019-05-02T00:00:00"/>
    <s v="1806000039"/>
    <d v="2018-09-06T00:00:00"/>
    <s v=""/>
    <s v="1809000119"/>
  </r>
  <r>
    <s v="1809000119"/>
    <d v="2018-09-06T00:00:00"/>
    <d v="2018-09-06T00:00:00"/>
    <s v="DZ"/>
    <s v="USD"/>
    <n v="69961"/>
    <n v="69961"/>
    <s v="BDT"/>
    <s v="EGM1"/>
    <n v="5789272.75"/>
    <s v="CM ADVANCE ADJUSTED REF-424130651185"/>
    <s v="0000001010"/>
    <s v="E04593US180759"/>
    <s v=""/>
    <s v=""/>
    <s v="0"/>
    <s v="424130657250"/>
    <s v=""/>
    <s v=""/>
    <s v=""/>
    <s v=""/>
    <s v=""/>
    <x v="0"/>
    <d v="2019-05-02T00:00:00"/>
    <s v="1806000044"/>
    <d v="2018-09-06T00:00:00"/>
    <s v=""/>
    <s v="1809000119"/>
  </r>
  <r>
    <s v="1809000121"/>
    <d v="2018-08-31T00:00:00"/>
    <d v="2018-08-31T00:00:00"/>
    <s v="DZ"/>
    <s v="USD"/>
    <n v="393746"/>
    <n v="393746"/>
    <s v="BDT"/>
    <s v="EGM1"/>
    <n v="32582481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7-31T00:00:00"/>
    <s v=""/>
    <s v="1809000121"/>
  </r>
  <r>
    <s v="1809000121"/>
    <d v="2018-08-31T00:00:00"/>
    <d v="2018-08-31T00:00:00"/>
    <s v="DZ"/>
    <s v="USD"/>
    <n v="-565974"/>
    <n v="-565974"/>
    <s v="BDT"/>
    <s v="EGM1"/>
    <n v="-46834348.5"/>
    <s v="FIT-CM ADV-AUG-18"/>
    <s v="0000001010"/>
    <s v="FIT-CM ADV-AUG18"/>
    <s v=""/>
    <s v=""/>
    <s v="0"/>
    <s v="CM ADV. FIT - AUG-18"/>
    <s v=""/>
    <s v=""/>
    <s v=""/>
    <s v=""/>
    <s v=""/>
    <x v="0"/>
    <d v="2018-09-01T00:00:00"/>
    <s v="1803002862"/>
    <d v="2018-08-31T00:00:00"/>
    <s v=""/>
    <s v="1809000121"/>
  </r>
  <r>
    <s v="1809000123"/>
    <d v="2018-09-09T00:00:00"/>
    <d v="2018-09-09T00:00:00"/>
    <s v="DZ"/>
    <s v="USD"/>
    <n v="96985"/>
    <n v="96985"/>
    <s v="BDT"/>
    <s v="EGM1"/>
    <n v="8025508.75"/>
    <s v="CM ADVANCE ADJUSTED REF-424130651185"/>
    <s v="0000001010"/>
    <s v="E04532US1800747"/>
    <s v=""/>
    <s v=""/>
    <s v="0"/>
    <s v="424130657269"/>
    <s v=""/>
    <s v=""/>
    <s v=""/>
    <s v=""/>
    <s v=""/>
    <x v="0"/>
    <d v="2019-05-02T00:00:00"/>
    <s v="1806000044"/>
    <d v="2018-09-09T00:00:00"/>
    <s v=""/>
    <s v="1809000123"/>
  </r>
  <r>
    <s v="1809000125"/>
    <d v="2018-09-11T00:00:00"/>
    <d v="2018-09-11T00:00:00"/>
    <s v="DZ"/>
    <s v="USD"/>
    <n v="-29214"/>
    <n v="-29214"/>
    <s v="BDT"/>
    <s v="EGM2"/>
    <n v="-2417458.5099999998"/>
    <s v="CM ADVANCE RECEVIED REF-424130660317"/>
    <s v="0000001010"/>
    <s v="IT06591809110025"/>
    <s v=""/>
    <s v=""/>
    <s v="0"/>
    <s v="424130660317"/>
    <s v=""/>
    <s v=""/>
    <s v=""/>
    <s v=""/>
    <s v=""/>
    <x v="0"/>
    <d v="2018-09-20T00:00:00"/>
    <s v="1809000147"/>
    <d v="2018-09-11T00:00:00"/>
    <s v=""/>
    <s v="1809000125"/>
  </r>
  <r>
    <s v="1809000126"/>
    <d v="2018-09-12T00:00:00"/>
    <d v="2018-09-12T00:00:00"/>
    <s v="DZ"/>
    <s v="USD"/>
    <n v="-165763"/>
    <n v="-165763"/>
    <s v="BDT"/>
    <s v="EGM1"/>
    <n v="-13716888.25"/>
    <s v="CM ADVANCE RECEVIED REF-424130660503"/>
    <s v="0000001010"/>
    <s v="IT06591809110244"/>
    <s v=""/>
    <s v=""/>
    <s v="0"/>
    <s v="424130660503"/>
    <s v=""/>
    <s v=""/>
    <s v=""/>
    <s v=""/>
    <s v=""/>
    <x v="0"/>
    <d v="2019-06-30T00:00:00"/>
    <s v="1806000075"/>
    <d v="2018-09-12T00:00:00"/>
    <s v=""/>
    <s v="1809000126"/>
  </r>
  <r>
    <s v="1809000127"/>
    <d v="2018-09-12T00:00:00"/>
    <d v="2018-09-12T00:00:00"/>
    <s v="DZ"/>
    <s v="USD"/>
    <n v="79439"/>
    <n v="79439"/>
    <s v="BDT"/>
    <s v="EGM1"/>
    <n v="6573577.25"/>
    <s v="CM ADVANCE ADJUSTED REF-424130648225"/>
    <s v="0000001010"/>
    <s v="E04595US18-0739"/>
    <s v=""/>
    <s v=""/>
    <s v="0"/>
    <s v="424130660326"/>
    <s v=""/>
    <s v=""/>
    <s v=""/>
    <s v=""/>
    <s v=""/>
    <x v="0"/>
    <d v="2019-05-02T00:00:00"/>
    <s v="1806000039"/>
    <d v="2018-09-12T00:00:00"/>
    <s v=""/>
    <s v="1809000127"/>
  </r>
  <r>
    <s v="1809000127"/>
    <d v="2018-09-12T00:00:00"/>
    <d v="2018-09-12T00:00:00"/>
    <s v="DZ"/>
    <s v="USD"/>
    <n v="68957"/>
    <n v="68957"/>
    <s v="BDT"/>
    <s v="EGM1"/>
    <n v="5706191.75"/>
    <s v="CM ADVANCE ADJUSTED REF-424130655369"/>
    <s v="0000001010"/>
    <s v="E04595US18-0739"/>
    <s v=""/>
    <s v=""/>
    <s v="0"/>
    <s v="424130660326"/>
    <s v=""/>
    <s v=""/>
    <s v=""/>
    <s v=""/>
    <s v=""/>
    <x v="0"/>
    <d v="2019-06-30T00:00:00"/>
    <s v="1806000073"/>
    <d v="2018-09-12T00:00:00"/>
    <s v=""/>
    <s v="1809000127"/>
  </r>
  <r>
    <s v="1809000127"/>
    <d v="2018-09-12T00:00:00"/>
    <d v="2018-09-12T00:00:00"/>
    <s v="DZ"/>
    <s v="USD"/>
    <n v="1097"/>
    <n v="1097"/>
    <s v="BDT"/>
    <s v="EGM1"/>
    <n v="90776.75"/>
    <s v="CM ADVANCE ADJUSTED REF-424130651185"/>
    <s v="0000001010"/>
    <s v="E04595US18-0739"/>
    <s v=""/>
    <s v=""/>
    <s v="0"/>
    <s v="424130660326"/>
    <s v=""/>
    <s v=""/>
    <s v=""/>
    <s v=""/>
    <s v=""/>
    <x v="0"/>
    <d v="2019-05-02T00:00:00"/>
    <s v="1806000044"/>
    <d v="2018-09-12T00:00:00"/>
    <s v=""/>
    <s v="1809000127"/>
  </r>
  <r>
    <s v="1809000127"/>
    <d v="2018-09-12T00:00:00"/>
    <d v="2018-09-12T00:00:00"/>
    <s v="DZ"/>
    <s v="USD"/>
    <n v="2843"/>
    <n v="2843"/>
    <s v="BDT"/>
    <s v="EGM1"/>
    <n v="235258.25"/>
    <s v="CM ADVANCE ADJUSTED REF-424130655500"/>
    <s v="0000001010"/>
    <s v="E04595US18-0739"/>
    <s v=""/>
    <s v=""/>
    <s v="0"/>
    <s v="424130660326"/>
    <s v=""/>
    <s v=""/>
    <s v=""/>
    <s v=""/>
    <s v=""/>
    <x v="0"/>
    <d v="2019-06-30T00:00:00"/>
    <s v="1806000079"/>
    <d v="2018-09-12T00:00:00"/>
    <s v=""/>
    <s v="1809000127"/>
  </r>
  <r>
    <s v="1809000128"/>
    <d v="2018-09-12T00:00:00"/>
    <d v="2018-09-12T00:00:00"/>
    <s v="DZ"/>
    <s v="USD"/>
    <n v="20204"/>
    <n v="20204"/>
    <s v="BDT"/>
    <s v="EGM1"/>
    <n v="1671881"/>
    <s v="CM ADVANCE ADJUSTED REF-424130655369"/>
    <s v="0000001010"/>
    <s v="E4552SB18UK0813"/>
    <s v=""/>
    <s v=""/>
    <s v="0"/>
    <s v="424130660344"/>
    <s v=""/>
    <s v=""/>
    <s v=""/>
    <s v=""/>
    <s v=""/>
    <x v="0"/>
    <d v="2019-06-30T00:00:00"/>
    <s v="1806000073"/>
    <d v="2018-09-12T00:00:00"/>
    <s v=""/>
    <s v="1809000128"/>
  </r>
  <r>
    <s v="1809000130"/>
    <d v="2018-09-16T00:00:00"/>
    <d v="2018-09-16T00:00:00"/>
    <s v="DZ"/>
    <s v="USD"/>
    <n v="16064"/>
    <n v="16064"/>
    <s v="BDT"/>
    <s v="EGM1"/>
    <n v="1329296"/>
    <s v=""/>
    <s v="0000001010"/>
    <s v="E04596WM18JP0818"/>
    <s v=""/>
    <s v=""/>
    <s v="0"/>
    <s v="424130661405"/>
    <s v=""/>
    <s v=""/>
    <s v=""/>
    <s v=""/>
    <s v=""/>
    <x v="0"/>
    <d v="2019-06-30T00:00:00"/>
    <s v="1806000079"/>
    <d v="2018-09-16T00:00:00"/>
    <s v=""/>
    <s v="1809000130"/>
  </r>
  <r>
    <s v="1809000131"/>
    <d v="2018-09-16T00:00:00"/>
    <d v="2018-09-16T00:00:00"/>
    <s v="DZ"/>
    <s v="USD"/>
    <n v="4927"/>
    <n v="4927"/>
    <s v="BDT"/>
    <s v="EGM1"/>
    <n v="407709.25"/>
    <s v="CM Adv Adjusted.424130655369"/>
    <s v="0000001010"/>
    <s v="E4552SB18UK0831"/>
    <s v=""/>
    <s v=""/>
    <s v="0"/>
    <s v="424130661414"/>
    <s v=""/>
    <s v=""/>
    <s v=""/>
    <s v=""/>
    <s v=""/>
    <x v="0"/>
    <d v="2019-06-30T00:00:00"/>
    <s v="1806000073"/>
    <d v="2018-09-16T00:00:00"/>
    <s v=""/>
    <s v="1809000131"/>
  </r>
  <r>
    <s v="1809000134"/>
    <d v="2018-09-17T00:00:00"/>
    <d v="2018-09-17T00:00:00"/>
    <s v="DZ"/>
    <s v="USD"/>
    <n v="61321"/>
    <n v="61321"/>
    <s v="BDT"/>
    <s v="EGM1"/>
    <n v="5074312.76"/>
    <s v="CM Adv Adjusted.424130655500"/>
    <s v="0000001010"/>
    <s v="E04662US18-0814"/>
    <s v=""/>
    <s v=""/>
    <s v="0"/>
    <s v="424130661833"/>
    <s v=""/>
    <s v=""/>
    <s v=""/>
    <s v=""/>
    <s v=""/>
    <x v="0"/>
    <d v="2019-06-30T00:00:00"/>
    <s v="1806000079"/>
    <d v="2018-09-17T00:00:00"/>
    <s v=""/>
    <s v="1809000134"/>
  </r>
  <r>
    <s v="1809000136"/>
    <d v="2018-09-19T00:00:00"/>
    <d v="2018-09-19T00:00:00"/>
    <s v="DZ"/>
    <s v="USD"/>
    <n v="9931"/>
    <n v="9931"/>
    <s v="BDT"/>
    <s v="EGM1"/>
    <n v="821790.25"/>
    <s v="CM Adv Adjusted.424130655519"/>
    <s v="0000001010"/>
    <s v="E04678US18-0836"/>
    <s v=""/>
    <s v=""/>
    <s v="0"/>
    <s v="424130663751"/>
    <s v=""/>
    <s v=""/>
    <s v=""/>
    <s v=""/>
    <s v=""/>
    <x v="0"/>
    <d v="2019-05-02T00:00:00"/>
    <s v="1806000050"/>
    <d v="2018-09-19T00:00:00"/>
    <s v=""/>
    <s v="1809000136"/>
  </r>
  <r>
    <s v="1809000138"/>
    <d v="2018-09-23T00:00:00"/>
    <d v="2018-09-23T00:00:00"/>
    <s v="DZ"/>
    <s v="USD"/>
    <n v="3450"/>
    <n v="3450"/>
    <s v="BDT"/>
    <s v="EGM1"/>
    <n v="285487.5"/>
    <s v=""/>
    <s v="0000001010"/>
    <s v="E4552SB18UK0844"/>
    <s v=""/>
    <s v=""/>
    <s v="0"/>
    <s v="424130665973"/>
    <s v=""/>
    <s v=""/>
    <s v=""/>
    <s v=""/>
    <s v=""/>
    <x v="0"/>
    <d v="2019-06-30T00:00:00"/>
    <s v="1806000075"/>
    <d v="2018-09-23T00:00:00"/>
    <s v=""/>
    <s v="1809000138"/>
  </r>
  <r>
    <s v="1809000139"/>
    <d v="2018-09-23T00:00:00"/>
    <d v="2018-09-23T00:00:00"/>
    <s v="DZ"/>
    <s v="USD"/>
    <n v="129565"/>
    <n v="129565"/>
    <s v="BDT"/>
    <s v="EGM1"/>
    <n v="10721503.75"/>
    <s v="CM Adv Adjusted.424130655519"/>
    <s v="0000001010"/>
    <s v="E04463US18-0820"/>
    <s v=""/>
    <s v=""/>
    <s v="0"/>
    <s v="424130665982"/>
    <s v=""/>
    <s v=""/>
    <s v=""/>
    <s v=""/>
    <s v=""/>
    <x v="0"/>
    <d v="2019-05-02T00:00:00"/>
    <s v="1806000050"/>
    <d v="2018-09-23T00:00:00"/>
    <s v=""/>
    <s v="1809000139"/>
  </r>
  <r>
    <s v="1809000139"/>
    <d v="2018-09-23T00:00:00"/>
    <d v="2018-09-23T00:00:00"/>
    <s v="DZ"/>
    <s v="USD"/>
    <n v="65428"/>
    <n v="65428"/>
    <s v="BDT"/>
    <s v="EGM1"/>
    <n v="5414167"/>
    <s v="CM Adv Adjusted.424130660503"/>
    <s v="0000001010"/>
    <s v="E04463US18-0820"/>
    <s v=""/>
    <s v=""/>
    <s v="0"/>
    <s v="424130665982"/>
    <s v=""/>
    <s v=""/>
    <s v=""/>
    <s v=""/>
    <s v=""/>
    <x v="0"/>
    <d v="2019-06-30T00:00:00"/>
    <s v="1806000075"/>
    <d v="2018-09-23T00:00:00"/>
    <s v=""/>
    <s v="1809000139"/>
  </r>
  <r>
    <s v="1809000142"/>
    <d v="2018-09-27T00:00:00"/>
    <d v="2018-09-27T00:00:00"/>
    <s v="DZ"/>
    <s v="USD"/>
    <n v="18126"/>
    <n v="18126"/>
    <s v="BDT"/>
    <s v="EGM1"/>
    <n v="1499926.5"/>
    <s v="CM Adv Adjusted.424130655519"/>
    <s v="0000001010"/>
    <s v="E04691US18-0856"/>
    <s v=""/>
    <s v=""/>
    <s v="0"/>
    <s v="424130668088"/>
    <s v=""/>
    <s v=""/>
    <s v=""/>
    <s v=""/>
    <s v=""/>
    <x v="0"/>
    <d v="2019-05-02T00:00:00"/>
    <s v="1806000050"/>
    <d v="2018-09-27T00:00:00"/>
    <s v=""/>
    <s v="1809000142"/>
  </r>
  <r>
    <s v="1809000142"/>
    <d v="2018-09-27T00:00:00"/>
    <d v="2018-09-27T00:00:00"/>
    <s v="DZ"/>
    <s v="USD"/>
    <n v="78853"/>
    <n v="78853"/>
    <s v="BDT"/>
    <s v="EGM1"/>
    <n v="6525085.75"/>
    <s v="CM Adv Adjusted.424130660503"/>
    <s v="0000001010"/>
    <s v="E04691US18-0856"/>
    <s v=""/>
    <s v=""/>
    <s v="0"/>
    <s v="424130668088"/>
    <s v=""/>
    <s v=""/>
    <s v=""/>
    <s v=""/>
    <s v=""/>
    <x v="0"/>
    <d v="2019-06-30T00:00:00"/>
    <s v="1806000075"/>
    <d v="2018-09-27T00:00:00"/>
    <s v=""/>
    <s v="1809000142"/>
  </r>
  <r>
    <s v="1809000143"/>
    <d v="2018-09-09T00:00:00"/>
    <d v="2018-09-09T00:00:00"/>
    <s v="DZ"/>
    <s v="USD"/>
    <n v="8594"/>
    <n v="8594"/>
    <s v="BDT"/>
    <s v="EGM1"/>
    <n v="711153.5"/>
    <s v="CM Adv Adjusted.424130650532"/>
    <s v="0000001010"/>
    <s v="E24570VF18US0272"/>
    <s v=""/>
    <s v=""/>
    <s v="0"/>
    <s v="424130658678"/>
    <s v=""/>
    <s v=""/>
    <s v=""/>
    <s v=""/>
    <s v=""/>
    <x v="0"/>
    <d v="2019-05-02T00:00:00"/>
    <s v="1806000064"/>
    <d v="2018-09-09T00:00:00"/>
    <s v=""/>
    <s v="1809000143"/>
  </r>
  <r>
    <s v="1809000143"/>
    <d v="2018-09-09T00:00:00"/>
    <d v="2018-09-09T00:00:00"/>
    <s v="DZ"/>
    <s v="USD"/>
    <n v="11601"/>
    <n v="11601"/>
    <s v="BDT"/>
    <s v="EGM2"/>
    <n v="959982.75"/>
    <s v="CM Adv Adjusted.424130643630"/>
    <s v="0000001010"/>
    <s v="E24570VF18US0272"/>
    <s v=""/>
    <s v=""/>
    <s v="0"/>
    <s v="424130658678"/>
    <s v=""/>
    <s v=""/>
    <s v=""/>
    <s v=""/>
    <s v=""/>
    <x v="0"/>
    <d v="2019-02-23T00:00:00"/>
    <s v="1806000024"/>
    <d v="2018-09-09T00:00:00"/>
    <s v=""/>
    <s v="1809000143"/>
  </r>
  <r>
    <s v="1809000144"/>
    <d v="2018-09-09T00:00:00"/>
    <d v="2018-09-09T00:00:00"/>
    <s v="DZ"/>
    <s v="USD"/>
    <n v="82312"/>
    <n v="82312"/>
    <s v="BDT"/>
    <s v="EGM2"/>
    <n v="6811318"/>
    <s v="CM Adv Adjusted.424130644559"/>
    <s v="0000001010"/>
    <s v="E04405US18-0266"/>
    <s v=""/>
    <s v=""/>
    <s v="0"/>
    <s v="424130659098"/>
    <s v=""/>
    <s v=""/>
    <s v=""/>
    <s v=""/>
    <s v=""/>
    <x v="0"/>
    <d v="2018-09-09T00:00:00"/>
    <s v="1809000144"/>
    <d v="2018-09-09T00:00:00"/>
    <s v=""/>
    <s v="1809000144"/>
  </r>
  <r>
    <s v="1809000145"/>
    <d v="2018-09-16T00:00:00"/>
    <d v="2018-09-16T00:00:00"/>
    <s v="DZ"/>
    <s v="USD"/>
    <n v="128442"/>
    <n v="128442"/>
    <s v="BDT"/>
    <s v="EGM2"/>
    <n v="10628575.5"/>
    <s v="CM Adv Adjusted.424130651158"/>
    <s v="0000001010"/>
    <s v="E04414US18-0274"/>
    <s v=""/>
    <s v=""/>
    <s v="0"/>
    <s v="424130661815"/>
    <s v=""/>
    <s v=""/>
    <s v=""/>
    <s v=""/>
    <s v=""/>
    <x v="0"/>
    <d v="2018-09-16T00:00:00"/>
    <s v="1809000145"/>
    <d v="2018-09-16T00:00:00"/>
    <s v=""/>
    <s v="1809000145"/>
  </r>
  <r>
    <s v="1809000147"/>
    <d v="2018-09-20T00:00:00"/>
    <d v="2018-09-20T00:00:00"/>
    <s v="DZ"/>
    <s v="USD"/>
    <n v="18559"/>
    <n v="18559"/>
    <s v="BDT"/>
    <s v="EGM2"/>
    <n v="1535757.25"/>
    <s v=""/>
    <s v="0000001010"/>
    <s v="E24539VF18US0254"/>
    <s v=""/>
    <s v=""/>
    <s v="0"/>
    <s v="424130664714"/>
    <s v=""/>
    <s v=""/>
    <s v=""/>
    <s v=""/>
    <s v=""/>
    <x v="0"/>
    <d v="2019-02-23T00:00:00"/>
    <s v="1806000006"/>
    <d v="2018-09-20T00:00:00"/>
    <s v=""/>
    <s v="1809000147"/>
  </r>
  <r>
    <s v="1809000147"/>
    <d v="2018-09-20T00:00:00"/>
    <d v="2018-09-20T00:00:00"/>
    <s v="DZ"/>
    <s v="USD"/>
    <n v="2024"/>
    <n v="2024"/>
    <s v="BDT"/>
    <s v="EGM2"/>
    <n v="167486"/>
    <s v=""/>
    <s v="0000001010"/>
    <s v="E24539VF18US0254"/>
    <s v=""/>
    <s v=""/>
    <s v="0"/>
    <s v="424130664714"/>
    <s v=""/>
    <s v=""/>
    <s v=""/>
    <s v=""/>
    <s v=""/>
    <x v="0"/>
    <d v="2019-02-23T00:00:00"/>
    <s v="1806000007"/>
    <d v="2018-09-20T00:00:00"/>
    <s v=""/>
    <s v="1809000147"/>
  </r>
  <r>
    <s v="1809000147"/>
    <d v="2018-09-20T00:00:00"/>
    <d v="2018-09-20T00:00:00"/>
    <s v="DZ"/>
    <s v="USD"/>
    <n v="58166"/>
    <n v="58166"/>
    <s v="BDT"/>
    <s v="EGM2"/>
    <n v="4813236.51"/>
    <s v="CM Adv Adjusted.424130660317 &amp; 424130655528"/>
    <s v="0000001010"/>
    <s v="E24539VF18US0254"/>
    <s v=""/>
    <s v=""/>
    <s v="0"/>
    <s v="424130664714"/>
    <s v=""/>
    <s v=""/>
    <s v=""/>
    <s v=""/>
    <s v=""/>
    <x v="0"/>
    <d v="2018-09-20T00:00:00"/>
    <s v="1809000147"/>
    <d v="2018-09-20T00:00:00"/>
    <s v=""/>
    <s v="1809000147"/>
  </r>
  <r>
    <s v="1809000148"/>
    <d v="2018-09-30T00:00:00"/>
    <d v="2018-09-30T00:00:00"/>
    <s v="DZ"/>
    <s v="USD"/>
    <n v="12686"/>
    <n v="12686"/>
    <s v="BDT"/>
    <s v="EGM2"/>
    <n v="1049766.5"/>
    <s v="CM Adv Adjusted.424130657027"/>
    <s v="0000001010"/>
    <s v="E24618VF18US0284"/>
    <s v=""/>
    <s v=""/>
    <s v="0"/>
    <s v="424130668097"/>
    <s v=""/>
    <s v=""/>
    <s v=""/>
    <s v=""/>
    <s v=""/>
    <x v="0"/>
    <d v="2019-02-23T00:00:00"/>
    <s v="1806000006"/>
    <d v="2018-09-30T00:00:00"/>
    <s v=""/>
    <s v="1809000148"/>
  </r>
  <r>
    <s v="1809000148"/>
    <d v="2018-09-30T00:00:00"/>
    <d v="2018-09-30T00:00:00"/>
    <s v="DZ"/>
    <s v="USD"/>
    <n v="11585"/>
    <n v="11585"/>
    <s v="BDT"/>
    <s v="EGM2"/>
    <n v="958658.75"/>
    <s v="CM Adv Adjusted.424130651176"/>
    <s v="0000001010"/>
    <s v="E24618VF18US0284"/>
    <s v=""/>
    <s v=""/>
    <s v="0"/>
    <s v="424130668097"/>
    <s v=""/>
    <s v=""/>
    <s v=""/>
    <s v=""/>
    <s v=""/>
    <x v="0"/>
    <d v="2019-02-23T00:00:00"/>
    <s v="1806000007"/>
    <d v="2018-09-30T00:00:00"/>
    <s v=""/>
    <s v="1809000148"/>
  </r>
  <r>
    <s v="1809000149"/>
    <d v="2018-09-20T00:00:00"/>
    <d v="2018-09-20T00:00:00"/>
    <s v="DZ"/>
    <s v="USD"/>
    <n v="-27893"/>
    <n v="-27893"/>
    <s v="BDT"/>
    <s v="EGM2"/>
    <n v="-2308145.7599999998"/>
    <s v="CM advance receive, ref-424130664705"/>
    <s v="0000001010"/>
    <s v="IT065918092005"/>
    <s v=""/>
    <s v=""/>
    <s v="0"/>
    <s v="424130664705"/>
    <s v=""/>
    <s v=""/>
    <s v=""/>
    <s v=""/>
    <s v=""/>
    <x v="0"/>
    <d v="2019-02-26T00:00:00"/>
    <s v="1806000028"/>
    <d v="2018-09-20T00:00:00"/>
    <s v=""/>
    <s v="1809000149"/>
  </r>
  <r>
    <s v="1809000150"/>
    <d v="2018-09-25T00:00:00"/>
    <d v="2018-09-25T00:00:00"/>
    <s v="DZ"/>
    <s v="USD"/>
    <n v="-316719"/>
    <n v="-316719"/>
    <s v="BDT"/>
    <s v="EGM1"/>
    <n v="-26208497.25"/>
    <s v="CM advance receive, ref-424130667301"/>
    <s v="0000001010"/>
    <s v="IT06591809240175"/>
    <s v=""/>
    <s v=""/>
    <s v="0"/>
    <s v="424130667301"/>
    <s v=""/>
    <s v=""/>
    <s v=""/>
    <s v=""/>
    <s v=""/>
    <x v="0"/>
    <d v="2019-06-30T00:00:00"/>
    <s v="1806000074"/>
    <d v="2018-09-25T00:00:00"/>
    <s v=""/>
    <s v="1809000150"/>
  </r>
  <r>
    <s v="1809000151"/>
    <d v="2018-09-09T00:00:00"/>
    <d v="2018-09-09T00:00:00"/>
    <s v="DZ"/>
    <s v="USD"/>
    <n v="471886"/>
    <n v="471886"/>
    <s v="BDT"/>
    <s v="EGM1"/>
    <n v="39048566.509999998"/>
    <s v=""/>
    <s v="0000001010"/>
    <s v="E04639US18-0799"/>
    <s v=""/>
    <s v=""/>
    <s v="0"/>
    <s v="424130659132,424130659141"/>
    <s v=""/>
    <s v=""/>
    <s v=""/>
    <s v=""/>
    <s v=""/>
    <x v="0"/>
    <d v="2019-06-30T00:00:00"/>
    <s v="1806000073"/>
    <d v="2018-09-09T00:00:00"/>
    <s v=""/>
    <s v="1809000151"/>
  </r>
  <r>
    <s v="1809000151"/>
    <d v="2018-09-09T00:00:00"/>
    <d v="2018-09-09T00:00:00"/>
    <s v="DZ"/>
    <s v="USD"/>
    <n v="10815"/>
    <n v="10815"/>
    <s v="BDT"/>
    <s v="EGM1"/>
    <n v="894941.25"/>
    <s v=""/>
    <s v="0000001010"/>
    <s v="E04639US18-0799"/>
    <s v=""/>
    <s v=""/>
    <s v="0"/>
    <s v="424130659132,424130659141"/>
    <s v=""/>
    <s v=""/>
    <s v=""/>
    <s v=""/>
    <s v=""/>
    <x v="0"/>
    <d v="2019-06-30T00:00:00"/>
    <s v="1806000079"/>
    <d v="2018-09-09T00:00:00"/>
    <s v=""/>
    <s v="1809000151"/>
  </r>
  <r>
    <s v="1809000153"/>
    <d v="2018-09-30T00:00:00"/>
    <d v="2018-09-30T00:00:00"/>
    <s v="DZ"/>
    <s v="USD"/>
    <n v="192835"/>
    <n v="192835"/>
    <s v="BDT"/>
    <s v="EGM1"/>
    <n v="15957096.25"/>
    <s v="FIT-CM ADV-SEP-18"/>
    <s v="0000001010"/>
    <s v="FIT-CM ADV-SEP18"/>
    <s v=""/>
    <s v=""/>
    <s v="0"/>
    <s v="CM ADV. FIT - SEP-18"/>
    <s v=""/>
    <s v=""/>
    <s v=""/>
    <s v=""/>
    <s v=""/>
    <x v="0"/>
    <d v="2018-10-01T00:00:00"/>
    <s v="1803003902"/>
    <d v="2018-09-30T00:00:00"/>
    <s v=""/>
    <s v="1809000153"/>
  </r>
  <r>
    <s v="1809000158"/>
    <d v="2018-10-04T00:00:00"/>
    <d v="2018-10-04T00:00:00"/>
    <s v="DZ"/>
    <s v="USD"/>
    <n v="20989"/>
    <n v="20989"/>
    <s v="BDT"/>
    <s v="EGM1"/>
    <n v="1736839.75"/>
    <s v=""/>
    <s v="0000001010"/>
    <s v="E4552SB18UK0876"/>
    <s v=""/>
    <s v=""/>
    <s v="0"/>
    <s v="424130670814"/>
    <s v=""/>
    <s v=""/>
    <s v=""/>
    <s v=""/>
    <s v=""/>
    <x v="0"/>
    <d v="2019-06-30T00:00:00"/>
    <s v="1806000074"/>
    <d v="2018-10-04T00:00:00"/>
    <s v=""/>
    <s v="1809000158"/>
  </r>
  <r>
    <s v="1809000160"/>
    <d v="2018-10-04T00:00:00"/>
    <d v="2018-10-04T00:00:00"/>
    <s v="DZ"/>
    <s v="USD"/>
    <n v="195654"/>
    <n v="195654"/>
    <s v="BDT"/>
    <s v="EGM1"/>
    <n v="16190368.5"/>
    <s v="CM Adv Adjusted.424130667301"/>
    <s v="0000001010"/>
    <s v="IT065918100279"/>
    <s v=""/>
    <s v=""/>
    <s v="0"/>
    <s v="424130670832"/>
    <s v=""/>
    <s v=""/>
    <s v=""/>
    <s v=""/>
    <s v=""/>
    <x v="0"/>
    <d v="2019-06-30T00:00:00"/>
    <s v="1806000074"/>
    <d v="2018-10-04T00:00:00"/>
    <s v=""/>
    <s v="1809000160"/>
  </r>
  <r>
    <s v="1809000160"/>
    <d v="2018-10-04T00:00:00"/>
    <d v="2018-10-04T00:00:00"/>
    <s v="DZ"/>
    <s v="USD"/>
    <n v="33947"/>
    <n v="33947"/>
    <s v="BDT"/>
    <s v="EGM1"/>
    <n v="2809114.25"/>
    <s v="CM Adv Adjusted.424130655519"/>
    <s v="0000001010"/>
    <s v="IT065918100279"/>
    <s v=""/>
    <s v=""/>
    <s v="0"/>
    <s v="424130670832"/>
    <s v=""/>
    <s v=""/>
    <s v=""/>
    <s v=""/>
    <s v=""/>
    <x v="0"/>
    <d v="2019-05-02T00:00:00"/>
    <s v="1806000050"/>
    <d v="2018-10-04T00:00:00"/>
    <s v=""/>
    <s v="1809000160"/>
  </r>
  <r>
    <s v="1809000161"/>
    <d v="2018-10-10T00:00:00"/>
    <d v="2018-10-10T00:00:00"/>
    <s v="DZ"/>
    <s v="USD"/>
    <n v="16791"/>
    <n v="16791"/>
    <s v="BDT"/>
    <s v="EGM1"/>
    <n v="1389455.25"/>
    <s v="CM Adv Adjusted.424130667301"/>
    <s v="0000001010"/>
    <s v="E4612SB18UK0901"/>
    <s v=""/>
    <s v=""/>
    <s v="0"/>
    <s v="424130672420"/>
    <s v=""/>
    <s v=""/>
    <s v=""/>
    <s v=""/>
    <s v=""/>
    <x v="0"/>
    <d v="2019-06-30T00:00:00"/>
    <s v="1806000074"/>
    <d v="2018-10-10T00:00:00"/>
    <s v=""/>
    <s v="1809000161"/>
  </r>
  <r>
    <s v="1809000164"/>
    <d v="2018-10-04T00:00:00"/>
    <d v="2018-10-04T00:00:00"/>
    <s v="DZ"/>
    <s v="USD"/>
    <n v="-191459"/>
    <n v="-191459"/>
    <s v="BDT"/>
    <s v="EGM1"/>
    <n v="-15852805.199999999"/>
    <s v="CM ADVANCE RECEIVE -424130670789"/>
    <s v="0000001010"/>
    <s v="IT065918100276"/>
    <s v=""/>
    <s v=""/>
    <s v="0"/>
    <s v="424130670789"/>
    <s v=""/>
    <s v=""/>
    <s v=""/>
    <s v=""/>
    <s v=""/>
    <x v="0"/>
    <d v="2019-06-30T00:00:00"/>
    <s v="1806000087"/>
    <d v="2018-10-04T00:00:00"/>
    <s v=""/>
    <s v="1809000164"/>
  </r>
  <r>
    <s v="1809000165"/>
    <d v="2018-10-04T00:00:00"/>
    <d v="2018-10-04T00:00:00"/>
    <s v="DZ"/>
    <s v="USD"/>
    <n v="-414344"/>
    <n v="-414344"/>
    <s v="BDT"/>
    <s v="EGM1"/>
    <n v="-34307683.200000003"/>
    <s v="CM ADVANCE RECEIVE -424130670985"/>
    <s v="0000001010"/>
    <s v="ARV"/>
    <s v=""/>
    <s v=""/>
    <s v="0"/>
    <s v="424130670985"/>
    <s v=""/>
    <s v=""/>
    <s v=""/>
    <s v=""/>
    <s v=""/>
    <x v="0"/>
    <d v="2019-05-02T00:00:00"/>
    <s v="1806000045"/>
    <d v="2018-10-04T00:00:00"/>
    <s v=""/>
    <s v="1809000165"/>
  </r>
  <r>
    <s v="1809000166"/>
    <d v="2018-10-11T00:00:00"/>
    <d v="2018-10-11T00:00:00"/>
    <s v="DZ"/>
    <s v="USD"/>
    <n v="-47700"/>
    <n v="-47700"/>
    <s v="BDT"/>
    <s v="EGM1"/>
    <n v="-3949560"/>
    <s v="CM ADVANCE RECEIVE -424130673072"/>
    <s v="0000001010"/>
    <s v="ARV"/>
    <s v=""/>
    <s v=""/>
    <s v="0"/>
    <s v="424130673072"/>
    <s v=""/>
    <s v=""/>
    <s v=""/>
    <s v=""/>
    <s v=""/>
    <x v="0"/>
    <d v="2019-06-30T00:00:00"/>
    <s v="1806000087"/>
    <d v="2018-10-11T00:00:00"/>
    <s v=""/>
    <s v="1809000166"/>
  </r>
  <r>
    <s v="1809000167"/>
    <d v="2018-10-11T00:00:00"/>
    <d v="2018-10-11T00:00:00"/>
    <s v="DZ"/>
    <s v="USD"/>
    <n v="-127681"/>
    <n v="-127681"/>
    <s v="BDT"/>
    <s v="EGM1"/>
    <n v="-10571986.810000001"/>
    <s v="CM ADVANCE RECEIVE -424130673713"/>
    <s v="0000001010"/>
    <s v="ARV"/>
    <s v=""/>
    <s v=""/>
    <s v="0"/>
    <s v="424130673713"/>
    <s v=""/>
    <s v=""/>
    <s v=""/>
    <s v=""/>
    <s v=""/>
    <x v="0"/>
    <d v="2019-01-21T00:00:00"/>
    <s v="1809000377"/>
    <d v="2018-10-11T00:00:00"/>
    <s v=""/>
    <s v="1809000167"/>
  </r>
  <r>
    <s v="1809000168"/>
    <d v="2018-10-07T00:00:00"/>
    <d v="2018-10-07T00:00:00"/>
    <s v="DZ"/>
    <s v="USD"/>
    <n v="-182162"/>
    <n v="-182162"/>
    <s v="BDT"/>
    <s v="EGM1"/>
    <n v="-15083013.6"/>
    <s v="CM ADVANCE RECEIVE -424130671261"/>
    <s v="0000001010"/>
    <s v="ARV"/>
    <s v=""/>
    <s v=""/>
    <s v="0"/>
    <s v="424130671261"/>
    <s v=""/>
    <s v=""/>
    <s v=""/>
    <s v=""/>
    <s v=""/>
    <x v="0"/>
    <d v="2019-05-02T00:00:00"/>
    <s v="1806000053"/>
    <d v="2018-10-07T00:00:00"/>
    <s v=""/>
    <s v="1809000168"/>
  </r>
  <r>
    <s v="1809000170"/>
    <d v="2018-10-01T00:00:00"/>
    <d v="2018-10-01T00:00:00"/>
    <s v="DZ"/>
    <s v="USD"/>
    <n v="18032"/>
    <n v="18032"/>
    <s v="BDT"/>
    <s v="EGM1"/>
    <n v="1492148"/>
    <s v="CM ADVANCE RECEIVE -424130660503"/>
    <s v="0000001010"/>
    <s v="E4612SB18UK0872"/>
    <s v=""/>
    <s v=""/>
    <s v="0"/>
    <s v="424130668998"/>
    <s v=""/>
    <s v=""/>
    <s v=""/>
    <s v=""/>
    <s v=""/>
    <x v="0"/>
    <d v="2019-06-30T00:00:00"/>
    <s v="1806000075"/>
    <d v="2018-10-01T00:00:00"/>
    <s v=""/>
    <s v="1809000170"/>
  </r>
  <r>
    <s v="1809000171"/>
    <d v="2018-10-01T00:00:00"/>
    <d v="2018-10-01T00:00:00"/>
    <s v="DZ"/>
    <s v="USD"/>
    <n v="47561"/>
    <n v="47561"/>
    <s v="BDT"/>
    <s v="EGM2"/>
    <n v="3935672.75"/>
    <s v="CM ADVANCE ADJUSTED-424130657027"/>
    <s v="0000001010"/>
    <s v="E24566VF18US0285"/>
    <s v=""/>
    <s v=""/>
    <s v="0"/>
    <s v="424130669014"/>
    <s v=""/>
    <s v=""/>
    <s v=""/>
    <s v=""/>
    <s v=""/>
    <x v="0"/>
    <d v="2019-02-23T00:00:00"/>
    <s v="1806000006"/>
    <d v="2018-10-01T00:00:00"/>
    <s v=""/>
    <s v="1809000171"/>
  </r>
  <r>
    <s v="1809000173"/>
    <d v="2018-10-07T00:00:00"/>
    <d v="2018-10-07T00:00:00"/>
    <s v="DZ"/>
    <s v="USD"/>
    <n v="106081"/>
    <n v="106081"/>
    <s v="BDT"/>
    <s v="EGM2"/>
    <n v="8778202.75"/>
    <s v="CM ADVANCE ADJUSTED-424130657027"/>
    <s v="0000001010"/>
    <s v="E24616VF18US0288"/>
    <s v=""/>
    <s v=""/>
    <s v="0"/>
    <s v="424130671289"/>
    <s v=""/>
    <s v=""/>
    <s v=""/>
    <s v=""/>
    <s v=""/>
    <x v="0"/>
    <d v="2019-02-23T00:00:00"/>
    <s v="1806000006"/>
    <d v="2018-10-07T00:00:00"/>
    <s v=""/>
    <s v="1809000173"/>
  </r>
  <r>
    <s v="1809000174"/>
    <d v="2018-10-01T00:00:00"/>
    <d v="2018-10-01T00:00:00"/>
    <s v="DZ"/>
    <s v="USD"/>
    <n v="64046"/>
    <n v="64046"/>
    <s v="BDT"/>
    <s v="EGM2"/>
    <n v="5299806.5"/>
    <s v="CM ADVANCE ADJUSTED-424130657027"/>
    <s v="0000001010"/>
    <s v="E04414US18-0279"/>
    <s v=""/>
    <s v=""/>
    <s v="0"/>
    <s v="424130669005"/>
    <s v=""/>
    <s v=""/>
    <s v=""/>
    <s v=""/>
    <s v=""/>
    <x v="0"/>
    <d v="2019-02-23T00:00:00"/>
    <s v="1806000006"/>
    <d v="2018-10-01T00:00:00"/>
    <s v=""/>
    <s v="1809000174"/>
  </r>
  <r>
    <s v="1809000174"/>
    <d v="2018-10-01T00:00:00"/>
    <d v="2018-10-01T00:00:00"/>
    <s v="DZ"/>
    <s v="USD"/>
    <n v="63197"/>
    <n v="63197"/>
    <s v="BDT"/>
    <s v="EGM2"/>
    <n v="5229551.76"/>
    <s v="CM ADVANCE ADJUSTED-424130651176"/>
    <s v="0000001010"/>
    <s v="E04414US18-0279"/>
    <s v=""/>
    <s v=""/>
    <s v="0"/>
    <s v="424130669005"/>
    <s v=""/>
    <s v=""/>
    <s v=""/>
    <s v=""/>
    <s v=""/>
    <x v="0"/>
    <d v="2019-02-23T00:00:00"/>
    <s v="1806000007"/>
    <d v="2018-10-01T00:00:00"/>
    <s v=""/>
    <s v="1809000174"/>
  </r>
  <r>
    <s v="1809000175"/>
    <d v="2018-10-04T00:00:00"/>
    <d v="2018-10-04T00:00:00"/>
    <s v="DZ"/>
    <s v="USD"/>
    <n v="-31752"/>
    <n v="-31752"/>
    <s v="BDT"/>
    <s v="EGM2"/>
    <n v="-2629065.6"/>
    <s v="CM ADV RECEIVE-424130670994"/>
    <s v="0000001010"/>
    <s v="ARV"/>
    <s v=""/>
    <s v=""/>
    <s v="0"/>
    <s v="424130670994"/>
    <s v=""/>
    <s v=""/>
    <s v=""/>
    <s v=""/>
    <s v=""/>
    <x v="0"/>
    <d v="2019-02-26T00:00:00"/>
    <s v="1806000027"/>
    <d v="2018-10-04T00:00:00"/>
    <s v=""/>
    <s v="1809000175"/>
  </r>
  <r>
    <s v="1809000176"/>
    <d v="2018-10-14T00:00:00"/>
    <d v="2018-10-14T00:00:00"/>
    <s v="DZ"/>
    <s v="USD"/>
    <n v="-67272"/>
    <n v="-67272"/>
    <s v="BDT"/>
    <s v="EGM2"/>
    <n v="-5570121.6100000003"/>
    <s v="CM ADV RECEIVE-424130674357"/>
    <s v="0000001010"/>
    <s v="ARV"/>
    <s v=""/>
    <s v=""/>
    <s v="0"/>
    <s v="424130674357"/>
    <s v=""/>
    <s v=""/>
    <s v=""/>
    <s v=""/>
    <s v=""/>
    <x v="0"/>
    <d v="2019-06-30T00:00:00"/>
    <s v="1806000080"/>
    <d v="2018-10-14T00:00:00"/>
    <s v=""/>
    <s v="1809000176"/>
  </r>
  <r>
    <s v="1809000177"/>
    <d v="2018-10-11T00:00:00"/>
    <d v="2018-10-11T00:00:00"/>
    <s v="DZ"/>
    <s v="USD"/>
    <n v="83285"/>
    <n v="83285"/>
    <s v="BDT"/>
    <s v="EGM1"/>
    <n v="6891833.75"/>
    <s v="CM ADVANCE ADJUSTED-424130667301"/>
    <s v="0000001010"/>
    <s v="E04518US18-0896"/>
    <s v=""/>
    <s v=""/>
    <s v="0"/>
    <s v="424130673036"/>
    <s v=""/>
    <s v=""/>
    <s v=""/>
    <s v=""/>
    <s v=""/>
    <x v="0"/>
    <d v="2019-06-30T00:00:00"/>
    <s v="1806000074"/>
    <d v="2018-10-11T00:00:00"/>
    <s v=""/>
    <s v="1809000177"/>
  </r>
  <r>
    <s v="1809000177"/>
    <d v="2018-10-11T00:00:00"/>
    <d v="2018-10-11T00:00:00"/>
    <s v="DZ"/>
    <s v="USD"/>
    <n v="78310"/>
    <n v="78310"/>
    <s v="BDT"/>
    <s v="EGM1"/>
    <n v="6480152.5"/>
    <s v="CM ADVANCE ADJUSTED-424130655519"/>
    <s v="0000001010"/>
    <s v="E04518US18-0896"/>
    <s v=""/>
    <s v=""/>
    <s v="0"/>
    <s v="424130673036"/>
    <s v=""/>
    <s v=""/>
    <s v=""/>
    <s v=""/>
    <s v=""/>
    <x v="0"/>
    <d v="2019-05-02T00:00:00"/>
    <s v="1806000050"/>
    <d v="2018-10-11T00:00:00"/>
    <s v=""/>
    <s v="1809000177"/>
  </r>
  <r>
    <s v="1809000177"/>
    <d v="2018-10-11T00:00:00"/>
    <d v="2018-10-11T00:00:00"/>
    <s v="DZ"/>
    <s v="USD"/>
    <n v="104869"/>
    <n v="104869"/>
    <s v="BDT"/>
    <s v="EGM1"/>
    <n v="8683153.1999999993"/>
    <s v="CM ADVANCE ADJUSTED-424130670789"/>
    <s v="0000001010"/>
    <s v="E04518US18-0896"/>
    <s v=""/>
    <s v=""/>
    <s v="0"/>
    <s v="424130673036"/>
    <s v=""/>
    <s v=""/>
    <s v=""/>
    <s v=""/>
    <s v=""/>
    <x v="0"/>
    <d v="2019-06-30T00:00:00"/>
    <s v="1806000087"/>
    <d v="2018-10-11T00:00:00"/>
    <s v=""/>
    <s v="1809000177"/>
  </r>
  <r>
    <s v="1809000178"/>
    <d v="2018-10-15T00:00:00"/>
    <d v="2018-10-15T00:00:00"/>
    <s v="DZ"/>
    <s v="USD"/>
    <n v="1156"/>
    <n v="1156"/>
    <s v="BDT"/>
    <s v="EGM1"/>
    <n v="95716.800000000003"/>
    <s v="CM ADVANCE ADJUSTED-424130673072"/>
    <s v="0000001010"/>
    <s v="E04718US18-0879"/>
    <s v=""/>
    <s v=""/>
    <s v="0"/>
    <s v=""/>
    <s v=""/>
    <s v=""/>
    <s v=""/>
    <s v=""/>
    <s v=""/>
    <x v="0"/>
    <d v="2019-06-30T00:00:00"/>
    <s v="1806000087"/>
    <d v="2018-10-15T00:00:00"/>
    <s v=""/>
    <s v="1809000178"/>
  </r>
  <r>
    <s v="1809000179"/>
    <d v="2018-10-15T00:00:00"/>
    <d v="2018-10-15T00:00:00"/>
    <s v="DZ"/>
    <s v="USD"/>
    <n v="15692"/>
    <n v="15692"/>
    <s v="BDT"/>
    <s v="EGM1"/>
    <n v="1299297.6000000001"/>
    <s v="CM ADVANCE ADJUSTED-424130670789"/>
    <s v="0000001010"/>
    <s v="E4612SB18UK0933"/>
    <s v=""/>
    <s v=""/>
    <s v="0"/>
    <s v="424130674570"/>
    <s v=""/>
    <s v=""/>
    <s v=""/>
    <s v=""/>
    <s v=""/>
    <x v="0"/>
    <d v="2019-06-30T00:00:00"/>
    <s v="1806000087"/>
    <d v="2018-10-15T00:00:00"/>
    <s v=""/>
    <s v="1809000179"/>
  </r>
  <r>
    <s v="1809000183"/>
    <d v="2018-10-15T00:00:00"/>
    <d v="2018-10-15T00:00:00"/>
    <s v="DZ"/>
    <s v="USD"/>
    <n v="6270"/>
    <n v="6270"/>
    <s v="BDT"/>
    <s v="EGM2"/>
    <n v="518842.5"/>
    <s v="CM ADVANCE ADJUSTED-424130657027"/>
    <s v="0000001010"/>
    <s v="E24537VF18US0296"/>
    <s v=""/>
    <s v=""/>
    <s v="0"/>
    <s v="424130674561"/>
    <s v=""/>
    <s v=""/>
    <s v=""/>
    <s v=""/>
    <s v=""/>
    <x v="0"/>
    <d v="2019-02-23T00:00:00"/>
    <s v="1806000006"/>
    <d v="2018-10-15T00:00:00"/>
    <s v=""/>
    <s v="1809000183"/>
  </r>
  <r>
    <s v="1809000183"/>
    <d v="2018-10-15T00:00:00"/>
    <d v="2018-10-15T00:00:00"/>
    <s v="DZ"/>
    <s v="USD"/>
    <n v="4176"/>
    <n v="4176"/>
    <s v="BDT"/>
    <s v="EGM2"/>
    <n v="345564"/>
    <s v="CM ADVANCE ADJUSTED-424130664705"/>
    <s v="0000001010"/>
    <s v="E24537VF18US0296"/>
    <s v=""/>
    <s v=""/>
    <s v="0"/>
    <s v="424130674561"/>
    <s v=""/>
    <s v=""/>
    <s v=""/>
    <s v=""/>
    <s v=""/>
    <x v="0"/>
    <d v="2019-02-26T00:00:00"/>
    <s v="1806000028"/>
    <d v="2018-10-15T00:00:00"/>
    <s v=""/>
    <s v="1809000183"/>
  </r>
  <r>
    <s v="1809000184"/>
    <d v="2018-10-17T00:00:00"/>
    <d v="2018-10-17T00:00:00"/>
    <s v="DZ"/>
    <s v="USD"/>
    <n v="-85409"/>
    <n v="-85409"/>
    <s v="BDT"/>
    <s v="EGM2"/>
    <n v="-7071865.2000000002"/>
    <s v="CM ADV RECEIVE-424130675677"/>
    <s v="0000001010"/>
    <s v="ARV"/>
    <s v=""/>
    <s v=""/>
    <s v="0"/>
    <s v="424130675677"/>
    <s v=""/>
    <s v=""/>
    <s v=""/>
    <s v=""/>
    <s v=""/>
    <x v="0"/>
    <d v="2019-02-23T00:00:00"/>
    <s v="1806000015"/>
    <d v="2018-10-17T00:00:00"/>
    <s v=""/>
    <s v="1809000184"/>
  </r>
  <r>
    <s v="1809000186"/>
    <d v="2018-10-18T00:00:00"/>
    <d v="2018-10-18T00:00:00"/>
    <s v="DZ"/>
    <s v="USD"/>
    <n v="-252521"/>
    <n v="-252521"/>
    <s v="BDT"/>
    <s v="EGM1"/>
    <n v="-20908738.800000001"/>
    <s v="CM ADV RECEIVE-424130677318"/>
    <s v="0000001010"/>
    <s v="ARV"/>
    <s v=""/>
    <s v=""/>
    <s v="0"/>
    <s v="424130677318"/>
    <s v=""/>
    <s v=""/>
    <s v=""/>
    <s v=""/>
    <s v=""/>
    <x v="0"/>
    <d v="2019-05-02T00:00:00"/>
    <s v="1806000052"/>
    <d v="2018-10-18T00:00:00"/>
    <s v=""/>
    <s v="1809000186"/>
  </r>
  <r>
    <s v="1809000187"/>
    <d v="2018-10-21T00:00:00"/>
    <d v="2018-10-21T00:00:00"/>
    <s v="DZ"/>
    <s v="USD"/>
    <n v="-54245"/>
    <n v="-54245"/>
    <s v="BDT"/>
    <s v="EGM1"/>
    <n v="-4491486"/>
    <s v="CM ADV RECEIVE-424130678040"/>
    <s v="0000001010"/>
    <s v="ARV"/>
    <s v=""/>
    <s v=""/>
    <s v="0"/>
    <s v="424130678040"/>
    <s v=""/>
    <s v=""/>
    <s v=""/>
    <s v=""/>
    <s v=""/>
    <x v="0"/>
    <d v="2019-05-02T00:00:00"/>
    <s v="1806000063"/>
    <d v="2018-10-21T00:00:00"/>
    <s v=""/>
    <s v="1809000187"/>
  </r>
  <r>
    <s v="1809000191"/>
    <d v="2018-10-23T00:00:00"/>
    <d v="2018-10-23T00:00:00"/>
    <s v="DZ"/>
    <s v="USD"/>
    <n v="139325"/>
    <n v="139325"/>
    <s v="BDT"/>
    <s v="EGM1"/>
    <n v="11536110"/>
    <s v="Cm adv adjust-424130671261"/>
    <s v="0000001010"/>
    <s v="E04637US18-0927"/>
    <s v=""/>
    <s v=""/>
    <s v="0"/>
    <s v="424130678843"/>
    <s v=""/>
    <s v=""/>
    <s v=""/>
    <s v=""/>
    <s v=""/>
    <x v="0"/>
    <d v="2019-05-02T00:00:00"/>
    <s v="1806000053"/>
    <d v="2018-10-23T00:00:00"/>
    <s v=""/>
    <s v="1809000191"/>
  </r>
  <r>
    <s v="1809000192"/>
    <d v="2018-10-24T00:00:00"/>
    <d v="2018-10-24T00:00:00"/>
    <s v="DZ"/>
    <s v="USD"/>
    <n v="-245838"/>
    <n v="-245838"/>
    <s v="BDT"/>
    <s v="EGM1"/>
    <n v="-20355386.399999999"/>
    <s v="CM ADVANCE RECEIVED REF-424130679432"/>
    <s v="0000001010"/>
    <s v="IT06591810230232"/>
    <s v=""/>
    <s v=""/>
    <s v="0"/>
    <s v="424130679432"/>
    <s v=""/>
    <s v=""/>
    <s v=""/>
    <s v=""/>
    <s v=""/>
    <x v="0"/>
    <d v="2019-07-31T00:00:00"/>
    <s v="1906000005"/>
    <d v="2018-10-24T00:00:00"/>
    <s v=""/>
    <s v="1809000192"/>
  </r>
  <r>
    <s v="1809000193"/>
    <d v="2018-10-24T00:00:00"/>
    <d v="2018-10-24T00:00:00"/>
    <s v="DZ"/>
    <s v="USD"/>
    <n v="7992"/>
    <n v="7992"/>
    <s v="BDT"/>
    <s v="EGM1"/>
    <n v="661737.6"/>
    <s v="Cm adv adjust-424130673072"/>
    <s v="0000001010"/>
    <s v="E04715WM18CA0931"/>
    <s v=""/>
    <s v=""/>
    <s v="0"/>
    <s v="424130679469"/>
    <s v=""/>
    <s v=""/>
    <s v=""/>
    <s v=""/>
    <s v=""/>
    <x v="0"/>
    <d v="2019-06-30T00:00:00"/>
    <s v="1806000087"/>
    <d v="2018-10-24T00:00:00"/>
    <s v=""/>
    <s v="1809000193"/>
  </r>
  <r>
    <s v="1809000194"/>
    <d v="2018-10-25T00:00:00"/>
    <d v="2018-10-25T00:00:00"/>
    <s v="DZ"/>
    <s v="USD"/>
    <n v="16079"/>
    <n v="16079"/>
    <s v="BDT"/>
    <s v="EGM1"/>
    <n v="1331341.2"/>
    <s v="CM ADVANCE ADJUST-424130673072"/>
    <s v="0000001010"/>
    <s v="E4612SB18UK0948"/>
    <s v=""/>
    <s v=""/>
    <s v="0"/>
    <s v="424130679450"/>
    <s v=""/>
    <s v=""/>
    <s v=""/>
    <s v=""/>
    <s v=""/>
    <x v="0"/>
    <d v="2019-06-30T00:00:00"/>
    <s v="1806000087"/>
    <d v="2018-10-25T00:00:00"/>
    <s v=""/>
    <s v="1809000194"/>
  </r>
  <r>
    <s v="1809000195"/>
    <d v="2018-10-28T00:00:00"/>
    <d v="2018-10-28T00:00:00"/>
    <s v="DZ"/>
    <s v="USD"/>
    <n v="10245"/>
    <n v="10245"/>
    <s v="BDT"/>
    <s v="EGM1"/>
    <n v="848286"/>
    <s v="CM ADVANCE ADJUST-424130678040"/>
    <s v="0000001010"/>
    <s v="E24736VF18US0309"/>
    <s v=""/>
    <s v=""/>
    <s v="0"/>
    <s v="424130680055"/>
    <s v=""/>
    <s v=""/>
    <s v=""/>
    <s v=""/>
    <s v=""/>
    <x v="0"/>
    <d v="2019-05-02T00:00:00"/>
    <s v="1806000063"/>
    <d v="2018-10-28T00:00:00"/>
    <s v=""/>
    <s v="1809000195"/>
  </r>
  <r>
    <s v="1809000196"/>
    <d v="2018-10-28T00:00:00"/>
    <d v="2018-10-28T00:00:00"/>
    <s v="DZ"/>
    <s v="USD"/>
    <n v="20893"/>
    <n v="20893"/>
    <s v="BDT"/>
    <s v="EGM1"/>
    <n v="1729940.4"/>
    <s v="CM ADVANCE ADJUST-424130670985"/>
    <s v="0000001010"/>
    <s v="E04695US18-0922"/>
    <s v=""/>
    <s v=""/>
    <s v="0"/>
    <s v="424130682794"/>
    <s v=""/>
    <s v=""/>
    <s v=""/>
    <s v=""/>
    <s v=""/>
    <x v="0"/>
    <d v="2019-05-02T00:00:00"/>
    <s v="1806000045"/>
    <d v="2018-10-28T00:00:00"/>
    <s v=""/>
    <s v="1809000196"/>
  </r>
  <r>
    <s v="1809000197"/>
    <d v="2018-10-30T00:00:00"/>
    <d v="2018-10-30T00:00:00"/>
    <s v="DZ"/>
    <s v="USD"/>
    <n v="-433053"/>
    <n v="-433053"/>
    <s v="BDT"/>
    <s v="EGM1"/>
    <n v="-35856788.399999999"/>
    <s v="CM ADVANCE RECEIVED REF-424130682810"/>
    <s v="0000001010"/>
    <s v="IT06591810290143"/>
    <s v=""/>
    <s v=""/>
    <s v="0"/>
    <s v="424130682810"/>
    <s v=""/>
    <s v=""/>
    <s v=""/>
    <s v=""/>
    <s v=""/>
    <x v="0"/>
    <d v="2019-05-02T00:00:00"/>
    <s v="1806000043"/>
    <d v="2018-10-30T00:00:00"/>
    <s v=""/>
    <s v="1809000197"/>
  </r>
  <r>
    <s v="1809000198"/>
    <d v="2018-10-31T00:00:00"/>
    <d v="2018-10-31T00:00:00"/>
    <s v="DZ"/>
    <s v="USD"/>
    <n v="12420"/>
    <n v="12420"/>
    <s v="BDT"/>
    <s v="EGM1"/>
    <n v="1028376"/>
    <s v="CM ADVANCE ADJUST-424130678040"/>
    <s v="0000001010"/>
    <s v="E4707SB18UK0964"/>
    <s v=""/>
    <s v=""/>
    <s v="0"/>
    <s v="424130683301"/>
    <s v=""/>
    <s v=""/>
    <s v=""/>
    <s v=""/>
    <s v=""/>
    <x v="0"/>
    <d v="2019-05-02T00:00:00"/>
    <s v="1806000063"/>
    <d v="2018-10-31T00:00:00"/>
    <s v=""/>
    <s v="1809000198"/>
  </r>
  <r>
    <s v="1809000199"/>
    <d v="2018-10-24T00:00:00"/>
    <d v="2018-10-24T00:00:00"/>
    <s v="DZ"/>
    <s v="USD"/>
    <n v="-63312"/>
    <n v="-63312"/>
    <s v="BDT"/>
    <s v="EGM2"/>
    <n v="-5242233.5999999996"/>
    <s v="CM ADVANCE RECEIVED REF-424130679441"/>
    <s v="0000001010"/>
    <s v="IT06591810230230"/>
    <s v=""/>
    <s v=""/>
    <s v="0"/>
    <s v="424130679441"/>
    <s v=""/>
    <s v=""/>
    <s v=""/>
    <s v=""/>
    <s v=""/>
    <x v="0"/>
    <d v="2018-10-28T00:00:00"/>
    <s v="1809000204"/>
    <d v="2018-10-24T00:00:00"/>
    <s v=""/>
    <s v="1809000199"/>
  </r>
  <r>
    <s v="1809000200"/>
    <d v="2018-10-28T00:00:00"/>
    <d v="2018-10-28T00:00:00"/>
    <s v="DZ"/>
    <s v="USD"/>
    <n v="-106655"/>
    <n v="-106655"/>
    <s v="BDT"/>
    <s v="EGM2"/>
    <n v="-8831034.0099999998"/>
    <s v="CM ADVANCE RECEIVED REF-424130681081"/>
    <s v="0000001010"/>
    <s v="IT06591810250223"/>
    <s v=""/>
    <s v=""/>
    <s v="0"/>
    <s v="424130681081"/>
    <s v=""/>
    <s v=""/>
    <s v=""/>
    <s v=""/>
    <s v=""/>
    <x v="0"/>
    <d v="2019-06-30T00:00:00"/>
    <s v="1806000078"/>
    <d v="2018-10-28T00:00:00"/>
    <s v=""/>
    <s v="1809000200"/>
  </r>
  <r>
    <s v="1809000202"/>
    <d v="2018-10-30T00:00:00"/>
    <d v="2018-10-30T00:00:00"/>
    <s v="DZ"/>
    <s v="USD"/>
    <n v="42343"/>
    <n v="42343"/>
    <s v="BDT"/>
    <s v="EGM2"/>
    <n v="3506000.4"/>
    <s v="CM ADVANCE ADJUST-424130675677"/>
    <s v="0000001010"/>
    <s v="E32472OVF18US301"/>
    <s v=""/>
    <s v=""/>
    <s v="0"/>
    <s v="424130682829"/>
    <s v=""/>
    <s v=""/>
    <s v=""/>
    <s v=""/>
    <s v=""/>
    <x v="0"/>
    <d v="2019-02-23T00:00:00"/>
    <s v="1806000015"/>
    <d v="2018-10-30T00:00:00"/>
    <s v=""/>
    <s v="1809000202"/>
  </r>
  <r>
    <s v="1809000202"/>
    <d v="2018-10-30T00:00:00"/>
    <d v="2018-10-30T00:00:00"/>
    <s v="DZ"/>
    <s v="USD"/>
    <n v="9701"/>
    <n v="9701"/>
    <s v="BDT"/>
    <s v="EGM2"/>
    <n v="803242.8"/>
    <s v="CM ADVANCE ADJUST-424130670994"/>
    <s v="0000001010"/>
    <s v="E32472OVF18US301"/>
    <s v=""/>
    <s v=""/>
    <s v="0"/>
    <s v="424130682829"/>
    <s v=""/>
    <s v=""/>
    <s v=""/>
    <s v=""/>
    <s v=""/>
    <x v="0"/>
    <d v="2019-02-26T00:00:00"/>
    <s v="1806000027"/>
    <d v="2018-10-30T00:00:00"/>
    <s v=""/>
    <s v="1809000202"/>
  </r>
  <r>
    <s v="1809000203"/>
    <d v="2018-10-31T00:00:00"/>
    <d v="2018-10-31T00:00:00"/>
    <s v="DZ"/>
    <s v="USD"/>
    <n v="-49967"/>
    <n v="-49967"/>
    <s v="BDT"/>
    <s v="EGM2"/>
    <n v="-4142264.3"/>
    <s v="CM ADVANCE RECEIVED REF-424130683310"/>
    <s v="0000001010"/>
    <s v="IT06591810310052"/>
    <s v=""/>
    <s v=""/>
    <s v="0"/>
    <s v="424130683310"/>
    <s v=""/>
    <s v=""/>
    <s v=""/>
    <s v=""/>
    <s v=""/>
    <x v="0"/>
    <d v="2019-02-23T00:00:00"/>
    <s v="1806000025"/>
    <d v="2018-10-31T00:00:00"/>
    <s v=""/>
    <s v="1809000203"/>
  </r>
  <r>
    <s v="1809000204"/>
    <d v="2018-10-28T00:00:00"/>
    <d v="2018-10-28T00:00:00"/>
    <s v="DZ"/>
    <s v="USD"/>
    <n v="63312"/>
    <n v="63312"/>
    <s v="BDT"/>
    <s v="EGM2"/>
    <n v="5242233.5999999996"/>
    <s v="CM ADVANCE ADJUST-424130679441"/>
    <s v="0000001010"/>
    <s v="E24736VF18US0309"/>
    <s v=""/>
    <s v=""/>
    <s v="0"/>
    <s v="424130681090"/>
    <s v=""/>
    <s v=""/>
    <s v=""/>
    <s v=""/>
    <s v=""/>
    <x v="0"/>
    <d v="2018-10-28T00:00:00"/>
    <s v="1809000204"/>
    <d v="2018-10-28T00:00:00"/>
    <s v=""/>
    <s v="1809000204"/>
  </r>
  <r>
    <s v="1809000205"/>
    <d v="2018-10-25T00:00:00"/>
    <d v="2018-10-25T00:00:00"/>
    <s v="DZ"/>
    <s v="USD"/>
    <n v="59201"/>
    <n v="59201"/>
    <s v="BDT"/>
    <s v="EGM2"/>
    <n v="4898882.75"/>
    <s v="CM ADVANCE ADJUST-424130657027"/>
    <s v="0000001010"/>
    <s v="E24704VF18US0299"/>
    <s v=""/>
    <s v=""/>
    <s v="0"/>
    <s v="424130680064"/>
    <s v=""/>
    <s v=""/>
    <s v=""/>
    <s v=""/>
    <s v=""/>
    <x v="0"/>
    <d v="2019-02-23T00:00:00"/>
    <s v="1806000006"/>
    <d v="2018-10-25T00:00:00"/>
    <s v=""/>
    <s v="1809000205"/>
  </r>
  <r>
    <s v="1809000205"/>
    <d v="2018-10-25T00:00:00"/>
    <d v="2018-10-25T00:00:00"/>
    <s v="DZ"/>
    <s v="USD"/>
    <n v="43066"/>
    <n v="43066"/>
    <s v="BDT"/>
    <s v="EGM2"/>
    <n v="3565864.8"/>
    <s v="CM ADVANCE ADJUST-424130675677"/>
    <s v="0000001010"/>
    <s v="E24704VF18US0299"/>
    <s v=""/>
    <s v=""/>
    <s v="0"/>
    <s v="424130680064"/>
    <s v=""/>
    <s v=""/>
    <s v=""/>
    <s v=""/>
    <s v=""/>
    <x v="0"/>
    <d v="2019-02-23T00:00:00"/>
    <s v="1806000015"/>
    <d v="2018-10-25T00:00:00"/>
    <s v=""/>
    <s v="1809000205"/>
  </r>
  <r>
    <s v="1809000205"/>
    <d v="2018-10-25T00:00:00"/>
    <d v="2018-10-25T00:00:00"/>
    <s v="DZ"/>
    <s v="USD"/>
    <n v="7577"/>
    <n v="7577"/>
    <s v="BDT"/>
    <s v="EGM2"/>
    <n v="627375.6"/>
    <s v="CM ADVANCE ADJUST-424130674357"/>
    <s v="0000001010"/>
    <s v="E24704VF18US0299"/>
    <s v=""/>
    <s v=""/>
    <s v="0"/>
    <s v="424130680064"/>
    <s v=""/>
    <s v=""/>
    <s v=""/>
    <s v=""/>
    <s v=""/>
    <x v="0"/>
    <d v="2019-06-30T00:00:00"/>
    <s v="1806000080"/>
    <d v="2018-10-25T00:00:00"/>
    <s v=""/>
    <s v="1809000205"/>
  </r>
  <r>
    <s v="1809000205"/>
    <d v="2018-10-25T00:00:00"/>
    <d v="2018-10-25T00:00:00"/>
    <s v="DZ"/>
    <s v="USD"/>
    <n v="14116"/>
    <n v="14116"/>
    <s v="BDT"/>
    <s v="EGM2"/>
    <n v="1168804.8"/>
    <s v="CM ADVANCE ADJUST-424130670994"/>
    <s v="0000001010"/>
    <s v="E24704VF18US0299"/>
    <s v=""/>
    <s v=""/>
    <s v="0"/>
    <s v="424130680064"/>
    <s v=""/>
    <s v=""/>
    <s v=""/>
    <s v=""/>
    <s v=""/>
    <x v="0"/>
    <d v="2019-02-26T00:00:00"/>
    <s v="1806000027"/>
    <d v="2018-10-25T00:00:00"/>
    <s v=""/>
    <s v="1809000205"/>
  </r>
  <r>
    <s v="1809000205"/>
    <d v="2018-10-25T00:00:00"/>
    <d v="2018-10-25T00:00:00"/>
    <s v="DZ"/>
    <s v="USD"/>
    <n v="23717"/>
    <n v="23717"/>
    <s v="BDT"/>
    <s v="EGM2"/>
    <n v="1962581.76"/>
    <s v="CM ADVANCE ADJUST-424130664705"/>
    <s v="0000001010"/>
    <s v="E24704VF18US0299"/>
    <s v=""/>
    <s v=""/>
    <s v="0"/>
    <s v="424130680064"/>
    <s v=""/>
    <s v=""/>
    <s v=""/>
    <s v=""/>
    <s v=""/>
    <x v="0"/>
    <d v="2019-02-26T00:00:00"/>
    <s v="1806000028"/>
    <d v="2018-10-25T00:00:00"/>
    <s v=""/>
    <s v="1809000205"/>
  </r>
  <r>
    <s v="1809000206"/>
    <d v="2018-10-23T00:00:00"/>
    <d v="2018-10-23T00:00:00"/>
    <s v="DZ"/>
    <s v="USD"/>
    <n v="93373"/>
    <n v="93373"/>
    <s v="BDT"/>
    <s v="EGM1"/>
    <n v="7731284.4000000004"/>
    <s v="CM ADVANCE ADJUST-424130670789"/>
    <s v="0000001010"/>
    <s v="E4454OKH18US0905"/>
    <s v=""/>
    <s v=""/>
    <s v="0"/>
    <s v="424130674311"/>
    <s v=""/>
    <s v=""/>
    <s v=""/>
    <s v=""/>
    <s v=""/>
    <x v="0"/>
    <d v="2019-06-30T00:00:00"/>
    <s v="1806000087"/>
    <d v="2018-10-23T00:00:00"/>
    <s v=""/>
    <s v="1809000206"/>
  </r>
  <r>
    <s v="1809000207"/>
    <d v="2018-10-30T00:00:00"/>
    <d v="2018-10-30T00:00:00"/>
    <s v="DZ"/>
    <s v="USD"/>
    <n v="32400"/>
    <n v="32400"/>
    <s v="BDT"/>
    <s v="EGM1"/>
    <n v="2682720"/>
    <s v="CM ADVANCE ADJUST-424130670985"/>
    <s v="0000001010"/>
    <s v="E04723US18-0943"/>
    <s v=""/>
    <s v=""/>
    <s v="0"/>
    <s v="424130682801"/>
    <s v=""/>
    <s v=""/>
    <s v=""/>
    <s v=""/>
    <s v=""/>
    <x v="0"/>
    <d v="2019-05-02T00:00:00"/>
    <s v="1806000045"/>
    <d v="2018-10-30T00:00:00"/>
    <s v=""/>
    <s v="1809000207"/>
  </r>
  <r>
    <s v="1809000207"/>
    <d v="2018-10-30T00:00:00"/>
    <d v="2018-10-30T00:00:00"/>
    <s v="DZ"/>
    <s v="USD"/>
    <n v="44138"/>
    <n v="44138"/>
    <s v="BDT"/>
    <s v="EGM1"/>
    <n v="3654626.4"/>
    <s v="CM ADVANCE ADJUST-424130677318"/>
    <s v="0000001010"/>
    <s v="E04723US18-0943"/>
    <s v=""/>
    <s v=""/>
    <s v="0"/>
    <s v="424130682801"/>
    <s v=""/>
    <s v=""/>
    <s v=""/>
    <s v=""/>
    <s v=""/>
    <x v="0"/>
    <d v="2019-05-02T00:00:00"/>
    <s v="1806000052"/>
    <d v="2018-10-30T00:00:00"/>
    <s v=""/>
    <s v="1809000207"/>
  </r>
  <r>
    <s v="1809000207"/>
    <d v="2018-10-30T00:00:00"/>
    <d v="2018-10-30T00:00:00"/>
    <s v="DZ"/>
    <s v="USD"/>
    <n v="42837"/>
    <n v="42837"/>
    <s v="BDT"/>
    <s v="EGM1"/>
    <n v="3546903.6"/>
    <s v="CM ADVANCE ADJUST-424130671261"/>
    <s v="0000001010"/>
    <s v="E04723US18-0943"/>
    <s v=""/>
    <s v=""/>
    <s v="0"/>
    <s v="424130682801"/>
    <s v=""/>
    <s v=""/>
    <s v=""/>
    <s v=""/>
    <s v=""/>
    <x v="0"/>
    <d v="2019-05-02T00:00:00"/>
    <s v="1806000053"/>
    <d v="2018-10-30T00:00:00"/>
    <s v=""/>
    <s v="1809000207"/>
  </r>
  <r>
    <s v="1809000208"/>
    <d v="2018-11-01T00:00:00"/>
    <d v="2018-11-01T00:00:00"/>
    <s v="DZ"/>
    <s v="USD"/>
    <n v="-282231"/>
    <n v="-282231"/>
    <s v="BDT"/>
    <s v="EGM1"/>
    <n v="-23396949.899999999"/>
    <s v="CM ADVANCE RECEIVED REF-424130683926"/>
    <s v="0000001010"/>
    <s v="IT06591810310607"/>
    <s v=""/>
    <s v=""/>
    <s v="0"/>
    <s v="424130683926"/>
    <s v=""/>
    <s v=""/>
    <s v=""/>
    <s v=""/>
    <s v=""/>
    <x v="0"/>
    <d v="2019-07-31T00:00:00"/>
    <s v="1906000003"/>
    <d v="2018-11-01T00:00:00"/>
    <s v=""/>
    <s v="1809000208"/>
  </r>
  <r>
    <s v="1809000209"/>
    <d v="2018-11-01T00:00:00"/>
    <d v="2018-11-01T00:00:00"/>
    <s v="DZ"/>
    <s v="USD"/>
    <n v="90228"/>
    <n v="90228"/>
    <s v="BDT"/>
    <s v="EGM1"/>
    <n v="7470878.4000000004"/>
    <s v="CM ADVANCE ADJUST-424130677318"/>
    <s v="0000001010"/>
    <s v="E04714WM18CN0950"/>
    <s v=""/>
    <s v=""/>
    <s v="0"/>
    <s v="424130683917"/>
    <s v=""/>
    <s v=""/>
    <s v=""/>
    <s v=""/>
    <s v=""/>
    <x v="0"/>
    <d v="2019-05-02T00:00:00"/>
    <s v="1806000052"/>
    <d v="2018-11-01T00:00:00"/>
    <s v=""/>
    <s v="1809000209"/>
  </r>
  <r>
    <s v="1809000213"/>
    <d v="2018-11-04T00:00:00"/>
    <d v="2018-11-04T00:00:00"/>
    <s v="DZ"/>
    <s v="USD"/>
    <n v="140929"/>
    <n v="140929"/>
    <s v="BDT"/>
    <s v="EGM1"/>
    <n v="11668921.199999999"/>
    <s v="CM ADVANCE ADJUST-424130670985"/>
    <s v="0000001010"/>
    <s v="E04639US18-0841"/>
    <s v=""/>
    <s v=""/>
    <s v="0"/>
    <s v="424130684890"/>
    <s v=""/>
    <s v=""/>
    <s v=""/>
    <s v=""/>
    <s v=""/>
    <x v="0"/>
    <d v="2019-05-02T00:00:00"/>
    <s v="1806000045"/>
    <d v="2018-11-04T00:00:00"/>
    <s v=""/>
    <s v="1809000213"/>
  </r>
  <r>
    <s v="1809000217"/>
    <d v="2018-10-31T00:00:00"/>
    <d v="2018-10-31T00:00:00"/>
    <s v="DZ"/>
    <s v="USD"/>
    <n v="90225"/>
    <n v="90225"/>
    <s v="BDT"/>
    <s v="EGM1"/>
    <n v="7479652.5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9000217"/>
  </r>
  <r>
    <s v="1809000217"/>
    <d v="2018-10-31T00:00:00"/>
    <d v="2018-10-31T00:00:00"/>
    <s v="DZ"/>
    <s v="USD"/>
    <n v="-282231"/>
    <n v="-282231"/>
    <s v="BDT"/>
    <s v="EGM1"/>
    <n v="-23396949.899999999"/>
    <s v="FIT-CM ADV-OCT-18"/>
    <s v="0000001010"/>
    <s v="FIT-CM ADV-OCT18"/>
    <s v=""/>
    <s v=""/>
    <s v="0"/>
    <s v="CM ADV. FIT - OCT-18"/>
    <s v=""/>
    <s v=""/>
    <s v=""/>
    <s v=""/>
    <s v=""/>
    <x v="0"/>
    <d v="2018-11-01T00:00:00"/>
    <s v="1803004801"/>
    <d v="2018-10-31T00:00:00"/>
    <s v=""/>
    <s v="1809000217"/>
  </r>
  <r>
    <s v="1809000220"/>
    <d v="2018-11-08T00:00:00"/>
    <d v="2018-11-08T00:00:00"/>
    <s v="DZ"/>
    <s v="USD"/>
    <n v="-11437"/>
    <n v="-11437"/>
    <s v="BDT"/>
    <s v="EGM2"/>
    <n v="-948127.3"/>
    <s v="CM ADVANCE RECEIVED REF-424130687708"/>
    <s v="0000001010"/>
    <s v="EG204700"/>
    <s v=""/>
    <s v=""/>
    <s v="0"/>
    <s v="424130687708"/>
    <s v=""/>
    <s v=""/>
    <s v=""/>
    <s v=""/>
    <s v=""/>
    <x v="0"/>
    <d v="2018-12-06T00:00:00"/>
    <s v="1809000290"/>
    <d v="2018-11-08T00:00:00"/>
    <s v=""/>
    <s v="1809000220"/>
  </r>
  <r>
    <s v="1809000221"/>
    <d v="2018-11-08T00:00:00"/>
    <d v="2018-11-08T00:00:00"/>
    <s v="DZ"/>
    <s v="USD"/>
    <n v="2866"/>
    <n v="2866"/>
    <s v="BDT"/>
    <s v="EGM2"/>
    <n v="237304.8"/>
    <s v="CM ADVANCE ADJUST REF-424130681081"/>
    <s v="0000001010"/>
    <s v="E24736VF18US0314"/>
    <s v=""/>
    <s v=""/>
    <s v="0"/>
    <s v="424130687094"/>
    <s v=""/>
    <s v=""/>
    <s v=""/>
    <s v=""/>
    <s v=""/>
    <x v="0"/>
    <d v="2019-06-30T00:00:00"/>
    <s v="1806000078"/>
    <d v="2018-11-08T00:00:00"/>
    <s v=""/>
    <s v="1809000221"/>
  </r>
  <r>
    <s v="1809000221"/>
    <d v="2018-11-08T00:00:00"/>
    <d v="2018-11-08T00:00:00"/>
    <s v="DZ"/>
    <s v="USD"/>
    <n v="278"/>
    <n v="278"/>
    <s v="BDT"/>
    <s v="EGM2"/>
    <n v="23018.400000000001"/>
    <s v="CM ADVANCE ADJUST REF-424130674357"/>
    <s v="0000001010"/>
    <s v="E24736VF18US0314"/>
    <s v=""/>
    <s v=""/>
    <s v="0"/>
    <s v="424130687094"/>
    <s v=""/>
    <s v=""/>
    <s v=""/>
    <s v=""/>
    <s v=""/>
    <x v="0"/>
    <d v="2019-06-30T00:00:00"/>
    <s v="1806000080"/>
    <d v="2018-11-08T00:00:00"/>
    <s v=""/>
    <s v="1809000221"/>
  </r>
  <r>
    <s v="1809000221"/>
    <d v="2018-11-08T00:00:00"/>
    <d v="2018-11-08T00:00:00"/>
    <s v="DZ"/>
    <s v="USD"/>
    <n v="22314"/>
    <n v="22314"/>
    <s v="BDT"/>
    <s v="EGM2"/>
    <n v="1849830.6"/>
    <s v="CM ADVANCE ADJUST REF-424130683310"/>
    <s v="0000001010"/>
    <s v="E24736VF18US0314"/>
    <s v=""/>
    <s v=""/>
    <s v="0"/>
    <s v="424130687094"/>
    <s v=""/>
    <s v=""/>
    <s v=""/>
    <s v=""/>
    <s v=""/>
    <x v="0"/>
    <d v="2019-02-23T00:00:00"/>
    <s v="1806000025"/>
    <d v="2018-11-08T00:00:00"/>
    <s v=""/>
    <s v="1809000221"/>
  </r>
  <r>
    <s v="1809000222"/>
    <d v="2018-11-11T00:00:00"/>
    <d v="2018-11-11T00:00:00"/>
    <s v="DZ"/>
    <s v="USD"/>
    <n v="-133270"/>
    <n v="-133270"/>
    <s v="BDT"/>
    <s v="EGM2"/>
    <n v="-11048083"/>
    <s v="CM ADVANCE RECEIVED REF-424130687691"/>
    <s v="0000001010"/>
    <s v="EG2-04700"/>
    <s v=""/>
    <s v=""/>
    <s v="0"/>
    <s v="424130687691"/>
    <s v=""/>
    <s v=""/>
    <s v=""/>
    <s v=""/>
    <s v=""/>
    <x v="0"/>
    <d v="2019-06-30T00:00:00"/>
    <s v="1806000076"/>
    <d v="2018-11-11T00:00:00"/>
    <s v=""/>
    <s v="1809000222"/>
  </r>
  <r>
    <s v="1809000223"/>
    <d v="2018-11-11T00:00:00"/>
    <d v="2018-11-11T00:00:00"/>
    <s v="DZ"/>
    <s v="USD"/>
    <n v="-68390"/>
    <n v="-68390"/>
    <s v="BDT"/>
    <s v="EGM2"/>
    <n v="-5669531"/>
    <s v="CM ADVANCE RECEIVED REF-424130687717"/>
    <s v="0000001010"/>
    <s v="EG204700"/>
    <s v=""/>
    <s v=""/>
    <s v="0"/>
    <s v="424130687717"/>
    <s v=""/>
    <s v=""/>
    <s v=""/>
    <s v=""/>
    <s v=""/>
    <x v="0"/>
    <d v="2019-02-23T00:00:00"/>
    <s v="1806000019"/>
    <d v="2018-11-11T00:00:00"/>
    <s v=""/>
    <s v="1809000223"/>
  </r>
  <r>
    <s v="1809000224"/>
    <d v="2018-11-14T00:00:00"/>
    <d v="2018-11-14T00:00:00"/>
    <s v="DZ"/>
    <s v="USD"/>
    <n v="10035"/>
    <n v="10035"/>
    <s v="BDT"/>
    <s v="EGM2"/>
    <n v="830898"/>
    <s v="CM ADVANCE ADJUST REF-424130681081"/>
    <s v="0000001010"/>
    <s v="E24720VF18US0303"/>
    <s v=""/>
    <s v=""/>
    <s v="0"/>
    <s v="424130689626"/>
    <s v=""/>
    <s v=""/>
    <s v=""/>
    <s v=""/>
    <s v=""/>
    <x v="0"/>
    <d v="2019-06-30T00:00:00"/>
    <s v="1806000078"/>
    <d v="2018-11-14T00:00:00"/>
    <s v=""/>
    <s v="1809000224"/>
  </r>
  <r>
    <s v="1809000224"/>
    <d v="2018-11-14T00:00:00"/>
    <d v="2018-11-14T00:00:00"/>
    <s v="DZ"/>
    <s v="USD"/>
    <n v="3046"/>
    <n v="3046"/>
    <s v="BDT"/>
    <s v="EGM2"/>
    <n v="252513.4"/>
    <s v="CM ADVANCE ADJUST REF-424130687717"/>
    <s v="0000001010"/>
    <s v="E24720VF18US0303"/>
    <s v=""/>
    <s v=""/>
    <s v="0"/>
    <s v="424130689626"/>
    <s v=""/>
    <s v=""/>
    <s v=""/>
    <s v=""/>
    <s v=""/>
    <x v="0"/>
    <d v="2019-02-23T00:00:00"/>
    <s v="1806000019"/>
    <d v="2018-11-14T00:00:00"/>
    <s v=""/>
    <s v="1809000224"/>
  </r>
  <r>
    <s v="1809000224"/>
    <d v="2018-11-14T00:00:00"/>
    <d v="2018-11-14T00:00:00"/>
    <s v="DZ"/>
    <s v="USD"/>
    <n v="3634"/>
    <n v="3634"/>
    <s v="BDT"/>
    <s v="EGM2"/>
    <n v="300895.2"/>
    <s v="CM ADVANCE ADJUST REF-424130674357"/>
    <s v="0000001010"/>
    <s v="E24720VF18US0303"/>
    <s v=""/>
    <s v=""/>
    <s v="0"/>
    <s v="424130689626"/>
    <s v=""/>
    <s v=""/>
    <s v=""/>
    <s v=""/>
    <s v=""/>
    <x v="0"/>
    <d v="2019-06-30T00:00:00"/>
    <s v="1806000080"/>
    <d v="2018-11-14T00:00:00"/>
    <s v=""/>
    <s v="1809000224"/>
  </r>
  <r>
    <s v="1809000225"/>
    <d v="2018-11-19T00:00:00"/>
    <d v="2018-11-19T00:00:00"/>
    <s v="DZ"/>
    <s v="USD"/>
    <n v="16721"/>
    <n v="16721"/>
    <s v="BDT"/>
    <s v="EGM2"/>
    <n v="1384498.8"/>
    <s v="CM ADVANCE ADJUST REF-424130681081"/>
    <s v="0000001010"/>
    <s v="E24736VF18US0317"/>
    <s v=""/>
    <s v=""/>
    <s v="0"/>
    <s v="424130691613"/>
    <s v=""/>
    <s v=""/>
    <s v=""/>
    <s v=""/>
    <s v=""/>
    <x v="0"/>
    <d v="2019-06-30T00:00:00"/>
    <s v="1806000078"/>
    <d v="2018-11-19T00:00:00"/>
    <s v=""/>
    <s v="1809000225"/>
  </r>
  <r>
    <s v="1809000225"/>
    <d v="2018-11-19T00:00:00"/>
    <d v="2018-11-19T00:00:00"/>
    <s v="DZ"/>
    <s v="USD"/>
    <n v="65344"/>
    <n v="65344"/>
    <s v="BDT"/>
    <s v="EGM2"/>
    <n v="5417017.5999999996"/>
    <s v="CM ADVANCE ADJUST REF-424130687717"/>
    <s v="0000001010"/>
    <s v="E24736VF18US0317"/>
    <s v=""/>
    <s v=""/>
    <s v="0"/>
    <s v="424130691613"/>
    <s v=""/>
    <s v=""/>
    <s v=""/>
    <s v=""/>
    <s v=""/>
    <x v="0"/>
    <d v="2019-02-23T00:00:00"/>
    <s v="1806000019"/>
    <d v="2018-11-19T00:00:00"/>
    <s v=""/>
    <s v="1809000225"/>
  </r>
  <r>
    <s v="1809000225"/>
    <d v="2018-11-19T00:00:00"/>
    <d v="2018-11-19T00:00:00"/>
    <s v="DZ"/>
    <s v="USD"/>
    <n v="2563"/>
    <n v="2563"/>
    <s v="BDT"/>
    <s v="EGM2"/>
    <n v="212216.4"/>
    <s v="CM ADVANCE ADJUST REF-424130674357"/>
    <s v="0000001010"/>
    <s v="E24736VF18US0317"/>
    <s v=""/>
    <s v=""/>
    <s v="0"/>
    <s v="424130691613"/>
    <s v=""/>
    <s v=""/>
    <s v=""/>
    <s v=""/>
    <s v=""/>
    <x v="0"/>
    <d v="2019-06-30T00:00:00"/>
    <s v="1806000080"/>
    <d v="2018-11-19T00:00:00"/>
    <s v=""/>
    <s v="1809000225"/>
  </r>
  <r>
    <s v="1809000225"/>
    <d v="2018-11-19T00:00:00"/>
    <d v="2018-11-19T00:00:00"/>
    <s v="DZ"/>
    <s v="USD"/>
    <n v="27653"/>
    <n v="27653"/>
    <s v="BDT"/>
    <s v="EGM2"/>
    <n v="2292433.7000000002"/>
    <s v="CM ADVANCE ADJUST REF-424130683310"/>
    <s v="0000001010"/>
    <s v="E24736VF18US0317"/>
    <s v=""/>
    <s v=""/>
    <s v="0"/>
    <s v="424130691613"/>
    <s v=""/>
    <s v=""/>
    <s v=""/>
    <s v=""/>
    <s v=""/>
    <x v="0"/>
    <d v="2019-02-23T00:00:00"/>
    <s v="1806000025"/>
    <d v="2018-11-19T00:00:00"/>
    <s v=""/>
    <s v="1809000225"/>
  </r>
  <r>
    <s v="1809000226"/>
    <d v="2018-11-22T00:00:00"/>
    <d v="2018-11-22T00:00:00"/>
    <s v="DZ"/>
    <s v="USD"/>
    <n v="-13887"/>
    <n v="-13887"/>
    <s v="BDT"/>
    <s v="EGM2"/>
    <n v="-1151232.3"/>
    <s v="CM ADVANCE RECEIVED REF-424130693238"/>
    <s v="0000001010"/>
    <s v="IT06591811220103"/>
    <s v=""/>
    <s v=""/>
    <s v="0"/>
    <s v="424130693238"/>
    <s v=""/>
    <s v=""/>
    <s v=""/>
    <s v=""/>
    <s v=""/>
    <x v="0"/>
    <d v="2019-02-26T00:00:00"/>
    <s v="1806000031"/>
    <d v="2018-11-22T00:00:00"/>
    <s v=""/>
    <s v="1809000226"/>
  </r>
  <r>
    <s v="1809000228"/>
    <d v="2018-11-11T00:00:00"/>
    <d v="2018-11-11T00:00:00"/>
    <s v="DZ"/>
    <s v="USD"/>
    <n v="-294764"/>
    <n v="-294764"/>
    <s v="BDT"/>
    <s v="EGM1"/>
    <n v="-24435935.600000001"/>
    <s v="CM Advance Receive -424130687726"/>
    <s v="0000001010"/>
    <s v="IT06591811070844"/>
    <s v=""/>
    <s v=""/>
    <s v="0"/>
    <s v="424130687726"/>
    <s v=""/>
    <s v=""/>
    <s v=""/>
    <s v=""/>
    <s v=""/>
    <x v="0"/>
    <d v="2019-05-02T00:00:00"/>
    <s v="1806000048"/>
    <d v="2018-11-11T00:00:00"/>
    <s v=""/>
    <s v="1809000228"/>
  </r>
  <r>
    <s v="1809000229"/>
    <d v="2018-11-14T00:00:00"/>
    <d v="2018-11-14T00:00:00"/>
    <s v="DZ"/>
    <s v="USD"/>
    <n v="87776"/>
    <n v="87776"/>
    <s v="BDT"/>
    <s v="EGM1"/>
    <n v="7276630.4000000004"/>
    <s v="CM Advance Adjusted-424130687726"/>
    <s v="0000001010"/>
    <s v="E04686US18-0969"/>
    <s v=""/>
    <s v=""/>
    <s v="0"/>
    <s v="424130689617"/>
    <s v=""/>
    <s v=""/>
    <s v=""/>
    <s v=""/>
    <s v=""/>
    <x v="0"/>
    <d v="2019-05-02T00:00:00"/>
    <s v="1806000048"/>
    <d v="2018-11-14T00:00:00"/>
    <s v=""/>
    <s v="1809000229"/>
  </r>
  <r>
    <s v="1809000229"/>
    <d v="2018-11-14T00:00:00"/>
    <d v="2018-11-14T00:00:00"/>
    <s v="DZ"/>
    <s v="USD"/>
    <n v="67025"/>
    <n v="67025"/>
    <s v="BDT"/>
    <s v="EGM1"/>
    <n v="5549670"/>
    <s v="CM Advance Adjusted-424130679432"/>
    <s v="0000001010"/>
    <s v="E04686US18-0969"/>
    <s v=""/>
    <s v=""/>
    <s v="0"/>
    <s v="424130689617"/>
    <s v=""/>
    <s v=""/>
    <s v=""/>
    <s v=""/>
    <s v=""/>
    <x v="0"/>
    <d v="2019-07-31T00:00:00"/>
    <s v="1906000005"/>
    <d v="2018-11-14T00:00:00"/>
    <s v=""/>
    <s v="1809000229"/>
  </r>
  <r>
    <s v="1809000234"/>
    <d v="2018-11-18T00:00:00"/>
    <d v="2018-11-18T00:00:00"/>
    <s v="DZ"/>
    <s v="USD"/>
    <n v="-97588"/>
    <n v="-97588"/>
    <s v="BDT"/>
    <s v="EGM1"/>
    <n v="-8090045.2000000002"/>
    <s v="CM Advance Receive -424130690801"/>
    <s v="0000001010"/>
    <s v="IT06591811150445"/>
    <s v=""/>
    <s v=""/>
    <s v="0"/>
    <s v="424130690801"/>
    <s v=""/>
    <s v=""/>
    <s v=""/>
    <s v=""/>
    <s v=""/>
    <x v="0"/>
    <d v="2019-05-02T00:00:00"/>
    <s v="1806000060"/>
    <d v="2018-11-18T00:00:00"/>
    <s v=""/>
    <s v="1809000234"/>
  </r>
  <r>
    <s v="1809000235"/>
    <d v="2018-11-20T00:00:00"/>
    <d v="2018-11-20T00:00:00"/>
    <s v="DZ"/>
    <s v="USD"/>
    <n v="8474"/>
    <n v="8474"/>
    <s v="BDT"/>
    <s v="EGM1"/>
    <n v="702494.6"/>
    <s v="CM Advance Adjusted-424130690801"/>
    <s v="0000001010"/>
    <s v="E04715WM18CA0944"/>
    <s v=""/>
    <s v=""/>
    <s v="0"/>
    <s v="424130692177"/>
    <s v=""/>
    <s v=""/>
    <s v=""/>
    <s v=""/>
    <s v=""/>
    <x v="0"/>
    <d v="2019-05-02T00:00:00"/>
    <s v="1806000060"/>
    <d v="2018-11-20T00:00:00"/>
    <s v=""/>
    <s v="1809000235"/>
  </r>
  <r>
    <s v="1809000236"/>
    <d v="2018-11-22T00:00:00"/>
    <d v="2018-11-22T00:00:00"/>
    <s v="DZ"/>
    <s v="USD"/>
    <n v="6587"/>
    <n v="6587"/>
    <s v="BDT"/>
    <s v="EGM1"/>
    <n v="546062.30000000005"/>
    <s v="CM advance adjust ref-424130690801"/>
    <s v="0000001010"/>
    <s v="E4715WM18CA0995"/>
    <s v=""/>
    <s v=""/>
    <s v="0"/>
    <s v="424130693247"/>
    <s v=""/>
    <s v=""/>
    <s v=""/>
    <s v=""/>
    <s v=""/>
    <x v="0"/>
    <d v="2019-05-02T00:00:00"/>
    <s v="1806000060"/>
    <d v="2018-11-22T00:00:00"/>
    <s v=""/>
    <s v="1809000236"/>
  </r>
  <r>
    <s v="1809000238"/>
    <d v="2018-11-25T00:00:00"/>
    <d v="2018-11-25T00:00:00"/>
    <s v="DZ"/>
    <s v="USD"/>
    <n v="407088"/>
    <n v="407088"/>
    <s v="BDT"/>
    <s v="EGM1"/>
    <n v="33706886.399999999"/>
    <s v="CM advance adjust ref-424130682810"/>
    <s v="0000001010"/>
    <s v="E04698US18-0934"/>
    <s v=""/>
    <s v=""/>
    <s v="0"/>
    <s v="424130693327"/>
    <s v=""/>
    <s v=""/>
    <s v=""/>
    <s v=""/>
    <s v=""/>
    <x v="0"/>
    <d v="2019-05-02T00:00:00"/>
    <s v="1806000043"/>
    <d v="2018-11-25T00:00:00"/>
    <s v=""/>
    <s v="1809000238"/>
  </r>
  <r>
    <s v="1809000238"/>
    <d v="2018-11-25T00:00:00"/>
    <d v="2018-11-25T00:00:00"/>
    <s v="DZ"/>
    <s v="USD"/>
    <n v="172894"/>
    <n v="172894"/>
    <s v="BDT"/>
    <s v="EGM1"/>
    <n v="14332912.6"/>
    <s v="CM advance adjust ref-424130687726"/>
    <s v="0000001010"/>
    <s v="E04698US18-0934"/>
    <s v=""/>
    <s v=""/>
    <s v="0"/>
    <s v="424130693327"/>
    <s v=""/>
    <s v=""/>
    <s v=""/>
    <s v=""/>
    <s v=""/>
    <x v="0"/>
    <d v="2019-05-02T00:00:00"/>
    <s v="1806000048"/>
    <d v="2018-11-25T00:00:00"/>
    <s v=""/>
    <s v="1809000238"/>
  </r>
  <r>
    <s v="1809000238"/>
    <d v="2018-11-25T00:00:00"/>
    <d v="2018-11-25T00:00:00"/>
    <s v="DZ"/>
    <s v="USD"/>
    <n v="90487"/>
    <n v="90487"/>
    <s v="BDT"/>
    <s v="EGM1"/>
    <n v="7492323.5999999996"/>
    <s v="CM advance adjust ref-424130677318"/>
    <s v="0000001010"/>
    <s v="E04698US18-0934"/>
    <s v=""/>
    <s v=""/>
    <s v="0"/>
    <s v="424130693327"/>
    <s v=""/>
    <s v=""/>
    <s v=""/>
    <s v=""/>
    <s v=""/>
    <x v="0"/>
    <d v="2019-05-02T00:00:00"/>
    <s v="1806000052"/>
    <d v="2018-11-25T00:00:00"/>
    <s v=""/>
    <s v="1809000238"/>
  </r>
  <r>
    <s v="1809000238"/>
    <d v="2018-11-25T00:00:00"/>
    <d v="2018-11-25T00:00:00"/>
    <s v="DZ"/>
    <s v="USD"/>
    <n v="31580"/>
    <n v="31580"/>
    <s v="BDT"/>
    <s v="EGM1"/>
    <n v="2614824"/>
    <s v="CM advance adjust ref-424130678040"/>
    <s v="0000001010"/>
    <s v="E04698US18-0934"/>
    <s v=""/>
    <s v=""/>
    <s v="0"/>
    <s v="424130693327"/>
    <s v=""/>
    <s v=""/>
    <s v=""/>
    <s v=""/>
    <s v=""/>
    <x v="0"/>
    <d v="2019-05-02T00:00:00"/>
    <s v="1806000063"/>
    <d v="2018-11-25T00:00:00"/>
    <s v=""/>
    <s v="1809000238"/>
  </r>
  <r>
    <s v="1809000240"/>
    <d v="2018-11-20T00:00:00"/>
    <d v="2018-11-20T00:00:00"/>
    <s v="DZ"/>
    <s v="USD"/>
    <n v="25965"/>
    <n v="25965"/>
    <s v="BDT"/>
    <s v="EGM1"/>
    <n v="2149902"/>
    <s v="CM advance adjust ref-424130682810"/>
    <s v="0000001010"/>
    <s v="E4480SB18UK1002"/>
    <s v=""/>
    <s v=""/>
    <s v="0"/>
    <s v="424130692168"/>
    <s v=""/>
    <s v=""/>
    <s v=""/>
    <s v=""/>
    <s v=""/>
    <x v="0"/>
    <d v="2019-05-02T00:00:00"/>
    <s v="1806000043"/>
    <d v="2018-11-20T00:00:00"/>
    <s v=""/>
    <s v="1809000240"/>
  </r>
  <r>
    <s v="1809000242"/>
    <d v="2018-11-20T00:00:00"/>
    <d v="2018-11-20T00:00:00"/>
    <s v="DZ"/>
    <s v="USD"/>
    <n v="31815"/>
    <n v="31815"/>
    <s v="BDT"/>
    <s v="EGM1"/>
    <n v="2637463.5"/>
    <s v="CM advance adjust ref-424130687726"/>
    <s v="0000001010"/>
    <s v="E04715WM18CA0999"/>
    <s v=""/>
    <s v=""/>
    <s v="0"/>
    <s v="424130690856"/>
    <s v=""/>
    <s v=""/>
    <s v=""/>
    <s v=""/>
    <s v=""/>
    <x v="0"/>
    <d v="2019-05-02T00:00:00"/>
    <s v="1806000048"/>
    <d v="2018-11-20T00:00:00"/>
    <s v=""/>
    <s v="1809000242"/>
  </r>
  <r>
    <s v="1809000244"/>
    <d v="2018-11-25T00:00:00"/>
    <d v="2018-11-25T00:00:00"/>
    <s v="DZ"/>
    <s v="USD"/>
    <n v="-21127"/>
    <n v="-21127"/>
    <s v="BDT"/>
    <s v="EGM2"/>
    <n v="-1751428.3"/>
    <s v="CM advance receive ref-424130693540"/>
    <s v="0000001010"/>
    <s v="IT06591811240016"/>
    <s v=""/>
    <s v=""/>
    <s v="0"/>
    <s v="424130693540"/>
    <s v=""/>
    <s v=""/>
    <s v=""/>
    <s v=""/>
    <s v=""/>
    <x v="0"/>
    <d v="2019-02-26T00:00:00"/>
    <s v="1806000030"/>
    <d v="2018-11-25T00:00:00"/>
    <s v=""/>
    <s v="1809000244"/>
  </r>
  <r>
    <s v="1809000245"/>
    <d v="2018-11-28T00:00:00"/>
    <d v="2018-11-28T00:00:00"/>
    <s v="DZ"/>
    <s v="USD"/>
    <n v="7260"/>
    <n v="7260"/>
    <s v="BDT"/>
    <s v="EGM2"/>
    <n v="601854"/>
    <s v="CM advance adjust ref-424130687691"/>
    <s v="0000001010"/>
    <s v="E24720VF18US0306"/>
    <s v=""/>
    <s v=""/>
    <s v="0"/>
    <s v="424130694905"/>
    <s v=""/>
    <s v=""/>
    <s v=""/>
    <s v=""/>
    <s v=""/>
    <x v="0"/>
    <d v="2019-06-30T00:00:00"/>
    <s v="1806000076"/>
    <d v="2018-11-28T00:00:00"/>
    <s v=""/>
    <s v="1809000245"/>
  </r>
  <r>
    <s v="1809000245"/>
    <d v="2018-11-28T00:00:00"/>
    <d v="2018-11-28T00:00:00"/>
    <s v="DZ"/>
    <s v="USD"/>
    <n v="10560"/>
    <n v="10560"/>
    <s v="BDT"/>
    <s v="EGM2"/>
    <n v="874368"/>
    <s v="CM advance adjust ref-424130681081"/>
    <s v="0000001010"/>
    <s v="E24720VF18US0306"/>
    <s v=""/>
    <s v=""/>
    <s v="0"/>
    <s v="424130694905"/>
    <s v=""/>
    <s v=""/>
    <s v=""/>
    <s v=""/>
    <s v=""/>
    <x v="0"/>
    <d v="2019-06-30T00:00:00"/>
    <s v="1806000078"/>
    <d v="2018-11-28T00:00:00"/>
    <s v=""/>
    <s v="1809000245"/>
  </r>
  <r>
    <s v="1809000245"/>
    <d v="2018-11-28T00:00:00"/>
    <d v="2018-11-28T00:00:00"/>
    <s v="DZ"/>
    <s v="USD"/>
    <n v="17269"/>
    <n v="17269"/>
    <s v="BDT"/>
    <s v="EGM2"/>
    <n v="1429873.2"/>
    <s v="CM advance adjust ref-424130674357"/>
    <s v="0000001010"/>
    <s v="E24720VF18US0306"/>
    <s v=""/>
    <s v=""/>
    <s v="0"/>
    <s v="424130694905"/>
    <s v=""/>
    <s v=""/>
    <s v=""/>
    <s v=""/>
    <s v=""/>
    <x v="0"/>
    <d v="2019-06-30T00:00:00"/>
    <s v="1806000080"/>
    <d v="2018-11-28T00:00:00"/>
    <s v=""/>
    <s v="1809000245"/>
  </r>
  <r>
    <s v="1809000247"/>
    <d v="2018-11-30T00:00:00"/>
    <d v="2018-11-30T00:00:00"/>
    <s v="DZ"/>
    <s v="USD"/>
    <n v="176784"/>
    <n v="176784"/>
    <s v="BDT"/>
    <s v="EGM1"/>
    <n v="14655393.6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9000247"/>
  </r>
  <r>
    <s v="1809000247"/>
    <d v="2018-11-30T00:00:00"/>
    <d v="2018-11-30T00:00:00"/>
    <s v="DZ"/>
    <s v="USD"/>
    <n v="-1144527"/>
    <n v="-1144527"/>
    <s v="BDT"/>
    <s v="EGM1"/>
    <n v="-94881288.299999997"/>
    <s v="FIT-CM ADV-NOV-18"/>
    <s v="0000001010"/>
    <s v="FIT-CM ADV-NOV18"/>
    <s v=""/>
    <s v=""/>
    <s v="0"/>
    <s v="CM ADV. FIT - NOV-18"/>
    <s v=""/>
    <s v=""/>
    <s v=""/>
    <s v=""/>
    <s v=""/>
    <x v="0"/>
    <d v="2018-12-01T00:00:00"/>
    <s v="1803005999"/>
    <d v="2018-11-30T00:00:00"/>
    <s v=""/>
    <s v="1809000247"/>
  </r>
  <r>
    <s v="1809000249"/>
    <d v="2018-11-30T00:00:00"/>
    <d v="2018-11-30T00:00:00"/>
    <s v="DZ"/>
    <s v="USD"/>
    <n v="-67213.34"/>
    <n v="-67213.34"/>
    <s v="BDT"/>
    <s v="EGM1"/>
    <n v="-5571985.8899999997"/>
    <s v="FIT-CM ADV -EGDWC-Nov-18"/>
    <s v="0000005010"/>
    <s v="FIT-EGDWC-NOV-18"/>
    <s v=""/>
    <s v=""/>
    <s v="0"/>
    <s v="FIT-CM ADV-EGDWC-Nov-18"/>
    <s v=""/>
    <s v=""/>
    <s v=""/>
    <s v=""/>
    <s v=""/>
    <x v="0"/>
    <d v="2018-12-01T00:00:00"/>
    <s v="1803006002"/>
    <d v="2018-11-30T00:00:00"/>
    <s v=""/>
    <s v="1809000249"/>
  </r>
  <r>
    <s v="1809000250"/>
    <d v="2018-12-02T00:00:00"/>
    <d v="2018-12-02T00:00:00"/>
    <s v="DZ"/>
    <s v="USD"/>
    <n v="-444779"/>
    <n v="-444779"/>
    <s v="BDT"/>
    <s v="EGM1"/>
    <n v="-36894418.049999997"/>
    <s v="CM ADVANCE RECEIVED REF-424130696306"/>
    <s v="0000001010"/>
    <s v="IT06591811290544"/>
    <s v=""/>
    <s v=""/>
    <s v="0"/>
    <s v="424130696306"/>
    <s v=""/>
    <s v=""/>
    <s v=""/>
    <s v=""/>
    <s v=""/>
    <x v="0"/>
    <d v="2019-05-02T00:00:00"/>
    <s v="1806000042"/>
    <d v="2018-12-02T00:00:00"/>
    <s v=""/>
    <s v="1809000250"/>
  </r>
  <r>
    <s v="1809000251"/>
    <d v="2018-12-02T00:00:00"/>
    <d v="2018-12-02T00:00:00"/>
    <s v="DZ"/>
    <s v="USD"/>
    <n v="-638206"/>
    <n v="-638206"/>
    <s v="BDT"/>
    <s v="EGM1"/>
    <n v="-52939187.700000003"/>
    <s v="CM ADVANCE RECEIVED REF-424130696315"/>
    <s v="0000001010"/>
    <s v="IT06591812010047"/>
    <s v=""/>
    <s v=""/>
    <s v="0"/>
    <s v="424130696315"/>
    <s v=""/>
    <s v=""/>
    <s v=""/>
    <s v=""/>
    <s v=""/>
    <x v="0"/>
    <d v="2019-05-02T00:00:00"/>
    <s v="1806000040"/>
    <d v="2018-12-02T00:00:00"/>
    <s v=""/>
    <s v="1809000251"/>
  </r>
  <r>
    <s v="1809000252"/>
    <d v="2018-12-02T00:00:00"/>
    <d v="2018-12-02T00:00:00"/>
    <s v="DZ"/>
    <s v="USD"/>
    <n v="97467"/>
    <n v="97467"/>
    <s v="BDT"/>
    <s v="EGM1"/>
    <n v="8080014.2999999998"/>
    <s v="CM ADVANCE adjust REF-424130683926"/>
    <s v="0000001010"/>
    <s v="E04790US18-1027"/>
    <s v=""/>
    <s v=""/>
    <s v="0"/>
    <s v="424130696440"/>
    <s v=""/>
    <s v=""/>
    <s v=""/>
    <s v=""/>
    <s v=""/>
    <x v="0"/>
    <d v="2019-07-31T00:00:00"/>
    <s v="1906000003"/>
    <d v="2018-12-02T00:00:00"/>
    <s v=""/>
    <s v="1809000252"/>
  </r>
  <r>
    <s v="1809000253"/>
    <d v="2018-12-05T00:00:00"/>
    <d v="2018-12-05T00:00:00"/>
    <s v="DZ"/>
    <s v="USD"/>
    <n v="-295393"/>
    <n v="-295393"/>
    <s v="BDT"/>
    <s v="EGM1"/>
    <n v="-24502849.359999999"/>
    <s v="CM ADVANCE RECEIVED REF-424130698279"/>
    <s v="0000001010"/>
    <s v="IT06591812040047"/>
    <s v=""/>
    <s v=""/>
    <s v="0"/>
    <s v="424130698279"/>
    <s v=""/>
    <s v=""/>
    <s v=""/>
    <s v=""/>
    <s v=""/>
    <x v="0"/>
    <d v="2019-07-31T00:00:00"/>
    <s v="1906000002"/>
    <d v="2018-12-05T00:00:00"/>
    <s v=""/>
    <s v="1809000253"/>
  </r>
  <r>
    <s v="1809000254"/>
    <d v="2018-12-05T00:00:00"/>
    <d v="2018-12-05T00:00:00"/>
    <s v="DZ"/>
    <s v="USD"/>
    <n v="-149423.76"/>
    <n v="-149423.76"/>
    <s v="BDT"/>
    <s v="EGM1"/>
    <n v="-12394700.9"/>
    <s v="CM ADVANCE RECEIVED REF-424130698288"/>
    <s v="0000001010"/>
    <s v="IT06591812040050"/>
    <s v=""/>
    <s v=""/>
    <s v="0"/>
    <s v="424130698288"/>
    <s v=""/>
    <s v=""/>
    <s v=""/>
    <s v=""/>
    <s v=""/>
    <x v="0"/>
    <d v="2019-05-02T00:00:00"/>
    <s v="1806000058"/>
    <d v="2018-12-05T00:00:00"/>
    <s v=""/>
    <s v="1809000254"/>
  </r>
  <r>
    <s v="1809000255"/>
    <d v="2018-12-05T00:00:00"/>
    <d v="2018-12-05T00:00:00"/>
    <s v="DZ"/>
    <s v="USD"/>
    <n v="32754"/>
    <n v="32754"/>
    <s v="BDT"/>
    <s v="EGM1"/>
    <n v="2716944.3"/>
    <s v="CM ADVANCE adjust REF-424130696306"/>
    <s v="0000001010"/>
    <s v="E04790US18-1033"/>
    <s v=""/>
    <s v=""/>
    <s v="0"/>
    <s v="424130698689"/>
    <s v=""/>
    <s v=""/>
    <s v=""/>
    <s v=""/>
    <s v=""/>
    <x v="0"/>
    <d v="2019-05-02T00:00:00"/>
    <s v="1806000042"/>
    <d v="2018-12-05T00:00:00"/>
    <s v=""/>
    <s v="1809000255"/>
  </r>
  <r>
    <s v="1809000256"/>
    <d v="2018-12-05T00:00:00"/>
    <d v="2018-12-05T00:00:00"/>
    <s v="DZ"/>
    <s v="USD"/>
    <n v="45010"/>
    <n v="45010"/>
    <s v="BDT"/>
    <s v="EGM1"/>
    <n v="3733579.5"/>
    <s v="CM ADVANCE adjust REF-424130696306"/>
    <s v="0000001010"/>
    <s v="E44682C18GR1024"/>
    <s v=""/>
    <s v=""/>
    <s v="0"/>
    <s v="424130698698"/>
    <s v=""/>
    <s v=""/>
    <s v=""/>
    <s v=""/>
    <s v=""/>
    <x v="0"/>
    <d v="2019-05-02T00:00:00"/>
    <s v="1806000042"/>
    <d v="2018-12-05T00:00:00"/>
    <s v=""/>
    <s v="1809000256"/>
  </r>
  <r>
    <s v="1809000257"/>
    <d v="2018-12-05T00:00:00"/>
    <d v="2018-12-05T00:00:00"/>
    <s v="DZ"/>
    <s v="USD"/>
    <n v="25407"/>
    <n v="25407"/>
    <s v="BDT"/>
    <s v="EGM1"/>
    <n v="2107510.65"/>
    <s v="CM ADVANCE adjust REF-424130696306"/>
    <s v="0000001010"/>
    <s v="E04715WM18CA1066"/>
    <s v=""/>
    <s v=""/>
    <s v="0"/>
    <s v="424130698705"/>
    <s v=""/>
    <s v=""/>
    <s v=""/>
    <s v=""/>
    <s v=""/>
    <x v="0"/>
    <d v="2019-05-02T00:00:00"/>
    <s v="1806000042"/>
    <d v="2018-12-05T00:00:00"/>
    <s v=""/>
    <s v="1809000257"/>
  </r>
  <r>
    <s v="1809000258"/>
    <d v="2018-12-05T00:00:00"/>
    <d v="2018-12-05T00:00:00"/>
    <s v="DZ"/>
    <s v="USD"/>
    <n v="149332"/>
    <n v="149332"/>
    <s v="BDT"/>
    <s v="EGM1"/>
    <n v="12387089.4"/>
    <s v="CM ADVANCE adjust REF-424130696306"/>
    <s v="0000001010"/>
    <s v="E04790US18-1030"/>
    <s v=""/>
    <s v=""/>
    <s v="0"/>
    <s v="424130698297"/>
    <s v=""/>
    <s v=""/>
    <s v=""/>
    <s v=""/>
    <s v=""/>
    <x v="0"/>
    <d v="2019-05-02T00:00:00"/>
    <s v="1806000042"/>
    <d v="2018-12-05T00:00:00"/>
    <s v=""/>
    <s v="1809000258"/>
  </r>
  <r>
    <s v="1809000259"/>
    <d v="2018-12-06T00:00:00"/>
    <d v="2018-12-06T00:00:00"/>
    <s v="DZ"/>
    <s v="USD"/>
    <n v="-87851.85"/>
    <n v="-87851.85"/>
    <s v="BDT"/>
    <s v="EGM1"/>
    <n v="-7287310.96"/>
    <s v="CM ADVANCE RECEIVED REF-424130699385"/>
    <s v="0000005010"/>
    <s v="IT06591812060077"/>
    <s v=""/>
    <s v=""/>
    <s v="0"/>
    <s v="424130699385"/>
    <s v=""/>
    <s v=""/>
    <s v=""/>
    <s v=""/>
    <s v=""/>
    <x v="0"/>
    <d v="2019-05-02T00:00:00"/>
    <s v="1806000061"/>
    <d v="2018-12-06T00:00:00"/>
    <s v=""/>
    <s v="1809000259"/>
  </r>
  <r>
    <s v="1809000260"/>
    <d v="2018-12-10T00:00:00"/>
    <d v="2018-12-10T00:00:00"/>
    <s v="DZ"/>
    <s v="USD"/>
    <n v="11324.95"/>
    <n v="11324.95"/>
    <s v="BDT"/>
    <s v="EGM1"/>
    <n v="939404.6"/>
    <s v="CM ADVANCE adjust REF-424130699385"/>
    <s v="0000005010"/>
    <s v="DE4681TS18CS1018"/>
    <s v=""/>
    <s v=""/>
    <s v="0"/>
    <s v="424130700248"/>
    <s v=""/>
    <s v=""/>
    <s v=""/>
    <s v=""/>
    <s v=""/>
    <x v="0"/>
    <d v="2019-05-02T00:00:00"/>
    <s v="1806000061"/>
    <d v="2018-12-10T00:00:00"/>
    <s v=""/>
    <s v="1809000260"/>
  </r>
  <r>
    <s v="1809000261"/>
    <d v="2018-12-10T00:00:00"/>
    <d v="2018-12-10T00:00:00"/>
    <s v="DZ"/>
    <s v="USD"/>
    <n v="7202.86"/>
    <n v="7202.86"/>
    <s v="BDT"/>
    <s v="EGM1"/>
    <n v="597477.24"/>
    <s v="CM ADVANCE adjust REF-424130699385"/>
    <s v="0000005010"/>
    <s v="E34625TC18CA1051"/>
    <s v=""/>
    <s v=""/>
    <s v="0"/>
    <s v="424130700257"/>
    <s v=""/>
    <s v=""/>
    <s v=""/>
    <s v=""/>
    <s v=""/>
    <x v="0"/>
    <d v="2019-05-02T00:00:00"/>
    <s v="1806000061"/>
    <d v="2018-12-10T00:00:00"/>
    <s v=""/>
    <s v="1809000261"/>
  </r>
  <r>
    <s v="1809000262"/>
    <d v="2018-12-11T00:00:00"/>
    <d v="2018-12-11T00:00:00"/>
    <s v="DZ"/>
    <s v="USD"/>
    <n v="449139"/>
    <n v="449139"/>
    <s v="BDT"/>
    <s v="EGM1"/>
    <n v="37256080.049999997"/>
    <s v="CM ADVANCE adjust REF-424130696315"/>
    <s v="0000001010"/>
    <s v="E04771US18-1069"/>
    <s v=""/>
    <s v=""/>
    <s v="0"/>
    <s v="424130701149"/>
    <s v=""/>
    <s v=""/>
    <s v=""/>
    <s v=""/>
    <s v=""/>
    <x v="0"/>
    <d v="2019-05-02T00:00:00"/>
    <s v="1806000040"/>
    <d v="2018-12-11T00:00:00"/>
    <s v=""/>
    <s v="1809000262"/>
  </r>
  <r>
    <s v="1809000262"/>
    <d v="2018-12-11T00:00:00"/>
    <d v="2018-12-11T00:00:00"/>
    <s v="DZ"/>
    <s v="USD"/>
    <n v="192276"/>
    <n v="192276"/>
    <s v="BDT"/>
    <s v="EGM1"/>
    <n v="15949294.199999999"/>
    <s v="CM ADVANCE adjust REF-424130696306"/>
    <s v="0000001010"/>
    <s v="E04771US18-1069"/>
    <s v=""/>
    <s v=""/>
    <s v="0"/>
    <s v="424130701149"/>
    <s v=""/>
    <s v=""/>
    <s v=""/>
    <s v=""/>
    <s v=""/>
    <x v="0"/>
    <d v="2019-05-02T00:00:00"/>
    <s v="1806000042"/>
    <d v="2018-12-11T00:00:00"/>
    <s v=""/>
    <s v="1809000262"/>
  </r>
  <r>
    <s v="1809000263"/>
    <d v="2018-12-12T00:00:00"/>
    <d v="2018-12-12T00:00:00"/>
    <s v="DZ"/>
    <s v="USD"/>
    <n v="-100338"/>
    <n v="-100338"/>
    <s v="BDT"/>
    <s v="EGM1"/>
    <n v="-8323037.0999999996"/>
    <s v="CM ADVANCE RECEIVED REF-424130701808"/>
    <s v="0000001010"/>
    <s v="IT06591812110245"/>
    <s v=""/>
    <s v=""/>
    <s v="0"/>
    <s v="424130701808"/>
    <s v=""/>
    <s v=""/>
    <s v=""/>
    <s v=""/>
    <s v=""/>
    <x v="0"/>
    <d v="2019-05-02T00:00:00"/>
    <s v="1806000059"/>
    <d v="2018-12-12T00:00:00"/>
    <s v=""/>
    <s v="1809000263"/>
  </r>
  <r>
    <s v="1809000266"/>
    <d v="2018-12-13T00:00:00"/>
    <d v="2018-12-13T00:00:00"/>
    <s v="DZ"/>
    <s v="USD"/>
    <n v="18628.580000000002"/>
    <n v="18628.580000000002"/>
    <s v="BDT"/>
    <s v="EGM1"/>
    <n v="1545240.71"/>
    <s v="CM ADVANCE adjust REF-424130699385"/>
    <s v="0000005010"/>
    <s v="DE4681TS18CE1038"/>
    <s v=""/>
    <s v=""/>
    <s v="0"/>
    <s v="424130702585"/>
    <s v=""/>
    <s v=""/>
    <s v=""/>
    <s v=""/>
    <s v=""/>
    <x v="0"/>
    <d v="2019-05-02T00:00:00"/>
    <s v="1806000061"/>
    <d v="2018-12-13T00:00:00"/>
    <s v=""/>
    <s v="1809000266"/>
  </r>
  <r>
    <s v="1809000267"/>
    <d v="2018-12-17T00:00:00"/>
    <d v="2018-12-17T00:00:00"/>
    <s v="DZ"/>
    <s v="USD"/>
    <n v="-312000"/>
    <n v="-312000"/>
    <s v="BDT"/>
    <s v="EGM1"/>
    <n v="-25880400"/>
    <s v="CM ADVANCE RECEIVED REF-424130702843"/>
    <s v="0000001010"/>
    <s v="IT06591812150005"/>
    <s v=""/>
    <s v=""/>
    <s v="0"/>
    <s v="424130702843"/>
    <s v=""/>
    <s v=""/>
    <s v=""/>
    <s v=""/>
    <s v=""/>
    <x v="0"/>
    <d v="2019-05-02T00:00:00"/>
    <s v="1806000047"/>
    <d v="2018-12-17T00:00:00"/>
    <s v=""/>
    <s v="1809000267"/>
  </r>
  <r>
    <s v="1809000268"/>
    <d v="2018-12-17T00:00:00"/>
    <d v="2018-12-17T00:00:00"/>
    <s v="DZ"/>
    <s v="USD"/>
    <n v="-180148"/>
    <n v="-180148"/>
    <s v="BDT"/>
    <s v="EGM1"/>
    <n v="-14943276.6"/>
    <s v="CM ADVANCE RECEIVED REF-424130702852"/>
    <s v="0000001010"/>
    <s v="IT06591812150006"/>
    <s v=""/>
    <s v=""/>
    <s v="0"/>
    <s v="424130702852"/>
    <s v=""/>
    <s v=""/>
    <s v=""/>
    <s v=""/>
    <s v=""/>
    <x v="0"/>
    <d v="2019-05-02T00:00:00"/>
    <s v="1806000054"/>
    <d v="2018-12-17T00:00:00"/>
    <s v=""/>
    <s v="1809000268"/>
  </r>
  <r>
    <s v="1809000270"/>
    <d v="2018-12-19T00:00:00"/>
    <d v="2018-12-19T00:00:00"/>
    <s v="DZ"/>
    <s v="USD"/>
    <n v="16338.82"/>
    <n v="16338.82"/>
    <s v="BDT"/>
    <s v="EGM1"/>
    <n v="1355305.12"/>
    <s v="CM ADVANCE RECEIVED REF-424130699385"/>
    <s v="0000005010"/>
    <s v="E34622TC18US1060"/>
    <s v=""/>
    <s v=""/>
    <s v="0"/>
    <s v="424130703995"/>
    <s v=""/>
    <s v=""/>
    <s v=""/>
    <s v=""/>
    <s v=""/>
    <x v="0"/>
    <d v="2019-05-02T00:00:00"/>
    <s v="1806000061"/>
    <d v="2018-12-19T00:00:00"/>
    <s v=""/>
    <s v="1809000270"/>
  </r>
  <r>
    <s v="1809000272"/>
    <d v="2018-12-20T00:00:00"/>
    <d v="2018-12-20T00:00:00"/>
    <s v="DZ"/>
    <s v="USD"/>
    <n v="23568"/>
    <n v="23568"/>
    <s v="BDT"/>
    <s v="EGM1"/>
    <n v="1954965.6"/>
    <s v="CM ADVANCE RECEIVED REF-424130696315"/>
    <s v="0000001010"/>
    <s v="E4480SB18UK1053"/>
    <s v=""/>
    <s v=""/>
    <s v="0"/>
    <s v="424130705298"/>
    <s v=""/>
    <s v=""/>
    <s v=""/>
    <s v=""/>
    <s v=""/>
    <x v="0"/>
    <d v="2019-05-02T00:00:00"/>
    <s v="1806000040"/>
    <d v="2018-12-20T00:00:00"/>
    <s v=""/>
    <s v="1809000272"/>
  </r>
  <r>
    <s v="1809000273"/>
    <d v="2018-12-20T00:00:00"/>
    <d v="2018-12-20T00:00:00"/>
    <s v="DZ"/>
    <s v="USD"/>
    <n v="48483"/>
    <n v="48483"/>
    <s v="BDT"/>
    <s v="EGM1"/>
    <n v="4021664.85"/>
    <s v="CM ADVANCE RECEIVED REF-424130696315"/>
    <s v="0000001010"/>
    <s v="E04698US18-1013"/>
    <s v=""/>
    <s v=""/>
    <s v="0"/>
    <s v="424130705289"/>
    <s v=""/>
    <s v=""/>
    <s v=""/>
    <s v=""/>
    <s v=""/>
    <x v="0"/>
    <d v="2019-05-02T00:00:00"/>
    <s v="1806000040"/>
    <d v="2018-12-20T00:00:00"/>
    <s v=""/>
    <s v="1809000273"/>
  </r>
  <r>
    <s v="1809000274"/>
    <d v="2018-12-20T00:00:00"/>
    <d v="2018-12-20T00:00:00"/>
    <s v="DZ"/>
    <s v="USD"/>
    <n v="53859"/>
    <n v="53859"/>
    <s v="BDT"/>
    <s v="EGM1"/>
    <n v="4467604.05"/>
    <s v="CM ADVANCE adjust REF-424130696315"/>
    <s v="0000001010"/>
    <s v="E04698US18-0992"/>
    <s v=""/>
    <s v=""/>
    <s v="0"/>
    <s v="424130705305"/>
    <s v=""/>
    <s v=""/>
    <s v=""/>
    <s v=""/>
    <s v=""/>
    <x v="0"/>
    <d v="2019-05-02T00:00:00"/>
    <s v="1806000040"/>
    <d v="2018-12-20T00:00:00"/>
    <s v=""/>
    <s v="1809000274"/>
  </r>
  <r>
    <s v="1809000274"/>
    <d v="2018-12-20T00:00:00"/>
    <d v="2018-12-20T00:00:00"/>
    <s v="DZ"/>
    <s v="USD"/>
    <n v="27668"/>
    <n v="27668"/>
    <s v="BDT"/>
    <s v="EGM1"/>
    <n v="2290910.4"/>
    <s v="CM ADVANCE adjust REF-424130677318"/>
    <s v="0000001010"/>
    <s v="E04698US18-0992"/>
    <s v=""/>
    <s v=""/>
    <s v="0"/>
    <s v="424130705305"/>
    <s v=""/>
    <s v=""/>
    <s v=""/>
    <s v=""/>
    <s v=""/>
    <x v="0"/>
    <d v="2019-05-02T00:00:00"/>
    <s v="1806000052"/>
    <d v="2018-12-20T00:00:00"/>
    <s v=""/>
    <s v="1809000274"/>
  </r>
  <r>
    <s v="1809000275"/>
    <d v="2018-12-23T00:00:00"/>
    <d v="2018-12-23T00:00:00"/>
    <s v="DZ"/>
    <s v="USD"/>
    <n v="-144487.74"/>
    <n v="-144487.74"/>
    <s v="BDT"/>
    <s v="EGM1"/>
    <n v="-11985258.029999999"/>
    <s v="CM ADVANCE RECEIVED REF-424130706055"/>
    <s v="0000005010"/>
    <s v="IT06591812200086"/>
    <s v=""/>
    <s v=""/>
    <s v="0"/>
    <s v="424130706055"/>
    <s v=""/>
    <s v=""/>
    <s v=""/>
    <s v=""/>
    <s v=""/>
    <x v="0"/>
    <m/>
    <s v=""/>
    <d v="2018-12-23T00:00:00"/>
    <s v=""/>
    <s v="1809000275"/>
  </r>
  <r>
    <s v="1809000276"/>
    <d v="2018-12-23T00:00:00"/>
    <d v="2018-12-23T00:00:00"/>
    <s v="DZ"/>
    <s v="USD"/>
    <n v="-156300"/>
    <n v="-156300"/>
    <s v="BDT"/>
    <s v="EGM1"/>
    <n v="-12965085"/>
    <s v="CM ADVANCE RECEIVED REF-424130707483"/>
    <s v="0000001010"/>
    <s v="IT06591812200249"/>
    <s v=""/>
    <s v=""/>
    <s v="0"/>
    <s v="424130707483"/>
    <s v=""/>
    <s v=""/>
    <s v=""/>
    <s v=""/>
    <s v=""/>
    <x v="0"/>
    <d v="2019-05-02T00:00:00"/>
    <s v="1806000055"/>
    <d v="2018-12-23T00:00:00"/>
    <s v=""/>
    <s v="1809000276"/>
  </r>
  <r>
    <s v="1809000277"/>
    <d v="2018-12-24T00:00:00"/>
    <d v="2018-12-24T00:00:00"/>
    <s v="DZ"/>
    <s v="USD"/>
    <n v="1549"/>
    <n v="1549"/>
    <s v="BDT"/>
    <s v="EGM1"/>
    <n v="128489.55"/>
    <s v="CM ADVANCE adjust REF-424130702852"/>
    <s v="0000001010"/>
    <s v="E04897US18-1079"/>
    <s v=""/>
    <s v=""/>
    <s v="0"/>
    <s v="424130707544"/>
    <s v=""/>
    <s v=""/>
    <s v=""/>
    <s v=""/>
    <s v=""/>
    <x v="0"/>
    <d v="2019-05-02T00:00:00"/>
    <s v="1806000054"/>
    <d v="2018-12-24T00:00:00"/>
    <s v=""/>
    <s v="1809000277"/>
  </r>
  <r>
    <s v="1809000277"/>
    <d v="2018-12-24T00:00:00"/>
    <d v="2018-12-24T00:00:00"/>
    <s v="DZ"/>
    <s v="USD"/>
    <n v="97449.600000000006"/>
    <n v="97449.600000000006"/>
    <s v="BDT"/>
    <s v="EGM1"/>
    <n v="8083444.3300000001"/>
    <s v="CM ADVANCE adjust REF-424130698288"/>
    <s v="0000001010"/>
    <s v="E04897US18-1079"/>
    <s v=""/>
    <s v=""/>
    <s v="0"/>
    <s v="424130707544"/>
    <s v=""/>
    <s v=""/>
    <s v=""/>
    <s v=""/>
    <s v=""/>
    <x v="0"/>
    <d v="2019-05-02T00:00:00"/>
    <s v="1806000058"/>
    <d v="2018-12-24T00:00:00"/>
    <s v=""/>
    <s v="1809000277"/>
  </r>
  <r>
    <s v="1809000278"/>
    <d v="2018-12-26T00:00:00"/>
    <d v="2018-12-26T00:00:00"/>
    <s v="DZ"/>
    <s v="USD"/>
    <n v="-154329"/>
    <n v="-154329"/>
    <s v="BDT"/>
    <s v="EGM1"/>
    <n v="-12801590.560000001"/>
    <s v="CM ADVANCE RECEIVED REF-424130708650"/>
    <s v="0000001010"/>
    <s v="424130708650"/>
    <s v=""/>
    <s v=""/>
    <s v="0"/>
    <s v="424130708650"/>
    <s v=""/>
    <s v=""/>
    <s v=""/>
    <s v=""/>
    <s v=""/>
    <x v="0"/>
    <d v="2019-05-02T00:00:00"/>
    <s v="1806000056"/>
    <d v="2018-12-26T00:00:00"/>
    <s v=""/>
    <s v="1809000278"/>
  </r>
  <r>
    <s v="1809000279"/>
    <d v="2018-12-27T00:00:00"/>
    <d v="2018-12-27T00:00:00"/>
    <s v="DZ"/>
    <s v="USD"/>
    <n v="1582"/>
    <n v="1582"/>
    <s v="BDT"/>
    <s v="EGM1"/>
    <n v="131226.9"/>
    <s v="CM ADVANCE adjust REF-424130702852"/>
    <s v="0000001010"/>
    <s v="E04698US18-0988"/>
    <s v=""/>
    <s v=""/>
    <s v="0"/>
    <s v="424130708669"/>
    <s v=""/>
    <s v=""/>
    <s v=""/>
    <s v=""/>
    <s v=""/>
    <x v="0"/>
    <d v="2019-05-02T00:00:00"/>
    <s v="1806000054"/>
    <d v="2018-12-27T00:00:00"/>
    <s v=""/>
    <s v="1809000279"/>
  </r>
  <r>
    <s v="1809000279"/>
    <d v="2018-12-27T00:00:00"/>
    <d v="2018-12-27T00:00:00"/>
    <s v="DZ"/>
    <s v="USD"/>
    <n v="2832"/>
    <n v="2832"/>
    <s v="BDT"/>
    <s v="EGM1"/>
    <n v="234914.4"/>
    <s v="CM ADVANCE adjust REF-424130707483"/>
    <s v="0000001010"/>
    <s v="E04698US18-0988"/>
    <s v=""/>
    <s v=""/>
    <s v="0"/>
    <s v="424130708669"/>
    <s v=""/>
    <s v=""/>
    <s v=""/>
    <s v=""/>
    <s v=""/>
    <x v="0"/>
    <d v="2019-05-02T00:00:00"/>
    <s v="1806000055"/>
    <d v="2018-12-27T00:00:00"/>
    <s v=""/>
    <s v="1809000279"/>
  </r>
  <r>
    <s v="1809000279"/>
    <d v="2018-12-27T00:00:00"/>
    <d v="2018-12-27T00:00:00"/>
    <s v="DZ"/>
    <s v="USD"/>
    <n v="54554"/>
    <n v="54554"/>
    <s v="BDT"/>
    <s v="EGM1"/>
    <n v="4525254.3"/>
    <s v="CM ADVANCE adjust REF-424130701808"/>
    <s v="0000001010"/>
    <s v="E04698US18-0988"/>
    <s v=""/>
    <s v=""/>
    <s v="0"/>
    <s v="424130708669"/>
    <s v=""/>
    <s v=""/>
    <s v=""/>
    <s v=""/>
    <s v=""/>
    <x v="0"/>
    <d v="2019-05-02T00:00:00"/>
    <s v="1806000059"/>
    <d v="2018-12-27T00:00:00"/>
    <s v=""/>
    <s v="1809000279"/>
  </r>
  <r>
    <s v="1809000280"/>
    <d v="2018-12-27T00:00:00"/>
    <d v="2018-12-27T00:00:00"/>
    <s v="DZ"/>
    <s v="USD"/>
    <n v="34356.660000000003"/>
    <n v="34356.660000000003"/>
    <s v="BDT"/>
    <s v="EGM1"/>
    <n v="2849884.95"/>
    <s v="CM ADVANCE adjust REF-424130699385"/>
    <s v="0000005010"/>
    <s v="DE468ITS18CE10"/>
    <s v=""/>
    <s v=""/>
    <s v="0"/>
    <s v="424130708678"/>
    <s v=""/>
    <s v=""/>
    <s v=""/>
    <s v=""/>
    <s v=""/>
    <x v="0"/>
    <d v="2019-05-02T00:00:00"/>
    <s v="1806000061"/>
    <d v="2018-12-27T00:00:00"/>
    <s v=""/>
    <s v="1809000280"/>
  </r>
  <r>
    <s v="1809000282"/>
    <d v="2018-12-02T00:00:00"/>
    <d v="2018-12-02T00:00:00"/>
    <s v="DZ"/>
    <s v="USD"/>
    <n v="-26058"/>
    <n v="-26058"/>
    <s v="BDT"/>
    <s v="EGM2"/>
    <n v="-2161511.1"/>
    <s v="CM ADVANCE RECEIVED REF-424130696351"/>
    <s v="0000001010"/>
    <s v="IT06591811290541"/>
    <s v=""/>
    <s v=""/>
    <s v="0"/>
    <s v="424130696351"/>
    <s v=""/>
    <s v=""/>
    <s v=""/>
    <s v=""/>
    <s v=""/>
    <x v="0"/>
    <d v="2018-12-20T00:00:00"/>
    <s v="1809000295"/>
    <d v="2018-12-02T00:00:00"/>
    <s v=""/>
    <s v="1809000282"/>
  </r>
  <r>
    <s v="1809000283"/>
    <d v="2018-12-02T00:00:00"/>
    <d v="2018-12-02T00:00:00"/>
    <s v="DZ"/>
    <s v="USD"/>
    <n v="-35484"/>
    <n v="-35484"/>
    <s v="BDT"/>
    <s v="EGM2"/>
    <n v="-2943397.8"/>
    <s v="CM ADVANCE RECEIVED REF-424130696360"/>
    <s v="0000001010"/>
    <s v="IT06591812010040"/>
    <s v=""/>
    <s v=""/>
    <s v="0"/>
    <s v="424130696360"/>
    <s v=""/>
    <s v=""/>
    <s v=""/>
    <s v=""/>
    <s v=""/>
    <x v="0"/>
    <d v="2019-02-23T00:00:00"/>
    <s v="1806000026"/>
    <d v="2018-12-02T00:00:00"/>
    <s v=""/>
    <s v="1809000283"/>
  </r>
  <r>
    <s v="1809000284"/>
    <d v="2018-12-02T00:00:00"/>
    <d v="2018-12-02T00:00:00"/>
    <s v="DZ"/>
    <s v="USD"/>
    <n v="39065"/>
    <n v="39065"/>
    <s v="BDT"/>
    <s v="EGM2"/>
    <n v="3238488.5"/>
    <s v="CM ADVANCE adjust REF-424130687691"/>
    <s v="0000001010"/>
    <s v="E24738VFUS0322"/>
    <s v=""/>
    <s v=""/>
    <s v="0"/>
    <s v="424130696388"/>
    <s v=""/>
    <s v=""/>
    <s v=""/>
    <s v=""/>
    <s v=""/>
    <x v="0"/>
    <d v="2019-06-30T00:00:00"/>
    <s v="1806000076"/>
    <d v="2018-12-02T00:00:00"/>
    <s v=""/>
    <s v="1809000284"/>
  </r>
  <r>
    <s v="1809000284"/>
    <d v="2018-12-02T00:00:00"/>
    <d v="2018-12-02T00:00:00"/>
    <s v="DZ"/>
    <s v="USD"/>
    <n v="4343"/>
    <n v="4343"/>
    <s v="BDT"/>
    <s v="EGM2"/>
    <n v="359600.4"/>
    <s v="CM ADVANCE adjust REF-424130681081"/>
    <s v="0000001010"/>
    <s v="E24738VFUS0322"/>
    <s v=""/>
    <s v=""/>
    <s v="0"/>
    <s v="424130696388"/>
    <s v=""/>
    <s v=""/>
    <s v=""/>
    <s v=""/>
    <s v=""/>
    <x v="0"/>
    <d v="2019-06-30T00:00:00"/>
    <s v="1806000078"/>
    <d v="2018-12-02T00:00:00"/>
    <s v=""/>
    <s v="1809000284"/>
  </r>
  <r>
    <s v="1809000284"/>
    <d v="2018-12-02T00:00:00"/>
    <d v="2018-12-02T00:00:00"/>
    <s v="DZ"/>
    <s v="USD"/>
    <n v="16271"/>
    <n v="16271"/>
    <s v="BDT"/>
    <s v="EGM2"/>
    <n v="1347238.8"/>
    <s v="CM ADVANCE adjust REF-424130674357"/>
    <s v="0000001010"/>
    <s v="E24738VFUS0322"/>
    <s v=""/>
    <s v=""/>
    <s v="0"/>
    <s v="424130696388"/>
    <s v=""/>
    <s v=""/>
    <s v=""/>
    <s v=""/>
    <s v=""/>
    <x v="0"/>
    <d v="2019-06-30T00:00:00"/>
    <s v="1806000080"/>
    <d v="2018-12-02T00:00:00"/>
    <s v=""/>
    <s v="1809000284"/>
  </r>
  <r>
    <s v="1809000285"/>
    <d v="2018-12-02T00:00:00"/>
    <d v="2018-12-02T00:00:00"/>
    <s v="DZ"/>
    <s v="USD"/>
    <n v="3844"/>
    <n v="3844"/>
    <s v="BDT"/>
    <s v="EGM2"/>
    <n v="318667.59999999998"/>
    <s v="CM ADVANCE adjust REF-424130687691"/>
    <s v="0000001010"/>
    <s v="E24736VF18US0339"/>
    <s v=""/>
    <s v=""/>
    <s v="0"/>
    <s v="424130696397"/>
    <s v=""/>
    <s v=""/>
    <s v=""/>
    <s v=""/>
    <s v=""/>
    <x v="0"/>
    <d v="2019-06-30T00:00:00"/>
    <s v="1806000076"/>
    <d v="2018-12-02T00:00:00"/>
    <s v=""/>
    <s v="1809000285"/>
  </r>
  <r>
    <s v="1809000287"/>
    <d v="2018-12-05T00:00:00"/>
    <d v="2018-12-05T00:00:00"/>
    <s v="DZ"/>
    <s v="USD"/>
    <n v="-64060.7"/>
    <n v="-64060.7"/>
    <s v="BDT"/>
    <s v="EGM2"/>
    <n v="-5313835.07"/>
    <s v="CM ADVANCE RECEIVED REF-424130698260"/>
    <s v="0000001010"/>
    <s v="IT06591812040188"/>
    <s v=""/>
    <s v=""/>
    <s v="0"/>
    <s v="424130698260"/>
    <s v=""/>
    <s v=""/>
    <s v=""/>
    <s v=""/>
    <s v=""/>
    <x v="0"/>
    <d v="2019-02-23T00:00:00"/>
    <s v="1806000021"/>
    <d v="2018-12-05T00:00:00"/>
    <s v=""/>
    <s v="1809000287"/>
  </r>
  <r>
    <s v="1809000288"/>
    <d v="2018-12-05T00:00:00"/>
    <d v="2018-12-05T00:00:00"/>
    <s v="DZ"/>
    <s v="USD"/>
    <n v="-64894"/>
    <n v="-64894"/>
    <s v="BDT"/>
    <s v="EGM2"/>
    <n v="-5382957.2999999998"/>
    <s v="CM ADVANCE RECEIVED REF-424130698670"/>
    <s v="0000001010"/>
    <s v="IT06591812050135"/>
    <s v=""/>
    <s v=""/>
    <s v="0"/>
    <s v="424130698670"/>
    <s v=""/>
    <s v=""/>
    <s v=""/>
    <s v=""/>
    <s v=""/>
    <x v="0"/>
    <d v="2019-02-23T00:00:00"/>
    <s v="1806000020"/>
    <d v="2018-12-05T00:00:00"/>
    <s v=""/>
    <s v="1809000288"/>
  </r>
  <r>
    <s v="1809000289"/>
    <d v="2018-12-05T00:00:00"/>
    <d v="2018-12-05T00:00:00"/>
    <s v="DZ"/>
    <s v="USD"/>
    <n v="-110230"/>
    <n v="-110230"/>
    <s v="BDT"/>
    <s v="EGM2"/>
    <n v="-9143578.5"/>
    <s v="CM ADVANCE RECEIVED REF-424130698858"/>
    <s v="0000001010"/>
    <s v="IT06591812050229"/>
    <s v=""/>
    <s v=""/>
    <s v="0"/>
    <s v="424130698858"/>
    <s v=""/>
    <s v=""/>
    <s v=""/>
    <s v=""/>
    <s v=""/>
    <x v="0"/>
    <d v="2019-06-30T00:00:00"/>
    <s v="1806000077"/>
    <d v="2018-12-05T00:00:00"/>
    <s v=""/>
    <s v="1809000289"/>
  </r>
  <r>
    <s v="1809000290"/>
    <d v="2018-12-06T00:00:00"/>
    <d v="2018-12-06T00:00:00"/>
    <s v="DZ"/>
    <s v="USD"/>
    <n v="37953"/>
    <n v="37953"/>
    <s v="BDT"/>
    <s v="EGM2"/>
    <n v="3146303.7"/>
    <s v="CM ADVANCE adjust REF-424130687691"/>
    <s v="0000001010"/>
    <s v="E24720VF18US0321"/>
    <s v=""/>
    <s v=""/>
    <s v="0"/>
    <s v="424130699394"/>
    <s v=""/>
    <s v=""/>
    <s v=""/>
    <s v=""/>
    <s v=""/>
    <x v="0"/>
    <d v="2019-06-30T00:00:00"/>
    <s v="1806000076"/>
    <d v="2018-12-06T00:00:00"/>
    <s v=""/>
    <s v="1809000290"/>
  </r>
  <r>
    <s v="1809000290"/>
    <d v="2018-12-06T00:00:00"/>
    <d v="2018-12-06T00:00:00"/>
    <s v="DZ"/>
    <s v="USD"/>
    <n v="1810"/>
    <n v="1810"/>
    <s v="BDT"/>
    <s v="EGM2"/>
    <n v="149868"/>
    <s v="CM ADVANCE adjust REF-424130681081"/>
    <s v="0000001010"/>
    <s v="E24720VF18US0321"/>
    <s v=""/>
    <s v=""/>
    <s v="0"/>
    <s v="424130699394"/>
    <s v=""/>
    <s v=""/>
    <s v=""/>
    <s v=""/>
    <s v=""/>
    <x v="0"/>
    <d v="2019-06-30T00:00:00"/>
    <s v="1806000078"/>
    <d v="2018-12-06T00:00:00"/>
    <s v=""/>
    <s v="1809000290"/>
  </r>
  <r>
    <s v="1809000290"/>
    <d v="2018-12-06T00:00:00"/>
    <d v="2018-12-06T00:00:00"/>
    <s v="DZ"/>
    <s v="USD"/>
    <n v="17397"/>
    <n v="17397"/>
    <s v="BDT"/>
    <s v="EGM2"/>
    <n v="1440471.6"/>
    <s v="CM ADVANCE adjust REF-424130674357"/>
    <s v="0000001010"/>
    <s v="E24720VF18US0321"/>
    <s v=""/>
    <s v=""/>
    <s v="0"/>
    <s v="424130699394"/>
    <s v=""/>
    <s v=""/>
    <s v=""/>
    <s v=""/>
    <s v=""/>
    <x v="0"/>
    <d v="2019-06-30T00:00:00"/>
    <s v="1806000080"/>
    <d v="2018-12-06T00:00:00"/>
    <s v=""/>
    <s v="1809000290"/>
  </r>
  <r>
    <s v="1809000290"/>
    <d v="2018-12-06T00:00:00"/>
    <d v="2018-12-06T00:00:00"/>
    <s v="DZ"/>
    <s v="USD"/>
    <n v="7052"/>
    <n v="7052"/>
    <s v="BDT"/>
    <s v="EGM2"/>
    <n v="583905.6"/>
    <s v="CM ADVANCE adjust REF-424130670994"/>
    <s v="0000001010"/>
    <s v="E24720VF18US0321"/>
    <s v=""/>
    <s v=""/>
    <s v="0"/>
    <s v="424130699394"/>
    <s v=""/>
    <s v=""/>
    <s v=""/>
    <s v=""/>
    <s v=""/>
    <x v="0"/>
    <d v="2019-02-26T00:00:00"/>
    <s v="1806000027"/>
    <d v="2018-12-06T00:00:00"/>
    <s v=""/>
    <s v="1809000290"/>
  </r>
  <r>
    <s v="1809000290"/>
    <d v="2018-12-06T00:00:00"/>
    <d v="2018-12-06T00:00:00"/>
    <s v="DZ"/>
    <s v="USD"/>
    <n v="11437"/>
    <n v="11437"/>
    <s v="BDT"/>
    <s v="EGM2"/>
    <n v="948127.3"/>
    <s v="CM ADVANCE adjust REF-424130687708"/>
    <s v="0000001010"/>
    <s v="E24720VF18US0321"/>
    <s v=""/>
    <s v=""/>
    <s v="0"/>
    <s v="424130699394"/>
    <s v=""/>
    <s v=""/>
    <s v=""/>
    <s v=""/>
    <s v=""/>
    <x v="0"/>
    <d v="2018-12-06T00:00:00"/>
    <s v="1809000290"/>
    <d v="2018-12-06T00:00:00"/>
    <s v=""/>
    <s v="1809000290"/>
  </r>
  <r>
    <s v="1809000291"/>
    <d v="2018-12-11T00:00:00"/>
    <d v="2018-12-11T00:00:00"/>
    <s v="DZ"/>
    <s v="USD"/>
    <n v="-76439"/>
    <n v="-76439"/>
    <s v="BDT"/>
    <s v="EGM2"/>
    <n v="-6340615.0499999998"/>
    <s v="CM ADVANCE RECEIVED REF-424130701130"/>
    <s v="0000001010"/>
    <s v="IT06591812100180"/>
    <s v=""/>
    <s v=""/>
    <s v="0"/>
    <s v="424130701130"/>
    <s v=""/>
    <s v=""/>
    <s v=""/>
    <s v=""/>
    <s v=""/>
    <x v="0"/>
    <d v="2019-02-23T00:00:00"/>
    <s v="1806000017"/>
    <d v="2018-12-11T00:00:00"/>
    <s v=""/>
    <s v="1809000291"/>
  </r>
  <r>
    <s v="1809000292"/>
    <d v="2018-12-13T00:00:00"/>
    <d v="2018-12-13T00:00:00"/>
    <s v="DZ"/>
    <s v="USD"/>
    <n v="553"/>
    <n v="553"/>
    <s v="BDT"/>
    <s v="EGM2"/>
    <n v="45871.35"/>
    <s v="CM ADVANCE adjust REF-424130696360"/>
    <s v="0000001010"/>
    <s v="04830180328OB"/>
    <s v=""/>
    <s v=""/>
    <s v="0"/>
    <s v="424130701862"/>
    <s v=""/>
    <s v=""/>
    <s v=""/>
    <s v=""/>
    <s v=""/>
    <x v="0"/>
    <d v="2019-02-23T00:00:00"/>
    <s v="1806000026"/>
    <d v="2018-12-13T00:00:00"/>
    <s v=""/>
    <s v="1809000292"/>
  </r>
  <r>
    <s v="1809000293"/>
    <d v="2018-12-13T00:00:00"/>
    <d v="2018-12-13T00:00:00"/>
    <s v="DZ"/>
    <s v="USD"/>
    <n v="11676"/>
    <n v="11676"/>
    <s v="BDT"/>
    <s v="EGM2"/>
    <n v="968524.2"/>
    <s v="CM ADVANCE adjust REF-424130696360"/>
    <s v="0000001010"/>
    <s v="04830180332CA"/>
    <s v=""/>
    <s v=""/>
    <s v="0"/>
    <s v="424130702594"/>
    <s v=""/>
    <s v=""/>
    <s v=""/>
    <s v=""/>
    <s v=""/>
    <x v="0"/>
    <d v="2019-02-23T00:00:00"/>
    <s v="1806000026"/>
    <d v="2018-12-13T00:00:00"/>
    <s v=""/>
    <s v="1809000293"/>
  </r>
  <r>
    <s v="1809000294"/>
    <d v="2018-12-19T00:00:00"/>
    <d v="2018-12-19T00:00:00"/>
    <s v="DZ"/>
    <s v="USD"/>
    <n v="6290"/>
    <n v="6290"/>
    <s v="BDT"/>
    <s v="EGM2"/>
    <n v="521441"/>
    <s v="CM ADVANCE adjust REF-424130687691"/>
    <s v="0000001010"/>
    <s v="E24738VF18US0351"/>
    <s v=""/>
    <s v=""/>
    <s v="0"/>
    <s v="424130703977"/>
    <s v=""/>
    <s v=""/>
    <s v=""/>
    <s v=""/>
    <s v=""/>
    <x v="0"/>
    <d v="2019-06-30T00:00:00"/>
    <s v="1806000076"/>
    <d v="2018-12-19T00:00:00"/>
    <s v=""/>
    <s v="1809000294"/>
  </r>
  <r>
    <s v="1809000294"/>
    <d v="2018-12-19T00:00:00"/>
    <d v="2018-12-19T00:00:00"/>
    <s v="DZ"/>
    <s v="USD"/>
    <n v="25227"/>
    <n v="25227"/>
    <s v="BDT"/>
    <s v="EGM2"/>
    <n v="2092579.65"/>
    <s v="CM ADVANCE adjust REF-424130698670"/>
    <s v="0000001010"/>
    <s v="E24738VF18US0351"/>
    <s v=""/>
    <s v=""/>
    <s v="0"/>
    <s v="424130703977"/>
    <s v=""/>
    <s v=""/>
    <s v=""/>
    <s v=""/>
    <s v=""/>
    <x v="0"/>
    <d v="2019-02-23T00:00:00"/>
    <s v="1806000020"/>
    <d v="2018-12-19T00:00:00"/>
    <s v=""/>
    <s v="1809000294"/>
  </r>
  <r>
    <s v="1809000294"/>
    <d v="2018-12-19T00:00:00"/>
    <d v="2018-12-19T00:00:00"/>
    <s v="DZ"/>
    <s v="USD"/>
    <n v="38244.68"/>
    <n v="38244.68"/>
    <s v="BDT"/>
    <s v="EGM2"/>
    <n v="3172396.21"/>
    <s v="CM ADVANCE adjust REF-424130698260"/>
    <s v="0000001010"/>
    <s v="E24738VF18US0351"/>
    <s v=""/>
    <s v=""/>
    <s v="0"/>
    <s v="424130703977"/>
    <s v=""/>
    <s v=""/>
    <s v=""/>
    <s v=""/>
    <s v=""/>
    <x v="0"/>
    <d v="2019-02-23T00:00:00"/>
    <s v="1806000021"/>
    <d v="2018-12-19T00:00:00"/>
    <s v=""/>
    <s v="1809000294"/>
  </r>
  <r>
    <s v="1809000294"/>
    <d v="2018-12-19T00:00:00"/>
    <d v="2018-12-19T00:00:00"/>
    <s v="DZ"/>
    <s v="USD"/>
    <n v="1840"/>
    <n v="1840"/>
    <s v="BDT"/>
    <s v="EGM2"/>
    <n v="152536"/>
    <s v="CM ADVANCE adjust REF-424130693540"/>
    <s v="0000001010"/>
    <s v="E24738VF18US0351"/>
    <s v=""/>
    <s v=""/>
    <s v="0"/>
    <s v="424130703977"/>
    <s v=""/>
    <s v=""/>
    <s v=""/>
    <s v=""/>
    <s v=""/>
    <x v="0"/>
    <d v="2019-02-26T00:00:00"/>
    <s v="1806000030"/>
    <d v="2018-12-19T00:00:00"/>
    <s v=""/>
    <s v="1809000294"/>
  </r>
  <r>
    <s v="1809000295"/>
    <d v="2018-12-20T00:00:00"/>
    <d v="2018-12-20T00:00:00"/>
    <s v="DZ"/>
    <s v="USD"/>
    <n v="11464"/>
    <n v="11464"/>
    <s v="BDT"/>
    <s v="EGM2"/>
    <n v="950365.6"/>
    <s v="CM ADVANCE adjust REF-424130687691"/>
    <s v="0000001010"/>
    <s v="E24720VF18US0342"/>
    <s v=""/>
    <s v=""/>
    <s v="0"/>
    <s v="424130705314"/>
    <s v=""/>
    <s v=""/>
    <s v=""/>
    <s v=""/>
    <s v=""/>
    <x v="0"/>
    <d v="2019-06-30T00:00:00"/>
    <s v="1806000076"/>
    <d v="2018-12-20T00:00:00"/>
    <s v=""/>
    <s v="1809000295"/>
  </r>
  <r>
    <s v="1809000295"/>
    <d v="2018-12-20T00:00:00"/>
    <d v="2018-12-20T00:00:00"/>
    <s v="DZ"/>
    <s v="USD"/>
    <n v="54499"/>
    <n v="54499"/>
    <s v="BDT"/>
    <s v="EGM2"/>
    <n v="4512517.21"/>
    <s v="CM ADVANCE adjust REF-424130681081"/>
    <s v="0000001010"/>
    <s v="E24720VF18US0342"/>
    <s v=""/>
    <s v=""/>
    <s v="0"/>
    <s v="424130705314"/>
    <s v=""/>
    <s v=""/>
    <s v=""/>
    <s v=""/>
    <s v=""/>
    <x v="0"/>
    <d v="2019-06-30T00:00:00"/>
    <s v="1806000078"/>
    <d v="2018-12-20T00:00:00"/>
    <s v=""/>
    <s v="1809000295"/>
  </r>
  <r>
    <s v="1809000295"/>
    <d v="2018-12-20T00:00:00"/>
    <d v="2018-12-20T00:00:00"/>
    <s v="DZ"/>
    <s v="USD"/>
    <n v="15027.63"/>
    <n v="15027.63"/>
    <s v="BDT"/>
    <s v="EGM2"/>
    <n v="1246541.9099999999"/>
    <s v="CM ADVANCE adjust REF-424130698260"/>
    <s v="0000001010"/>
    <s v="E24720VF18US0342"/>
    <s v=""/>
    <s v=""/>
    <s v="0"/>
    <s v="424130705314"/>
    <s v=""/>
    <s v=""/>
    <s v=""/>
    <s v=""/>
    <s v=""/>
    <x v="0"/>
    <d v="2019-02-23T00:00:00"/>
    <s v="1806000021"/>
    <d v="2018-12-20T00:00:00"/>
    <s v=""/>
    <s v="1809000295"/>
  </r>
  <r>
    <s v="1809000295"/>
    <d v="2018-12-20T00:00:00"/>
    <d v="2018-12-20T00:00:00"/>
    <s v="DZ"/>
    <s v="USD"/>
    <n v="18155"/>
    <n v="18155"/>
    <s v="BDT"/>
    <s v="EGM2"/>
    <n v="1505957.25"/>
    <s v="CM ADVANCE adjust REF-424130696360"/>
    <s v="0000001010"/>
    <s v="E24720VF18US0342"/>
    <s v=""/>
    <s v=""/>
    <s v="0"/>
    <s v="424130705314"/>
    <s v=""/>
    <s v=""/>
    <s v=""/>
    <s v=""/>
    <s v=""/>
    <x v="0"/>
    <d v="2019-02-23T00:00:00"/>
    <s v="1806000026"/>
    <d v="2018-12-20T00:00:00"/>
    <s v=""/>
    <s v="1809000295"/>
  </r>
  <r>
    <s v="1809000295"/>
    <d v="2018-12-20T00:00:00"/>
    <d v="2018-12-20T00:00:00"/>
    <s v="DZ"/>
    <s v="USD"/>
    <n v="883"/>
    <n v="883"/>
    <s v="BDT"/>
    <s v="EGM2"/>
    <n v="73112.399999999994"/>
    <s v="CM ADVANCE adjust REF-424130670994"/>
    <s v="0000001010"/>
    <s v="E24720VF18US0342"/>
    <s v=""/>
    <s v=""/>
    <s v="0"/>
    <s v="424130705314"/>
    <s v=""/>
    <s v=""/>
    <s v=""/>
    <s v=""/>
    <s v=""/>
    <x v="0"/>
    <d v="2019-02-26T00:00:00"/>
    <s v="1806000027"/>
    <d v="2018-12-20T00:00:00"/>
    <s v=""/>
    <s v="1809000295"/>
  </r>
  <r>
    <s v="1809000295"/>
    <d v="2018-12-20T00:00:00"/>
    <d v="2018-12-20T00:00:00"/>
    <s v="DZ"/>
    <s v="USD"/>
    <n v="19287"/>
    <n v="19287"/>
    <s v="BDT"/>
    <s v="EGM2"/>
    <n v="1598892.3"/>
    <s v="CM ADVANCE adjust REF-424130693540"/>
    <s v="0000001010"/>
    <s v="E24720VF18US0342"/>
    <s v=""/>
    <s v=""/>
    <s v="0"/>
    <s v="424130705314"/>
    <s v=""/>
    <s v=""/>
    <s v=""/>
    <s v=""/>
    <s v=""/>
    <x v="0"/>
    <d v="2019-02-26T00:00:00"/>
    <s v="1806000030"/>
    <d v="2018-12-20T00:00:00"/>
    <s v=""/>
    <s v="1809000295"/>
  </r>
  <r>
    <s v="1809000295"/>
    <d v="2018-12-20T00:00:00"/>
    <d v="2018-12-20T00:00:00"/>
    <s v="DZ"/>
    <s v="USD"/>
    <n v="8619"/>
    <n v="8619"/>
    <s v="BDT"/>
    <s v="EGM2"/>
    <n v="714515.1"/>
    <s v="CM ADVANCE adjust REF-424130693238"/>
    <s v="0000001010"/>
    <s v="E24720VF18US0342"/>
    <s v=""/>
    <s v=""/>
    <s v="0"/>
    <s v="424130705314"/>
    <s v=""/>
    <s v=""/>
    <s v=""/>
    <s v=""/>
    <s v=""/>
    <x v="0"/>
    <d v="2019-02-26T00:00:00"/>
    <s v="1806000031"/>
    <d v="2018-12-20T00:00:00"/>
    <s v=""/>
    <s v="1809000295"/>
  </r>
  <r>
    <s v="1809000295"/>
    <d v="2018-12-20T00:00:00"/>
    <d v="2018-12-20T00:00:00"/>
    <s v="DZ"/>
    <s v="USD"/>
    <n v="26058"/>
    <n v="26058"/>
    <s v="BDT"/>
    <s v="EGM2"/>
    <n v="2161511.1"/>
    <s v="CM ADVANCE adjust REF-424130696351"/>
    <s v="0000001010"/>
    <s v="E24720VF18US0342"/>
    <s v=""/>
    <s v=""/>
    <s v="0"/>
    <s v="424130705314"/>
    <s v=""/>
    <s v=""/>
    <s v=""/>
    <s v=""/>
    <s v=""/>
    <x v="0"/>
    <d v="2018-12-20T00:00:00"/>
    <s v="1809000295"/>
    <d v="2018-12-20T00:00:00"/>
    <s v=""/>
    <s v="1809000295"/>
  </r>
  <r>
    <s v="1809000297"/>
    <d v="2018-12-23T00:00:00"/>
    <d v="2018-12-23T00:00:00"/>
    <s v="DZ"/>
    <s v="USD"/>
    <n v="1446"/>
    <n v="1446"/>
    <s v="BDT"/>
    <s v="EGM2"/>
    <n v="119873.4"/>
    <s v="CM ADVANCE adjust REF-424130687691"/>
    <s v="0000001010"/>
    <s v="E24738VF18US0350"/>
    <s v=""/>
    <s v=""/>
    <s v="0"/>
    <s v="424130706073"/>
    <s v=""/>
    <s v=""/>
    <s v=""/>
    <s v=""/>
    <s v=""/>
    <x v="0"/>
    <d v="2019-06-30T00:00:00"/>
    <s v="1806000076"/>
    <d v="2018-12-23T00:00:00"/>
    <s v=""/>
    <s v="1809000297"/>
  </r>
  <r>
    <s v="1809000297"/>
    <d v="2018-12-23T00:00:00"/>
    <d v="2018-12-23T00:00:00"/>
    <s v="DZ"/>
    <s v="USD"/>
    <n v="15251"/>
    <n v="15251"/>
    <s v="BDT"/>
    <s v="EGM2"/>
    <n v="1265070.45"/>
    <s v="CM ADVANCE adjust REF-424130698670"/>
    <s v="0000001010"/>
    <s v="E24738VF18US0350"/>
    <s v=""/>
    <s v=""/>
    <s v="0"/>
    <s v="424130706073"/>
    <s v=""/>
    <s v=""/>
    <s v=""/>
    <s v=""/>
    <s v=""/>
    <x v="0"/>
    <d v="2019-02-23T00:00:00"/>
    <s v="1806000020"/>
    <d v="2018-12-23T00:00:00"/>
    <s v=""/>
    <s v="1809000297"/>
  </r>
  <r>
    <s v="1809000298"/>
    <d v="2018-12-23T00:00:00"/>
    <d v="2018-12-23T00:00:00"/>
    <s v="DZ"/>
    <s v="USD"/>
    <n v="5100"/>
    <n v="5100"/>
    <s v="BDT"/>
    <s v="EGM2"/>
    <n v="423045"/>
    <s v="CM ADVANCE adjust REF-424130696360"/>
    <s v="0000001010"/>
    <s v="04830180330SE"/>
    <s v=""/>
    <s v=""/>
    <s v="0"/>
    <s v="424130706082"/>
    <s v=""/>
    <s v=""/>
    <s v=""/>
    <s v=""/>
    <s v=""/>
    <x v="0"/>
    <d v="2019-02-23T00:00:00"/>
    <s v="1806000026"/>
    <d v="2018-12-23T00:00:00"/>
    <s v=""/>
    <s v="1809000298"/>
  </r>
  <r>
    <s v="1809000299"/>
    <d v="2018-12-23T00:00:00"/>
    <d v="2018-12-23T00:00:00"/>
    <s v="DZ"/>
    <s v="USD"/>
    <n v="2394"/>
    <n v="2394"/>
    <s v="BDT"/>
    <s v="EGM2"/>
    <n v="198582.3"/>
    <s v="CM ADVANCE adjust REF-424130701130"/>
    <s v="0000001010"/>
    <s v="04830180353DE"/>
    <s v=""/>
    <s v=""/>
    <s v="0"/>
    <s v="424130707562"/>
    <s v=""/>
    <s v=""/>
    <s v=""/>
    <s v=""/>
    <s v=""/>
    <x v="0"/>
    <d v="2019-02-23T00:00:00"/>
    <s v="1806000017"/>
    <d v="2018-12-23T00:00:00"/>
    <s v=""/>
    <s v="1809000299"/>
  </r>
  <r>
    <s v="1809000299"/>
    <d v="2018-12-23T00:00:00"/>
    <d v="2018-12-23T00:00:00"/>
    <s v="DZ"/>
    <s v="USD"/>
    <n v="24416"/>
    <n v="24416"/>
    <s v="BDT"/>
    <s v="EGM2"/>
    <n v="2025307.2"/>
    <s v="CM ADVANCE adjust REF-424130698670"/>
    <s v="0000001010"/>
    <s v="04830180353DE"/>
    <s v=""/>
    <s v=""/>
    <s v="0"/>
    <s v="424130707562"/>
    <s v=""/>
    <s v=""/>
    <s v=""/>
    <s v=""/>
    <s v=""/>
    <x v="0"/>
    <d v="2019-02-23T00:00:00"/>
    <s v="1806000020"/>
    <d v="2018-12-23T00:00:00"/>
    <s v=""/>
    <s v="1809000299"/>
  </r>
  <r>
    <s v="1809000301"/>
    <d v="2018-12-27T00:00:00"/>
    <d v="2018-12-27T00:00:00"/>
    <s v="DZ"/>
    <s v="USD"/>
    <n v="23461"/>
    <n v="23461"/>
    <s v="BDT"/>
    <s v="EGM2"/>
    <n v="1944916.9"/>
    <s v="CM ADVANCE adjust REF-424130687691"/>
    <s v="0000001010"/>
    <s v="E24785VF18US0365"/>
    <s v=""/>
    <s v=""/>
    <s v="0"/>
    <s v="424130708703"/>
    <s v=""/>
    <s v=""/>
    <s v=""/>
    <s v=""/>
    <s v=""/>
    <x v="0"/>
    <d v="2019-06-30T00:00:00"/>
    <s v="1806000076"/>
    <d v="2018-12-27T00:00:00"/>
    <s v=""/>
    <s v="1809000301"/>
  </r>
  <r>
    <s v="1809000301"/>
    <d v="2018-12-27T00:00:00"/>
    <d v="2018-12-27T00:00:00"/>
    <s v="DZ"/>
    <s v="USD"/>
    <n v="32287"/>
    <n v="32287"/>
    <s v="BDT"/>
    <s v="EGM2"/>
    <n v="2678206.65"/>
    <s v="CM ADVANCE adjust REF-424130698858"/>
    <s v="0000001010"/>
    <s v="E24785VF18US0365"/>
    <s v=""/>
    <s v=""/>
    <s v="0"/>
    <s v="424130708703"/>
    <s v=""/>
    <s v=""/>
    <s v=""/>
    <s v=""/>
    <s v=""/>
    <x v="0"/>
    <d v="2019-06-30T00:00:00"/>
    <s v="1806000077"/>
    <d v="2018-12-27T00:00:00"/>
    <s v=""/>
    <s v="1809000301"/>
  </r>
  <r>
    <s v="1809000301"/>
    <d v="2018-12-27T00:00:00"/>
    <d v="2018-12-27T00:00:00"/>
    <s v="DZ"/>
    <s v="USD"/>
    <n v="2888"/>
    <n v="2888"/>
    <s v="BDT"/>
    <s v="EGM2"/>
    <n v="239126.39999999999"/>
    <s v="CM ADVANCE adjust REF-424130681081"/>
    <s v="0000001010"/>
    <s v="E24785VF18US0365"/>
    <s v=""/>
    <s v=""/>
    <s v="0"/>
    <s v="424130708703"/>
    <s v=""/>
    <s v=""/>
    <s v=""/>
    <s v=""/>
    <s v=""/>
    <x v="0"/>
    <d v="2019-06-30T00:00:00"/>
    <s v="1806000078"/>
    <d v="2018-12-27T00:00:00"/>
    <s v=""/>
    <s v="1809000301"/>
  </r>
  <r>
    <s v="1809000301"/>
    <d v="2018-12-27T00:00:00"/>
    <d v="2018-12-27T00:00:00"/>
    <s v="DZ"/>
    <s v="USD"/>
    <n v="45537"/>
    <n v="45537"/>
    <s v="BDT"/>
    <s v="EGM2"/>
    <n v="3777294.15"/>
    <s v="CM ADVANCE adjust REF-424130701130"/>
    <s v="0000001010"/>
    <s v="E24785VF18US0365"/>
    <s v=""/>
    <s v=""/>
    <s v="0"/>
    <s v="424130708703"/>
    <s v=""/>
    <s v=""/>
    <s v=""/>
    <s v=""/>
    <s v=""/>
    <x v="0"/>
    <d v="2019-02-23T00:00:00"/>
    <s v="1806000017"/>
    <d v="2018-12-27T00:00:00"/>
    <s v=""/>
    <s v="1809000301"/>
  </r>
  <r>
    <s v="1809000301"/>
    <d v="2018-12-27T00:00:00"/>
    <d v="2018-12-27T00:00:00"/>
    <s v="DZ"/>
    <s v="USD"/>
    <n v="1971"/>
    <n v="1971"/>
    <s v="BDT"/>
    <s v="EGM2"/>
    <n v="163198.79999999999"/>
    <s v="CM ADVANCE adjust REF-424130674357"/>
    <s v="0000001010"/>
    <s v="E24785VF18US0365"/>
    <s v=""/>
    <s v=""/>
    <s v="0"/>
    <s v="424130708703"/>
    <s v=""/>
    <s v=""/>
    <s v=""/>
    <s v=""/>
    <s v=""/>
    <x v="0"/>
    <d v="2019-06-30T00:00:00"/>
    <s v="1806000080"/>
    <d v="2018-12-27T00:00:00"/>
    <s v=""/>
    <s v="1809000301"/>
  </r>
  <r>
    <s v="1809000301"/>
    <d v="2018-12-27T00:00:00"/>
    <d v="2018-12-27T00:00:00"/>
    <s v="DZ"/>
    <s v="USD"/>
    <n v="2634"/>
    <n v="2634"/>
    <s v="BDT"/>
    <s v="EGM2"/>
    <n v="218358.6"/>
    <s v="CM ADVANCE adjust REF-424130693238"/>
    <s v="0000001010"/>
    <s v="E24785VF18US0365"/>
    <s v=""/>
    <s v=""/>
    <s v="0"/>
    <s v="424130708703"/>
    <s v=""/>
    <s v=""/>
    <s v=""/>
    <s v=""/>
    <s v=""/>
    <x v="0"/>
    <d v="2019-02-26T00:00:00"/>
    <s v="1806000031"/>
    <d v="2018-12-27T00:00:00"/>
    <s v=""/>
    <s v="1809000301"/>
  </r>
  <r>
    <s v="1809000303"/>
    <d v="2018-12-02T00:00:00"/>
    <d v="2018-12-02T00:00:00"/>
    <s v="DZ"/>
    <s v="USD"/>
    <n v="69009"/>
    <n v="69009"/>
    <s v="BDT"/>
    <s v="EGM1"/>
    <n v="5720846.0999999996"/>
    <s v="CM ADVANCE adjust REF-424130690801"/>
    <s v="0000001010"/>
    <s v="E04893US18-1039"/>
    <s v=""/>
    <s v=""/>
    <s v="0"/>
    <s v="424130698304"/>
    <s v=""/>
    <s v=""/>
    <s v=""/>
    <s v=""/>
    <s v=""/>
    <x v="0"/>
    <d v="2019-05-02T00:00:00"/>
    <s v="1806000060"/>
    <d v="2018-12-02T00:00:00"/>
    <s v=""/>
    <s v="1809000303"/>
  </r>
  <r>
    <s v="1809000304"/>
    <d v="2018-12-02T00:00:00"/>
    <d v="2018-12-02T00:00:00"/>
    <s v="DZ"/>
    <s v="USD"/>
    <n v="2279"/>
    <n v="2279"/>
    <s v="BDT"/>
    <s v="EGM1"/>
    <n v="188929.1"/>
    <s v="CM ADVANCE adjust REF-424130687726"/>
    <s v="0000001010"/>
    <s v="E4707SB18UK1034"/>
    <s v=""/>
    <s v=""/>
    <s v="0"/>
    <s v="424130696333"/>
    <s v=""/>
    <s v=""/>
    <s v=""/>
    <s v=""/>
    <s v=""/>
    <x v="0"/>
    <d v="2019-05-02T00:00:00"/>
    <s v="1806000048"/>
    <d v="2018-12-02T00:00:00"/>
    <s v=""/>
    <s v="1809000304"/>
  </r>
  <r>
    <s v="1809000305"/>
    <d v="2018-12-02T00:00:00"/>
    <d v="2018-12-02T00:00:00"/>
    <s v="DZ"/>
    <s v="USD"/>
    <n v="13518"/>
    <n v="13518"/>
    <s v="BDT"/>
    <s v="EGM1"/>
    <n v="1120642.2"/>
    <s v="CM ADVANCE adjust REF-424130690801"/>
    <s v="0000001010"/>
    <s v="E4753SB18UK1054"/>
    <s v=""/>
    <s v=""/>
    <s v="0"/>
    <s v="424130696342"/>
    <s v=""/>
    <s v=""/>
    <s v=""/>
    <s v=""/>
    <s v=""/>
    <x v="0"/>
    <d v="2019-05-02T00:00:00"/>
    <s v="1806000060"/>
    <d v="2018-12-02T00:00:00"/>
    <s v=""/>
    <s v="1809000305"/>
  </r>
  <r>
    <s v="1809000307"/>
    <d v="2018-12-31T00:00:00"/>
    <d v="2018-12-31T00:00:00"/>
    <s v="DZ"/>
    <s v="USD"/>
    <n v="190047.16"/>
    <n v="190047.16"/>
    <s v="BDT"/>
    <s v="EGM1"/>
    <n v="15764411.92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9000307"/>
  </r>
  <r>
    <s v="1809000307"/>
    <d v="2018-12-31T00:00:00"/>
    <d v="2018-12-31T00:00:00"/>
    <s v="DZ"/>
    <s v="USD"/>
    <n v="-177440"/>
    <n v="-177440"/>
    <s v="BDT"/>
    <s v="EGM1"/>
    <n v="-14718648"/>
    <s v="FIT-CM ADV-DEC-18"/>
    <s v="0000001010"/>
    <s v="FIT-CM ADV-DEC18"/>
    <s v=""/>
    <s v=""/>
    <s v="0"/>
    <s v="CM ADV. FIT - DEC-18"/>
    <s v=""/>
    <s v=""/>
    <s v=""/>
    <s v=""/>
    <s v=""/>
    <x v="0"/>
    <d v="2019-01-01T00:00:00"/>
    <s v="1803006650"/>
    <d v="2018-12-31T00:00:00"/>
    <s v=""/>
    <s v="1809000307"/>
  </r>
  <r>
    <s v="1809000309"/>
    <d v="2018-12-31T00:00:00"/>
    <d v="2018-12-31T00:00:00"/>
    <s v="DZ"/>
    <s v="USD"/>
    <n v="54405.72"/>
    <n v="54405.72"/>
    <s v="BDT"/>
    <s v="EGM1"/>
    <n v="4512954.47"/>
    <s v="FIT-CM ADV -EGDWC-DEC-18"/>
    <s v="0000005010"/>
    <s v="FIT-EGDWC-DEC-18"/>
    <s v=""/>
    <s v=""/>
    <s v="0"/>
    <s v="FIT-EGDWC-DEC-18"/>
    <s v=""/>
    <s v=""/>
    <s v=""/>
    <s v=""/>
    <s v=""/>
    <x v="0"/>
    <d v="2019-01-01T00:00:00"/>
    <s v="1803006651"/>
    <d v="2018-12-31T00:00:00"/>
    <s v=""/>
    <s v="1809000309"/>
  </r>
  <r>
    <s v="1809000310"/>
    <d v="2019-01-01T00:00:00"/>
    <d v="2019-01-01T00:00:00"/>
    <s v="DZ"/>
    <s v="USD"/>
    <n v="-39061.82"/>
    <n v="-39061.82"/>
    <s v="BDT"/>
    <s v="EGM1"/>
    <n v="-3240177.97"/>
    <s v="Cm Advance Received-424130710157"/>
    <s v="0000005010"/>
    <s v="IT06591812270122"/>
    <s v=""/>
    <s v=""/>
    <s v="0"/>
    <s v="424130710157"/>
    <s v=""/>
    <s v=""/>
    <s v=""/>
    <s v=""/>
    <s v=""/>
    <x v="0"/>
    <m/>
    <s v=""/>
    <d v="2019-01-01T00:00:00"/>
    <s v=""/>
    <s v="1809000310"/>
  </r>
  <r>
    <s v="1809000311"/>
    <d v="2019-01-01T00:00:00"/>
    <d v="2019-01-01T00:00:00"/>
    <s v="DZ"/>
    <s v="USD"/>
    <n v="-100693"/>
    <n v="-100693"/>
    <s v="BDT"/>
    <s v="EGM1"/>
    <n v="-8352484.3600000003"/>
    <s v="Cm Advance Received-424130710166"/>
    <s v="0000001010"/>
    <s v="IT06591901010033"/>
    <s v=""/>
    <s v=""/>
    <s v="0"/>
    <s v="424130710166"/>
    <s v=""/>
    <s v=""/>
    <s v=""/>
    <s v=""/>
    <s v=""/>
    <x v="0"/>
    <d v="2019-06-30T00:00:00"/>
    <s v="1806000069"/>
    <d v="2019-01-01T00:00:00"/>
    <s v=""/>
    <s v="1809000311"/>
  </r>
  <r>
    <s v="1809000312"/>
    <d v="2019-01-01T00:00:00"/>
    <d v="2019-01-01T00:00:00"/>
    <s v="DZ"/>
    <s v="USD"/>
    <n v="24964.32"/>
    <n v="24964.32"/>
    <s v="BDT"/>
    <s v="EGM1"/>
    <n v="2070790.34"/>
    <s v="Cm Advance adjust-424130710166"/>
    <s v="0000005010"/>
    <s v="DE4681TS18CE1074"/>
    <s v=""/>
    <s v=""/>
    <s v="0"/>
    <s v="424130710148"/>
    <s v=""/>
    <s v=""/>
    <s v=""/>
    <s v=""/>
    <s v=""/>
    <x v="0"/>
    <m/>
    <s v=""/>
    <d v="2019-01-01T00:00:00"/>
    <s v=""/>
    <s v="1809000312"/>
  </r>
  <r>
    <s v="1809000313"/>
    <d v="2019-01-03T00:00:00"/>
    <d v="2019-01-03T00:00:00"/>
    <s v="DZ"/>
    <s v="USD"/>
    <n v="68518.52"/>
    <n v="68518.52"/>
    <s v="BDT"/>
    <s v="EGM1"/>
    <n v="5683611.2300000004"/>
    <s v="Cm Advance adjust-424130706055"/>
    <s v="0000005010"/>
    <s v="E34620TC18US1096"/>
    <s v=""/>
    <s v=""/>
    <s v="0"/>
    <s v="424130711281"/>
    <s v=""/>
    <s v=""/>
    <s v=""/>
    <s v=""/>
    <s v=""/>
    <x v="0"/>
    <m/>
    <s v=""/>
    <d v="2019-01-03T00:00:00"/>
    <s v=""/>
    <s v="1809000313"/>
  </r>
  <r>
    <s v="1809000314"/>
    <d v="2019-01-03T00:00:00"/>
    <d v="2019-01-03T00:00:00"/>
    <s v="DZ"/>
    <s v="USD"/>
    <n v="63157"/>
    <n v="63157"/>
    <s v="BDT"/>
    <s v="EGM1"/>
    <n v="5238873.1500000004"/>
    <s v="Cm Advance adjust-424130696315"/>
    <s v="0000001010"/>
    <s v="E04714WM18CN1065"/>
    <s v=""/>
    <s v=""/>
    <s v="0"/>
    <s v="424130711290"/>
    <s v=""/>
    <s v=""/>
    <s v=""/>
    <s v=""/>
    <s v=""/>
    <x v="0"/>
    <d v="2019-05-02T00:00:00"/>
    <s v="1806000040"/>
    <d v="2019-01-03T00:00:00"/>
    <s v=""/>
    <s v="1809000314"/>
  </r>
  <r>
    <s v="1809000314"/>
    <d v="2019-01-03T00:00:00"/>
    <d v="2019-01-03T00:00:00"/>
    <s v="DZ"/>
    <s v="USD"/>
    <n v="51974.16"/>
    <n v="51974.16"/>
    <s v="BDT"/>
    <s v="EGM1"/>
    <n v="4311256.57"/>
    <s v="Cm Advance adjust-424130698288"/>
    <s v="0000001010"/>
    <s v="E04714WM18CN1065"/>
    <s v=""/>
    <s v=""/>
    <s v="0"/>
    <s v="424130711290"/>
    <s v=""/>
    <s v=""/>
    <s v=""/>
    <s v=""/>
    <s v=""/>
    <x v="0"/>
    <d v="2019-05-02T00:00:00"/>
    <s v="1806000058"/>
    <d v="2019-01-03T00:00:00"/>
    <s v=""/>
    <s v="1809000314"/>
  </r>
  <r>
    <s v="1809000315"/>
    <d v="2019-01-03T00:00:00"/>
    <d v="2019-01-03T00:00:00"/>
    <s v="DZ"/>
    <s v="USD"/>
    <n v="-400114"/>
    <n v="-400114"/>
    <s v="BDT"/>
    <s v="EGM1"/>
    <n v="-33189456.300000001"/>
    <s v="Cm Advance Received-424130711548"/>
    <s v="0000001010"/>
    <s v="IT06591901020145"/>
    <s v=""/>
    <s v=""/>
    <s v="0"/>
    <s v="424130711548"/>
    <s v=""/>
    <s v=""/>
    <s v=""/>
    <s v=""/>
    <s v=""/>
    <x v="0"/>
    <d v="2019-06-30T00:00:00"/>
    <s v="1806000066"/>
    <d v="2019-01-03T00:00:00"/>
    <s v=""/>
    <s v="1809000315"/>
  </r>
  <r>
    <s v="1809000316"/>
    <d v="2019-01-06T00:00:00"/>
    <d v="2019-01-06T00:00:00"/>
    <s v="DZ"/>
    <s v="USD"/>
    <n v="-97972"/>
    <n v="-97972"/>
    <s v="BDT"/>
    <s v="EGM1"/>
    <n v="-8126777.4100000001"/>
    <s v="Cm Advance Received-424130712976"/>
    <s v="0000001010"/>
    <s v="IT06591901050043"/>
    <s v=""/>
    <s v=""/>
    <s v="0"/>
    <s v="424130712976"/>
    <s v=""/>
    <s v=""/>
    <s v=""/>
    <s v=""/>
    <s v=""/>
    <x v="0"/>
    <d v="2019-01-21T00:00:00"/>
    <s v="1809000377"/>
    <d v="2019-01-06T00:00:00"/>
    <s v=""/>
    <s v="1809000316"/>
  </r>
  <r>
    <s v="1809000317"/>
    <d v="2019-01-06T00:00:00"/>
    <d v="2019-01-06T00:00:00"/>
    <s v="DZ"/>
    <s v="USD"/>
    <n v="-298893"/>
    <n v="-298893"/>
    <s v="BDT"/>
    <s v="EGM1"/>
    <n v="-24793174.350000001"/>
    <s v="Cm Advance Received-424130712985"/>
    <s v="0000001010"/>
    <s v="IT06591901050037"/>
    <s v=""/>
    <s v=""/>
    <s v="0"/>
    <s v="424130712985"/>
    <s v=""/>
    <s v=""/>
    <s v=""/>
    <s v=""/>
    <s v=""/>
    <x v="0"/>
    <d v="2019-07-31T00:00:00"/>
    <s v="1906000001"/>
    <d v="2019-01-06T00:00:00"/>
    <s v=""/>
    <s v="1809000317"/>
  </r>
  <r>
    <s v="1809000318"/>
    <d v="2019-01-08T00:00:00"/>
    <d v="2019-01-08T00:00:00"/>
    <s v="DZ"/>
    <s v="USD"/>
    <n v="177017"/>
    <n v="177017"/>
    <s v="BDT"/>
    <s v="EGM1"/>
    <n v="14683560.15"/>
    <s v="Cm Advance adjust-424130702852"/>
    <s v="0000001010"/>
    <s v="E04761US181089"/>
    <s v=""/>
    <s v=""/>
    <s v="0"/>
    <s v="424130714518"/>
    <s v=""/>
    <s v=""/>
    <s v=""/>
    <s v=""/>
    <s v=""/>
    <x v="0"/>
    <d v="2019-05-02T00:00:00"/>
    <s v="1806000054"/>
    <d v="2019-01-08T00:00:00"/>
    <s v=""/>
    <s v="1809000318"/>
  </r>
  <r>
    <s v="1809000319"/>
    <d v="2019-01-09T00:00:00"/>
    <d v="2019-01-09T00:00:00"/>
    <s v="DZ"/>
    <s v="USD"/>
    <n v="-247399.02"/>
    <n v="-247399.02"/>
    <s v="BDT"/>
    <s v="EGM1"/>
    <n v="-20521748.719999999"/>
    <s v="Cm Advance adjust-424130714545"/>
    <s v="0000005010"/>
    <s v="IT06591901070097"/>
    <s v=""/>
    <s v=""/>
    <s v="0"/>
    <s v="424130714545"/>
    <s v=""/>
    <s v=""/>
    <s v=""/>
    <s v=""/>
    <s v=""/>
    <x v="0"/>
    <m/>
    <s v=""/>
    <d v="2019-01-09T00:00:00"/>
    <s v=""/>
    <s v="1809000319"/>
  </r>
  <r>
    <s v="1809000321"/>
    <d v="2019-01-09T00:00:00"/>
    <d v="2019-01-09T00:00:00"/>
    <s v="DZ"/>
    <s v="USD"/>
    <n v="11966"/>
    <n v="11966"/>
    <s v="BDT"/>
    <s v="EGM1"/>
    <n v="992579.7"/>
    <s v="Cm Advance adjust-424130708650"/>
    <s v="0000001010"/>
    <s v="E04715WM18CA1134"/>
    <s v=""/>
    <s v=""/>
    <s v="0"/>
    <s v="424130714572"/>
    <s v=""/>
    <s v=""/>
    <s v=""/>
    <s v=""/>
    <s v=""/>
    <x v="0"/>
    <d v="2019-05-02T00:00:00"/>
    <s v="1806000056"/>
    <d v="2019-01-09T00:00:00"/>
    <s v=""/>
    <s v="1809000321"/>
  </r>
  <r>
    <s v="1809000322"/>
    <d v="2019-01-09T00:00:00"/>
    <d v="2019-01-09T00:00:00"/>
    <s v="DZ"/>
    <s v="USD"/>
    <n v="256351"/>
    <n v="256351"/>
    <s v="BDT"/>
    <s v="EGM1"/>
    <n v="21264315.449999999"/>
    <s v="Cm Advance adjust-424130702843"/>
    <s v="0000001010"/>
    <s v="E04725US181145"/>
    <s v=""/>
    <s v=""/>
    <s v="0"/>
    <s v="424130714590"/>
    <s v=""/>
    <s v=""/>
    <s v=""/>
    <s v=""/>
    <s v=""/>
    <x v="0"/>
    <d v="2019-05-02T00:00:00"/>
    <s v="1806000047"/>
    <d v="2019-01-09T00:00:00"/>
    <s v=""/>
    <s v="1809000322"/>
  </r>
  <r>
    <s v="1809000322"/>
    <d v="2019-01-09T00:00:00"/>
    <d v="2019-01-09T00:00:00"/>
    <s v="DZ"/>
    <s v="USD"/>
    <n v="17737"/>
    <n v="17737"/>
    <s v="BDT"/>
    <s v="EGM1"/>
    <n v="1471284.15"/>
    <s v="Cm Advance adjust-424130708650"/>
    <s v="0000001010"/>
    <s v="E04725US181145"/>
    <s v=""/>
    <s v=""/>
    <s v="0"/>
    <s v="424130714590"/>
    <s v=""/>
    <s v=""/>
    <s v=""/>
    <s v=""/>
    <s v=""/>
    <x v="0"/>
    <d v="2019-05-02T00:00:00"/>
    <s v="1806000056"/>
    <d v="2019-01-09T00:00:00"/>
    <s v=""/>
    <s v="1809000322"/>
  </r>
  <r>
    <s v="1809000323"/>
    <d v="2019-01-09T00:00:00"/>
    <d v="2019-01-09T00:00:00"/>
    <s v="DZ"/>
    <s v="USD"/>
    <n v="24615"/>
    <n v="24615"/>
    <s v="BDT"/>
    <s v="EGM1"/>
    <n v="2041814.25"/>
    <s v="Cm Advance adjust-424130707483"/>
    <s v="0000001010"/>
    <s v="E04755US181138"/>
    <s v=""/>
    <s v=""/>
    <s v="0"/>
    <s v="424130714563"/>
    <s v=""/>
    <s v=""/>
    <s v=""/>
    <s v=""/>
    <s v=""/>
    <x v="0"/>
    <d v="2019-05-02T00:00:00"/>
    <s v="1806000055"/>
    <d v="2019-01-09T00:00:00"/>
    <s v=""/>
    <s v="1809000323"/>
  </r>
  <r>
    <s v="1809000324"/>
    <d v="2019-01-09T00:00:00"/>
    <d v="2019-01-09T00:00:00"/>
    <s v="DZ"/>
    <s v="USD"/>
    <n v="19942"/>
    <n v="19942"/>
    <s v="BDT"/>
    <s v="EGM1"/>
    <n v="1654188.9"/>
    <s v="Cm Advance adjust-424130701808"/>
    <s v="0000001010"/>
    <s v="E4707SB18UK1088"/>
    <s v=""/>
    <s v=""/>
    <s v="0"/>
    <s v="424130714554"/>
    <s v=""/>
    <s v=""/>
    <s v=""/>
    <s v=""/>
    <s v=""/>
    <x v="0"/>
    <d v="2019-05-02T00:00:00"/>
    <s v="1806000059"/>
    <d v="2019-01-09T00:00:00"/>
    <s v=""/>
    <s v="1809000324"/>
  </r>
  <r>
    <s v="1809000325"/>
    <d v="2019-01-10T00:00:00"/>
    <d v="2019-01-10T00:00:00"/>
    <s v="DZ"/>
    <s v="USD"/>
    <n v="-67313"/>
    <n v="-67313"/>
    <s v="BDT"/>
    <s v="EGM1"/>
    <n v="-5583613.3499999996"/>
    <s v="Cm Advance Received-424130717007"/>
    <s v="0000001010"/>
    <s v="IT06591901090247"/>
    <s v=""/>
    <s v=""/>
    <s v="0"/>
    <s v="424130717007"/>
    <s v=""/>
    <s v=""/>
    <s v=""/>
    <s v=""/>
    <s v=""/>
    <x v="0"/>
    <d v="2019-05-02T00:00:00"/>
    <s v="1806000062"/>
    <d v="2019-01-10T00:00:00"/>
    <s v=""/>
    <s v="1809000325"/>
  </r>
  <r>
    <s v="1809000327"/>
    <d v="2019-01-10T00:00:00"/>
    <d v="2019-01-10T00:00:00"/>
    <s v="DZ"/>
    <s v="USD"/>
    <n v="16174.79"/>
    <n v="16174.79"/>
    <s v="BDT"/>
    <s v="EGM1"/>
    <n v="1341698.83"/>
    <s v="Cm Advance adjust-424130706055"/>
    <s v="0000005010"/>
    <s v="E34626TC18US1095"/>
    <s v=""/>
    <s v=""/>
    <s v="0"/>
    <s v="424130715802"/>
    <s v=""/>
    <s v=""/>
    <s v=""/>
    <s v=""/>
    <s v=""/>
    <x v="0"/>
    <m/>
    <s v=""/>
    <d v="2019-01-10T00:00:00"/>
    <s v=""/>
    <s v="1809000327"/>
  </r>
  <r>
    <s v="1809000327"/>
    <d v="2019-01-10T00:00:00"/>
    <d v="2019-01-10T00:00:00"/>
    <s v="DZ"/>
    <s v="USD"/>
    <n v="1151.8699999999999"/>
    <n v="1151.8699999999999"/>
    <s v="BDT"/>
    <s v="EGM1"/>
    <n v="95547.62"/>
    <s v="Cm Advance adjust-424130710157"/>
    <s v="0000005010"/>
    <s v="E34626TC18US1095"/>
    <s v=""/>
    <s v=""/>
    <s v="0"/>
    <s v="424130715802"/>
    <s v=""/>
    <s v=""/>
    <s v=""/>
    <s v=""/>
    <s v=""/>
    <x v="0"/>
    <m/>
    <s v=""/>
    <d v="2019-01-10T00:00:00"/>
    <s v=""/>
    <s v="1809000327"/>
  </r>
  <r>
    <s v="1809000328"/>
    <d v="2019-01-13T00:00:00"/>
    <d v="2019-01-13T00:00:00"/>
    <s v="DZ"/>
    <s v="USD"/>
    <n v="45033"/>
    <n v="45033"/>
    <s v="BDT"/>
    <s v="EGM1"/>
    <n v="3735487.35"/>
    <s v="Cm Advance adjust-424130711548"/>
    <s v="0000001010"/>
    <s v="E04787WM18CA1467"/>
    <s v=""/>
    <s v=""/>
    <s v="0"/>
    <s v="424130717141"/>
    <s v=""/>
    <s v=""/>
    <s v=""/>
    <s v=""/>
    <s v=""/>
    <x v="0"/>
    <d v="2019-06-30T00:00:00"/>
    <s v="1806000066"/>
    <d v="2019-01-13T00:00:00"/>
    <s v=""/>
    <s v="1809000328"/>
  </r>
  <r>
    <s v="1809000329"/>
    <d v="2019-01-14T00:00:00"/>
    <d v="2019-01-14T00:00:00"/>
    <s v="DZ"/>
    <s v="USD"/>
    <n v="47859"/>
    <n v="47859"/>
    <s v="BDT"/>
    <s v="EGM1"/>
    <n v="3969904.05"/>
    <s v="Cm Advance adjust-424130707483"/>
    <s v="0000001010"/>
    <s v="E4707SB18UK1451"/>
    <s v=""/>
    <s v=""/>
    <s v="0"/>
    <s v="424130717533"/>
    <s v=""/>
    <s v=""/>
    <s v=""/>
    <s v=""/>
    <s v=""/>
    <x v="0"/>
    <d v="2019-05-02T00:00:00"/>
    <s v="1806000055"/>
    <d v="2019-01-14T00:00:00"/>
    <s v=""/>
    <s v="1809000329"/>
  </r>
  <r>
    <s v="1809000329"/>
    <d v="2019-01-14T00:00:00"/>
    <d v="2019-01-14T00:00:00"/>
    <s v="DZ"/>
    <s v="USD"/>
    <n v="3316"/>
    <n v="3316"/>
    <s v="BDT"/>
    <s v="EGM1"/>
    <n v="275062.2"/>
    <s v="Cm Advance adjust-424130701808"/>
    <s v="0000001010"/>
    <s v="E4707SB18UK1451"/>
    <s v=""/>
    <s v=""/>
    <s v="0"/>
    <s v="424130717533"/>
    <s v=""/>
    <s v=""/>
    <s v=""/>
    <s v=""/>
    <s v=""/>
    <x v="0"/>
    <d v="2019-05-02T00:00:00"/>
    <s v="1806000059"/>
    <d v="2019-01-14T00:00:00"/>
    <s v=""/>
    <s v="1809000329"/>
  </r>
  <r>
    <s v="1809000330"/>
    <d v="2019-01-14T00:00:00"/>
    <d v="2019-01-14T00:00:00"/>
    <s v="DZ"/>
    <s v="USD"/>
    <n v="7506"/>
    <n v="7506"/>
    <s v="BDT"/>
    <s v="EGM1"/>
    <n v="622622.69999999995"/>
    <s v="Cm Advance adjust-424130710166"/>
    <s v="0000001010"/>
    <s v="W04765WM18JP1093"/>
    <s v=""/>
    <s v=""/>
    <s v="0"/>
    <s v="424130717579"/>
    <s v=""/>
    <s v=""/>
    <s v=""/>
    <s v=""/>
    <s v=""/>
    <x v="0"/>
    <d v="2019-06-30T00:00:00"/>
    <s v="1806000069"/>
    <d v="2019-01-14T00:00:00"/>
    <s v=""/>
    <s v="1809000330"/>
  </r>
  <r>
    <s v="1809000331"/>
    <d v="2019-01-14T00:00:00"/>
    <d v="2019-01-14T00:00:00"/>
    <s v="DZ"/>
    <s v="USD"/>
    <n v="33553"/>
    <n v="33553"/>
    <s v="BDT"/>
    <s v="EGM1"/>
    <n v="2783221.35"/>
    <s v="Cm Advance adjust-424130711548"/>
    <s v="0000001010"/>
    <s v="E44682C18GR1116"/>
    <s v=""/>
    <s v=""/>
    <s v="0"/>
    <s v="424130717597"/>
    <s v=""/>
    <s v=""/>
    <s v=""/>
    <s v=""/>
    <s v=""/>
    <x v="0"/>
    <d v="2019-06-30T00:00:00"/>
    <s v="1806000066"/>
    <d v="2019-01-14T00:00:00"/>
    <s v=""/>
    <s v="1809000331"/>
  </r>
  <r>
    <s v="1809000331"/>
    <d v="2019-01-14T00:00:00"/>
    <d v="2019-01-14T00:00:00"/>
    <s v="DZ"/>
    <s v="USD"/>
    <n v="37339"/>
    <n v="37339"/>
    <s v="BDT"/>
    <s v="EGM1"/>
    <n v="3097270.05"/>
    <s v="Cm Advance adjust-424130708650"/>
    <s v="0000001010"/>
    <s v="E44682C18GR1116"/>
    <s v=""/>
    <s v=""/>
    <s v="0"/>
    <s v="424130717597"/>
    <s v=""/>
    <s v=""/>
    <s v=""/>
    <s v=""/>
    <s v=""/>
    <x v="0"/>
    <d v="2019-05-02T00:00:00"/>
    <s v="1806000056"/>
    <d v="2019-01-14T00:00:00"/>
    <s v=""/>
    <s v="1809000331"/>
  </r>
  <r>
    <s v="1809000332"/>
    <d v="2019-01-14T00:00:00"/>
    <d v="2019-01-14T00:00:00"/>
    <s v="DZ"/>
    <s v="USD"/>
    <n v="56862"/>
    <n v="56862"/>
    <s v="BDT"/>
    <s v="EGM1"/>
    <n v="4716702.9000000004"/>
    <s v="Cm Advance adjust-424130707483"/>
    <s v="0000001010"/>
    <s v="E44541KH18US1122"/>
    <s v=""/>
    <s v=""/>
    <s v="0"/>
    <s v="424130717542"/>
    <s v=""/>
    <s v=""/>
    <s v=""/>
    <s v=""/>
    <s v=""/>
    <x v="0"/>
    <d v="2019-05-02T00:00:00"/>
    <s v="1806000055"/>
    <d v="2019-01-14T00:00:00"/>
    <s v=""/>
    <s v="1809000332"/>
  </r>
  <r>
    <s v="1809000332"/>
    <d v="2019-01-14T00:00:00"/>
    <d v="2019-01-14T00:00:00"/>
    <s v="DZ"/>
    <s v="USD"/>
    <n v="1505"/>
    <n v="1505"/>
    <s v="BDT"/>
    <s v="EGM1"/>
    <n v="124839.75"/>
    <s v="Cm Advance adjust-424130708650"/>
    <s v="0000001010"/>
    <s v="E44541KH18US1122"/>
    <s v=""/>
    <s v=""/>
    <s v="0"/>
    <s v="424130717542"/>
    <s v=""/>
    <s v=""/>
    <s v=""/>
    <s v=""/>
    <s v=""/>
    <x v="0"/>
    <d v="2019-05-02T00:00:00"/>
    <s v="1806000056"/>
    <d v="2019-01-14T00:00:00"/>
    <s v=""/>
    <s v="1809000332"/>
  </r>
  <r>
    <s v="1809000333"/>
    <d v="2019-01-14T00:00:00"/>
    <d v="2019-01-14T00:00:00"/>
    <s v="DZ"/>
    <s v="USD"/>
    <n v="23190"/>
    <n v="23190"/>
    <s v="BDT"/>
    <s v="EGM1"/>
    <n v="1923610.5"/>
    <s v="Cm Advance adjust-424130707483"/>
    <s v="0000001010"/>
    <s v="E44542KH18US1127"/>
    <s v=""/>
    <s v=""/>
    <s v="0"/>
    <s v="424130717588"/>
    <s v=""/>
    <s v=""/>
    <s v=""/>
    <s v=""/>
    <s v=""/>
    <x v="0"/>
    <d v="2019-05-02T00:00:00"/>
    <s v="1806000055"/>
    <d v="2019-01-14T00:00:00"/>
    <s v=""/>
    <s v="1809000333"/>
  </r>
  <r>
    <s v="1809000333"/>
    <d v="2019-01-14T00:00:00"/>
    <d v="2019-01-14T00:00:00"/>
    <s v="DZ"/>
    <s v="USD"/>
    <n v="45088"/>
    <n v="45088"/>
    <s v="BDT"/>
    <s v="EGM1"/>
    <n v="3740049.6"/>
    <s v="Cm Advance adjust-424130708650"/>
    <s v="0000001010"/>
    <s v="E44542KH18US1127"/>
    <s v=""/>
    <s v=""/>
    <s v="0"/>
    <s v="424130717588"/>
    <s v=""/>
    <s v=""/>
    <s v=""/>
    <s v=""/>
    <s v=""/>
    <x v="0"/>
    <d v="2019-05-02T00:00:00"/>
    <s v="1806000056"/>
    <d v="2019-01-14T00:00:00"/>
    <s v=""/>
    <s v="1809000333"/>
  </r>
  <r>
    <s v="1809000334"/>
    <d v="2019-01-14T00:00:00"/>
    <d v="2019-01-14T00:00:00"/>
    <s v="DZ"/>
    <s v="USD"/>
    <n v="128526.74"/>
    <n v="128526.74"/>
    <s v="BDT"/>
    <s v="EGM1"/>
    <n v="10661293.09"/>
    <s v="Cm Advance adjust-424130714545"/>
    <s v="0000005010"/>
    <s v="E44748DC18US1481"/>
    <s v=""/>
    <s v=""/>
    <s v="0"/>
    <s v="424130717551"/>
    <s v=""/>
    <s v=""/>
    <s v=""/>
    <s v=""/>
    <s v=""/>
    <x v="0"/>
    <m/>
    <s v=""/>
    <d v="2019-01-14T00:00:00"/>
    <s v=""/>
    <s v="1809000334"/>
  </r>
  <r>
    <s v="1809000335"/>
    <d v="2019-01-15T00:00:00"/>
    <d v="2019-01-15T00:00:00"/>
    <s v="DZ"/>
    <s v="USD"/>
    <n v="-224843"/>
    <n v="-224843"/>
    <s v="BDT"/>
    <s v="EGM1"/>
    <n v="-18650726.850000001"/>
    <s v="Cm Advance Received-424130718809"/>
    <s v="0000001010"/>
    <s v="IT06591901140286"/>
    <s v=""/>
    <s v=""/>
    <s v="0"/>
    <s v="424130718809"/>
    <s v=""/>
    <s v=""/>
    <s v=""/>
    <s v=""/>
    <s v=""/>
    <x v="0"/>
    <d v="2019-02-03T00:00:00"/>
    <s v="1809000488"/>
    <d v="2019-01-15T00:00:00"/>
    <s v=""/>
    <s v="1809000335"/>
  </r>
  <r>
    <s v="1809000336"/>
    <d v="2019-01-16T00:00:00"/>
    <d v="2019-01-16T00:00:00"/>
    <s v="DZ"/>
    <s v="USD"/>
    <n v="34170"/>
    <n v="34170"/>
    <s v="BDT"/>
    <s v="EGM1"/>
    <n v="2834401.5"/>
    <s v="Cm Advance adjust-424130711548"/>
    <s v="0000001010"/>
    <s v="E04795US18-1502"/>
    <s v=""/>
    <s v=""/>
    <s v="0"/>
    <s v="424130719416"/>
    <s v=""/>
    <s v=""/>
    <s v=""/>
    <s v=""/>
    <s v=""/>
    <x v="0"/>
    <d v="2019-06-30T00:00:00"/>
    <s v="1806000066"/>
    <d v="2019-01-16T00:00:00"/>
    <s v=""/>
    <s v="1809000336"/>
  </r>
  <r>
    <s v="1809000338"/>
    <d v="2019-01-16T00:00:00"/>
    <d v="2019-01-16T00:00:00"/>
    <s v="DZ"/>
    <s v="USD"/>
    <n v="10100"/>
    <n v="10100"/>
    <s v="BDT"/>
    <s v="EGM1"/>
    <n v="837795"/>
    <s v="Cm Advance adjust-424130711548"/>
    <s v="0000001010"/>
    <s v="E04766WM18JP1092"/>
    <s v=""/>
    <s v=""/>
    <s v="0"/>
    <s v="424130719434"/>
    <s v=""/>
    <s v=""/>
    <s v=""/>
    <s v=""/>
    <s v=""/>
    <x v="0"/>
    <d v="2019-06-30T00:00:00"/>
    <s v="1806000066"/>
    <d v="2019-01-16T00:00:00"/>
    <s v=""/>
    <s v="1809000338"/>
  </r>
  <r>
    <s v="1809000339"/>
    <d v="2019-01-16T00:00:00"/>
    <d v="2019-01-16T00:00:00"/>
    <s v="DZ"/>
    <s v="USD"/>
    <n v="41069.22"/>
    <n v="41069.22"/>
    <s v="BDT"/>
    <s v="EGM1"/>
    <n v="3406691.8"/>
    <s v="Cm Advance adjust-424130714545"/>
    <s v="0000005010"/>
    <s v="DE4762TS18UK1111"/>
    <s v=""/>
    <s v=""/>
    <s v="0"/>
    <s v="424130719443"/>
    <s v=""/>
    <s v=""/>
    <s v=""/>
    <s v=""/>
    <s v=""/>
    <x v="0"/>
    <m/>
    <s v=""/>
    <d v="2019-01-16T00:00:00"/>
    <s v=""/>
    <s v="1809000339"/>
  </r>
  <r>
    <s v="1809000340"/>
    <d v="2019-01-17T00:00:00"/>
    <d v="2019-01-17T00:00:00"/>
    <s v="DZ"/>
    <s v="USD"/>
    <n v="-275660"/>
    <n v="-275660"/>
    <s v="BDT"/>
    <s v="EGM1"/>
    <n v="-22865997"/>
    <s v="Cm Advance Received-424130720422"/>
    <s v="0000001010"/>
    <s v="IT06591901150292"/>
    <s v=""/>
    <s v=""/>
    <s v="0"/>
    <s v="424130720422"/>
    <s v=""/>
    <s v=""/>
    <s v=""/>
    <s v=""/>
    <s v=""/>
    <x v="0"/>
    <d v="2019-07-31T00:00:00"/>
    <s v="1906000004"/>
    <d v="2019-01-17T00:00:00"/>
    <s v=""/>
    <s v="1809000340"/>
  </r>
  <r>
    <s v="1809000341"/>
    <d v="2019-01-20T00:00:00"/>
    <d v="2019-01-20T00:00:00"/>
    <s v="DZ"/>
    <s v="USD"/>
    <n v="93631"/>
    <n v="93631"/>
    <s v="BDT"/>
    <s v="EGM1"/>
    <n v="7766691.4500000002"/>
    <s v="E04795US18-1500"/>
    <s v="0000001010"/>
    <s v="E04795US18-1500"/>
    <s v=""/>
    <s v=""/>
    <s v="0"/>
    <s v="424130721591"/>
    <s v=""/>
    <s v=""/>
    <s v=""/>
    <s v=""/>
    <s v=""/>
    <x v="0"/>
    <d v="2019-06-30T00:00:00"/>
    <s v="1806000066"/>
    <d v="2019-01-20T00:00:00"/>
    <s v=""/>
    <s v="1809000341"/>
  </r>
  <r>
    <s v="1809000343"/>
    <d v="2019-01-21T00:00:00"/>
    <d v="2019-01-21T00:00:00"/>
    <s v="DZ"/>
    <s v="USD"/>
    <n v="-110370.71"/>
    <n v="-110370.71"/>
    <s v="BDT"/>
    <s v="EGM1"/>
    <n v="-9155250.4000000004"/>
    <s v="Cm Advance Received-424130722162"/>
    <s v="0000001010"/>
    <s v="IT06591901190070"/>
    <s v=""/>
    <s v=""/>
    <s v="0"/>
    <s v="424130722162"/>
    <s v=""/>
    <s v=""/>
    <s v=""/>
    <s v=""/>
    <s v=""/>
    <x v="0"/>
    <d v="2019-01-21T00:00:00"/>
    <s v="1803007103"/>
    <d v="2019-01-21T00:00:00"/>
    <s v=""/>
    <s v="1809000343"/>
  </r>
  <r>
    <s v="1809000344"/>
    <d v="2019-01-14T00:00:00"/>
    <d v="2019-01-14T00:00:00"/>
    <s v="DZ"/>
    <s v="USD"/>
    <n v="34830.120000000003"/>
    <n v="34830.120000000003"/>
    <s v="BDT"/>
    <s v="EGM1"/>
    <n v="2889158.45"/>
    <s v="Cm Advance adjust-424130706055"/>
    <s v="0000005010"/>
    <s v="DE4681TS18CE1105"/>
    <s v=""/>
    <s v=""/>
    <s v="0"/>
    <s v="424130717560"/>
    <s v=""/>
    <s v=""/>
    <s v=""/>
    <s v=""/>
    <s v=""/>
    <x v="0"/>
    <m/>
    <s v=""/>
    <d v="2019-01-14T00:00:00"/>
    <s v=""/>
    <s v="1809000344"/>
  </r>
  <r>
    <s v="1809000345"/>
    <d v="2019-01-22T00:00:00"/>
    <d v="2019-01-22T00:00:00"/>
    <s v="DZ"/>
    <s v="USD"/>
    <n v="-257485"/>
    <n v="-257485"/>
    <s v="BDT"/>
    <s v="EGM1"/>
    <n v="-21358380.75"/>
    <s v="Cm Advance Received-424130724295"/>
    <s v="0000001010"/>
    <s v="IT06591901220118"/>
    <s v=""/>
    <s v=""/>
    <s v="0"/>
    <s v="424130724295"/>
    <s v=""/>
    <s v=""/>
    <s v=""/>
    <s v=""/>
    <s v=""/>
    <x v="0"/>
    <d v="2019-05-02T00:00:00"/>
    <s v="1806000051"/>
    <d v="2019-01-22T00:00:00"/>
    <s v=""/>
    <s v="1809000345"/>
  </r>
  <r>
    <s v="1809000346"/>
    <d v="2019-01-23T00:00:00"/>
    <d v="2019-01-23T00:00:00"/>
    <s v="DZ"/>
    <s v="USD"/>
    <n v="32310"/>
    <n v="32310"/>
    <s v="BDT"/>
    <s v="EGM1"/>
    <n v="2680114.5"/>
    <s v="Cm Advance adjust-424130717007"/>
    <s v="0000001010"/>
    <s v="E44682C,18GR"/>
    <s v=""/>
    <s v=""/>
    <s v="0"/>
    <s v="424130724507"/>
    <s v=""/>
    <s v=""/>
    <s v=""/>
    <s v=""/>
    <s v=""/>
    <x v="0"/>
    <d v="2019-05-02T00:00:00"/>
    <s v="1806000062"/>
    <d v="2019-01-23T00:00:00"/>
    <s v=""/>
    <s v="1809000346"/>
  </r>
  <r>
    <s v="1809000347"/>
    <d v="2019-01-23T00:00:00"/>
    <d v="2019-01-23T00:00:00"/>
    <s v="DZ"/>
    <s v="USD"/>
    <n v="50393"/>
    <n v="50393"/>
    <s v="BDT"/>
    <s v="EGM1"/>
    <n v="4180099.35"/>
    <s v="Cm Advance adjust-424130711548"/>
    <s v="0000001010"/>
    <s v="E04726US18-1457"/>
    <s v=""/>
    <s v=""/>
    <s v="0"/>
    <s v="424130725132"/>
    <s v=""/>
    <s v=""/>
    <s v=""/>
    <s v=""/>
    <s v=""/>
    <x v="0"/>
    <d v="2019-06-30T00:00:00"/>
    <s v="1806000066"/>
    <d v="2019-01-23T00:00:00"/>
    <s v=""/>
    <s v="1809000347"/>
  </r>
  <r>
    <s v="1809000347"/>
    <d v="2019-01-23T00:00:00"/>
    <d v="2019-01-23T00:00:00"/>
    <s v="DZ"/>
    <s v="USD"/>
    <n v="40694"/>
    <n v="40694"/>
    <s v="BDT"/>
    <s v="EGM1"/>
    <n v="3375567.3"/>
    <s v="Cm Advance adjust-424130708650"/>
    <s v="0000001010"/>
    <s v="E04726US18-1457"/>
    <s v=""/>
    <s v=""/>
    <s v="0"/>
    <s v="424130725132"/>
    <s v=""/>
    <s v=""/>
    <s v=""/>
    <s v=""/>
    <s v=""/>
    <x v="0"/>
    <d v="2019-05-02T00:00:00"/>
    <s v="1806000056"/>
    <d v="2019-01-23T00:00:00"/>
    <s v=""/>
    <s v="1809000347"/>
  </r>
  <r>
    <s v="1809000348"/>
    <d v="2019-01-24T00:00:00"/>
    <d v="2019-01-24T00:00:00"/>
    <s v="DZ"/>
    <s v="USD"/>
    <n v="-347835"/>
    <n v="-347835"/>
    <s v="BDT"/>
    <s v="EGM1"/>
    <n v="-28852913.25"/>
    <s v="Cm Advance Received-424130725622"/>
    <s v="0000001010"/>
    <s v="IT06591901230295"/>
    <s v=""/>
    <s v=""/>
    <s v="0"/>
    <s v="424130725622"/>
    <s v=""/>
    <s v=""/>
    <s v=""/>
    <s v=""/>
    <s v=""/>
    <x v="0"/>
    <d v="2019-06-30T00:00:00"/>
    <s v="1806000067"/>
    <d v="2019-01-24T00:00:00"/>
    <s v=""/>
    <s v="1809000348"/>
  </r>
  <r>
    <s v="1809000349"/>
    <d v="2019-01-01T00:00:00"/>
    <d v="2019-01-01T00:00:00"/>
    <s v="DZ"/>
    <s v="USD"/>
    <n v="-76747"/>
    <n v="-76747"/>
    <s v="BDT"/>
    <s v="EGM2"/>
    <n v="-6366163.6500000004"/>
    <s v="Cm Advance Received-424130710120"/>
    <s v="0000001010"/>
    <s v="IT06591901010036"/>
    <s v=""/>
    <s v=""/>
    <s v="0"/>
    <s v="424130710120"/>
    <s v=""/>
    <s v=""/>
    <s v=""/>
    <s v=""/>
    <s v=""/>
    <x v="0"/>
    <d v="2019-02-26T00:00:00"/>
    <s v="1806000032"/>
    <d v="2019-01-01T00:00:00"/>
    <s v=""/>
    <s v="1809000349"/>
  </r>
  <r>
    <s v="1809000350"/>
    <d v="2019-01-02T00:00:00"/>
    <d v="2019-01-02T00:00:00"/>
    <s v="DZ"/>
    <s v="USD"/>
    <n v="14936"/>
    <n v="14936"/>
    <s v="BDT"/>
    <s v="EGM2"/>
    <n v="1238941.2"/>
    <s v="Cm Advance adjust-424130701130"/>
    <s v="0000001010"/>
    <s v="04830180356DK"/>
    <s v=""/>
    <s v=""/>
    <s v="0"/>
    <s v="424130710139"/>
    <s v=""/>
    <s v=""/>
    <s v=""/>
    <s v=""/>
    <s v=""/>
    <x v="0"/>
    <d v="2019-02-23T00:00:00"/>
    <s v="1806000017"/>
    <d v="2019-01-02T00:00:00"/>
    <s v=""/>
    <s v="1809000350"/>
  </r>
  <r>
    <s v="1809000351"/>
    <d v="2019-01-06T00:00:00"/>
    <d v="2019-01-06T00:00:00"/>
    <s v="DZ"/>
    <s v="USD"/>
    <n v="-9250"/>
    <n v="-9250"/>
    <s v="BDT"/>
    <s v="EGM2"/>
    <n v="-767287.5"/>
    <s v="Cm Advance Received-424130712921"/>
    <s v="0000001010"/>
    <s v="IT06591901030191"/>
    <s v=""/>
    <s v=""/>
    <s v="0"/>
    <s v="424130712921"/>
    <s v=""/>
    <s v=""/>
    <s v=""/>
    <s v=""/>
    <s v=""/>
    <x v="0"/>
    <d v="2019-01-21T00:00:00"/>
    <s v="1809000366"/>
    <d v="2019-01-06T00:00:00"/>
    <s v=""/>
    <s v="1809000351"/>
  </r>
  <r>
    <s v="1809000352"/>
    <d v="2019-01-06T00:00:00"/>
    <d v="2019-01-06T00:00:00"/>
    <s v="DZ"/>
    <s v="USD"/>
    <n v="-23168"/>
    <n v="-23168"/>
    <s v="BDT"/>
    <s v="EGM2"/>
    <n v="-1921785.6"/>
    <s v="Cm Advance Received-424130712930"/>
    <s v="0000001010"/>
    <s v="IT06591901030179"/>
    <s v=""/>
    <s v=""/>
    <s v="0"/>
    <s v="424130712930"/>
    <s v=""/>
    <s v=""/>
    <s v=""/>
    <s v=""/>
    <s v=""/>
    <x v="0"/>
    <d v="2019-02-26T00:00:00"/>
    <s v="1806000029"/>
    <d v="2019-01-06T00:00:00"/>
    <s v=""/>
    <s v="1809000352"/>
  </r>
  <r>
    <s v="1809000353"/>
    <d v="2019-01-06T00:00:00"/>
    <d v="2019-01-06T00:00:00"/>
    <s v="DZ"/>
    <s v="USD"/>
    <n v="-36794"/>
    <n v="-36794"/>
    <s v="BDT"/>
    <s v="EGM2"/>
    <n v="-3052062.3"/>
    <s v="Cm Advance Received-424130712949"/>
    <s v="0000001010"/>
    <s v="IT06591901050100"/>
    <s v=""/>
    <s v=""/>
    <s v="0"/>
    <s v="424130712949"/>
    <s v=""/>
    <s v=""/>
    <s v=""/>
    <s v=""/>
    <s v=""/>
    <x v="0"/>
    <d v="2019-07-31T00:00:00"/>
    <s v="1906000000"/>
    <d v="2019-01-06T00:00:00"/>
    <s v=""/>
    <s v="1809000353"/>
  </r>
  <r>
    <s v="1809000354"/>
    <d v="2019-01-06T00:00:00"/>
    <d v="2019-01-06T00:00:00"/>
    <s v="DZ"/>
    <s v="USD"/>
    <n v="-14313"/>
    <n v="-14313"/>
    <s v="BDT"/>
    <s v="EGM2"/>
    <n v="-1187263.3500000001"/>
    <s v="Cm Advance Received-424130712958"/>
    <s v="0000001010"/>
    <s v="IT06591901050105"/>
    <s v=""/>
    <s v=""/>
    <s v="0"/>
    <s v="424130712958"/>
    <s v=""/>
    <s v=""/>
    <s v=""/>
    <s v=""/>
    <s v=""/>
    <x v="0"/>
    <d v="2019-06-30T00:00:00"/>
    <s v="1806000090"/>
    <d v="2019-01-06T00:00:00"/>
    <s v=""/>
    <s v="1809000354"/>
  </r>
  <r>
    <s v="1809000355"/>
    <d v="2019-01-07T00:00:00"/>
    <d v="2019-01-07T00:00:00"/>
    <s v="DZ"/>
    <s v="USD"/>
    <n v="-45192"/>
    <n v="-45192"/>
    <s v="BDT"/>
    <s v="EGM2"/>
    <n v="-3748676.4"/>
    <s v="Cm Advance Received-424130713485"/>
    <s v="0000001010"/>
    <s v="IT06591901070059"/>
    <s v=""/>
    <s v=""/>
    <s v="0"/>
    <s v="424130713485"/>
    <s v=""/>
    <s v=""/>
    <s v=""/>
    <s v=""/>
    <s v=""/>
    <x v="0"/>
    <d v="2019-06-30T00:00:00"/>
    <s v="1806000071"/>
    <d v="2019-01-07T00:00:00"/>
    <s v=""/>
    <s v="1809000355"/>
  </r>
  <r>
    <s v="1809000356"/>
    <d v="2019-01-07T00:00:00"/>
    <d v="2019-01-07T00:00:00"/>
    <s v="DZ"/>
    <s v="USD"/>
    <n v="-3350.41"/>
    <n v="-3350.41"/>
    <s v="BDT"/>
    <s v="EGM2"/>
    <n v="-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024"/>
    <d v="2019-01-07T00:00:00"/>
    <s v=""/>
    <s v="1809000356"/>
  </r>
  <r>
    <s v="1809000357"/>
    <d v="2019-01-07T00:00:00"/>
    <d v="2019-01-07T00:00:00"/>
    <s v="DZ"/>
    <s v="USD"/>
    <n v="-8431.56"/>
    <n v="-8431.56"/>
    <s v="BDT"/>
    <s v="EGM2"/>
    <n v="-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025"/>
    <d v="2019-01-07T00:00:00"/>
    <s v=""/>
    <s v="1809000357"/>
  </r>
  <r>
    <s v="1809000358"/>
    <d v="2019-01-07T00:00:00"/>
    <d v="2019-01-07T00:00:00"/>
    <s v="DZ"/>
    <s v="USD"/>
    <n v="-3350.41"/>
    <n v="-3350.41"/>
    <s v="BDT"/>
    <s v="EGM2"/>
    <n v="-277916.52"/>
    <s v="Cm Advance Received-424130713804"/>
    <s v="0000005010"/>
    <s v="IT06591901070069"/>
    <s v=""/>
    <s v=""/>
    <s v="0"/>
    <s v="424130713804"/>
    <s v=""/>
    <s v=""/>
    <s v=""/>
    <s v=""/>
    <s v=""/>
    <x v="0"/>
    <d v="2019-01-07T00:00:00"/>
    <s v="1803007119"/>
    <d v="2019-01-07T00:00:00"/>
    <s v=""/>
    <s v="1809000358"/>
  </r>
  <r>
    <s v="1809000359"/>
    <d v="2019-01-07T00:00:00"/>
    <d v="2019-01-07T00:00:00"/>
    <s v="DZ"/>
    <s v="USD"/>
    <n v="-8431.56"/>
    <n v="-8431.56"/>
    <s v="BDT"/>
    <s v="EGM2"/>
    <n v="-699397.9"/>
    <s v="Cm Advance Received-424130713813"/>
    <s v="0000005010"/>
    <s v="IT06591901070070"/>
    <s v=""/>
    <s v=""/>
    <s v="0"/>
    <s v="424130713813"/>
    <s v=""/>
    <s v=""/>
    <s v=""/>
    <s v=""/>
    <s v=""/>
    <x v="0"/>
    <d v="2019-01-07T00:00:00"/>
    <s v="1803007120"/>
    <d v="2019-01-07T00:00:00"/>
    <s v=""/>
    <s v="1809000359"/>
  </r>
  <r>
    <s v="1809000360"/>
    <d v="2019-01-07T00:00:00"/>
    <d v="2019-01-07T00:00:00"/>
    <s v="DZ"/>
    <s v="USD"/>
    <n v="-12464.71"/>
    <n v="-12464.71"/>
    <s v="BDT"/>
    <s v="EGM2"/>
    <n v="-1033947.7"/>
    <s v="Cm Advance Received-424130713822"/>
    <s v="0000005010"/>
    <s v="IT06591901070071"/>
    <s v=""/>
    <s v=""/>
    <s v="0"/>
    <s v="424130713822"/>
    <s v=""/>
    <s v=""/>
    <s v=""/>
    <s v=""/>
    <s v=""/>
    <x v="0"/>
    <d v="2019-01-07T00:00:00"/>
    <s v="1803007121"/>
    <d v="2019-01-07T00:00:00"/>
    <s v=""/>
    <s v="1809000360"/>
  </r>
  <r>
    <s v="1809000361"/>
    <d v="2019-01-09T00:00:00"/>
    <d v="2019-01-09T00:00:00"/>
    <s v="DZ"/>
    <s v="USD"/>
    <n v="30001"/>
    <n v="30001"/>
    <s v="BDT"/>
    <s v="EGM2"/>
    <n v="2488582.9500000002"/>
    <s v="Cm Advance adjust-424130698858"/>
    <s v="0000001010"/>
    <s v="E24785VF18US0368"/>
    <s v=""/>
    <s v=""/>
    <s v="0"/>
    <s v="424130714607"/>
    <s v=""/>
    <s v=""/>
    <s v=""/>
    <s v=""/>
    <s v=""/>
    <x v="0"/>
    <d v="2019-06-30T00:00:00"/>
    <s v="1806000077"/>
    <d v="2019-01-09T00:00:00"/>
    <s v=""/>
    <s v="1809000361"/>
  </r>
  <r>
    <s v="1809000361"/>
    <d v="2019-01-09T00:00:00"/>
    <d v="2019-01-09T00:00:00"/>
    <s v="DZ"/>
    <s v="USD"/>
    <n v="4822"/>
    <n v="4822"/>
    <s v="BDT"/>
    <s v="EGM2"/>
    <n v="399984.9"/>
    <s v="Cm Advance adjust-424130701130"/>
    <s v="0000001010"/>
    <s v="E24785VF18US0368"/>
    <s v=""/>
    <s v=""/>
    <s v="0"/>
    <s v="424130714607"/>
    <s v=""/>
    <s v=""/>
    <s v=""/>
    <s v=""/>
    <s v=""/>
    <x v="0"/>
    <d v="2019-02-23T00:00:00"/>
    <s v="1806000017"/>
    <d v="2019-01-09T00:00:00"/>
    <s v=""/>
    <s v="1809000361"/>
  </r>
  <r>
    <s v="1809000361"/>
    <d v="2019-01-09T00:00:00"/>
    <d v="2019-01-09T00:00:00"/>
    <s v="DZ"/>
    <s v="USD"/>
    <n v="2634"/>
    <n v="2634"/>
    <s v="BDT"/>
    <s v="EGM2"/>
    <n v="218358.6"/>
    <s v="Cm Advance adjust-424130693238"/>
    <s v="0000001010"/>
    <s v="E24785VF18US0368"/>
    <s v=""/>
    <s v=""/>
    <s v="0"/>
    <s v="424130714607"/>
    <s v=""/>
    <s v=""/>
    <s v=""/>
    <s v=""/>
    <s v=""/>
    <x v="0"/>
    <d v="2019-02-26T00:00:00"/>
    <s v="1806000031"/>
    <d v="2019-01-09T00:00:00"/>
    <s v=""/>
    <s v="1809000361"/>
  </r>
  <r>
    <s v="1809000362"/>
    <d v="2019-01-09T00:00:00"/>
    <d v="2019-01-09T00:00:00"/>
    <s v="DZ"/>
    <s v="USD"/>
    <n v="2459"/>
    <n v="2459"/>
    <s v="BDT"/>
    <s v="EGM2"/>
    <n v="203974.05"/>
    <s v="Cm Advance adjust-424130710120"/>
    <s v="0000001010"/>
    <s v="E24785VF18US0391"/>
    <s v=""/>
    <s v=""/>
    <s v="0"/>
    <s v="424130714616"/>
    <s v=""/>
    <s v=""/>
    <s v=""/>
    <s v=""/>
    <s v=""/>
    <x v="0"/>
    <d v="2019-02-26T00:00:00"/>
    <s v="1806000032"/>
    <d v="2019-01-09T00:00:00"/>
    <s v=""/>
    <s v="1809000362"/>
  </r>
  <r>
    <s v="1809000363"/>
    <d v="2019-01-10T00:00:00"/>
    <d v="2019-01-10T00:00:00"/>
    <s v="DZ"/>
    <s v="USD"/>
    <n v="-17919.29"/>
    <n v="-17919.29"/>
    <s v="BDT"/>
    <s v="EGM2"/>
    <n v="-1486405.12"/>
    <s v="Cm Advance Received-424130717016"/>
    <s v="0000005010"/>
    <s v="IT06591901100078"/>
    <s v=""/>
    <s v=""/>
    <s v="0"/>
    <s v="424130717016"/>
    <s v=""/>
    <s v=""/>
    <s v=""/>
    <s v=""/>
    <s v=""/>
    <x v="0"/>
    <d v="2019-01-10T00:00:00"/>
    <s v="1803007122"/>
    <d v="2019-01-10T00:00:00"/>
    <s v=""/>
    <s v="1809000363"/>
  </r>
  <r>
    <s v="1809000364"/>
    <d v="2019-01-10T00:00:00"/>
    <d v="2019-01-10T00:00:00"/>
    <s v="DZ"/>
    <s v="USD"/>
    <n v="-16439.240000000002"/>
    <n v="-16439.240000000002"/>
    <s v="BDT"/>
    <s v="EGM2"/>
    <n v="-1363634.96"/>
    <s v="Cm Advance Received-424130717025"/>
    <s v="0000005010"/>
    <s v="IT06591901100074"/>
    <s v=""/>
    <s v=""/>
    <s v="0"/>
    <s v="424130717025"/>
    <s v=""/>
    <s v=""/>
    <s v=""/>
    <s v=""/>
    <s v=""/>
    <x v="0"/>
    <d v="2019-01-10T00:00:00"/>
    <s v="1803007123"/>
    <d v="2019-01-10T00:00:00"/>
    <s v=""/>
    <s v="1809000364"/>
  </r>
  <r>
    <s v="1809000365"/>
    <d v="2019-01-17T00:00:00"/>
    <d v="2019-01-17T00:00:00"/>
    <s v="DZ"/>
    <s v="USD"/>
    <n v="-45093"/>
    <n v="-45093"/>
    <s v="BDT"/>
    <s v="EGM2"/>
    <n v="-3740464.36"/>
    <s v="Cm Advance Received-424130720431"/>
    <s v="0000005010"/>
    <s v="IT06591901150293"/>
    <s v=""/>
    <s v=""/>
    <s v="0"/>
    <s v="424130720431"/>
    <s v=""/>
    <s v=""/>
    <s v=""/>
    <s v=""/>
    <s v=""/>
    <x v="0"/>
    <d v="2019-01-17T00:00:00"/>
    <s v="1803007034"/>
    <d v="2019-01-17T00:00:00"/>
    <s v=""/>
    <s v="1809000365"/>
  </r>
  <r>
    <s v="1809000366"/>
    <d v="2019-01-21T00:00:00"/>
    <d v="2019-01-21T00:00:00"/>
    <s v="DZ"/>
    <s v="USD"/>
    <n v="9250"/>
    <n v="9250"/>
    <s v="BDT"/>
    <s v="EGM2"/>
    <n v="767287.5"/>
    <s v="Cm Advance Received-424130712921"/>
    <s v="0000001010"/>
    <s v="04830180388MY"/>
    <s v=""/>
    <s v=""/>
    <s v="0"/>
    <s v="424130722180"/>
    <s v=""/>
    <s v=""/>
    <s v=""/>
    <s v=""/>
    <s v=""/>
    <x v="0"/>
    <d v="2019-01-21T00:00:00"/>
    <s v="1809000366"/>
    <d v="2019-01-21T00:00:00"/>
    <s v=""/>
    <s v="1809000366"/>
  </r>
  <r>
    <s v="1809000367"/>
    <d v="2019-01-23T00:00:00"/>
    <d v="2019-01-23T00:00:00"/>
    <s v="DZ"/>
    <s v="USD"/>
    <n v="455"/>
    <n v="455"/>
    <s v="BDT"/>
    <s v="EGM2"/>
    <n v="37742.25"/>
    <s v="Cm Advance adjust-424130712949"/>
    <s v="0000001010"/>
    <s v="04913180393OU"/>
    <s v=""/>
    <s v=""/>
    <s v="0"/>
    <s v="424130724482"/>
    <s v=""/>
    <s v=""/>
    <s v=""/>
    <s v=""/>
    <s v=""/>
    <x v="0"/>
    <d v="2019-07-31T00:00:00"/>
    <s v="1906000000"/>
    <d v="2019-01-23T00:00:00"/>
    <s v=""/>
    <s v="1809000367"/>
  </r>
  <r>
    <s v="1809000368"/>
    <d v="2019-01-23T00:00:00"/>
    <d v="2019-01-23T00:00:00"/>
    <s v="DZ"/>
    <s v="USD"/>
    <n v="9044"/>
    <n v="9044"/>
    <s v="BDT"/>
    <s v="EGM2"/>
    <n v="750199.8"/>
    <s v="Cm Advance adjust-424130712930"/>
    <s v="0000001010"/>
    <s v="E04871US18-400"/>
    <s v=""/>
    <s v=""/>
    <s v="0"/>
    <s v="424130724491"/>
    <s v=""/>
    <s v=""/>
    <s v=""/>
    <s v=""/>
    <s v=""/>
    <x v="0"/>
    <d v="2019-02-26T00:00:00"/>
    <s v="1806000029"/>
    <d v="2019-01-23T00:00:00"/>
    <s v=""/>
    <s v="1809000368"/>
  </r>
  <r>
    <s v="1809000369"/>
    <d v="2019-01-27T00:00:00"/>
    <d v="2019-01-27T00:00:00"/>
    <s v="DZ"/>
    <s v="USD"/>
    <n v="-91363"/>
    <n v="-91363"/>
    <s v="BDT"/>
    <s v="EGM2"/>
    <n v="-7578560.8600000003"/>
    <s v="Cm Advance Received-424130726854"/>
    <s v="0000001010"/>
    <s v="IT06591901260038"/>
    <s v=""/>
    <s v=""/>
    <s v="0"/>
    <s v="424130726854"/>
    <s v=""/>
    <s v=""/>
    <s v=""/>
    <s v=""/>
    <s v=""/>
    <x v="0"/>
    <d v="2019-06-30T00:00:00"/>
    <s v="1806000070"/>
    <d v="2019-01-27T00:00:00"/>
    <s v=""/>
    <s v="1809000369"/>
  </r>
  <r>
    <s v="1809000370"/>
    <d v="2019-01-17T00:00:00"/>
    <d v="2019-01-17T00:00:00"/>
    <s v="DZ"/>
    <s v="USD"/>
    <n v="-45093"/>
    <n v="-45093"/>
    <s v="BDT"/>
    <s v="EGM2"/>
    <n v="-3740464.36"/>
    <s v="Cm Advance Received-424130720431"/>
    <s v="0000001010"/>
    <s v="IT06591901150293"/>
    <s v=""/>
    <s v=""/>
    <s v="0"/>
    <s v="424130720431"/>
    <s v=""/>
    <s v=""/>
    <s v=""/>
    <s v=""/>
    <s v=""/>
    <x v="0"/>
    <d v="2019-02-23T00:00:00"/>
    <s v="1806000008"/>
    <d v="2019-01-17T00:00:00"/>
    <s v=""/>
    <s v="1809000370"/>
  </r>
  <r>
    <s v="1809000371"/>
    <d v="2019-01-27T00:00:00"/>
    <d v="2019-01-27T00:00:00"/>
    <s v="DZ"/>
    <s v="USD"/>
    <n v="3661"/>
    <n v="3661"/>
    <s v="BDT"/>
    <s v="EGM2"/>
    <n v="303679.95"/>
    <s v="Cm Advance adjust-424130720431"/>
    <s v="0000001010"/>
    <s v="E24738VF19US0024"/>
    <s v=""/>
    <s v=""/>
    <s v="0"/>
    <s v="424130726863"/>
    <s v=""/>
    <s v=""/>
    <s v=""/>
    <s v=""/>
    <s v=""/>
    <x v="0"/>
    <d v="2019-02-23T00:00:00"/>
    <s v="1806000008"/>
    <d v="2019-01-27T00:00:00"/>
    <s v=""/>
    <s v="1809000371"/>
  </r>
  <r>
    <s v="1809000371"/>
    <d v="2019-01-27T00:00:00"/>
    <d v="2019-01-27T00:00:00"/>
    <s v="DZ"/>
    <s v="USD"/>
    <n v="11178.02"/>
    <n v="11178.02"/>
    <s v="BDT"/>
    <s v="EGM2"/>
    <n v="927216.76"/>
    <s v="Cm Advance adjust-424130712949"/>
    <s v="0000001010"/>
    <s v="E24738VF19US0024"/>
    <s v=""/>
    <s v=""/>
    <s v="0"/>
    <s v="424130726863"/>
    <s v=""/>
    <s v=""/>
    <s v=""/>
    <s v=""/>
    <s v=""/>
    <x v="0"/>
    <d v="2019-07-31T00:00:00"/>
    <s v="1906000000"/>
    <d v="2019-01-27T00:00:00"/>
    <s v=""/>
    <s v="1809000371"/>
  </r>
  <r>
    <s v="1809000371"/>
    <d v="2019-01-27T00:00:00"/>
    <d v="2019-01-27T00:00:00"/>
    <s v="DZ"/>
    <s v="USD"/>
    <n v="14123"/>
    <n v="14123"/>
    <s v="BDT"/>
    <s v="EGM2"/>
    <n v="1171502.8500000001"/>
    <s v="Cm Advance adjust-424130712930"/>
    <s v="0000001010"/>
    <s v="E24738VF19US0024"/>
    <s v=""/>
    <s v=""/>
    <s v="0"/>
    <s v="424130726863"/>
    <s v=""/>
    <s v=""/>
    <s v=""/>
    <s v=""/>
    <s v=""/>
    <x v="0"/>
    <d v="2019-02-26T00:00:00"/>
    <s v="1806000029"/>
    <d v="2019-01-27T00:00:00"/>
    <s v=""/>
    <s v="1809000371"/>
  </r>
  <r>
    <s v="1809000372"/>
    <d v="2019-01-28T00:00:00"/>
    <d v="2019-01-28T00:00:00"/>
    <s v="DZ"/>
    <s v="USD"/>
    <n v="23598"/>
    <n v="23598"/>
    <s v="BDT"/>
    <s v="EGM2"/>
    <n v="1957454.1"/>
    <s v="Cm Advance adjust-4424130713485"/>
    <s v="0000001010"/>
    <s v="E04871US18-0399"/>
    <s v=""/>
    <s v=""/>
    <s v="0"/>
    <s v="424130726907"/>
    <s v=""/>
    <s v=""/>
    <s v=""/>
    <s v=""/>
    <s v=""/>
    <x v="0"/>
    <d v="2019-06-30T00:00:00"/>
    <s v="1806000071"/>
    <d v="2019-01-28T00:00:00"/>
    <s v=""/>
    <s v="1809000372"/>
  </r>
  <r>
    <s v="1809000373"/>
    <d v="2019-01-14T00:00:00"/>
    <d v="2019-01-14T00:00:00"/>
    <s v="DZ"/>
    <s v="USD"/>
    <n v="7977"/>
    <n v="7977"/>
    <s v="BDT"/>
    <s v="EGM2"/>
    <n v="661692.15"/>
    <s v="Cm Advance adjust-424130710120"/>
    <s v="0000001010"/>
    <s v="04830180336RU"/>
    <s v=""/>
    <s v=""/>
    <s v="0"/>
    <s v="424130718284"/>
    <s v=""/>
    <s v=""/>
    <s v=""/>
    <s v=""/>
    <s v=""/>
    <x v="0"/>
    <d v="2019-02-26T00:00:00"/>
    <s v="1806000032"/>
    <d v="2019-01-14T00:00:00"/>
    <s v=""/>
    <s v="1809000373"/>
  </r>
  <r>
    <s v="1809000373"/>
    <d v="2019-01-14T00:00:00"/>
    <d v="2019-01-14T00:00:00"/>
    <s v="DZ"/>
    <s v="USD"/>
    <n v="10788.39"/>
    <n v="10788.39"/>
    <s v="BDT"/>
    <s v="EGM2"/>
    <n v="894896.95"/>
    <s v="Cm Advance adjust-424130698260"/>
    <s v="0000001010"/>
    <s v="04830180336RU"/>
    <s v=""/>
    <s v=""/>
    <s v="0"/>
    <s v="424130718284"/>
    <s v=""/>
    <s v=""/>
    <s v=""/>
    <s v=""/>
    <s v=""/>
    <x v="0"/>
    <d v="2019-02-23T00:00:00"/>
    <s v="1806000021"/>
    <d v="2019-01-14T00:00:00"/>
    <s v=""/>
    <s v="1809000373"/>
  </r>
  <r>
    <s v="1809000374"/>
    <d v="2019-01-27T00:00:00"/>
    <d v="2019-01-27T00:00:00"/>
    <s v="DZ"/>
    <s v="USD"/>
    <n v="4806"/>
    <n v="4806"/>
    <s v="BDT"/>
    <s v="EGM2"/>
    <n v="398657.7"/>
    <s v="Cm Advance adjust-424130712949"/>
    <s v="0000001010"/>
    <s v="E24638VF19US0001"/>
    <s v=""/>
    <s v=""/>
    <s v="0"/>
    <s v="424130725686"/>
    <s v=""/>
    <s v=""/>
    <s v=""/>
    <s v=""/>
    <s v=""/>
    <x v="0"/>
    <d v="2019-02-23T00:00:00"/>
    <s v="1806000008"/>
    <d v="2019-01-27T00:00:00"/>
    <s v=""/>
    <s v="1809000374"/>
  </r>
  <r>
    <s v="1809000375"/>
    <d v="2019-01-10T00:00:00"/>
    <d v="2019-01-10T00:00:00"/>
    <s v="DZ"/>
    <s v="USD"/>
    <n v="66310"/>
    <n v="66310"/>
    <s v="BDT"/>
    <s v="EGM2"/>
    <n v="5500414.5"/>
    <s v="Cm Advance adjust-424130710120"/>
    <s v="0000001010"/>
    <s v="04830180358ID"/>
    <s v=""/>
    <s v=""/>
    <s v="0"/>
    <s v="424130714625,424130715820"/>
    <s v=""/>
    <s v=""/>
    <s v=""/>
    <s v=""/>
    <s v=""/>
    <x v="0"/>
    <d v="2019-02-26T00:00:00"/>
    <s v="1806000032"/>
    <d v="2019-01-10T00:00:00"/>
    <s v=""/>
    <s v="1809000375"/>
  </r>
  <r>
    <s v="1809000375"/>
    <d v="2019-01-10T00:00:00"/>
    <d v="2019-01-10T00:00:00"/>
    <s v="DZ"/>
    <s v="USD"/>
    <n v="8750"/>
    <n v="8750"/>
    <s v="BDT"/>
    <s v="EGM2"/>
    <n v="725812.5"/>
    <s v="Cm Advance adjust-424130701130"/>
    <s v="0000001010"/>
    <s v="04830180358ID"/>
    <s v=""/>
    <s v=""/>
    <s v="0"/>
    <s v="424130714625,424130715820"/>
    <s v=""/>
    <s v=""/>
    <s v=""/>
    <s v=""/>
    <s v=""/>
    <x v="0"/>
    <d v="2019-02-23T00:00:00"/>
    <s v="1806000017"/>
    <d v="2019-01-10T00:00:00"/>
    <s v=""/>
    <s v="1809000375"/>
  </r>
  <r>
    <s v="1809000377"/>
    <d v="2019-01-21T00:00:00"/>
    <d v="2019-01-21T00:00:00"/>
    <s v="DZ"/>
    <s v="USD"/>
    <n v="220122"/>
    <n v="220122"/>
    <s v="BDT"/>
    <s v="EGM1"/>
    <n v="18226101.600000001"/>
    <s v="Cm Advance adjust-424130670985"/>
    <s v="0000001010"/>
    <s v="424130722199"/>
    <s v=""/>
    <s v=""/>
    <s v="0"/>
    <s v="424130722206,424130722215"/>
    <s v=""/>
    <s v=""/>
    <s v=""/>
    <s v=""/>
    <s v=""/>
    <x v="0"/>
    <d v="2019-05-02T00:00:00"/>
    <s v="1806000045"/>
    <d v="2019-01-21T00:00:00"/>
    <s v=""/>
    <s v="1809000377"/>
  </r>
  <r>
    <s v="1809000377"/>
    <d v="2019-01-21T00:00:00"/>
    <d v="2019-01-21T00:00:00"/>
    <s v="DZ"/>
    <s v="USD"/>
    <n v="128169"/>
    <n v="128169"/>
    <s v="BDT"/>
    <s v="EGM1"/>
    <n v="10631618.550000001"/>
    <s v="Cm Advance adjust-424130711548"/>
    <s v="0000001010"/>
    <s v="424130722199"/>
    <s v=""/>
    <s v=""/>
    <s v="0"/>
    <s v="424130722206,424130722215"/>
    <s v=""/>
    <s v=""/>
    <s v=""/>
    <s v=""/>
    <s v=""/>
    <x v="0"/>
    <d v="2019-06-30T00:00:00"/>
    <s v="1806000066"/>
    <d v="2019-01-21T00:00:00"/>
    <s v=""/>
    <s v="1809000377"/>
  </r>
  <r>
    <s v="1809000377"/>
    <d v="2019-01-21T00:00:00"/>
    <d v="2019-01-21T00:00:00"/>
    <s v="DZ"/>
    <s v="USD"/>
    <n v="93187"/>
    <n v="93187"/>
    <s v="BDT"/>
    <s v="EGM1"/>
    <n v="7729861.6600000001"/>
    <s v="Cm Advance adjust-424130710166"/>
    <s v="0000001010"/>
    <s v="424130722199"/>
    <s v=""/>
    <s v=""/>
    <s v="0"/>
    <s v="424130722206,424130722215"/>
    <s v=""/>
    <s v=""/>
    <s v=""/>
    <s v=""/>
    <s v=""/>
    <x v="0"/>
    <d v="2019-06-30T00:00:00"/>
    <s v="1806000069"/>
    <d v="2019-01-21T00:00:00"/>
    <s v=""/>
    <s v="1809000377"/>
  </r>
  <r>
    <s v="1809000377"/>
    <d v="2019-01-21T00:00:00"/>
    <d v="2019-01-21T00:00:00"/>
    <s v="DZ"/>
    <s v="USD"/>
    <n v="225653"/>
    <n v="225653"/>
    <s v="BDT"/>
    <s v="EGM1"/>
    <n v="18698764.219999999"/>
    <s v="E04653us18-1460,1465,1464"/>
    <s v="0000001010"/>
    <s v="424130722199"/>
    <s v=""/>
    <s v=""/>
    <s v="0"/>
    <s v="424130722206,424130722215"/>
    <s v=""/>
    <s v=""/>
    <s v=""/>
    <s v=""/>
    <s v=""/>
    <x v="0"/>
    <d v="2019-01-21T00:00:00"/>
    <s v="1809000377"/>
    <d v="2019-01-21T00:00:00"/>
    <s v=""/>
    <s v="1809000377"/>
  </r>
  <r>
    <s v="1809000378"/>
    <d v="2019-01-27T00:00:00"/>
    <d v="2019-01-27T00:00:00"/>
    <s v="DZ"/>
    <s v="USD"/>
    <n v="5065"/>
    <n v="5065"/>
    <s v="BDT"/>
    <s v="EGM1"/>
    <n v="420141.75"/>
    <s v="Cm Advance adjust-424130711548"/>
    <s v="0000001010"/>
    <s v="E44775BM18UK1459"/>
    <s v=""/>
    <s v=""/>
    <s v="0"/>
    <s v="424130725631"/>
    <s v=""/>
    <s v=""/>
    <s v=""/>
    <s v=""/>
    <s v=""/>
    <x v="0"/>
    <d v="2019-06-30T00:00:00"/>
    <s v="1806000066"/>
    <d v="2019-01-27T00:00:00"/>
    <s v=""/>
    <s v="1809000378"/>
  </r>
  <r>
    <s v="1809000379"/>
    <d v="2019-01-27T00:00:00"/>
    <d v="2019-01-27T00:00:00"/>
    <s v="DZ"/>
    <s v="USD"/>
    <n v="9102"/>
    <n v="9102"/>
    <s v="BDT"/>
    <s v="EGM1"/>
    <n v="755010.9"/>
    <s v="Cm Advance adjust-424130717007"/>
    <s v="0000001010"/>
    <s v="E4758SB18UK1525"/>
    <s v=""/>
    <s v=""/>
    <s v="0"/>
    <s v="424130725640"/>
    <s v=""/>
    <s v=""/>
    <s v=""/>
    <s v=""/>
    <s v=""/>
    <x v="0"/>
    <d v="2019-05-02T00:00:00"/>
    <s v="1806000062"/>
    <d v="2019-01-27T00:00:00"/>
    <s v=""/>
    <s v="1809000379"/>
  </r>
  <r>
    <s v="1809000383"/>
    <d v="2019-01-21T00:00:00"/>
    <d v="2019-01-21T00:00:00"/>
    <s v="DZ"/>
    <s v="USD"/>
    <n v="-110370.71"/>
    <n v="-110370.71"/>
    <s v="BDT"/>
    <s v="EGM1"/>
    <n v="-9155250.4000000004"/>
    <s v="Cm Advance Received-424130722162"/>
    <s v="0000005010"/>
    <s v="IT06591901190070"/>
    <s v=""/>
    <s v=""/>
    <s v="0"/>
    <s v="424130722162"/>
    <s v=""/>
    <s v=""/>
    <s v=""/>
    <s v=""/>
    <s v=""/>
    <x v="0"/>
    <m/>
    <s v=""/>
    <d v="2019-01-21T00:00:00"/>
    <s v=""/>
    <s v="1809000383"/>
  </r>
  <r>
    <s v="1809000384"/>
    <d v="2019-01-28T00:00:00"/>
    <d v="2019-01-28T00:00:00"/>
    <s v="DZ"/>
    <s v="USD"/>
    <n v="67572.62"/>
    <n v="67572.62"/>
    <s v="BDT"/>
    <s v="EGM1"/>
    <n v="5605148.8300000001"/>
    <s v="CM Adv adj- 424130722162"/>
    <s v="0000005010"/>
    <s v="E34836TC19US0015"/>
    <s v=""/>
    <s v=""/>
    <s v="0"/>
    <s v="424130726881"/>
    <s v=""/>
    <s v=""/>
    <s v=""/>
    <s v=""/>
    <s v=""/>
    <x v="0"/>
    <m/>
    <s v=""/>
    <d v="2019-01-28T00:00:00"/>
    <s v=""/>
    <s v="1809000384"/>
  </r>
  <r>
    <s v="1809000385"/>
    <d v="2019-01-28T00:00:00"/>
    <d v="2019-01-28T00:00:00"/>
    <s v="DZ"/>
    <s v="USD"/>
    <n v="47119"/>
    <n v="47119"/>
    <s v="BDT"/>
    <s v="EGM1"/>
    <n v="3908521.05"/>
    <s v="Cm Advance adjust-424130712985"/>
    <s v="0000001010"/>
    <s v="E04636US18-1489"/>
    <s v=""/>
    <s v=""/>
    <s v="0"/>
    <s v="424130726890"/>
    <s v=""/>
    <s v=""/>
    <s v=""/>
    <s v=""/>
    <s v=""/>
    <x v="0"/>
    <d v="2019-07-31T00:00:00"/>
    <s v="1906000001"/>
    <d v="2019-01-28T00:00:00"/>
    <s v=""/>
    <s v="1809000385"/>
  </r>
  <r>
    <s v="1809000385"/>
    <d v="2019-01-28T00:00:00"/>
    <d v="2019-01-28T00:00:00"/>
    <s v="DZ"/>
    <s v="USD"/>
    <n v="156975"/>
    <n v="156975"/>
    <s v="BDT"/>
    <s v="EGM1"/>
    <n v="13021076.26"/>
    <s v="Cm Advance adjust-424130698279"/>
    <s v="0000001010"/>
    <s v="E04636US18-1489"/>
    <s v=""/>
    <s v=""/>
    <s v="0"/>
    <s v="424130726890"/>
    <s v=""/>
    <s v=""/>
    <s v=""/>
    <s v=""/>
    <s v=""/>
    <x v="0"/>
    <d v="2019-07-31T00:00:00"/>
    <s v="1906000002"/>
    <d v="2019-01-28T00:00:00"/>
    <s v=""/>
    <s v="1809000385"/>
  </r>
  <r>
    <s v="1809000386"/>
    <d v="2019-01-29T00:00:00"/>
    <d v="2019-01-29T00:00:00"/>
    <s v="DZ"/>
    <s v="USD"/>
    <n v="72434"/>
    <n v="72434"/>
    <s v="BDT"/>
    <s v="EGM1"/>
    <n v="6008400.2999999998"/>
    <s v="Cm Advance adjust-424130720422"/>
    <s v="0000001010"/>
    <s v="E04761US19-0010"/>
    <s v=""/>
    <s v=""/>
    <s v="0"/>
    <s v="424130728004"/>
    <s v=""/>
    <s v=""/>
    <s v=""/>
    <s v=""/>
    <s v=""/>
    <x v="0"/>
    <d v="2019-07-31T00:00:00"/>
    <s v="1906000004"/>
    <d v="2019-01-29T00:00:00"/>
    <s v=""/>
    <s v="1809000386"/>
  </r>
  <r>
    <s v="1809000386"/>
    <d v="2019-01-29T00:00:00"/>
    <d v="2019-01-29T00:00:00"/>
    <s v="DZ"/>
    <s v="USD"/>
    <n v="7087"/>
    <n v="7087"/>
    <s v="BDT"/>
    <s v="EGM1"/>
    <n v="587866.65"/>
    <s v="Cm Advance adjust-424130717007"/>
    <s v="0000001010"/>
    <s v="E04761US19-0010"/>
    <s v=""/>
    <s v=""/>
    <s v="0"/>
    <s v="424130728004"/>
    <s v=""/>
    <s v=""/>
    <s v=""/>
    <s v=""/>
    <s v=""/>
    <x v="0"/>
    <d v="2019-05-02T00:00:00"/>
    <s v="1806000062"/>
    <d v="2019-01-29T00:00:00"/>
    <s v=""/>
    <s v="1809000386"/>
  </r>
  <r>
    <s v="1809000387"/>
    <d v="2019-01-30T00:00:00"/>
    <d v="2019-01-30T00:00:00"/>
    <s v="DZ"/>
    <s v="USD"/>
    <n v="5723"/>
    <n v="5723"/>
    <s v="BDT"/>
    <s v="EGM1"/>
    <n v="474722.85"/>
    <s v="Cm Advance adjust-424130720422"/>
    <s v="0000001010"/>
    <s v="E04871US190009"/>
    <s v=""/>
    <s v=""/>
    <s v="0"/>
    <s v="424130728772"/>
    <s v=""/>
    <s v=""/>
    <s v=""/>
    <s v=""/>
    <s v=""/>
    <x v="0"/>
    <d v="2019-07-31T00:00:00"/>
    <s v="1906000004"/>
    <d v="2019-01-30T00:00:00"/>
    <s v=""/>
    <s v="1809000387"/>
  </r>
  <r>
    <s v="1809000387"/>
    <d v="2019-01-30T00:00:00"/>
    <d v="2019-01-30T00:00:00"/>
    <s v="DZ"/>
    <s v="USD"/>
    <n v="51435"/>
    <n v="51435"/>
    <s v="BDT"/>
    <s v="EGM1"/>
    <n v="4258818"/>
    <s v="Cm Advance adjust-424130679432"/>
    <s v="0000001010"/>
    <s v="E04871US190009"/>
    <s v=""/>
    <s v=""/>
    <s v="0"/>
    <s v="424130728772"/>
    <s v=""/>
    <s v=""/>
    <s v=""/>
    <s v=""/>
    <s v=""/>
    <x v="0"/>
    <d v="2019-07-31T00:00:00"/>
    <s v="1906000005"/>
    <d v="2019-01-30T00:00:00"/>
    <s v=""/>
    <s v="1809000387"/>
  </r>
  <r>
    <s v="1809000388"/>
    <d v="2019-01-30T00:00:00"/>
    <d v="2019-01-30T00:00:00"/>
    <s v="DZ"/>
    <s v="USD"/>
    <n v="40380"/>
    <n v="40380"/>
    <s v="BDT"/>
    <s v="EGM1"/>
    <n v="3349521"/>
    <s v="Cm Advance adjust-424130720422"/>
    <s v="0000001010"/>
    <s v="E04771US181521"/>
    <s v=""/>
    <s v=""/>
    <s v="0"/>
    <s v="424130729735"/>
    <s v=""/>
    <s v=""/>
    <s v=""/>
    <s v=""/>
    <s v=""/>
    <x v="0"/>
    <d v="2019-07-31T00:00:00"/>
    <s v="1906000004"/>
    <d v="2019-01-30T00:00:00"/>
    <s v=""/>
    <s v="1809000388"/>
  </r>
  <r>
    <s v="1809000389"/>
    <d v="2019-01-31T00:00:00"/>
    <d v="2019-01-31T00:00:00"/>
    <s v="DZ"/>
    <s v="USD"/>
    <n v="71643"/>
    <n v="71643"/>
    <s v="BDT"/>
    <s v="EGM1"/>
    <n v="5942786.8499999996"/>
    <s v="Cm Advance adjust-424130720422"/>
    <s v="0000001010"/>
    <s v="E04766WM18JP1498"/>
    <s v=""/>
    <s v=""/>
    <s v="0"/>
    <s v="424130729744"/>
    <s v=""/>
    <s v=""/>
    <s v=""/>
    <s v=""/>
    <s v=""/>
    <x v="0"/>
    <d v="2019-07-31T00:00:00"/>
    <s v="1906000004"/>
    <d v="2019-01-31T00:00:00"/>
    <s v=""/>
    <s v="1809000389"/>
  </r>
  <r>
    <s v="1809000391"/>
    <d v="2019-01-29T00:00:00"/>
    <d v="2019-01-29T00:00:00"/>
    <s v="DZ"/>
    <s v="USD"/>
    <n v="1364"/>
    <n v="1364"/>
    <s v="BDT"/>
    <s v="EGM2"/>
    <n v="113143.8"/>
    <s v="Cm Advance adjust-424130720431"/>
    <s v="0000001010"/>
    <s v="04913180394SW"/>
    <s v=""/>
    <s v=""/>
    <s v="0"/>
    <s v="424130728013"/>
    <s v=""/>
    <s v=""/>
    <s v=""/>
    <s v=""/>
    <s v=""/>
    <x v="0"/>
    <d v="2019-02-23T00:00:00"/>
    <s v="1806000008"/>
    <d v="2019-01-29T00:00:00"/>
    <s v=""/>
    <s v="1809000391"/>
  </r>
  <r>
    <s v="1809000391"/>
    <d v="2019-01-29T00:00:00"/>
    <d v="2019-01-29T00:00:00"/>
    <s v="DZ"/>
    <s v="USD"/>
    <n v="550"/>
    <n v="550"/>
    <s v="BDT"/>
    <s v="EGM2"/>
    <n v="45622.5"/>
    <s v="Cm Advance adjust-424130712949"/>
    <s v="0000001010"/>
    <s v="04913180394SW"/>
    <s v=""/>
    <s v=""/>
    <s v="0"/>
    <s v="424130728013"/>
    <s v=""/>
    <s v=""/>
    <s v=""/>
    <s v=""/>
    <s v=""/>
    <x v="0"/>
    <d v="2019-07-31T00:00:00"/>
    <s v="1906000000"/>
    <d v="2019-01-29T00:00:00"/>
    <s v=""/>
    <s v="1809000391"/>
  </r>
  <r>
    <s v="1809000392"/>
    <d v="2019-01-30T00:00:00"/>
    <d v="2019-01-30T00:00:00"/>
    <s v="DZ"/>
    <s v="USD"/>
    <n v="455"/>
    <n v="455"/>
    <s v="BDT"/>
    <s v="EGM2"/>
    <n v="37742.25"/>
    <s v="Cm Advance adjust-424130720431"/>
    <s v="0000001010"/>
    <s v="04913190015OJ"/>
    <s v=""/>
    <s v=""/>
    <s v="0"/>
    <s v="424130728754"/>
    <s v=""/>
    <s v=""/>
    <s v=""/>
    <s v=""/>
    <s v=""/>
    <x v="0"/>
    <d v="2019-02-23T00:00:00"/>
    <s v="1806000008"/>
    <d v="2019-01-30T00:00:00"/>
    <s v=""/>
    <s v="1809000392"/>
  </r>
  <r>
    <s v="1809000393"/>
    <d v="2019-01-30T00:00:00"/>
    <d v="2019-01-30T00:00:00"/>
    <s v="DZ"/>
    <s v="USD"/>
    <n v="18595"/>
    <n v="18595"/>
    <s v="BDT"/>
    <s v="EGM2"/>
    <n v="1542455.25"/>
    <s v="Cm Advance adjust-424130726854"/>
    <s v="0000001010"/>
    <s v="E04871US190009"/>
    <s v=""/>
    <s v=""/>
    <s v="0"/>
    <s v="424130728763"/>
    <s v=""/>
    <s v=""/>
    <s v=""/>
    <s v=""/>
    <s v=""/>
    <x v="0"/>
    <d v="2019-06-30T00:00:00"/>
    <s v="1806000070"/>
    <d v="2019-01-30T00:00:00"/>
    <s v=""/>
    <s v="1809000393"/>
  </r>
  <r>
    <s v="1809000394"/>
    <d v="2019-01-31T00:00:00"/>
    <d v="2019-01-31T00:00:00"/>
    <s v="DZ"/>
    <s v="USD"/>
    <n v="2431"/>
    <n v="2431"/>
    <s v="BDT"/>
    <s v="EGM2"/>
    <n v="201651.45"/>
    <s v="Cm Advance adjust-424130712949"/>
    <s v="0000001010"/>
    <s v="E24737VF19US0006"/>
    <s v=""/>
    <s v=""/>
    <s v="0"/>
    <s v="424130729753"/>
    <s v=""/>
    <s v=""/>
    <s v=""/>
    <s v=""/>
    <s v=""/>
    <x v="0"/>
    <d v="2019-07-31T00:00:00"/>
    <s v="1906000000"/>
    <d v="2019-01-31T00:00:00"/>
    <s v=""/>
    <s v="1809000394"/>
  </r>
  <r>
    <s v="1809000395"/>
    <d v="2019-01-31T00:00:00"/>
    <d v="2019-01-31T00:00:00"/>
    <s v="DZ"/>
    <s v="USD"/>
    <n v="34807"/>
    <n v="34807"/>
    <s v="BDT"/>
    <s v="EGM2"/>
    <n v="2887240.66"/>
    <s v="Cm Advance adjust-424130720431"/>
    <s v="0000001010"/>
    <s v="E04871US190007"/>
    <s v=""/>
    <s v=""/>
    <s v="0"/>
    <s v="424130729851"/>
    <s v=""/>
    <s v=""/>
    <s v=""/>
    <s v=""/>
    <s v=""/>
    <x v="0"/>
    <d v="2019-02-23T00:00:00"/>
    <s v="1806000008"/>
    <d v="2019-01-31T00:00:00"/>
    <s v=""/>
    <s v="1809000395"/>
  </r>
  <r>
    <s v="1809000396"/>
    <d v="2019-01-31T00:00:00"/>
    <d v="2019-01-31T00:00:00"/>
    <s v="DZ"/>
    <s v="USD"/>
    <n v="11832.6"/>
    <n v="11832.6"/>
    <s v="BDT"/>
    <s v="EGM2"/>
    <n v="981514.17"/>
    <s v="Cm Advance adjust-4424130713485"/>
    <s v="0000001010"/>
    <s v="04913190030US"/>
    <s v=""/>
    <s v=""/>
    <s v="0"/>
    <s v="424130730475"/>
    <s v=""/>
    <s v=""/>
    <s v=""/>
    <s v=""/>
    <s v=""/>
    <x v="0"/>
    <d v="2019-06-30T00:00:00"/>
    <s v="1806000071"/>
    <d v="2019-01-31T00:00:00"/>
    <s v=""/>
    <s v="1809000396"/>
  </r>
  <r>
    <s v="1809000396"/>
    <d v="2019-01-31T00:00:00"/>
    <d v="2019-01-31T00:00:00"/>
    <s v="DZ"/>
    <s v="USD"/>
    <n v="3640"/>
    <n v="3640"/>
    <s v="BDT"/>
    <s v="EGM2"/>
    <n v="301938"/>
    <s v="Cm Advance adjust-424130712949"/>
    <s v="0000001010"/>
    <s v="04913190030US"/>
    <s v=""/>
    <s v=""/>
    <s v="0"/>
    <s v="424130730475"/>
    <s v=""/>
    <s v=""/>
    <s v=""/>
    <s v=""/>
    <s v=""/>
    <x v="0"/>
    <d v="2019-07-31T00:00:00"/>
    <s v="1906000000"/>
    <d v="2019-01-31T00:00:00"/>
    <s v=""/>
    <s v="1809000396"/>
  </r>
  <r>
    <s v="1809000397"/>
    <d v="2019-01-31T00:00:00"/>
    <d v="2019-01-31T00:00:00"/>
    <s v="DZ"/>
    <s v="USD"/>
    <n v="-170439"/>
    <n v="-170439"/>
    <s v="BDT"/>
    <s v="EGM1"/>
    <n v="-14137915.050000001"/>
    <s v="Cm Advance Received-424130730457"/>
    <s v="0000001010"/>
    <s v="IT06591901300329"/>
    <s v=""/>
    <s v=""/>
    <s v="0"/>
    <s v="424130730457"/>
    <s v=""/>
    <s v=""/>
    <s v=""/>
    <s v=""/>
    <s v=""/>
    <x v="0"/>
    <d v="2019-06-30T00:00:00"/>
    <s v="1806000086"/>
    <d v="2019-01-31T00:00:00"/>
    <s v=""/>
    <s v="1809000397"/>
  </r>
  <r>
    <s v="1809000398"/>
    <d v="2019-01-31T00:00:00"/>
    <d v="2019-01-31T00:00:00"/>
    <s v="DZ"/>
    <s v="USD"/>
    <n v="34287"/>
    <n v="34287"/>
    <s v="BDT"/>
    <s v="EGM1"/>
    <n v="2844106.65"/>
    <s v="Cm Advance adjust-424130720422"/>
    <s v="0000001010"/>
    <s v="E4758SB18UK1523"/>
    <s v=""/>
    <s v=""/>
    <s v="0"/>
    <s v="424130730509"/>
    <s v=""/>
    <s v=""/>
    <s v=""/>
    <s v=""/>
    <s v=""/>
    <x v="0"/>
    <d v="2019-07-31T00:00:00"/>
    <s v="1906000004"/>
    <d v="2019-01-31T00:00:00"/>
    <s v=""/>
    <s v="1809000398"/>
  </r>
  <r>
    <s v="1809000398"/>
    <d v="2019-01-31T00:00:00"/>
    <d v="2019-01-31T00:00:00"/>
    <s v="DZ"/>
    <s v="USD"/>
    <n v="5465"/>
    <n v="5465"/>
    <s v="BDT"/>
    <s v="EGM1"/>
    <n v="453321.75"/>
    <s v="Cm Advance adjust-424130717007"/>
    <s v="0000001010"/>
    <s v="E4758SB18UK1523"/>
    <s v=""/>
    <s v=""/>
    <s v="0"/>
    <s v="424130730509"/>
    <s v=""/>
    <s v=""/>
    <s v=""/>
    <s v=""/>
    <s v=""/>
    <x v="0"/>
    <d v="2019-05-02T00:00:00"/>
    <s v="1806000062"/>
    <d v="2019-01-31T00:00:00"/>
    <s v=""/>
    <s v="1809000398"/>
  </r>
  <r>
    <s v="1809000399"/>
    <d v="2019-01-31T00:00:00"/>
    <d v="2019-01-31T00:00:00"/>
    <s v="DZ"/>
    <s v="USD"/>
    <n v="36061.89"/>
    <n v="36061.89"/>
    <s v="BDT"/>
    <s v="EGM1"/>
    <n v="2991333.78"/>
    <s v="Cm Advance adjust-424130714545"/>
    <s v="0000005010"/>
    <s v="DE4681TS18CE1509"/>
    <s v=""/>
    <s v=""/>
    <s v="0"/>
    <s v="424130730484"/>
    <s v=""/>
    <s v=""/>
    <s v=""/>
    <s v=""/>
    <s v=""/>
    <x v="0"/>
    <m/>
    <s v=""/>
    <d v="2019-01-31T00:00:00"/>
    <s v=""/>
    <s v="1809000399"/>
  </r>
  <r>
    <s v="1809000399"/>
    <d v="2019-01-31T00:00:00"/>
    <d v="2019-01-31T00:00:00"/>
    <s v="DZ"/>
    <s v="USD"/>
    <n v="11371.31"/>
    <n v="11371.31"/>
    <s v="BDT"/>
    <s v="EGM1"/>
    <n v="943250.17"/>
    <s v="Cm Advance adjust-424130722162"/>
    <s v="0000005010"/>
    <s v="DE4681TS18CE1509"/>
    <s v=""/>
    <s v=""/>
    <s v="0"/>
    <s v="424130730484"/>
    <s v=""/>
    <s v=""/>
    <s v=""/>
    <s v=""/>
    <s v=""/>
    <x v="0"/>
    <m/>
    <s v=""/>
    <d v="2019-01-31T00:00:00"/>
    <s v=""/>
    <s v="1809000399"/>
  </r>
  <r>
    <s v="1809000399"/>
    <d v="2019-01-31T00:00:00"/>
    <d v="2019-01-31T00:00:00"/>
    <s v="DZ"/>
    <s v="USD"/>
    <n v="7278.12"/>
    <n v="7278.12"/>
    <s v="BDT"/>
    <s v="EGM1"/>
    <n v="603720.05000000005"/>
    <s v="Cm Advance adjust-424130710157"/>
    <s v="0000005010"/>
    <s v="DE4681TS18CE1509"/>
    <s v=""/>
    <s v=""/>
    <s v="0"/>
    <s v="424130730484"/>
    <s v=""/>
    <s v=""/>
    <s v=""/>
    <s v=""/>
    <s v=""/>
    <x v="0"/>
    <m/>
    <s v=""/>
    <d v="2019-01-31T00:00:00"/>
    <s v=""/>
    <s v="1809000399"/>
  </r>
  <r>
    <s v="1809000401"/>
    <d v="2019-01-31T00:00:00"/>
    <d v="2019-01-31T00:00:00"/>
    <s v="DZ"/>
    <s v="USD"/>
    <n v="12884"/>
    <n v="12884"/>
    <s v="BDT"/>
    <s v="EGM1"/>
    <n v="1068727.8"/>
    <s v="Cm Advance adjust-424130720422"/>
    <s v="0000001010"/>
    <s v="E34820BM19UK0001"/>
    <s v=""/>
    <s v=""/>
    <s v="0"/>
    <s v="424130729762"/>
    <s v=""/>
    <s v=""/>
    <s v=""/>
    <s v=""/>
    <s v=""/>
    <x v="0"/>
    <d v="2019-07-31T00:00:00"/>
    <s v="1906000004"/>
    <d v="2019-01-31T00:00:00"/>
    <s v=""/>
    <s v="1809000401"/>
  </r>
  <r>
    <s v="1809000401"/>
    <d v="2019-01-31T00:00:00"/>
    <d v="2019-01-31T00:00:00"/>
    <s v="DZ"/>
    <s v="USD"/>
    <n v="13347"/>
    <n v="13347"/>
    <s v="BDT"/>
    <s v="EGM1"/>
    <n v="1107133.6499999999"/>
    <s v="Cm Advance adjust-424130717007"/>
    <s v="0000001010"/>
    <s v="E34820BM19UK0001"/>
    <s v=""/>
    <s v=""/>
    <s v="0"/>
    <s v="424130729762"/>
    <s v=""/>
    <s v=""/>
    <s v=""/>
    <s v=""/>
    <s v=""/>
    <x v="0"/>
    <d v="2019-05-02T00:00:00"/>
    <s v="1806000062"/>
    <d v="2019-01-31T00:00:00"/>
    <s v=""/>
    <s v="1809000401"/>
  </r>
  <r>
    <s v="1809000402"/>
    <d v="2019-01-13T00:00:00"/>
    <d v="2019-01-13T00:00:00"/>
    <s v="DZ"/>
    <s v="USD"/>
    <n v="30078.11"/>
    <n v="30078.11"/>
    <s v="BDT"/>
    <s v="EGM1"/>
    <n v="2494979.23"/>
    <s v="Cm Advance adjust-424130714545"/>
    <s v="0000005010"/>
    <s v="E44759AC1113"/>
    <s v=""/>
    <s v=""/>
    <s v="0"/>
    <s v="424130717132"/>
    <s v=""/>
    <s v=""/>
    <s v=""/>
    <s v=""/>
    <s v=""/>
    <x v="0"/>
    <m/>
    <s v=""/>
    <d v="2019-01-13T00:00:00"/>
    <s v=""/>
    <s v="1809000402"/>
  </r>
  <r>
    <s v="1809000403"/>
    <d v="2019-01-01T00:00:00"/>
    <d v="2019-01-01T00:00:00"/>
    <s v="DZ"/>
    <s v="USD"/>
    <n v="22525"/>
    <n v="22525"/>
    <s v="BDT"/>
    <s v="EGM1"/>
    <n v="1868448.75"/>
    <s v="Cm Advance adjust-424130701808"/>
    <s v="0000001010"/>
    <s v="E44775BM18UK1112"/>
    <s v=""/>
    <s v=""/>
    <s v="0"/>
    <s v="424130706091"/>
    <s v=""/>
    <s v=""/>
    <s v=""/>
    <s v=""/>
    <s v=""/>
    <x v="0"/>
    <d v="2019-05-02T00:00:00"/>
    <s v="1806000059"/>
    <d v="2019-01-01T00:00:00"/>
    <s v=""/>
    <s v="1809000403"/>
  </r>
  <r>
    <s v="1809000404"/>
    <d v="2019-01-10T00:00:00"/>
    <d v="2019-01-10T00:00:00"/>
    <s v="DZ"/>
    <s v="USD"/>
    <n v="-16439.240000000002"/>
    <n v="-16439.240000000002"/>
    <s v="BDT"/>
    <s v="EGM2"/>
    <n v="-1363634.96"/>
    <s v="Cm Advance Received-424130717025"/>
    <s v="0000001010"/>
    <s v="IT06591901100074"/>
    <s v=""/>
    <s v=""/>
    <s v="0"/>
    <s v="424130717025"/>
    <s v=""/>
    <s v=""/>
    <s v=""/>
    <s v=""/>
    <s v=""/>
    <x v="0"/>
    <d v="2019-01-10T00:00:00"/>
    <s v="1803007309"/>
    <d v="2019-01-10T00:00:00"/>
    <s v=""/>
    <s v="1809000404"/>
  </r>
  <r>
    <s v="1809000405"/>
    <d v="2019-01-10T00:00:00"/>
    <d v="2019-01-10T00:00:00"/>
    <s v="DZ"/>
    <s v="USD"/>
    <n v="-17919.29"/>
    <n v="-17919.29"/>
    <s v="BDT"/>
    <s v="EGM2"/>
    <n v="-1486405.12"/>
    <s v="Cm Advance Received-424130717016"/>
    <s v="0000001010"/>
    <s v="IT06591901100078"/>
    <s v=""/>
    <s v=""/>
    <s v="0"/>
    <s v="424130717016"/>
    <s v=""/>
    <s v=""/>
    <s v=""/>
    <s v=""/>
    <s v=""/>
    <x v="0"/>
    <d v="2019-01-10T00:00:00"/>
    <s v="1803007310"/>
    <d v="2019-01-10T00:00:00"/>
    <s v=""/>
    <s v="1809000405"/>
  </r>
  <r>
    <s v="1809000406"/>
    <d v="2019-01-07T00:00:00"/>
    <d v="2019-01-07T00:00:00"/>
    <s v="DZ"/>
    <s v="USD"/>
    <n v="-12464.71"/>
    <n v="-12464.71"/>
    <s v="BDT"/>
    <s v="EGM2"/>
    <n v="-1033947.7"/>
    <s v="Cm Advance Received-424130713822"/>
    <s v="0000001010"/>
    <s v="IT06591901070071"/>
    <s v=""/>
    <s v=""/>
    <s v="0"/>
    <s v="424130713822"/>
    <s v=""/>
    <s v=""/>
    <s v=""/>
    <s v=""/>
    <s v=""/>
    <x v="0"/>
    <d v="2019-01-07T00:00:00"/>
    <s v="1803007326"/>
    <d v="2019-01-07T00:00:00"/>
    <s v=""/>
    <s v="1809000406"/>
  </r>
  <r>
    <s v="1809000407"/>
    <d v="2019-01-07T00:00:00"/>
    <d v="2019-01-07T00:00:00"/>
    <s v="DZ"/>
    <s v="USD"/>
    <n v="-8431.56"/>
    <n v="-8431.56"/>
    <s v="BDT"/>
    <s v="EGM2"/>
    <n v="-699397.9"/>
    <s v="Cm Advance Received-424130713813"/>
    <s v="0000001010"/>
    <s v="IT06591901070070"/>
    <s v=""/>
    <s v=""/>
    <s v="0"/>
    <s v="424130713813"/>
    <s v=""/>
    <s v=""/>
    <s v=""/>
    <s v=""/>
    <s v=""/>
    <x v="0"/>
    <d v="2019-01-07T00:00:00"/>
    <s v="1803007327"/>
    <d v="2019-01-07T00:00:00"/>
    <s v=""/>
    <s v="1809000407"/>
  </r>
  <r>
    <s v="1809000408"/>
    <d v="2019-01-07T00:00:00"/>
    <d v="2019-01-07T00:00:00"/>
    <s v="DZ"/>
    <s v="USD"/>
    <n v="-3350.41"/>
    <n v="-3350.41"/>
    <s v="BDT"/>
    <s v="EGM2"/>
    <n v="-277916.52"/>
    <s v="Cm Advance Received-424130713804"/>
    <s v="0000001010"/>
    <s v="IT06591901070069"/>
    <s v=""/>
    <s v=""/>
    <s v="0"/>
    <s v="424130713804"/>
    <s v=""/>
    <s v=""/>
    <s v=""/>
    <s v=""/>
    <s v=""/>
    <x v="0"/>
    <d v="2019-01-07T00:00:00"/>
    <s v="1803007328"/>
    <d v="2019-01-07T00:00:00"/>
    <s v=""/>
    <s v="1809000408"/>
  </r>
  <r>
    <s v="1809000411"/>
    <d v="2019-01-10T00:00:00"/>
    <d v="2019-01-10T00:00:00"/>
    <s v="DZ"/>
    <s v="USD"/>
    <n v="-16439.240000000002"/>
    <n v="-16439.240000000002"/>
    <s v="BDT"/>
    <s v="EGM2"/>
    <n v="-1363634.96"/>
    <s v="Cm Advance Recevied-424130717025"/>
    <s v="0000005010"/>
    <s v="IT06591901100074"/>
    <s v=""/>
    <s v=""/>
    <s v="0"/>
    <s v="424130717025"/>
    <s v=""/>
    <s v=""/>
    <s v=""/>
    <s v=""/>
    <s v=""/>
    <x v="0"/>
    <d v="2019-03-19T00:00:00"/>
    <s v="1809000524"/>
    <d v="2019-01-10T00:00:00"/>
    <s v=""/>
    <s v="1809000411"/>
  </r>
  <r>
    <s v="1809000412"/>
    <d v="2019-01-10T00:00:00"/>
    <d v="2019-01-10T00:00:00"/>
    <s v="DZ"/>
    <s v="USD"/>
    <n v="-17919.29"/>
    <n v="-17919.29"/>
    <s v="BDT"/>
    <s v="EGM2"/>
    <n v="-1486405.12"/>
    <s v="Cm Advance Recevied-424130717016"/>
    <s v="0000005010"/>
    <s v="IT06591901100078"/>
    <s v=""/>
    <s v=""/>
    <s v="0"/>
    <s v="424130717016"/>
    <s v=""/>
    <s v=""/>
    <s v=""/>
    <s v=""/>
    <s v=""/>
    <x v="0"/>
    <d v="2019-03-19T00:00:00"/>
    <s v="1809000524"/>
    <d v="2019-01-10T00:00:00"/>
    <s v=""/>
    <s v="1809000412"/>
  </r>
  <r>
    <s v="1809000413"/>
    <d v="2019-01-07T00:00:00"/>
    <d v="2019-01-07T00:00:00"/>
    <s v="DZ"/>
    <s v="USD"/>
    <n v="-3350.41"/>
    <n v="-3350.41"/>
    <s v="BDT"/>
    <s v="EGM2"/>
    <n v="-277916.52"/>
    <s v="Cm Advance Recevied-424130713804"/>
    <s v="0000005010"/>
    <s v="IT06591901070069"/>
    <s v=""/>
    <s v=""/>
    <s v="0"/>
    <s v="424130713804"/>
    <s v=""/>
    <s v=""/>
    <s v=""/>
    <s v=""/>
    <s v=""/>
    <x v="0"/>
    <d v="2019-03-19T00:00:00"/>
    <s v="1809000524"/>
    <d v="2019-01-07T00:00:00"/>
    <s v=""/>
    <s v="1809000413"/>
  </r>
  <r>
    <s v="1809000414"/>
    <d v="2019-01-07T00:00:00"/>
    <d v="2019-01-07T00:00:00"/>
    <s v="DZ"/>
    <s v="USD"/>
    <n v="-8431.56"/>
    <n v="-8431.56"/>
    <s v="BDT"/>
    <s v="EGM2"/>
    <n v="-699397.9"/>
    <s v="Cm Advance Recevied-424130713813"/>
    <s v="0000005010"/>
    <s v="IT06591901070070"/>
    <s v=""/>
    <s v=""/>
    <s v="0"/>
    <s v="424130713813"/>
    <s v=""/>
    <s v=""/>
    <s v=""/>
    <s v=""/>
    <s v=""/>
    <x v="0"/>
    <m/>
    <s v=""/>
    <d v="2019-01-07T00:00:00"/>
    <s v=""/>
    <s v="1809000414"/>
  </r>
  <r>
    <s v="1809000415"/>
    <d v="2019-01-07T00:00:00"/>
    <d v="2019-01-07T00:00:00"/>
    <s v="DZ"/>
    <s v="USD"/>
    <n v="-12464.71"/>
    <n v="-12464.71"/>
    <s v="BDT"/>
    <s v="EGM2"/>
    <n v="-1033947.7"/>
    <s v="Cm Advance Recevied-424130713822"/>
    <s v="0000005010"/>
    <s v="IT06591901070071"/>
    <s v=""/>
    <s v=""/>
    <s v="0"/>
    <s v="424130713822"/>
    <s v=""/>
    <s v=""/>
    <s v=""/>
    <s v=""/>
    <s v=""/>
    <x v="0"/>
    <m/>
    <s v=""/>
    <d v="2019-01-07T00:00:00"/>
    <s v=""/>
    <s v="1809000415"/>
  </r>
  <r>
    <s v="1809000417"/>
    <d v="2019-01-31T00:00:00"/>
    <d v="2019-01-31T00:00:00"/>
    <s v="DZ"/>
    <s v="USD"/>
    <n v="1039492"/>
    <n v="1039492"/>
    <s v="BDT"/>
    <s v="EGM1"/>
    <n v="86225861.400000006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9000417"/>
  </r>
  <r>
    <s v="1809000417"/>
    <d v="2019-01-31T00:00:00"/>
    <d v="2019-01-31T00:00:00"/>
    <s v="DZ"/>
    <s v="USD"/>
    <n v="-306747"/>
    <n v="-306747"/>
    <s v="BDT"/>
    <s v="EGM1"/>
    <n v="-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0"/>
    <d v="2019-01-31T00:00:00"/>
    <s v=""/>
    <s v="1809000417"/>
  </r>
  <r>
    <s v="1809000419"/>
    <d v="2019-01-31T00:00:00"/>
    <d v="2019-01-31T00:00:00"/>
    <s v="DZ"/>
    <s v="USD"/>
    <n v="-16.149999999999999"/>
    <n v="-16.149999999999999"/>
    <s v="BDT"/>
    <s v="EGM1"/>
    <n v="-1339.64"/>
    <s v="FIT-CM ADV-JAN'19-DWC"/>
    <s v="0000005010"/>
    <s v="CM ADV.FIT-JAN19"/>
    <s v=""/>
    <s v=""/>
    <s v="0"/>
    <s v="FIT-CM ADV-JAN'19-DWC"/>
    <s v=""/>
    <s v=""/>
    <s v=""/>
    <s v=""/>
    <s v=""/>
    <x v="0"/>
    <d v="2019-02-01T00:00:00"/>
    <s v="1803008468"/>
    <d v="2019-01-31T00:00:00"/>
    <s v=""/>
    <s v="1809000419"/>
  </r>
  <r>
    <s v="1809000420"/>
    <d v="2019-01-31T00:00:00"/>
    <d v="2019-01-31T00:00:00"/>
    <s v="DZ"/>
    <s v="USD"/>
    <n v="1039495.7"/>
    <n v="1039495.7"/>
    <s v="BDT"/>
    <s v="EGM1"/>
    <n v="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9000420"/>
  </r>
  <r>
    <s v="1809000420"/>
    <d v="2019-01-31T00:00:00"/>
    <d v="2019-01-31T00:00:00"/>
    <s v="DZ"/>
    <s v="USD"/>
    <n v="-1039495.7"/>
    <n v="-1039495.7"/>
    <s v="BDT"/>
    <s v="EGM1"/>
    <n v="-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1-31T00:00:00"/>
    <s v="1803007333"/>
    <d v="2019-01-31T00:00:00"/>
    <s v=""/>
    <s v="1809000420"/>
  </r>
  <r>
    <s v="1809000421"/>
    <d v="2019-01-31T00:00:00"/>
    <d v="2019-01-31T00:00:00"/>
    <s v="DZ"/>
    <s v="USD"/>
    <n v="1039495.7"/>
    <n v="1039495.7"/>
    <s v="BDT"/>
    <s v="EGM1"/>
    <n v="86226168.319999993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9000421"/>
  </r>
  <r>
    <s v="1809000421"/>
    <d v="2019-01-31T00:00:00"/>
    <d v="2019-01-31T00:00:00"/>
    <s v="DZ"/>
    <s v="USD"/>
    <n v="-306747"/>
    <n v="-306747"/>
    <s v="BDT"/>
    <s v="EGM1"/>
    <n v="-25444663.649999999"/>
    <s v="FIT-CM ADV-JAN-19"/>
    <s v="0000001010"/>
    <s v="FIT-CM ADV-JAN19"/>
    <s v=""/>
    <s v=""/>
    <s v="0"/>
    <s v="CM ADV. FIT - JAN-19"/>
    <s v=""/>
    <s v=""/>
    <s v=""/>
    <s v=""/>
    <s v=""/>
    <x v="0"/>
    <d v="2019-02-01T00:00:00"/>
    <s v="1803008469"/>
    <d v="2019-01-31T00:00:00"/>
    <s v=""/>
    <s v="1809000421"/>
  </r>
  <r>
    <s v="1809000422"/>
    <d v="2019-02-05T00:00:00"/>
    <d v="2019-02-05T00:00:00"/>
    <s v="DZ"/>
    <s v="USD"/>
    <n v="5734"/>
    <n v="5734"/>
    <s v="BDT"/>
    <s v="EGM2"/>
    <n v="475635.3"/>
    <s v="CM Adv Adjust-424130726854"/>
    <s v="0000001010"/>
    <s v="04913190034SE"/>
    <s v=""/>
    <s v=""/>
    <s v="0"/>
    <s v="424130731991"/>
    <s v=""/>
    <s v=""/>
    <s v=""/>
    <s v=""/>
    <s v=""/>
    <x v="0"/>
    <d v="2019-06-30T00:00:00"/>
    <s v="1806000070"/>
    <d v="2019-02-05T00:00:00"/>
    <s v=""/>
    <s v="1809000422"/>
  </r>
  <r>
    <s v="1809000422"/>
    <d v="2019-02-05T00:00:00"/>
    <d v="2019-02-05T00:00:00"/>
    <s v="DZ"/>
    <s v="USD"/>
    <n v="5521"/>
    <n v="5521"/>
    <s v="BDT"/>
    <s v="EGM2"/>
    <n v="457966.95"/>
    <s v="CM Adv Adjust-424130713485"/>
    <s v="0000001010"/>
    <s v="04913190034SE"/>
    <s v=""/>
    <s v=""/>
    <s v="0"/>
    <s v="424130731991"/>
    <s v=""/>
    <s v=""/>
    <s v=""/>
    <s v=""/>
    <s v=""/>
    <x v="0"/>
    <d v="2019-06-30T00:00:00"/>
    <s v="1806000071"/>
    <d v="2019-02-05T00:00:00"/>
    <s v=""/>
    <s v="1809000422"/>
  </r>
  <r>
    <s v="1809000422"/>
    <d v="2019-02-05T00:00:00"/>
    <d v="2019-02-05T00:00:00"/>
    <s v="DZ"/>
    <s v="USD"/>
    <n v="299"/>
    <n v="299"/>
    <s v="BDT"/>
    <s v="EGM2"/>
    <n v="24802.05"/>
    <s v="CM Adv Adjust-424130712949"/>
    <s v="0000001010"/>
    <s v="04913190034SE"/>
    <s v=""/>
    <s v=""/>
    <s v="0"/>
    <s v="424130731991"/>
    <s v=""/>
    <s v=""/>
    <s v=""/>
    <s v=""/>
    <s v=""/>
    <x v="0"/>
    <d v="2019-07-31T00:00:00"/>
    <s v="1906000000"/>
    <d v="2019-02-05T00:00:00"/>
    <s v=""/>
    <s v="1809000422"/>
  </r>
  <r>
    <s v="1809000426"/>
    <d v="2019-02-06T00:00:00"/>
    <d v="2019-02-06T00:00:00"/>
    <s v="DZ"/>
    <s v="USD"/>
    <n v="22460"/>
    <n v="22460"/>
    <s v="BDT"/>
    <s v="EGM2"/>
    <n v="1863057"/>
    <s v="CM Adv Adjust-424130726854"/>
    <s v="0000001010"/>
    <s v="E04871US19-0008"/>
    <s v=""/>
    <s v=""/>
    <s v="0"/>
    <s v="424130732669"/>
    <s v=""/>
    <s v=""/>
    <s v=""/>
    <s v=""/>
    <s v=""/>
    <x v="0"/>
    <d v="2019-06-30T00:00:00"/>
    <s v="1806000070"/>
    <d v="2019-02-06T00:00:00"/>
    <s v=""/>
    <s v="1809000426"/>
  </r>
  <r>
    <s v="1809000427"/>
    <d v="2019-02-13T00:00:00"/>
    <d v="2019-02-13T00:00:00"/>
    <s v="DZ"/>
    <s v="USD"/>
    <n v="19354"/>
    <n v="19354"/>
    <s v="BDT"/>
    <s v="EGM2"/>
    <n v="1605414.3"/>
    <s v="CM Adv Adjust-424130726854"/>
    <s v="0000001010"/>
    <s v="E04871US19-0012"/>
    <s v=""/>
    <s v=""/>
    <s v="0"/>
    <s v="424130736031"/>
    <s v=""/>
    <s v=""/>
    <s v=""/>
    <s v=""/>
    <s v=""/>
    <x v="0"/>
    <d v="2019-06-30T00:00:00"/>
    <s v="1806000070"/>
    <d v="2019-02-13T00:00:00"/>
    <s v=""/>
    <s v="1809000427"/>
  </r>
  <r>
    <s v="1809000428"/>
    <d v="2019-02-14T00:00:00"/>
    <d v="2019-02-14T00:00:00"/>
    <s v="DZ"/>
    <s v="USD"/>
    <n v="25221"/>
    <n v="25221"/>
    <s v="BDT"/>
    <s v="EGM2"/>
    <n v="2092081.95"/>
    <s v="CM Adv Adjust-424130726854"/>
    <s v="0000001010"/>
    <s v="04913180396OR"/>
    <s v=""/>
    <s v=""/>
    <s v="0"/>
    <s v="424130736095"/>
    <s v=""/>
    <s v=""/>
    <s v=""/>
    <s v=""/>
    <s v=""/>
    <x v="0"/>
    <d v="2019-06-30T00:00:00"/>
    <s v="1806000070"/>
    <d v="2019-02-14T00:00:00"/>
    <s v=""/>
    <s v="1809000428"/>
  </r>
  <r>
    <s v="1809000428"/>
    <d v="2019-02-14T00:00:00"/>
    <d v="2019-02-14T00:00:00"/>
    <s v="DZ"/>
    <s v="USD"/>
    <n v="1563"/>
    <n v="1563"/>
    <s v="BDT"/>
    <s v="EGM2"/>
    <n v="129650.85"/>
    <s v="CM Adv Adjust-424130713485"/>
    <s v="0000001010"/>
    <s v="04913180396OR"/>
    <s v=""/>
    <s v=""/>
    <s v="0"/>
    <s v="424130736095"/>
    <s v=""/>
    <s v=""/>
    <s v=""/>
    <s v=""/>
    <s v=""/>
    <x v="0"/>
    <d v="2019-06-30T00:00:00"/>
    <s v="1806000071"/>
    <d v="2019-02-14T00:00:00"/>
    <s v=""/>
    <s v="1809000428"/>
  </r>
  <r>
    <s v="1809000428"/>
    <d v="2019-02-14T00:00:00"/>
    <d v="2019-02-14T00:00:00"/>
    <s v="DZ"/>
    <s v="USD"/>
    <n v="3741"/>
    <n v="3741"/>
    <s v="BDT"/>
    <s v="EGM2"/>
    <n v="310315.95"/>
    <s v="CM Adv Adjust-424130720431"/>
    <s v="0000001010"/>
    <s v="04913180396OR"/>
    <s v=""/>
    <s v=""/>
    <s v="0"/>
    <s v="424130736095"/>
    <s v=""/>
    <s v=""/>
    <s v=""/>
    <s v=""/>
    <s v=""/>
    <x v="0"/>
    <d v="2019-07-31T00:00:00"/>
    <s v="1906000000"/>
    <d v="2019-02-14T00:00:00"/>
    <s v=""/>
    <s v="1809000428"/>
  </r>
  <r>
    <s v="1809000429"/>
    <d v="2019-02-03T00:00:00"/>
    <d v="2019-02-03T00:00:00"/>
    <s v="DZ"/>
    <s v="USD"/>
    <n v="-306747"/>
    <n v="-306747"/>
    <s v="BDT"/>
    <s v="EGM1"/>
    <n v="-25444663.649999999"/>
    <s v="CM Advance Received-424130730965"/>
    <s v="0000001010"/>
    <s v="IT06591901310544"/>
    <s v=""/>
    <s v=""/>
    <s v="0"/>
    <s v="424130730965"/>
    <s v=""/>
    <s v=""/>
    <s v=""/>
    <s v=""/>
    <s v=""/>
    <x v="0"/>
    <d v="2019-06-30T00:00:00"/>
    <s v="1806000068"/>
    <d v="2019-02-03T00:00:00"/>
    <s v=""/>
    <s v="1809000429"/>
  </r>
  <r>
    <s v="1809000431"/>
    <d v="2019-02-04T00:00:00"/>
    <d v="2019-02-04T00:00:00"/>
    <s v="DZ"/>
    <s v="USD"/>
    <n v="73296.600000000006"/>
    <n v="73296.600000000006"/>
    <s v="BDT"/>
    <s v="EGM1"/>
    <n v="6079952.9699999997"/>
    <s v="Cm adv adjust-424130712985"/>
    <s v="0000001010"/>
    <s v="E04636US18-1490"/>
    <s v=""/>
    <s v=""/>
    <s v="0"/>
    <s v="424130732017"/>
    <s v=""/>
    <s v=""/>
    <s v=""/>
    <s v=""/>
    <s v=""/>
    <x v="0"/>
    <d v="2019-07-31T00:00:00"/>
    <s v="1906000001"/>
    <d v="2019-02-04T00:00:00"/>
    <s v=""/>
    <s v="1809000431"/>
  </r>
  <r>
    <s v="1809000431"/>
    <d v="2019-02-04T00:00:00"/>
    <d v="2019-02-04T00:00:00"/>
    <s v="DZ"/>
    <s v="USD"/>
    <n v="38633"/>
    <n v="38633"/>
    <s v="BDT"/>
    <s v="EGM1"/>
    <n v="3202675.7"/>
    <s v="Cm adv adjust-424130683926"/>
    <s v="0000001010"/>
    <s v="E04636US18-1490"/>
    <s v=""/>
    <s v=""/>
    <s v="0"/>
    <s v="424130732017"/>
    <s v=""/>
    <s v=""/>
    <s v=""/>
    <s v=""/>
    <s v=""/>
    <x v="0"/>
    <d v="2019-07-31T00:00:00"/>
    <s v="1906000003"/>
    <d v="2019-02-04T00:00:00"/>
    <s v=""/>
    <s v="1809000431"/>
  </r>
  <r>
    <s v="1809000431"/>
    <d v="2019-02-04T00:00:00"/>
    <d v="2019-02-04T00:00:00"/>
    <s v="DZ"/>
    <s v="USD"/>
    <n v="12077"/>
    <n v="12077"/>
    <s v="BDT"/>
    <s v="EGM1"/>
    <n v="1001787.15"/>
    <s v="Cm adv adjust-424130720422"/>
    <s v="0000001010"/>
    <s v="E04636US18-1490"/>
    <s v=""/>
    <s v=""/>
    <s v="0"/>
    <s v="424130732017"/>
    <s v=""/>
    <s v=""/>
    <s v=""/>
    <s v=""/>
    <s v=""/>
    <x v="0"/>
    <d v="2019-07-31T00:00:00"/>
    <s v="1906000004"/>
    <d v="2019-02-04T00:00:00"/>
    <s v=""/>
    <s v="1809000431"/>
  </r>
  <r>
    <s v="1809000431"/>
    <d v="2019-02-04T00:00:00"/>
    <d v="2019-02-04T00:00:00"/>
    <s v="DZ"/>
    <s v="USD"/>
    <n v="34559"/>
    <n v="34559"/>
    <s v="BDT"/>
    <s v="EGM1"/>
    <n v="2861485.2"/>
    <s v="Cm adv adjust-424130679432"/>
    <s v="0000001010"/>
    <s v="E04636US18-1490"/>
    <s v=""/>
    <s v=""/>
    <s v="0"/>
    <s v="424130732017"/>
    <s v=""/>
    <s v=""/>
    <s v=""/>
    <s v=""/>
    <s v=""/>
    <x v="0"/>
    <d v="2019-07-31T00:00:00"/>
    <s v="1906000005"/>
    <d v="2019-02-04T00:00:00"/>
    <s v=""/>
    <s v="1809000431"/>
  </r>
  <r>
    <s v="1809000431"/>
    <d v="2019-02-04T00:00:00"/>
    <d v="2019-02-04T00:00:00"/>
    <s v="DZ"/>
    <s v="USD"/>
    <n v="1600"/>
    <n v="1600"/>
    <s v="BDT"/>
    <s v="EGM1"/>
    <n v="132720"/>
    <s v="Cm adv adjust-424130730457"/>
    <s v="0000001010"/>
    <s v="E04636US18-1490"/>
    <s v=""/>
    <s v=""/>
    <s v="0"/>
    <s v="424130732017"/>
    <s v=""/>
    <s v=""/>
    <s v=""/>
    <s v=""/>
    <s v=""/>
    <x v="0"/>
    <d v="2019-06-30T00:00:00"/>
    <s v="1806000086"/>
    <d v="2019-02-04T00:00:00"/>
    <s v=""/>
    <s v="1809000431"/>
  </r>
  <r>
    <s v="1809000434"/>
    <d v="2019-02-05T00:00:00"/>
    <d v="2019-02-05T00:00:00"/>
    <s v="DZ"/>
    <s v="USD"/>
    <n v="-95079.52"/>
    <n v="-95079.52"/>
    <s v="BDT"/>
    <s v="EGM1"/>
    <n v="-7886846.1900000004"/>
    <s v="CM Advance Received-424130732605"/>
    <s v="0000005010"/>
    <s v="IT06591902040150"/>
    <s v=""/>
    <s v=""/>
    <s v="0"/>
    <s v="424130732605"/>
    <s v=""/>
    <s v=""/>
    <s v=""/>
    <s v=""/>
    <s v=""/>
    <x v="0"/>
    <m/>
    <s v=""/>
    <d v="2019-02-05T00:00:00"/>
    <s v=""/>
    <s v="1809000434"/>
  </r>
  <r>
    <s v="1809000435"/>
    <d v="2019-02-06T00:00:00"/>
    <d v="2019-02-06T00:00:00"/>
    <s v="DZ"/>
    <s v="USD"/>
    <n v="13186"/>
    <n v="13186"/>
    <s v="BDT"/>
    <s v="EGM1"/>
    <n v="1093778.7"/>
    <s v="Cm adv adjust-424130730457"/>
    <s v="0000001010"/>
    <s v="E04834WM19CA0056"/>
    <s v=""/>
    <s v=""/>
    <s v="0"/>
    <s v="424130732614"/>
    <s v=""/>
    <s v=""/>
    <s v=""/>
    <s v=""/>
    <s v=""/>
    <x v="0"/>
    <d v="2019-06-30T00:00:00"/>
    <s v="1806000086"/>
    <d v="2019-02-06T00:00:00"/>
    <s v=""/>
    <s v="1809000435"/>
  </r>
  <r>
    <s v="1809000436"/>
    <d v="2019-02-10T00:00:00"/>
    <d v="2019-02-10T00:00:00"/>
    <s v="DZ"/>
    <s v="USD"/>
    <n v="32686"/>
    <n v="32686"/>
    <s v="BDT"/>
    <s v="EGM1"/>
    <n v="2711303.7"/>
    <s v="Cm adv adjust-424130730457"/>
    <s v="0000001010"/>
    <s v="E04713WM19CN0009"/>
    <s v=""/>
    <s v=""/>
    <s v="0"/>
    <s v="424130734462"/>
    <s v=""/>
    <s v=""/>
    <s v=""/>
    <s v=""/>
    <s v=""/>
    <x v="0"/>
    <d v="2019-06-30T00:00:00"/>
    <s v="1806000086"/>
    <d v="2019-02-10T00:00:00"/>
    <s v=""/>
    <s v="1809000436"/>
  </r>
  <r>
    <s v="1809000437"/>
    <d v="2019-02-10T00:00:00"/>
    <d v="2019-02-10T00:00:00"/>
    <s v="DZ"/>
    <s v="USD"/>
    <n v="15752"/>
    <n v="15752"/>
    <s v="BDT"/>
    <s v="EGM1"/>
    <n v="1306628.3999999999"/>
    <s v="Cm adv adjust-424130725622"/>
    <s v="0000001010"/>
    <s v="E54813KH19US0004"/>
    <s v=""/>
    <s v=""/>
    <s v="0"/>
    <s v="424130734453"/>
    <s v=""/>
    <s v=""/>
    <s v=""/>
    <s v=""/>
    <s v=""/>
    <x v="0"/>
    <d v="2019-06-30T00:00:00"/>
    <s v="1806000067"/>
    <d v="2019-02-10T00:00:00"/>
    <s v=""/>
    <s v="1809000437"/>
  </r>
  <r>
    <s v="1809000438"/>
    <d v="2019-02-10T00:00:00"/>
    <d v="2019-02-10T00:00:00"/>
    <s v="DZ"/>
    <s v="USD"/>
    <n v="22217"/>
    <n v="22217"/>
    <s v="BDT"/>
    <s v="EGM1"/>
    <n v="1842900.15"/>
    <s v="Cm adv adjust-424130725622"/>
    <s v="0000001010"/>
    <s v="E44777BM19UK0003"/>
    <s v=""/>
    <s v=""/>
    <s v="0"/>
    <s v="424130734444"/>
    <s v=""/>
    <s v=""/>
    <s v=""/>
    <s v=""/>
    <s v=""/>
    <x v="0"/>
    <d v="2019-06-30T00:00:00"/>
    <s v="1806000067"/>
    <d v="2019-02-10T00:00:00"/>
    <s v=""/>
    <s v="1809000438"/>
  </r>
  <r>
    <s v="1809000438"/>
    <d v="2019-02-10T00:00:00"/>
    <d v="2019-02-10T00:00:00"/>
    <s v="DZ"/>
    <s v="USD"/>
    <n v="23810"/>
    <n v="23810"/>
    <s v="BDT"/>
    <s v="EGM1"/>
    <n v="1975039.5"/>
    <s v="Cm adv adjust-424130720422"/>
    <s v="0000001010"/>
    <s v="E44777BM19UK0003"/>
    <s v=""/>
    <s v=""/>
    <s v="0"/>
    <s v="424130734444"/>
    <s v=""/>
    <s v=""/>
    <s v=""/>
    <s v=""/>
    <s v=""/>
    <x v="0"/>
    <d v="2019-07-31T00:00:00"/>
    <s v="1906000004"/>
    <d v="2019-02-10T00:00:00"/>
    <s v=""/>
    <s v="1809000438"/>
  </r>
  <r>
    <s v="1809000443"/>
    <d v="2019-02-13T00:00:00"/>
    <d v="2019-02-13T00:00:00"/>
    <s v="DZ"/>
    <s v="USD"/>
    <n v="-566069"/>
    <n v="-566069"/>
    <s v="BDT"/>
    <s v="EGM1"/>
    <n v="-46955423.549999997"/>
    <s v="CM Advance Received-424130736022"/>
    <s v="0000001010"/>
    <s v="IT06591902120287"/>
    <s v=""/>
    <s v=""/>
    <s v="0"/>
    <s v="424130736022"/>
    <s v=""/>
    <s v=""/>
    <s v=""/>
    <s v=""/>
    <s v=""/>
    <x v="0"/>
    <d v="2019-06-30T00:00:00"/>
    <s v="1806000065"/>
    <d v="2019-02-13T00:00:00"/>
    <s v=""/>
    <s v="1809000443"/>
  </r>
  <r>
    <s v="1809000444"/>
    <d v="2019-02-13T00:00:00"/>
    <d v="2019-02-13T00:00:00"/>
    <s v="DZ"/>
    <s v="USD"/>
    <n v="15391"/>
    <n v="15391"/>
    <s v="BDT"/>
    <s v="EGM1"/>
    <n v="1276683.45"/>
    <s v="CM Advance Received-424130725622"/>
    <s v="0000001010"/>
    <s v="E4896SB19UK0066"/>
    <s v=""/>
    <s v=""/>
    <s v="0"/>
    <s v="424130736086"/>
    <s v=""/>
    <s v=""/>
    <s v=""/>
    <s v=""/>
    <s v=""/>
    <x v="0"/>
    <d v="2019-06-30T00:00:00"/>
    <s v="1806000067"/>
    <d v="2019-02-13T00:00:00"/>
    <s v=""/>
    <s v="1809000444"/>
  </r>
  <r>
    <s v="1809000445"/>
    <d v="2019-02-13T00:00:00"/>
    <d v="2019-02-13T00:00:00"/>
    <s v="DZ"/>
    <s v="USD"/>
    <n v="21539"/>
    <n v="21539"/>
    <s v="BDT"/>
    <s v="EGM1"/>
    <n v="1786660.05"/>
    <s v="Cm adv adjust-424130730457"/>
    <s v="0000001010"/>
    <s v="E04787WM19CA0064"/>
    <s v=""/>
    <s v=""/>
    <s v="0"/>
    <s v="424130736059"/>
    <s v=""/>
    <s v=""/>
    <s v=""/>
    <s v=""/>
    <s v=""/>
    <x v="0"/>
    <d v="2019-06-30T00:00:00"/>
    <s v="1806000086"/>
    <d v="2019-02-13T00:00:00"/>
    <s v=""/>
    <s v="1809000445"/>
  </r>
  <r>
    <s v="1809000446"/>
    <d v="2019-02-13T00:00:00"/>
    <d v="2019-02-13T00:00:00"/>
    <s v="DZ"/>
    <s v="USD"/>
    <n v="942"/>
    <n v="942"/>
    <s v="BDT"/>
    <s v="EGM1"/>
    <n v="78138.899999999994"/>
    <s v="Cm adv adjust-424130707483"/>
    <s v="0000001010"/>
    <s v="E04914US18-1091"/>
    <s v=""/>
    <s v=""/>
    <s v="0"/>
    <s v="424130736068"/>
    <s v=""/>
    <s v=""/>
    <s v=""/>
    <s v=""/>
    <s v=""/>
    <x v="0"/>
    <d v="2019-05-02T00:00:00"/>
    <s v="1806000055"/>
    <d v="2019-02-13T00:00:00"/>
    <s v=""/>
    <s v="1809000446"/>
  </r>
  <r>
    <s v="1809000447"/>
    <d v="2019-02-13T00:00:00"/>
    <d v="2019-02-13T00:00:00"/>
    <s v="DZ"/>
    <s v="USD"/>
    <n v="2170"/>
    <n v="2170"/>
    <s v="BDT"/>
    <s v="EGM1"/>
    <n v="180001.5"/>
    <s v="Cm adv adjust-424130730457"/>
    <s v="0000001010"/>
    <s v="E04726US18-1514"/>
    <s v=""/>
    <s v=""/>
    <s v="0"/>
    <s v="424130736040"/>
    <s v=""/>
    <s v=""/>
    <s v=""/>
    <s v=""/>
    <s v=""/>
    <x v="0"/>
    <d v="2019-06-30T00:00:00"/>
    <s v="1806000086"/>
    <d v="2019-02-13T00:00:00"/>
    <s v=""/>
    <s v="1809000447"/>
  </r>
  <r>
    <s v="1809000448"/>
    <d v="2019-02-14T00:00:00"/>
    <d v="2019-02-14T00:00:00"/>
    <s v="DZ"/>
    <s v="USD"/>
    <n v="28849.75"/>
    <n v="28849.75"/>
    <s v="BDT"/>
    <s v="EGM1"/>
    <n v="2393086.7599999998"/>
    <s v="Cm adv adjust-424130732605"/>
    <s v="0000005010"/>
    <s v="DE4681TS18CE1539"/>
    <s v=""/>
    <s v=""/>
    <s v="0"/>
    <s v="424130736077"/>
    <s v=""/>
    <s v=""/>
    <s v=""/>
    <s v=""/>
    <s v=""/>
    <x v="0"/>
    <m/>
    <s v=""/>
    <d v="2019-02-14T00:00:00"/>
    <s v=""/>
    <s v="1809000448"/>
  </r>
  <r>
    <s v="1809000449"/>
    <d v="2019-02-17T00:00:00"/>
    <d v="2019-02-17T00:00:00"/>
    <s v="DZ"/>
    <s v="USD"/>
    <n v="10721"/>
    <n v="10721"/>
    <s v="BDT"/>
    <s v="EGM1"/>
    <n v="889306.95"/>
    <s v="Cm adv adjust-424130730457"/>
    <s v="0000001010"/>
    <s v="E34798BM19UK0078"/>
    <s v=""/>
    <s v=""/>
    <s v="0"/>
    <s v="424130737487"/>
    <s v=""/>
    <s v=""/>
    <s v=""/>
    <s v=""/>
    <s v=""/>
    <x v="0"/>
    <d v="2019-06-30T00:00:00"/>
    <s v="1806000086"/>
    <d v="2019-02-17T00:00:00"/>
    <s v=""/>
    <s v="1809000449"/>
  </r>
  <r>
    <s v="1809000450"/>
    <d v="2019-02-18T00:00:00"/>
    <d v="2019-02-18T00:00:00"/>
    <s v="DZ"/>
    <s v="USD"/>
    <n v="66229.789999999994"/>
    <n v="66229.789999999994"/>
    <s v="BDT"/>
    <s v="EGM1"/>
    <n v="5493761.0800000001"/>
    <s v="Adv adjust ref-424130732605"/>
    <s v="0000005010"/>
    <s v="DE4681TS19CE0022"/>
    <s v=""/>
    <s v=""/>
    <s v="0"/>
    <s v="424130738636"/>
    <s v=""/>
    <s v=""/>
    <s v=""/>
    <s v=""/>
    <s v=""/>
    <x v="0"/>
    <m/>
    <s v=""/>
    <d v="2019-02-18T00:00:00"/>
    <s v=""/>
    <s v="1809000450"/>
  </r>
  <r>
    <s v="1809000451"/>
    <d v="2019-02-18T00:00:00"/>
    <d v="2019-02-18T00:00:00"/>
    <s v="DZ"/>
    <s v="USD"/>
    <n v="5152"/>
    <n v="5152"/>
    <s v="BDT"/>
    <s v="EGM1"/>
    <n v="427358.4"/>
    <s v="Adv adjust ref-424130725622"/>
    <s v="0000001010"/>
    <s v="E4896SB19UK0089"/>
    <s v=""/>
    <s v=""/>
    <s v="0"/>
    <s v="424130738351"/>
    <s v=""/>
    <s v=""/>
    <s v=""/>
    <s v=""/>
    <s v=""/>
    <x v="0"/>
    <d v="2019-06-30T00:00:00"/>
    <s v="1806000067"/>
    <d v="2019-02-18T00:00:00"/>
    <s v=""/>
    <s v="1809000451"/>
  </r>
  <r>
    <s v="1809000451"/>
    <d v="2019-02-18T00:00:00"/>
    <d v="2019-02-18T00:00:00"/>
    <s v="DZ"/>
    <s v="USD"/>
    <n v="4356"/>
    <n v="4356"/>
    <s v="BDT"/>
    <s v="EGM1"/>
    <n v="361330.2"/>
    <s v="Cm adv adjust-424130730457"/>
    <s v="0000001010"/>
    <s v="E4896SB19UK0089"/>
    <s v=""/>
    <s v=""/>
    <s v="0"/>
    <s v="424130738351"/>
    <s v=""/>
    <s v=""/>
    <s v=""/>
    <s v=""/>
    <s v=""/>
    <x v="0"/>
    <d v="2019-06-30T00:00:00"/>
    <s v="1806000086"/>
    <d v="2019-02-18T00:00:00"/>
    <s v=""/>
    <s v="1809000451"/>
  </r>
  <r>
    <s v="1809000452"/>
    <d v="2019-02-05T00:00:00"/>
    <d v="2019-02-05T00:00:00"/>
    <s v="DZ"/>
    <s v="USD"/>
    <n v="-27020"/>
    <n v="-27020"/>
    <s v="BDT"/>
    <s v="EGM2"/>
    <n v="-2241309"/>
    <s v="Cm adv Received-424130732650"/>
    <s v="0000001010"/>
    <s v="IT06591902040105"/>
    <s v=""/>
    <s v=""/>
    <s v="0"/>
    <s v="424130732650"/>
    <s v=""/>
    <s v=""/>
    <s v=""/>
    <s v=""/>
    <s v=""/>
    <x v="0"/>
    <d v="2019-06-30T00:00:00"/>
    <s v="1806000082"/>
    <d v="2019-02-05T00:00:00"/>
    <s v=""/>
    <s v="1809000452"/>
  </r>
  <r>
    <s v="1809000453"/>
    <d v="2019-02-18T00:00:00"/>
    <d v="2019-02-18T00:00:00"/>
    <s v="DZ"/>
    <s v="USD"/>
    <n v="9125"/>
    <n v="9125"/>
    <s v="BDT"/>
    <s v="EGM2"/>
    <n v="756918.75"/>
    <s v="Cm adv adjust-424130732650"/>
    <s v="0000001010"/>
    <s v="E24819VF19US0005"/>
    <s v=""/>
    <s v=""/>
    <s v="0"/>
    <s v="424130738360"/>
    <s v=""/>
    <s v=""/>
    <s v=""/>
    <s v=""/>
    <s v=""/>
    <x v="0"/>
    <d v="2019-06-30T00:00:00"/>
    <s v="1806000082"/>
    <d v="2019-02-18T00:00:00"/>
    <s v=""/>
    <s v="1809000453"/>
  </r>
  <r>
    <s v="1809000454"/>
    <d v="2019-02-05T00:00:00"/>
    <d v="2019-02-05T00:00:00"/>
    <s v="DZ"/>
    <s v="USD"/>
    <n v="-22505"/>
    <n v="-22505"/>
    <s v="BDT"/>
    <s v="EGM2"/>
    <n v="-1866789.75"/>
    <s v="Cm adv Received-424130732641"/>
    <s v="0000001010"/>
    <s v="IT06591902040106"/>
    <s v=""/>
    <s v=""/>
    <s v="0"/>
    <s v="424130732641"/>
    <s v=""/>
    <s v=""/>
    <s v=""/>
    <s v=""/>
    <s v=""/>
    <x v="0"/>
    <d v="2019-06-30T00:00:00"/>
    <s v="1806000083"/>
    <d v="2019-02-05T00:00:00"/>
    <s v=""/>
    <s v="1809000454"/>
  </r>
  <r>
    <s v="1809000455"/>
    <d v="2019-02-05T00:00:00"/>
    <d v="2019-02-05T00:00:00"/>
    <s v="DZ"/>
    <s v="USD"/>
    <n v="-23199"/>
    <n v="-23199"/>
    <s v="BDT"/>
    <s v="EGM2"/>
    <n v="-1924357.06"/>
    <s v="Cm adv Received-424130732632"/>
    <s v="0000001010"/>
    <s v="IT06591902040115"/>
    <s v=""/>
    <s v=""/>
    <s v="0"/>
    <s v="424130732632"/>
    <s v=""/>
    <s v=""/>
    <s v=""/>
    <s v=""/>
    <s v=""/>
    <x v="0"/>
    <d v="2019-06-30T00:00:00"/>
    <s v="1806000089"/>
    <d v="2019-02-05T00:00:00"/>
    <s v=""/>
    <s v="1809000455"/>
  </r>
  <r>
    <s v="1809000456"/>
    <d v="2019-02-12T00:00:00"/>
    <d v="2019-02-12T00:00:00"/>
    <s v="DZ"/>
    <s v="USD"/>
    <n v="-16168.31"/>
    <n v="-16168.31"/>
    <s v="BDT"/>
    <s v="EGM2"/>
    <n v="-1341161.31"/>
    <s v="Cm adv Received-424130735112"/>
    <s v="0000005010"/>
    <s v="IT06591902110118"/>
    <s v=""/>
    <s v=""/>
    <s v="0"/>
    <s v="424130735112"/>
    <s v=""/>
    <s v=""/>
    <s v=""/>
    <s v=""/>
    <s v=""/>
    <x v="0"/>
    <d v="2019-03-19T00:00:00"/>
    <s v="1809000524"/>
    <d v="2019-02-12T00:00:00"/>
    <s v=""/>
    <s v="1809000456"/>
  </r>
  <r>
    <s v="1809000457"/>
    <d v="2019-02-12T00:00:00"/>
    <d v="2019-02-12T00:00:00"/>
    <s v="DZ"/>
    <s v="USD"/>
    <n v="-72138.42"/>
    <n v="-72138.42"/>
    <s v="BDT"/>
    <s v="EGM2"/>
    <n v="-5983881.9400000004"/>
    <s v="Cm adv Received-424130735103"/>
    <s v="0000005010"/>
    <s v="IT06591902110124"/>
    <s v=""/>
    <s v=""/>
    <s v="0"/>
    <s v="424130735103"/>
    <s v=""/>
    <s v=""/>
    <s v=""/>
    <s v=""/>
    <s v=""/>
    <x v="0"/>
    <m/>
    <s v=""/>
    <d v="2019-02-12T00:00:00"/>
    <s v=""/>
    <s v="1809000457"/>
  </r>
  <r>
    <s v="1809000458"/>
    <d v="2019-02-05T00:00:00"/>
    <d v="2019-02-05T00:00:00"/>
    <s v="DZ"/>
    <s v="USD"/>
    <n v="-38752"/>
    <n v="-38752"/>
    <s v="BDT"/>
    <s v="EGM2"/>
    <n v="-3214478.41"/>
    <s v="Cm adv Received-424130732623"/>
    <s v="0000001010"/>
    <s v="IT06591902040107"/>
    <s v=""/>
    <s v=""/>
    <s v="0"/>
    <s v="424130732623"/>
    <s v=""/>
    <s v=""/>
    <s v=""/>
    <s v=""/>
    <s v=""/>
    <x v="0"/>
    <d v="2019-03-03T00:00:00"/>
    <s v="1809000512"/>
    <d v="2019-02-05T00:00:00"/>
    <s v=""/>
    <s v="1809000458"/>
  </r>
  <r>
    <s v="1809000459"/>
    <d v="2019-02-12T00:00:00"/>
    <d v="2019-02-12T00:00:00"/>
    <s v="DZ"/>
    <s v="USD"/>
    <n v="11006.97"/>
    <n v="11006.97"/>
    <s v="BDT"/>
    <s v="EGM1"/>
    <n v="913028.16"/>
    <s v="Cm adv Adjust-424130714545"/>
    <s v="0000005010"/>
    <s v="DE4681TS18UK1541"/>
    <s v=""/>
    <s v=""/>
    <s v="0"/>
    <s v="424130735498"/>
    <s v=""/>
    <s v=""/>
    <s v=""/>
    <s v=""/>
    <s v=""/>
    <x v="0"/>
    <m/>
    <s v=""/>
    <d v="2019-02-12T00:00:00"/>
    <s v=""/>
    <s v="1809000459"/>
  </r>
  <r>
    <s v="1809000459"/>
    <d v="2019-02-12T00:00:00"/>
    <d v="2019-02-12T00:00:00"/>
    <s v="DZ"/>
    <s v="USD"/>
    <n v="31426.78"/>
    <n v="31426.78"/>
    <s v="BDT"/>
    <s v="EGM1"/>
    <n v="2606851.4"/>
    <s v="Cm adv Adjust-424130722162"/>
    <s v="0000005010"/>
    <s v="DE4681TS18UK1541"/>
    <s v=""/>
    <s v=""/>
    <s v="0"/>
    <s v="424130735498"/>
    <s v=""/>
    <s v=""/>
    <s v=""/>
    <s v=""/>
    <s v=""/>
    <x v="0"/>
    <m/>
    <s v=""/>
    <d v="2019-02-12T00:00:00"/>
    <s v=""/>
    <s v="1809000459"/>
  </r>
  <r>
    <s v="1809000459"/>
    <d v="2019-02-12T00:00:00"/>
    <d v="2019-02-12T00:00:00"/>
    <s v="DZ"/>
    <s v="USD"/>
    <n v="31303.56"/>
    <n v="31303.56"/>
    <s v="BDT"/>
    <s v="EGM1"/>
    <n v="2596630.2999999998"/>
    <s v="Cm adv Adjust-4241307101572"/>
    <s v="0000005010"/>
    <s v="DE4681TS18UK1541"/>
    <s v=""/>
    <s v=""/>
    <s v="0"/>
    <s v="424130735498"/>
    <s v=""/>
    <s v=""/>
    <s v=""/>
    <s v=""/>
    <s v=""/>
    <x v="0"/>
    <m/>
    <s v=""/>
    <d v="2019-02-12T00:00:00"/>
    <s v=""/>
    <s v="1809000459"/>
  </r>
  <r>
    <s v="1809000460"/>
    <d v="2019-02-18T00:00:00"/>
    <d v="2019-02-18T00:00:00"/>
    <s v="DZ"/>
    <s v="USD"/>
    <n v="2677"/>
    <n v="2677"/>
    <s v="BDT"/>
    <s v="EGM2"/>
    <n v="222057.15"/>
    <s v="Cm adv Adjust-424130713485"/>
    <s v="0000001010"/>
    <s v="04913190036SE"/>
    <s v=""/>
    <s v=""/>
    <s v="0"/>
    <s v="424130738379"/>
    <s v=""/>
    <s v=""/>
    <s v=""/>
    <s v=""/>
    <s v=""/>
    <x v="0"/>
    <d v="2019-06-30T00:00:00"/>
    <s v="1806000071"/>
    <d v="2019-02-18T00:00:00"/>
    <s v=""/>
    <s v="1809000460"/>
  </r>
  <r>
    <s v="1809000460"/>
    <d v="2019-02-18T00:00:00"/>
    <d v="2019-02-18T00:00:00"/>
    <s v="DZ"/>
    <s v="USD"/>
    <n v="3577"/>
    <n v="3577"/>
    <s v="BDT"/>
    <s v="EGM2"/>
    <n v="296712.15000000002"/>
    <s v="Cm adv Adjust-424130712949"/>
    <s v="0000001010"/>
    <s v="04913190036SE"/>
    <s v=""/>
    <s v=""/>
    <s v="0"/>
    <s v="424130738379"/>
    <s v=""/>
    <s v=""/>
    <s v=""/>
    <s v=""/>
    <s v=""/>
    <x v="0"/>
    <d v="2019-07-31T00:00:00"/>
    <s v="1906000000"/>
    <d v="2019-02-18T00:00:00"/>
    <s v=""/>
    <s v="1809000460"/>
  </r>
  <r>
    <s v="1809000460"/>
    <d v="2019-02-18T00:00:00"/>
    <d v="2019-02-18T00:00:00"/>
    <s v="DZ"/>
    <s v="USD"/>
    <n v="14022"/>
    <n v="14022"/>
    <s v="BDT"/>
    <s v="EGM2"/>
    <n v="1163124.8999999999"/>
    <s v="Cm adv Adjust-424130732650"/>
    <s v="0000001010"/>
    <s v="04913190036SE"/>
    <s v=""/>
    <s v=""/>
    <s v="0"/>
    <s v="424130738379"/>
    <s v=""/>
    <s v=""/>
    <s v=""/>
    <s v=""/>
    <s v=""/>
    <x v="0"/>
    <d v="2019-06-30T00:00:00"/>
    <s v="1806000082"/>
    <d v="2019-02-18T00:00:00"/>
    <s v=""/>
    <s v="1809000460"/>
  </r>
  <r>
    <s v="1809000462"/>
    <d v="2019-02-24T00:00:00"/>
    <d v="2019-02-24T00:00:00"/>
    <s v="DZ"/>
    <s v="USD"/>
    <n v="38550"/>
    <n v="38550"/>
    <s v="BDT"/>
    <s v="EGM1"/>
    <n v="3197722.5"/>
    <s v="E04821WM19CA0049"/>
    <s v="0000001010"/>
    <s v="E04821WM19CA0049"/>
    <s v=""/>
    <s v=""/>
    <s v="0"/>
    <s v="424130740570"/>
    <s v=""/>
    <s v=""/>
    <s v=""/>
    <s v=""/>
    <s v=""/>
    <x v="0"/>
    <d v="2019-06-30T00:00:00"/>
    <s v="1806000086"/>
    <d v="2019-02-24T00:00:00"/>
    <s v=""/>
    <s v="1809000462"/>
  </r>
  <r>
    <s v="1809000468"/>
    <d v="2019-02-24T00:00:00"/>
    <d v="2019-02-24T00:00:00"/>
    <s v="DZ"/>
    <s v="USD"/>
    <n v="3875"/>
    <n v="3875"/>
    <s v="BDT"/>
    <s v="EGM2"/>
    <n v="321431.25"/>
    <s v="Cm adv Adjust-424130732650"/>
    <s v="0000001010"/>
    <s v="094913190052"/>
    <s v=""/>
    <s v=""/>
    <s v="0"/>
    <s v="424130740552"/>
    <s v=""/>
    <s v=""/>
    <s v=""/>
    <s v=""/>
    <s v=""/>
    <x v="0"/>
    <d v="2019-06-30T00:00:00"/>
    <s v="1806000082"/>
    <d v="2019-02-24T00:00:00"/>
    <s v=""/>
    <s v="1809000468"/>
  </r>
  <r>
    <s v="1809000469"/>
    <d v="2019-02-24T00:00:00"/>
    <d v="2019-02-24T00:00:00"/>
    <s v="DZ"/>
    <s v="USD"/>
    <n v="6909"/>
    <n v="6909"/>
    <s v="BDT"/>
    <s v="EGM2"/>
    <n v="573101.55000000005"/>
    <s v="Cm adv Adjust-424130732641"/>
    <s v="0000001010"/>
    <s v="04913190075VN"/>
    <s v=""/>
    <s v=""/>
    <s v="0"/>
    <s v="424130741150"/>
    <s v=""/>
    <s v=""/>
    <s v=""/>
    <s v=""/>
    <s v=""/>
    <x v="0"/>
    <d v="2019-06-30T00:00:00"/>
    <s v="1806000083"/>
    <d v="2019-02-24T00:00:00"/>
    <s v=""/>
    <s v="1809000469"/>
  </r>
  <r>
    <s v="1809000470"/>
    <d v="2019-02-26T00:00:00"/>
    <d v="2019-02-26T00:00:00"/>
    <s v="DZ"/>
    <s v="USD"/>
    <n v="55649"/>
    <n v="55649"/>
    <s v="BDT"/>
    <s v="EGM1"/>
    <n v="4616084.55"/>
    <s v="Cm adv Adjust-424130702843"/>
    <s v="0000001010"/>
    <s v="E04796US19-0036"/>
    <s v=""/>
    <s v=""/>
    <s v="0"/>
    <s v="424130740589"/>
    <s v=""/>
    <s v=""/>
    <s v=""/>
    <s v=""/>
    <s v=""/>
    <x v="0"/>
    <d v="2019-05-02T00:00:00"/>
    <s v="1806000047"/>
    <d v="2019-02-26T00:00:00"/>
    <s v=""/>
    <s v="1809000470"/>
  </r>
  <r>
    <s v="1809000470"/>
    <d v="2019-02-26T00:00:00"/>
    <d v="2019-02-26T00:00:00"/>
    <s v="DZ"/>
    <s v="USD"/>
    <n v="43085"/>
    <n v="43085"/>
    <s v="BDT"/>
    <s v="EGM1"/>
    <n v="3573900.75"/>
    <s v="Cm adv Adjust-424130712985"/>
    <s v="0000001010"/>
    <s v="E04796US19-0036"/>
    <s v=""/>
    <s v=""/>
    <s v="0"/>
    <s v="424130740589"/>
    <s v=""/>
    <s v=""/>
    <s v=""/>
    <s v=""/>
    <s v=""/>
    <x v="0"/>
    <d v="2019-07-31T00:00:00"/>
    <s v="1906000001"/>
    <d v="2019-02-26T00:00:00"/>
    <s v=""/>
    <s v="1809000470"/>
  </r>
  <r>
    <s v="1809000470"/>
    <d v="2019-02-26T00:00:00"/>
    <d v="2019-02-26T00:00:00"/>
    <s v="DZ"/>
    <s v="USD"/>
    <n v="70862"/>
    <n v="70862"/>
    <s v="BDT"/>
    <s v="EGM1"/>
    <n v="5878002.9000000004"/>
    <s v="Cm adv Adjust-424130724295"/>
    <s v="0000001010"/>
    <s v="E04796US19-0036"/>
    <s v=""/>
    <s v=""/>
    <s v="0"/>
    <s v="424130740589"/>
    <s v=""/>
    <s v=""/>
    <s v=""/>
    <s v=""/>
    <s v=""/>
    <x v="0"/>
    <d v="2019-05-02T00:00:00"/>
    <s v="1806000051"/>
    <d v="2019-02-26T00:00:00"/>
    <s v=""/>
    <s v="1809000470"/>
  </r>
  <r>
    <s v="1809000470"/>
    <d v="2019-02-26T00:00:00"/>
    <d v="2019-02-26T00:00:00"/>
    <s v="DZ"/>
    <s v="USD"/>
    <n v="29632"/>
    <n v="29632"/>
    <s v="BDT"/>
    <s v="EGM1"/>
    <n v="2457974.4"/>
    <s v="Cm adv Adjust-424130730457"/>
    <s v="0000001010"/>
    <s v="E04796US19-0036"/>
    <s v=""/>
    <s v=""/>
    <s v="0"/>
    <s v="424130740589"/>
    <s v=""/>
    <s v=""/>
    <s v=""/>
    <s v=""/>
    <s v=""/>
    <x v="0"/>
    <d v="2019-06-30T00:00:00"/>
    <s v="1806000086"/>
    <d v="2019-02-26T00:00:00"/>
    <s v=""/>
    <s v="1809000470"/>
  </r>
  <r>
    <s v="1809000471"/>
    <d v="2019-02-27T00:00:00"/>
    <d v="2019-02-27T00:00:00"/>
    <s v="DZ"/>
    <s v="USD"/>
    <n v="19100"/>
    <n v="19100"/>
    <s v="BDT"/>
    <s v="EGM2"/>
    <n v="1584345.01"/>
    <s v="Cm adv Adjust-424130732632"/>
    <s v="0000001010"/>
    <s v="E04871US19-0066"/>
    <s v=""/>
    <s v=""/>
    <s v="0"/>
    <s v="424130743158"/>
    <s v=""/>
    <s v=""/>
    <s v=""/>
    <s v=""/>
    <s v=""/>
    <x v="0"/>
    <d v="2019-06-30T00:00:00"/>
    <s v="1806000089"/>
    <d v="2019-02-27T00:00:00"/>
    <s v=""/>
    <s v="1809000471"/>
  </r>
  <r>
    <s v="1809000472"/>
    <d v="2019-02-27T00:00:00"/>
    <d v="2019-02-27T00:00:00"/>
    <s v="DZ"/>
    <s v="USD"/>
    <n v="15596"/>
    <n v="15596"/>
    <s v="BDT"/>
    <s v="EGM2"/>
    <n v="1293688.2"/>
    <s v="Cm adv Adjust-424130732641"/>
    <s v="0000001010"/>
    <s v="04913190077BE"/>
    <s v=""/>
    <s v=""/>
    <s v="0"/>
    <s v="424130743167"/>
    <s v=""/>
    <s v=""/>
    <s v=""/>
    <s v=""/>
    <s v=""/>
    <x v="0"/>
    <d v="2019-06-30T00:00:00"/>
    <s v="1806000083"/>
    <d v="2019-02-27T00:00:00"/>
    <s v=""/>
    <s v="1809000472"/>
  </r>
  <r>
    <s v="1809000475"/>
    <d v="2019-02-27T00:00:00"/>
    <d v="2019-02-27T00:00:00"/>
    <s v="DZ"/>
    <s v="USD"/>
    <n v="23555"/>
    <n v="23555"/>
    <s v="BDT"/>
    <s v="EGM1"/>
    <n v="1953887.25"/>
    <s v="Cm adv Adjust-424130724295"/>
    <s v="0000001010"/>
    <s v="04796US19-0098"/>
    <s v=""/>
    <s v=""/>
    <s v="0"/>
    <s v="424130743130"/>
    <s v=""/>
    <s v=""/>
    <s v=""/>
    <s v=""/>
    <s v=""/>
    <x v="0"/>
    <d v="2019-05-02T00:00:00"/>
    <s v="1806000051"/>
    <d v="2019-02-27T00:00:00"/>
    <s v=""/>
    <s v="1809000475"/>
  </r>
  <r>
    <s v="1809000476"/>
    <d v="2019-02-25T00:00:00"/>
    <d v="2019-02-25T00:00:00"/>
    <s v="DZ"/>
    <s v="USD"/>
    <n v="4099"/>
    <n v="4099"/>
    <s v="BDT"/>
    <s v="EGM2"/>
    <n v="340012.05"/>
    <s v="E24738VF19US0070"/>
    <s v="0000001010"/>
    <s v="E24738VF19US0070"/>
    <s v=""/>
    <s v=""/>
    <s v="0"/>
    <s v="424130741141"/>
    <s v=""/>
    <s v=""/>
    <s v=""/>
    <s v=""/>
    <s v=""/>
    <x v="0"/>
    <d v="2019-06-30T00:00:00"/>
    <s v="1806000089"/>
    <d v="2019-02-25T00:00:00"/>
    <s v=""/>
    <s v="1809000476"/>
  </r>
  <r>
    <s v="1809000478"/>
    <d v="2019-02-05T00:00:00"/>
    <d v="2019-02-05T00:00:00"/>
    <s v="DZ"/>
    <s v="USD"/>
    <n v="-778.68"/>
    <n v="-778.68"/>
    <s v="BDT"/>
    <s v="EGM2"/>
    <n v="-64591.51"/>
    <s v="04913190016WE"/>
    <s v="0000001010"/>
    <s v="04913190016WE"/>
    <s v=""/>
    <s v=""/>
    <s v="0"/>
    <s v="424130731964"/>
    <s v=""/>
    <s v=""/>
    <s v=""/>
    <s v=""/>
    <s v=""/>
    <x v="0"/>
    <d v="2019-02-27T00:00:00"/>
    <s v="1809000481"/>
    <d v="2019-02-05T00:00:00"/>
    <s v=""/>
    <s v="1809000478"/>
  </r>
  <r>
    <s v="1809000478"/>
    <d v="2019-02-05T00:00:00"/>
    <d v="2019-02-05T00:00:00"/>
    <s v="DZ"/>
    <s v="USD"/>
    <n v="10922"/>
    <n v="10922"/>
    <s v="BDT"/>
    <s v="EGM2"/>
    <n v="905979.9"/>
    <s v=""/>
    <s v="0000001010"/>
    <s v="04913190016WE"/>
    <s v=""/>
    <s v=""/>
    <s v="0"/>
    <s v="424130731964"/>
    <s v=""/>
    <s v=""/>
    <s v=""/>
    <s v=""/>
    <s v=""/>
    <x v="0"/>
    <d v="2019-07-31T00:00:00"/>
    <s v="1906000000"/>
    <d v="2019-02-05T00:00:00"/>
    <s v=""/>
    <s v="1809000478"/>
  </r>
  <r>
    <s v="1809000479"/>
    <d v="2019-02-03T00:00:00"/>
    <d v="2019-02-03T00:00:00"/>
    <s v="DZ"/>
    <s v="USD"/>
    <n v="289323"/>
    <n v="289323"/>
    <s v="BDT"/>
    <s v="EGM1"/>
    <n v="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135393"/>
    <n v="135393"/>
    <s v="BDT"/>
    <s v="EGM1"/>
    <n v="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138418"/>
    <n v="138418"/>
    <s v="BDT"/>
    <s v="EGM1"/>
    <n v="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146131"/>
    <n v="146131"/>
    <s v="BDT"/>
    <s v="EGM1"/>
    <n v="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2422"/>
    <n v="2422"/>
    <s v="BDT"/>
    <s v="EGM1"/>
    <n v="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92819"/>
    <n v="92819"/>
    <s v="BDT"/>
    <s v="EGM1"/>
    <n v="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79"/>
    <d v="2019-02-03T00:00:00"/>
    <d v="2019-02-03T00:00:00"/>
    <s v="DZ"/>
    <s v="USD"/>
    <n v="224843"/>
    <n v="224843"/>
    <s v="BDT"/>
    <s v="EGM1"/>
    <n v="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09"/>
    <d v="2019-02-03T00:00:00"/>
    <s v=""/>
    <s v="1809000479"/>
  </r>
  <r>
    <s v="1809000481"/>
    <d v="2019-02-27T00:00:00"/>
    <d v="2019-02-27T00:00:00"/>
    <s v="DZ"/>
    <s v="USD"/>
    <n v="778.68"/>
    <n v="778.68"/>
    <s v="BDT"/>
    <s v="EGM2"/>
    <n v="64591.51"/>
    <s v="04913190059CH"/>
    <s v="0000001010"/>
    <s v="04913190059CH"/>
    <s v=""/>
    <s v=""/>
    <s v="0"/>
    <s v="04913190036SE"/>
    <s v=""/>
    <s v=""/>
    <s v=""/>
    <s v=""/>
    <s v=""/>
    <x v="0"/>
    <d v="2019-02-27T00:00:00"/>
    <s v="1809000481"/>
    <d v="2019-02-27T00:00:00"/>
    <s v=""/>
    <s v="1809000481"/>
  </r>
  <r>
    <s v="1809000483"/>
    <d v="2019-02-28T00:00:00"/>
    <d v="2019-02-28T00:00:00"/>
    <s v="DZ"/>
    <s v="USD"/>
    <n v="38748.78"/>
    <n v="38748.78"/>
    <s v="BDT"/>
    <s v="EGM1"/>
    <n v="3214211.3"/>
    <s v="FIT-CM ADV-FEB-19"/>
    <s v="0000001010"/>
    <s v="FIT-CM ADV-FEB19"/>
    <s v=""/>
    <s v=""/>
    <s v="0"/>
    <s v="CM ADV. FIT - FEB-19"/>
    <s v=""/>
    <s v=""/>
    <s v=""/>
    <s v=""/>
    <s v=""/>
    <x v="0"/>
    <d v="2019-03-01T00:00:00"/>
    <s v="1803009001"/>
    <d v="2019-02-28T00:00:00"/>
    <s v=""/>
    <s v="1809000483"/>
  </r>
  <r>
    <s v="1809000485"/>
    <d v="2019-02-28T00:00:00"/>
    <d v="2019-02-28T00:00:00"/>
    <s v="DZ"/>
    <s v="USD"/>
    <n v="-1964.64"/>
    <n v="-1964.64"/>
    <s v="BDT"/>
    <s v="EGM1"/>
    <n v="-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2-28T00:00:00"/>
    <s v="1803008481"/>
    <d v="2019-02-28T00:00:00"/>
    <s v=""/>
    <s v="1809000485"/>
  </r>
  <r>
    <s v="1809000486"/>
    <d v="2019-02-28T00:00:00"/>
    <d v="2019-02-28T00:00:00"/>
    <s v="DZ"/>
    <s v="USD"/>
    <n v="1964.64"/>
    <n v="1964.64"/>
    <s v="BDT"/>
    <s v="EGM1"/>
    <n v="163458.04999999999"/>
    <s v="FIT-CM ADV DWC-FEB-19"/>
    <s v="0000005010"/>
    <s v="FIT-CM DWC-FEB19"/>
    <s v=""/>
    <s v=""/>
    <s v="0"/>
    <s v="FIT-CM ADV DWC-FEB-19"/>
    <s v=""/>
    <s v=""/>
    <s v=""/>
    <s v=""/>
    <s v=""/>
    <x v="0"/>
    <d v="2019-03-01T00:00:00"/>
    <s v="1803008999"/>
    <d v="2019-02-28T00:00:00"/>
    <s v=""/>
    <s v="1809000486"/>
  </r>
  <r>
    <s v="1809000487"/>
    <d v="2019-02-03T00:00:00"/>
    <d v="2019-02-03T00:00:00"/>
    <s v="DZ"/>
    <s v="USD"/>
    <n v="289323"/>
    <n v="289323"/>
    <s v="BDT"/>
    <s v="EGM1"/>
    <n v="23999342.85000000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135393"/>
    <n v="135393"/>
    <s v="BDT"/>
    <s v="EGM1"/>
    <n v="11230849.35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138418"/>
    <n v="138418"/>
    <s v="BDT"/>
    <s v="EGM1"/>
    <n v="11481773.1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146131"/>
    <n v="146131"/>
    <s v="BDT"/>
    <s v="EGM1"/>
    <n v="12114259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2422"/>
    <n v="2422"/>
    <s v="BDT"/>
    <s v="EGM1"/>
    <n v="200904.9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92819"/>
    <n v="92819"/>
    <s v="BDT"/>
    <s v="EGM1"/>
    <n v="7685413.2000000002"/>
    <s v="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7"/>
    <d v="2019-02-03T00:00:00"/>
    <d v="2019-02-03T00:00:00"/>
    <s v="DZ"/>
    <s v="USD"/>
    <n v="224843"/>
    <n v="224843"/>
    <s v="BDT"/>
    <s v="EGM1"/>
    <n v="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3008518"/>
    <d v="2019-02-03T00:00:00"/>
    <s v=""/>
    <s v="1809000487"/>
  </r>
  <r>
    <s v="1809000488"/>
    <d v="2019-02-03T00:00:00"/>
    <d v="2019-02-03T00:00:00"/>
    <s v="DZ"/>
    <s v="USD"/>
    <n v="289323"/>
    <n v="289323"/>
    <s v="BDT"/>
    <s v="EGM1"/>
    <n v="23999342.850000001"/>
    <s v=""/>
    <s v="0000001010"/>
    <s v="E04806US18-1528"/>
    <s v=""/>
    <s v=""/>
    <s v="0"/>
    <s v="424130731134"/>
    <s v=""/>
    <s v=""/>
    <s v=""/>
    <s v=""/>
    <s v=""/>
    <x v="0"/>
    <d v="2019-06-30T00:00:00"/>
    <s v="1806000067"/>
    <d v="2019-02-03T00:00:00"/>
    <s v=""/>
    <s v="1809000488"/>
  </r>
  <r>
    <s v="1809000488"/>
    <d v="2019-02-03T00:00:00"/>
    <d v="2019-02-03T00:00:00"/>
    <s v="DZ"/>
    <s v="USD"/>
    <n v="135393"/>
    <n v="135393"/>
    <s v="BDT"/>
    <s v="EGM1"/>
    <n v="11230849.35"/>
    <s v=""/>
    <s v="0000001010"/>
    <s v="E04806US18-1528"/>
    <s v=""/>
    <s v=""/>
    <s v="0"/>
    <s v="424130731134"/>
    <s v=""/>
    <s v=""/>
    <s v=""/>
    <s v=""/>
    <s v=""/>
    <x v="0"/>
    <d v="2019-07-31T00:00:00"/>
    <s v="1906000001"/>
    <d v="2019-02-03T00:00:00"/>
    <s v=""/>
    <s v="1809000488"/>
  </r>
  <r>
    <s v="1809000488"/>
    <d v="2019-02-03T00:00:00"/>
    <d v="2019-02-03T00:00:00"/>
    <s v="DZ"/>
    <s v="USD"/>
    <n v="138418"/>
    <n v="138418"/>
    <s v="BDT"/>
    <s v="EGM1"/>
    <n v="11481773.1"/>
    <s v=""/>
    <s v="0000001010"/>
    <s v="E04806US18-1528"/>
    <s v=""/>
    <s v=""/>
    <s v="0"/>
    <s v="424130731134"/>
    <s v=""/>
    <s v=""/>
    <s v=""/>
    <s v=""/>
    <s v=""/>
    <x v="0"/>
    <d v="2019-07-31T00:00:00"/>
    <s v="1906000002"/>
    <d v="2019-02-03T00:00:00"/>
    <s v=""/>
    <s v="1809000488"/>
  </r>
  <r>
    <s v="1809000488"/>
    <d v="2019-02-03T00:00:00"/>
    <d v="2019-02-03T00:00:00"/>
    <s v="DZ"/>
    <s v="USD"/>
    <n v="146131"/>
    <n v="146131"/>
    <s v="BDT"/>
    <s v="EGM1"/>
    <n v="12114259.9"/>
    <s v=""/>
    <s v="0000001010"/>
    <s v="E04806US18-1528"/>
    <s v=""/>
    <s v=""/>
    <s v="0"/>
    <s v="424130731134"/>
    <s v=""/>
    <s v=""/>
    <s v=""/>
    <s v=""/>
    <s v=""/>
    <x v="0"/>
    <d v="2019-07-31T00:00:00"/>
    <s v="1906000003"/>
    <d v="2019-02-03T00:00:00"/>
    <s v=""/>
    <s v="1809000488"/>
  </r>
  <r>
    <s v="1809000488"/>
    <d v="2019-02-03T00:00:00"/>
    <d v="2019-02-03T00:00:00"/>
    <s v="DZ"/>
    <s v="USD"/>
    <n v="2422"/>
    <n v="2422"/>
    <s v="BDT"/>
    <s v="EGM1"/>
    <n v="200904.9"/>
    <s v=""/>
    <s v="0000001010"/>
    <s v="E04806US18-1528"/>
    <s v=""/>
    <s v=""/>
    <s v="0"/>
    <s v="424130731134"/>
    <s v=""/>
    <s v=""/>
    <s v=""/>
    <s v=""/>
    <s v=""/>
    <x v="0"/>
    <d v="2019-07-31T00:00:00"/>
    <s v="1906000004"/>
    <d v="2019-02-03T00:00:00"/>
    <s v=""/>
    <s v="1809000488"/>
  </r>
  <r>
    <s v="1809000488"/>
    <d v="2019-02-03T00:00:00"/>
    <d v="2019-02-03T00:00:00"/>
    <s v="DZ"/>
    <s v="USD"/>
    <n v="92819"/>
    <n v="92819"/>
    <s v="BDT"/>
    <s v="EGM1"/>
    <n v="7685413.2000000002"/>
    <s v=""/>
    <s v="0000001010"/>
    <s v="E04806US18-1528"/>
    <s v=""/>
    <s v=""/>
    <s v="0"/>
    <s v="424130731134"/>
    <s v=""/>
    <s v=""/>
    <s v=""/>
    <s v=""/>
    <s v=""/>
    <x v="0"/>
    <d v="2019-07-31T00:00:00"/>
    <s v="1906000005"/>
    <d v="2019-02-03T00:00:00"/>
    <s v=""/>
    <s v="1809000488"/>
  </r>
  <r>
    <s v="1809000488"/>
    <d v="2019-02-03T00:00:00"/>
    <d v="2019-02-03T00:00:00"/>
    <s v="DZ"/>
    <s v="USD"/>
    <n v="224843"/>
    <n v="224843"/>
    <s v="BDT"/>
    <s v="EGM1"/>
    <n v="18650726.850000001"/>
    <s v="E04806US18-1528"/>
    <s v="0000001010"/>
    <s v="E04806US18-1528"/>
    <s v=""/>
    <s v=""/>
    <s v="0"/>
    <s v="424130731134"/>
    <s v=""/>
    <s v=""/>
    <s v=""/>
    <s v=""/>
    <s v=""/>
    <x v="0"/>
    <d v="2019-02-03T00:00:00"/>
    <s v="1809000488"/>
    <d v="2019-02-03T00:00:00"/>
    <s v=""/>
    <s v="1809000488"/>
  </r>
  <r>
    <s v="1809000491"/>
    <d v="2019-03-05T00:00:00"/>
    <d v="2019-03-05T00:00:00"/>
    <s v="DZ"/>
    <s v="USD"/>
    <n v="-675689"/>
    <n v="-675689"/>
    <s v="BDT"/>
    <s v="EGM1"/>
    <n v="-56217324.799999997"/>
    <s v="CM Advance Received-424130746253"/>
    <s v="0000005010"/>
    <s v="ARV"/>
    <s v=""/>
    <s v=""/>
    <s v="0"/>
    <s v="424130746253"/>
    <s v=""/>
    <s v=""/>
    <s v=""/>
    <s v=""/>
    <s v=""/>
    <x v="0"/>
    <m/>
    <s v=""/>
    <d v="2019-03-05T00:00:00"/>
    <s v=""/>
    <s v="1809000491"/>
  </r>
  <r>
    <s v="1809000493"/>
    <d v="2019-03-06T00:00:00"/>
    <d v="2019-03-06T00:00:00"/>
    <s v="DZ"/>
    <s v="USD"/>
    <n v="89447"/>
    <n v="89447"/>
    <s v="BDT"/>
    <s v="EGM1"/>
    <n v="7419628.6500000004"/>
    <s v="CM Advance Adjust-424130724295"/>
    <s v="0000001010"/>
    <s v="E04761US19-0103"/>
    <s v=""/>
    <s v=""/>
    <s v="0"/>
    <s v="424130746752"/>
    <s v=""/>
    <s v=""/>
    <s v=""/>
    <s v=""/>
    <s v=""/>
    <x v="0"/>
    <d v="2019-05-02T00:00:00"/>
    <s v="1806000051"/>
    <d v="2019-03-06T00:00:00"/>
    <s v=""/>
    <s v="1809000493"/>
  </r>
  <r>
    <s v="1809000497"/>
    <d v="2019-03-07T00:00:00"/>
    <d v="2019-03-07T00:00:00"/>
    <s v="DZ"/>
    <s v="USD"/>
    <n v="17542"/>
    <n v="17542"/>
    <s v="BDT"/>
    <s v="EGM1"/>
    <n v="1455108.9"/>
    <s v="CM Advance Adjust-424130724295"/>
    <s v="0000001010"/>
    <s v="E04827US19-0122"/>
    <s v=""/>
    <s v=""/>
    <s v="0"/>
    <s v="424130747225"/>
    <s v=""/>
    <s v=""/>
    <s v=""/>
    <s v=""/>
    <s v=""/>
    <x v="0"/>
    <d v="2019-05-02T00:00:00"/>
    <s v="1806000051"/>
    <d v="2019-03-07T00:00:00"/>
    <s v=""/>
    <s v="1809000497"/>
  </r>
  <r>
    <s v="1809000498"/>
    <d v="2019-03-10T00:00:00"/>
    <d v="2019-03-10T00:00:00"/>
    <s v="DZ"/>
    <s v="USD"/>
    <n v="16001"/>
    <n v="16001"/>
    <s v="BDT"/>
    <s v="EGM1"/>
    <n v="1327282.95"/>
    <s v="CM Advance Adjust-424130730457"/>
    <s v="0000001010"/>
    <s v="E44775BM19UK0203"/>
    <s v=""/>
    <s v=""/>
    <s v="0"/>
    <s v="424130748572"/>
    <s v=""/>
    <s v=""/>
    <s v=""/>
    <s v=""/>
    <s v=""/>
    <x v="0"/>
    <d v="2019-06-30T00:00:00"/>
    <s v="1806000086"/>
    <d v="2019-03-10T00:00:00"/>
    <s v=""/>
    <s v="1809000498"/>
  </r>
  <r>
    <s v="1809000501"/>
    <d v="2019-03-11T00:00:00"/>
    <d v="2019-03-11T00:00:00"/>
    <s v="DZ"/>
    <s v="USD"/>
    <n v="-303911.76"/>
    <n v="-303911.76"/>
    <s v="BDT"/>
    <s v="EGM1"/>
    <n v="-25285458.440000001"/>
    <s v="CM Advance Received-424130749198"/>
    <s v="0000005010"/>
    <s v="IT06591903060364"/>
    <s v=""/>
    <s v=""/>
    <s v="0"/>
    <s v="424130749198"/>
    <s v=""/>
    <s v=""/>
    <s v=""/>
    <s v=""/>
    <s v=""/>
    <x v="0"/>
    <m/>
    <s v=""/>
    <d v="2019-03-11T00:00:00"/>
    <s v=""/>
    <s v="1809000501"/>
  </r>
  <r>
    <s v="1809000503"/>
    <d v="2019-03-13T00:00:00"/>
    <d v="2019-03-13T00:00:00"/>
    <s v="DZ"/>
    <s v="USD"/>
    <n v="122544"/>
    <n v="122544"/>
    <s v="BDT"/>
    <s v="EGM1"/>
    <n v="10165024.800000001"/>
    <s v="CM Advance Adjust-424130730965"/>
    <s v="0000001010"/>
    <s v="E04796US19-0127"/>
    <s v=""/>
    <s v=""/>
    <s v="0"/>
    <s v="424130750728"/>
    <s v=""/>
    <s v=""/>
    <s v=""/>
    <s v=""/>
    <s v=""/>
    <x v="0"/>
    <d v="2019-06-30T00:00:00"/>
    <s v="1806000068"/>
    <d v="2019-03-13T00:00:00"/>
    <s v=""/>
    <s v="1809000503"/>
  </r>
  <r>
    <s v="1809000503"/>
    <d v="2019-03-13T00:00:00"/>
    <d v="2019-03-13T00:00:00"/>
    <s v="DZ"/>
    <s v="USD"/>
    <n v="23114"/>
    <n v="23114"/>
    <s v="BDT"/>
    <s v="EGM1"/>
    <n v="1917306.3"/>
    <s v="CM Advance Adjust-424130724295"/>
    <s v="0000001010"/>
    <s v="E04796US19-0127"/>
    <s v=""/>
    <s v=""/>
    <s v="0"/>
    <s v="424130750728"/>
    <s v=""/>
    <s v=""/>
    <s v=""/>
    <s v=""/>
    <s v=""/>
    <x v="0"/>
    <d v="2019-05-02T00:00:00"/>
    <s v="1806000051"/>
    <d v="2019-03-13T00:00:00"/>
    <s v=""/>
    <s v="1809000503"/>
  </r>
  <r>
    <s v="1809000505"/>
    <d v="2019-03-13T00:00:00"/>
    <d v="2019-03-13T00:00:00"/>
    <s v="DZ"/>
    <s v="USD"/>
    <n v="55982.25"/>
    <n v="55982.25"/>
    <s v="BDT"/>
    <s v="EGM1"/>
    <n v="4657723.2"/>
    <s v="CM ADV ADJ-424130749198"/>
    <s v="0000005010"/>
    <s v="E44759AC19KT0189"/>
    <s v=""/>
    <s v=""/>
    <s v="0"/>
    <s v="424130751923"/>
    <s v=""/>
    <s v=""/>
    <s v=""/>
    <s v=""/>
    <s v=""/>
    <x v="0"/>
    <m/>
    <s v=""/>
    <d v="2019-03-13T00:00:00"/>
    <s v=""/>
    <s v="1809000505"/>
  </r>
  <r>
    <s v="1809000506"/>
    <d v="2019-03-14T00:00:00"/>
    <d v="2019-03-14T00:00:00"/>
    <s v="DZ"/>
    <s v="USD"/>
    <n v="80428"/>
    <n v="80428"/>
    <s v="BDT"/>
    <s v="EGM1"/>
    <n v="6671502.5999999996"/>
    <s v="CM Advance Adjust-424130730965"/>
    <s v="0000001010"/>
    <s v="E04834WM19CA0132"/>
    <s v=""/>
    <s v=""/>
    <s v="0"/>
    <s v="424130752726"/>
    <s v=""/>
    <s v=""/>
    <s v=""/>
    <s v=""/>
    <s v=""/>
    <x v="0"/>
    <d v="2019-06-30T00:00:00"/>
    <s v="1806000068"/>
    <d v="2019-03-14T00:00:00"/>
    <s v=""/>
    <s v="1809000506"/>
  </r>
  <r>
    <s v="1809000506"/>
    <d v="2019-03-14T00:00:00"/>
    <d v="2019-03-14T00:00:00"/>
    <s v="DZ"/>
    <s v="USD"/>
    <n v="32965"/>
    <n v="32965"/>
    <s v="BDT"/>
    <s v="EGM1"/>
    <n v="2734446.75"/>
    <s v="CM Advance Adjust-424130724295"/>
    <s v="0000001010"/>
    <s v="E04834WM19CA0132"/>
    <s v=""/>
    <s v=""/>
    <s v="0"/>
    <s v="424130752726"/>
    <s v=""/>
    <s v=""/>
    <s v=""/>
    <s v=""/>
    <s v=""/>
    <x v="0"/>
    <d v="2019-05-02T00:00:00"/>
    <s v="1806000051"/>
    <d v="2019-03-14T00:00:00"/>
    <s v=""/>
    <s v="1809000506"/>
  </r>
  <r>
    <s v="1809000509"/>
    <d v="2019-03-19T00:00:00"/>
    <d v="2019-03-19T00:00:00"/>
    <s v="DZ"/>
    <s v="USD"/>
    <n v="79517"/>
    <n v="79517"/>
    <s v="BDT"/>
    <s v="EGM1"/>
    <n v="6595935.1500000004"/>
    <s v="CM Advance adjust-424130736022"/>
    <s v="0000001010"/>
    <s v="E04859US19-0171"/>
    <s v=""/>
    <s v=""/>
    <s v="0"/>
    <s v="424130753501"/>
    <s v=""/>
    <s v=""/>
    <s v=""/>
    <s v=""/>
    <s v=""/>
    <x v="0"/>
    <d v="2019-06-30T00:00:00"/>
    <s v="1806000065"/>
    <d v="2019-03-19T00:00:00"/>
    <s v=""/>
    <s v="1809000509"/>
  </r>
  <r>
    <s v="1809000512"/>
    <d v="2019-03-03T00:00:00"/>
    <d v="2019-03-03T00:00:00"/>
    <s v="DZ"/>
    <s v="USD"/>
    <n v="38752"/>
    <n v="38752"/>
    <s v="BDT"/>
    <s v="EGM2"/>
    <n v="3214478.41"/>
    <s v="CM Advance adjust-424130732623"/>
    <s v="0000001010"/>
    <s v="04913190089KR"/>
    <s v=""/>
    <s v=""/>
    <s v="0"/>
    <s v="424130745067"/>
    <s v=""/>
    <s v=""/>
    <s v=""/>
    <s v=""/>
    <s v=""/>
    <x v="0"/>
    <d v="2019-03-03T00:00:00"/>
    <s v="1809000512"/>
    <d v="2019-03-03T00:00:00"/>
    <s v=""/>
    <s v="1809000512"/>
  </r>
  <r>
    <s v="1809000513"/>
    <d v="2019-03-06T00:00:00"/>
    <d v="2019-03-06T00:00:00"/>
    <s v="DZ"/>
    <s v="USD"/>
    <n v="-263510.27"/>
    <n v="-263510.27"/>
    <s v="BDT"/>
    <s v="EGM2"/>
    <n v="-21924054.469999999"/>
    <s v="CM Advance Received-424130746725"/>
    <s v="0000005010"/>
    <s v="IT06591903060183"/>
    <s v=""/>
    <s v=""/>
    <s v="0"/>
    <s v="424130746725"/>
    <s v=""/>
    <s v=""/>
    <s v=""/>
    <s v=""/>
    <s v=""/>
    <x v="0"/>
    <m/>
    <s v=""/>
    <d v="2019-03-06T00:00:00"/>
    <s v=""/>
    <s v="1809000513"/>
  </r>
  <r>
    <s v="1809000514"/>
    <d v="2019-03-06T00:00:00"/>
    <d v="2019-03-06T00:00:00"/>
    <s v="DZ"/>
    <s v="USD"/>
    <n v="-41874"/>
    <n v="-41874"/>
    <s v="BDT"/>
    <s v="EGM2"/>
    <n v="-3483916.8"/>
    <s v="CM Advance Received-424130746734"/>
    <s v="0000005010"/>
    <s v="IT06591903050244"/>
    <s v=""/>
    <s v=""/>
    <s v="0"/>
    <s v="424130746734"/>
    <s v=""/>
    <s v=""/>
    <s v=""/>
    <s v=""/>
    <s v=""/>
    <x v="0"/>
    <d v="2019-03-06T00:00:00"/>
    <s v="1803009042"/>
    <d v="2019-03-06T00:00:00"/>
    <s v=""/>
    <s v="1809000514"/>
  </r>
  <r>
    <s v="1809000515"/>
    <d v="2019-03-07T00:00:00"/>
    <d v="2019-03-07T00:00:00"/>
    <s v="DZ"/>
    <s v="USD"/>
    <n v="1980.33"/>
    <n v="1980.33"/>
    <s v="BDT"/>
    <s v="EGM2"/>
    <n v="164268.37"/>
    <s v="CM Advance adjust-424130713813"/>
    <s v="0000005010"/>
    <s v="E24883VF19US0047"/>
    <s v=""/>
    <s v=""/>
    <s v="0"/>
    <s v="424130747234"/>
    <s v=""/>
    <s v=""/>
    <s v=""/>
    <s v=""/>
    <s v=""/>
    <x v="0"/>
    <m/>
    <s v=""/>
    <d v="2019-03-07T00:00:00"/>
    <s v=""/>
    <s v="1809000515"/>
  </r>
  <r>
    <s v="1809000516"/>
    <d v="2019-03-07T00:00:00"/>
    <d v="2019-03-07T00:00:00"/>
    <s v="DZ"/>
    <s v="USD"/>
    <n v="312"/>
    <n v="312"/>
    <s v="BDT"/>
    <s v="EGM2"/>
    <n v="25833.599999999999"/>
    <s v="CM Advance adjust-424130674357"/>
    <s v="0000001010"/>
    <s v="04913190101MY"/>
    <s v=""/>
    <s v=""/>
    <s v="0"/>
    <s v="424130747243"/>
    <s v=""/>
    <s v=""/>
    <s v=""/>
    <s v=""/>
    <s v=""/>
    <x v="0"/>
    <d v="2019-06-30T00:00:00"/>
    <s v="1806000080"/>
    <d v="2019-03-07T00:00:00"/>
    <s v=""/>
    <s v="1809000516"/>
  </r>
  <r>
    <s v="1809000518"/>
    <d v="2019-03-13T00:00:00"/>
    <d v="2019-03-13T00:00:00"/>
    <s v="DZ"/>
    <s v="USD"/>
    <n v="14313"/>
    <n v="14313"/>
    <s v="BDT"/>
    <s v="EGM1"/>
    <n v="1187263.3500000001"/>
    <s v="CM Advance adjust-424130712985"/>
    <s v="0000001010"/>
    <s v="E24721VF19US0067"/>
    <s v=""/>
    <s v=""/>
    <s v="0"/>
    <s v="424130750755"/>
    <s v=""/>
    <s v=""/>
    <s v=""/>
    <s v=""/>
    <s v=""/>
    <x v="0"/>
    <d v="2019-06-30T00:00:00"/>
    <s v="1806000090"/>
    <d v="2019-03-13T00:00:00"/>
    <s v=""/>
    <s v="1809000518"/>
  </r>
  <r>
    <s v="1809000519"/>
    <d v="2019-03-18T00:00:00"/>
    <d v="2019-03-18T00:00:00"/>
    <s v="DZ"/>
    <s v="USD"/>
    <n v="1439"/>
    <n v="1439"/>
    <s v="BDT"/>
    <s v="EGM2"/>
    <n v="119293.1"/>
    <s v="CM Advance adjust-424130687691"/>
    <s v="0000001010"/>
    <s v="E24736VF19US0107"/>
    <s v=""/>
    <s v=""/>
    <s v="0"/>
    <s v="424130752744"/>
    <s v=""/>
    <s v=""/>
    <s v=""/>
    <s v=""/>
    <s v=""/>
    <x v="0"/>
    <d v="2019-06-30T00:00:00"/>
    <s v="1806000076"/>
    <d v="2019-03-18T00:00:00"/>
    <s v=""/>
    <s v="1809000519"/>
  </r>
  <r>
    <s v="1809000519"/>
    <d v="2019-03-18T00:00:00"/>
    <d v="2019-03-18T00:00:00"/>
    <s v="DZ"/>
    <s v="USD"/>
    <n v="552"/>
    <n v="552"/>
    <s v="BDT"/>
    <s v="EGM2"/>
    <n v="45788.4"/>
    <s v="CM Advance adjust-424130698858"/>
    <s v="0000001010"/>
    <s v="E24736VF19US0107"/>
    <s v=""/>
    <s v=""/>
    <s v="0"/>
    <s v="424130752744"/>
    <s v=""/>
    <s v=""/>
    <s v=""/>
    <s v=""/>
    <s v=""/>
    <x v="0"/>
    <d v="2019-06-30T00:00:00"/>
    <s v="1806000077"/>
    <d v="2019-03-18T00:00:00"/>
    <s v=""/>
    <s v="1809000519"/>
  </r>
  <r>
    <s v="1809000520"/>
    <d v="2019-03-05T00:00:00"/>
    <d v="2019-03-05T00:00:00"/>
    <s v="DZ"/>
    <s v="USD"/>
    <n v="-814613.6"/>
    <n v="-814613.6"/>
    <s v="BDT"/>
    <s v="EGM1"/>
    <n v="-67775851.519999996"/>
    <s v="CM ADVANCE RECEIVE REF-424130745469"/>
    <s v="0000001010"/>
    <s v="IT06591903020026"/>
    <s v=""/>
    <s v=""/>
    <s v="0"/>
    <s v="424130745469"/>
    <s v=""/>
    <s v=""/>
    <s v=""/>
    <s v=""/>
    <s v=""/>
    <x v="0"/>
    <d v="2019-06-30T00:00:00"/>
    <s v="1806000085"/>
    <d v="2019-03-05T00:00:00"/>
    <s v=""/>
    <s v="1809000520"/>
  </r>
  <r>
    <s v="1809000521"/>
    <d v="2019-03-13T00:00:00"/>
    <d v="2019-03-13T00:00:00"/>
    <s v="DZ"/>
    <s v="USD"/>
    <n v="7765"/>
    <n v="7765"/>
    <s v="BDT"/>
    <s v="EGM1"/>
    <n v="646048"/>
    <s v="CM ADV Adjusted REF-424130745469"/>
    <s v="0000001010"/>
    <s v="E54813KH19US0141"/>
    <s v=""/>
    <s v=""/>
    <s v="0"/>
    <s v="424130750737"/>
    <s v=""/>
    <s v=""/>
    <s v=""/>
    <s v=""/>
    <s v=""/>
    <x v="0"/>
    <d v="2019-06-30T00:00:00"/>
    <s v="1806000085"/>
    <d v="2019-03-13T00:00:00"/>
    <s v=""/>
    <s v="1809000521"/>
  </r>
  <r>
    <s v="1809000522"/>
    <d v="2019-03-19T00:00:00"/>
    <d v="2019-03-19T00:00:00"/>
    <s v="DZ"/>
    <s v="USD"/>
    <n v="50499"/>
    <n v="50499"/>
    <s v="BDT"/>
    <s v="EGM1"/>
    <n v="4201516.8"/>
    <s v="CM ADV Adjusted REF-424130745469"/>
    <s v="0000001010"/>
    <s v="E4829SB19UK0206"/>
    <s v=""/>
    <s v=""/>
    <s v="0"/>
    <s v="424130753510"/>
    <s v=""/>
    <s v=""/>
    <s v=""/>
    <s v=""/>
    <s v=""/>
    <x v="0"/>
    <d v="2019-06-30T00:00:00"/>
    <s v="1806000085"/>
    <d v="2019-03-19T00:00:00"/>
    <s v=""/>
    <s v="1809000522"/>
  </r>
  <r>
    <s v="1809000523"/>
    <d v="2019-03-19T00:00:00"/>
    <d v="2019-03-19T00:00:00"/>
    <s v="DZ"/>
    <s v="USD"/>
    <n v="121862.69"/>
    <n v="121862.69"/>
    <s v="BDT"/>
    <s v="EGM2"/>
    <n v="10138975.810000001"/>
    <s v="Cm Advanc adjust-424130746725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65709.37"/>
    <n v="65709.37"/>
    <s v="BDT"/>
    <s v="EGM2"/>
    <n v="5450592.2400000002"/>
    <s v="Cm Advanc adjust-42413073510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11306.27"/>
    <n v="11306.27"/>
    <s v="BDT"/>
    <s v="EGM2"/>
    <n v="937855.1"/>
    <s v="Cm Advanc adjust-42413071382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6451.23"/>
    <n v="6451.23"/>
    <s v="BDT"/>
    <s v="EGM2"/>
    <n v="535129.53"/>
    <s v="Cm Advanc adjust-424130713813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3"/>
    <d v="2019-03-19T00:00:00"/>
    <d v="2019-03-19T00:00:00"/>
    <s v="DZ"/>
    <s v="USD"/>
    <n v="53877.25"/>
    <n v="53877.25"/>
    <s v="BDT"/>
    <s v="EGM2"/>
    <n v="4469117.91"/>
    <s v="E24809VF19US0002"/>
    <s v="0000005010"/>
    <s v="E24809VF19US0002"/>
    <s v=""/>
    <s v=""/>
    <s v="0"/>
    <s v="424130754154"/>
    <s v=""/>
    <s v=""/>
    <s v=""/>
    <s v=""/>
    <s v=""/>
    <x v="0"/>
    <d v="2019-03-19T00:00:00"/>
    <s v="1803009023"/>
    <d v="2019-03-19T00:00:00"/>
    <s v=""/>
    <s v="1809000523"/>
  </r>
  <r>
    <s v="1809000524"/>
    <d v="2019-03-19T00:00:00"/>
    <d v="2019-03-19T00:00:00"/>
    <s v="DZ"/>
    <s v="USD"/>
    <n v="121862.69"/>
    <n v="121862.69"/>
    <s v="BDT"/>
    <s v="EGM2"/>
    <n v="10138975.810000001"/>
    <s v="Cm Advanc adjust-424130746725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65709.37"/>
    <n v="65709.37"/>
    <s v="BDT"/>
    <s v="EGM2"/>
    <n v="5450592.2400000002"/>
    <s v="Cm Advanc adjust-424130735103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11306.27"/>
    <n v="11306.27"/>
    <s v="BDT"/>
    <s v="EGM2"/>
    <n v="937855.1"/>
    <s v="Cm Advanc adjust-424130713822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6451.23"/>
    <n v="6451.23"/>
    <s v="BDT"/>
    <s v="EGM2"/>
    <n v="535129.53"/>
    <s v="Cm Advanc adjust-424130713813"/>
    <s v="0000005010"/>
    <s v="E24809VF19US0002"/>
    <s v=""/>
    <s v=""/>
    <s v="0"/>
    <s v="424130754154"/>
    <s v=""/>
    <s v=""/>
    <s v=""/>
    <s v=""/>
    <s v=""/>
    <x v="0"/>
    <m/>
    <s v=""/>
    <d v="2019-03-19T00:00:00"/>
    <s v=""/>
    <s v="1809000524"/>
  </r>
  <r>
    <s v="1809000524"/>
    <d v="2019-03-19T00:00:00"/>
    <d v="2019-03-19T00:00:00"/>
    <s v="DZ"/>
    <s v="USD"/>
    <n v="53877.25"/>
    <n v="53877.25"/>
    <s v="BDT"/>
    <s v="EGM2"/>
    <n v="4469117.91"/>
    <s v="E24809VF19US0002"/>
    <s v="0000005010"/>
    <s v="E24809VF19US0002"/>
    <s v=""/>
    <s v=""/>
    <s v="0"/>
    <s v="424130754154"/>
    <s v=""/>
    <s v=""/>
    <s v=""/>
    <s v=""/>
    <s v=""/>
    <x v="0"/>
    <d v="2019-03-19T00:00:00"/>
    <s v="1809000524"/>
    <d v="2019-03-19T00:00:00"/>
    <s v=""/>
    <s v="1809000524"/>
  </r>
  <r>
    <s v="1809000525"/>
    <d v="2019-03-24T00:00:00"/>
    <d v="2019-03-24T00:00:00"/>
    <s v="DZ"/>
    <s v="USD"/>
    <n v="4370"/>
    <n v="4370"/>
    <s v="BDT"/>
    <s v="EGM1"/>
    <n v="363584"/>
    <s v="Cm Advanc adjust-424130745469"/>
    <s v="0000001010"/>
    <s v="E4763SB19UK0233"/>
    <s v=""/>
    <s v=""/>
    <s v="0"/>
    <s v="424130755634"/>
    <s v=""/>
    <s v=""/>
    <s v=""/>
    <s v=""/>
    <s v=""/>
    <x v="0"/>
    <d v="2019-06-30T00:00:00"/>
    <s v="1806000085"/>
    <d v="2019-03-24T00:00:00"/>
    <s v=""/>
    <s v="1809000525"/>
  </r>
  <r>
    <s v="1809000527"/>
    <d v="2019-03-06T00:00:00"/>
    <d v="2019-03-06T00:00:00"/>
    <s v="DZ"/>
    <s v="USD"/>
    <n v="-41874"/>
    <n v="-41874"/>
    <s v="BDT"/>
    <s v="EGM2"/>
    <n v="-3483916.8"/>
    <s v="Cm Advance Received-424130746734"/>
    <s v="0000001010"/>
    <s v="IT06591903050244"/>
    <s v=""/>
    <s v=""/>
    <s v="0"/>
    <s v="424130746734"/>
    <s v=""/>
    <s v=""/>
    <s v=""/>
    <s v=""/>
    <s v=""/>
    <x v="0"/>
    <d v="2019-06-30T00:00:00"/>
    <s v="1806000081"/>
    <d v="2019-03-06T00:00:00"/>
    <s v=""/>
    <s v="1809000527"/>
  </r>
  <r>
    <s v="1809000528"/>
    <d v="2019-03-21T00:00:00"/>
    <d v="2019-03-21T00:00:00"/>
    <s v="DZ"/>
    <s v="USD"/>
    <n v="12482"/>
    <n v="12482"/>
    <s v="BDT"/>
    <s v="EGM2"/>
    <n v="1038502.4"/>
    <s v="Cm Advanc adjust-424130746734"/>
    <s v="0000001010"/>
    <s v="05041190111US"/>
    <s v=""/>
    <s v=""/>
    <s v="0"/>
    <s v="424130754172"/>
    <s v=""/>
    <s v=""/>
    <s v=""/>
    <s v=""/>
    <s v=""/>
    <x v="0"/>
    <d v="2019-06-30T00:00:00"/>
    <s v="1806000081"/>
    <d v="2019-03-21T00:00:00"/>
    <s v=""/>
    <s v="1809000528"/>
  </r>
  <r>
    <s v="1809000529"/>
    <d v="2019-03-28T00:00:00"/>
    <d v="2019-03-28T00:00:00"/>
    <s v="DZ"/>
    <s v="USD"/>
    <n v="18928"/>
    <n v="18928"/>
    <s v="BDT"/>
    <s v="EGM2"/>
    <n v="1574809.6000000001"/>
    <s v="Cm Advanc adjust-424130746734"/>
    <s v="0000001010"/>
    <s v="05041190112SE"/>
    <s v=""/>
    <s v=""/>
    <s v="0"/>
    <s v="424130757231"/>
    <s v=""/>
    <s v=""/>
    <s v=""/>
    <s v=""/>
    <s v=""/>
    <x v="0"/>
    <d v="2019-06-30T00:00:00"/>
    <s v="1806000081"/>
    <d v="2019-03-28T00:00:00"/>
    <s v=""/>
    <s v="1809000529"/>
  </r>
  <r>
    <s v="1809000530"/>
    <d v="2019-03-31T00:00:00"/>
    <d v="2019-03-31T00:00:00"/>
    <s v="DZ"/>
    <s v="USD"/>
    <n v="2933"/>
    <n v="2933"/>
    <s v="BDT"/>
    <s v="EGM2"/>
    <n v="242852.4"/>
    <s v="Cm Advanc adjust-424130681081"/>
    <s v="0000001010"/>
    <s v="05041190133ES"/>
    <s v=""/>
    <s v=""/>
    <s v="0"/>
    <s v="424130759845"/>
    <s v=""/>
    <s v=""/>
    <s v=""/>
    <s v=""/>
    <s v=""/>
    <x v="0"/>
    <d v="2019-06-30T00:00:00"/>
    <s v="1806000078"/>
    <d v="2019-03-31T00:00:00"/>
    <s v=""/>
    <s v="1809000530"/>
  </r>
  <r>
    <s v="1809000530"/>
    <d v="2019-03-31T00:00:00"/>
    <d v="2019-03-31T00:00:00"/>
    <s v="DZ"/>
    <s v="USD"/>
    <n v="467"/>
    <n v="467"/>
    <s v="BDT"/>
    <s v="EGM2"/>
    <n v="38854.400000000001"/>
    <s v="Cm Advanc adjust-424130746734"/>
    <s v="0000001010"/>
    <s v="05041190133ES"/>
    <s v=""/>
    <s v=""/>
    <s v="0"/>
    <s v="424130759845"/>
    <s v=""/>
    <s v=""/>
    <s v=""/>
    <s v=""/>
    <s v=""/>
    <x v="0"/>
    <d v="2019-06-30T00:00:00"/>
    <s v="1806000081"/>
    <d v="2019-03-31T00:00:00"/>
    <s v=""/>
    <s v="1809000530"/>
  </r>
  <r>
    <s v="1809000531"/>
    <d v="2019-03-19T00:00:00"/>
    <d v="2019-03-19T00:00:00"/>
    <s v="DZ"/>
    <s v="USD"/>
    <n v="233824.77"/>
    <n v="233824.77"/>
    <s v="BDT"/>
    <s v="EGM1"/>
    <n v="19454220.870000001"/>
    <s v="Cm Advanc adjust-424130749198"/>
    <s v="0000005010"/>
    <s v="E34663TC19US0199"/>
    <s v=""/>
    <s v=""/>
    <s v="0"/>
    <s v="424130753495"/>
    <s v=""/>
    <s v=""/>
    <s v=""/>
    <s v=""/>
    <s v=""/>
    <x v="0"/>
    <m/>
    <s v=""/>
    <d v="2019-03-19T00:00:00"/>
    <s v=""/>
    <s v="1809000531"/>
  </r>
  <r>
    <s v="1809000534"/>
    <d v="2019-03-28T00:00:00"/>
    <d v="2019-03-28T00:00:00"/>
    <s v="DZ"/>
    <s v="USD"/>
    <n v="28331"/>
    <n v="28331"/>
    <s v="BDT"/>
    <s v="EGM1"/>
    <n v="2350056.4500000002"/>
    <s v="Cm Advanc adjust-424130736022"/>
    <s v="0000001010"/>
    <s v="E04878US19-0216"/>
    <s v=""/>
    <s v=""/>
    <s v="0"/>
    <s v="424130757222"/>
    <s v=""/>
    <s v=""/>
    <s v=""/>
    <s v=""/>
    <s v=""/>
    <x v="0"/>
    <d v="2019-06-30T00:00:00"/>
    <s v="1806000065"/>
    <d v="2019-03-28T00:00:00"/>
    <s v=""/>
    <s v="1809000534"/>
  </r>
  <r>
    <s v="1809000534"/>
    <d v="2019-03-28T00:00:00"/>
    <d v="2019-03-28T00:00:00"/>
    <s v="DZ"/>
    <s v="USD"/>
    <n v="11400"/>
    <n v="11400"/>
    <s v="BDT"/>
    <s v="EGM1"/>
    <n v="945630"/>
    <s v="Cm Advanc adjust-424130730965"/>
    <s v="0000001010"/>
    <s v="E04878US19-0216"/>
    <s v=""/>
    <s v=""/>
    <s v="0"/>
    <s v="424130757222"/>
    <s v=""/>
    <s v=""/>
    <s v=""/>
    <s v=""/>
    <s v=""/>
    <x v="0"/>
    <d v="2019-06-30T00:00:00"/>
    <s v="1806000068"/>
    <d v="2019-03-28T00:00:00"/>
    <s v=""/>
    <s v="1809000534"/>
  </r>
  <r>
    <s v="1809000535"/>
    <d v="2019-03-31T00:00:00"/>
    <d v="2019-03-31T00:00:00"/>
    <s v="DZ"/>
    <s v="USD"/>
    <n v="9997"/>
    <n v="9997"/>
    <s v="BDT"/>
    <s v="EGM2"/>
    <n v="831750.4"/>
    <s v="Cm Advanc adjust-424130746734"/>
    <s v="0000001010"/>
    <s v="E25047VF19MX0141"/>
    <s v=""/>
    <s v=""/>
    <s v="0"/>
    <s v="424130758490"/>
    <s v=""/>
    <s v=""/>
    <s v=""/>
    <s v=""/>
    <s v=""/>
    <x v="0"/>
    <d v="2019-06-30T00:00:00"/>
    <s v="1806000081"/>
    <d v="2019-03-31T00:00:00"/>
    <s v=""/>
    <s v="1809000535"/>
  </r>
  <r>
    <s v="1809000536"/>
    <d v="2019-03-31T00:00:00"/>
    <d v="2019-03-31T00:00:00"/>
    <s v="DZ"/>
    <s v="USD"/>
    <n v="10511.38"/>
    <n v="10511.38"/>
    <s v="BDT"/>
    <s v="EGM1"/>
    <n v="874546.82"/>
    <s v="Cm Advanc adjust-424130746253"/>
    <s v="0000005010"/>
    <s v="DE4747TS19UK0244"/>
    <s v=""/>
    <s v=""/>
    <s v="0"/>
    <s v="424130759827"/>
    <s v=""/>
    <s v=""/>
    <s v=""/>
    <s v=""/>
    <s v=""/>
    <x v="0"/>
    <m/>
    <s v=""/>
    <d v="2019-03-31T00:00:00"/>
    <s v=""/>
    <s v="1809000536"/>
  </r>
  <r>
    <s v="1809000537"/>
    <d v="2019-03-31T00:00:00"/>
    <d v="2019-03-31T00:00:00"/>
    <s v="DZ"/>
    <s v="USD"/>
    <n v="7412"/>
    <n v="7412"/>
    <s v="BDT"/>
    <s v="EGM1"/>
    <n v="616678.40000000002"/>
    <s v="Cm Advanc adjust-424130745469"/>
    <s v="0000001010"/>
    <s v="E4488BM19UK0253"/>
    <s v=""/>
    <s v=""/>
    <s v="0"/>
    <s v="424130759836"/>
    <s v=""/>
    <s v=""/>
    <s v=""/>
    <s v=""/>
    <s v=""/>
    <x v="0"/>
    <d v="2019-06-30T00:00:00"/>
    <s v="1806000085"/>
    <d v="2019-03-31T00:00:00"/>
    <s v=""/>
    <s v="1809000537"/>
  </r>
  <r>
    <s v="1809000538"/>
    <d v="2019-03-31T00:00:00"/>
    <d v="2019-03-31T00:00:00"/>
    <s v="DZ"/>
    <s v="USD"/>
    <n v="73296"/>
    <n v="73296"/>
    <s v="BDT"/>
    <s v="EGM1"/>
    <n v="6079903.2000000002"/>
    <s v="Cm Advanc adjust-424130736022"/>
    <s v="0000001010"/>
    <s v="E04877US19-0213"/>
    <s v=""/>
    <s v=""/>
    <s v="0"/>
    <s v="424130759729"/>
    <s v=""/>
    <s v=""/>
    <s v=""/>
    <s v=""/>
    <s v=""/>
    <x v="0"/>
    <d v="2019-06-30T00:00:00"/>
    <s v="1806000065"/>
    <d v="2019-03-31T00:00:00"/>
    <s v=""/>
    <s v="1809000538"/>
  </r>
  <r>
    <s v="1809000538"/>
    <d v="2019-03-31T00:00:00"/>
    <d v="2019-03-31T00:00:00"/>
    <s v="DZ"/>
    <s v="USD"/>
    <n v="40292"/>
    <n v="40292"/>
    <s v="BDT"/>
    <s v="EGM1"/>
    <n v="3342221.4"/>
    <s v="Cm Advanc adjust-424130730965"/>
    <s v="0000001010"/>
    <s v="E04877US19-0213"/>
    <s v=""/>
    <s v=""/>
    <s v="0"/>
    <s v="424130759729"/>
    <s v=""/>
    <s v=""/>
    <s v=""/>
    <s v=""/>
    <s v=""/>
    <x v="0"/>
    <d v="2019-06-30T00:00:00"/>
    <s v="1806000068"/>
    <d v="2019-03-31T00:00:00"/>
    <s v=""/>
    <s v="1809000538"/>
  </r>
  <r>
    <s v="1809000539"/>
    <d v="2019-03-31T00:00:00"/>
    <d v="2019-03-31T00:00:00"/>
    <s v="DZ"/>
    <s v="USD"/>
    <n v="683"/>
    <n v="683"/>
    <s v="BDT"/>
    <s v="EGM1"/>
    <n v="56825.599999999999"/>
    <s v="E4752SB19UK0090"/>
    <s v="0000001010"/>
    <s v="E4752SB19UK0090"/>
    <s v=""/>
    <s v=""/>
    <s v="0"/>
    <s v="424130758481"/>
    <s v=""/>
    <s v=""/>
    <s v=""/>
    <s v=""/>
    <s v=""/>
    <x v="0"/>
    <d v="2019-06-30T00:00:00"/>
    <s v="1806000085"/>
    <d v="2019-03-31T00:00:00"/>
    <s v=""/>
    <s v="1809000539"/>
  </r>
  <r>
    <s v="1809000540"/>
    <d v="2019-03-31T00:00:00"/>
    <d v="2019-03-31T00:00:00"/>
    <s v="DZ"/>
    <s v="USD"/>
    <n v="6911.5"/>
    <n v="6911.5"/>
    <s v="BDT"/>
    <s v="EGM1"/>
    <n v="575036.80000000005"/>
    <s v="Cm Advanc adjust-424130749198"/>
    <s v="0000005010"/>
    <s v="DE4747TS19CE0174"/>
    <s v=""/>
    <s v=""/>
    <s v="0"/>
    <s v="424130758472"/>
    <s v=""/>
    <s v=""/>
    <s v=""/>
    <s v=""/>
    <s v=""/>
    <x v="0"/>
    <m/>
    <s v=""/>
    <d v="2019-03-31T00:00:00"/>
    <s v=""/>
    <s v="1809000540"/>
  </r>
  <r>
    <s v="1809000541"/>
    <d v="2019-03-20T00:00:00"/>
    <d v="2019-03-20T00:00:00"/>
    <s v="DZ"/>
    <s v="USD"/>
    <n v="17139.07"/>
    <n v="17139.07"/>
    <s v="BDT"/>
    <s v="EGM2"/>
    <n v="1425970.62"/>
    <s v="Cm Advanc adjust-424130746725"/>
    <s v="0000005010"/>
    <s v="E24939VF19US0110"/>
    <s v=""/>
    <s v=""/>
    <s v="0"/>
    <s v="424130754163"/>
    <s v=""/>
    <s v=""/>
    <s v=""/>
    <s v=""/>
    <s v=""/>
    <x v="0"/>
    <m/>
    <s v=""/>
    <d v="2019-03-20T00:00:00"/>
    <s v=""/>
    <s v="1809000541"/>
  </r>
  <r>
    <s v="1809000541"/>
    <d v="2019-03-20T00:00:00"/>
    <d v="2019-03-20T00:00:00"/>
    <s v="DZ"/>
    <s v="USD"/>
    <n v="1764.57"/>
    <n v="1764.57"/>
    <s v="BDT"/>
    <s v="EGM2"/>
    <n v="146371.07999999999"/>
    <s v="Cm Advanc adjust-424130735103"/>
    <s v="0000005010"/>
    <s v="E24939VF19US0110"/>
    <s v=""/>
    <s v=""/>
    <s v="0"/>
    <s v="424130754163"/>
    <s v=""/>
    <s v=""/>
    <s v=""/>
    <s v=""/>
    <s v=""/>
    <x v="0"/>
    <m/>
    <s v=""/>
    <d v="2019-03-20T00:00:00"/>
    <s v=""/>
    <s v="1809000541"/>
  </r>
  <r>
    <s v="1809000544"/>
    <d v="2019-03-31T00:00:00"/>
    <d v="2019-03-31T00:00:00"/>
    <s v="DZ"/>
    <s v="USD"/>
    <n v="-46741.62"/>
    <n v="-46741.62"/>
    <s v="BDT"/>
    <s v="EGM1"/>
    <n v="-3877217.38"/>
    <s v="FIT-CM ADV-MAR-19"/>
    <s v="0000001010"/>
    <s v="FIT-CM ADV-MAR19"/>
    <s v=""/>
    <s v=""/>
    <s v="0"/>
    <s v="CM ADV. FIT - MAR-19"/>
    <s v=""/>
    <s v=""/>
    <s v=""/>
    <s v=""/>
    <s v=""/>
    <x v="0"/>
    <d v="2019-04-01T00:00:00"/>
    <s v="1803011024"/>
    <d v="2019-03-31T00:00:00"/>
    <s v=""/>
    <s v="1809000544"/>
  </r>
  <r>
    <s v="1809000546"/>
    <d v="2019-03-31T00:00:00"/>
    <d v="2019-03-31T00:00:00"/>
    <s v="DZ"/>
    <s v="USD"/>
    <n v="89165.05"/>
    <n v="89165.05"/>
    <s v="BDT"/>
    <s v="EGM1"/>
    <n v="7418532.1600000001"/>
    <s v="FIT-CM ADV DWC-MAR-19"/>
    <s v="0000005010"/>
    <s v="FIT-CM DWC-MAR19"/>
    <s v=""/>
    <s v=""/>
    <s v="0"/>
    <s v="FIT-CM ADV DWC-MAR-19"/>
    <s v=""/>
    <s v=""/>
    <s v=""/>
    <s v=""/>
    <s v=""/>
    <x v="0"/>
    <d v="2019-04-01T00:00:00"/>
    <s v="1803011025"/>
    <d v="2019-03-31T00:00:00"/>
    <s v=""/>
    <s v="1809000546"/>
  </r>
  <r>
    <s v="1809000550"/>
    <d v="2019-04-03T00:00:00"/>
    <d v="2019-04-03T00:00:00"/>
    <s v="DZ"/>
    <s v="USD"/>
    <n v="71179"/>
    <n v="71179"/>
    <s v="BDT"/>
    <s v="EGM1"/>
    <n v="5904298.0499999998"/>
    <s v="Cm adv adujust Ref-424130736022"/>
    <s v="0000001010"/>
    <s v="E04841US19-0210"/>
    <s v=""/>
    <s v=""/>
    <s v="0"/>
    <s v="424130761547"/>
    <s v=""/>
    <s v=""/>
    <s v=""/>
    <s v=""/>
    <s v=""/>
    <x v="0"/>
    <d v="2019-06-30T00:00:00"/>
    <s v="1806000065"/>
    <d v="2019-04-03T00:00:00"/>
    <s v=""/>
    <s v="1809000550"/>
  </r>
  <r>
    <s v="1809000551"/>
    <d v="2019-04-03T00:00:00"/>
    <d v="2019-04-03T00:00:00"/>
    <s v="DZ"/>
    <s v="USD"/>
    <n v="1093"/>
    <n v="1093"/>
    <s v="BDT"/>
    <s v="EGM1"/>
    <n v="90937.600000000006"/>
    <s v="Cm adv adujust Ref-424130745469"/>
    <s v="0000001010"/>
    <s v="E4959SB19UK0280"/>
    <s v=""/>
    <s v=""/>
    <s v="0"/>
    <s v="424130762154"/>
    <s v=""/>
    <s v=""/>
    <s v=""/>
    <s v=""/>
    <s v=""/>
    <x v="0"/>
    <d v="2019-06-30T00:00:00"/>
    <s v="1806000085"/>
    <d v="2019-04-03T00:00:00"/>
    <s v=""/>
    <s v="1809000551"/>
  </r>
  <r>
    <s v="1809000552"/>
    <d v="2019-04-03T00:00:00"/>
    <d v="2019-04-03T00:00:00"/>
    <s v="DZ"/>
    <s v="USD"/>
    <n v="-1507657"/>
    <n v="-1507657"/>
    <s v="BDT"/>
    <s v="EGM1"/>
    <n v="-125587828.09999999"/>
    <s v="Cm Adv Received-424130762136"/>
    <s v="0000001010"/>
    <s v="IT06591904020271"/>
    <s v=""/>
    <s v=""/>
    <s v="0"/>
    <s v="424130762136"/>
    <s v=""/>
    <s v=""/>
    <s v=""/>
    <s v=""/>
    <s v=""/>
    <x v="0"/>
    <d v="2019-06-30T00:00:00"/>
    <s v="1806000084"/>
    <d v="2019-04-03T00:00:00"/>
    <s v=""/>
    <s v="1809000552"/>
  </r>
  <r>
    <s v="1809000553"/>
    <d v="2019-04-01T00:00:00"/>
    <d v="2019-04-01T00:00:00"/>
    <s v="DZ"/>
    <s v="USD"/>
    <n v="-46693"/>
    <n v="-46693"/>
    <s v="BDT"/>
    <s v="EGM2"/>
    <n v="-3889526.9"/>
    <s v="Cm Adv Received-424130761217"/>
    <s v="0000001010"/>
    <s v="IT06591904010116"/>
    <s v=""/>
    <s v=""/>
    <s v="0"/>
    <s v="424130761217"/>
    <s v=""/>
    <s v=""/>
    <s v=""/>
    <s v=""/>
    <s v=""/>
    <x v="0"/>
    <d v="2019-06-30T00:00:00"/>
    <s v="1806000088"/>
    <d v="2019-04-01T00:00:00"/>
    <s v=""/>
    <s v="1809000553"/>
  </r>
  <r>
    <s v="1809000554"/>
    <d v="2019-04-03T00:00:00"/>
    <d v="2019-04-03T00:00:00"/>
    <s v="DZ"/>
    <s v="USD"/>
    <n v="89180.75"/>
    <n v="89180.75"/>
    <s v="BDT"/>
    <s v="EGM2"/>
    <n v="7419838.4000000004"/>
    <s v="Cm adv adujust Ref-424130746725"/>
    <s v="0000005010"/>
    <s v="E24908VF19US0121"/>
    <s v=""/>
    <s v=""/>
    <s v="0"/>
    <s v="424130762145"/>
    <s v=""/>
    <s v=""/>
    <s v=""/>
    <s v=""/>
    <s v=""/>
    <x v="0"/>
    <m/>
    <s v=""/>
    <d v="2019-04-03T00:00:00"/>
    <s v=""/>
    <s v="1809000554"/>
  </r>
  <r>
    <s v="1809000556"/>
    <d v="2019-04-08T00:00:00"/>
    <d v="2019-04-08T00:00:00"/>
    <s v="DZ"/>
    <s v="USD"/>
    <n v="-384598.62"/>
    <n v="-384598.62"/>
    <s v="BDT"/>
    <s v="EGM2"/>
    <n v="-32037065.059999999"/>
    <s v="Cm Adv Received-424130762902"/>
    <s v="0000001010"/>
    <s v="IT06591904040719"/>
    <s v=""/>
    <s v=""/>
    <s v="0"/>
    <s v="424130762902"/>
    <s v=""/>
    <s v=""/>
    <s v=""/>
    <s v=""/>
    <s v=""/>
    <x v="0"/>
    <d v="2019-04-08T00:00:00"/>
    <s v="1803010026"/>
    <d v="2019-04-08T00:00:00"/>
    <s v=""/>
    <s v="1809000556"/>
  </r>
  <r>
    <s v="1809000557"/>
    <d v="2019-04-04T00:00:00"/>
    <d v="2019-04-04T00:00:00"/>
    <s v="DZ"/>
    <s v="USD"/>
    <n v="7472"/>
    <n v="7472"/>
    <s v="BDT"/>
    <s v="EGM1"/>
    <n v="621670.40000000002"/>
    <s v=""/>
    <s v="0000001010"/>
    <s v="E54813KH19US0285"/>
    <s v=""/>
    <s v=""/>
    <s v="0"/>
    <s v="424130762822"/>
    <s v=""/>
    <s v=""/>
    <s v=""/>
    <s v=""/>
    <s v=""/>
    <x v="0"/>
    <d v="2019-06-30T00:00:00"/>
    <s v="1806000085"/>
    <d v="2019-04-04T00:00:00"/>
    <s v=""/>
    <s v="1809000557"/>
  </r>
  <r>
    <s v="1809000558"/>
    <d v="2019-04-04T00:00:00"/>
    <d v="2019-04-04T00:00:00"/>
    <s v="DZ"/>
    <s v="USD"/>
    <n v="60365"/>
    <n v="60365"/>
    <s v="BDT"/>
    <s v="EGM1"/>
    <n v="5007276.75"/>
    <s v="Cm adv adujust Ref-424130736022"/>
    <s v="0000001010"/>
    <s v="E04841US19-0212"/>
    <s v=""/>
    <s v=""/>
    <s v="0"/>
    <s v="424130762813"/>
    <s v=""/>
    <s v=""/>
    <s v=""/>
    <s v=""/>
    <s v=""/>
    <x v="0"/>
    <d v="2019-06-30T00:00:00"/>
    <s v="1806000065"/>
    <d v="2019-04-04T00:00:00"/>
    <s v=""/>
    <s v="1809000558"/>
  </r>
  <r>
    <s v="1809000559"/>
    <d v="2019-04-07T00:00:00"/>
    <d v="2019-04-07T00:00:00"/>
    <s v="DZ"/>
    <s v="USD"/>
    <n v="15574.5"/>
    <n v="15574.5"/>
    <s v="BDT"/>
    <s v="EGM1"/>
    <n v="1295798.3999999999"/>
    <s v="Cm adv adujust Ref-424130746253"/>
    <s v="0000005010"/>
    <s v="DE4747TS19CE0245"/>
    <s v=""/>
    <s v=""/>
    <s v="0"/>
    <s v="424130763527"/>
    <s v=""/>
    <s v=""/>
    <s v=""/>
    <s v=""/>
    <s v=""/>
    <x v="0"/>
    <m/>
    <s v=""/>
    <d v="2019-04-07T00:00:00"/>
    <s v=""/>
    <s v="1809000559"/>
  </r>
  <r>
    <s v="1809000560"/>
    <d v="2019-04-07T00:00:00"/>
    <d v="2019-04-07T00:00:00"/>
    <s v="DZ"/>
    <s v="USD"/>
    <n v="-830506.31"/>
    <n v="-830506.31"/>
    <s v="BDT"/>
    <s v="EGM1"/>
    <n v="-69181175.629999995"/>
    <s v="Cm Adv Received-424130763554"/>
    <s v="0000005010"/>
    <s v="IT06591904060155"/>
    <s v=""/>
    <s v=""/>
    <s v="0"/>
    <s v="424130763554"/>
    <s v=""/>
    <s v=""/>
    <s v=""/>
    <s v=""/>
    <s v=""/>
    <x v="0"/>
    <m/>
    <s v=""/>
    <d v="2019-04-07T00:00:00"/>
    <s v=""/>
    <s v="1809000560"/>
  </r>
  <r>
    <s v="1809000562"/>
    <d v="2019-04-07T00:00:00"/>
    <d v="2019-04-07T00:00:00"/>
    <s v="DZ"/>
    <s v="USD"/>
    <n v="27972"/>
    <n v="27972"/>
    <s v="BDT"/>
    <s v="EGM1"/>
    <n v="2327270.3999999999"/>
    <s v="Cm adv adujust Ref-424130745469"/>
    <s v="0000001010"/>
    <s v="E44780BM19UK0299"/>
    <s v=""/>
    <s v=""/>
    <s v="0"/>
    <s v="424130763536"/>
    <s v=""/>
    <s v=""/>
    <s v=""/>
    <s v=""/>
    <s v=""/>
    <x v="0"/>
    <d v="2019-06-30T00:00:00"/>
    <s v="1806000085"/>
    <d v="2019-04-07T00:00:00"/>
    <s v=""/>
    <s v="1809000562"/>
  </r>
  <r>
    <s v="1809000563"/>
    <d v="2019-04-07T00:00:00"/>
    <d v="2019-04-07T00:00:00"/>
    <s v="DZ"/>
    <s v="USD"/>
    <n v="50242.78"/>
    <n v="50242.78"/>
    <s v="BDT"/>
    <s v="EGM1"/>
    <n v="4180199.3"/>
    <s v="Cm adv adujust Ref-424130746253"/>
    <s v="0000005010"/>
    <s v="E34730TC19US0271"/>
    <s v=""/>
    <s v=""/>
    <s v="0"/>
    <s v="424130763493"/>
    <s v=""/>
    <s v=""/>
    <s v=""/>
    <s v=""/>
    <s v=""/>
    <x v="0"/>
    <m/>
    <s v=""/>
    <d v="2019-04-07T00:00:00"/>
    <s v=""/>
    <s v="1809000563"/>
  </r>
  <r>
    <s v="1809000564"/>
    <d v="2019-04-07T00:00:00"/>
    <d v="2019-04-07T00:00:00"/>
    <s v="DZ"/>
    <s v="USD"/>
    <n v="135566.92000000001"/>
    <n v="135566.92000000001"/>
    <s v="BDT"/>
    <s v="EGM1"/>
    <n v="11279167.74"/>
    <s v="Cm adv adujust Ref-424130746253"/>
    <s v="0000005010"/>
    <s v="E54746DC19US0221"/>
    <s v=""/>
    <s v=""/>
    <s v="0"/>
    <s v="424130763484"/>
    <s v=""/>
    <s v=""/>
    <s v=""/>
    <s v=""/>
    <s v=""/>
    <x v="0"/>
    <m/>
    <s v=""/>
    <d v="2019-04-07T00:00:00"/>
    <s v=""/>
    <s v="1809000564"/>
  </r>
  <r>
    <s v="1809000565"/>
    <d v="2019-04-07T00:00:00"/>
    <d v="2019-04-07T00:00:00"/>
    <s v="DZ"/>
    <s v="USD"/>
    <n v="59623"/>
    <n v="59623"/>
    <s v="BDT"/>
    <s v="EGM1"/>
    <n v="4945727.8499999996"/>
    <s v="Cm adv adujust Ref-424130736022"/>
    <s v="0000001010"/>
    <s v="E05010US190225"/>
    <s v=""/>
    <s v=""/>
    <s v="0"/>
    <s v="424130763509"/>
    <s v=""/>
    <s v=""/>
    <s v=""/>
    <s v=""/>
    <s v=""/>
    <x v="0"/>
    <d v="2019-06-30T00:00:00"/>
    <s v="1806000065"/>
    <d v="2019-04-07T00:00:00"/>
    <s v=""/>
    <s v="1809000565"/>
  </r>
  <r>
    <s v="1809000565"/>
    <d v="2019-04-07T00:00:00"/>
    <d v="2019-04-07T00:00:00"/>
    <s v="DZ"/>
    <s v="USD"/>
    <n v="52083"/>
    <n v="52083"/>
    <s v="BDT"/>
    <s v="EGM1"/>
    <n v="4320284.8499999996"/>
    <s v="Cm adv adujust Ref-424130730965"/>
    <s v="0000001010"/>
    <s v="E05010US190225"/>
    <s v=""/>
    <s v=""/>
    <s v="0"/>
    <s v="424130763509"/>
    <s v=""/>
    <s v=""/>
    <s v=""/>
    <s v=""/>
    <s v=""/>
    <x v="0"/>
    <d v="2019-06-30T00:00:00"/>
    <s v="1806000068"/>
    <d v="2019-04-07T00:00:00"/>
    <s v=""/>
    <s v="1809000565"/>
  </r>
  <r>
    <s v="1809000566"/>
    <d v="2019-04-10T00:00:00"/>
    <d v="2019-04-10T00:00:00"/>
    <s v="DZ"/>
    <s v="USD"/>
    <n v="136850.09"/>
    <n v="136850.09"/>
    <s v="BDT"/>
    <s v="EGM1"/>
    <n v="11385927.49"/>
    <s v="Cm adv adujust Ref-424130746253"/>
    <s v="0000005010"/>
    <s v="E34962TC19US0272"/>
    <s v=""/>
    <s v=""/>
    <s v="0"/>
    <s v="424130764615"/>
    <s v=""/>
    <s v=""/>
    <s v=""/>
    <s v=""/>
    <s v=""/>
    <x v="0"/>
    <m/>
    <s v=""/>
    <d v="2019-04-10T00:00:00"/>
    <s v=""/>
    <s v="1809000566"/>
  </r>
  <r>
    <s v="1809000570"/>
    <d v="2019-04-15T00:00:00"/>
    <d v="2019-04-15T00:00:00"/>
    <s v="DZ"/>
    <s v="USD"/>
    <n v="91743"/>
    <n v="91743"/>
    <s v="BDT"/>
    <s v="EGM1"/>
    <n v="7633017.5999999996"/>
    <s v="Cm adv adujust Ref-424130745469"/>
    <s v="0000001010"/>
    <s v="E04884US190263"/>
    <s v=""/>
    <s v=""/>
    <s v="0"/>
    <s v="424130766150"/>
    <s v=""/>
    <s v=""/>
    <s v=""/>
    <s v=""/>
    <s v=""/>
    <x v="0"/>
    <d v="2019-06-30T00:00:00"/>
    <s v="1806000085"/>
    <d v="2019-04-15T00:00:00"/>
    <s v=""/>
    <s v="1809000570"/>
  </r>
  <r>
    <s v="1809000570"/>
    <d v="2019-04-15T00:00:00"/>
    <d v="2019-04-15T00:00:00"/>
    <s v="DZ"/>
    <s v="USD"/>
    <n v="193758"/>
    <n v="193758"/>
    <s v="BDT"/>
    <s v="EGM1"/>
    <n v="16072226.1"/>
    <s v="Cm adv adujust Ref-424130736022"/>
    <s v="0000001010"/>
    <s v="E04884US190263"/>
    <s v=""/>
    <s v=""/>
    <s v="0"/>
    <s v="424130766150"/>
    <s v=""/>
    <s v=""/>
    <s v=""/>
    <s v=""/>
    <s v=""/>
    <x v="0"/>
    <d v="2019-06-30T00:00:00"/>
    <s v="1806000065"/>
    <d v="2019-04-15T00:00:00"/>
    <s v=""/>
    <s v="1809000570"/>
  </r>
  <r>
    <s v="1809000571"/>
    <d v="2019-04-17T00:00:00"/>
    <d v="2019-04-17T00:00:00"/>
    <s v="DZ"/>
    <s v="USD"/>
    <n v="6114"/>
    <n v="6114"/>
    <s v="BDT"/>
    <s v="EGM1"/>
    <n v="509296.2"/>
    <s v=""/>
    <s v="0000001010"/>
    <s v="E45001SB19UK0342"/>
    <s v=""/>
    <s v=""/>
    <s v="0"/>
    <s v="424130767079"/>
    <s v=""/>
    <s v=""/>
    <s v=""/>
    <s v=""/>
    <s v=""/>
    <x v="0"/>
    <d v="2019-06-30T00:00:00"/>
    <s v="1806000084"/>
    <d v="2019-04-17T00:00:00"/>
    <s v=""/>
    <s v="1809000571"/>
  </r>
  <r>
    <s v="1809000572"/>
    <d v="2019-04-17T00:00:00"/>
    <d v="2019-04-17T00:00:00"/>
    <s v="DZ"/>
    <s v="USD"/>
    <n v="700"/>
    <n v="700"/>
    <s v="BDT"/>
    <s v="EGM2"/>
    <n v="58310"/>
    <s v="CM Advance adjust-424130761217"/>
    <s v="0000001010"/>
    <s v="05064190180ID"/>
    <s v=""/>
    <s v=""/>
    <s v="0"/>
    <s v="424130767042"/>
    <s v=""/>
    <s v=""/>
    <s v=""/>
    <s v=""/>
    <s v=""/>
    <x v="0"/>
    <d v="2019-06-30T00:00:00"/>
    <s v="1806000088"/>
    <d v="2019-04-17T00:00:00"/>
    <s v=""/>
    <s v="1809000572"/>
  </r>
  <r>
    <s v="1809000573"/>
    <d v="2019-04-17T00:00:00"/>
    <d v="2019-04-17T00:00:00"/>
    <s v="DZ"/>
    <s v="USD"/>
    <n v="16026"/>
    <n v="16026"/>
    <s v="BDT"/>
    <s v="EGM2"/>
    <n v="1329356.7"/>
    <s v="CM Advance adjust-424130698858"/>
    <s v="0000001010"/>
    <s v="05064190139US"/>
    <s v=""/>
    <s v=""/>
    <s v="0"/>
    <s v="424130767051"/>
    <s v=""/>
    <s v=""/>
    <s v=""/>
    <s v=""/>
    <s v=""/>
    <x v="0"/>
    <d v="2019-06-30T00:00:00"/>
    <s v="1806000077"/>
    <d v="2019-04-17T00:00:00"/>
    <s v=""/>
    <s v="1809000573"/>
  </r>
  <r>
    <s v="1809000573"/>
    <d v="2019-04-17T00:00:00"/>
    <d v="2019-04-17T00:00:00"/>
    <s v="DZ"/>
    <s v="USD"/>
    <n v="18442"/>
    <n v="18442"/>
    <s v="BDT"/>
    <s v="EGM2"/>
    <n v="1536218.6"/>
    <s v="CM Advance adjust-424130761217"/>
    <s v="0000001010"/>
    <s v="05064190139US"/>
    <s v=""/>
    <s v=""/>
    <s v="0"/>
    <s v="424130767051"/>
    <s v=""/>
    <s v=""/>
    <s v=""/>
    <s v=""/>
    <s v=""/>
    <x v="0"/>
    <d v="2019-06-30T00:00:00"/>
    <s v="1806000088"/>
    <d v="2019-04-17T00:00:00"/>
    <s v=""/>
    <s v="1809000573"/>
  </r>
  <r>
    <s v="1809000575"/>
    <d v="2019-04-18T00:00:00"/>
    <d v="2019-04-18T00:00:00"/>
    <s v="DZ"/>
    <s v="USD"/>
    <n v="10649"/>
    <n v="10649"/>
    <s v="BDT"/>
    <s v="EGM1"/>
    <n v="885996.8"/>
    <s v="CM Advance adjust-424130745469"/>
    <s v="0000001010"/>
    <s v="E54813KH19US0287"/>
    <s v=""/>
    <s v=""/>
    <s v="0"/>
    <s v="424130768130"/>
    <s v=""/>
    <s v=""/>
    <s v=""/>
    <s v=""/>
    <s v=""/>
    <x v="0"/>
    <d v="2019-06-30T00:00:00"/>
    <s v="1806000085"/>
    <d v="2019-04-18T00:00:00"/>
    <s v=""/>
    <s v="1809000575"/>
  </r>
  <r>
    <s v="1809000576"/>
    <d v="2019-04-18T00:00:00"/>
    <d v="2019-04-18T00:00:00"/>
    <s v="DZ"/>
    <s v="USD"/>
    <n v="8968.7999999999993"/>
    <n v="8968.7999999999993"/>
    <s v="BDT"/>
    <s v="EGM1"/>
    <n v="746204.16000000003"/>
    <s v="CM Advance adjust-424130746253"/>
    <s v="0000005010"/>
    <s v="DE4747TS19CE0308"/>
    <s v=""/>
    <s v=""/>
    <s v="0"/>
    <s v="424130768112"/>
    <s v=""/>
    <s v=""/>
    <s v=""/>
    <s v=""/>
    <s v=""/>
    <x v="0"/>
    <m/>
    <s v=""/>
    <d v="2019-04-18T00:00:00"/>
    <s v=""/>
    <s v="1809000576"/>
  </r>
  <r>
    <s v="1809000579"/>
    <d v="2019-04-21T00:00:00"/>
    <d v="2019-04-21T00:00:00"/>
    <s v="DZ"/>
    <s v="USD"/>
    <n v="4335.6899999999996"/>
    <n v="4335.6899999999996"/>
    <s v="BDT"/>
    <s v="EGM1"/>
    <n v="360729.41"/>
    <s v="CM Advance adjust-424130746253"/>
    <s v="0000005010"/>
    <s v="E34962TC19CA0305"/>
    <s v=""/>
    <s v=""/>
    <s v="0"/>
    <s v="424130769656"/>
    <s v=""/>
    <s v=""/>
    <s v=""/>
    <s v=""/>
    <s v=""/>
    <x v="0"/>
    <m/>
    <s v=""/>
    <d v="2019-04-21T00:00:00"/>
    <s v=""/>
    <s v="1809000579"/>
  </r>
  <r>
    <s v="1809000581"/>
    <d v="2019-04-23T00:00:00"/>
    <d v="2019-04-23T00:00:00"/>
    <s v="DZ"/>
    <s v="USD"/>
    <n v="5818"/>
    <n v="5818"/>
    <s v="BDT"/>
    <s v="EGM1"/>
    <n v="484057.59999999998"/>
    <s v="CM Advance adjust-424130746253"/>
    <s v="0000005010"/>
    <s v="DE4747TS19CE0208"/>
    <s v=""/>
    <s v=""/>
    <s v="0"/>
    <s v="424130769665"/>
    <s v=""/>
    <s v=""/>
    <s v=""/>
    <s v=""/>
    <s v=""/>
    <x v="0"/>
    <m/>
    <s v=""/>
    <d v="2019-04-23T00:00:00"/>
    <s v=""/>
    <s v="1809000581"/>
  </r>
  <r>
    <s v="1809000582"/>
    <d v="2019-04-23T00:00:00"/>
    <d v="2019-04-23T00:00:00"/>
    <s v="DZ"/>
    <s v="USD"/>
    <n v="16736"/>
    <n v="16736"/>
    <s v="BDT"/>
    <s v="EGM2"/>
    <n v="1388251.2"/>
    <s v="CM Advance adjust-424130698858"/>
    <s v="0000001010"/>
    <s v="05041190177TH"/>
    <s v=""/>
    <s v=""/>
    <s v="0"/>
    <s v="424130769727"/>
    <s v=""/>
    <s v=""/>
    <s v=""/>
    <s v=""/>
    <s v=""/>
    <x v="0"/>
    <d v="2019-06-30T00:00:00"/>
    <s v="1806000077"/>
    <d v="2019-04-23T00:00:00"/>
    <s v=""/>
    <s v="1809000582"/>
  </r>
  <r>
    <s v="1809000582"/>
    <d v="2019-04-23T00:00:00"/>
    <d v="2019-04-23T00:00:00"/>
    <s v="DZ"/>
    <s v="USD"/>
    <n v="2930"/>
    <n v="2930"/>
    <s v="BDT"/>
    <s v="EGM2"/>
    <n v="244069"/>
    <s v="CM Advance adjust-424130761217"/>
    <s v="0000001010"/>
    <s v="05041190177TH"/>
    <s v=""/>
    <s v=""/>
    <s v="0"/>
    <s v="424130769727"/>
    <s v=""/>
    <s v=""/>
    <s v=""/>
    <s v=""/>
    <s v=""/>
    <x v="0"/>
    <d v="2019-06-30T00:00:00"/>
    <s v="1806000088"/>
    <d v="2019-04-23T00:00:00"/>
    <s v=""/>
    <s v="1809000582"/>
  </r>
  <r>
    <s v="1809000583"/>
    <d v="2019-04-25T00:00:00"/>
    <d v="2019-04-25T00:00:00"/>
    <s v="DZ"/>
    <s v="USD"/>
    <n v="7275"/>
    <n v="7275"/>
    <s v="BDT"/>
    <s v="EGM1"/>
    <n v="605280"/>
    <s v="CM Advance adjust-424130746253"/>
    <s v="0000005010"/>
    <s v="DE4681TS19UK0344"/>
    <s v=""/>
    <s v=""/>
    <s v="0"/>
    <s v="424130771331"/>
    <s v=""/>
    <s v=""/>
    <s v=""/>
    <s v=""/>
    <s v=""/>
    <x v="0"/>
    <m/>
    <s v=""/>
    <d v="2019-04-25T00:00:00"/>
    <s v=""/>
    <s v="1809000583"/>
  </r>
  <r>
    <s v="1809000586"/>
    <d v="2019-04-28T00:00:00"/>
    <d v="2019-04-28T00:00:00"/>
    <s v="DZ"/>
    <s v="USD"/>
    <n v="28152"/>
    <n v="28152"/>
    <s v="BDT"/>
    <s v="EGM1"/>
    <n v="2345061.6"/>
    <s v="CM Advance adjust-424130762136"/>
    <s v="0000001010"/>
    <s v="E04840US19-0346"/>
    <s v=""/>
    <s v=""/>
    <s v="0"/>
    <s v="424130773197,424130773188"/>
    <s v=""/>
    <s v=""/>
    <s v=""/>
    <s v=""/>
    <s v=""/>
    <x v="0"/>
    <d v="2019-06-30T00:00:00"/>
    <s v="1806000084"/>
    <d v="2019-04-28T00:00:00"/>
    <s v=""/>
    <s v="1809000586"/>
  </r>
  <r>
    <s v="1809000586"/>
    <d v="2019-04-28T00:00:00"/>
    <d v="2019-04-28T00:00:00"/>
    <s v="DZ"/>
    <s v="USD"/>
    <n v="384646"/>
    <n v="384646"/>
    <s v="BDT"/>
    <s v="EGM1"/>
    <n v="32002547.199999999"/>
    <s v="CM Advance adjust-424130745469"/>
    <s v="0000001010"/>
    <s v="E04840US19-0346"/>
    <s v=""/>
    <s v=""/>
    <s v="0"/>
    <s v="424130773197,424130773188"/>
    <s v=""/>
    <s v=""/>
    <s v=""/>
    <s v=""/>
    <s v=""/>
    <x v="0"/>
    <d v="2019-06-30T00:00:00"/>
    <s v="1806000085"/>
    <d v="2019-04-28T00:00:00"/>
    <s v=""/>
    <s v="1809000586"/>
  </r>
  <r>
    <s v="1809000587"/>
    <d v="2019-04-28T00:00:00"/>
    <d v="2019-04-28T00:00:00"/>
    <s v="DZ"/>
    <s v="USD"/>
    <n v="30092"/>
    <n v="30092"/>
    <s v="BDT"/>
    <s v="EGM1"/>
    <n v="2506663.6"/>
    <s v="CM Advance adjust-424130762136"/>
    <s v="0000001010"/>
    <s v="E04902US19-0294"/>
    <s v=""/>
    <s v=""/>
    <s v="0"/>
    <s v="424130773222"/>
    <s v=""/>
    <s v=""/>
    <s v=""/>
    <s v=""/>
    <s v=""/>
    <x v="0"/>
    <d v="2019-06-30T00:00:00"/>
    <s v="1806000084"/>
    <d v="2019-04-28T00:00:00"/>
    <s v=""/>
    <s v="1809000587"/>
  </r>
  <r>
    <s v="1809000589"/>
    <d v="2019-04-29T00:00:00"/>
    <d v="2019-04-29T00:00:00"/>
    <s v="DZ"/>
    <s v="USD"/>
    <n v="240"/>
    <n v="240"/>
    <s v="BDT"/>
    <s v="EGM2"/>
    <n v="19992"/>
    <s v="CM Advance adjust-424130761217"/>
    <s v="0000001010"/>
    <s v="05069190189ID"/>
    <s v=""/>
    <s v=""/>
    <s v="0"/>
    <s v="424130773927"/>
    <s v=""/>
    <s v=""/>
    <s v=""/>
    <s v=""/>
    <s v=""/>
    <x v="0"/>
    <d v="2019-06-30T00:00:00"/>
    <s v="1806000088"/>
    <d v="2019-04-29T00:00:00"/>
    <s v=""/>
    <s v="1809000589"/>
  </r>
  <r>
    <s v="1809000590"/>
    <d v="2019-04-29T00:00:00"/>
    <d v="2019-04-29T00:00:00"/>
    <s v="DZ"/>
    <s v="USD"/>
    <n v="7711.31"/>
    <n v="7711.31"/>
    <s v="BDT"/>
    <s v="EGM1"/>
    <n v="642352.12"/>
    <s v="CM Advance adjust-424130763554"/>
    <s v="0000005010"/>
    <s v="E34962TC19CA0366"/>
    <s v=""/>
    <s v=""/>
    <s v="0"/>
    <s v="424130773936"/>
    <s v=""/>
    <s v=""/>
    <s v=""/>
    <s v=""/>
    <s v=""/>
    <x v="0"/>
    <m/>
    <s v=""/>
    <d v="2019-04-29T00:00:00"/>
    <s v=""/>
    <s v="1809000590"/>
  </r>
  <r>
    <s v="1809000592"/>
    <d v="2019-04-29T00:00:00"/>
    <d v="2019-04-29T00:00:00"/>
    <s v="DZ"/>
    <s v="USD"/>
    <n v="71769.86"/>
    <n v="71769.86"/>
    <s v="BDT"/>
    <s v="EGM1"/>
    <n v="5978429.3399999999"/>
    <s v="CM Advance adjust-424130763554"/>
    <s v="0000005010"/>
    <s v="E4833AMZ19US0306"/>
    <s v=""/>
    <s v=""/>
    <s v="0"/>
    <s v="424130773954"/>
    <s v=""/>
    <s v=""/>
    <s v=""/>
    <s v=""/>
    <s v=""/>
    <x v="0"/>
    <m/>
    <s v=""/>
    <d v="2019-04-29T00:00:00"/>
    <s v=""/>
    <s v="1809000592"/>
  </r>
  <r>
    <s v="1809000594"/>
    <d v="2019-04-30T00:00:00"/>
    <d v="2019-04-30T00:00:00"/>
    <s v="DZ"/>
    <s v="USD"/>
    <n v="263"/>
    <n v="263"/>
    <s v="BDT"/>
    <s v="EGM2"/>
    <n v="21802.7"/>
    <s v="CM Advance adjust-424130687691"/>
    <s v="0000001010"/>
    <s v="05064190198BE"/>
    <s v=""/>
    <s v=""/>
    <s v="0"/>
    <s v="424130774230"/>
    <s v=""/>
    <s v=""/>
    <s v=""/>
    <s v=""/>
    <s v=""/>
    <x v="0"/>
    <d v="2019-06-30T00:00:00"/>
    <s v="1806000076"/>
    <d v="2019-04-30T00:00:00"/>
    <s v=""/>
    <s v="1809000594"/>
  </r>
  <r>
    <s v="1809000594"/>
    <d v="2019-04-30T00:00:00"/>
    <d v="2019-04-30T00:00:00"/>
    <s v="DZ"/>
    <s v="USD"/>
    <n v="3601"/>
    <n v="3601"/>
    <s v="BDT"/>
    <s v="EGM2"/>
    <n v="298702.95"/>
    <s v="CM Advance adjust-424130698858"/>
    <s v="0000001010"/>
    <s v="05064190198BE"/>
    <s v=""/>
    <s v=""/>
    <s v="0"/>
    <s v="424130774230"/>
    <s v=""/>
    <s v=""/>
    <s v=""/>
    <s v=""/>
    <s v=""/>
    <x v="0"/>
    <d v="2019-06-30T00:00:00"/>
    <s v="1806000077"/>
    <d v="2019-04-30T00:00:00"/>
    <s v=""/>
    <s v="1809000594"/>
  </r>
  <r>
    <s v="1809000594"/>
    <d v="2019-04-30T00:00:00"/>
    <d v="2019-04-30T00:00:00"/>
    <s v="DZ"/>
    <s v="USD"/>
    <n v="11391"/>
    <n v="11391"/>
    <s v="BDT"/>
    <s v="EGM2"/>
    <n v="948870.3"/>
    <s v="CM Advance adjust-424130761217"/>
    <s v="0000001010"/>
    <s v="05064190198BE"/>
    <s v=""/>
    <s v=""/>
    <s v="0"/>
    <s v="424130774230"/>
    <s v=""/>
    <s v=""/>
    <s v=""/>
    <s v=""/>
    <s v=""/>
    <x v="0"/>
    <d v="2019-06-30T00:00:00"/>
    <s v="1806000088"/>
    <d v="2019-04-30T00:00:00"/>
    <s v=""/>
    <s v="1809000594"/>
  </r>
  <r>
    <s v="1809000595"/>
    <d v="2019-04-08T00:00:00"/>
    <d v="2019-04-08T00:00:00"/>
    <s v="DZ"/>
    <s v="USD"/>
    <n v="-384598.62"/>
    <n v="-384598.62"/>
    <s v="BDT"/>
    <s v="EGM2"/>
    <n v="-32037065.059999999"/>
    <s v="CM Advance REC-424130762902"/>
    <s v="0000005010"/>
    <s v="IT06591904040719"/>
    <s v=""/>
    <s v=""/>
    <s v="0"/>
    <s v="424130762902"/>
    <s v=""/>
    <s v=""/>
    <s v=""/>
    <s v=""/>
    <s v=""/>
    <x v="0"/>
    <m/>
    <s v=""/>
    <d v="2019-04-08T00:00:00"/>
    <s v=""/>
    <s v="1809000595"/>
  </r>
  <r>
    <s v="1809000596"/>
    <d v="2019-04-30T00:00:00"/>
    <d v="2019-04-30T00:00:00"/>
    <s v="DZ"/>
    <s v="USD"/>
    <n v="77443"/>
    <n v="77443"/>
    <s v="BDT"/>
    <s v="EGM2"/>
    <n v="6451001.9000000004"/>
    <s v="CM Advance adjust-424130762902"/>
    <s v="0000005010"/>
    <s v="E24988VF19US0146"/>
    <s v=""/>
    <s v=""/>
    <s v="0"/>
    <s v="424130774249"/>
    <s v=""/>
    <s v=""/>
    <s v=""/>
    <s v=""/>
    <s v=""/>
    <x v="0"/>
    <m/>
    <s v=""/>
    <d v="2019-04-30T00:00:00"/>
    <s v=""/>
    <s v="1809000596"/>
  </r>
  <r>
    <s v="1809000596"/>
    <d v="2019-04-30T00:00:00"/>
    <d v="2019-04-30T00:00:00"/>
    <s v="DZ"/>
    <s v="USD"/>
    <n v="5185.2700000000004"/>
    <n v="5185.2700000000004"/>
    <s v="BDT"/>
    <s v="EGM2"/>
    <n v="431414.46"/>
    <s v="CM Advance adjust-424130746725"/>
    <s v="0000005010"/>
    <s v="E24988VF19US0146"/>
    <s v=""/>
    <s v=""/>
    <s v="0"/>
    <s v="424130774249"/>
    <s v=""/>
    <s v=""/>
    <s v=""/>
    <s v=""/>
    <s v=""/>
    <x v="0"/>
    <m/>
    <s v=""/>
    <d v="2019-04-30T00:00:00"/>
    <s v=""/>
    <s v="1809000596"/>
  </r>
  <r>
    <s v="1809000598"/>
    <d v="2019-04-29T00:00:00"/>
    <d v="2019-04-29T00:00:00"/>
    <s v="DZ"/>
    <s v="USD"/>
    <n v="9328.17"/>
    <n v="9328.17"/>
    <s v="BDT"/>
    <s v="EGM1"/>
    <n v="776103.74"/>
    <s v="Cm Advance adjusted-424130746253"/>
    <s v="0000005010"/>
    <s v="E44759AC19KT0284"/>
    <s v=""/>
    <s v=""/>
    <s v="0"/>
    <s v="424130773945"/>
    <s v=""/>
    <s v=""/>
    <s v=""/>
    <s v=""/>
    <s v=""/>
    <x v="0"/>
    <m/>
    <s v=""/>
    <d v="2019-04-29T00:00:00"/>
    <s v=""/>
    <s v="1809000598"/>
  </r>
  <r>
    <s v="1809000599"/>
    <d v="2019-05-02T00:00:00"/>
    <d v="2019-05-02T00:00:00"/>
    <s v="DZ"/>
    <s v="USD"/>
    <n v="46756"/>
    <n v="46756"/>
    <s v="BDT"/>
    <s v="EGM1"/>
    <n v="3894774.8"/>
    <s v="Cm adv adj424130762136"/>
    <s v="0000001010"/>
    <s v="E04902US190307"/>
    <s v=""/>
    <s v=""/>
    <s v="0"/>
    <s v="424130775060"/>
    <s v=""/>
    <s v=""/>
    <s v=""/>
    <s v=""/>
    <s v=""/>
    <x v="0"/>
    <d v="2019-06-30T00:00:00"/>
    <s v="1806000084"/>
    <d v="2019-05-02T00:00:00"/>
    <s v=""/>
    <s v="1809000599"/>
  </r>
  <r>
    <s v="1809000599"/>
    <d v="2019-05-02T00:00:00"/>
    <d v="2019-05-02T00:00:00"/>
    <s v="DZ"/>
    <s v="USD"/>
    <n v="76010"/>
    <n v="76010"/>
    <s v="BDT"/>
    <s v="EGM1"/>
    <n v="6324032"/>
    <s v="Cm adv adj424130745469"/>
    <s v="0000001010"/>
    <s v="E04902US190307"/>
    <s v=""/>
    <s v=""/>
    <s v="0"/>
    <s v="424130775060"/>
    <s v=""/>
    <s v=""/>
    <s v=""/>
    <s v=""/>
    <s v=""/>
    <x v="0"/>
    <d v="2019-06-30T00:00:00"/>
    <s v="1806000085"/>
    <d v="2019-05-02T00:00:00"/>
    <s v=""/>
    <s v="1809000599"/>
  </r>
  <r>
    <s v="1809000601"/>
    <d v="2019-05-05T00:00:00"/>
    <d v="2019-05-05T00:00:00"/>
    <s v="DZ"/>
    <s v="USD"/>
    <n v="694"/>
    <n v="694"/>
    <s v="BDT"/>
    <s v="EGM1"/>
    <n v="57810.2"/>
    <s v="Cm adv adj424130762136"/>
    <s v="0000001010"/>
    <s v="E45042SB19UK0405"/>
    <s v=""/>
    <s v=""/>
    <s v="0"/>
    <s v="424130775667"/>
    <s v=""/>
    <s v=""/>
    <s v=""/>
    <s v=""/>
    <s v=""/>
    <x v="0"/>
    <d v="2019-06-30T00:00:00"/>
    <s v="1806000084"/>
    <d v="2019-05-05T00:00:00"/>
    <s v=""/>
    <s v="1809000601"/>
  </r>
  <r>
    <s v="1809000602"/>
    <d v="2019-05-05T00:00:00"/>
    <d v="2019-05-05T00:00:00"/>
    <s v="DZ"/>
    <s v="USD"/>
    <n v="256098"/>
    <n v="256098"/>
    <s v="BDT"/>
    <s v="EGM1"/>
    <n v="21332963.399999999"/>
    <s v="Cm adv adjust-424130762136"/>
    <s v="0000001010"/>
    <s v="E04936US19-0317"/>
    <s v=""/>
    <s v=""/>
    <s v="0"/>
    <s v="424130775658,424130775649"/>
    <s v=""/>
    <s v=""/>
    <s v=""/>
    <s v=""/>
    <s v=""/>
    <x v="0"/>
    <d v="2019-06-30T00:00:00"/>
    <s v="1806000084"/>
    <d v="2019-05-05T00:00:00"/>
    <s v=""/>
    <s v="1809000602"/>
  </r>
  <r>
    <s v="1809000602"/>
    <d v="2019-05-05T00:00:00"/>
    <d v="2019-05-05T00:00:00"/>
    <s v="DZ"/>
    <s v="USD"/>
    <n v="80530"/>
    <n v="80530"/>
    <s v="BDT"/>
    <s v="EGM1"/>
    <n v="6700096"/>
    <s v="Cm adv adjust-424130745469"/>
    <s v="0000001010"/>
    <s v="E04936US19-0317"/>
    <s v=""/>
    <s v=""/>
    <s v="0"/>
    <s v="424130775658,424130775649"/>
    <s v=""/>
    <s v=""/>
    <s v=""/>
    <s v=""/>
    <s v=""/>
    <x v="0"/>
    <d v="2019-06-30T00:00:00"/>
    <s v="1806000085"/>
    <d v="2019-05-05T00:00:00"/>
    <s v=""/>
    <s v="1809000602"/>
  </r>
  <r>
    <s v="1809000603"/>
    <d v="2019-05-05T00:00:00"/>
    <d v="2019-05-05T00:00:00"/>
    <s v="DZ"/>
    <s v="USD"/>
    <n v="-1521369"/>
    <n v="-1521369"/>
    <s v="BDT"/>
    <s v="EGM1"/>
    <n v="-127003884.12"/>
    <s v="Cm Advance ref-424130775569"/>
    <s v="0000001010"/>
    <s v="IT06591905040024"/>
    <s v=""/>
    <s v=""/>
    <s v="0"/>
    <s v="424130775569"/>
    <s v=""/>
    <s v=""/>
    <s v=""/>
    <s v=""/>
    <s v=""/>
    <x v="0"/>
    <d v="2019-10-31T00:00:00"/>
    <s v="1906000008"/>
    <d v="2019-05-05T00:00:00"/>
    <s v=""/>
    <s v="1809000603"/>
  </r>
  <r>
    <s v="1809000604"/>
    <d v="2019-05-05T00:00:00"/>
    <d v="2019-05-05T00:00:00"/>
    <s v="DZ"/>
    <s v="USD"/>
    <n v="-164518"/>
    <n v="-164518"/>
    <s v="BDT"/>
    <s v="EGM1"/>
    <n v="-13733962.640000001"/>
    <s v="Cm Advance ref-424130775578"/>
    <s v="0000005010"/>
    <s v="IT06591905021054"/>
    <s v=""/>
    <s v=""/>
    <s v="0"/>
    <s v="424130775578"/>
    <s v=""/>
    <s v=""/>
    <s v=""/>
    <s v=""/>
    <s v=""/>
    <x v="0"/>
    <m/>
    <s v=""/>
    <d v="2019-05-05T00:00:00"/>
    <s v=""/>
    <s v="1809000604"/>
  </r>
  <r>
    <s v="1809000605"/>
    <d v="2019-05-05T00:00:00"/>
    <d v="2019-05-05T00:00:00"/>
    <s v="DZ"/>
    <s v="USD"/>
    <n v="-91401"/>
    <n v="-91401"/>
    <s v="BDT"/>
    <s v="EGM1"/>
    <n v="-7630155.4800000004"/>
    <s v="Cm Advance ref-424130775587"/>
    <s v="0000001010"/>
    <s v="IT06591905040028"/>
    <s v=""/>
    <s v=""/>
    <s v="0"/>
    <s v="424130775587"/>
    <s v=""/>
    <s v=""/>
    <s v=""/>
    <s v=""/>
    <s v=""/>
    <x v="0"/>
    <d v="2019-05-05T00:00:00"/>
    <s v="1803010803"/>
    <d v="2019-05-05T00:00:00"/>
    <s v=""/>
    <s v="1809000605"/>
  </r>
  <r>
    <s v="1809000606"/>
    <d v="2019-05-05T00:00:00"/>
    <d v="2019-05-05T00:00:00"/>
    <s v="DZ"/>
    <s v="USD"/>
    <n v="-91401"/>
    <n v="-91401"/>
    <s v="BDT"/>
    <s v="EGM2"/>
    <n v="-7630155.4800000004"/>
    <s v="Cm Advance ref-424130775587"/>
    <s v="0000001010"/>
    <s v="IT06591905040028"/>
    <s v=""/>
    <s v=""/>
    <s v="0"/>
    <s v="424130775587"/>
    <s v=""/>
    <s v=""/>
    <s v=""/>
    <s v=""/>
    <s v=""/>
    <x v="0"/>
    <d v="2019-10-31T00:00:00"/>
    <s v="1906000010"/>
    <d v="2019-05-05T00:00:00"/>
    <s v=""/>
    <s v="1809000606"/>
  </r>
  <r>
    <s v="1809000607"/>
    <d v="2019-05-05T00:00:00"/>
    <d v="2019-05-05T00:00:00"/>
    <s v="DZ"/>
    <s v="USD"/>
    <n v="-369490.29"/>
    <n v="-369490.29"/>
    <s v="BDT"/>
    <s v="EGM2"/>
    <n v="-30845049.41"/>
    <s v="Cm Advance ref-424130775596"/>
    <s v="0000005010"/>
    <s v="424130775596"/>
    <s v=""/>
    <s v=""/>
    <s v="0"/>
    <s v="424130775596"/>
    <s v=""/>
    <s v=""/>
    <s v=""/>
    <s v=""/>
    <s v=""/>
    <x v="0"/>
    <m/>
    <s v=""/>
    <d v="2019-05-05T00:00:00"/>
    <s v=""/>
    <s v="1809000607"/>
  </r>
  <r>
    <s v="1809000608"/>
    <d v="2019-05-06T00:00:00"/>
    <d v="2019-05-06T00:00:00"/>
    <s v="DZ"/>
    <s v="USD"/>
    <n v="59806.2"/>
    <n v="59806.2"/>
    <s v="BDT"/>
    <s v="EGM2"/>
    <n v="4981856.46"/>
    <s v="Cm Advance ref-424130762902"/>
    <s v="0000005010"/>
    <s v="E24991VF19US0164"/>
    <s v=""/>
    <s v=""/>
    <s v="0"/>
    <s v="424130776292"/>
    <s v=""/>
    <s v=""/>
    <s v=""/>
    <s v=""/>
    <s v=""/>
    <x v="0"/>
    <m/>
    <s v=""/>
    <d v="2019-05-06T00:00:00"/>
    <s v=""/>
    <s v="1809000608"/>
  </r>
  <r>
    <s v="1809000609"/>
    <d v="2019-05-06T00:00:00"/>
    <d v="2019-05-06T00:00:00"/>
    <s v="DZ"/>
    <s v="USD"/>
    <n v="2801.32"/>
    <n v="2801.32"/>
    <s v="BDT"/>
    <s v="EGM1"/>
    <n v="233069.82"/>
    <s v="Cm Advance ref-424130746253"/>
    <s v="0000005010"/>
    <s v="E34865TC19CA0367"/>
    <s v=""/>
    <s v=""/>
    <s v="0"/>
    <s v="424130776309"/>
    <s v=""/>
    <s v=""/>
    <s v=""/>
    <s v=""/>
    <s v=""/>
    <x v="0"/>
    <m/>
    <s v=""/>
    <d v="2019-05-06T00:00:00"/>
    <s v=""/>
    <s v="1809000609"/>
  </r>
  <r>
    <s v="1809000612"/>
    <d v="2019-05-08T00:00:00"/>
    <d v="2019-05-08T00:00:00"/>
    <s v="DZ"/>
    <s v="USD"/>
    <n v="14727"/>
    <n v="14727"/>
    <s v="BDT"/>
    <s v="EGM1"/>
    <n v="1229409.96"/>
    <s v="Cm adv adj-424130775569"/>
    <s v="0000001010"/>
    <s v="E34873BM19UK0365"/>
    <s v=""/>
    <s v=""/>
    <s v="0"/>
    <s v="424130777004"/>
    <s v=""/>
    <s v=""/>
    <s v=""/>
    <s v=""/>
    <s v=""/>
    <x v="0"/>
    <d v="2019-06-30T00:00:00"/>
    <s v="1806000085"/>
    <d v="2019-05-08T00:00:00"/>
    <s v=""/>
    <s v="1809000612"/>
  </r>
  <r>
    <s v="1809000612"/>
    <d v="2019-05-08T00:00:00"/>
    <d v="2019-05-08T00:00:00"/>
    <s v="DZ"/>
    <s v="USD"/>
    <n v="6197"/>
    <n v="6197"/>
    <s v="BDT"/>
    <s v="EGM1"/>
    <n v="516210.1"/>
    <s v="Cm adv adj-424130762136"/>
    <s v="0000001010"/>
    <s v="E34873BM19UK0365"/>
    <s v=""/>
    <s v=""/>
    <s v="0"/>
    <s v="424130777004"/>
    <s v=""/>
    <s v=""/>
    <s v=""/>
    <s v=""/>
    <s v=""/>
    <x v="0"/>
    <d v="2019-06-30T00:00:00"/>
    <s v="1806000084"/>
    <d v="2019-05-08T00:00:00"/>
    <s v=""/>
    <s v="1809000612"/>
  </r>
  <r>
    <s v="1809000613"/>
    <d v="2019-05-08T00:00:00"/>
    <d v="2019-05-08T00:00:00"/>
    <s v="DZ"/>
    <s v="USD"/>
    <n v="65608.61"/>
    <n v="65608.61"/>
    <s v="BDT"/>
    <s v="EGM1"/>
    <n v="5465197.21"/>
    <s v="Cm adv adj-424130763554"/>
    <s v="0000005010"/>
    <s v="E4831AMZ19US0277"/>
    <s v=""/>
    <s v=""/>
    <s v="0"/>
    <s v="424130777013"/>
    <s v=""/>
    <s v=""/>
    <s v=""/>
    <s v=""/>
    <s v=""/>
    <x v="0"/>
    <m/>
    <s v=""/>
    <d v="2019-05-08T00:00:00"/>
    <s v=""/>
    <s v="1809000613"/>
  </r>
  <r>
    <s v="1809000614"/>
    <d v="2019-05-08T00:00:00"/>
    <d v="2019-05-08T00:00:00"/>
    <s v="DZ"/>
    <s v="USD"/>
    <n v="7847.7"/>
    <n v="7847.7"/>
    <s v="BDT"/>
    <s v="EGM1"/>
    <n v="652928.64"/>
    <s v="Cm adv adj-424130746253"/>
    <s v="0000005010"/>
    <s v="DE4747TS19UK0345"/>
    <s v=""/>
    <s v=""/>
    <s v="0"/>
    <s v="424130777022"/>
    <s v=""/>
    <s v=""/>
    <s v=""/>
    <s v=""/>
    <s v=""/>
    <x v="0"/>
    <m/>
    <s v=""/>
    <d v="2019-05-08T00:00:00"/>
    <s v=""/>
    <s v="1809000614"/>
  </r>
  <r>
    <s v="1809000615"/>
    <d v="2019-05-08T00:00:00"/>
    <d v="2019-05-08T00:00:00"/>
    <s v="DZ"/>
    <s v="USD"/>
    <n v="422567"/>
    <n v="422567"/>
    <s v="BDT"/>
    <s v="EGM1"/>
    <n v="35199831.100000001"/>
    <s v="cm adv adj-424130762136"/>
    <s v="0000001010"/>
    <s v="E04997US19-0381"/>
    <s v=""/>
    <s v=""/>
    <s v="0"/>
    <s v="424130777781,424130777763"/>
    <s v=""/>
    <s v=""/>
    <s v=""/>
    <s v=""/>
    <s v=""/>
    <x v="0"/>
    <d v="2019-06-30T00:00:00"/>
    <s v="1806000084"/>
    <d v="2019-05-08T00:00:00"/>
    <s v=""/>
    <s v="1809000615"/>
  </r>
  <r>
    <s v="1809000616"/>
    <d v="2019-05-08T00:00:00"/>
    <d v="2019-05-08T00:00:00"/>
    <s v="DZ"/>
    <s v="USD"/>
    <n v="8584.02"/>
    <n v="8584.02"/>
    <s v="BDT"/>
    <s v="EGM1"/>
    <n v="715048.87"/>
    <s v="cm adv adj-424130763554"/>
    <s v="0000005010"/>
    <s v="E44973DC19US0374"/>
    <s v=""/>
    <s v=""/>
    <s v="0"/>
    <s v="424130777031"/>
    <s v=""/>
    <s v=""/>
    <s v=""/>
    <s v=""/>
    <s v=""/>
    <x v="0"/>
    <m/>
    <s v=""/>
    <d v="2019-05-08T00:00:00"/>
    <s v=""/>
    <s v="1809000616"/>
  </r>
  <r>
    <s v="1809000617"/>
    <d v="2019-05-09T00:00:00"/>
    <d v="2019-05-09T00:00:00"/>
    <s v="DZ"/>
    <s v="USD"/>
    <n v="92784"/>
    <n v="92784"/>
    <s v="BDT"/>
    <s v="EGM1"/>
    <n v="7728907.2000000002"/>
    <s v="E04902US190352"/>
    <s v="0000001010"/>
    <s v="E04902US190352"/>
    <s v=""/>
    <s v=""/>
    <s v="0"/>
    <s v="424130779351"/>
    <s v=""/>
    <s v=""/>
    <s v=""/>
    <s v=""/>
    <s v=""/>
    <x v="0"/>
    <d v="2019-06-30T00:00:00"/>
    <s v="1806000084"/>
    <d v="2019-05-09T00:00:00"/>
    <s v=""/>
    <s v="1809000617"/>
  </r>
  <r>
    <s v="1809000618"/>
    <d v="2019-05-09T00:00:00"/>
    <d v="2019-05-09T00:00:00"/>
    <s v="DZ"/>
    <s v="USD"/>
    <n v="785"/>
    <n v="785"/>
    <s v="BDT"/>
    <s v="EGM2"/>
    <n v="65076.5"/>
    <s v="cm adv adj-424130687691"/>
    <s v="0000001010"/>
    <s v="05069190207OE"/>
    <s v=""/>
    <s v=""/>
    <s v="0"/>
    <s v="424130779342"/>
    <s v=""/>
    <s v=""/>
    <s v=""/>
    <s v=""/>
    <s v=""/>
    <x v="0"/>
    <d v="2019-06-30T00:00:00"/>
    <s v="1806000076"/>
    <d v="2019-05-09T00:00:00"/>
    <s v=""/>
    <s v="1809000618"/>
  </r>
  <r>
    <s v="1809000618"/>
    <d v="2019-05-09T00:00:00"/>
    <d v="2019-05-09T00:00:00"/>
    <s v="DZ"/>
    <s v="USD"/>
    <n v="94"/>
    <n v="94"/>
    <s v="BDT"/>
    <s v="EGM2"/>
    <n v="7847.12"/>
    <s v="cm adv adj-424130775587"/>
    <s v="0000001010"/>
    <s v="05069190207OE"/>
    <s v=""/>
    <s v=""/>
    <s v="0"/>
    <s v="424130779342"/>
    <s v=""/>
    <s v=""/>
    <s v=""/>
    <s v=""/>
    <s v=""/>
    <x v="0"/>
    <d v="2019-10-31T00:00:00"/>
    <s v="1906000010"/>
    <d v="2019-05-09T00:00:00"/>
    <s v=""/>
    <s v="1809000618"/>
  </r>
  <r>
    <s v="1809000619"/>
    <d v="2019-05-09T00:00:00"/>
    <d v="2019-05-09T00:00:00"/>
    <s v="DZ"/>
    <s v="USD"/>
    <n v="11027"/>
    <n v="11027"/>
    <s v="BDT"/>
    <s v="EGM2"/>
    <n v="914689.65"/>
    <s v="cm adv adj-424130698858"/>
    <s v="0000001010"/>
    <s v="05064190211GB"/>
    <s v=""/>
    <s v=""/>
    <s v="0"/>
    <s v="424130775676"/>
    <s v=""/>
    <s v=""/>
    <s v=""/>
    <s v=""/>
    <s v=""/>
    <x v="0"/>
    <d v="2019-06-30T00:00:00"/>
    <s v="1806000077"/>
    <d v="2019-05-09T00:00:00"/>
    <s v=""/>
    <s v="1809000619"/>
  </r>
  <r>
    <s v="1809000620"/>
    <d v="2019-05-09T00:00:00"/>
    <d v="2019-05-09T00:00:00"/>
    <s v="DZ"/>
    <s v="USD"/>
    <n v="1318"/>
    <n v="1318"/>
    <s v="BDT"/>
    <s v="EGM2"/>
    <n v="109789.4"/>
    <s v=""/>
    <s v="0000001010"/>
    <s v="05064190217HR"/>
    <s v=""/>
    <s v=""/>
    <s v="0"/>
    <s v="424130777790"/>
    <s v=""/>
    <s v=""/>
    <s v=""/>
    <s v=""/>
    <s v=""/>
    <x v="0"/>
    <d v="2019-06-30T00:00:00"/>
    <s v="1806000088"/>
    <d v="2019-05-09T00:00:00"/>
    <s v=""/>
    <s v="1809000620"/>
  </r>
  <r>
    <s v="1809000621"/>
    <d v="2019-05-12T00:00:00"/>
    <d v="2019-05-12T00:00:00"/>
    <s v="DZ"/>
    <s v="USD"/>
    <n v="4818"/>
    <n v="4818"/>
    <s v="BDT"/>
    <s v="EGM1"/>
    <n v="400857.59999999998"/>
    <s v="cm adv adj-424130745469"/>
    <s v="0000001010"/>
    <s v="E34873BM19UK0421"/>
    <s v=""/>
    <s v=""/>
    <s v="0"/>
    <s v="424130780223"/>
    <s v=""/>
    <s v=""/>
    <s v=""/>
    <s v=""/>
    <s v=""/>
    <x v="0"/>
    <d v="2019-06-30T00:00:00"/>
    <s v="1806000085"/>
    <d v="2019-05-12T00:00:00"/>
    <s v=""/>
    <s v="1809000621"/>
  </r>
  <r>
    <s v="1809000624"/>
    <d v="2019-04-30T00:00:00"/>
    <d v="2019-04-30T00:00:00"/>
    <s v="DZ"/>
    <s v="USD"/>
    <n v="122721.38"/>
    <n v="122721.38"/>
    <s v="BDT"/>
    <s v="EGM1"/>
    <n v="10210418.82"/>
    <s v="FIT-CM ADV DWC-APR-19"/>
    <s v="0000005010"/>
    <s v="FIT-CM EDL-APR19"/>
    <s v=""/>
    <s v=""/>
    <s v="0"/>
    <s v="FIT-CM ADV EDL-APR-19"/>
    <s v=""/>
    <s v=""/>
    <s v=""/>
    <s v=""/>
    <s v=""/>
    <x v="0"/>
    <d v="2019-04-30T00:00:00"/>
    <s v="1803011027"/>
    <d v="2019-04-30T00:00:00"/>
    <s v=""/>
    <s v="1809000624"/>
  </r>
  <r>
    <s v="1809000626"/>
    <d v="2019-04-30T00:00:00"/>
    <d v="2019-04-30T00:00:00"/>
    <s v="DZ"/>
    <s v="USD"/>
    <n v="-471417"/>
    <n v="-471417"/>
    <s v="BDT"/>
    <s v="EGM1"/>
    <n v="-39104040.149999999"/>
    <s v="FIT-CM ADV DWC-APR-19"/>
    <s v="0000001010"/>
    <s v="FIT-CM-DWC-APR19"/>
    <s v=""/>
    <s v=""/>
    <s v="0"/>
    <s v="FIT CM ADV DWC- APR-19"/>
    <s v=""/>
    <s v=""/>
    <s v=""/>
    <s v=""/>
    <s v=""/>
    <x v="0"/>
    <d v="2019-04-30T00:00:00"/>
    <s v="1803011026"/>
    <d v="2019-04-30T00:00:00"/>
    <s v=""/>
    <s v="1809000626"/>
  </r>
  <r>
    <s v="1809000627"/>
    <d v="2019-04-30T00:00:00"/>
    <d v="2019-04-30T00:00:00"/>
    <s v="DZ"/>
    <s v="USD"/>
    <n v="-471417"/>
    <n v="-471417"/>
    <s v="BDT"/>
    <s v="EGM1"/>
    <n v="-39353891.159999996"/>
    <s v="FIT-CM ADV DWC-APR-19"/>
    <s v="5010"/>
    <s v="FIT-CM-DWC-APR19"/>
    <s v=""/>
    <s v=""/>
    <s v="0"/>
    <s v="FIT CM ADV DWC- APR-19"/>
    <s v=""/>
    <s v=""/>
    <s v=""/>
    <s v=""/>
    <s v=""/>
    <x v="0"/>
    <d v="2019-05-01T00:00:00"/>
    <s v="1803012097"/>
    <d v="2019-04-30T00:00:00"/>
    <s v=""/>
    <s v="1809000627"/>
  </r>
  <r>
    <s v="1809000628"/>
    <d v="2019-04-30T00:00:00"/>
    <d v="2019-04-30T00:00:00"/>
    <s v="DZ"/>
    <s v="USD"/>
    <n v="122721.38"/>
    <n v="122721.38"/>
    <s v="BDT"/>
    <s v="EGM1"/>
    <n v="10244780.800000001"/>
    <s v="FIT-CM ADV EDL-APR-19"/>
    <s v="1010"/>
    <s v="FIT-CM EDL-APR19"/>
    <s v=""/>
    <s v=""/>
    <s v="0"/>
    <s v="FIT-CMAD-EDL-APR-19"/>
    <s v=""/>
    <s v=""/>
    <s v=""/>
    <s v=""/>
    <s v=""/>
    <x v="0"/>
    <d v="2019-05-01T00:00:00"/>
    <s v="1803012096"/>
    <d v="2019-04-30T00:00:00"/>
    <s v=""/>
    <s v="1809000628"/>
  </r>
  <r>
    <s v="1809000629"/>
    <d v="2019-05-12T00:00:00"/>
    <d v="2019-05-12T00:00:00"/>
    <s v="DZ"/>
    <s v="USD"/>
    <n v="116059"/>
    <n v="116059"/>
    <s v="BDT"/>
    <s v="EGM1"/>
    <n v="9667714.6999999993"/>
    <s v="Cm Adv Adj Ref-424130762136"/>
    <s v="0000001010"/>
    <s v="E04902US19-0351"/>
    <s v=""/>
    <s v=""/>
    <s v="0"/>
    <s v="424130780214"/>
    <s v=""/>
    <s v=""/>
    <s v=""/>
    <s v=""/>
    <s v=""/>
    <x v="0"/>
    <d v="2019-06-30T00:00:00"/>
    <s v="1806000084"/>
    <d v="2019-05-12T00:00:00"/>
    <s v=""/>
    <s v="1809000629"/>
  </r>
  <r>
    <s v="1809000631"/>
    <d v="2019-05-13T00:00:00"/>
    <d v="2019-05-13T00:00:00"/>
    <s v="DZ"/>
    <s v="USD"/>
    <n v="1597"/>
    <n v="1597"/>
    <s v="BDT"/>
    <s v="EGM2"/>
    <n v="133317.56"/>
    <s v="Cm Adv Adj Ref-424130775587"/>
    <s v="0000001010"/>
    <s v="05064190216KR"/>
    <s v=""/>
    <s v=""/>
    <s v="0"/>
    <s v="424130780232"/>
    <s v=""/>
    <s v=""/>
    <s v=""/>
    <s v=""/>
    <s v=""/>
    <x v="0"/>
    <d v="2019-10-31T00:00:00"/>
    <s v="1906000010"/>
    <d v="2019-05-13T00:00:00"/>
    <s v=""/>
    <s v="1809000631"/>
  </r>
  <r>
    <s v="1809000631"/>
    <d v="2019-05-13T00:00:00"/>
    <d v="2019-05-13T00:00:00"/>
    <s v="DZ"/>
    <s v="USD"/>
    <n v="727"/>
    <n v="727"/>
    <s v="BDT"/>
    <s v="EGM2"/>
    <n v="60559.1"/>
    <s v="Cm Adv Adj Ref-424130761217"/>
    <s v="0000001010"/>
    <s v="05064190216KR"/>
    <s v=""/>
    <s v=""/>
    <s v="0"/>
    <s v="424130780232"/>
    <s v=""/>
    <s v=""/>
    <s v=""/>
    <s v=""/>
    <s v=""/>
    <x v="0"/>
    <d v="2019-06-30T00:00:00"/>
    <s v="1806000088"/>
    <d v="2019-05-13T00:00:00"/>
    <s v=""/>
    <s v="1809000631"/>
  </r>
  <r>
    <s v="1809000632"/>
    <d v="2019-05-13T00:00:00"/>
    <d v="2019-05-13T00:00:00"/>
    <s v="DZ"/>
    <s v="USD"/>
    <n v="1211"/>
    <n v="1211"/>
    <s v="BDT"/>
    <s v="EGM2"/>
    <n v="101094.28"/>
    <s v="Cm Adv Adj Ref-424130775587"/>
    <s v="0000001010"/>
    <s v="05064190218IX"/>
    <s v=""/>
    <s v=""/>
    <s v="0"/>
    <s v="424130780241"/>
    <s v=""/>
    <s v=""/>
    <s v=""/>
    <s v=""/>
    <s v=""/>
    <x v="0"/>
    <d v="2019-10-31T00:00:00"/>
    <s v="1906000010"/>
    <d v="2019-05-13T00:00:00"/>
    <s v=""/>
    <s v="1809000632"/>
  </r>
  <r>
    <s v="1809000632"/>
    <d v="2019-05-13T00:00:00"/>
    <d v="2019-05-13T00:00:00"/>
    <s v="DZ"/>
    <s v="USD"/>
    <n v="661"/>
    <n v="661"/>
    <s v="BDT"/>
    <s v="EGM2"/>
    <n v="55061.3"/>
    <s v="Cm Adv Adj Ref-424130761217"/>
    <s v="0000001010"/>
    <s v="05064190218IX"/>
    <s v=""/>
    <s v=""/>
    <s v="0"/>
    <s v="424130780241"/>
    <s v=""/>
    <s v=""/>
    <s v=""/>
    <s v=""/>
    <s v=""/>
    <x v="0"/>
    <d v="2019-06-30T00:00:00"/>
    <s v="1806000088"/>
    <d v="2019-05-13T00:00:00"/>
    <s v=""/>
    <s v="1809000632"/>
  </r>
  <r>
    <s v="1809000633"/>
    <d v="2019-05-13T00:00:00"/>
    <d v="2019-05-13T00:00:00"/>
    <s v="DZ"/>
    <s v="USD"/>
    <n v="4742"/>
    <n v="4742"/>
    <s v="BDT"/>
    <s v="EGM2"/>
    <n v="395008.6"/>
    <s v="Cm Adv Adj Ref-424130761217"/>
    <s v="0000001010"/>
    <s v="E24966VF19CA0144"/>
    <s v=""/>
    <s v=""/>
    <s v="0"/>
    <s v="424130780250"/>
    <s v=""/>
    <s v=""/>
    <s v=""/>
    <s v=""/>
    <s v=""/>
    <x v="0"/>
    <d v="2019-06-30T00:00:00"/>
    <s v="1806000088"/>
    <d v="2019-05-13T00:00:00"/>
    <s v=""/>
    <s v="1809000633"/>
  </r>
  <r>
    <s v="1809000634"/>
    <d v="2019-05-14T00:00:00"/>
    <d v="2019-05-14T00:00:00"/>
    <s v="DZ"/>
    <s v="USD"/>
    <n v="88441.36"/>
    <n v="88441.36"/>
    <s v="BDT"/>
    <s v="EGM2"/>
    <n v="7367165.29"/>
    <s v="CM Adv adj- 424130762902"/>
    <s v="0000005010"/>
    <s v="E24992VF19US0195"/>
    <s v=""/>
    <s v=""/>
    <s v="0"/>
    <s v="424130781071"/>
    <s v=""/>
    <s v=""/>
    <s v=""/>
    <s v=""/>
    <s v=""/>
    <x v="0"/>
    <m/>
    <s v=""/>
    <d v="2019-05-14T00:00:00"/>
    <s v=""/>
    <s v="1809000634"/>
  </r>
  <r>
    <s v="1809000635"/>
    <d v="2019-05-14T00:00:00"/>
    <d v="2019-05-14T00:00:00"/>
    <s v="DZ"/>
    <s v="USD"/>
    <n v="22475.360000000001"/>
    <n v="22475.360000000001"/>
    <s v="BDT"/>
    <s v="EGM1"/>
    <n v="1872197.49"/>
    <s v="Cm Adv Adj Ref-424130763554"/>
    <s v="0000005010"/>
    <s v="E4831AMZ19US0408"/>
    <s v=""/>
    <s v=""/>
    <s v="0"/>
    <s v="424130781035"/>
    <s v=""/>
    <s v=""/>
    <s v=""/>
    <s v=""/>
    <s v=""/>
    <x v="0"/>
    <m/>
    <s v=""/>
    <d v="2019-05-14T00:00:00"/>
    <s v=""/>
    <s v="1809000635"/>
  </r>
  <r>
    <s v="1809000636"/>
    <d v="2019-05-14T00:00:00"/>
    <d v="2019-05-14T00:00:00"/>
    <s v="DZ"/>
    <s v="USD"/>
    <n v="284295.02"/>
    <n v="284295.02"/>
    <s v="BDT"/>
    <s v="EGM1"/>
    <n v="23681775.170000002"/>
    <s v="Cm Adv Adj Ref-424130763554"/>
    <s v="0000005010"/>
    <s v="E34963TC19US0420"/>
    <s v=""/>
    <s v=""/>
    <s v="0"/>
    <s v="424130781053"/>
    <s v=""/>
    <s v=""/>
    <s v=""/>
    <s v=""/>
    <s v=""/>
    <x v="0"/>
    <m/>
    <s v=""/>
    <d v="2019-05-14T00:00:00"/>
    <s v=""/>
    <s v="1809000636"/>
  </r>
  <r>
    <s v="1809000636"/>
    <d v="2019-05-14T00:00:00"/>
    <d v="2019-05-14T00:00:00"/>
    <s v="DZ"/>
    <s v="USD"/>
    <n v="17336.5"/>
    <n v="17336.5"/>
    <s v="BDT"/>
    <s v="EGM1"/>
    <n v="1442396.8"/>
    <s v="Cm Adv Adj Ref-424130763554"/>
    <s v="0000005010"/>
    <s v="E34963TC19US0420"/>
    <s v=""/>
    <s v=""/>
    <s v="0"/>
    <s v="424130781053"/>
    <s v=""/>
    <s v=""/>
    <s v=""/>
    <s v=""/>
    <s v=""/>
    <x v="0"/>
    <m/>
    <s v=""/>
    <d v="2019-05-14T00:00:00"/>
    <s v=""/>
    <s v="1809000636"/>
  </r>
  <r>
    <s v="1809000637"/>
    <d v="2019-05-14T00:00:00"/>
    <d v="2019-05-14T00:00:00"/>
    <s v="DZ"/>
    <s v="USD"/>
    <n v="29025.4"/>
    <n v="29025.4"/>
    <s v="BDT"/>
    <s v="EGM1"/>
    <n v="2417815.8199999998"/>
    <s v="Cm Adv Adj Ref-424130763554"/>
    <s v="0000005010"/>
    <s v="E34995DC19US0389"/>
    <s v=""/>
    <s v=""/>
    <s v="0"/>
    <s v="424130781044"/>
    <s v=""/>
    <s v=""/>
    <s v=""/>
    <s v=""/>
    <s v=""/>
    <x v="0"/>
    <m/>
    <s v=""/>
    <d v="2019-05-14T00:00:00"/>
    <s v=""/>
    <s v="1809000637"/>
  </r>
  <r>
    <s v="1809000638"/>
    <d v="2019-05-14T00:00:00"/>
    <d v="2019-05-14T00:00:00"/>
    <s v="DZ"/>
    <s v="USD"/>
    <n v="40688.53"/>
    <n v="40688.53"/>
    <s v="BDT"/>
    <s v="EGM1"/>
    <n v="3389354.55"/>
    <s v="Cm Adv Adj Ref-424130763554"/>
    <s v="0000005010"/>
    <s v="E4852AMZ19US0288"/>
    <s v=""/>
    <s v=""/>
    <s v="0"/>
    <s v="424130781026"/>
    <s v=""/>
    <s v=""/>
    <s v=""/>
    <s v=""/>
    <s v=""/>
    <x v="0"/>
    <m/>
    <s v=""/>
    <d v="2019-05-14T00:00:00"/>
    <s v=""/>
    <s v="1809000638"/>
  </r>
  <r>
    <s v="1809000639"/>
    <d v="2019-05-14T00:00:00"/>
    <d v="2019-05-14T00:00:00"/>
    <s v="DZ"/>
    <s v="USD"/>
    <n v="2867"/>
    <n v="2867"/>
    <s v="BDT"/>
    <s v="EGM1"/>
    <n v="238534.39999999999"/>
    <s v="Cm Adv Adj Ref-424130746253"/>
    <s v="0000005010"/>
    <s v="E34904TC19CA0436"/>
    <s v=""/>
    <s v=""/>
    <s v="0"/>
    <s v="424130781062"/>
    <s v=""/>
    <s v=""/>
    <s v=""/>
    <s v=""/>
    <s v=""/>
    <x v="0"/>
    <m/>
    <s v=""/>
    <d v="2019-05-14T00:00:00"/>
    <s v=""/>
    <s v="1809000639"/>
  </r>
  <r>
    <s v="1809000640"/>
    <d v="2019-05-15T00:00:00"/>
    <d v="2019-05-15T00:00:00"/>
    <s v="DZ"/>
    <s v="USD"/>
    <n v="10549.03"/>
    <n v="10549.03"/>
    <s v="BDT"/>
    <s v="EGM2"/>
    <n v="878734.2"/>
    <s v="Cm Adv Adj Ref-424130762902"/>
    <s v="0000005010"/>
    <s v="E24907VF19US0209"/>
    <s v=""/>
    <s v=""/>
    <s v="0"/>
    <s v="424130781730"/>
    <s v=""/>
    <s v=""/>
    <s v=""/>
    <s v=""/>
    <s v=""/>
    <x v="0"/>
    <m/>
    <s v=""/>
    <d v="2019-05-15T00:00:00"/>
    <s v=""/>
    <s v="1809000640"/>
  </r>
  <r>
    <s v="1809000640"/>
    <d v="2019-05-15T00:00:00"/>
    <d v="2019-05-15T00:00:00"/>
    <s v="DZ"/>
    <s v="USD"/>
    <n v="36224.46"/>
    <n v="36224.46"/>
    <s v="BDT"/>
    <s v="EGM2"/>
    <n v="3013875.07"/>
    <s v="Cm Adv Adj Ref-424130746725"/>
    <s v="0000005010"/>
    <s v="E24907VF19US0209"/>
    <s v=""/>
    <s v=""/>
    <s v="0"/>
    <s v="424130781730"/>
    <s v=""/>
    <s v=""/>
    <s v=""/>
    <s v=""/>
    <s v=""/>
    <x v="0"/>
    <m/>
    <s v=""/>
    <d v="2019-05-15T00:00:00"/>
    <s v=""/>
    <s v="1809000640"/>
  </r>
  <r>
    <s v="1809000641"/>
    <d v="2019-05-19T00:00:00"/>
    <d v="2019-05-19T00:00:00"/>
    <s v="DZ"/>
    <s v="USD"/>
    <n v="805"/>
    <n v="805"/>
    <s v="BDT"/>
    <s v="EGM2"/>
    <n v="67201.399999999994"/>
    <s v="cm adv adj-424130775587"/>
    <s v="0000001010"/>
    <s v="05069190234IX"/>
    <s v=""/>
    <s v=""/>
    <s v="0"/>
    <s v="424130783355"/>
    <s v=""/>
    <s v=""/>
    <s v=""/>
    <s v=""/>
    <s v=""/>
    <x v="0"/>
    <d v="2019-10-31T00:00:00"/>
    <s v="1906000010"/>
    <d v="2019-05-19T00:00:00"/>
    <s v=""/>
    <s v="1809000641"/>
  </r>
  <r>
    <s v="1809000643"/>
    <d v="2019-05-19T00:00:00"/>
    <d v="2019-05-19T00:00:00"/>
    <s v="DZ"/>
    <s v="USD"/>
    <n v="172326"/>
    <n v="172326"/>
    <s v="BDT"/>
    <s v="EGM1"/>
    <n v="14385774.48"/>
    <s v="cm adv adj-424130775569"/>
    <s v="0000001010"/>
    <s v="E04970US190444"/>
    <s v=""/>
    <s v=""/>
    <s v="0"/>
    <s v="424130784256"/>
    <s v=""/>
    <s v=""/>
    <s v=""/>
    <s v=""/>
    <s v=""/>
    <x v="0"/>
    <d v="2019-10-31T00:00:00"/>
    <s v="1906000008"/>
    <d v="2019-05-19T00:00:00"/>
    <s v=""/>
    <s v="1809000643"/>
  </r>
  <r>
    <s v="1809000643"/>
    <d v="2019-05-19T00:00:00"/>
    <d v="2019-05-19T00:00:00"/>
    <s v="DZ"/>
    <s v="USD"/>
    <n v="62604"/>
    <n v="62604"/>
    <s v="BDT"/>
    <s v="EGM1"/>
    <n v="5214913.2"/>
    <s v="cm adv adj-424130762136"/>
    <s v="0000001010"/>
    <s v="E04970US190444"/>
    <s v=""/>
    <s v=""/>
    <s v="0"/>
    <s v="424130784256"/>
    <s v=""/>
    <s v=""/>
    <s v=""/>
    <s v=""/>
    <s v=""/>
    <x v="0"/>
    <d v="2019-06-30T00:00:00"/>
    <s v="1806000084"/>
    <d v="2019-05-19T00:00:00"/>
    <s v=""/>
    <s v="1809000643"/>
  </r>
  <r>
    <s v="1809000644"/>
    <d v="2019-05-19T00:00:00"/>
    <d v="2019-05-19T00:00:00"/>
    <s v="DZ"/>
    <s v="USD"/>
    <n v="122912"/>
    <n v="122912"/>
    <s v="BDT"/>
    <s v="EGM1"/>
    <n v="10260693.76"/>
    <s v="cm adv adj-424130775569"/>
    <s v="0000001010"/>
    <s v="E05039US19-0401"/>
    <s v=""/>
    <s v=""/>
    <s v="0"/>
    <s v="424130784247,424130784238"/>
    <s v=""/>
    <s v=""/>
    <s v=""/>
    <s v=""/>
    <s v=""/>
    <x v="0"/>
    <d v="2019-10-31T00:00:00"/>
    <s v="1906000008"/>
    <d v="2019-05-19T00:00:00"/>
    <s v=""/>
    <s v="1809000644"/>
  </r>
  <r>
    <s v="1809000644"/>
    <d v="2019-05-19T00:00:00"/>
    <d v="2019-05-19T00:00:00"/>
    <s v="DZ"/>
    <s v="USD"/>
    <n v="145678"/>
    <n v="145678"/>
    <s v="BDT"/>
    <s v="EGM1"/>
    <n v="12134977.4"/>
    <s v="cm adv adj-424130762136"/>
    <s v="0000001010"/>
    <s v="E05039US19-0401"/>
    <s v=""/>
    <s v=""/>
    <s v="0"/>
    <s v="424130784247,424130784238"/>
    <s v=""/>
    <s v=""/>
    <s v=""/>
    <s v=""/>
    <s v=""/>
    <x v="0"/>
    <d v="2019-06-30T00:00:00"/>
    <s v="1806000084"/>
    <d v="2019-05-19T00:00:00"/>
    <s v=""/>
    <s v="1809000644"/>
  </r>
  <r>
    <s v="1809000644"/>
    <d v="2019-05-19T00:00:00"/>
    <d v="2019-05-19T00:00:00"/>
    <s v="DZ"/>
    <s v="USD"/>
    <n v="34505"/>
    <n v="34505"/>
    <s v="BDT"/>
    <s v="EGM1"/>
    <n v="2870816"/>
    <s v="cm adv adj-424130745469"/>
    <s v="0000001010"/>
    <s v="E05039US19-0401"/>
    <s v=""/>
    <s v=""/>
    <s v="0"/>
    <s v="424130784247,424130784238"/>
    <s v=""/>
    <s v=""/>
    <s v=""/>
    <s v=""/>
    <s v=""/>
    <x v="0"/>
    <d v="2019-06-30T00:00:00"/>
    <s v="1806000085"/>
    <d v="2019-05-19T00:00:00"/>
    <s v=""/>
    <s v="1809000644"/>
  </r>
  <r>
    <s v="1809000645"/>
    <d v="2019-05-20T00:00:00"/>
    <d v="2019-05-20T00:00:00"/>
    <s v="DZ"/>
    <s v="USD"/>
    <n v="7151"/>
    <n v="7151"/>
    <s v="BDT"/>
    <s v="EGM1"/>
    <n v="595678.30000000005"/>
    <s v="CM Adv adj- 424130763554"/>
    <s v="0000005010"/>
    <s v="E349057C19US0437"/>
    <s v=""/>
    <s v=""/>
    <s v="0"/>
    <s v="424130784274"/>
    <s v=""/>
    <s v=""/>
    <s v=""/>
    <s v=""/>
    <s v=""/>
    <x v="0"/>
    <m/>
    <s v=""/>
    <d v="2019-05-20T00:00:00"/>
    <s v=""/>
    <s v="1809000645"/>
  </r>
  <r>
    <s v="1809000645"/>
    <d v="2019-05-20T00:00:00"/>
    <d v="2019-05-20T00:00:00"/>
    <s v="DZ"/>
    <s v="USD"/>
    <n v="15880"/>
    <n v="15880"/>
    <s v="BDT"/>
    <s v="EGM1"/>
    <n v="1321216"/>
    <s v="Cm Adv adj-424130746253"/>
    <s v="0000005010"/>
    <s v="E349057C19US0437"/>
    <s v=""/>
    <s v=""/>
    <s v="0"/>
    <s v="424130784274"/>
    <s v=""/>
    <s v=""/>
    <s v=""/>
    <s v=""/>
    <s v=""/>
    <x v="0"/>
    <m/>
    <s v=""/>
    <d v="2019-05-20T00:00:00"/>
    <s v=""/>
    <s v="1809000645"/>
  </r>
  <r>
    <s v="1809000647"/>
    <d v="2019-05-20T00:00:00"/>
    <d v="2019-05-20T00:00:00"/>
    <s v="DZ"/>
    <s v="USD"/>
    <n v="104687"/>
    <n v="104687"/>
    <s v="BDT"/>
    <s v="EGM1"/>
    <n v="8720427.0999999996"/>
    <s v="Cm Adv adj-424130762136"/>
    <s v="0000001010"/>
    <s v="E04993WM19CA0417"/>
    <s v=""/>
    <s v=""/>
    <s v="0"/>
    <s v="424130784648"/>
    <s v=""/>
    <s v=""/>
    <s v=""/>
    <s v=""/>
    <s v=""/>
    <x v="0"/>
    <d v="2019-06-30T00:00:00"/>
    <s v="1806000084"/>
    <d v="2019-05-20T00:00:00"/>
    <s v=""/>
    <s v="1809000647"/>
  </r>
  <r>
    <s v="1809000648"/>
    <d v="2019-05-20T00:00:00"/>
    <d v="2019-05-20T00:00:00"/>
    <s v="DZ"/>
    <s v="USD"/>
    <n v="1941"/>
    <n v="1941"/>
    <s v="BDT"/>
    <s v="EGM2"/>
    <n v="162034.68"/>
    <s v="cm adv adj-424130775587"/>
    <s v="0000001010"/>
    <s v="05064190232HK"/>
    <s v=""/>
    <s v=""/>
    <s v="0"/>
    <s v="424130784292"/>
    <s v=""/>
    <s v=""/>
    <s v=""/>
    <s v=""/>
    <s v=""/>
    <x v="0"/>
    <d v="2019-10-31T00:00:00"/>
    <s v="1906000010"/>
    <d v="2019-05-20T00:00:00"/>
    <s v=""/>
    <s v="1809000648"/>
  </r>
  <r>
    <s v="1809000649"/>
    <d v="2019-05-21T00:00:00"/>
    <d v="2019-05-21T00:00:00"/>
    <s v="DZ"/>
    <s v="USD"/>
    <n v="49457"/>
    <n v="49457"/>
    <s v="BDT"/>
    <s v="EGM1"/>
    <n v="4128670.36"/>
    <s v="Cm adv adj-424130775569"/>
    <s v="0000001010"/>
    <s v="E15022DM19US0483"/>
    <s v=""/>
    <s v=""/>
    <s v="0"/>
    <s v="424130785157"/>
    <s v=""/>
    <s v=""/>
    <s v=""/>
    <s v=""/>
    <s v=""/>
    <x v="0"/>
    <d v="2019-10-31T00:00:00"/>
    <s v="1906000008"/>
    <d v="2019-05-21T00:00:00"/>
    <s v=""/>
    <s v="1809000649"/>
  </r>
  <r>
    <s v="1809000651"/>
    <d v="2019-05-21T00:00:00"/>
    <d v="2019-05-21T00:00:00"/>
    <s v="DZ"/>
    <s v="USD"/>
    <n v="-713519"/>
    <n v="-713519"/>
    <s v="BDT"/>
    <s v="EGM1"/>
    <n v="-59564566.119999997"/>
    <s v="Cm Adv Rec-424130785148"/>
    <s v="0000001010"/>
    <s v=""/>
    <s v=""/>
    <s v=""/>
    <s v="0"/>
    <s v="424130785148"/>
    <s v=""/>
    <s v=""/>
    <s v=""/>
    <s v=""/>
    <s v=""/>
    <x v="0"/>
    <d v="2020-06-30T00:00:00"/>
    <s v="1906000017"/>
    <d v="2019-05-21T00:00:00"/>
    <s v=""/>
    <s v="1809000651"/>
  </r>
  <r>
    <s v="1809000652"/>
    <d v="2019-05-22T00:00:00"/>
    <d v="2019-05-22T00:00:00"/>
    <s v="DZ"/>
    <s v="USD"/>
    <n v="17318"/>
    <n v="17318"/>
    <s v="BDT"/>
    <s v="EGM1"/>
    <n v="1445706.64"/>
    <s v="Cm Adv adj-424130775569"/>
    <s v="0000001010"/>
    <s v="E34873BM19UK0449"/>
    <s v=""/>
    <s v=""/>
    <s v="0"/>
    <s v="424130785763"/>
    <s v=""/>
    <s v=""/>
    <s v=""/>
    <s v=""/>
    <s v=""/>
    <x v="0"/>
    <d v="2019-10-31T00:00:00"/>
    <s v="1906000008"/>
    <d v="2019-05-22T00:00:00"/>
    <s v=""/>
    <s v="1809000652"/>
  </r>
  <r>
    <s v="1809000652"/>
    <d v="2019-05-22T00:00:00"/>
    <d v="2019-05-22T00:00:00"/>
    <s v="DZ"/>
    <s v="USD"/>
    <n v="9763"/>
    <n v="9763"/>
    <s v="BDT"/>
    <s v="EGM1"/>
    <n v="812281.6"/>
    <s v="Cm adv adj-424130745469"/>
    <s v="0000001010"/>
    <s v="E34873BM19UK0449"/>
    <s v=""/>
    <s v=""/>
    <s v="0"/>
    <s v="424130785763"/>
    <s v=""/>
    <s v=""/>
    <s v=""/>
    <s v=""/>
    <s v=""/>
    <x v="0"/>
    <d v="2019-06-30T00:00:00"/>
    <s v="1806000085"/>
    <d v="2019-05-22T00:00:00"/>
    <s v=""/>
    <s v="1809000652"/>
  </r>
  <r>
    <s v="1809000653"/>
    <d v="2019-05-22T00:00:00"/>
    <d v="2019-05-22T00:00:00"/>
    <s v="DZ"/>
    <s v="USD"/>
    <n v="-143715"/>
    <n v="-143715"/>
    <s v="BDT"/>
    <s v="EGM1"/>
    <n v="-11997328.199999999"/>
    <s v="Cm Adv Rec-424130785754"/>
    <s v="0000001010"/>
    <s v="424130785754"/>
    <s v=""/>
    <s v=""/>
    <s v="0"/>
    <s v="IT06591905210286"/>
    <s v=""/>
    <s v=""/>
    <s v=""/>
    <s v=""/>
    <s v=""/>
    <x v="0"/>
    <d v="2019-05-22T00:00:00"/>
    <s v="1803011184"/>
    <d v="2019-05-22T00:00:00"/>
    <s v=""/>
    <s v="1809000653"/>
  </r>
  <r>
    <s v="1809000655"/>
    <d v="2019-05-23T00:00:00"/>
    <d v="2019-05-23T00:00:00"/>
    <s v="DZ"/>
    <s v="USD"/>
    <n v="69975"/>
    <n v="69975"/>
    <s v="BDT"/>
    <s v="EGM1"/>
    <n v="5828917.5"/>
    <s v="Cm adv adj-424130762136"/>
    <s v="0000001010"/>
    <s v="E05118US19-0356"/>
    <s v=""/>
    <s v=""/>
    <s v="0"/>
    <s v="424130786548"/>
    <s v=""/>
    <s v=""/>
    <s v=""/>
    <s v=""/>
    <s v=""/>
    <x v="0"/>
    <d v="2019-06-30T00:00:00"/>
    <s v="1806000084"/>
    <d v="2019-05-23T00:00:00"/>
    <s v=""/>
    <s v="1809000655"/>
  </r>
  <r>
    <s v="1809000655"/>
    <d v="2019-05-23T00:00:00"/>
    <d v="2019-05-23T00:00:00"/>
    <s v="DZ"/>
    <s v="USD"/>
    <n v="8845"/>
    <n v="8845"/>
    <s v="BDT"/>
    <s v="EGM1"/>
    <n v="738380.6"/>
    <s v="Cm adv adj-424130785148"/>
    <s v="0000001010"/>
    <s v="E05118US19-0356"/>
    <s v=""/>
    <s v=""/>
    <s v="0"/>
    <s v="424130786548"/>
    <s v=""/>
    <s v=""/>
    <s v=""/>
    <s v=""/>
    <s v=""/>
    <x v="0"/>
    <d v="2020-06-30T00:00:00"/>
    <s v="1906000017"/>
    <d v="2019-05-23T00:00:00"/>
    <s v=""/>
    <s v="1809000655"/>
  </r>
  <r>
    <s v="1809000656"/>
    <d v="2019-05-26T00:00:00"/>
    <d v="2019-05-26T00:00:00"/>
    <s v="DZ"/>
    <s v="USD"/>
    <n v="642952"/>
    <n v="642952"/>
    <s v="BDT"/>
    <s v="EGM1"/>
    <n v="53673632.960000001"/>
    <s v="cm adv adj424130775569"/>
    <s v="0000001010"/>
    <s v="E05021US19-0469"/>
    <s v=""/>
    <s v=""/>
    <s v="0"/>
    <s v="424130787495,424130787486"/>
    <s v=""/>
    <s v=""/>
    <s v=""/>
    <s v=""/>
    <s v=""/>
    <x v="0"/>
    <d v="2019-10-31T00:00:00"/>
    <s v="1906000008"/>
    <d v="2019-05-26T00:00:00"/>
    <s v=""/>
    <s v="1809000656"/>
  </r>
  <r>
    <s v="1809000659"/>
    <d v="2019-05-28T00:00:00"/>
    <d v="2019-05-28T00:00:00"/>
    <s v="DZ"/>
    <s v="USD"/>
    <n v="-77624"/>
    <n v="-77624"/>
    <s v="BDT"/>
    <s v="EGM2"/>
    <n v="-6480051.5300000003"/>
    <s v="Cm Ad Rec-424130789448"/>
    <s v="0000001010"/>
    <s v="IT06591905280172"/>
    <s v=""/>
    <s v=""/>
    <s v="0"/>
    <s v="424130789448"/>
    <s v=""/>
    <s v=""/>
    <s v=""/>
    <s v=""/>
    <s v=""/>
    <x v="0"/>
    <d v="2019-07-31T00:00:00"/>
    <s v="1906000006"/>
    <d v="2019-05-28T00:00:00"/>
    <s v=""/>
    <s v="1809000659"/>
  </r>
  <r>
    <s v="1809000660"/>
    <d v="2019-05-28T00:00:00"/>
    <d v="2019-05-28T00:00:00"/>
    <s v="DZ"/>
    <s v="USD"/>
    <n v="-967040"/>
    <n v="-967040"/>
    <s v="BDT"/>
    <s v="EGM1"/>
    <n v="-80728499.200000003"/>
    <s v="Cm Ad Rec-424130789439"/>
    <s v="0000001010"/>
    <s v="IT06591905280172"/>
    <s v=""/>
    <s v=""/>
    <s v="0"/>
    <s v="424130789439"/>
    <s v=""/>
    <s v=""/>
    <s v=""/>
    <s v=""/>
    <s v=""/>
    <x v="0"/>
    <d v="2019-10-31T00:00:00"/>
    <s v="1906000009"/>
    <d v="2019-05-28T00:00:00"/>
    <s v=""/>
    <s v="1809000660"/>
  </r>
  <r>
    <s v="1809000662"/>
    <d v="2019-05-29T00:00:00"/>
    <d v="2019-05-29T00:00:00"/>
    <s v="DZ"/>
    <s v="USD"/>
    <n v="3980"/>
    <n v="3980"/>
    <s v="BDT"/>
    <s v="EGM2"/>
    <n v="332250.40000000002"/>
    <s v="Cm adv adj-424130775587"/>
    <s v="0000001010"/>
    <s v="05143190267OU"/>
    <s v=""/>
    <s v=""/>
    <s v="0"/>
    <s v="424130791471"/>
    <s v=""/>
    <s v=""/>
    <s v=""/>
    <s v=""/>
    <s v=""/>
    <x v="0"/>
    <d v="2019-10-31T00:00:00"/>
    <s v="1906000010"/>
    <d v="2019-05-29T00:00:00"/>
    <s v=""/>
    <s v="1809000662"/>
  </r>
  <r>
    <s v="1809000663"/>
    <d v="2019-05-29T00:00:00"/>
    <d v="2019-05-29T00:00:00"/>
    <s v="DZ"/>
    <s v="USD"/>
    <n v="-220829"/>
    <n v="-220829"/>
    <s v="BDT"/>
    <s v="EGM2"/>
    <n v="-18434804.920000002"/>
    <s v="Cm Ad Rec-424130790837"/>
    <s v="0000005010"/>
    <s v="IT06591905280360"/>
    <s v=""/>
    <s v=""/>
    <s v="0"/>
    <s v="424130790837"/>
    <s v=""/>
    <s v=""/>
    <s v=""/>
    <s v=""/>
    <s v=""/>
    <x v="0"/>
    <m/>
    <s v=""/>
    <d v="2019-05-29T00:00:00"/>
    <s v=""/>
    <s v="1809000663"/>
  </r>
  <r>
    <s v="1809000664"/>
    <d v="2019-05-29T00:00:00"/>
    <d v="2019-05-29T00:00:00"/>
    <s v="DZ"/>
    <s v="USD"/>
    <n v="6275"/>
    <n v="6275"/>
    <s v="BDT"/>
    <s v="EGM1"/>
    <n v="523837"/>
    <s v="Cm adv adj-424130785148"/>
    <s v="0000001010"/>
    <s v="424130790533"/>
    <s v=""/>
    <s v=""/>
    <s v="0"/>
    <s v="E45059SB19UK0509"/>
    <s v=""/>
    <s v=""/>
    <s v=""/>
    <s v=""/>
    <s v=""/>
    <x v="0"/>
    <d v="2020-06-30T00:00:00"/>
    <s v="1906000017"/>
    <d v="2019-05-29T00:00:00"/>
    <s v=""/>
    <s v="1809000664"/>
  </r>
  <r>
    <s v="1809000665"/>
    <d v="2019-05-29T00:00:00"/>
    <d v="2019-05-29T00:00:00"/>
    <s v="DZ"/>
    <s v="USD"/>
    <n v="15566"/>
    <n v="15566"/>
    <s v="BDT"/>
    <s v="EGM1"/>
    <n v="1299449.68"/>
    <s v="Cm adv adj-424130785148"/>
    <s v="0000001010"/>
    <s v="E44780BM19UK0473"/>
    <s v=""/>
    <s v=""/>
    <s v="0"/>
    <s v="424130791462"/>
    <s v=""/>
    <s v=""/>
    <s v=""/>
    <s v=""/>
    <s v=""/>
    <x v="0"/>
    <d v="2020-06-30T00:00:00"/>
    <s v="1906000017"/>
    <d v="2019-05-29T00:00:00"/>
    <s v=""/>
    <s v="1809000665"/>
  </r>
  <r>
    <s v="1809000666"/>
    <d v="2019-05-29T00:00:00"/>
    <d v="2019-05-29T00:00:00"/>
    <s v="DZ"/>
    <s v="USD"/>
    <n v="96982"/>
    <n v="96982"/>
    <s v="BDT"/>
    <s v="EGM1"/>
    <n v="8096057.3600000003"/>
    <s v="Cm adv adj-424130775569"/>
    <s v="0000001010"/>
    <s v="E04937US19-0489"/>
    <s v=""/>
    <s v=""/>
    <s v="0"/>
    <s v="424130790542"/>
    <s v=""/>
    <s v=""/>
    <s v=""/>
    <s v=""/>
    <s v=""/>
    <x v="0"/>
    <d v="2019-10-31T00:00:00"/>
    <s v="1906000008"/>
    <d v="2019-05-29T00:00:00"/>
    <s v=""/>
    <s v="1809000666"/>
  </r>
  <r>
    <s v="1809000666"/>
    <d v="2019-05-29T00:00:00"/>
    <d v="2019-05-29T00:00:00"/>
    <s v="DZ"/>
    <s v="USD"/>
    <n v="1484"/>
    <n v="1484"/>
    <s v="BDT"/>
    <s v="EGM1"/>
    <n v="123884.32"/>
    <s v="Cm adv adj-424130785148"/>
    <s v="0000001010"/>
    <s v="E04937US19-0489"/>
    <s v=""/>
    <s v=""/>
    <s v="0"/>
    <s v="424130790542"/>
    <s v=""/>
    <s v=""/>
    <s v=""/>
    <s v=""/>
    <s v=""/>
    <x v="0"/>
    <d v="2020-06-30T00:00:00"/>
    <s v="1906000017"/>
    <d v="2019-05-29T00:00:00"/>
    <s v=""/>
    <s v="1809000666"/>
  </r>
  <r>
    <s v="1809000667"/>
    <d v="2019-05-30T00:00:00"/>
    <d v="2019-05-30T00:00:00"/>
    <s v="DZ"/>
    <s v="USD"/>
    <n v="11899.4"/>
    <n v="11899.4"/>
    <s v="BDT"/>
    <s v="EGM1"/>
    <n v="990030.08"/>
    <s v="Cm Adv adj-424130746253"/>
    <s v="0000005010"/>
    <s v="E44759AC19CK0446"/>
    <s v=""/>
    <s v=""/>
    <s v="0"/>
    <s v="424130793193"/>
    <s v=""/>
    <s v=""/>
    <s v=""/>
    <s v=""/>
    <s v=""/>
    <x v="0"/>
    <m/>
    <s v=""/>
    <d v="2019-05-30T00:00:00"/>
    <s v=""/>
    <s v="1809000667"/>
  </r>
  <r>
    <s v="1809000668"/>
    <d v="2019-05-30T00:00:00"/>
    <d v="2019-05-30T00:00:00"/>
    <s v="DZ"/>
    <s v="USD"/>
    <n v="6254.29"/>
    <n v="6254.29"/>
    <s v="BDT"/>
    <s v="EGM1"/>
    <n v="520982.36"/>
    <s v="Cm Adv adj-424130763554"/>
    <s v="0000005010"/>
    <s v="E34994DC19US0481"/>
    <s v=""/>
    <s v=""/>
    <s v="0"/>
    <s v="424130793184"/>
    <s v=""/>
    <s v=""/>
    <s v=""/>
    <s v=""/>
    <s v=""/>
    <x v="0"/>
    <m/>
    <s v=""/>
    <d v="2019-05-30T00:00:00"/>
    <s v=""/>
    <s v="1809000668"/>
  </r>
  <r>
    <s v="1809000669"/>
    <d v="2019-05-30T00:00:00"/>
    <d v="2019-05-30T00:00:00"/>
    <s v="DZ"/>
    <s v="USD"/>
    <n v="-258614"/>
    <n v="-258614"/>
    <s v="BDT"/>
    <s v="EGM1"/>
    <n v="-21589096.719999999"/>
    <s v="Cm Adv Rec-424130793139"/>
    <s v="0000005010"/>
    <s v="IT06591905300111"/>
    <s v=""/>
    <s v=""/>
    <s v="0"/>
    <s v="424130793139"/>
    <s v=""/>
    <s v=""/>
    <s v=""/>
    <s v=""/>
    <s v=""/>
    <x v="0"/>
    <m/>
    <s v=""/>
    <d v="2019-05-30T00:00:00"/>
    <s v=""/>
    <s v="1809000669"/>
  </r>
  <r>
    <s v="1809000670"/>
    <d v="2019-05-22T00:00:00"/>
    <d v="2019-05-22T00:00:00"/>
    <s v="DZ"/>
    <s v="USD"/>
    <n v="-143715"/>
    <n v="-143715"/>
    <s v="BDT"/>
    <s v="EGM1"/>
    <n v="-11997328.199999999"/>
    <s v="Cm Adv Rec-424130785754"/>
    <s v="0000005010"/>
    <s v="424130785754"/>
    <s v=""/>
    <s v=""/>
    <s v="0"/>
    <s v="IT06591905210286"/>
    <s v=""/>
    <s v=""/>
    <s v=""/>
    <s v=""/>
    <s v=""/>
    <x v="0"/>
    <m/>
    <s v=""/>
    <d v="2019-05-22T00:00:00"/>
    <s v=""/>
    <s v="1809000670"/>
  </r>
  <r>
    <s v="1809000671"/>
    <d v="2019-05-30T00:00:00"/>
    <d v="2019-05-30T00:00:00"/>
    <s v="DZ"/>
    <s v="USD"/>
    <n v="20472.68"/>
    <n v="20472.68"/>
    <s v="BDT"/>
    <s v="EGM1"/>
    <n v="1709059.33"/>
    <s v="Cm Adv adj-424130775578"/>
    <s v="0000005010"/>
    <s v="E35004TC19MY0480"/>
    <s v=""/>
    <s v=""/>
    <s v="0"/>
    <s v="424130793175"/>
    <s v=""/>
    <s v=""/>
    <s v=""/>
    <s v=""/>
    <s v=""/>
    <x v="0"/>
    <m/>
    <s v=""/>
    <d v="2019-05-30T00:00:00"/>
    <s v=""/>
    <s v="1809000671"/>
  </r>
  <r>
    <s v="1809000671"/>
    <d v="2019-05-30T00:00:00"/>
    <d v="2019-05-30T00:00:00"/>
    <s v="DZ"/>
    <s v="USD"/>
    <n v="91763"/>
    <n v="91763"/>
    <s v="BDT"/>
    <s v="EGM1"/>
    <n v="7660375.2400000002"/>
    <s v="Cm Adv adj-424130785754"/>
    <s v="0000005010"/>
    <s v="E35004TC19MY0480"/>
    <s v=""/>
    <s v=""/>
    <s v="0"/>
    <s v="424130793175"/>
    <s v=""/>
    <s v=""/>
    <s v=""/>
    <s v=""/>
    <s v=""/>
    <x v="0"/>
    <m/>
    <s v=""/>
    <d v="2019-05-30T00:00:00"/>
    <s v=""/>
    <s v="1809000671"/>
  </r>
  <r>
    <s v="1809000672"/>
    <d v="2019-05-30T00:00:00"/>
    <d v="2019-05-30T00:00:00"/>
    <s v="DZ"/>
    <s v="USD"/>
    <n v="79946.990000000005"/>
    <n v="79946.990000000005"/>
    <s v="BDT"/>
    <s v="EGM2"/>
    <n v="6659584.2699999996"/>
    <s v="Cm Adv adj-424130762902"/>
    <s v="0000005010"/>
    <s v="E24940VF19US0229"/>
    <s v=""/>
    <s v=""/>
    <s v="0"/>
    <s v="424130793166"/>
    <s v=""/>
    <s v=""/>
    <s v=""/>
    <s v=""/>
    <s v=""/>
    <x v="0"/>
    <m/>
    <s v=""/>
    <d v="2019-05-30T00:00:00"/>
    <s v=""/>
    <s v="1809000672"/>
  </r>
  <r>
    <s v="1809000672"/>
    <d v="2019-05-30T00:00:00"/>
    <d v="2019-05-30T00:00:00"/>
    <s v="DZ"/>
    <s v="USD"/>
    <n v="135864.82999999999"/>
    <n v="135864.82999999999"/>
    <s v="BDT"/>
    <s v="EGM2"/>
    <n v="11341996.01"/>
    <s v="Cm Adv adj-424130775596"/>
    <s v="0000005010"/>
    <s v="E24940VF19US0229"/>
    <s v=""/>
    <s v=""/>
    <s v="0"/>
    <s v="424130793166"/>
    <s v=""/>
    <s v=""/>
    <s v=""/>
    <s v=""/>
    <s v=""/>
    <x v="0"/>
    <m/>
    <s v=""/>
    <d v="2019-05-30T00:00:00"/>
    <s v=""/>
    <s v="1809000672"/>
  </r>
  <r>
    <s v="1809000673"/>
    <d v="2019-05-23T00:00:00"/>
    <d v="2019-05-23T00:00:00"/>
    <s v="DZ"/>
    <s v="USD"/>
    <n v="24397.8"/>
    <n v="24397.8"/>
    <s v="BDT"/>
    <s v="EGM1"/>
    <n v="2032336.74"/>
    <s v="Cm Adv adj-424130763554"/>
    <s v="0000005010"/>
    <s v="E54935DM19US0368"/>
    <s v=""/>
    <s v=""/>
    <s v="0"/>
    <s v="424130786557"/>
    <s v=""/>
    <s v=""/>
    <s v=""/>
    <s v=""/>
    <s v=""/>
    <x v="0"/>
    <m/>
    <s v=""/>
    <d v="2019-05-23T00:00:00"/>
    <s v=""/>
    <s v="1809000673"/>
  </r>
  <r>
    <s v="1809000679"/>
    <d v="2019-05-31T00:00:00"/>
    <d v="2019-05-31T00:00:00"/>
    <s v="DZ"/>
    <s v="USD"/>
    <n v="97725.38"/>
    <n v="97725.38"/>
    <s v="BDT"/>
    <s v="EGM1"/>
    <n v="8158114.7199999997"/>
    <s v="FIT-CM ADV EDL-MAY-19"/>
    <s v="1010"/>
    <s v="FIT-CM EDL-MAY19"/>
    <s v=""/>
    <s v=""/>
    <s v="0"/>
    <s v="FIT-CMAD-EDL-MAY-19"/>
    <s v=""/>
    <s v=""/>
    <s v=""/>
    <s v=""/>
    <s v=""/>
    <x v="0"/>
    <d v="2019-05-31T00:00:00"/>
    <s v="1803012186"/>
    <d v="2019-05-31T00:00:00"/>
    <s v=""/>
    <s v="1809000679"/>
  </r>
  <r>
    <s v="1809000681"/>
    <d v="2019-05-26T00:00:00"/>
    <d v="2019-05-26T00:00:00"/>
    <s v="DZ"/>
    <s v="USD"/>
    <n v="8609"/>
    <n v="8609"/>
    <s v="BDT"/>
    <s v="EGM1"/>
    <n v="718679.32"/>
    <s v="Cm Adv Adj-424130785148"/>
    <s v="0000001010"/>
    <s v="E45059SB19UK0477"/>
    <s v=""/>
    <s v=""/>
    <s v="0"/>
    <s v="424130787501"/>
    <s v=""/>
    <s v=""/>
    <s v=""/>
    <s v=""/>
    <s v=""/>
    <x v="0"/>
    <d v="2020-06-30T00:00:00"/>
    <s v="1906000017"/>
    <d v="2019-05-26T00:00:00"/>
    <s v=""/>
    <s v="1809000681"/>
  </r>
  <r>
    <s v="1809000683"/>
    <d v="2019-05-31T00:00:00"/>
    <d v="2019-05-31T00:00:00"/>
    <s v="DZ"/>
    <s v="USD"/>
    <n v="15.63"/>
    <n v="15.63"/>
    <s v="BDT"/>
    <s v="EGM1"/>
    <n v="1305.1099999999999"/>
    <s v="FIT-CM ADV DWC-MAY-19"/>
    <s v="0000005010"/>
    <s v="FIT-CMDWC-MAY-19"/>
    <s v=""/>
    <s v=""/>
    <s v="0"/>
    <s v="FIT-CM ADV DWC-MAY-19"/>
    <s v=""/>
    <s v=""/>
    <s v=""/>
    <s v=""/>
    <s v=""/>
    <x v="0"/>
    <d v="2019-05-31T00:00:00"/>
    <s v="1803012133"/>
    <d v="2019-03-31T00:00:00"/>
    <s v=""/>
    <s v="1809000683"/>
  </r>
  <r>
    <s v="1809000684"/>
    <d v="2019-05-31T00:00:00"/>
    <d v="2019-05-31T00:00:00"/>
    <s v="DZ"/>
    <s v="USD"/>
    <n v="-15.63"/>
    <n v="-15.63"/>
    <s v="BDT"/>
    <s v="EGM1"/>
    <n v="-1305.1099999999999"/>
    <s v="FIT-CM ADV DWC-MAY-19"/>
    <s v="5010"/>
    <s v="FIT-CMDWC-MAY-19"/>
    <s v=""/>
    <s v=""/>
    <s v="0"/>
    <s v="FIT-CM ADV DWC-MAY-19"/>
    <s v=""/>
    <s v=""/>
    <s v=""/>
    <s v=""/>
    <s v=""/>
    <x v="0"/>
    <d v="2019-06-01T00:00:00"/>
    <s v="1803012915"/>
    <d v="2019-04-30T00:00:00"/>
    <s v=""/>
    <s v="1809000684"/>
  </r>
  <r>
    <s v="1809000686"/>
    <d v="2019-06-03T00:00:00"/>
    <d v="2019-06-03T00:00:00"/>
    <s v="DZ"/>
    <s v="USD"/>
    <n v="22"/>
    <n v="22"/>
    <s v="BDT"/>
    <s v="EGM2"/>
    <n v="1832.6"/>
    <s v="Cm Adv Adj-424130761217"/>
    <s v="0000001010"/>
    <s v="BAC0153471"/>
    <s v=""/>
    <s v=""/>
    <s v="0"/>
    <s v="424130793754"/>
    <s v=""/>
    <s v=""/>
    <s v=""/>
    <s v=""/>
    <s v=""/>
    <x v="0"/>
    <d v="2019-06-30T00:00:00"/>
    <s v="1806000088"/>
    <d v="2019-06-03T00:00:00"/>
    <s v=""/>
    <s v="1809000686"/>
  </r>
  <r>
    <s v="1809000687"/>
    <d v="2019-06-03T00:00:00"/>
    <d v="2019-06-03T00:00:00"/>
    <s v="DZ"/>
    <s v="USD"/>
    <n v="22131"/>
    <n v="22131"/>
    <s v="BDT"/>
    <s v="EGM1"/>
    <n v="1847495.88"/>
    <s v="Cm Adv Adj-424130775569"/>
    <s v="0000001010"/>
    <s v="E04937US19-0492"/>
    <s v=""/>
    <s v=""/>
    <s v="0"/>
    <s v="424130793736"/>
    <s v=""/>
    <s v=""/>
    <s v=""/>
    <s v=""/>
    <s v=""/>
    <x v="0"/>
    <d v="2019-10-31T00:00:00"/>
    <s v="1906000008"/>
    <d v="2019-06-03T00:00:00"/>
    <s v=""/>
    <s v="1809000687"/>
  </r>
  <r>
    <s v="1809000687"/>
    <d v="2019-06-03T00:00:00"/>
    <d v="2019-06-03T00:00:00"/>
    <s v="DZ"/>
    <s v="USD"/>
    <n v="54684"/>
    <n v="54684"/>
    <s v="BDT"/>
    <s v="EGM1"/>
    <n v="4565020.32"/>
    <s v="Cm Adv Adj-424130789439"/>
    <s v="0000001010"/>
    <s v="E04937US19-0492"/>
    <s v=""/>
    <s v=""/>
    <s v="0"/>
    <s v="424130793736"/>
    <s v=""/>
    <s v=""/>
    <s v=""/>
    <s v=""/>
    <s v=""/>
    <x v="0"/>
    <d v="2019-10-31T00:00:00"/>
    <s v="1906000009"/>
    <d v="2019-06-03T00:00:00"/>
    <s v=""/>
    <s v="1809000687"/>
  </r>
  <r>
    <s v="1809000687"/>
    <d v="2019-06-03T00:00:00"/>
    <d v="2019-06-03T00:00:00"/>
    <s v="DZ"/>
    <s v="USD"/>
    <n v="4818"/>
    <n v="4818"/>
    <s v="BDT"/>
    <s v="EGM1"/>
    <n v="402206.64"/>
    <s v="Cm Adv Adj-424130785148"/>
    <s v="0000001010"/>
    <s v="E04937US19-0492"/>
    <s v=""/>
    <s v=""/>
    <s v="0"/>
    <s v="424130793736"/>
    <s v=""/>
    <s v=""/>
    <s v=""/>
    <s v=""/>
    <s v=""/>
    <x v="0"/>
    <d v="2020-06-30T00:00:00"/>
    <s v="1906000017"/>
    <d v="2019-06-03T00:00:00"/>
    <s v=""/>
    <s v="1809000687"/>
  </r>
  <r>
    <s v="1809000688"/>
    <d v="2019-06-03T00:00:00"/>
    <d v="2019-06-03T00:00:00"/>
    <s v="DZ"/>
    <s v="USD"/>
    <n v="7515"/>
    <n v="7515"/>
    <s v="BDT"/>
    <s v="EGM1"/>
    <n v="627352.19999999995"/>
    <s v="Cm Adv Adj-424130789439"/>
    <s v="0000001010"/>
    <s v="E45059SB19UK0537"/>
    <s v=""/>
    <s v=""/>
    <s v="0"/>
    <s v="424130793772"/>
    <s v=""/>
    <s v=""/>
    <s v=""/>
    <s v=""/>
    <s v=""/>
    <x v="0"/>
    <d v="2019-10-31T00:00:00"/>
    <s v="1906000009"/>
    <d v="2019-06-03T00:00:00"/>
    <s v=""/>
    <s v="1809000688"/>
  </r>
  <r>
    <s v="1809000692"/>
    <d v="2019-06-12T00:00:00"/>
    <d v="2019-06-12T00:00:00"/>
    <s v="DZ"/>
    <s v="USD"/>
    <n v="10565"/>
    <n v="10565"/>
    <s v="BDT"/>
    <s v="EGM2"/>
    <n v="881966.2"/>
    <s v="Cm Adv Adj-424130789448"/>
    <s v="0000001010"/>
    <s v="05143190286PL"/>
    <s v=""/>
    <s v=""/>
    <s v="0"/>
    <s v="424130796127"/>
    <s v=""/>
    <s v=""/>
    <s v=""/>
    <s v=""/>
    <s v=""/>
    <x v="0"/>
    <d v="2019-07-31T00:00:00"/>
    <s v="1906000006"/>
    <d v="2019-06-12T00:00:00"/>
    <s v=""/>
    <s v="1809000692"/>
  </r>
  <r>
    <s v="1809000693"/>
    <d v="2019-06-12T00:00:00"/>
    <d v="2019-06-12T00:00:00"/>
    <s v="DZ"/>
    <s v="USD"/>
    <n v="12707"/>
    <n v="12707"/>
    <s v="BDT"/>
    <s v="EGM2"/>
    <n v="1060780.3600000001"/>
    <s v="Cm Adv Adj-424130775587"/>
    <s v="0000001010"/>
    <s v="E04989US19-0256"/>
    <s v=""/>
    <s v=""/>
    <s v="0"/>
    <s v="424130796092"/>
    <s v=""/>
    <s v=""/>
    <s v=""/>
    <s v=""/>
    <s v=""/>
    <x v="0"/>
    <d v="2019-10-31T00:00:00"/>
    <s v="1906000010"/>
    <d v="2019-06-12T00:00:00"/>
    <s v=""/>
    <s v="1809000693"/>
  </r>
  <r>
    <s v="1809000694"/>
    <d v="2019-06-20T00:00:00"/>
    <d v="2019-06-20T00:00:00"/>
    <s v="DZ"/>
    <s v="USD"/>
    <n v="20087"/>
    <n v="20087"/>
    <s v="BDT"/>
    <s v="EGM1"/>
    <n v="1676862.76"/>
    <s v="cm adv adj-424130785754"/>
    <s v="0000005010"/>
    <s v="E5028TS19UK0531"/>
    <s v=""/>
    <s v=""/>
    <s v="0"/>
    <s v="424130796109"/>
    <s v=""/>
    <s v=""/>
    <s v=""/>
    <s v=""/>
    <s v=""/>
    <x v="0"/>
    <m/>
    <s v=""/>
    <d v="2019-06-20T00:00:00"/>
    <s v=""/>
    <s v="1809000694"/>
  </r>
  <r>
    <s v="1809000695"/>
    <d v="2019-06-20T00:00:00"/>
    <d v="2019-06-20T00:00:00"/>
    <s v="DZ"/>
    <s v="USD"/>
    <n v="24129"/>
    <n v="24129"/>
    <s v="BDT"/>
    <s v="EGM1"/>
    <n v="2014288.92"/>
    <s v="cm adv adj-424130793139"/>
    <s v="0000005010"/>
    <s v="E14987DC19US0523"/>
    <s v=""/>
    <s v=""/>
    <s v="0"/>
    <s v="424130796056"/>
    <s v=""/>
    <s v=""/>
    <s v=""/>
    <s v=""/>
    <s v=""/>
    <x v="0"/>
    <m/>
    <s v=""/>
    <d v="2019-06-20T00:00:00"/>
    <s v=""/>
    <s v="1809000695"/>
  </r>
  <r>
    <s v="1809000696"/>
    <d v="2019-06-12T00:00:00"/>
    <d v="2019-06-12T00:00:00"/>
    <s v="DZ"/>
    <s v="USD"/>
    <n v="13668.18"/>
    <n v="13668.18"/>
    <s v="BDT"/>
    <s v="EGM1"/>
    <n v="1138559.3899999999"/>
    <s v="cm adv adj-424130763554"/>
    <s v="0000005010"/>
    <s v="E34905TC19US0455"/>
    <s v=""/>
    <s v=""/>
    <s v="0"/>
    <s v="424130796074"/>
    <s v=""/>
    <s v=""/>
    <s v=""/>
    <s v=""/>
    <s v=""/>
    <x v="0"/>
    <m/>
    <s v=""/>
    <d v="2019-06-12T00:00:00"/>
    <s v=""/>
    <s v="1809000696"/>
  </r>
  <r>
    <s v="1809000696"/>
    <d v="2019-06-12T00:00:00"/>
    <d v="2019-06-12T00:00:00"/>
    <s v="DZ"/>
    <s v="USD"/>
    <n v="214239.08"/>
    <n v="214239.08"/>
    <s v="BDT"/>
    <s v="EGM1"/>
    <n v="17824691.460000001"/>
    <s v="cm adv adj-424130746253"/>
    <s v="0000005010"/>
    <s v="E34905TC19US0455"/>
    <s v=""/>
    <s v=""/>
    <s v="0"/>
    <s v="424130796074"/>
    <s v=""/>
    <s v=""/>
    <s v=""/>
    <s v=""/>
    <s v=""/>
    <x v="0"/>
    <m/>
    <s v=""/>
    <d v="2019-06-12T00:00:00"/>
    <s v=""/>
    <s v="1809000696"/>
  </r>
  <r>
    <s v="1809000697"/>
    <d v="2019-06-12T00:00:00"/>
    <d v="2019-06-12T00:00:00"/>
    <s v="DZ"/>
    <s v="USD"/>
    <n v="51829"/>
    <n v="51829"/>
    <s v="BDT"/>
    <s v="EGM1"/>
    <n v="4326684.92"/>
    <s v="cm adv adj-424130789439"/>
    <s v="0000001010"/>
    <s v="E15034DM19US0524"/>
    <s v=""/>
    <s v=""/>
    <s v="0"/>
    <s v="424130796118"/>
    <s v=""/>
    <s v=""/>
    <s v=""/>
    <s v=""/>
    <s v=""/>
    <x v="0"/>
    <d v="2019-10-31T00:00:00"/>
    <s v="1906000009"/>
    <d v="2019-06-12T00:00:00"/>
    <s v=""/>
    <s v="1809000697"/>
  </r>
  <r>
    <s v="1809000698"/>
    <d v="2019-06-12T00:00:00"/>
    <d v="2019-06-12T00:00:00"/>
    <s v="DZ"/>
    <s v="USD"/>
    <n v="10479"/>
    <n v="10479"/>
    <s v="BDT"/>
    <s v="EGM1"/>
    <n v="872900.7"/>
    <s v="cm adv adj-424130762136"/>
    <s v="0000001010"/>
    <s v="E54814KH19US0521"/>
    <s v=""/>
    <s v=""/>
    <s v="0"/>
    <s v="424130796083"/>
    <s v=""/>
    <s v=""/>
    <s v=""/>
    <s v=""/>
    <s v=""/>
    <x v="0"/>
    <d v="2019-06-30T00:00:00"/>
    <s v="1806000084"/>
    <d v="2019-06-12T00:00:00"/>
    <s v=""/>
    <s v="1809000698"/>
  </r>
  <r>
    <s v="1809000699"/>
    <d v="2019-06-12T00:00:00"/>
    <d v="2019-06-12T00:00:00"/>
    <s v="DZ"/>
    <s v="USD"/>
    <n v="2868"/>
    <n v="2868"/>
    <s v="BDT"/>
    <s v="EGM1"/>
    <n v="239420.64"/>
    <s v="cm adv adj-424130785148"/>
    <s v="0000001010"/>
    <s v="E34990BM19UK0559"/>
    <s v=""/>
    <s v=""/>
    <s v="0"/>
    <s v="424130796065"/>
    <s v=""/>
    <s v=""/>
    <s v=""/>
    <s v=""/>
    <s v=""/>
    <x v="0"/>
    <d v="2020-06-30T00:00:00"/>
    <s v="1906000017"/>
    <d v="2019-06-12T00:00:00"/>
    <s v=""/>
    <s v="1809000699"/>
  </r>
  <r>
    <s v="1809000700"/>
    <d v="2019-06-13T00:00:00"/>
    <d v="2019-06-13T00:00:00"/>
    <s v="DZ"/>
    <s v="USD"/>
    <n v="38801.949999999997"/>
    <n v="38801.949999999997"/>
    <s v="BDT"/>
    <s v="EGM2"/>
    <n v="3232202.44"/>
    <s v="cm adv adj-424130762902"/>
    <s v="0000005010"/>
    <s v="E24991VF19US0170"/>
    <s v=""/>
    <s v=""/>
    <s v="0"/>
    <s v="424130797037"/>
    <s v=""/>
    <s v=""/>
    <s v=""/>
    <s v=""/>
    <s v=""/>
    <x v="0"/>
    <m/>
    <s v=""/>
    <d v="2019-06-13T00:00:00"/>
    <s v=""/>
    <s v="1809000700"/>
  </r>
  <r>
    <s v="1809000700"/>
    <d v="2019-06-13T00:00:00"/>
    <d v="2019-06-13T00:00:00"/>
    <s v="DZ"/>
    <s v="USD"/>
    <n v="77106.490000000005"/>
    <n v="77106.490000000005"/>
    <s v="BDT"/>
    <s v="EGM2"/>
    <n v="6436849.79"/>
    <s v="cm adv adj-424130775596"/>
    <s v="0000005010"/>
    <s v="E24991VF19US0170"/>
    <s v=""/>
    <s v=""/>
    <s v="0"/>
    <s v="424130797037"/>
    <s v=""/>
    <s v=""/>
    <s v=""/>
    <s v=""/>
    <s v=""/>
    <x v="0"/>
    <m/>
    <s v=""/>
    <d v="2019-06-13T00:00:00"/>
    <s v=""/>
    <s v="1809000700"/>
  </r>
  <r>
    <s v="1809000701"/>
    <d v="2019-06-13T00:00:00"/>
    <d v="2019-06-13T00:00:00"/>
    <s v="DZ"/>
    <s v="USD"/>
    <n v="607.41"/>
    <n v="607.41"/>
    <s v="BDT"/>
    <s v="EGM2"/>
    <n v="50597.25"/>
    <s v="cm adv adj-424130762902"/>
    <s v="0000005010"/>
    <s v="E34924TC19US0510"/>
    <s v=""/>
    <s v=""/>
    <s v="0"/>
    <s v="424130797046"/>
    <s v=""/>
    <s v=""/>
    <s v=""/>
    <s v=""/>
    <s v=""/>
    <x v="0"/>
    <m/>
    <s v=""/>
    <d v="2019-06-13T00:00:00"/>
    <s v=""/>
    <s v="1809000701"/>
  </r>
  <r>
    <s v="1809000701"/>
    <d v="2019-06-13T00:00:00"/>
    <d v="2019-06-13T00:00:00"/>
    <s v="DZ"/>
    <s v="USD"/>
    <n v="37298.870000000003"/>
    <n v="37298.870000000003"/>
    <s v="BDT"/>
    <s v="EGM2"/>
    <n v="3113709.67"/>
    <s v="cm adv adj-424130775596"/>
    <s v="0000005010"/>
    <s v="E34924TC19US0510"/>
    <s v=""/>
    <s v=""/>
    <s v="0"/>
    <s v="424130797046"/>
    <s v=""/>
    <s v=""/>
    <s v=""/>
    <s v=""/>
    <s v=""/>
    <x v="0"/>
    <m/>
    <s v=""/>
    <d v="2019-06-13T00:00:00"/>
    <s v=""/>
    <s v="1809000701"/>
  </r>
  <r>
    <s v="1809000701"/>
    <d v="2019-06-13T00:00:00"/>
    <d v="2019-06-13T00:00:00"/>
    <s v="DZ"/>
    <s v="USD"/>
    <n v="38210.300000000003"/>
    <n v="38210.300000000003"/>
    <s v="BDT"/>
    <s v="EGM2"/>
    <n v="3189795.84"/>
    <s v="cm adv adj-424130790837"/>
    <s v="0000005010"/>
    <s v="E34924TC19US0510"/>
    <s v=""/>
    <s v=""/>
    <s v="0"/>
    <s v="424130797046"/>
    <s v=""/>
    <s v=""/>
    <s v=""/>
    <s v=""/>
    <s v=""/>
    <x v="0"/>
    <m/>
    <s v=""/>
    <d v="2019-06-13T00:00:00"/>
    <s v=""/>
    <s v="1809000701"/>
  </r>
  <r>
    <s v="1809000703"/>
    <d v="2019-06-17T00:00:00"/>
    <d v="2019-06-17T00:00:00"/>
    <s v="DZ"/>
    <s v="USD"/>
    <n v="1099"/>
    <n v="1099"/>
    <s v="BDT"/>
    <s v="EGM1"/>
    <n v="91744.52"/>
    <s v="cm adv adj-424130793139"/>
    <s v="0000005010"/>
    <s v="E5028TS19CE0551"/>
    <s v=""/>
    <s v=""/>
    <s v="0"/>
    <s v="424130797395"/>
    <s v=""/>
    <s v=""/>
    <s v=""/>
    <s v=""/>
    <s v=""/>
    <x v="0"/>
    <m/>
    <s v=""/>
    <d v="2019-06-17T00:00:00"/>
    <s v=""/>
    <s v="1809000703"/>
  </r>
  <r>
    <s v="1809000703"/>
    <d v="2019-06-17T00:00:00"/>
    <d v="2019-06-17T00:00:00"/>
    <s v="DZ"/>
    <s v="USD"/>
    <n v="7301.5"/>
    <n v="7301.5"/>
    <s v="BDT"/>
    <s v="EGM1"/>
    <n v="609529.22"/>
    <s v="cm adv adj-424130785754"/>
    <s v="0000005010"/>
    <s v="E5028TS19CE0551"/>
    <s v=""/>
    <s v=""/>
    <s v="0"/>
    <s v="424130797395"/>
    <s v=""/>
    <s v=""/>
    <s v=""/>
    <s v=""/>
    <s v=""/>
    <x v="0"/>
    <m/>
    <s v=""/>
    <d v="2019-06-17T00:00:00"/>
    <s v=""/>
    <s v="1809000703"/>
  </r>
  <r>
    <s v="1809000704"/>
    <d v="2019-06-17T00:00:00"/>
    <d v="2019-06-17T00:00:00"/>
    <s v="DZ"/>
    <s v="USD"/>
    <n v="101499"/>
    <n v="101499"/>
    <s v="BDT"/>
    <s v="EGM1"/>
    <n v="8473136.5199999996"/>
    <s v="cm adv adj-424130793139"/>
    <s v="0000005010"/>
    <s v="E34927TC19US0581"/>
    <s v=""/>
    <s v=""/>
    <s v="0"/>
    <s v="424130798580"/>
    <s v=""/>
    <s v=""/>
    <s v=""/>
    <s v=""/>
    <s v=""/>
    <x v="0"/>
    <m/>
    <s v=""/>
    <d v="2019-06-17T00:00:00"/>
    <s v=""/>
    <s v="1809000704"/>
  </r>
  <r>
    <s v="1809000704"/>
    <d v="2019-06-17T00:00:00"/>
    <d v="2019-06-17T00:00:00"/>
    <s v="DZ"/>
    <s v="USD"/>
    <n v="13381.72"/>
    <n v="13381.72"/>
    <s v="BDT"/>
    <s v="EGM1"/>
    <n v="1117105.99"/>
    <s v="cm adv adj-424130775578"/>
    <s v="0000005010"/>
    <s v="E34927TC19US0581"/>
    <s v=""/>
    <s v=""/>
    <s v="0"/>
    <s v="424130798580"/>
    <s v=""/>
    <s v=""/>
    <s v=""/>
    <s v=""/>
    <s v=""/>
    <x v="0"/>
    <m/>
    <s v=""/>
    <d v="2019-06-17T00:00:00"/>
    <s v=""/>
    <s v="1809000704"/>
  </r>
  <r>
    <s v="1809000705"/>
    <d v="2019-06-19T00:00:00"/>
    <d v="2019-06-19T00:00:00"/>
    <s v="DZ"/>
    <s v="USD"/>
    <n v="8504.76"/>
    <n v="8504.76"/>
    <s v="BDT"/>
    <s v="EGM2"/>
    <n v="709977.36"/>
    <s v="cm adv adj-424130790837"/>
    <s v="0000005010"/>
    <s v="E25054AC19JF0294"/>
    <s v=""/>
    <s v=""/>
    <s v="0"/>
    <s v="424130798679"/>
    <s v=""/>
    <s v=""/>
    <s v=""/>
    <s v=""/>
    <s v=""/>
    <x v="0"/>
    <m/>
    <s v=""/>
    <d v="2019-06-19T00:00:00"/>
    <s v=""/>
    <s v="1809000705"/>
  </r>
  <r>
    <s v="1809000706"/>
    <d v="2019-06-20T00:00:00"/>
    <d v="2019-06-20T00:00:00"/>
    <s v="DZ"/>
    <s v="USD"/>
    <n v="3461"/>
    <n v="3461"/>
    <s v="BDT"/>
    <s v="EGM1"/>
    <n v="288924.28000000003"/>
    <s v="cm adv adj-424130789439"/>
    <s v="0000001010"/>
    <s v="E45117SB19UK0570"/>
    <s v=""/>
    <s v=""/>
    <s v="0"/>
    <s v="424130800041"/>
    <s v=""/>
    <s v=""/>
    <s v=""/>
    <s v=""/>
    <s v=""/>
    <x v="0"/>
    <d v="2019-10-31T00:00:00"/>
    <s v="1906000009"/>
    <d v="2019-06-20T00:00:00"/>
    <s v=""/>
    <s v="1809000706"/>
  </r>
  <r>
    <s v="1809000707"/>
    <d v="2019-06-20T00:00:00"/>
    <d v="2019-06-20T00:00:00"/>
    <s v="DZ"/>
    <s v="USD"/>
    <n v="49399.76"/>
    <n v="49399.76"/>
    <s v="BDT"/>
    <s v="EGM1"/>
    <n v="4115000.01"/>
    <s v="cm adv adj-424130763554"/>
    <s v="0000005010"/>
    <s v="E4831AMZ19US0536"/>
    <s v=""/>
    <s v=""/>
    <s v="0"/>
    <s v="424130799213"/>
    <s v=""/>
    <s v=""/>
    <s v=""/>
    <s v=""/>
    <s v=""/>
    <x v="0"/>
    <m/>
    <s v=""/>
    <d v="2019-06-20T00:00:00"/>
    <s v=""/>
    <s v="1809000707"/>
  </r>
  <r>
    <s v="1809000708"/>
    <d v="2019-06-20T00:00:00"/>
    <d v="2019-06-20T00:00:00"/>
    <s v="DZ"/>
    <s v="USD"/>
    <n v="6868.34"/>
    <n v="6868.34"/>
    <s v="BDT"/>
    <s v="EGM1"/>
    <n v="573369.02"/>
    <s v="cm adv adj-424130793139"/>
    <s v="0000005010"/>
    <s v="E34996DC19US0525"/>
    <s v=""/>
    <s v=""/>
    <s v="0"/>
    <s v="424130799231"/>
    <s v=""/>
    <s v=""/>
    <s v=""/>
    <s v=""/>
    <s v=""/>
    <x v="0"/>
    <m/>
    <s v=""/>
    <d v="2019-06-20T00:00:00"/>
    <s v=""/>
    <s v="1809000708"/>
  </r>
  <r>
    <s v="1809000709"/>
    <d v="2019-06-20T00:00:00"/>
    <d v="2019-06-20T00:00:00"/>
    <s v="DZ"/>
    <s v="USD"/>
    <n v="12605"/>
    <n v="12605"/>
    <s v="BDT"/>
    <s v="EGM2"/>
    <n v="1052265.3999999999"/>
    <s v="cm adv adj-424130789448"/>
    <s v="0000001010"/>
    <s v="05143190303MX"/>
    <s v=""/>
    <s v=""/>
    <s v="0"/>
    <s v="424130800023"/>
    <s v=""/>
    <s v=""/>
    <s v=""/>
    <s v=""/>
    <s v=""/>
    <x v="0"/>
    <d v="2019-07-31T00:00:00"/>
    <s v="1906000006"/>
    <d v="2019-06-20T00:00:00"/>
    <s v=""/>
    <s v="1809000709"/>
  </r>
  <r>
    <s v="1809000710"/>
    <d v="2019-06-20T00:00:00"/>
    <d v="2019-06-20T00:00:00"/>
    <s v="DZ"/>
    <s v="USD"/>
    <n v="17478"/>
    <n v="17478"/>
    <s v="BDT"/>
    <s v="EGM2"/>
    <n v="1459063.44"/>
    <s v="cm adv adj-424130775596"/>
    <s v="0000005010"/>
    <s v="E25019VF19US0296"/>
    <s v=""/>
    <s v=""/>
    <s v="0"/>
    <s v="424130800032"/>
    <s v=""/>
    <s v=""/>
    <s v=""/>
    <s v=""/>
    <s v=""/>
    <x v="0"/>
    <m/>
    <s v=""/>
    <d v="2019-06-20T00:00:00"/>
    <s v=""/>
    <s v="1809000710"/>
  </r>
  <r>
    <s v="1809000710"/>
    <d v="2019-06-20T00:00:00"/>
    <d v="2019-06-20T00:00:00"/>
    <s v="DZ"/>
    <s v="USD"/>
    <n v="41740.910000000003"/>
    <n v="41740.910000000003"/>
    <s v="BDT"/>
    <s v="EGM2"/>
    <n v="3484531.17"/>
    <s v="cm adv adj-424130790837"/>
    <s v="0000005010"/>
    <s v="E25019VF19US0296"/>
    <s v=""/>
    <s v=""/>
    <s v="0"/>
    <s v="424130800032"/>
    <s v=""/>
    <s v=""/>
    <s v=""/>
    <s v=""/>
    <s v=""/>
    <x v="0"/>
    <m/>
    <s v=""/>
    <d v="2019-06-20T00:00:00"/>
    <s v=""/>
    <s v="1809000710"/>
  </r>
  <r>
    <s v="1809000711"/>
    <d v="2019-06-23T00:00:00"/>
    <d v="2019-06-23T00:00:00"/>
    <s v="DZ"/>
    <s v="USD"/>
    <n v="54563"/>
    <n v="54563"/>
    <s v="BDT"/>
    <s v="EGM2"/>
    <n v="4554919.24"/>
    <s v="cm adv adj-424130775587"/>
    <s v="0000001010"/>
    <s v="E04989US19 0255"/>
    <s v=""/>
    <s v=""/>
    <s v="0"/>
    <s v="424130799240"/>
    <s v=""/>
    <s v=""/>
    <s v=""/>
    <s v=""/>
    <s v=""/>
    <x v="0"/>
    <d v="2019-10-31T00:00:00"/>
    <s v="1906000010"/>
    <d v="2019-06-23T00:00:00"/>
    <s v=""/>
    <s v="1809000711"/>
  </r>
  <r>
    <s v="1809000711"/>
    <d v="2019-06-23T00:00:00"/>
    <d v="2019-06-23T00:00:00"/>
    <s v="DZ"/>
    <s v="USD"/>
    <n v="27047"/>
    <n v="27047"/>
    <s v="BDT"/>
    <s v="EGM2"/>
    <n v="2257883.56"/>
    <s v="cm adv adj-424130789448"/>
    <s v="0000001010"/>
    <s v="E04989US19 0255"/>
    <s v=""/>
    <s v=""/>
    <s v="0"/>
    <s v="424130799240"/>
    <s v=""/>
    <s v=""/>
    <s v=""/>
    <s v=""/>
    <s v=""/>
    <x v="0"/>
    <d v="2019-07-31T00:00:00"/>
    <s v="1906000006"/>
    <d v="2019-06-23T00:00:00"/>
    <s v=""/>
    <s v="1809000711"/>
  </r>
  <r>
    <s v="1809000711"/>
    <d v="2019-06-23T00:00:00"/>
    <d v="2019-06-23T00:00:00"/>
    <s v="DZ"/>
    <s v="USD"/>
    <n v="2250"/>
    <n v="2250"/>
    <s v="BDT"/>
    <s v="EGM2"/>
    <n v="187425"/>
    <s v="cm adv adj-424130761217"/>
    <s v="0000001010"/>
    <s v="E04989US19 0255"/>
    <s v=""/>
    <s v=""/>
    <s v="0"/>
    <s v="424130799240"/>
    <s v=""/>
    <s v=""/>
    <s v=""/>
    <s v=""/>
    <s v=""/>
    <x v="0"/>
    <d v="2019-06-30T00:00:00"/>
    <s v="1806000088"/>
    <d v="2019-06-23T00:00:00"/>
    <s v=""/>
    <s v="1809000711"/>
  </r>
  <r>
    <s v="1809000712"/>
    <d v="2019-06-23T00:00:00"/>
    <d v="2019-06-23T00:00:00"/>
    <s v="DZ"/>
    <s v="USD"/>
    <n v="2544.29"/>
    <n v="2544.29"/>
    <s v="BDT"/>
    <s v="EGM1"/>
    <n v="211939.36"/>
    <s v="cm adv adj-424130763554"/>
    <s v="0000005010"/>
    <s v="E34927TC19US0562"/>
    <s v=""/>
    <s v=""/>
    <s v="0"/>
    <s v="424130799222"/>
    <s v=""/>
    <s v=""/>
    <s v=""/>
    <s v=""/>
    <s v=""/>
    <x v="0"/>
    <m/>
    <s v=""/>
    <d v="2019-06-23T00:00:00"/>
    <s v=""/>
    <s v="1809000712"/>
  </r>
  <r>
    <s v="1809000712"/>
    <d v="2019-06-23T00:00:00"/>
    <d v="2019-06-23T00:00:00"/>
    <s v="DZ"/>
    <s v="USD"/>
    <n v="10278.73"/>
    <n v="10278.73"/>
    <s v="BDT"/>
    <s v="EGM1"/>
    <n v="858068.38"/>
    <s v="cm adv adj-424130793139"/>
    <s v="0000005010"/>
    <s v="E34927TC19US0562"/>
    <s v=""/>
    <s v=""/>
    <s v="0"/>
    <s v="424130799222"/>
    <s v=""/>
    <s v=""/>
    <s v=""/>
    <s v=""/>
    <s v=""/>
    <x v="0"/>
    <m/>
    <s v=""/>
    <d v="2019-06-23T00:00:00"/>
    <s v=""/>
    <s v="1809000712"/>
  </r>
  <r>
    <s v="1809000712"/>
    <d v="2019-06-23T00:00:00"/>
    <d v="2019-06-23T00:00:00"/>
    <s v="DZ"/>
    <s v="USD"/>
    <n v="57431.05"/>
    <n v="57431.05"/>
    <s v="BDT"/>
    <s v="EGM1"/>
    <n v="4794344.05"/>
    <s v="cm adv adj-424130775578"/>
    <s v="0000005010"/>
    <s v="E34927TC19US0562"/>
    <s v=""/>
    <s v=""/>
    <s v="0"/>
    <s v="424130799222"/>
    <s v=""/>
    <s v=""/>
    <s v=""/>
    <s v=""/>
    <s v=""/>
    <x v="0"/>
    <m/>
    <s v=""/>
    <d v="2019-06-23T00:00:00"/>
    <s v=""/>
    <s v="1809000712"/>
  </r>
  <r>
    <s v="1809000713"/>
    <d v="2019-06-23T00:00:00"/>
    <d v="2019-06-23T00:00:00"/>
    <s v="DZ"/>
    <s v="USD"/>
    <n v="75103"/>
    <n v="75103"/>
    <s v="BDT"/>
    <s v="EGM1"/>
    <n v="6269598.4400000004"/>
    <s v="cm adv adj-424130775569"/>
    <s v="0000001010"/>
    <s v="424130801068,424"/>
    <s v=""/>
    <s v=""/>
    <s v="0"/>
    <s v="E05007US190527"/>
    <s v=""/>
    <s v=""/>
    <s v=""/>
    <s v=""/>
    <s v=""/>
    <x v="0"/>
    <d v="2019-10-31T00:00:00"/>
    <s v="1906000008"/>
    <d v="2019-06-23T00:00:00"/>
    <s v=""/>
    <s v="1809000713"/>
  </r>
  <r>
    <s v="1809000713"/>
    <d v="2019-06-23T00:00:00"/>
    <d v="2019-06-23T00:00:00"/>
    <s v="DZ"/>
    <s v="USD"/>
    <n v="131362"/>
    <n v="131362"/>
    <s v="BDT"/>
    <s v="EGM1"/>
    <n v="10966099.76"/>
    <s v="cm adv adj-424130789439"/>
    <s v="0000001010"/>
    <s v="424130801068,424"/>
    <s v=""/>
    <s v=""/>
    <s v="0"/>
    <s v="E05007US190527"/>
    <s v=""/>
    <s v=""/>
    <s v=""/>
    <s v=""/>
    <s v=""/>
    <x v="0"/>
    <d v="2019-10-31T00:00:00"/>
    <s v="1906000009"/>
    <d v="2019-06-23T00:00:00"/>
    <s v=""/>
    <s v="1809000713"/>
  </r>
  <r>
    <s v="1809000713"/>
    <d v="2019-06-23T00:00:00"/>
    <d v="2019-06-23T00:00:00"/>
    <s v="DZ"/>
    <s v="USD"/>
    <n v="105542"/>
    <n v="105542"/>
    <s v="BDT"/>
    <s v="EGM1"/>
    <n v="8810646.1600000001"/>
    <s v="cm adv adj-424130785148"/>
    <s v="0000001010"/>
    <s v="424130801068,424"/>
    <s v=""/>
    <s v=""/>
    <s v="0"/>
    <s v="E05007US190527"/>
    <s v=""/>
    <s v=""/>
    <s v=""/>
    <s v=""/>
    <s v=""/>
    <x v="0"/>
    <d v="2020-06-30T00:00:00"/>
    <s v="1906000017"/>
    <d v="2019-06-23T00:00:00"/>
    <s v=""/>
    <s v="1809000713"/>
  </r>
  <r>
    <s v="1809000714"/>
    <d v="2019-06-20T00:00:00"/>
    <d v="2019-06-20T00:00:00"/>
    <s v="DZ"/>
    <s v="USD"/>
    <n v="95877"/>
    <n v="95877"/>
    <s v="BDT"/>
    <s v="EGM1"/>
    <n v="8003811.96"/>
    <s v="cm adv adj-424130775569"/>
    <s v="0000001010"/>
    <s v="E04997US19-0518"/>
    <s v=""/>
    <s v=""/>
    <s v="0"/>
    <s v="424130799204"/>
    <s v=""/>
    <s v=""/>
    <s v=""/>
    <s v=""/>
    <s v=""/>
    <x v="0"/>
    <d v="2019-10-31T00:00:00"/>
    <s v="1906000008"/>
    <d v="2019-06-20T00:00:00"/>
    <s v=""/>
    <s v="1809000714"/>
  </r>
  <r>
    <s v="1809000714"/>
    <d v="2019-06-20T00:00:00"/>
    <d v="2019-06-20T00:00:00"/>
    <s v="DZ"/>
    <s v="USD"/>
    <n v="13143"/>
    <n v="13143"/>
    <s v="BDT"/>
    <s v="EGM1"/>
    <n v="1097177.6399999999"/>
    <s v="cm adv adj-424130789439"/>
    <s v="0000001010"/>
    <s v="E04997US19-0518"/>
    <s v=""/>
    <s v=""/>
    <s v="0"/>
    <s v="424130799204"/>
    <s v=""/>
    <s v=""/>
    <s v=""/>
    <s v=""/>
    <s v=""/>
    <x v="0"/>
    <d v="2019-10-31T00:00:00"/>
    <s v="1906000009"/>
    <d v="2019-06-20T00:00:00"/>
    <s v=""/>
    <s v="1809000714"/>
  </r>
  <r>
    <s v="1809000714"/>
    <d v="2019-06-20T00:00:00"/>
    <d v="2019-06-20T00:00:00"/>
    <s v="DZ"/>
    <s v="USD"/>
    <n v="8577"/>
    <n v="8577"/>
    <s v="BDT"/>
    <s v="EGM1"/>
    <n v="716007.96"/>
    <s v="cm adv adj-424130785148"/>
    <s v="0000001010"/>
    <s v="E04997US19-0518"/>
    <s v=""/>
    <s v=""/>
    <s v="0"/>
    <s v="424130799204"/>
    <s v=""/>
    <s v=""/>
    <s v=""/>
    <s v=""/>
    <s v=""/>
    <x v="0"/>
    <d v="2020-06-30T00:00:00"/>
    <s v="1906000017"/>
    <d v="2019-06-20T00:00:00"/>
    <s v=""/>
    <s v="1809000714"/>
  </r>
  <r>
    <s v="1809000715"/>
    <d v="2019-06-19T00:00:00"/>
    <d v="2019-06-19T00:00:00"/>
    <s v="DZ"/>
    <s v="USD"/>
    <n v="8449"/>
    <n v="8449"/>
    <s v="BDT"/>
    <s v="EGM1"/>
    <n v="705322.52"/>
    <s v="cm adv adj-424130775569"/>
    <s v="0000001010"/>
    <s v="E04975US19-0472"/>
    <s v=""/>
    <s v=""/>
    <s v="0"/>
    <s v="424130799197"/>
    <s v=""/>
    <s v=""/>
    <s v=""/>
    <s v=""/>
    <s v=""/>
    <x v="0"/>
    <d v="2019-10-31T00:00:00"/>
    <s v="1906000008"/>
    <d v="2019-06-19T00:00:00"/>
    <s v=""/>
    <s v="1809000715"/>
  </r>
  <r>
    <s v="1809000715"/>
    <d v="2019-06-19T00:00:00"/>
    <d v="2019-06-19T00:00:00"/>
    <s v="DZ"/>
    <s v="USD"/>
    <n v="82166"/>
    <n v="82166"/>
    <s v="BDT"/>
    <s v="EGM1"/>
    <n v="6844427.7999999998"/>
    <s v="cm adv adj-424130762136"/>
    <s v="0000001010"/>
    <s v="E04975US19-0472"/>
    <s v=""/>
    <s v=""/>
    <s v="0"/>
    <s v="424130799197"/>
    <s v=""/>
    <s v=""/>
    <s v=""/>
    <s v=""/>
    <s v=""/>
    <x v="0"/>
    <d v="2019-06-30T00:00:00"/>
    <s v="1806000084"/>
    <d v="2019-06-19T00:00:00"/>
    <s v=""/>
    <s v="1809000715"/>
  </r>
  <r>
    <s v="1809000715"/>
    <d v="2019-06-19T00:00:00"/>
    <d v="2019-06-19T00:00:00"/>
    <s v="DZ"/>
    <s v="USD"/>
    <n v="96776"/>
    <n v="96776"/>
    <s v="BDT"/>
    <s v="EGM1"/>
    <n v="8078860.4800000004"/>
    <s v="cm adv adj-424130789439"/>
    <s v="0000001010"/>
    <s v="E04975US19-0472"/>
    <s v=""/>
    <s v=""/>
    <s v="0"/>
    <s v="424130799197"/>
    <s v=""/>
    <s v=""/>
    <s v=""/>
    <s v=""/>
    <s v=""/>
    <x v="0"/>
    <d v="2019-10-31T00:00:00"/>
    <s v="1906000009"/>
    <d v="2019-06-19T00:00:00"/>
    <s v=""/>
    <s v="1809000715"/>
  </r>
  <r>
    <s v="1809000717"/>
    <d v="2019-05-31T00:00:00"/>
    <d v="2019-05-31T00:00:00"/>
    <s v="DZ"/>
    <s v="USD"/>
    <n v="89116.38"/>
    <n v="89116.38"/>
    <s v="BDT"/>
    <s v="EGM1"/>
    <n v="7439435.4000000004"/>
    <s v="FIT-CM ADV EDL-MAY-19"/>
    <s v="1010"/>
    <s v="FIT-CM EDL-MAY19"/>
    <s v=""/>
    <s v=""/>
    <s v="0"/>
    <s v="FIT-CMAD-EDL-MAY-19"/>
    <s v=""/>
    <s v=""/>
    <s v=""/>
    <s v=""/>
    <s v=""/>
    <x v="0"/>
    <d v="2019-06-01T00:00:00"/>
    <s v="1803012913"/>
    <d v="2019-05-31T00:00:00"/>
    <s v=""/>
    <s v="1809000717"/>
  </r>
  <r>
    <s v="1809000719"/>
    <d v="2019-06-12T00:00:00"/>
    <d v="2019-06-12T00:00:00"/>
    <s v="DZ"/>
    <s v="USD"/>
    <n v="37982"/>
    <n v="37982"/>
    <s v="BDT"/>
    <s v="EGM1"/>
    <n v="3170737.36"/>
    <s v="cm adv adj-424130775569"/>
    <s v="0000001010"/>
    <s v="E04937US19-0490"/>
    <s v=""/>
    <s v=""/>
    <s v="0"/>
    <s v="424130796047"/>
    <s v=""/>
    <s v=""/>
    <s v=""/>
    <s v=""/>
    <s v=""/>
    <x v="0"/>
    <d v="2019-10-31T00:00:00"/>
    <s v="1906000008"/>
    <d v="2019-06-12T00:00:00"/>
    <s v=""/>
    <s v="1809000719"/>
  </r>
  <r>
    <s v="1809000719"/>
    <d v="2019-06-12T00:00:00"/>
    <d v="2019-06-12T00:00:00"/>
    <s v="DZ"/>
    <s v="USD"/>
    <n v="26558"/>
    <n v="26558"/>
    <s v="BDT"/>
    <s v="EGM1"/>
    <n v="2212281.4"/>
    <s v="cm adv adj-424130762136"/>
    <s v="0000001010"/>
    <s v="E04937US19-0490"/>
    <s v=""/>
    <s v=""/>
    <s v="0"/>
    <s v="424130796047"/>
    <s v=""/>
    <s v=""/>
    <s v=""/>
    <s v=""/>
    <s v=""/>
    <x v="0"/>
    <d v="2019-06-30T00:00:00"/>
    <s v="1806000084"/>
    <d v="2019-06-12T00:00:00"/>
    <s v=""/>
    <s v="1809000719"/>
  </r>
  <r>
    <s v="1809000719"/>
    <d v="2019-06-12T00:00:00"/>
    <d v="2019-06-12T00:00:00"/>
    <s v="DZ"/>
    <s v="USD"/>
    <n v="2222"/>
    <n v="2222"/>
    <s v="BDT"/>
    <s v="EGM1"/>
    <n v="185492.56"/>
    <s v="cm adv adj-424130789439"/>
    <s v="0000001010"/>
    <s v="E04937US19-0490"/>
    <s v=""/>
    <s v=""/>
    <s v="0"/>
    <s v="424130796047"/>
    <s v=""/>
    <s v=""/>
    <s v=""/>
    <s v=""/>
    <s v=""/>
    <x v="0"/>
    <d v="2019-10-31T00:00:00"/>
    <s v="1906000009"/>
    <d v="2019-06-12T00:00:00"/>
    <s v=""/>
    <s v="1809000719"/>
  </r>
  <r>
    <s v="1809000719"/>
    <d v="2019-06-12T00:00:00"/>
    <d v="2019-06-12T00:00:00"/>
    <s v="DZ"/>
    <s v="USD"/>
    <n v="170025"/>
    <n v="170025"/>
    <s v="BDT"/>
    <s v="EGM1"/>
    <n v="14193687"/>
    <s v="cm adv adj-424130785148"/>
    <s v="0000001010"/>
    <s v="E04937US19-0490"/>
    <s v=""/>
    <s v=""/>
    <s v="0"/>
    <s v="424130796047"/>
    <s v=""/>
    <s v=""/>
    <s v=""/>
    <s v=""/>
    <s v=""/>
    <x v="0"/>
    <d v="2020-06-30T00:00:00"/>
    <s v="1906000017"/>
    <d v="2019-06-12T00:00:00"/>
    <s v=""/>
    <s v="1809000719"/>
  </r>
  <r>
    <s v="1809000720"/>
    <d v="2019-06-12T00:00:00"/>
    <d v="2019-06-12T00:00:00"/>
    <s v="DZ"/>
    <s v="USD"/>
    <n v="44031"/>
    <n v="44031"/>
    <s v="BDT"/>
    <s v="EGM1"/>
    <n v="3675707.88"/>
    <s v="cm adv adj-424130775569"/>
    <s v="0000001010"/>
    <s v="E04937US19-0394"/>
    <s v=""/>
    <s v=""/>
    <s v="0"/>
    <s v="424130796038"/>
    <s v=""/>
    <s v=""/>
    <s v=""/>
    <s v=""/>
    <s v=""/>
    <x v="0"/>
    <d v="2019-10-31T00:00:00"/>
    <s v="1906000008"/>
    <d v="2019-06-12T00:00:00"/>
    <s v=""/>
    <s v="1809000720"/>
  </r>
  <r>
    <s v="1809000720"/>
    <d v="2019-06-12T00:00:00"/>
    <d v="2019-06-12T00:00:00"/>
    <s v="DZ"/>
    <s v="USD"/>
    <n v="249778"/>
    <n v="249778"/>
    <s v="BDT"/>
    <s v="EGM1"/>
    <n v="20851467.440000001"/>
    <s v="cm adv adj-424130789439"/>
    <s v="0000001010"/>
    <s v="E04937US19-0394"/>
    <s v=""/>
    <s v=""/>
    <s v="0"/>
    <s v="424130796038"/>
    <s v=""/>
    <s v=""/>
    <s v=""/>
    <s v=""/>
    <s v=""/>
    <x v="0"/>
    <d v="2019-10-31T00:00:00"/>
    <s v="1906000009"/>
    <d v="2019-06-12T00:00:00"/>
    <s v=""/>
    <s v="1809000720"/>
  </r>
  <r>
    <s v="1809000720"/>
    <d v="2019-06-12T00:00:00"/>
    <d v="2019-06-12T00:00:00"/>
    <s v="DZ"/>
    <s v="USD"/>
    <n v="123282"/>
    <n v="123282"/>
    <s v="BDT"/>
    <s v="EGM1"/>
    <n v="10291581.359999999"/>
    <s v="cm adv adj-424130785148"/>
    <s v="0000001010"/>
    <s v="E04937US19-0394"/>
    <s v=""/>
    <s v=""/>
    <s v="0"/>
    <s v="424130796038"/>
    <s v=""/>
    <s v=""/>
    <s v=""/>
    <s v=""/>
    <s v=""/>
    <x v="0"/>
    <d v="2020-06-30T00:00:00"/>
    <s v="1906000017"/>
    <d v="2019-06-12T00:00:00"/>
    <s v=""/>
    <s v="1809000720"/>
  </r>
  <r>
    <s v="1809000721"/>
    <d v="2019-06-13T00:00:00"/>
    <d v="2019-06-13T00:00:00"/>
    <s v="DZ"/>
    <s v="USD"/>
    <n v="117742.38"/>
    <n v="117742.38"/>
    <s v="BDT"/>
    <s v="EGM1"/>
    <n v="9807940.25"/>
    <s v="cm adv adj-424130763554"/>
    <s v="0000005010"/>
    <s v="E34926TC19US0561"/>
    <s v=""/>
    <s v=""/>
    <s v="0"/>
    <s v="424130797028"/>
    <s v=""/>
    <s v=""/>
    <s v=""/>
    <s v=""/>
    <s v=""/>
    <x v="0"/>
    <m/>
    <s v=""/>
    <d v="2019-06-13T00:00:00"/>
    <s v=""/>
    <s v="1809000721"/>
  </r>
  <r>
    <s v="1809000721"/>
    <d v="2019-06-13T00:00:00"/>
    <d v="2019-06-13T00:00:00"/>
    <s v="DZ"/>
    <s v="USD"/>
    <n v="27757.91"/>
    <n v="27757.91"/>
    <s v="BDT"/>
    <s v="EGM1"/>
    <n v="2317230.33"/>
    <s v="cm adv adj-424130775578"/>
    <s v="0000005010"/>
    <s v="E34926TC19US0561"/>
    <s v=""/>
    <s v=""/>
    <s v="0"/>
    <s v="424130797028"/>
    <s v=""/>
    <s v=""/>
    <s v=""/>
    <s v=""/>
    <s v=""/>
    <x v="0"/>
    <m/>
    <s v=""/>
    <d v="2019-06-13T00:00:00"/>
    <s v=""/>
    <s v="1809000721"/>
  </r>
  <r>
    <s v="1809000722"/>
    <d v="2019-06-13T00:00:00"/>
    <d v="2019-06-13T00:00:00"/>
    <s v="DZ"/>
    <s v="USD"/>
    <n v="25312"/>
    <n v="25312"/>
    <s v="BDT"/>
    <s v="EGM1"/>
    <n v="2113045.7599999998"/>
    <s v="cm adv adj-424130789439"/>
    <s v="0000001010"/>
    <s v="E15034DM19US0579"/>
    <s v=""/>
    <s v=""/>
    <s v="0"/>
    <s v="424130797019"/>
    <s v=""/>
    <s v=""/>
    <s v=""/>
    <s v=""/>
    <s v=""/>
    <x v="0"/>
    <d v="2019-10-31T00:00:00"/>
    <s v="1906000009"/>
    <d v="2019-06-13T00:00:00"/>
    <s v=""/>
    <s v="1809000722"/>
  </r>
  <r>
    <s v="1809000723"/>
    <d v="2019-06-25T00:00:00"/>
    <d v="2019-06-25T00:00:00"/>
    <s v="DZ"/>
    <s v="USD"/>
    <n v="4254"/>
    <n v="4254"/>
    <s v="BDT"/>
    <s v="EGM2"/>
    <n v="355123.92"/>
    <s v="cm adv adj-424130789448"/>
    <s v="0000001010"/>
    <s v="05143190277OD"/>
    <s v=""/>
    <s v=""/>
    <s v="0"/>
    <s v="424130797055"/>
    <s v=""/>
    <s v=""/>
    <s v=""/>
    <s v=""/>
    <s v=""/>
    <x v="0"/>
    <d v="2019-07-31T00:00:00"/>
    <s v="1906000006"/>
    <d v="2019-06-25T00:00:00"/>
    <s v=""/>
    <s v="1809000723"/>
  </r>
  <r>
    <s v="1809000724"/>
    <d v="2019-06-24T00:00:00"/>
    <d v="2019-06-24T00:00:00"/>
    <s v="DZ"/>
    <s v="USD"/>
    <n v="717"/>
    <n v="717"/>
    <s v="BDT"/>
    <s v="EGM2"/>
    <n v="59855.16"/>
    <s v="cm adv adj-424130775587"/>
    <s v="0000001010"/>
    <s v="E04989US19-0311"/>
    <s v=""/>
    <s v=""/>
    <s v="0"/>
    <s v="424130801111"/>
    <s v=""/>
    <s v=""/>
    <s v=""/>
    <s v=""/>
    <s v=""/>
    <x v="0"/>
    <d v="2019-10-31T00:00:00"/>
    <s v="1906000010"/>
    <d v="2019-06-24T00:00:00"/>
    <s v=""/>
    <s v="1809000724"/>
  </r>
  <r>
    <s v="1809000724"/>
    <d v="2019-06-24T00:00:00"/>
    <d v="2019-06-24T00:00:00"/>
    <s v="DZ"/>
    <s v="USD"/>
    <n v="6402"/>
    <n v="6402"/>
    <s v="BDT"/>
    <s v="EGM2"/>
    <n v="534438.96"/>
    <s v="cm adv adj-424130789448"/>
    <s v="0000001010"/>
    <s v="E04989US19-0311"/>
    <s v=""/>
    <s v=""/>
    <s v="0"/>
    <s v="424130801111"/>
    <s v=""/>
    <s v=""/>
    <s v=""/>
    <s v=""/>
    <s v=""/>
    <x v="0"/>
    <d v="2019-07-31T00:00:00"/>
    <s v="1906000006"/>
    <d v="2019-06-24T00:00:00"/>
    <s v=""/>
    <s v="1809000724"/>
  </r>
  <r>
    <s v="1809000724"/>
    <d v="2019-06-24T00:00:00"/>
    <d v="2019-06-24T00:00:00"/>
    <s v="DZ"/>
    <s v="USD"/>
    <n v="3269"/>
    <n v="3269"/>
    <s v="BDT"/>
    <s v="EGM2"/>
    <n v="272307.7"/>
    <s v="cm adv adj-424130761217"/>
    <s v="0000001010"/>
    <s v="E04989US19-0311"/>
    <s v=""/>
    <s v=""/>
    <s v="0"/>
    <s v="424130801111"/>
    <s v=""/>
    <s v=""/>
    <s v=""/>
    <s v=""/>
    <s v=""/>
    <x v="0"/>
    <d v="2019-06-30T00:00:00"/>
    <s v="1806000088"/>
    <d v="2019-06-24T00:00:00"/>
    <s v=""/>
    <s v="1809000724"/>
  </r>
  <r>
    <s v="1809000726"/>
    <d v="2019-06-24T00:00:00"/>
    <d v="2019-06-24T00:00:00"/>
    <s v="DZ"/>
    <s v="USD"/>
    <n v="2593"/>
    <n v="2593"/>
    <s v="BDT"/>
    <s v="EGM2"/>
    <n v="216463.64"/>
    <s v="cm adv adj-424130775587"/>
    <s v="0000001010"/>
    <s v="E04989US19-0313"/>
    <s v=""/>
    <s v=""/>
    <s v="0"/>
    <s v="424130801102"/>
    <s v=""/>
    <s v=""/>
    <s v=""/>
    <s v=""/>
    <s v=""/>
    <x v="0"/>
    <d v="2019-10-31T00:00:00"/>
    <s v="1906000010"/>
    <d v="2019-06-24T00:00:00"/>
    <s v=""/>
    <s v="1809000726"/>
  </r>
  <r>
    <s v="1809000726"/>
    <d v="2019-06-24T00:00:00"/>
    <d v="2019-06-24T00:00:00"/>
    <s v="DZ"/>
    <s v="USD"/>
    <n v="6454"/>
    <n v="6454"/>
    <s v="BDT"/>
    <s v="EGM2"/>
    <n v="538779.92000000004"/>
    <s v="cm adv adj-424130789448"/>
    <s v="0000001010"/>
    <s v="E04989US19-0313"/>
    <s v=""/>
    <s v=""/>
    <s v="0"/>
    <s v="424130801102"/>
    <s v=""/>
    <s v=""/>
    <s v=""/>
    <s v=""/>
    <s v=""/>
    <x v="0"/>
    <d v="2019-07-31T00:00:00"/>
    <s v="1906000006"/>
    <d v="2019-06-24T00:00:00"/>
    <s v=""/>
    <s v="1809000726"/>
  </r>
  <r>
    <s v="1809000727"/>
    <d v="2019-06-24T00:00:00"/>
    <d v="2019-06-24T00:00:00"/>
    <s v="DZ"/>
    <s v="USD"/>
    <n v="29850"/>
    <n v="29850"/>
    <s v="BDT"/>
    <s v="EGM1"/>
    <n v="2491878"/>
    <s v="cm adv adj-424130789439"/>
    <s v="0000001010"/>
    <s v="E05016US19-0495"/>
    <s v=""/>
    <s v=""/>
    <s v="0"/>
    <s v="424130801077"/>
    <s v=""/>
    <s v=""/>
    <s v=""/>
    <s v=""/>
    <s v=""/>
    <x v="0"/>
    <d v="2019-10-31T00:00:00"/>
    <s v="1906000009"/>
    <d v="2019-06-24T00:00:00"/>
    <s v=""/>
    <s v="1809000727"/>
  </r>
  <r>
    <s v="1809000728"/>
    <d v="2019-06-24T00:00:00"/>
    <d v="2019-06-24T00:00:00"/>
    <s v="DZ"/>
    <s v="USD"/>
    <n v="7501"/>
    <n v="7501"/>
    <s v="BDT"/>
    <s v="EGM1"/>
    <n v="626183.48"/>
    <s v="cm adv adj-424130775569"/>
    <s v="0000001010"/>
    <s v="E54814KH19US0522"/>
    <s v=""/>
    <s v=""/>
    <s v="0"/>
    <s v="424130801086"/>
    <s v=""/>
    <s v=""/>
    <s v=""/>
    <s v=""/>
    <s v=""/>
    <x v="0"/>
    <d v="2019-10-31T00:00:00"/>
    <s v="1906000008"/>
    <d v="2019-06-24T00:00:00"/>
    <s v=""/>
    <s v="1809000728"/>
  </r>
  <r>
    <s v="1809000729"/>
    <d v="2019-06-24T00:00:00"/>
    <d v="2019-06-24T00:00:00"/>
    <s v="DZ"/>
    <s v="USD"/>
    <n v="4556"/>
    <n v="4556"/>
    <s v="BDT"/>
    <s v="EGM1"/>
    <n v="380334.88"/>
    <s v="cm adv adj-424130789439"/>
    <s v="0000001010"/>
    <s v="E34873BM19UK0474"/>
    <s v=""/>
    <s v=""/>
    <s v="0"/>
    <s v="424130801095"/>
    <s v=""/>
    <s v=""/>
    <s v=""/>
    <s v=""/>
    <s v=""/>
    <x v="0"/>
    <d v="2019-10-31T00:00:00"/>
    <s v="1906000009"/>
    <d v="2019-06-24T00:00:00"/>
    <s v=""/>
    <s v="1809000729"/>
  </r>
  <r>
    <s v="1809000731"/>
    <d v="2019-06-26T00:00:00"/>
    <d v="2019-06-26T00:00:00"/>
    <s v="DZ"/>
    <s v="USD"/>
    <n v="7595"/>
    <n v="7595"/>
    <s v="BDT"/>
    <s v="EGM1"/>
    <n v="634030.6"/>
    <s v="cm adv adj-424130785754"/>
    <s v="0000005010"/>
    <s v="E5028TS19UK0573"/>
    <s v=""/>
    <s v=""/>
    <s v="0"/>
    <s v="424130802361"/>
    <s v=""/>
    <s v=""/>
    <s v=""/>
    <s v=""/>
    <s v=""/>
    <x v="0"/>
    <m/>
    <s v=""/>
    <d v="2019-06-26T00:00:00"/>
    <s v=""/>
    <s v="1809000731"/>
  </r>
  <r>
    <s v="1809000733"/>
    <d v="2019-06-27T00:00:00"/>
    <d v="2019-06-27T00:00:00"/>
    <s v="DZ"/>
    <s v="USD"/>
    <n v="15284"/>
    <n v="15284"/>
    <s v="BDT"/>
    <s v="EGM1"/>
    <n v="1275908.32"/>
    <s v="cm adv adj-424130775569"/>
    <s v="0000001010"/>
    <s v="E04975US19-0543"/>
    <s v=""/>
    <s v=""/>
    <s v="0"/>
    <s v="424130803869"/>
    <s v=""/>
    <s v=""/>
    <s v=""/>
    <s v=""/>
    <s v=""/>
    <x v="0"/>
    <d v="2019-10-31T00:00:00"/>
    <s v="1906000008"/>
    <d v="2019-06-27T00:00:00"/>
    <s v=""/>
    <s v="1809000733"/>
  </r>
  <r>
    <s v="1809000733"/>
    <d v="2019-06-27T00:00:00"/>
    <d v="2019-06-27T00:00:00"/>
    <s v="DZ"/>
    <s v="USD"/>
    <n v="10060"/>
    <n v="10060"/>
    <s v="BDT"/>
    <s v="EGM1"/>
    <n v="839808.8"/>
    <s v="cm adv adj-424130789439"/>
    <s v="0000001010"/>
    <s v="E04975US19-0543"/>
    <s v=""/>
    <s v=""/>
    <s v="0"/>
    <s v="424130803869"/>
    <s v=""/>
    <s v=""/>
    <s v=""/>
    <s v=""/>
    <s v=""/>
    <x v="0"/>
    <d v="2019-10-31T00:00:00"/>
    <s v="1906000009"/>
    <d v="2019-06-27T00:00:00"/>
    <s v=""/>
    <s v="1809000733"/>
  </r>
  <r>
    <s v="1809000734"/>
    <d v="2019-06-30T00:00:00"/>
    <d v="2019-06-30T00:00:00"/>
    <s v="DZ"/>
    <s v="USD"/>
    <n v="-1748567"/>
    <n v="-1748567"/>
    <s v="BDT"/>
    <s v="EGM1"/>
    <n v="-146005344.50999999"/>
    <s v="CM ADVANCE REC-424130804207"/>
    <s v="0000001010"/>
    <s v="IT06591906290031"/>
    <s v=""/>
    <s v=""/>
    <s v="0"/>
    <s v="424130804207"/>
    <s v=""/>
    <s v=""/>
    <s v=""/>
    <s v=""/>
    <s v=""/>
    <x v="0"/>
    <m/>
    <s v=""/>
    <d v="2019-06-30T00:00:00"/>
    <s v=""/>
    <s v="1809000734"/>
  </r>
  <r>
    <s v="1809000735"/>
    <d v="2019-06-30T00:00:00"/>
    <d v="2019-06-30T00:00:00"/>
    <s v="DZ"/>
    <s v="USD"/>
    <n v="10627.01"/>
    <n v="10627.01"/>
    <s v="BDT"/>
    <s v="EGM2"/>
    <n v="887142.79"/>
    <s v="CM ADVANCE REC-424130775596"/>
    <s v="0000005010"/>
    <s v="E24953VF19US0339"/>
    <s v=""/>
    <s v=""/>
    <s v="0"/>
    <s v="424130804001"/>
    <s v=""/>
    <s v=""/>
    <s v=""/>
    <s v=""/>
    <s v=""/>
    <x v="0"/>
    <m/>
    <s v=""/>
    <d v="2019-06-30T00:00:00"/>
    <s v=""/>
    <s v="1809000735"/>
  </r>
  <r>
    <s v="1809000735"/>
    <d v="2019-06-30T00:00:00"/>
    <d v="2019-06-30T00:00:00"/>
    <s v="DZ"/>
    <s v="USD"/>
    <n v="47002.63"/>
    <n v="47002.63"/>
    <s v="BDT"/>
    <s v="EGM2"/>
    <n v="3923779.55"/>
    <s v="CM ADVANCE REC-424130790837"/>
    <s v="0000005010"/>
    <s v="E24953VF19US0339"/>
    <s v=""/>
    <s v=""/>
    <s v="0"/>
    <s v="424130804001"/>
    <s v=""/>
    <s v=""/>
    <s v=""/>
    <s v=""/>
    <s v=""/>
    <x v="0"/>
    <m/>
    <s v=""/>
    <d v="2019-06-30T00:00:00"/>
    <s v=""/>
    <s v="1809000735"/>
  </r>
  <r>
    <s v="1809000737"/>
    <d v="2019-06-30T00:00:00"/>
    <d v="2019-06-30T00:00:00"/>
    <s v="DZ"/>
    <s v="USD"/>
    <n v="1377"/>
    <n v="1377"/>
    <s v="BDT"/>
    <s v="EGM2"/>
    <n v="114951.96"/>
    <s v="CM ADVANCE REC-424130775587"/>
    <s v="0000001010"/>
    <s v="04964190336AU"/>
    <s v=""/>
    <s v=""/>
    <s v="0"/>
    <s v="424130803994"/>
    <s v=""/>
    <s v=""/>
    <s v=""/>
    <s v=""/>
    <s v=""/>
    <x v="0"/>
    <d v="2019-10-31T00:00:00"/>
    <s v="1906000010"/>
    <d v="2019-06-30T00:00:00"/>
    <s v=""/>
    <s v="1809000737"/>
  </r>
  <r>
    <s v="1809000737"/>
    <d v="2019-06-30T00:00:00"/>
    <d v="2019-06-30T00:00:00"/>
    <s v="DZ"/>
    <s v="USD"/>
    <n v="528"/>
    <n v="528"/>
    <s v="BDT"/>
    <s v="EGM2"/>
    <n v="44077.440000000002"/>
    <s v="CM ADVANCE REC-424130789448"/>
    <s v="0000001010"/>
    <s v="04964190336AU"/>
    <s v=""/>
    <s v=""/>
    <s v="0"/>
    <s v="424130803994"/>
    <s v=""/>
    <s v=""/>
    <s v=""/>
    <s v=""/>
    <s v=""/>
    <x v="0"/>
    <d v="2019-07-31T00:00:00"/>
    <s v="1906000006"/>
    <d v="2019-06-30T00:00:00"/>
    <s v=""/>
    <s v="1809000737"/>
  </r>
  <r>
    <s v="1809000738"/>
    <d v="2019-06-30T00:00:00"/>
    <d v="2019-06-30T00:00:00"/>
    <s v="DZ"/>
    <s v="USD"/>
    <n v="40495"/>
    <n v="40495"/>
    <s v="BDT"/>
    <s v="EGM1"/>
    <n v="3380522.6"/>
    <s v="CM ADVANCE REC-424130775569"/>
    <s v="0000001010"/>
    <s v="E04998US19-0554"/>
    <s v=""/>
    <s v=""/>
    <s v="0"/>
    <s v="424130803967"/>
    <s v=""/>
    <s v=""/>
    <s v=""/>
    <s v=""/>
    <s v=""/>
    <x v="0"/>
    <d v="2019-10-31T00:00:00"/>
    <s v="1906000008"/>
    <d v="2019-06-30T00:00:00"/>
    <s v=""/>
    <s v="1809000738"/>
  </r>
  <r>
    <s v="1809000738"/>
    <d v="2019-06-30T00:00:00"/>
    <d v="2019-06-30T00:00:00"/>
    <s v="DZ"/>
    <s v="USD"/>
    <n v="45519"/>
    <n v="45519"/>
    <s v="BDT"/>
    <s v="EGM1"/>
    <n v="3799926.12"/>
    <s v="CM ADVANCE REC-424130789439"/>
    <s v="0000001010"/>
    <s v="E04998US19-0554"/>
    <s v=""/>
    <s v=""/>
    <s v="0"/>
    <s v="424130803967"/>
    <s v=""/>
    <s v=""/>
    <s v=""/>
    <s v=""/>
    <s v=""/>
    <x v="0"/>
    <d v="2019-10-31T00:00:00"/>
    <s v="1906000009"/>
    <d v="2019-06-30T00:00:00"/>
    <s v=""/>
    <s v="1809000738"/>
  </r>
  <r>
    <s v="1809000738"/>
    <d v="2019-06-30T00:00:00"/>
    <d v="2019-06-30T00:00:00"/>
    <s v="DZ"/>
    <s v="USD"/>
    <n v="2041"/>
    <n v="2041"/>
    <s v="BDT"/>
    <s v="EGM1"/>
    <n v="170382.68"/>
    <s v="CM ADVANCE REC-424130785148"/>
    <s v="0000001010"/>
    <s v="E04998US19-0554"/>
    <s v=""/>
    <s v=""/>
    <s v="0"/>
    <s v="424130803967"/>
    <s v=""/>
    <s v=""/>
    <s v=""/>
    <s v=""/>
    <s v=""/>
    <x v="0"/>
    <d v="2020-06-30T00:00:00"/>
    <s v="1906000017"/>
    <d v="2019-06-30T00:00:00"/>
    <s v=""/>
    <s v="1809000738"/>
  </r>
  <r>
    <s v="1809000744"/>
    <d v="2019-06-30T00:00:00"/>
    <d v="2019-06-30T00:00:00"/>
    <s v="DZ"/>
    <s v="USD"/>
    <n v="-416465.88"/>
    <n v="-416465.88"/>
    <s v="BDT"/>
    <s v="EGM1"/>
    <n v="-34774900.979999997"/>
    <s v="FIT-CM ADV DWC-JUN-19"/>
    <s v="5010"/>
    <s v="FIT-CMDWC-JUN-19"/>
    <s v=""/>
    <s v=""/>
    <s v="0"/>
    <s v="FIT-CM ADV DWC-JUN-19"/>
    <s v=""/>
    <s v=""/>
    <s v=""/>
    <s v=""/>
    <s v=""/>
    <x v="0"/>
    <d v="2019-07-01T00:00:00"/>
    <s v="1903001049"/>
    <d v="2019-06-30T00:00:00"/>
    <s v=""/>
    <s v="1809000744"/>
  </r>
  <r>
    <s v="1903000033"/>
    <d v="2019-07-04T00:00:00"/>
    <d v="2019-07-04T00:00:00"/>
    <s v="AB"/>
    <s v="USD"/>
    <n v="318514.05"/>
    <n v="318514.05"/>
    <s v="BDT"/>
    <s v="EGM2"/>
    <n v="26595923.190000001"/>
    <s v="CM ADV RECEIVED REF-424130806054"/>
    <s v="0000001010"/>
    <s v="IT06591907030070"/>
    <s v=""/>
    <s v=""/>
    <s v="0"/>
    <s v="424130806054"/>
    <s v=""/>
    <s v=""/>
    <s v=""/>
    <s v=""/>
    <s v=""/>
    <x v="0"/>
    <d v="2019-07-04T00:00:00"/>
    <s v="1903000033"/>
    <d v="2019-07-04T00:00:00"/>
    <s v=""/>
    <s v="1903000033"/>
  </r>
  <r>
    <s v="1903000240"/>
    <d v="2019-07-28T00:00:00"/>
    <d v="2019-07-28T00:00:00"/>
    <s v="AB"/>
    <s v="USD"/>
    <n v="-44967.54"/>
    <n v="-44967.54"/>
    <s v="BDT"/>
    <s v="EGM2"/>
    <n v="-3753890.24"/>
    <s v="CM Adv ADJ REF-424130775596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0"/>
    <d v="2019-07-28T00:00:00"/>
    <d v="2019-07-28T00:00:00"/>
    <s v="AB"/>
    <s v="USD"/>
    <n v="-25431.91"/>
    <n v="-25431.91"/>
    <s v="BDT"/>
    <s v="EGM2"/>
    <n v="-2123564.4900000002"/>
    <s v="CM Adv ADJ REF-424130806054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0"/>
    <d v="2019-07-28T00:00:00"/>
    <d v="2019-07-28T00:00:00"/>
    <s v="AB"/>
    <s v="USD"/>
    <n v="-582.6"/>
    <n v="-582.6"/>
    <s v="BDT"/>
    <s v="EGM2"/>
    <n v="-48635.45"/>
    <s v="CM Adv ADJ REF-42413079083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0"/>
    <d v="2019-07-28T00:00:00"/>
    <d v="2019-07-28T00:00:00"/>
    <s v="AB"/>
    <s v="USD"/>
    <n v="-11093.3"/>
    <n v="-11093.3"/>
    <s v="BDT"/>
    <s v="EGM2"/>
    <n v="-926290.55"/>
    <s v="CM Adv ADJ REF-42413081576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3000240"/>
  </r>
  <r>
    <s v="1903000242"/>
    <d v="2019-07-22T00:00:00"/>
    <d v="2019-07-22T00:00:00"/>
    <s v="AB"/>
    <s v="USD"/>
    <n v="193674"/>
    <n v="193674"/>
    <s v="BDT"/>
    <s v="EGM1"/>
    <n v="16171779.01"/>
    <s v="CM Adv Rec REF-424130815758"/>
    <s v="0000001010"/>
    <s v="IT06591907220052"/>
    <s v=""/>
    <s v=""/>
    <s v="0"/>
    <s v="424130815758"/>
    <s v=""/>
    <s v=""/>
    <s v=""/>
    <s v=""/>
    <s v=""/>
    <x v="0"/>
    <d v="2019-07-22T00:00:00"/>
    <s v="1903000242"/>
    <d v="2019-07-22T00:00:00"/>
    <s v=""/>
    <s v="1903000242"/>
  </r>
  <r>
    <s v="1903001049"/>
    <d v="2019-07-01T00:00:00"/>
    <d v="2019-06-30T00:00:00"/>
    <s v="AB"/>
    <s v="USD"/>
    <n v="416465.88"/>
    <n v="416465.88"/>
    <s v="BDT"/>
    <s v="EGM1"/>
    <n v="34774900.979999997"/>
    <s v="FIT-CM ADV DWC-JUN-19"/>
    <s v="5010"/>
    <s v="FIT-CMDWC-JUN-19"/>
    <s v=""/>
    <s v=""/>
    <s v="0"/>
    <s v="FIT-CM ADV DWC-JUN-19"/>
    <s v=""/>
    <s v=""/>
    <s v=""/>
    <s v=""/>
    <s v=""/>
    <x v="0"/>
    <d v="2019-07-01T00:00:00"/>
    <s v="1903001049"/>
    <d v="2019-06-30T00:00:00"/>
    <s v=""/>
    <s v="1903001049"/>
  </r>
  <r>
    <s v="1903001312"/>
    <d v="2019-08-01T00:00:00"/>
    <d v="2019-07-31T00:00:00"/>
    <s v="AB"/>
    <s v="USD"/>
    <n v="46350"/>
    <n v="46350"/>
    <s v="BDT"/>
    <s v="EGM1"/>
    <n v="3870225"/>
    <s v="FIT-CM ADV EDL-JUL-19"/>
    <s v="0000001010"/>
    <s v="FIT-CMADV-JUL-19"/>
    <s v=""/>
    <s v=""/>
    <s v="0"/>
    <s v="FIT-CM ADV EDL-JUL-19"/>
    <s v=""/>
    <s v=""/>
    <s v=""/>
    <s v=""/>
    <s v=""/>
    <x v="0"/>
    <d v="2019-08-01T00:00:00"/>
    <s v="1903001312"/>
    <d v="2019-07-31T00:00:00"/>
    <s v=""/>
    <s v="1903001312"/>
  </r>
  <r>
    <s v="1903001314"/>
    <d v="2019-08-01T00:00:00"/>
    <d v="2019-07-31T00:00:00"/>
    <s v="AB"/>
    <s v="USD"/>
    <n v="-6793"/>
    <n v="-6793"/>
    <s v="BDT"/>
    <s v="EGM1"/>
    <n v="-567215.5"/>
    <s v="FIT-CM ADV DWC-JUL-19"/>
    <s v="0000005010"/>
    <s v="FIT-CMDWC-JUL-19"/>
    <s v=""/>
    <s v=""/>
    <s v="0"/>
    <s v="FIT-CM ADV DWC-JUL-19"/>
    <s v=""/>
    <s v=""/>
    <s v=""/>
    <s v=""/>
    <s v=""/>
    <x v="0"/>
    <d v="2019-08-01T00:00:00"/>
    <s v="1903001314"/>
    <d v="2019-07-31T00:00:00"/>
    <s v=""/>
    <s v="1903001314"/>
  </r>
  <r>
    <s v="1903002387"/>
    <d v="2019-10-01T00:00:00"/>
    <d v="2019-10-01T00:00:00"/>
    <s v="AB"/>
    <s v="USD"/>
    <n v="901959.28"/>
    <n v="901959.28"/>
    <s v="BDT"/>
    <s v="EGM1"/>
    <n v="75313599.900000006"/>
    <s v="CM ADV ADJ-424130853190"/>
    <s v="0000001010"/>
    <s v="EG4-05078"/>
    <s v=""/>
    <s v=""/>
    <s v="0"/>
    <s v="424130853190"/>
    <s v=""/>
    <s v=""/>
    <s v=""/>
    <s v=""/>
    <s v=""/>
    <x v="0"/>
    <d v="2019-10-01T00:00:00"/>
    <s v="1903002387"/>
    <d v="2019-10-01T00:00:00"/>
    <s v=""/>
    <s v="1903002387"/>
  </r>
  <r>
    <s v="1903002430"/>
    <d v="2019-09-01T00:00:00"/>
    <d v="2019-08-31T00:00:00"/>
    <s v="AB"/>
    <s v="USD"/>
    <n v="-396812"/>
    <n v="-396812"/>
    <s v="BDT"/>
    <s v="EGM1"/>
    <n v="-33125865.760000002"/>
    <s v="FIT-CM ADV EDL-AUG-19"/>
    <s v="1010"/>
    <s v="FIT-CM-EDL-AUG19"/>
    <s v=""/>
    <s v=""/>
    <s v="0"/>
    <s v="FIT-CMAD-EDL-AUG-19"/>
    <s v=""/>
    <s v=""/>
    <s v=""/>
    <s v=""/>
    <s v=""/>
    <x v="0"/>
    <d v="2019-09-01T00:00:00"/>
    <s v="1903002430"/>
    <d v="2019-08-31T00:00:00"/>
    <s v=""/>
    <s v="1903002430"/>
  </r>
  <r>
    <s v="1903002431"/>
    <d v="2019-09-01T00:00:00"/>
    <d v="2019-08-31T00:00:00"/>
    <s v="AB"/>
    <s v="USD"/>
    <n v="-136613.96"/>
    <n v="-136613.96"/>
    <s v="BDT"/>
    <s v="EGM1"/>
    <n v="-11407265.66"/>
    <s v="FIT-CM ADV DWC-AUG-19"/>
    <s v="0000005010"/>
    <s v="FIT-CMDWC-AUG-19"/>
    <s v=""/>
    <s v=""/>
    <s v="0"/>
    <s v="FIT-CM ADV DWC-AUG-19"/>
    <s v=""/>
    <s v=""/>
    <s v=""/>
    <s v=""/>
    <s v=""/>
    <x v="0"/>
    <d v="2019-09-01T00:00:00"/>
    <s v="1903002431"/>
    <d v="2019-08-31T00:00:00"/>
    <s v=""/>
    <s v="1903002431"/>
  </r>
  <r>
    <s v="1903003060"/>
    <d v="2019-09-30T00:00:00"/>
    <d v="2019-09-30T00:00:00"/>
    <s v="AB"/>
    <s v="USD"/>
    <n v="1185533.8799999999"/>
    <n v="1185533.8799999999"/>
    <s v="BDT"/>
    <s v="EGM1"/>
    <n v="98992078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09-30T00:00:00"/>
    <s v="1903003060"/>
    <d v="2019-09-30T00:00:00"/>
    <s v=""/>
    <s v="1903003060"/>
  </r>
  <r>
    <s v="1903003551"/>
    <d v="2019-10-01T00:00:00"/>
    <d v="2019-09-30T00:00:00"/>
    <s v="AB"/>
    <s v="USD"/>
    <n v="-28006"/>
    <n v="-28006"/>
    <s v="BDT"/>
    <s v="EGM1"/>
    <n v="-2337940.88"/>
    <s v="FIT-CM ADV EDL-SEP-19"/>
    <s v="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3003551"/>
  </r>
  <r>
    <s v="1903003551"/>
    <d v="2019-10-01T00:00:00"/>
    <d v="2019-09-30T00:00:00"/>
    <s v="AB"/>
    <s v="USD"/>
    <n v="1000000"/>
    <n v="1000000"/>
    <s v="BDT"/>
    <s v="EGM1"/>
    <n v="83480000"/>
    <s v="FIT-CM ADV EDL-SEP-19"/>
    <s v="000000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3003551"/>
  </r>
  <r>
    <s v="1903003552"/>
    <d v="2019-10-01T00:00:00"/>
    <d v="2019-09-30T00:00:00"/>
    <s v="AB"/>
    <s v="USD"/>
    <n v="1157527.8799999999"/>
    <n v="1157527.8799999999"/>
    <s v="BDT"/>
    <s v="EGM1"/>
    <n v="96653577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10-01T00:00:00"/>
    <s v="1903003552"/>
    <d v="2019-09-30T00:00:00"/>
    <s v=""/>
    <s v="1903003552"/>
  </r>
  <r>
    <s v="1903004480"/>
    <d v="2019-11-18T00:00:00"/>
    <d v="2019-11-18T00:00:00"/>
    <s v="AB"/>
    <s v="USD"/>
    <n v="29291.53"/>
    <n v="29291.53"/>
    <s v="BDT"/>
    <s v="EGM1"/>
    <n v="2456094.79"/>
    <s v="CM ADV REC-424130877030"/>
    <s v="0000001010"/>
    <s v="EGA-EG3-05361"/>
    <s v=""/>
    <s v=""/>
    <s v="0"/>
    <s v="424130877030"/>
    <s v=""/>
    <s v=""/>
    <s v=""/>
    <s v=""/>
    <s v=""/>
    <x v="0"/>
    <d v="2019-11-18T00:00:00"/>
    <s v="1903004480"/>
    <d v="2019-11-18T00:00:00"/>
    <s v=""/>
    <s v="1903004480"/>
  </r>
  <r>
    <s v="1903005337"/>
    <d v="2019-11-01T00:00:00"/>
    <d v="2019-10-31T00:00:00"/>
    <s v="AB"/>
    <s v="USD"/>
    <n v="-437641"/>
    <n v="-437641"/>
    <s v="BDT"/>
    <s v="EGM1"/>
    <n v="-36534270.68"/>
    <s v="FIT-CM ADV EDL-OCT-19"/>
    <s v="1010"/>
    <s v="FIT-CM-EDL-OCT19"/>
    <s v=""/>
    <s v=""/>
    <s v="0"/>
    <s v="FIT-CMADV-EDL-OCT-19"/>
    <s v=""/>
    <s v=""/>
    <s v=""/>
    <s v=""/>
    <s v=""/>
    <x v="0"/>
    <d v="2019-11-01T00:00:00"/>
    <s v="1903005337"/>
    <d v="2019-10-31T00:00:00"/>
    <s v=""/>
    <s v="1903005337"/>
  </r>
  <r>
    <s v="1903005338"/>
    <d v="2019-11-01T00:00:00"/>
    <d v="2019-10-31T00:00:00"/>
    <s v="AB"/>
    <s v="USD"/>
    <n v="157501"/>
    <n v="157501"/>
    <s v="BDT"/>
    <s v="EGM1"/>
    <n v="13151333.5"/>
    <s v="FIT-CM ADV DWC-OCT-19"/>
    <s v="0000005010"/>
    <s v="FIT-CMDWC-OCT-19"/>
    <s v=""/>
    <s v=""/>
    <s v="0"/>
    <s v="FIT-CM ADV DWC-OCT-19"/>
    <s v=""/>
    <s v=""/>
    <s v=""/>
    <s v=""/>
    <s v=""/>
    <x v="0"/>
    <d v="2019-11-01T00:00:00"/>
    <s v="1903005338"/>
    <d v="2019-10-31T00:00:00"/>
    <s v=""/>
    <s v="1903005338"/>
  </r>
  <r>
    <s v="1903005536"/>
    <d v="2019-12-24T00:00:00"/>
    <d v="2019-12-24T00:00:00"/>
    <s v="AB"/>
    <s v="USD"/>
    <n v="355046"/>
    <n v="355046"/>
    <s v="BDT"/>
    <s v="EGM1"/>
    <n v="29806111.699999999"/>
    <s v="CM ADV REF-424130897759"/>
    <s v="0000001010"/>
    <s v="EGA05416"/>
    <s v=""/>
    <s v=""/>
    <s v="0"/>
    <s v="424130897759"/>
    <s v=""/>
    <s v=""/>
    <s v=""/>
    <s v=""/>
    <s v=""/>
    <x v="0"/>
    <d v="2019-12-24T00:00:00"/>
    <s v="1903005536"/>
    <d v="2019-12-24T00:00:00"/>
    <s v=""/>
    <s v="1903005536"/>
  </r>
  <r>
    <s v="1903005939"/>
    <d v="2020-01-06T00:00:00"/>
    <d v="2020-01-06T00:00:00"/>
    <s v="AB"/>
    <s v="USD"/>
    <n v="484350.04"/>
    <n v="484350.04"/>
    <s v="BDT"/>
    <s v="EGM1"/>
    <n v="40661185.859999999"/>
    <s v="CM ADV REC-424130904457"/>
    <s v="0000001010"/>
    <s v="EGA-05401"/>
    <s v=""/>
    <s v=""/>
    <s v="0"/>
    <s v="424130904457"/>
    <s v=""/>
    <s v=""/>
    <s v=""/>
    <s v=""/>
    <s v=""/>
    <x v="0"/>
    <d v="2020-01-06T00:00:00"/>
    <s v="1903005939"/>
    <d v="2020-01-06T00:00:00"/>
    <s v=""/>
    <s v="1903005939"/>
  </r>
  <r>
    <s v="1903006336"/>
    <d v="2019-12-01T00:00:00"/>
    <d v="2019-11-30T00:00:00"/>
    <s v="AB"/>
    <s v="USD"/>
    <n v="1179923"/>
    <n v="1179923"/>
    <s v="BDT"/>
    <s v="EGM1"/>
    <n v="98499972.040000007"/>
    <s v="FIT-CM ADV EDL-NOV-19"/>
    <s v="1010"/>
    <s v="FIT-CM-EDL-NOV19"/>
    <s v=""/>
    <s v=""/>
    <s v="0"/>
    <s v="FIT-CMADV-EDL-NOV-19"/>
    <s v=""/>
    <s v=""/>
    <s v=""/>
    <s v=""/>
    <s v=""/>
    <x v="0"/>
    <d v="2019-12-01T00:00:00"/>
    <s v="1903006336"/>
    <d v="2019-11-30T00:00:00"/>
    <s v=""/>
    <s v="1903006336"/>
  </r>
  <r>
    <s v="1903006337"/>
    <d v="2019-12-01T00:00:00"/>
    <d v="2019-11-30T00:00:00"/>
    <s v="AB"/>
    <s v="USD"/>
    <n v="512702.07"/>
    <n v="512702.07"/>
    <s v="BDT"/>
    <s v="EGM1"/>
    <n v="43041338.780000001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0-31T00:00:00"/>
    <s v=""/>
    <s v="1903006337"/>
  </r>
  <r>
    <s v="1903006337"/>
    <d v="2019-12-01T00:00:00"/>
    <d v="2019-11-30T00:00:00"/>
    <s v="AB"/>
    <s v="USD"/>
    <n v="-328693.5"/>
    <n v="-328693.5"/>
    <s v="BDT"/>
    <s v="EGM1"/>
    <n v="-27593819.329999998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1-30T00:00:00"/>
    <s v=""/>
    <s v="1903006337"/>
  </r>
  <r>
    <s v="1903007480"/>
    <d v="2020-01-01T00:00:00"/>
    <d v="2019-12-31T00:00:00"/>
    <s v="AB"/>
    <s v="USD"/>
    <n v="1795608"/>
    <n v="1795608"/>
    <s v="BDT"/>
    <s v="EGM1"/>
    <n v="149897355.84"/>
    <s v="FIT-CM ADV EDL-DEC-19"/>
    <s v="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3007480"/>
  </r>
  <r>
    <s v="1903007480"/>
    <d v="2020-01-01T00:00:00"/>
    <d v="2019-12-31T00:00:00"/>
    <s v="AB"/>
    <s v="USD"/>
    <n v="-494529"/>
    <n v="-494529"/>
    <s v="BDT"/>
    <s v="EGM1"/>
    <n v="-41283280.920000002"/>
    <s v="FIT-CM ADV EDL-DEC-19"/>
    <s v="000000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3007480"/>
  </r>
  <r>
    <s v="1903007481"/>
    <d v="2020-01-01T00:00:00"/>
    <d v="2019-12-31T00:00:00"/>
    <s v="AB"/>
    <s v="USD"/>
    <n v="-129711.73"/>
    <n v="-129711.73"/>
    <s v="BDT"/>
    <s v="EGM1"/>
    <n v="-10889299.73"/>
    <s v="FIT-CM ADV DWC-DEC-19"/>
    <s v="0000005010"/>
    <s v="FIT-CMDWC-DEC-19"/>
    <s v=""/>
    <s v=""/>
    <s v="0"/>
    <s v="FIT-CM ADV DWC-DEC-19"/>
    <s v=""/>
    <s v=""/>
    <s v=""/>
    <s v=""/>
    <s v=""/>
    <x v="0"/>
    <d v="2020-01-01T00:00:00"/>
    <s v="1903007481"/>
    <d v="2019-12-31T00:00:00"/>
    <s v=""/>
    <s v="1903007481"/>
  </r>
  <r>
    <s v="1903007768"/>
    <d v="2020-02-29T00:00:00"/>
    <d v="2020-01-31T00:00:00"/>
    <s v="AB"/>
    <s v="USD"/>
    <n v="2159776"/>
    <n v="2159776"/>
    <s v="BDT"/>
    <s v="EGM1"/>
    <n v="180298100.47999999"/>
    <s v="FIT-CM ADV EDL-JAN-20"/>
    <s v="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3007768"/>
  </r>
  <r>
    <s v="1903007768"/>
    <d v="2020-02-29T00:00:00"/>
    <d v="2020-01-31T00:00:00"/>
    <s v="AB"/>
    <s v="USD"/>
    <n v="-97969"/>
    <n v="-97969"/>
    <s v="BDT"/>
    <s v="EGM1"/>
    <n v="-8178452.1200000001"/>
    <s v="FIT-CM ADV EDL-JAN-20"/>
    <s v="000000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3007768"/>
  </r>
  <r>
    <s v="1903007775"/>
    <d v="2020-02-29T00:00:00"/>
    <d v="2020-01-31T00:00:00"/>
    <s v="AB"/>
    <s v="USD"/>
    <n v="-23551"/>
    <n v="-23551"/>
    <s v="BDT"/>
    <s v="EGM1"/>
    <n v="-1977106.45"/>
    <s v="FIT-CM ADV DWC-JAN-20"/>
    <s v="0000005010"/>
    <s v="FIT-CMDWC-JAN-20"/>
    <s v=""/>
    <s v=""/>
    <s v="0"/>
    <s v="FIT-CM ADV DWC-JAN-20"/>
    <s v=""/>
    <s v=""/>
    <s v=""/>
    <s v=""/>
    <s v=""/>
    <x v="0"/>
    <d v="2020-02-29T00:00:00"/>
    <s v="1903007775"/>
    <d v="2020-01-31T00:00:00"/>
    <s v=""/>
    <s v="1903007775"/>
  </r>
  <r>
    <s v="1903008731"/>
    <d v="2020-03-01T00:00:00"/>
    <d v="2020-02-29T00:00:00"/>
    <s v="AB"/>
    <s v="USD"/>
    <n v="1580836"/>
    <n v="1580836"/>
    <s v="BDT"/>
    <s v="EGM1"/>
    <n v="131968189.28"/>
    <s v="FIT-CM ADV EDL-FEB-20"/>
    <s v="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3008731"/>
  </r>
  <r>
    <s v="1903008731"/>
    <d v="2020-03-01T00:00:00"/>
    <d v="2020-02-29T00:00:00"/>
    <s v="AB"/>
    <s v="USD"/>
    <n v="-2429"/>
    <n v="-2429"/>
    <s v="BDT"/>
    <s v="EGM1"/>
    <n v="-202772.92"/>
    <s v="FIT-CM ADV EDL-FEB-20"/>
    <s v="000000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3008731"/>
  </r>
  <r>
    <s v="1903008736"/>
    <d v="2020-03-01T00:00:00"/>
    <d v="2020-02-29T00:00:00"/>
    <s v="AB"/>
    <s v="USD"/>
    <n v="-178852.54"/>
    <n v="-178852.54"/>
    <s v="BDT"/>
    <s v="EGM1"/>
    <n v="-15014670.73"/>
    <s v="FIT-CM ADV DWC-FEB-20"/>
    <s v="0000005010"/>
    <s v="FIT-CMDWC-FEB-20"/>
    <s v=""/>
    <s v=""/>
    <s v="0"/>
    <s v="FIT-CM ADV DWC-FEB-20"/>
    <s v=""/>
    <s v=""/>
    <s v=""/>
    <s v=""/>
    <s v=""/>
    <x v="0"/>
    <d v="2020-03-01T00:00:00"/>
    <s v="1903008736"/>
    <d v="2020-02-29T00:00:00"/>
    <s v=""/>
    <s v="1903008736"/>
  </r>
  <r>
    <s v="1903009077"/>
    <d v="2020-04-01T00:00:00"/>
    <d v="2020-03-31T00:00:00"/>
    <s v="AB"/>
    <s v="USD"/>
    <n v="-71961.179999999993"/>
    <n v="-71961.179999999993"/>
    <s v="BDT"/>
    <s v="EGM1"/>
    <n v="-6041141.0599999996"/>
    <s v="FIT-CMAD-DWC-Mar-20"/>
    <s v="0000005010"/>
    <s v="FIT-CM-DWC-MAR20"/>
    <s v=""/>
    <s v=""/>
    <s v="0"/>
    <s v="FIT-CMAD-DWC-Mar-20"/>
    <s v=""/>
    <s v=""/>
    <s v=""/>
    <s v=""/>
    <s v=""/>
    <x v="0"/>
    <d v="2020-04-01T00:00:00"/>
    <s v="1903009077"/>
    <d v="2020-05-31T00:00:00"/>
    <s v=""/>
    <s v="1903009077"/>
  </r>
  <r>
    <s v="1903010553"/>
    <d v="2020-05-01T00:00:00"/>
    <d v="2020-04-30T00:00:00"/>
    <s v="AB"/>
    <s v="USD"/>
    <n v="-425135.42"/>
    <n v="-425135.42"/>
    <s v="BDT"/>
    <s v="EGM1"/>
    <n v="-35690118.509999998"/>
    <s v="FIT-CMAD-DWC-April-20"/>
    <s v="0000005010"/>
    <s v="FIT-CMDWC-APR-20"/>
    <s v=""/>
    <s v=""/>
    <s v="0"/>
    <s v="FIT-CM Adv-EGDWC-April-20"/>
    <s v=""/>
    <s v=""/>
    <s v=""/>
    <s v=""/>
    <s v=""/>
    <x v="0"/>
    <d v="2020-05-01T00:00:00"/>
    <s v="1903010553"/>
    <d v="2020-05-31T00:00:00"/>
    <s v=""/>
    <s v="1903010553"/>
  </r>
  <r>
    <s v="1903010574"/>
    <d v="2020-05-01T00:00:00"/>
    <d v="2020-04-30T00:00:00"/>
    <s v="AB"/>
    <s v="USD"/>
    <n v="-48333"/>
    <n v="-48333"/>
    <s v="BDT"/>
    <s v="EGM1"/>
    <n v="-4057555.35"/>
    <s v="FIT-CM-ADV-EDL-Apr-20"/>
    <s v="0000001010"/>
    <s v="FIT-CM-EDL-APR20"/>
    <s v=""/>
    <s v=""/>
    <s v="0"/>
    <s v="FIT-CM-EDL-APR-20"/>
    <s v=""/>
    <s v=""/>
    <s v=""/>
    <s v=""/>
    <s v=""/>
    <x v="0"/>
    <d v="2020-05-01T00:00:00"/>
    <s v="1903010574"/>
    <d v="2020-06-30T00:00:00"/>
    <s v=""/>
    <s v="1903010574"/>
  </r>
  <r>
    <s v="1903010816"/>
    <d v="2020-06-02T00:00:00"/>
    <d v="2020-06-02T00:00:00"/>
    <s v="AB"/>
    <s v="USD"/>
    <n v="107540.29"/>
    <n v="107540.29"/>
    <s v="BDT"/>
    <s v="EGM2"/>
    <n v="9028007.3499999996"/>
    <s v="Amount received from EPIC Gamt DWC(25666VF20US0214"/>
    <s v="0000005010"/>
    <s v="424130959727"/>
    <s v=""/>
    <s v=""/>
    <s v="0"/>
    <s v="E25666VF20US0214"/>
    <s v=""/>
    <s v=""/>
    <s v=""/>
    <s v=""/>
    <s v="2020110001"/>
    <x v="0"/>
    <d v="2020-06-02T00:00:00"/>
    <s v="1903010816"/>
    <d v="2020-06-02T00:00:00"/>
    <s v=""/>
    <s v="1903010816"/>
  </r>
  <r>
    <s v="1903010964"/>
    <d v="2020-06-01T00:00:00"/>
    <d v="2020-05-31T00:00:00"/>
    <s v="AB"/>
    <s v="USD"/>
    <n v="736646"/>
    <n v="736646"/>
    <s v="BDT"/>
    <s v="EGM1"/>
    <n v="61841431.700000003"/>
    <s v="FIT-CM ADV EDL-May-20"/>
    <s v="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3010964"/>
  </r>
  <r>
    <s v="1903010964"/>
    <d v="2020-06-01T00:00:00"/>
    <d v="2020-05-31T00:00:00"/>
    <s v="AB"/>
    <s v="USD"/>
    <n v="-546437"/>
    <n v="-546437"/>
    <s v="BDT"/>
    <s v="EGM1"/>
    <n v="-45873386.149999999"/>
    <s v="FIT-CM ADV EDL-May-20"/>
    <s v="000000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3010964"/>
  </r>
  <r>
    <s v="1903010967"/>
    <d v="2020-06-01T00:00:00"/>
    <d v="2020-05-31T00:00:00"/>
    <s v="AB"/>
    <s v="USD"/>
    <n v="-79884.03"/>
    <n v="-79884.03"/>
    <s v="BDT"/>
    <s v="EGM1"/>
    <n v="-6706264.3200000003"/>
    <s v="FIT-CMAD-DWC-May-20"/>
    <s v="0000005010"/>
    <s v="FIT-CM-DWC-MAY20"/>
    <s v=""/>
    <s v=""/>
    <s v="0"/>
    <s v="FIT-CMAD-DWC-May-20"/>
    <s v=""/>
    <s v=""/>
    <s v=""/>
    <s v=""/>
    <s v=""/>
    <x v="0"/>
    <d v="2020-06-01T00:00:00"/>
    <s v="1903010967"/>
    <d v="2020-05-31T00:00:00"/>
    <s v=""/>
    <s v="1903010967"/>
  </r>
  <r>
    <s v="1903011114"/>
    <d v="2020-06-30T00:00:00"/>
    <d v="2020-06-30T00:00:00"/>
    <s v="AB"/>
    <s v="USD"/>
    <n v="16.579999999999998"/>
    <n v="16.579999999999998"/>
    <s v="BDT"/>
    <s v="EGM1"/>
    <n v="1391.89"/>
    <s v="CM ADV"/>
    <s v="0000005010"/>
    <s v="CM-ADVDWC-JUN20"/>
    <s v=""/>
    <s v=""/>
    <s v="0"/>
    <s v="CM-AdvDWC-Jun20"/>
    <s v=""/>
    <s v=""/>
    <s v=""/>
    <s v=""/>
    <s v=""/>
    <x v="0"/>
    <d v="2020-06-30T00:00:00"/>
    <s v="1903011114"/>
    <d v="2020-06-30T00:00:00"/>
    <s v=""/>
    <s v="1903011114"/>
  </r>
  <r>
    <s v="1906000000"/>
    <d v="2019-07-31T00:00:00"/>
    <d v="2019-07-31T00:00:00"/>
    <s v="DA"/>
    <s v="USD"/>
    <n v="0.98"/>
    <n v="0.98"/>
    <s v="BDT"/>
    <s v="EGM2"/>
    <n v="81.290000000000006"/>
    <s v="G/L CLR 36k"/>
    <s v="0000001010"/>
    <s v="G/L CLR"/>
    <s v=""/>
    <s v=""/>
    <s v="0"/>
    <s v="36k G/L CLR"/>
    <s v=""/>
    <s v=""/>
    <s v=""/>
    <s v=""/>
    <s v=""/>
    <x v="0"/>
    <d v="2019-07-31T00:00:00"/>
    <s v="1906000000"/>
    <d v="2019-07-31T00:00:00"/>
    <s v=""/>
    <s v="1906000000"/>
  </r>
  <r>
    <s v="1906000001"/>
    <d v="2019-07-31T00:00:00"/>
    <d v="2019-07-31T00:00:00"/>
    <s v="DA"/>
    <s v="USD"/>
    <n v="-0.6"/>
    <n v="-0.6"/>
    <s v="BDT"/>
    <s v="EGM1"/>
    <n v="-49.77"/>
    <s v="G/L CLR 298k"/>
    <s v="0000001010"/>
    <s v="G/L CLR"/>
    <s v=""/>
    <s v=""/>
    <s v="0"/>
    <s v="298k G/L CLR"/>
    <s v=""/>
    <s v=""/>
    <s v=""/>
    <s v=""/>
    <s v=""/>
    <x v="0"/>
    <d v="2019-07-31T00:00:00"/>
    <s v="1906000001"/>
    <d v="2019-07-31T00:00:00"/>
    <s v=""/>
    <s v="1906000001"/>
  </r>
  <r>
    <s v="1906000002"/>
    <d v="2019-07-31T00:00:00"/>
    <d v="2019-07-31T00:00:00"/>
    <s v="DA"/>
    <s v="USD"/>
    <n v="295393"/>
    <n v="295393"/>
    <s v="BDT"/>
    <s v="EGM1"/>
    <n v="24502849.359999999"/>
    <s v="G/L CLR 298k"/>
    <s v="0000001010"/>
    <s v="G/L CLR"/>
    <s v=""/>
    <s v=""/>
    <s v="0"/>
    <s v="295k G/L CLR"/>
    <s v=""/>
    <s v=""/>
    <s v=""/>
    <s v=""/>
    <s v=""/>
    <x v="0"/>
    <d v="2019-07-31T00:00:00"/>
    <s v="1906000002"/>
    <d v="2019-07-31T00:00:00"/>
    <s v=""/>
    <s v="1906000002"/>
  </r>
  <r>
    <s v="1906000002"/>
    <d v="2019-07-31T00:00:00"/>
    <d v="2019-07-31T00:00:00"/>
    <s v="DA"/>
    <s v="USD"/>
    <n v="-295393"/>
    <n v="-295393"/>
    <s v="BDT"/>
    <s v="EGM1"/>
    <n v="-24502849.359999999"/>
    <s v="G/L CLR 295k"/>
    <s v="0000001010"/>
    <s v="G/L CLR"/>
    <s v=""/>
    <s v=""/>
    <s v="0"/>
    <s v="295k G/L CLR"/>
    <s v=""/>
    <s v=""/>
    <s v=""/>
    <s v=""/>
    <s v=""/>
    <x v="0"/>
    <d v="2019-07-31T00:00:00"/>
    <s v="1906000002"/>
    <d v="2019-07-31T00:00:00"/>
    <s v=""/>
    <s v="1906000002"/>
  </r>
  <r>
    <s v="1906000003"/>
    <d v="2019-07-31T00:00:00"/>
    <d v="2019-07-31T00:00:00"/>
    <s v="DA"/>
    <s v="USD"/>
    <n v="282231"/>
    <n v="282231"/>
    <s v="BDT"/>
    <s v="EGM1"/>
    <n v="23396949.899999999"/>
    <s v="282k G/L CLR"/>
    <s v="0000001010"/>
    <s v="G/L CLR"/>
    <s v=""/>
    <s v=""/>
    <s v="0"/>
    <s v="282k G/L CLR"/>
    <s v=""/>
    <s v=""/>
    <s v=""/>
    <s v=""/>
    <s v=""/>
    <x v="0"/>
    <d v="2019-07-31T00:00:00"/>
    <s v="1906000003"/>
    <d v="2019-07-31T00:00:00"/>
    <s v=""/>
    <s v="1906000003"/>
  </r>
  <r>
    <s v="1906000003"/>
    <d v="2019-07-31T00:00:00"/>
    <d v="2019-07-31T00:00:00"/>
    <s v="DA"/>
    <s v="USD"/>
    <n v="-282231"/>
    <n v="-282231"/>
    <s v="BDT"/>
    <s v="EGM1"/>
    <n v="-23396949.899999999"/>
    <s v="282k G/L CLR"/>
    <s v="0000001010"/>
    <s v="G/L CLR"/>
    <s v=""/>
    <s v=""/>
    <s v="0"/>
    <s v="282k G/L CLR"/>
    <s v=""/>
    <s v=""/>
    <s v=""/>
    <s v=""/>
    <s v=""/>
    <x v="0"/>
    <d v="2019-07-31T00:00:00"/>
    <s v="1906000003"/>
    <d v="2019-07-31T00:00:00"/>
    <s v=""/>
    <s v="1906000003"/>
  </r>
  <r>
    <s v="1906000004"/>
    <d v="2019-07-31T00:00:00"/>
    <d v="2019-07-31T00:00:00"/>
    <s v="DA"/>
    <s v="USD"/>
    <n v="275660"/>
    <n v="275660"/>
    <s v="BDT"/>
    <s v="EGM1"/>
    <n v="22865997"/>
    <s v="275k G/L CLR"/>
    <s v="0000001010"/>
    <s v="G/L CLR"/>
    <s v=""/>
    <s v=""/>
    <s v="0"/>
    <s v="275k G/L CLR"/>
    <s v=""/>
    <s v=""/>
    <s v=""/>
    <s v=""/>
    <s v=""/>
    <x v="0"/>
    <d v="2019-07-31T00:00:00"/>
    <s v="1906000004"/>
    <d v="2019-07-31T00:00:00"/>
    <s v=""/>
    <s v="1906000004"/>
  </r>
  <r>
    <s v="1906000004"/>
    <d v="2019-07-31T00:00:00"/>
    <d v="2019-07-31T00:00:00"/>
    <s v="DA"/>
    <s v="USD"/>
    <n v="-275660"/>
    <n v="-275660"/>
    <s v="BDT"/>
    <s v="EGM1"/>
    <n v="-22865997"/>
    <s v="275k G/L CLR"/>
    <s v="0000001010"/>
    <s v="G/L CLR"/>
    <s v=""/>
    <s v=""/>
    <s v="0"/>
    <s v="275k G/L CLR"/>
    <s v=""/>
    <s v=""/>
    <s v=""/>
    <s v=""/>
    <s v=""/>
    <x v="0"/>
    <d v="2019-07-31T00:00:00"/>
    <s v="1906000004"/>
    <d v="2019-07-31T00:00:00"/>
    <s v=""/>
    <s v="1906000004"/>
  </r>
  <r>
    <s v="1906000005"/>
    <d v="2019-07-31T00:00:00"/>
    <d v="2019-07-31T00:00:00"/>
    <s v="DA"/>
    <s v="USD"/>
    <n v="245838"/>
    <n v="245838"/>
    <s v="BDT"/>
    <s v="EGM1"/>
    <n v="20355386.399999999"/>
    <s v="245k G/L CLR"/>
    <s v="0000001010"/>
    <s v="G/L CLR"/>
    <s v=""/>
    <s v=""/>
    <s v="0"/>
    <s v="245k G/L CLR"/>
    <s v=""/>
    <s v=""/>
    <s v=""/>
    <s v=""/>
    <s v=""/>
    <x v="0"/>
    <d v="2019-07-31T00:00:00"/>
    <s v="1906000005"/>
    <d v="2019-07-31T00:00:00"/>
    <s v=""/>
    <s v="1906000005"/>
  </r>
  <r>
    <s v="1906000005"/>
    <d v="2019-07-31T00:00:00"/>
    <d v="2019-07-31T00:00:00"/>
    <s v="DA"/>
    <s v="USD"/>
    <n v="-245838"/>
    <n v="-245838"/>
    <s v="BDT"/>
    <s v="EGM1"/>
    <n v="-20355386.399999999"/>
    <s v="245k G/L CLR"/>
    <s v="0000001010"/>
    <s v="G/L CLR"/>
    <s v=""/>
    <s v=""/>
    <s v="0"/>
    <s v="245k G/L CLR"/>
    <s v=""/>
    <s v=""/>
    <s v=""/>
    <s v=""/>
    <s v=""/>
    <x v="0"/>
    <d v="2019-07-31T00:00:00"/>
    <s v="1906000005"/>
    <d v="2019-07-31T00:00:00"/>
    <s v=""/>
    <s v="1906000005"/>
  </r>
  <r>
    <s v="1906000006"/>
    <d v="2019-07-31T00:00:00"/>
    <d v="2019-07-31T00:00:00"/>
    <s v="DA"/>
    <s v="USD"/>
    <n v="0"/>
    <n v="0"/>
    <s v="BDT"/>
    <s v="EGM2"/>
    <n v="0.01"/>
    <s v="77k G/L CLR"/>
    <s v="0000001010"/>
    <s v="G/L CLR"/>
    <s v=""/>
    <s v=""/>
    <s v="0"/>
    <s v="77k G/L CLR"/>
    <s v=""/>
    <s v=""/>
    <s v=""/>
    <s v=""/>
    <s v=""/>
    <x v="0"/>
    <d v="2019-07-31T00:00:00"/>
    <s v="1906000006"/>
    <d v="2019-07-31T00:00:00"/>
    <s v=""/>
    <s v="1906000006"/>
  </r>
  <r>
    <s v="1906000007"/>
    <d v="2019-07-31T00:00:00"/>
    <d v="2019-07-31T00:00:00"/>
    <s v="DA"/>
    <s v="USD"/>
    <n v="33269"/>
    <n v="33269"/>
    <s v="BDT"/>
    <s v="EGM2"/>
    <n v="2777961.51"/>
    <s v="33k G/L CLR"/>
    <s v="0000001010"/>
    <s v="G/L CLR"/>
    <s v=""/>
    <s v=""/>
    <s v="0"/>
    <s v="33k G/L CLR"/>
    <s v=""/>
    <s v=""/>
    <s v=""/>
    <s v=""/>
    <s v=""/>
    <x v="0"/>
    <d v="2019-07-31T00:00:00"/>
    <s v="1906000007"/>
    <d v="2019-07-31T00:00:00"/>
    <s v=""/>
    <s v="1906000007"/>
  </r>
  <r>
    <s v="1906000007"/>
    <d v="2019-07-31T00:00:00"/>
    <d v="2019-07-31T00:00:00"/>
    <s v="DA"/>
    <s v="USD"/>
    <n v="-33269"/>
    <n v="-33269"/>
    <s v="BDT"/>
    <s v="EGM2"/>
    <n v="-2777961.51"/>
    <s v="33k G/L CLR"/>
    <s v="0000001010"/>
    <s v="G/L CLR"/>
    <s v=""/>
    <s v=""/>
    <s v="0"/>
    <s v="33k G/L CLR"/>
    <s v=""/>
    <s v=""/>
    <s v=""/>
    <s v=""/>
    <s v=""/>
    <x v="0"/>
    <d v="2019-07-31T00:00:00"/>
    <s v="1906000007"/>
    <d v="2019-07-31T00:00:00"/>
    <s v=""/>
    <s v="1906000007"/>
  </r>
  <r>
    <s v="1906000008"/>
    <d v="2019-10-31T00:00:00"/>
    <d v="2019-10-31T00:00:00"/>
    <s v="DA"/>
    <s v="USD"/>
    <n v="1521369"/>
    <n v="1521369"/>
    <s v="BDT"/>
    <s v="EGM1"/>
    <n v="127003884.12"/>
    <s v="G/L CLEAR 15.21k"/>
    <s v="0000001010"/>
    <s v="G/L CLEAR"/>
    <s v=""/>
    <s v=""/>
    <s v="0"/>
    <s v="G/L CLEAR 15.21k"/>
    <s v=""/>
    <s v=""/>
    <s v=""/>
    <s v=""/>
    <s v=""/>
    <x v="0"/>
    <d v="2019-10-31T00:00:00"/>
    <s v="1906000008"/>
    <d v="2019-10-31T00:00:00"/>
    <s v=""/>
    <s v="1906000008"/>
  </r>
  <r>
    <s v="1906000008"/>
    <d v="2019-10-31T00:00:00"/>
    <d v="2019-10-31T00:00:00"/>
    <s v="DA"/>
    <s v="USD"/>
    <n v="-1521369"/>
    <n v="-1521369"/>
    <s v="BDT"/>
    <s v="EGM1"/>
    <n v="-127003884.12"/>
    <s v="G/L CLEAR 15.21k"/>
    <s v="0000001010"/>
    <s v="G/L CLEAR"/>
    <s v=""/>
    <s v=""/>
    <s v="0"/>
    <s v="G/L CLEAR 15.21k"/>
    <s v=""/>
    <s v=""/>
    <s v=""/>
    <s v=""/>
    <s v=""/>
    <x v="0"/>
    <d v="2019-10-31T00:00:00"/>
    <s v="1906000008"/>
    <d v="2019-10-31T00:00:00"/>
    <s v=""/>
    <s v="1906000008"/>
  </r>
  <r>
    <s v="1906000009"/>
    <d v="2019-10-31T00:00:00"/>
    <d v="2019-10-31T00:00:00"/>
    <s v="DA"/>
    <s v="USD"/>
    <n v="967040"/>
    <n v="967040"/>
    <s v="BDT"/>
    <s v="EGM1"/>
    <n v="80728499.200000003"/>
    <s v="G/L CLEAR 967k"/>
    <s v="0000001010"/>
    <s v="G/L CLEAR"/>
    <s v=""/>
    <s v=""/>
    <s v="0"/>
    <s v="G/L CLEAR 967k"/>
    <s v=""/>
    <s v=""/>
    <s v=""/>
    <s v=""/>
    <s v=""/>
    <x v="0"/>
    <d v="2019-10-31T00:00:00"/>
    <s v="1906000009"/>
    <d v="2019-10-31T00:00:00"/>
    <s v=""/>
    <s v="1906000009"/>
  </r>
  <r>
    <s v="1906000009"/>
    <d v="2019-10-31T00:00:00"/>
    <d v="2019-10-31T00:00:00"/>
    <s v="DA"/>
    <s v="USD"/>
    <n v="-967040"/>
    <n v="-967040"/>
    <s v="BDT"/>
    <s v="EGM1"/>
    <n v="-80728499.200000003"/>
    <s v="G/L CLEAR 967k"/>
    <s v="0000001010"/>
    <s v="G/L CLEAR"/>
    <s v=""/>
    <s v=""/>
    <s v="0"/>
    <s v="G/L CLEAR 967k"/>
    <s v=""/>
    <s v=""/>
    <s v=""/>
    <s v=""/>
    <s v=""/>
    <x v="0"/>
    <d v="2019-10-31T00:00:00"/>
    <s v="1906000009"/>
    <d v="2019-10-31T00:00:00"/>
    <s v=""/>
    <s v="1906000009"/>
  </r>
  <r>
    <s v="1906000010"/>
    <d v="2019-10-31T00:00:00"/>
    <d v="2019-10-31T00:00:00"/>
    <s v="DA"/>
    <s v="USD"/>
    <n v="91401"/>
    <n v="91401"/>
    <s v="BDT"/>
    <s v="EGM2"/>
    <n v="7630155.4800000004"/>
    <s v="G/L CLEAR 91k"/>
    <s v="0000001010"/>
    <s v="G/L CLEAR"/>
    <s v=""/>
    <s v=""/>
    <s v="0"/>
    <s v="G/L CLEAR 91k"/>
    <s v=""/>
    <s v=""/>
    <s v=""/>
    <s v=""/>
    <s v=""/>
    <x v="0"/>
    <d v="2019-10-31T00:00:00"/>
    <s v="1906000010"/>
    <d v="2019-10-31T00:00:00"/>
    <s v=""/>
    <s v="1906000010"/>
  </r>
  <r>
    <s v="1906000010"/>
    <d v="2019-10-31T00:00:00"/>
    <d v="2019-10-31T00:00:00"/>
    <s v="DA"/>
    <s v="USD"/>
    <n v="-91401"/>
    <n v="-91401"/>
    <s v="BDT"/>
    <s v="EGM2"/>
    <n v="-7630155.4800000004"/>
    <s v="G/L CLEAR 91k"/>
    <s v="0000001010"/>
    <s v="G/L CLEAR"/>
    <s v=""/>
    <s v=""/>
    <s v="0"/>
    <s v="G/L CLEAR 91k"/>
    <s v=""/>
    <s v=""/>
    <s v=""/>
    <s v=""/>
    <s v=""/>
    <x v="0"/>
    <d v="2019-10-31T00:00:00"/>
    <s v="1906000010"/>
    <d v="2019-10-31T00:00:00"/>
    <s v=""/>
    <s v="1906000010"/>
  </r>
  <r>
    <s v="1906000017"/>
    <d v="2020-06-30T00:00:00"/>
    <d v="2020-06-30T00:00:00"/>
    <s v="DA"/>
    <s v="USD"/>
    <n v="0"/>
    <n v="0"/>
    <s v="BDT"/>
    <s v="EGM1"/>
    <n v="0.02"/>
    <s v=""/>
    <s v="0000001010"/>
    <s v="CLEARING"/>
    <s v=""/>
    <s v=""/>
    <s v="0"/>
    <s v="CLEARING"/>
    <s v=""/>
    <s v=""/>
    <s v=""/>
    <s v=""/>
    <s v=""/>
    <x v="0"/>
    <d v="2020-06-30T00:00:00"/>
    <s v="1906000017"/>
    <d v="2020-06-30T00:00:00"/>
    <s v=""/>
    <s v="1906000017"/>
  </r>
  <r>
    <s v="1909000000"/>
    <d v="2019-07-02T00:00:00"/>
    <d v="2019-07-02T00:00:00"/>
    <s v="DZ"/>
    <s v="USD"/>
    <n v="12822.97"/>
    <n v="12822.97"/>
    <s v="BDT"/>
    <s v="EGM1"/>
    <n v="1070461.54"/>
    <s v="CM Adv adj- 424130785754"/>
    <s v="0000005010"/>
    <s v="E5028TS19CE0572"/>
    <s v=""/>
    <s v=""/>
    <s v="0"/>
    <s v="424130805509"/>
    <s v=""/>
    <s v=""/>
    <s v=""/>
    <s v=""/>
    <s v=""/>
    <x v="0"/>
    <m/>
    <s v=""/>
    <d v="2019-07-02T00:00:00"/>
    <s v=""/>
    <s v="1909000000"/>
  </r>
  <r>
    <s v="1909000001"/>
    <d v="2019-07-04T00:00:00"/>
    <d v="2019-07-04T00:00:00"/>
    <s v="DZ"/>
    <s v="USD"/>
    <n v="-319015"/>
    <n v="-319015"/>
    <s v="BDT"/>
    <s v="EGM1"/>
    <n v="-26637752.510000002"/>
    <s v="CM ADV RECEIVED REF-424130806063"/>
    <s v="0000005010"/>
    <s v="IT06591907030073"/>
    <s v=""/>
    <s v=""/>
    <s v="0"/>
    <s v="424130806063"/>
    <s v=""/>
    <s v=""/>
    <s v=""/>
    <s v=""/>
    <s v=""/>
    <x v="0"/>
    <m/>
    <s v=""/>
    <d v="2019-07-04T00:00:00"/>
    <s v=""/>
    <s v="1909000001"/>
  </r>
  <r>
    <s v="1909000002"/>
    <d v="2019-07-04T00:00:00"/>
    <d v="2019-07-04T00:00:00"/>
    <s v="DZ"/>
    <s v="USD"/>
    <n v="-318514.05"/>
    <n v="-318514.05"/>
    <s v="BDT"/>
    <s v="EGM2"/>
    <n v="-26595923.190000001"/>
    <s v="CM ADV RECEIVED REF-424130806054"/>
    <s v="0000001010"/>
    <s v="IT06591907030070"/>
    <s v=""/>
    <s v=""/>
    <s v="0"/>
    <s v="424130806054"/>
    <s v=""/>
    <s v=""/>
    <s v=""/>
    <s v=""/>
    <s v=""/>
    <x v="0"/>
    <d v="2019-07-04T00:00:00"/>
    <s v="1903000033"/>
    <d v="2019-07-04T00:00:00"/>
    <s v=""/>
    <s v="1909000002"/>
  </r>
  <r>
    <s v="1909000003"/>
    <d v="2019-07-04T00:00:00"/>
    <d v="2019-07-04T00:00:00"/>
    <s v="DZ"/>
    <s v="USD"/>
    <n v="4734"/>
    <n v="4734"/>
    <s v="BDT"/>
    <s v="EGM1"/>
    <n v="395194.32"/>
    <s v="CM ADVANCE REC-424130789439"/>
    <s v="0000001010"/>
    <s v="E45117SB19UK0592"/>
    <s v=""/>
    <s v=""/>
    <s v="0"/>
    <s v="424130807071"/>
    <s v=""/>
    <s v=""/>
    <s v=""/>
    <s v=""/>
    <s v=""/>
    <x v="0"/>
    <d v="2019-10-31T00:00:00"/>
    <s v="1906000009"/>
    <d v="2019-07-04T00:00:00"/>
    <s v=""/>
    <s v="1909000003"/>
  </r>
  <r>
    <s v="1909000004"/>
    <d v="2019-07-04T00:00:00"/>
    <d v="2019-07-04T00:00:00"/>
    <s v="DZ"/>
    <s v="USD"/>
    <n v="976"/>
    <n v="976"/>
    <s v="BDT"/>
    <s v="EGM1"/>
    <n v="81496"/>
    <s v="CM ADV ADJ-424130806063"/>
    <s v="0000005010"/>
    <s v="E34996DC19US0652"/>
    <s v=""/>
    <s v=""/>
    <s v="0"/>
    <s v="424130807053"/>
    <s v=""/>
    <s v=""/>
    <s v=""/>
    <s v=""/>
    <s v=""/>
    <x v="0"/>
    <m/>
    <s v=""/>
    <d v="2019-07-04T00:00:00"/>
    <s v=""/>
    <s v="1909000004"/>
  </r>
  <r>
    <s v="1909000004"/>
    <d v="2019-07-04T00:00:00"/>
    <d v="2019-07-04T00:00:00"/>
    <s v="DZ"/>
    <s v="USD"/>
    <n v="940"/>
    <n v="940"/>
    <s v="BDT"/>
    <s v="EGM1"/>
    <n v="78471.199999999997"/>
    <s v="CM ADV ADJ-424130793139"/>
    <s v="0000005010"/>
    <s v="E34996DC19US0652"/>
    <s v=""/>
    <s v=""/>
    <s v="0"/>
    <s v="424130807053"/>
    <s v=""/>
    <s v=""/>
    <s v=""/>
    <s v=""/>
    <s v=""/>
    <x v="0"/>
    <m/>
    <s v=""/>
    <d v="2019-07-04T00:00:00"/>
    <s v=""/>
    <s v="1909000004"/>
  </r>
  <r>
    <s v="1909000005"/>
    <d v="2019-07-04T00:00:00"/>
    <d v="2019-07-04T00:00:00"/>
    <s v="DZ"/>
    <s v="USD"/>
    <n v="-318514.05"/>
    <n v="-318514.05"/>
    <s v="BDT"/>
    <s v="EGM2"/>
    <n v="-26595923.190000001"/>
    <s v="CM ADV RECEIVED REF-424130806054"/>
    <s v="0000005010"/>
    <s v="IT06591907030070"/>
    <s v=""/>
    <s v=""/>
    <s v="0"/>
    <s v="424130806054"/>
    <s v=""/>
    <s v=""/>
    <s v=""/>
    <s v=""/>
    <s v=""/>
    <x v="0"/>
    <m/>
    <s v=""/>
    <d v="2019-07-04T00:00:00"/>
    <s v=""/>
    <s v="1909000005"/>
  </r>
  <r>
    <s v="1909000006"/>
    <d v="2019-07-04T00:00:00"/>
    <d v="2019-07-04T00:00:00"/>
    <s v="DZ"/>
    <s v="USD"/>
    <n v="32885.589999999997"/>
    <n v="32885.589999999997"/>
    <s v="BDT"/>
    <s v="EGM2"/>
    <n v="2745289.05"/>
    <s v="CM ADV ADJ REF-424130775596"/>
    <s v="0000005010"/>
    <s v="E25019VF19US0317"/>
    <s v=""/>
    <s v=""/>
    <s v="0"/>
    <s v="424130807044"/>
    <s v=""/>
    <s v=""/>
    <s v=""/>
    <s v=""/>
    <s v=""/>
    <x v="0"/>
    <m/>
    <s v=""/>
    <d v="2019-07-04T00:00:00"/>
    <s v=""/>
    <s v="1909000006"/>
  </r>
  <r>
    <s v="1909000006"/>
    <d v="2019-07-04T00:00:00"/>
    <d v="2019-07-04T00:00:00"/>
    <s v="DZ"/>
    <s v="USD"/>
    <n v="43515.97"/>
    <n v="43515.97"/>
    <s v="BDT"/>
    <s v="EGM2"/>
    <n v="3633583.5"/>
    <s v="CM ADV ADJ REF-424130806054"/>
    <s v="0000005010"/>
    <s v="E25019VF19US0317"/>
    <s v=""/>
    <s v=""/>
    <s v="0"/>
    <s v="424130807044"/>
    <s v=""/>
    <s v=""/>
    <s v=""/>
    <s v=""/>
    <s v=""/>
    <x v="0"/>
    <m/>
    <s v=""/>
    <d v="2019-07-04T00:00:00"/>
    <s v=""/>
    <s v="1909000006"/>
  </r>
  <r>
    <s v="1909000006"/>
    <d v="2019-07-04T00:00:00"/>
    <d v="2019-07-04T00:00:00"/>
    <s v="DZ"/>
    <s v="USD"/>
    <n v="27252.43"/>
    <n v="27252.43"/>
    <s v="BDT"/>
    <s v="EGM2"/>
    <n v="2275032.86"/>
    <s v="CM ADV ADJ REF-424130790837"/>
    <s v="0000005010"/>
    <s v="E25019VF19US0317"/>
    <s v=""/>
    <s v=""/>
    <s v="0"/>
    <s v="424130807044"/>
    <s v=""/>
    <s v=""/>
    <s v=""/>
    <s v=""/>
    <s v=""/>
    <x v="0"/>
    <m/>
    <s v=""/>
    <d v="2019-07-04T00:00:00"/>
    <s v=""/>
    <s v="1909000006"/>
  </r>
  <r>
    <s v="1909000007"/>
    <d v="2019-07-04T00:00:00"/>
    <d v="2019-07-04T00:00:00"/>
    <s v="DZ"/>
    <s v="USD"/>
    <n v="70727"/>
    <n v="70727"/>
    <s v="BDT"/>
    <s v="EGM1"/>
    <n v="5904289.96"/>
    <s v="CM ADV ADJ REF-424130789439"/>
    <s v="0000001010"/>
    <s v="E05074US19-0568"/>
    <s v=""/>
    <s v=""/>
    <s v="0"/>
    <s v="424130805956"/>
    <s v=""/>
    <s v=""/>
    <s v=""/>
    <s v=""/>
    <s v=""/>
    <x v="0"/>
    <d v="2019-10-31T00:00:00"/>
    <s v="1906000009"/>
    <d v="2019-07-04T00:00:00"/>
    <s v=""/>
    <s v="1909000007"/>
  </r>
  <r>
    <s v="1909000007"/>
    <d v="2019-07-04T00:00:00"/>
    <d v="2019-07-04T00:00:00"/>
    <s v="DZ"/>
    <s v="USD"/>
    <n v="95465"/>
    <n v="95465"/>
    <s v="BDT"/>
    <s v="EGM1"/>
    <n v="7969418.2000000002"/>
    <s v="CM ADV ADJ REF-424130785148"/>
    <s v="0000001010"/>
    <s v="E05074US19-0568"/>
    <s v=""/>
    <s v=""/>
    <s v="0"/>
    <s v="424130805956"/>
    <s v=""/>
    <s v=""/>
    <s v=""/>
    <s v=""/>
    <s v=""/>
    <x v="0"/>
    <d v="2020-06-30T00:00:00"/>
    <s v="1906000017"/>
    <d v="2019-07-04T00:00:00"/>
    <s v=""/>
    <s v="1909000007"/>
  </r>
  <r>
    <s v="1909000008"/>
    <d v="2019-07-07T00:00:00"/>
    <d v="2019-07-07T00:00:00"/>
    <s v="DZ"/>
    <s v="USD"/>
    <n v="1829"/>
    <n v="1829"/>
    <s v="BDT"/>
    <s v="EGM2"/>
    <n v="152684.92000000001"/>
    <s v="CM ADV ADJ REF-424130775587"/>
    <s v="0000001010"/>
    <s v="05143190352PE"/>
    <s v=""/>
    <s v=""/>
    <s v="0"/>
    <s v="424130808150"/>
    <s v=""/>
    <s v=""/>
    <s v=""/>
    <s v=""/>
    <s v=""/>
    <x v="0"/>
    <d v="2019-10-31T00:00:00"/>
    <s v="1906000010"/>
    <d v="2019-07-07T00:00:00"/>
    <s v=""/>
    <s v="1909000008"/>
  </r>
  <r>
    <s v="1909000011"/>
    <d v="2019-07-07T00:00:00"/>
    <d v="2019-07-07T00:00:00"/>
    <s v="DZ"/>
    <s v="USD"/>
    <n v="1748"/>
    <n v="1748"/>
    <s v="BDT"/>
    <s v="EGM1"/>
    <n v="145923.04"/>
    <s v="CM ADV ADJ REF-424130789439"/>
    <s v="0000001010"/>
    <s v="E05068US19-0546"/>
    <s v=""/>
    <s v=""/>
    <s v="0"/>
    <s v="424130808123"/>
    <s v=""/>
    <s v=""/>
    <s v=""/>
    <s v=""/>
    <s v=""/>
    <x v="0"/>
    <d v="2019-10-31T00:00:00"/>
    <s v="1906000009"/>
    <d v="2019-07-07T00:00:00"/>
    <s v=""/>
    <s v="1909000011"/>
  </r>
  <r>
    <s v="1909000011"/>
    <d v="2019-07-07T00:00:00"/>
    <d v="2019-07-07T00:00:00"/>
    <s v="DZ"/>
    <s v="USD"/>
    <n v="19374"/>
    <n v="19374"/>
    <s v="BDT"/>
    <s v="EGM1"/>
    <n v="1617341.52"/>
    <s v="CM ADV ADJ REF-424130785148"/>
    <s v="0000001010"/>
    <s v="E05068US19-0546"/>
    <s v=""/>
    <s v=""/>
    <s v="0"/>
    <s v="424130808123"/>
    <s v=""/>
    <s v=""/>
    <s v=""/>
    <s v=""/>
    <s v=""/>
    <x v="0"/>
    <d v="2020-06-30T00:00:00"/>
    <s v="1906000017"/>
    <d v="2019-07-07T00:00:00"/>
    <s v=""/>
    <s v="1909000011"/>
  </r>
  <r>
    <s v="1909000012"/>
    <d v="2019-07-07T00:00:00"/>
    <d v="2019-07-07T00:00:00"/>
    <s v="DZ"/>
    <s v="USD"/>
    <n v="5757"/>
    <n v="5757"/>
    <s v="BDT"/>
    <s v="EGM1"/>
    <n v="480709.5"/>
    <s v="CM ADV ADJ REF-424130804207"/>
    <s v="0000001010"/>
    <s v="E05012US19 0618"/>
    <s v=""/>
    <s v=""/>
    <s v="0"/>
    <s v="424130808114"/>
    <s v=""/>
    <s v=""/>
    <s v=""/>
    <s v=""/>
    <s v=""/>
    <x v="0"/>
    <m/>
    <s v=""/>
    <d v="2019-07-07T00:00:00"/>
    <s v=""/>
    <s v="1909000012"/>
  </r>
  <r>
    <s v="1909000012"/>
    <d v="2019-07-07T00:00:00"/>
    <d v="2019-07-07T00:00:00"/>
    <s v="DZ"/>
    <s v="USD"/>
    <n v="1411"/>
    <n v="1411"/>
    <s v="BDT"/>
    <s v="EGM1"/>
    <n v="117790.28"/>
    <s v="CM ADV ADJ REF-424130789439"/>
    <s v="0000001010"/>
    <s v="E05012US19 0618"/>
    <s v=""/>
    <s v=""/>
    <s v="0"/>
    <s v="424130808114"/>
    <s v=""/>
    <s v=""/>
    <s v=""/>
    <s v=""/>
    <s v=""/>
    <x v="0"/>
    <d v="2019-10-31T00:00:00"/>
    <s v="1906000009"/>
    <d v="2019-07-07T00:00:00"/>
    <s v=""/>
    <s v="1909000012"/>
  </r>
  <r>
    <s v="1909000012"/>
    <d v="2019-07-07T00:00:00"/>
    <d v="2019-07-07T00:00:00"/>
    <s v="DZ"/>
    <s v="USD"/>
    <n v="7891"/>
    <n v="7891"/>
    <s v="BDT"/>
    <s v="EGM1"/>
    <n v="658740.68000000005"/>
    <s v="CM ADV ADJ REF-424130785148"/>
    <s v="0000001010"/>
    <s v="E05012US19 0618"/>
    <s v=""/>
    <s v=""/>
    <s v="0"/>
    <s v="424130808114"/>
    <s v=""/>
    <s v=""/>
    <s v=""/>
    <s v=""/>
    <s v=""/>
    <x v="0"/>
    <d v="2020-06-30T00:00:00"/>
    <s v="1906000017"/>
    <d v="2019-07-07T00:00:00"/>
    <s v=""/>
    <s v="1909000012"/>
  </r>
  <r>
    <s v="1909000014"/>
    <d v="2019-07-09T00:00:00"/>
    <d v="2019-07-09T00:00:00"/>
    <s v="DZ"/>
    <s v="USD"/>
    <n v="42983"/>
    <n v="42983"/>
    <s v="BDT"/>
    <s v="EGM1"/>
    <n v="3589080.5"/>
    <s v="CM ADV ADJ REF-424130804207"/>
    <s v="0000001010"/>
    <s v="E45052KH19US0595"/>
    <s v=""/>
    <s v=""/>
    <s v="0"/>
    <s v="424130809612"/>
    <s v=""/>
    <s v=""/>
    <s v=""/>
    <s v=""/>
    <s v=""/>
    <x v="0"/>
    <m/>
    <s v=""/>
    <d v="2019-07-09T00:00:00"/>
    <s v=""/>
    <s v="1909000014"/>
  </r>
  <r>
    <s v="1909000014"/>
    <d v="2019-07-09T00:00:00"/>
    <d v="2019-07-09T00:00:00"/>
    <s v="DZ"/>
    <s v="USD"/>
    <n v="27370"/>
    <n v="27370"/>
    <s v="BDT"/>
    <s v="EGM1"/>
    <n v="2284847.6"/>
    <s v="CM ADV ADJ REF-424130789439"/>
    <s v="0000001010"/>
    <s v="E45052KH19US0595"/>
    <s v=""/>
    <s v=""/>
    <s v="0"/>
    <s v="424130809612"/>
    <s v=""/>
    <s v=""/>
    <s v=""/>
    <s v=""/>
    <s v=""/>
    <x v="0"/>
    <d v="2019-10-31T00:00:00"/>
    <s v="1906000009"/>
    <d v="2019-07-09T00:00:00"/>
    <s v=""/>
    <s v="1909000014"/>
  </r>
  <r>
    <s v="1909000015"/>
    <d v="2019-07-10T00:00:00"/>
    <d v="2019-07-10T00:00:00"/>
    <s v="DZ"/>
    <s v="USD"/>
    <n v="11821.19"/>
    <n v="11821.19"/>
    <s v="BDT"/>
    <s v="EGM2"/>
    <n v="986832.94"/>
    <s v="CM ADV ADJ REF-424130775596"/>
    <s v="0000005010"/>
    <s v="E25017VF19US0348"/>
    <s v=""/>
    <s v=""/>
    <s v="0"/>
    <s v="424130810218"/>
    <s v=""/>
    <s v=""/>
    <s v=""/>
    <s v=""/>
    <s v=""/>
    <x v="0"/>
    <m/>
    <s v=""/>
    <d v="2019-07-10T00:00:00"/>
    <s v=""/>
    <s v="1909000015"/>
  </r>
  <r>
    <s v="1909000015"/>
    <d v="2019-07-10T00:00:00"/>
    <d v="2019-07-10T00:00:00"/>
    <s v="DZ"/>
    <s v="USD"/>
    <n v="164930.54"/>
    <n v="164930.54"/>
    <s v="BDT"/>
    <s v="EGM2"/>
    <n v="13771700.1"/>
    <s v="CM ADV ADJ REF-424130806054"/>
    <s v="0000005010"/>
    <s v="E25017VF19US0348"/>
    <s v=""/>
    <s v=""/>
    <s v="0"/>
    <s v="424130810218"/>
    <s v=""/>
    <s v=""/>
    <s v=""/>
    <s v=""/>
    <s v=""/>
    <x v="0"/>
    <m/>
    <s v=""/>
    <d v="2019-07-10T00:00:00"/>
    <s v=""/>
    <s v="1909000015"/>
  </r>
  <r>
    <s v="1909000015"/>
    <d v="2019-07-10T00:00:00"/>
    <d v="2019-07-10T00:00:00"/>
    <s v="DZ"/>
    <s v="USD"/>
    <n v="40168.61"/>
    <n v="40168.61"/>
    <s v="BDT"/>
    <s v="EGM2"/>
    <n v="3353275.56"/>
    <s v="CM ADV ADJ REF-424130790837"/>
    <s v="0000005010"/>
    <s v="E25017VF19US0348"/>
    <s v=""/>
    <s v=""/>
    <s v="0"/>
    <s v="424130810218"/>
    <s v=""/>
    <s v=""/>
    <s v=""/>
    <s v=""/>
    <s v=""/>
    <x v="0"/>
    <m/>
    <s v=""/>
    <d v="2019-07-10T00:00:00"/>
    <s v=""/>
    <s v="1909000015"/>
  </r>
  <r>
    <s v="1909000016"/>
    <d v="2019-07-10T00:00:00"/>
    <d v="2019-07-10T00:00:00"/>
    <s v="DZ"/>
    <s v="USD"/>
    <n v="12499.49"/>
    <n v="12499.49"/>
    <s v="BDT"/>
    <s v="EGM1"/>
    <n v="1043457.43"/>
    <s v="CM ADV ADJ REF-424130793139"/>
    <s v="0000005010"/>
    <s v="E34994DC19US0654"/>
    <s v=""/>
    <s v=""/>
    <s v="0"/>
    <s v="424130810192"/>
    <s v=""/>
    <s v=""/>
    <s v=""/>
    <s v=""/>
    <s v=""/>
    <x v="0"/>
    <m/>
    <s v=""/>
    <d v="2019-07-10T00:00:00"/>
    <s v=""/>
    <s v="1909000016"/>
  </r>
  <r>
    <s v="1909000017"/>
    <d v="2019-07-10T00:00:00"/>
    <d v="2019-07-10T00:00:00"/>
    <s v="DZ"/>
    <s v="USD"/>
    <n v="4692.71"/>
    <n v="4692.71"/>
    <s v="BDT"/>
    <s v="EGM1"/>
    <n v="391841.29"/>
    <s v="CM ADV ADJ REF-424130806063"/>
    <s v="0000005010"/>
    <s v="E04961AMZUS0629"/>
    <s v=""/>
    <s v=""/>
    <s v="0"/>
    <s v="424130810209"/>
    <s v=""/>
    <s v=""/>
    <s v=""/>
    <s v=""/>
    <s v=""/>
    <x v="0"/>
    <m/>
    <s v=""/>
    <d v="2019-07-10T00:00:00"/>
    <s v=""/>
    <s v="1909000017"/>
  </r>
  <r>
    <s v="1909000017"/>
    <d v="2019-07-10T00:00:00"/>
    <d v="2019-07-10T00:00:00"/>
    <s v="DZ"/>
    <s v="USD"/>
    <n v="12591.29"/>
    <n v="12591.29"/>
    <s v="BDT"/>
    <s v="EGM1"/>
    <n v="1051120.8899999999"/>
    <s v="CM ADV ADJ REF-424130793139"/>
    <s v="0000005010"/>
    <s v="E04961AMZUS0629"/>
    <s v=""/>
    <s v=""/>
    <s v="0"/>
    <s v="424130810209"/>
    <s v=""/>
    <s v=""/>
    <s v=""/>
    <s v=""/>
    <s v=""/>
    <x v="0"/>
    <m/>
    <s v=""/>
    <d v="2019-07-10T00:00:00"/>
    <s v=""/>
    <s v="1909000017"/>
  </r>
  <r>
    <s v="1909000018"/>
    <d v="2019-07-11T00:00:00"/>
    <d v="2019-07-11T00:00:00"/>
    <s v="DZ"/>
    <s v="USD"/>
    <n v="17817.099999999999"/>
    <n v="17817.099999999999"/>
    <s v="BDT"/>
    <s v="EGM1"/>
    <n v="1487371.51"/>
    <s v="CM ADV ADJUST REF-424130793139"/>
    <s v="0000005010"/>
    <s v="E5028TS19CE0576"/>
    <s v=""/>
    <s v=""/>
    <s v="0"/>
    <s v="424130810879"/>
    <s v=""/>
    <s v=""/>
    <s v=""/>
    <s v=""/>
    <s v=""/>
    <x v="0"/>
    <m/>
    <s v=""/>
    <d v="2019-07-11T00:00:00"/>
    <s v=""/>
    <s v="1909000018"/>
  </r>
  <r>
    <s v="1909000018"/>
    <d v="2019-07-11T00:00:00"/>
    <d v="2019-07-11T00:00:00"/>
    <s v="DZ"/>
    <s v="USD"/>
    <n v="17627.009999999998"/>
    <n v="17627.009999999998"/>
    <s v="BDT"/>
    <s v="EGM1"/>
    <n v="1471502.79"/>
    <s v="CM ADV ADJUST REF-424130785754"/>
    <s v="0000005010"/>
    <s v="E5028TS19CE0576"/>
    <s v=""/>
    <s v=""/>
    <s v="0"/>
    <s v="424130810879"/>
    <s v=""/>
    <s v=""/>
    <s v=""/>
    <s v=""/>
    <s v=""/>
    <x v="0"/>
    <m/>
    <s v=""/>
    <d v="2019-07-11T00:00:00"/>
    <s v=""/>
    <s v="1909000018"/>
  </r>
  <r>
    <s v="1909000019"/>
    <d v="2019-07-11T00:00:00"/>
    <d v="2019-07-11T00:00:00"/>
    <s v="DZ"/>
    <s v="USD"/>
    <n v="391553"/>
    <n v="391553"/>
    <s v="BDT"/>
    <s v="EGM1"/>
    <n v="32694675.5"/>
    <s v="CM ADV ADJUST REF-424130804207"/>
    <s v="0000001010"/>
    <s v="E05007US190633,E"/>
    <s v=""/>
    <s v=""/>
    <s v="0"/>
    <s v="424130810888,424130810897"/>
    <s v=""/>
    <s v=""/>
    <s v=""/>
    <s v=""/>
    <s v=""/>
    <x v="0"/>
    <m/>
    <s v=""/>
    <d v="2019-07-11T00:00:00"/>
    <s v=""/>
    <s v="1909000019"/>
  </r>
  <r>
    <s v="1909000019"/>
    <d v="2019-07-11T00:00:00"/>
    <d v="2019-07-11T00:00:00"/>
    <s v="DZ"/>
    <s v="USD"/>
    <n v="7755"/>
    <n v="7755"/>
    <s v="BDT"/>
    <s v="EGM1"/>
    <n v="647387.4"/>
    <s v="CM ADV ADJUST REF-424130789439"/>
    <s v="0000001010"/>
    <s v="E05007US190633,E"/>
    <s v=""/>
    <s v=""/>
    <s v="0"/>
    <s v="424130810888,424130810897"/>
    <s v=""/>
    <s v=""/>
    <s v=""/>
    <s v=""/>
    <s v=""/>
    <x v="0"/>
    <d v="2019-10-31T00:00:00"/>
    <s v="1906000009"/>
    <d v="2019-07-11T00:00:00"/>
    <s v=""/>
    <s v="1909000019"/>
  </r>
  <r>
    <s v="1909000020"/>
    <d v="2019-07-14T00:00:00"/>
    <d v="2019-07-14T00:00:00"/>
    <s v="DZ"/>
    <s v="USD"/>
    <n v="13015"/>
    <n v="13015"/>
    <s v="BDT"/>
    <s v="EGM1"/>
    <n v="1086752.5"/>
    <s v="CM ADV ADJUST REF-424130804207"/>
    <s v="0000001010"/>
    <s v="E05014WM19CA0622"/>
    <s v=""/>
    <s v=""/>
    <s v="0"/>
    <s v="424130811565"/>
    <s v=""/>
    <s v=""/>
    <s v=""/>
    <s v=""/>
    <s v=""/>
    <x v="0"/>
    <m/>
    <s v=""/>
    <d v="2019-07-14T00:00:00"/>
    <s v=""/>
    <s v="1909000020"/>
  </r>
  <r>
    <s v="1909000021"/>
    <d v="2019-07-14T00:00:00"/>
    <d v="2019-07-14T00:00:00"/>
    <s v="DZ"/>
    <s v="USD"/>
    <n v="34480"/>
    <n v="34480"/>
    <s v="BDT"/>
    <s v="EGM1"/>
    <n v="2879080"/>
    <s v="CM ADV ADJUST REF-424130804207"/>
    <s v="0000001010"/>
    <s v="E04975US19-0611"/>
    <s v=""/>
    <s v=""/>
    <s v="0"/>
    <s v="424130811574"/>
    <s v=""/>
    <s v=""/>
    <s v=""/>
    <s v=""/>
    <s v=""/>
    <x v="0"/>
    <m/>
    <s v=""/>
    <d v="2019-07-14T00:00:00"/>
    <s v=""/>
    <s v="1909000021"/>
  </r>
  <r>
    <s v="1909000021"/>
    <d v="2019-07-14T00:00:00"/>
    <d v="2019-07-14T00:00:00"/>
    <s v="DZ"/>
    <s v="USD"/>
    <n v="24204"/>
    <n v="24204"/>
    <s v="BDT"/>
    <s v="EGM1"/>
    <n v="2020549.92"/>
    <s v="CM ADV ADJUST REF-424130789439"/>
    <s v="0000001010"/>
    <s v="E04975US19-0611"/>
    <s v=""/>
    <s v=""/>
    <s v="0"/>
    <s v="424130811574"/>
    <s v=""/>
    <s v=""/>
    <s v=""/>
    <s v=""/>
    <s v=""/>
    <x v="0"/>
    <d v="2019-10-31T00:00:00"/>
    <s v="1906000009"/>
    <d v="2019-07-14T00:00:00"/>
    <s v=""/>
    <s v="1909000021"/>
  </r>
  <r>
    <s v="1909000021"/>
    <d v="2019-07-14T00:00:00"/>
    <d v="2019-07-14T00:00:00"/>
    <s v="DZ"/>
    <s v="USD"/>
    <n v="7033"/>
    <n v="7033"/>
    <s v="BDT"/>
    <s v="EGM1"/>
    <n v="587114.84"/>
    <s v="CM ADV ADJUST REF-424130785148"/>
    <s v="0000001010"/>
    <s v="E04975US19-0611"/>
    <s v=""/>
    <s v=""/>
    <s v="0"/>
    <s v="424130811574"/>
    <s v=""/>
    <s v=""/>
    <s v=""/>
    <s v=""/>
    <s v=""/>
    <x v="0"/>
    <d v="2020-06-30T00:00:00"/>
    <s v="1906000017"/>
    <d v="2019-07-14T00:00:00"/>
    <s v=""/>
    <s v="1909000021"/>
  </r>
  <r>
    <s v="1909000025"/>
    <d v="2019-07-15T00:00:00"/>
    <d v="2019-07-15T00:00:00"/>
    <s v="DZ"/>
    <s v="USD"/>
    <n v="59920.53"/>
    <n v="59920.53"/>
    <s v="BDT"/>
    <s v="EGM1"/>
    <n v="5003364.26"/>
    <s v="CM ADV ADJUST REF-424130806063"/>
    <s v="0000005010"/>
    <s v="E34926TC19US0605"/>
    <s v=""/>
    <s v=""/>
    <s v="0"/>
    <s v="424130812403"/>
    <s v=""/>
    <s v=""/>
    <s v=""/>
    <s v=""/>
    <s v=""/>
    <x v="0"/>
    <m/>
    <s v=""/>
    <d v="2019-07-15T00:00:00"/>
    <s v=""/>
    <s v="1909000025"/>
  </r>
  <r>
    <s v="1909000025"/>
    <d v="2019-07-15T00:00:00"/>
    <d v="2019-07-15T00:00:00"/>
    <s v="DZ"/>
    <s v="USD"/>
    <n v="25308.7"/>
    <n v="25308.7"/>
    <s v="BDT"/>
    <s v="EGM1"/>
    <n v="2112770.2799999998"/>
    <s v="CM ADV ADJUST REF-424130793139"/>
    <s v="0000005010"/>
    <s v="E34926TC19US0605"/>
    <s v=""/>
    <s v=""/>
    <s v="0"/>
    <s v="424130812403"/>
    <s v=""/>
    <s v=""/>
    <s v=""/>
    <s v=""/>
    <s v=""/>
    <x v="0"/>
    <m/>
    <s v=""/>
    <d v="2019-07-15T00:00:00"/>
    <s v=""/>
    <s v="1909000025"/>
  </r>
  <r>
    <s v="1909000025"/>
    <d v="2019-07-15T00:00:00"/>
    <d v="2019-07-15T00:00:00"/>
    <s v="DZ"/>
    <s v="USD"/>
    <n v="7337.04"/>
    <n v="7337.04"/>
    <s v="BDT"/>
    <s v="EGM1"/>
    <n v="612496.1"/>
    <s v="CM ADV ADJUST REF-424130775578"/>
    <s v="0000005010"/>
    <s v="E34926TC19US0605"/>
    <s v=""/>
    <s v=""/>
    <s v="0"/>
    <s v="424130812403"/>
    <s v=""/>
    <s v=""/>
    <s v=""/>
    <s v=""/>
    <s v=""/>
    <x v="0"/>
    <m/>
    <s v=""/>
    <d v="2019-07-15T00:00:00"/>
    <s v=""/>
    <s v="1909000025"/>
  </r>
  <r>
    <s v="1909000026"/>
    <d v="2019-07-15T00:00:00"/>
    <d v="2019-07-15T00:00:00"/>
    <s v="DZ"/>
    <s v="USD"/>
    <n v="11843.95"/>
    <n v="11843.95"/>
    <s v="BDT"/>
    <s v="EGM2"/>
    <n v="988969.83"/>
    <s v="CM ADV ADJUST REF-424130806054"/>
    <s v="0000005010"/>
    <s v="E25061AC19JF0366"/>
    <s v=""/>
    <s v=""/>
    <s v="0"/>
    <s v="424130812699"/>
    <s v=""/>
    <s v=""/>
    <s v=""/>
    <s v=""/>
    <s v=""/>
    <x v="0"/>
    <m/>
    <s v=""/>
    <d v="2019-07-15T00:00:00"/>
    <s v=""/>
    <s v="1909000026"/>
  </r>
  <r>
    <s v="1909000027"/>
    <d v="2019-07-16T00:00:00"/>
    <d v="2019-07-16T00:00:00"/>
    <s v="DZ"/>
    <s v="USD"/>
    <n v="3882.94"/>
    <n v="3882.94"/>
    <s v="BDT"/>
    <s v="EGM1"/>
    <n v="324225.49"/>
    <s v="CM ADV ADJUST REF-424130806063"/>
    <s v="0000005010"/>
    <s v="E34904TC19CA0607"/>
    <s v=""/>
    <s v=""/>
    <s v="0"/>
    <s v="424130812742"/>
    <s v=""/>
    <s v=""/>
    <s v=""/>
    <s v=""/>
    <s v=""/>
    <x v="0"/>
    <m/>
    <s v=""/>
    <d v="2019-07-16T00:00:00"/>
    <s v=""/>
    <s v="1909000027"/>
  </r>
  <r>
    <s v="1909000027"/>
    <d v="2019-07-16T00:00:00"/>
    <d v="2019-07-16T00:00:00"/>
    <s v="DZ"/>
    <s v="USD"/>
    <n v="2335.7399999999998"/>
    <n v="2335.7399999999998"/>
    <s v="BDT"/>
    <s v="EGM1"/>
    <n v="194987.58"/>
    <s v="CM ADV ADJUST REF-424130793139"/>
    <s v="0000005010"/>
    <s v="E34904TC19CA0607"/>
    <s v=""/>
    <s v=""/>
    <s v="0"/>
    <s v="424130812742"/>
    <s v=""/>
    <s v=""/>
    <s v=""/>
    <s v=""/>
    <s v=""/>
    <x v="0"/>
    <m/>
    <s v=""/>
    <d v="2019-07-16T00:00:00"/>
    <s v=""/>
    <s v="1909000027"/>
  </r>
  <r>
    <s v="1909000027"/>
    <d v="2019-07-16T00:00:00"/>
    <d v="2019-07-16T00:00:00"/>
    <s v="DZ"/>
    <s v="USD"/>
    <n v="3695.77"/>
    <n v="3695.77"/>
    <s v="BDT"/>
    <s v="EGM1"/>
    <n v="308522.88"/>
    <s v="CM ADV ADJUST REF-424130775578"/>
    <s v="0000005010"/>
    <s v="E34904TC19CA0607"/>
    <s v=""/>
    <s v=""/>
    <s v="0"/>
    <s v="424130812742"/>
    <s v=""/>
    <s v=""/>
    <s v=""/>
    <s v=""/>
    <s v=""/>
    <x v="0"/>
    <m/>
    <s v=""/>
    <d v="2019-07-16T00:00:00"/>
    <s v=""/>
    <s v="1909000027"/>
  </r>
  <r>
    <s v="1909000028"/>
    <d v="2019-07-16T00:00:00"/>
    <d v="2019-07-16T00:00:00"/>
    <s v="DZ"/>
    <s v="USD"/>
    <n v="19990.080000000002"/>
    <n v="19990.080000000002"/>
    <s v="BDT"/>
    <s v="EGM1"/>
    <n v="1669171.68"/>
    <s v="CM ADV ADJUST REF-424130806063"/>
    <s v="0000005010"/>
    <s v="E5028TS19CE0636"/>
    <s v=""/>
    <s v=""/>
    <s v="0"/>
    <s v="424130812733"/>
    <s v=""/>
    <s v=""/>
    <s v=""/>
    <s v=""/>
    <s v=""/>
    <x v="0"/>
    <m/>
    <s v=""/>
    <d v="2019-07-16T00:00:00"/>
    <s v=""/>
    <s v="1909000028"/>
  </r>
  <r>
    <s v="1909000028"/>
    <d v="2019-07-16T00:00:00"/>
    <d v="2019-07-16T00:00:00"/>
    <s v="DZ"/>
    <s v="USD"/>
    <n v="8133.46"/>
    <n v="8133.46"/>
    <s v="BDT"/>
    <s v="EGM1"/>
    <n v="678981.24"/>
    <s v="CM ADV ADJ-424130793139"/>
    <s v="0000005010"/>
    <s v="E5028TS19CE0636"/>
    <s v=""/>
    <s v=""/>
    <s v="0"/>
    <s v="424130812733"/>
    <s v=""/>
    <s v=""/>
    <s v=""/>
    <s v=""/>
    <s v=""/>
    <x v="0"/>
    <m/>
    <s v=""/>
    <d v="2019-07-16T00:00:00"/>
    <s v=""/>
    <s v="1909000028"/>
  </r>
  <r>
    <s v="1909000028"/>
    <d v="2019-07-16T00:00:00"/>
    <d v="2019-07-16T00:00:00"/>
    <s v="DZ"/>
    <s v="USD"/>
    <n v="4674.3999999999996"/>
    <n v="4674.3999999999996"/>
    <s v="BDT"/>
    <s v="EGM1"/>
    <n v="390218.91"/>
    <s v="CM ADV ADJUST REF-424130785754"/>
    <s v="0000005010"/>
    <s v="E5028TS19CE0636"/>
    <s v=""/>
    <s v=""/>
    <s v="0"/>
    <s v="424130812733"/>
    <s v=""/>
    <s v=""/>
    <s v=""/>
    <s v=""/>
    <s v=""/>
    <x v="0"/>
    <m/>
    <s v=""/>
    <d v="2019-07-16T00:00:00"/>
    <s v=""/>
    <s v="1909000028"/>
  </r>
  <r>
    <s v="1909000031"/>
    <d v="2019-07-16T00:00:00"/>
    <d v="2019-07-16T00:00:00"/>
    <s v="DZ"/>
    <s v="USD"/>
    <n v="146939"/>
    <n v="146939"/>
    <s v="BDT"/>
    <s v="EGM1"/>
    <n v="12269406.5"/>
    <s v="CM ADV ADJUST REF-424130804207"/>
    <s v="0000001010"/>
    <s v="E05068US19-634"/>
    <s v=""/>
    <s v=""/>
    <s v="0"/>
    <s v="424130812715"/>
    <s v=""/>
    <s v=""/>
    <s v=""/>
    <s v=""/>
    <s v=""/>
    <x v="0"/>
    <m/>
    <s v=""/>
    <d v="2019-07-16T00:00:00"/>
    <s v=""/>
    <s v="1909000031"/>
  </r>
  <r>
    <s v="1909000031"/>
    <d v="2019-07-16T00:00:00"/>
    <d v="2019-07-16T00:00:00"/>
    <s v="DZ"/>
    <s v="USD"/>
    <n v="24455"/>
    <n v="24455"/>
    <s v="BDT"/>
    <s v="EGM1"/>
    <n v="2041503.4"/>
    <s v="CM ADV ADJUST REF-424130775569"/>
    <s v="0000001010"/>
    <s v="E05068US19-634"/>
    <s v=""/>
    <s v=""/>
    <s v="0"/>
    <s v="424130812715"/>
    <s v=""/>
    <s v=""/>
    <s v=""/>
    <s v=""/>
    <s v=""/>
    <x v="0"/>
    <d v="2019-10-31T00:00:00"/>
    <s v="1906000008"/>
    <d v="2019-07-16T00:00:00"/>
    <s v=""/>
    <s v="1909000031"/>
  </r>
  <r>
    <s v="1909000031"/>
    <d v="2019-07-16T00:00:00"/>
    <d v="2019-07-16T00:00:00"/>
    <s v="DZ"/>
    <s v="USD"/>
    <n v="3684"/>
    <n v="3684"/>
    <s v="BDT"/>
    <s v="EGM1"/>
    <n v="307540.32"/>
    <s v="CM ADV ADJUST REF-424130789439"/>
    <s v="0000001010"/>
    <s v="E05068US19-634"/>
    <s v=""/>
    <s v=""/>
    <s v="0"/>
    <s v="424130812715"/>
    <s v=""/>
    <s v=""/>
    <s v=""/>
    <s v=""/>
    <s v=""/>
    <x v="0"/>
    <d v="2019-10-31T00:00:00"/>
    <s v="1906000009"/>
    <d v="2019-07-16T00:00:00"/>
    <s v=""/>
    <s v="1909000031"/>
  </r>
  <r>
    <s v="1909000031"/>
    <d v="2019-07-16T00:00:00"/>
    <d v="2019-07-16T00:00:00"/>
    <s v="DZ"/>
    <s v="USD"/>
    <n v="7000"/>
    <n v="7000"/>
    <s v="BDT"/>
    <s v="EGM1"/>
    <n v="584360"/>
    <s v="CM ADV ADJUST REF-424130785148"/>
    <s v="0000001010"/>
    <s v="E05068US19-634"/>
    <s v=""/>
    <s v=""/>
    <s v="0"/>
    <s v="424130812715"/>
    <s v=""/>
    <s v=""/>
    <s v=""/>
    <s v=""/>
    <s v=""/>
    <x v="0"/>
    <d v="2020-06-30T00:00:00"/>
    <s v="1906000017"/>
    <d v="2019-07-16T00:00:00"/>
    <s v=""/>
    <s v="1909000031"/>
  </r>
  <r>
    <s v="1909000032"/>
    <d v="2019-07-17T00:00:00"/>
    <d v="2019-07-17T00:00:00"/>
    <s v="DZ"/>
    <s v="USD"/>
    <n v="1331"/>
    <n v="1331"/>
    <s v="BDT"/>
    <s v="EGM1"/>
    <n v="111138.5"/>
    <s v="CM ADV ADJUST REF-424130804207"/>
    <s v="0000001010"/>
    <s v="E35063BM19UK0676"/>
    <s v=""/>
    <s v=""/>
    <s v="0"/>
    <s v="424130813484"/>
    <s v=""/>
    <s v=""/>
    <s v=""/>
    <s v=""/>
    <s v=""/>
    <x v="0"/>
    <m/>
    <s v=""/>
    <d v="2019-07-17T00:00:00"/>
    <s v=""/>
    <s v="1909000032"/>
  </r>
  <r>
    <s v="1909000033"/>
    <d v="2019-07-17T00:00:00"/>
    <d v="2019-07-17T00:00:00"/>
    <s v="DZ"/>
    <s v="USD"/>
    <n v="29002.87"/>
    <n v="29002.87"/>
    <s v="BDT"/>
    <s v="EGM2"/>
    <n v="2415939.0699999998"/>
    <s v="CM ADV ADJUST REF-424130762902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3"/>
    <d v="2019-07-17T00:00:00"/>
    <d v="2019-07-17T00:00:00"/>
    <s v="DZ"/>
    <s v="USD"/>
    <n v="1126.58"/>
    <n v="1126.58"/>
    <s v="BDT"/>
    <s v="EGM2"/>
    <n v="94046.9"/>
    <s v="CM ADV ADJUST REF-424130775596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3"/>
    <d v="2019-07-17T00:00:00"/>
    <d v="2019-07-17T00:00:00"/>
    <s v="DZ"/>
    <s v="USD"/>
    <n v="2556.4699999999998"/>
    <n v="2556.4699999999998"/>
    <s v="BDT"/>
    <s v="EGM2"/>
    <n v="213465.25"/>
    <s v="CM ADV ADJUST REF-424130806054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3"/>
    <d v="2019-07-17T00:00:00"/>
    <d v="2019-07-17T00:00:00"/>
    <s v="DZ"/>
    <s v="USD"/>
    <n v="407.54"/>
    <n v="407.54"/>
    <s v="BDT"/>
    <s v="EGM2"/>
    <n v="34021.440000000002"/>
    <s v="CM ADV ADJUST REF-424130790837"/>
    <s v="0000005010"/>
    <s v="E25018VF19US0344"/>
    <s v=""/>
    <s v=""/>
    <s v="0"/>
    <s v="424130813509"/>
    <s v=""/>
    <s v=""/>
    <s v=""/>
    <s v=""/>
    <s v=""/>
    <x v="0"/>
    <m/>
    <s v=""/>
    <d v="2019-07-17T00:00:00"/>
    <s v=""/>
    <s v="1909000033"/>
  </r>
  <r>
    <s v="1909000036"/>
    <d v="2019-07-21T00:00:00"/>
    <d v="2019-07-21T00:00:00"/>
    <s v="DZ"/>
    <s v="USD"/>
    <n v="-33269"/>
    <n v="-33269"/>
    <s v="BDT"/>
    <s v="EGM2"/>
    <n v="-2777961.51"/>
    <s v="CM ADV REC-424130814875"/>
    <s v="0000001010"/>
    <s v="IT06591907200031"/>
    <s v=""/>
    <s v=""/>
    <s v="0"/>
    <s v="424130814875"/>
    <s v=""/>
    <s v=""/>
    <s v=""/>
    <s v=""/>
    <s v=""/>
    <x v="0"/>
    <d v="2019-07-31T00:00:00"/>
    <s v="1906000007"/>
    <d v="2019-07-21T00:00:00"/>
    <s v=""/>
    <s v="1909000036"/>
  </r>
  <r>
    <s v="1909000037"/>
    <d v="2019-07-21T00:00:00"/>
    <d v="2019-07-21T00:00:00"/>
    <s v="DZ"/>
    <s v="USD"/>
    <n v="-1004322"/>
    <n v="-1004322"/>
    <s v="BDT"/>
    <s v="EGM1"/>
    <n v="-83860887.010000005"/>
    <s v="CM ADV REC-424130814884"/>
    <s v="0000001010"/>
    <s v="IT06591907200034"/>
    <s v=""/>
    <s v=""/>
    <s v="0"/>
    <s v="424130814884"/>
    <s v=""/>
    <s v=""/>
    <s v=""/>
    <s v=""/>
    <s v=""/>
    <x v="0"/>
    <d v="2020-06-30T00:00:00"/>
    <s v="1906000017"/>
    <d v="2019-07-21T00:00:00"/>
    <s v=""/>
    <s v="1909000037"/>
  </r>
  <r>
    <s v="1909000039"/>
    <d v="2019-07-21T00:00:00"/>
    <d v="2019-07-21T00:00:00"/>
    <s v="DZ"/>
    <s v="USD"/>
    <n v="93637"/>
    <n v="93637"/>
    <s v="BDT"/>
    <s v="EGM1"/>
    <n v="7818689.5"/>
    <s v="CM ADV ADJ-424130804207"/>
    <s v="0000001010"/>
    <s v="E05068US19-0635"/>
    <s v=""/>
    <s v=""/>
    <s v="0"/>
    <s v="424130814900"/>
    <s v=""/>
    <s v=""/>
    <s v=""/>
    <s v=""/>
    <s v=""/>
    <x v="0"/>
    <m/>
    <s v=""/>
    <d v="2019-07-21T00:00:00"/>
    <s v=""/>
    <s v="1909000039"/>
  </r>
  <r>
    <s v="1909000039"/>
    <d v="2019-07-21T00:00:00"/>
    <d v="2019-07-21T00:00:00"/>
    <s v="DZ"/>
    <s v="USD"/>
    <n v="6379"/>
    <n v="6379"/>
    <s v="BDT"/>
    <s v="EGM1"/>
    <n v="532518.92000000004"/>
    <s v="CM ADV ADJ-424130789439"/>
    <s v="0000001010"/>
    <s v="E05068US19-0635"/>
    <s v=""/>
    <s v=""/>
    <s v="0"/>
    <s v="424130814900"/>
    <s v=""/>
    <s v=""/>
    <s v=""/>
    <s v=""/>
    <s v=""/>
    <x v="0"/>
    <d v="2019-10-31T00:00:00"/>
    <s v="1906000009"/>
    <d v="2019-07-21T00:00:00"/>
    <s v=""/>
    <s v="1909000039"/>
  </r>
  <r>
    <s v="1909000039"/>
    <d v="2019-07-21T00:00:00"/>
    <d v="2019-07-21T00:00:00"/>
    <s v="DZ"/>
    <s v="USD"/>
    <n v="18364"/>
    <n v="18364"/>
    <s v="BDT"/>
    <s v="EGM1"/>
    <n v="1533026.72"/>
    <s v="CM ADV ADJ-424130785148"/>
    <s v="0000001010"/>
    <s v="E05068US19-0635"/>
    <s v=""/>
    <s v=""/>
    <s v="0"/>
    <s v="424130814900"/>
    <s v=""/>
    <s v=""/>
    <s v=""/>
    <s v=""/>
    <s v=""/>
    <x v="0"/>
    <d v="2020-06-30T00:00:00"/>
    <s v="1906000017"/>
    <d v="2019-07-21T00:00:00"/>
    <s v=""/>
    <s v="1909000039"/>
  </r>
  <r>
    <s v="1909000040"/>
    <d v="2019-07-21T00:00:00"/>
    <d v="2019-07-21T00:00:00"/>
    <s v="DZ"/>
    <s v="USD"/>
    <n v="25567"/>
    <n v="25567"/>
    <s v="BDT"/>
    <s v="EGM1"/>
    <n v="2134844.5"/>
    <s v="CM ADV ADJ-424130804207"/>
    <s v="0000001010"/>
    <s v="E15106DM19US0653"/>
    <s v=""/>
    <s v=""/>
    <s v="0"/>
    <s v="424130814919"/>
    <s v=""/>
    <s v=""/>
    <s v=""/>
    <s v=""/>
    <s v=""/>
    <x v="0"/>
    <m/>
    <s v=""/>
    <d v="2019-07-21T00:00:00"/>
    <s v=""/>
    <s v="1909000040"/>
  </r>
  <r>
    <s v="1909000041"/>
    <d v="2019-07-21T00:00:00"/>
    <d v="2019-07-21T00:00:00"/>
    <s v="DZ"/>
    <s v="USD"/>
    <n v="88361"/>
    <n v="88361"/>
    <s v="BDT"/>
    <s v="EGM1"/>
    <n v="7378143.5"/>
    <s v="CM ADV ADJ-424130804207"/>
    <s v="0000001010"/>
    <s v="E05151US19-0648"/>
    <s v=""/>
    <s v=""/>
    <s v="0"/>
    <s v="424130814893"/>
    <s v=""/>
    <s v=""/>
    <s v=""/>
    <s v=""/>
    <s v=""/>
    <x v="0"/>
    <m/>
    <s v=""/>
    <d v="2019-07-21T00:00:00"/>
    <s v=""/>
    <s v="1909000041"/>
  </r>
  <r>
    <s v="1909000042"/>
    <d v="2019-07-21T00:00:00"/>
    <d v="2019-07-21T00:00:00"/>
    <s v="DZ"/>
    <s v="USD"/>
    <n v="15454.86"/>
    <n v="15454.86"/>
    <s v="BDT"/>
    <s v="EGM1"/>
    <n v="1290480.81"/>
    <s v="CM ADV ADJ-424130806063"/>
    <s v="0000005010"/>
    <s v="E5028TS19CE0658"/>
    <s v=""/>
    <s v=""/>
    <s v="0"/>
    <s v="424130814937"/>
    <s v=""/>
    <s v=""/>
    <s v=""/>
    <s v=""/>
    <s v=""/>
    <x v="0"/>
    <m/>
    <s v=""/>
    <d v="2019-07-21T00:00:00"/>
    <s v=""/>
    <s v="1909000042"/>
  </r>
  <r>
    <s v="1909000043"/>
    <d v="2019-07-22T00:00:00"/>
    <d v="2019-07-22T00:00:00"/>
    <s v="DZ"/>
    <s v="USD"/>
    <n v="-183682.06"/>
    <n v="-183682.06"/>
    <s v="BDT"/>
    <s v="EGM2"/>
    <n v="-15337452.02"/>
    <s v="CM ADV REC-424130815767"/>
    <s v="0000005010"/>
    <s v="IT06591907220055"/>
    <s v=""/>
    <s v=""/>
    <s v="0"/>
    <s v="424130815767"/>
    <s v=""/>
    <s v=""/>
    <s v=""/>
    <s v=""/>
    <s v=""/>
    <x v="0"/>
    <m/>
    <s v=""/>
    <d v="2019-07-22T00:00:00"/>
    <s v=""/>
    <s v="1909000043"/>
  </r>
  <r>
    <s v="1909000044"/>
    <d v="2019-07-22T00:00:00"/>
    <d v="2019-07-22T00:00:00"/>
    <s v="DZ"/>
    <s v="USD"/>
    <n v="22134"/>
    <n v="22134"/>
    <s v="BDT"/>
    <s v="EGM1"/>
    <n v="1848189"/>
    <s v="CM ADV ADJ-424130804207"/>
    <s v="0000001010"/>
    <s v="E55089KH19US0598"/>
    <s v=""/>
    <s v=""/>
    <s v="0"/>
    <s v="424130815749"/>
    <s v=""/>
    <s v=""/>
    <s v=""/>
    <s v=""/>
    <s v=""/>
    <x v="0"/>
    <m/>
    <s v=""/>
    <d v="2019-07-22T00:00:00"/>
    <s v=""/>
    <s v="1909000044"/>
  </r>
  <r>
    <s v="1909000045"/>
    <d v="2019-07-22T00:00:00"/>
    <d v="2019-07-22T00:00:00"/>
    <s v="DZ"/>
    <s v="USD"/>
    <n v="13883"/>
    <n v="13883"/>
    <s v="BDT"/>
    <s v="EGM1"/>
    <n v="1159230.5"/>
    <s v="CM ADV ADJ-424130806063"/>
    <s v="0000005010"/>
    <s v="E5028TS19UK0657"/>
    <s v=""/>
    <s v=""/>
    <s v="0"/>
    <s v="424130815730"/>
    <s v=""/>
    <s v=""/>
    <s v=""/>
    <s v=""/>
    <s v=""/>
    <x v="0"/>
    <m/>
    <s v=""/>
    <d v="2019-07-22T00:00:00"/>
    <s v=""/>
    <s v="1909000045"/>
  </r>
  <r>
    <s v="1909000045"/>
    <d v="2019-07-22T00:00:00"/>
    <d v="2019-07-22T00:00:00"/>
    <s v="DZ"/>
    <s v="USD"/>
    <n v="2184.13"/>
    <n v="2184.13"/>
    <s v="BDT"/>
    <s v="EGM1"/>
    <n v="182331.17"/>
    <s v="CM ADV ADJ-424130793139"/>
    <s v="0000005010"/>
    <s v="E5028TS19UK0657"/>
    <s v=""/>
    <s v=""/>
    <s v="0"/>
    <s v="424130815730"/>
    <s v=""/>
    <s v=""/>
    <s v=""/>
    <s v=""/>
    <s v=""/>
    <x v="0"/>
    <m/>
    <s v=""/>
    <d v="2019-07-22T00:00:00"/>
    <s v=""/>
    <s v="1909000045"/>
  </r>
  <r>
    <s v="1909000046"/>
    <d v="2019-07-24T00:00:00"/>
    <d v="2019-07-24T00:00:00"/>
    <s v="DZ"/>
    <s v="USD"/>
    <n v="11529"/>
    <n v="11529"/>
    <s v="BDT"/>
    <s v="EGM1"/>
    <n v="962671.5"/>
    <s v="CM ADV ADJ-424130804207"/>
    <s v="0000001010"/>
    <s v="E55127KH19US0603"/>
    <s v=""/>
    <s v=""/>
    <s v="0"/>
    <s v="424130816588"/>
    <s v=""/>
    <s v=""/>
    <s v=""/>
    <s v=""/>
    <s v=""/>
    <x v="0"/>
    <m/>
    <s v=""/>
    <d v="2019-07-24T00:00:00"/>
    <s v=""/>
    <s v="1909000046"/>
  </r>
  <r>
    <s v="1909000047"/>
    <d v="2019-07-24T00:00:00"/>
    <d v="2019-07-24T00:00:00"/>
    <s v="DZ"/>
    <s v="USD"/>
    <n v="5213.72"/>
    <n v="5213.72"/>
    <s v="BDT"/>
    <s v="EGM1"/>
    <n v="435345.62"/>
    <s v="CM ADV ADJ-424130806063"/>
    <s v="0000005010"/>
    <s v="E5028TS19CE0681"/>
    <s v=""/>
    <s v=""/>
    <s v="0"/>
    <s v="424130817202"/>
    <s v=""/>
    <s v=""/>
    <s v=""/>
    <s v=""/>
    <s v=""/>
    <x v="0"/>
    <m/>
    <s v=""/>
    <d v="2019-07-24T00:00:00"/>
    <s v=""/>
    <s v="1909000047"/>
  </r>
  <r>
    <s v="1909000047"/>
    <d v="2019-07-24T00:00:00"/>
    <d v="2019-07-24T00:00:00"/>
    <s v="DZ"/>
    <s v="USD"/>
    <n v="4030.42"/>
    <n v="4030.42"/>
    <s v="BDT"/>
    <s v="EGM1"/>
    <n v="336459.46"/>
    <s v="CM ADV ADJ-424130793139"/>
    <s v="0000005010"/>
    <s v="E5028TS19CE0681"/>
    <s v=""/>
    <s v=""/>
    <s v="0"/>
    <s v="424130817202"/>
    <s v=""/>
    <s v=""/>
    <s v=""/>
    <s v=""/>
    <s v=""/>
    <x v="0"/>
    <m/>
    <s v=""/>
    <d v="2019-07-24T00:00:00"/>
    <s v=""/>
    <s v="1909000047"/>
  </r>
  <r>
    <s v="1909000050"/>
    <d v="2019-07-24T00:00:00"/>
    <d v="2019-07-24T00:00:00"/>
    <s v="DZ"/>
    <s v="USD"/>
    <n v="3829.45"/>
    <n v="3829.45"/>
    <s v="BDT"/>
    <s v="EGM1"/>
    <n v="319759.08"/>
    <s v="CM ADV ADJ-424130806063"/>
    <s v="0000005010"/>
    <s v="E45044DN19IR0589"/>
    <s v=""/>
    <s v=""/>
    <s v="0"/>
    <s v="424130817211"/>
    <s v=""/>
    <s v=""/>
    <s v=""/>
    <s v=""/>
    <s v=""/>
    <x v="0"/>
    <m/>
    <s v=""/>
    <d v="2019-07-24T00:00:00"/>
    <s v=""/>
    <s v="1909000050"/>
  </r>
  <r>
    <s v="1909000052"/>
    <d v="2019-07-24T00:00:00"/>
    <d v="2019-07-24T00:00:00"/>
    <s v="DZ"/>
    <s v="USD"/>
    <n v="11721.51"/>
    <n v="11721.51"/>
    <s v="BDT"/>
    <s v="EGM1"/>
    <n v="978746.09"/>
    <s v="CM ADV ADJ-424130806063"/>
    <s v="0000005010"/>
    <s v="E35262TC19CA0687"/>
    <s v=""/>
    <s v=""/>
    <s v="0"/>
    <s v="424130816597"/>
    <s v=""/>
    <s v=""/>
    <s v=""/>
    <s v=""/>
    <s v=""/>
    <x v="0"/>
    <m/>
    <s v=""/>
    <d v="2019-07-24T00:00:00"/>
    <s v=""/>
    <s v="1909000052"/>
  </r>
  <r>
    <s v="1909000053"/>
    <d v="2019-07-25T00:00:00"/>
    <d v="2019-07-25T00:00:00"/>
    <s v="DZ"/>
    <s v="USD"/>
    <n v="5604"/>
    <n v="5604"/>
    <s v="BDT"/>
    <s v="EGM2"/>
    <n v="467821.92"/>
    <s v="CM ADV ADJ-424130775587"/>
    <s v="0000001010"/>
    <s v="E04989US19-0374"/>
    <s v=""/>
    <s v=""/>
    <s v="0"/>
    <s v="424130817827"/>
    <s v=""/>
    <s v=""/>
    <s v=""/>
    <s v=""/>
    <s v=""/>
    <x v="0"/>
    <d v="2019-10-31T00:00:00"/>
    <s v="1906000010"/>
    <d v="2019-07-25T00:00:00"/>
    <s v=""/>
    <s v="1909000053"/>
  </r>
  <r>
    <s v="1909000053"/>
    <d v="2019-07-25T00:00:00"/>
    <d v="2019-07-25T00:00:00"/>
    <s v="DZ"/>
    <s v="USD"/>
    <n v="9769"/>
    <n v="9769"/>
    <s v="BDT"/>
    <s v="EGM2"/>
    <n v="815516.12"/>
    <s v="CM ADV ADJ-424130789448"/>
    <s v="0000001010"/>
    <s v="E04989US19-0374"/>
    <s v=""/>
    <s v=""/>
    <s v="0"/>
    <s v="424130817827"/>
    <s v=""/>
    <s v=""/>
    <s v=""/>
    <s v=""/>
    <s v=""/>
    <x v="0"/>
    <d v="2019-07-31T00:00:00"/>
    <s v="1906000006"/>
    <d v="2019-07-25T00:00:00"/>
    <s v=""/>
    <s v="1909000053"/>
  </r>
  <r>
    <s v="1909000053"/>
    <d v="2019-07-25T00:00:00"/>
    <d v="2019-07-25T00:00:00"/>
    <s v="DZ"/>
    <s v="USD"/>
    <n v="26610"/>
    <n v="26610"/>
    <s v="BDT"/>
    <s v="EGM2"/>
    <n v="2221935.0099999998"/>
    <s v="CM ADV ADJ-424130814875"/>
    <s v="0000001010"/>
    <s v="E04989US19-0374"/>
    <s v=""/>
    <s v=""/>
    <s v="0"/>
    <s v="424130817827"/>
    <s v=""/>
    <s v=""/>
    <s v=""/>
    <s v=""/>
    <s v=""/>
    <x v="0"/>
    <d v="2019-07-31T00:00:00"/>
    <s v="1906000007"/>
    <d v="2019-07-25T00:00:00"/>
    <s v=""/>
    <s v="1909000053"/>
  </r>
  <r>
    <s v="1909000054"/>
    <d v="2019-07-25T00:00:00"/>
    <d v="2019-07-25T00:00:00"/>
    <s v="DZ"/>
    <s v="USD"/>
    <n v="304121"/>
    <n v="304121"/>
    <s v="BDT"/>
    <s v="EGM1"/>
    <n v="25394103.5"/>
    <s v="CM ADV ADJ-424130804207"/>
    <s v="0000001010"/>
    <s v="E05141US19-0669"/>
    <s v=""/>
    <s v=""/>
    <s v="0"/>
    <s v="424130817818"/>
    <s v=""/>
    <s v=""/>
    <s v=""/>
    <s v=""/>
    <s v=""/>
    <x v="0"/>
    <m/>
    <s v=""/>
    <d v="2019-07-25T00:00:00"/>
    <s v=""/>
    <s v="1909000054"/>
  </r>
  <r>
    <s v="1909000055"/>
    <d v="2019-07-28T00:00:00"/>
    <d v="2019-07-28T00:00:00"/>
    <s v="DZ"/>
    <s v="USD"/>
    <n v="1844"/>
    <n v="1844"/>
    <s v="BDT"/>
    <s v="EGM1"/>
    <n v="153974"/>
    <s v="CM Adv ADJ REF-424130804207"/>
    <s v="0000001010"/>
    <s v="E45189SB19UK0714"/>
    <s v=""/>
    <s v=""/>
    <s v="0"/>
    <s v="424130818425"/>
    <s v=""/>
    <s v=""/>
    <s v=""/>
    <s v=""/>
    <s v=""/>
    <x v="0"/>
    <m/>
    <s v=""/>
    <d v="2019-07-28T00:00:00"/>
    <s v=""/>
    <s v="1909000055"/>
  </r>
  <r>
    <s v="1909000056"/>
    <d v="2019-07-28T00:00:00"/>
    <d v="2019-07-28T00:00:00"/>
    <s v="DZ"/>
    <s v="USD"/>
    <n v="44967.54"/>
    <n v="44967.54"/>
    <s v="BDT"/>
    <s v="EGM2"/>
    <n v="3753890.24"/>
    <s v="CM Adv ADJ REF-424130775596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6"/>
    <d v="2019-07-28T00:00:00"/>
    <d v="2019-07-28T00:00:00"/>
    <s v="DZ"/>
    <s v="USD"/>
    <n v="25431.91"/>
    <n v="25431.91"/>
    <s v="BDT"/>
    <s v="EGM2"/>
    <n v="2123564.4900000002"/>
    <s v="CM Adv ADJ REF-424130806054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6"/>
    <d v="2019-07-28T00:00:00"/>
    <d v="2019-07-28T00:00:00"/>
    <s v="DZ"/>
    <s v="USD"/>
    <n v="582.6"/>
    <n v="582.6"/>
    <s v="BDT"/>
    <s v="EGM2"/>
    <n v="48635.45"/>
    <s v="CM Adv ADJ REF-42413079083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6"/>
    <d v="2019-07-28T00:00:00"/>
    <d v="2019-07-28T00:00:00"/>
    <s v="DZ"/>
    <s v="USD"/>
    <n v="11093.3"/>
    <n v="11093.3"/>
    <s v="BDT"/>
    <s v="EGM2"/>
    <n v="926290.55"/>
    <s v="CM Adv ADJ REF-424130815767"/>
    <s v="0000005010"/>
    <s v="E25019VF19US0370"/>
    <s v=""/>
    <s v=""/>
    <s v="0"/>
    <s v="424130818407"/>
    <s v=""/>
    <s v=""/>
    <s v=""/>
    <s v=""/>
    <s v=""/>
    <x v="0"/>
    <d v="2019-07-28T00:00:00"/>
    <s v="1903000240"/>
    <d v="2019-07-28T00:00:00"/>
    <s v=""/>
    <s v="1909000056"/>
  </r>
  <r>
    <s v="1909000057"/>
    <d v="2019-07-28T00:00:00"/>
    <d v="2019-07-28T00:00:00"/>
    <s v="DZ"/>
    <s v="USD"/>
    <n v="5209"/>
    <n v="5209"/>
    <s v="BDT"/>
    <s v="EGM2"/>
    <n v="434951.5"/>
    <s v="CM Adv ADJ REF-424130814875"/>
    <s v="0000001010"/>
    <s v="05143190379CL"/>
    <s v=""/>
    <s v=""/>
    <s v="0"/>
    <s v="424130818416"/>
    <s v=""/>
    <s v=""/>
    <s v=""/>
    <s v=""/>
    <s v=""/>
    <x v="0"/>
    <d v="2019-07-31T00:00:00"/>
    <s v="1906000007"/>
    <d v="2019-07-28T00:00:00"/>
    <s v=""/>
    <s v="1909000057"/>
  </r>
  <r>
    <s v="1909000058"/>
    <d v="2019-07-28T00:00:00"/>
    <d v="2019-07-28T00:00:00"/>
    <s v="DZ"/>
    <s v="USD"/>
    <n v="44967.54"/>
    <n v="44967.54"/>
    <s v="BDT"/>
    <s v="EGM2"/>
    <n v="3753890.24"/>
    <s v="CM Adv ADJ REF-424130775596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58"/>
    <d v="2019-07-28T00:00:00"/>
    <d v="2019-07-28T00:00:00"/>
    <s v="DZ"/>
    <s v="USD"/>
    <n v="25431.91"/>
    <n v="25431.91"/>
    <s v="BDT"/>
    <s v="EGM2"/>
    <n v="2123564.4900000002"/>
    <s v="CM Adv ADJ REF-424130806054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58"/>
    <d v="2019-07-28T00:00:00"/>
    <d v="2019-07-28T00:00:00"/>
    <s v="DZ"/>
    <s v="USD"/>
    <n v="582.6"/>
    <n v="582.6"/>
    <s v="BDT"/>
    <s v="EGM2"/>
    <n v="48635.45"/>
    <s v="CM Adv ADJ REF-424130790837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58"/>
    <d v="2019-07-28T00:00:00"/>
    <d v="2019-07-28T00:00:00"/>
    <s v="DZ"/>
    <s v="USD"/>
    <n v="11093.3"/>
    <n v="11093.3"/>
    <s v="BDT"/>
    <s v="EGM2"/>
    <n v="926290.55"/>
    <s v="CM Adv ADJ REF-424130815767"/>
    <s v="0000005010"/>
    <s v="E25019VF19US0370"/>
    <s v=""/>
    <s v=""/>
    <s v="0"/>
    <s v="424130818407"/>
    <s v=""/>
    <s v=""/>
    <s v=""/>
    <s v=""/>
    <s v=""/>
    <x v="0"/>
    <m/>
    <s v=""/>
    <d v="2019-07-28T00:00:00"/>
    <s v=""/>
    <s v="1909000058"/>
  </r>
  <r>
    <s v="1909000061"/>
    <d v="2019-07-22T00:00:00"/>
    <d v="2019-07-22T00:00:00"/>
    <s v="DZ"/>
    <s v="USD"/>
    <n v="-193674"/>
    <n v="-193674"/>
    <s v="BDT"/>
    <s v="EGM1"/>
    <n v="-16171779.01"/>
    <s v="CM Adv Rec REF-424130815758"/>
    <s v="0000001010"/>
    <s v="IT06591907220052"/>
    <s v=""/>
    <s v=""/>
    <s v="0"/>
    <s v="424130815758"/>
    <s v=""/>
    <s v=""/>
    <s v=""/>
    <s v=""/>
    <s v=""/>
    <x v="0"/>
    <d v="2019-07-22T00:00:00"/>
    <s v="1903000242"/>
    <d v="2019-07-22T00:00:00"/>
    <s v=""/>
    <s v="1909000061"/>
  </r>
  <r>
    <s v="1909000062"/>
    <d v="2019-07-22T00:00:00"/>
    <d v="2019-07-22T00:00:00"/>
    <s v="DZ"/>
    <s v="USD"/>
    <n v="-193674"/>
    <n v="-193674"/>
    <s v="BDT"/>
    <s v="EGM1"/>
    <n v="-16171779.01"/>
    <s v="CM Adv Rec REF-424130815758"/>
    <s v="0000005010"/>
    <s v="IT06591907220052"/>
    <s v=""/>
    <s v=""/>
    <s v="0"/>
    <s v="424130815758"/>
    <s v=""/>
    <s v=""/>
    <s v=""/>
    <s v=""/>
    <s v=""/>
    <x v="0"/>
    <m/>
    <s v=""/>
    <d v="2019-07-22T00:00:00"/>
    <s v=""/>
    <s v="1909000062"/>
  </r>
  <r>
    <s v="1909000063"/>
    <d v="2019-07-28T00:00:00"/>
    <d v="2019-07-28T00:00:00"/>
    <s v="DZ"/>
    <s v="USD"/>
    <n v="-2479.96"/>
    <n v="-2479.96"/>
    <s v="BDT"/>
    <s v="EGM1"/>
    <n v="-207076.66"/>
    <s v="CM Adv Rec REF-424130815758"/>
    <s v="0000005010"/>
    <s v="IT06591907220052"/>
    <s v=""/>
    <s v=""/>
    <s v="0"/>
    <s v="424130815758"/>
    <s v=""/>
    <s v=""/>
    <s v=""/>
    <s v=""/>
    <s v=""/>
    <x v="0"/>
    <m/>
    <s v=""/>
    <d v="2019-07-28T00:00:00"/>
    <s v=""/>
    <s v="1909000063"/>
  </r>
  <r>
    <s v="1909000064"/>
    <d v="2019-07-24T00:00:00"/>
    <d v="2019-07-24T00:00:00"/>
    <s v="DZ"/>
    <s v="USD"/>
    <n v="15994.19"/>
    <n v="15994.19"/>
    <s v="BDT"/>
    <s v="EGM2"/>
    <n v="1335194.98"/>
    <s v="CM ADV ADJ-424130775596"/>
    <s v="0000005010"/>
    <s v="E25076VF19US0373"/>
    <s v=""/>
    <s v=""/>
    <s v="0"/>
    <s v="424130817266"/>
    <s v=""/>
    <s v=""/>
    <s v=""/>
    <s v=""/>
    <s v=""/>
    <x v="0"/>
    <m/>
    <s v=""/>
    <d v="2019-07-24T00:00:00"/>
    <s v=""/>
    <s v="1909000064"/>
  </r>
  <r>
    <s v="1909000064"/>
    <d v="2019-07-24T00:00:00"/>
    <d v="2019-07-24T00:00:00"/>
    <s v="DZ"/>
    <s v="USD"/>
    <n v="25975.51"/>
    <n v="25975.51"/>
    <s v="BDT"/>
    <s v="EGM2"/>
    <n v="2168955.09"/>
    <s v="CM ADV ADJ-424130806054"/>
    <s v="0000005010"/>
    <s v="E25076VF19US0373"/>
    <s v=""/>
    <s v=""/>
    <s v="0"/>
    <s v="424130817266"/>
    <s v=""/>
    <s v=""/>
    <s v=""/>
    <s v=""/>
    <s v=""/>
    <x v="0"/>
    <m/>
    <s v=""/>
    <d v="2019-07-24T00:00:00"/>
    <s v=""/>
    <s v="1909000064"/>
  </r>
  <r>
    <s v="1909000064"/>
    <d v="2019-07-24T00:00:00"/>
    <d v="2019-07-24T00:00:00"/>
    <s v="DZ"/>
    <s v="USD"/>
    <n v="43349.09"/>
    <n v="43349.09"/>
    <s v="BDT"/>
    <s v="EGM2"/>
    <n v="3619649.02"/>
    <s v="CM ADV ADJ-424130815767"/>
    <s v="0000005010"/>
    <s v="E25076VF19US0373"/>
    <s v=""/>
    <s v=""/>
    <s v="0"/>
    <s v="424130817266"/>
    <s v=""/>
    <s v=""/>
    <s v=""/>
    <s v=""/>
    <s v=""/>
    <x v="0"/>
    <m/>
    <s v=""/>
    <d v="2019-07-24T00:00:00"/>
    <s v=""/>
    <s v="1909000064"/>
  </r>
  <r>
    <s v="1909000065"/>
    <d v="2019-07-10T00:00:00"/>
    <d v="2019-07-10T00:00:00"/>
    <s v="DZ"/>
    <s v="USD"/>
    <n v="26600.3"/>
    <n v="26600.3"/>
    <s v="BDT"/>
    <s v="EGM2"/>
    <n v="2221125.0499999998"/>
    <s v="CM Adv ADJ REF-424130806054"/>
    <s v="0000005010"/>
    <s v="E25061AC9CK0365"/>
    <s v=""/>
    <s v=""/>
    <s v="0"/>
    <s v="424130810227"/>
    <s v=""/>
    <s v=""/>
    <s v=""/>
    <s v=""/>
    <s v=""/>
    <x v="0"/>
    <m/>
    <s v=""/>
    <d v="2019-07-10T00:00:00"/>
    <s v=""/>
    <s v="1909000065"/>
  </r>
  <r>
    <s v="1909000065"/>
    <d v="2019-07-10T00:00:00"/>
    <d v="2019-07-10T00:00:00"/>
    <s v="DZ"/>
    <s v="USD"/>
    <n v="1278.3900000000001"/>
    <n v="1278.3900000000001"/>
    <s v="BDT"/>
    <s v="EGM2"/>
    <n v="106720"/>
    <s v="CM Adv ADJ REF-424130790837"/>
    <s v="0000005010"/>
    <s v="E25061AC9CK0365"/>
    <s v=""/>
    <s v=""/>
    <s v="0"/>
    <s v="424130810227"/>
    <s v=""/>
    <s v=""/>
    <s v=""/>
    <s v=""/>
    <s v=""/>
    <x v="0"/>
    <m/>
    <s v=""/>
    <d v="2019-07-10T00:00:00"/>
    <s v=""/>
    <s v="1909000065"/>
  </r>
  <r>
    <s v="1909000066"/>
    <d v="2019-07-30T00:00:00"/>
    <d v="2019-07-30T00:00:00"/>
    <s v="DZ"/>
    <s v="USD"/>
    <n v="3310.98"/>
    <n v="3310.98"/>
    <s v="BDT"/>
    <s v="EGM2"/>
    <n v="276466.83"/>
    <s v="CM Adv ADJ REF-424130806054"/>
    <s v="0000005010"/>
    <s v="E25019VF19US0378"/>
    <s v=""/>
    <s v=""/>
    <s v="0"/>
    <s v="424130820582"/>
    <s v=""/>
    <s v=""/>
    <s v=""/>
    <s v=""/>
    <s v=""/>
    <x v="0"/>
    <m/>
    <s v=""/>
    <d v="2019-07-30T00:00:00"/>
    <s v=""/>
    <s v="1909000066"/>
  </r>
  <r>
    <s v="1909000066"/>
    <d v="2019-07-30T00:00:00"/>
    <d v="2019-07-30T00:00:00"/>
    <s v="DZ"/>
    <s v="USD"/>
    <n v="63220.55"/>
    <n v="63220.55"/>
    <s v="BDT"/>
    <s v="EGM2"/>
    <n v="5278915.93"/>
    <s v="CM Adv ADJ REF-424130815767"/>
    <s v="0000005010"/>
    <s v="E25019VF19US0378"/>
    <s v=""/>
    <s v=""/>
    <s v="0"/>
    <s v="424130820582"/>
    <s v=""/>
    <s v=""/>
    <s v=""/>
    <s v=""/>
    <s v=""/>
    <x v="0"/>
    <m/>
    <s v=""/>
    <d v="2019-07-30T00:00:00"/>
    <s v=""/>
    <s v="1909000066"/>
  </r>
  <r>
    <s v="1909000067"/>
    <d v="2019-07-30T00:00:00"/>
    <d v="2019-07-30T00:00:00"/>
    <s v="DZ"/>
    <s v="USD"/>
    <n v="1450"/>
    <n v="1450"/>
    <s v="BDT"/>
    <s v="EGM2"/>
    <n v="121075"/>
    <s v="CM Adv ADJ REF-424130814875"/>
    <s v="0000001010"/>
    <s v="05143190380ZA"/>
    <s v=""/>
    <s v=""/>
    <s v="0"/>
    <s v="424130820573"/>
    <s v=""/>
    <s v=""/>
    <s v=""/>
    <s v=""/>
    <s v=""/>
    <x v="0"/>
    <d v="2019-07-31T00:00:00"/>
    <s v="1906000007"/>
    <d v="2019-07-30T00:00:00"/>
    <s v=""/>
    <s v="1909000067"/>
  </r>
  <r>
    <s v="1909000069"/>
    <d v="2019-07-30T00:00:00"/>
    <d v="2019-07-30T00:00:00"/>
    <s v="DZ"/>
    <s v="USD"/>
    <n v="11498"/>
    <n v="11498"/>
    <s v="BDT"/>
    <s v="EGM1"/>
    <n v="960083"/>
    <s v="CM Adv ADJ REF-424130806063"/>
    <s v="0000005010"/>
    <s v="E5028TS19UK0711"/>
    <s v=""/>
    <s v=""/>
    <s v="0"/>
    <s v="424130820564"/>
    <s v=""/>
    <s v=""/>
    <s v=""/>
    <s v=""/>
    <s v=""/>
    <x v="0"/>
    <m/>
    <s v=""/>
    <d v="2019-07-30T00:00:00"/>
    <s v=""/>
    <s v="1909000069"/>
  </r>
  <r>
    <s v="1909000069"/>
    <d v="2019-07-30T00:00:00"/>
    <d v="2019-07-30T00:00:00"/>
    <s v="DZ"/>
    <s v="USD"/>
    <n v="11568.5"/>
    <n v="11568.5"/>
    <s v="BDT"/>
    <s v="EGM1"/>
    <n v="965738.38"/>
    <s v="CM Adv ADJ REF-424130793139"/>
    <s v="0000005010"/>
    <s v="E5028TS19UK0711"/>
    <s v=""/>
    <s v=""/>
    <s v="0"/>
    <s v="424130820564"/>
    <s v=""/>
    <s v=""/>
    <s v=""/>
    <s v=""/>
    <s v=""/>
    <x v="0"/>
    <m/>
    <s v=""/>
    <d v="2019-07-30T00:00:00"/>
    <s v=""/>
    <s v="1909000069"/>
  </r>
  <r>
    <s v="1909000070"/>
    <d v="2019-07-30T00:00:00"/>
    <d v="2019-07-30T00:00:00"/>
    <s v="DZ"/>
    <s v="USD"/>
    <n v="1437"/>
    <n v="1437"/>
    <s v="BDT"/>
    <s v="EGM1"/>
    <n v="119989.5"/>
    <s v="CM Adv ADJ REF-424130804207"/>
    <s v="0000001010"/>
    <s v="E05215US19-0694"/>
    <s v=""/>
    <s v=""/>
    <s v="0"/>
    <s v="424130820546"/>
    <s v=""/>
    <s v=""/>
    <s v=""/>
    <s v=""/>
    <s v=""/>
    <x v="0"/>
    <m/>
    <s v=""/>
    <d v="2019-07-30T00:00:00"/>
    <s v=""/>
    <s v="1909000070"/>
  </r>
  <r>
    <s v="1909000071"/>
    <d v="2019-07-30T00:00:00"/>
    <d v="2019-07-30T00:00:00"/>
    <s v="DZ"/>
    <s v="USD"/>
    <n v="963.69"/>
    <n v="963.69"/>
    <s v="BDT"/>
    <s v="EGM1"/>
    <n v="80468.12"/>
    <s v="CM Adv ADJ REF-424130806063"/>
    <s v="0000005010"/>
    <s v="E35168TC19US0690"/>
    <s v=""/>
    <s v=""/>
    <s v="0"/>
    <s v="424130820555"/>
    <s v=""/>
    <s v=""/>
    <s v=""/>
    <s v=""/>
    <s v=""/>
    <x v="0"/>
    <m/>
    <s v=""/>
    <d v="2019-07-30T00:00:00"/>
    <s v=""/>
    <s v="1909000071"/>
  </r>
  <r>
    <s v="1909000073"/>
    <d v="2019-07-31T00:00:00"/>
    <d v="2019-07-31T00:00:00"/>
    <s v="DZ"/>
    <s v="USD"/>
    <n v="21553"/>
    <n v="21553"/>
    <s v="BDT"/>
    <s v="EGM1"/>
    <n v="1799675.5"/>
    <s v="CM Adv ADJ REF-424130804207"/>
    <s v="0000001010"/>
    <s v="E35063BM19UK071"/>
    <s v=""/>
    <s v=""/>
    <s v="0"/>
    <s v="424130821741"/>
    <s v=""/>
    <s v=""/>
    <s v=""/>
    <s v=""/>
    <s v=""/>
    <x v="0"/>
    <m/>
    <s v=""/>
    <d v="2019-07-31T00:00:00"/>
    <s v=""/>
    <s v="1909000073"/>
  </r>
  <r>
    <s v="1909000075"/>
    <d v="2019-07-31T00:00:00"/>
    <d v="2019-07-31T00:00:00"/>
    <s v="DZ"/>
    <s v="USD"/>
    <n v="3144"/>
    <n v="3144"/>
    <s v="BDT"/>
    <s v="EGM1"/>
    <n v="262524"/>
    <s v="CM Adv ADJ REF-424130804207"/>
    <s v="0000001010"/>
    <s v="E45117SB19UK0713"/>
    <s v=""/>
    <s v=""/>
    <s v="0"/>
    <s v="424130821787"/>
    <s v=""/>
    <s v=""/>
    <s v=""/>
    <s v=""/>
    <s v=""/>
    <x v="0"/>
    <m/>
    <s v=""/>
    <d v="2019-07-31T00:00:00"/>
    <s v=""/>
    <s v="1909000075"/>
  </r>
  <r>
    <s v="1909000076"/>
    <d v="2019-07-04T00:00:00"/>
    <d v="2019-07-04T00:00:00"/>
    <s v="DZ"/>
    <s v="USD"/>
    <n v="23120"/>
    <n v="23120"/>
    <s v="BDT"/>
    <s v="EGM1"/>
    <n v="1925896"/>
    <s v="CM Adv ADJ REF-424130763554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6"/>
    <d v="2019-07-04T00:00:00"/>
    <d v="2019-07-04T00:00:00"/>
    <s v="DZ"/>
    <s v="USD"/>
    <n v="32033"/>
    <n v="32033"/>
    <s v="BDT"/>
    <s v="EGM1"/>
    <n v="2674755.5"/>
    <s v="CM Adv ADJ REF-424130806063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6"/>
    <d v="2019-07-04T00:00:00"/>
    <d v="2019-07-04T00:00:00"/>
    <s v="DZ"/>
    <s v="USD"/>
    <n v="13090"/>
    <n v="13090"/>
    <s v="BDT"/>
    <s v="EGM1"/>
    <n v="1092753.2"/>
    <s v="CM Adv ADJ REF-424130793139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6"/>
    <d v="2019-07-04T00:00:00"/>
    <d v="2019-07-04T00:00:00"/>
    <s v="DZ"/>
    <s v="USD"/>
    <n v="34442"/>
    <n v="34442"/>
    <s v="BDT"/>
    <s v="EGM1"/>
    <n v="2875218.16"/>
    <s v="CM Adv ADJ REF-424130775578"/>
    <s v="0000005010"/>
    <s v="E35049TC19MY05"/>
    <s v=""/>
    <s v=""/>
    <s v="0"/>
    <s v="424130807062"/>
    <s v=""/>
    <s v=""/>
    <s v=""/>
    <s v=""/>
    <s v=""/>
    <x v="0"/>
    <m/>
    <s v=""/>
    <d v="2019-07-04T00:00:00"/>
    <s v=""/>
    <s v="1909000076"/>
  </r>
  <r>
    <s v="1909000077"/>
    <d v="2019-08-01T00:00:00"/>
    <d v="2019-08-01T00:00:00"/>
    <s v="DZ"/>
    <s v="USD"/>
    <n v="-46350"/>
    <n v="-46350"/>
    <s v="BDT"/>
    <s v="EGM2"/>
    <n v="-3870225.01"/>
    <s v="CM Adv Received REF-424130823133"/>
    <s v="0000001010"/>
    <s v="IT06591907310531"/>
    <s v=""/>
    <s v=""/>
    <s v="0"/>
    <s v="424130823133"/>
    <s v=""/>
    <s v=""/>
    <s v=""/>
    <s v=""/>
    <s v=""/>
    <x v="0"/>
    <d v="2019-09-08T00:00:00"/>
    <s v="1909000171"/>
    <d v="2019-08-01T00:00:00"/>
    <s v=""/>
    <s v="1909000077"/>
  </r>
  <r>
    <s v="1909000078"/>
    <d v="2019-08-04T00:00:00"/>
    <d v="2019-08-04T00:00:00"/>
    <s v="DZ"/>
    <s v="USD"/>
    <n v="2557.64"/>
    <n v="2557.64"/>
    <s v="BDT"/>
    <s v="EGM2"/>
    <n v="213562.94"/>
    <s v="CM Adv Adjust REF-424130815767"/>
    <s v="0000005010"/>
    <s v="E25096VF19US0389"/>
    <s v=""/>
    <s v=""/>
    <s v="0"/>
    <s v="424130823963"/>
    <s v=""/>
    <s v=""/>
    <s v=""/>
    <s v=""/>
    <s v=""/>
    <x v="0"/>
    <m/>
    <s v=""/>
    <d v="2019-08-04T00:00:00"/>
    <s v=""/>
    <s v="1909000078"/>
  </r>
  <r>
    <s v="1909000079"/>
    <d v="2019-08-04T00:00:00"/>
    <d v="2019-08-04T00:00:00"/>
    <s v="DZ"/>
    <s v="USD"/>
    <n v="-1390788"/>
    <n v="-1390788"/>
    <s v="BDT"/>
    <s v="EGM1"/>
    <n v="-116130798.01000001"/>
    <s v="CM Adv Recevied REF-424130823936"/>
    <s v="0000001010"/>
    <s v="IT06591908030031"/>
    <s v=""/>
    <s v=""/>
    <s v="0"/>
    <s v="424130823936"/>
    <s v=""/>
    <s v=""/>
    <s v=""/>
    <s v=""/>
    <s v=""/>
    <x v="0"/>
    <d v="2020-06-30T00:00:00"/>
    <s v="1906000017"/>
    <d v="2019-08-04T00:00:00"/>
    <s v=""/>
    <s v="1909000079"/>
  </r>
  <r>
    <s v="1909000080"/>
    <d v="2019-08-04T00:00:00"/>
    <d v="2019-08-04T00:00:00"/>
    <s v="DZ"/>
    <s v="USD"/>
    <n v="8952"/>
    <n v="8952"/>
    <s v="BDT"/>
    <s v="EGM1"/>
    <n v="747492"/>
    <s v="CM Adv Recevied REF-424130804207"/>
    <s v="0000001010"/>
    <s v="E05141US19-0670"/>
    <s v=""/>
    <s v=""/>
    <s v="0"/>
    <s v="424130823945"/>
    <s v=""/>
    <s v=""/>
    <s v=""/>
    <s v=""/>
    <s v=""/>
    <x v="0"/>
    <m/>
    <s v=""/>
    <d v="2019-08-04T00:00:00"/>
    <s v=""/>
    <s v="1909000080"/>
  </r>
  <r>
    <s v="1909000080"/>
    <d v="2019-08-04T00:00:00"/>
    <d v="2019-08-04T00:00:00"/>
    <s v="DZ"/>
    <s v="USD"/>
    <n v="179401"/>
    <n v="179401"/>
    <s v="BDT"/>
    <s v="EGM1"/>
    <n v="14979983.5"/>
    <s v="CM Adv Recevied REF-424130814884"/>
    <s v="0000001010"/>
    <s v="E05141US19-0670"/>
    <s v=""/>
    <s v=""/>
    <s v="0"/>
    <s v="424130823945"/>
    <s v=""/>
    <s v=""/>
    <s v=""/>
    <s v=""/>
    <s v=""/>
    <x v="0"/>
    <d v="2020-06-30T00:00:00"/>
    <s v="1906000017"/>
    <d v="2019-08-04T00:00:00"/>
    <s v=""/>
    <s v="1909000080"/>
  </r>
  <r>
    <s v="1909000081"/>
    <d v="2019-08-04T00:00:00"/>
    <d v="2019-08-04T00:00:00"/>
    <s v="DZ"/>
    <s v="USD"/>
    <n v="4252.83"/>
    <n v="4252.83"/>
    <s v="BDT"/>
    <s v="EGM1"/>
    <n v="355111.31"/>
    <s v="CM ADV ADJ-424130806063"/>
    <s v="0000005010"/>
    <s v="E34994DC19US0722"/>
    <s v=""/>
    <s v=""/>
    <s v="0"/>
    <s v="424130823954"/>
    <s v=""/>
    <s v=""/>
    <s v=""/>
    <s v=""/>
    <s v=""/>
    <x v="0"/>
    <m/>
    <s v=""/>
    <d v="2019-08-04T00:00:00"/>
    <s v=""/>
    <s v="1909000081"/>
  </r>
  <r>
    <s v="1909000083"/>
    <d v="2019-07-31T00:00:00"/>
    <d v="2019-07-31T00:00:00"/>
    <s v="DZ"/>
    <s v="USD"/>
    <n v="-46350"/>
    <n v="-46350"/>
    <s v="BDT"/>
    <s v="EGM1"/>
    <n v="-3870225"/>
    <s v="FIT-CM ADV EDL-JUL-19"/>
    <s v="0000001010"/>
    <s v="FIT-CMADV-JUL-19"/>
    <s v=""/>
    <s v=""/>
    <s v="0"/>
    <s v="FIT-CM ADV EDL-JUL-19"/>
    <s v=""/>
    <s v=""/>
    <s v=""/>
    <s v=""/>
    <s v=""/>
    <x v="0"/>
    <d v="2019-08-01T00:00:00"/>
    <s v="1903001312"/>
    <d v="2019-07-31T00:00:00"/>
    <s v=""/>
    <s v="1909000083"/>
  </r>
  <r>
    <s v="1909000084"/>
    <d v="2019-08-06T00:00:00"/>
    <d v="2019-08-06T00:00:00"/>
    <s v="DZ"/>
    <s v="USD"/>
    <n v="-416719.68"/>
    <n v="-416719.68"/>
    <s v="BDT"/>
    <s v="EGM1"/>
    <n v="-34796093.289999999"/>
    <s v="CM ADV REC-424130824383"/>
    <s v="0000005010"/>
    <s v="IT06591908050083"/>
    <s v=""/>
    <s v=""/>
    <s v="0"/>
    <s v="424130824383"/>
    <s v=""/>
    <s v=""/>
    <s v=""/>
    <s v=""/>
    <s v=""/>
    <x v="0"/>
    <m/>
    <s v=""/>
    <d v="2019-08-06T00:00:00"/>
    <s v=""/>
    <s v="1909000084"/>
  </r>
  <r>
    <s v="1909000085"/>
    <d v="2019-08-06T00:00:00"/>
    <d v="2019-08-06T00:00:00"/>
    <s v="DZ"/>
    <s v="USD"/>
    <n v="-52774"/>
    <n v="-52774"/>
    <s v="BDT"/>
    <s v="EGM1"/>
    <n v="-4406629.0199999996"/>
    <s v="CM ADV REC-424130824392"/>
    <s v="0000005010"/>
    <s v="IT06591908050076"/>
    <s v=""/>
    <s v=""/>
    <s v="0"/>
    <s v="424130824392"/>
    <s v=""/>
    <s v=""/>
    <s v=""/>
    <s v=""/>
    <s v=""/>
    <x v="0"/>
    <m/>
    <s v=""/>
    <d v="2019-08-06T00:00:00"/>
    <s v=""/>
    <s v="1909000085"/>
  </r>
  <r>
    <s v="1909000087"/>
    <d v="2019-08-06T00:00:00"/>
    <d v="2019-08-06T00:00:00"/>
    <s v="DZ"/>
    <s v="USD"/>
    <n v="1611"/>
    <n v="1611"/>
    <s v="BDT"/>
    <s v="EGM1"/>
    <n v="134518.5"/>
    <s v="CM ADV ADJ-424130806063"/>
    <s v="0000005010"/>
    <s v="E5028TS19CE0710"/>
    <s v=""/>
    <s v=""/>
    <s v="0"/>
    <s v="424130824418"/>
    <s v=""/>
    <s v=""/>
    <s v=""/>
    <s v=""/>
    <s v=""/>
    <x v="0"/>
    <m/>
    <s v=""/>
    <d v="2019-08-06T00:00:00"/>
    <s v=""/>
    <s v="1909000087"/>
  </r>
  <r>
    <s v="1909000087"/>
    <d v="2019-08-06T00:00:00"/>
    <d v="2019-08-06T00:00:00"/>
    <s v="DZ"/>
    <s v="USD"/>
    <n v="4432"/>
    <n v="4432"/>
    <s v="BDT"/>
    <s v="EGM1"/>
    <n v="369983.36"/>
    <s v="CM ADV ADJ-424130793139"/>
    <s v="0000005010"/>
    <s v="E5028TS19CE0710"/>
    <s v=""/>
    <s v=""/>
    <s v="0"/>
    <s v="424130824418"/>
    <s v=""/>
    <s v=""/>
    <s v=""/>
    <s v=""/>
    <s v=""/>
    <x v="0"/>
    <m/>
    <s v=""/>
    <d v="2019-08-06T00:00:00"/>
    <s v=""/>
    <s v="1909000087"/>
  </r>
  <r>
    <s v="1909000089"/>
    <d v="2019-08-06T00:00:00"/>
    <d v="2019-08-06T00:00:00"/>
    <s v="DZ"/>
    <s v="USD"/>
    <n v="63910"/>
    <n v="63910"/>
    <s v="BDT"/>
    <s v="EGM1"/>
    <n v="5336485"/>
    <s v="CM ADV ADJ-424130804207"/>
    <s v="0000001010"/>
    <s v="E05111US19-0705"/>
    <s v=""/>
    <s v=""/>
    <s v="0"/>
    <s v="424130824999"/>
    <s v=""/>
    <s v=""/>
    <s v=""/>
    <s v=""/>
    <s v=""/>
    <x v="0"/>
    <m/>
    <s v=""/>
    <d v="2019-08-06T00:00:00"/>
    <s v=""/>
    <s v="1909000089"/>
  </r>
  <r>
    <s v="1909000089"/>
    <d v="2019-08-06T00:00:00"/>
    <d v="2019-08-06T00:00:00"/>
    <s v="DZ"/>
    <s v="USD"/>
    <n v="34746"/>
    <n v="34746"/>
    <s v="BDT"/>
    <s v="EGM1"/>
    <n v="2900596.08"/>
    <s v="CM ADV ADJ-424130775569"/>
    <s v="0000001010"/>
    <s v="E05111US19-0705"/>
    <s v=""/>
    <s v=""/>
    <s v="0"/>
    <s v="424130824999"/>
    <s v=""/>
    <s v=""/>
    <s v=""/>
    <s v=""/>
    <s v=""/>
    <x v="0"/>
    <d v="2019-10-31T00:00:00"/>
    <s v="1906000008"/>
    <d v="2019-08-06T00:00:00"/>
    <s v=""/>
    <s v="1909000089"/>
  </r>
  <r>
    <s v="1909000089"/>
    <d v="2019-08-06T00:00:00"/>
    <d v="2019-08-06T00:00:00"/>
    <s v="DZ"/>
    <s v="USD"/>
    <n v="3634"/>
    <n v="3634"/>
    <s v="BDT"/>
    <s v="EGM1"/>
    <n v="303439"/>
    <s v="CM ADV ADJ-424130814884"/>
    <s v="0000001010"/>
    <s v="E05111US19-0705"/>
    <s v=""/>
    <s v=""/>
    <s v="0"/>
    <s v="424130824999"/>
    <s v=""/>
    <s v=""/>
    <s v=""/>
    <s v=""/>
    <s v=""/>
    <x v="0"/>
    <d v="2020-06-30T00:00:00"/>
    <s v="1906000017"/>
    <d v="2019-08-06T00:00:00"/>
    <s v=""/>
    <s v="1909000089"/>
  </r>
  <r>
    <s v="1909000089"/>
    <d v="2019-08-06T00:00:00"/>
    <d v="2019-08-06T00:00:00"/>
    <s v="DZ"/>
    <s v="USD"/>
    <n v="57040"/>
    <n v="57040"/>
    <s v="BDT"/>
    <s v="EGM1"/>
    <n v="4761699.2"/>
    <s v="CM ADV ADJ-424130789439"/>
    <s v="0000001010"/>
    <s v="E05111US19-0705"/>
    <s v=""/>
    <s v=""/>
    <s v="0"/>
    <s v="424130824999"/>
    <s v=""/>
    <s v=""/>
    <s v=""/>
    <s v=""/>
    <s v=""/>
    <x v="0"/>
    <d v="2019-10-31T00:00:00"/>
    <s v="1906000009"/>
    <d v="2019-08-06T00:00:00"/>
    <s v=""/>
    <s v="1909000089"/>
  </r>
  <r>
    <s v="1909000089"/>
    <d v="2019-08-06T00:00:00"/>
    <d v="2019-08-06T00:00:00"/>
    <s v="DZ"/>
    <s v="USD"/>
    <n v="25128"/>
    <n v="25128"/>
    <s v="BDT"/>
    <s v="EGM1"/>
    <n v="2097685.44"/>
    <s v="CM ADV ADJ-424130785148"/>
    <s v="0000001010"/>
    <s v="E05111US19-0705"/>
    <s v=""/>
    <s v=""/>
    <s v="0"/>
    <s v="424130824999"/>
    <s v=""/>
    <s v=""/>
    <s v=""/>
    <s v=""/>
    <s v=""/>
    <x v="0"/>
    <d v="2020-06-30T00:00:00"/>
    <s v="1906000017"/>
    <d v="2019-08-06T00:00:00"/>
    <s v=""/>
    <s v="1909000089"/>
  </r>
  <r>
    <s v="1909000090"/>
    <d v="2019-08-06T00:00:00"/>
    <d v="2019-08-06T00:00:00"/>
    <s v="DZ"/>
    <s v="USD"/>
    <n v="-187048.64"/>
    <n v="-187048.64"/>
    <s v="BDT"/>
    <s v="EGM2"/>
    <n v="-15618561.449999999"/>
    <s v="CM ADV REC-424130824374"/>
    <s v="0000005010"/>
    <s v="IT06591908050073"/>
    <s v=""/>
    <s v=""/>
    <s v="0"/>
    <s v="424130824374"/>
    <s v=""/>
    <s v=""/>
    <s v=""/>
    <s v=""/>
    <s v=""/>
    <x v="0"/>
    <m/>
    <s v=""/>
    <d v="2019-08-06T00:00:00"/>
    <s v=""/>
    <s v="1909000090"/>
  </r>
  <r>
    <s v="1909000095"/>
    <d v="2019-08-08T00:00:00"/>
    <d v="2019-08-08T00:00:00"/>
    <s v="DZ"/>
    <s v="USD"/>
    <n v="3583.2"/>
    <n v="3583.2"/>
    <s v="BDT"/>
    <s v="EGM1"/>
    <n v="299197.2"/>
    <s v="CM ADV ADJ-424130824383"/>
    <s v="0000005010"/>
    <s v="E34994DC19US0794"/>
    <s v=""/>
    <s v=""/>
    <s v="0"/>
    <s v="424130826041"/>
    <s v=""/>
    <s v=""/>
    <s v=""/>
    <s v=""/>
    <s v=""/>
    <x v="0"/>
    <m/>
    <s v=""/>
    <d v="2019-08-08T00:00:00"/>
    <s v=""/>
    <s v="1909000095"/>
  </r>
  <r>
    <s v="1909000095"/>
    <d v="2019-08-08T00:00:00"/>
    <d v="2019-08-08T00:00:00"/>
    <s v="DZ"/>
    <s v="USD"/>
    <n v="3936.39"/>
    <n v="3936.39"/>
    <s v="BDT"/>
    <s v="EGM1"/>
    <n v="328688.57"/>
    <s v="CM ADV ADJ-424130806063"/>
    <s v="0000005010"/>
    <s v="E34994DC19US0794"/>
    <s v=""/>
    <s v=""/>
    <s v="0"/>
    <s v="424130826041"/>
    <s v=""/>
    <s v=""/>
    <s v=""/>
    <s v=""/>
    <s v=""/>
    <x v="0"/>
    <m/>
    <s v=""/>
    <d v="2019-08-08T00:00:00"/>
    <s v=""/>
    <s v="1909000095"/>
  </r>
  <r>
    <s v="1909000096"/>
    <d v="2019-08-08T00:00:00"/>
    <d v="2019-08-08T00:00:00"/>
    <s v="DZ"/>
    <s v="USD"/>
    <n v="8976"/>
    <n v="8976"/>
    <s v="BDT"/>
    <s v="EGM1"/>
    <n v="749496"/>
    <s v="CM ADV ADJ-424130814884"/>
    <s v="0000001010"/>
    <s v="E5100SB19UK0725"/>
    <s v=""/>
    <s v=""/>
    <s v="0"/>
    <s v="424130826032"/>
    <s v=""/>
    <s v=""/>
    <s v=""/>
    <s v=""/>
    <s v=""/>
    <x v="0"/>
    <d v="2020-06-30T00:00:00"/>
    <s v="1906000017"/>
    <d v="2019-08-08T00:00:00"/>
    <s v=""/>
    <s v="1909000096"/>
  </r>
  <r>
    <s v="1909000097"/>
    <d v="2019-08-19T00:00:00"/>
    <d v="2019-08-19T00:00:00"/>
    <s v="DZ"/>
    <s v="USD"/>
    <n v="4971.33"/>
    <n v="4971.33"/>
    <s v="BDT"/>
    <s v="EGM1"/>
    <n v="415106.06"/>
    <s v="CM ADV ADJ-424130824383"/>
    <s v="0000005010"/>
    <s v="4996,34994,349"/>
    <s v=""/>
    <s v=""/>
    <s v="0"/>
    <s v="424130827807"/>
    <s v=""/>
    <s v=""/>
    <s v=""/>
    <s v=""/>
    <s v=""/>
    <x v="0"/>
    <m/>
    <s v=""/>
    <d v="2019-08-19T00:00:00"/>
    <s v=""/>
    <s v="1909000097"/>
  </r>
  <r>
    <s v="1909000098"/>
    <d v="2019-08-19T00:00:00"/>
    <d v="2019-08-19T00:00:00"/>
    <s v="DZ"/>
    <s v="USD"/>
    <n v="30471"/>
    <n v="30471"/>
    <s v="BDT"/>
    <s v="EGM1"/>
    <n v="2544328.5"/>
    <s v="CM ADV ADJ-424130804207"/>
    <s v="0000001010"/>
    <s v="5039,5215,5244"/>
    <s v=""/>
    <s v=""/>
    <s v="0"/>
    <s v="424130828922"/>
    <s v=""/>
    <s v=""/>
    <s v=""/>
    <s v=""/>
    <s v=""/>
    <x v="0"/>
    <m/>
    <s v=""/>
    <d v="2019-08-19T00:00:00"/>
    <s v=""/>
    <s v="1909000098"/>
  </r>
  <r>
    <s v="1909000098"/>
    <d v="2019-08-19T00:00:00"/>
    <d v="2019-08-19T00:00:00"/>
    <s v="DZ"/>
    <s v="USD"/>
    <n v="77483"/>
    <n v="77483"/>
    <s v="BDT"/>
    <s v="EGM1"/>
    <n v="6469830.5"/>
    <s v="CM ADV ADJ-424130823936"/>
    <s v="0000001010"/>
    <s v="5039,5215,5244"/>
    <s v=""/>
    <s v=""/>
    <s v="0"/>
    <s v="424130828922"/>
    <s v=""/>
    <s v=""/>
    <s v=""/>
    <s v=""/>
    <s v=""/>
    <x v="0"/>
    <d v="2020-06-30T00:00:00"/>
    <s v="1906000017"/>
    <d v="2019-08-19T00:00:00"/>
    <s v=""/>
    <s v="1909000098"/>
  </r>
  <r>
    <s v="1909000098"/>
    <d v="2019-08-19T00:00:00"/>
    <d v="2019-08-19T00:00:00"/>
    <s v="DZ"/>
    <s v="USD"/>
    <n v="57911"/>
    <n v="57911"/>
    <s v="BDT"/>
    <s v="EGM1"/>
    <n v="4835568.5"/>
    <s v="CM ADV ADJ-424130814884"/>
    <s v="0000001010"/>
    <s v="5039,5215,5244"/>
    <s v=""/>
    <s v=""/>
    <s v="0"/>
    <s v="424130828922"/>
    <s v=""/>
    <s v=""/>
    <s v=""/>
    <s v=""/>
    <s v=""/>
    <x v="0"/>
    <d v="2020-06-30T00:00:00"/>
    <s v="1906000017"/>
    <d v="2019-08-19T00:00:00"/>
    <s v=""/>
    <s v="1909000098"/>
  </r>
  <r>
    <s v="1909000099"/>
    <d v="2019-08-19T00:00:00"/>
    <d v="2019-08-19T00:00:00"/>
    <s v="DZ"/>
    <s v="USD"/>
    <n v="6721.36"/>
    <n v="6721.36"/>
    <s v="BDT"/>
    <s v="EGM2"/>
    <n v="561233.56000000006"/>
    <s v="CM ADV ADJ-424130806054"/>
    <s v="0000005010"/>
    <s v="E25095VF19"/>
    <s v=""/>
    <s v=""/>
    <s v="0"/>
    <s v="424130827825"/>
    <s v=""/>
    <s v=""/>
    <s v=""/>
    <s v=""/>
    <s v=""/>
    <x v="0"/>
    <m/>
    <s v=""/>
    <d v="2019-08-19T00:00:00"/>
    <s v=""/>
    <s v="1909000099"/>
  </r>
  <r>
    <s v="1909000099"/>
    <d v="2019-08-19T00:00:00"/>
    <d v="2019-08-19T00:00:00"/>
    <s v="DZ"/>
    <s v="USD"/>
    <n v="23592.799999999999"/>
    <n v="23592.799999999999"/>
    <s v="BDT"/>
    <s v="EGM2"/>
    <n v="1969998.8"/>
    <s v="CM ADV ADJ-424130815767"/>
    <s v="0000005010"/>
    <s v="E25095VF19"/>
    <s v=""/>
    <s v=""/>
    <s v="0"/>
    <s v="424130827825"/>
    <s v=""/>
    <s v=""/>
    <s v=""/>
    <s v=""/>
    <s v=""/>
    <x v="0"/>
    <m/>
    <s v=""/>
    <d v="2019-08-19T00:00:00"/>
    <s v=""/>
    <s v="1909000099"/>
  </r>
  <r>
    <s v="1909000100"/>
    <d v="2019-08-19T00:00:00"/>
    <d v="2019-08-19T00:00:00"/>
    <s v="DZ"/>
    <s v="USD"/>
    <n v="886.25"/>
    <n v="886.25"/>
    <s v="BDT"/>
    <s v="EGM2"/>
    <n v="74001.88"/>
    <s v="CM ADV ADJ-424130806054"/>
    <s v="0000005010"/>
    <s v="0394,0395,0396"/>
    <s v=""/>
    <s v=""/>
    <s v="0"/>
    <s v="424130827816"/>
    <s v=""/>
    <s v=""/>
    <s v=""/>
    <s v=""/>
    <s v=""/>
    <x v="0"/>
    <m/>
    <s v=""/>
    <d v="2019-08-19T00:00:00"/>
    <s v=""/>
    <s v="1909000100"/>
  </r>
  <r>
    <s v="1909000100"/>
    <d v="2019-08-19T00:00:00"/>
    <d v="2019-08-19T00:00:00"/>
    <s v="DZ"/>
    <s v="USD"/>
    <n v="21430.55"/>
    <n v="21430.55"/>
    <s v="BDT"/>
    <s v="EGM2"/>
    <n v="1789450.93"/>
    <s v="CM ADV ADJ-424130824374"/>
    <s v="0000005010"/>
    <s v="0394,0395,0396"/>
    <s v=""/>
    <s v=""/>
    <s v="0"/>
    <s v="424130827816"/>
    <s v=""/>
    <s v=""/>
    <s v=""/>
    <s v=""/>
    <s v=""/>
    <x v="0"/>
    <m/>
    <s v=""/>
    <d v="2019-08-19T00:00:00"/>
    <s v=""/>
    <s v="1909000100"/>
  </r>
  <r>
    <s v="1909000100"/>
    <d v="2019-08-19T00:00:00"/>
    <d v="2019-08-19T00:00:00"/>
    <s v="DZ"/>
    <s v="USD"/>
    <n v="1947.67"/>
    <n v="1947.67"/>
    <s v="BDT"/>
    <s v="EGM2"/>
    <n v="162630.45000000001"/>
    <s v="CM ADV ADJ-424130815767"/>
    <s v="0000005010"/>
    <s v="0394,0395,0396"/>
    <s v=""/>
    <s v=""/>
    <s v="0"/>
    <s v="424130827816"/>
    <s v=""/>
    <s v=""/>
    <s v=""/>
    <s v=""/>
    <s v=""/>
    <x v="0"/>
    <m/>
    <s v=""/>
    <d v="2019-08-19T00:00:00"/>
    <s v=""/>
    <s v="1909000100"/>
  </r>
  <r>
    <s v="1909000101"/>
    <d v="2019-08-19T00:00:00"/>
    <d v="2019-08-19T00:00:00"/>
    <s v="DZ"/>
    <s v="USD"/>
    <n v="465"/>
    <n v="465"/>
    <s v="BDT"/>
    <s v="EGM2"/>
    <n v="38827.5"/>
    <s v="CM ADV ADJ-424130824374"/>
    <s v="0000005010"/>
    <s v="E24870VF19USO310"/>
    <s v=""/>
    <s v=""/>
    <s v="0"/>
    <s v="424130827790"/>
    <s v=""/>
    <s v=""/>
    <s v=""/>
    <s v=""/>
    <s v=""/>
    <x v="0"/>
    <m/>
    <s v=""/>
    <d v="2019-08-19T00:00:00"/>
    <s v=""/>
    <s v="1909000101"/>
  </r>
  <r>
    <s v="1909000103"/>
    <d v="2019-08-21T00:00:00"/>
    <d v="2019-08-21T00:00:00"/>
    <s v="DZ"/>
    <s v="USD"/>
    <n v="74233.399999999994"/>
    <n v="74233.399999999994"/>
    <s v="BDT"/>
    <s v="EGM2"/>
    <n v="6198488.9000000004"/>
    <s v="CM ADV ADJ-424130824374"/>
    <s v="0000005010"/>
    <s v="52090,25090,5090"/>
    <s v=""/>
    <s v=""/>
    <s v="0"/>
    <s v="424130830544"/>
    <s v=""/>
    <s v=""/>
    <s v=""/>
    <s v=""/>
    <s v=""/>
    <x v="0"/>
    <m/>
    <s v=""/>
    <d v="2019-08-21T00:00:00"/>
    <s v=""/>
    <s v="1909000103"/>
  </r>
  <r>
    <s v="1909000103"/>
    <d v="2019-08-21T00:00:00"/>
    <d v="2019-08-21T00:00:00"/>
    <s v="DZ"/>
    <s v="USD"/>
    <n v="15190.48"/>
    <n v="15190.48"/>
    <s v="BDT"/>
    <s v="EGM2"/>
    <n v="1268405.08"/>
    <s v="CM ADV ADJ-424130815767"/>
    <s v="0000005010"/>
    <s v="52090,25090,5090"/>
    <s v=""/>
    <s v=""/>
    <s v="0"/>
    <s v="424130830544"/>
    <s v=""/>
    <s v=""/>
    <s v=""/>
    <s v=""/>
    <s v=""/>
    <x v="0"/>
    <m/>
    <s v=""/>
    <d v="2019-08-21T00:00:00"/>
    <s v=""/>
    <s v="1909000103"/>
  </r>
  <r>
    <s v="1909000104"/>
    <d v="2019-08-21T00:00:00"/>
    <d v="2019-08-21T00:00:00"/>
    <s v="DZ"/>
    <s v="USD"/>
    <n v="12590.49"/>
    <n v="12590.49"/>
    <s v="BDT"/>
    <s v="EGM1"/>
    <n v="1051305.92"/>
    <s v="CM ADV ADJ-424130806063"/>
    <s v="0000005010"/>
    <s v="E5078"/>
    <s v=""/>
    <s v=""/>
    <s v="0"/>
    <s v="424130830483"/>
    <s v=""/>
    <s v=""/>
    <s v=""/>
    <s v=""/>
    <s v=""/>
    <x v="0"/>
    <m/>
    <s v=""/>
    <d v="2019-08-21T00:00:00"/>
    <s v=""/>
    <s v="1909000104"/>
  </r>
  <r>
    <s v="1909000104"/>
    <d v="2019-08-21T00:00:00"/>
    <d v="2019-08-21T00:00:00"/>
    <s v="DZ"/>
    <s v="USD"/>
    <n v="18374.13"/>
    <n v="18374.13"/>
    <s v="BDT"/>
    <s v="EGM1"/>
    <n v="1534239.86"/>
    <s v="CM ADV ADJ-424130815758"/>
    <s v="0000005010"/>
    <s v="E5078"/>
    <s v=""/>
    <s v=""/>
    <s v="0"/>
    <s v="424130830483"/>
    <s v=""/>
    <s v=""/>
    <s v=""/>
    <s v=""/>
    <s v=""/>
    <x v="0"/>
    <m/>
    <s v=""/>
    <d v="2019-08-21T00:00:00"/>
    <s v=""/>
    <s v="1909000104"/>
  </r>
  <r>
    <s v="1909000105"/>
    <d v="2019-08-21T00:00:00"/>
    <d v="2019-08-21T00:00:00"/>
    <s v="DZ"/>
    <s v="USD"/>
    <n v="576"/>
    <n v="576"/>
    <s v="BDT"/>
    <s v="EGM1"/>
    <n v="48096"/>
    <s v="CM ADV ADJ-424130823936"/>
    <s v="0000001010"/>
    <s v="5127,5129,5181"/>
    <s v=""/>
    <s v=""/>
    <s v="0"/>
    <s v="424130830465"/>
    <s v=""/>
    <s v=""/>
    <s v=""/>
    <s v=""/>
    <s v=""/>
    <x v="0"/>
    <d v="2020-06-30T00:00:00"/>
    <s v="1906000017"/>
    <d v="2019-08-21T00:00:00"/>
    <s v=""/>
    <s v="1909000105"/>
  </r>
  <r>
    <s v="1909000105"/>
    <d v="2019-08-21T00:00:00"/>
    <d v="2019-08-21T00:00:00"/>
    <s v="DZ"/>
    <s v="USD"/>
    <n v="72415"/>
    <n v="72415"/>
    <s v="BDT"/>
    <s v="EGM1"/>
    <n v="6046652.5"/>
    <s v="CM ADV ADJ-424130814884"/>
    <s v="0000001010"/>
    <s v="5127,5129,5181"/>
    <s v=""/>
    <s v=""/>
    <s v="0"/>
    <s v="424130830465"/>
    <s v=""/>
    <s v=""/>
    <s v=""/>
    <s v=""/>
    <s v=""/>
    <x v="0"/>
    <d v="2020-06-30T00:00:00"/>
    <s v="1906000017"/>
    <d v="2019-08-21T00:00:00"/>
    <s v=""/>
    <s v="1909000105"/>
  </r>
  <r>
    <s v="1909000106"/>
    <d v="2019-08-21T00:00:00"/>
    <d v="2019-08-21T00:00:00"/>
    <s v="DZ"/>
    <s v="USD"/>
    <n v="16077.39"/>
    <n v="16077.39"/>
    <s v="BDT"/>
    <s v="EGM2"/>
    <n v="1342462.07"/>
    <s v="CM ADV ADJ-424130824374"/>
    <s v="0000005010"/>
    <s v="E25105VF19US0392"/>
    <s v=""/>
    <s v=""/>
    <s v="0"/>
    <s v="424130830553"/>
    <s v=""/>
    <s v=""/>
    <s v=""/>
    <s v=""/>
    <s v=""/>
    <x v="0"/>
    <m/>
    <s v=""/>
    <d v="2019-08-21T00:00:00"/>
    <s v=""/>
    <s v="1909000106"/>
  </r>
  <r>
    <s v="1909000106"/>
    <d v="2019-08-21T00:00:00"/>
    <d v="2019-08-21T00:00:00"/>
    <s v="DZ"/>
    <s v="USD"/>
    <n v="10928.93"/>
    <n v="10928.93"/>
    <s v="BDT"/>
    <s v="EGM2"/>
    <n v="912565.66"/>
    <s v="CM ADV ADJ-424130815767"/>
    <s v="0000005010"/>
    <s v="E25105VF19US0392"/>
    <s v=""/>
    <s v=""/>
    <s v="0"/>
    <s v="424130830553"/>
    <s v=""/>
    <s v=""/>
    <s v=""/>
    <s v=""/>
    <s v=""/>
    <x v="0"/>
    <m/>
    <s v=""/>
    <d v="2019-08-21T00:00:00"/>
    <s v=""/>
    <s v="1909000106"/>
  </r>
  <r>
    <s v="1909000107"/>
    <d v="2019-08-22T00:00:00"/>
    <d v="2019-08-22T00:00:00"/>
    <s v="DZ"/>
    <s v="USD"/>
    <n v="6020.48"/>
    <n v="6020.48"/>
    <s v="BDT"/>
    <s v="EGM1"/>
    <n v="502710.08"/>
    <s v="CM ADV ADJ-424130824383"/>
    <s v="0000005010"/>
    <s v="E35262TC19US0791"/>
    <s v=""/>
    <s v=""/>
    <s v="0"/>
    <s v="424130830580"/>
    <s v=""/>
    <s v=""/>
    <s v=""/>
    <s v=""/>
    <s v=""/>
    <x v="0"/>
    <m/>
    <s v=""/>
    <d v="2019-08-22T00:00:00"/>
    <s v=""/>
    <s v="1909000107"/>
  </r>
  <r>
    <s v="1909000107"/>
    <d v="2019-08-22T00:00:00"/>
    <d v="2019-08-22T00:00:00"/>
    <s v="DZ"/>
    <s v="USD"/>
    <n v="19483.759999999998"/>
    <n v="19483.759999999998"/>
    <s v="BDT"/>
    <s v="EGM1"/>
    <n v="1626893.96"/>
    <s v="CM ADV ADJ-424130815758"/>
    <s v="0000005010"/>
    <s v="E35262TC19US0791"/>
    <s v=""/>
    <s v=""/>
    <s v="0"/>
    <s v="424130830580"/>
    <s v=""/>
    <s v=""/>
    <s v=""/>
    <s v=""/>
    <s v=""/>
    <x v="0"/>
    <m/>
    <s v=""/>
    <d v="2019-08-22T00:00:00"/>
    <s v=""/>
    <s v="1909000107"/>
  </r>
  <r>
    <s v="1909000108"/>
    <d v="2019-08-22T00:00:00"/>
    <d v="2019-08-22T00:00:00"/>
    <s v="DZ"/>
    <s v="USD"/>
    <n v="25117.31"/>
    <n v="25117.31"/>
    <s v="BDT"/>
    <s v="EGM1"/>
    <n v="2097295.39"/>
    <s v="CM ADV ADJ-424130815758"/>
    <s v="0000005010"/>
    <s v="E5078TS19UK0751"/>
    <s v=""/>
    <s v=""/>
    <s v="0"/>
    <s v="424130830562"/>
    <s v=""/>
    <s v=""/>
    <s v=""/>
    <s v=""/>
    <s v=""/>
    <x v="0"/>
    <m/>
    <s v=""/>
    <d v="2019-08-22T00:00:00"/>
    <s v=""/>
    <s v="1909000108"/>
  </r>
  <r>
    <s v="1909000109"/>
    <d v="2019-08-22T00:00:00"/>
    <d v="2019-08-22T00:00:00"/>
    <s v="DZ"/>
    <s v="USD"/>
    <n v="14125.44"/>
    <n v="14125.44"/>
    <s v="BDT"/>
    <s v="EGM1"/>
    <n v="1179474.24"/>
    <s v="CM ADV ADJ-424130824383"/>
    <s v="0000005010"/>
    <s v="E5028TS19UK0781"/>
    <s v=""/>
    <s v=""/>
    <s v="0"/>
    <s v="424130830571"/>
    <s v=""/>
    <s v=""/>
    <s v=""/>
    <s v=""/>
    <s v=""/>
    <x v="0"/>
    <m/>
    <s v=""/>
    <d v="2019-08-22T00:00:00"/>
    <s v=""/>
    <s v="1909000109"/>
  </r>
  <r>
    <s v="1909000109"/>
    <d v="2019-08-22T00:00:00"/>
    <d v="2019-08-22T00:00:00"/>
    <s v="DZ"/>
    <s v="USD"/>
    <n v="668.46"/>
    <n v="668.46"/>
    <s v="BDT"/>
    <s v="EGM1"/>
    <n v="55816.41"/>
    <s v="CM ADV ADJ-424130815758"/>
    <s v="0000005010"/>
    <s v="E5028TS19UK0781"/>
    <s v=""/>
    <s v=""/>
    <s v="0"/>
    <s v="424130830571"/>
    <s v=""/>
    <s v=""/>
    <s v=""/>
    <s v=""/>
    <s v=""/>
    <x v="0"/>
    <m/>
    <s v=""/>
    <d v="2019-08-22T00:00:00"/>
    <s v=""/>
    <s v="1909000109"/>
  </r>
  <r>
    <s v="1909000111"/>
    <d v="2019-07-31T00:00:00"/>
    <d v="2019-07-31T00:00:00"/>
    <s v="DZ"/>
    <s v="USD"/>
    <n v="6793"/>
    <n v="6793"/>
    <s v="BDT"/>
    <s v="EGM1"/>
    <n v="567215.5"/>
    <s v="FIT-CM ADV DWC-JUL-19"/>
    <s v="0000005010"/>
    <s v="FIT-CMDWC-JUL-19"/>
    <s v=""/>
    <s v=""/>
    <s v="0"/>
    <s v="FIT-CM ADV DWC-JUL-19"/>
    <s v=""/>
    <s v=""/>
    <s v=""/>
    <s v=""/>
    <s v=""/>
    <x v="0"/>
    <d v="2019-08-01T00:00:00"/>
    <s v="1903001314"/>
    <d v="2019-07-31T00:00:00"/>
    <s v=""/>
    <s v="1909000111"/>
  </r>
  <r>
    <s v="1909000113"/>
    <d v="2019-08-25T00:00:00"/>
    <d v="2019-08-25T00:00:00"/>
    <s v="DZ"/>
    <s v="USD"/>
    <n v="38293.449999999997"/>
    <n v="38293.449999999997"/>
    <s v="BDT"/>
    <s v="EGM1"/>
    <n v="3197503.08"/>
    <s v="CM ADV ADJ-424130824383"/>
    <s v="0000005010"/>
    <s v="E5028,5136,502"/>
    <s v=""/>
    <s v=""/>
    <s v="0"/>
    <s v="424130832196"/>
    <s v=""/>
    <s v=""/>
    <s v=""/>
    <s v=""/>
    <s v=""/>
    <x v="0"/>
    <m/>
    <s v=""/>
    <d v="2019-08-25T00:00:00"/>
    <s v=""/>
    <s v="1909000113"/>
  </r>
  <r>
    <s v="1909000113"/>
    <d v="2019-08-25T00:00:00"/>
    <d v="2019-08-25T00:00:00"/>
    <s v="DZ"/>
    <s v="USD"/>
    <n v="701.16"/>
    <n v="701.16"/>
    <s v="BDT"/>
    <s v="EGM1"/>
    <n v="58546.86"/>
    <s v="CM ADV ADJ-424130806063"/>
    <s v="0000005010"/>
    <s v="E5028,5136,502"/>
    <s v=""/>
    <s v=""/>
    <s v="0"/>
    <s v="424130832196"/>
    <s v=""/>
    <s v=""/>
    <s v=""/>
    <s v=""/>
    <s v=""/>
    <x v="0"/>
    <m/>
    <s v=""/>
    <d v="2019-08-25T00:00:00"/>
    <s v=""/>
    <s v="1909000113"/>
  </r>
  <r>
    <s v="1909000113"/>
    <d v="2019-08-25T00:00:00"/>
    <d v="2019-08-25T00:00:00"/>
    <s v="DZ"/>
    <s v="USD"/>
    <n v="3635.33"/>
    <n v="3635.33"/>
    <s v="BDT"/>
    <s v="EGM1"/>
    <n v="303550.06"/>
    <s v="CM ADV ADJ-424130815758"/>
    <s v="0000005010"/>
    <s v="E5028,5136,502"/>
    <s v=""/>
    <s v=""/>
    <s v="0"/>
    <s v="424130832196"/>
    <s v=""/>
    <s v=""/>
    <s v=""/>
    <s v=""/>
    <s v=""/>
    <x v="0"/>
    <m/>
    <s v=""/>
    <d v="2019-08-25T00:00:00"/>
    <s v=""/>
    <s v="1909000113"/>
  </r>
  <r>
    <s v="1909000114"/>
    <d v="2019-08-25T00:00:00"/>
    <d v="2019-08-25T00:00:00"/>
    <s v="DZ"/>
    <s v="USD"/>
    <n v="8258"/>
    <n v="8258"/>
    <s v="BDT"/>
    <s v="EGM1"/>
    <n v="689543"/>
    <s v="CM ADV ADJ-424130804207"/>
    <s v="0000001010"/>
    <s v="E05068,E05040"/>
    <s v=""/>
    <s v=""/>
    <s v="0"/>
    <s v="424130832203"/>
    <s v=""/>
    <s v=""/>
    <s v=""/>
    <s v=""/>
    <s v=""/>
    <x v="0"/>
    <m/>
    <s v=""/>
    <d v="2019-08-25T00:00:00"/>
    <s v=""/>
    <s v="1909000114"/>
  </r>
  <r>
    <s v="1909000114"/>
    <d v="2019-08-25T00:00:00"/>
    <d v="2019-08-25T00:00:00"/>
    <s v="DZ"/>
    <s v="USD"/>
    <n v="30515"/>
    <n v="30515"/>
    <s v="BDT"/>
    <s v="EGM1"/>
    <n v="2548002.5"/>
    <s v="CM ADV ADJ-424130823936"/>
    <s v="0000001010"/>
    <s v="E05068,E05040"/>
    <s v=""/>
    <s v=""/>
    <s v="0"/>
    <s v="424130832203"/>
    <s v=""/>
    <s v=""/>
    <s v=""/>
    <s v=""/>
    <s v=""/>
    <x v="0"/>
    <d v="2020-06-30T00:00:00"/>
    <s v="1906000017"/>
    <d v="2019-08-25T00:00:00"/>
    <s v=""/>
    <s v="1909000114"/>
  </r>
  <r>
    <s v="1909000114"/>
    <d v="2019-08-25T00:00:00"/>
    <d v="2019-08-25T00:00:00"/>
    <s v="DZ"/>
    <s v="USD"/>
    <n v="87014"/>
    <n v="87014"/>
    <s v="BDT"/>
    <s v="EGM1"/>
    <n v="7265669"/>
    <s v="CM ADV ADJ-424130814884"/>
    <s v="0000001010"/>
    <s v="E05068,E05040"/>
    <s v=""/>
    <s v=""/>
    <s v="0"/>
    <s v="424130832203"/>
    <s v=""/>
    <s v=""/>
    <s v=""/>
    <s v=""/>
    <s v=""/>
    <x v="0"/>
    <d v="2020-06-30T00:00:00"/>
    <s v="1906000017"/>
    <d v="2019-08-25T00:00:00"/>
    <s v=""/>
    <s v="1909000114"/>
  </r>
  <r>
    <s v="1909000115"/>
    <d v="2019-08-26T00:00:00"/>
    <d v="2019-08-26T00:00:00"/>
    <s v="DZ"/>
    <s v="USD"/>
    <n v="4208.49"/>
    <n v="4208.49"/>
    <s v="BDT"/>
    <s v="EGM2"/>
    <n v="351408.92"/>
    <s v="CM ADV ADJ-424130806054"/>
    <s v="0000005010"/>
    <s v="E25241VF19US0393"/>
    <s v=""/>
    <s v=""/>
    <s v="0"/>
    <s v="424130832686"/>
    <s v=""/>
    <s v=""/>
    <s v=""/>
    <s v=""/>
    <s v=""/>
    <x v="0"/>
    <m/>
    <s v=""/>
    <d v="2019-08-26T00:00:00"/>
    <s v=""/>
    <s v="1909000115"/>
  </r>
  <r>
    <s v="1909000115"/>
    <d v="2019-08-26T00:00:00"/>
    <d v="2019-08-26T00:00:00"/>
    <s v="DZ"/>
    <s v="USD"/>
    <n v="32694.38"/>
    <n v="32694.38"/>
    <s v="BDT"/>
    <s v="EGM2"/>
    <n v="2729980.73"/>
    <s v="CM ADV ADJ-424130824374"/>
    <s v="0000005010"/>
    <s v="E25241VF19US0393"/>
    <s v=""/>
    <s v=""/>
    <s v="0"/>
    <s v="424130832686"/>
    <s v=""/>
    <s v=""/>
    <s v=""/>
    <s v=""/>
    <s v=""/>
    <x v="0"/>
    <m/>
    <s v=""/>
    <d v="2019-08-26T00:00:00"/>
    <s v=""/>
    <s v="1909000115"/>
  </r>
  <r>
    <s v="1909000115"/>
    <d v="2019-08-26T00:00:00"/>
    <d v="2019-08-26T00:00:00"/>
    <s v="DZ"/>
    <s v="USD"/>
    <n v="6973.37"/>
    <n v="6973.37"/>
    <s v="BDT"/>
    <s v="EGM2"/>
    <n v="582276.4"/>
    <s v="CM ADV ADJ-424130815767"/>
    <s v="0000005010"/>
    <s v="E25241VF19US0393"/>
    <s v=""/>
    <s v=""/>
    <s v="0"/>
    <s v="424130832686"/>
    <s v=""/>
    <s v=""/>
    <s v=""/>
    <s v=""/>
    <s v=""/>
    <x v="0"/>
    <m/>
    <s v=""/>
    <d v="2019-08-26T00:00:00"/>
    <s v=""/>
    <s v="1909000115"/>
  </r>
  <r>
    <s v="1909000117"/>
    <d v="2019-08-26T00:00:00"/>
    <d v="2019-08-26T00:00:00"/>
    <s v="DZ"/>
    <s v="USD"/>
    <n v="103292"/>
    <n v="103292"/>
    <s v="BDT"/>
    <s v="EGM1"/>
    <n v="8624882"/>
    <s v="CM ADV ADJ-424130804207"/>
    <s v="0000001010"/>
    <s v="E05140US19-0784"/>
    <s v=""/>
    <s v=""/>
    <s v="0"/>
    <s v="424130832739"/>
    <s v=""/>
    <s v=""/>
    <s v=""/>
    <s v=""/>
    <s v=""/>
    <x v="0"/>
    <m/>
    <s v=""/>
    <d v="2019-08-26T00:00:00"/>
    <s v=""/>
    <s v="1909000117"/>
  </r>
  <r>
    <s v="1909000117"/>
    <d v="2019-08-26T00:00:00"/>
    <d v="2019-08-26T00:00:00"/>
    <s v="DZ"/>
    <s v="USD"/>
    <n v="13368"/>
    <n v="13368"/>
    <s v="BDT"/>
    <s v="EGM1"/>
    <n v="1115960.6399999999"/>
    <s v="CM ADV ADJ-424130775569"/>
    <s v="0000001010"/>
    <s v="E05140US19-0784"/>
    <s v=""/>
    <s v=""/>
    <s v="0"/>
    <s v="424130832739"/>
    <s v=""/>
    <s v=""/>
    <s v=""/>
    <s v=""/>
    <s v=""/>
    <x v="0"/>
    <d v="2019-10-31T00:00:00"/>
    <s v="1906000008"/>
    <d v="2019-08-26T00:00:00"/>
    <s v=""/>
    <s v="1909000117"/>
  </r>
  <r>
    <s v="1909000117"/>
    <d v="2019-08-26T00:00:00"/>
    <d v="2019-08-26T00:00:00"/>
    <s v="DZ"/>
    <s v="USD"/>
    <n v="79935"/>
    <n v="79935"/>
    <s v="BDT"/>
    <s v="EGM1"/>
    <n v="6674572.5"/>
    <s v="CM ADV ADJ-424130823936"/>
    <s v="0000001010"/>
    <s v="E05140US19-0784"/>
    <s v=""/>
    <s v=""/>
    <s v="0"/>
    <s v="424130832739"/>
    <s v=""/>
    <s v=""/>
    <s v=""/>
    <s v=""/>
    <s v=""/>
    <x v="0"/>
    <d v="2020-06-30T00:00:00"/>
    <s v="1906000017"/>
    <d v="2019-08-26T00:00:00"/>
    <s v=""/>
    <s v="1909000117"/>
  </r>
  <r>
    <s v="1909000117"/>
    <d v="2019-08-26T00:00:00"/>
    <d v="2019-08-26T00:00:00"/>
    <s v="DZ"/>
    <s v="USD"/>
    <n v="38335"/>
    <n v="38335"/>
    <s v="BDT"/>
    <s v="EGM1"/>
    <n v="3200972.5"/>
    <s v="CM ADV ADJ-424130814884"/>
    <s v="0000001010"/>
    <s v="E05140US19-0784"/>
    <s v=""/>
    <s v=""/>
    <s v="0"/>
    <s v="424130832739"/>
    <s v=""/>
    <s v=""/>
    <s v=""/>
    <s v=""/>
    <s v=""/>
    <x v="0"/>
    <d v="2020-06-30T00:00:00"/>
    <s v="1906000017"/>
    <d v="2019-08-26T00:00:00"/>
    <s v=""/>
    <s v="1909000117"/>
  </r>
  <r>
    <s v="1909000117"/>
    <d v="2019-08-26T00:00:00"/>
    <d v="2019-08-26T00:00:00"/>
    <s v="DZ"/>
    <s v="USD"/>
    <n v="5246"/>
    <n v="5246"/>
    <s v="BDT"/>
    <s v="EGM1"/>
    <n v="437936.08"/>
    <s v="CM ADV ADJ-424130789439"/>
    <s v="0000001010"/>
    <s v="E05140US19-0784"/>
    <s v=""/>
    <s v=""/>
    <s v="0"/>
    <s v="424130832739"/>
    <s v=""/>
    <s v=""/>
    <s v=""/>
    <s v=""/>
    <s v=""/>
    <x v="0"/>
    <d v="2019-10-31T00:00:00"/>
    <s v="1906000009"/>
    <d v="2019-08-26T00:00:00"/>
    <s v=""/>
    <s v="1909000117"/>
  </r>
  <r>
    <s v="1909000117"/>
    <d v="2019-08-26T00:00:00"/>
    <d v="2019-08-26T00:00:00"/>
    <s v="DZ"/>
    <s v="USD"/>
    <n v="8010"/>
    <n v="8010"/>
    <s v="BDT"/>
    <s v="EGM1"/>
    <n v="668674.80000000005"/>
    <s v="CM ADV ADJ-424130785148"/>
    <s v="0000001010"/>
    <s v="E05140US19-0784"/>
    <s v=""/>
    <s v=""/>
    <s v="0"/>
    <s v="424130832739"/>
    <s v=""/>
    <s v=""/>
    <s v=""/>
    <s v=""/>
    <s v=""/>
    <x v="0"/>
    <d v="2020-06-30T00:00:00"/>
    <s v="1906000017"/>
    <d v="2019-08-26T00:00:00"/>
    <s v=""/>
    <s v="1909000117"/>
  </r>
  <r>
    <s v="1909000118"/>
    <d v="2019-08-26T00:00:00"/>
    <d v="2019-08-26T00:00:00"/>
    <s v="DZ"/>
    <s v="USD"/>
    <n v="2188"/>
    <n v="2188"/>
    <s v="BDT"/>
    <s v="EGM1"/>
    <n v="182698"/>
    <s v="CM ADV ADJ-424130804207"/>
    <s v="0000001010"/>
    <s v="E35063BM9UK0816"/>
    <s v=""/>
    <s v=""/>
    <s v="0"/>
    <s v="424130832702"/>
    <s v=""/>
    <s v=""/>
    <s v=""/>
    <s v=""/>
    <s v=""/>
    <x v="0"/>
    <m/>
    <s v=""/>
    <d v="2019-08-26T00:00:00"/>
    <s v=""/>
    <s v="1909000118"/>
  </r>
  <r>
    <s v="1909000118"/>
    <d v="2019-08-26T00:00:00"/>
    <d v="2019-08-26T00:00:00"/>
    <s v="DZ"/>
    <s v="USD"/>
    <n v="53812"/>
    <n v="53812"/>
    <s v="BDT"/>
    <s v="EGM1"/>
    <n v="4493302"/>
    <s v="CM ADV ADJ-424130823936"/>
    <s v="0000001010"/>
    <s v="E35063BM9UK0816"/>
    <s v=""/>
    <s v=""/>
    <s v="0"/>
    <s v="424130832702"/>
    <s v=""/>
    <s v=""/>
    <s v=""/>
    <s v=""/>
    <s v=""/>
    <x v="0"/>
    <d v="2020-06-30T00:00:00"/>
    <s v="1906000017"/>
    <d v="2019-08-26T00:00:00"/>
    <s v=""/>
    <s v="1909000118"/>
  </r>
  <r>
    <s v="1909000118"/>
    <d v="2019-08-26T00:00:00"/>
    <d v="2019-08-26T00:00:00"/>
    <s v="DZ"/>
    <s v="USD"/>
    <n v="16828"/>
    <n v="16828"/>
    <s v="BDT"/>
    <s v="EGM1"/>
    <n v="1405138"/>
    <s v="CM ADV ADJ-424130814884"/>
    <s v="0000001010"/>
    <s v="E35063BM9UK0816"/>
    <s v=""/>
    <s v=""/>
    <s v="0"/>
    <s v="424130832702"/>
    <s v=""/>
    <s v=""/>
    <s v=""/>
    <s v=""/>
    <s v=""/>
    <x v="0"/>
    <d v="2020-06-30T00:00:00"/>
    <s v="1906000017"/>
    <d v="2019-08-26T00:00:00"/>
    <s v=""/>
    <s v="1909000118"/>
  </r>
  <r>
    <s v="1909000119"/>
    <d v="2019-08-26T00:00:00"/>
    <d v="2019-08-26T00:00:00"/>
    <s v="DZ"/>
    <s v="USD"/>
    <n v="300772"/>
    <n v="300772"/>
    <s v="BDT"/>
    <s v="EGM1"/>
    <n v="25114462"/>
    <s v="CM ADV ADJ-424130823936"/>
    <s v="0000001010"/>
    <s v="E05183US190793"/>
    <s v=""/>
    <s v=""/>
    <s v="0"/>
    <s v="424130832720"/>
    <s v=""/>
    <s v=""/>
    <s v=""/>
    <s v=""/>
    <s v=""/>
    <x v="0"/>
    <d v="2020-06-30T00:00:00"/>
    <s v="1906000017"/>
    <d v="2019-08-26T00:00:00"/>
    <s v=""/>
    <s v="1909000119"/>
  </r>
  <r>
    <s v="1909000119"/>
    <d v="2019-08-26T00:00:00"/>
    <d v="2019-08-26T00:00:00"/>
    <s v="DZ"/>
    <s v="USD"/>
    <n v="122620"/>
    <n v="122620"/>
    <s v="BDT"/>
    <s v="EGM1"/>
    <n v="10238770"/>
    <s v="CM ADV ADJ-424130814884"/>
    <s v="0000001010"/>
    <s v="E05183US190793"/>
    <s v=""/>
    <s v=""/>
    <s v="0"/>
    <s v="424130832720"/>
    <s v=""/>
    <s v=""/>
    <s v=""/>
    <s v=""/>
    <s v=""/>
    <x v="0"/>
    <d v="2020-06-30T00:00:00"/>
    <s v="1906000017"/>
    <d v="2019-08-26T00:00:00"/>
    <s v=""/>
    <s v="1909000119"/>
  </r>
  <r>
    <s v="1909000121"/>
    <d v="2019-08-27T00:00:00"/>
    <d v="2019-08-27T00:00:00"/>
    <s v="DZ"/>
    <s v="USD"/>
    <n v="1558"/>
    <n v="1558"/>
    <s v="BDT"/>
    <s v="EGM1"/>
    <n v="130093"/>
    <s v="CM ADV ADJ-424130804207"/>
    <s v="0000001010"/>
    <s v="0760,0767,0808"/>
    <s v=""/>
    <s v=""/>
    <s v="0"/>
    <s v="424130834112"/>
    <s v=""/>
    <s v=""/>
    <s v=""/>
    <s v=""/>
    <s v=""/>
    <x v="0"/>
    <m/>
    <s v=""/>
    <d v="2019-08-27T00:00:00"/>
    <s v=""/>
    <s v="1909000121"/>
  </r>
  <r>
    <s v="1909000121"/>
    <d v="2019-08-27T00:00:00"/>
    <d v="2019-08-27T00:00:00"/>
    <s v="DZ"/>
    <s v="USD"/>
    <n v="346"/>
    <n v="346"/>
    <s v="BDT"/>
    <s v="EGM1"/>
    <n v="28891"/>
    <s v="CM ADV ADJ-424130823936"/>
    <s v="0000001010"/>
    <s v="0760,0767,0808"/>
    <s v=""/>
    <s v=""/>
    <s v="0"/>
    <s v="424130834112"/>
    <s v=""/>
    <s v=""/>
    <s v=""/>
    <s v=""/>
    <s v=""/>
    <x v="0"/>
    <d v="2020-06-30T00:00:00"/>
    <s v="1906000017"/>
    <d v="2019-08-27T00:00:00"/>
    <s v=""/>
    <s v="1909000121"/>
  </r>
  <r>
    <s v="1909000121"/>
    <d v="2019-08-27T00:00:00"/>
    <d v="2019-08-27T00:00:00"/>
    <s v="DZ"/>
    <s v="USD"/>
    <n v="1494"/>
    <n v="1494"/>
    <s v="BDT"/>
    <s v="EGM1"/>
    <n v="124749"/>
    <s v="CM ADV ADJ-424130814884"/>
    <s v="0000001010"/>
    <s v="0760,0767,0808"/>
    <s v=""/>
    <s v=""/>
    <s v="0"/>
    <s v="424130834112"/>
    <s v=""/>
    <s v=""/>
    <s v=""/>
    <s v=""/>
    <s v=""/>
    <x v="0"/>
    <d v="2020-06-30T00:00:00"/>
    <s v="1906000017"/>
    <d v="2019-08-27T00:00:00"/>
    <s v=""/>
    <s v="1909000121"/>
  </r>
  <r>
    <s v="1909000121"/>
    <d v="2019-08-27T00:00:00"/>
    <d v="2019-08-27T00:00:00"/>
    <s v="DZ"/>
    <s v="USD"/>
    <n v="387"/>
    <n v="387"/>
    <s v="BDT"/>
    <s v="EGM1"/>
    <n v="32306.76"/>
    <s v="CM ADV ADJ-424130789439"/>
    <s v="0000001010"/>
    <s v="0760,0767,0808"/>
    <s v=""/>
    <s v=""/>
    <s v="0"/>
    <s v="424130834112"/>
    <s v=""/>
    <s v=""/>
    <s v=""/>
    <s v=""/>
    <s v=""/>
    <x v="0"/>
    <d v="2019-10-31T00:00:00"/>
    <s v="1906000009"/>
    <d v="2019-08-27T00:00:00"/>
    <s v=""/>
    <s v="1909000121"/>
  </r>
  <r>
    <s v="1909000122"/>
    <d v="2019-08-27T00:00:00"/>
    <d v="2019-08-27T00:00:00"/>
    <s v="DZ"/>
    <s v="USD"/>
    <n v="12229"/>
    <n v="12229"/>
    <s v="BDT"/>
    <s v="EGM1"/>
    <n v="1021121.5"/>
    <s v="CM ADV ADJ-424130823936"/>
    <s v="0000001010"/>
    <s v="846,848"/>
    <s v=""/>
    <s v=""/>
    <s v="0"/>
    <s v="424130834103"/>
    <s v=""/>
    <s v=""/>
    <s v=""/>
    <s v=""/>
    <s v=""/>
    <x v="0"/>
    <d v="2020-06-30T00:00:00"/>
    <s v="1906000017"/>
    <d v="2019-08-27T00:00:00"/>
    <s v=""/>
    <s v="1909000122"/>
  </r>
  <r>
    <s v="1909000123"/>
    <d v="2019-08-28T00:00:00"/>
    <d v="2019-08-28T00:00:00"/>
    <s v="DZ"/>
    <s v="USD"/>
    <n v="11217.26"/>
    <n v="11217.26"/>
    <s v="BDT"/>
    <s v="EGM1"/>
    <n v="936641.21"/>
    <s v="CM ADV ADJ-424130824383"/>
    <s v="0000005010"/>
    <s v="E351720799"/>
    <s v=""/>
    <s v=""/>
    <s v="0"/>
    <s v="424130833239"/>
    <s v=""/>
    <s v=""/>
    <s v=""/>
    <s v=""/>
    <s v=""/>
    <x v="0"/>
    <m/>
    <s v=""/>
    <d v="2019-08-28T00:00:00"/>
    <s v=""/>
    <s v="1909000123"/>
  </r>
  <r>
    <s v="1909000124"/>
    <d v="2019-08-27T00:00:00"/>
    <d v="2019-08-27T00:00:00"/>
    <s v="DZ"/>
    <s v="USD"/>
    <n v="9154.7099999999991"/>
    <n v="9154.7099999999991"/>
    <s v="BDT"/>
    <s v="EGM1"/>
    <n v="764418.29"/>
    <s v="CM ADV ADJ-424130824383"/>
    <s v="0000005010"/>
    <s v="EG305162,05163"/>
    <s v=""/>
    <s v=""/>
    <s v="0"/>
    <s v="424130833220"/>
    <s v=""/>
    <s v=""/>
    <s v=""/>
    <s v=""/>
    <s v=""/>
    <x v="0"/>
    <m/>
    <s v=""/>
    <d v="2019-08-27T00:00:00"/>
    <s v=""/>
    <s v="1909000124"/>
  </r>
  <r>
    <s v="1909000125"/>
    <d v="2019-08-27T00:00:00"/>
    <d v="2019-08-27T00:00:00"/>
    <s v="DZ"/>
    <s v="USD"/>
    <n v="3211.46"/>
    <n v="3211.46"/>
    <s v="BDT"/>
    <s v="EGM2"/>
    <n v="268156.90999999997"/>
    <s v="CM ADV ADJ-424130806054"/>
    <s v="0000005010"/>
    <s v="E450440815"/>
    <s v=""/>
    <s v=""/>
    <s v="0"/>
    <s v="424130833211"/>
    <s v=""/>
    <s v=""/>
    <s v=""/>
    <s v=""/>
    <s v=""/>
    <x v="0"/>
    <m/>
    <s v=""/>
    <d v="2019-08-27T00:00:00"/>
    <s v=""/>
    <s v="1909000125"/>
  </r>
  <r>
    <s v="1909000125"/>
    <d v="2019-08-27T00:00:00"/>
    <d v="2019-08-27T00:00:00"/>
    <s v="DZ"/>
    <s v="USD"/>
    <n v="353.89"/>
    <n v="353.89"/>
    <s v="BDT"/>
    <s v="EGM1"/>
    <n v="29549.82"/>
    <s v="CM ADV ADJ-424130815758"/>
    <s v="0000005010"/>
    <s v="E450440815"/>
    <s v=""/>
    <s v=""/>
    <s v="0"/>
    <s v="424130833211"/>
    <s v=""/>
    <s v=""/>
    <s v=""/>
    <s v=""/>
    <s v=""/>
    <x v="0"/>
    <m/>
    <s v=""/>
    <d v="2019-08-27T00:00:00"/>
    <s v=""/>
    <s v="1909000125"/>
  </r>
  <r>
    <s v="1909000126"/>
    <d v="2019-08-27T00:00:00"/>
    <d v="2019-08-27T00:00:00"/>
    <s v="DZ"/>
    <s v="USD"/>
    <n v="29077.279999999999"/>
    <n v="29077.279999999999"/>
    <s v="BDT"/>
    <s v="EGM1"/>
    <n v="2427952.89"/>
    <s v="CM ADV ADJ-424130824392"/>
    <s v="0000005010"/>
    <s v="E4852AMZ19US0744"/>
    <s v=""/>
    <s v=""/>
    <s v="0"/>
    <s v="424130833195"/>
    <s v=""/>
    <s v=""/>
    <s v=""/>
    <s v=""/>
    <s v=""/>
    <x v="0"/>
    <m/>
    <s v=""/>
    <d v="2019-08-27T00:00:00"/>
    <s v=""/>
    <s v="1909000126"/>
  </r>
  <r>
    <s v="1909000127"/>
    <d v="2019-08-27T00:00:00"/>
    <d v="2019-08-27T00:00:00"/>
    <s v="DZ"/>
    <s v="USD"/>
    <n v="13929"/>
    <n v="13929"/>
    <s v="BDT"/>
    <s v="EGM1"/>
    <n v="1163071.5"/>
    <s v="CM ADV ADJ-424130824383"/>
    <s v="0000005010"/>
    <s v="E50780833"/>
    <s v=""/>
    <s v=""/>
    <s v="0"/>
    <s v="424130833202"/>
    <s v=""/>
    <s v=""/>
    <s v=""/>
    <s v=""/>
    <s v=""/>
    <x v="0"/>
    <m/>
    <s v=""/>
    <d v="2019-08-27T00:00:00"/>
    <s v=""/>
    <s v="1909000127"/>
  </r>
  <r>
    <s v="1909000127"/>
    <d v="2019-08-27T00:00:00"/>
    <d v="2019-08-27T00:00:00"/>
    <s v="DZ"/>
    <s v="USD"/>
    <n v="1307.29"/>
    <n v="1307.29"/>
    <s v="BDT"/>
    <s v="EGM1"/>
    <n v="109158.72"/>
    <s v="CM ADV ADJ-424130815758"/>
    <s v="0000005010"/>
    <s v="E50780833"/>
    <s v=""/>
    <s v=""/>
    <s v="0"/>
    <s v="424130833202"/>
    <s v=""/>
    <s v=""/>
    <s v=""/>
    <s v=""/>
    <s v=""/>
    <x v="0"/>
    <m/>
    <s v=""/>
    <d v="2019-08-27T00:00:00"/>
    <s v=""/>
    <s v="1909000127"/>
  </r>
  <r>
    <s v="1909000128"/>
    <d v="2019-08-29T00:00:00"/>
    <d v="2019-08-29T00:00:00"/>
    <s v="DZ"/>
    <s v="USD"/>
    <n v="68828.92"/>
    <n v="68828.92"/>
    <s v="BDT"/>
    <s v="EGM1"/>
    <n v="5747214.8200000003"/>
    <s v="CM ADV ADJ-424130824383"/>
    <s v="0000005010"/>
    <s v="756,755"/>
    <s v=""/>
    <s v=""/>
    <s v="0"/>
    <s v="424130835790"/>
    <s v=""/>
    <s v=""/>
    <s v=""/>
    <s v=""/>
    <s v=""/>
    <x v="0"/>
    <m/>
    <s v=""/>
    <d v="2019-08-29T00:00:00"/>
    <s v=""/>
    <s v="1909000128"/>
  </r>
  <r>
    <s v="1909000128"/>
    <d v="2019-08-29T00:00:00"/>
    <d v="2019-08-29T00:00:00"/>
    <s v="DZ"/>
    <s v="USD"/>
    <n v="101404.25"/>
    <n v="101404.25"/>
    <s v="BDT"/>
    <s v="EGM1"/>
    <n v="8467254.8800000008"/>
    <s v="CM ADV ADJ-424130806063"/>
    <s v="0000005010"/>
    <s v="756,755"/>
    <s v=""/>
    <s v=""/>
    <s v="0"/>
    <s v="424130835790"/>
    <s v=""/>
    <s v=""/>
    <s v=""/>
    <s v=""/>
    <s v=""/>
    <x v="0"/>
    <m/>
    <s v=""/>
    <d v="2019-08-29T00:00:00"/>
    <s v=""/>
    <s v="1909000128"/>
  </r>
  <r>
    <s v="1909000128"/>
    <d v="2019-08-29T00:00:00"/>
    <d v="2019-08-29T00:00:00"/>
    <s v="DZ"/>
    <s v="USD"/>
    <n v="102507.28"/>
    <n v="102507.28"/>
    <s v="BDT"/>
    <s v="EGM1"/>
    <n v="8559357.8900000006"/>
    <s v="CM ADV ADJ-424130815758"/>
    <s v="0000005010"/>
    <s v="756,755"/>
    <s v=""/>
    <s v=""/>
    <s v="0"/>
    <s v="424130835790"/>
    <s v=""/>
    <s v=""/>
    <s v=""/>
    <s v=""/>
    <s v=""/>
    <x v="0"/>
    <m/>
    <s v=""/>
    <d v="2019-08-29T00:00:00"/>
    <s v=""/>
    <s v="1909000128"/>
  </r>
  <r>
    <s v="1909000129"/>
    <d v="2019-08-29T00:00:00"/>
    <d v="2019-08-29T00:00:00"/>
    <s v="DZ"/>
    <s v="USD"/>
    <n v="68977"/>
    <n v="68977"/>
    <s v="BDT"/>
    <s v="EGM1"/>
    <n v="5759579.5"/>
    <s v="CM ADV ADJ-424130804207"/>
    <s v="0000001010"/>
    <s v="762,769,766,830"/>
    <s v=""/>
    <s v=""/>
    <s v="0"/>
    <s v="424130835781,424130835772"/>
    <s v=""/>
    <s v=""/>
    <s v=""/>
    <s v=""/>
    <s v=""/>
    <x v="0"/>
    <m/>
    <s v=""/>
    <d v="2019-08-29T00:00:00"/>
    <s v=""/>
    <s v="1909000129"/>
  </r>
  <r>
    <s v="1909000129"/>
    <d v="2019-08-29T00:00:00"/>
    <d v="2019-08-29T00:00:00"/>
    <s v="DZ"/>
    <s v="USD"/>
    <n v="96715"/>
    <n v="96715"/>
    <s v="BDT"/>
    <s v="EGM1"/>
    <n v="8075702.5"/>
    <s v="CM ADV ADJ-424130823936"/>
    <s v="0000001010"/>
    <s v="762,769,766,830"/>
    <s v=""/>
    <s v=""/>
    <s v="0"/>
    <s v="424130835781,424130835772"/>
    <s v=""/>
    <s v=""/>
    <s v=""/>
    <s v=""/>
    <s v=""/>
    <x v="0"/>
    <d v="2020-06-30T00:00:00"/>
    <s v="1906000017"/>
    <d v="2019-08-29T00:00:00"/>
    <s v=""/>
    <s v="1909000129"/>
  </r>
  <r>
    <s v="1909000129"/>
    <d v="2019-08-29T00:00:00"/>
    <d v="2019-08-29T00:00:00"/>
    <s v="DZ"/>
    <s v="USD"/>
    <n v="71631"/>
    <n v="71631"/>
    <s v="BDT"/>
    <s v="EGM1"/>
    <n v="5981188.5"/>
    <s v="CM ADV ADJ-424130814884"/>
    <s v="0000001010"/>
    <s v="762,769,766,830"/>
    <s v=""/>
    <s v=""/>
    <s v="0"/>
    <s v="424130835781,424130835772"/>
    <s v=""/>
    <s v=""/>
    <s v=""/>
    <s v=""/>
    <s v=""/>
    <x v="0"/>
    <d v="2020-06-30T00:00:00"/>
    <s v="1906000017"/>
    <d v="2019-08-29T00:00:00"/>
    <s v=""/>
    <s v="1909000129"/>
  </r>
  <r>
    <s v="1909000129"/>
    <d v="2019-08-29T00:00:00"/>
    <d v="2019-08-29T00:00:00"/>
    <s v="DZ"/>
    <s v="USD"/>
    <n v="62"/>
    <n v="62"/>
    <s v="BDT"/>
    <s v="EGM1"/>
    <n v="5175.76"/>
    <s v="CM ADV ADJ-424130789439"/>
    <s v="0000001010"/>
    <s v="762,769,766,830"/>
    <s v=""/>
    <s v=""/>
    <s v="0"/>
    <s v="424130835781,424130835772"/>
    <s v=""/>
    <s v=""/>
    <s v=""/>
    <s v=""/>
    <s v=""/>
    <x v="0"/>
    <d v="2019-10-31T00:00:00"/>
    <s v="1906000009"/>
    <d v="2019-08-29T00:00:00"/>
    <s v=""/>
    <s v="1909000129"/>
  </r>
  <r>
    <s v="1909000133"/>
    <d v="2019-09-01T00:00:00"/>
    <d v="2019-09-01T00:00:00"/>
    <s v="DZ"/>
    <s v="USD"/>
    <n v="18164"/>
    <n v="18164"/>
    <s v="BDT"/>
    <s v="EGM1"/>
    <n v="1516694"/>
    <s v="CM ADV ADJ-424130804207"/>
    <s v="0000001010"/>
    <s v="802,800,801"/>
    <s v=""/>
    <s v=""/>
    <s v="0"/>
    <s v="424130835175"/>
    <s v=""/>
    <s v=""/>
    <s v=""/>
    <s v=""/>
    <s v=""/>
    <x v="0"/>
    <m/>
    <s v=""/>
    <d v="2019-09-01T00:00:00"/>
    <s v=""/>
    <s v="1909000133"/>
  </r>
  <r>
    <s v="1909000133"/>
    <d v="2019-09-01T00:00:00"/>
    <d v="2019-09-01T00:00:00"/>
    <s v="DZ"/>
    <s v="USD"/>
    <n v="32812"/>
    <n v="32812"/>
    <s v="BDT"/>
    <s v="EGM1"/>
    <n v="2739802"/>
    <s v="CM ADV ADJ-424130823936"/>
    <s v="0000001010"/>
    <s v="802,800,801"/>
    <s v=""/>
    <s v=""/>
    <s v="0"/>
    <s v="424130835175"/>
    <s v=""/>
    <s v=""/>
    <s v=""/>
    <s v=""/>
    <s v=""/>
    <x v="0"/>
    <d v="2020-06-30T00:00:00"/>
    <s v="1906000017"/>
    <d v="2019-09-01T00:00:00"/>
    <s v=""/>
    <s v="1909000133"/>
  </r>
  <r>
    <s v="1909000133"/>
    <d v="2019-09-01T00:00:00"/>
    <d v="2019-09-01T00:00:00"/>
    <s v="DZ"/>
    <s v="USD"/>
    <n v="47641"/>
    <n v="47641"/>
    <s v="BDT"/>
    <s v="EGM1"/>
    <n v="3978023.5"/>
    <s v="CM ADV ADJ-424130814884"/>
    <s v="0000001010"/>
    <s v="802,800,801"/>
    <s v=""/>
    <s v=""/>
    <s v="0"/>
    <s v="424130835175"/>
    <s v=""/>
    <s v=""/>
    <s v=""/>
    <s v=""/>
    <s v=""/>
    <x v="0"/>
    <d v="2020-06-30T00:00:00"/>
    <s v="1906000017"/>
    <d v="2019-09-01T00:00:00"/>
    <s v=""/>
    <s v="1909000133"/>
  </r>
  <r>
    <s v="1909000134"/>
    <d v="2019-09-01T00:00:00"/>
    <d v="2019-09-01T00:00:00"/>
    <s v="DZ"/>
    <s v="USD"/>
    <n v="27609"/>
    <n v="27609"/>
    <s v="BDT"/>
    <s v="EGM1"/>
    <n v="2305351.5"/>
    <s v="CM ADV ADJ-424130824383"/>
    <s v="0000005010"/>
    <s v="872,870,821.82"/>
    <s v=""/>
    <s v=""/>
    <s v="0"/>
    <s v="424130835816"/>
    <s v=""/>
    <s v=""/>
    <s v=""/>
    <s v=""/>
    <s v=""/>
    <x v="0"/>
    <m/>
    <s v=""/>
    <d v="2019-09-01T00:00:00"/>
    <s v=""/>
    <s v="1909000134"/>
  </r>
  <r>
    <s v="1909000134"/>
    <d v="2019-09-01T00:00:00"/>
    <d v="2019-09-01T00:00:00"/>
    <s v="DZ"/>
    <s v="USD"/>
    <n v="4135.16"/>
    <n v="4135.16"/>
    <s v="BDT"/>
    <s v="EGM1"/>
    <n v="345285.86"/>
    <s v="CM ADV ADJ-424130806063"/>
    <s v="0000005010"/>
    <s v="872,870,821.82"/>
    <s v=""/>
    <s v=""/>
    <s v="0"/>
    <s v="424130835816"/>
    <s v=""/>
    <s v=""/>
    <s v=""/>
    <s v=""/>
    <s v=""/>
    <x v="0"/>
    <m/>
    <s v=""/>
    <d v="2019-09-01T00:00:00"/>
    <s v=""/>
    <s v="1909000134"/>
  </r>
  <r>
    <s v="1909000135"/>
    <d v="2019-09-02T00:00:00"/>
    <d v="2019-09-02T00:00:00"/>
    <s v="DZ"/>
    <s v="USD"/>
    <n v="21640"/>
    <n v="21640"/>
    <s v="BDT"/>
    <s v="EGM1"/>
    <n v="1806940"/>
    <s v="CM ADV ADJ-424130804207"/>
    <s v="0000001010"/>
    <s v="E05008US19-0759"/>
    <s v=""/>
    <s v=""/>
    <s v="0"/>
    <s v="424130836370"/>
    <s v=""/>
    <s v=""/>
    <s v=""/>
    <s v=""/>
    <s v=""/>
    <x v="0"/>
    <m/>
    <s v=""/>
    <d v="2019-09-02T00:00:00"/>
    <s v=""/>
    <s v="1909000135"/>
  </r>
  <r>
    <s v="1909000135"/>
    <d v="2019-09-02T00:00:00"/>
    <d v="2019-09-02T00:00:00"/>
    <s v="DZ"/>
    <s v="USD"/>
    <n v="179107"/>
    <n v="179107"/>
    <s v="BDT"/>
    <s v="EGM1"/>
    <n v="14955434.5"/>
    <s v="CM ADV ADJ-424130823936"/>
    <s v="0000001010"/>
    <s v="E05008US19-0759"/>
    <s v=""/>
    <s v=""/>
    <s v="0"/>
    <s v="424130836370"/>
    <s v=""/>
    <s v=""/>
    <s v=""/>
    <s v=""/>
    <s v=""/>
    <x v="0"/>
    <d v="2020-06-30T00:00:00"/>
    <s v="1906000017"/>
    <d v="2019-09-02T00:00:00"/>
    <s v=""/>
    <s v="1909000135"/>
  </r>
  <r>
    <s v="1909000135"/>
    <d v="2019-09-02T00:00:00"/>
    <d v="2019-09-02T00:00:00"/>
    <s v="DZ"/>
    <s v="USD"/>
    <n v="97448"/>
    <n v="97448"/>
    <s v="BDT"/>
    <s v="EGM1"/>
    <n v="8136908"/>
    <s v="CM ADV ADJ-424130814884"/>
    <s v="0000001010"/>
    <s v="E05008US19-0759"/>
    <s v=""/>
    <s v=""/>
    <s v="0"/>
    <s v="424130836370"/>
    <s v=""/>
    <s v=""/>
    <s v=""/>
    <s v=""/>
    <s v=""/>
    <x v="0"/>
    <d v="2020-06-30T00:00:00"/>
    <s v="1906000017"/>
    <d v="2019-09-02T00:00:00"/>
    <s v=""/>
    <s v="1909000135"/>
  </r>
  <r>
    <s v="1909000136"/>
    <d v="2019-09-04T00:00:00"/>
    <d v="2019-09-04T00:00:00"/>
    <s v="DZ"/>
    <s v="USD"/>
    <n v="-15300"/>
    <n v="-15300"/>
    <s v="BDT"/>
    <s v="EGM2"/>
    <n v="-1277550.01"/>
    <s v="CM ADV REC-424130838261"/>
    <s v="0000001010"/>
    <s v="IT06591909030208"/>
    <s v=""/>
    <s v=""/>
    <s v="0"/>
    <s v="424130838261"/>
    <s v=""/>
    <s v=""/>
    <s v=""/>
    <s v=""/>
    <s v=""/>
    <x v="0"/>
    <m/>
    <s v=""/>
    <d v="2019-09-04T00:00:00"/>
    <s v=""/>
    <s v="1909000136"/>
  </r>
  <r>
    <s v="1909000137"/>
    <d v="2019-09-04T00:00:00"/>
    <d v="2019-09-04T00:00:00"/>
    <s v="DZ"/>
    <s v="USD"/>
    <n v="-236250"/>
    <n v="-236250"/>
    <s v="BDT"/>
    <s v="EGM2"/>
    <n v="-19726875.010000002"/>
    <s v="CM ADV REC-424130838252"/>
    <s v="0000005010"/>
    <s v="IT06591909040036"/>
    <s v=""/>
    <s v=""/>
    <s v="0"/>
    <s v="424130838252"/>
    <s v=""/>
    <s v=""/>
    <s v=""/>
    <s v=""/>
    <s v=""/>
    <x v="0"/>
    <m/>
    <s v=""/>
    <d v="2019-09-04T00:00:00"/>
    <s v=""/>
    <s v="1909000137"/>
  </r>
  <r>
    <s v="1909000138"/>
    <d v="2019-09-04T00:00:00"/>
    <d v="2019-09-04T00:00:00"/>
    <s v="DZ"/>
    <s v="USD"/>
    <n v="-1068976"/>
    <n v="-1068976"/>
    <s v="BDT"/>
    <s v="EGM1"/>
    <n v="-89259496.010000005"/>
    <s v="CM ADV REC-424130838243"/>
    <s v="0000001010"/>
    <s v="IT06591909030209"/>
    <s v=""/>
    <s v=""/>
    <s v="0"/>
    <s v="424130838243"/>
    <s v=""/>
    <s v=""/>
    <s v=""/>
    <s v=""/>
    <s v=""/>
    <x v="0"/>
    <m/>
    <s v=""/>
    <d v="2019-09-04T00:00:00"/>
    <s v=""/>
    <s v="1909000138"/>
  </r>
  <r>
    <s v="1909000139"/>
    <d v="2019-09-04T00:00:00"/>
    <d v="2019-09-04T00:00:00"/>
    <s v="DZ"/>
    <s v="USD"/>
    <n v="-545344"/>
    <n v="-545344"/>
    <s v="BDT"/>
    <s v="EGM1"/>
    <n v="-45536224.009999998"/>
    <s v="CM ADV REC-424130838234"/>
    <s v="0000005010"/>
    <s v="ARV"/>
    <s v=""/>
    <s v=""/>
    <s v="0"/>
    <s v="424130838234"/>
    <s v=""/>
    <s v=""/>
    <s v=""/>
    <s v=""/>
    <s v=""/>
    <x v="0"/>
    <m/>
    <s v=""/>
    <d v="2019-09-04T00:00:00"/>
    <s v=""/>
    <s v="1909000139"/>
  </r>
  <r>
    <s v="1909000140"/>
    <d v="2019-09-05T00:00:00"/>
    <d v="2019-09-05T00:00:00"/>
    <s v="DZ"/>
    <s v="USD"/>
    <n v="635.96"/>
    <n v="635.96"/>
    <s v="BDT"/>
    <s v="EGM1"/>
    <n v="53102.66"/>
    <s v="CM ADV ADJ-424130824383"/>
    <s v="0000005010"/>
    <s v="E3499DC19US0873"/>
    <s v=""/>
    <s v=""/>
    <s v="0"/>
    <s v="424130837529"/>
    <s v=""/>
    <s v=""/>
    <s v=""/>
    <s v=""/>
    <s v=""/>
    <x v="0"/>
    <m/>
    <s v=""/>
    <d v="2019-09-05T00:00:00"/>
    <s v=""/>
    <s v="1909000140"/>
  </r>
  <r>
    <s v="1909000140"/>
    <d v="2019-09-05T00:00:00"/>
    <d v="2019-09-05T00:00:00"/>
    <s v="DZ"/>
    <s v="USD"/>
    <n v="1986.33"/>
    <n v="1986.33"/>
    <s v="BDT"/>
    <s v="EGM1"/>
    <n v="165858.56"/>
    <s v="CM ADV ADJ-424130806063"/>
    <s v="0000005010"/>
    <s v="E3499DC19US0873"/>
    <s v=""/>
    <s v=""/>
    <s v="0"/>
    <s v="424130837529"/>
    <s v=""/>
    <s v=""/>
    <s v=""/>
    <s v=""/>
    <s v=""/>
    <x v="0"/>
    <m/>
    <s v=""/>
    <d v="2019-09-05T00:00:00"/>
    <s v=""/>
    <s v="1909000140"/>
  </r>
  <r>
    <s v="1909000141"/>
    <d v="2019-09-05T00:00:00"/>
    <d v="2019-09-05T00:00:00"/>
    <s v="DZ"/>
    <s v="USD"/>
    <n v="4593.84"/>
    <n v="4593.84"/>
    <s v="BDT"/>
    <s v="EGM1"/>
    <n v="383585.64"/>
    <s v="CM ADV ADJ-424130824383"/>
    <s v="0000005010"/>
    <s v="0874"/>
    <s v=""/>
    <s v=""/>
    <s v="0"/>
    <s v="424130838305"/>
    <s v=""/>
    <s v=""/>
    <s v=""/>
    <s v=""/>
    <s v=""/>
    <x v="0"/>
    <m/>
    <s v=""/>
    <d v="2019-09-05T00:00:00"/>
    <s v=""/>
    <s v="1909000141"/>
  </r>
  <r>
    <s v="1909000142"/>
    <d v="2019-09-05T00:00:00"/>
    <d v="2019-09-05T00:00:00"/>
    <s v="DZ"/>
    <s v="USD"/>
    <n v="19775.89"/>
    <n v="19775.89"/>
    <s v="BDT"/>
    <s v="EGM1"/>
    <n v="1651286.82"/>
    <s v="CM ADV ADJ-424130824383"/>
    <s v="0000005010"/>
    <s v="E5028TS19CE0819"/>
    <s v=""/>
    <s v=""/>
    <s v="0"/>
    <s v="424130838270"/>
    <s v=""/>
    <s v=""/>
    <s v=""/>
    <s v=""/>
    <s v=""/>
    <x v="0"/>
    <m/>
    <s v=""/>
    <d v="2019-09-05T00:00:00"/>
    <s v=""/>
    <s v="1909000142"/>
  </r>
  <r>
    <s v="1909000142"/>
    <d v="2019-09-05T00:00:00"/>
    <d v="2019-09-05T00:00:00"/>
    <s v="DZ"/>
    <s v="USD"/>
    <n v="587.09"/>
    <n v="587.09"/>
    <s v="BDT"/>
    <s v="EGM1"/>
    <n v="49022.02"/>
    <s v="CM ADV ADJ-424130806063"/>
    <s v="0000005010"/>
    <s v="E5028TS19CE0819"/>
    <s v=""/>
    <s v=""/>
    <s v="0"/>
    <s v="424130838270"/>
    <s v=""/>
    <s v=""/>
    <s v=""/>
    <s v=""/>
    <s v=""/>
    <x v="0"/>
    <m/>
    <s v=""/>
    <d v="2019-09-05T00:00:00"/>
    <s v=""/>
    <s v="1909000142"/>
  </r>
  <r>
    <s v="1909000142"/>
    <d v="2019-09-05T00:00:00"/>
    <d v="2019-09-05T00:00:00"/>
    <s v="DZ"/>
    <s v="USD"/>
    <n v="6348.65"/>
    <n v="6348.65"/>
    <s v="BDT"/>
    <s v="EGM1"/>
    <n v="530112.28"/>
    <s v="CM ADV ADJ-424130815758"/>
    <s v="0000005010"/>
    <s v="E5028TS19CE0819"/>
    <s v=""/>
    <s v=""/>
    <s v="0"/>
    <s v="424130838270"/>
    <s v=""/>
    <s v=""/>
    <s v=""/>
    <s v=""/>
    <s v=""/>
    <x v="0"/>
    <m/>
    <s v=""/>
    <d v="2019-09-05T00:00:00"/>
    <s v=""/>
    <s v="1909000142"/>
  </r>
  <r>
    <s v="1909000143"/>
    <d v="2019-09-05T00:00:00"/>
    <d v="2019-09-05T00:00:00"/>
    <s v="DZ"/>
    <s v="USD"/>
    <n v="53615.1"/>
    <n v="53615.1"/>
    <s v="BDT"/>
    <s v="EGM1"/>
    <n v="4476860.8499999996"/>
    <s v="CM ADV ADJ-424130824383"/>
    <s v="0000005010"/>
    <s v="5211,5213"/>
    <s v=""/>
    <s v=""/>
    <s v="0"/>
    <s v="424130838298"/>
    <s v=""/>
    <s v=""/>
    <s v=""/>
    <s v=""/>
    <s v=""/>
    <x v="0"/>
    <m/>
    <s v=""/>
    <d v="2019-09-05T00:00:00"/>
    <s v=""/>
    <s v="1909000143"/>
  </r>
  <r>
    <s v="1909000143"/>
    <d v="2019-09-05T00:00:00"/>
    <d v="2019-09-05T00:00:00"/>
    <s v="DZ"/>
    <s v="USD"/>
    <n v="18359.66"/>
    <n v="18359.66"/>
    <s v="BDT"/>
    <s v="EGM1"/>
    <n v="1533031.61"/>
    <s v="CM ADV ADJ-424130815758"/>
    <s v="0000005010"/>
    <s v="5211,5213"/>
    <s v=""/>
    <s v=""/>
    <s v="0"/>
    <s v="424130838298"/>
    <s v=""/>
    <s v=""/>
    <s v=""/>
    <s v=""/>
    <s v=""/>
    <x v="0"/>
    <m/>
    <s v=""/>
    <d v="2019-09-05T00:00:00"/>
    <s v=""/>
    <s v="1909000143"/>
  </r>
  <r>
    <s v="1909000144"/>
    <d v="2019-09-05T00:00:00"/>
    <d v="2019-09-05T00:00:00"/>
    <s v="DZ"/>
    <s v="USD"/>
    <n v="24269.439999999999"/>
    <n v="24269.439999999999"/>
    <s v="BDT"/>
    <s v="EGM1"/>
    <n v="2026498.24"/>
    <s v="CM ADV ADJ-424130824383"/>
    <s v="0000005010"/>
    <s v="E5078TS19UK0857"/>
    <s v=""/>
    <s v=""/>
    <s v="0"/>
    <s v="424130837556"/>
    <s v=""/>
    <s v=""/>
    <s v=""/>
    <s v=""/>
    <s v=""/>
    <x v="0"/>
    <m/>
    <s v=""/>
    <d v="2019-09-05T00:00:00"/>
    <s v=""/>
    <s v="1909000144"/>
  </r>
  <r>
    <s v="1909000145"/>
    <d v="2019-09-05T00:00:00"/>
    <d v="2019-09-05T00:00:00"/>
    <s v="DZ"/>
    <s v="USD"/>
    <n v="30806"/>
    <n v="30806"/>
    <s v="BDT"/>
    <s v="EGM1"/>
    <n v="2572301"/>
    <s v="CM ADV ADJ-424130823936"/>
    <s v="0000001010"/>
    <s v="E05175US19-0842"/>
    <s v=""/>
    <s v=""/>
    <s v="0"/>
    <s v="424130838289"/>
    <s v=""/>
    <s v=""/>
    <s v=""/>
    <s v=""/>
    <s v=""/>
    <x v="0"/>
    <d v="2020-06-30T00:00:00"/>
    <s v="1906000017"/>
    <d v="2019-09-05T00:00:00"/>
    <s v=""/>
    <s v="1909000145"/>
  </r>
  <r>
    <s v="1909000145"/>
    <d v="2019-09-05T00:00:00"/>
    <d v="2019-09-05T00:00:00"/>
    <s v="DZ"/>
    <s v="USD"/>
    <n v="43149"/>
    <n v="43149"/>
    <s v="BDT"/>
    <s v="EGM1"/>
    <n v="3602941.5"/>
    <s v="CM ADV ADJ-424130814884"/>
    <s v="0000001010"/>
    <s v="E05175US19-0842"/>
    <s v=""/>
    <s v=""/>
    <s v="0"/>
    <s v="424130838289"/>
    <s v=""/>
    <s v=""/>
    <s v=""/>
    <s v=""/>
    <s v=""/>
    <x v="0"/>
    <d v="2020-06-30T00:00:00"/>
    <s v="1906000017"/>
    <d v="2019-09-05T00:00:00"/>
    <s v=""/>
    <s v="1909000145"/>
  </r>
  <r>
    <s v="1909000146"/>
    <d v="2019-09-05T00:00:00"/>
    <d v="2019-09-05T00:00:00"/>
    <s v="DZ"/>
    <s v="USD"/>
    <n v="22259.37"/>
    <n v="22259.37"/>
    <s v="BDT"/>
    <s v="EGM2"/>
    <n v="1858657.4"/>
    <s v="CM ADV ADJ-424130824374"/>
    <s v="0000005010"/>
    <s v="E25087VF19US0411"/>
    <s v=""/>
    <s v=""/>
    <s v="0"/>
    <s v="424130837547"/>
    <s v=""/>
    <s v=""/>
    <s v=""/>
    <s v=""/>
    <s v=""/>
    <x v="0"/>
    <m/>
    <s v=""/>
    <d v="2019-09-05T00:00:00"/>
    <s v=""/>
    <s v="1909000146"/>
  </r>
  <r>
    <s v="1909000148"/>
    <d v="2019-09-08T00:00:00"/>
    <d v="2019-09-08T00:00:00"/>
    <s v="DZ"/>
    <s v="USD"/>
    <n v="17647"/>
    <n v="17647"/>
    <s v="BDT"/>
    <s v="EGM1"/>
    <n v="1473524.5"/>
    <s v="CM ADV ADJ-424130804207"/>
    <s v="0000001010"/>
    <s v="E05124US19-0876"/>
    <s v=""/>
    <s v=""/>
    <s v="0"/>
    <s v="424130839849"/>
    <s v=""/>
    <s v=""/>
    <s v=""/>
    <s v=""/>
    <s v=""/>
    <x v="0"/>
    <m/>
    <s v=""/>
    <d v="2019-09-08T00:00:00"/>
    <s v=""/>
    <s v="1909000148"/>
  </r>
  <r>
    <s v="1909000148"/>
    <d v="2019-09-08T00:00:00"/>
    <d v="2019-09-08T00:00:00"/>
    <s v="DZ"/>
    <s v="USD"/>
    <n v="51621"/>
    <n v="51621"/>
    <s v="BDT"/>
    <s v="EGM1"/>
    <n v="4310353.5"/>
    <s v="CM ADV ADJ-424130823936"/>
    <s v="0000001010"/>
    <s v="E05124US19-0876"/>
    <s v=""/>
    <s v=""/>
    <s v="0"/>
    <s v="424130839849"/>
    <s v=""/>
    <s v=""/>
    <s v=""/>
    <s v=""/>
    <s v=""/>
    <x v="0"/>
    <d v="2020-06-30T00:00:00"/>
    <s v="1906000017"/>
    <d v="2019-09-08T00:00:00"/>
    <s v=""/>
    <s v="1909000148"/>
  </r>
  <r>
    <s v="1909000148"/>
    <d v="2019-09-08T00:00:00"/>
    <d v="2019-09-08T00:00:00"/>
    <s v="DZ"/>
    <s v="USD"/>
    <n v="129209"/>
    <n v="129209"/>
    <s v="BDT"/>
    <s v="EGM1"/>
    <n v="10788951.5"/>
    <s v="CM ADV ADJ-424130838234"/>
    <s v="0000001010"/>
    <s v="E05124US19-0876"/>
    <s v=""/>
    <s v=""/>
    <s v="0"/>
    <s v="424130839849"/>
    <s v=""/>
    <s v=""/>
    <s v=""/>
    <s v=""/>
    <s v=""/>
    <x v="0"/>
    <m/>
    <s v=""/>
    <d v="2019-09-08T00:00:00"/>
    <s v=""/>
    <s v="1909000148"/>
  </r>
  <r>
    <s v="1909000148"/>
    <d v="2019-09-08T00:00:00"/>
    <d v="2019-09-08T00:00:00"/>
    <s v="DZ"/>
    <s v="USD"/>
    <n v="7663"/>
    <n v="7663"/>
    <s v="BDT"/>
    <s v="EGM1"/>
    <n v="639860.5"/>
    <s v="CM ADV ADJ-424130814884"/>
    <s v="0000001010"/>
    <s v="E05124US19-0876"/>
    <s v=""/>
    <s v=""/>
    <s v="0"/>
    <s v="424130839849"/>
    <s v=""/>
    <s v=""/>
    <s v=""/>
    <s v=""/>
    <s v=""/>
    <x v="0"/>
    <d v="2020-06-30T00:00:00"/>
    <s v="1906000017"/>
    <d v="2019-09-08T00:00:00"/>
    <s v=""/>
    <s v="1909000148"/>
  </r>
  <r>
    <s v="1909000148"/>
    <d v="2019-09-08T00:00:00"/>
    <d v="2019-09-08T00:00:00"/>
    <s v="DZ"/>
    <s v="USD"/>
    <n v="27697"/>
    <n v="27697"/>
    <s v="BDT"/>
    <s v="EGM1"/>
    <n v="2312145.56"/>
    <s v="CM ADV ADJ-424130789439"/>
    <s v="0000001010"/>
    <s v="E05124US19-0876"/>
    <s v=""/>
    <s v=""/>
    <s v="0"/>
    <s v="424130839849"/>
    <s v=""/>
    <s v=""/>
    <s v=""/>
    <s v=""/>
    <s v=""/>
    <x v="0"/>
    <d v="2019-10-31T00:00:00"/>
    <s v="1906000009"/>
    <d v="2019-09-08T00:00:00"/>
    <s v=""/>
    <s v="1909000148"/>
  </r>
  <r>
    <s v="1909000148"/>
    <d v="2019-09-08T00:00:00"/>
    <d v="2019-09-08T00:00:00"/>
    <s v="DZ"/>
    <s v="USD"/>
    <n v="36018"/>
    <n v="36018"/>
    <s v="BDT"/>
    <s v="EGM1"/>
    <n v="3006782.64"/>
    <s v="CM ADV ADJ-424130785148"/>
    <s v="0000001010"/>
    <s v="E05124US19-0876"/>
    <s v=""/>
    <s v=""/>
    <s v="0"/>
    <s v="424130839849"/>
    <s v=""/>
    <s v=""/>
    <s v=""/>
    <s v=""/>
    <s v=""/>
    <x v="0"/>
    <d v="2020-06-30T00:00:00"/>
    <s v="1906000017"/>
    <d v="2019-09-08T00:00:00"/>
    <s v=""/>
    <s v="1909000148"/>
  </r>
  <r>
    <s v="1909000149"/>
    <d v="2019-09-08T00:00:00"/>
    <d v="2019-09-08T00:00:00"/>
    <s v="DZ"/>
    <s v="USD"/>
    <n v="2655"/>
    <n v="2655"/>
    <s v="BDT"/>
    <s v="EGM1"/>
    <n v="221692.5"/>
    <s v="CM ADV ADJ-424130804207"/>
    <s v="0000001010"/>
    <s v="E5589KH19US0861"/>
    <s v=""/>
    <s v=""/>
    <s v="0"/>
    <s v="424130839830"/>
    <s v=""/>
    <s v=""/>
    <s v=""/>
    <s v=""/>
    <s v=""/>
    <x v="0"/>
    <m/>
    <s v=""/>
    <d v="2019-09-08T00:00:00"/>
    <s v=""/>
    <s v="1909000149"/>
  </r>
  <r>
    <s v="1909000149"/>
    <d v="2019-09-08T00:00:00"/>
    <d v="2019-09-08T00:00:00"/>
    <s v="DZ"/>
    <s v="USD"/>
    <n v="63173"/>
    <n v="63173"/>
    <s v="BDT"/>
    <s v="EGM1"/>
    <n v="5274945.5"/>
    <s v="CM ADV ADJ-424130823936"/>
    <s v="0000001010"/>
    <s v="E5589KH19US0861"/>
    <s v=""/>
    <s v=""/>
    <s v="0"/>
    <s v="424130839830"/>
    <s v=""/>
    <s v=""/>
    <s v=""/>
    <s v=""/>
    <s v=""/>
    <x v="0"/>
    <d v="2020-06-30T00:00:00"/>
    <s v="1906000017"/>
    <d v="2019-09-08T00:00:00"/>
    <s v=""/>
    <s v="1909000149"/>
  </r>
  <r>
    <s v="1909000149"/>
    <d v="2019-09-08T00:00:00"/>
    <d v="2019-09-08T00:00:00"/>
    <s v="DZ"/>
    <s v="USD"/>
    <n v="26411"/>
    <n v="26411"/>
    <s v="BDT"/>
    <s v="EGM1"/>
    <n v="2205318.5"/>
    <s v="CM ADV ADJ-424130838243"/>
    <s v="0000001010"/>
    <s v="E5589KH19US0861"/>
    <s v=""/>
    <s v=""/>
    <s v="0"/>
    <s v="424130839830"/>
    <s v=""/>
    <s v=""/>
    <s v=""/>
    <s v=""/>
    <s v=""/>
    <x v="0"/>
    <m/>
    <s v=""/>
    <d v="2019-09-08T00:00:00"/>
    <s v=""/>
    <s v="1909000149"/>
  </r>
  <r>
    <s v="1909000149"/>
    <d v="2019-09-08T00:00:00"/>
    <d v="2019-09-08T00:00:00"/>
    <s v="DZ"/>
    <s v="USD"/>
    <n v="26436"/>
    <n v="26436"/>
    <s v="BDT"/>
    <s v="EGM1"/>
    <n v="2207406"/>
    <s v="CM ADV ADJ-424130814884"/>
    <s v="0000001010"/>
    <s v="E5589KH19US0861"/>
    <s v=""/>
    <s v=""/>
    <s v="0"/>
    <s v="424130839830"/>
    <s v=""/>
    <s v=""/>
    <s v=""/>
    <s v=""/>
    <s v=""/>
    <x v="0"/>
    <d v="2020-06-30T00:00:00"/>
    <s v="1906000017"/>
    <d v="2019-09-08T00:00:00"/>
    <s v=""/>
    <s v="1909000149"/>
  </r>
  <r>
    <s v="1909000151"/>
    <d v="2019-08-31T00:00:00"/>
    <d v="2019-08-31T00:00:00"/>
    <s v="DZ"/>
    <s v="USD"/>
    <n v="396812"/>
    <n v="396812"/>
    <s v="BDT"/>
    <s v="EGM1"/>
    <n v="33125865.760000002"/>
    <s v="FIT-CM ADV EDL-AUG-19"/>
    <s v="1010"/>
    <s v="FIT-CM-EDL-AUG19"/>
    <s v=""/>
    <s v=""/>
    <s v="0"/>
    <s v="FIT-CMAD-EDL-AUG-19"/>
    <s v=""/>
    <s v=""/>
    <s v=""/>
    <s v=""/>
    <s v=""/>
    <x v="0"/>
    <d v="2019-09-01T00:00:00"/>
    <s v="1903002430"/>
    <d v="2019-08-31T00:00:00"/>
    <s v=""/>
    <s v="1909000151"/>
  </r>
  <r>
    <s v="1909000152"/>
    <d v="2019-09-11T00:00:00"/>
    <d v="2019-09-11T00:00:00"/>
    <s v="DZ"/>
    <s v="USD"/>
    <n v="441"/>
    <n v="441"/>
    <s v="BDT"/>
    <s v="EGM1"/>
    <n v="36823.5"/>
    <s v="CM ADV ADJ-424130823936"/>
    <s v="0000001010"/>
    <s v="E05207US19-0805"/>
    <s v=""/>
    <s v=""/>
    <s v="0"/>
    <s v="424130839867"/>
    <s v=""/>
    <s v=""/>
    <s v=""/>
    <s v=""/>
    <s v=""/>
    <x v="0"/>
    <d v="2020-06-30T00:00:00"/>
    <s v="1906000017"/>
    <d v="2019-09-11T00:00:00"/>
    <s v=""/>
    <s v="1909000152"/>
  </r>
  <r>
    <s v="1909000152"/>
    <d v="2019-09-11T00:00:00"/>
    <d v="2019-09-11T00:00:00"/>
    <s v="DZ"/>
    <s v="USD"/>
    <n v="538"/>
    <n v="538"/>
    <s v="BDT"/>
    <s v="EGM1"/>
    <n v="44923"/>
    <s v="CM ADV ADJ-424130838243"/>
    <s v="0000001010"/>
    <s v="E05207US19-0805"/>
    <s v=""/>
    <s v=""/>
    <s v="0"/>
    <s v="424130839867"/>
    <s v=""/>
    <s v=""/>
    <s v=""/>
    <s v=""/>
    <s v=""/>
    <x v="0"/>
    <m/>
    <s v=""/>
    <d v="2019-09-11T00:00:00"/>
    <s v=""/>
    <s v="1909000152"/>
  </r>
  <r>
    <s v="1909000153"/>
    <d v="2019-09-11T00:00:00"/>
    <d v="2019-09-11T00:00:00"/>
    <s v="DZ"/>
    <s v="USD"/>
    <n v="24065"/>
    <n v="24065"/>
    <s v="BDT"/>
    <s v="EGM2"/>
    <n v="2009427.5"/>
    <s v="CM ADV ADJ-424130838252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3"/>
    <d v="2019-09-11T00:00:00"/>
    <d v="2019-09-11T00:00:00"/>
    <s v="DZ"/>
    <s v="USD"/>
    <n v="7175.75"/>
    <n v="7175.75"/>
    <s v="BDT"/>
    <s v="EGM2"/>
    <n v="599175.13"/>
    <s v="CM ADV ADJ-424130824374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3"/>
    <d v="2019-09-11T00:00:00"/>
    <d v="2019-09-11T00:00:00"/>
    <s v="DZ"/>
    <s v="USD"/>
    <n v="2845.02"/>
    <n v="2845.02"/>
    <s v="BDT"/>
    <s v="EGM2"/>
    <n v="237559.17"/>
    <s v="CM ADV ADJ-424130815767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3"/>
    <d v="2019-09-11T00:00:00"/>
    <d v="2019-09-11T00:00:00"/>
    <s v="DZ"/>
    <s v="USD"/>
    <n v="189.68"/>
    <n v="189.68"/>
    <s v="BDT"/>
    <s v="EGM2"/>
    <n v="15733.96"/>
    <s v="CM ADV ADJ-424130735103"/>
    <s v="0000005010"/>
    <s v="E25193VF19US0415"/>
    <s v=""/>
    <s v=""/>
    <s v="0"/>
    <s v="424130840677"/>
    <s v=""/>
    <s v=""/>
    <s v=""/>
    <s v=""/>
    <s v=""/>
    <x v="0"/>
    <m/>
    <s v=""/>
    <d v="2019-09-11T00:00:00"/>
    <s v=""/>
    <s v="1909000153"/>
  </r>
  <r>
    <s v="1909000155"/>
    <d v="2019-08-31T00:00:00"/>
    <d v="2019-08-31T00:00:00"/>
    <s v="DZ"/>
    <s v="USD"/>
    <n v="136613.96"/>
    <n v="136613.96"/>
    <s v="BDT"/>
    <s v="EGM1"/>
    <n v="11407265.66"/>
    <s v="FIT-CM ADV DWC-AUG-19"/>
    <s v="0000005010"/>
    <s v="FIT-CMDWC-AUG-19"/>
    <s v=""/>
    <s v=""/>
    <s v="0"/>
    <s v="FIT-CM ADV DWC-AUG-19"/>
    <s v=""/>
    <s v=""/>
    <s v=""/>
    <s v=""/>
    <s v=""/>
    <x v="0"/>
    <d v="2019-09-01T00:00:00"/>
    <s v="1903002431"/>
    <d v="2019-08-31T00:00:00"/>
    <s v=""/>
    <s v="1909000155"/>
  </r>
  <r>
    <s v="1909000156"/>
    <d v="2019-09-11T00:00:00"/>
    <d v="2019-09-11T00:00:00"/>
    <s v="DZ"/>
    <s v="USD"/>
    <n v="612.51"/>
    <n v="612.51"/>
    <s v="BDT"/>
    <s v="EGM1"/>
    <n v="51144.59"/>
    <s v="CM ADV ADJ-424130824383"/>
    <s v="0000005010"/>
    <s v="E34996DC19US0875"/>
    <s v=""/>
    <s v=""/>
    <s v="0"/>
    <s v="424130840695"/>
    <s v=""/>
    <s v=""/>
    <s v=""/>
    <s v=""/>
    <s v=""/>
    <x v="0"/>
    <m/>
    <s v=""/>
    <d v="2019-09-11T00:00:00"/>
    <s v=""/>
    <s v="1909000156"/>
  </r>
  <r>
    <s v="1909000157"/>
    <d v="2019-09-11T00:00:00"/>
    <d v="2019-09-11T00:00:00"/>
    <s v="DZ"/>
    <s v="USD"/>
    <n v="4611.6000000000004"/>
    <n v="4611.6000000000004"/>
    <s v="BDT"/>
    <s v="EGM1"/>
    <n v="385068.6"/>
    <s v="CM ADV ADJ-424130838234"/>
    <s v="0000005010"/>
    <s v="E45044DN19IR0910"/>
    <s v=""/>
    <s v=""/>
    <s v="0"/>
    <s v="424130840668"/>
    <s v=""/>
    <s v=""/>
    <s v=""/>
    <s v=""/>
    <s v=""/>
    <x v="0"/>
    <m/>
    <s v=""/>
    <d v="2019-09-11T00:00:00"/>
    <s v=""/>
    <s v="1909000157"/>
  </r>
  <r>
    <s v="1909000158"/>
    <d v="2019-09-12T00:00:00"/>
    <d v="2019-09-12T00:00:00"/>
    <s v="DZ"/>
    <s v="USD"/>
    <n v="29042"/>
    <n v="29042"/>
    <s v="BDT"/>
    <s v="EGM1"/>
    <n v="2425007"/>
    <s v="CM ADV ADJ-424130804207"/>
    <s v="0000001010"/>
    <s v="E55181KH19US0869"/>
    <s v=""/>
    <s v=""/>
    <s v="0"/>
    <s v="424130841765"/>
    <s v=""/>
    <s v=""/>
    <s v=""/>
    <s v=""/>
    <s v=""/>
    <x v="0"/>
    <m/>
    <s v=""/>
    <d v="2019-09-12T00:00:00"/>
    <s v=""/>
    <s v="1909000158"/>
  </r>
  <r>
    <s v="1909000158"/>
    <d v="2019-09-12T00:00:00"/>
    <d v="2019-09-12T00:00:00"/>
    <s v="DZ"/>
    <s v="USD"/>
    <n v="116"/>
    <n v="116"/>
    <s v="BDT"/>
    <s v="EGM1"/>
    <n v="9686"/>
    <s v="CM ADV ADJ-424130838243"/>
    <s v="0000001010"/>
    <s v="E55181KH19US0869"/>
    <s v=""/>
    <s v=""/>
    <s v="0"/>
    <s v="424130841765"/>
    <s v=""/>
    <s v=""/>
    <s v=""/>
    <s v=""/>
    <s v=""/>
    <x v="0"/>
    <m/>
    <s v=""/>
    <d v="2019-09-12T00:00:00"/>
    <s v=""/>
    <s v="1909000158"/>
  </r>
  <r>
    <s v="1909000160"/>
    <d v="2019-09-12T00:00:00"/>
    <d v="2019-09-12T00:00:00"/>
    <s v="DZ"/>
    <s v="USD"/>
    <n v="30040.65"/>
    <n v="30040.65"/>
    <s v="BDT"/>
    <s v="EGM1"/>
    <n v="2508394.2799999998"/>
    <s v="CM ADV ADJ-424130838234"/>
    <s v="0000005010"/>
    <s v="IT06591909090025"/>
    <s v=""/>
    <s v=""/>
    <s v="0"/>
    <s v="424130840686"/>
    <s v=""/>
    <s v=""/>
    <s v=""/>
    <s v=""/>
    <s v=""/>
    <x v="0"/>
    <m/>
    <s v=""/>
    <d v="2019-09-12T00:00:00"/>
    <s v=""/>
    <s v="1909000160"/>
  </r>
  <r>
    <s v="1909000160"/>
    <d v="2019-09-12T00:00:00"/>
    <d v="2019-09-12T00:00:00"/>
    <s v="DZ"/>
    <s v="USD"/>
    <n v="6465.41"/>
    <n v="6465.41"/>
    <s v="BDT"/>
    <s v="EGM1"/>
    <n v="539861.74"/>
    <s v="CM ADV ADJ-424130824383"/>
    <s v="0000005010"/>
    <s v="IT06591909090025"/>
    <s v=""/>
    <s v=""/>
    <s v="0"/>
    <s v="424130840686"/>
    <s v=""/>
    <s v=""/>
    <s v=""/>
    <s v=""/>
    <s v=""/>
    <x v="0"/>
    <m/>
    <s v=""/>
    <d v="2019-09-12T00:00:00"/>
    <s v=""/>
    <s v="1909000160"/>
  </r>
  <r>
    <s v="1909000161"/>
    <d v="2019-09-11T00:00:00"/>
    <d v="2019-09-11T00:00:00"/>
    <s v="DZ"/>
    <s v="USD"/>
    <n v="1116.08"/>
    <n v="1116.08"/>
    <s v="BDT"/>
    <s v="EGM2"/>
    <n v="93192.68"/>
    <s v="CM ADV ADJ-424130838252"/>
    <s v="0000005010"/>
    <s v="E25076WD19US0416"/>
    <s v=""/>
    <s v=""/>
    <s v="0"/>
    <s v="424130840702"/>
    <s v=""/>
    <s v=""/>
    <s v=""/>
    <s v=""/>
    <s v=""/>
    <x v="0"/>
    <m/>
    <s v=""/>
    <d v="2019-09-11T00:00:00"/>
    <s v=""/>
    <s v="1909000161"/>
  </r>
  <r>
    <s v="1909000162"/>
    <d v="2019-09-15T00:00:00"/>
    <d v="2019-09-15T00:00:00"/>
    <s v="DZ"/>
    <s v="USD"/>
    <n v="1361"/>
    <n v="1361"/>
    <s v="BDT"/>
    <s v="EGM2"/>
    <n v="113643.5"/>
    <s v="CM ADV ADJ-424130806054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2"/>
    <d v="2019-09-15T00:00:00"/>
    <d v="2019-09-15T00:00:00"/>
    <s v="DZ"/>
    <s v="USD"/>
    <n v="82735"/>
    <n v="82735"/>
    <s v="BDT"/>
    <s v="EGM2"/>
    <n v="6908372.5"/>
    <s v="CM ADV ADJ-424130838252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2"/>
    <d v="2019-09-15T00:00:00"/>
    <d v="2019-09-15T00:00:00"/>
    <s v="DZ"/>
    <s v="USD"/>
    <n v="5950"/>
    <n v="5950"/>
    <s v="BDT"/>
    <s v="EGM2"/>
    <n v="496825"/>
    <s v="CM ADV ADJ-424130824374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2"/>
    <d v="2019-09-15T00:00:00"/>
    <d v="2019-09-15T00:00:00"/>
    <s v="DZ"/>
    <s v="USD"/>
    <n v="1985"/>
    <n v="1985"/>
    <s v="BDT"/>
    <s v="EGM2"/>
    <n v="165747.5"/>
    <s v="CM ADV ADJ-424130815767"/>
    <s v="0000005010"/>
    <s v="E25055AC19CK0417"/>
    <s v=""/>
    <s v=""/>
    <s v="0"/>
    <s v="424130843031"/>
    <s v=""/>
    <s v=""/>
    <s v=""/>
    <s v=""/>
    <s v=""/>
    <x v="0"/>
    <m/>
    <s v=""/>
    <d v="2019-09-15T00:00:00"/>
    <s v=""/>
    <s v="1909000162"/>
  </r>
  <r>
    <s v="1909000163"/>
    <d v="2019-09-15T00:00:00"/>
    <d v="2019-09-15T00:00:00"/>
    <s v="DZ"/>
    <s v="USD"/>
    <n v="23279.38"/>
    <n v="23279.38"/>
    <s v="BDT"/>
    <s v="EGM2"/>
    <n v="1943828.23"/>
    <s v="CM ADV ADJ-424130838252"/>
    <s v="0000005010"/>
    <s v="E25087VF19US0412"/>
    <s v=""/>
    <s v=""/>
    <s v="0"/>
    <s v="424130843059"/>
    <s v=""/>
    <s v=""/>
    <s v=""/>
    <s v=""/>
    <s v=""/>
    <x v="0"/>
    <m/>
    <s v=""/>
    <d v="2019-09-15T00:00:00"/>
    <s v=""/>
    <s v="1909000163"/>
  </r>
  <r>
    <s v="1909000163"/>
    <d v="2019-09-15T00:00:00"/>
    <d v="2019-09-15T00:00:00"/>
    <s v="DZ"/>
    <s v="USD"/>
    <n v="2123.5700000000002"/>
    <n v="2123.5700000000002"/>
    <s v="BDT"/>
    <s v="EGM2"/>
    <n v="177318.1"/>
    <s v="CM ADV ADJ-424130824374"/>
    <s v="0000005010"/>
    <s v="E25087VF19US0412"/>
    <s v=""/>
    <s v=""/>
    <s v="0"/>
    <s v="424130843059"/>
    <s v=""/>
    <s v=""/>
    <s v=""/>
    <s v=""/>
    <s v=""/>
    <x v="0"/>
    <m/>
    <s v=""/>
    <d v="2019-09-15T00:00:00"/>
    <s v=""/>
    <s v="1909000163"/>
  </r>
  <r>
    <s v="1909000164"/>
    <d v="2019-09-15T00:00:00"/>
    <d v="2019-09-15T00:00:00"/>
    <s v="DZ"/>
    <s v="USD"/>
    <n v="176"/>
    <n v="176"/>
    <s v="BDT"/>
    <s v="EGM2"/>
    <n v="14696"/>
    <s v="CM ADV ADJ-424130838261"/>
    <s v="0000001010"/>
    <s v="05252190410UY"/>
    <s v=""/>
    <s v=""/>
    <s v="0"/>
    <s v="424130843040"/>
    <s v=""/>
    <s v=""/>
    <s v=""/>
    <s v=""/>
    <s v=""/>
    <x v="0"/>
    <m/>
    <s v=""/>
    <d v="2019-09-15T00:00:00"/>
    <s v=""/>
    <s v="1909000164"/>
  </r>
  <r>
    <s v="1909000165"/>
    <d v="2019-09-15T00:00:00"/>
    <d v="2019-09-15T00:00:00"/>
    <s v="DZ"/>
    <s v="USD"/>
    <n v="6390"/>
    <n v="6390"/>
    <s v="BDT"/>
    <s v="EGM1"/>
    <n v="533565"/>
    <s v="CM ADV ADJ-424130823936"/>
    <s v="0000001010"/>
    <s v="E45189SB19UK0885"/>
    <s v=""/>
    <s v=""/>
    <s v="0"/>
    <s v="424130843013"/>
    <s v=""/>
    <s v=""/>
    <s v=""/>
    <s v=""/>
    <s v=""/>
    <x v="0"/>
    <d v="2020-06-30T00:00:00"/>
    <s v="1906000017"/>
    <d v="2019-09-15T00:00:00"/>
    <s v=""/>
    <s v="1909000165"/>
  </r>
  <r>
    <s v="1909000165"/>
    <d v="2019-09-15T00:00:00"/>
    <d v="2019-09-15T00:00:00"/>
    <s v="DZ"/>
    <s v="USD"/>
    <n v="8888"/>
    <n v="8888"/>
    <s v="BDT"/>
    <s v="EGM1"/>
    <n v="742148"/>
    <s v="CM ADV ADJ-424130838243"/>
    <s v="0000001010"/>
    <s v="E45189SB19UK0885"/>
    <s v=""/>
    <s v=""/>
    <s v="0"/>
    <s v="424130843013"/>
    <s v=""/>
    <s v=""/>
    <s v=""/>
    <s v=""/>
    <s v=""/>
    <x v="0"/>
    <m/>
    <s v=""/>
    <d v="2019-09-15T00:00:00"/>
    <s v=""/>
    <s v="1909000165"/>
  </r>
  <r>
    <s v="1909000166"/>
    <d v="2019-09-15T00:00:00"/>
    <d v="2019-09-15T00:00:00"/>
    <s v="DZ"/>
    <s v="USD"/>
    <n v="39212"/>
    <n v="39212"/>
    <s v="BDT"/>
    <s v="EGM1"/>
    <n v="3274202"/>
    <s v="CM ADV ADJ-424130823936"/>
    <s v="0000001010"/>
    <s v="E55130KH19US0866"/>
    <s v=""/>
    <s v=""/>
    <s v="0"/>
    <s v="424130843004"/>
    <s v=""/>
    <s v=""/>
    <s v=""/>
    <s v=""/>
    <s v=""/>
    <x v="0"/>
    <d v="2020-06-30T00:00:00"/>
    <s v="1906000017"/>
    <d v="2019-09-15T00:00:00"/>
    <s v=""/>
    <s v="1909000166"/>
  </r>
  <r>
    <s v="1909000166"/>
    <d v="2019-09-15T00:00:00"/>
    <d v="2019-09-15T00:00:00"/>
    <s v="DZ"/>
    <s v="USD"/>
    <n v="26940"/>
    <n v="26940"/>
    <s v="BDT"/>
    <s v="EGM1"/>
    <n v="2249490"/>
    <s v="CM ADV ADJ-424130838243"/>
    <s v="0000001010"/>
    <s v="E55130KH19US0866"/>
    <s v=""/>
    <s v=""/>
    <s v="0"/>
    <s v="424130843004"/>
    <s v=""/>
    <s v=""/>
    <s v=""/>
    <s v=""/>
    <s v=""/>
    <x v="0"/>
    <m/>
    <s v=""/>
    <d v="2019-09-15T00:00:00"/>
    <s v=""/>
    <s v="1909000166"/>
  </r>
  <r>
    <s v="1909000167"/>
    <d v="2019-09-15T00:00:00"/>
    <d v="2019-09-15T00:00:00"/>
    <s v="DZ"/>
    <s v="USD"/>
    <n v="74778"/>
    <n v="74778"/>
    <s v="BDT"/>
    <s v="EGM1"/>
    <n v="6243963"/>
    <s v="CM ADV ADJ-424130823936"/>
    <s v="0000001010"/>
    <s v="E05186US19-0880"/>
    <s v=""/>
    <s v=""/>
    <s v="0"/>
    <s v="424130843022"/>
    <s v=""/>
    <s v=""/>
    <s v=""/>
    <s v=""/>
    <s v=""/>
    <x v="0"/>
    <d v="2020-06-30T00:00:00"/>
    <s v="1906000017"/>
    <d v="2019-09-15T00:00:00"/>
    <s v=""/>
    <s v="1909000167"/>
  </r>
  <r>
    <s v="1909000167"/>
    <d v="2019-09-15T00:00:00"/>
    <d v="2019-09-15T00:00:00"/>
    <s v="DZ"/>
    <s v="USD"/>
    <n v="33100"/>
    <n v="33100"/>
    <s v="BDT"/>
    <s v="EGM1"/>
    <n v="2763850"/>
    <s v="CM ADV ADJ-424130838243"/>
    <s v="0000001010"/>
    <s v="E05186US19-0880"/>
    <s v=""/>
    <s v=""/>
    <s v="0"/>
    <s v="424130843022"/>
    <s v=""/>
    <s v=""/>
    <s v=""/>
    <s v=""/>
    <s v=""/>
    <x v="0"/>
    <m/>
    <s v=""/>
    <d v="2019-09-15T00:00:00"/>
    <s v=""/>
    <s v="1909000167"/>
  </r>
  <r>
    <s v="1909000167"/>
    <d v="2019-09-15T00:00:00"/>
    <d v="2019-09-15T00:00:00"/>
    <s v="DZ"/>
    <s v="USD"/>
    <n v="1226"/>
    <n v="1226"/>
    <s v="BDT"/>
    <s v="EGM1"/>
    <n v="102346.48"/>
    <s v="CM ADV ADJ-424130789439"/>
    <s v="0000001010"/>
    <s v="E05186US19-0880"/>
    <s v=""/>
    <s v=""/>
    <s v="0"/>
    <s v="424130843022"/>
    <s v=""/>
    <s v=""/>
    <s v=""/>
    <s v=""/>
    <s v=""/>
    <x v="0"/>
    <d v="2019-10-31T00:00:00"/>
    <s v="1906000009"/>
    <d v="2019-09-15T00:00:00"/>
    <s v=""/>
    <s v="1909000167"/>
  </r>
  <r>
    <s v="1909000167"/>
    <d v="2019-09-15T00:00:00"/>
    <d v="2019-09-15T00:00:00"/>
    <s v="DZ"/>
    <s v="USD"/>
    <n v="2178"/>
    <n v="2178"/>
    <s v="BDT"/>
    <s v="EGM1"/>
    <n v="181819.44"/>
    <s v="CM ADV ADJ-424130785148"/>
    <s v="0000001010"/>
    <s v="E05186US19-0880"/>
    <s v=""/>
    <s v=""/>
    <s v="0"/>
    <s v="424130843022"/>
    <s v=""/>
    <s v=""/>
    <s v=""/>
    <s v=""/>
    <s v=""/>
    <x v="0"/>
    <d v="2020-06-30T00:00:00"/>
    <s v="1906000017"/>
    <d v="2019-09-15T00:00:00"/>
    <s v=""/>
    <s v="1909000167"/>
  </r>
  <r>
    <s v="1909000168"/>
    <d v="2019-09-15T00:00:00"/>
    <d v="2019-09-15T00:00:00"/>
    <s v="DZ"/>
    <s v="USD"/>
    <n v="34129"/>
    <n v="34129"/>
    <s v="BDT"/>
    <s v="EGM1"/>
    <n v="2849771.5"/>
    <s v="CM ADV ADJ-424130823936"/>
    <s v="0000001010"/>
    <s v="E15196DM19US0803"/>
    <s v=""/>
    <s v=""/>
    <s v="0"/>
    <s v="424130843102"/>
    <s v=""/>
    <s v=""/>
    <s v=""/>
    <s v=""/>
    <s v=""/>
    <x v="0"/>
    <d v="2020-06-30T00:00:00"/>
    <s v="1906000017"/>
    <d v="2019-09-15T00:00:00"/>
    <s v=""/>
    <s v="1909000168"/>
  </r>
  <r>
    <s v="1909000168"/>
    <d v="2019-09-15T00:00:00"/>
    <d v="2019-09-15T00:00:00"/>
    <s v="DZ"/>
    <s v="USD"/>
    <n v="20698"/>
    <n v="20698"/>
    <s v="BDT"/>
    <s v="EGM1"/>
    <n v="1728283"/>
    <s v="CM ADV ADJ-424130838243"/>
    <s v="0000001010"/>
    <s v="E15196DM19US0803"/>
    <s v=""/>
    <s v=""/>
    <s v="0"/>
    <s v="424130843102"/>
    <s v=""/>
    <s v=""/>
    <s v=""/>
    <s v=""/>
    <s v=""/>
    <x v="0"/>
    <m/>
    <s v=""/>
    <d v="2019-09-15T00:00:00"/>
    <s v=""/>
    <s v="1909000168"/>
  </r>
  <r>
    <s v="1909000168"/>
    <d v="2019-09-15T00:00:00"/>
    <d v="2019-09-15T00:00:00"/>
    <s v="DZ"/>
    <s v="USD"/>
    <n v="4944"/>
    <n v="4944"/>
    <s v="BDT"/>
    <s v="EGM1"/>
    <n v="412824"/>
    <s v="CM ADV ADJ-424130814884"/>
    <s v="0000001010"/>
    <s v="E15196DM19US0803"/>
    <s v=""/>
    <s v=""/>
    <s v="0"/>
    <s v="424130843102"/>
    <s v=""/>
    <s v=""/>
    <s v=""/>
    <s v=""/>
    <s v=""/>
    <x v="0"/>
    <d v="2020-06-30T00:00:00"/>
    <s v="1906000017"/>
    <d v="2019-09-15T00:00:00"/>
    <s v=""/>
    <s v="1909000168"/>
  </r>
  <r>
    <s v="1909000169"/>
    <d v="2019-09-05T00:00:00"/>
    <d v="2019-09-05T00:00:00"/>
    <s v="DZ"/>
    <s v="USD"/>
    <n v="80004.23"/>
    <n v="80004.23"/>
    <s v="BDT"/>
    <s v="EGM1"/>
    <n v="6680353.21"/>
    <s v="CM ADV ADJ-424130824383"/>
    <s v="0000005010"/>
    <s v="E35163TC19US0897"/>
    <s v=""/>
    <s v=""/>
    <s v="0"/>
    <s v="424130837538"/>
    <s v=""/>
    <s v=""/>
    <s v=""/>
    <s v=""/>
    <s v=""/>
    <x v="0"/>
    <m/>
    <s v=""/>
    <d v="2019-09-05T00:00:00"/>
    <s v=""/>
    <s v="1909000169"/>
  </r>
  <r>
    <s v="1909000170"/>
    <d v="2019-09-15T00:00:00"/>
    <d v="2019-09-15T00:00:00"/>
    <s v="DZ"/>
    <s v="USD"/>
    <n v="18387"/>
    <n v="18387"/>
    <s v="BDT"/>
    <s v="EGM1"/>
    <n v="1535314.5"/>
    <s v="CM ADV ADJ-424130823936"/>
    <s v="0000001010"/>
    <s v="E05058WM19JP0860"/>
    <s v=""/>
    <s v=""/>
    <s v="0"/>
    <s v="424130843610"/>
    <s v=""/>
    <s v=""/>
    <s v=""/>
    <s v=""/>
    <s v=""/>
    <x v="0"/>
    <d v="2020-06-30T00:00:00"/>
    <s v="1906000017"/>
    <d v="2019-09-15T00:00:00"/>
    <s v=""/>
    <s v="1909000170"/>
  </r>
  <r>
    <s v="1909000170"/>
    <d v="2019-09-15T00:00:00"/>
    <d v="2019-09-15T00:00:00"/>
    <s v="DZ"/>
    <s v="USD"/>
    <n v="890"/>
    <n v="890"/>
    <s v="BDT"/>
    <s v="EGM1"/>
    <n v="74315"/>
    <s v="CM ADV ADJ-424130838243"/>
    <s v="0000001010"/>
    <s v="E05058WM19JP0860"/>
    <s v=""/>
    <s v=""/>
    <s v="0"/>
    <s v="424130843610"/>
    <s v=""/>
    <s v=""/>
    <s v=""/>
    <s v=""/>
    <s v=""/>
    <x v="0"/>
    <m/>
    <s v=""/>
    <d v="2019-09-15T00:00:00"/>
    <s v=""/>
    <s v="1909000170"/>
  </r>
  <r>
    <s v="1909000171"/>
    <d v="2019-09-08T00:00:00"/>
    <d v="2019-09-08T00:00:00"/>
    <s v="DZ"/>
    <s v="USD"/>
    <n v="2383"/>
    <n v="2383"/>
    <s v="BDT"/>
    <s v="EGM2"/>
    <n v="198932.84"/>
    <s v="CM ADV ADJ-424130775587"/>
    <s v="0000001010"/>
    <s v="E04989US19-0413"/>
    <s v=""/>
    <s v=""/>
    <s v="0"/>
    <s v="424130839858"/>
    <s v=""/>
    <s v=""/>
    <s v=""/>
    <s v=""/>
    <s v=""/>
    <x v="0"/>
    <d v="2019-10-31T00:00:00"/>
    <s v="1906000010"/>
    <d v="2019-09-08T00:00:00"/>
    <s v=""/>
    <s v="1909000171"/>
  </r>
  <r>
    <s v="1909000171"/>
    <d v="2019-09-08T00:00:00"/>
    <d v="2019-09-08T00:00:00"/>
    <s v="DZ"/>
    <s v="USD"/>
    <n v="10231"/>
    <n v="10231"/>
    <s v="BDT"/>
    <s v="EGM2"/>
    <n v="854288.51"/>
    <s v="CM ADV ADJ-424130838261"/>
    <s v="0000001010"/>
    <s v="E04989US19-0413"/>
    <s v=""/>
    <s v=""/>
    <s v="0"/>
    <s v="424130839858"/>
    <s v=""/>
    <s v=""/>
    <s v=""/>
    <s v=""/>
    <s v=""/>
    <x v="0"/>
    <m/>
    <s v=""/>
    <d v="2019-09-08T00:00:00"/>
    <s v=""/>
    <s v="1909000171"/>
  </r>
  <r>
    <s v="1909000171"/>
    <d v="2019-09-08T00:00:00"/>
    <d v="2019-09-08T00:00:00"/>
    <s v="DZ"/>
    <s v="USD"/>
    <n v="46350"/>
    <n v="46350"/>
    <s v="BDT"/>
    <s v="EGM2"/>
    <n v="3870225.01"/>
    <s v="E04989US19-0413"/>
    <s v="0000001010"/>
    <s v="E04989US19-0413"/>
    <s v=""/>
    <s v=""/>
    <s v="0"/>
    <s v="424130839858"/>
    <s v=""/>
    <s v=""/>
    <s v=""/>
    <s v=""/>
    <s v=""/>
    <x v="0"/>
    <d v="2019-09-08T00:00:00"/>
    <s v="1909000171"/>
    <d v="2019-09-08T00:00:00"/>
    <s v=""/>
    <s v="1909000171"/>
  </r>
  <r>
    <s v="1909000172"/>
    <d v="2019-09-17T00:00:00"/>
    <d v="2019-09-17T00:00:00"/>
    <s v="DZ"/>
    <s v="USD"/>
    <n v="420"/>
    <n v="420"/>
    <s v="BDT"/>
    <s v="EGM2"/>
    <n v="35070"/>
    <s v="CM ADV ADJ-424130838261"/>
    <s v="0000001010"/>
    <s v="05252190409PE"/>
    <s v=""/>
    <s v=""/>
    <s v="0"/>
    <s v="424130839876"/>
    <s v=""/>
    <s v=""/>
    <s v=""/>
    <s v=""/>
    <s v=""/>
    <x v="0"/>
    <m/>
    <s v=""/>
    <d v="2019-09-17T00:00:00"/>
    <s v=""/>
    <s v="1909000172"/>
  </r>
  <r>
    <s v="1909000173"/>
    <d v="2019-09-19T00:00:00"/>
    <d v="2019-09-19T00:00:00"/>
    <s v="DZ"/>
    <s v="USD"/>
    <n v="28712.27"/>
    <n v="28712.27"/>
    <s v="BDT"/>
    <s v="EGM2"/>
    <n v="2397474.5499999998"/>
    <s v="CM ADV ADJ-424130838252"/>
    <s v="0000005010"/>
    <s v="E25190VF19US0427"/>
    <s v=""/>
    <s v=""/>
    <s v="0"/>
    <s v="424130845878"/>
    <s v=""/>
    <s v=""/>
    <s v=""/>
    <s v=""/>
    <s v=""/>
    <x v="0"/>
    <m/>
    <s v=""/>
    <d v="2019-09-19T00:00:00"/>
    <s v=""/>
    <s v="1909000173"/>
  </r>
  <r>
    <s v="1909000174"/>
    <d v="2019-09-19T00:00:00"/>
    <d v="2019-09-19T00:00:00"/>
    <s v="DZ"/>
    <s v="USD"/>
    <n v="38259.26"/>
    <n v="38259.26"/>
    <s v="BDT"/>
    <s v="EGM2"/>
    <n v="3194648.21"/>
    <s v="CM ADV ADJ-424130838252"/>
    <s v="0000005010"/>
    <s v="E25190VF19US0423"/>
    <s v=""/>
    <s v=""/>
    <s v="0"/>
    <s v="424130844673"/>
    <s v=""/>
    <s v=""/>
    <s v=""/>
    <s v=""/>
    <s v=""/>
    <x v="0"/>
    <m/>
    <s v=""/>
    <d v="2019-09-19T00:00:00"/>
    <s v=""/>
    <s v="1909000174"/>
  </r>
  <r>
    <s v="1909000175"/>
    <d v="2019-09-19T00:00:00"/>
    <d v="2019-09-19T00:00:00"/>
    <s v="DZ"/>
    <s v="USD"/>
    <n v="81221.58"/>
    <n v="81221.58"/>
    <s v="BDT"/>
    <s v="EGM1"/>
    <n v="6782001.9299999997"/>
    <s v="CM ADV ADJ-424130838234"/>
    <s v="0000005010"/>
    <s v="E35211TC19US0901"/>
    <s v=""/>
    <s v=""/>
    <s v="0"/>
    <s v="424130844664"/>
    <s v=""/>
    <s v=""/>
    <s v=""/>
    <s v=""/>
    <s v=""/>
    <x v="0"/>
    <m/>
    <s v=""/>
    <d v="2019-09-19T00:00:00"/>
    <s v=""/>
    <s v="1909000175"/>
  </r>
  <r>
    <s v="1909000175"/>
    <d v="2019-09-19T00:00:00"/>
    <d v="2019-09-19T00:00:00"/>
    <s v="DZ"/>
    <s v="USD"/>
    <n v="2424.41"/>
    <n v="2424.41"/>
    <s v="BDT"/>
    <s v="EGM1"/>
    <n v="202438.24"/>
    <s v="CM ADV ADJ-424130824383"/>
    <s v="0000005010"/>
    <s v="E35211TC19US0901"/>
    <s v=""/>
    <s v=""/>
    <s v="0"/>
    <s v="424130844664"/>
    <s v=""/>
    <s v=""/>
    <s v=""/>
    <s v=""/>
    <s v=""/>
    <x v="0"/>
    <m/>
    <s v=""/>
    <d v="2019-09-19T00:00:00"/>
    <s v=""/>
    <s v="1909000175"/>
  </r>
  <r>
    <s v="1909000176"/>
    <d v="2019-09-19T00:00:00"/>
    <d v="2019-09-19T00:00:00"/>
    <s v="DZ"/>
    <s v="USD"/>
    <n v="22337.03"/>
    <n v="22337.03"/>
    <s v="BDT"/>
    <s v="EGM1"/>
    <n v="1865142.01"/>
    <s v="CM ADV ADJ-424130838234"/>
    <s v="0000005010"/>
    <s v="E5171TS19UK0879"/>
    <s v=""/>
    <s v=""/>
    <s v="0"/>
    <s v="424130844655"/>
    <s v=""/>
    <s v=""/>
    <s v=""/>
    <s v=""/>
    <s v=""/>
    <x v="0"/>
    <m/>
    <s v=""/>
    <d v="2019-09-19T00:00:00"/>
    <s v=""/>
    <s v="1909000176"/>
  </r>
  <r>
    <s v="1909000177"/>
    <d v="2019-09-19T00:00:00"/>
    <d v="2019-09-19T00:00:00"/>
    <s v="DZ"/>
    <s v="USD"/>
    <n v="12710.74"/>
    <n v="12710.74"/>
    <s v="BDT"/>
    <s v="EGM1"/>
    <n v="1061346.79"/>
    <s v="CM ADV ADJ-424130838234"/>
    <s v="0000005010"/>
    <s v="E45188DC19US0951"/>
    <s v=""/>
    <s v=""/>
    <s v="0"/>
    <s v="424130845912"/>
    <s v=""/>
    <s v=""/>
    <s v=""/>
    <s v=""/>
    <s v=""/>
    <x v="0"/>
    <m/>
    <s v=""/>
    <d v="2019-09-19T00:00:00"/>
    <s v=""/>
    <s v="1909000177"/>
  </r>
  <r>
    <s v="1909000177"/>
    <d v="2019-09-19T00:00:00"/>
    <d v="2019-09-19T00:00:00"/>
    <s v="DZ"/>
    <s v="USD"/>
    <n v="1475.58"/>
    <n v="1475.58"/>
    <s v="BDT"/>
    <s v="EGM1"/>
    <n v="123210.93"/>
    <s v="CM ADV ADJ-424130824383"/>
    <s v="0000005010"/>
    <s v="E45188DC19US0951"/>
    <s v=""/>
    <s v=""/>
    <s v="0"/>
    <s v="424130845912"/>
    <s v=""/>
    <s v=""/>
    <s v=""/>
    <s v=""/>
    <s v=""/>
    <x v="0"/>
    <m/>
    <s v=""/>
    <d v="2019-09-19T00:00:00"/>
    <s v=""/>
    <s v="1909000177"/>
  </r>
  <r>
    <s v="1909000178"/>
    <d v="2019-09-19T00:00:00"/>
    <d v="2019-09-19T00:00:00"/>
    <s v="DZ"/>
    <s v="USD"/>
    <n v="13348.67"/>
    <n v="13348.67"/>
    <s v="BDT"/>
    <s v="EGM1"/>
    <n v="1114613.95"/>
    <s v="CM ADV ADJ-424130838234"/>
    <s v="0000005010"/>
    <s v="E35210TC19US0958"/>
    <s v=""/>
    <s v=""/>
    <s v="0"/>
    <s v="424130845903"/>
    <s v=""/>
    <s v=""/>
    <s v=""/>
    <s v=""/>
    <s v=""/>
    <x v="0"/>
    <m/>
    <s v=""/>
    <d v="2019-09-19T00:00:00"/>
    <s v=""/>
    <s v="1909000178"/>
  </r>
  <r>
    <s v="1909000179"/>
    <d v="2019-09-19T00:00:00"/>
    <d v="2019-09-19T00:00:00"/>
    <s v="DZ"/>
    <s v="USD"/>
    <n v="1143"/>
    <n v="1143"/>
    <s v="BDT"/>
    <s v="EGM1"/>
    <n v="95440.5"/>
    <s v="CM ADV ADJ-424130823936"/>
    <s v="0000001010"/>
    <s v="E05138US19-0849"/>
    <s v=""/>
    <s v=""/>
    <s v="0"/>
    <s v="424130845887"/>
    <s v=""/>
    <s v=""/>
    <s v=""/>
    <s v=""/>
    <s v=""/>
    <x v="0"/>
    <d v="2020-06-30T00:00:00"/>
    <s v="1906000017"/>
    <d v="2019-09-19T00:00:00"/>
    <s v=""/>
    <s v="1909000179"/>
  </r>
  <r>
    <s v="1909000179"/>
    <d v="2019-09-19T00:00:00"/>
    <d v="2019-09-19T00:00:00"/>
    <s v="DZ"/>
    <s v="USD"/>
    <n v="89019"/>
    <n v="89019"/>
    <s v="BDT"/>
    <s v="EGM1"/>
    <n v="7433086.5"/>
    <s v="CM ADV ADJ-424130838243"/>
    <s v="0000001010"/>
    <s v="E05138US19-0849"/>
    <s v=""/>
    <s v=""/>
    <s v="0"/>
    <s v="424130845887"/>
    <s v=""/>
    <s v=""/>
    <s v=""/>
    <s v=""/>
    <s v=""/>
    <x v="0"/>
    <m/>
    <s v=""/>
    <d v="2019-09-19T00:00:00"/>
    <s v=""/>
    <s v="1909000179"/>
  </r>
  <r>
    <s v="1909000180"/>
    <d v="2019-09-19T00:00:00"/>
    <d v="2019-09-19T00:00:00"/>
    <s v="DZ"/>
    <s v="USD"/>
    <n v="20620"/>
    <n v="20620"/>
    <s v="BDT"/>
    <s v="EGM1"/>
    <n v="1721770"/>
    <s v="CM ADV ADJ-424130823936"/>
    <s v="0000001010"/>
    <s v="E35137BM19UK0926"/>
    <s v=""/>
    <s v=""/>
    <s v="0"/>
    <s v="424130845921"/>
    <s v=""/>
    <s v=""/>
    <s v=""/>
    <s v=""/>
    <s v=""/>
    <x v="0"/>
    <d v="2020-06-30T00:00:00"/>
    <s v="1906000017"/>
    <d v="2019-09-19T00:00:00"/>
    <s v=""/>
    <s v="1909000180"/>
  </r>
  <r>
    <s v="1909000180"/>
    <d v="2019-09-19T00:00:00"/>
    <d v="2019-09-19T00:00:00"/>
    <s v="DZ"/>
    <s v="USD"/>
    <n v="72770"/>
    <n v="72770"/>
    <s v="BDT"/>
    <s v="EGM1"/>
    <n v="6076295"/>
    <s v="CM ADV ADJ-424130838243"/>
    <s v="0000001010"/>
    <s v="E35137BM19UK0926"/>
    <s v=""/>
    <s v=""/>
    <s v="0"/>
    <s v="424130845921"/>
    <s v=""/>
    <s v=""/>
    <s v=""/>
    <s v=""/>
    <s v=""/>
    <x v="0"/>
    <m/>
    <s v=""/>
    <d v="2019-09-19T00:00:00"/>
    <s v=""/>
    <s v="1909000180"/>
  </r>
  <r>
    <s v="1909000180"/>
    <d v="2019-09-19T00:00:00"/>
    <d v="2019-09-19T00:00:00"/>
    <s v="DZ"/>
    <s v="USD"/>
    <n v="2373"/>
    <n v="2373"/>
    <s v="BDT"/>
    <s v="EGM1"/>
    <n v="198145.5"/>
    <s v="CM ADV ADJ-424130814884"/>
    <s v="0000001010"/>
    <s v="E35137BM19UK0926"/>
    <s v=""/>
    <s v=""/>
    <s v="0"/>
    <s v="424130845921"/>
    <s v=""/>
    <s v=""/>
    <s v=""/>
    <s v=""/>
    <s v=""/>
    <x v="0"/>
    <d v="2020-06-30T00:00:00"/>
    <s v="1906000017"/>
    <d v="2019-09-19T00:00:00"/>
    <s v=""/>
    <s v="1909000180"/>
  </r>
  <r>
    <s v="1909000181"/>
    <d v="2019-09-19T00:00:00"/>
    <d v="2019-09-19T00:00:00"/>
    <s v="DZ"/>
    <s v="USD"/>
    <n v="6170"/>
    <n v="6170"/>
    <s v="BDT"/>
    <s v="EGM1"/>
    <n v="515195"/>
    <s v="CM ADV ADJ-424130823936"/>
    <s v="0000001010"/>
    <s v="E5205SB19UK0935"/>
    <s v=""/>
    <s v=""/>
    <s v="0"/>
    <s v="424130845896"/>
    <s v=""/>
    <s v=""/>
    <s v=""/>
    <s v=""/>
    <s v=""/>
    <x v="0"/>
    <d v="2020-06-30T00:00:00"/>
    <s v="1906000017"/>
    <d v="2019-09-19T00:00:00"/>
    <s v=""/>
    <s v="1909000181"/>
  </r>
  <r>
    <s v="1909000181"/>
    <d v="2019-09-19T00:00:00"/>
    <d v="2019-09-19T00:00:00"/>
    <s v="DZ"/>
    <s v="USD"/>
    <n v="4160"/>
    <n v="4160"/>
    <s v="BDT"/>
    <s v="EGM1"/>
    <n v="347360"/>
    <s v="CM ADV ADJ-424130838243"/>
    <s v="0000001010"/>
    <s v="E5205SB19UK0935"/>
    <s v=""/>
    <s v=""/>
    <s v="0"/>
    <s v="424130845896"/>
    <s v=""/>
    <s v=""/>
    <s v=""/>
    <s v=""/>
    <s v=""/>
    <x v="0"/>
    <m/>
    <s v=""/>
    <d v="2019-09-19T00:00:00"/>
    <s v=""/>
    <s v="1909000181"/>
  </r>
  <r>
    <s v="1909000182"/>
    <d v="2019-09-23T00:00:00"/>
    <d v="2019-09-23T00:00:00"/>
    <s v="DZ"/>
    <s v="USD"/>
    <n v="27219"/>
    <n v="27219"/>
    <s v="BDT"/>
    <s v="EGM1"/>
    <n v="2272786.5"/>
    <s v="CM ADV ADJ-424130804207"/>
    <s v="0000001010"/>
    <s v="E05177US190893,E"/>
    <s v=""/>
    <s v=""/>
    <s v="0"/>
    <s v="424130846840,424130846831"/>
    <s v=""/>
    <s v=""/>
    <s v=""/>
    <s v=""/>
    <s v=""/>
    <x v="0"/>
    <m/>
    <s v=""/>
    <d v="2019-09-23T00:00:00"/>
    <s v=""/>
    <s v="1909000182"/>
  </r>
  <r>
    <s v="1909000182"/>
    <d v="2019-09-23T00:00:00"/>
    <d v="2019-09-23T00:00:00"/>
    <s v="DZ"/>
    <s v="USD"/>
    <n v="108122"/>
    <n v="108122"/>
    <s v="BDT"/>
    <s v="EGM1"/>
    <n v="9028187"/>
    <s v="CM ADV ADJ-424130823936"/>
    <s v="0000001010"/>
    <s v="E05177US190893,E"/>
    <s v=""/>
    <s v=""/>
    <s v="0"/>
    <s v="424130846840,424130846831"/>
    <s v=""/>
    <s v=""/>
    <s v=""/>
    <s v=""/>
    <s v=""/>
    <x v="0"/>
    <d v="2020-06-30T00:00:00"/>
    <s v="1906000017"/>
    <d v="2019-09-23T00:00:00"/>
    <s v=""/>
    <s v="1909000182"/>
  </r>
  <r>
    <s v="1909000182"/>
    <d v="2019-09-23T00:00:00"/>
    <d v="2019-09-23T00:00:00"/>
    <s v="DZ"/>
    <s v="USD"/>
    <n v="243215"/>
    <n v="243215"/>
    <s v="BDT"/>
    <s v="EGM1"/>
    <n v="20308452.5"/>
    <s v="CM ADV ADJ-424130838243"/>
    <s v="0000001010"/>
    <s v="E05177US190893,E"/>
    <s v=""/>
    <s v=""/>
    <s v="0"/>
    <s v="424130846840,424130846831"/>
    <s v=""/>
    <s v=""/>
    <s v=""/>
    <s v=""/>
    <s v=""/>
    <x v="0"/>
    <m/>
    <s v=""/>
    <d v="2019-09-23T00:00:00"/>
    <s v=""/>
    <s v="1909000182"/>
  </r>
  <r>
    <s v="1909000182"/>
    <d v="2019-09-23T00:00:00"/>
    <d v="2019-09-23T00:00:00"/>
    <s v="DZ"/>
    <s v="USD"/>
    <n v="44809"/>
    <n v="44809"/>
    <s v="BDT"/>
    <s v="EGM1"/>
    <n v="3741551.5"/>
    <s v="CM ADV ADJ-424130814884"/>
    <s v="0000001010"/>
    <s v="E05177US190893,E"/>
    <s v=""/>
    <s v=""/>
    <s v="0"/>
    <s v="424130846840,424130846831"/>
    <s v=""/>
    <s v=""/>
    <s v=""/>
    <s v=""/>
    <s v=""/>
    <x v="0"/>
    <d v="2020-06-30T00:00:00"/>
    <s v="1906000017"/>
    <d v="2019-09-23T00:00:00"/>
    <s v=""/>
    <s v="1909000182"/>
  </r>
  <r>
    <s v="1909000183"/>
    <d v="2019-09-24T00:00:00"/>
    <d v="2019-09-24T00:00:00"/>
    <s v="DZ"/>
    <s v="USD"/>
    <n v="790"/>
    <n v="790"/>
    <s v="BDT"/>
    <s v="EGM1"/>
    <n v="65965"/>
    <s v="CM ADV ADJ-424130804207"/>
    <s v="0000001010"/>
    <s v="E05148US190944"/>
    <s v=""/>
    <s v=""/>
    <s v="0"/>
    <s v="424130846868"/>
    <s v=""/>
    <s v=""/>
    <s v=""/>
    <s v=""/>
    <s v=""/>
    <x v="0"/>
    <m/>
    <s v=""/>
    <d v="2019-09-24T00:00:00"/>
    <s v=""/>
    <s v="1909000183"/>
  </r>
  <r>
    <s v="1909000183"/>
    <d v="2019-09-24T00:00:00"/>
    <d v="2019-09-24T00:00:00"/>
    <s v="DZ"/>
    <s v="USD"/>
    <n v="39"/>
    <n v="39"/>
    <s v="BDT"/>
    <s v="EGM1"/>
    <n v="3256.5"/>
    <s v="CM ADV ADJ-424130823936"/>
    <s v="0000001010"/>
    <s v="E05148US190944"/>
    <s v=""/>
    <s v=""/>
    <s v="0"/>
    <s v="424130846868"/>
    <s v=""/>
    <s v=""/>
    <s v=""/>
    <s v=""/>
    <s v=""/>
    <x v="0"/>
    <d v="2020-06-30T00:00:00"/>
    <s v="1906000017"/>
    <d v="2019-09-24T00:00:00"/>
    <s v=""/>
    <s v="1909000183"/>
  </r>
  <r>
    <s v="1909000183"/>
    <d v="2019-09-24T00:00:00"/>
    <d v="2019-09-24T00:00:00"/>
    <s v="DZ"/>
    <s v="USD"/>
    <n v="548"/>
    <n v="548"/>
    <s v="BDT"/>
    <s v="EGM1"/>
    <n v="45758"/>
    <s v="CM ADV ADJ-424130838243"/>
    <s v="0000001010"/>
    <s v="E05148US190944"/>
    <s v=""/>
    <s v=""/>
    <s v="0"/>
    <s v="424130846868"/>
    <s v=""/>
    <s v=""/>
    <s v=""/>
    <s v=""/>
    <s v=""/>
    <x v="0"/>
    <m/>
    <s v=""/>
    <d v="2019-09-24T00:00:00"/>
    <s v=""/>
    <s v="1909000183"/>
  </r>
  <r>
    <s v="1909000183"/>
    <d v="2019-09-24T00:00:00"/>
    <d v="2019-09-24T00:00:00"/>
    <s v="DZ"/>
    <s v="USD"/>
    <n v="50"/>
    <n v="50"/>
    <s v="BDT"/>
    <s v="EGM1"/>
    <n v="4174"/>
    <s v="CM ADV ADJ-424130789439"/>
    <s v="0000001010"/>
    <s v="E05148US190944"/>
    <s v=""/>
    <s v=""/>
    <s v="0"/>
    <s v="424130846868"/>
    <s v=""/>
    <s v=""/>
    <s v=""/>
    <s v=""/>
    <s v=""/>
    <x v="0"/>
    <d v="2019-10-31T00:00:00"/>
    <s v="1906000009"/>
    <d v="2019-09-24T00:00:00"/>
    <s v=""/>
    <s v="1909000183"/>
  </r>
  <r>
    <s v="1909000184"/>
    <d v="2019-09-24T00:00:00"/>
    <d v="2019-09-24T00:00:00"/>
    <s v="DZ"/>
    <s v="USD"/>
    <n v="602"/>
    <n v="602"/>
    <s v="BDT"/>
    <s v="EGM2"/>
    <n v="50267"/>
    <s v="CM ADV ADJ-424130838261"/>
    <s v="0000001010"/>
    <s v="05252190425CL"/>
    <s v=""/>
    <s v=""/>
    <s v="0"/>
    <s v="424130846859"/>
    <s v=""/>
    <s v=""/>
    <s v=""/>
    <s v=""/>
    <s v=""/>
    <x v="0"/>
    <m/>
    <s v=""/>
    <d v="2019-09-24T00:00:00"/>
    <s v=""/>
    <s v="1909000184"/>
  </r>
  <r>
    <s v="1909000185"/>
    <d v="2019-09-24T00:00:00"/>
    <d v="2019-09-24T00:00:00"/>
    <s v="DZ"/>
    <s v="USD"/>
    <n v="15183.58"/>
    <n v="15183.58"/>
    <s v="BDT"/>
    <s v="EGM2"/>
    <n v="1267828.93"/>
    <s v="CM ADV ADJ-424130838252"/>
    <s v="0000005010"/>
    <s v="E25249VF19US0428"/>
    <s v=""/>
    <s v=""/>
    <s v="0"/>
    <s v="424130848731"/>
    <s v=""/>
    <s v=""/>
    <s v=""/>
    <s v=""/>
    <s v=""/>
    <x v="0"/>
    <m/>
    <s v=""/>
    <d v="2019-09-24T00:00:00"/>
    <s v=""/>
    <s v="1909000185"/>
  </r>
  <r>
    <s v="1909000186"/>
    <d v="2019-09-26T00:00:00"/>
    <d v="2019-09-26T00:00:00"/>
    <s v="DZ"/>
    <s v="USD"/>
    <n v="19868.95"/>
    <n v="19868.95"/>
    <s v="BDT"/>
    <s v="EGM1"/>
    <n v="1659057.33"/>
    <s v="CM ADV ADJ-424130838234"/>
    <s v="0000005010"/>
    <s v="5214"/>
    <s v=""/>
    <s v=""/>
    <s v="0"/>
    <s v="424130848722"/>
    <s v=""/>
    <s v=""/>
    <s v=""/>
    <s v=""/>
    <s v=""/>
    <x v="0"/>
    <m/>
    <s v=""/>
    <d v="2019-09-26T00:00:00"/>
    <s v=""/>
    <s v="1909000186"/>
  </r>
  <r>
    <s v="1909000186"/>
    <d v="2019-09-26T00:00:00"/>
    <d v="2019-09-26T00:00:00"/>
    <s v="DZ"/>
    <s v="USD"/>
    <n v="36668.660000000003"/>
    <n v="36668.660000000003"/>
    <s v="BDT"/>
    <s v="EGM1"/>
    <n v="3061833.11"/>
    <s v="CM ADV ADJ-424130824383"/>
    <s v="0000005010"/>
    <s v="5214"/>
    <s v=""/>
    <s v=""/>
    <s v="0"/>
    <s v="424130848722"/>
    <s v=""/>
    <s v=""/>
    <s v=""/>
    <s v=""/>
    <s v=""/>
    <x v="0"/>
    <m/>
    <s v=""/>
    <d v="2019-09-26T00:00:00"/>
    <s v=""/>
    <s v="1909000186"/>
  </r>
  <r>
    <s v="1909000187"/>
    <d v="2019-09-25T00:00:00"/>
    <d v="2019-09-25T00:00:00"/>
    <s v="DZ"/>
    <s v="USD"/>
    <n v="2649.53"/>
    <n v="2649.53"/>
    <s v="BDT"/>
    <s v="EGM1"/>
    <n v="221235.76"/>
    <s v="CM ADV ADJ-424130824383"/>
    <s v="0000005010"/>
    <s v="35210"/>
    <s v=""/>
    <s v=""/>
    <s v="0"/>
    <s v="424130848759"/>
    <s v=""/>
    <s v=""/>
    <s v=""/>
    <s v=""/>
    <s v=""/>
    <x v="0"/>
    <m/>
    <s v=""/>
    <d v="2019-09-25T00:00:00"/>
    <s v=""/>
    <s v="1909000187"/>
  </r>
  <r>
    <s v="1909000189"/>
    <d v="2019-09-29T00:00:00"/>
    <d v="2019-09-29T00:00:00"/>
    <s v="DZ"/>
    <s v="USD"/>
    <n v="-1006483"/>
    <n v="-1006483"/>
    <s v="BDT"/>
    <s v="EGM1"/>
    <n v="-84041330.510000005"/>
    <s v="CM ADV REC-424130851922"/>
    <s v="0000001010"/>
    <s v="EG105179"/>
    <s v=""/>
    <s v=""/>
    <s v="0"/>
    <s v="424130851922"/>
    <s v=""/>
    <s v=""/>
    <s v=""/>
    <s v=""/>
    <s v=""/>
    <x v="0"/>
    <m/>
    <s v=""/>
    <d v="2019-09-29T00:00:00"/>
    <s v=""/>
    <s v="1909000189"/>
  </r>
  <r>
    <s v="1909000190"/>
    <d v="2019-09-29T00:00:00"/>
    <d v="2019-09-29T00:00:00"/>
    <s v="DZ"/>
    <s v="USD"/>
    <n v="16415"/>
    <n v="16415"/>
    <s v="BDT"/>
    <s v="EGM1"/>
    <n v="1370652.5"/>
    <s v="CM ADV ADJ-424130838243"/>
    <s v="0000001010"/>
    <s v="E5189SB19UK0973"/>
    <s v=""/>
    <s v=""/>
    <s v="0"/>
    <s v="424130850095"/>
    <s v=""/>
    <s v=""/>
    <s v=""/>
    <s v=""/>
    <s v=""/>
    <x v="0"/>
    <m/>
    <s v=""/>
    <d v="2019-09-29T00:00:00"/>
    <s v=""/>
    <s v="1909000190"/>
  </r>
  <r>
    <s v="1909000191"/>
    <d v="2019-09-29T00:00:00"/>
    <d v="2019-09-29T00:00:00"/>
    <s v="DZ"/>
    <s v="USD"/>
    <n v="5851"/>
    <n v="5851"/>
    <s v="BDT"/>
    <s v="EGM1"/>
    <n v="488558.5"/>
    <s v="CM ADV ADJ-424130838243"/>
    <s v="0000001010"/>
    <s v="E35245BM19UK0928"/>
    <s v=""/>
    <s v=""/>
    <s v="0"/>
    <s v="424130850086"/>
    <s v=""/>
    <s v=""/>
    <s v=""/>
    <s v=""/>
    <s v=""/>
    <x v="0"/>
    <m/>
    <s v=""/>
    <d v="2019-09-29T00:00:00"/>
    <s v=""/>
    <s v="1909000191"/>
  </r>
  <r>
    <s v="1909000192"/>
    <d v="2019-09-29T00:00:00"/>
    <d v="2019-09-29T00:00:00"/>
    <s v="DZ"/>
    <s v="USD"/>
    <n v="14214"/>
    <n v="14214"/>
    <s v="BDT"/>
    <s v="EGM1"/>
    <n v="1186869"/>
    <s v="CM ADV ADJ-424130804207"/>
    <s v="0000001010"/>
    <s v="E05146US19-0957"/>
    <s v=""/>
    <s v=""/>
    <s v="0"/>
    <s v="424130850727"/>
    <s v=""/>
    <s v=""/>
    <s v=""/>
    <s v=""/>
    <s v=""/>
    <x v="0"/>
    <m/>
    <s v=""/>
    <d v="2019-09-29T00:00:00"/>
    <s v=""/>
    <s v="1909000192"/>
  </r>
  <r>
    <s v="1909000192"/>
    <d v="2019-09-29T00:00:00"/>
    <d v="2019-09-29T00:00:00"/>
    <s v="DZ"/>
    <s v="USD"/>
    <n v="5230"/>
    <n v="5230"/>
    <s v="BDT"/>
    <s v="EGM1"/>
    <n v="436705"/>
    <s v="CM ADV ADJ-424130823936"/>
    <s v="0000001010"/>
    <s v="E05146US19-0957"/>
    <s v=""/>
    <s v=""/>
    <s v="0"/>
    <s v="424130850727"/>
    <s v=""/>
    <s v=""/>
    <s v=""/>
    <s v=""/>
    <s v=""/>
    <x v="0"/>
    <d v="2020-06-30T00:00:00"/>
    <s v="1906000017"/>
    <d v="2019-09-29T00:00:00"/>
    <s v=""/>
    <s v="1909000192"/>
  </r>
  <r>
    <s v="1909000192"/>
    <d v="2019-09-29T00:00:00"/>
    <d v="2019-09-29T00:00:00"/>
    <s v="DZ"/>
    <s v="USD"/>
    <n v="48083"/>
    <n v="48083"/>
    <s v="BDT"/>
    <s v="EGM1"/>
    <n v="4014930.5"/>
    <s v="CM ADV ADJ-424130838243"/>
    <s v="0000001010"/>
    <s v="E05146US19-0957"/>
    <s v=""/>
    <s v=""/>
    <s v="0"/>
    <s v="424130850727"/>
    <s v=""/>
    <s v=""/>
    <s v=""/>
    <s v=""/>
    <s v=""/>
    <x v="0"/>
    <m/>
    <s v=""/>
    <d v="2019-09-29T00:00:00"/>
    <s v=""/>
    <s v="1909000192"/>
  </r>
  <r>
    <s v="1909000192"/>
    <d v="2019-09-29T00:00:00"/>
    <d v="2019-09-29T00:00:00"/>
    <s v="DZ"/>
    <s v="USD"/>
    <n v="934"/>
    <n v="934"/>
    <s v="BDT"/>
    <s v="EGM1"/>
    <n v="77989"/>
    <s v="CM ADV ADJ-424130814884"/>
    <s v="0000001010"/>
    <s v="E05146US19-0957"/>
    <s v=""/>
    <s v=""/>
    <s v="0"/>
    <s v="424130850727"/>
    <s v=""/>
    <s v=""/>
    <s v=""/>
    <s v=""/>
    <s v=""/>
    <x v="0"/>
    <d v="2020-06-30T00:00:00"/>
    <s v="1906000017"/>
    <d v="2019-09-29T00:00:00"/>
    <s v=""/>
    <s v="1909000192"/>
  </r>
  <r>
    <s v="1909000192"/>
    <d v="2019-09-29T00:00:00"/>
    <d v="2019-09-29T00:00:00"/>
    <s v="DZ"/>
    <s v="USD"/>
    <n v="387"/>
    <n v="387"/>
    <s v="BDT"/>
    <s v="EGM1"/>
    <n v="32306.76"/>
    <s v="CM ADV ADJ-424130789439"/>
    <s v="0000001010"/>
    <s v="E05146US19-0957"/>
    <s v=""/>
    <s v=""/>
    <s v="0"/>
    <s v="424130850727"/>
    <s v=""/>
    <s v=""/>
    <s v=""/>
    <s v=""/>
    <s v=""/>
    <x v="0"/>
    <d v="2019-10-31T00:00:00"/>
    <s v="1906000009"/>
    <d v="2019-09-29T00:00:00"/>
    <s v=""/>
    <s v="1909000192"/>
  </r>
  <r>
    <s v="1909000192"/>
    <d v="2019-09-29T00:00:00"/>
    <d v="2019-09-29T00:00:00"/>
    <s v="DZ"/>
    <s v="USD"/>
    <n v="11737"/>
    <n v="11737"/>
    <s v="BDT"/>
    <s v="EGM1"/>
    <n v="979804.76"/>
    <s v="CM ADV ADJ-424130785148"/>
    <s v="0000001010"/>
    <s v="E05146US19-0957"/>
    <s v=""/>
    <s v=""/>
    <s v="0"/>
    <s v="424130850727"/>
    <s v=""/>
    <s v=""/>
    <s v=""/>
    <s v=""/>
    <s v=""/>
    <x v="0"/>
    <d v="2020-06-30T00:00:00"/>
    <s v="1906000017"/>
    <d v="2019-09-29T00:00:00"/>
    <s v=""/>
    <s v="1909000192"/>
  </r>
  <r>
    <s v="1909000193"/>
    <d v="2019-09-30T00:00:00"/>
    <d v="2019-09-30T00:00:00"/>
    <s v="DZ"/>
    <s v="USD"/>
    <n v="1277"/>
    <n v="1277"/>
    <s v="BDT"/>
    <s v="EGM2"/>
    <n v="106629.5"/>
    <s v="CM ADV ADJ-424130838261"/>
    <s v="0000001010"/>
    <s v="05252190430ZA"/>
    <s v=""/>
    <s v=""/>
    <s v="0"/>
    <s v="424130850745"/>
    <s v=""/>
    <s v=""/>
    <s v=""/>
    <s v=""/>
    <s v=""/>
    <x v="0"/>
    <m/>
    <s v=""/>
    <d v="2019-09-30T00:00:00"/>
    <s v=""/>
    <s v="1909000193"/>
  </r>
  <r>
    <s v="1909000195"/>
    <d v="2019-09-30T00:00:00"/>
    <d v="2019-09-30T00:00:00"/>
    <s v="DZ"/>
    <s v="USD"/>
    <n v="1675"/>
    <n v="1675"/>
    <s v="BDT"/>
    <s v="EGM1"/>
    <n v="139862.5"/>
    <s v="CM ADV ADJ-424130838234"/>
    <s v="0000005010"/>
    <s v="E5214AMZ19PL0922"/>
    <s v=""/>
    <s v=""/>
    <s v="0"/>
    <s v="424130850718"/>
    <s v=""/>
    <s v=""/>
    <s v=""/>
    <s v=""/>
    <s v=""/>
    <x v="0"/>
    <m/>
    <s v=""/>
    <d v="2019-09-30T00:00:00"/>
    <s v=""/>
    <s v="1909000195"/>
  </r>
  <r>
    <s v="1909000197"/>
    <d v="2019-10-01T00:00:00"/>
    <d v="2019-10-01T00:00:00"/>
    <s v="DZ"/>
    <s v="USD"/>
    <n v="-315491.13"/>
    <n v="-315491.13"/>
    <s v="BDT"/>
    <s v="EGM2"/>
    <n v="-26343509.370000001"/>
    <s v="CM ADV Rec-424130853181"/>
    <s v="0000005010"/>
    <s v="EGMCL-EG2-05307"/>
    <s v=""/>
    <s v=""/>
    <s v="0"/>
    <s v="424130853181"/>
    <s v=""/>
    <s v=""/>
    <s v=""/>
    <s v=""/>
    <s v=""/>
    <x v="0"/>
    <m/>
    <s v=""/>
    <d v="2019-10-01T00:00:00"/>
    <s v=""/>
    <s v="1909000197"/>
  </r>
  <r>
    <s v="1909000198"/>
    <d v="2019-10-01T00:00:00"/>
    <d v="2019-10-01T00:00:00"/>
    <s v="DZ"/>
    <s v="USD"/>
    <n v="-901959.28"/>
    <n v="-901959.28"/>
    <s v="BDT"/>
    <s v="EGM1"/>
    <n v="-75313599.900000006"/>
    <s v="CM ADV Rec-424130853190"/>
    <s v="0000001010"/>
    <s v="EG4-05078"/>
    <s v=""/>
    <s v=""/>
    <s v="0"/>
    <s v="424130853190"/>
    <s v=""/>
    <s v=""/>
    <s v=""/>
    <s v=""/>
    <s v=""/>
    <x v="0"/>
    <d v="2019-10-01T00:00:00"/>
    <s v="1903002387"/>
    <d v="2019-10-01T00:00:00"/>
    <s v=""/>
    <s v="1909000198"/>
  </r>
  <r>
    <s v="1909000199"/>
    <d v="2019-10-01T00:00:00"/>
    <d v="2019-10-01T00:00:00"/>
    <s v="DZ"/>
    <s v="USD"/>
    <n v="59939.47"/>
    <n v="59939.47"/>
    <s v="BDT"/>
    <s v="EGM1"/>
    <n v="5004945.75"/>
    <s v="CM ADV ADJ-424130838234"/>
    <s v="0000005010"/>
    <s v="E5206TS19CE0946"/>
    <s v=""/>
    <s v=""/>
    <s v="0"/>
    <s v="424130852707"/>
    <s v=""/>
    <s v=""/>
    <s v=""/>
    <s v=""/>
    <s v=""/>
    <x v="0"/>
    <m/>
    <s v=""/>
    <d v="2019-10-01T00:00:00"/>
    <s v=""/>
    <s v="1909000199"/>
  </r>
  <r>
    <s v="1909000201"/>
    <d v="2019-10-02T00:00:00"/>
    <d v="2019-10-02T00:00:00"/>
    <s v="DZ"/>
    <s v="USD"/>
    <n v="497"/>
    <n v="497"/>
    <s v="BDT"/>
    <s v="EGM1"/>
    <n v="41499.5"/>
    <s v="CM ADV ADJ-424130804207"/>
    <s v="0000001010"/>
    <s v="E05079US19-0942"/>
    <s v=""/>
    <s v=""/>
    <s v="0"/>
    <s v="424130853261"/>
    <s v=""/>
    <s v=""/>
    <s v=""/>
    <s v=""/>
    <s v=""/>
    <x v="0"/>
    <m/>
    <s v=""/>
    <d v="2019-10-02T00:00:00"/>
    <s v=""/>
    <s v="1909000201"/>
  </r>
  <r>
    <s v="1909000201"/>
    <d v="2019-10-02T00:00:00"/>
    <d v="2019-10-02T00:00:00"/>
    <s v="DZ"/>
    <s v="USD"/>
    <n v="10569"/>
    <n v="10569"/>
    <s v="BDT"/>
    <s v="EGM1"/>
    <n v="882511.5"/>
    <s v="CM ADV ADJ-424130823936"/>
    <s v="0000001010"/>
    <s v="E05079US19-0942"/>
    <s v=""/>
    <s v=""/>
    <s v="0"/>
    <s v="424130853261"/>
    <s v=""/>
    <s v=""/>
    <s v=""/>
    <s v=""/>
    <s v=""/>
    <x v="0"/>
    <d v="2020-06-30T00:00:00"/>
    <s v="1906000017"/>
    <d v="2019-10-02T00:00:00"/>
    <s v=""/>
    <s v="1909000201"/>
  </r>
  <r>
    <s v="1909000201"/>
    <d v="2019-10-02T00:00:00"/>
    <d v="2019-10-02T00:00:00"/>
    <s v="DZ"/>
    <s v="USD"/>
    <n v="16939"/>
    <n v="16939"/>
    <s v="BDT"/>
    <s v="EGM1"/>
    <n v="1414406.5"/>
    <s v="CM ADV ADJ-424130838243"/>
    <s v="0000001010"/>
    <s v="E05079US19-0942"/>
    <s v=""/>
    <s v=""/>
    <s v="0"/>
    <s v="424130853261"/>
    <s v=""/>
    <s v=""/>
    <s v=""/>
    <s v=""/>
    <s v=""/>
    <x v="0"/>
    <m/>
    <s v=""/>
    <d v="2019-10-02T00:00:00"/>
    <s v=""/>
    <s v="1909000201"/>
  </r>
  <r>
    <s v="1909000202"/>
    <d v="2019-10-02T00:00:00"/>
    <d v="2019-10-02T00:00:00"/>
    <s v="DZ"/>
    <s v="USD"/>
    <n v="-1000000"/>
    <n v="-1000000"/>
    <s v="BDT"/>
    <s v="EGM1"/>
    <n v="-83500000"/>
    <s v="CM ADV Rec-424130854527"/>
    <s v="0000001010"/>
    <s v="EGA-05124"/>
    <s v=""/>
    <s v=""/>
    <s v="0"/>
    <s v="424130854527"/>
    <s v=""/>
    <s v=""/>
    <s v=""/>
    <s v=""/>
    <s v=""/>
    <x v="0"/>
    <m/>
    <s v=""/>
    <d v="2019-10-02T00:00:00"/>
    <s v=""/>
    <s v="1909000202"/>
  </r>
  <r>
    <s v="1909000204"/>
    <d v="2019-10-07T00:00:00"/>
    <d v="2019-10-07T00:00:00"/>
    <s v="DZ"/>
    <s v="USD"/>
    <n v="671"/>
    <n v="671"/>
    <s v="BDT"/>
    <s v="EGM2"/>
    <n v="56028.5"/>
    <s v="CM ADV ADJ-424130838261"/>
    <s v="0000001010"/>
    <s v="05252190433AU"/>
    <s v=""/>
    <s v=""/>
    <s v="0"/>
    <s v="424130855492"/>
    <s v=""/>
    <s v=""/>
    <s v=""/>
    <s v=""/>
    <s v=""/>
    <x v="0"/>
    <m/>
    <s v=""/>
    <d v="2019-10-07T00:00:00"/>
    <s v=""/>
    <s v="1909000204"/>
  </r>
  <r>
    <s v="1909000206"/>
    <d v="2019-10-07T00:00:00"/>
    <d v="2019-10-07T00:00:00"/>
    <s v="DZ"/>
    <s v="USD"/>
    <n v="1464"/>
    <n v="1464"/>
    <s v="BDT"/>
    <s v="EGM1"/>
    <n v="122244"/>
    <s v="CM ADV ADJ-424130804207"/>
    <s v="0000001010"/>
    <s v="E05079US19-0943"/>
    <s v=""/>
    <s v=""/>
    <s v="0"/>
    <s v="424130855474"/>
    <s v=""/>
    <s v=""/>
    <s v=""/>
    <s v=""/>
    <s v=""/>
    <x v="0"/>
    <m/>
    <s v=""/>
    <d v="2019-10-07T00:00:00"/>
    <s v=""/>
    <s v="1909000206"/>
  </r>
  <r>
    <s v="1909000206"/>
    <d v="2019-10-07T00:00:00"/>
    <d v="2019-10-07T00:00:00"/>
    <s v="DZ"/>
    <s v="USD"/>
    <n v="77455"/>
    <n v="77455"/>
    <s v="BDT"/>
    <s v="EGM1"/>
    <n v="6467492.5"/>
    <s v="CM ADV ADJ-424130838243"/>
    <s v="0000001010"/>
    <s v="E05079US19-0943"/>
    <s v=""/>
    <s v=""/>
    <s v="0"/>
    <s v="424130855474"/>
    <s v=""/>
    <s v=""/>
    <s v=""/>
    <s v=""/>
    <s v=""/>
    <x v="0"/>
    <m/>
    <s v=""/>
    <d v="2019-10-07T00:00:00"/>
    <s v=""/>
    <s v="1909000206"/>
  </r>
  <r>
    <s v="1909000206"/>
    <d v="2019-10-07T00:00:00"/>
    <d v="2019-10-07T00:00:00"/>
    <s v="DZ"/>
    <s v="USD"/>
    <n v="27349"/>
    <n v="27349"/>
    <s v="BDT"/>
    <s v="EGM1"/>
    <n v="2283641.5"/>
    <s v="CM ADV ADJ-424130851922"/>
    <s v="0000001010"/>
    <s v="E05079US19-0943"/>
    <s v=""/>
    <s v=""/>
    <s v="0"/>
    <s v="424130855474"/>
    <s v=""/>
    <s v=""/>
    <s v=""/>
    <s v=""/>
    <s v=""/>
    <x v="0"/>
    <m/>
    <s v=""/>
    <d v="2019-10-07T00:00:00"/>
    <s v=""/>
    <s v="1909000206"/>
  </r>
  <r>
    <s v="1909000206"/>
    <d v="2019-10-07T00:00:00"/>
    <d v="2019-10-07T00:00:00"/>
    <s v="DZ"/>
    <s v="USD"/>
    <n v="55"/>
    <n v="55"/>
    <s v="BDT"/>
    <s v="EGM1"/>
    <n v="4591.3999999999996"/>
    <s v="CM ADV ADJ-424130789439"/>
    <s v="0000001010"/>
    <s v="E05079US19-0943"/>
    <s v=""/>
    <s v=""/>
    <s v="0"/>
    <s v="424130855474"/>
    <s v=""/>
    <s v=""/>
    <s v=""/>
    <s v=""/>
    <s v=""/>
    <x v="0"/>
    <d v="2019-10-31T00:00:00"/>
    <s v="1906000009"/>
    <d v="2019-10-07T00:00:00"/>
    <s v=""/>
    <s v="1909000206"/>
  </r>
  <r>
    <s v="1909000206"/>
    <d v="2019-10-07T00:00:00"/>
    <d v="2019-10-07T00:00:00"/>
    <s v="DZ"/>
    <s v="USD"/>
    <n v="149"/>
    <n v="149"/>
    <s v="BDT"/>
    <s v="EGM1"/>
    <n v="12438.52"/>
    <s v="CM ADV ADJ-424130785148"/>
    <s v="0000001010"/>
    <s v="E05079US19-0943"/>
    <s v=""/>
    <s v=""/>
    <s v="0"/>
    <s v="424130855474"/>
    <s v=""/>
    <s v=""/>
    <s v=""/>
    <s v=""/>
    <s v=""/>
    <x v="0"/>
    <d v="2020-06-30T00:00:00"/>
    <s v="1906000017"/>
    <d v="2019-10-07T00:00:00"/>
    <s v=""/>
    <s v="1909000206"/>
  </r>
  <r>
    <s v="1909000207"/>
    <d v="2019-10-09T00:00:00"/>
    <d v="2019-10-09T00:00:00"/>
    <s v="DZ"/>
    <s v="USD"/>
    <n v="20420"/>
    <n v="20420"/>
    <s v="BDT"/>
    <s v="EGM1"/>
    <n v="1705070"/>
    <s v="CM ADV ADV-424130823936"/>
    <s v="0000001010"/>
    <s v="E05201US19-0969"/>
    <s v=""/>
    <s v=""/>
    <s v="0"/>
    <s v="424130856598"/>
    <s v=""/>
    <s v=""/>
    <s v=""/>
    <s v=""/>
    <s v=""/>
    <x v="0"/>
    <d v="2020-06-30T00:00:00"/>
    <s v="1906000017"/>
    <d v="2019-10-09T00:00:00"/>
    <s v=""/>
    <s v="1909000207"/>
  </r>
  <r>
    <s v="1909000207"/>
    <d v="2019-10-09T00:00:00"/>
    <d v="2019-10-09T00:00:00"/>
    <s v="DZ"/>
    <s v="USD"/>
    <n v="45527"/>
    <n v="45527"/>
    <s v="BDT"/>
    <s v="EGM1"/>
    <n v="3801504.5"/>
    <s v="CM ADV ADJ-424130838243"/>
    <s v="0000001010"/>
    <s v="E05201US19-0969"/>
    <s v=""/>
    <s v=""/>
    <s v="0"/>
    <s v="424130856598"/>
    <s v=""/>
    <s v=""/>
    <s v=""/>
    <s v=""/>
    <s v=""/>
    <x v="0"/>
    <m/>
    <s v=""/>
    <d v="2019-10-09T00:00:00"/>
    <s v=""/>
    <s v="1909000207"/>
  </r>
  <r>
    <s v="1909000207"/>
    <d v="2019-10-09T00:00:00"/>
    <d v="2019-10-09T00:00:00"/>
    <s v="DZ"/>
    <s v="USD"/>
    <n v="112428"/>
    <n v="112428"/>
    <s v="BDT"/>
    <s v="EGM1"/>
    <n v="9387738"/>
    <s v="CM ADV ADJ-424130851922"/>
    <s v="0000001010"/>
    <s v="E05201US19-0969"/>
    <s v=""/>
    <s v=""/>
    <s v="0"/>
    <s v="424130856598"/>
    <s v=""/>
    <s v=""/>
    <s v=""/>
    <s v=""/>
    <s v=""/>
    <x v="0"/>
    <m/>
    <s v=""/>
    <d v="2019-10-09T00:00:00"/>
    <s v=""/>
    <s v="1909000207"/>
  </r>
  <r>
    <s v="1909000208"/>
    <d v="2019-10-01T00:00:00"/>
    <d v="2019-10-01T00:00:00"/>
    <s v="DZ"/>
    <s v="USD"/>
    <n v="-901959.28"/>
    <n v="-901959.28"/>
    <s v="BDT"/>
    <s v="EGM1"/>
    <n v="-75313599.900000006"/>
    <s v="CM ADV REC-424130853190"/>
    <s v="0000005010"/>
    <s v="EG4-05078"/>
    <s v=""/>
    <s v=""/>
    <s v="0"/>
    <s v="424130853190"/>
    <s v=""/>
    <s v=""/>
    <s v=""/>
    <s v=""/>
    <s v=""/>
    <x v="0"/>
    <m/>
    <s v=""/>
    <d v="2019-10-01T00:00:00"/>
    <s v=""/>
    <s v="1909000208"/>
  </r>
  <r>
    <s v="1909000209"/>
    <d v="2019-10-09T00:00:00"/>
    <d v="2019-10-09T00:00:00"/>
    <s v="DZ"/>
    <s v="USD"/>
    <n v="6082.59"/>
    <n v="6082.59"/>
    <s v="BDT"/>
    <s v="EGM1"/>
    <n v="507896.27"/>
    <s v="CM ADV ADJ-424130853190"/>
    <s v="0000005010"/>
    <s v="E5078TS19UK0996"/>
    <s v=""/>
    <s v=""/>
    <s v="0"/>
    <s v="424130855893"/>
    <s v=""/>
    <s v=""/>
    <s v=""/>
    <s v=""/>
    <s v=""/>
    <x v="0"/>
    <m/>
    <s v=""/>
    <d v="2019-10-09T00:00:00"/>
    <s v=""/>
    <s v="1909000209"/>
  </r>
  <r>
    <s v="1909000210"/>
    <d v="2019-10-09T00:00:00"/>
    <d v="2019-10-09T00:00:00"/>
    <s v="DZ"/>
    <s v="USD"/>
    <n v="33177.61"/>
    <n v="33177.61"/>
    <s v="BDT"/>
    <s v="EGM1"/>
    <n v="2770330.44"/>
    <s v="CM ADV ADJ-424130853190"/>
    <s v="0000005010"/>
    <s v="E34996DC19US0988"/>
    <s v=""/>
    <s v=""/>
    <s v="0"/>
    <s v="424130855875"/>
    <s v=""/>
    <s v=""/>
    <s v=""/>
    <s v=""/>
    <s v=""/>
    <x v="0"/>
    <m/>
    <s v=""/>
    <d v="2019-10-09T00:00:00"/>
    <s v=""/>
    <s v="1909000210"/>
  </r>
  <r>
    <s v="1909000210"/>
    <d v="2019-10-09T00:00:00"/>
    <d v="2019-10-09T00:00:00"/>
    <s v="DZ"/>
    <s v="USD"/>
    <n v="16862.919999999998"/>
    <n v="16862.919999999998"/>
    <s v="BDT"/>
    <s v="EGM1"/>
    <n v="1408053.82"/>
    <s v="CM ADV ADJ-424130838234"/>
    <s v="0000005010"/>
    <s v="E34996DC19US0988"/>
    <s v=""/>
    <s v=""/>
    <s v="0"/>
    <s v="424130855875"/>
    <s v=""/>
    <s v=""/>
    <s v=""/>
    <s v=""/>
    <s v=""/>
    <x v="0"/>
    <m/>
    <s v=""/>
    <d v="2019-10-09T00:00:00"/>
    <s v=""/>
    <s v="1909000210"/>
  </r>
  <r>
    <s v="1909000211"/>
    <d v="2019-10-09T00:00:00"/>
    <d v="2019-10-09T00:00:00"/>
    <s v="DZ"/>
    <s v="USD"/>
    <n v="140892.57"/>
    <n v="140892.57"/>
    <s v="BDT"/>
    <s v="EGM1"/>
    <n v="11764529.6"/>
    <s v="CM ADV adj-424130853190"/>
    <s v="0000005010"/>
    <s v="E35212TC19US0995"/>
    <s v=""/>
    <s v=""/>
    <s v="0"/>
    <s v="424130855884"/>
    <s v=""/>
    <s v=""/>
    <s v=""/>
    <s v=""/>
    <s v=""/>
    <x v="0"/>
    <m/>
    <s v=""/>
    <d v="2019-10-09T00:00:00"/>
    <s v=""/>
    <s v="1909000211"/>
  </r>
  <r>
    <s v="1909000211"/>
    <d v="2019-10-09T00:00:00"/>
    <d v="2019-10-09T00:00:00"/>
    <s v="DZ"/>
    <s v="USD"/>
    <n v="140030.04999999999"/>
    <n v="140030.04999999999"/>
    <s v="BDT"/>
    <s v="EGM1"/>
    <n v="11692509.18"/>
    <s v="CM ADV adj-424130838234"/>
    <s v="0000005010"/>
    <s v="E35212TC19US0995"/>
    <s v=""/>
    <s v=""/>
    <s v="0"/>
    <s v="424130855884"/>
    <s v=""/>
    <s v=""/>
    <s v=""/>
    <s v=""/>
    <s v=""/>
    <x v="0"/>
    <m/>
    <s v=""/>
    <d v="2019-10-09T00:00:00"/>
    <s v=""/>
    <s v="1909000211"/>
  </r>
  <r>
    <s v="1909000211"/>
    <d v="2019-10-09T00:00:00"/>
    <d v="2019-10-09T00:00:00"/>
    <s v="DZ"/>
    <s v="USD"/>
    <n v="770.12"/>
    <n v="770.12"/>
    <s v="BDT"/>
    <s v="EGM1"/>
    <n v="64305.02"/>
    <s v="CM ADV adj-424130824383"/>
    <s v="0000005010"/>
    <s v="E35212TC19US0995"/>
    <s v=""/>
    <s v=""/>
    <s v="0"/>
    <s v="424130855884"/>
    <s v=""/>
    <s v=""/>
    <s v=""/>
    <s v=""/>
    <s v=""/>
    <x v="0"/>
    <m/>
    <s v=""/>
    <d v="2019-10-09T00:00:00"/>
    <s v=""/>
    <s v="1909000211"/>
  </r>
  <r>
    <s v="1909000213"/>
    <d v="2019-09-30T00:00:00"/>
    <d v="2019-09-30T00:00:00"/>
    <s v="DZ"/>
    <s v="USD"/>
    <n v="28006"/>
    <n v="28006"/>
    <s v="BDT"/>
    <s v="EGM1"/>
    <n v="2337940.88"/>
    <s v="FIT-CM ADV EDL-SEP-19"/>
    <s v="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9000213"/>
  </r>
  <r>
    <s v="1909000213"/>
    <d v="2019-09-30T00:00:00"/>
    <d v="2019-09-30T00:00:00"/>
    <s v="DZ"/>
    <s v="USD"/>
    <n v="-1000000"/>
    <n v="-1000000"/>
    <s v="BDT"/>
    <s v="EGM1"/>
    <n v="-83480000"/>
    <s v="FIT-CM ADV EDL-SEP-19"/>
    <s v="0000001010"/>
    <s v="FIT-CM-EDL-SEP19"/>
    <s v=""/>
    <s v=""/>
    <s v="0"/>
    <s v="FIT-CMAD-EDL-SEP-19"/>
    <s v=""/>
    <s v=""/>
    <s v=""/>
    <s v=""/>
    <s v=""/>
    <x v="0"/>
    <d v="2019-10-01T00:00:00"/>
    <s v="1903003551"/>
    <d v="2019-09-30T00:00:00"/>
    <s v=""/>
    <s v="1909000213"/>
  </r>
  <r>
    <s v="1909000214"/>
    <d v="2019-10-10T00:00:00"/>
    <d v="2019-10-10T00:00:00"/>
    <s v="DZ"/>
    <s v="USD"/>
    <n v="34121.589999999997"/>
    <n v="34121.589999999997"/>
    <s v="BDT"/>
    <s v="EGM2"/>
    <n v="2849152.77"/>
    <s v="CM ADV adj-424130853181"/>
    <s v="0000005010"/>
    <s v="E25055AC19JF0438"/>
    <s v=""/>
    <s v=""/>
    <s v="0"/>
    <s v="424130857141"/>
    <s v=""/>
    <s v=""/>
    <s v=""/>
    <s v=""/>
    <s v=""/>
    <x v="0"/>
    <m/>
    <s v=""/>
    <d v="2019-10-10T00:00:00"/>
    <s v=""/>
    <s v="1909000214"/>
  </r>
  <r>
    <s v="1909000214"/>
    <d v="2019-10-10T00:00:00"/>
    <d v="2019-10-10T00:00:00"/>
    <s v="DZ"/>
    <s v="USD"/>
    <n v="5888.37"/>
    <n v="5888.37"/>
    <s v="BDT"/>
    <s v="EGM2"/>
    <n v="491678.9"/>
    <s v="CM ADV adj-424130838252"/>
    <s v="0000005010"/>
    <s v="E25055AC19JF0438"/>
    <s v=""/>
    <s v=""/>
    <s v="0"/>
    <s v="424130857141"/>
    <s v=""/>
    <s v=""/>
    <s v=""/>
    <s v=""/>
    <s v=""/>
    <x v="0"/>
    <m/>
    <s v=""/>
    <d v="2019-10-10T00:00:00"/>
    <s v=""/>
    <s v="1909000214"/>
  </r>
  <r>
    <s v="1909000214"/>
    <d v="2019-10-10T00:00:00"/>
    <d v="2019-10-10T00:00:00"/>
    <s v="DZ"/>
    <s v="USD"/>
    <n v="2841.88"/>
    <n v="2841.88"/>
    <s v="BDT"/>
    <s v="EGM2"/>
    <n v="237296.98"/>
    <s v="CM ADV adj-424130824374"/>
    <s v="0000005010"/>
    <s v="E25055AC19JF0438"/>
    <s v=""/>
    <s v=""/>
    <s v="0"/>
    <s v="424130857141"/>
    <s v=""/>
    <s v=""/>
    <s v=""/>
    <s v=""/>
    <s v=""/>
    <x v="0"/>
    <m/>
    <s v=""/>
    <d v="2019-10-10T00:00:00"/>
    <s v=""/>
    <s v="1909000214"/>
  </r>
  <r>
    <s v="1909000215"/>
    <d v="2019-10-10T00:00:00"/>
    <d v="2019-10-10T00:00:00"/>
    <s v="DZ"/>
    <s v="USD"/>
    <n v="3896"/>
    <n v="3896"/>
    <s v="BDT"/>
    <s v="EGM1"/>
    <n v="325316"/>
    <s v="CM ADV adj-424130838243"/>
    <s v="0000001010"/>
    <s v="E5189SB19UK0993"/>
    <s v=""/>
    <s v=""/>
    <s v="0"/>
    <s v="424130856605"/>
    <s v=""/>
    <s v=""/>
    <s v=""/>
    <s v=""/>
    <s v=""/>
    <x v="0"/>
    <m/>
    <s v=""/>
    <d v="2019-10-10T00:00:00"/>
    <s v=""/>
    <s v="1909000215"/>
  </r>
  <r>
    <s v="1909000215"/>
    <d v="2019-10-10T00:00:00"/>
    <d v="2019-10-10T00:00:00"/>
    <s v="DZ"/>
    <s v="USD"/>
    <n v="2"/>
    <n v="2"/>
    <s v="BDT"/>
    <s v="EGM1"/>
    <n v="167"/>
    <s v="CM ADV adj-424130851922"/>
    <s v="0000001010"/>
    <s v="E5189SB19UK0993"/>
    <s v=""/>
    <s v=""/>
    <s v="0"/>
    <s v="424130856605"/>
    <s v=""/>
    <s v=""/>
    <s v=""/>
    <s v=""/>
    <s v=""/>
    <x v="0"/>
    <m/>
    <s v=""/>
    <d v="2019-10-10T00:00:00"/>
    <s v=""/>
    <s v="1909000215"/>
  </r>
  <r>
    <s v="1909000216"/>
    <d v="2019-10-10T00:00:00"/>
    <d v="2019-10-10T00:00:00"/>
    <s v="DZ"/>
    <s v="USD"/>
    <n v="174986.87"/>
    <n v="174986.87"/>
    <s v="BDT"/>
    <s v="EGM1"/>
    <n v="14611403.65"/>
    <s v="CM ADV adj-424130853190"/>
    <s v="0000005010"/>
    <s v="E35213TC19US1011"/>
    <s v=""/>
    <s v=""/>
    <s v="0"/>
    <s v="424130857132"/>
    <s v=""/>
    <s v=""/>
    <s v=""/>
    <s v=""/>
    <s v=""/>
    <x v="0"/>
    <m/>
    <s v=""/>
    <d v="2019-10-10T00:00:00"/>
    <s v=""/>
    <s v="1909000216"/>
  </r>
  <r>
    <s v="1909000216"/>
    <d v="2019-10-10T00:00:00"/>
    <d v="2019-10-10T00:00:00"/>
    <s v="DZ"/>
    <s v="USD"/>
    <n v="59682.91"/>
    <n v="59682.91"/>
    <s v="BDT"/>
    <s v="EGM1"/>
    <n v="4983522.99"/>
    <s v="CM ADV adj-424130838234"/>
    <s v="0000005010"/>
    <s v="E35213TC19US1011"/>
    <s v=""/>
    <s v=""/>
    <s v="0"/>
    <s v="424130857132"/>
    <s v=""/>
    <s v=""/>
    <s v=""/>
    <s v=""/>
    <s v=""/>
    <x v="0"/>
    <m/>
    <s v=""/>
    <d v="2019-10-10T00:00:00"/>
    <s v=""/>
    <s v="1909000216"/>
  </r>
  <r>
    <s v="1909000217"/>
    <d v="2019-09-30T00:00:00"/>
    <d v="2019-09-30T00:00:00"/>
    <s v="DZ"/>
    <s v="USD"/>
    <n v="-1185533.8799999999"/>
    <n v="-1185533.8799999999"/>
    <s v="BDT"/>
    <s v="EGM1"/>
    <n v="-98992078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09-30T00:00:00"/>
    <s v="1903003060"/>
    <d v="2019-09-30T00:00:00"/>
    <s v=""/>
    <s v="1909000217"/>
  </r>
  <r>
    <s v="1909000219"/>
    <d v="2019-09-30T00:00:00"/>
    <d v="2019-09-30T00:00:00"/>
    <s v="DZ"/>
    <s v="USD"/>
    <n v="-1157527.8799999999"/>
    <n v="-1157527.8799999999"/>
    <s v="BDT"/>
    <s v="EGM1"/>
    <n v="-96653577.980000004"/>
    <s v="FIT-CM ADV DWC-SEP-19"/>
    <s v="0000005010"/>
    <s v="FIT-CMDWC-SEP-19"/>
    <s v=""/>
    <s v=""/>
    <s v="0"/>
    <s v="FIT-CM ADV DWC-SEP-19"/>
    <s v=""/>
    <s v=""/>
    <s v=""/>
    <s v=""/>
    <s v=""/>
    <x v="0"/>
    <d v="2019-10-01T00:00:00"/>
    <s v="1903003552"/>
    <d v="2019-09-30T00:00:00"/>
    <s v=""/>
    <s v="1909000219"/>
  </r>
  <r>
    <s v="1909000220"/>
    <d v="2019-10-14T00:00:00"/>
    <d v="2019-10-14T00:00:00"/>
    <s v="DZ"/>
    <s v="USD"/>
    <n v="6033"/>
    <n v="6033"/>
    <s v="BDT"/>
    <s v="EGM1"/>
    <n v="503755.5"/>
    <s v="CM ADV ADJ REF-424130823936"/>
    <s v="0000001010"/>
    <s v="IT06591910120035"/>
    <s v=""/>
    <s v=""/>
    <s v="0"/>
    <s v="424130858417"/>
    <s v=""/>
    <s v=""/>
    <s v=""/>
    <s v=""/>
    <s v=""/>
    <x v="0"/>
    <d v="2020-06-30T00:00:00"/>
    <s v="1906000017"/>
    <d v="2019-10-14T00:00:00"/>
    <s v=""/>
    <s v="1909000220"/>
  </r>
  <r>
    <s v="1909000220"/>
    <d v="2019-10-14T00:00:00"/>
    <d v="2019-10-14T00:00:00"/>
    <s v="DZ"/>
    <s v="USD"/>
    <n v="39983"/>
    <n v="39983"/>
    <s v="BDT"/>
    <s v="EGM1"/>
    <n v="3338580.5"/>
    <s v="CM ADV ADJ REF-424130838243"/>
    <s v="0000001010"/>
    <s v="IT06591910120035"/>
    <s v=""/>
    <s v=""/>
    <s v="0"/>
    <s v="424130858417"/>
    <s v=""/>
    <s v=""/>
    <s v=""/>
    <s v=""/>
    <s v=""/>
    <x v="0"/>
    <m/>
    <s v=""/>
    <d v="2019-10-14T00:00:00"/>
    <s v=""/>
    <s v="1909000220"/>
  </r>
  <r>
    <s v="1909000220"/>
    <d v="2019-10-14T00:00:00"/>
    <d v="2019-10-14T00:00:00"/>
    <s v="DZ"/>
    <s v="USD"/>
    <n v="58741"/>
    <n v="58741"/>
    <s v="BDT"/>
    <s v="EGM1"/>
    <n v="4904873.5"/>
    <s v="CM ADV ADJ REF-424130851922"/>
    <s v="0000001010"/>
    <s v="IT06591910120035"/>
    <s v=""/>
    <s v=""/>
    <s v="0"/>
    <s v="424130858417"/>
    <s v=""/>
    <s v=""/>
    <s v=""/>
    <s v=""/>
    <s v=""/>
    <x v="0"/>
    <m/>
    <s v=""/>
    <d v="2019-10-14T00:00:00"/>
    <s v=""/>
    <s v="1909000220"/>
  </r>
  <r>
    <s v="1909000221"/>
    <d v="2019-10-14T00:00:00"/>
    <d v="2019-10-14T00:00:00"/>
    <s v="DZ"/>
    <s v="USD"/>
    <n v="19927"/>
    <n v="19927"/>
    <s v="BDT"/>
    <s v="EGM1"/>
    <n v="1663904.5"/>
    <s v="CM ADV ADJ REF-424130838243"/>
    <s v="0000001010"/>
    <s v="IT06591910120018"/>
    <s v=""/>
    <s v=""/>
    <s v="0"/>
    <s v="424130858408"/>
    <s v=""/>
    <s v=""/>
    <s v=""/>
    <s v=""/>
    <s v=""/>
    <x v="0"/>
    <m/>
    <s v=""/>
    <d v="2019-10-14T00:00:00"/>
    <s v=""/>
    <s v="1909000221"/>
  </r>
  <r>
    <s v="1909000222"/>
    <d v="2019-10-14T00:00:00"/>
    <d v="2019-10-14T00:00:00"/>
    <s v="DZ"/>
    <s v="USD"/>
    <n v="3016"/>
    <n v="3016"/>
    <s v="BDT"/>
    <s v="EGM1"/>
    <n v="251836"/>
    <s v="CM ADV ADJ REF-424130838243"/>
    <s v="0000001010"/>
    <s v="IT06591910120036"/>
    <s v=""/>
    <s v=""/>
    <s v="0"/>
    <s v="424130858391"/>
    <s v=""/>
    <s v=""/>
    <s v=""/>
    <s v=""/>
    <s v=""/>
    <x v="0"/>
    <m/>
    <s v=""/>
    <d v="2019-10-14T00:00:00"/>
    <s v=""/>
    <s v="1909000222"/>
  </r>
  <r>
    <s v="1909000222"/>
    <d v="2019-10-14T00:00:00"/>
    <d v="2019-10-14T00:00:00"/>
    <s v="DZ"/>
    <s v="USD"/>
    <n v="55701"/>
    <n v="55701"/>
    <s v="BDT"/>
    <s v="EGM1"/>
    <n v="4651033.5"/>
    <s v="CM ADV ADJ REF-424130851922"/>
    <s v="0000001010"/>
    <s v="IT06591910120036"/>
    <s v=""/>
    <s v=""/>
    <s v="0"/>
    <s v="424130858391"/>
    <s v=""/>
    <s v=""/>
    <s v=""/>
    <s v=""/>
    <s v=""/>
    <x v="0"/>
    <m/>
    <s v=""/>
    <d v="2019-10-14T00:00:00"/>
    <s v=""/>
    <s v="1909000222"/>
  </r>
  <r>
    <s v="1909000224"/>
    <d v="2019-10-15T00:00:00"/>
    <d v="2019-10-15T00:00:00"/>
    <s v="DZ"/>
    <s v="USD"/>
    <n v="-104354"/>
    <n v="-104354"/>
    <s v="BDT"/>
    <s v="EGM1"/>
    <n v="-8713559.0099999998"/>
    <s v="CM ADV REC REF-424130860137"/>
    <s v="0000001010"/>
    <s v="IT06591910150086"/>
    <s v=""/>
    <s v=""/>
    <s v="0"/>
    <s v="424130860137"/>
    <s v=""/>
    <s v=""/>
    <s v=""/>
    <s v=""/>
    <s v=""/>
    <x v="0"/>
    <m/>
    <s v=""/>
    <d v="2019-10-15T00:00:00"/>
    <s v=""/>
    <s v="1909000224"/>
  </r>
  <r>
    <s v="1909000225"/>
    <d v="2019-10-17T00:00:00"/>
    <d v="2019-10-17T00:00:00"/>
    <s v="DZ"/>
    <s v="USD"/>
    <n v="-228518.75"/>
    <n v="-228518.75"/>
    <s v="BDT"/>
    <s v="EGM2"/>
    <n v="-19081315.640000001"/>
    <s v="CM ADV REC REF-424130862135"/>
    <s v="0000005010"/>
    <s v="IT06591910160374"/>
    <s v=""/>
    <s v=""/>
    <s v="0"/>
    <s v="424130862135"/>
    <s v=""/>
    <s v=""/>
    <s v=""/>
    <s v=""/>
    <s v=""/>
    <x v="0"/>
    <m/>
    <s v=""/>
    <d v="2019-10-17T00:00:00"/>
    <s v=""/>
    <s v="1909000225"/>
  </r>
  <r>
    <s v="1909000226"/>
    <d v="2019-10-17T00:00:00"/>
    <d v="2019-10-17T00:00:00"/>
    <s v="DZ"/>
    <s v="USD"/>
    <n v="-417688.99"/>
    <n v="-417688.99"/>
    <s v="BDT"/>
    <s v="EGM1"/>
    <n v="-34877030.670000002"/>
    <s v="CM ADV REC REF-424130862144"/>
    <s v="0000005010"/>
    <s v="IT06591910160257"/>
    <s v=""/>
    <s v=""/>
    <s v="0"/>
    <s v="424130862144"/>
    <s v=""/>
    <s v=""/>
    <s v=""/>
    <s v=""/>
    <s v=""/>
    <x v="0"/>
    <m/>
    <s v=""/>
    <d v="2019-10-17T00:00:00"/>
    <s v=""/>
    <s v="1909000226"/>
  </r>
  <r>
    <s v="1909000227"/>
    <d v="2019-10-17T00:00:00"/>
    <d v="2019-10-17T00:00:00"/>
    <s v="DZ"/>
    <s v="USD"/>
    <n v="157199.94"/>
    <n v="157199.94"/>
    <s v="BDT"/>
    <s v="EGM2"/>
    <n v="13126195"/>
    <s v="CM ADV ADJ REF-424130853181"/>
    <s v="0000005010"/>
    <s v="E25283VF19US0451"/>
    <s v=""/>
    <s v=""/>
    <s v="0"/>
    <s v="424130860958"/>
    <s v=""/>
    <s v=""/>
    <s v=""/>
    <s v=""/>
    <s v=""/>
    <x v="0"/>
    <m/>
    <s v=""/>
    <d v="2019-10-17T00:00:00"/>
    <s v=""/>
    <s v="1909000227"/>
  </r>
  <r>
    <s v="1909000229"/>
    <d v="2019-10-17T00:00:00"/>
    <d v="2019-10-17T00:00:00"/>
    <s v="DZ"/>
    <s v="USD"/>
    <n v="540.76"/>
    <n v="540.76"/>
    <s v="BDT"/>
    <s v="EGM1"/>
    <n v="45153.46"/>
    <s v="CM ADV ADJ REF-424130806063"/>
    <s v="0000005010"/>
    <s v="E45044DN19IR1010"/>
    <s v=""/>
    <s v=""/>
    <s v="0"/>
    <s v="424130860930"/>
    <s v=""/>
    <s v=""/>
    <s v=""/>
    <s v=""/>
    <s v=""/>
    <x v="0"/>
    <m/>
    <s v=""/>
    <d v="2019-10-17T00:00:00"/>
    <s v=""/>
    <s v="1909000229"/>
  </r>
  <r>
    <s v="1909000230"/>
    <d v="2019-10-17T00:00:00"/>
    <d v="2019-10-17T00:00:00"/>
    <s v="DZ"/>
    <s v="USD"/>
    <n v="34961"/>
    <n v="34961"/>
    <s v="BDT"/>
    <s v="EGM1"/>
    <n v="2919243.5"/>
    <s v="CM ADV ADJ REF-424130851922"/>
    <s v="0000001010"/>
    <s v="5271,5257,5271"/>
    <s v=""/>
    <s v=""/>
    <s v="0"/>
    <s v="424130862153"/>
    <s v=""/>
    <s v=""/>
    <s v=""/>
    <s v=""/>
    <s v=""/>
    <x v="0"/>
    <m/>
    <s v=""/>
    <d v="2019-10-17T00:00:00"/>
    <s v=""/>
    <s v="1909000230"/>
  </r>
  <r>
    <s v="1909000230"/>
    <d v="2019-10-17T00:00:00"/>
    <d v="2019-10-17T00:00:00"/>
    <s v="DZ"/>
    <s v="USD"/>
    <n v="7895"/>
    <n v="7895"/>
    <s v="BDT"/>
    <s v="EGM1"/>
    <n v="659232.5"/>
    <s v="CM ADV ADJ REF-424130854527"/>
    <s v="0000001010"/>
    <s v="5271,5257,5271"/>
    <s v=""/>
    <s v=""/>
    <s v="0"/>
    <s v="424130862153"/>
    <s v=""/>
    <s v=""/>
    <s v=""/>
    <s v=""/>
    <s v=""/>
    <x v="0"/>
    <m/>
    <s v=""/>
    <d v="2019-10-17T00:00:00"/>
    <s v=""/>
    <s v="1909000230"/>
  </r>
  <r>
    <s v="1909000230"/>
    <d v="2019-10-17T00:00:00"/>
    <d v="2019-10-17T00:00:00"/>
    <s v="DZ"/>
    <s v="USD"/>
    <n v="70789"/>
    <n v="70789"/>
    <s v="BDT"/>
    <s v="EGM1"/>
    <n v="5910881.5099999998"/>
    <s v="CM ADV ADJ REF-424130860137"/>
    <s v="0000001010"/>
    <s v="5271,5257,5271"/>
    <s v=""/>
    <s v=""/>
    <s v="0"/>
    <s v="424130862153"/>
    <s v=""/>
    <s v=""/>
    <s v=""/>
    <s v=""/>
    <s v=""/>
    <x v="0"/>
    <m/>
    <s v=""/>
    <d v="2019-10-17T00:00:00"/>
    <s v=""/>
    <s v="1909000230"/>
  </r>
  <r>
    <s v="1909000231"/>
    <d v="2019-10-17T00:00:00"/>
    <d v="2019-10-17T00:00:00"/>
    <s v="DZ"/>
    <s v="USD"/>
    <n v="20808.25"/>
    <n v="20808.25"/>
    <s v="BDT"/>
    <s v="EGM1"/>
    <n v="1737488.88"/>
    <s v="CM ADV ADJ REF-424130853190"/>
    <s v="0000005010"/>
    <s v="E15278DC19US1025"/>
    <s v=""/>
    <s v=""/>
    <s v="0"/>
    <s v="424130860949"/>
    <s v=""/>
    <s v=""/>
    <s v=""/>
    <s v=""/>
    <s v=""/>
    <x v="0"/>
    <m/>
    <s v=""/>
    <d v="2019-10-17T00:00:00"/>
    <s v=""/>
    <s v="1909000231"/>
  </r>
  <r>
    <s v="1909000231"/>
    <d v="2019-10-17T00:00:00"/>
    <d v="2019-10-17T00:00:00"/>
    <s v="DZ"/>
    <s v="USD"/>
    <n v="6321.25"/>
    <n v="6321.25"/>
    <s v="BDT"/>
    <s v="EGM1"/>
    <n v="527824.38"/>
    <s v="CM ADV ADJ REF-424130838234"/>
    <s v="0000005010"/>
    <s v="E15278DC19US1025"/>
    <s v=""/>
    <s v=""/>
    <s v="0"/>
    <s v="424130860949"/>
    <s v=""/>
    <s v=""/>
    <s v=""/>
    <s v=""/>
    <s v=""/>
    <x v="0"/>
    <m/>
    <s v=""/>
    <d v="2019-10-17T00:00:00"/>
    <s v=""/>
    <s v="1909000231"/>
  </r>
  <r>
    <s v="1909000232"/>
    <d v="2019-10-17T00:00:00"/>
    <d v="2019-10-17T00:00:00"/>
    <s v="DZ"/>
    <s v="USD"/>
    <n v="1748"/>
    <n v="1748"/>
    <s v="BDT"/>
    <s v="EGM1"/>
    <n v="145958"/>
    <s v="CM ADV ADJ REF-424130804207"/>
    <s v="0000001010"/>
    <s v="E06068US19-0918"/>
    <s v=""/>
    <s v=""/>
    <s v="0"/>
    <s v="424130860921"/>
    <s v=""/>
    <s v=""/>
    <s v=""/>
    <s v=""/>
    <s v=""/>
    <x v="0"/>
    <m/>
    <s v=""/>
    <d v="2019-10-17T00:00:00"/>
    <s v=""/>
    <s v="1909000232"/>
  </r>
  <r>
    <s v="1909000232"/>
    <d v="2019-10-17T00:00:00"/>
    <d v="2019-10-17T00:00:00"/>
    <s v="DZ"/>
    <s v="USD"/>
    <n v="87"/>
    <n v="87"/>
    <s v="BDT"/>
    <s v="EGM1"/>
    <n v="7264.5"/>
    <s v="CM ADV ADJ-424130823936"/>
    <s v="0000001010"/>
    <s v="E06068US19-0918"/>
    <s v=""/>
    <s v=""/>
    <s v="0"/>
    <s v="424130860921"/>
    <s v=""/>
    <s v=""/>
    <s v=""/>
    <s v=""/>
    <s v=""/>
    <x v="0"/>
    <d v="2020-06-30T00:00:00"/>
    <s v="1906000017"/>
    <d v="2019-10-17T00:00:00"/>
    <s v=""/>
    <s v="1909000232"/>
  </r>
  <r>
    <s v="1909000232"/>
    <d v="2019-10-17T00:00:00"/>
    <d v="2019-10-17T00:00:00"/>
    <s v="DZ"/>
    <s v="USD"/>
    <n v="164"/>
    <n v="164"/>
    <s v="BDT"/>
    <s v="EGM1"/>
    <n v="13694"/>
    <s v="CM ADV ADJ REF-424130814884"/>
    <s v="0000001010"/>
    <s v="E06068US19-0918"/>
    <s v=""/>
    <s v=""/>
    <s v="0"/>
    <s v="424130860921"/>
    <s v=""/>
    <s v=""/>
    <s v=""/>
    <s v=""/>
    <s v=""/>
    <x v="0"/>
    <d v="2020-06-30T00:00:00"/>
    <s v="1906000017"/>
    <d v="2019-10-17T00:00:00"/>
    <s v=""/>
    <s v="1909000232"/>
  </r>
  <r>
    <s v="1909000232"/>
    <d v="2019-10-17T00:00:00"/>
    <d v="2019-10-17T00:00:00"/>
    <s v="DZ"/>
    <s v="USD"/>
    <n v="682"/>
    <n v="682"/>
    <s v="BDT"/>
    <s v="EGM1"/>
    <n v="56933.36"/>
    <s v="CM ADV ADJ REF-424130789439"/>
    <s v="0000001010"/>
    <s v="E06068US19-0918"/>
    <s v=""/>
    <s v=""/>
    <s v="0"/>
    <s v="424130860921"/>
    <s v=""/>
    <s v=""/>
    <s v=""/>
    <s v=""/>
    <s v=""/>
    <x v="0"/>
    <d v="2019-10-31T00:00:00"/>
    <s v="1906000009"/>
    <d v="2019-10-17T00:00:00"/>
    <s v=""/>
    <s v="1909000232"/>
  </r>
  <r>
    <s v="1909000233"/>
    <d v="2019-10-17T00:00:00"/>
    <d v="2019-10-17T00:00:00"/>
    <s v="DZ"/>
    <s v="USD"/>
    <n v="2269.61"/>
    <n v="2269.61"/>
    <s v="BDT"/>
    <s v="EGM1"/>
    <n v="189512.44"/>
    <s v="CM ADV ADJ REF-424130853190"/>
    <s v="0000005010"/>
    <s v="E34994DC19US1026"/>
    <s v=""/>
    <s v=""/>
    <s v="0"/>
    <s v="424130860146"/>
    <s v=""/>
    <s v=""/>
    <s v=""/>
    <s v=""/>
    <s v=""/>
    <x v="0"/>
    <m/>
    <s v=""/>
    <d v="2019-10-17T00:00:00"/>
    <s v=""/>
    <s v="1909000233"/>
  </r>
  <r>
    <s v="1909000233"/>
    <d v="2019-10-17T00:00:00"/>
    <d v="2019-10-17T00:00:00"/>
    <s v="DZ"/>
    <s v="USD"/>
    <n v="15361.04"/>
    <n v="15361.04"/>
    <s v="BDT"/>
    <s v="EGM1"/>
    <n v="1282646.8400000001"/>
    <s v="CM ADV ADJ REF-424130838234"/>
    <s v="0000005010"/>
    <s v="E34994DC19US1026"/>
    <s v=""/>
    <s v=""/>
    <s v="0"/>
    <s v="424130860146"/>
    <s v=""/>
    <s v=""/>
    <s v=""/>
    <s v=""/>
    <s v=""/>
    <x v="0"/>
    <m/>
    <s v=""/>
    <d v="2019-10-17T00:00:00"/>
    <s v=""/>
    <s v="1909000233"/>
  </r>
  <r>
    <s v="1909000234"/>
    <d v="2019-10-21T00:00:00"/>
    <d v="2019-10-21T00:00:00"/>
    <s v="DZ"/>
    <s v="USD"/>
    <n v="919"/>
    <n v="919"/>
    <s v="BDT"/>
    <s v="EGM2"/>
    <n v="76736.5"/>
    <s v="CM ADV ADJ-424130838261"/>
    <s v="0000001010"/>
    <s v="05252190435ZA"/>
    <s v=""/>
    <s v=""/>
    <s v="0"/>
    <s v="424130862910"/>
    <s v=""/>
    <s v=""/>
    <s v=""/>
    <s v=""/>
    <s v=""/>
    <x v="0"/>
    <m/>
    <s v=""/>
    <d v="2019-10-21T00:00:00"/>
    <s v=""/>
    <s v="1909000234"/>
  </r>
  <r>
    <s v="1909000236"/>
    <d v="2019-10-21T00:00:00"/>
    <d v="2019-10-21T00:00:00"/>
    <s v="DZ"/>
    <s v="USD"/>
    <n v="6728"/>
    <n v="6728"/>
    <s v="BDT"/>
    <s v="EGM1"/>
    <n v="561788"/>
    <s v="CM ADV ADJ-424130860137"/>
    <s v="0000001010"/>
    <s v="E5225SB19UK1031"/>
    <s v=""/>
    <s v=""/>
    <s v="0"/>
    <s v="424130862885"/>
    <s v=""/>
    <s v=""/>
    <s v=""/>
    <s v=""/>
    <s v=""/>
    <x v="0"/>
    <m/>
    <s v=""/>
    <d v="2019-10-21T00:00:00"/>
    <s v=""/>
    <s v="1909000236"/>
  </r>
  <r>
    <s v="1909000237"/>
    <d v="2019-10-21T00:00:00"/>
    <d v="2019-10-21T00:00:00"/>
    <s v="DZ"/>
    <s v="USD"/>
    <n v="78217.14"/>
    <n v="78217.14"/>
    <s v="BDT"/>
    <s v="EGM2"/>
    <n v="6531131.1900000004"/>
    <s v="CM ADV ADJ-424130853181"/>
    <s v="0000005010"/>
    <s v="E25275VF19US0443"/>
    <s v=""/>
    <s v=""/>
    <s v="0"/>
    <s v="424130862938"/>
    <s v=""/>
    <s v=""/>
    <s v=""/>
    <s v=""/>
    <s v=""/>
    <x v="0"/>
    <m/>
    <s v=""/>
    <d v="2019-10-21T00:00:00"/>
    <s v=""/>
    <s v="1909000237"/>
  </r>
  <r>
    <s v="1909000237"/>
    <d v="2019-10-21T00:00:00"/>
    <d v="2019-10-21T00:00:00"/>
    <s v="DZ"/>
    <s v="USD"/>
    <n v="14121.16"/>
    <n v="14121.16"/>
    <s v="BDT"/>
    <s v="EGM2"/>
    <n v="1179116.8600000001"/>
    <s v="CM ADV ADJ-424130838252"/>
    <s v="0000005010"/>
    <s v="E25275VF19US0443"/>
    <s v=""/>
    <s v=""/>
    <s v="0"/>
    <s v="424130862938"/>
    <s v=""/>
    <s v=""/>
    <s v=""/>
    <s v=""/>
    <s v=""/>
    <x v="0"/>
    <m/>
    <s v=""/>
    <d v="2019-10-21T00:00:00"/>
    <s v=""/>
    <s v="1909000237"/>
  </r>
  <r>
    <s v="1909000238"/>
    <d v="2019-10-21T00:00:00"/>
    <d v="2019-10-21T00:00:00"/>
    <s v="DZ"/>
    <s v="USD"/>
    <n v="67655.13"/>
    <n v="67655.13"/>
    <s v="BDT"/>
    <s v="EGM1"/>
    <n v="5649203.3600000003"/>
    <s v="CM ADV ADJ-424130853190"/>
    <s v="0000005010"/>
    <s v="E5171TS19UK1006"/>
    <s v=""/>
    <s v=""/>
    <s v="0"/>
    <s v="424130862885"/>
    <s v=""/>
    <s v=""/>
    <s v=""/>
    <s v=""/>
    <s v=""/>
    <x v="0"/>
    <m/>
    <s v=""/>
    <d v="2019-10-21T00:00:00"/>
    <s v=""/>
    <s v="1909000238"/>
  </r>
  <r>
    <s v="1909000238"/>
    <d v="2019-10-21T00:00:00"/>
    <d v="2019-10-21T00:00:00"/>
    <s v="DZ"/>
    <s v="USD"/>
    <n v="30230.91"/>
    <n v="30230.91"/>
    <s v="BDT"/>
    <s v="EGM1"/>
    <n v="2524280.9900000002"/>
    <s v="CM ADV ADJ-424130838234"/>
    <s v="0000005010"/>
    <s v="E5171TS19UK1006"/>
    <s v=""/>
    <s v=""/>
    <s v="0"/>
    <s v="424130862885"/>
    <s v=""/>
    <s v=""/>
    <s v=""/>
    <s v=""/>
    <s v=""/>
    <x v="0"/>
    <m/>
    <s v=""/>
    <d v="2019-10-21T00:00:00"/>
    <s v=""/>
    <s v="1909000238"/>
  </r>
  <r>
    <s v="1909000239"/>
    <d v="2019-10-22T00:00:00"/>
    <d v="2019-10-22T00:00:00"/>
    <s v="DZ"/>
    <s v="USD"/>
    <n v="49242.89"/>
    <n v="49242.89"/>
    <s v="BDT"/>
    <s v="EGM1"/>
    <n v="4111781.32"/>
    <s v="CM ADV ADJ-424130853190"/>
    <s v="0000005010"/>
    <s v="E15278DC19US1044"/>
    <s v=""/>
    <s v=""/>
    <s v="0"/>
    <s v="424130863759"/>
    <s v=""/>
    <s v=""/>
    <s v=""/>
    <s v=""/>
    <s v=""/>
    <x v="0"/>
    <m/>
    <s v=""/>
    <d v="2019-10-22T00:00:00"/>
    <s v=""/>
    <s v="1909000239"/>
  </r>
  <r>
    <s v="1909000239"/>
    <d v="2019-10-22T00:00:00"/>
    <d v="2019-10-22T00:00:00"/>
    <s v="DZ"/>
    <s v="USD"/>
    <n v="6282.14"/>
    <n v="6282.14"/>
    <s v="BDT"/>
    <s v="EGM1"/>
    <n v="524558.68999999994"/>
    <s v="CM ADV ADJ-424130862144"/>
    <s v="0000005010"/>
    <s v="E15278DC19US1044"/>
    <s v=""/>
    <s v=""/>
    <s v="0"/>
    <s v="424130863759"/>
    <s v=""/>
    <s v=""/>
    <s v=""/>
    <s v=""/>
    <s v=""/>
    <x v="0"/>
    <m/>
    <s v=""/>
    <d v="2019-10-22T00:00:00"/>
    <s v=""/>
    <s v="1909000239"/>
  </r>
  <r>
    <s v="1909000240"/>
    <d v="2019-10-24T00:00:00"/>
    <d v="2019-10-24T00:00:00"/>
    <s v="DZ"/>
    <s v="USD"/>
    <n v="596"/>
    <n v="596"/>
    <s v="BDT"/>
    <s v="EGM2"/>
    <n v="49766"/>
    <s v="CM ADV ADJ-424130838261"/>
    <s v="0000001010"/>
    <s v="05625190436NZ"/>
    <s v=""/>
    <s v=""/>
    <s v="0"/>
    <s v="424130866532"/>
    <s v=""/>
    <s v=""/>
    <s v=""/>
    <s v=""/>
    <s v=""/>
    <x v="0"/>
    <m/>
    <s v=""/>
    <d v="2019-10-24T00:00:00"/>
    <s v=""/>
    <s v="1909000240"/>
  </r>
  <r>
    <s v="1909000243"/>
    <d v="2019-10-24T00:00:00"/>
    <d v="2019-10-24T00:00:00"/>
    <s v="DZ"/>
    <s v="USD"/>
    <n v="651.41"/>
    <n v="651.41"/>
    <s v="BDT"/>
    <s v="EGM1"/>
    <n v="54392.74"/>
    <s v="CM ADV ADJ-424130862144"/>
    <s v="0000005010"/>
    <s v="E45203DC19US1030"/>
    <s v=""/>
    <s v=""/>
    <s v="0"/>
    <s v="424130865132"/>
    <s v=""/>
    <s v=""/>
    <s v=""/>
    <s v=""/>
    <s v=""/>
    <x v="0"/>
    <m/>
    <s v=""/>
    <d v="2019-10-24T00:00:00"/>
    <s v=""/>
    <s v="1909000243"/>
  </r>
  <r>
    <s v="1909000244"/>
    <d v="2019-10-24T00:00:00"/>
    <d v="2019-10-24T00:00:00"/>
    <s v="DZ"/>
    <s v="USD"/>
    <n v="611"/>
    <n v="611"/>
    <s v="BDT"/>
    <s v="EGM1"/>
    <n v="51018.5"/>
    <s v="CM ADV ADJ-424130804207"/>
    <s v="0000001010"/>
    <s v="E05148US19-0998"/>
    <s v=""/>
    <s v=""/>
    <s v="0"/>
    <s v="424130865123"/>
    <s v=""/>
    <s v=""/>
    <s v=""/>
    <s v=""/>
    <s v=""/>
    <x v="0"/>
    <m/>
    <s v=""/>
    <d v="2019-10-24T00:00:00"/>
    <s v=""/>
    <s v="1909000244"/>
  </r>
  <r>
    <s v="1909000244"/>
    <d v="2019-10-24T00:00:00"/>
    <d v="2019-10-24T00:00:00"/>
    <s v="DZ"/>
    <s v="USD"/>
    <n v="281"/>
    <n v="281"/>
    <s v="BDT"/>
    <s v="EGM1"/>
    <n v="23463.5"/>
    <s v="CM ADV ADJ-424130823936"/>
    <s v="0000001010"/>
    <s v="E05148US19-0998"/>
    <s v=""/>
    <s v=""/>
    <s v="0"/>
    <s v="424130865123"/>
    <s v=""/>
    <s v=""/>
    <s v=""/>
    <s v=""/>
    <s v=""/>
    <x v="0"/>
    <d v="2020-06-30T00:00:00"/>
    <s v="1906000017"/>
    <d v="2019-10-24T00:00:00"/>
    <s v=""/>
    <s v="1909000244"/>
  </r>
  <r>
    <s v="1909000244"/>
    <d v="2019-10-24T00:00:00"/>
    <d v="2019-10-24T00:00:00"/>
    <s v="DZ"/>
    <s v="USD"/>
    <n v="62751"/>
    <n v="62751"/>
    <s v="BDT"/>
    <s v="EGM1"/>
    <n v="5239708.5"/>
    <s v="CM ADV ADJ-424130851922"/>
    <s v="0000001010"/>
    <s v="E05148US19-0998"/>
    <s v=""/>
    <s v=""/>
    <s v="0"/>
    <s v="424130865123"/>
    <s v=""/>
    <s v=""/>
    <s v=""/>
    <s v=""/>
    <s v=""/>
    <x v="0"/>
    <m/>
    <s v=""/>
    <d v="2019-10-24T00:00:00"/>
    <s v=""/>
    <s v="1909000244"/>
  </r>
  <r>
    <s v="1909000244"/>
    <d v="2019-10-24T00:00:00"/>
    <d v="2019-10-24T00:00:00"/>
    <s v="DZ"/>
    <s v="USD"/>
    <n v="337"/>
    <n v="337"/>
    <s v="BDT"/>
    <s v="EGM1"/>
    <n v="28139.5"/>
    <s v="CM ADV ADJ-424130814884"/>
    <s v="0000001010"/>
    <s v="E05148US19-0998"/>
    <s v=""/>
    <s v=""/>
    <s v="0"/>
    <s v="424130865123"/>
    <s v=""/>
    <s v=""/>
    <s v=""/>
    <s v=""/>
    <s v=""/>
    <x v="0"/>
    <d v="2020-06-30T00:00:00"/>
    <s v="1906000017"/>
    <d v="2019-10-24T00:00:00"/>
    <s v=""/>
    <s v="1909000244"/>
  </r>
  <r>
    <s v="1909000244"/>
    <d v="2019-10-24T00:00:00"/>
    <d v="2019-10-24T00:00:00"/>
    <s v="DZ"/>
    <s v="USD"/>
    <n v="55"/>
    <n v="55"/>
    <s v="BDT"/>
    <s v="EGM1"/>
    <n v="4591.3999999999996"/>
    <s v="CM ADV ADJ-424130789439"/>
    <s v="0000001010"/>
    <s v="E05148US19-0998"/>
    <s v=""/>
    <s v=""/>
    <s v="0"/>
    <s v="424130865123"/>
    <s v=""/>
    <s v=""/>
    <s v=""/>
    <s v=""/>
    <s v=""/>
    <x v="0"/>
    <d v="2019-10-31T00:00:00"/>
    <s v="1906000009"/>
    <d v="2019-10-24T00:00:00"/>
    <s v=""/>
    <s v="1909000244"/>
  </r>
  <r>
    <s v="1909000244"/>
    <d v="2019-10-24T00:00:00"/>
    <d v="2019-10-24T00:00:00"/>
    <s v="DZ"/>
    <s v="USD"/>
    <n v="4378"/>
    <n v="4378"/>
    <s v="BDT"/>
    <s v="EGM1"/>
    <n v="365563"/>
    <s v="CM ADV ADJ-424130860137"/>
    <s v="0000001010"/>
    <s v="E05148US19-0998"/>
    <s v=""/>
    <s v=""/>
    <s v="0"/>
    <s v="424130865123"/>
    <s v=""/>
    <s v=""/>
    <s v=""/>
    <s v=""/>
    <s v=""/>
    <x v="0"/>
    <m/>
    <s v=""/>
    <d v="2019-10-24T00:00:00"/>
    <s v=""/>
    <s v="1909000244"/>
  </r>
  <r>
    <s v="1909000245"/>
    <d v="2019-10-24T00:00:00"/>
    <d v="2019-10-24T00:00:00"/>
    <s v="DZ"/>
    <s v="USD"/>
    <n v="4724"/>
    <n v="4724"/>
    <s v="BDT"/>
    <s v="EGM1"/>
    <n v="394454"/>
    <s v="CM ADV ADJ-424130838243"/>
    <s v="0000001010"/>
    <s v="E55133KH19US1034"/>
    <s v=""/>
    <s v=""/>
    <s v="0"/>
    <s v="424130865141"/>
    <s v=""/>
    <s v=""/>
    <s v=""/>
    <s v=""/>
    <s v=""/>
    <x v="0"/>
    <m/>
    <s v=""/>
    <d v="2019-10-24T00:00:00"/>
    <s v=""/>
    <s v="1909000245"/>
  </r>
  <r>
    <s v="1909000245"/>
    <d v="2019-10-24T00:00:00"/>
    <d v="2019-10-24T00:00:00"/>
    <s v="DZ"/>
    <s v="USD"/>
    <n v="12279"/>
    <n v="12279"/>
    <s v="BDT"/>
    <s v="EGM1"/>
    <n v="1025296.5"/>
    <s v="CM ADV ADJ-424130851922"/>
    <s v="0000001010"/>
    <s v="E55133KH19US1034"/>
    <s v=""/>
    <s v=""/>
    <s v="0"/>
    <s v="424130865141"/>
    <s v=""/>
    <s v=""/>
    <s v=""/>
    <s v=""/>
    <s v=""/>
    <x v="0"/>
    <m/>
    <s v=""/>
    <d v="2019-10-24T00:00:00"/>
    <s v=""/>
    <s v="1909000245"/>
  </r>
  <r>
    <s v="1909000245"/>
    <d v="2019-10-24T00:00:00"/>
    <d v="2019-10-24T00:00:00"/>
    <s v="DZ"/>
    <s v="USD"/>
    <n v="1196"/>
    <n v="1196"/>
    <s v="BDT"/>
    <s v="EGM1"/>
    <n v="99866"/>
    <s v="CM ADV ADJ-424130860137"/>
    <s v="0000001010"/>
    <s v="E55133KH19US1034"/>
    <s v=""/>
    <s v=""/>
    <s v="0"/>
    <s v="424130865141"/>
    <s v=""/>
    <s v=""/>
    <s v=""/>
    <s v=""/>
    <s v=""/>
    <x v="0"/>
    <m/>
    <s v=""/>
    <d v="2019-10-24T00:00:00"/>
    <s v=""/>
    <s v="1909000245"/>
  </r>
  <r>
    <s v="1909000246"/>
    <d v="2019-10-24T00:00:00"/>
    <d v="2019-10-24T00:00:00"/>
    <s v="DZ"/>
    <s v="USD"/>
    <n v="28484"/>
    <n v="28484"/>
    <s v="BDT"/>
    <s v="EGM1"/>
    <n v="2378414"/>
    <s v="CM ADV ADJ-424130804207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6"/>
    <d v="2019-10-24T00:00:00"/>
    <d v="2019-10-24T00:00:00"/>
    <s v="DZ"/>
    <s v="USD"/>
    <n v="2322"/>
    <n v="2322"/>
    <s v="BDT"/>
    <s v="EGM1"/>
    <n v="193887"/>
    <s v="CM ADV ADJ-424130838243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6"/>
    <d v="2019-10-24T00:00:00"/>
    <d v="2019-10-24T00:00:00"/>
    <s v="DZ"/>
    <s v="USD"/>
    <n v="40138"/>
    <n v="40138"/>
    <s v="BDT"/>
    <s v="EGM1"/>
    <n v="3351523"/>
    <s v="CM ADV ADJ-424130851922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6"/>
    <d v="2019-10-24T00:00:00"/>
    <d v="2019-10-24T00:00:00"/>
    <s v="DZ"/>
    <s v="USD"/>
    <n v="111"/>
    <n v="111"/>
    <s v="BDT"/>
    <s v="EGM1"/>
    <n v="9268.5"/>
    <s v="CM ADV ADJ-424130814884"/>
    <s v="0000001010"/>
    <s v="E05068US19-0919"/>
    <s v=""/>
    <s v=""/>
    <s v="0"/>
    <s v="424130862894"/>
    <s v=""/>
    <s v=""/>
    <s v=""/>
    <s v=""/>
    <s v=""/>
    <x v="0"/>
    <d v="2020-06-30T00:00:00"/>
    <s v="1906000017"/>
    <d v="2019-10-24T00:00:00"/>
    <s v=""/>
    <s v="1909000246"/>
  </r>
  <r>
    <s v="1909000246"/>
    <d v="2019-10-24T00:00:00"/>
    <d v="2019-10-24T00:00:00"/>
    <s v="DZ"/>
    <s v="USD"/>
    <n v="11999"/>
    <n v="11999"/>
    <s v="BDT"/>
    <s v="EGM1"/>
    <n v="1001676.52"/>
    <s v="CM ADV ADJ-424130785148"/>
    <s v="0000001010"/>
    <s v="E05068US19-0919"/>
    <s v=""/>
    <s v=""/>
    <s v="0"/>
    <s v="424130862894"/>
    <s v=""/>
    <s v=""/>
    <s v=""/>
    <s v=""/>
    <s v=""/>
    <x v="0"/>
    <d v="2020-06-30T00:00:00"/>
    <s v="1906000017"/>
    <d v="2019-10-24T00:00:00"/>
    <s v=""/>
    <s v="1909000246"/>
  </r>
  <r>
    <s v="1909000246"/>
    <d v="2019-10-24T00:00:00"/>
    <d v="2019-10-24T00:00:00"/>
    <s v="DZ"/>
    <s v="USD"/>
    <n v="21070"/>
    <n v="21070"/>
    <s v="BDT"/>
    <s v="EGM1"/>
    <n v="1759345"/>
    <s v="CM ADV ADJ-424130860137"/>
    <s v="0000001010"/>
    <s v="E05068US19-0919"/>
    <s v=""/>
    <s v=""/>
    <s v="0"/>
    <s v="424130862894"/>
    <s v=""/>
    <s v=""/>
    <s v=""/>
    <s v=""/>
    <s v=""/>
    <x v="0"/>
    <m/>
    <s v=""/>
    <d v="2019-10-24T00:00:00"/>
    <s v=""/>
    <s v="1909000246"/>
  </r>
  <r>
    <s v="1909000247"/>
    <d v="2019-10-28T00:00:00"/>
    <d v="2019-10-28T00:00:00"/>
    <s v="DZ"/>
    <s v="USD"/>
    <n v="16432"/>
    <n v="16432"/>
    <s v="BDT"/>
    <s v="EGM1"/>
    <n v="1372072"/>
    <s v="CM ADV ADJ-424130851922"/>
    <s v="0000001010"/>
    <s v="E05260US191054"/>
    <s v=""/>
    <s v=""/>
    <s v="0"/>
    <s v="424130867158"/>
    <s v=""/>
    <s v=""/>
    <s v=""/>
    <s v=""/>
    <s v=""/>
    <x v="0"/>
    <m/>
    <s v=""/>
    <d v="2019-10-28T00:00:00"/>
    <s v=""/>
    <s v="1909000247"/>
  </r>
  <r>
    <s v="1909000247"/>
    <d v="2019-10-28T00:00:00"/>
    <d v="2019-10-28T00:00:00"/>
    <s v="DZ"/>
    <s v="USD"/>
    <n v="1330"/>
    <n v="1330"/>
    <s v="BDT"/>
    <s v="EGM1"/>
    <n v="111055"/>
    <s v="CM ADV ADJ-424130854527"/>
    <s v="0000001010"/>
    <s v="E05260US191054"/>
    <s v=""/>
    <s v=""/>
    <s v="0"/>
    <s v="424130867158"/>
    <s v=""/>
    <s v=""/>
    <s v=""/>
    <s v=""/>
    <s v=""/>
    <x v="0"/>
    <m/>
    <s v=""/>
    <d v="2019-10-28T00:00:00"/>
    <s v=""/>
    <s v="1909000247"/>
  </r>
  <r>
    <s v="1909000248"/>
    <d v="2019-10-29T00:00:00"/>
    <d v="2019-10-29T00:00:00"/>
    <s v="DZ"/>
    <s v="USD"/>
    <n v="20680.150000000001"/>
    <n v="20680.150000000001"/>
    <s v="BDT"/>
    <s v="EGM1"/>
    <n v="1726792.53"/>
    <s v="CM ADV ADJ-424130853190"/>
    <s v="0000005010"/>
    <s v="E15278DC19US1081"/>
    <s v=""/>
    <s v=""/>
    <s v="0"/>
    <s v="424130868013"/>
    <s v=""/>
    <s v=""/>
    <s v=""/>
    <s v=""/>
    <s v=""/>
    <x v="0"/>
    <m/>
    <s v=""/>
    <d v="2019-10-29T00:00:00"/>
    <s v=""/>
    <s v="1909000248"/>
  </r>
  <r>
    <s v="1909000249"/>
    <d v="2019-10-29T00:00:00"/>
    <d v="2019-10-29T00:00:00"/>
    <s v="DZ"/>
    <s v="USD"/>
    <n v="39191.58"/>
    <n v="39191.58"/>
    <s v="BDT"/>
    <s v="EGM2"/>
    <n v="3272496.93"/>
    <s v="CM ADV ADJ-424130853181"/>
    <s v="0000005010"/>
    <s v="E25283VF19US0455"/>
    <s v=""/>
    <s v=""/>
    <s v="0"/>
    <s v="424130868004"/>
    <s v=""/>
    <s v=""/>
    <s v=""/>
    <s v=""/>
    <s v=""/>
    <x v="0"/>
    <m/>
    <s v=""/>
    <d v="2019-10-29T00:00:00"/>
    <s v=""/>
    <s v="1909000249"/>
  </r>
  <r>
    <s v="1909000249"/>
    <d v="2019-10-29T00:00:00"/>
    <d v="2019-10-29T00:00:00"/>
    <s v="DZ"/>
    <s v="USD"/>
    <n v="2892.75"/>
    <n v="2892.75"/>
    <s v="BDT"/>
    <s v="EGM2"/>
    <n v="241544.63"/>
    <s v="CM ADV ADJ-424130838252"/>
    <s v="0000005010"/>
    <s v="E25283VF19US0455"/>
    <s v=""/>
    <s v=""/>
    <s v="0"/>
    <s v="424130868004"/>
    <s v=""/>
    <s v=""/>
    <s v=""/>
    <s v=""/>
    <s v=""/>
    <x v="0"/>
    <m/>
    <s v=""/>
    <d v="2019-10-29T00:00:00"/>
    <s v=""/>
    <s v="1909000249"/>
  </r>
  <r>
    <s v="1909000249"/>
    <d v="2019-10-29T00:00:00"/>
    <d v="2019-10-29T00:00:00"/>
    <s v="DZ"/>
    <s v="USD"/>
    <n v="47161.32"/>
    <n v="47161.32"/>
    <s v="BDT"/>
    <s v="EGM2"/>
    <n v="3937970.22"/>
    <s v="CM ADV ADJ-424130862135"/>
    <s v="0000005010"/>
    <s v="E25283VF19US0455"/>
    <s v=""/>
    <s v=""/>
    <s v="0"/>
    <s v="424130868004"/>
    <s v=""/>
    <s v=""/>
    <s v=""/>
    <s v=""/>
    <s v=""/>
    <x v="0"/>
    <m/>
    <s v=""/>
    <d v="2019-10-29T00:00:00"/>
    <s v=""/>
    <s v="1909000249"/>
  </r>
  <r>
    <s v="1909000250"/>
    <d v="2019-10-29T00:00:00"/>
    <d v="2019-10-29T00:00:00"/>
    <s v="DZ"/>
    <s v="USD"/>
    <n v="1142.3900000000001"/>
    <n v="1142.3900000000001"/>
    <s v="BDT"/>
    <s v="EGM2"/>
    <n v="95389.57"/>
    <s v="CM ADV ADJ-424130853181"/>
    <s v="0000005010"/>
    <s v="E25275VF19US0466"/>
    <s v=""/>
    <s v=""/>
    <s v="0"/>
    <s v="424130867997"/>
    <s v=""/>
    <s v=""/>
    <s v=""/>
    <s v=""/>
    <s v=""/>
    <x v="0"/>
    <m/>
    <s v=""/>
    <d v="2019-10-29T00:00:00"/>
    <s v=""/>
    <s v="1909000250"/>
  </r>
  <r>
    <s v="1909000250"/>
    <d v="2019-10-29T00:00:00"/>
    <d v="2019-10-29T00:00:00"/>
    <s v="DZ"/>
    <s v="USD"/>
    <n v="751.58"/>
    <n v="751.58"/>
    <s v="BDT"/>
    <s v="EGM2"/>
    <n v="62756.93"/>
    <s v="CM ADV ADJ-424130862135"/>
    <s v="0000005010"/>
    <s v="E25275VF19US0466"/>
    <s v=""/>
    <s v=""/>
    <s v="0"/>
    <s v="424130867997"/>
    <s v=""/>
    <s v=""/>
    <s v=""/>
    <s v=""/>
    <s v=""/>
    <x v="0"/>
    <m/>
    <s v=""/>
    <d v="2019-10-29T00:00:00"/>
    <s v=""/>
    <s v="1909000250"/>
  </r>
  <r>
    <s v="1909000251"/>
    <d v="2019-10-30T00:00:00"/>
    <d v="2019-10-30T00:00:00"/>
    <s v="DZ"/>
    <s v="USD"/>
    <n v="-1193565"/>
    <n v="-1193565"/>
    <s v="BDT"/>
    <s v="EGM1"/>
    <n v="-99662677.510000005"/>
    <s v="CM ADV REC REF-424130869147"/>
    <s v="0000001010"/>
    <s v="EGA-05239"/>
    <s v=""/>
    <s v=""/>
    <s v="0"/>
    <s v="424130869147"/>
    <s v=""/>
    <s v=""/>
    <s v=""/>
    <s v=""/>
    <s v=""/>
    <x v="0"/>
    <m/>
    <s v=""/>
    <d v="2019-10-30T00:00:00"/>
    <s v=""/>
    <s v="1909000251"/>
  </r>
  <r>
    <s v="1909000252"/>
    <d v="2019-10-30T00:00:00"/>
    <d v="2019-10-30T00:00:00"/>
    <s v="DZ"/>
    <s v="USD"/>
    <n v="86468"/>
    <n v="86468"/>
    <s v="BDT"/>
    <s v="EGM1"/>
    <n v="7220078"/>
    <s v="CM ADV ADJ-424130838243"/>
    <s v="0000001010"/>
    <s v="E15204DM19US0966"/>
    <s v=""/>
    <s v=""/>
    <s v="0"/>
    <s v="424130868433"/>
    <s v=""/>
    <s v=""/>
    <s v=""/>
    <s v=""/>
    <s v=""/>
    <x v="0"/>
    <m/>
    <s v=""/>
    <d v="2019-10-30T00:00:00"/>
    <s v=""/>
    <s v="1909000252"/>
  </r>
  <r>
    <s v="1909000252"/>
    <d v="2019-10-30T00:00:00"/>
    <d v="2019-10-30T00:00:00"/>
    <s v="DZ"/>
    <s v="USD"/>
    <n v="4763"/>
    <n v="4763"/>
    <s v="BDT"/>
    <s v="EGM1"/>
    <n v="397710.5"/>
    <s v="CM ADV ADJ-424130851922"/>
    <s v="0000001010"/>
    <s v="E15204DM19US0966"/>
    <s v=""/>
    <s v=""/>
    <s v="0"/>
    <s v="424130868433"/>
    <s v=""/>
    <s v=""/>
    <s v=""/>
    <s v=""/>
    <s v=""/>
    <x v="0"/>
    <m/>
    <s v=""/>
    <d v="2019-10-30T00:00:00"/>
    <s v=""/>
    <s v="1909000252"/>
  </r>
  <r>
    <s v="1909000253"/>
    <d v="2019-10-30T00:00:00"/>
    <d v="2019-10-30T00:00:00"/>
    <s v="DZ"/>
    <s v="USD"/>
    <n v="349"/>
    <n v="349"/>
    <s v="BDT"/>
    <s v="EGM1"/>
    <n v="29141.5"/>
    <s v="CM ADV ADJ-424130804207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504"/>
    <n v="504"/>
    <s v="BDT"/>
    <s v="EGM1"/>
    <n v="42084"/>
    <s v="CM ADV ADJ-424130823936"/>
    <s v="0000001010"/>
    <s v="E05239US19-0986"/>
    <s v=""/>
    <s v=""/>
    <s v="0"/>
    <s v="424130868424"/>
    <s v=""/>
    <s v=""/>
    <s v=""/>
    <s v=""/>
    <s v=""/>
    <x v="0"/>
    <d v="2020-06-30T00:00:00"/>
    <s v="1906000017"/>
    <d v="2019-10-30T00:00:00"/>
    <s v=""/>
    <s v="1909000253"/>
  </r>
  <r>
    <s v="1909000253"/>
    <d v="2019-10-30T00:00:00"/>
    <d v="2019-10-30T00:00:00"/>
    <s v="DZ"/>
    <s v="USD"/>
    <n v="726"/>
    <n v="726"/>
    <s v="BDT"/>
    <s v="EGM1"/>
    <n v="60621"/>
    <s v="CM ADV ADJ-424130838243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337"/>
    <n v="337"/>
    <s v="BDT"/>
    <s v="EGM1"/>
    <n v="28139.5"/>
    <s v="CM ADV ADJ-424130851922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172661"/>
    <n v="172661"/>
    <s v="BDT"/>
    <s v="EGM1"/>
    <n v="14417193.5"/>
    <s v="CM ADV ADJ-424130854527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3"/>
    <d v="2019-10-30T00:00:00"/>
    <d v="2019-10-30T00:00:00"/>
    <s v="DZ"/>
    <s v="USD"/>
    <n v="74"/>
    <n v="74"/>
    <s v="BDT"/>
    <s v="EGM1"/>
    <n v="6177.52"/>
    <s v="CM ADV ADJ-424130789439"/>
    <s v="0000001010"/>
    <s v="E05239US19-0986"/>
    <s v=""/>
    <s v=""/>
    <s v="0"/>
    <s v="424130868424"/>
    <s v=""/>
    <s v=""/>
    <s v=""/>
    <s v=""/>
    <s v=""/>
    <x v="0"/>
    <d v="2019-10-31T00:00:00"/>
    <s v="1906000009"/>
    <d v="2019-10-30T00:00:00"/>
    <s v=""/>
    <s v="1909000253"/>
  </r>
  <r>
    <s v="1909000253"/>
    <d v="2019-10-30T00:00:00"/>
    <d v="2019-10-30T00:00:00"/>
    <s v="DZ"/>
    <s v="USD"/>
    <n v="193"/>
    <n v="193"/>
    <s v="BDT"/>
    <s v="EGM1"/>
    <n v="16115.5"/>
    <s v="CM ADV ADJ-424130860137"/>
    <s v="0000001010"/>
    <s v="E05239US19-0986"/>
    <s v=""/>
    <s v=""/>
    <s v="0"/>
    <s v="424130868424"/>
    <s v=""/>
    <s v=""/>
    <s v=""/>
    <s v=""/>
    <s v=""/>
    <x v="0"/>
    <m/>
    <s v=""/>
    <d v="2019-10-30T00:00:00"/>
    <s v=""/>
    <s v="1909000253"/>
  </r>
  <r>
    <s v="1909000254"/>
    <d v="2019-11-03T00:00:00"/>
    <d v="2019-11-03T00:00:00"/>
    <s v="DZ"/>
    <s v="USD"/>
    <n v="16581.03"/>
    <n v="16581.03"/>
    <s v="BDT"/>
    <s v="EGM2"/>
    <n v="1384516.01"/>
    <s v="CM ADV ADJ-424130862135"/>
    <s v="0000005010"/>
    <s v="E25330VF19US0462"/>
    <s v=""/>
    <s v=""/>
    <s v="0"/>
    <s v="424130869753"/>
    <s v=""/>
    <s v=""/>
    <s v=""/>
    <s v=""/>
    <s v=""/>
    <x v="0"/>
    <m/>
    <s v=""/>
    <d v="2019-11-03T00:00:00"/>
    <s v=""/>
    <s v="1909000254"/>
  </r>
  <r>
    <s v="1909000255"/>
    <d v="2019-11-03T00:00:00"/>
    <d v="2019-11-03T00:00:00"/>
    <s v="DZ"/>
    <s v="USD"/>
    <n v="-349110.97"/>
    <n v="-349110.97"/>
    <s v="BDT"/>
    <s v="EGM1"/>
    <n v="-29272954.84"/>
    <s v="CM ADV Rec-424130869726"/>
    <s v="0000005010"/>
    <s v="EGA-05290"/>
    <s v=""/>
    <s v=""/>
    <s v="0"/>
    <s v="424130869726"/>
    <s v=""/>
    <s v=""/>
    <s v=""/>
    <s v=""/>
    <s v=""/>
    <x v="0"/>
    <m/>
    <s v=""/>
    <d v="2019-11-03T00:00:00"/>
    <s v=""/>
    <s v="1909000255"/>
  </r>
  <r>
    <s v="1909000256"/>
    <d v="2019-11-03T00:00:00"/>
    <d v="2019-11-03T00:00:00"/>
    <s v="DZ"/>
    <s v="USD"/>
    <n v="-210436.72"/>
    <n v="-210436.72"/>
    <s v="BDT"/>
    <s v="EGM2"/>
    <n v="-17645118.98"/>
    <s v="CM ADV Rec-424130869735"/>
    <s v="0000005010"/>
    <s v="EG2-05289"/>
    <s v=""/>
    <s v=""/>
    <s v="0"/>
    <s v="424130869735"/>
    <s v=""/>
    <s v=""/>
    <s v=""/>
    <s v=""/>
    <s v=""/>
    <x v="0"/>
    <m/>
    <s v=""/>
    <d v="2019-11-03T00:00:00"/>
    <s v=""/>
    <s v="1909000256"/>
  </r>
  <r>
    <s v="1909000257"/>
    <d v="2019-11-04T00:00:00"/>
    <d v="2019-11-04T00:00:00"/>
    <s v="DZ"/>
    <s v="USD"/>
    <n v="17735.8"/>
    <n v="17735.8"/>
    <s v="BDT"/>
    <s v="EGM2"/>
    <n v="1480939.3"/>
    <s v="CM ADV ADJ-424130862135"/>
    <s v="0000005010"/>
    <s v="E25273VF19US0467"/>
    <s v=""/>
    <s v=""/>
    <s v="0"/>
    <s v="424130870466"/>
    <s v=""/>
    <s v=""/>
    <s v=""/>
    <s v=""/>
    <s v=""/>
    <x v="0"/>
    <m/>
    <s v=""/>
    <d v="2019-11-04T00:00:00"/>
    <s v=""/>
    <s v="1909000257"/>
  </r>
  <r>
    <s v="1909000257"/>
    <d v="2019-11-04T00:00:00"/>
    <d v="2019-11-04T00:00:00"/>
    <s v="DZ"/>
    <s v="USD"/>
    <n v="37031.120000000003"/>
    <n v="37031.120000000003"/>
    <s v="BDT"/>
    <s v="EGM2"/>
    <n v="3105059.41"/>
    <s v="CM ADV ADJ-424130869735"/>
    <s v="0000005010"/>
    <s v="E25273VF19US0467"/>
    <s v=""/>
    <s v=""/>
    <s v="0"/>
    <s v="424130870466"/>
    <s v=""/>
    <s v=""/>
    <s v=""/>
    <s v=""/>
    <s v=""/>
    <x v="0"/>
    <m/>
    <s v=""/>
    <d v="2019-11-04T00:00:00"/>
    <s v=""/>
    <s v="1909000257"/>
  </r>
  <r>
    <s v="1909000258"/>
    <d v="2019-11-04T00:00:00"/>
    <d v="2019-11-04T00:00:00"/>
    <s v="DZ"/>
    <s v="USD"/>
    <n v="3697.96"/>
    <n v="3697.96"/>
    <s v="BDT"/>
    <s v="EGM2"/>
    <n v="310073.95"/>
    <s v="CM ADV ADJ-424130869735"/>
    <s v="0000005010"/>
    <s v="E25057AC19JF0469"/>
    <s v=""/>
    <s v=""/>
    <s v="0"/>
    <s v="424130870475"/>
    <s v=""/>
    <s v=""/>
    <s v=""/>
    <s v=""/>
    <s v=""/>
    <x v="0"/>
    <m/>
    <s v=""/>
    <d v="2019-11-04T00:00:00"/>
    <s v=""/>
    <s v="1909000258"/>
  </r>
  <r>
    <s v="1909000259"/>
    <d v="2019-11-05T00:00:00"/>
    <d v="2019-11-05T00:00:00"/>
    <s v="DZ"/>
    <s v="USD"/>
    <n v="19366.939999999999"/>
    <n v="19366.939999999999"/>
    <s v="BDT"/>
    <s v="EGM1"/>
    <n v="1617139.49"/>
    <s v="CM ADV ADJ-424130853190"/>
    <s v="0000005010"/>
    <s v="E5171TS19UK1053"/>
    <s v=""/>
    <s v=""/>
    <s v="0"/>
    <s v="424130869744"/>
    <s v=""/>
    <s v=""/>
    <s v=""/>
    <s v=""/>
    <s v=""/>
    <x v="0"/>
    <m/>
    <s v=""/>
    <d v="2019-11-05T00:00:00"/>
    <s v=""/>
    <s v="1909000259"/>
  </r>
  <r>
    <s v="1909000260"/>
    <d v="2019-11-05T00:00:00"/>
    <d v="2019-11-05T00:00:00"/>
    <s v="DZ"/>
    <s v="USD"/>
    <n v="179703.57"/>
    <n v="179703.57"/>
    <s v="BDT"/>
    <s v="EGM1"/>
    <n v="15005248.1"/>
    <s v="CM ADV ADJ-424130853190"/>
    <s v="0000005010"/>
    <s v="E35290TC19US1052"/>
    <s v=""/>
    <s v=""/>
    <s v="0"/>
    <s v="424130869762"/>
    <s v=""/>
    <s v=""/>
    <s v=""/>
    <s v=""/>
    <s v=""/>
    <x v="0"/>
    <m/>
    <s v=""/>
    <d v="2019-11-05T00:00:00"/>
    <s v=""/>
    <s v="1909000260"/>
  </r>
  <r>
    <s v="1909000260"/>
    <d v="2019-11-05T00:00:00"/>
    <d v="2019-11-05T00:00:00"/>
    <s v="DZ"/>
    <s v="USD"/>
    <n v="93279.07"/>
    <n v="93279.07"/>
    <s v="BDT"/>
    <s v="EGM1"/>
    <n v="7788802.3499999996"/>
    <s v="CM ADV ADJ-424130862144"/>
    <s v="0000005010"/>
    <s v="E35290TC19US1052"/>
    <s v=""/>
    <s v=""/>
    <s v="0"/>
    <s v="424130869762"/>
    <s v=""/>
    <s v=""/>
    <s v=""/>
    <s v=""/>
    <s v=""/>
    <x v="0"/>
    <m/>
    <s v=""/>
    <d v="2019-11-05T00:00:00"/>
    <s v=""/>
    <s v="1909000260"/>
  </r>
  <r>
    <s v="1909000260"/>
    <d v="2019-11-05T00:00:00"/>
    <d v="2019-11-05T00:00:00"/>
    <s v="DZ"/>
    <s v="USD"/>
    <n v="34668.46"/>
    <n v="34668.46"/>
    <s v="BDT"/>
    <s v="EGM1"/>
    <n v="2906950.37"/>
    <s v="CM ADV ADJ-424130869726"/>
    <s v="0000005010"/>
    <s v="E35290TC19US1052"/>
    <s v=""/>
    <s v=""/>
    <s v="0"/>
    <s v="424130869762"/>
    <s v=""/>
    <s v=""/>
    <s v=""/>
    <s v=""/>
    <s v=""/>
    <x v="0"/>
    <m/>
    <s v=""/>
    <d v="2019-11-05T00:00:00"/>
    <s v=""/>
    <s v="1909000260"/>
  </r>
  <r>
    <s v="1909000261"/>
    <d v="2019-11-05T00:00:00"/>
    <d v="2019-11-05T00:00:00"/>
    <s v="DZ"/>
    <s v="USD"/>
    <n v="-1000000"/>
    <n v="-1000000"/>
    <s v="BDT"/>
    <s v="EGM1"/>
    <n v="-83850000"/>
    <s v="CM ADV REC REF-424130871205"/>
    <s v="0000001010"/>
    <s v="EGA-EG1-05124"/>
    <s v=""/>
    <s v=""/>
    <s v="0"/>
    <s v="424130871205"/>
    <s v=""/>
    <s v=""/>
    <s v=""/>
    <s v=""/>
    <s v=""/>
    <x v="0"/>
    <m/>
    <s v=""/>
    <d v="2019-11-05T00:00:00"/>
    <s v=""/>
    <s v="1909000261"/>
  </r>
  <r>
    <s v="1909000262"/>
    <d v="2019-11-06T00:00:00"/>
    <d v="2019-11-06T00:00:00"/>
    <s v="DZ"/>
    <s v="USD"/>
    <n v="26948.38"/>
    <n v="26948.38"/>
    <s v="BDT"/>
    <s v="EGM1"/>
    <n v="2250189.73"/>
    <s v="CM ADV ADJ-424130853190"/>
    <s v="0000005010"/>
    <s v="E35391TC19US1084"/>
    <s v=""/>
    <s v=""/>
    <s v="0"/>
    <s v="424130871223"/>
    <s v=""/>
    <s v=""/>
    <s v=""/>
    <s v=""/>
    <s v=""/>
    <x v="0"/>
    <m/>
    <s v=""/>
    <d v="2019-11-06T00:00:00"/>
    <s v=""/>
    <s v="1909000262"/>
  </r>
  <r>
    <s v="1909000262"/>
    <d v="2019-11-06T00:00:00"/>
    <d v="2019-11-06T00:00:00"/>
    <s v="DZ"/>
    <s v="USD"/>
    <n v="93649.43"/>
    <n v="93649.43"/>
    <s v="BDT"/>
    <s v="EGM1"/>
    <n v="7819727.4100000001"/>
    <s v="CM ADV ADJ-424130862144"/>
    <s v="0000005010"/>
    <s v="E35391TC19US1084"/>
    <s v=""/>
    <s v=""/>
    <s v="0"/>
    <s v="424130871223"/>
    <s v=""/>
    <s v=""/>
    <s v=""/>
    <s v=""/>
    <s v=""/>
    <x v="0"/>
    <m/>
    <s v=""/>
    <d v="2019-11-06T00:00:00"/>
    <s v=""/>
    <s v="1909000262"/>
  </r>
  <r>
    <s v="1909000262"/>
    <d v="2019-11-06T00:00:00"/>
    <d v="2019-11-06T00:00:00"/>
    <s v="DZ"/>
    <s v="USD"/>
    <n v="77944.86"/>
    <n v="77944.86"/>
    <s v="BDT"/>
    <s v="EGM1"/>
    <n v="6535676.5099999998"/>
    <s v="CM ADV ADJ-424130869726"/>
    <s v="0000005010"/>
    <s v="E35391TC19US1084"/>
    <s v=""/>
    <s v=""/>
    <s v="0"/>
    <s v="424130871223"/>
    <s v=""/>
    <s v=""/>
    <s v=""/>
    <s v=""/>
    <s v=""/>
    <x v="0"/>
    <m/>
    <s v=""/>
    <d v="2019-11-06T00:00:00"/>
    <s v=""/>
    <s v="1909000262"/>
  </r>
  <r>
    <s v="1909000263"/>
    <d v="2019-11-06T00:00:00"/>
    <d v="2019-11-06T00:00:00"/>
    <s v="DZ"/>
    <s v="USD"/>
    <n v="1834"/>
    <n v="1834"/>
    <s v="BDT"/>
    <s v="EGM1"/>
    <n v="153139"/>
    <s v="CM ADV ADJ-424130851922"/>
    <s v="0000001010"/>
    <s v="E35245BM19UK1029"/>
    <s v=""/>
    <s v=""/>
    <s v="0"/>
    <s v="424130871232"/>
    <s v=""/>
    <s v=""/>
    <s v=""/>
    <s v=""/>
    <s v=""/>
    <x v="0"/>
    <m/>
    <s v=""/>
    <d v="2019-11-06T00:00:00"/>
    <s v=""/>
    <s v="1909000263"/>
  </r>
  <r>
    <s v="1909000263"/>
    <d v="2019-11-06T00:00:00"/>
    <d v="2019-11-06T00:00:00"/>
    <s v="DZ"/>
    <s v="USD"/>
    <n v="2319"/>
    <n v="2319"/>
    <s v="BDT"/>
    <s v="EGM1"/>
    <n v="193636.5"/>
    <s v="CM ADV ADJ-424130854527"/>
    <s v="0000001010"/>
    <s v="E35245BM19UK1029"/>
    <s v=""/>
    <s v=""/>
    <s v="0"/>
    <s v="424130871232"/>
    <s v=""/>
    <s v=""/>
    <s v=""/>
    <s v=""/>
    <s v=""/>
    <x v="0"/>
    <m/>
    <s v=""/>
    <d v="2019-11-06T00:00:00"/>
    <s v=""/>
    <s v="1909000263"/>
  </r>
  <r>
    <s v="1909000264"/>
    <d v="2019-11-06T00:00:00"/>
    <d v="2019-11-06T00:00:00"/>
    <s v="DZ"/>
    <s v="USD"/>
    <n v="8649"/>
    <n v="8649"/>
    <s v="BDT"/>
    <s v="EGM1"/>
    <n v="722191.5"/>
    <s v="CM ADV ADJ-424130869147"/>
    <s v="0000001010"/>
    <s v="E55132KH19US1035"/>
    <s v=""/>
    <s v=""/>
    <s v="0"/>
    <s v="424130871241"/>
    <s v=""/>
    <s v=""/>
    <s v=""/>
    <s v=""/>
    <s v=""/>
    <x v="0"/>
    <m/>
    <s v=""/>
    <d v="2019-11-06T00:00:00"/>
    <s v=""/>
    <s v="1909000264"/>
  </r>
  <r>
    <s v="1909000264"/>
    <d v="2019-11-06T00:00:00"/>
    <d v="2019-11-06T00:00:00"/>
    <s v="DZ"/>
    <s v="USD"/>
    <n v="27467"/>
    <n v="27467"/>
    <s v="BDT"/>
    <s v="EGM1"/>
    <n v="2293494.5"/>
    <s v="CM ADV ADJ-424130851922"/>
    <s v="0000001010"/>
    <s v="E55132KH19US1035"/>
    <s v=""/>
    <s v=""/>
    <s v="0"/>
    <s v="424130871241"/>
    <s v=""/>
    <s v=""/>
    <s v=""/>
    <s v=""/>
    <s v=""/>
    <x v="0"/>
    <m/>
    <s v=""/>
    <d v="2019-11-06T00:00:00"/>
    <s v=""/>
    <s v="1909000264"/>
  </r>
  <r>
    <s v="1909000264"/>
    <d v="2019-11-06T00:00:00"/>
    <d v="2019-11-06T00:00:00"/>
    <s v="DZ"/>
    <s v="USD"/>
    <n v="27574"/>
    <n v="27574"/>
    <s v="BDT"/>
    <s v="EGM1"/>
    <n v="2302429"/>
    <s v="CM ADV ADJ-424130854527"/>
    <s v="0000001010"/>
    <s v="E55132KH19US1035"/>
    <s v=""/>
    <s v=""/>
    <s v="0"/>
    <s v="424130871241"/>
    <s v=""/>
    <s v=""/>
    <s v=""/>
    <s v=""/>
    <s v=""/>
    <x v="0"/>
    <m/>
    <s v=""/>
    <d v="2019-11-06T00:00:00"/>
    <s v=""/>
    <s v="1909000264"/>
  </r>
  <r>
    <s v="1909000265"/>
    <d v="2019-11-06T00:00:00"/>
    <d v="2019-11-06T00:00:00"/>
    <s v="DZ"/>
    <s v="USD"/>
    <n v="155"/>
    <n v="155"/>
    <s v="BDT"/>
    <s v="EGM1"/>
    <n v="12942.5"/>
    <s v="CM ADV ADJ-424130823936"/>
    <s v="0000001010"/>
    <s v="E05139US19-1032,"/>
    <s v=""/>
    <s v=""/>
    <s v="0"/>
    <s v="424130871330,424130871349"/>
    <s v=""/>
    <s v=""/>
    <s v=""/>
    <s v=""/>
    <s v=""/>
    <x v="0"/>
    <d v="2020-06-30T00:00:00"/>
    <s v="1906000017"/>
    <d v="2019-11-06T00:00:00"/>
    <s v=""/>
    <s v="1909000265"/>
  </r>
  <r>
    <s v="1909000265"/>
    <d v="2019-11-06T00:00:00"/>
    <d v="2019-11-06T00:00:00"/>
    <s v="DZ"/>
    <s v="USD"/>
    <n v="85431"/>
    <n v="85431"/>
    <s v="BDT"/>
    <s v="EGM1"/>
    <n v="7133488.5"/>
    <s v="CM ADV ADJ-424130869147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5"/>
    <d v="2019-11-06T00:00:00"/>
    <d v="2019-11-06T00:00:00"/>
    <s v="DZ"/>
    <s v="USD"/>
    <n v="1601"/>
    <n v="1601"/>
    <s v="BDT"/>
    <s v="EGM1"/>
    <n v="133683.5"/>
    <s v="CM ADV ADJ-424130838243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5"/>
    <d v="2019-11-06T00:00:00"/>
    <d v="2019-11-06T00:00:00"/>
    <s v="DZ"/>
    <s v="USD"/>
    <n v="176550"/>
    <n v="176550"/>
    <s v="BDT"/>
    <s v="EGM1"/>
    <n v="14741925"/>
    <s v="CM ADV ADJ-424130851922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5"/>
    <d v="2019-11-06T00:00:00"/>
    <d v="2019-11-06T00:00:00"/>
    <s v="DZ"/>
    <s v="USD"/>
    <n v="173903"/>
    <n v="173903"/>
    <s v="BDT"/>
    <s v="EGM1"/>
    <n v="14520900.5"/>
    <s v="CM ADV ADJ-424130854527"/>
    <s v="0000001010"/>
    <s v="E05139US19-1032,"/>
    <s v=""/>
    <s v=""/>
    <s v="0"/>
    <s v="424130871330,424130871349"/>
    <s v=""/>
    <s v=""/>
    <s v=""/>
    <s v=""/>
    <s v=""/>
    <x v="0"/>
    <m/>
    <s v=""/>
    <d v="2019-11-06T00:00:00"/>
    <s v=""/>
    <s v="1909000265"/>
  </r>
  <r>
    <s v="1909000266"/>
    <d v="2019-11-07T00:00:00"/>
    <d v="2019-11-07T00:00:00"/>
    <s v="DZ"/>
    <s v="USD"/>
    <n v="735"/>
    <n v="735"/>
    <s v="BDT"/>
    <s v="EGM1"/>
    <n v="61372.5"/>
    <s v="CM ADV ADJ-424130823936"/>
    <s v="0000001010"/>
    <s v="E05239US19-1002"/>
    <s v=""/>
    <s v=""/>
    <s v="0"/>
    <s v="424130872231"/>
    <s v=""/>
    <s v=""/>
    <s v=""/>
    <s v=""/>
    <s v=""/>
    <x v="0"/>
    <d v="2020-06-30T00:00:00"/>
    <s v="1906000017"/>
    <d v="2019-11-07T00:00:00"/>
    <s v=""/>
    <s v="1909000266"/>
  </r>
  <r>
    <s v="1909000266"/>
    <d v="2019-11-07T00:00:00"/>
    <d v="2019-11-07T00:00:00"/>
    <s v="DZ"/>
    <s v="USD"/>
    <n v="20997"/>
    <n v="20997"/>
    <s v="BDT"/>
    <s v="EGM1"/>
    <n v="1753249.5"/>
    <s v="CM ADV ADJ-424130869147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6"/>
    <d v="2019-11-07T00:00:00"/>
    <d v="2019-11-07T00:00:00"/>
    <s v="DZ"/>
    <s v="USD"/>
    <n v="2337"/>
    <n v="2337"/>
    <s v="BDT"/>
    <s v="EGM1"/>
    <n v="195139.5"/>
    <s v="CM ADV ADJ-424130838243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6"/>
    <d v="2019-11-07T00:00:00"/>
    <d v="2019-11-07T00:00:00"/>
    <s v="DZ"/>
    <s v="USD"/>
    <n v="739"/>
    <n v="739"/>
    <s v="BDT"/>
    <s v="EGM1"/>
    <n v="61706.5"/>
    <s v="CM ADV ADJ-424130851922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6"/>
    <d v="2019-11-07T00:00:00"/>
    <d v="2019-11-07T00:00:00"/>
    <s v="DZ"/>
    <s v="USD"/>
    <n v="42326"/>
    <n v="42326"/>
    <s v="BDT"/>
    <s v="EGM1"/>
    <n v="3534221"/>
    <s v="CM ADV ADJ-424130854527"/>
    <s v="0000001010"/>
    <s v="E05239US19-1002"/>
    <s v=""/>
    <s v=""/>
    <s v="0"/>
    <s v="424130872231"/>
    <s v=""/>
    <s v=""/>
    <s v=""/>
    <s v=""/>
    <s v=""/>
    <x v="0"/>
    <m/>
    <s v=""/>
    <d v="2019-11-07T00:00:00"/>
    <s v=""/>
    <s v="1909000266"/>
  </r>
  <r>
    <s v="1909000268"/>
    <d v="2019-10-31T00:00:00"/>
    <d v="2019-10-31T00:00:00"/>
    <s v="DZ"/>
    <s v="USD"/>
    <n v="437641"/>
    <n v="437641"/>
    <s v="BDT"/>
    <s v="EGM1"/>
    <n v="36534270.68"/>
    <s v="FIT-CM ADV EDL-OCT-19"/>
    <s v="1010"/>
    <s v="FIT-CM-EDL-OCT19"/>
    <s v=""/>
    <s v=""/>
    <s v="0"/>
    <s v="FIT-CMADV-EDL-OCT-19"/>
    <s v=""/>
    <s v=""/>
    <s v=""/>
    <s v=""/>
    <s v=""/>
    <x v="0"/>
    <d v="2019-11-01T00:00:00"/>
    <s v="1903005337"/>
    <d v="2019-10-31T00:00:00"/>
    <s v=""/>
    <s v="1909000268"/>
  </r>
  <r>
    <s v="1909000270"/>
    <d v="2019-11-11T00:00:00"/>
    <d v="2019-11-11T00:00:00"/>
    <s v="DZ"/>
    <s v="USD"/>
    <n v="3672.5"/>
    <n v="3672.5"/>
    <s v="BDT"/>
    <s v="EGM2"/>
    <n v="306653.75"/>
    <s v="CM ADV ADJ-424130853181"/>
    <s v="0000005010"/>
    <s v="E25057AC19CK0468"/>
    <s v=""/>
    <s v=""/>
    <s v="0"/>
    <s v="424130873212"/>
    <s v=""/>
    <s v=""/>
    <s v=""/>
    <s v=""/>
    <s v=""/>
    <x v="0"/>
    <m/>
    <s v=""/>
    <d v="2019-11-11T00:00:00"/>
    <s v=""/>
    <s v="1909000270"/>
  </r>
  <r>
    <s v="1909000270"/>
    <d v="2019-11-11T00:00:00"/>
    <d v="2019-11-11T00:00:00"/>
    <s v="DZ"/>
    <s v="USD"/>
    <n v="1016.45"/>
    <n v="1016.45"/>
    <s v="BDT"/>
    <s v="EGM2"/>
    <n v="84873.58"/>
    <s v="CM ADV ADJ-424130862135"/>
    <s v="0000005010"/>
    <s v="E25057AC19CK0468"/>
    <s v=""/>
    <s v=""/>
    <s v="0"/>
    <s v="424130873212"/>
    <s v=""/>
    <s v=""/>
    <s v=""/>
    <s v=""/>
    <s v=""/>
    <x v="0"/>
    <m/>
    <s v=""/>
    <d v="2019-11-11T00:00:00"/>
    <s v=""/>
    <s v="1909000270"/>
  </r>
  <r>
    <s v="1909000270"/>
    <d v="2019-11-11T00:00:00"/>
    <d v="2019-11-11T00:00:00"/>
    <s v="DZ"/>
    <s v="USD"/>
    <n v="12078.57"/>
    <n v="12078.57"/>
    <s v="BDT"/>
    <s v="EGM2"/>
    <n v="1012788.09"/>
    <s v="CM ADV ADJ-424130869735"/>
    <s v="0000005010"/>
    <s v="E25057AC19CK0468"/>
    <s v=""/>
    <s v=""/>
    <s v="0"/>
    <s v="424130873212"/>
    <s v=""/>
    <s v=""/>
    <s v=""/>
    <s v=""/>
    <s v=""/>
    <x v="0"/>
    <m/>
    <s v=""/>
    <d v="2019-11-11T00:00:00"/>
    <s v=""/>
    <s v="1909000270"/>
  </r>
  <r>
    <s v="1909000271"/>
    <d v="2019-11-11T00:00:00"/>
    <d v="2019-11-11T00:00:00"/>
    <s v="DZ"/>
    <s v="USD"/>
    <n v="2077.4899999999998"/>
    <n v="2077.4899999999998"/>
    <s v="BDT"/>
    <s v="EGM2"/>
    <n v="173470.42"/>
    <s v="CM ADV ADJ-424130862135"/>
    <s v="0000005010"/>
    <s v="E25351VF19US0472"/>
    <s v=""/>
    <s v=""/>
    <s v="0"/>
    <s v="424130873230"/>
    <s v=""/>
    <s v=""/>
    <s v=""/>
    <s v=""/>
    <s v=""/>
    <x v="0"/>
    <m/>
    <s v=""/>
    <d v="2019-11-11T00:00:00"/>
    <s v=""/>
    <s v="1909000271"/>
  </r>
  <r>
    <s v="1909000271"/>
    <d v="2019-11-11T00:00:00"/>
    <d v="2019-11-11T00:00:00"/>
    <s v="DZ"/>
    <s v="USD"/>
    <n v="11477.59"/>
    <n v="11477.59"/>
    <s v="BDT"/>
    <s v="EGM2"/>
    <n v="962395.92"/>
    <s v="CM ADV ADJ-424130869735"/>
    <s v="0000005010"/>
    <s v="E25351VF19US0472"/>
    <s v=""/>
    <s v=""/>
    <s v="0"/>
    <s v="424130873230"/>
    <s v=""/>
    <s v=""/>
    <s v=""/>
    <s v=""/>
    <s v=""/>
    <x v="0"/>
    <m/>
    <s v=""/>
    <d v="2019-11-11T00:00:00"/>
    <s v=""/>
    <s v="1909000271"/>
  </r>
  <r>
    <s v="1909000272"/>
    <d v="2019-11-11T00:00:00"/>
    <d v="2019-11-11T00:00:00"/>
    <s v="DZ"/>
    <s v="USD"/>
    <n v="23497.3"/>
    <n v="23497.3"/>
    <s v="BDT"/>
    <s v="EGM1"/>
    <n v="1962024.55"/>
    <s v="CM ADV ADJ-424130853190"/>
    <s v="0000005010"/>
    <s v="E5294TS19UK1110"/>
    <s v=""/>
    <s v=""/>
    <s v="0"/>
    <s v="424130873221"/>
    <s v=""/>
    <s v=""/>
    <s v=""/>
    <s v=""/>
    <s v=""/>
    <x v="0"/>
    <m/>
    <s v=""/>
    <d v="2019-11-11T00:00:00"/>
    <s v=""/>
    <s v="1909000272"/>
  </r>
  <r>
    <s v="1909000272"/>
    <d v="2019-11-11T00:00:00"/>
    <d v="2019-11-11T00:00:00"/>
    <s v="DZ"/>
    <s v="USD"/>
    <n v="1189.1300000000001"/>
    <n v="1189.1300000000001"/>
    <s v="BDT"/>
    <s v="EGM1"/>
    <n v="99292.36"/>
    <s v="CM ADV ADJ-424130862144"/>
    <s v="0000005010"/>
    <s v="E5294TS19UK1110"/>
    <s v=""/>
    <s v=""/>
    <s v="0"/>
    <s v="424130873221"/>
    <s v=""/>
    <s v=""/>
    <s v=""/>
    <s v=""/>
    <s v=""/>
    <x v="0"/>
    <m/>
    <s v=""/>
    <d v="2019-11-11T00:00:00"/>
    <s v=""/>
    <s v="1909000272"/>
  </r>
  <r>
    <s v="1909000272"/>
    <d v="2019-11-11T00:00:00"/>
    <d v="2019-11-11T00:00:00"/>
    <s v="DZ"/>
    <s v="USD"/>
    <n v="3616.32"/>
    <n v="3616.32"/>
    <s v="BDT"/>
    <s v="EGM1"/>
    <n v="303228.43"/>
    <s v="CM ADV ADJ-424130869726"/>
    <s v="0000005010"/>
    <s v="E5294TS19UK1110"/>
    <s v=""/>
    <s v=""/>
    <s v="0"/>
    <s v="424130873221"/>
    <s v=""/>
    <s v=""/>
    <s v=""/>
    <s v=""/>
    <s v=""/>
    <x v="0"/>
    <m/>
    <s v=""/>
    <d v="2019-11-11T00:00:00"/>
    <s v=""/>
    <s v="1909000272"/>
  </r>
  <r>
    <s v="1909000273"/>
    <d v="2019-11-11T00:00:00"/>
    <d v="2019-11-11T00:00:00"/>
    <s v="DZ"/>
    <s v="USD"/>
    <n v="9846.68"/>
    <n v="9846.68"/>
    <s v="BDT"/>
    <s v="EGM1"/>
    <n v="822197.78"/>
    <s v="CM ADV ADJ-424130853190"/>
    <s v="0000005010"/>
    <s v="E35292TC19CA1114"/>
    <s v=""/>
    <s v=""/>
    <s v="0"/>
    <s v="424130873249"/>
    <s v=""/>
    <s v=""/>
    <s v=""/>
    <s v=""/>
    <s v=""/>
    <x v="0"/>
    <m/>
    <s v=""/>
    <d v="2019-11-11T00:00:00"/>
    <s v=""/>
    <s v="1909000273"/>
  </r>
  <r>
    <s v="1909000273"/>
    <d v="2019-11-11T00:00:00"/>
    <d v="2019-11-11T00:00:00"/>
    <s v="DZ"/>
    <s v="USD"/>
    <n v="9052.57"/>
    <n v="9052.57"/>
    <s v="BDT"/>
    <s v="EGM1"/>
    <n v="755889.6"/>
    <s v="CM ADV ADJ-424130862144"/>
    <s v="0000005010"/>
    <s v="E35292TC19CA1114"/>
    <s v=""/>
    <s v=""/>
    <s v="0"/>
    <s v="424130873249"/>
    <s v=""/>
    <s v=""/>
    <s v=""/>
    <s v=""/>
    <s v=""/>
    <x v="0"/>
    <m/>
    <s v=""/>
    <d v="2019-11-11T00:00:00"/>
    <s v=""/>
    <s v="1909000273"/>
  </r>
  <r>
    <s v="1909000273"/>
    <d v="2019-11-11T00:00:00"/>
    <d v="2019-11-11T00:00:00"/>
    <s v="DZ"/>
    <s v="USD"/>
    <n v="36851.79"/>
    <n v="36851.79"/>
    <s v="BDT"/>
    <s v="EGM1"/>
    <n v="3090022.59"/>
    <s v="CM ADV ADJ-424130869726"/>
    <s v="0000005010"/>
    <s v="E35292TC19CA1114"/>
    <s v=""/>
    <s v=""/>
    <s v="0"/>
    <s v="424130873249"/>
    <s v=""/>
    <s v=""/>
    <s v=""/>
    <s v=""/>
    <s v=""/>
    <x v="0"/>
    <m/>
    <s v=""/>
    <d v="2019-11-11T00:00:00"/>
    <s v=""/>
    <s v="1909000273"/>
  </r>
  <r>
    <s v="1909000275"/>
    <d v="2019-11-11T00:00:00"/>
    <d v="2019-11-11T00:00:00"/>
    <s v="DZ"/>
    <s v="USD"/>
    <n v="671.25"/>
    <n v="671.25"/>
    <s v="BDT"/>
    <s v="EGM1"/>
    <n v="56049.38"/>
    <s v="CM ADV ADJ-424130853190"/>
    <s v="0000005010"/>
    <s v="E35172DC19US1123"/>
    <s v=""/>
    <s v=""/>
    <s v="0"/>
    <s v="424130873203"/>
    <s v=""/>
    <s v=""/>
    <s v=""/>
    <s v=""/>
    <s v=""/>
    <x v="0"/>
    <m/>
    <s v=""/>
    <d v="2019-11-11T00:00:00"/>
    <s v=""/>
    <s v="1909000275"/>
  </r>
  <r>
    <s v="1909000275"/>
    <d v="2019-11-11T00:00:00"/>
    <d v="2019-11-11T00:00:00"/>
    <s v="DZ"/>
    <s v="USD"/>
    <n v="1579.1"/>
    <n v="1579.1"/>
    <s v="BDT"/>
    <s v="EGM1"/>
    <n v="131854.85"/>
    <s v="CM ADV ADJ-424130838234"/>
    <s v="0000005010"/>
    <s v="E35172DC19US1123"/>
    <s v=""/>
    <s v=""/>
    <s v="0"/>
    <s v="424130873203"/>
    <s v=""/>
    <s v=""/>
    <s v=""/>
    <s v=""/>
    <s v=""/>
    <x v="0"/>
    <m/>
    <s v=""/>
    <d v="2019-11-11T00:00:00"/>
    <s v=""/>
    <s v="1909000275"/>
  </r>
  <r>
    <s v="1909000276"/>
    <d v="2019-11-13T00:00:00"/>
    <d v="2019-11-13T00:00:00"/>
    <s v="DZ"/>
    <s v="USD"/>
    <n v="78991.5"/>
    <n v="78991.5"/>
    <s v="BDT"/>
    <s v="EGM1"/>
    <n v="6595790.25"/>
    <s v="CM ADV ADJ-424130862144"/>
    <s v="0000005010"/>
    <s v="E35291TC19US1125"/>
    <s v=""/>
    <s v=""/>
    <s v="0"/>
    <s v="424130874685"/>
    <s v=""/>
    <s v=""/>
    <s v=""/>
    <s v=""/>
    <s v=""/>
    <x v="0"/>
    <m/>
    <s v=""/>
    <d v="2019-11-13T00:00:00"/>
    <s v=""/>
    <s v="1909000276"/>
  </r>
  <r>
    <s v="1909000276"/>
    <d v="2019-11-13T00:00:00"/>
    <d v="2019-11-13T00:00:00"/>
    <s v="DZ"/>
    <s v="USD"/>
    <n v="69440.28"/>
    <n v="69440.28"/>
    <s v="BDT"/>
    <s v="EGM1"/>
    <n v="5822567.4800000004"/>
    <s v="CM ADV ADJ-424130869726"/>
    <s v="0000005010"/>
    <s v="E35291TC19US1125"/>
    <s v=""/>
    <s v=""/>
    <s v="0"/>
    <s v="424130874685"/>
    <s v=""/>
    <s v=""/>
    <s v=""/>
    <s v=""/>
    <s v=""/>
    <x v="0"/>
    <m/>
    <s v=""/>
    <d v="2019-11-13T00:00:00"/>
    <s v=""/>
    <s v="1909000276"/>
  </r>
  <r>
    <s v="1909000277"/>
    <d v="2019-11-13T00:00:00"/>
    <d v="2019-11-13T00:00:00"/>
    <s v="DZ"/>
    <s v="USD"/>
    <n v="21760"/>
    <n v="21760"/>
    <s v="BDT"/>
    <s v="EGM1"/>
    <n v="1816960"/>
    <s v="CM ADV ADJ-42413080420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92519"/>
    <n v="92519"/>
    <s v="BDT"/>
    <s v="EGM1"/>
    <n v="7725336.5"/>
    <s v="CM ADV ADJ-42413086914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5928"/>
    <n v="5928"/>
    <s v="BDT"/>
    <s v="EGM1"/>
    <n v="494988"/>
    <s v="CM ADV ADJ-424130838243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48789"/>
    <n v="48789"/>
    <s v="BDT"/>
    <s v="EGM1"/>
    <n v="4073881.5"/>
    <s v="CM ADV ADJ-424130851922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19928"/>
    <n v="19928"/>
    <s v="BDT"/>
    <s v="EGM1"/>
    <n v="1663988"/>
    <s v="CM ADV ADJ-424130814884"/>
    <s v="0000001010"/>
    <s v="E05328US191091"/>
    <s v=""/>
    <s v=""/>
    <s v="0"/>
    <s v="424130874676"/>
    <s v=""/>
    <s v=""/>
    <s v=""/>
    <s v=""/>
    <s v=""/>
    <x v="0"/>
    <d v="2020-06-30T00:00:00"/>
    <s v="1906000017"/>
    <d v="2019-11-13T00:00:00"/>
    <s v=""/>
    <s v="1909000277"/>
  </r>
  <r>
    <s v="1909000277"/>
    <d v="2019-11-13T00:00:00"/>
    <d v="2019-11-13T00:00:00"/>
    <s v="DZ"/>
    <s v="USD"/>
    <n v="57459"/>
    <n v="57459"/>
    <s v="BDT"/>
    <s v="EGM1"/>
    <n v="4797826.5"/>
    <s v="CM ADV ADJ-42413085452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7"/>
    <d v="2019-11-13T00:00:00"/>
    <d v="2019-11-13T00:00:00"/>
    <s v="DZ"/>
    <s v="USD"/>
    <n v="7895"/>
    <n v="7895"/>
    <s v="BDT"/>
    <s v="EGM1"/>
    <n v="659232.5"/>
    <s v="CM ADV ADJ-424130860137"/>
    <s v="0000001010"/>
    <s v="E05328US191091"/>
    <s v=""/>
    <s v=""/>
    <s v="0"/>
    <s v="424130874676"/>
    <s v=""/>
    <s v=""/>
    <s v=""/>
    <s v=""/>
    <s v=""/>
    <x v="0"/>
    <m/>
    <s v=""/>
    <d v="2019-11-13T00:00:00"/>
    <s v=""/>
    <s v="1909000277"/>
  </r>
  <r>
    <s v="1909000278"/>
    <d v="2019-11-14T00:00:00"/>
    <d v="2019-11-14T00:00:00"/>
    <s v="DZ"/>
    <s v="USD"/>
    <n v="90099"/>
    <n v="90099"/>
    <s v="BDT"/>
    <s v="EGM1"/>
    <n v="7523266.5"/>
    <s v="CM ADV ADJ-424130869147"/>
    <s v="0000001010"/>
    <s v="E05374US19-1102"/>
    <s v=""/>
    <s v=""/>
    <s v="0"/>
    <s v="424130874694"/>
    <s v=""/>
    <s v=""/>
    <s v=""/>
    <s v=""/>
    <s v=""/>
    <x v="0"/>
    <m/>
    <s v=""/>
    <d v="2019-11-14T00:00:00"/>
    <s v=""/>
    <s v="1909000278"/>
  </r>
  <r>
    <s v="1909000278"/>
    <d v="2019-11-14T00:00:00"/>
    <d v="2019-11-14T00:00:00"/>
    <s v="DZ"/>
    <s v="USD"/>
    <n v="2603"/>
    <n v="2603"/>
    <s v="BDT"/>
    <s v="EGM1"/>
    <n v="217350.5"/>
    <s v="CM ADV ADJ-424130851922"/>
    <s v="0000001010"/>
    <s v="E05374US19-1102"/>
    <s v=""/>
    <s v=""/>
    <s v="0"/>
    <s v="424130874694"/>
    <s v=""/>
    <s v=""/>
    <s v=""/>
    <s v=""/>
    <s v=""/>
    <x v="0"/>
    <m/>
    <s v=""/>
    <d v="2019-11-14T00:00:00"/>
    <s v=""/>
    <s v="1909000278"/>
  </r>
  <r>
    <s v="1909000278"/>
    <d v="2019-11-14T00:00:00"/>
    <d v="2019-11-14T00:00:00"/>
    <s v="DZ"/>
    <s v="USD"/>
    <n v="49094"/>
    <n v="49094"/>
    <s v="BDT"/>
    <s v="EGM1"/>
    <n v="4099349"/>
    <s v="CM ADV ADJ-424130854527"/>
    <s v="0000001010"/>
    <s v="E05374US19-1102"/>
    <s v=""/>
    <s v=""/>
    <s v="0"/>
    <s v="424130874694"/>
    <s v=""/>
    <s v=""/>
    <s v=""/>
    <s v=""/>
    <s v=""/>
    <x v="0"/>
    <m/>
    <s v=""/>
    <d v="2019-11-14T00:00:00"/>
    <s v=""/>
    <s v="1909000278"/>
  </r>
  <r>
    <s v="1909000280"/>
    <d v="2019-10-31T00:00:00"/>
    <d v="2019-10-31T00:00:00"/>
    <s v="DZ"/>
    <s v="USD"/>
    <n v="-157501"/>
    <n v="-157501"/>
    <s v="BDT"/>
    <s v="EGM1"/>
    <n v="-13151333.5"/>
    <s v="FIT-CM ADV DWC-OCT-19"/>
    <s v="0000005010"/>
    <s v="FIT-CMDWC-OCT-19"/>
    <s v=""/>
    <s v=""/>
    <s v="0"/>
    <s v="FIT-CM ADV DWC-OCT-19"/>
    <s v=""/>
    <s v=""/>
    <s v=""/>
    <s v=""/>
    <s v=""/>
    <x v="0"/>
    <d v="2019-11-01T00:00:00"/>
    <s v="1903005338"/>
    <d v="2019-10-31T00:00:00"/>
    <s v=""/>
    <s v="1909000280"/>
  </r>
  <r>
    <s v="1909000281"/>
    <d v="2019-11-18T00:00:00"/>
    <d v="2019-11-18T00:00:00"/>
    <s v="DZ"/>
    <s v="USD"/>
    <n v="-29291.53"/>
    <n v="-29291.53"/>
    <s v="BDT"/>
    <s v="EGM1"/>
    <n v="-2456094.79"/>
    <s v="CM ADV REC-424130877030"/>
    <s v="0000001010"/>
    <s v="EGA-EG3-05361"/>
    <s v=""/>
    <s v=""/>
    <s v="0"/>
    <s v="424130877030"/>
    <s v=""/>
    <s v=""/>
    <s v=""/>
    <s v=""/>
    <s v=""/>
    <x v="0"/>
    <d v="2019-11-18T00:00:00"/>
    <s v="1903004480"/>
    <d v="2019-11-18T00:00:00"/>
    <s v=""/>
    <s v="1909000281"/>
  </r>
  <r>
    <s v="1909000282"/>
    <d v="2019-11-18T00:00:00"/>
    <d v="2019-11-18T00:00:00"/>
    <s v="DZ"/>
    <s v="USD"/>
    <n v="-29317"/>
    <n v="-29317"/>
    <s v="BDT"/>
    <s v="EGM1"/>
    <n v="-2458230.4500000002"/>
    <s v="CM ADV REC-424130877030"/>
    <s v="0000001010"/>
    <s v="EGA-EG3-05361"/>
    <s v=""/>
    <s v=""/>
    <s v="0"/>
    <s v="424130877030"/>
    <s v=""/>
    <s v=""/>
    <s v=""/>
    <s v=""/>
    <s v=""/>
    <x v="0"/>
    <d v="2019-11-24T00:00:00"/>
    <s v="1909000293"/>
    <d v="2019-11-18T00:00:00"/>
    <s v=""/>
    <s v="1909000282"/>
  </r>
  <r>
    <s v="1909000283"/>
    <d v="2019-11-19T00:00:00"/>
    <d v="2019-11-19T00:00:00"/>
    <s v="DZ"/>
    <s v="USD"/>
    <n v="14194.69"/>
    <n v="14194.69"/>
    <s v="BDT"/>
    <s v="EGM1"/>
    <n v="1185256.6200000001"/>
    <s v="CM ADV ADJ-424130853190"/>
    <s v="0000005010"/>
    <s v="04994"/>
    <s v=""/>
    <s v=""/>
    <s v="0"/>
    <s v="424130877646"/>
    <s v=""/>
    <s v=""/>
    <s v=""/>
    <s v=""/>
    <s v=""/>
    <x v="0"/>
    <m/>
    <s v=""/>
    <d v="2019-11-19T00:00:00"/>
    <s v=""/>
    <s v="1909000283"/>
  </r>
  <r>
    <s v="1909000284"/>
    <d v="2019-11-20T00:00:00"/>
    <d v="2019-11-20T00:00:00"/>
    <s v="DZ"/>
    <s v="USD"/>
    <n v="408"/>
    <n v="408"/>
    <s v="BDT"/>
    <s v="EGM2"/>
    <n v="34068"/>
    <s v="CM ADV ADJ-424130838261"/>
    <s v="0000001010"/>
    <s v="05252190460PE"/>
    <s v=""/>
    <s v=""/>
    <s v="0"/>
    <s v="424130879724"/>
    <s v=""/>
    <s v=""/>
    <s v=""/>
    <s v=""/>
    <s v=""/>
    <x v="0"/>
    <m/>
    <s v=""/>
    <d v="2019-11-20T00:00:00"/>
    <s v=""/>
    <s v="1909000284"/>
  </r>
  <r>
    <s v="1909000285"/>
    <d v="2019-11-20T00:00:00"/>
    <d v="2019-11-20T00:00:00"/>
    <s v="DZ"/>
    <s v="USD"/>
    <n v="5060.46"/>
    <n v="5060.46"/>
    <s v="BDT"/>
    <s v="EGM2"/>
    <n v="424319.57"/>
    <s v="CM ADV ADJ-424130869735"/>
    <s v="0000005010"/>
    <s v="E25323VF19US0473"/>
    <s v=""/>
    <s v=""/>
    <s v="0"/>
    <s v="424130879546"/>
    <s v=""/>
    <s v=""/>
    <s v=""/>
    <s v=""/>
    <s v=""/>
    <x v="0"/>
    <m/>
    <s v=""/>
    <d v="2019-11-20T00:00:00"/>
    <s v=""/>
    <s v="1909000285"/>
  </r>
  <r>
    <s v="1909000286"/>
    <d v="2019-11-20T00:00:00"/>
    <d v="2019-11-20T00:00:00"/>
    <s v="DZ"/>
    <s v="USD"/>
    <n v="3642"/>
    <n v="3642"/>
    <s v="BDT"/>
    <s v="EGM1"/>
    <n v="304107"/>
    <s v="CM ADV ADJ-424130869147"/>
    <s v="0000001010"/>
    <s v="E5294TS19CE1121"/>
    <s v=""/>
    <s v=""/>
    <s v="0"/>
    <s v="424130879537"/>
    <s v=""/>
    <s v=""/>
    <s v=""/>
    <s v=""/>
    <s v=""/>
    <x v="0"/>
    <m/>
    <s v=""/>
    <d v="2019-11-20T00:00:00"/>
    <s v=""/>
    <s v="1909000286"/>
  </r>
  <r>
    <s v="1909000286"/>
    <d v="2019-11-20T00:00:00"/>
    <d v="2019-11-20T00:00:00"/>
    <s v="DZ"/>
    <s v="USD"/>
    <n v="2170"/>
    <n v="2170"/>
    <s v="BDT"/>
    <s v="EGM1"/>
    <n v="181195"/>
    <s v="CM ADV ADJ-424130851922"/>
    <s v="0000001010"/>
    <s v="E5294TS19CE1121"/>
    <s v=""/>
    <s v=""/>
    <s v="0"/>
    <s v="424130879537"/>
    <s v=""/>
    <s v=""/>
    <s v=""/>
    <s v=""/>
    <s v=""/>
    <x v="0"/>
    <m/>
    <s v=""/>
    <d v="2019-11-20T00:00:00"/>
    <s v=""/>
    <s v="1909000286"/>
  </r>
  <r>
    <s v="1909000286"/>
    <d v="2019-11-20T00:00:00"/>
    <d v="2019-11-20T00:00:00"/>
    <s v="DZ"/>
    <s v="USD"/>
    <n v="37"/>
    <n v="37"/>
    <s v="BDT"/>
    <s v="EGM1"/>
    <n v="3089.5"/>
    <s v="CM ADV ADJ-424130854527"/>
    <s v="0000001010"/>
    <s v="E5294TS19CE1121"/>
    <s v=""/>
    <s v=""/>
    <s v="0"/>
    <s v="424130879537"/>
    <s v=""/>
    <s v=""/>
    <s v=""/>
    <s v=""/>
    <s v=""/>
    <x v="0"/>
    <m/>
    <s v=""/>
    <d v="2019-11-20T00:00:00"/>
    <s v=""/>
    <s v="1909000286"/>
  </r>
  <r>
    <s v="1909000287"/>
    <d v="2019-11-20T00:00:00"/>
    <d v="2019-11-20T00:00:00"/>
    <s v="DZ"/>
    <s v="USD"/>
    <n v="14400.88"/>
    <n v="14400.88"/>
    <s v="BDT"/>
    <s v="EGM1"/>
    <n v="1202473.48"/>
    <s v="CM ADV ADJ-424130853190"/>
    <s v="0000005010"/>
    <s v="E5294TS19CE1121"/>
    <s v=""/>
    <s v=""/>
    <s v="0"/>
    <s v="424130879537"/>
    <s v=""/>
    <s v=""/>
    <s v=""/>
    <s v=""/>
    <s v=""/>
    <x v="0"/>
    <m/>
    <s v=""/>
    <d v="2019-11-20T00:00:00"/>
    <s v=""/>
    <s v="1909000287"/>
  </r>
  <r>
    <s v="1909000287"/>
    <d v="2019-11-20T00:00:00"/>
    <d v="2019-11-20T00:00:00"/>
    <s v="DZ"/>
    <s v="USD"/>
    <n v="909.29"/>
    <n v="909.29"/>
    <s v="BDT"/>
    <s v="EGM1"/>
    <n v="75925.72"/>
    <s v="CM ADV ADJ-424130862144"/>
    <s v="0000005010"/>
    <s v="E5294TS19CE1121"/>
    <s v=""/>
    <s v=""/>
    <s v="0"/>
    <s v="424130879537"/>
    <s v=""/>
    <s v=""/>
    <s v=""/>
    <s v=""/>
    <s v=""/>
    <x v="0"/>
    <m/>
    <s v=""/>
    <d v="2019-11-20T00:00:00"/>
    <s v=""/>
    <s v="1909000287"/>
  </r>
  <r>
    <s v="1909000288"/>
    <d v="2019-11-21T00:00:00"/>
    <d v="2019-11-21T00:00:00"/>
    <s v="DZ"/>
    <s v="USD"/>
    <n v="-233314.92"/>
    <n v="-233314.92"/>
    <s v="BDT"/>
    <s v="EGM2"/>
    <n v="-19563456.039999999"/>
    <s v="CM ADV REV-424130880776"/>
    <s v="0000005010"/>
    <s v="EG2-05291"/>
    <s v=""/>
    <s v=""/>
    <s v="0"/>
    <s v="424130880776"/>
    <s v=""/>
    <s v=""/>
    <s v=""/>
    <s v=""/>
    <s v=""/>
    <x v="0"/>
    <m/>
    <s v=""/>
    <d v="2019-11-21T00:00:00"/>
    <s v=""/>
    <s v="1909000288"/>
  </r>
  <r>
    <s v="1909000289"/>
    <d v="2019-11-21T00:00:00"/>
    <d v="2019-11-21T00:00:00"/>
    <s v="DZ"/>
    <s v="USD"/>
    <n v="-326847.86"/>
    <n v="-326847.86"/>
    <s v="BDT"/>
    <s v="EGM1"/>
    <n v="-27406193.07"/>
    <s v="CM ADV REV-424130880767"/>
    <s v="0000005010"/>
    <s v="EGA-EG3-05291"/>
    <s v=""/>
    <s v=""/>
    <s v="0"/>
    <s v="424130880767"/>
    <s v=""/>
    <s v=""/>
    <s v=""/>
    <s v=""/>
    <s v=""/>
    <x v="0"/>
    <m/>
    <s v=""/>
    <d v="2019-11-21T00:00:00"/>
    <s v=""/>
    <s v="1909000289"/>
  </r>
  <r>
    <s v="1909000292"/>
    <d v="2019-11-24T00:00:00"/>
    <d v="2019-11-24T00:00:00"/>
    <s v="DZ"/>
    <s v="USD"/>
    <n v="3478"/>
    <n v="3478"/>
    <s v="BDT"/>
    <s v="EGM1"/>
    <n v="291630.3"/>
    <s v="CM ADV Adj-424130871205"/>
    <s v="0000001010"/>
    <s v="E5365SB19UK1145"/>
    <s v=""/>
    <s v=""/>
    <s v="0"/>
    <s v="424130882649"/>
    <s v=""/>
    <s v=""/>
    <s v=""/>
    <s v=""/>
    <s v=""/>
    <x v="0"/>
    <m/>
    <s v=""/>
    <d v="2019-11-24T00:00:00"/>
    <s v=""/>
    <s v="1909000292"/>
  </r>
  <r>
    <s v="1909000293"/>
    <d v="2019-11-24T00:00:00"/>
    <d v="2019-11-24T00:00:00"/>
    <s v="DZ"/>
    <s v="USD"/>
    <n v="73698"/>
    <n v="73698"/>
    <s v="BDT"/>
    <s v="EGM1"/>
    <n v="6153783"/>
    <s v="CM ADV Adj-424130869147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13121"/>
    <n v="13121"/>
    <s v="BDT"/>
    <s v="EGM1"/>
    <n v="1095603.5"/>
    <s v="CM ADV Adj-424130851922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23836"/>
    <n v="23836"/>
    <s v="BDT"/>
    <s v="EGM1"/>
    <n v="1990306"/>
    <s v="CM ADV Adj-424130854527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7293"/>
    <n v="7293"/>
    <s v="BDT"/>
    <s v="EGM1"/>
    <n v="611518.05000000005"/>
    <s v="CM ADV Adj-424130871205"/>
    <s v="0000001010"/>
    <s v="E05329US19-1105"/>
    <s v=""/>
    <s v=""/>
    <s v="0"/>
    <s v="424130881329"/>
    <s v=""/>
    <s v=""/>
    <s v=""/>
    <s v=""/>
    <s v=""/>
    <x v="0"/>
    <m/>
    <s v=""/>
    <d v="2019-11-24T00:00:00"/>
    <s v=""/>
    <s v="1909000293"/>
  </r>
  <r>
    <s v="1909000293"/>
    <d v="2019-11-24T00:00:00"/>
    <d v="2019-11-24T00:00:00"/>
    <s v="DZ"/>
    <s v="USD"/>
    <n v="2274"/>
    <n v="2274"/>
    <s v="BDT"/>
    <s v="EGM1"/>
    <n v="189833.52"/>
    <s v="CM ADV Adj-424130785148"/>
    <s v="0000001010"/>
    <s v="E05329US19-1105"/>
    <s v=""/>
    <s v=""/>
    <s v="0"/>
    <s v="424130881329"/>
    <s v=""/>
    <s v=""/>
    <s v=""/>
    <s v=""/>
    <s v=""/>
    <x v="0"/>
    <d v="2020-06-30T00:00:00"/>
    <s v="1906000017"/>
    <d v="2019-11-24T00:00:00"/>
    <s v=""/>
    <s v="1909000293"/>
  </r>
  <r>
    <s v="1909000293"/>
    <d v="2019-11-24T00:00:00"/>
    <d v="2019-11-24T00:00:00"/>
    <s v="DZ"/>
    <s v="USD"/>
    <n v="29317"/>
    <n v="29317"/>
    <s v="BDT"/>
    <s v="EGM1"/>
    <n v="2458230.4500000002"/>
    <s v="E05329US19-1105"/>
    <s v="0000001010"/>
    <s v="E05329US19-1105"/>
    <s v=""/>
    <s v=""/>
    <s v="0"/>
    <s v="424130881329"/>
    <s v=""/>
    <s v=""/>
    <s v=""/>
    <s v=""/>
    <s v=""/>
    <x v="0"/>
    <d v="2019-11-24T00:00:00"/>
    <s v="1909000293"/>
    <d v="2019-11-24T00:00:00"/>
    <s v=""/>
    <s v="1909000293"/>
  </r>
  <r>
    <s v="1909000294"/>
    <d v="2019-11-26T00:00:00"/>
    <d v="2019-11-26T00:00:00"/>
    <s v="DZ"/>
    <s v="USD"/>
    <n v="20762.419999999998"/>
    <n v="20762.419999999998"/>
    <s v="BDT"/>
    <s v="EGM1"/>
    <n v="1740928.92"/>
    <s v="CM ADV Adj-424130869726"/>
    <s v="0000005010"/>
    <s v="E35292"/>
    <s v=""/>
    <s v=""/>
    <s v="0"/>
    <s v="424130883158"/>
    <s v=""/>
    <s v=""/>
    <s v=""/>
    <s v=""/>
    <s v=""/>
    <x v="0"/>
    <m/>
    <s v=""/>
    <d v="2019-11-26T00:00:00"/>
    <s v=""/>
    <s v="1909000294"/>
  </r>
  <r>
    <s v="1909000294"/>
    <d v="2019-11-26T00:00:00"/>
    <d v="2019-11-26T00:00:00"/>
    <s v="DZ"/>
    <s v="USD"/>
    <n v="21708.41"/>
    <n v="21708.41"/>
    <s v="BDT"/>
    <s v="EGM1"/>
    <n v="1820250.18"/>
    <s v="CM ADV Adj-424130880767"/>
    <s v="0000005010"/>
    <s v="E35292"/>
    <s v=""/>
    <s v=""/>
    <s v="0"/>
    <s v="424130883158"/>
    <s v=""/>
    <s v=""/>
    <s v=""/>
    <s v=""/>
    <s v=""/>
    <x v="0"/>
    <m/>
    <s v=""/>
    <d v="2019-11-26T00:00:00"/>
    <s v=""/>
    <s v="1909000294"/>
  </r>
  <r>
    <s v="1909000295"/>
    <d v="2019-11-26T00:00:00"/>
    <d v="2019-11-26T00:00:00"/>
    <s v="DZ"/>
    <s v="USD"/>
    <n v="33645.9"/>
    <n v="33645.9"/>
    <s v="BDT"/>
    <s v="EGM2"/>
    <n v="2821208.71"/>
    <s v="CM ADV Adj-424130880776"/>
    <s v="0000005010"/>
    <s v="E25273,350,413"/>
    <s v=""/>
    <s v=""/>
    <s v="0"/>
    <s v="424130883167"/>
    <s v=""/>
    <s v=""/>
    <s v=""/>
    <s v=""/>
    <s v=""/>
    <x v="0"/>
    <m/>
    <s v=""/>
    <d v="2019-11-26T00:00:00"/>
    <s v=""/>
    <s v="1909000295"/>
  </r>
  <r>
    <s v="1909000295"/>
    <d v="2019-11-26T00:00:00"/>
    <d v="2019-11-26T00:00:00"/>
    <s v="DZ"/>
    <s v="USD"/>
    <n v="8249.99"/>
    <n v="8249.99"/>
    <s v="BDT"/>
    <s v="EGM2"/>
    <n v="688874.17"/>
    <s v="CM ADV Adj-424130862135"/>
    <s v="0000005010"/>
    <s v="E25273,350,413"/>
    <s v=""/>
    <s v=""/>
    <s v="0"/>
    <s v="424130883167"/>
    <s v=""/>
    <s v=""/>
    <s v=""/>
    <s v=""/>
    <s v=""/>
    <x v="0"/>
    <m/>
    <s v=""/>
    <d v="2019-11-26T00:00:00"/>
    <s v=""/>
    <s v="1909000295"/>
  </r>
  <r>
    <s v="1909000295"/>
    <d v="2019-11-26T00:00:00"/>
    <d v="2019-11-26T00:00:00"/>
    <s v="DZ"/>
    <s v="USD"/>
    <n v="5816.32"/>
    <n v="5816.32"/>
    <s v="BDT"/>
    <s v="EGM2"/>
    <n v="487698.43"/>
    <s v="CM ADV Adj-424130869735"/>
    <s v="0000005010"/>
    <s v="E25273,350,413"/>
    <s v=""/>
    <s v=""/>
    <s v="0"/>
    <s v="424130883167"/>
    <s v=""/>
    <s v=""/>
    <s v=""/>
    <s v=""/>
    <s v=""/>
    <x v="0"/>
    <m/>
    <s v=""/>
    <d v="2019-11-26T00:00:00"/>
    <s v=""/>
    <s v="1909000295"/>
  </r>
  <r>
    <s v="1909000298"/>
    <d v="2019-12-01T00:00:00"/>
    <d v="2019-12-01T00:00:00"/>
    <s v="DZ"/>
    <s v="USD"/>
    <n v="12954.58"/>
    <n v="12954.58"/>
    <s v="BDT"/>
    <s v="EGM1"/>
    <n v="1081707.43"/>
    <s v="CM ADV Adj-424130853190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8"/>
    <d v="2019-12-01T00:00:00"/>
    <d v="2019-12-01T00:00:00"/>
    <s v="DZ"/>
    <s v="USD"/>
    <n v="11036.41"/>
    <n v="11036.41"/>
    <s v="BDT"/>
    <s v="EGM1"/>
    <n v="921540.24"/>
    <s v="CM ADV Adj-424130862144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8"/>
    <d v="2019-12-01T00:00:00"/>
    <d v="2019-12-01T00:00:00"/>
    <s v="DZ"/>
    <s v="USD"/>
    <n v="9829.98"/>
    <n v="9829.98"/>
    <s v="BDT"/>
    <s v="EGM1"/>
    <n v="824243.82"/>
    <s v="CM ADV Adj-424130869726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8"/>
    <d v="2019-12-01T00:00:00"/>
    <d v="2019-12-01T00:00:00"/>
    <s v="DZ"/>
    <s v="USD"/>
    <n v="38509.410000000003"/>
    <n v="38509.410000000003"/>
    <s v="BDT"/>
    <s v="EGM1"/>
    <n v="3229014.03"/>
    <s v="CM ADV Adj-424130880767"/>
    <s v="0000005010"/>
    <s v="E5294TS19UK1127"/>
    <s v=""/>
    <s v=""/>
    <s v="0"/>
    <s v="424130885030"/>
    <s v=""/>
    <s v=""/>
    <s v=""/>
    <s v=""/>
    <s v=""/>
    <x v="0"/>
    <m/>
    <s v=""/>
    <d v="2019-12-01T00:00:00"/>
    <s v=""/>
    <s v="1909000298"/>
  </r>
  <r>
    <s v="1909000299"/>
    <d v="2019-12-01T00:00:00"/>
    <d v="2019-12-01T00:00:00"/>
    <s v="DZ"/>
    <s v="USD"/>
    <n v="-218703.01"/>
    <n v="-218703.01"/>
    <s v="BDT"/>
    <s v="EGM2"/>
    <n v="-18360117.699999999"/>
    <s v="CM ADV REC-424130886565"/>
    <s v="0000005010"/>
    <s v="EG205289"/>
    <s v=""/>
    <s v=""/>
    <s v="0"/>
    <s v="424130886565"/>
    <s v=""/>
    <s v=""/>
    <s v=""/>
    <s v=""/>
    <s v=""/>
    <x v="0"/>
    <m/>
    <s v=""/>
    <d v="2019-12-01T00:00:00"/>
    <s v=""/>
    <s v="1909000299"/>
  </r>
  <r>
    <s v="1909000300"/>
    <d v="2019-12-01T00:00:00"/>
    <d v="2019-12-01T00:00:00"/>
    <s v="DZ"/>
    <s v="USD"/>
    <n v="18522.07"/>
    <n v="18522.07"/>
    <s v="BDT"/>
    <s v="EGM2"/>
    <n v="1553075.57"/>
    <s v="CM ADV Adj-424130880776"/>
    <s v="0000005010"/>
    <s v="E25307VF19US0480"/>
    <s v=""/>
    <s v=""/>
    <s v="0"/>
    <s v="424130886574"/>
    <s v=""/>
    <s v=""/>
    <s v=""/>
    <s v=""/>
    <s v=""/>
    <x v="0"/>
    <m/>
    <s v=""/>
    <d v="2019-12-01T00:00:00"/>
    <s v=""/>
    <s v="1909000300"/>
  </r>
  <r>
    <s v="1909000300"/>
    <d v="2019-12-01T00:00:00"/>
    <d v="2019-12-01T00:00:00"/>
    <s v="DZ"/>
    <s v="USD"/>
    <n v="16585.7"/>
    <n v="16585.7"/>
    <s v="BDT"/>
    <s v="EGM2"/>
    <n v="1384905.95"/>
    <s v="CM ADV Adj-424130862135"/>
    <s v="0000005010"/>
    <s v="E25307VF19US0480"/>
    <s v=""/>
    <s v=""/>
    <s v="0"/>
    <s v="424130886574"/>
    <s v=""/>
    <s v=""/>
    <s v=""/>
    <s v=""/>
    <s v=""/>
    <x v="0"/>
    <m/>
    <s v=""/>
    <d v="2019-12-01T00:00:00"/>
    <s v=""/>
    <s v="1909000300"/>
  </r>
  <r>
    <s v="1909000300"/>
    <d v="2019-12-01T00:00:00"/>
    <d v="2019-12-01T00:00:00"/>
    <s v="DZ"/>
    <s v="USD"/>
    <n v="27941.69"/>
    <n v="27941.69"/>
    <s v="BDT"/>
    <s v="EGM2"/>
    <n v="2342910.71"/>
    <s v="CM ADV Adj-424130862135"/>
    <s v="0000005010"/>
    <s v="E25307VF19US0480"/>
    <s v=""/>
    <s v=""/>
    <s v="0"/>
    <s v="424130886574"/>
    <s v=""/>
    <s v=""/>
    <s v=""/>
    <s v=""/>
    <s v=""/>
    <x v="0"/>
    <m/>
    <s v=""/>
    <d v="2019-12-01T00:00:00"/>
    <s v=""/>
    <s v="1909000300"/>
  </r>
  <r>
    <s v="1909000301"/>
    <d v="2019-12-01T00:00:00"/>
    <d v="2019-12-01T00:00:00"/>
    <s v="DZ"/>
    <s v="USD"/>
    <n v="1946"/>
    <n v="1946"/>
    <s v="BDT"/>
    <s v="EGM2"/>
    <n v="162491"/>
    <s v="CM ADV Adj-424130853181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1"/>
    <d v="2019-12-01T00:00:00"/>
    <d v="2019-12-01T00:00:00"/>
    <s v="DZ"/>
    <s v="USD"/>
    <n v="11981"/>
    <n v="11981"/>
    <s v="BDT"/>
    <s v="EGM2"/>
    <n v="1004606.85"/>
    <s v="CM ADV Adj-424130880776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1"/>
    <d v="2019-12-01T00:00:00"/>
    <d v="2019-12-01T00:00:00"/>
    <s v="DZ"/>
    <s v="USD"/>
    <n v="73172.41"/>
    <n v="73172.41"/>
    <s v="BDT"/>
    <s v="EGM2"/>
    <n v="6109896.2400000002"/>
    <s v="CM ADV Adj-424130862135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1"/>
    <d v="2019-12-01T00:00:00"/>
    <d v="2019-12-01T00:00:00"/>
    <s v="DZ"/>
    <s v="USD"/>
    <n v="27284.57"/>
    <n v="27284.57"/>
    <s v="BDT"/>
    <s v="EGM2"/>
    <n v="2287811.2000000002"/>
    <s v="CM ADV Adj-424130869735"/>
    <s v="0000005010"/>
    <s v="E25307VF19US0478"/>
    <s v=""/>
    <s v=""/>
    <s v="0"/>
    <s v="424130885021"/>
    <s v=""/>
    <s v=""/>
    <s v=""/>
    <s v=""/>
    <s v=""/>
    <x v="0"/>
    <m/>
    <s v=""/>
    <d v="2019-12-01T00:00:00"/>
    <s v=""/>
    <s v="1909000301"/>
  </r>
  <r>
    <s v="1909000302"/>
    <d v="2019-12-02T00:00:00"/>
    <d v="2019-12-02T00:00:00"/>
    <s v="DZ"/>
    <s v="USD"/>
    <n v="1767.09"/>
    <n v="1767.09"/>
    <s v="BDT"/>
    <s v="EGM1"/>
    <n v="147552.01999999999"/>
    <s v="CM ADV Adj-424130862144"/>
    <s v="0000005010"/>
    <s v="5263,1148"/>
    <s v=""/>
    <s v=""/>
    <s v="0"/>
    <s v="424130886592"/>
    <s v=""/>
    <s v=""/>
    <s v=""/>
    <s v=""/>
    <s v=""/>
    <x v="0"/>
    <m/>
    <s v=""/>
    <d v="2019-12-02T00:00:00"/>
    <s v=""/>
    <s v="1909000302"/>
  </r>
  <r>
    <s v="1909000302"/>
    <d v="2019-12-02T00:00:00"/>
    <d v="2019-12-02T00:00:00"/>
    <s v="DZ"/>
    <s v="USD"/>
    <n v="6711.41"/>
    <n v="6711.41"/>
    <s v="BDT"/>
    <s v="EGM1"/>
    <n v="562751.73"/>
    <s v="CM ADV Adj-424130869726"/>
    <s v="0000005010"/>
    <s v="5263,1148"/>
    <s v=""/>
    <s v=""/>
    <s v="0"/>
    <s v="424130886592"/>
    <s v=""/>
    <s v=""/>
    <s v=""/>
    <s v=""/>
    <s v=""/>
    <x v="0"/>
    <m/>
    <s v=""/>
    <d v="2019-12-02T00:00:00"/>
    <s v=""/>
    <s v="1909000302"/>
  </r>
  <r>
    <s v="1909000303"/>
    <d v="2019-12-02T00:00:00"/>
    <d v="2019-12-02T00:00:00"/>
    <s v="DZ"/>
    <s v="USD"/>
    <n v="1482"/>
    <n v="1482"/>
    <s v="BDT"/>
    <s v="EGM1"/>
    <n v="124265.7"/>
    <s v="CM ADV Adj-424130869726"/>
    <s v="0000005010"/>
    <s v="1160,1165"/>
    <s v=""/>
    <s v=""/>
    <s v="0"/>
    <s v="424130886583"/>
    <s v=""/>
    <s v=""/>
    <s v=""/>
    <s v=""/>
    <s v=""/>
    <x v="0"/>
    <m/>
    <s v=""/>
    <d v="2019-12-02T00:00:00"/>
    <s v=""/>
    <s v="1909000303"/>
  </r>
  <r>
    <s v="1909000304"/>
    <d v="2019-12-02T00:00:00"/>
    <d v="2019-12-02T00:00:00"/>
    <s v="DZ"/>
    <s v="USD"/>
    <n v="4491.3999999999996"/>
    <n v="4491.3999999999996"/>
    <s v="BDT"/>
    <s v="EGM1"/>
    <n v="376603.89"/>
    <s v="CM Adv adj- 424130869726"/>
    <s v="0000005010"/>
    <s v="35292,35299"/>
    <s v=""/>
    <s v=""/>
    <s v="0"/>
    <s v="424130886609"/>
    <s v=""/>
    <s v=""/>
    <s v=""/>
    <s v=""/>
    <s v=""/>
    <x v="0"/>
    <m/>
    <s v=""/>
    <d v="2019-12-02T00:00:00"/>
    <s v=""/>
    <s v="1909000304"/>
  </r>
  <r>
    <s v="1909000304"/>
    <d v="2019-12-02T00:00:00"/>
    <d v="2019-12-02T00:00:00"/>
    <s v="DZ"/>
    <s v="USD"/>
    <n v="3387.93"/>
    <n v="3387.93"/>
    <s v="BDT"/>
    <s v="EGM1"/>
    <n v="284077.93"/>
    <s v="CM Adv adj- 424130880767"/>
    <s v="0000005010"/>
    <s v="35292,35299"/>
    <s v=""/>
    <s v=""/>
    <s v="0"/>
    <s v="424130886609"/>
    <s v=""/>
    <s v=""/>
    <s v=""/>
    <s v=""/>
    <s v=""/>
    <x v="0"/>
    <m/>
    <s v=""/>
    <d v="2019-12-02T00:00:00"/>
    <s v=""/>
    <s v="1909000304"/>
  </r>
  <r>
    <s v="1909000305"/>
    <d v="2019-12-02T00:00:00"/>
    <d v="2019-12-02T00:00:00"/>
    <s v="DZ"/>
    <s v="USD"/>
    <n v="-1179924"/>
    <n v="-1179924"/>
    <s v="BDT"/>
    <s v="EGM1"/>
    <n v="-99054619.810000002"/>
    <s v="CM ADV REC-424130887458"/>
    <s v="0000001010"/>
    <s v="EGA-EG305302"/>
    <s v=""/>
    <s v=""/>
    <s v="0"/>
    <s v="424130887458"/>
    <s v=""/>
    <s v=""/>
    <s v=""/>
    <s v=""/>
    <s v=""/>
    <x v="0"/>
    <m/>
    <s v=""/>
    <d v="2019-12-02T00:00:00"/>
    <s v=""/>
    <s v="1909000305"/>
  </r>
  <r>
    <s v="1909000306"/>
    <d v="2019-12-03T00:00:00"/>
    <d v="2019-12-03T00:00:00"/>
    <s v="DZ"/>
    <s v="USD"/>
    <n v="-293999.07"/>
    <n v="-293999.07"/>
    <s v="BDT"/>
    <s v="EGM1"/>
    <n v="-24681221.940000001"/>
    <s v="CM ADV REC-424130887467"/>
    <s v="0000005010"/>
    <s v="EGAEG305291"/>
    <s v=""/>
    <s v=""/>
    <s v="0"/>
    <s v="424130887467"/>
    <s v=""/>
    <s v=""/>
    <s v=""/>
    <s v=""/>
    <s v=""/>
    <x v="0"/>
    <m/>
    <s v=""/>
    <d v="2019-12-03T00:00:00"/>
    <s v=""/>
    <s v="1909000306"/>
  </r>
  <r>
    <s v="1909000307"/>
    <d v="2019-12-04T00:00:00"/>
    <d v="2019-12-04T00:00:00"/>
    <s v="DZ"/>
    <s v="USD"/>
    <n v="25693"/>
    <n v="25693"/>
    <s v="BDT"/>
    <s v="EGM1"/>
    <n v="2145365.5"/>
    <s v="CM ADV REC-424130869147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24596"/>
    <n v="24596"/>
    <s v="BDT"/>
    <s v="EGM1"/>
    <n v="2064834.2"/>
    <s v="CM ADV REC-424130887458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75665"/>
    <n v="75665"/>
    <s v="BDT"/>
    <s v="EGM1"/>
    <n v="6318027.5"/>
    <s v="CM Adv adj-424130851922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44342"/>
    <n v="44342"/>
    <s v="BDT"/>
    <s v="EGM1"/>
    <n v="3702557"/>
    <s v="CM ADV REC-424130854527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7"/>
    <d v="2019-12-04T00:00:00"/>
    <d v="2019-12-04T00:00:00"/>
    <s v="DZ"/>
    <s v="USD"/>
    <n v="25790"/>
    <n v="25790"/>
    <s v="BDT"/>
    <s v="EGM1"/>
    <n v="2162491.5"/>
    <s v="CM ADV REC-424130871205"/>
    <s v="0000001010"/>
    <s v="5378,5363,5363"/>
    <s v=""/>
    <s v=""/>
    <s v="0"/>
    <s v="424130889303"/>
    <s v=""/>
    <s v=""/>
    <s v=""/>
    <s v=""/>
    <s v=""/>
    <x v="0"/>
    <m/>
    <s v=""/>
    <d v="2019-12-04T00:00:00"/>
    <s v=""/>
    <s v="1909000307"/>
  </r>
  <r>
    <s v="1909000308"/>
    <d v="2019-12-04T00:00:00"/>
    <d v="2019-12-04T00:00:00"/>
    <s v="DZ"/>
    <s v="USD"/>
    <n v="-1000000"/>
    <n v="-1000000"/>
    <s v="BDT"/>
    <s v="EGM1"/>
    <n v="-83950000.010000005"/>
    <s v="CM ADV REC-424130889090"/>
    <s v="0000001010"/>
    <s v="EGA-05124"/>
    <s v=""/>
    <s v=""/>
    <s v="0"/>
    <s v="424130889090"/>
    <s v=""/>
    <s v=""/>
    <s v=""/>
    <s v=""/>
    <s v=""/>
    <x v="0"/>
    <m/>
    <s v=""/>
    <d v="2019-12-04T00:00:00"/>
    <s v=""/>
    <s v="1909000308"/>
  </r>
  <r>
    <s v="1909000310"/>
    <d v="2019-12-04T00:00:00"/>
    <d v="2019-12-04T00:00:00"/>
    <s v="DZ"/>
    <s v="USD"/>
    <n v="1101.1099999999999"/>
    <n v="1101.1099999999999"/>
    <s v="BDT"/>
    <s v="EGM2"/>
    <n v="92328.07"/>
    <s v="CM ADV Adj-424130880776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0"/>
    <d v="2019-12-04T00:00:00"/>
    <d v="2019-12-04T00:00:00"/>
    <s v="DZ"/>
    <s v="USD"/>
    <n v="6176.23"/>
    <n v="6176.23"/>
    <s v="BDT"/>
    <s v="EGM2"/>
    <n v="515715.21"/>
    <s v="CM ADV Adj-424130862135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0"/>
    <d v="2019-12-04T00:00:00"/>
    <d v="2019-12-04T00:00:00"/>
    <s v="DZ"/>
    <s v="USD"/>
    <n v="1419.33"/>
    <n v="1419.33"/>
    <s v="BDT"/>
    <s v="EGM2"/>
    <n v="119152.75"/>
    <s v="CM ADV Adj-424130886565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0"/>
    <d v="2019-12-04T00:00:00"/>
    <d v="2019-12-04T00:00:00"/>
    <s v="DZ"/>
    <s v="USD"/>
    <n v="8100.8"/>
    <n v="8100.8"/>
    <s v="BDT"/>
    <s v="EGM2"/>
    <n v="679252.08"/>
    <s v="CM ADV Adj-424130869735"/>
    <s v="0000005010"/>
    <s v="25289,25289"/>
    <s v=""/>
    <s v=""/>
    <s v="0"/>
    <s v="424130887975"/>
    <s v=""/>
    <s v=""/>
    <s v=""/>
    <s v=""/>
    <s v=""/>
    <x v="0"/>
    <m/>
    <s v=""/>
    <d v="2019-12-04T00:00:00"/>
    <s v=""/>
    <s v="1909000310"/>
  </r>
  <r>
    <s v="1909000312"/>
    <d v="2019-12-08T00:00:00"/>
    <d v="2019-12-08T00:00:00"/>
    <s v="DZ"/>
    <s v="USD"/>
    <n v="1794.94"/>
    <n v="1794.94"/>
    <s v="BDT"/>
    <s v="EGM1"/>
    <n v="149877.49"/>
    <s v="CM ADV Adj-424130853190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2"/>
    <d v="2019-12-08T00:00:00"/>
    <d v="2019-12-08T00:00:00"/>
    <s v="DZ"/>
    <s v="USD"/>
    <n v="9444.9699999999993"/>
    <n v="9444.9699999999993"/>
    <s v="BDT"/>
    <s v="EGM1"/>
    <n v="788655"/>
    <s v="CM ADV Adj-424130862144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2"/>
    <d v="2019-12-08T00:00:00"/>
    <d v="2019-12-08T00:00:00"/>
    <s v="DZ"/>
    <s v="USD"/>
    <n v="20168.97"/>
    <n v="20168.97"/>
    <s v="BDT"/>
    <s v="EGM1"/>
    <n v="1691168.13"/>
    <s v="CM ADV Adj-424130869726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2"/>
    <d v="2019-12-08T00:00:00"/>
    <d v="2019-12-08T00:00:00"/>
    <s v="DZ"/>
    <s v="USD"/>
    <n v="31285.3"/>
    <n v="31285.3"/>
    <s v="BDT"/>
    <s v="EGM1"/>
    <n v="2623272.41"/>
    <s v="CM ADV Adj-424130880767"/>
    <s v="0000005010"/>
    <s v="E5294TS19CE1147"/>
    <s v=""/>
    <s v=""/>
    <s v="0"/>
    <s v="424130890765"/>
    <s v=""/>
    <s v=""/>
    <s v=""/>
    <s v=""/>
    <s v=""/>
    <x v="0"/>
    <m/>
    <s v=""/>
    <d v="2019-12-08T00:00:00"/>
    <s v=""/>
    <s v="1909000312"/>
  </r>
  <r>
    <s v="1909000313"/>
    <d v="2019-12-08T00:00:00"/>
    <d v="2019-12-08T00:00:00"/>
    <s v="DZ"/>
    <s v="USD"/>
    <n v="12297"/>
    <n v="12297"/>
    <s v="BDT"/>
    <s v="EGM1"/>
    <n v="1031103.45"/>
    <s v="CM ADV Adj-424130871205"/>
    <s v="0000001010"/>
    <s v="E5365SB19UK1176"/>
    <s v=""/>
    <s v=""/>
    <s v="0"/>
    <s v="424130890756"/>
    <s v=""/>
    <s v=""/>
    <s v=""/>
    <s v=""/>
    <s v=""/>
    <x v="0"/>
    <m/>
    <s v=""/>
    <d v="2019-12-08T00:00:00"/>
    <s v=""/>
    <s v="1909000313"/>
  </r>
  <r>
    <s v="1909000314"/>
    <d v="2019-12-08T00:00:00"/>
    <d v="2019-12-08T00:00:00"/>
    <s v="DZ"/>
    <s v="USD"/>
    <n v="73712.72"/>
    <n v="73712.72"/>
    <s v="BDT"/>
    <s v="EGM2"/>
    <n v="6180811.5700000003"/>
    <s v="CM ADV Adj-424130880776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4"/>
    <d v="2019-12-08T00:00:00"/>
    <d v="2019-12-08T00:00:00"/>
    <s v="DZ"/>
    <s v="USD"/>
    <n v="5192.4399999999996"/>
    <n v="5192.4399999999996"/>
    <s v="BDT"/>
    <s v="EGM2"/>
    <n v="433568.74"/>
    <s v="CM ADV Adj-424130862135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4"/>
    <d v="2019-12-08T00:00:00"/>
    <d v="2019-12-08T00:00:00"/>
    <s v="DZ"/>
    <s v="USD"/>
    <n v="22152.28"/>
    <n v="22152.28"/>
    <s v="BDT"/>
    <s v="EGM2"/>
    <n v="1859683.91"/>
    <s v="CM ADV Adj-424130886565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4"/>
    <d v="2019-12-08T00:00:00"/>
    <d v="2019-12-08T00:00:00"/>
    <s v="DZ"/>
    <s v="USD"/>
    <n v="32670.98"/>
    <n v="32670.98"/>
    <s v="BDT"/>
    <s v="EGM2"/>
    <n v="2739461.67"/>
    <s v="CM ADV Adj-424130869735"/>
    <s v="0000005010"/>
    <s v="E25351VF19US0490"/>
    <s v=""/>
    <s v=""/>
    <s v="0"/>
    <s v="424130890774"/>
    <s v=""/>
    <s v=""/>
    <s v=""/>
    <s v=""/>
    <s v=""/>
    <x v="0"/>
    <m/>
    <s v=""/>
    <d v="2019-12-08T00:00:00"/>
    <s v=""/>
    <s v="1909000314"/>
  </r>
  <r>
    <s v="1909000316"/>
    <d v="2019-12-10T00:00:00"/>
    <d v="2019-12-10T00:00:00"/>
    <s v="DZ"/>
    <s v="USD"/>
    <n v="2049.75"/>
    <n v="2049.75"/>
    <s v="BDT"/>
    <s v="EGM2"/>
    <n v="172076.51"/>
    <s v="CM ADV Adj-424130886565"/>
    <s v="0000005010"/>
    <s v="E25371VF19US0498"/>
    <s v=""/>
    <s v=""/>
    <s v="0"/>
    <s v="424130891274"/>
    <s v=""/>
    <s v=""/>
    <s v=""/>
    <s v=""/>
    <s v=""/>
    <x v="0"/>
    <m/>
    <s v=""/>
    <d v="2019-12-10T00:00:00"/>
    <s v=""/>
    <s v="1909000316"/>
  </r>
  <r>
    <s v="1909000318"/>
    <d v="2019-11-30T00:00:00"/>
    <d v="2019-11-30T00:00:00"/>
    <s v="DZ"/>
    <s v="USD"/>
    <n v="-1179923"/>
    <n v="-1179923"/>
    <s v="BDT"/>
    <s v="EGM1"/>
    <n v="-98499972.040000007"/>
    <s v="FIT-CM ADV EDL-NOV-19"/>
    <s v="1010"/>
    <s v="FIT-CM-EDL-NOV19"/>
    <s v=""/>
    <s v=""/>
    <s v="0"/>
    <s v="FIT-CMADV-EDL-NOV-19"/>
    <s v=""/>
    <s v=""/>
    <s v=""/>
    <s v=""/>
    <s v=""/>
    <x v="0"/>
    <d v="2019-12-01T00:00:00"/>
    <s v="1903006336"/>
    <d v="2019-11-30T00:00:00"/>
    <s v=""/>
    <s v="1909000318"/>
  </r>
  <r>
    <s v="1909000319"/>
    <d v="2019-12-11T00:00:00"/>
    <d v="2019-12-11T00:00:00"/>
    <s v="DZ"/>
    <s v="USD"/>
    <n v="14524"/>
    <n v="14524"/>
    <s v="BDT"/>
    <s v="EGM1"/>
    <n v="1212754"/>
    <s v="CM ADV Adj-424130869147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15149"/>
    <n v="15149"/>
    <s v="BDT"/>
    <s v="EGM1"/>
    <n v="1271758.55"/>
    <s v="CM ADV Adj-424130887458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933"/>
    <n v="933"/>
    <s v="BDT"/>
    <s v="EGM1"/>
    <n v="77905.5"/>
    <s v="CM ADV Adj-424130838243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7189"/>
    <n v="7189"/>
    <s v="BDT"/>
    <s v="EGM1"/>
    <n v="600281.5"/>
    <s v="CM Adv adj-424130851922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19"/>
    <d v="2019-12-11T00:00:00"/>
    <d v="2019-12-11T00:00:00"/>
    <s v="DZ"/>
    <s v="USD"/>
    <n v="5221"/>
    <n v="5221"/>
    <s v="BDT"/>
    <s v="EGM1"/>
    <n v="437780.85"/>
    <s v="CM ADV Adj-424130871205"/>
    <s v="0000001010"/>
    <s v="E05376US191139"/>
    <s v=""/>
    <s v=""/>
    <s v="0"/>
    <s v="424130891899"/>
    <s v=""/>
    <s v=""/>
    <s v=""/>
    <s v=""/>
    <s v=""/>
    <x v="0"/>
    <m/>
    <s v=""/>
    <d v="2019-12-11T00:00:00"/>
    <s v=""/>
    <s v="1909000319"/>
  </r>
  <r>
    <s v="1909000320"/>
    <d v="2019-12-12T00:00:00"/>
    <d v="2019-12-12T00:00:00"/>
    <s v="DZ"/>
    <s v="USD"/>
    <n v="9756"/>
    <n v="9756"/>
    <s v="BDT"/>
    <s v="EGM1"/>
    <n v="814626"/>
    <s v="CM ADV Adj-424130804207"/>
    <s v="0000001010"/>
    <s v="E05124US191149"/>
    <s v=""/>
    <s v=""/>
    <s v="0"/>
    <s v="424130891960"/>
    <s v=""/>
    <s v=""/>
    <s v=""/>
    <s v=""/>
    <s v=""/>
    <x v="0"/>
    <m/>
    <s v=""/>
    <d v="2019-12-12T00:00:00"/>
    <s v=""/>
    <s v="1909000320"/>
  </r>
  <r>
    <s v="1909000320"/>
    <d v="2019-12-12T00:00:00"/>
    <d v="2019-12-12T00:00:00"/>
    <s v="DZ"/>
    <s v="USD"/>
    <n v="25004"/>
    <n v="25004"/>
    <s v="BDT"/>
    <s v="EGM1"/>
    <n v="2087834"/>
    <s v="CM ADV Adj-424130823936"/>
    <s v="0000001010"/>
    <s v="E05124US191149"/>
    <s v=""/>
    <s v=""/>
    <s v="0"/>
    <s v="424130891960"/>
    <s v=""/>
    <s v=""/>
    <s v=""/>
    <s v=""/>
    <s v=""/>
    <x v="0"/>
    <d v="2020-06-30T00:00:00"/>
    <s v="1906000017"/>
    <d v="2019-12-12T00:00:00"/>
    <s v=""/>
    <s v="1909000320"/>
  </r>
  <r>
    <s v="1909000320"/>
    <d v="2019-12-12T00:00:00"/>
    <d v="2019-12-12T00:00:00"/>
    <s v="DZ"/>
    <s v="USD"/>
    <n v="3861"/>
    <n v="3861"/>
    <s v="BDT"/>
    <s v="EGM1"/>
    <n v="324130.95"/>
    <s v="CM ADV Adj-424130887458"/>
    <s v="0000001010"/>
    <s v="E05124US191149"/>
    <s v=""/>
    <s v=""/>
    <s v="0"/>
    <s v="424130891960"/>
    <s v=""/>
    <s v=""/>
    <s v=""/>
    <s v=""/>
    <s v=""/>
    <x v="0"/>
    <m/>
    <s v=""/>
    <d v="2019-12-12T00:00:00"/>
    <s v=""/>
    <s v="1909000320"/>
  </r>
  <r>
    <s v="1909000320"/>
    <d v="2019-12-12T00:00:00"/>
    <d v="2019-12-12T00:00:00"/>
    <s v="DZ"/>
    <s v="USD"/>
    <n v="13027"/>
    <n v="13027"/>
    <s v="BDT"/>
    <s v="EGM1"/>
    <n v="1087754.5"/>
    <s v="CM ADV Adj-424130851922"/>
    <s v="0000001010"/>
    <s v="E05124US191149"/>
    <s v=""/>
    <s v=""/>
    <s v="0"/>
    <s v="424130891960"/>
    <s v=""/>
    <s v=""/>
    <s v=""/>
    <s v=""/>
    <s v=""/>
    <x v="0"/>
    <m/>
    <s v=""/>
    <d v="2019-12-12T00:00:00"/>
    <s v=""/>
    <s v="1909000320"/>
  </r>
  <r>
    <s v="1909000320"/>
    <d v="2019-12-12T00:00:00"/>
    <d v="2019-12-12T00:00:00"/>
    <s v="DZ"/>
    <s v="USD"/>
    <n v="30807"/>
    <n v="30807"/>
    <s v="BDT"/>
    <s v="EGM1"/>
    <n v="2572384.5"/>
    <s v="CM ADV Adj-424130814884"/>
    <s v="0000001010"/>
    <s v="E05124US191149"/>
    <s v=""/>
    <s v=""/>
    <s v="0"/>
    <s v="424130891960"/>
    <s v=""/>
    <s v=""/>
    <s v=""/>
    <s v=""/>
    <s v=""/>
    <x v="0"/>
    <d v="2020-06-30T00:00:00"/>
    <s v="1906000017"/>
    <d v="2019-12-12T00:00:00"/>
    <s v=""/>
    <s v="1909000320"/>
  </r>
  <r>
    <s v="1909000322"/>
    <d v="2019-11-30T00:00:00"/>
    <d v="2019-11-30T00:00:00"/>
    <s v="DZ"/>
    <s v="USD"/>
    <n v="-512702.07"/>
    <n v="-512702.07"/>
    <s v="BDT"/>
    <s v="EGM1"/>
    <n v="-43041338.780000001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0-31T00:00:00"/>
    <s v=""/>
    <s v="1909000322"/>
  </r>
  <r>
    <s v="1909000322"/>
    <d v="2019-11-30T00:00:00"/>
    <d v="2019-11-30T00:00:00"/>
    <s v="DZ"/>
    <s v="USD"/>
    <n v="328693.5"/>
    <n v="328693.5"/>
    <s v="BDT"/>
    <s v="EGM1"/>
    <n v="27593819.329999998"/>
    <s v="FIT-CM ADV DWC-NOV-19"/>
    <s v="0000005010"/>
    <s v="FIT-CMDWC-NOV-19"/>
    <s v=""/>
    <s v=""/>
    <s v="0"/>
    <s v="FIT-CM ADV DWC-NOV-19"/>
    <s v=""/>
    <s v=""/>
    <s v=""/>
    <s v=""/>
    <s v=""/>
    <x v="0"/>
    <d v="2019-12-01T00:00:00"/>
    <s v="1903006337"/>
    <d v="2019-11-30T00:00:00"/>
    <s v=""/>
    <s v="1909000322"/>
  </r>
  <r>
    <s v="1909000323"/>
    <d v="2019-12-04T00:00:00"/>
    <d v="2019-12-04T00:00:00"/>
    <s v="DZ"/>
    <s v="USD"/>
    <n v="3828.59"/>
    <n v="3828.59"/>
    <s v="BDT"/>
    <s v="EGM1"/>
    <n v="321027.27"/>
    <s v="CM ADV Adj-424130869726"/>
    <s v="0000005010"/>
    <s v="5479,472,480,380"/>
    <s v=""/>
    <s v=""/>
    <s v="0"/>
    <s v="424130887984"/>
    <s v=""/>
    <s v=""/>
    <s v=""/>
    <s v=""/>
    <s v=""/>
    <x v="0"/>
    <m/>
    <s v=""/>
    <d v="2019-12-04T00:00:00"/>
    <s v=""/>
    <s v="1909000323"/>
  </r>
  <r>
    <s v="1909000323"/>
    <d v="2019-12-04T00:00:00"/>
    <d v="2019-12-04T00:00:00"/>
    <s v="DZ"/>
    <s v="USD"/>
    <n v="7928.5"/>
    <n v="7928.5"/>
    <s v="BDT"/>
    <s v="EGM1"/>
    <n v="664804.73"/>
    <s v="CM ADV Adj-424130880767"/>
    <s v="0000005010"/>
    <s v="5479,472,480,380"/>
    <s v=""/>
    <s v=""/>
    <s v="0"/>
    <s v="424130887984"/>
    <s v=""/>
    <s v=""/>
    <s v=""/>
    <s v=""/>
    <s v=""/>
    <x v="0"/>
    <m/>
    <s v=""/>
    <d v="2019-12-04T00:00:00"/>
    <s v=""/>
    <s v="1909000323"/>
  </r>
  <r>
    <s v="1909000323"/>
    <d v="2019-12-04T00:00:00"/>
    <d v="2019-12-04T00:00:00"/>
    <s v="DZ"/>
    <s v="USD"/>
    <n v="32554.400000000001"/>
    <n v="32554.400000000001"/>
    <s v="BDT"/>
    <s v="EGM1"/>
    <n v="2732941.88"/>
    <s v="CM ADV Adj-424130887467"/>
    <s v="0000005010"/>
    <s v="5479,472,480,380"/>
    <s v=""/>
    <s v=""/>
    <s v="0"/>
    <s v="424130887984"/>
    <s v=""/>
    <s v=""/>
    <s v=""/>
    <s v=""/>
    <s v=""/>
    <x v="0"/>
    <m/>
    <s v=""/>
    <d v="2019-12-04T00:00:00"/>
    <s v=""/>
    <s v="1909000323"/>
  </r>
  <r>
    <s v="1909000325"/>
    <d v="2019-12-15T00:00:00"/>
    <d v="2019-12-15T00:00:00"/>
    <s v="DZ"/>
    <s v="USD"/>
    <n v="4169"/>
    <n v="4169"/>
    <s v="BDT"/>
    <s v="EGM1"/>
    <n v="348111.5"/>
    <s v="CM ADV Adj-424130851922"/>
    <s v="0000001010"/>
    <s v="E5132KH19US1170"/>
    <s v=""/>
    <s v=""/>
    <s v="0"/>
    <s v="424130892754"/>
    <s v=""/>
    <s v=""/>
    <s v=""/>
    <s v=""/>
    <s v=""/>
    <x v="0"/>
    <m/>
    <s v=""/>
    <d v="2019-12-15T00:00:00"/>
    <s v=""/>
    <s v="1909000325"/>
  </r>
  <r>
    <s v="1909000325"/>
    <d v="2019-12-15T00:00:00"/>
    <d v="2019-12-15T00:00:00"/>
    <s v="DZ"/>
    <s v="USD"/>
    <n v="1929"/>
    <n v="1929"/>
    <s v="BDT"/>
    <s v="EGM1"/>
    <n v="161071.5"/>
    <s v="CM ADV Adj-424130854527"/>
    <s v="0000001010"/>
    <s v="E5132KH19US1170"/>
    <s v=""/>
    <s v=""/>
    <s v="0"/>
    <s v="424130892754"/>
    <s v=""/>
    <s v=""/>
    <s v=""/>
    <s v=""/>
    <s v=""/>
    <x v="0"/>
    <m/>
    <s v=""/>
    <d v="2019-12-15T00:00:00"/>
    <s v=""/>
    <s v="1909000325"/>
  </r>
  <r>
    <s v="1909000326"/>
    <d v="2019-12-15T00:00:00"/>
    <d v="2019-12-15T00:00:00"/>
    <s v="DZ"/>
    <s v="USD"/>
    <n v="35380"/>
    <n v="35380"/>
    <s v="BDT"/>
    <s v="EGM1"/>
    <n v="2954230"/>
    <s v="CM ADV Adj-424130869147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32718"/>
    <n v="32718"/>
    <s v="BDT"/>
    <s v="EGM1"/>
    <n v="2746676.1"/>
    <s v="CM ADV Adj-424130887458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918"/>
    <n v="918"/>
    <s v="BDT"/>
    <s v="EGM1"/>
    <n v="76653"/>
    <s v="CM ADV Adj-424130838243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9484"/>
    <n v="9484"/>
    <s v="BDT"/>
    <s v="EGM1"/>
    <n v="791914"/>
    <s v="CM ADV Adj-424130851922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28995"/>
    <n v="28995"/>
    <s v="BDT"/>
    <s v="EGM1"/>
    <n v="2431230.75"/>
    <s v="CM ADV Adj-424130871205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6"/>
    <d v="2019-12-15T00:00:00"/>
    <d v="2019-12-15T00:00:00"/>
    <s v="DZ"/>
    <s v="USD"/>
    <n v="44184"/>
    <n v="44184"/>
    <s v="BDT"/>
    <s v="EGM1"/>
    <n v="3709246.8"/>
    <s v="CM ADV Adj-424130889090"/>
    <s v="0000001010"/>
    <s v="5337,265,431"/>
    <s v=""/>
    <s v=""/>
    <s v="0"/>
    <s v="424130893904"/>
    <s v=""/>
    <s v=""/>
    <s v=""/>
    <s v=""/>
    <s v=""/>
    <x v="0"/>
    <m/>
    <s v=""/>
    <d v="2019-12-15T00:00:00"/>
    <s v=""/>
    <s v="1909000326"/>
  </r>
  <r>
    <s v="1909000327"/>
    <d v="2019-12-15T00:00:00"/>
    <d v="2019-12-15T00:00:00"/>
    <s v="DZ"/>
    <s v="USD"/>
    <n v="26287.91"/>
    <n v="26287.91"/>
    <s v="BDT"/>
    <s v="EGM2"/>
    <n v="2204241.25"/>
    <s v="CM ADV Adj-424130880776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7"/>
    <d v="2019-12-15T00:00:00"/>
    <d v="2019-12-15T00:00:00"/>
    <s v="DZ"/>
    <s v="USD"/>
    <n v="12957.12"/>
    <n v="12957.12"/>
    <s v="BDT"/>
    <s v="EGM2"/>
    <n v="1081919.52"/>
    <s v="CM ADV Adj-424130862135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7"/>
    <d v="2019-12-15T00:00:00"/>
    <d v="2019-12-15T00:00:00"/>
    <s v="DZ"/>
    <s v="USD"/>
    <n v="25763.05"/>
    <n v="25763.05"/>
    <s v="BDT"/>
    <s v="EGM2"/>
    <n v="2162808.0499999998"/>
    <s v="CM ADV Adj-424130886565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7"/>
    <d v="2019-12-15T00:00:00"/>
    <d v="2019-12-15T00:00:00"/>
    <s v="DZ"/>
    <s v="USD"/>
    <n v="13934.82"/>
    <n v="13934.82"/>
    <s v="BDT"/>
    <s v="EGM2"/>
    <n v="1168434.6599999999"/>
    <s v="CM ADV Adj-424130869735"/>
    <s v="0000005010"/>
    <s v="5289,288,318"/>
    <s v=""/>
    <s v=""/>
    <s v="0"/>
    <s v="424130893897"/>
    <s v=""/>
    <s v=""/>
    <s v=""/>
    <s v=""/>
    <s v=""/>
    <x v="0"/>
    <m/>
    <s v=""/>
    <d v="2019-12-15T00:00:00"/>
    <s v=""/>
    <s v="1909000327"/>
  </r>
  <r>
    <s v="1909000328"/>
    <d v="2019-12-17T00:00:00"/>
    <d v="2019-12-17T00:00:00"/>
    <s v="DZ"/>
    <s v="USD"/>
    <n v="3195.19"/>
    <n v="3195.19"/>
    <s v="BDT"/>
    <s v="EGM2"/>
    <n v="267916.68"/>
    <s v="CM ADV Adj-424130880776"/>
    <s v="0000005010"/>
    <s v="E25372VF19US0500"/>
    <s v=""/>
    <s v=""/>
    <s v="0"/>
    <s v="424130894413"/>
    <s v=""/>
    <s v=""/>
    <s v=""/>
    <s v=""/>
    <s v=""/>
    <x v="0"/>
    <m/>
    <s v=""/>
    <d v="2019-12-17T00:00:00"/>
    <s v=""/>
    <s v="1909000328"/>
  </r>
  <r>
    <s v="1909000328"/>
    <d v="2019-12-17T00:00:00"/>
    <d v="2019-12-17T00:00:00"/>
    <s v="DZ"/>
    <s v="USD"/>
    <n v="15756.62"/>
    <n v="15756.62"/>
    <s v="BDT"/>
    <s v="EGM2"/>
    <n v="1322768.25"/>
    <s v="CM ADV Adj-424130886565"/>
    <s v="0000005010"/>
    <s v="E25372VF19US0500"/>
    <s v=""/>
    <s v=""/>
    <s v="0"/>
    <s v="424130894413"/>
    <s v=""/>
    <s v=""/>
    <s v=""/>
    <s v=""/>
    <s v=""/>
    <x v="0"/>
    <m/>
    <s v=""/>
    <d v="2019-12-17T00:00:00"/>
    <s v=""/>
    <s v="1909000328"/>
  </r>
  <r>
    <s v="1909000329"/>
    <d v="2019-12-17T00:00:00"/>
    <d v="2019-12-17T00:00:00"/>
    <s v="DZ"/>
    <s v="USD"/>
    <n v="3983.28"/>
    <n v="3983.28"/>
    <s v="BDT"/>
    <s v="EGM2"/>
    <n v="333998.03000000003"/>
    <s v="CM ADV Adj-424130880776"/>
    <s v="0000005010"/>
    <s v="5350,5372,5373"/>
    <s v=""/>
    <s v=""/>
    <s v="0"/>
    <s v="424130893860"/>
    <s v=""/>
    <s v=""/>
    <s v=""/>
    <s v=""/>
    <s v=""/>
    <x v="0"/>
    <m/>
    <s v=""/>
    <d v="2019-12-17T00:00:00"/>
    <s v=""/>
    <s v="1909000329"/>
  </r>
  <r>
    <s v="1909000329"/>
    <d v="2019-12-17T00:00:00"/>
    <d v="2019-12-17T00:00:00"/>
    <s v="DZ"/>
    <s v="USD"/>
    <n v="9752.4599999999991"/>
    <n v="9752.4599999999991"/>
    <s v="BDT"/>
    <s v="EGM2"/>
    <n v="818719.02"/>
    <s v="CM ADV Adj-424130886565"/>
    <s v="0000005010"/>
    <s v="5350,5372,5373"/>
    <s v=""/>
    <s v=""/>
    <s v="0"/>
    <s v="424130893860"/>
    <s v=""/>
    <s v=""/>
    <s v=""/>
    <s v=""/>
    <s v=""/>
    <x v="0"/>
    <m/>
    <s v=""/>
    <d v="2019-12-17T00:00:00"/>
    <s v=""/>
    <s v="1909000329"/>
  </r>
  <r>
    <s v="1909000329"/>
    <d v="2019-12-17T00:00:00"/>
    <d v="2019-12-17T00:00:00"/>
    <s v="DZ"/>
    <s v="USD"/>
    <n v="934.42"/>
    <n v="934.42"/>
    <s v="BDT"/>
    <s v="EGM2"/>
    <n v="78351.12"/>
    <s v="CM ADV Adj-424130869735"/>
    <s v="0000005010"/>
    <s v="5350,5372,5373"/>
    <s v=""/>
    <s v=""/>
    <s v="0"/>
    <s v="424130893860"/>
    <s v=""/>
    <s v=""/>
    <s v=""/>
    <s v=""/>
    <s v=""/>
    <x v="0"/>
    <m/>
    <s v=""/>
    <d v="2019-12-17T00:00:00"/>
    <s v=""/>
    <s v="1909000329"/>
  </r>
  <r>
    <s v="1909000330"/>
    <d v="2019-12-17T00:00:00"/>
    <d v="2019-12-17T00:00:00"/>
    <s v="DZ"/>
    <s v="USD"/>
    <n v="8824.89"/>
    <n v="8824.89"/>
    <s v="BDT"/>
    <s v="EGM1"/>
    <n v="736878.32"/>
    <s v="CM ADV Adj-424130862144"/>
    <s v="0000005010"/>
    <s v="E4519DC19US1201"/>
    <s v=""/>
    <s v=""/>
    <s v="0"/>
    <s v="424130894422"/>
    <s v=""/>
    <s v=""/>
    <s v=""/>
    <s v=""/>
    <s v=""/>
    <x v="0"/>
    <m/>
    <s v=""/>
    <d v="2019-12-17T00:00:00"/>
    <s v=""/>
    <s v="1909000330"/>
  </r>
  <r>
    <s v="1909000330"/>
    <d v="2019-12-17T00:00:00"/>
    <d v="2019-12-17T00:00:00"/>
    <s v="DZ"/>
    <s v="USD"/>
    <n v="2199.23"/>
    <n v="2199.23"/>
    <s v="BDT"/>
    <s v="EGM1"/>
    <n v="184405.44"/>
    <s v="CM ADV Adj-424130880767"/>
    <s v="0000005010"/>
    <s v="E4519DC19US1201"/>
    <s v=""/>
    <s v=""/>
    <s v="0"/>
    <s v="424130894422"/>
    <s v=""/>
    <s v=""/>
    <s v=""/>
    <s v=""/>
    <s v=""/>
    <x v="0"/>
    <m/>
    <s v=""/>
    <d v="2019-12-17T00:00:00"/>
    <s v=""/>
    <s v="1909000330"/>
  </r>
  <r>
    <s v="1909000331"/>
    <d v="2019-12-17T00:00:00"/>
    <d v="2019-12-17T00:00:00"/>
    <s v="DZ"/>
    <s v="USD"/>
    <n v="32139.59"/>
    <n v="32139.59"/>
    <s v="BDT"/>
    <s v="EGM1"/>
    <n v="2683655.77"/>
    <s v="CM ADV Adj-424130862144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1"/>
    <d v="2019-12-17T00:00:00"/>
    <d v="2019-12-17T00:00:00"/>
    <s v="DZ"/>
    <s v="USD"/>
    <n v="14859.55"/>
    <n v="14859.55"/>
    <s v="BDT"/>
    <s v="EGM1"/>
    <n v="1245973.27"/>
    <s v="CM ADV Adj-424130869726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1"/>
    <d v="2019-12-17T00:00:00"/>
    <d v="2019-12-17T00:00:00"/>
    <s v="DZ"/>
    <s v="USD"/>
    <n v="7496.66"/>
    <n v="7496.66"/>
    <s v="BDT"/>
    <s v="EGM1"/>
    <n v="628594.93999999994"/>
    <s v="CM ADV Adj-424130880767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1"/>
    <d v="2019-12-17T00:00:00"/>
    <d v="2019-12-17T00:00:00"/>
    <s v="DZ"/>
    <s v="USD"/>
    <n v="18955.86"/>
    <n v="18955.86"/>
    <s v="BDT"/>
    <s v="EGM1"/>
    <n v="1591344.45"/>
    <s v="CM ADV Adj-424130887467"/>
    <s v="0000005010"/>
    <s v="E5333TS19CE1174"/>
    <s v=""/>
    <s v=""/>
    <s v="0"/>
    <s v="424130894431"/>
    <s v=""/>
    <s v=""/>
    <s v=""/>
    <s v=""/>
    <s v=""/>
    <x v="0"/>
    <m/>
    <s v=""/>
    <d v="2019-12-17T00:00:00"/>
    <s v=""/>
    <s v="1909000331"/>
  </r>
  <r>
    <s v="1909000332"/>
    <d v="2019-12-17T00:00:00"/>
    <d v="2019-12-17T00:00:00"/>
    <s v="DZ"/>
    <s v="USD"/>
    <n v="5979.91"/>
    <n v="5979.91"/>
    <s v="BDT"/>
    <s v="EGM1"/>
    <n v="501415.45"/>
    <s v="CM ADV Adj-424130869726"/>
    <s v="0000005010"/>
    <s v="05333,5294"/>
    <s v=""/>
    <s v=""/>
    <s v="0"/>
    <s v="424130893888"/>
    <s v=""/>
    <s v=""/>
    <s v=""/>
    <s v=""/>
    <s v=""/>
    <x v="0"/>
    <m/>
    <s v=""/>
    <d v="2019-12-17T00:00:00"/>
    <s v=""/>
    <s v="1909000332"/>
  </r>
  <r>
    <s v="1909000332"/>
    <d v="2019-12-17T00:00:00"/>
    <d v="2019-12-17T00:00:00"/>
    <s v="DZ"/>
    <s v="USD"/>
    <n v="28641.55"/>
    <n v="28641.55"/>
    <s v="BDT"/>
    <s v="EGM1"/>
    <n v="2401593.9700000002"/>
    <s v="CM ADV Adj-424130880767"/>
    <s v="0000005010"/>
    <s v="05333,5294"/>
    <s v=""/>
    <s v=""/>
    <s v="0"/>
    <s v="424130893888"/>
    <s v=""/>
    <s v=""/>
    <s v=""/>
    <s v=""/>
    <s v=""/>
    <x v="0"/>
    <m/>
    <s v=""/>
    <d v="2019-12-17T00:00:00"/>
    <s v=""/>
    <s v="1909000332"/>
  </r>
  <r>
    <s v="1909000332"/>
    <d v="2019-12-17T00:00:00"/>
    <d v="2019-12-17T00:00:00"/>
    <s v="DZ"/>
    <s v="USD"/>
    <n v="18528.66"/>
    <n v="18528.66"/>
    <s v="BDT"/>
    <s v="EGM1"/>
    <n v="1555481.01"/>
    <s v="CM ADV Adj-424130887467"/>
    <s v="0000005010"/>
    <s v="05333,5294"/>
    <s v=""/>
    <s v=""/>
    <s v="0"/>
    <s v="424130893888"/>
    <s v=""/>
    <s v=""/>
    <s v=""/>
    <s v=""/>
    <s v=""/>
    <x v="0"/>
    <m/>
    <s v=""/>
    <d v="2019-12-17T00:00:00"/>
    <s v=""/>
    <s v="1909000332"/>
  </r>
  <r>
    <s v="1909000333"/>
    <d v="2019-12-17T00:00:00"/>
    <d v="2019-12-17T00:00:00"/>
    <s v="DZ"/>
    <s v="USD"/>
    <n v="3560.91"/>
    <n v="3560.91"/>
    <s v="BDT"/>
    <s v="EGM1"/>
    <n v="298582.3"/>
    <s v="CM ADV Adj-424130869726"/>
    <s v="0000005010"/>
    <s v="5479,472,480,380"/>
    <s v=""/>
    <s v=""/>
    <s v="0"/>
    <s v="424130893879"/>
    <s v=""/>
    <s v=""/>
    <s v=""/>
    <s v=""/>
    <s v=""/>
    <x v="0"/>
    <m/>
    <s v=""/>
    <d v="2019-12-17T00:00:00"/>
    <s v=""/>
    <s v="1909000333"/>
  </r>
  <r>
    <s v="1909000333"/>
    <d v="2019-12-17T00:00:00"/>
    <d v="2019-12-17T00:00:00"/>
    <s v="DZ"/>
    <s v="USD"/>
    <n v="34453.08"/>
    <n v="34453.08"/>
    <s v="BDT"/>
    <s v="EGM1"/>
    <n v="2888890.76"/>
    <s v="CM ADV Adj-424130880767"/>
    <s v="0000005010"/>
    <s v="5479,472,480,380"/>
    <s v=""/>
    <s v=""/>
    <s v="0"/>
    <s v="424130893879"/>
    <s v=""/>
    <s v=""/>
    <s v=""/>
    <s v=""/>
    <s v=""/>
    <x v="0"/>
    <m/>
    <s v=""/>
    <d v="2019-12-17T00:00:00"/>
    <s v=""/>
    <s v="1909000333"/>
  </r>
  <r>
    <s v="1909000333"/>
    <d v="2019-12-17T00:00:00"/>
    <d v="2019-12-17T00:00:00"/>
    <s v="DZ"/>
    <s v="USD"/>
    <n v="22138.07"/>
    <n v="22138.07"/>
    <s v="BDT"/>
    <s v="EGM1"/>
    <n v="1858490.98"/>
    <s v="CM ADV Adj-424130887467"/>
    <s v="0000005010"/>
    <s v="5479,472,480,380"/>
    <s v=""/>
    <s v=""/>
    <s v="0"/>
    <s v="424130893879"/>
    <s v=""/>
    <s v=""/>
    <s v=""/>
    <s v=""/>
    <s v=""/>
    <x v="0"/>
    <m/>
    <s v=""/>
    <d v="2019-12-17T00:00:00"/>
    <s v=""/>
    <s v="1909000333"/>
  </r>
  <r>
    <s v="1909000334"/>
    <d v="2019-12-19T00:00:00"/>
    <d v="2019-12-19T00:00:00"/>
    <s v="DZ"/>
    <s v="USD"/>
    <n v="-230993.58"/>
    <n v="-230993.58"/>
    <s v="BDT"/>
    <s v="EGM2"/>
    <n v="-19391911.039999999"/>
    <s v="CM ADV REF-424130896901"/>
    <s v="0000005010"/>
    <s v="EG2-05318"/>
    <s v=""/>
    <s v=""/>
    <s v="0"/>
    <s v="424130896901"/>
    <s v=""/>
    <s v=""/>
    <s v=""/>
    <s v=""/>
    <s v=""/>
    <x v="0"/>
    <m/>
    <s v=""/>
    <d v="2019-12-19T00:00:00"/>
    <s v=""/>
    <s v="1909000334"/>
  </r>
  <r>
    <s v="1909000335"/>
    <d v="2019-12-19T00:00:00"/>
    <d v="2019-12-19T00:00:00"/>
    <s v="DZ"/>
    <s v="USD"/>
    <n v="-343380.78"/>
    <n v="-343380.78"/>
    <s v="BDT"/>
    <s v="EGM1"/>
    <n v="-28826816.489999998"/>
    <s v="CM ADV REF-424130896894"/>
    <s v="0000005010"/>
    <s v="EGA-05291"/>
    <s v=""/>
    <s v=""/>
    <s v="0"/>
    <s v="424130896894"/>
    <s v=""/>
    <s v=""/>
    <s v=""/>
    <s v=""/>
    <s v=""/>
    <x v="0"/>
    <m/>
    <s v=""/>
    <d v="2019-12-19T00:00:00"/>
    <s v=""/>
    <s v="1909000335"/>
  </r>
  <r>
    <s v="1909000336"/>
    <d v="2019-12-24T00:00:00"/>
    <d v="2019-12-24T00:00:00"/>
    <s v="DZ"/>
    <s v="USD"/>
    <n v="-355046"/>
    <n v="-355046"/>
    <s v="BDT"/>
    <s v="EGM1"/>
    <n v="-29806111.699999999"/>
    <s v="CM ADV REF-424130897759"/>
    <s v="0000001010"/>
    <s v="EGA05416"/>
    <s v=""/>
    <s v=""/>
    <s v="0"/>
    <s v="424130897759"/>
    <s v=""/>
    <s v=""/>
    <s v=""/>
    <s v=""/>
    <s v=""/>
    <x v="0"/>
    <d v="2019-12-24T00:00:00"/>
    <s v="1903005536"/>
    <d v="2019-12-24T00:00:00"/>
    <s v=""/>
    <s v="1909000336"/>
  </r>
  <r>
    <s v="1909000337"/>
    <d v="2019-12-22T00:00:00"/>
    <d v="2019-12-22T00:00:00"/>
    <s v="DZ"/>
    <s v="USD"/>
    <n v="-355046"/>
    <n v="-355046"/>
    <s v="BDT"/>
    <s v="EGM1"/>
    <n v="-29806111.699999999"/>
    <s v="CM ADV REF-424130897759"/>
    <s v="0000001010"/>
    <s v="EGA05416"/>
    <s v=""/>
    <s v=""/>
    <s v="0"/>
    <s v="424130897759"/>
    <s v=""/>
    <s v=""/>
    <s v=""/>
    <s v=""/>
    <s v=""/>
    <x v="0"/>
    <m/>
    <s v=""/>
    <d v="2019-12-22T00:00:00"/>
    <s v=""/>
    <s v="1909000337"/>
  </r>
  <r>
    <s v="1909000338"/>
    <d v="2019-12-22T00:00:00"/>
    <d v="2019-12-22T00:00:00"/>
    <s v="DZ"/>
    <s v="USD"/>
    <n v="9018"/>
    <n v="9018"/>
    <s v="BDT"/>
    <s v="EGM1"/>
    <n v="753003"/>
    <s v="CM ADV Adj-424130804207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81060"/>
    <n v="81060"/>
    <s v="BDT"/>
    <s v="EGM1"/>
    <n v="6768510"/>
    <s v="CM ADV Adj-424130869147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36033"/>
    <n v="36033"/>
    <s v="BDT"/>
    <s v="EGM1"/>
    <n v="3024970.35"/>
    <s v="CM ADV Adj-424130887458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6372"/>
    <n v="6372"/>
    <s v="BDT"/>
    <s v="EGM1"/>
    <n v="532062"/>
    <s v="CM ADV Adj-424130838243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8921"/>
    <n v="8921"/>
    <s v="BDT"/>
    <s v="EGM1"/>
    <n v="744903.5"/>
    <s v="CM ADV Adj-424130851922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14094"/>
    <n v="14094"/>
    <s v="BDT"/>
    <s v="EGM1"/>
    <n v="1176849"/>
    <s v="CM ADV Adj-424130814884"/>
    <s v="0000001010"/>
    <s v="E05431US19-1179"/>
    <s v=""/>
    <s v=""/>
    <s v="0"/>
    <s v="424130897820"/>
    <s v=""/>
    <s v=""/>
    <s v=""/>
    <s v=""/>
    <s v=""/>
    <x v="0"/>
    <d v="2020-06-30T00:00:00"/>
    <s v="1906000017"/>
    <d v="2019-12-22T00:00:00"/>
    <s v=""/>
    <s v="1909000338"/>
  </r>
  <r>
    <s v="1909000338"/>
    <d v="2019-12-22T00:00:00"/>
    <d v="2019-12-22T00:00:00"/>
    <s v="DZ"/>
    <s v="USD"/>
    <n v="122727"/>
    <n v="122727"/>
    <s v="BDT"/>
    <s v="EGM1"/>
    <n v="10247704.5"/>
    <s v="CM ADV Adj-424130854527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21050"/>
    <n v="21050"/>
    <s v="BDT"/>
    <s v="EGM1"/>
    <n v="1765042.5"/>
    <s v="CM ADV Adj-424130871205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8"/>
    <d v="2019-12-22T00:00:00"/>
    <d v="2019-12-22T00:00:00"/>
    <s v="DZ"/>
    <s v="USD"/>
    <n v="83127"/>
    <n v="83127"/>
    <s v="BDT"/>
    <s v="EGM1"/>
    <n v="6978511.6500000004"/>
    <s v="CM ADV Adj-424130889090"/>
    <s v="0000001010"/>
    <s v="E05431US19-1179"/>
    <s v=""/>
    <s v=""/>
    <s v="0"/>
    <s v="424130897820"/>
    <s v=""/>
    <s v=""/>
    <s v=""/>
    <s v=""/>
    <s v=""/>
    <x v="0"/>
    <m/>
    <s v=""/>
    <d v="2019-12-22T00:00:00"/>
    <s v=""/>
    <s v="1909000338"/>
  </r>
  <r>
    <s v="1909000339"/>
    <d v="2019-12-23T00:00:00"/>
    <d v="2019-12-23T00:00:00"/>
    <s v="DZ"/>
    <s v="USD"/>
    <n v="1842.62"/>
    <n v="1842.62"/>
    <s v="BDT"/>
    <s v="EGM1"/>
    <n v="154503.69"/>
    <s v="CM ADV Adj-424130869726"/>
    <s v="0000005010"/>
    <s v="35291"/>
    <s v=""/>
    <s v=""/>
    <s v="0"/>
    <s v="424130897367"/>
    <s v=""/>
    <s v=""/>
    <s v=""/>
    <s v=""/>
    <s v=""/>
    <x v="0"/>
    <m/>
    <s v=""/>
    <d v="2019-12-23T00:00:00"/>
    <s v=""/>
    <s v="1909000339"/>
  </r>
  <r>
    <s v="1909000339"/>
    <d v="2019-12-23T00:00:00"/>
    <d v="2019-12-23T00:00:00"/>
    <s v="DZ"/>
    <s v="USD"/>
    <n v="1270.47"/>
    <n v="1270.47"/>
    <s v="BDT"/>
    <s v="EGM1"/>
    <n v="106528.91"/>
    <s v="CM ADV Adj-424130880767"/>
    <s v="0000005010"/>
    <s v="35291"/>
    <s v=""/>
    <s v=""/>
    <s v="0"/>
    <s v="424130897367"/>
    <s v=""/>
    <s v=""/>
    <s v=""/>
    <s v=""/>
    <s v=""/>
    <x v="0"/>
    <m/>
    <s v=""/>
    <d v="2019-12-23T00:00:00"/>
    <s v=""/>
    <s v="1909000339"/>
  </r>
  <r>
    <s v="1909000339"/>
    <d v="2019-12-23T00:00:00"/>
    <d v="2019-12-23T00:00:00"/>
    <s v="DZ"/>
    <s v="USD"/>
    <n v="806.15"/>
    <n v="806.15"/>
    <s v="BDT"/>
    <s v="EGM1"/>
    <n v="67676.289999999994"/>
    <s v="CM ADV Adj-424130887467"/>
    <s v="0000005010"/>
    <s v="35291"/>
    <s v=""/>
    <s v=""/>
    <s v="0"/>
    <s v="424130897367"/>
    <s v=""/>
    <s v=""/>
    <s v=""/>
    <s v=""/>
    <s v=""/>
    <x v="0"/>
    <m/>
    <s v=""/>
    <d v="2019-12-23T00:00:00"/>
    <s v=""/>
    <s v="1909000339"/>
  </r>
  <r>
    <s v="1909000340"/>
    <d v="2019-12-23T00:00:00"/>
    <d v="2019-12-23T00:00:00"/>
    <s v="DZ"/>
    <s v="USD"/>
    <n v="274.67"/>
    <n v="274.67"/>
    <s v="BDT"/>
    <s v="EGM2"/>
    <n v="23031.08"/>
    <s v="CM ADV Adj-424130880776"/>
    <s v="0000005010"/>
    <s v="25370"/>
    <s v=""/>
    <s v=""/>
    <s v="0"/>
    <s v="424130897349"/>
    <s v=""/>
    <s v=""/>
    <s v=""/>
    <s v=""/>
    <s v=""/>
    <x v="0"/>
    <m/>
    <s v=""/>
    <d v="2019-12-23T00:00:00"/>
    <s v=""/>
    <s v="1909000340"/>
  </r>
  <r>
    <s v="1909000340"/>
    <d v="2019-12-23T00:00:00"/>
    <d v="2019-12-23T00:00:00"/>
    <s v="DZ"/>
    <s v="USD"/>
    <n v="3316.5"/>
    <n v="3316.5"/>
    <s v="BDT"/>
    <s v="EGM2"/>
    <n v="278420.18"/>
    <s v="CM ADV Adj-424130886565"/>
    <s v="0000005010"/>
    <s v="25370"/>
    <s v=""/>
    <s v=""/>
    <s v="0"/>
    <s v="424130897349"/>
    <s v=""/>
    <s v=""/>
    <s v=""/>
    <s v=""/>
    <s v=""/>
    <x v="0"/>
    <m/>
    <s v=""/>
    <d v="2019-12-23T00:00:00"/>
    <s v=""/>
    <s v="1909000340"/>
  </r>
  <r>
    <s v="1909000341"/>
    <d v="2019-12-24T00:00:00"/>
    <d v="2019-12-24T00:00:00"/>
    <s v="DZ"/>
    <s v="USD"/>
    <n v="68554.5"/>
    <n v="68554.5"/>
    <s v="BDT"/>
    <s v="EGM1"/>
    <n v="5724300.75"/>
    <s v="CM ADV Adj-424130853190"/>
    <s v="0000005010"/>
    <s v="05197"/>
    <s v=""/>
    <s v=""/>
    <s v="0"/>
    <s v="424130898357"/>
    <s v=""/>
    <s v=""/>
    <s v=""/>
    <s v=""/>
    <s v=""/>
    <x v="0"/>
    <m/>
    <s v=""/>
    <d v="2019-12-24T00:00:00"/>
    <s v=""/>
    <s v="1909000341"/>
  </r>
  <r>
    <s v="1909000341"/>
    <d v="2019-12-24T00:00:00"/>
    <d v="2019-12-24T00:00:00"/>
    <s v="DZ"/>
    <s v="USD"/>
    <n v="6252.26"/>
    <n v="6252.26"/>
    <s v="BDT"/>
    <s v="EGM1"/>
    <n v="522063.71"/>
    <s v="CM ADV Adj-424130838234"/>
    <s v="0000005010"/>
    <s v="05197"/>
    <s v=""/>
    <s v=""/>
    <s v="0"/>
    <s v="424130898357"/>
    <s v=""/>
    <s v=""/>
    <s v=""/>
    <s v=""/>
    <s v=""/>
    <x v="0"/>
    <m/>
    <s v=""/>
    <d v="2019-12-24T00:00:00"/>
    <s v=""/>
    <s v="1909000341"/>
  </r>
  <r>
    <s v="1909000341"/>
    <d v="2019-12-24T00:00:00"/>
    <d v="2019-12-24T00:00:00"/>
    <s v="DZ"/>
    <s v="USD"/>
    <n v="184.4"/>
    <n v="184.4"/>
    <s v="BDT"/>
    <s v="EGM1"/>
    <n v="15480.38"/>
    <s v="CM ADV Adj-424130896894"/>
    <s v="0000005010"/>
    <s v="05197"/>
    <s v=""/>
    <s v=""/>
    <s v="0"/>
    <s v="424130898357"/>
    <s v=""/>
    <s v=""/>
    <s v=""/>
    <s v=""/>
    <s v=""/>
    <x v="0"/>
    <m/>
    <s v=""/>
    <d v="2019-12-24T00:00:00"/>
    <s v=""/>
    <s v="1909000341"/>
  </r>
  <r>
    <s v="1909000342"/>
    <d v="2019-12-24T00:00:00"/>
    <d v="2019-12-24T00:00:00"/>
    <s v="DZ"/>
    <s v="USD"/>
    <n v="16098.17"/>
    <n v="16098.17"/>
    <s v="BDT"/>
    <s v="EGM2"/>
    <n v="1349831.55"/>
    <s v="CM ADV Adj-424130880776"/>
    <s v="0000005010"/>
    <s v="2537"/>
    <s v=""/>
    <s v=""/>
    <s v="0"/>
    <s v="424130898366"/>
    <s v=""/>
    <s v=""/>
    <s v=""/>
    <s v=""/>
    <s v=""/>
    <x v="0"/>
    <m/>
    <s v=""/>
    <d v="2019-12-24T00:00:00"/>
    <s v=""/>
    <s v="1909000342"/>
  </r>
  <r>
    <s v="1909000342"/>
    <d v="2019-12-24T00:00:00"/>
    <d v="2019-12-24T00:00:00"/>
    <s v="DZ"/>
    <s v="USD"/>
    <n v="3721.44"/>
    <n v="3721.44"/>
    <s v="BDT"/>
    <s v="EGM2"/>
    <n v="312414.89"/>
    <s v="CM ADV Adj-424130896901"/>
    <s v="0000005010"/>
    <s v="2537"/>
    <s v=""/>
    <s v=""/>
    <s v="0"/>
    <s v="424130898366"/>
    <s v=""/>
    <s v=""/>
    <s v=""/>
    <s v=""/>
    <s v=""/>
    <x v="0"/>
    <m/>
    <s v=""/>
    <d v="2019-12-24T00:00:00"/>
    <s v=""/>
    <s v="1909000342"/>
  </r>
  <r>
    <s v="1909000342"/>
    <d v="2019-12-24T00:00:00"/>
    <d v="2019-12-24T00:00:00"/>
    <s v="DZ"/>
    <s v="USD"/>
    <n v="12093.53"/>
    <n v="12093.53"/>
    <s v="BDT"/>
    <s v="EGM2"/>
    <n v="1015251.84"/>
    <s v="CM ADV Adj-424130886565"/>
    <s v="0000005010"/>
    <s v="2537"/>
    <s v=""/>
    <s v=""/>
    <s v="0"/>
    <s v="424130898366"/>
    <s v=""/>
    <s v=""/>
    <s v=""/>
    <s v=""/>
    <s v=""/>
    <x v="0"/>
    <m/>
    <s v=""/>
    <d v="2019-12-24T00:00:00"/>
    <s v=""/>
    <s v="1909000342"/>
  </r>
  <r>
    <s v="1909000343"/>
    <d v="2019-12-26T00:00:00"/>
    <d v="2019-12-26T00:00:00"/>
    <s v="DZ"/>
    <s v="USD"/>
    <n v="1774"/>
    <n v="1774"/>
    <s v="BDT"/>
    <s v="EGM1"/>
    <n v="148129"/>
    <s v="CM ADV Adj-424130869147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3"/>
    <d v="2019-12-26T00:00:00"/>
    <d v="2019-12-26T00:00:00"/>
    <s v="DZ"/>
    <s v="USD"/>
    <n v="28410"/>
    <n v="28410"/>
    <s v="BDT"/>
    <s v="EGM1"/>
    <n v="2372235"/>
    <s v="CM ADV Adj-424130854527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3"/>
    <d v="2019-12-26T00:00:00"/>
    <d v="2019-12-26T00:00:00"/>
    <s v="DZ"/>
    <s v="USD"/>
    <n v="304"/>
    <n v="304"/>
    <s v="BDT"/>
    <s v="EGM1"/>
    <n v="25490.400000000001"/>
    <s v="CM ADV Adj-424130871205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3"/>
    <d v="2019-12-26T00:00:00"/>
    <d v="2019-12-26T00:00:00"/>
    <s v="DZ"/>
    <s v="USD"/>
    <n v="2913"/>
    <n v="2913"/>
    <s v="BDT"/>
    <s v="EGM1"/>
    <n v="244546.35"/>
    <s v="CM ADV Adj-424130889090"/>
    <s v="0000001010"/>
    <s v="E3524PC19UK1116"/>
    <s v=""/>
    <s v=""/>
    <s v="0"/>
    <s v="424130899356"/>
    <s v=""/>
    <s v=""/>
    <s v=""/>
    <s v=""/>
    <s v=""/>
    <x v="0"/>
    <m/>
    <s v=""/>
    <d v="2019-12-26T00:00:00"/>
    <s v=""/>
    <s v="1909000343"/>
  </r>
  <r>
    <s v="1909000344"/>
    <d v="2019-12-26T00:00:00"/>
    <d v="2019-12-26T00:00:00"/>
    <s v="DZ"/>
    <s v="USD"/>
    <n v="4976"/>
    <n v="4976"/>
    <s v="BDT"/>
    <s v="EGM1"/>
    <n v="415496"/>
    <s v="CM ADV Adj-424130869147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4"/>
    <d v="2019-12-26T00:00:00"/>
    <d v="2019-12-26T00:00:00"/>
    <s v="DZ"/>
    <s v="USD"/>
    <n v="26330"/>
    <n v="26330"/>
    <s v="BDT"/>
    <s v="EGM1"/>
    <n v="2210403.5"/>
    <s v="CM ADV Adj-424130887458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4"/>
    <d v="2019-12-26T00:00:00"/>
    <d v="2019-12-26T00:00:00"/>
    <s v="DZ"/>
    <s v="USD"/>
    <n v="4594"/>
    <n v="4594"/>
    <s v="BDT"/>
    <s v="EGM1"/>
    <n v="385206.9"/>
    <s v="CM ADV Adj-424130871205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4"/>
    <d v="2019-12-26T00:00:00"/>
    <d v="2019-12-26T00:00:00"/>
    <s v="DZ"/>
    <s v="USD"/>
    <n v="23314"/>
    <n v="23314"/>
    <s v="BDT"/>
    <s v="EGM1"/>
    <n v="1957210.3"/>
    <s v="CM ADV Adj-424130889090"/>
    <s v="0000001010"/>
    <s v="E5132KH19US1173"/>
    <s v=""/>
    <s v=""/>
    <s v="0"/>
    <s v="424130899347"/>
    <s v=""/>
    <s v=""/>
    <s v=""/>
    <s v=""/>
    <s v=""/>
    <x v="0"/>
    <m/>
    <s v=""/>
    <d v="2019-12-26T00:00:00"/>
    <s v=""/>
    <s v="1909000344"/>
  </r>
  <r>
    <s v="1909000345"/>
    <d v="2019-12-26T00:00:00"/>
    <d v="2019-12-26T00:00:00"/>
    <s v="DZ"/>
    <s v="USD"/>
    <n v="207145"/>
    <n v="207145"/>
    <s v="BDT"/>
    <s v="EGM1"/>
    <n v="17296607.5"/>
    <s v="CM ADV Adj-424130869147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68112"/>
    <n v="68112"/>
    <s v="BDT"/>
    <s v="EGM1"/>
    <n v="5718002.4000000004"/>
    <s v="CM ADV Adj-424130887458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75230"/>
    <n v="75230"/>
    <s v="BDT"/>
    <s v="EGM1"/>
    <n v="6281705"/>
    <s v="CM ADV Adj-424130851922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43974"/>
    <n v="43974"/>
    <s v="BDT"/>
    <s v="EGM1"/>
    <n v="3671829"/>
    <s v="CM ADV Adj-424130854527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113829"/>
    <n v="113829"/>
    <s v="BDT"/>
    <s v="EGM1"/>
    <n v="9544561.6500000004"/>
    <s v="CM ADV Adj-424130871205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5"/>
    <d v="2019-12-26T00:00:00"/>
    <d v="2019-12-26T00:00:00"/>
    <s v="DZ"/>
    <s v="USD"/>
    <n v="51185"/>
    <n v="51185"/>
    <s v="BDT"/>
    <s v="EGM1"/>
    <n v="4296980.75"/>
    <s v="CM ADV Adj-424130889090"/>
    <s v="0000001010"/>
    <s v="E05281US19-1183"/>
    <s v=""/>
    <s v=""/>
    <s v="0"/>
    <s v="424130899365"/>
    <s v=""/>
    <s v=""/>
    <s v=""/>
    <s v=""/>
    <s v=""/>
    <x v="0"/>
    <m/>
    <s v=""/>
    <d v="2019-12-26T00:00:00"/>
    <s v=""/>
    <s v="1909000345"/>
  </r>
  <r>
    <s v="1909000346"/>
    <d v="2020-01-01T00:00:00"/>
    <d v="2020-01-01T00:00:00"/>
    <s v="DZ"/>
    <s v="USD"/>
    <n v="-900000"/>
    <n v="-900000"/>
    <s v="BDT"/>
    <s v="EGM1"/>
    <n v="-75555000"/>
    <s v="CM ADV REC-424130902609"/>
    <s v="0000001010"/>
    <s v="IT06591912300100"/>
    <s v=""/>
    <s v=""/>
    <s v="0"/>
    <s v="424130902609"/>
    <s v=""/>
    <s v=""/>
    <s v=""/>
    <s v=""/>
    <s v=""/>
    <x v="0"/>
    <m/>
    <s v=""/>
    <d v="2020-01-01T00:00:00"/>
    <s v=""/>
    <s v="1909000346"/>
  </r>
  <r>
    <s v="1909000347"/>
    <d v="2020-01-01T00:00:00"/>
    <d v="2020-01-01T00:00:00"/>
    <s v="DZ"/>
    <s v="USD"/>
    <n v="-895608"/>
    <n v="-895608"/>
    <s v="BDT"/>
    <s v="EGM1"/>
    <n v="-75186291.599999994"/>
    <s v="CM ADV REC-424130902618"/>
    <s v="0000001010"/>
    <s v="IT06591912300101"/>
    <s v=""/>
    <s v=""/>
    <s v="0"/>
    <s v="424130902618"/>
    <s v=""/>
    <s v=""/>
    <s v=""/>
    <s v=""/>
    <s v=""/>
    <x v="0"/>
    <m/>
    <s v=""/>
    <d v="2020-01-01T00:00:00"/>
    <s v=""/>
    <s v="1909000347"/>
  </r>
  <r>
    <s v="1909000348"/>
    <d v="2020-01-01T00:00:00"/>
    <d v="2020-01-01T00:00:00"/>
    <s v="DZ"/>
    <s v="USD"/>
    <n v="5854.78"/>
    <n v="5854.78"/>
    <s v="BDT"/>
    <s v="EGM1"/>
    <n v="490923.3"/>
    <s v="CM ADV ADJ-424130869726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8"/>
    <d v="2020-01-01T00:00:00"/>
    <d v="2020-01-01T00:00:00"/>
    <s v="DZ"/>
    <s v="USD"/>
    <n v="33017.94"/>
    <n v="33017.94"/>
    <s v="BDT"/>
    <s v="EGM1"/>
    <n v="2771856.06"/>
    <s v="CM ADV ADJ-424130896894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8"/>
    <d v="2020-01-01T00:00:00"/>
    <d v="2020-01-01T00:00:00"/>
    <s v="DZ"/>
    <s v="USD"/>
    <n v="6927.63"/>
    <n v="6927.63"/>
    <s v="BDT"/>
    <s v="EGM1"/>
    <n v="580881.78"/>
    <s v="CM ADV ADJ-424130880767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8"/>
    <d v="2020-01-01T00:00:00"/>
    <d v="2020-01-01T00:00:00"/>
    <s v="DZ"/>
    <s v="USD"/>
    <n v="28472.19"/>
    <n v="28472.19"/>
    <s v="BDT"/>
    <s v="EGM1"/>
    <n v="2390240.35"/>
    <s v="CM ADV ADJ-424130887467"/>
    <s v="0000005010"/>
    <s v="05327,05291"/>
    <s v=""/>
    <s v=""/>
    <s v="0"/>
    <s v="424130901673"/>
    <s v=""/>
    <s v=""/>
    <s v=""/>
    <s v=""/>
    <s v=""/>
    <x v="0"/>
    <m/>
    <s v=""/>
    <d v="2020-01-01T00:00:00"/>
    <s v=""/>
    <s v="1909000348"/>
  </r>
  <r>
    <s v="1909000349"/>
    <d v="2020-01-01T00:00:00"/>
    <d v="2020-01-01T00:00:00"/>
    <s v="DZ"/>
    <s v="USD"/>
    <n v="10111.94"/>
    <n v="10111.94"/>
    <s v="BDT"/>
    <s v="EGM1"/>
    <n v="848897.36"/>
    <s v="CM ADV ADJ-424130887467"/>
    <s v="0000005010"/>
    <s v="4519"/>
    <s v=""/>
    <s v=""/>
    <s v="0"/>
    <s v="424130901664"/>
    <s v=""/>
    <s v=""/>
    <s v=""/>
    <s v=""/>
    <s v=""/>
    <x v="0"/>
    <m/>
    <s v=""/>
    <d v="2020-01-01T00:00:00"/>
    <s v=""/>
    <s v="1909000349"/>
  </r>
  <r>
    <s v="1909000350"/>
    <d v="2020-01-01T00:00:00"/>
    <d v="2020-01-01T00:00:00"/>
    <s v="DZ"/>
    <s v="USD"/>
    <n v="8676.2900000000009"/>
    <n v="8676.2900000000009"/>
    <s v="BDT"/>
    <s v="EGM1"/>
    <n v="727506.92"/>
    <s v="CM ADV ADJ-424130869726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0"/>
    <d v="2020-01-01T00:00:00"/>
    <d v="2020-01-01T00:00:00"/>
    <s v="DZ"/>
    <s v="USD"/>
    <n v="13676.55"/>
    <n v="13676.55"/>
    <s v="BDT"/>
    <s v="EGM1"/>
    <n v="1148146.3700000001"/>
    <s v="CM ADV ADJ-424130896894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0"/>
    <d v="2020-01-01T00:00:00"/>
    <d v="2020-01-01T00:00:00"/>
    <s v="DZ"/>
    <s v="USD"/>
    <n v="8541.23"/>
    <n v="8541.23"/>
    <s v="BDT"/>
    <s v="EGM1"/>
    <n v="716182.14"/>
    <s v="CM ADV ADJ-424130880767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0"/>
    <d v="2020-01-01T00:00:00"/>
    <d v="2020-01-01T00:00:00"/>
    <s v="DZ"/>
    <s v="USD"/>
    <n v="14451.6"/>
    <n v="14451.6"/>
    <s v="BDT"/>
    <s v="EGM1"/>
    <n v="1213211.82"/>
    <s v="CM ADV ADJ-424130887467"/>
    <s v="0000005010"/>
    <s v="5294,5294"/>
    <s v=""/>
    <s v=""/>
    <s v="0"/>
    <s v="424130901682"/>
    <s v=""/>
    <s v=""/>
    <s v=""/>
    <s v=""/>
    <s v=""/>
    <x v="0"/>
    <m/>
    <s v=""/>
    <d v="2020-01-01T00:00:00"/>
    <s v=""/>
    <s v="1909000350"/>
  </r>
  <r>
    <s v="1909000351"/>
    <d v="2020-01-02T00:00:00"/>
    <d v="2020-01-02T00:00:00"/>
    <s v="DZ"/>
    <s v="USD"/>
    <n v="18856"/>
    <n v="18856"/>
    <s v="BDT"/>
    <s v="EGM1"/>
    <n v="1574476"/>
    <s v="CM ADV ADJ-424130804207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64455"/>
    <n v="64455"/>
    <s v="BDT"/>
    <s v="EGM1"/>
    <n v="5381992.5"/>
    <s v="CM ADV ADJ-424130869147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60264"/>
    <n v="60264"/>
    <s v="BDT"/>
    <s v="EGM1"/>
    <n v="5059162.8"/>
    <s v="CM ADV ADJ-424130887458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15018"/>
    <n v="15018"/>
    <s v="BDT"/>
    <s v="EGM1"/>
    <n v="1254003"/>
    <s v="CM ADV ADJ-424130851922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24986"/>
    <n v="24986"/>
    <s v="BDT"/>
    <s v="EGM1"/>
    <n v="2086331"/>
    <s v="CM ADV ADJ-424130854527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81088"/>
    <n v="81088"/>
    <s v="BDT"/>
    <s v="EGM1"/>
    <n v="6799228.7999999998"/>
    <s v="CM ADV ADJ-424130871205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47040"/>
    <n v="47040"/>
    <s v="BDT"/>
    <s v="EGM1"/>
    <n v="3949008"/>
    <s v="CM ADV ADJ-424130889090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1"/>
    <d v="2020-01-02T00:00:00"/>
    <d v="2020-01-02T00:00:00"/>
    <s v="DZ"/>
    <s v="USD"/>
    <n v="32868"/>
    <n v="32868"/>
    <s v="BDT"/>
    <s v="EGM1"/>
    <n v="2759268.6"/>
    <s v="CM ADV ADJ-424130902618"/>
    <s v="0000001010"/>
    <s v="IT06592001010449"/>
    <s v=""/>
    <s v=""/>
    <s v="0"/>
    <s v="424130902878"/>
    <s v=""/>
    <s v=""/>
    <s v=""/>
    <s v=""/>
    <s v=""/>
    <x v="0"/>
    <m/>
    <s v=""/>
    <d v="2020-01-02T00:00:00"/>
    <s v=""/>
    <s v="1909000351"/>
  </r>
  <r>
    <s v="1909000352"/>
    <d v="2020-01-06T00:00:00"/>
    <d v="2020-01-06T00:00:00"/>
    <s v="DZ"/>
    <s v="USD"/>
    <n v="-484350.04"/>
    <n v="-484350.04"/>
    <s v="BDT"/>
    <s v="EGM1"/>
    <n v="-40661185.859999999"/>
    <s v="CM ADV REC-424130904457"/>
    <s v="0000001010"/>
    <s v="EGA-05401"/>
    <s v=""/>
    <s v=""/>
    <s v="0"/>
    <s v="424130904457"/>
    <s v=""/>
    <s v=""/>
    <s v=""/>
    <s v=""/>
    <s v=""/>
    <x v="0"/>
    <d v="2020-01-06T00:00:00"/>
    <s v="1903005939"/>
    <d v="2020-01-06T00:00:00"/>
    <s v=""/>
    <s v="1909000352"/>
  </r>
  <r>
    <s v="1909000353"/>
    <d v="2020-01-06T00:00:00"/>
    <d v="2020-01-06T00:00:00"/>
    <s v="DZ"/>
    <s v="USD"/>
    <n v="-484350.04"/>
    <n v="-484350.04"/>
    <s v="BDT"/>
    <s v="EGM1"/>
    <n v="-40661185.859999999"/>
    <s v="CM ADV REC-424130904457"/>
    <s v="0000005010"/>
    <s v="EGA-05401"/>
    <s v=""/>
    <s v=""/>
    <s v="0"/>
    <s v="424130904457"/>
    <s v=""/>
    <s v=""/>
    <s v=""/>
    <s v=""/>
    <s v=""/>
    <x v="0"/>
    <m/>
    <s v=""/>
    <d v="2020-01-06T00:00:00"/>
    <s v=""/>
    <s v="1909000353"/>
  </r>
  <r>
    <s v="1909000354"/>
    <d v="2020-01-06T00:00:00"/>
    <d v="2020-01-06T00:00:00"/>
    <s v="DZ"/>
    <s v="USD"/>
    <n v="-189602.26"/>
    <n v="-189602.26"/>
    <s v="BDT"/>
    <s v="EGM2"/>
    <n v="-15917109.73"/>
    <s v="CM ADV REC-424130904466"/>
    <s v="0000005010"/>
    <s v="EG2-05289"/>
    <s v=""/>
    <s v=""/>
    <s v="0"/>
    <s v="424130904466"/>
    <s v=""/>
    <s v=""/>
    <s v=""/>
    <s v=""/>
    <s v=""/>
    <x v="0"/>
    <m/>
    <s v=""/>
    <d v="2020-01-06T00:00:00"/>
    <s v=""/>
    <s v="1909000354"/>
  </r>
  <r>
    <s v="1909000355"/>
    <d v="2020-01-06T00:00:00"/>
    <d v="2020-01-06T00:00:00"/>
    <s v="DZ"/>
    <s v="USD"/>
    <n v="12637"/>
    <n v="12637"/>
    <s v="BDT"/>
    <s v="EGM1"/>
    <n v="1055189.5"/>
    <s v="CM ADV ADJ-424130869147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2120"/>
    <n v="2120"/>
    <s v="BDT"/>
    <s v="EGM1"/>
    <n v="177974"/>
    <s v="CM ADV ADJ-424130887458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884"/>
    <n v="884"/>
    <s v="BDT"/>
    <s v="EGM1"/>
    <n v="73814"/>
    <s v="CM ADV ADJ-424130851922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1587"/>
    <n v="1587"/>
    <s v="BDT"/>
    <s v="EGM1"/>
    <n v="132514.5"/>
    <s v="CM ADV ADJ-424130854527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5138"/>
    <n v="5138"/>
    <s v="BDT"/>
    <s v="EGM1"/>
    <n v="430821.3"/>
    <s v="CM ADV ADJ-424130871205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3485"/>
    <n v="3485"/>
    <s v="BDT"/>
    <s v="EGM1"/>
    <n v="292565.75"/>
    <s v="CM ADV ADJ-424130889090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5"/>
    <d v="2020-01-06T00:00:00"/>
    <d v="2020-01-06T00:00:00"/>
    <s v="DZ"/>
    <s v="USD"/>
    <n v="4975"/>
    <n v="4975"/>
    <s v="BDT"/>
    <s v="EGM1"/>
    <n v="417651.25"/>
    <s v="CM ADV ADJ-424130902618"/>
    <s v="0000001010"/>
    <s v="E35245PC19UK1194"/>
    <s v=""/>
    <s v=""/>
    <s v="0"/>
    <s v="424130904484"/>
    <s v=""/>
    <s v=""/>
    <s v=""/>
    <s v=""/>
    <s v=""/>
    <x v="0"/>
    <m/>
    <s v=""/>
    <d v="2020-01-06T00:00:00"/>
    <s v=""/>
    <s v="1909000355"/>
  </r>
  <r>
    <s v="1909000356"/>
    <d v="2020-01-06T00:00:00"/>
    <d v="2020-01-06T00:00:00"/>
    <s v="DZ"/>
    <s v="USD"/>
    <n v="2128"/>
    <n v="2128"/>
    <s v="BDT"/>
    <s v="EGM1"/>
    <n v="178645.6"/>
    <s v="CM ADV ADJ-424130887458"/>
    <s v="0000001010"/>
    <s v="E5420SB19UK1241"/>
    <s v=""/>
    <s v=""/>
    <s v="0"/>
    <s v="424130904493"/>
    <s v=""/>
    <s v=""/>
    <s v=""/>
    <s v=""/>
    <s v=""/>
    <x v="0"/>
    <m/>
    <s v=""/>
    <d v="2020-01-06T00:00:00"/>
    <s v=""/>
    <s v="1909000356"/>
  </r>
  <r>
    <s v="1909000356"/>
    <d v="2020-01-06T00:00:00"/>
    <d v="2020-01-06T00:00:00"/>
    <s v="DZ"/>
    <s v="USD"/>
    <n v="30094"/>
    <n v="30094"/>
    <s v="BDT"/>
    <s v="EGM1"/>
    <n v="2526391.2999999998"/>
    <s v="CM ADV ADJ-424130902618"/>
    <s v="0000001010"/>
    <s v="E5420SB19UK1241"/>
    <s v=""/>
    <s v=""/>
    <s v="0"/>
    <s v="424130904493"/>
    <s v=""/>
    <s v=""/>
    <s v=""/>
    <s v=""/>
    <s v=""/>
    <x v="0"/>
    <m/>
    <s v=""/>
    <d v="2020-01-06T00:00:00"/>
    <s v=""/>
    <s v="1909000356"/>
  </r>
  <r>
    <s v="1909000356"/>
    <d v="2020-01-06T00:00:00"/>
    <d v="2020-01-06T00:00:00"/>
    <s v="DZ"/>
    <s v="USD"/>
    <n v="17545"/>
    <n v="17545"/>
    <s v="BDT"/>
    <s v="EGM1"/>
    <n v="1472902.75"/>
    <s v="CM ADV ADJ-424130897759"/>
    <s v="0000001010"/>
    <s v="E5420SB19UK1241"/>
    <s v=""/>
    <s v=""/>
    <s v="0"/>
    <s v="424130904493"/>
    <s v=""/>
    <s v=""/>
    <s v=""/>
    <s v=""/>
    <s v=""/>
    <x v="0"/>
    <m/>
    <s v=""/>
    <d v="2020-01-06T00:00:00"/>
    <s v=""/>
    <s v="1909000356"/>
  </r>
  <r>
    <s v="1909000357"/>
    <d v="2020-01-06T00:00:00"/>
    <d v="2020-01-06T00:00:00"/>
    <s v="DZ"/>
    <s v="USD"/>
    <n v="21149.63"/>
    <n v="21149.63"/>
    <s v="BDT"/>
    <s v="EGM1"/>
    <n v="1775511.44"/>
    <s v="CM ADV ADJ-424130904457"/>
    <s v="0000005010"/>
    <s v="E4536DC19US1258"/>
    <s v=""/>
    <s v=""/>
    <s v="0"/>
    <s v="424130904509"/>
    <s v=""/>
    <s v=""/>
    <s v=""/>
    <s v=""/>
    <s v=""/>
    <x v="0"/>
    <m/>
    <s v=""/>
    <d v="2020-01-06T00:00:00"/>
    <s v=""/>
    <s v="1909000357"/>
  </r>
  <r>
    <s v="1909000357"/>
    <d v="2020-01-06T00:00:00"/>
    <d v="2020-01-06T00:00:00"/>
    <s v="DZ"/>
    <s v="USD"/>
    <n v="350.04"/>
    <n v="350.04"/>
    <s v="BDT"/>
    <s v="EGM1"/>
    <n v="29350.85"/>
    <s v="CM ADV ADJ-424130869726"/>
    <s v="0000005010"/>
    <s v="E4536DC19US1258"/>
    <s v=""/>
    <s v=""/>
    <s v="0"/>
    <s v="424130904509"/>
    <s v=""/>
    <s v=""/>
    <s v=""/>
    <s v=""/>
    <s v=""/>
    <x v="0"/>
    <m/>
    <s v=""/>
    <d v="2020-01-06T00:00:00"/>
    <s v=""/>
    <s v="1909000357"/>
  </r>
  <r>
    <s v="1909000357"/>
    <d v="2020-01-06T00:00:00"/>
    <d v="2020-01-06T00:00:00"/>
    <s v="DZ"/>
    <s v="USD"/>
    <n v="6217"/>
    <n v="6217"/>
    <s v="BDT"/>
    <s v="EGM1"/>
    <n v="521917.15"/>
    <s v="CM ADV ADJ-424130896894"/>
    <s v="0000005010"/>
    <s v="E4536DC19US1258"/>
    <s v=""/>
    <s v=""/>
    <s v="0"/>
    <s v="424130904509"/>
    <s v=""/>
    <s v=""/>
    <s v=""/>
    <s v=""/>
    <s v=""/>
    <x v="0"/>
    <m/>
    <s v=""/>
    <d v="2020-01-06T00:00:00"/>
    <s v=""/>
    <s v="1909000357"/>
  </r>
  <r>
    <s v="1909000358"/>
    <d v="2020-01-06T00:00:00"/>
    <d v="2020-01-06T00:00:00"/>
    <s v="DZ"/>
    <s v="USD"/>
    <n v="271.24"/>
    <n v="271.24"/>
    <s v="BDT"/>
    <s v="EGM1"/>
    <n v="22770.6"/>
    <s v="CM ADV ADJ-424130904457"/>
    <s v="0000005010"/>
    <s v="E5294TS19UK1226"/>
    <s v=""/>
    <s v=""/>
    <s v="0"/>
    <s v="424130904518"/>
    <s v=""/>
    <s v=""/>
    <s v=""/>
    <s v=""/>
    <s v=""/>
    <x v="0"/>
    <m/>
    <s v=""/>
    <d v="2020-01-06T00:00:00"/>
    <s v=""/>
    <s v="1909000358"/>
  </r>
  <r>
    <s v="1909000358"/>
    <d v="2020-01-06T00:00:00"/>
    <d v="2020-01-06T00:00:00"/>
    <s v="DZ"/>
    <s v="USD"/>
    <n v="7868.59"/>
    <n v="7868.59"/>
    <s v="BDT"/>
    <s v="EGM1"/>
    <n v="660568.13"/>
    <s v="CM ADV ADJ-424130896894"/>
    <s v="0000005010"/>
    <s v="E5294TS19UK1226"/>
    <s v=""/>
    <s v=""/>
    <s v="0"/>
    <s v="424130904518"/>
    <s v=""/>
    <s v=""/>
    <s v=""/>
    <s v=""/>
    <s v=""/>
    <x v="0"/>
    <m/>
    <s v=""/>
    <d v="2020-01-06T00:00:00"/>
    <s v=""/>
    <s v="1909000358"/>
  </r>
  <r>
    <s v="1909000358"/>
    <d v="2020-01-06T00:00:00"/>
    <d v="2020-01-06T00:00:00"/>
    <s v="DZ"/>
    <s v="USD"/>
    <n v="6055.99"/>
    <n v="6055.99"/>
    <s v="BDT"/>
    <s v="EGM1"/>
    <n v="508400.36"/>
    <s v="CM ADV ADJ-424130887467"/>
    <s v="0000005010"/>
    <s v="E5294TS19UK1226"/>
    <s v=""/>
    <s v=""/>
    <s v="0"/>
    <s v="424130904518"/>
    <s v=""/>
    <s v=""/>
    <s v=""/>
    <s v=""/>
    <s v=""/>
    <x v="0"/>
    <m/>
    <s v=""/>
    <d v="2020-01-06T00:00:00"/>
    <s v=""/>
    <s v="1909000358"/>
  </r>
  <r>
    <s v="1909000359"/>
    <d v="2020-01-06T00:00:00"/>
    <d v="2020-01-06T00:00:00"/>
    <s v="DZ"/>
    <s v="USD"/>
    <n v="29221"/>
    <n v="29221"/>
    <s v="BDT"/>
    <s v="EGM2"/>
    <n v="2450180.85"/>
    <s v="CM ADV ADJ-424130880776"/>
    <s v="0000005010"/>
    <s v="E25320VF19US0505"/>
    <s v=""/>
    <s v=""/>
    <s v="0"/>
    <s v="424130904475"/>
    <s v=""/>
    <s v=""/>
    <s v=""/>
    <s v=""/>
    <s v=""/>
    <x v="0"/>
    <m/>
    <s v=""/>
    <d v="2020-01-06T00:00:00"/>
    <s v=""/>
    <s v="1909000359"/>
  </r>
  <r>
    <s v="1909000359"/>
    <d v="2020-01-06T00:00:00"/>
    <d v="2020-01-06T00:00:00"/>
    <s v="DZ"/>
    <s v="USD"/>
    <n v="15934"/>
    <n v="15934"/>
    <s v="BDT"/>
    <s v="EGM2"/>
    <n v="1337659.3"/>
    <s v="CM ADV ADJ-424130896901"/>
    <s v="0000005010"/>
    <s v="E25320VF19US0505"/>
    <s v=""/>
    <s v=""/>
    <s v="0"/>
    <s v="424130904475"/>
    <s v=""/>
    <s v=""/>
    <s v=""/>
    <s v=""/>
    <s v=""/>
    <x v="0"/>
    <m/>
    <s v=""/>
    <d v="2020-01-06T00:00:00"/>
    <s v=""/>
    <s v="1909000359"/>
  </r>
  <r>
    <s v="1909000359"/>
    <d v="2020-01-06T00:00:00"/>
    <d v="2020-01-06T00:00:00"/>
    <s v="DZ"/>
    <s v="USD"/>
    <n v="29694"/>
    <n v="29694"/>
    <s v="BDT"/>
    <s v="EGM2"/>
    <n v="2492811.2999999998"/>
    <s v="CM ADV ADJ-424130886565"/>
    <s v="0000005010"/>
    <s v="E25320VF19US0505"/>
    <s v=""/>
    <s v=""/>
    <s v="0"/>
    <s v="424130904475"/>
    <s v=""/>
    <s v=""/>
    <s v=""/>
    <s v=""/>
    <s v=""/>
    <x v="0"/>
    <m/>
    <s v=""/>
    <d v="2020-01-06T00:00:00"/>
    <s v=""/>
    <s v="1909000359"/>
  </r>
  <r>
    <s v="1909000360"/>
    <d v="2020-01-08T00:00:00"/>
    <d v="2020-01-08T00:00:00"/>
    <s v="DZ"/>
    <s v="USD"/>
    <n v="38360"/>
    <n v="38360"/>
    <s v="BDT"/>
    <s v="EGM1"/>
    <n v="3203060"/>
    <s v="CM ADV ADJ-424130869147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99322"/>
    <n v="99322"/>
    <s v="BDT"/>
    <s v="EGM1"/>
    <n v="8338081.9000000004"/>
    <s v="CM ADV ADJ-424130887458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106470"/>
    <n v="106470"/>
    <s v="BDT"/>
    <s v="EGM1"/>
    <n v="8927509.5"/>
    <s v="CM ADV ADJ-424130871205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68927"/>
    <n v="68927"/>
    <s v="BDT"/>
    <s v="EGM1"/>
    <n v="5786421.6500000004"/>
    <s v="CM ADV ADJ-424130889090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18087"/>
    <n v="18087"/>
    <s v="BDT"/>
    <s v="EGM1"/>
    <n v="1518403.65"/>
    <s v="CM ADV ADJ-424130902618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0"/>
    <d v="2020-01-08T00:00:00"/>
    <d v="2020-01-08T00:00:00"/>
    <s v="DZ"/>
    <s v="USD"/>
    <n v="41454"/>
    <n v="41454"/>
    <s v="BDT"/>
    <s v="EGM1"/>
    <n v="3480063.3"/>
    <s v="CM ADV ADJ-424130897759"/>
    <s v="0000001010"/>
    <s v="E05336US19-1212"/>
    <s v=""/>
    <s v=""/>
    <s v="0"/>
    <s v="424130906703"/>
    <s v=""/>
    <s v=""/>
    <s v=""/>
    <s v=""/>
    <s v=""/>
    <x v="0"/>
    <m/>
    <s v=""/>
    <d v="2020-01-08T00:00:00"/>
    <s v=""/>
    <s v="1909000360"/>
  </r>
  <r>
    <s v="1909000361"/>
    <d v="2020-01-08T00:00:00"/>
    <d v="2020-01-08T00:00:00"/>
    <s v="DZ"/>
    <s v="USD"/>
    <n v="18283.87"/>
    <n v="18283.87"/>
    <s v="BDT"/>
    <s v="EGM1"/>
    <n v="1534930.89"/>
    <s v="CM ADV ADJ-424130896894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1"/>
    <d v="2020-01-08T00:00:00"/>
    <d v="2020-01-08T00:00:00"/>
    <s v="DZ"/>
    <s v="USD"/>
    <n v="734.21"/>
    <n v="734.21"/>
    <s v="BDT"/>
    <s v="EGM1"/>
    <n v="61563.51"/>
    <s v="CM ADV ADJ-424130880767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1"/>
    <d v="2020-01-08T00:00:00"/>
    <d v="2020-01-08T00:00:00"/>
    <s v="DZ"/>
    <s v="USD"/>
    <n v="8663.57"/>
    <n v="8663.57"/>
    <s v="BDT"/>
    <s v="EGM1"/>
    <n v="727306.7"/>
    <s v="CM ADV ADJ-424130887467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1"/>
    <d v="2020-01-08T00:00:00"/>
    <d v="2020-01-08T00:00:00"/>
    <s v="DZ"/>
    <s v="USD"/>
    <n v="5637.22"/>
    <n v="5637.22"/>
    <s v="BDT"/>
    <s v="EGM2"/>
    <n v="473244.62"/>
    <s v="CM ADV ADJ-424130904466"/>
    <s v="0000005010"/>
    <s v="E55479AC19JF1243"/>
    <s v=""/>
    <s v=""/>
    <s v="0"/>
    <s v="424130905553"/>
    <s v=""/>
    <s v=""/>
    <s v=""/>
    <s v=""/>
    <s v=""/>
    <x v="0"/>
    <m/>
    <s v=""/>
    <d v="2020-01-08T00:00:00"/>
    <s v=""/>
    <s v="1909000361"/>
  </r>
  <r>
    <s v="1909000363"/>
    <d v="2019-12-31T00:00:00"/>
    <d v="2019-12-31T00:00:00"/>
    <s v="DZ"/>
    <s v="USD"/>
    <n v="-1795608"/>
    <n v="-1795608"/>
    <s v="BDT"/>
    <s v="EGM1"/>
    <n v="-149897355.84"/>
    <s v="FIT-CM ADV EDL-DEC-19"/>
    <s v="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9000363"/>
  </r>
  <r>
    <s v="1909000363"/>
    <d v="2019-12-31T00:00:00"/>
    <d v="2019-12-31T00:00:00"/>
    <s v="DZ"/>
    <s v="USD"/>
    <n v="494529"/>
    <n v="494529"/>
    <s v="BDT"/>
    <s v="EGM1"/>
    <n v="41283280.920000002"/>
    <s v="FIT-CM ADV EDL-DEC-19"/>
    <s v="0000001010"/>
    <s v="FIT-CM-EDL-DEC19"/>
    <s v=""/>
    <s v=""/>
    <s v="0"/>
    <s v="FIT-CMADV-EDL-DEC-19"/>
    <s v=""/>
    <s v=""/>
    <s v=""/>
    <s v=""/>
    <s v=""/>
    <x v="0"/>
    <d v="2020-01-01T00:00:00"/>
    <s v="1903007480"/>
    <d v="2019-12-31T00:00:00"/>
    <s v=""/>
    <s v="1909000363"/>
  </r>
  <r>
    <s v="1909000364"/>
    <d v="2020-01-09T00:00:00"/>
    <d v="2020-01-09T00:00:00"/>
    <s v="DZ"/>
    <s v="USD"/>
    <n v="15053.67"/>
    <n v="15053.67"/>
    <s v="BDT"/>
    <s v="EGM2"/>
    <n v="1262250.23"/>
    <s v="CM ADV ADJ-424130880776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4"/>
    <d v="2020-01-09T00:00:00"/>
    <d v="2020-01-09T00:00:00"/>
    <s v="DZ"/>
    <s v="USD"/>
    <n v="21976.43"/>
    <n v="21976.43"/>
    <s v="BDT"/>
    <s v="EGM2"/>
    <n v="1844921.3"/>
    <s v="CM ADV ADJ-424130896901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4"/>
    <d v="2020-01-09T00:00:00"/>
    <d v="2020-01-09T00:00:00"/>
    <s v="DZ"/>
    <s v="USD"/>
    <n v="17416.32"/>
    <n v="17416.32"/>
    <s v="BDT"/>
    <s v="EGM2"/>
    <n v="1462100.06"/>
    <s v="CM ADV ADJ-424130886565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4"/>
    <d v="2020-01-09T00:00:00"/>
    <d v="2020-01-09T00:00:00"/>
    <s v="DZ"/>
    <s v="USD"/>
    <n v="14785.36"/>
    <n v="14785.36"/>
    <s v="BDT"/>
    <s v="EGM2"/>
    <n v="1241230.97"/>
    <s v="CM ADV ADJ-424130904466"/>
    <s v="0000005010"/>
    <s v="E25372VF19US0507"/>
    <s v=""/>
    <s v=""/>
    <s v="0"/>
    <s v="424130907917"/>
    <s v=""/>
    <s v=""/>
    <s v=""/>
    <s v=""/>
    <s v=""/>
    <x v="0"/>
    <m/>
    <s v=""/>
    <d v="2020-01-09T00:00:00"/>
    <s v=""/>
    <s v="1909000364"/>
  </r>
  <r>
    <s v="1909000365"/>
    <d v="2019-12-31T00:00:00"/>
    <d v="2019-12-31T00:00:00"/>
    <s v="DZ"/>
    <s v="USD"/>
    <n v="129711.73"/>
    <n v="129711.73"/>
    <s v="BDT"/>
    <s v="EGM1"/>
    <n v="10889299.73"/>
    <s v="FIT-CM ADV DWC-DEC-19"/>
    <s v="0000005010"/>
    <s v="FIT-CMDWC-DEC-19"/>
    <s v=""/>
    <s v=""/>
    <s v="0"/>
    <s v="FIT-CM ADV DWC-DEC-19"/>
    <s v=""/>
    <s v=""/>
    <s v=""/>
    <s v=""/>
    <s v=""/>
    <x v="0"/>
    <d v="2020-01-01T00:00:00"/>
    <s v="1903007481"/>
    <d v="2019-12-31T00:00:00"/>
    <s v=""/>
    <s v="1909000365"/>
  </r>
  <r>
    <s v="1909000366"/>
    <d v="2020-01-09T00:00:00"/>
    <d v="2020-01-09T00:00:00"/>
    <s v="DZ"/>
    <s v="USD"/>
    <n v="21839.45"/>
    <n v="21839.45"/>
    <s v="BDT"/>
    <s v="EGM1"/>
    <n v="1833421.83"/>
    <s v="CM ADV ADJ-424130904457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6"/>
    <d v="2020-01-09T00:00:00"/>
    <d v="2020-01-09T00:00:00"/>
    <s v="DZ"/>
    <s v="USD"/>
    <n v="2059.39"/>
    <n v="2059.39"/>
    <s v="BDT"/>
    <s v="EGM1"/>
    <n v="172679.85"/>
    <s v="CM ADV ADJ-424130869726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6"/>
    <d v="2020-01-09T00:00:00"/>
    <d v="2020-01-09T00:00:00"/>
    <s v="DZ"/>
    <s v="USD"/>
    <n v="6631.81"/>
    <n v="6631.81"/>
    <s v="BDT"/>
    <s v="EGM1"/>
    <n v="556740.44999999995"/>
    <s v="CM ADV ADJ-424130896894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6"/>
    <d v="2020-01-09T00:00:00"/>
    <d v="2020-01-09T00:00:00"/>
    <s v="DZ"/>
    <s v="USD"/>
    <n v="11874.49"/>
    <n v="11874.49"/>
    <s v="BDT"/>
    <s v="EGM1"/>
    <n v="996863.44"/>
    <s v="CM ADV ADJ-424130887467"/>
    <s v="0000005010"/>
    <s v="E35402TC19US1253"/>
    <s v=""/>
    <s v=""/>
    <s v="0"/>
    <s v="424130907908"/>
    <s v=""/>
    <s v=""/>
    <s v=""/>
    <s v=""/>
    <s v=""/>
    <x v="0"/>
    <m/>
    <s v=""/>
    <d v="2020-01-09T00:00:00"/>
    <s v=""/>
    <s v="1909000366"/>
  </r>
  <r>
    <s v="1909000368"/>
    <d v="2020-01-09T00:00:00"/>
    <d v="2020-01-09T00:00:00"/>
    <s v="DZ"/>
    <s v="USD"/>
    <n v="5155"/>
    <n v="5155"/>
    <s v="BDT"/>
    <s v="EGM1"/>
    <n v="430442.5"/>
    <s v="CM ADV ADJ-424130869147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38287"/>
    <n v="38287"/>
    <s v="BDT"/>
    <s v="EGM1"/>
    <n v="3214193.65"/>
    <s v="CM ADV ADJ-424130887458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675"/>
    <n v="675"/>
    <s v="BDT"/>
    <s v="EGM1"/>
    <n v="56362.5"/>
    <s v="CM ADV ADJ-424130854527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65699"/>
    <n v="65699"/>
    <s v="BDT"/>
    <s v="EGM1"/>
    <n v="5508861.1500000004"/>
    <s v="CM ADV ADJ-424130871205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46936"/>
    <n v="46936"/>
    <s v="BDT"/>
    <s v="EGM1"/>
    <n v="3940277.2"/>
    <s v="CM ADV ADJ-424130889090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8715"/>
    <n v="8715"/>
    <s v="BDT"/>
    <s v="EGM1"/>
    <n v="731624.25"/>
    <s v="CM ADV ADJ-424130902618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8"/>
    <d v="2020-01-09T00:00:00"/>
    <d v="2020-01-09T00:00:00"/>
    <s v="DZ"/>
    <s v="USD"/>
    <n v="44898"/>
    <n v="44898"/>
    <s v="BDT"/>
    <s v="EGM1"/>
    <n v="3769187.1"/>
    <s v="CM ADV ADJ-424130897759"/>
    <s v="0000001010"/>
    <s v="E05376US19-1263"/>
    <s v=""/>
    <s v=""/>
    <s v="0"/>
    <s v="424130907891"/>
    <s v=""/>
    <s v=""/>
    <s v=""/>
    <s v=""/>
    <s v=""/>
    <x v="0"/>
    <m/>
    <s v=""/>
    <d v="2020-01-09T00:00:00"/>
    <s v=""/>
    <s v="1909000368"/>
  </r>
  <r>
    <s v="1909000369"/>
    <d v="2020-01-13T00:00:00"/>
    <d v="2020-01-13T00:00:00"/>
    <s v="DZ"/>
    <s v="USD"/>
    <n v="149004"/>
    <n v="149004"/>
    <s v="BDT"/>
    <s v="EGM1"/>
    <n v="12508885.800000001"/>
    <s v="CM ADV ADJ-424130887458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69"/>
    <d v="2020-01-13T00:00:00"/>
    <d v="2020-01-13T00:00:00"/>
    <s v="DZ"/>
    <s v="USD"/>
    <n v="137136"/>
    <n v="137136"/>
    <s v="BDT"/>
    <s v="EGM1"/>
    <n v="11498853.6"/>
    <s v="CM ADV ADJ-424130871205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69"/>
    <d v="2020-01-13T00:00:00"/>
    <d v="2020-01-13T00:00:00"/>
    <s v="DZ"/>
    <s v="USD"/>
    <n v="119360"/>
    <n v="119360"/>
    <s v="BDT"/>
    <s v="EGM1"/>
    <n v="10020272"/>
    <s v="CM ADV ADJ-424130889090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69"/>
    <d v="2020-01-13T00:00:00"/>
    <d v="2020-01-13T00:00:00"/>
    <s v="DZ"/>
    <s v="USD"/>
    <n v="18907"/>
    <n v="18907"/>
    <s v="BDT"/>
    <s v="EGM1"/>
    <n v="1587242.65"/>
    <s v="CM ADV ADJ-424130902618"/>
    <s v="0000001010"/>
    <s v="E053336US19-1296"/>
    <s v=""/>
    <s v=""/>
    <s v="0"/>
    <s v="424130908569"/>
    <s v=""/>
    <s v=""/>
    <s v=""/>
    <s v=""/>
    <s v=""/>
    <x v="0"/>
    <m/>
    <s v=""/>
    <d v="2020-01-13T00:00:00"/>
    <s v=""/>
    <s v="1909000369"/>
  </r>
  <r>
    <s v="1909000370"/>
    <d v="2020-01-14T00:00:00"/>
    <d v="2020-01-14T00:00:00"/>
    <s v="DZ"/>
    <s v="USD"/>
    <n v="108.87"/>
    <n v="108.87"/>
    <s v="BDT"/>
    <s v="EGM2"/>
    <n v="9139.64"/>
    <s v="CM ADV ADJ-424130896901"/>
    <s v="0000005010"/>
    <s v="E25372VF19US0511"/>
    <s v=""/>
    <s v=""/>
    <s v="0"/>
    <s v="424130910164"/>
    <s v=""/>
    <s v=""/>
    <s v=""/>
    <s v=""/>
    <s v=""/>
    <x v="0"/>
    <m/>
    <s v=""/>
    <d v="2020-01-14T00:00:00"/>
    <s v=""/>
    <s v="1909000370"/>
  </r>
  <r>
    <s v="1909000370"/>
    <d v="2020-01-14T00:00:00"/>
    <d v="2020-01-14T00:00:00"/>
    <s v="DZ"/>
    <s v="USD"/>
    <n v="204.45"/>
    <n v="204.45"/>
    <s v="BDT"/>
    <s v="EGM2"/>
    <n v="17163.580000000002"/>
    <s v="CM ADV ADJ-424130886565"/>
    <s v="0000005010"/>
    <s v="E25372VF19US0511"/>
    <s v=""/>
    <s v=""/>
    <s v="0"/>
    <s v="424130910164"/>
    <s v=""/>
    <s v=""/>
    <s v=""/>
    <s v=""/>
    <s v=""/>
    <x v="0"/>
    <m/>
    <s v=""/>
    <d v="2020-01-14T00:00:00"/>
    <s v=""/>
    <s v="1909000370"/>
  </r>
  <r>
    <s v="1909000370"/>
    <d v="2020-01-14T00:00:00"/>
    <d v="2020-01-14T00:00:00"/>
    <s v="DZ"/>
    <s v="USD"/>
    <n v="2178.67"/>
    <n v="2178.67"/>
    <s v="BDT"/>
    <s v="EGM2"/>
    <n v="182899.35"/>
    <s v="CM ADV ADJ-424130904466"/>
    <s v="0000005010"/>
    <s v="E25372VF19US0511"/>
    <s v=""/>
    <s v=""/>
    <s v="0"/>
    <s v="424130910164"/>
    <s v=""/>
    <s v=""/>
    <s v=""/>
    <s v=""/>
    <s v=""/>
    <x v="0"/>
    <m/>
    <s v=""/>
    <d v="2020-01-14T00:00:00"/>
    <s v=""/>
    <s v="1909000370"/>
  </r>
  <r>
    <s v="1909000371"/>
    <d v="2020-01-14T00:00:00"/>
    <d v="2020-01-14T00:00:00"/>
    <s v="DZ"/>
    <s v="USD"/>
    <n v="18567"/>
    <n v="18567"/>
    <s v="BDT"/>
    <s v="EGM1"/>
    <n v="1550344.5"/>
    <s v="CM ADV ADJ-424130869147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368"/>
    <n v="368"/>
    <s v="BDT"/>
    <s v="EGM1"/>
    <n v="30893.599999999999"/>
    <s v="CM ADV ADJ-424130887458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15540"/>
    <n v="15540"/>
    <s v="BDT"/>
    <s v="EGM1"/>
    <n v="1303029"/>
    <s v="CM ADV ADJ-424130871205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10009"/>
    <n v="10009"/>
    <s v="BDT"/>
    <s v="EGM1"/>
    <n v="840255.55"/>
    <s v="CM ADV ADJ-424130889090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1"/>
    <d v="2020-01-14T00:00:00"/>
    <d v="2020-01-14T00:00:00"/>
    <s v="DZ"/>
    <s v="USD"/>
    <n v="20474"/>
    <n v="20474"/>
    <s v="BDT"/>
    <s v="EGM1"/>
    <n v="1718792.3"/>
    <s v="CM ADV ADJ-424130902618"/>
    <s v="0000001010"/>
    <s v="E35286PC19UK1251"/>
    <s v=""/>
    <s v=""/>
    <s v="0"/>
    <s v="424130910119"/>
    <s v=""/>
    <s v=""/>
    <s v=""/>
    <s v=""/>
    <s v=""/>
    <x v="0"/>
    <m/>
    <s v=""/>
    <d v="2020-01-14T00:00:00"/>
    <s v=""/>
    <s v="1909000371"/>
  </r>
  <r>
    <s v="1909000372"/>
    <d v="2020-01-14T00:00:00"/>
    <d v="2020-01-14T00:00:00"/>
    <s v="DZ"/>
    <s v="USD"/>
    <n v="9749"/>
    <n v="9749"/>
    <s v="BDT"/>
    <s v="EGM1"/>
    <n v="818428.55"/>
    <s v="CM ADV ADJ-424130902618"/>
    <s v="0000001010"/>
    <s v="E5416KH19US1259"/>
    <s v=""/>
    <s v=""/>
    <s v="0"/>
    <s v="424130910155"/>
    <s v=""/>
    <s v=""/>
    <s v=""/>
    <s v=""/>
    <s v=""/>
    <x v="0"/>
    <m/>
    <s v=""/>
    <d v="2020-01-14T00:00:00"/>
    <s v=""/>
    <s v="1909000372"/>
  </r>
  <r>
    <s v="1909000374"/>
    <d v="2020-01-14T00:00:00"/>
    <d v="2020-01-14T00:00:00"/>
    <s v="DZ"/>
    <s v="USD"/>
    <n v="24088.83"/>
    <n v="24088.83"/>
    <s v="BDT"/>
    <s v="EGM1"/>
    <n v="2022257.28"/>
    <s v="CM ADV ADJ-424130904457"/>
    <s v="0000005010"/>
    <s v="E5294TS19US1256"/>
    <s v=""/>
    <s v=""/>
    <s v="0"/>
    <s v="424130910137"/>
    <s v=""/>
    <s v=""/>
    <s v=""/>
    <s v=""/>
    <s v=""/>
    <x v="0"/>
    <m/>
    <s v=""/>
    <d v="2020-01-14T00:00:00"/>
    <s v=""/>
    <s v="1909000374"/>
  </r>
  <r>
    <s v="1909000374"/>
    <d v="2020-01-14T00:00:00"/>
    <d v="2020-01-14T00:00:00"/>
    <s v="DZ"/>
    <s v="USD"/>
    <n v="985.96"/>
    <n v="985.96"/>
    <s v="BDT"/>
    <s v="EGM1"/>
    <n v="82771.34"/>
    <s v="CM ADV ADJ-424130896894"/>
    <s v="0000005010"/>
    <s v="E5294TS19US1256"/>
    <s v=""/>
    <s v=""/>
    <s v="0"/>
    <s v="424130910137"/>
    <s v=""/>
    <s v=""/>
    <s v=""/>
    <s v=""/>
    <s v=""/>
    <x v="0"/>
    <m/>
    <s v=""/>
    <d v="2020-01-14T00:00:00"/>
    <s v=""/>
    <s v="1909000374"/>
  </r>
  <r>
    <s v="1909000374"/>
    <d v="2020-01-14T00:00:00"/>
    <d v="2020-01-14T00:00:00"/>
    <s v="DZ"/>
    <s v="USD"/>
    <n v="154.12"/>
    <n v="154.12"/>
    <s v="BDT"/>
    <s v="EGM1"/>
    <n v="12938.37"/>
    <s v="CM ADV ADJ-424130887467"/>
    <s v="0000005010"/>
    <s v="E5294TS19US1256"/>
    <s v=""/>
    <s v=""/>
    <s v="0"/>
    <s v="424130910137"/>
    <s v=""/>
    <s v=""/>
    <s v=""/>
    <s v=""/>
    <s v=""/>
    <x v="0"/>
    <m/>
    <s v=""/>
    <d v="2020-01-14T00:00:00"/>
    <s v=""/>
    <s v="1909000374"/>
  </r>
  <r>
    <s v="1909000375"/>
    <d v="2020-01-14T00:00:00"/>
    <d v="2020-01-14T00:00:00"/>
    <s v="DZ"/>
    <s v="USD"/>
    <n v="14212"/>
    <n v="14212"/>
    <s v="BDT"/>
    <s v="EGM1"/>
    <n v="1186702"/>
    <s v="CM ADV ADJ-424130869147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6822"/>
    <n v="6822"/>
    <s v="BDT"/>
    <s v="EGM1"/>
    <n v="572706.9"/>
    <s v="CM ADV ADJ-424130887458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3225"/>
    <n v="3225"/>
    <s v="BDT"/>
    <s v="EGM1"/>
    <n v="269287.5"/>
    <s v="CM ADV ADJ-424130814884"/>
    <s v="0000001010"/>
    <s v="E05376US19-1264"/>
    <s v=""/>
    <s v=""/>
    <s v="0"/>
    <s v="424130910100"/>
    <s v=""/>
    <s v=""/>
    <s v=""/>
    <s v=""/>
    <s v=""/>
    <x v="0"/>
    <d v="2020-06-30T00:00:00"/>
    <s v="1906000017"/>
    <d v="2020-01-14T00:00:00"/>
    <s v=""/>
    <s v="1909000375"/>
  </r>
  <r>
    <s v="1909000375"/>
    <d v="2020-01-14T00:00:00"/>
    <d v="2020-01-14T00:00:00"/>
    <s v="DZ"/>
    <s v="USD"/>
    <n v="17332"/>
    <n v="17332"/>
    <s v="BDT"/>
    <s v="EGM1"/>
    <n v="1447222"/>
    <s v="CM ADV ADJ-424130854527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41526"/>
    <n v="41526"/>
    <s v="BDT"/>
    <s v="EGM1"/>
    <n v="3481955.1"/>
    <s v="CM ADV ADJ-424130871205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18020"/>
    <n v="18020"/>
    <s v="BDT"/>
    <s v="EGM1"/>
    <n v="1512779"/>
    <s v="CM ADV ADJ-424130889090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5"/>
    <d v="2020-01-14T00:00:00"/>
    <d v="2020-01-14T00:00:00"/>
    <s v="DZ"/>
    <s v="USD"/>
    <n v="786"/>
    <n v="786"/>
    <s v="BDT"/>
    <s v="EGM1"/>
    <n v="65984.7"/>
    <s v="CM ADV ADJ-424130897759"/>
    <s v="0000001010"/>
    <s v="E05376US19-1264"/>
    <s v=""/>
    <s v=""/>
    <s v="0"/>
    <s v="424130910100"/>
    <s v=""/>
    <s v=""/>
    <s v=""/>
    <s v=""/>
    <s v=""/>
    <x v="0"/>
    <m/>
    <s v=""/>
    <d v="2020-01-14T00:00:00"/>
    <s v=""/>
    <s v="1909000375"/>
  </r>
  <r>
    <s v="1909000376"/>
    <d v="2020-01-14T00:00:00"/>
    <d v="2020-01-14T00:00:00"/>
    <s v="DZ"/>
    <s v="USD"/>
    <n v="3133.2"/>
    <n v="3133.2"/>
    <s v="BDT"/>
    <s v="EGM1"/>
    <n v="263032.14"/>
    <s v="CM ADV ADJ-424130904457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6"/>
    <d v="2020-01-14T00:00:00"/>
    <d v="2020-01-14T00:00:00"/>
    <s v="DZ"/>
    <s v="USD"/>
    <n v="19556.259999999998"/>
    <n v="19556.259999999998"/>
    <s v="BDT"/>
    <s v="EGM1"/>
    <n v="1641748.03"/>
    <s v="CM ADV ADJ-424130896894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6"/>
    <d v="2020-01-14T00:00:00"/>
    <d v="2020-01-14T00:00:00"/>
    <s v="DZ"/>
    <s v="USD"/>
    <n v="1762.1"/>
    <n v="1762.1"/>
    <s v="BDT"/>
    <s v="EGM1"/>
    <n v="147752.09"/>
    <s v="CM ADV ADJ-424130880767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6"/>
    <d v="2020-01-14T00:00:00"/>
    <d v="2020-01-14T00:00:00"/>
    <s v="DZ"/>
    <s v="USD"/>
    <n v="7827.42"/>
    <n v="7827.42"/>
    <s v="BDT"/>
    <s v="EGM1"/>
    <n v="657111.91"/>
    <s v="CM ADV ADJ-424130887467"/>
    <s v="0000005010"/>
    <s v="E55479AC19CK1242"/>
    <s v=""/>
    <s v=""/>
    <s v="0"/>
    <s v="424130910146"/>
    <s v=""/>
    <s v=""/>
    <s v=""/>
    <s v=""/>
    <s v=""/>
    <x v="0"/>
    <m/>
    <s v=""/>
    <d v="2020-01-14T00:00:00"/>
    <s v=""/>
    <s v="1909000376"/>
  </r>
  <r>
    <s v="1909000377"/>
    <d v="2020-01-15T00:00:00"/>
    <d v="2020-01-15T00:00:00"/>
    <s v="DZ"/>
    <s v="USD"/>
    <n v="207.75"/>
    <n v="207.75"/>
    <s v="BDT"/>
    <s v="EGM2"/>
    <n v="17419.84"/>
    <s v="CM ADV ADJ-424130880776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7"/>
    <d v="2020-01-15T00:00:00"/>
    <d v="2020-01-15T00:00:00"/>
    <s v="DZ"/>
    <s v="USD"/>
    <n v="19468.73"/>
    <n v="19468.73"/>
    <s v="BDT"/>
    <s v="EGM2"/>
    <n v="1634399.88"/>
    <s v="CM ADV ADJ-424130896901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7"/>
    <d v="2020-01-15T00:00:00"/>
    <d v="2020-01-15T00:00:00"/>
    <s v="DZ"/>
    <s v="USD"/>
    <n v="16187.15"/>
    <n v="16187.15"/>
    <s v="BDT"/>
    <s v="EGM2"/>
    <n v="1358911.24"/>
    <s v="CM ADV ADJ-424130886565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7"/>
    <d v="2020-01-15T00:00:00"/>
    <d v="2020-01-15T00:00:00"/>
    <s v="DZ"/>
    <s v="USD"/>
    <n v="11.09"/>
    <n v="11.09"/>
    <s v="BDT"/>
    <s v="EGM2"/>
    <n v="929.9"/>
    <s v="CM ADV ADJ-424130869735"/>
    <s v="0000005010"/>
    <s v="E25307VF19US0504"/>
    <s v=""/>
    <s v=""/>
    <s v="0"/>
    <s v="424130910654"/>
    <s v=""/>
    <s v=""/>
    <s v=""/>
    <s v=""/>
    <s v=""/>
    <x v="0"/>
    <m/>
    <s v=""/>
    <d v="2020-01-15T00:00:00"/>
    <s v=""/>
    <s v="1909000377"/>
  </r>
  <r>
    <s v="1909000378"/>
    <d v="2020-01-15T00:00:00"/>
    <d v="2020-01-15T00:00:00"/>
    <s v="DZ"/>
    <s v="USD"/>
    <n v="9643.35"/>
    <n v="9643.35"/>
    <s v="BDT"/>
    <s v="EGM2"/>
    <n v="808594.9"/>
    <s v="CM ADV ADJ-424130880776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4671.72"/>
    <n v="4671.72"/>
    <s v="BDT"/>
    <s v="EGM2"/>
    <n v="392190.89"/>
    <s v="CM ADV ADJ-424130896901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701.73"/>
    <n v="701.73"/>
    <s v="BDT"/>
    <s v="EGM2"/>
    <n v="58910.23"/>
    <s v="CM ADV ADJ-424130886565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5829.31"/>
    <n v="5829.31"/>
    <s v="BDT"/>
    <s v="EGM2"/>
    <n v="488787.64"/>
    <s v="CM ADV ADJ-424130869735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8"/>
    <d v="2020-01-15T00:00:00"/>
    <d v="2020-01-15T00:00:00"/>
    <s v="DZ"/>
    <s v="USD"/>
    <n v="10801.47"/>
    <n v="10801.47"/>
    <s v="BDT"/>
    <s v="EGM2"/>
    <n v="906783.41"/>
    <s v="CM ADV ADJ-424130904466"/>
    <s v="0000005010"/>
    <s v="E25289AC19JF0514"/>
    <s v=""/>
    <s v=""/>
    <s v="0"/>
    <s v="424130910663"/>
    <s v=""/>
    <s v=""/>
    <s v=""/>
    <s v=""/>
    <s v=""/>
    <x v="0"/>
    <m/>
    <s v=""/>
    <d v="2020-01-15T00:00:00"/>
    <s v=""/>
    <s v="1909000378"/>
  </r>
  <r>
    <s v="1909000379"/>
    <d v="2020-01-15T00:00:00"/>
    <d v="2020-01-15T00:00:00"/>
    <s v="DZ"/>
    <s v="USD"/>
    <n v="18733.939999999999"/>
    <n v="18733.939999999999"/>
    <s v="BDT"/>
    <s v="EGM1"/>
    <n v="1572714.26"/>
    <s v="CM ADV ADJ-424130904457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7245.2"/>
    <n v="7245.2"/>
    <s v="BDT"/>
    <s v="EGM1"/>
    <n v="607510.02"/>
    <s v="CM ADV ADJ-424130869726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12555.61"/>
    <n v="12555.61"/>
    <s v="BDT"/>
    <s v="EGM1"/>
    <n v="1054043.46"/>
    <s v="CM ADV ADJ-424130896894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9913.44"/>
    <n v="9913.44"/>
    <s v="BDT"/>
    <s v="EGM1"/>
    <n v="831241.94"/>
    <s v="CM ADV ADJ-424130880767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79"/>
    <d v="2020-01-15T00:00:00"/>
    <d v="2020-01-15T00:00:00"/>
    <s v="DZ"/>
    <s v="USD"/>
    <n v="9434.8799999999992"/>
    <n v="9434.8799999999992"/>
    <s v="BDT"/>
    <s v="EGM1"/>
    <n v="792058.18"/>
    <s v="CM ADV ADJ-424130887467"/>
    <s v="0000005010"/>
    <s v="E5294TS19CE1255"/>
    <s v=""/>
    <s v=""/>
    <s v="0"/>
    <s v="424130910681"/>
    <s v=""/>
    <s v=""/>
    <s v=""/>
    <s v=""/>
    <s v=""/>
    <x v="0"/>
    <m/>
    <s v=""/>
    <d v="2020-01-15T00:00:00"/>
    <s v=""/>
    <s v="1909000379"/>
  </r>
  <r>
    <s v="1909000380"/>
    <d v="2020-01-15T00:00:00"/>
    <d v="2020-01-15T00:00:00"/>
    <s v="DZ"/>
    <s v="USD"/>
    <n v="4231.79"/>
    <n v="4231.79"/>
    <s v="BDT"/>
    <s v="EGM1"/>
    <n v="353354.47"/>
    <s v="CM ADV ADJ-424130853190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562"/>
    <n v="562"/>
    <s v="BDT"/>
    <s v="EGM1"/>
    <n v="46927"/>
    <s v="CM ADV ADJ-424130838234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23550.45"/>
    <n v="23550.45"/>
    <s v="BDT"/>
    <s v="EGM1"/>
    <n v="1974705.23"/>
    <s v="CM ADV ADJ-424130869726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495.38"/>
    <n v="495.38"/>
    <s v="BDT"/>
    <s v="EGM1"/>
    <n v="41587.15"/>
    <s v="CM ADV ADJ-424130896894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25528.22"/>
    <n v="25528.22"/>
    <s v="BDT"/>
    <s v="EGM1"/>
    <n v="2140541.25"/>
    <s v="CM ADV ADJ-424130880767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0"/>
    <d v="2020-01-15T00:00:00"/>
    <d v="2020-01-15T00:00:00"/>
    <s v="DZ"/>
    <s v="USD"/>
    <n v="6964.95"/>
    <n v="6964.95"/>
    <s v="BDT"/>
    <s v="EGM1"/>
    <n v="584707.55000000005"/>
    <s v="CM ADV ADJ-424130887467"/>
    <s v="0000005010"/>
    <s v="E45197D19US1277"/>
    <s v=""/>
    <s v=""/>
    <s v="0"/>
    <s v="424130910672"/>
    <s v=""/>
    <s v=""/>
    <s v=""/>
    <s v=""/>
    <s v=""/>
    <x v="0"/>
    <m/>
    <s v=""/>
    <d v="2020-01-15T00:00:00"/>
    <s v=""/>
    <s v="1909000380"/>
  </r>
  <r>
    <s v="1909000381"/>
    <d v="2020-01-15T00:00:00"/>
    <d v="2020-01-15T00:00:00"/>
    <s v="DZ"/>
    <s v="USD"/>
    <n v="3348"/>
    <n v="3348"/>
    <s v="BDT"/>
    <s v="EGM1"/>
    <n v="281064.59999999998"/>
    <s v="CM ADV ADJ-424130887458"/>
    <s v="0000001010"/>
    <s v="05459,05365,05"/>
    <s v=""/>
    <s v=""/>
    <s v="0"/>
    <s v="424130910690"/>
    <s v=""/>
    <s v=""/>
    <s v=""/>
    <s v=""/>
    <s v=""/>
    <x v="0"/>
    <m/>
    <s v=""/>
    <d v="2020-01-15T00:00:00"/>
    <s v=""/>
    <s v="1909000381"/>
  </r>
  <r>
    <s v="1909000381"/>
    <d v="2020-01-15T00:00:00"/>
    <d v="2020-01-15T00:00:00"/>
    <s v="DZ"/>
    <s v="USD"/>
    <n v="12039"/>
    <n v="12039"/>
    <s v="BDT"/>
    <s v="EGM1"/>
    <n v="1010674.05"/>
    <s v="CM ADV ADJ-424130902618"/>
    <s v="0000001010"/>
    <s v="05459,05365,05"/>
    <s v=""/>
    <s v=""/>
    <s v="0"/>
    <s v="424130910690"/>
    <s v=""/>
    <s v=""/>
    <s v=""/>
    <s v=""/>
    <s v=""/>
    <x v="0"/>
    <m/>
    <s v=""/>
    <d v="2020-01-15T00:00:00"/>
    <s v=""/>
    <s v="1909000381"/>
  </r>
  <r>
    <s v="1909000381"/>
    <d v="2020-01-15T00:00:00"/>
    <d v="2020-01-15T00:00:00"/>
    <s v="DZ"/>
    <s v="USD"/>
    <n v="6581"/>
    <n v="6581"/>
    <s v="BDT"/>
    <s v="EGM1"/>
    <n v="552474.94999999995"/>
    <s v="CM ADV ADJ-424130897759"/>
    <s v="0000001010"/>
    <s v="05459,05365,05"/>
    <s v=""/>
    <s v=""/>
    <s v="0"/>
    <s v="424130910690"/>
    <s v=""/>
    <s v=""/>
    <s v=""/>
    <s v=""/>
    <s v=""/>
    <x v="0"/>
    <m/>
    <s v=""/>
    <d v="2020-01-15T00:00:00"/>
    <s v=""/>
    <s v="1909000381"/>
  </r>
  <r>
    <s v="1909000382"/>
    <d v="2020-01-15T00:00:00"/>
    <d v="2020-01-15T00:00:00"/>
    <s v="DZ"/>
    <s v="USD"/>
    <n v="41895"/>
    <n v="41895"/>
    <s v="BDT"/>
    <s v="EGM1"/>
    <n v="3517085.25"/>
    <s v="CM ADV ADJ-424130902618"/>
    <s v="0000001010"/>
    <s v="05416,5419,5419"/>
    <s v=""/>
    <s v=""/>
    <s v="0"/>
    <s v="424130910645"/>
    <s v=""/>
    <s v=""/>
    <s v=""/>
    <s v=""/>
    <s v=""/>
    <x v="0"/>
    <m/>
    <s v=""/>
    <d v="2020-01-15T00:00:00"/>
    <s v=""/>
    <s v="1909000382"/>
  </r>
  <r>
    <s v="1909000382"/>
    <d v="2020-01-15T00:00:00"/>
    <d v="2020-01-15T00:00:00"/>
    <s v="DZ"/>
    <s v="USD"/>
    <n v="35329"/>
    <n v="35329"/>
    <s v="BDT"/>
    <s v="EGM1"/>
    <n v="2965869.55"/>
    <s v="CM ADV ADJ-424130897759"/>
    <s v="0000001010"/>
    <s v="05416,5419,5419"/>
    <s v=""/>
    <s v=""/>
    <s v="0"/>
    <s v="424130910645"/>
    <s v=""/>
    <s v=""/>
    <s v=""/>
    <s v=""/>
    <s v=""/>
    <x v="0"/>
    <m/>
    <s v=""/>
    <d v="2020-01-15T00:00:00"/>
    <s v=""/>
    <s v="1909000382"/>
  </r>
  <r>
    <s v="1909000383"/>
    <d v="2020-01-15T00:00:00"/>
    <d v="2020-01-15T00:00:00"/>
    <s v="DZ"/>
    <s v="USD"/>
    <n v="399"/>
    <n v="399"/>
    <s v="BDT"/>
    <s v="EGM1"/>
    <n v="33496.050000000003"/>
    <s v="CM ADV ADJ-424130902618"/>
    <s v="0000001010"/>
    <s v="E5420SB19UK1338"/>
    <s v=""/>
    <s v=""/>
    <s v="0"/>
    <s v="424130910636"/>
    <s v=""/>
    <s v=""/>
    <s v=""/>
    <s v=""/>
    <s v=""/>
    <x v="0"/>
    <m/>
    <s v=""/>
    <d v="2020-01-15T00:00:00"/>
    <s v=""/>
    <s v="1909000383"/>
  </r>
  <r>
    <s v="1909000383"/>
    <d v="2020-01-15T00:00:00"/>
    <d v="2020-01-15T00:00:00"/>
    <s v="DZ"/>
    <s v="USD"/>
    <n v="4975"/>
    <n v="4975"/>
    <s v="BDT"/>
    <s v="EGM1"/>
    <n v="417651.25"/>
    <s v="CM ADV ADJ-424130897759"/>
    <s v="0000001010"/>
    <s v="E5420SB19UK1338"/>
    <s v=""/>
    <s v=""/>
    <s v="0"/>
    <s v="424130910636"/>
    <s v=""/>
    <s v=""/>
    <s v=""/>
    <s v=""/>
    <s v=""/>
    <x v="0"/>
    <m/>
    <s v=""/>
    <d v="2020-01-15T00:00:00"/>
    <s v=""/>
    <s v="1909000383"/>
  </r>
  <r>
    <s v="1909000384"/>
    <d v="2020-01-16T00:00:00"/>
    <d v="2020-01-16T00:00:00"/>
    <s v="DZ"/>
    <s v="USD"/>
    <n v="-45325"/>
    <n v="-45325"/>
    <s v="BDT"/>
    <s v="EGM2"/>
    <n v="-3805033.75"/>
    <s v="CM ADV REC-424130911733"/>
    <s v="0000001010"/>
    <s v="EG2-05566"/>
    <s v=""/>
    <s v=""/>
    <s v="0"/>
    <s v="424130911733"/>
    <s v=""/>
    <s v=""/>
    <s v=""/>
    <s v=""/>
    <s v=""/>
    <x v="0"/>
    <m/>
    <s v=""/>
    <d v="2020-01-16T00:00:00"/>
    <s v=""/>
    <s v="1909000384"/>
  </r>
  <r>
    <s v="1909000385"/>
    <d v="2020-01-19T00:00:00"/>
    <d v="2020-01-19T00:00:00"/>
    <s v="DZ"/>
    <s v="USD"/>
    <n v="2797.72"/>
    <n v="2797.72"/>
    <s v="BDT"/>
    <s v="EGM2"/>
    <n v="234868.59"/>
    <s v="CM ADV ADJ-424130904466"/>
    <s v="0000005010"/>
    <s v="E25353VF19US0512"/>
    <s v=""/>
    <s v=""/>
    <s v="0"/>
    <s v="424130911779"/>
    <s v=""/>
    <s v=""/>
    <s v=""/>
    <s v=""/>
    <s v=""/>
    <x v="0"/>
    <m/>
    <s v=""/>
    <d v="2020-01-19T00:00:00"/>
    <s v=""/>
    <s v="1909000385"/>
  </r>
  <r>
    <s v="1909000386"/>
    <d v="2020-01-19T00:00:00"/>
    <d v="2020-01-19T00:00:00"/>
    <s v="DZ"/>
    <s v="USD"/>
    <n v="4297.71"/>
    <n v="4297.71"/>
    <s v="BDT"/>
    <s v="EGM2"/>
    <n v="360362.98"/>
    <s v="CM ADV ADJ-424130880776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29546.16"/>
    <n v="29546.16"/>
    <s v="BDT"/>
    <s v="EGM2"/>
    <n v="2480400.13"/>
    <s v="CM ADV ADJ-424130896901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20860.96"/>
    <n v="20860.96"/>
    <s v="BDT"/>
    <s v="EGM2"/>
    <n v="1741890.16"/>
    <s v="CM ADV ADJ-424130862135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10555.78"/>
    <n v="10555.78"/>
    <s v="BDT"/>
    <s v="EGM2"/>
    <n v="886157.73"/>
    <s v="CM ADV ADJ-424130886565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18567.240000000002"/>
    <n v="18567.240000000002"/>
    <s v="BDT"/>
    <s v="EGM2"/>
    <n v="1556863.07"/>
    <s v="CM ADV ADJ-424130869735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6"/>
    <d v="2020-01-19T00:00:00"/>
    <d v="2020-01-19T00:00:00"/>
    <s v="DZ"/>
    <s v="USD"/>
    <n v="5377.7"/>
    <n v="5377.7"/>
    <s v="BDT"/>
    <s v="EGM2"/>
    <n v="451457.92"/>
    <s v="CM ADV ADJ-424130904466"/>
    <s v="0000005010"/>
    <s v="E25289AC19KT0515"/>
    <s v=""/>
    <s v=""/>
    <s v="0"/>
    <s v="424130911760"/>
    <s v=""/>
    <s v=""/>
    <s v=""/>
    <s v=""/>
    <s v=""/>
    <x v="0"/>
    <m/>
    <s v=""/>
    <d v="2020-01-19T00:00:00"/>
    <s v=""/>
    <s v="1909000386"/>
  </r>
  <r>
    <s v="1909000388"/>
    <d v="2020-01-19T00:00:00"/>
    <d v="2020-01-19T00:00:00"/>
    <s v="DZ"/>
    <s v="USD"/>
    <n v="1119.6199999999999"/>
    <n v="1119.6199999999999"/>
    <s v="BDT"/>
    <s v="EGM1"/>
    <n v="93488.27"/>
    <s v="CM ADV ADJ-424130853190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5622.82"/>
    <n v="5622.82"/>
    <s v="BDT"/>
    <s v="EGM1"/>
    <n v="469505.47"/>
    <s v="CM ADV ADJ-424130838234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32348.6"/>
    <n v="32348.6"/>
    <s v="BDT"/>
    <s v="EGM1"/>
    <n v="2701108.1"/>
    <s v="CM ADV ADJ-424130862144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27176.59"/>
    <n v="27176.59"/>
    <s v="BDT"/>
    <s v="EGM1"/>
    <n v="2278757.0699999998"/>
    <s v="CM ADV ADJ-424130869726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8"/>
    <d v="2020-01-19T00:00:00"/>
    <d v="2020-01-19T00:00:00"/>
    <s v="DZ"/>
    <s v="USD"/>
    <n v="8284.73"/>
    <n v="8284.73"/>
    <s v="BDT"/>
    <s v="EGM1"/>
    <n v="695503.08"/>
    <s v="CM ADV ADJ-424130887467"/>
    <s v="0000005010"/>
    <s v="E4519DC19US1342"/>
    <s v=""/>
    <s v=""/>
    <s v="0"/>
    <s v="424130911804"/>
    <s v=""/>
    <s v=""/>
    <s v=""/>
    <s v=""/>
    <s v=""/>
    <x v="0"/>
    <m/>
    <s v=""/>
    <d v="2020-01-19T00:00:00"/>
    <s v=""/>
    <s v="1909000388"/>
  </r>
  <r>
    <s v="1909000389"/>
    <d v="2020-01-19T00:00:00"/>
    <d v="2020-01-19T00:00:00"/>
    <s v="DZ"/>
    <s v="USD"/>
    <n v="1932.07"/>
    <n v="1932.07"/>
    <s v="BDT"/>
    <s v="EGM1"/>
    <n v="162197.28"/>
    <s v="CM ADV ADJ-424130904457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1958.68"/>
    <n v="1958.68"/>
    <s v="BDT"/>
    <s v="EGM1"/>
    <n v="163549.78"/>
    <s v="CM ADV ADJ-424130862144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504.54"/>
    <n v="504.54"/>
    <s v="BDT"/>
    <s v="EGM1"/>
    <n v="42305.68"/>
    <s v="CM ADV ADJ-424130869726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15911.36"/>
    <n v="15911.36"/>
    <s v="BDT"/>
    <s v="EGM1"/>
    <n v="1335758.67"/>
    <s v="CM ADV ADJ-424130896894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89"/>
    <d v="2020-01-19T00:00:00"/>
    <d v="2020-01-19T00:00:00"/>
    <s v="DZ"/>
    <s v="USD"/>
    <n v="161.86000000000001"/>
    <n v="161.86000000000001"/>
    <s v="BDT"/>
    <s v="EGM1"/>
    <n v="13588.15"/>
    <s v="CM ADV ADJ-424130887467"/>
    <s v="0000005010"/>
    <s v="E5294TS19CE1319"/>
    <s v=""/>
    <s v=""/>
    <s v="0"/>
    <s v="424130912368"/>
    <s v=""/>
    <s v=""/>
    <s v=""/>
    <s v=""/>
    <s v=""/>
    <x v="0"/>
    <m/>
    <s v=""/>
    <d v="2020-01-19T00:00:00"/>
    <s v=""/>
    <s v="1909000389"/>
  </r>
  <r>
    <s v="1909000390"/>
    <d v="2020-01-19T00:00:00"/>
    <d v="2020-01-19T00:00:00"/>
    <s v="DZ"/>
    <s v="USD"/>
    <n v="10100.61"/>
    <n v="10100.61"/>
    <s v="BDT"/>
    <s v="EGM1"/>
    <n v="847946.21"/>
    <s v="CM ADV ADJ-424130904457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0"/>
    <d v="2020-01-19T00:00:00"/>
    <d v="2020-01-19T00:00:00"/>
    <s v="DZ"/>
    <s v="USD"/>
    <n v="36890.97"/>
    <n v="36890.97"/>
    <s v="BDT"/>
    <s v="EGM1"/>
    <n v="3096996.93"/>
    <s v="CM ADV ADJ-424130896894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0"/>
    <d v="2020-01-19T00:00:00"/>
    <d v="2020-01-19T00:00:00"/>
    <s v="DZ"/>
    <s v="USD"/>
    <n v="4809.0600000000004"/>
    <n v="4809.0600000000004"/>
    <s v="BDT"/>
    <s v="EGM1"/>
    <n v="403239.67999999999"/>
    <s v="CM ADV ADJ-424130880767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0"/>
    <d v="2020-01-19T00:00:00"/>
    <d v="2020-01-19T00:00:00"/>
    <s v="DZ"/>
    <s v="USD"/>
    <n v="16806.3"/>
    <n v="16806.3"/>
    <s v="BDT"/>
    <s v="EGM1"/>
    <n v="1410888.89"/>
    <s v="CM ADV ADJ-424130887467"/>
    <s v="0000005010"/>
    <s v="E55479AC19KT1244"/>
    <s v=""/>
    <s v=""/>
    <s v="0"/>
    <s v="424130911788"/>
    <s v=""/>
    <s v=""/>
    <s v=""/>
    <s v=""/>
    <s v=""/>
    <x v="0"/>
    <m/>
    <s v=""/>
    <d v="2020-01-19T00:00:00"/>
    <s v=""/>
    <s v="1909000390"/>
  </r>
  <r>
    <s v="1909000391"/>
    <d v="2020-01-19T00:00:00"/>
    <d v="2020-01-19T00:00:00"/>
    <s v="DZ"/>
    <s v="USD"/>
    <n v="-142547.43"/>
    <n v="-142547.43"/>
    <s v="BDT"/>
    <s v="EGM2"/>
    <n v="-11966856.76"/>
    <s v="CM ADV REC-424130912359"/>
    <s v="0000005010"/>
    <s v="EG2-05319"/>
    <s v=""/>
    <s v=""/>
    <s v="0"/>
    <s v="424130912359"/>
    <s v=""/>
    <s v=""/>
    <s v=""/>
    <s v=""/>
    <s v=""/>
    <x v="0"/>
    <m/>
    <s v=""/>
    <d v="2020-01-19T00:00:00"/>
    <s v=""/>
    <s v="1909000391"/>
  </r>
  <r>
    <s v="1909000392"/>
    <d v="2020-01-02T00:00:00"/>
    <d v="2020-01-02T00:00:00"/>
    <s v="DZ"/>
    <s v="USD"/>
    <n v="9207"/>
    <n v="9207"/>
    <s v="BDT"/>
    <s v="EGM1"/>
    <n v="768784.5"/>
    <s v="CM ADV ADJ-424130804207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2172"/>
    <n v="2172"/>
    <s v="BDT"/>
    <s v="EGM1"/>
    <n v="181362"/>
    <s v="CM ADV ADJ-424130869147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4000"/>
    <n v="4000"/>
    <s v="BDT"/>
    <s v="EGM1"/>
    <n v="334000"/>
    <s v="CM ADV ADJ-424130851922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36316"/>
    <n v="36316"/>
    <s v="BDT"/>
    <s v="EGM1"/>
    <n v="3032386"/>
    <s v="CM ADV ADJ-424130854527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20786"/>
    <n v="20786"/>
    <s v="BDT"/>
    <s v="EGM1"/>
    <n v="1742906.1"/>
    <s v="CM ADV ADJ-424130871205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14744"/>
    <n v="14744"/>
    <s v="BDT"/>
    <s v="EGM1"/>
    <n v="1237758.8"/>
    <s v="CM ADV ADJ-424130889090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43865"/>
    <n v="43865"/>
    <s v="BDT"/>
    <s v="EGM1"/>
    <n v="3682466.75"/>
    <s v="CM ADV ADJ-424130902618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2"/>
    <d v="2020-01-02T00:00:00"/>
    <d v="2020-01-02T00:00:00"/>
    <s v="DZ"/>
    <s v="USD"/>
    <n v="2967"/>
    <n v="2967"/>
    <s v="BDT"/>
    <s v="EGM1"/>
    <n v="247685.16"/>
    <s v="CM ADV ADJ-424130785148"/>
    <s v="0000001010"/>
    <s v="05253"/>
    <s v=""/>
    <s v=""/>
    <s v="0"/>
    <s v="424130904037"/>
    <s v=""/>
    <s v=""/>
    <s v=""/>
    <s v=""/>
    <s v=""/>
    <x v="0"/>
    <d v="2020-06-30T00:00:00"/>
    <s v="1906000017"/>
    <d v="2020-01-02T00:00:00"/>
    <s v=""/>
    <s v="1909000392"/>
  </r>
  <r>
    <s v="1909000392"/>
    <d v="2020-01-02T00:00:00"/>
    <d v="2020-01-02T00:00:00"/>
    <s v="DZ"/>
    <s v="USD"/>
    <n v="15896"/>
    <n v="15896"/>
    <s v="BDT"/>
    <s v="EGM1"/>
    <n v="1334469.2"/>
    <s v="CM ADV ADJ-424130897759"/>
    <s v="0000001010"/>
    <s v="05253"/>
    <s v=""/>
    <s v=""/>
    <s v="0"/>
    <s v="424130904037"/>
    <s v=""/>
    <s v=""/>
    <s v=""/>
    <s v=""/>
    <s v=""/>
    <x v="0"/>
    <m/>
    <s v=""/>
    <d v="2020-01-02T00:00:00"/>
    <s v=""/>
    <s v="1909000392"/>
  </r>
  <r>
    <s v="1909000393"/>
    <d v="2020-01-19T00:00:00"/>
    <d v="2020-01-19T00:00:00"/>
    <s v="DZ"/>
    <s v="USD"/>
    <n v="150372"/>
    <n v="150372"/>
    <s v="BDT"/>
    <s v="EGM1"/>
    <n v="12556062"/>
    <s v="CM ADV ADJ-424130869147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6265"/>
    <n v="16265"/>
    <s v="BDT"/>
    <s v="EGM1"/>
    <n v="1365446.75"/>
    <s v="CM ADV ADJ-424130887458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206"/>
    <n v="1206"/>
    <s v="BDT"/>
    <s v="EGM1"/>
    <n v="100701"/>
    <s v="CM ADV ADJ-424130851922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7843"/>
    <n v="17843"/>
    <s v="BDT"/>
    <s v="EGM1"/>
    <n v="1489890.5"/>
    <s v="CM ADV ADJ-424130854527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70729"/>
    <n v="70729"/>
    <s v="BDT"/>
    <s v="EGM1"/>
    <n v="5930626.6500000004"/>
    <s v="CM ADV ADJ-424130871205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2999"/>
    <n v="12999"/>
    <s v="BDT"/>
    <s v="EGM1"/>
    <n v="1091266.05"/>
    <s v="CM ADV ADJ-424130889090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48363"/>
    <n v="48363"/>
    <s v="BDT"/>
    <s v="EGM1"/>
    <n v="4060073.85"/>
    <s v="CM ADV ADJ-424130902618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3"/>
    <d v="2020-01-19T00:00:00"/>
    <d v="2020-01-19T00:00:00"/>
    <s v="DZ"/>
    <s v="USD"/>
    <n v="12981"/>
    <n v="12981"/>
    <s v="BDT"/>
    <s v="EGM1"/>
    <n v="1089754.95"/>
    <s v="CM ADV ADJ-424130897759"/>
    <s v="0000001010"/>
    <s v="E05334US19-1331"/>
    <s v=""/>
    <s v=""/>
    <s v="0"/>
    <s v="424130911751"/>
    <s v=""/>
    <s v=""/>
    <s v=""/>
    <s v=""/>
    <s v=""/>
    <x v="0"/>
    <m/>
    <s v=""/>
    <d v="2020-01-19T00:00:00"/>
    <s v=""/>
    <s v="1909000393"/>
  </r>
  <r>
    <s v="1909000394"/>
    <d v="2020-01-19T00:00:00"/>
    <d v="2020-01-19T00:00:00"/>
    <s v="DZ"/>
    <s v="USD"/>
    <n v="-514408.88"/>
    <n v="-514408.88"/>
    <s v="BDT"/>
    <s v="EGM1"/>
    <n v="-43184625.479999997"/>
    <s v="CM ADV REC-424130912340"/>
    <s v="0000005010"/>
    <s v="EG5-05452"/>
    <s v=""/>
    <s v=""/>
    <s v="0"/>
    <s v="424130912340"/>
    <s v=""/>
    <s v=""/>
    <s v=""/>
    <s v=""/>
    <s v=""/>
    <x v="0"/>
    <m/>
    <s v=""/>
    <d v="2020-01-19T00:00:00"/>
    <s v=""/>
    <s v="1909000394"/>
  </r>
  <r>
    <s v="1909000395"/>
    <d v="2020-01-09T00:00:00"/>
    <d v="2020-01-09T00:00:00"/>
    <s v="DZ"/>
    <s v="USD"/>
    <n v="12505"/>
    <n v="12505"/>
    <s v="BDT"/>
    <s v="EGM1"/>
    <n v="1044167.5"/>
    <s v="CM ADV ADJ-424130869147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77085"/>
    <n v="77085"/>
    <s v="BDT"/>
    <s v="EGM1"/>
    <n v="6471285.75"/>
    <s v="CM ADV ADJ-424130887458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37496"/>
    <n v="37496"/>
    <s v="BDT"/>
    <s v="EGM1"/>
    <n v="3144039.6"/>
    <s v="CM ADV ADJ-424130871205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13971"/>
    <n v="13971"/>
    <s v="BDT"/>
    <s v="EGM1"/>
    <n v="1172865.45"/>
    <s v="CM ADV ADJ-424130889090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598"/>
    <n v="598"/>
    <s v="BDT"/>
    <s v="EGM1"/>
    <n v="50202.1"/>
    <s v="CM ADV ADJ-424130902618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5"/>
    <d v="2020-01-09T00:00:00"/>
    <d v="2020-01-09T00:00:00"/>
    <s v="DZ"/>
    <s v="USD"/>
    <n v="38636"/>
    <n v="38636"/>
    <s v="BDT"/>
    <s v="EGM1"/>
    <n v="3243492.2"/>
    <s v="CM ADV ADJ-424130897759"/>
    <s v="0000001010"/>
    <s v="E05336US19-1216"/>
    <s v=""/>
    <s v=""/>
    <s v="0"/>
    <s v="424130907882"/>
    <s v=""/>
    <s v=""/>
    <s v=""/>
    <s v=""/>
    <s v=""/>
    <x v="0"/>
    <m/>
    <s v=""/>
    <d v="2020-01-09T00:00:00"/>
    <s v=""/>
    <s v="1909000395"/>
  </r>
  <r>
    <s v="1909000398"/>
    <d v="2020-01-21T00:00:00"/>
    <d v="2020-01-21T00:00:00"/>
    <s v="DZ"/>
    <s v="USD"/>
    <n v="35335"/>
    <n v="35335"/>
    <s v="BDT"/>
    <s v="EGM1"/>
    <n v="2950472.5"/>
    <s v="CM ADV ADJ-424130854527"/>
    <s v="0000001010"/>
    <s v="424130915882"/>
    <s v=""/>
    <s v=""/>
    <s v="0"/>
    <s v="E5470,5534,5420"/>
    <s v=""/>
    <s v=""/>
    <s v=""/>
    <s v=""/>
    <s v=""/>
    <x v="0"/>
    <m/>
    <s v=""/>
    <d v="2020-01-21T00:00:00"/>
    <s v=""/>
    <s v="1909000398"/>
  </r>
  <r>
    <s v="1909000398"/>
    <d v="2020-01-21T00:00:00"/>
    <d v="2020-01-21T00:00:00"/>
    <s v="DZ"/>
    <s v="USD"/>
    <n v="15591"/>
    <n v="15591"/>
    <s v="BDT"/>
    <s v="EGM1"/>
    <n v="1308864.45"/>
    <s v="CM ADV ADJ-424130902618"/>
    <s v="0000001010"/>
    <s v="424130915882"/>
    <s v=""/>
    <s v=""/>
    <s v="0"/>
    <s v="E5470,5534,5420"/>
    <s v=""/>
    <s v=""/>
    <s v=""/>
    <s v=""/>
    <s v=""/>
    <x v="0"/>
    <m/>
    <s v=""/>
    <d v="2020-01-21T00:00:00"/>
    <s v=""/>
    <s v="1909000398"/>
  </r>
  <r>
    <s v="1909000398"/>
    <d v="2020-01-21T00:00:00"/>
    <d v="2020-01-21T00:00:00"/>
    <s v="DZ"/>
    <s v="USD"/>
    <n v="17498"/>
    <n v="17498"/>
    <s v="BDT"/>
    <s v="EGM1"/>
    <n v="1468957.1"/>
    <s v="CM ADV ADJ424130897759"/>
    <s v="0000001010"/>
    <s v="424130915882"/>
    <s v=""/>
    <s v=""/>
    <s v="0"/>
    <s v="E5470,5534,5420"/>
    <s v=""/>
    <s v=""/>
    <s v=""/>
    <s v=""/>
    <s v=""/>
    <x v="0"/>
    <m/>
    <s v=""/>
    <d v="2020-01-21T00:00:00"/>
    <s v=""/>
    <s v="1909000398"/>
  </r>
  <r>
    <s v="1909000399"/>
    <d v="2020-01-21T00:00:00"/>
    <d v="2020-01-21T00:00:00"/>
    <s v="DZ"/>
    <s v="USD"/>
    <n v="1856"/>
    <n v="1856"/>
    <s v="BDT"/>
    <s v="EGM1"/>
    <n v="155811.20000000001"/>
    <s v="CM ADV ADJ-424130902618"/>
    <s v="0000001010"/>
    <s v="E5416"/>
    <s v=""/>
    <s v=""/>
    <s v="0"/>
    <s v="424130916159"/>
    <s v=""/>
    <s v=""/>
    <s v=""/>
    <s v=""/>
    <s v=""/>
    <x v="0"/>
    <m/>
    <s v=""/>
    <d v="2020-01-21T00:00:00"/>
    <s v=""/>
    <s v="1909000399"/>
  </r>
  <r>
    <s v="1909000400"/>
    <d v="2020-01-22T00:00:00"/>
    <d v="2020-01-22T00:00:00"/>
    <s v="DZ"/>
    <s v="USD"/>
    <n v="283.38"/>
    <n v="283.38"/>
    <s v="BDT"/>
    <s v="EGM1"/>
    <n v="23789.75"/>
    <s v="CM ADV ADJ-424130912340"/>
    <s v="0000005010"/>
    <s v="E4519DC20US0020"/>
    <s v=""/>
    <s v=""/>
    <s v="0"/>
    <s v="424130916523"/>
    <s v=""/>
    <s v=""/>
    <s v=""/>
    <s v=""/>
    <s v=""/>
    <x v="0"/>
    <m/>
    <s v=""/>
    <d v="2020-01-22T00:00:00"/>
    <s v=""/>
    <s v="1909000400"/>
  </r>
  <r>
    <s v="1909000400"/>
    <d v="2020-01-22T00:00:00"/>
    <d v="2020-01-22T00:00:00"/>
    <s v="DZ"/>
    <s v="USD"/>
    <n v="5670.87"/>
    <n v="5670.87"/>
    <s v="BDT"/>
    <s v="EGM1"/>
    <n v="476069.54"/>
    <s v="CM ADV ADJ-424130887467"/>
    <s v="0000005010"/>
    <s v="E4519DC20US0020"/>
    <s v=""/>
    <s v=""/>
    <s v="0"/>
    <s v="424130916523"/>
    <s v=""/>
    <s v=""/>
    <s v=""/>
    <s v=""/>
    <s v=""/>
    <x v="0"/>
    <m/>
    <s v=""/>
    <d v="2020-01-22T00:00:00"/>
    <s v=""/>
    <s v="1909000400"/>
  </r>
  <r>
    <s v="1909000401"/>
    <d v="2020-01-22T00:00:00"/>
    <d v="2020-01-22T00:00:00"/>
    <s v="DZ"/>
    <s v="USD"/>
    <n v="2368.59"/>
    <n v="2368.59"/>
    <s v="BDT"/>
    <s v="EGM1"/>
    <n v="198843.13"/>
    <s v="CM ADV ADJ-4424130904457"/>
    <s v="0000005010"/>
    <s v="E35433TC19MY1254"/>
    <s v=""/>
    <s v=""/>
    <s v="0"/>
    <s v="424130916532"/>
    <s v=""/>
    <s v=""/>
    <s v=""/>
    <s v=""/>
    <s v=""/>
    <x v="0"/>
    <m/>
    <s v=""/>
    <d v="2020-01-22T00:00:00"/>
    <s v=""/>
    <s v="1909000401"/>
  </r>
  <r>
    <s v="1909000401"/>
    <d v="2020-01-22T00:00:00"/>
    <d v="2020-01-22T00:00:00"/>
    <s v="DZ"/>
    <s v="USD"/>
    <n v="333.75"/>
    <n v="333.75"/>
    <s v="BDT"/>
    <s v="EGM1"/>
    <n v="28018.31"/>
    <s v="CM ADV ADJ-424130887467"/>
    <s v="0000005010"/>
    <s v="E35433TC19MY1254"/>
    <s v=""/>
    <s v=""/>
    <s v="0"/>
    <s v="424130916532"/>
    <s v=""/>
    <s v=""/>
    <s v=""/>
    <s v=""/>
    <s v=""/>
    <x v="0"/>
    <m/>
    <s v=""/>
    <d v="2020-01-22T00:00:00"/>
    <s v=""/>
    <s v="1909000401"/>
  </r>
  <r>
    <s v="1909000403"/>
    <d v="2020-01-26T00:00:00"/>
    <d v="2020-01-26T00:00:00"/>
    <s v="DZ"/>
    <s v="USD"/>
    <n v="5087.99"/>
    <n v="5087.99"/>
    <s v="BDT"/>
    <s v="EGM1"/>
    <n v="427136.76"/>
    <s v="CM ADV ADJ-424130896894"/>
    <s v="0000005010"/>
    <s v="E5294TS19UK1356"/>
    <s v=""/>
    <s v=""/>
    <s v="0"/>
    <s v="424130917568"/>
    <s v=""/>
    <s v=""/>
    <s v=""/>
    <s v=""/>
    <s v=""/>
    <x v="0"/>
    <m/>
    <s v=""/>
    <d v="2020-01-26T00:00:00"/>
    <s v=""/>
    <s v="1909000403"/>
  </r>
  <r>
    <s v="1909000403"/>
    <d v="2020-01-26T00:00:00"/>
    <d v="2020-01-26T00:00:00"/>
    <s v="DZ"/>
    <s v="USD"/>
    <n v="6831.78"/>
    <n v="6831.78"/>
    <s v="BDT"/>
    <s v="EGM1"/>
    <n v="572844.75"/>
    <s v="CM ADV ADJ-424130880767"/>
    <s v="0000005010"/>
    <s v="E5294TS19UK1356"/>
    <s v=""/>
    <s v=""/>
    <s v="0"/>
    <s v="424130917568"/>
    <s v=""/>
    <s v=""/>
    <s v=""/>
    <s v=""/>
    <s v=""/>
    <x v="0"/>
    <m/>
    <s v=""/>
    <d v="2020-01-26T00:00:00"/>
    <s v=""/>
    <s v="1909000403"/>
  </r>
  <r>
    <s v="1909000403"/>
    <d v="2020-01-26T00:00:00"/>
    <d v="2020-01-26T00:00:00"/>
    <s v="DZ"/>
    <s v="USD"/>
    <n v="3399.71"/>
    <n v="3399.71"/>
    <s v="BDT"/>
    <s v="EGM1"/>
    <n v="285405.65000000002"/>
    <s v="CM ADV ADJ-424130887467"/>
    <s v="0000005010"/>
    <s v="E5294TS19UK1356"/>
    <s v=""/>
    <s v=""/>
    <s v="0"/>
    <s v="424130917568"/>
    <s v=""/>
    <s v=""/>
    <s v=""/>
    <s v=""/>
    <s v=""/>
    <x v="0"/>
    <m/>
    <s v=""/>
    <d v="2020-01-26T00:00:00"/>
    <s v=""/>
    <s v="1909000403"/>
  </r>
  <r>
    <s v="1909000404"/>
    <d v="2020-01-28T00:00:00"/>
    <d v="2020-01-28T00:00:00"/>
    <s v="DZ"/>
    <s v="USD"/>
    <n v="19549.669999999998"/>
    <n v="19549.669999999998"/>
    <s v="BDT"/>
    <s v="EGM1"/>
    <n v="1641194.8"/>
    <s v="CM ADV ADJ-424130912340"/>
    <s v="0000005010"/>
    <s v="E35435,35435"/>
    <s v=""/>
    <s v=""/>
    <s v="0"/>
    <s v="424130920331"/>
    <s v=""/>
    <s v=""/>
    <s v=""/>
    <s v=""/>
    <s v=""/>
    <x v="0"/>
    <m/>
    <s v=""/>
    <d v="2020-01-28T00:00:00"/>
    <s v=""/>
    <s v="1909000404"/>
  </r>
  <r>
    <s v="1909000405"/>
    <d v="2020-01-28T00:00:00"/>
    <d v="2020-01-28T00:00:00"/>
    <s v="DZ"/>
    <s v="USD"/>
    <n v="26281"/>
    <n v="26281"/>
    <s v="BDT"/>
    <s v="EGM2"/>
    <n v="2206289.9500000002"/>
    <s v="CM ADV ADJ-424130911733"/>
    <s v="0000001010"/>
    <s v="05566190539RU"/>
    <s v=""/>
    <s v=""/>
    <s v="0"/>
    <s v="424130919101"/>
    <s v=""/>
    <s v=""/>
    <s v=""/>
    <s v=""/>
    <s v=""/>
    <x v="0"/>
    <m/>
    <s v=""/>
    <d v="2020-01-28T00:00:00"/>
    <s v=""/>
    <s v="1909000405"/>
  </r>
  <r>
    <s v="1909000406"/>
    <d v="2020-01-28T00:00:00"/>
    <d v="2020-01-28T00:00:00"/>
    <s v="DZ"/>
    <s v="USD"/>
    <n v="10791"/>
    <n v="10791"/>
    <s v="BDT"/>
    <s v="EGM1"/>
    <n v="901048.5"/>
    <s v="CM ADV ADJ-424130869147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275223"/>
    <n v="275223"/>
    <s v="BDT"/>
    <s v="EGM1"/>
    <n v="23104970.850000001"/>
    <s v="CM ADV ADJ-424130887458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2745"/>
    <n v="2745"/>
    <s v="BDT"/>
    <s v="EGM1"/>
    <n v="229207.5"/>
    <s v="CM ADV ADJ-424130838243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6111"/>
    <n v="6111"/>
    <s v="BDT"/>
    <s v="EGM1"/>
    <n v="510268.5"/>
    <s v="CM ADV ADJ-424130851922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4541"/>
    <n v="4541"/>
    <s v="BDT"/>
    <s v="EGM1"/>
    <n v="379173.5"/>
    <s v="CM ADV ADJ-424130854527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62214"/>
    <n v="62214"/>
    <s v="BDT"/>
    <s v="EGM1"/>
    <n v="5216643.9000000004"/>
    <s v="CM ADV ADJ-424130871205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310237"/>
    <n v="310237"/>
    <s v="BDT"/>
    <s v="EGM1"/>
    <n v="26044396.149999999"/>
    <s v="CM Adv adj-424130889090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169083"/>
    <n v="169083"/>
    <s v="BDT"/>
    <s v="EGM1"/>
    <n v="14194517.85"/>
    <s v="CM ADV ADJ-424130902609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103044"/>
    <n v="103044"/>
    <s v="BDT"/>
    <s v="EGM1"/>
    <n v="8650543.8000000007"/>
    <s v="CM ADV ADJ-424130902618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6"/>
    <d v="2020-01-28T00:00:00"/>
    <d v="2020-01-28T00:00:00"/>
    <s v="DZ"/>
    <s v="USD"/>
    <n v="14903"/>
    <n v="14903"/>
    <s v="BDT"/>
    <s v="EGM1"/>
    <n v="1251106.8500000001"/>
    <s v="CM ADV ADJ-424130897759"/>
    <s v="0000001010"/>
    <s v="E05389US20-0030,"/>
    <s v=""/>
    <s v=""/>
    <s v="0"/>
    <s v="424130920475,42413092048"/>
    <s v=""/>
    <s v=""/>
    <s v=""/>
    <s v=""/>
    <s v=""/>
    <x v="0"/>
    <m/>
    <s v=""/>
    <d v="2020-01-28T00:00:00"/>
    <s v=""/>
    <s v="1909000406"/>
  </r>
  <r>
    <s v="1909000407"/>
    <d v="2020-01-16T00:00:00"/>
    <d v="2020-01-16T00:00:00"/>
    <s v="DZ"/>
    <s v="USD"/>
    <n v="-71530"/>
    <n v="-71530"/>
    <s v="BDT"/>
    <s v="EGM1"/>
    <n v="-6004943.5"/>
    <s v="CM ADV REC-424130911742"/>
    <s v="0000001010"/>
    <s v="EG5-05470"/>
    <s v=""/>
    <s v=""/>
    <s v="0"/>
    <s v="424130911742"/>
    <s v=""/>
    <s v=""/>
    <s v=""/>
    <s v=""/>
    <s v=""/>
    <x v="0"/>
    <m/>
    <s v=""/>
    <d v="2020-01-16T00:00:00"/>
    <s v=""/>
    <s v="1909000407"/>
  </r>
  <r>
    <s v="1909000408"/>
    <d v="2020-01-21T00:00:00"/>
    <d v="2020-01-21T00:00:00"/>
    <s v="DZ"/>
    <s v="USD"/>
    <n v="3504"/>
    <n v="3504"/>
    <s v="BDT"/>
    <s v="EGM1"/>
    <n v="292584"/>
    <s v="CM ADV ADJ-424130854527"/>
    <s v="0000001010"/>
    <s v="E05013,5364"/>
    <s v=""/>
    <s v=""/>
    <s v="0"/>
    <s v="424130915917"/>
    <s v=""/>
    <s v=""/>
    <s v=""/>
    <s v=""/>
    <s v=""/>
    <x v="0"/>
    <m/>
    <s v=""/>
    <d v="2020-01-21T00:00:00"/>
    <s v=""/>
    <s v="1909000408"/>
  </r>
  <r>
    <s v="1909000408"/>
    <d v="2020-01-21T00:00:00"/>
    <d v="2020-01-21T00:00:00"/>
    <s v="DZ"/>
    <s v="USD"/>
    <n v="900"/>
    <n v="900"/>
    <s v="BDT"/>
    <s v="EGM1"/>
    <n v="75555"/>
    <s v="CM ADV ADJ-424130911742"/>
    <s v="0000001010"/>
    <s v="E05013,5364"/>
    <s v=""/>
    <s v=""/>
    <s v="0"/>
    <s v="424130915917"/>
    <s v=""/>
    <s v=""/>
    <s v=""/>
    <s v=""/>
    <s v=""/>
    <x v="0"/>
    <m/>
    <s v=""/>
    <d v="2020-01-21T00:00:00"/>
    <s v=""/>
    <s v="1909000408"/>
  </r>
  <r>
    <s v="1909000409"/>
    <d v="2020-01-29T00:00:00"/>
    <d v="2020-01-29T00:00:00"/>
    <s v="DZ"/>
    <s v="USD"/>
    <n v="59226.25"/>
    <n v="59226.25"/>
    <s v="BDT"/>
    <s v="EGM2"/>
    <n v="4972043.6900000004"/>
    <s v="CM ADV ADJ-424130896901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09"/>
    <d v="2020-01-29T00:00:00"/>
    <d v="2020-01-29T00:00:00"/>
    <s v="DZ"/>
    <s v="USD"/>
    <n v="700.33"/>
    <n v="700.33"/>
    <s v="BDT"/>
    <s v="EGM2"/>
    <n v="58792.7"/>
    <s v="CM ADV ADJ-424130886565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09"/>
    <d v="2020-01-29T00:00:00"/>
    <d v="2020-01-29T00:00:00"/>
    <s v="DZ"/>
    <s v="USD"/>
    <n v="100539.3"/>
    <n v="100539.3"/>
    <s v="BDT"/>
    <s v="EGM2"/>
    <n v="8440274.2400000002"/>
    <s v="CM ADV ADJ-424130904466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09"/>
    <d v="2020-01-29T00:00:00"/>
    <d v="2020-01-29T00:00:00"/>
    <s v="DZ"/>
    <s v="USD"/>
    <n v="32278.09"/>
    <n v="32278.09"/>
    <s v="BDT"/>
    <s v="EGM2"/>
    <n v="2709745.66"/>
    <s v="CM ADV ADJ-424130912359"/>
    <s v="0000005010"/>
    <s v="25369"/>
    <s v=""/>
    <s v=""/>
    <s v="0"/>
    <s v="424130921232"/>
    <s v=""/>
    <s v=""/>
    <s v=""/>
    <s v=""/>
    <s v=""/>
    <x v="0"/>
    <m/>
    <s v=""/>
    <d v="2020-01-29T00:00:00"/>
    <s v=""/>
    <s v="1909000409"/>
  </r>
  <r>
    <s v="1909000410"/>
    <d v="2020-01-29T00:00:00"/>
    <d v="2020-01-29T00:00:00"/>
    <s v="DZ"/>
    <s v="USD"/>
    <n v="3916.81"/>
    <n v="3916.81"/>
    <s v="BDT"/>
    <s v="EGM2"/>
    <n v="328816.2"/>
    <s v="CM ADV ADJ-424130896901"/>
    <s v="0000005010"/>
    <s v="25353"/>
    <s v=""/>
    <s v=""/>
    <s v="0"/>
    <s v="424130921269"/>
    <s v=""/>
    <s v=""/>
    <s v=""/>
    <s v=""/>
    <s v=""/>
    <x v="0"/>
    <m/>
    <s v=""/>
    <d v="2020-01-29T00:00:00"/>
    <s v=""/>
    <s v="1909000410"/>
  </r>
  <r>
    <s v="1909000410"/>
    <d v="2020-01-29T00:00:00"/>
    <d v="2020-01-29T00:00:00"/>
    <s v="DZ"/>
    <s v="USD"/>
    <n v="5767.08"/>
    <n v="5767.08"/>
    <s v="BDT"/>
    <s v="EGM2"/>
    <n v="484146.37"/>
    <s v="CM ADV ADJ-424130904466"/>
    <s v="0000005010"/>
    <s v="25353"/>
    <s v=""/>
    <s v=""/>
    <s v="0"/>
    <s v="424130921269"/>
    <s v=""/>
    <s v=""/>
    <s v=""/>
    <s v=""/>
    <s v=""/>
    <x v="0"/>
    <m/>
    <s v=""/>
    <d v="2020-01-29T00:00:00"/>
    <s v=""/>
    <s v="1909000410"/>
  </r>
  <r>
    <s v="1909000410"/>
    <d v="2020-01-29T00:00:00"/>
    <d v="2020-01-29T00:00:00"/>
    <s v="DZ"/>
    <s v="USD"/>
    <n v="7008.84"/>
    <n v="7008.84"/>
    <s v="BDT"/>
    <s v="EGM2"/>
    <n v="588392.12"/>
    <s v="CM ADV ADJ-424130912359"/>
    <s v="0000005010"/>
    <s v="25353"/>
    <s v=""/>
    <s v=""/>
    <s v="0"/>
    <s v="424130921269"/>
    <s v=""/>
    <s v=""/>
    <s v=""/>
    <s v=""/>
    <s v=""/>
    <x v="0"/>
    <m/>
    <s v=""/>
    <d v="2020-01-29T00:00:00"/>
    <s v=""/>
    <s v="1909000410"/>
  </r>
  <r>
    <s v="1909000411"/>
    <d v="2020-01-29T00:00:00"/>
    <d v="2020-01-29T00:00:00"/>
    <s v="DZ"/>
    <s v="USD"/>
    <n v="26732.67"/>
    <n v="26732.67"/>
    <s v="BDT"/>
    <s v="EGM1"/>
    <n v="2226831.41"/>
    <s v="CM ADV ADJ-424130763554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1"/>
    <d v="2020-01-29T00:00:00"/>
    <d v="2020-01-29T00:00:00"/>
    <s v="DZ"/>
    <s v="USD"/>
    <n v="301.83999999999997"/>
    <n v="301.83999999999997"/>
    <s v="BDT"/>
    <s v="EGM1"/>
    <n v="25203.64"/>
    <s v="CM ADV ADJ-424130838234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1"/>
    <d v="2020-01-29T00:00:00"/>
    <d v="2020-01-29T00:00:00"/>
    <s v="DZ"/>
    <s v="USD"/>
    <n v="30230.7"/>
    <n v="30230.7"/>
    <s v="BDT"/>
    <s v="EGM1"/>
    <n v="2537867.27"/>
    <s v="CM ADV ADJ-424130912340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1"/>
    <d v="2020-01-29T00:00:00"/>
    <d v="2020-01-29T00:00:00"/>
    <s v="DZ"/>
    <s v="USD"/>
    <n v="1783.3"/>
    <n v="1783.3"/>
    <s v="BDT"/>
    <s v="EGM1"/>
    <n v="148905.54999999999"/>
    <s v="CM ADV ADJ-424130824383"/>
    <s v="0000005010"/>
    <s v="E45392DC20US0036"/>
    <s v=""/>
    <s v=""/>
    <s v="0"/>
    <s v="424130921250"/>
    <s v=""/>
    <s v=""/>
    <s v=""/>
    <s v=""/>
    <s v=""/>
    <x v="0"/>
    <m/>
    <s v=""/>
    <d v="2020-01-29T00:00:00"/>
    <s v=""/>
    <s v="1909000411"/>
  </r>
  <r>
    <s v="1909000412"/>
    <d v="2020-01-30T00:00:00"/>
    <d v="2020-01-30T00:00:00"/>
    <s v="DZ"/>
    <s v="USD"/>
    <n v="16188.17"/>
    <n v="16188.17"/>
    <s v="BDT"/>
    <s v="EGM1"/>
    <n v="1358996.87"/>
    <s v="CM ADV ADJ-424130912340"/>
    <s v="0000005010"/>
    <s v="E4536DC19US1346"/>
    <s v=""/>
    <s v=""/>
    <s v="0"/>
    <s v="424130922669"/>
    <s v=""/>
    <s v=""/>
    <s v=""/>
    <s v=""/>
    <s v=""/>
    <x v="0"/>
    <m/>
    <s v=""/>
    <d v="2020-01-30T00:00:00"/>
    <s v=""/>
    <s v="1909000412"/>
  </r>
  <r>
    <s v="1909000412"/>
    <d v="2020-01-30T00:00:00"/>
    <d v="2020-01-30T00:00:00"/>
    <s v="DZ"/>
    <s v="USD"/>
    <n v="16067.7"/>
    <n v="16067.7"/>
    <s v="BDT"/>
    <s v="EGM1"/>
    <n v="1348883.42"/>
    <s v="CM ADV ADJ-424130904457"/>
    <s v="0000005010"/>
    <s v="E4536DC19US1346"/>
    <s v=""/>
    <s v=""/>
    <s v="0"/>
    <s v="424130922669"/>
    <s v=""/>
    <s v=""/>
    <s v=""/>
    <s v=""/>
    <s v=""/>
    <x v="0"/>
    <m/>
    <s v=""/>
    <d v="2020-01-30T00:00:00"/>
    <s v=""/>
    <s v="1909000412"/>
  </r>
  <r>
    <s v="1909000412"/>
    <d v="2020-01-30T00:00:00"/>
    <d v="2020-01-30T00:00:00"/>
    <s v="DZ"/>
    <s v="USD"/>
    <n v="1953.53"/>
    <n v="1953.53"/>
    <s v="BDT"/>
    <s v="EGM1"/>
    <n v="163998.84"/>
    <s v="CM ADV ADJ-424130896894"/>
    <s v="0000005010"/>
    <s v="E4536DC19US1346"/>
    <s v=""/>
    <s v=""/>
    <s v="0"/>
    <s v="424130922669"/>
    <s v=""/>
    <s v=""/>
    <s v=""/>
    <s v=""/>
    <s v=""/>
    <x v="0"/>
    <m/>
    <s v=""/>
    <d v="2020-01-30T00:00:00"/>
    <s v=""/>
    <s v="1909000412"/>
  </r>
  <r>
    <s v="1909000413"/>
    <d v="2020-01-29T00:00:00"/>
    <d v="2020-01-29T00:00:00"/>
    <s v="DZ"/>
    <s v="USD"/>
    <n v="1549.57"/>
    <n v="1549.57"/>
    <s v="BDT"/>
    <s v="EGM1"/>
    <n v="130086.39999999999"/>
    <s v="CM ADV ADJ-424130904457"/>
    <s v="0000005010"/>
    <s v="45392"/>
    <s v=""/>
    <s v=""/>
    <s v="0"/>
    <s v="424130921241"/>
    <s v=""/>
    <s v=""/>
    <s v=""/>
    <s v=""/>
    <s v=""/>
    <x v="0"/>
    <m/>
    <s v=""/>
    <d v="2020-01-29T00:00:00"/>
    <s v=""/>
    <s v="1909000413"/>
  </r>
  <r>
    <s v="1909000413"/>
    <d v="2020-01-29T00:00:00"/>
    <d v="2020-01-29T00:00:00"/>
    <s v="DZ"/>
    <s v="USD"/>
    <n v="22596.09"/>
    <n v="22596.09"/>
    <s v="BDT"/>
    <s v="EGM1"/>
    <n v="1894682.15"/>
    <s v="CM ADV ADJ-424130880767"/>
    <s v="0000005010"/>
    <s v="45392"/>
    <s v=""/>
    <s v=""/>
    <s v="0"/>
    <s v="424130921241"/>
    <s v=""/>
    <s v=""/>
    <s v=""/>
    <s v=""/>
    <s v=""/>
    <x v="0"/>
    <m/>
    <s v=""/>
    <d v="2020-01-29T00:00:00"/>
    <s v=""/>
    <s v="1909000413"/>
  </r>
  <r>
    <s v="1909000413"/>
    <d v="2020-01-29T00:00:00"/>
    <d v="2020-01-29T00:00:00"/>
    <s v="DZ"/>
    <s v="USD"/>
    <n v="49939.57"/>
    <n v="49939.57"/>
    <s v="BDT"/>
    <s v="EGM1"/>
    <n v="4192426.9"/>
    <s v="CM ADV ADJ-424130887467"/>
    <s v="0000005010"/>
    <s v="45392"/>
    <s v=""/>
    <s v=""/>
    <s v="0"/>
    <s v="424130921241"/>
    <s v=""/>
    <s v=""/>
    <s v=""/>
    <s v=""/>
    <s v=""/>
    <x v="0"/>
    <m/>
    <s v=""/>
    <d v="2020-01-29T00:00:00"/>
    <s v=""/>
    <s v="1909000413"/>
  </r>
  <r>
    <s v="1909000414"/>
    <d v="2020-02-02T00:00:00"/>
    <d v="2020-02-02T00:00:00"/>
    <s v="DZ"/>
    <s v="USD"/>
    <n v="352.26"/>
    <n v="352.26"/>
    <s v="BDT"/>
    <s v="EGM1"/>
    <n v="29572.23"/>
    <s v="CM ADV ADJ-424130912340"/>
    <s v="0000005010"/>
    <s v="E35402TC20US0057"/>
    <s v=""/>
    <s v=""/>
    <s v="0"/>
    <s v="424130922678"/>
    <s v=""/>
    <s v=""/>
    <s v=""/>
    <s v=""/>
    <s v=""/>
    <x v="0"/>
    <m/>
    <s v=""/>
    <d v="2020-02-02T00:00:00"/>
    <s v=""/>
    <s v="1909000414"/>
  </r>
  <r>
    <s v="1909000414"/>
    <d v="2020-02-02T00:00:00"/>
    <d v="2020-02-02T00:00:00"/>
    <s v="DZ"/>
    <s v="USD"/>
    <n v="948.4"/>
    <n v="948.4"/>
    <s v="BDT"/>
    <s v="EGM1"/>
    <n v="79618.179999999993"/>
    <s v="CM ADV ADJ-424130904457"/>
    <s v="0000005010"/>
    <s v="E35402TC20US0057"/>
    <s v=""/>
    <s v=""/>
    <s v="0"/>
    <s v="424130922678"/>
    <s v=""/>
    <s v=""/>
    <s v=""/>
    <s v=""/>
    <s v=""/>
    <x v="0"/>
    <m/>
    <s v=""/>
    <d v="2020-02-02T00:00:00"/>
    <s v=""/>
    <s v="1909000414"/>
  </r>
  <r>
    <s v="1909000414"/>
    <d v="2020-02-02T00:00:00"/>
    <d v="2020-02-02T00:00:00"/>
    <s v="DZ"/>
    <s v="USD"/>
    <n v="1805.36"/>
    <n v="1805.36"/>
    <s v="BDT"/>
    <s v="EGM1"/>
    <n v="151559.97"/>
    <s v="CM ADV ADJ-424130896894"/>
    <s v="0000005010"/>
    <s v="E35402TC20US0057"/>
    <s v=""/>
    <s v=""/>
    <s v="0"/>
    <s v="424130922678"/>
    <s v=""/>
    <s v=""/>
    <s v=""/>
    <s v=""/>
    <s v=""/>
    <x v="0"/>
    <m/>
    <s v=""/>
    <d v="2020-02-02T00:00:00"/>
    <s v=""/>
    <s v="1909000414"/>
  </r>
  <r>
    <s v="1909000415"/>
    <d v="2020-02-02T00:00:00"/>
    <d v="2020-02-02T00:00:00"/>
    <s v="DZ"/>
    <s v="USD"/>
    <n v="-59512"/>
    <n v="-59512"/>
    <s v="BDT"/>
    <s v="EGM2"/>
    <n v="-4996032.41"/>
    <s v="CM ADV REC-424130923819"/>
    <s v="0000001010"/>
    <s v="EG2-05640"/>
    <s v=""/>
    <s v=""/>
    <s v="0"/>
    <s v="424130923819"/>
    <s v=""/>
    <s v=""/>
    <s v=""/>
    <s v=""/>
    <s v=""/>
    <x v="0"/>
    <m/>
    <s v=""/>
    <d v="2020-02-02T00:00:00"/>
    <s v=""/>
    <s v="1909000415"/>
  </r>
  <r>
    <s v="1909000416"/>
    <d v="2020-02-02T00:00:00"/>
    <d v="2020-02-02T00:00:00"/>
    <s v="DZ"/>
    <s v="USD"/>
    <n v="-1000000"/>
    <n v="-1000000"/>
    <s v="BDT"/>
    <s v="EGM1"/>
    <n v="-83950000.010000005"/>
    <s v="CM ADV REC-424130923828"/>
    <s v="0000001010"/>
    <s v="EG3-05518"/>
    <s v=""/>
    <s v=""/>
    <s v="0"/>
    <s v="424130923828"/>
    <s v=""/>
    <s v=""/>
    <s v=""/>
    <s v=""/>
    <s v=""/>
    <x v="0"/>
    <m/>
    <s v=""/>
    <d v="2020-02-02T00:00:00"/>
    <s v=""/>
    <s v="1909000416"/>
  </r>
  <r>
    <s v="1909000417"/>
    <d v="2020-02-02T00:00:00"/>
    <d v="2020-02-02T00:00:00"/>
    <s v="DZ"/>
    <s v="USD"/>
    <n v="-1100265"/>
    <n v="-1100265"/>
    <s v="BDT"/>
    <s v="EGM1"/>
    <n v="-92367246.75"/>
    <s v="CM ADV REC-424130923837"/>
    <s v="0000001010"/>
    <s v="EG1-05527"/>
    <s v=""/>
    <s v=""/>
    <s v="0"/>
    <s v="424130923837"/>
    <s v=""/>
    <s v=""/>
    <s v=""/>
    <s v=""/>
    <s v=""/>
    <x v="0"/>
    <m/>
    <s v=""/>
    <d v="2020-02-02T00:00:00"/>
    <s v=""/>
    <s v="1909000417"/>
  </r>
  <r>
    <s v="1909000418"/>
    <d v="2020-02-04T00:00:00"/>
    <d v="2020-02-04T00:00:00"/>
    <s v="DZ"/>
    <s v="USD"/>
    <n v="-118766.17"/>
    <n v="-118766.17"/>
    <s v="BDT"/>
    <s v="EGM2"/>
    <n v="-9970419.9800000004"/>
    <s v="CM ADV REC-424130925149"/>
    <s v="0000005010"/>
    <s v="EG205319A"/>
    <s v=""/>
    <s v=""/>
    <s v="0"/>
    <s v="424130925149"/>
    <s v=""/>
    <s v=""/>
    <s v=""/>
    <s v=""/>
    <s v=""/>
    <x v="0"/>
    <m/>
    <s v=""/>
    <d v="2020-02-04T00:00:00"/>
    <s v=""/>
    <s v="1909000418"/>
  </r>
  <r>
    <s v="1909000419"/>
    <d v="2020-02-04T00:00:00"/>
    <d v="2020-02-04T00:00:00"/>
    <s v="DZ"/>
    <s v="USD"/>
    <n v="-367148.66"/>
    <n v="-367148.66"/>
    <s v="BDT"/>
    <s v="EGM1"/>
    <n v="-30822130.010000002"/>
    <s v="CM ADV REC-424130925158"/>
    <s v="0000005010"/>
    <s v="EG5-05453"/>
    <s v=""/>
    <s v=""/>
    <s v="0"/>
    <s v="424130925158"/>
    <s v=""/>
    <s v=""/>
    <s v=""/>
    <s v=""/>
    <s v=""/>
    <x v="0"/>
    <m/>
    <s v=""/>
    <d v="2020-02-04T00:00:00"/>
    <s v=""/>
    <s v="1909000419"/>
  </r>
  <r>
    <s v="1909000420"/>
    <d v="2020-02-04T00:00:00"/>
    <d v="2020-02-04T00:00:00"/>
    <s v="DZ"/>
    <s v="USD"/>
    <n v="524.79"/>
    <n v="524.79"/>
    <s v="BDT"/>
    <s v="EGM2"/>
    <n v="44056.12"/>
    <s v="CM ADV ADJ-424130896901"/>
    <s v="0000005010"/>
    <s v="E25425"/>
    <s v=""/>
    <s v=""/>
    <s v="0"/>
    <s v="424130924097"/>
    <s v=""/>
    <s v=""/>
    <s v=""/>
    <s v=""/>
    <s v=""/>
    <x v="0"/>
    <m/>
    <s v=""/>
    <d v="2020-02-04T00:00:00"/>
    <s v=""/>
    <s v="1909000420"/>
  </r>
  <r>
    <s v="1909000420"/>
    <d v="2020-02-04T00:00:00"/>
    <d v="2020-02-04T00:00:00"/>
    <s v="DZ"/>
    <s v="USD"/>
    <n v="8567.84"/>
    <n v="8567.84"/>
    <s v="BDT"/>
    <s v="EGM2"/>
    <n v="719270.17"/>
    <s v="CM ADV ADJ-424130904466"/>
    <s v="0000005010"/>
    <s v="E25425"/>
    <s v=""/>
    <s v=""/>
    <s v="0"/>
    <s v="424130924097"/>
    <s v=""/>
    <s v=""/>
    <s v=""/>
    <s v=""/>
    <s v=""/>
    <x v="0"/>
    <m/>
    <s v=""/>
    <d v="2020-02-04T00:00:00"/>
    <s v=""/>
    <s v="1909000420"/>
  </r>
  <r>
    <s v="1909000420"/>
    <d v="2020-02-04T00:00:00"/>
    <d v="2020-02-04T00:00:00"/>
    <s v="DZ"/>
    <s v="USD"/>
    <n v="995.67"/>
    <n v="995.67"/>
    <s v="BDT"/>
    <s v="EGM2"/>
    <n v="83586.5"/>
    <s v="CM ADV ADJ-424130912359"/>
    <s v="0000005010"/>
    <s v="E25425"/>
    <s v=""/>
    <s v=""/>
    <s v="0"/>
    <s v="424130924097"/>
    <s v=""/>
    <s v=""/>
    <s v=""/>
    <s v=""/>
    <s v=""/>
    <x v="0"/>
    <m/>
    <s v=""/>
    <d v="2020-02-04T00:00:00"/>
    <s v=""/>
    <s v="1909000420"/>
  </r>
  <r>
    <s v="1909000421"/>
    <d v="2020-02-04T00:00:00"/>
    <d v="2020-02-04T00:00:00"/>
    <s v="DZ"/>
    <s v="USD"/>
    <n v="2565.08"/>
    <n v="2565.08"/>
    <s v="BDT"/>
    <s v="EGM1"/>
    <n v="215338.47"/>
    <s v="CM ADV ADJ-424130912340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1"/>
    <d v="2020-02-04T00:00:00"/>
    <d v="2020-02-04T00:00:00"/>
    <s v="DZ"/>
    <s v="USD"/>
    <n v="3530.63"/>
    <n v="3530.63"/>
    <s v="BDT"/>
    <s v="EGM1"/>
    <n v="296396.39"/>
    <s v="CM ADV ADJ-424130904457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1"/>
    <d v="2020-02-04T00:00:00"/>
    <d v="2020-02-04T00:00:00"/>
    <s v="DZ"/>
    <s v="USD"/>
    <n v="3743.82"/>
    <n v="3743.82"/>
    <s v="BDT"/>
    <s v="EGM1"/>
    <n v="314293.69"/>
    <s v="CM ADV ADJ-424130896894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1"/>
    <d v="2020-02-04T00:00:00"/>
    <d v="2020-02-04T00:00:00"/>
    <s v="DZ"/>
    <s v="USD"/>
    <n v="535.99"/>
    <n v="535.99"/>
    <s v="BDT"/>
    <s v="EGM1"/>
    <n v="44996.36"/>
    <s v="CM ADV ADJ-424130887467"/>
    <s v="0000005010"/>
    <s v="0041"/>
    <s v=""/>
    <s v=""/>
    <s v="0"/>
    <s v="424130924140"/>
    <s v=""/>
    <s v=""/>
    <s v=""/>
    <s v=""/>
    <s v=""/>
    <x v="0"/>
    <m/>
    <s v=""/>
    <d v="2020-02-04T00:00:00"/>
    <s v=""/>
    <s v="1909000421"/>
  </r>
  <r>
    <s v="1909000422"/>
    <d v="2020-02-04T00:00:00"/>
    <d v="2020-02-04T00:00:00"/>
    <s v="DZ"/>
    <s v="USD"/>
    <n v="1368"/>
    <n v="1368"/>
    <s v="BDT"/>
    <s v="EGM1"/>
    <n v="114228"/>
    <s v="CM ADV ADJ-424130869147"/>
    <s v="0000001010"/>
    <s v="5364"/>
    <s v=""/>
    <s v=""/>
    <s v="0"/>
    <s v="424130924131"/>
    <s v=""/>
    <s v=""/>
    <s v=""/>
    <s v=""/>
    <s v=""/>
    <x v="0"/>
    <m/>
    <s v=""/>
    <d v="2020-02-04T00:00:00"/>
    <s v=""/>
    <s v="1909000422"/>
  </r>
  <r>
    <s v="1909000422"/>
    <d v="2020-02-04T00:00:00"/>
    <d v="2020-02-04T00:00:00"/>
    <s v="DZ"/>
    <s v="USD"/>
    <n v="1804"/>
    <n v="1804"/>
    <s v="BDT"/>
    <s v="EGM1"/>
    <n v="150634"/>
    <s v="CM ADV ADJ-424130854527"/>
    <s v="0000001010"/>
    <s v="5364"/>
    <s v=""/>
    <s v=""/>
    <s v="0"/>
    <s v="424130924131"/>
    <s v=""/>
    <s v=""/>
    <s v=""/>
    <s v=""/>
    <s v=""/>
    <x v="0"/>
    <m/>
    <s v=""/>
    <d v="2020-02-04T00:00:00"/>
    <s v=""/>
    <s v="1909000422"/>
  </r>
  <r>
    <s v="1909000422"/>
    <d v="2020-02-04T00:00:00"/>
    <d v="2020-02-04T00:00:00"/>
    <s v="DZ"/>
    <s v="USD"/>
    <n v="2545"/>
    <n v="2545"/>
    <s v="BDT"/>
    <s v="EGM1"/>
    <n v="213652.75"/>
    <s v="CM ADV ADJ-424130911742"/>
    <s v="0000001010"/>
    <s v="5364"/>
    <s v=""/>
    <s v=""/>
    <s v="0"/>
    <s v="424130924131"/>
    <s v=""/>
    <s v=""/>
    <s v=""/>
    <s v=""/>
    <s v=""/>
    <x v="0"/>
    <m/>
    <s v=""/>
    <d v="2020-02-04T00:00:00"/>
    <s v=""/>
    <s v="1909000422"/>
  </r>
  <r>
    <s v="1909000424"/>
    <d v="2020-02-06T00:00:00"/>
    <d v="2020-02-06T00:00:00"/>
    <s v="DZ"/>
    <s v="USD"/>
    <n v="434"/>
    <n v="434"/>
    <s v="BDT"/>
    <s v="EGM1"/>
    <n v="36434.300000000003"/>
    <s v="CM ADV ADJ-424130902609"/>
    <s v="0000001010"/>
    <s v="E4517KH20US0010"/>
    <s v=""/>
    <s v=""/>
    <s v="0"/>
    <s v="424130926326"/>
    <s v=""/>
    <s v=""/>
    <s v=""/>
    <s v=""/>
    <s v=""/>
    <x v="0"/>
    <m/>
    <s v=""/>
    <d v="2020-02-06T00:00:00"/>
    <s v=""/>
    <s v="1909000424"/>
  </r>
  <r>
    <s v="1909000424"/>
    <d v="2020-02-06T00:00:00"/>
    <d v="2020-02-06T00:00:00"/>
    <s v="DZ"/>
    <s v="USD"/>
    <n v="429"/>
    <n v="429"/>
    <s v="BDT"/>
    <s v="EGM1"/>
    <n v="36014.550000000003"/>
    <s v="CM ADV ADJ-424130902618"/>
    <s v="0000001010"/>
    <s v="E4517KH20US0010"/>
    <s v=""/>
    <s v=""/>
    <s v="0"/>
    <s v="424130926326"/>
    <s v=""/>
    <s v=""/>
    <s v=""/>
    <s v=""/>
    <s v=""/>
    <x v="0"/>
    <m/>
    <s v=""/>
    <d v="2020-02-06T00:00:00"/>
    <s v=""/>
    <s v="1909000424"/>
  </r>
  <r>
    <s v="1909000425"/>
    <d v="2020-02-06T00:00:00"/>
    <d v="2020-02-06T00:00:00"/>
    <s v="DZ"/>
    <s v="USD"/>
    <n v="2905.85"/>
    <n v="2905.85"/>
    <s v="BDT"/>
    <s v="EGM1"/>
    <n v="243946.11"/>
    <s v="CM ADV ADJ-424130912340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5"/>
    <d v="2020-02-06T00:00:00"/>
    <d v="2020-02-06T00:00:00"/>
    <s v="DZ"/>
    <s v="USD"/>
    <n v="15517.79"/>
    <n v="15517.79"/>
    <s v="BDT"/>
    <s v="EGM1"/>
    <n v="1302718.47"/>
    <s v="CM ADV ADJ-424130904457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5"/>
    <d v="2020-02-06T00:00:00"/>
    <d v="2020-02-06T00:00:00"/>
    <s v="DZ"/>
    <s v="USD"/>
    <n v="13813.88"/>
    <n v="13813.88"/>
    <s v="BDT"/>
    <s v="EGM1"/>
    <n v="1159675.23"/>
    <s v="CM ADV ADJ-424130896894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5"/>
    <d v="2020-02-06T00:00:00"/>
    <d v="2020-02-06T00:00:00"/>
    <s v="DZ"/>
    <s v="USD"/>
    <n v="2692.91"/>
    <n v="2692.91"/>
    <s v="BDT"/>
    <s v="EGM1"/>
    <n v="225800.5"/>
    <s v="CM AD ADJ-424130880767"/>
    <s v="0000005010"/>
    <s v="E5338TS19CE0058"/>
    <s v=""/>
    <s v=""/>
    <s v="0"/>
    <s v="424130926335"/>
    <s v=""/>
    <s v=""/>
    <s v=""/>
    <s v=""/>
    <s v=""/>
    <x v="0"/>
    <m/>
    <s v=""/>
    <d v="2020-02-06T00:00:00"/>
    <s v=""/>
    <s v="1909000425"/>
  </r>
  <r>
    <s v="1909000426"/>
    <d v="2020-02-06T00:00:00"/>
    <d v="2020-02-06T00:00:00"/>
    <s v="DZ"/>
    <s v="USD"/>
    <n v="40293"/>
    <n v="40293"/>
    <s v="BDT"/>
    <s v="EGM1"/>
    <n v="3364465.5"/>
    <s v="CM ADV ADJ-424130869147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63296"/>
    <n v="63296"/>
    <s v="BDT"/>
    <s v="EGM1"/>
    <n v="5313699.2"/>
    <s v="CM ADV ADJ-424130887458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137857"/>
    <n v="137857"/>
    <s v="BDT"/>
    <s v="EGM1"/>
    <n v="11573095.15"/>
    <s v="CM ADV ADJ-424130923837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34706"/>
    <n v="34706"/>
    <s v="BDT"/>
    <s v="EGM1"/>
    <n v="2910098.1"/>
    <s v="CM ADV ADJ-424130871205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64079"/>
    <n v="64079"/>
    <s v="BDT"/>
    <s v="EGM1"/>
    <n v="5379432.0499999998"/>
    <s v="CM ADV ADJ-424130889090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50448"/>
    <n v="50448"/>
    <s v="BDT"/>
    <s v="EGM1"/>
    <n v="4235109.5999999996"/>
    <s v="CM ADV ADJ-424130902609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26555"/>
    <n v="26555"/>
    <s v="BDT"/>
    <s v="EGM1"/>
    <n v="2229292.25"/>
    <s v="CM ADV ADJ-424130902618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6393"/>
    <n v="6393"/>
    <s v="BDT"/>
    <s v="EGM1"/>
    <n v="536692.35"/>
    <s v="CM Adv adj-424130897759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6"/>
    <d v="2020-02-06T00:00:00"/>
    <d v="2020-02-06T00:00:00"/>
    <s v="DZ"/>
    <s v="USD"/>
    <n v="2696"/>
    <n v="2696"/>
    <s v="BDT"/>
    <s v="EGM1"/>
    <n v="226329.2"/>
    <s v="CM ADV ADJ-424130911742"/>
    <s v="0000001010"/>
    <s v="E0536US20-0048"/>
    <s v=""/>
    <s v=""/>
    <s v="0"/>
    <s v="424130926852"/>
    <s v=""/>
    <s v=""/>
    <s v=""/>
    <s v=""/>
    <s v=""/>
    <x v="0"/>
    <m/>
    <s v=""/>
    <d v="2020-02-06T00:00:00"/>
    <s v=""/>
    <s v="1909000426"/>
  </r>
  <r>
    <s v="1909000428"/>
    <d v="2020-01-31T00:00:00"/>
    <d v="2020-01-31T00:00:00"/>
    <s v="DZ"/>
    <s v="USD"/>
    <n v="23551"/>
    <n v="23551"/>
    <s v="BDT"/>
    <s v="EGM1"/>
    <n v="1977106.45"/>
    <s v="FIT-CM ADV DWC-JAN-20"/>
    <s v="0000005010"/>
    <s v="FIT-CMDWC-JAN-20"/>
    <s v=""/>
    <s v=""/>
    <s v="0"/>
    <s v="FIT-CM ADV DWC-JAN-20"/>
    <s v=""/>
    <s v=""/>
    <s v=""/>
    <s v=""/>
    <s v=""/>
    <x v="0"/>
    <d v="2020-02-29T00:00:00"/>
    <s v="1903007775"/>
    <d v="2020-01-31T00:00:00"/>
    <s v=""/>
    <s v="1909000428"/>
  </r>
  <r>
    <s v="1909000429"/>
    <d v="2020-02-10T00:00:00"/>
    <d v="2020-02-10T00:00:00"/>
    <s v="DZ"/>
    <s v="USD"/>
    <n v="2004"/>
    <n v="2004"/>
    <s v="BDT"/>
    <s v="EGM2"/>
    <n v="168235.8"/>
    <s v="CM ADV ADJ-424130911733"/>
    <s v="0000001010"/>
    <s v="05566200044GB"/>
    <s v=""/>
    <s v=""/>
    <s v="0"/>
    <s v="424130926870"/>
    <s v=""/>
    <s v=""/>
    <s v=""/>
    <s v=""/>
    <s v=""/>
    <x v="0"/>
    <m/>
    <s v=""/>
    <d v="2020-02-10T00:00:00"/>
    <s v=""/>
    <s v="1909000429"/>
  </r>
  <r>
    <s v="1909000430"/>
    <d v="2020-02-10T00:00:00"/>
    <d v="2020-02-10T00:00:00"/>
    <s v="DZ"/>
    <s v="USD"/>
    <n v="56700"/>
    <n v="56700"/>
    <s v="BDT"/>
    <s v="EGM1"/>
    <n v="4759965"/>
    <s v="CM ADV ADJ-424130923837"/>
    <s v="0000001010"/>
    <s v="5509CAND20GR0095"/>
    <s v=""/>
    <s v=""/>
    <s v="0"/>
    <s v="424130926861"/>
    <s v=""/>
    <s v=""/>
    <s v=""/>
    <s v=""/>
    <s v=""/>
    <x v="0"/>
    <m/>
    <s v=""/>
    <d v="2020-02-10T00:00:00"/>
    <s v=""/>
    <s v="1909000430"/>
  </r>
  <r>
    <s v="1909000431"/>
    <d v="2020-02-10T00:00:00"/>
    <d v="2020-02-10T00:00:00"/>
    <s v="DZ"/>
    <s v="USD"/>
    <n v="42008"/>
    <n v="42008"/>
    <s v="BDT"/>
    <s v="EGM1"/>
    <n v="3526571.6"/>
    <s v="CM ADV ADJ-424130902609"/>
    <s v="0000001010"/>
    <s v="0049"/>
    <s v=""/>
    <s v=""/>
    <s v="0"/>
    <s v="424130924113"/>
    <s v=""/>
    <s v=""/>
    <s v=""/>
    <s v=""/>
    <s v=""/>
    <x v="0"/>
    <m/>
    <s v=""/>
    <d v="2020-02-10T00:00:00"/>
    <s v=""/>
    <s v="1909000431"/>
  </r>
  <r>
    <s v="1909000431"/>
    <d v="2020-02-10T00:00:00"/>
    <d v="2020-02-10T00:00:00"/>
    <s v="DZ"/>
    <s v="USD"/>
    <n v="4754"/>
    <n v="4754"/>
    <s v="BDT"/>
    <s v="EGM1"/>
    <n v="399098.3"/>
    <s v="CM ADV ADJ-424130902618"/>
    <s v="0000001010"/>
    <s v="0049"/>
    <s v=""/>
    <s v=""/>
    <s v="0"/>
    <s v="424130924113"/>
    <s v=""/>
    <s v=""/>
    <s v=""/>
    <s v=""/>
    <s v=""/>
    <x v="0"/>
    <m/>
    <s v=""/>
    <d v="2020-02-10T00:00:00"/>
    <s v=""/>
    <s v="1909000431"/>
  </r>
  <r>
    <s v="1909000432"/>
    <d v="2020-02-10T00:00:00"/>
    <d v="2020-02-10T00:00:00"/>
    <s v="DZ"/>
    <s v="USD"/>
    <n v="2437"/>
    <n v="2437"/>
    <s v="BDT"/>
    <s v="EGM1"/>
    <n v="203489.5"/>
    <s v="CM ADV ADJ-424130823936"/>
    <s v="0000001010"/>
    <s v="E5440"/>
    <s v=""/>
    <s v=""/>
    <s v="0"/>
    <s v="424130924104"/>
    <s v=""/>
    <s v=""/>
    <s v=""/>
    <s v=""/>
    <s v=""/>
    <x v="0"/>
    <d v="2020-06-30T00:00:00"/>
    <s v="1906000017"/>
    <d v="2020-02-10T00:00:00"/>
    <s v=""/>
    <s v="1909000432"/>
  </r>
  <r>
    <s v="1909000432"/>
    <d v="2020-02-10T00:00:00"/>
    <d v="2020-02-10T00:00:00"/>
    <s v="DZ"/>
    <s v="USD"/>
    <n v="20308"/>
    <n v="20308"/>
    <s v="BDT"/>
    <s v="EGM1"/>
    <n v="1695718"/>
    <s v="CM ADV ADJ-424130838243"/>
    <s v="0000001010"/>
    <s v="E5440"/>
    <s v=""/>
    <s v=""/>
    <s v="0"/>
    <s v="424130924104"/>
    <s v=""/>
    <s v=""/>
    <s v=""/>
    <s v=""/>
    <s v=""/>
    <x v="0"/>
    <m/>
    <s v=""/>
    <d v="2020-02-10T00:00:00"/>
    <s v=""/>
    <s v="1909000432"/>
  </r>
  <r>
    <s v="1909000432"/>
    <d v="2020-02-10T00:00:00"/>
    <d v="2020-02-10T00:00:00"/>
    <s v="DZ"/>
    <s v="USD"/>
    <n v="22745"/>
    <n v="22745"/>
    <s v="BDT"/>
    <s v="EGM1"/>
    <n v="1909442.75"/>
    <s v="CM ADV ADJ-424130911742"/>
    <s v="0000001010"/>
    <s v="E5440"/>
    <s v=""/>
    <s v=""/>
    <s v="0"/>
    <s v="424130924104"/>
    <s v=""/>
    <s v=""/>
    <s v=""/>
    <s v=""/>
    <s v=""/>
    <x v="0"/>
    <m/>
    <s v=""/>
    <d v="2020-02-10T00:00:00"/>
    <s v=""/>
    <s v="1909000432"/>
  </r>
  <r>
    <s v="1909000433"/>
    <d v="2020-02-11T00:00:00"/>
    <d v="2020-02-11T00:00:00"/>
    <s v="DZ"/>
    <s v="USD"/>
    <n v="10343"/>
    <n v="10343"/>
    <s v="BDT"/>
    <s v="EGM1"/>
    <n v="868294.85"/>
    <s v="CM AD ADJ-424130923837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10856"/>
    <n v="10856"/>
    <s v="BDT"/>
    <s v="EGM1"/>
    <n v="911361.2"/>
    <s v="CM AD ADJ-424130902609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11031"/>
    <n v="11031"/>
    <s v="BDT"/>
    <s v="EGM1"/>
    <n v="926052.45"/>
    <s v="CM AD ADJ-424130902618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2424"/>
    <n v="2424"/>
    <s v="BDT"/>
    <s v="EGM1"/>
    <n v="203494.8"/>
    <s v="CM AD ADJ-424130897759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3"/>
    <d v="2020-02-11T00:00:00"/>
    <d v="2020-02-11T00:00:00"/>
    <s v="DZ"/>
    <s v="USD"/>
    <n v="494"/>
    <n v="494"/>
    <s v="BDT"/>
    <s v="EGM1"/>
    <n v="41471.300000000003"/>
    <s v="CM AD ADJ-424130911742"/>
    <s v="0000001010"/>
    <s v="E53650B20UK0116"/>
    <s v=""/>
    <s v=""/>
    <s v="0"/>
    <s v="424130927646"/>
    <s v=""/>
    <s v=""/>
    <s v=""/>
    <s v=""/>
    <s v=""/>
    <x v="0"/>
    <m/>
    <s v=""/>
    <d v="2020-02-11T00:00:00"/>
    <s v=""/>
    <s v="1909000433"/>
  </r>
  <r>
    <s v="1909000435"/>
    <d v="2020-01-31T00:00:00"/>
    <d v="2020-01-31T00:00:00"/>
    <s v="DZ"/>
    <s v="USD"/>
    <n v="-2159776"/>
    <n v="-2159776"/>
    <s v="BDT"/>
    <s v="EGM1"/>
    <n v="-180298100.47999999"/>
    <s v="FIT-CM ADV EDL-JAN-20"/>
    <s v="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9000435"/>
  </r>
  <r>
    <s v="1909000435"/>
    <d v="2020-01-31T00:00:00"/>
    <d v="2020-01-31T00:00:00"/>
    <s v="DZ"/>
    <s v="USD"/>
    <n v="97969"/>
    <n v="97969"/>
    <s v="BDT"/>
    <s v="EGM1"/>
    <n v="8178452.1200000001"/>
    <s v="FIT-CM ADV EDL-JAN-20"/>
    <s v="0000001010"/>
    <s v="FIT-CM-EDL-JAN20"/>
    <s v=""/>
    <s v=""/>
    <s v="0"/>
    <s v="FIT-CMADV-EDL-JAN-20"/>
    <s v=""/>
    <s v=""/>
    <s v=""/>
    <s v=""/>
    <s v=""/>
    <x v="0"/>
    <d v="2020-02-29T00:00:00"/>
    <s v="1903007768"/>
    <d v="2020-01-31T00:00:00"/>
    <s v=""/>
    <s v="1909000435"/>
  </r>
  <r>
    <s v="1909000436"/>
    <d v="2020-02-11T00:00:00"/>
    <d v="2020-02-11T00:00:00"/>
    <s v="DZ"/>
    <s v="USD"/>
    <n v="33048"/>
    <n v="33048"/>
    <s v="BDT"/>
    <s v="EGM1"/>
    <n v="2774379.6"/>
    <s v="CM AD ADJ-424130923837"/>
    <s v="0000001010"/>
    <s v="E546SB20UK0055"/>
    <s v=""/>
    <s v=""/>
    <s v="0"/>
    <s v="424130927628"/>
    <s v=""/>
    <s v=""/>
    <s v=""/>
    <s v=""/>
    <s v=""/>
    <x v="0"/>
    <m/>
    <s v=""/>
    <d v="2020-02-11T00:00:00"/>
    <s v=""/>
    <s v="1909000436"/>
  </r>
  <r>
    <s v="1909000436"/>
    <d v="2020-02-11T00:00:00"/>
    <d v="2020-02-11T00:00:00"/>
    <s v="DZ"/>
    <s v="USD"/>
    <n v="14806"/>
    <n v="14806"/>
    <s v="BDT"/>
    <s v="EGM1"/>
    <n v="1242963.7"/>
    <s v="CM AD ADJ-424130902609"/>
    <s v="0000001010"/>
    <s v="E546SB20UK0055"/>
    <s v=""/>
    <s v=""/>
    <s v="0"/>
    <s v="424130927628"/>
    <s v=""/>
    <s v=""/>
    <s v=""/>
    <s v=""/>
    <s v=""/>
    <x v="0"/>
    <m/>
    <s v=""/>
    <d v="2020-02-11T00:00:00"/>
    <s v=""/>
    <s v="1909000436"/>
  </r>
  <r>
    <s v="1909000437"/>
    <d v="2020-02-11T00:00:00"/>
    <d v="2020-02-11T00:00:00"/>
    <s v="DZ"/>
    <s v="USD"/>
    <n v="8772"/>
    <n v="8772"/>
    <s v="BDT"/>
    <s v="EGM1"/>
    <n v="736409.4"/>
    <s v="CM AD ADJ-424130923837"/>
    <s v="0000001010"/>
    <s v="E5417KH20US0092"/>
    <s v=""/>
    <s v=""/>
    <s v="0"/>
    <s v="424130927655"/>
    <s v=""/>
    <s v=""/>
    <s v=""/>
    <s v=""/>
    <s v=""/>
    <x v="0"/>
    <m/>
    <s v=""/>
    <d v="2020-02-11T00:00:00"/>
    <s v=""/>
    <s v="1909000437"/>
  </r>
  <r>
    <s v="1909000437"/>
    <d v="2020-02-11T00:00:00"/>
    <d v="2020-02-11T00:00:00"/>
    <s v="DZ"/>
    <s v="USD"/>
    <n v="50371"/>
    <n v="50371"/>
    <s v="BDT"/>
    <s v="EGM1"/>
    <n v="4228645.45"/>
    <s v="CM AD ADJ-424130902609"/>
    <s v="0000001010"/>
    <s v="E5417KH20US0092"/>
    <s v=""/>
    <s v=""/>
    <s v="0"/>
    <s v="424130927655"/>
    <s v=""/>
    <s v=""/>
    <s v=""/>
    <s v=""/>
    <s v=""/>
    <x v="0"/>
    <m/>
    <s v=""/>
    <d v="2020-02-11T00:00:00"/>
    <s v=""/>
    <s v="1909000437"/>
  </r>
  <r>
    <s v="1909000437"/>
    <d v="2020-02-11T00:00:00"/>
    <d v="2020-02-11T00:00:00"/>
    <s v="DZ"/>
    <s v="USD"/>
    <n v="8246"/>
    <n v="8246"/>
    <s v="BDT"/>
    <s v="EGM1"/>
    <n v="692251.7"/>
    <s v="CM AD ADJ-424130902618"/>
    <s v="0000001010"/>
    <s v="E5417KH20US0092"/>
    <s v=""/>
    <s v=""/>
    <s v="0"/>
    <s v="424130927655"/>
    <s v=""/>
    <s v=""/>
    <s v=""/>
    <s v=""/>
    <s v=""/>
    <x v="0"/>
    <m/>
    <s v=""/>
    <d v="2020-02-11T00:00:00"/>
    <s v=""/>
    <s v="1909000437"/>
  </r>
  <r>
    <s v="1909000438"/>
    <d v="2020-02-11T00:00:00"/>
    <d v="2020-02-11T00:00:00"/>
    <s v="DZ"/>
    <s v="USD"/>
    <n v="5276"/>
    <n v="5276"/>
    <s v="BDT"/>
    <s v="EGM2"/>
    <n v="442920.2"/>
    <s v="CM AD ADJ-424130911742"/>
    <s v="0000001010"/>
    <s v="055952000620E"/>
    <s v=""/>
    <s v=""/>
    <s v="0"/>
    <s v="424130927637"/>
    <s v=""/>
    <s v=""/>
    <s v=""/>
    <s v=""/>
    <s v=""/>
    <x v="0"/>
    <m/>
    <s v=""/>
    <d v="2020-02-11T00:00:00"/>
    <s v=""/>
    <s v="1909000438"/>
  </r>
  <r>
    <s v="1909000438"/>
    <d v="2020-02-11T00:00:00"/>
    <d v="2020-02-11T00:00:00"/>
    <s v="DZ"/>
    <s v="USD"/>
    <n v="829"/>
    <n v="829"/>
    <s v="BDT"/>
    <s v="EGM2"/>
    <n v="69594.55"/>
    <s v="CM AD ADJ-424130923819"/>
    <s v="0000001010"/>
    <s v="055952000620E"/>
    <s v=""/>
    <s v=""/>
    <s v="0"/>
    <s v="424130927637"/>
    <s v=""/>
    <s v=""/>
    <s v=""/>
    <s v=""/>
    <s v=""/>
    <x v="0"/>
    <m/>
    <s v=""/>
    <d v="2020-02-11T00:00:00"/>
    <s v=""/>
    <s v="1909000438"/>
  </r>
  <r>
    <s v="1909000440"/>
    <d v="2020-02-12T00:00:00"/>
    <d v="2020-02-12T00:00:00"/>
    <s v="DZ"/>
    <s v="USD"/>
    <n v="17462.18"/>
    <n v="17462.18"/>
    <s v="BDT"/>
    <s v="EGM2"/>
    <n v="1465950.01"/>
    <s v="CM AD ADJ-424130896901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0"/>
    <d v="2020-02-12T00:00:00"/>
    <d v="2020-02-12T00:00:00"/>
    <s v="DZ"/>
    <s v="USD"/>
    <n v="24274.44"/>
    <n v="24274.44"/>
    <s v="BDT"/>
    <s v="EGM2"/>
    <n v="2037839.24"/>
    <s v="CM AD ADJ-424130886565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0"/>
    <d v="2020-02-12T00:00:00"/>
    <d v="2020-02-12T00:00:00"/>
    <s v="DZ"/>
    <s v="USD"/>
    <n v="3303.63"/>
    <n v="3303.63"/>
    <s v="BDT"/>
    <s v="EGM2"/>
    <n v="277339.74"/>
    <s v="CM AD ADJ-424130904466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0"/>
    <d v="2020-02-12T00:00:00"/>
    <d v="2020-02-12T00:00:00"/>
    <s v="DZ"/>
    <s v="USD"/>
    <n v="375.24"/>
    <n v="375.24"/>
    <s v="BDT"/>
    <s v="EGM2"/>
    <n v="31501.4"/>
    <s v="CM AD ADJ-424130912359"/>
    <s v="0000005010"/>
    <s v="E25318AC20KT0043"/>
    <s v=""/>
    <s v=""/>
    <s v="0"/>
    <s v="424130928805"/>
    <s v=""/>
    <s v=""/>
    <s v=""/>
    <s v=""/>
    <s v=""/>
    <x v="0"/>
    <m/>
    <s v=""/>
    <d v="2020-02-12T00:00:00"/>
    <s v=""/>
    <s v="1909000440"/>
  </r>
  <r>
    <s v="1909000441"/>
    <d v="2020-02-12T00:00:00"/>
    <d v="2020-02-12T00:00:00"/>
    <s v="DZ"/>
    <s v="USD"/>
    <n v="14420.89"/>
    <n v="14420.89"/>
    <s v="BDT"/>
    <s v="EGM2"/>
    <n v="1210633.72"/>
    <s v="CM AD ADJ-424130896901"/>
    <s v="0000005010"/>
    <s v="E25425AC20KT0040"/>
    <s v=""/>
    <s v=""/>
    <s v="0"/>
    <s v="424130928770"/>
    <s v=""/>
    <s v=""/>
    <s v=""/>
    <s v=""/>
    <s v=""/>
    <x v="0"/>
    <m/>
    <s v=""/>
    <d v="2020-02-12T00:00:00"/>
    <s v=""/>
    <s v="1909000441"/>
  </r>
  <r>
    <s v="1909000441"/>
    <d v="2020-02-12T00:00:00"/>
    <d v="2020-02-12T00:00:00"/>
    <s v="DZ"/>
    <s v="USD"/>
    <n v="26046.69"/>
    <n v="26046.69"/>
    <s v="BDT"/>
    <s v="EGM2"/>
    <n v="2186619.63"/>
    <s v="CM AD ADJ-424130904466"/>
    <s v="0000005010"/>
    <s v="E25425AC20KT0040"/>
    <s v=""/>
    <s v=""/>
    <s v="0"/>
    <s v="424130928770"/>
    <s v=""/>
    <s v=""/>
    <s v=""/>
    <s v=""/>
    <s v=""/>
    <x v="0"/>
    <m/>
    <s v=""/>
    <d v="2020-02-12T00:00:00"/>
    <s v=""/>
    <s v="1909000441"/>
  </r>
  <r>
    <s v="1909000442"/>
    <d v="2020-02-12T00:00:00"/>
    <d v="2020-02-12T00:00:00"/>
    <s v="DZ"/>
    <s v="USD"/>
    <n v="9444.3799999999992"/>
    <n v="9444.3799999999992"/>
    <s v="BDT"/>
    <s v="EGM1"/>
    <n v="792855.7"/>
    <s v="CM AD ADJ-424130912340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35507.300000000003"/>
    <n v="35507.300000000003"/>
    <s v="BDT"/>
    <s v="EGM1"/>
    <n v="2980837.84"/>
    <s v="CM AD ADJ-424130904457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15795.81"/>
    <n v="15795.81"/>
    <s v="BDT"/>
    <s v="EGM1"/>
    <n v="1326058.25"/>
    <s v="CM AD ADJ-424130925158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14879.15"/>
    <n v="14879.15"/>
    <s v="BDT"/>
    <s v="EGM1"/>
    <n v="1249104.6399999999"/>
    <s v="CM AD ADJ-424130896894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2"/>
    <d v="2020-02-12T00:00:00"/>
    <d v="2020-02-12T00:00:00"/>
    <s v="DZ"/>
    <s v="USD"/>
    <n v="3679.92"/>
    <n v="3679.92"/>
    <s v="BDT"/>
    <s v="EGM1"/>
    <n v="308929.28000000003"/>
    <s v="CM AD ADJ-424130887467"/>
    <s v="0000005010"/>
    <s v="E55480AC20KT0044"/>
    <s v=""/>
    <s v=""/>
    <s v="0"/>
    <s v="E55480AC20KT0044"/>
    <s v=""/>
    <s v=""/>
    <s v=""/>
    <s v=""/>
    <s v=""/>
    <x v="0"/>
    <m/>
    <s v=""/>
    <d v="2020-02-12T00:00:00"/>
    <s v=""/>
    <s v="1909000442"/>
  </r>
  <r>
    <s v="1909000443"/>
    <d v="2020-02-12T00:00:00"/>
    <d v="2020-02-12T00:00:00"/>
    <s v="DZ"/>
    <s v="USD"/>
    <n v="604"/>
    <n v="604"/>
    <s v="BDT"/>
    <s v="EGM1"/>
    <n v="50705.8"/>
    <s v="CM AD ADJ-424130887458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233176"/>
    <n v="233176"/>
    <s v="BDT"/>
    <s v="EGM1"/>
    <n v="19575125.199999999"/>
    <s v="CM AD ADJ-424130923837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8867"/>
    <n v="8867"/>
    <s v="BDT"/>
    <s v="EGM1"/>
    <n v="740394.5"/>
    <s v="CM AD ADJ-424130851922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8670"/>
    <n v="8670"/>
    <s v="BDT"/>
    <s v="EGM1"/>
    <n v="723945"/>
    <s v="CM AD ADJ-424130854527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43732"/>
    <n v="43732"/>
    <s v="BDT"/>
    <s v="EGM1"/>
    <n v="3671301.4"/>
    <s v="CM AD ADJ-424130902618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3"/>
    <d v="2020-02-12T00:00:00"/>
    <d v="2020-02-12T00:00:00"/>
    <s v="DZ"/>
    <s v="USD"/>
    <n v="31006"/>
    <n v="31006"/>
    <s v="BDT"/>
    <s v="EGM1"/>
    <n v="2602953.7000000002"/>
    <s v="CM AD ADJ-424130897759"/>
    <s v="0000001010"/>
    <s v="E05414US20-0073"/>
    <s v=""/>
    <s v=""/>
    <s v="0"/>
    <s v="424130928761"/>
    <s v=""/>
    <s v=""/>
    <s v=""/>
    <s v=""/>
    <s v=""/>
    <x v="0"/>
    <m/>
    <s v=""/>
    <d v="2020-02-12T00:00:00"/>
    <s v=""/>
    <s v="1909000443"/>
  </r>
  <r>
    <s v="1909000444"/>
    <d v="2020-02-12T00:00:00"/>
    <d v="2020-02-12T00:00:00"/>
    <s v="DZ"/>
    <s v="USD"/>
    <n v="182"/>
    <n v="182"/>
    <s v="BDT"/>
    <s v="EGM1"/>
    <n v="15278.9"/>
    <s v="CM AD ADJ-424130887458"/>
    <s v="0000001010"/>
    <s v="E05565US20-0083"/>
    <s v=""/>
    <s v=""/>
    <s v="0"/>
    <s v="424130928798"/>
    <s v=""/>
    <s v=""/>
    <s v=""/>
    <s v=""/>
    <s v=""/>
    <x v="0"/>
    <m/>
    <s v=""/>
    <d v="2020-02-12T00:00:00"/>
    <s v=""/>
    <s v="1909000444"/>
  </r>
  <r>
    <s v="1909000444"/>
    <d v="2020-02-12T00:00:00"/>
    <d v="2020-02-12T00:00:00"/>
    <s v="DZ"/>
    <s v="USD"/>
    <n v="670"/>
    <n v="670"/>
    <s v="BDT"/>
    <s v="EGM1"/>
    <n v="56246.5"/>
    <s v="CM AD ADJ-424130923837"/>
    <s v="0000001010"/>
    <s v="E05565US20-0083"/>
    <s v=""/>
    <s v=""/>
    <s v="0"/>
    <s v="424130928798"/>
    <s v=""/>
    <s v=""/>
    <s v=""/>
    <s v=""/>
    <s v=""/>
    <x v="0"/>
    <m/>
    <s v=""/>
    <d v="2020-02-12T00:00:00"/>
    <s v=""/>
    <s v="1909000444"/>
  </r>
  <r>
    <s v="1909000445"/>
    <d v="2020-02-13T00:00:00"/>
    <d v="2020-02-13T00:00:00"/>
    <s v="DZ"/>
    <s v="USD"/>
    <n v="5040.21"/>
    <n v="5040.21"/>
    <s v="BDT"/>
    <s v="EGM2"/>
    <n v="423125.63"/>
    <s v="CM AD ADJ-424130896901"/>
    <s v="0000005010"/>
    <s v="E25425AC20JF0039"/>
    <s v=""/>
    <s v=""/>
    <s v="0"/>
    <s v="424130929494"/>
    <s v=""/>
    <s v=""/>
    <s v=""/>
    <s v=""/>
    <s v=""/>
    <x v="0"/>
    <m/>
    <s v=""/>
    <d v="2020-02-13T00:00:00"/>
    <s v=""/>
    <s v="1909000445"/>
  </r>
  <r>
    <s v="1909000445"/>
    <d v="2020-02-13T00:00:00"/>
    <d v="2020-02-13T00:00:00"/>
    <s v="DZ"/>
    <s v="USD"/>
    <n v="6798.27"/>
    <n v="6798.27"/>
    <s v="BDT"/>
    <s v="EGM2"/>
    <n v="570714.77"/>
    <s v="CM AD ADJ-424130904466"/>
    <s v="0000005010"/>
    <s v="E25425AC20JF0039"/>
    <s v=""/>
    <s v=""/>
    <s v="0"/>
    <s v="424130929494"/>
    <s v=""/>
    <s v=""/>
    <s v=""/>
    <s v=""/>
    <s v=""/>
    <x v="0"/>
    <m/>
    <s v=""/>
    <d v="2020-02-13T00:00:00"/>
    <s v=""/>
    <s v="1909000445"/>
  </r>
  <r>
    <s v="1909000446"/>
    <d v="2020-02-16T00:00:00"/>
    <d v="2020-02-16T00:00:00"/>
    <s v="DZ"/>
    <s v="USD"/>
    <n v="6494.43"/>
    <n v="6494.43"/>
    <s v="BDT"/>
    <s v="EGM2"/>
    <n v="545207.4"/>
    <s v="CM AD ADJ-424130912359"/>
    <s v="0000005010"/>
    <s v="E25503VF20US0010"/>
    <s v=""/>
    <s v=""/>
    <s v="0"/>
    <s v="424130930419"/>
    <s v=""/>
    <s v=""/>
    <s v=""/>
    <s v=""/>
    <s v=""/>
    <x v="0"/>
    <m/>
    <s v=""/>
    <d v="2020-02-16T00:00:00"/>
    <s v=""/>
    <s v="1909000446"/>
  </r>
  <r>
    <s v="1909000447"/>
    <d v="2020-02-16T00:00:00"/>
    <d v="2020-02-16T00:00:00"/>
    <s v="DZ"/>
    <s v="USD"/>
    <n v="2579"/>
    <n v="2579"/>
    <s v="BDT"/>
    <s v="EGM2"/>
    <n v="216507.05"/>
    <s v="CM AD ADJ-424130923819"/>
    <s v="0000001010"/>
    <s v="CTPLBD200079"/>
    <s v=""/>
    <s v=""/>
    <s v="0"/>
    <s v="424130930428"/>
    <s v=""/>
    <s v=""/>
    <s v=""/>
    <s v=""/>
    <s v=""/>
    <x v="0"/>
    <m/>
    <s v=""/>
    <d v="2020-02-16T00:00:00"/>
    <s v=""/>
    <s v="1909000447"/>
  </r>
  <r>
    <s v="1909000449"/>
    <d v="2020-02-16T00:00:00"/>
    <d v="2020-02-16T00:00:00"/>
    <s v="DZ"/>
    <s v="USD"/>
    <n v="12385.38"/>
    <n v="12385.38"/>
    <s v="BDT"/>
    <s v="EGM1"/>
    <n v="1039752.65"/>
    <s v="CM Adv adj-424130912340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21372.52"/>
    <n v="21372.52"/>
    <s v="BDT"/>
    <s v="EGM1"/>
    <n v="1794223.05"/>
    <s v="CM AD ADJ-424130904457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10181.59"/>
    <n v="10181.59"/>
    <s v="BDT"/>
    <s v="EGM1"/>
    <n v="854744.48"/>
    <s v="CM AD ADJ-424130925158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10946.17"/>
    <n v="10946.17"/>
    <s v="BDT"/>
    <s v="EGM1"/>
    <n v="918930.97"/>
    <s v="CM AD ADJ-424130896894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49"/>
    <d v="2020-02-16T00:00:00"/>
    <d v="2020-02-16T00:00:00"/>
    <s v="DZ"/>
    <s v="USD"/>
    <n v="4982.09"/>
    <n v="4982.09"/>
    <s v="BDT"/>
    <s v="EGM1"/>
    <n v="418246.46"/>
    <s v="CM AD ADJ-424130887467"/>
    <s v="0000005010"/>
    <s v="E55480AC20CK0042"/>
    <s v=""/>
    <s v=""/>
    <s v="0"/>
    <s v="424130929485"/>
    <s v=""/>
    <s v=""/>
    <s v=""/>
    <s v=""/>
    <s v=""/>
    <x v="0"/>
    <m/>
    <s v=""/>
    <d v="2020-02-16T00:00:00"/>
    <s v=""/>
    <s v="1909000449"/>
  </r>
  <r>
    <s v="1909000450"/>
    <d v="2020-02-18T00:00:00"/>
    <d v="2020-02-18T00:00:00"/>
    <s v="DZ"/>
    <s v="USD"/>
    <n v="17266.61"/>
    <n v="17266.61"/>
    <s v="BDT"/>
    <s v="EGM2"/>
    <n v="1449531.91"/>
    <s v="CM AD ADJ-424130896901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0"/>
    <d v="2020-02-18T00:00:00"/>
    <d v="2020-02-18T00:00:00"/>
    <s v="DZ"/>
    <s v="USD"/>
    <n v="27058.99"/>
    <n v="27058.99"/>
    <s v="BDT"/>
    <s v="EGM2"/>
    <n v="2271602.21"/>
    <s v="CM AD ADJ-424130886565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0"/>
    <d v="2020-02-18T00:00:00"/>
    <d v="2020-02-18T00:00:00"/>
    <s v="DZ"/>
    <s v="USD"/>
    <n v="1493.82"/>
    <n v="1493.82"/>
    <s v="BDT"/>
    <s v="EGM2"/>
    <n v="125406.19"/>
    <s v="CM AD ADJ-424130904466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0"/>
    <d v="2020-02-18T00:00:00"/>
    <d v="2020-02-18T00:00:00"/>
    <s v="DZ"/>
    <s v="USD"/>
    <n v="591.62"/>
    <n v="591.62"/>
    <s v="BDT"/>
    <s v="EGM2"/>
    <n v="49666.5"/>
    <s v="CM AD ADJ-424130912359"/>
    <s v="0000005010"/>
    <s v="E25318C20CK0041"/>
    <s v=""/>
    <s v=""/>
    <s v="0"/>
    <s v="424130930972"/>
    <s v=""/>
    <s v=""/>
    <s v=""/>
    <s v=""/>
    <s v=""/>
    <x v="0"/>
    <m/>
    <s v=""/>
    <d v="2020-02-18T00:00:00"/>
    <s v=""/>
    <s v="1909000450"/>
  </r>
  <r>
    <s v="1909000451"/>
    <d v="2020-02-18T00:00:00"/>
    <d v="2020-02-18T00:00:00"/>
    <s v="DZ"/>
    <s v="USD"/>
    <n v="-34279"/>
    <n v="-34279"/>
    <s v="BDT"/>
    <s v="EGM2"/>
    <n v="-2877722.05"/>
    <s v="CM AD REC-424130930936"/>
    <s v="0000001010"/>
    <s v="EG2-05640A"/>
    <s v=""/>
    <s v=""/>
    <s v="0"/>
    <s v="424130930936"/>
    <s v=""/>
    <s v=""/>
    <s v=""/>
    <s v=""/>
    <s v=""/>
    <x v="0"/>
    <m/>
    <s v=""/>
    <d v="2020-02-18T00:00:00"/>
    <s v=""/>
    <s v="1909000451"/>
  </r>
  <r>
    <s v="1909000452"/>
    <d v="2020-02-17T00:00:00"/>
    <d v="2020-02-17T00:00:00"/>
    <s v="DZ"/>
    <s v="USD"/>
    <n v="10439.91"/>
    <n v="10439.91"/>
    <s v="BDT"/>
    <s v="EGM1"/>
    <n v="876430.44"/>
    <s v="CM AD ADJ-424130912340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21301.4"/>
    <n v="21301.4"/>
    <s v="BDT"/>
    <s v="EGM1"/>
    <n v="1788252.53"/>
    <s v="CM AD ADJ-424130904457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20865.919999999998"/>
    <n v="20865.919999999998"/>
    <s v="BDT"/>
    <s v="EGM1"/>
    <n v="1751693.98"/>
    <s v="CM AD ADJ-424130925158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3766.16"/>
    <n v="3766.16"/>
    <s v="BDT"/>
    <s v="EGM1"/>
    <n v="316169.13"/>
    <s v="CM AD ADJ-424130896894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2"/>
    <d v="2020-02-17T00:00:00"/>
    <d v="2020-02-17T00:00:00"/>
    <s v="DZ"/>
    <s v="USD"/>
    <n v="14011"/>
    <n v="14011"/>
    <s v="BDT"/>
    <s v="EGM1"/>
    <n v="1174822.3500000001"/>
    <s v="CM AD ADJ-424130880767"/>
    <s v="0000005010"/>
    <s v="E5294TS20UK0094"/>
    <s v=""/>
    <s v=""/>
    <s v="0"/>
    <s v="424130930954"/>
    <s v=""/>
    <s v=""/>
    <s v=""/>
    <s v=""/>
    <s v=""/>
    <x v="0"/>
    <m/>
    <s v=""/>
    <d v="2020-02-17T00:00:00"/>
    <s v=""/>
    <s v="1909000452"/>
  </r>
  <r>
    <s v="1909000453"/>
    <d v="2020-02-17T00:00:00"/>
    <d v="2020-02-17T00:00:00"/>
    <s v="DZ"/>
    <s v="USD"/>
    <n v="4629"/>
    <n v="4629"/>
    <s v="BDT"/>
    <s v="EGM1"/>
    <n v="386521.5"/>
    <s v="CM AD ADJ-424130869147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3"/>
    <d v="2020-02-17T00:00:00"/>
    <d v="2020-02-17T00:00:00"/>
    <s v="DZ"/>
    <s v="USD"/>
    <n v="16287"/>
    <n v="16287"/>
    <s v="BDT"/>
    <s v="EGM1"/>
    <n v="1359964.5"/>
    <s v="CM AD ADJ-424130851922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3"/>
    <d v="2020-02-17T00:00:00"/>
    <d v="2020-02-17T00:00:00"/>
    <s v="DZ"/>
    <s v="USD"/>
    <n v="31825"/>
    <n v="31825"/>
    <s v="BDT"/>
    <s v="EGM1"/>
    <n v="2657387.5"/>
    <s v="CM AD ADJ-424130854527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3"/>
    <d v="2020-02-17T00:00:00"/>
    <d v="2020-02-17T00:00:00"/>
    <s v="DZ"/>
    <s v="USD"/>
    <n v="7054"/>
    <n v="7054"/>
    <s v="BDT"/>
    <s v="EGM1"/>
    <n v="591477.9"/>
    <s v="CM AD ADJ-424130871205"/>
    <s v="0000001010"/>
    <s v="E15230DM20US0127"/>
    <s v=""/>
    <s v=""/>
    <s v="0"/>
    <s v="424130930963"/>
    <s v=""/>
    <s v=""/>
    <s v=""/>
    <s v=""/>
    <s v=""/>
    <x v="0"/>
    <m/>
    <s v=""/>
    <d v="2020-02-17T00:00:00"/>
    <s v=""/>
    <s v="1909000453"/>
  </r>
  <r>
    <s v="1909000454"/>
    <d v="2020-02-17T00:00:00"/>
    <d v="2020-02-17T00:00:00"/>
    <s v="DZ"/>
    <s v="USD"/>
    <n v="2495"/>
    <n v="2495"/>
    <s v="BDT"/>
    <s v="EGM1"/>
    <n v="208332.5"/>
    <s v="CM AD ADJ-424130869147"/>
    <s v="0000001010"/>
    <s v="E05340US20-0039"/>
    <s v=""/>
    <s v=""/>
    <s v="0"/>
    <s v="424130930945"/>
    <s v=""/>
    <s v=""/>
    <s v=""/>
    <s v=""/>
    <s v=""/>
    <x v="0"/>
    <m/>
    <s v=""/>
    <d v="2020-02-17T00:00:00"/>
    <s v=""/>
    <s v="1909000454"/>
  </r>
  <r>
    <s v="1909000454"/>
    <d v="2020-02-17T00:00:00"/>
    <d v="2020-02-17T00:00:00"/>
    <s v="DZ"/>
    <s v="USD"/>
    <n v="371"/>
    <n v="371"/>
    <s v="BDT"/>
    <s v="EGM1"/>
    <n v="31145.45"/>
    <s v="CM AD ADJ-424130923837"/>
    <s v="0000001010"/>
    <s v="E05340US20-0039"/>
    <s v=""/>
    <s v=""/>
    <s v="0"/>
    <s v="424130930945"/>
    <s v=""/>
    <s v=""/>
    <s v=""/>
    <s v=""/>
    <s v=""/>
    <x v="0"/>
    <m/>
    <s v=""/>
    <d v="2020-02-17T00:00:00"/>
    <s v=""/>
    <s v="1909000454"/>
  </r>
  <r>
    <s v="1909000454"/>
    <d v="2020-02-17T00:00:00"/>
    <d v="2020-02-17T00:00:00"/>
    <s v="DZ"/>
    <s v="USD"/>
    <n v="1196"/>
    <n v="1196"/>
    <s v="BDT"/>
    <s v="EGM1"/>
    <n v="99866"/>
    <s v="CM AD ADJ-424130854527"/>
    <s v="0000001010"/>
    <s v="E05340US20-0039"/>
    <s v=""/>
    <s v=""/>
    <s v="0"/>
    <s v="424130930945"/>
    <s v=""/>
    <s v=""/>
    <s v=""/>
    <s v=""/>
    <s v=""/>
    <x v="0"/>
    <m/>
    <s v=""/>
    <d v="2020-02-17T00:00:00"/>
    <s v=""/>
    <s v="1909000454"/>
  </r>
  <r>
    <s v="1909000455"/>
    <d v="2020-02-18T00:00:00"/>
    <d v="2020-02-18T00:00:00"/>
    <s v="DZ"/>
    <s v="USD"/>
    <n v="-150644.78"/>
    <n v="-150644.78"/>
    <s v="BDT"/>
    <s v="EGM2"/>
    <n v="-12646629.279999999"/>
    <s v="CM AD REC-424130932060"/>
    <s v="0000005010"/>
    <s v="EG2-05319A"/>
    <s v=""/>
    <s v=""/>
    <s v="0"/>
    <s v="424130932060"/>
    <s v=""/>
    <s v=""/>
    <s v=""/>
    <s v=""/>
    <s v=""/>
    <x v="0"/>
    <m/>
    <s v=""/>
    <d v="2020-02-18T00:00:00"/>
    <s v=""/>
    <s v="1909000455"/>
  </r>
  <r>
    <s v="1909000456"/>
    <d v="2020-02-18T00:00:00"/>
    <d v="2020-02-18T00:00:00"/>
    <s v="DZ"/>
    <s v="USD"/>
    <n v="11764"/>
    <n v="11764"/>
    <s v="BDT"/>
    <s v="EGM2"/>
    <n v="987587.8"/>
    <s v="CM AD ADJ-424130911733"/>
    <s v="0000001010"/>
    <s v="055920034DE"/>
    <s v=""/>
    <s v=""/>
    <s v="0"/>
    <s v="424130931016"/>
    <s v=""/>
    <s v=""/>
    <s v=""/>
    <s v=""/>
    <s v=""/>
    <x v="0"/>
    <m/>
    <s v=""/>
    <d v="2020-02-18T00:00:00"/>
    <s v=""/>
    <s v="1909000456"/>
  </r>
  <r>
    <s v="1909000457"/>
    <d v="2020-02-18T00:00:00"/>
    <d v="2020-02-18T00:00:00"/>
    <s v="DZ"/>
    <s v="USD"/>
    <n v="1172"/>
    <n v="1172"/>
    <s v="BDT"/>
    <s v="EGM2"/>
    <n v="98389.4"/>
    <s v="CM AD ADJ-424130923819"/>
    <s v="0000001010"/>
    <s v="05566200086"/>
    <s v=""/>
    <s v=""/>
    <s v="0"/>
    <s v="424130931025"/>
    <s v=""/>
    <s v=""/>
    <s v=""/>
    <s v=""/>
    <s v=""/>
    <x v="0"/>
    <m/>
    <s v=""/>
    <d v="2020-02-18T00:00:00"/>
    <s v=""/>
    <s v="1909000457"/>
  </r>
  <r>
    <s v="1909000458"/>
    <d v="2020-02-18T00:00:00"/>
    <d v="2020-02-18T00:00:00"/>
    <s v="DZ"/>
    <s v="USD"/>
    <n v="84133"/>
    <n v="84133"/>
    <s v="BDT"/>
    <s v="EGM1"/>
    <n v="7062965.3499999996"/>
    <s v="CM AD ADJ-424130923837"/>
    <s v="0000001010"/>
    <s v="E05518US20-0111"/>
    <s v=""/>
    <s v=""/>
    <s v="0"/>
    <s v="424130932088"/>
    <s v=""/>
    <s v=""/>
    <s v=""/>
    <s v=""/>
    <s v=""/>
    <x v="0"/>
    <m/>
    <s v=""/>
    <d v="2020-02-18T00:00:00"/>
    <s v=""/>
    <s v="1909000458"/>
  </r>
  <r>
    <s v="1909000458"/>
    <d v="2020-02-18T00:00:00"/>
    <d v="2020-02-18T00:00:00"/>
    <s v="DZ"/>
    <s v="USD"/>
    <n v="17598"/>
    <n v="17598"/>
    <s v="BDT"/>
    <s v="EGM1"/>
    <n v="1477352.1"/>
    <s v="CM AD ADJ-424130902609"/>
    <s v="0000001010"/>
    <s v="E05518US20-0111"/>
    <s v=""/>
    <s v=""/>
    <s v="0"/>
    <s v="424130932088"/>
    <s v=""/>
    <s v=""/>
    <s v=""/>
    <s v=""/>
    <s v=""/>
    <x v="0"/>
    <m/>
    <s v=""/>
    <d v="2020-02-18T00:00:00"/>
    <s v=""/>
    <s v="1909000458"/>
  </r>
  <r>
    <s v="1909000458"/>
    <d v="2020-02-18T00:00:00"/>
    <d v="2020-02-18T00:00:00"/>
    <s v="DZ"/>
    <s v="USD"/>
    <n v="41196"/>
    <n v="41196"/>
    <s v="BDT"/>
    <s v="EGM1"/>
    <n v="3458404.2"/>
    <s v="CM AD ADJ-424130902618"/>
    <s v="0000001010"/>
    <s v="E05518US20-0111"/>
    <s v=""/>
    <s v=""/>
    <s v="0"/>
    <s v="424130932088"/>
    <s v=""/>
    <s v=""/>
    <s v=""/>
    <s v=""/>
    <s v=""/>
    <x v="0"/>
    <m/>
    <s v=""/>
    <d v="2020-02-18T00:00:00"/>
    <s v=""/>
    <s v="1909000458"/>
  </r>
  <r>
    <s v="1909000459"/>
    <d v="2020-02-18T00:00:00"/>
    <d v="2020-02-18T00:00:00"/>
    <s v="DZ"/>
    <s v="USD"/>
    <n v="-423436.66"/>
    <n v="-423436.66"/>
    <s v="BDT"/>
    <s v="EGM1"/>
    <n v="-35547507.619999997"/>
    <s v="CM AD REC-424130932079"/>
    <s v="0000005010"/>
    <s v="EG5-05453A"/>
    <s v=""/>
    <s v=""/>
    <s v="0"/>
    <s v="424130932079"/>
    <s v=""/>
    <s v=""/>
    <s v=""/>
    <s v=""/>
    <s v=""/>
    <x v="0"/>
    <m/>
    <s v=""/>
    <d v="2020-02-18T00:00:00"/>
    <s v=""/>
    <s v="1909000459"/>
  </r>
  <r>
    <s v="1909000461"/>
    <d v="2020-02-18T00:00:00"/>
    <d v="2020-02-18T00:00:00"/>
    <s v="DZ"/>
    <s v="USD"/>
    <n v="978.9"/>
    <n v="978.9"/>
    <s v="BDT"/>
    <s v="EGM1"/>
    <n v="82178.66"/>
    <s v="CM AD ADJ-424130912340"/>
    <s v="0000005010"/>
    <s v="E35402TC20US007"/>
    <s v=""/>
    <s v=""/>
    <s v="0"/>
    <s v="424130931007"/>
    <s v=""/>
    <s v=""/>
    <s v=""/>
    <s v=""/>
    <s v=""/>
    <x v="0"/>
    <m/>
    <s v=""/>
    <d v="2020-02-18T00:00:00"/>
    <s v=""/>
    <s v="1909000461"/>
  </r>
  <r>
    <s v="1909000461"/>
    <d v="2020-02-18T00:00:00"/>
    <d v="2020-02-18T00:00:00"/>
    <s v="DZ"/>
    <s v="USD"/>
    <n v="6046.11"/>
    <n v="6046.11"/>
    <s v="BDT"/>
    <s v="EGM1"/>
    <n v="507570.93"/>
    <s v="CM AD ADJ-424130904457"/>
    <s v="0000005010"/>
    <s v="E35402TC20US007"/>
    <s v=""/>
    <s v=""/>
    <s v="0"/>
    <s v="424130931007"/>
    <s v=""/>
    <s v=""/>
    <s v=""/>
    <s v=""/>
    <s v=""/>
    <x v="0"/>
    <m/>
    <s v=""/>
    <d v="2020-02-18T00:00:00"/>
    <s v=""/>
    <s v="1909000461"/>
  </r>
  <r>
    <s v="1909000461"/>
    <d v="2020-02-18T00:00:00"/>
    <d v="2020-02-18T00:00:00"/>
    <s v="DZ"/>
    <s v="USD"/>
    <n v="3570.08"/>
    <n v="3570.08"/>
    <s v="BDT"/>
    <s v="EGM1"/>
    <n v="299708.21999999997"/>
    <s v="CM AD ADJ-424130896894"/>
    <s v="0000005010"/>
    <s v="E35402TC20US007"/>
    <s v=""/>
    <s v=""/>
    <s v="0"/>
    <s v="424130931007"/>
    <s v=""/>
    <s v=""/>
    <s v=""/>
    <s v=""/>
    <s v=""/>
    <x v="0"/>
    <m/>
    <s v=""/>
    <d v="2020-02-18T00:00:00"/>
    <s v=""/>
    <s v="1909000461"/>
  </r>
  <r>
    <s v="1909000462"/>
    <d v="2020-02-18T00:00:00"/>
    <d v="2020-02-18T00:00:00"/>
    <s v="DZ"/>
    <s v="USD"/>
    <n v="9842.41"/>
    <n v="9842.41"/>
    <s v="BDT"/>
    <s v="EGM1"/>
    <n v="826270.32"/>
    <s v="CM AD ADJ-424130912340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2"/>
    <d v="2020-02-18T00:00:00"/>
    <d v="2020-02-18T00:00:00"/>
    <s v="DZ"/>
    <s v="USD"/>
    <n v="17002.64"/>
    <n v="17002.64"/>
    <s v="BDT"/>
    <s v="EGM1"/>
    <n v="1427371.63"/>
    <s v="CM AD ADJ-424130904457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2"/>
    <d v="2020-02-18T00:00:00"/>
    <d v="2020-02-18T00:00:00"/>
    <s v="DZ"/>
    <s v="USD"/>
    <n v="951.97"/>
    <n v="951.97"/>
    <s v="BDT"/>
    <s v="EGM1"/>
    <n v="79917.88"/>
    <s v="CM AD ADJ-424130925158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2"/>
    <d v="2020-02-18T00:00:00"/>
    <d v="2020-02-18T00:00:00"/>
    <s v="DZ"/>
    <s v="USD"/>
    <n v="1829.87"/>
    <n v="1829.87"/>
    <s v="BDT"/>
    <s v="EGM1"/>
    <n v="153617.59"/>
    <s v="CM AD ADJ-424130896894"/>
    <s v="0000005010"/>
    <s v="E5338TS20UK011"/>
    <s v=""/>
    <s v=""/>
    <s v="0"/>
    <s v="424130931579"/>
    <s v=""/>
    <s v=""/>
    <s v=""/>
    <s v=""/>
    <s v=""/>
    <x v="0"/>
    <m/>
    <s v=""/>
    <d v="2020-02-18T00:00:00"/>
    <s v=""/>
    <s v="1909000462"/>
  </r>
  <r>
    <s v="1909000463"/>
    <d v="2020-02-19T00:00:00"/>
    <d v="2020-02-19T00:00:00"/>
    <s v="DZ"/>
    <s v="USD"/>
    <n v="4042.09"/>
    <n v="4042.09"/>
    <s v="BDT"/>
    <s v="EGM2"/>
    <n v="339333.46"/>
    <s v="CM AD ADJ-424130925149"/>
    <s v="0000005010"/>
    <s v="E25503VF20US0080"/>
    <s v=""/>
    <s v=""/>
    <s v="0"/>
    <s v="424130932140"/>
    <s v=""/>
    <s v=""/>
    <s v=""/>
    <s v=""/>
    <s v=""/>
    <x v="0"/>
    <m/>
    <s v=""/>
    <d v="2020-02-19T00:00:00"/>
    <s v=""/>
    <s v="1909000463"/>
  </r>
  <r>
    <s v="1909000464"/>
    <d v="2020-02-19T00:00:00"/>
    <d v="2020-02-19T00:00:00"/>
    <s v="DZ"/>
    <s v="USD"/>
    <n v="26877"/>
    <n v="26877"/>
    <s v="BDT"/>
    <s v="EGM1"/>
    <n v="2256324.15"/>
    <s v="CM AD ADJ-424130923837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4985"/>
    <n v="4985"/>
    <s v="BDT"/>
    <s v="EGM1"/>
    <n v="418490.75"/>
    <s v="CM AD ADJ-424130902609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17755"/>
    <n v="17755"/>
    <s v="BDT"/>
    <s v="EGM1"/>
    <n v="1490532.25"/>
    <s v="CM Adv adj-424130902618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8614"/>
    <n v="8614"/>
    <s v="BDT"/>
    <s v="EGM1"/>
    <n v="723145.3"/>
    <s v="CM Adv adj-424130897759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4"/>
    <d v="2020-02-19T00:00:00"/>
    <d v="2020-02-19T00:00:00"/>
    <s v="DZ"/>
    <s v="USD"/>
    <n v="1819"/>
    <n v="1819"/>
    <s v="BDT"/>
    <s v="EGM1"/>
    <n v="152705.04999999999"/>
    <s v="CM Adv adj-424130911742"/>
    <s v="0000001010"/>
    <s v="E5459SB20UK0137"/>
    <s v=""/>
    <s v=""/>
    <s v="0"/>
    <s v="424130932097"/>
    <s v=""/>
    <s v=""/>
    <s v=""/>
    <s v=""/>
    <s v=""/>
    <x v="0"/>
    <m/>
    <s v=""/>
    <d v="2020-02-19T00:00:00"/>
    <s v=""/>
    <s v="1909000464"/>
  </r>
  <r>
    <s v="1909000465"/>
    <d v="2020-02-19T00:00:00"/>
    <d v="2020-02-19T00:00:00"/>
    <s v="DZ"/>
    <s v="USD"/>
    <n v="3164.06"/>
    <n v="3164.06"/>
    <s v="BDT"/>
    <s v="EGM1"/>
    <n v="265622.84000000003"/>
    <s v="CM AD ADJ-424130912340"/>
    <s v="0000005010"/>
    <s v="E5338TS19CE0067"/>
    <s v=""/>
    <s v=""/>
    <s v="0"/>
    <s v="424130932122"/>
    <s v=""/>
    <s v=""/>
    <s v=""/>
    <s v=""/>
    <s v=""/>
    <x v="0"/>
    <m/>
    <s v=""/>
    <d v="2020-02-19T00:00:00"/>
    <s v=""/>
    <s v="1909000465"/>
  </r>
  <r>
    <s v="1909000465"/>
    <d v="2020-02-19T00:00:00"/>
    <d v="2020-02-19T00:00:00"/>
    <s v="DZ"/>
    <s v="USD"/>
    <n v="28033.040000000001"/>
    <n v="28033.040000000001"/>
    <s v="BDT"/>
    <s v="EGM1"/>
    <n v="2353373.71"/>
    <s v="CM AD ADJ-424130904457"/>
    <s v="0000005010"/>
    <s v="E5338TS19CE0067"/>
    <s v=""/>
    <s v=""/>
    <s v="0"/>
    <s v="424130932122"/>
    <s v=""/>
    <s v=""/>
    <s v=""/>
    <s v=""/>
    <s v=""/>
    <x v="0"/>
    <m/>
    <s v=""/>
    <d v="2020-02-19T00:00:00"/>
    <s v=""/>
    <s v="1909000465"/>
  </r>
  <r>
    <s v="1909000466"/>
    <d v="2020-02-19T00:00:00"/>
    <d v="2020-02-19T00:00:00"/>
    <s v="DZ"/>
    <s v="USD"/>
    <n v="36720.86"/>
    <n v="36720.86"/>
    <s v="BDT"/>
    <s v="EGM1"/>
    <n v="3082716.2"/>
    <s v="CM AD ADJ-424130912340"/>
    <s v="0000005010"/>
    <s v="E35402TC20US0126"/>
    <s v=""/>
    <s v=""/>
    <s v="0"/>
    <s v="424130932113"/>
    <s v=""/>
    <s v=""/>
    <s v=""/>
    <s v=""/>
    <s v=""/>
    <x v="0"/>
    <m/>
    <s v=""/>
    <d v="2020-02-19T00:00:00"/>
    <s v=""/>
    <s v="1909000466"/>
  </r>
  <r>
    <s v="1909000466"/>
    <d v="2020-02-19T00:00:00"/>
    <d v="2020-02-19T00:00:00"/>
    <s v="DZ"/>
    <s v="USD"/>
    <n v="69575.509999999995"/>
    <n v="69575.509999999995"/>
    <s v="BDT"/>
    <s v="EGM1"/>
    <n v="5840864.0599999996"/>
    <s v="CM AD ADJ-424130904457"/>
    <s v="0000005010"/>
    <s v="E35402TC20US0126"/>
    <s v=""/>
    <s v=""/>
    <s v="0"/>
    <s v="424130932113"/>
    <s v=""/>
    <s v=""/>
    <s v=""/>
    <s v=""/>
    <s v=""/>
    <x v="0"/>
    <m/>
    <s v=""/>
    <d v="2020-02-19T00:00:00"/>
    <s v=""/>
    <s v="1909000466"/>
  </r>
  <r>
    <s v="1909000468"/>
    <d v="2020-02-20T00:00:00"/>
    <d v="2020-02-20T00:00:00"/>
    <s v="DZ"/>
    <s v="USD"/>
    <n v="31147"/>
    <n v="31147"/>
    <s v="BDT"/>
    <s v="EGM1"/>
    <n v="2600774.5"/>
    <s v="CM AD ADJ-424130869147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49942"/>
    <n v="49942"/>
    <s v="BDT"/>
    <s v="EGM1"/>
    <n v="4192630.9"/>
    <s v="CM AD ADJ-424130887458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61991"/>
    <n v="61991"/>
    <s v="BDT"/>
    <s v="EGM1"/>
    <n v="5204144.45"/>
    <s v="CM AD ADJ-424130923837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77829"/>
    <n v="77829"/>
    <s v="BDT"/>
    <s v="EGM1"/>
    <n v="6525961.6500000004"/>
    <s v="CM AD ADJ-424130871205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30349"/>
    <n v="30349"/>
    <s v="BDT"/>
    <s v="EGM1"/>
    <n v="2547798.5499999998"/>
    <s v="CM AD ADJ-424130889090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24872"/>
    <n v="24872"/>
    <s v="BDT"/>
    <s v="EGM1"/>
    <n v="2088004.4"/>
    <s v="CM AD ADJ-424130923828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128336"/>
    <n v="128336"/>
    <s v="BDT"/>
    <s v="EGM1"/>
    <n v="10773807.199999999"/>
    <s v="CM AD ADJ-424130902609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8"/>
    <d v="2020-02-20T00:00:00"/>
    <d v="2020-02-20T00:00:00"/>
    <s v="DZ"/>
    <s v="USD"/>
    <n v="36731"/>
    <n v="36731"/>
    <s v="BDT"/>
    <s v="EGM1"/>
    <n v="3083567.45"/>
    <s v="CM AD ADJ-424130902618"/>
    <s v="0000001010"/>
    <s v="E05518US20-0109"/>
    <s v=""/>
    <s v=""/>
    <s v="0"/>
    <s v="424130932462"/>
    <s v=""/>
    <s v=""/>
    <s v=""/>
    <s v=""/>
    <s v=""/>
    <x v="0"/>
    <m/>
    <s v=""/>
    <d v="2020-02-20T00:00:00"/>
    <s v=""/>
    <s v="1909000468"/>
  </r>
  <r>
    <s v="1909000469"/>
    <d v="2020-02-20T00:00:00"/>
    <d v="2020-02-20T00:00:00"/>
    <s v="DZ"/>
    <s v="USD"/>
    <n v="26600.28"/>
    <n v="26600.28"/>
    <s v="BDT"/>
    <s v="EGM1"/>
    <n v="2233093.5099999998"/>
    <s v="CM AD ADJ-424130912340"/>
    <s v="0000005010"/>
    <s v="E45392DC20US0143"/>
    <s v=""/>
    <s v=""/>
    <s v="0"/>
    <s v="424130932471"/>
    <s v=""/>
    <s v=""/>
    <s v=""/>
    <s v=""/>
    <s v=""/>
    <x v="0"/>
    <m/>
    <s v=""/>
    <d v="2020-02-20T00:00:00"/>
    <s v=""/>
    <s v="1909000469"/>
  </r>
  <r>
    <s v="1909000469"/>
    <d v="2020-02-20T00:00:00"/>
    <d v="2020-02-20T00:00:00"/>
    <s v="DZ"/>
    <s v="USD"/>
    <n v="55959.67"/>
    <n v="55959.67"/>
    <s v="BDT"/>
    <s v="EGM1"/>
    <n v="4697814.3"/>
    <s v="CM AD ADJ-424130932079"/>
    <s v="0000005010"/>
    <s v="E45392DC20US0143"/>
    <s v=""/>
    <s v=""/>
    <s v="0"/>
    <s v="424130932471"/>
    <s v=""/>
    <s v=""/>
    <s v=""/>
    <s v=""/>
    <s v=""/>
    <x v="0"/>
    <m/>
    <s v=""/>
    <d v="2020-02-20T00:00:00"/>
    <s v=""/>
    <s v="1909000469"/>
  </r>
  <r>
    <s v="1909000470"/>
    <d v="2020-02-23T00:00:00"/>
    <d v="2020-02-23T00:00:00"/>
    <s v="DZ"/>
    <s v="USD"/>
    <n v="3175"/>
    <n v="3175"/>
    <s v="BDT"/>
    <s v="EGM1"/>
    <n v="266541.25"/>
    <s v="CM AD ADJ-424130887458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220"/>
    <n v="220"/>
    <s v="BDT"/>
    <s v="EGM1"/>
    <n v="18469"/>
    <s v="CM AD ADJ-424130923837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5357"/>
    <n v="5357"/>
    <s v="BDT"/>
    <s v="EGM1"/>
    <n v="449720.15"/>
    <s v="CM AD ADJ-424130889090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4514"/>
    <n v="4514"/>
    <s v="BDT"/>
    <s v="EGM1"/>
    <n v="378950.3"/>
    <s v="CM AD ADJ-424130923828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29"/>
    <n v="29"/>
    <s v="BDT"/>
    <s v="EGM1"/>
    <n v="2434.5500000000002"/>
    <s v="CM AD ADJ-424130902609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29507"/>
    <n v="29507"/>
    <s v="BDT"/>
    <s v="EGM1"/>
    <n v="2477112.65"/>
    <s v="CM AD ADJ-424130902618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0"/>
    <d v="2020-02-23T00:00:00"/>
    <d v="2020-02-23T00:00:00"/>
    <s v="DZ"/>
    <s v="USD"/>
    <n v="1916"/>
    <n v="1916"/>
    <s v="BDT"/>
    <s v="EGM1"/>
    <n v="160848.20000000001"/>
    <s v="CM AD ADJ-424130897759"/>
    <s v="0000001010"/>
    <s v="E05518US20-0122"/>
    <s v=""/>
    <s v=""/>
    <s v="0"/>
    <s v="424130933960"/>
    <s v=""/>
    <s v=""/>
    <s v=""/>
    <s v=""/>
    <s v=""/>
    <x v="0"/>
    <m/>
    <s v=""/>
    <d v="2020-02-23T00:00:00"/>
    <s v=""/>
    <s v="1909000470"/>
  </r>
  <r>
    <s v="1909000471"/>
    <d v="2020-02-24T00:00:00"/>
    <d v="2020-02-24T00:00:00"/>
    <s v="DZ"/>
    <s v="USD"/>
    <n v="1099.54"/>
    <n v="1099.54"/>
    <s v="BDT"/>
    <s v="EGM1"/>
    <n v="92306.38"/>
    <s v="CM AD ADJ-424130912340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16225.7"/>
    <n v="16225.7"/>
    <s v="BDT"/>
    <s v="EGM1"/>
    <n v="1362147.52"/>
    <s v="CM AD ADJ-424130904457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19786.7"/>
    <n v="19786.7"/>
    <s v="BDT"/>
    <s v="EGM1"/>
    <n v="1661093.47"/>
    <s v="CM Adv adj- 424130932079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863.7"/>
    <n v="863.7"/>
    <s v="BDT"/>
    <s v="EGM1"/>
    <n v="72507.62"/>
    <s v="CM AD ADJ-424130925158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71831.22"/>
    <n v="71831.22"/>
    <s v="BDT"/>
    <s v="EGM1"/>
    <n v="6030230.9199999999"/>
    <s v="CM AD ADJ-424130896894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1"/>
    <d v="2020-02-24T00:00:00"/>
    <d v="2020-02-24T00:00:00"/>
    <s v="DZ"/>
    <s v="USD"/>
    <n v="19916.54"/>
    <n v="19916.54"/>
    <s v="BDT"/>
    <s v="EGM1"/>
    <n v="1671993.53"/>
    <s v="CM AD ADJ-424130887467"/>
    <s v="0000005010"/>
    <s v="E35403TC20US0150"/>
    <s v=""/>
    <s v=""/>
    <s v="0"/>
    <s v="424130934585"/>
    <s v=""/>
    <s v=""/>
    <s v=""/>
    <s v=""/>
    <s v=""/>
    <x v="0"/>
    <m/>
    <s v=""/>
    <d v="2020-02-24T00:00:00"/>
    <s v=""/>
    <s v="1909000471"/>
  </r>
  <r>
    <s v="1909000472"/>
    <d v="2020-02-24T00:00:00"/>
    <d v="2020-02-24T00:00:00"/>
    <s v="DZ"/>
    <s v="USD"/>
    <n v="6139.4"/>
    <n v="6139.4"/>
    <s v="BDT"/>
    <s v="EGM1"/>
    <n v="515402.63"/>
    <s v="CM AD ADJ-424130912340"/>
    <s v="0000005010"/>
    <s v="E45556"/>
    <s v=""/>
    <s v=""/>
    <s v="0"/>
    <s v="424130934594"/>
    <s v=""/>
    <s v=""/>
    <s v=""/>
    <s v=""/>
    <s v=""/>
    <x v="0"/>
    <m/>
    <s v=""/>
    <d v="2020-02-24T00:00:00"/>
    <s v=""/>
    <s v="1909000472"/>
  </r>
  <r>
    <s v="1909000472"/>
    <d v="2020-02-24T00:00:00"/>
    <d v="2020-02-24T00:00:00"/>
    <s v="DZ"/>
    <s v="USD"/>
    <n v="1452.72"/>
    <n v="1452.72"/>
    <s v="BDT"/>
    <s v="EGM1"/>
    <n v="121955.84"/>
    <s v="CM AD ADJ-424130904457"/>
    <s v="0000005010"/>
    <s v="E45556"/>
    <s v=""/>
    <s v=""/>
    <s v="0"/>
    <s v="424130934594"/>
    <s v=""/>
    <s v=""/>
    <s v=""/>
    <s v=""/>
    <s v=""/>
    <x v="0"/>
    <m/>
    <s v=""/>
    <d v="2020-02-24T00:00:00"/>
    <s v=""/>
    <s v="1909000472"/>
  </r>
  <r>
    <s v="1909000472"/>
    <d v="2020-02-24T00:00:00"/>
    <d v="2020-02-24T00:00:00"/>
    <s v="DZ"/>
    <s v="USD"/>
    <n v="43133.7"/>
    <n v="43133.7"/>
    <s v="BDT"/>
    <s v="EGM1"/>
    <n v="3621074.12"/>
    <s v="CM AD ADJ-424130932079"/>
    <s v="0000005010"/>
    <s v="E45556"/>
    <s v=""/>
    <s v=""/>
    <s v="0"/>
    <s v="424130934594"/>
    <s v=""/>
    <s v=""/>
    <s v=""/>
    <s v=""/>
    <s v=""/>
    <x v="0"/>
    <m/>
    <s v=""/>
    <d v="2020-02-24T00:00:00"/>
    <s v=""/>
    <s v="1909000472"/>
  </r>
  <r>
    <s v="1909000473"/>
    <d v="2020-02-24T00:00:00"/>
    <d v="2020-02-24T00:00:00"/>
    <s v="DZ"/>
    <s v="USD"/>
    <n v="4613.38"/>
    <n v="4613.38"/>
    <s v="BDT"/>
    <s v="EGM1"/>
    <n v="387293.25"/>
    <s v="CM AD ADJ-424130912340"/>
    <s v="0000005010"/>
    <s v="E4852"/>
    <s v=""/>
    <s v=""/>
    <s v="0"/>
    <s v="424130934601"/>
    <s v=""/>
    <s v=""/>
    <s v=""/>
    <s v=""/>
    <s v=""/>
    <x v="0"/>
    <m/>
    <s v=""/>
    <d v="2020-02-24T00:00:00"/>
    <s v=""/>
    <s v="1909000473"/>
  </r>
  <r>
    <s v="1909000473"/>
    <d v="2020-02-24T00:00:00"/>
    <d v="2020-02-24T00:00:00"/>
    <s v="DZ"/>
    <s v="USD"/>
    <n v="4162.83"/>
    <n v="4162.83"/>
    <s v="BDT"/>
    <s v="EGM1"/>
    <n v="349469.58"/>
    <s v="CM AD ADJ-424130896894"/>
    <s v="0000005010"/>
    <s v="E4852"/>
    <s v=""/>
    <s v=""/>
    <s v="0"/>
    <s v="424130934601"/>
    <s v=""/>
    <s v=""/>
    <s v=""/>
    <s v=""/>
    <s v=""/>
    <x v="0"/>
    <m/>
    <s v=""/>
    <d v="2020-02-24T00:00:00"/>
    <s v=""/>
    <s v="1909000473"/>
  </r>
  <r>
    <s v="1909000474"/>
    <d v="2020-02-24T00:00:00"/>
    <d v="2020-02-24T00:00:00"/>
    <s v="DZ"/>
    <s v="USD"/>
    <n v="11768"/>
    <n v="11768"/>
    <s v="BDT"/>
    <s v="EGM1"/>
    <n v="987923.6"/>
    <s v="CM AD ADJ-424130923837"/>
    <s v="0000001010"/>
    <s v="E5459"/>
    <s v=""/>
    <s v=""/>
    <s v="0"/>
    <s v="424130934576"/>
    <s v=""/>
    <s v=""/>
    <s v=""/>
    <s v=""/>
    <s v=""/>
    <x v="0"/>
    <m/>
    <s v=""/>
    <d v="2020-02-24T00:00:00"/>
    <s v=""/>
    <s v="1909000474"/>
  </r>
  <r>
    <s v="1909000474"/>
    <d v="2020-02-24T00:00:00"/>
    <d v="2020-02-24T00:00:00"/>
    <s v="DZ"/>
    <s v="USD"/>
    <n v="34649"/>
    <n v="34649"/>
    <s v="BDT"/>
    <s v="EGM1"/>
    <n v="2908783.55"/>
    <s v="CM AD ADJ-424130923828"/>
    <s v="0000001010"/>
    <s v="E5459"/>
    <s v=""/>
    <s v=""/>
    <s v="0"/>
    <s v="424130934576"/>
    <s v=""/>
    <s v=""/>
    <s v=""/>
    <s v=""/>
    <s v=""/>
    <x v="0"/>
    <m/>
    <s v=""/>
    <d v="2020-02-24T00:00:00"/>
    <s v=""/>
    <s v="1909000474"/>
  </r>
  <r>
    <s v="1909000475"/>
    <d v="2020-02-24T00:00:00"/>
    <d v="2020-02-24T00:00:00"/>
    <s v="DZ"/>
    <s v="USD"/>
    <n v="24963"/>
    <n v="24963"/>
    <s v="BDT"/>
    <s v="EGM2"/>
    <n v="2095643.85"/>
    <s v="CM AD ADJ-424130923819"/>
    <s v="0000001010"/>
    <s v="056402000990E"/>
    <s v=""/>
    <s v=""/>
    <s v="0"/>
    <s v="424130934610"/>
    <s v=""/>
    <s v=""/>
    <s v=""/>
    <s v=""/>
    <s v=""/>
    <x v="0"/>
    <m/>
    <s v=""/>
    <d v="2020-02-24T00:00:00"/>
    <s v=""/>
    <s v="1909000475"/>
  </r>
  <r>
    <s v="1909000475"/>
    <d v="2020-02-24T00:00:00"/>
    <d v="2020-02-24T00:00:00"/>
    <s v="DZ"/>
    <s v="USD"/>
    <n v="1183"/>
    <n v="1183"/>
    <s v="BDT"/>
    <s v="EGM2"/>
    <n v="99312.85"/>
    <s v="CM AD ADJ-424130930936"/>
    <s v="0000001010"/>
    <s v="056402000990E"/>
    <s v=""/>
    <s v=""/>
    <s v="0"/>
    <s v="424130934610"/>
    <s v=""/>
    <s v=""/>
    <s v=""/>
    <s v=""/>
    <s v=""/>
    <x v="0"/>
    <m/>
    <s v=""/>
    <d v="2020-02-24T00:00:00"/>
    <s v=""/>
    <s v="1909000475"/>
  </r>
  <r>
    <s v="1909000476"/>
    <d v="2020-02-24T00:00:00"/>
    <d v="2020-02-24T00:00:00"/>
    <s v="DZ"/>
    <s v="USD"/>
    <n v="3229.62"/>
    <n v="3229.62"/>
    <s v="BDT"/>
    <s v="EGM2"/>
    <n v="271126.59999999998"/>
    <s v="CM AD ADJ-424130896901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6"/>
    <d v="2020-02-24T00:00:00"/>
    <d v="2020-02-24T00:00:00"/>
    <s v="DZ"/>
    <s v="USD"/>
    <n v="716.54"/>
    <n v="716.54"/>
    <s v="BDT"/>
    <s v="EGM2"/>
    <n v="60153.53"/>
    <s v="CM AD ADJ-424130904466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6"/>
    <d v="2020-02-24T00:00:00"/>
    <d v="2020-02-24T00:00:00"/>
    <s v="DZ"/>
    <s v="USD"/>
    <n v="30618.080000000002"/>
    <n v="30618.080000000002"/>
    <s v="BDT"/>
    <s v="EGM2"/>
    <n v="2570387.8199999998"/>
    <s v="CM AD ADJ-424130912359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6"/>
    <d v="2020-02-24T00:00:00"/>
    <d v="2020-02-24T00:00:00"/>
    <s v="DZ"/>
    <s v="USD"/>
    <n v="41740.660000000003"/>
    <n v="41740.660000000003"/>
    <s v="BDT"/>
    <s v="EGM2"/>
    <n v="3504128.41"/>
    <s v="CM AD ADJ-424130925149"/>
    <s v="0000005010"/>
    <s v="E25505"/>
    <s v=""/>
    <s v=""/>
    <s v="0"/>
    <s v="424130934629"/>
    <s v=""/>
    <s v=""/>
    <s v=""/>
    <s v=""/>
    <s v=""/>
    <x v="0"/>
    <m/>
    <s v=""/>
    <d v="2020-02-24T00:00:00"/>
    <s v=""/>
    <s v="1909000476"/>
  </r>
  <r>
    <s v="1909000478"/>
    <d v="2020-02-18T00:00:00"/>
    <d v="2020-02-18T00:00:00"/>
    <s v="DZ"/>
    <s v="USD"/>
    <n v="5800.4"/>
    <n v="5800.4"/>
    <s v="BDT"/>
    <s v="EGM1"/>
    <n v="486943.58"/>
    <s v="CM AD ADJ-424130912340"/>
    <s v="0000005010"/>
    <s v="E55480SC20CK0047"/>
    <s v=""/>
    <s v=""/>
    <s v="0"/>
    <s v="424130930981"/>
    <s v=""/>
    <s v=""/>
    <s v=""/>
    <s v=""/>
    <s v=""/>
    <x v="0"/>
    <m/>
    <s v=""/>
    <d v="2020-02-18T00:00:00"/>
    <s v=""/>
    <s v="1909000478"/>
  </r>
  <r>
    <s v="1909000478"/>
    <d v="2020-02-18T00:00:00"/>
    <d v="2020-02-18T00:00:00"/>
    <s v="DZ"/>
    <s v="USD"/>
    <n v="10018.219999999999"/>
    <n v="10018.219999999999"/>
    <s v="BDT"/>
    <s v="EGM1"/>
    <n v="841029.57"/>
    <s v="CM AD ADJ-424130925158"/>
    <s v="0000005010"/>
    <s v="E55480SC20CK0047"/>
    <s v=""/>
    <s v=""/>
    <s v="0"/>
    <s v="424130930981"/>
    <s v=""/>
    <s v=""/>
    <s v=""/>
    <s v=""/>
    <s v=""/>
    <x v="0"/>
    <m/>
    <s v=""/>
    <d v="2020-02-18T00:00:00"/>
    <s v=""/>
    <s v="1909000478"/>
  </r>
  <r>
    <s v="1909000479"/>
    <d v="2020-02-26T00:00:00"/>
    <d v="2020-02-26T00:00:00"/>
    <s v="DZ"/>
    <s v="USD"/>
    <n v="4810"/>
    <n v="4810"/>
    <s v="BDT"/>
    <s v="EGM1"/>
    <n v="403799.5"/>
    <s v="CM AD ADJ-424130923828"/>
    <s v="0000001010"/>
    <s v="E5522C20GR0165"/>
    <s v=""/>
    <s v=""/>
    <s v="0"/>
    <s v="424130935619"/>
    <s v=""/>
    <s v=""/>
    <s v=""/>
    <s v=""/>
    <s v=""/>
    <x v="0"/>
    <m/>
    <s v=""/>
    <d v="2020-02-26T00:00:00"/>
    <s v=""/>
    <s v="1909000479"/>
  </r>
  <r>
    <s v="1909000480"/>
    <d v="2020-02-26T00:00:00"/>
    <d v="2020-02-26T00:00:00"/>
    <s v="DZ"/>
    <s v="USD"/>
    <n v="48497.8"/>
    <n v="48497.8"/>
    <s v="BDT"/>
    <s v="EGM1"/>
    <n v="4071390.31"/>
    <s v="CM AD ADJ-424130912340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0"/>
    <d v="2020-02-26T00:00:00"/>
    <d v="2020-02-26T00:00:00"/>
    <s v="DZ"/>
    <s v="USD"/>
    <n v="5378.8"/>
    <n v="5378.8"/>
    <s v="BDT"/>
    <s v="EGM1"/>
    <n v="451550.26"/>
    <s v="CM AD ADJ-424130904457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0"/>
    <d v="2020-02-26T00:00:00"/>
    <d v="2020-02-26T00:00:00"/>
    <s v="DZ"/>
    <s v="USD"/>
    <n v="4457.87"/>
    <n v="4457.87"/>
    <s v="BDT"/>
    <s v="EGM1"/>
    <n v="374238.19"/>
    <s v="CM AD ADJ-424130932079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0"/>
    <d v="2020-02-26T00:00:00"/>
    <d v="2020-02-26T00:00:00"/>
    <s v="DZ"/>
    <s v="USD"/>
    <n v="6460.54"/>
    <n v="6460.54"/>
    <s v="BDT"/>
    <s v="EGM1"/>
    <n v="542362.32999999996"/>
    <s v="CM AD ADJ-424130925158"/>
    <s v="0000005010"/>
    <s v="E5338TS20CE0138"/>
    <s v=""/>
    <s v=""/>
    <s v="0"/>
    <s v="424130936789"/>
    <s v=""/>
    <s v=""/>
    <s v=""/>
    <s v=""/>
    <s v=""/>
    <x v="0"/>
    <m/>
    <s v=""/>
    <d v="2020-02-26T00:00:00"/>
    <s v=""/>
    <s v="1909000480"/>
  </r>
  <r>
    <s v="1909000481"/>
    <d v="2020-02-27T00:00:00"/>
    <d v="2020-02-27T00:00:00"/>
    <s v="DZ"/>
    <s v="USD"/>
    <n v="8769"/>
    <n v="8769"/>
    <s v="BDT"/>
    <s v="EGM2"/>
    <n v="736157.55"/>
    <s v="CM AD ADJ-424130923819"/>
    <s v="0000001010"/>
    <s v="05640200132CO"/>
    <s v=""/>
    <s v=""/>
    <s v="0"/>
    <s v="424130936798"/>
    <s v=""/>
    <s v=""/>
    <s v=""/>
    <s v=""/>
    <s v=""/>
    <x v="0"/>
    <m/>
    <s v=""/>
    <d v="2020-02-27T00:00:00"/>
    <s v=""/>
    <s v="1909000481"/>
  </r>
  <r>
    <s v="1909000481"/>
    <d v="2020-02-27T00:00:00"/>
    <d v="2020-02-27T00:00:00"/>
    <s v="DZ"/>
    <s v="USD"/>
    <n v="3288"/>
    <n v="3288"/>
    <s v="BDT"/>
    <s v="EGM2"/>
    <n v="276027.59999999998"/>
    <s v="CM AD ADJ-424130930936"/>
    <s v="0000001010"/>
    <s v="05640200132CO"/>
    <s v=""/>
    <s v=""/>
    <s v="0"/>
    <s v="424130936798"/>
    <s v=""/>
    <s v=""/>
    <s v=""/>
    <s v=""/>
    <s v=""/>
    <x v="0"/>
    <m/>
    <s v=""/>
    <d v="2020-02-27T00:00:00"/>
    <s v=""/>
    <s v="1909000481"/>
  </r>
  <r>
    <s v="1909000482"/>
    <d v="2020-02-26T00:00:00"/>
    <d v="2020-02-26T00:00:00"/>
    <s v="DZ"/>
    <s v="USD"/>
    <n v="1623"/>
    <n v="1623"/>
    <s v="BDT"/>
    <s v="EGM1"/>
    <n v="135520.5"/>
    <s v="CM AD ADJ-424130869147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1612"/>
    <n v="1612"/>
    <s v="BDT"/>
    <s v="EGM1"/>
    <n v="135327.4"/>
    <s v="CM AD ADJ-424130887458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3267"/>
    <n v="3267"/>
    <s v="BDT"/>
    <s v="EGM1"/>
    <n v="274264.65000000002"/>
    <s v="CM AD ADJ-424130923837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29600"/>
    <n v="29600"/>
    <s v="BDT"/>
    <s v="EGM1"/>
    <n v="2484920"/>
    <s v="CM AD ADJ-424130923828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14980"/>
    <n v="14980"/>
    <s v="BDT"/>
    <s v="EGM1"/>
    <n v="1257571"/>
    <s v="CM AD ADJ-424130902609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34694"/>
    <n v="34694"/>
    <s v="BDT"/>
    <s v="EGM1"/>
    <n v="2912561.3"/>
    <s v="CM AD ADJ-424130902618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32486"/>
    <n v="32486"/>
    <s v="BDT"/>
    <s v="EGM1"/>
    <n v="2727199.7"/>
    <s v="CM AD ADJ-424130897759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2"/>
    <d v="2020-02-26T00:00:00"/>
    <d v="2020-02-26T00:00:00"/>
    <s v="DZ"/>
    <s v="USD"/>
    <n v="2931"/>
    <n v="2931"/>
    <s v="BDT"/>
    <s v="EGM1"/>
    <n v="246057.45"/>
    <s v="CM AD ADJ-424130911742"/>
    <s v="0000001010"/>
    <s v="E05483US20-0125"/>
    <s v=""/>
    <s v=""/>
    <s v="0"/>
    <s v="424130935637"/>
    <s v=""/>
    <s v=""/>
    <s v=""/>
    <s v=""/>
    <s v=""/>
    <x v="0"/>
    <m/>
    <s v=""/>
    <d v="2020-02-26T00:00:00"/>
    <s v=""/>
    <s v="1909000482"/>
  </r>
  <r>
    <s v="1909000483"/>
    <d v="2020-02-19T00:00:00"/>
    <d v="2020-02-19T00:00:00"/>
    <s v="DZ"/>
    <s v="USD"/>
    <n v="13437.47"/>
    <n v="13437.47"/>
    <s v="BDT"/>
    <s v="EGM1"/>
    <n v="1128075.6100000001"/>
    <s v="CM AD ADJ-424130912340"/>
    <s v="0000005010"/>
    <s v="E545443DC20US046"/>
    <s v=""/>
    <s v=""/>
    <s v="0"/>
    <s v="424130932131"/>
    <s v=""/>
    <s v=""/>
    <s v=""/>
    <s v=""/>
    <s v=""/>
    <x v="0"/>
    <m/>
    <s v=""/>
    <d v="2020-02-19T00:00:00"/>
    <s v=""/>
    <s v="1909000483"/>
  </r>
  <r>
    <s v="1909000483"/>
    <d v="2020-02-19T00:00:00"/>
    <d v="2020-02-19T00:00:00"/>
    <s v="DZ"/>
    <s v="USD"/>
    <n v="8513.39"/>
    <n v="8513.39"/>
    <s v="BDT"/>
    <s v="EGM1"/>
    <n v="714699.09"/>
    <s v="CM AD ADJ-424130904457"/>
    <s v="0000005010"/>
    <s v="E545443DC20US046"/>
    <s v=""/>
    <s v=""/>
    <s v="0"/>
    <s v="424130932131"/>
    <s v=""/>
    <s v=""/>
    <s v=""/>
    <s v=""/>
    <s v=""/>
    <x v="0"/>
    <m/>
    <s v=""/>
    <d v="2020-02-19T00:00:00"/>
    <s v=""/>
    <s v="1909000483"/>
  </r>
  <r>
    <s v="1909000483"/>
    <d v="2020-02-19T00:00:00"/>
    <d v="2020-02-19T00:00:00"/>
    <s v="DZ"/>
    <s v="USD"/>
    <n v="529.29999999999995"/>
    <n v="529.29999999999995"/>
    <s v="BDT"/>
    <s v="EGM1"/>
    <n v="44434.74"/>
    <s v="CM AD ADJ-424130932079"/>
    <s v="0000005010"/>
    <s v="E545443DC20US046"/>
    <s v=""/>
    <s v=""/>
    <s v="0"/>
    <s v="424130932131"/>
    <s v=""/>
    <s v=""/>
    <s v=""/>
    <s v=""/>
    <s v=""/>
    <x v="0"/>
    <m/>
    <s v=""/>
    <d v="2020-02-19T00:00:00"/>
    <s v=""/>
    <s v="1909000483"/>
  </r>
  <r>
    <s v="1909000484"/>
    <d v="2020-03-01T00:00:00"/>
    <d v="2020-03-01T00:00:00"/>
    <s v="DZ"/>
    <s v="USD"/>
    <n v="15747.6"/>
    <n v="15747.6"/>
    <s v="BDT"/>
    <s v="EGM1"/>
    <n v="1322011.02"/>
    <s v="CM ADJ -424130912340"/>
    <s v="0000005010"/>
    <s v="E45443DC20US0163"/>
    <s v=""/>
    <s v=""/>
    <s v="0"/>
    <s v="424130937902"/>
    <s v=""/>
    <s v=""/>
    <s v=""/>
    <s v=""/>
    <s v=""/>
    <x v="0"/>
    <m/>
    <s v=""/>
    <d v="2020-03-01T00:00:00"/>
    <s v=""/>
    <s v="1909000484"/>
  </r>
  <r>
    <s v="1909000484"/>
    <d v="2020-03-01T00:00:00"/>
    <d v="2020-03-01T00:00:00"/>
    <s v="DZ"/>
    <s v="USD"/>
    <n v="1941.31"/>
    <n v="1941.31"/>
    <s v="BDT"/>
    <s v="EGM1"/>
    <n v="162972.97"/>
    <s v="CM ADJ -424130932079"/>
    <s v="0000005010"/>
    <s v="E45443DC20US0163"/>
    <s v=""/>
    <s v=""/>
    <s v="0"/>
    <s v="424130937902"/>
    <s v=""/>
    <s v=""/>
    <s v=""/>
    <s v=""/>
    <s v=""/>
    <x v="0"/>
    <m/>
    <s v=""/>
    <d v="2020-03-01T00:00:00"/>
    <s v=""/>
    <s v="1909000484"/>
  </r>
  <r>
    <s v="1909000484"/>
    <d v="2020-03-01T00:00:00"/>
    <d v="2020-03-01T00:00:00"/>
    <s v="DZ"/>
    <s v="USD"/>
    <n v="5218.5600000000004"/>
    <n v="5218.5600000000004"/>
    <s v="BDT"/>
    <s v="EGM1"/>
    <n v="438098.11"/>
    <s v="CM ADJ -424130925158"/>
    <s v="0000005010"/>
    <s v="E45443DC20US0163"/>
    <s v=""/>
    <s v=""/>
    <s v="0"/>
    <s v="424130937902"/>
    <s v=""/>
    <s v=""/>
    <s v=""/>
    <s v=""/>
    <s v=""/>
    <x v="0"/>
    <m/>
    <s v=""/>
    <d v="2020-03-01T00:00:00"/>
    <s v=""/>
    <s v="1909000484"/>
  </r>
  <r>
    <s v="1909000486"/>
    <d v="2020-03-02T00:00:00"/>
    <d v="2020-03-02T00:00:00"/>
    <s v="DZ"/>
    <s v="USD"/>
    <n v="-1000000"/>
    <n v="-1000000"/>
    <s v="BDT"/>
    <s v="EGM1"/>
    <n v="-83950000"/>
    <s v="CM ADV REC-424130939009"/>
    <s v="0000001010"/>
    <s v="EG3-05652A"/>
    <s v=""/>
    <s v=""/>
    <s v="0"/>
    <s v="424130939009"/>
    <s v=""/>
    <s v=""/>
    <s v=""/>
    <s v=""/>
    <s v=""/>
    <x v="0"/>
    <m/>
    <s v=""/>
    <d v="2020-03-02T00:00:00"/>
    <s v=""/>
    <s v="1909000486"/>
  </r>
  <r>
    <s v="1909000487"/>
    <d v="2020-03-02T00:00:00"/>
    <d v="2020-03-02T00:00:00"/>
    <s v="DZ"/>
    <s v="USD"/>
    <n v="-576559"/>
    <n v="-576559"/>
    <s v="BDT"/>
    <s v="EGM1"/>
    <n v="-48402128.049999997"/>
    <s v="CM ADV REC-424130939018"/>
    <s v="0000001010"/>
    <s v="EG3-05652"/>
    <s v=""/>
    <s v=""/>
    <s v="0"/>
    <s v="424130939018"/>
    <s v=""/>
    <s v=""/>
    <s v=""/>
    <s v=""/>
    <s v=""/>
    <x v="0"/>
    <m/>
    <s v=""/>
    <d v="2020-03-02T00:00:00"/>
    <s v=""/>
    <s v="1909000487"/>
  </r>
  <r>
    <s v="1909000488"/>
    <d v="2020-03-02T00:00:00"/>
    <d v="2020-03-02T00:00:00"/>
    <s v="DZ"/>
    <s v="USD"/>
    <n v="-4277"/>
    <n v="-4277"/>
    <s v="BDT"/>
    <s v="EGM2"/>
    <n v="-359054.15"/>
    <s v="CM ADV REC-424130939027"/>
    <s v="0000001010"/>
    <s v="E52-05289"/>
    <s v=""/>
    <s v=""/>
    <s v="0"/>
    <s v="424130939027"/>
    <s v=""/>
    <s v=""/>
    <s v=""/>
    <s v=""/>
    <s v=""/>
    <x v="0"/>
    <m/>
    <s v=""/>
    <d v="2020-03-02T00:00:00"/>
    <s v=""/>
    <s v="1909000488"/>
  </r>
  <r>
    <s v="1909000489"/>
    <d v="2020-03-02T00:00:00"/>
    <d v="2020-03-02T00:00:00"/>
    <s v="DZ"/>
    <s v="USD"/>
    <n v="2430"/>
    <n v="2430"/>
    <s v="BDT"/>
    <s v="EGM2"/>
    <n v="203998.5"/>
    <s v="CM ADJ -424130923819"/>
    <s v="0000001010"/>
    <s v="05595200103MY"/>
    <s v=""/>
    <s v=""/>
    <s v="0"/>
    <s v="424130939036"/>
    <s v=""/>
    <s v=""/>
    <s v=""/>
    <s v=""/>
    <s v=""/>
    <x v="0"/>
    <m/>
    <s v=""/>
    <d v="2020-03-02T00:00:00"/>
    <s v=""/>
    <s v="1909000489"/>
  </r>
  <r>
    <s v="1909000490"/>
    <d v="2020-03-03T00:00:00"/>
    <d v="2020-03-03T00:00:00"/>
    <s v="DZ"/>
    <s v="USD"/>
    <n v="-90728.77"/>
    <n v="-90728.77"/>
    <s v="BDT"/>
    <s v="EGM2"/>
    <n v="-7616680.2400000002"/>
    <s v="CM ADV REC-424130940006"/>
    <s v="0000005010"/>
    <s v="EG2-058219"/>
    <s v=""/>
    <s v=""/>
    <s v="0"/>
    <s v="424130940006"/>
    <s v=""/>
    <s v=""/>
    <s v=""/>
    <s v=""/>
    <s v=""/>
    <x v="0"/>
    <m/>
    <s v=""/>
    <d v="2020-03-03T00:00:00"/>
    <s v=""/>
    <s v="1909000490"/>
  </r>
  <r>
    <s v="1909000491"/>
    <d v="2020-03-03T00:00:00"/>
    <d v="2020-03-03T00:00:00"/>
    <s v="DZ"/>
    <s v="USD"/>
    <n v="-116687.5"/>
    <n v="-116687.5"/>
    <s v="BDT"/>
    <s v="EGM1"/>
    <n v="-9795915.6300000008"/>
    <s v="CM ADV REC-424130939991"/>
    <s v="0000005010"/>
    <s v="EG5-05453B"/>
    <s v=""/>
    <s v=""/>
    <s v="0"/>
    <s v="424130939991"/>
    <s v=""/>
    <s v=""/>
    <s v=""/>
    <s v=""/>
    <s v=""/>
    <x v="0"/>
    <m/>
    <s v=""/>
    <d v="2020-03-03T00:00:00"/>
    <s v=""/>
    <s v="1909000491"/>
  </r>
  <r>
    <s v="1909000492"/>
    <d v="2020-03-03T00:00:00"/>
    <d v="2020-03-03T00:00:00"/>
    <s v="DZ"/>
    <s v="USD"/>
    <n v="6549.08"/>
    <n v="6549.08"/>
    <s v="BDT"/>
    <s v="EGM1"/>
    <n v="549795.27"/>
    <s v="CM ADJ -424130912340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2"/>
    <d v="2020-03-03T00:00:00"/>
    <d v="2020-03-03T00:00:00"/>
    <s v="DZ"/>
    <s v="USD"/>
    <n v="18178.009999999998"/>
    <n v="18178.009999999998"/>
    <s v="BDT"/>
    <s v="EGM1"/>
    <n v="1526043.94"/>
    <s v="CM ADJ -424130904457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2"/>
    <d v="2020-03-03T00:00:00"/>
    <d v="2020-03-03T00:00:00"/>
    <s v="DZ"/>
    <s v="USD"/>
    <n v="922"/>
    <n v="922"/>
    <s v="BDT"/>
    <s v="EGM1"/>
    <n v="77401.899999999994"/>
    <s v="CM ADJ -424130896894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2"/>
    <d v="2020-03-03T00:00:00"/>
    <d v="2020-03-03T00:00:00"/>
    <s v="DZ"/>
    <s v="USD"/>
    <n v="8120"/>
    <n v="8120"/>
    <s v="BDT"/>
    <s v="EGM1"/>
    <n v="681674"/>
    <s v="CM ADJ -424130887467"/>
    <s v="0000005010"/>
    <s v="E35435TC20US0151"/>
    <s v=""/>
    <s v=""/>
    <s v="0"/>
    <s v="424130939385"/>
    <s v=""/>
    <s v=""/>
    <s v=""/>
    <s v=""/>
    <s v=""/>
    <x v="0"/>
    <m/>
    <s v=""/>
    <d v="2020-03-03T00:00:00"/>
    <s v=""/>
    <s v="1909000492"/>
  </r>
  <r>
    <s v="1909000493"/>
    <d v="2020-03-03T00:00:00"/>
    <d v="2020-03-03T00:00:00"/>
    <s v="DZ"/>
    <s v="USD"/>
    <n v="52753.42"/>
    <n v="52753.42"/>
    <s v="BDT"/>
    <s v="EGM1"/>
    <n v="4428649.6100000003"/>
    <s v="CM ADJ -424130912340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3"/>
    <d v="2020-03-03T00:00:00"/>
    <d v="2020-03-03T00:00:00"/>
    <s v="DZ"/>
    <s v="USD"/>
    <n v="42078.879999999997"/>
    <n v="42078.879999999997"/>
    <s v="BDT"/>
    <s v="EGM1"/>
    <n v="3532521.98"/>
    <s v="CM ADJ -424130904457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3"/>
    <d v="2020-03-03T00:00:00"/>
    <d v="2020-03-03T00:00:00"/>
    <s v="DZ"/>
    <s v="USD"/>
    <n v="18069.21"/>
    <n v="18069.21"/>
    <s v="BDT"/>
    <s v="EGM1"/>
    <n v="1516910.18"/>
    <s v="CM ADJ -424130925158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3"/>
    <d v="2020-03-03T00:00:00"/>
    <d v="2020-03-03T00:00:00"/>
    <s v="DZ"/>
    <s v="USD"/>
    <n v="9292.2099999999991"/>
    <n v="9292.2099999999991"/>
    <s v="BDT"/>
    <s v="EGM1"/>
    <n v="780081.03"/>
    <s v="CM ADJ -424130896894"/>
    <s v="0000005010"/>
    <s v="E5404AMZ20US0068"/>
    <s v=""/>
    <s v=""/>
    <s v="0"/>
    <s v=": 424130939376"/>
    <s v=""/>
    <s v=""/>
    <s v=""/>
    <s v=""/>
    <s v=""/>
    <x v="0"/>
    <m/>
    <s v=""/>
    <d v="2020-03-03T00:00:00"/>
    <s v=""/>
    <s v="1909000493"/>
  </r>
  <r>
    <s v="1909000494"/>
    <d v="2020-03-04T00:00:00"/>
    <d v="2020-03-04T00:00:00"/>
    <s v="DZ"/>
    <s v="USD"/>
    <n v="3827.17"/>
    <n v="3827.17"/>
    <s v="BDT"/>
    <s v="EGM2"/>
    <n v="321290.92"/>
    <s v="CM ADJ -424130932060"/>
    <s v="0000005010"/>
    <s v="E25506BF20US0084"/>
    <s v=""/>
    <s v=""/>
    <s v="0"/>
    <s v="424130940024"/>
    <s v=""/>
    <s v=""/>
    <s v=""/>
    <s v=""/>
    <s v=""/>
    <x v="0"/>
    <m/>
    <s v=""/>
    <d v="2020-03-04T00:00:00"/>
    <s v=""/>
    <s v="1909000494"/>
  </r>
  <r>
    <s v="1909000495"/>
    <d v="2020-03-04T00:00:00"/>
    <d v="2020-03-04T00:00:00"/>
    <s v="DZ"/>
    <s v="USD"/>
    <n v="1531.39"/>
    <n v="1531.39"/>
    <s v="BDT"/>
    <s v="EGM1"/>
    <n v="128560.19"/>
    <s v="CM ADJ -424130912340"/>
    <s v="0000005010"/>
    <s v="E55475AC20CK0148"/>
    <s v=""/>
    <s v=""/>
    <s v="0"/>
    <s v="424130940033"/>
    <s v=""/>
    <s v=""/>
    <s v=""/>
    <s v=""/>
    <s v=""/>
    <x v="0"/>
    <m/>
    <s v=""/>
    <d v="2020-03-04T00:00:00"/>
    <s v=""/>
    <s v="1909000495"/>
  </r>
  <r>
    <s v="1909000495"/>
    <d v="2020-03-04T00:00:00"/>
    <d v="2020-03-04T00:00:00"/>
    <s v="DZ"/>
    <s v="USD"/>
    <n v="2730.33"/>
    <n v="2730.33"/>
    <s v="BDT"/>
    <s v="EGM1"/>
    <n v="229211.2"/>
    <s v="CM ADJ -424130932079"/>
    <s v="0000005010"/>
    <s v="E55475AC20CK0148"/>
    <s v=""/>
    <s v=""/>
    <s v="0"/>
    <s v="424130940033"/>
    <s v=""/>
    <s v=""/>
    <s v=""/>
    <s v=""/>
    <s v=""/>
    <x v="0"/>
    <m/>
    <s v=""/>
    <d v="2020-03-04T00:00:00"/>
    <s v=""/>
    <s v="1909000495"/>
  </r>
  <r>
    <s v="1909000495"/>
    <d v="2020-03-04T00:00:00"/>
    <d v="2020-03-04T00:00:00"/>
    <s v="DZ"/>
    <s v="USD"/>
    <n v="1670.41"/>
    <n v="1670.41"/>
    <s v="BDT"/>
    <s v="EGM1"/>
    <n v="140230.92000000001"/>
    <s v="CM ADJ -424130925158"/>
    <s v="0000005010"/>
    <s v="E55475AC20CK0148"/>
    <s v=""/>
    <s v=""/>
    <s v="0"/>
    <s v="424130940033"/>
    <s v=""/>
    <s v=""/>
    <s v=""/>
    <s v=""/>
    <s v=""/>
    <x v="0"/>
    <m/>
    <s v=""/>
    <d v="2020-03-04T00:00:00"/>
    <s v=""/>
    <s v="1909000495"/>
  </r>
  <r>
    <s v="1909000496"/>
    <d v="2020-03-03T00:00:00"/>
    <d v="2020-03-03T00:00:00"/>
    <s v="DZ"/>
    <s v="USD"/>
    <n v="391"/>
    <n v="391"/>
    <s v="BDT"/>
    <s v="EGM1"/>
    <n v="32648.5"/>
    <s v="CM ADJ -424130869147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35880"/>
    <n v="35880"/>
    <s v="BDT"/>
    <s v="EGM1"/>
    <n v="3012126"/>
    <s v="CM ADJ -42413088745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6800"/>
    <n v="6800"/>
    <s v="BDT"/>
    <s v="EGM1"/>
    <n v="570860"/>
    <s v="CM ADJ -424130923837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20784"/>
    <n v="20784"/>
    <s v="BDT"/>
    <s v="EGM1"/>
    <n v="1735464"/>
    <s v="CM ADJ -424130851922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1990"/>
    <n v="1990"/>
    <s v="BDT"/>
    <s v="EGM1"/>
    <n v="166165"/>
    <s v="CM ADJ -424130854527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58065"/>
    <n v="58065"/>
    <s v="BDT"/>
    <s v="EGM1"/>
    <n v="4874556.75"/>
    <s v="CM ADJ -424130889090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10965"/>
    <n v="10965"/>
    <s v="BDT"/>
    <s v="EGM1"/>
    <n v="920511.75"/>
    <s v="CM ADJ -42413092382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50238"/>
    <n v="50238"/>
    <s v="BDT"/>
    <s v="EGM1"/>
    <n v="4217480.0999999996"/>
    <s v="CM ADJ -424130902609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85422"/>
    <n v="85422"/>
    <s v="BDT"/>
    <s v="EGM1"/>
    <n v="7171176.9000000004"/>
    <s v="CM ADJ -42413090261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17421"/>
    <n v="17421"/>
    <s v="BDT"/>
    <s v="EGM1"/>
    <n v="1462492.95"/>
    <s v="CM ADJ -424130939018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6"/>
    <d v="2020-03-03T00:00:00"/>
    <d v="2020-03-03T00:00:00"/>
    <s v="DZ"/>
    <s v="USD"/>
    <n v="2021"/>
    <n v="2021"/>
    <s v="BDT"/>
    <s v="EGM1"/>
    <n v="169662.95"/>
    <s v="CM ADJ -424130911742"/>
    <s v="0000001010"/>
    <s v="E05141US20-0152"/>
    <s v=""/>
    <s v=""/>
    <s v="0"/>
    <s v="424130940015"/>
    <s v=""/>
    <s v=""/>
    <s v=""/>
    <s v=""/>
    <s v=""/>
    <x v="0"/>
    <m/>
    <s v=""/>
    <d v="2020-03-03T00:00:00"/>
    <s v=""/>
    <s v="1909000496"/>
  </r>
  <r>
    <s v="1909000497"/>
    <d v="2020-03-05T00:00:00"/>
    <d v="2020-03-05T00:00:00"/>
    <s v="DZ"/>
    <s v="USD"/>
    <n v="18722"/>
    <n v="18722"/>
    <s v="BDT"/>
    <s v="EGM1"/>
    <n v="1571711.9"/>
    <s v="CM ADJ -424130923837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31216"/>
    <n v="31216"/>
    <s v="BDT"/>
    <s v="EGM1"/>
    <n v="2620583.2000000002"/>
    <s v="CM ADJ -424130923828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2516"/>
    <n v="2516"/>
    <s v="BDT"/>
    <s v="EGM1"/>
    <n v="211218.2"/>
    <s v="CM ADJ -424130902609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12340"/>
    <n v="12340"/>
    <s v="BDT"/>
    <s v="EGM1"/>
    <n v="1035943"/>
    <s v="CM ADJ -424130902618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7"/>
    <d v="2020-03-05T00:00:00"/>
    <d v="2020-03-05T00:00:00"/>
    <s v="DZ"/>
    <s v="USD"/>
    <n v="7529"/>
    <n v="7529"/>
    <s v="BDT"/>
    <s v="EGM1"/>
    <n v="632059.55000000005"/>
    <s v="CM ADJ 424130939018"/>
    <s v="0000001010"/>
    <s v="E5534SB20"/>
    <s v=""/>
    <s v=""/>
    <s v="0"/>
    <s v="424130941504"/>
    <s v=""/>
    <s v=""/>
    <s v=""/>
    <s v=""/>
    <s v=""/>
    <x v="0"/>
    <m/>
    <s v=""/>
    <d v="2020-03-05T00:00:00"/>
    <s v=""/>
    <s v="1909000497"/>
  </r>
  <r>
    <s v="1909000498"/>
    <d v="2020-03-05T00:00:00"/>
    <d v="2020-03-05T00:00:00"/>
    <s v="DZ"/>
    <s v="USD"/>
    <n v="4850"/>
    <n v="4850"/>
    <s v="BDT"/>
    <s v="EGM2"/>
    <n v="407157.5"/>
    <s v="CM ADJ - 424130923819"/>
    <s v="0000001010"/>
    <s v="05640200120IN"/>
    <s v=""/>
    <s v=""/>
    <s v="0"/>
    <s v="424130941513"/>
    <s v=""/>
    <s v=""/>
    <s v=""/>
    <s v=""/>
    <s v=""/>
    <x v="0"/>
    <m/>
    <s v=""/>
    <d v="2020-03-05T00:00:00"/>
    <s v=""/>
    <s v="1909000498"/>
  </r>
  <r>
    <s v="1909000498"/>
    <d v="2020-03-05T00:00:00"/>
    <d v="2020-03-05T00:00:00"/>
    <s v="DZ"/>
    <s v="USD"/>
    <n v="12735"/>
    <n v="12735"/>
    <s v="BDT"/>
    <s v="EGM2"/>
    <n v="1069103.25"/>
    <s v="CM ADJ - 424130930936"/>
    <s v="0000001010"/>
    <s v="05640200120IN"/>
    <s v=""/>
    <s v=""/>
    <s v="0"/>
    <s v="424130941513"/>
    <s v=""/>
    <s v=""/>
    <s v=""/>
    <s v=""/>
    <s v=""/>
    <x v="0"/>
    <m/>
    <s v=""/>
    <d v="2020-03-05T00:00:00"/>
    <s v=""/>
    <s v="1909000498"/>
  </r>
  <r>
    <s v="1909000498"/>
    <d v="2020-03-05T00:00:00"/>
    <d v="2020-03-05T00:00:00"/>
    <s v="DZ"/>
    <s v="USD"/>
    <n v="1336"/>
    <n v="1336"/>
    <s v="BDT"/>
    <s v="EGM2"/>
    <n v="112157.2"/>
    <s v="CM ADJ - 424130939027"/>
    <s v="0000001010"/>
    <s v="05640200120IN"/>
    <s v=""/>
    <s v=""/>
    <s v="0"/>
    <s v="424130941513"/>
    <s v=""/>
    <s v=""/>
    <s v=""/>
    <s v=""/>
    <s v=""/>
    <x v="0"/>
    <m/>
    <s v=""/>
    <d v="2020-03-05T00:00:00"/>
    <s v=""/>
    <s v="1909000498"/>
  </r>
  <r>
    <s v="1909000500"/>
    <d v="2020-02-29T00:00:00"/>
    <d v="2020-02-29T00:00:00"/>
    <s v="DZ"/>
    <s v="USD"/>
    <n v="-1580836"/>
    <n v="-1580836"/>
    <s v="BDT"/>
    <s v="EGM1"/>
    <n v="-131968189.28"/>
    <s v="FIT-CM ADV EDL-FEB-20"/>
    <s v="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9000500"/>
  </r>
  <r>
    <s v="1909000500"/>
    <d v="2020-02-29T00:00:00"/>
    <d v="2020-02-29T00:00:00"/>
    <s v="DZ"/>
    <s v="USD"/>
    <n v="2429"/>
    <n v="2429"/>
    <s v="BDT"/>
    <s v="EGM1"/>
    <n v="202772.92"/>
    <s v="FIT-CM ADV EDL-FEB-20"/>
    <s v="0000001010"/>
    <s v="FIT-CM-EDL-FEB20"/>
    <s v=""/>
    <s v=""/>
    <s v="0"/>
    <s v="FIT-CMADV-EDL-FEB-20"/>
    <s v=""/>
    <s v=""/>
    <s v=""/>
    <s v=""/>
    <s v=""/>
    <x v="0"/>
    <d v="2020-03-01T00:00:00"/>
    <s v="1903008731"/>
    <d v="2020-02-29T00:00:00"/>
    <s v=""/>
    <s v="1909000500"/>
  </r>
  <r>
    <s v="1909000504"/>
    <d v="2020-02-29T00:00:00"/>
    <d v="2020-02-29T00:00:00"/>
    <s v="DZ"/>
    <s v="USD"/>
    <n v="178852.54"/>
    <n v="178852.54"/>
    <s v="BDT"/>
    <s v="EGM1"/>
    <n v="15014670.73"/>
    <s v="FIT-CM ADV DWC-FEB-20"/>
    <s v="0000005010"/>
    <s v="FIT-CMDWC-FEB-20"/>
    <s v=""/>
    <s v=""/>
    <s v="0"/>
    <s v="FIT-CM ADV DWC-FEB-20"/>
    <s v=""/>
    <s v=""/>
    <s v=""/>
    <s v=""/>
    <s v=""/>
    <x v="0"/>
    <d v="2020-03-01T00:00:00"/>
    <s v="1903008736"/>
    <d v="2020-02-29T00:00:00"/>
    <s v=""/>
    <s v="1909000504"/>
  </r>
  <r>
    <s v="1909000505"/>
    <d v="2020-03-09T00:00:00"/>
    <d v="2020-03-09T00:00:00"/>
    <s v="DZ"/>
    <s v="USD"/>
    <n v="1262.05"/>
    <n v="1262.05"/>
    <s v="BDT"/>
    <s v="EGM2"/>
    <n v="105949.1"/>
    <s v="CM ADJ -424130932060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5"/>
    <d v="2020-03-09T00:00:00"/>
    <d v="2020-03-09T00:00:00"/>
    <s v="DZ"/>
    <s v="USD"/>
    <n v="26631.119999999999"/>
    <n v="26631.119999999999"/>
    <s v="BDT"/>
    <s v="EGM2"/>
    <n v="2235682.5299999998"/>
    <s v="CM ADJ -424130912359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5"/>
    <d v="2020-03-09T00:00:00"/>
    <d v="2020-03-09T00:00:00"/>
    <s v="DZ"/>
    <s v="USD"/>
    <n v="36362.160000000003"/>
    <n v="36362.160000000003"/>
    <s v="BDT"/>
    <s v="EGM2"/>
    <n v="3052603.33"/>
    <s v="CM ADJ -424130925149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5"/>
    <d v="2020-03-09T00:00:00"/>
    <d v="2020-03-09T00:00:00"/>
    <s v="DZ"/>
    <s v="USD"/>
    <n v="4982.6099999999997"/>
    <n v="4982.6099999999997"/>
    <s v="BDT"/>
    <s v="EGM2"/>
    <n v="418290.11"/>
    <s v="CM ADJ -424130940006"/>
    <s v="0000005010"/>
    <s v="E25319AC20CK0141"/>
    <s v=""/>
    <s v=""/>
    <s v="0"/>
    <s v="424130942148"/>
    <s v=""/>
    <s v=""/>
    <s v=""/>
    <s v=""/>
    <s v=""/>
    <x v="0"/>
    <m/>
    <s v=""/>
    <d v="2020-03-09T00:00:00"/>
    <s v=""/>
    <s v="1909000505"/>
  </r>
  <r>
    <s v="1909000506"/>
    <d v="2020-03-09T00:00:00"/>
    <d v="2020-03-09T00:00:00"/>
    <s v="DZ"/>
    <s v="USD"/>
    <n v="21664"/>
    <n v="21664"/>
    <s v="BDT"/>
    <s v="EGM1"/>
    <n v="1818692.8"/>
    <s v="CM ADJ -424130912340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5388.97"/>
    <n v="5388.97"/>
    <s v="BDT"/>
    <s v="EGM1"/>
    <n v="452404.03"/>
    <s v="CM ADJ -424130904457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13304.73"/>
    <n v="13304.73"/>
    <s v="BDT"/>
    <s v="EGM1"/>
    <n v="1116932.08"/>
    <s v="CM ADJ -424130932079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28371.71"/>
    <n v="28371.71"/>
    <s v="BDT"/>
    <s v="EGM1"/>
    <n v="2381805.0499999998"/>
    <s v="CM ADJ -424130925158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11705.38"/>
    <n v="11705.38"/>
    <s v="BDT"/>
    <s v="EGM1"/>
    <n v="982666.65"/>
    <s v="CM ADJ -424130896894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6"/>
    <d v="2020-03-09T00:00:00"/>
    <d v="2020-03-09T00:00:00"/>
    <s v="DZ"/>
    <s v="USD"/>
    <n v="3986.96"/>
    <n v="3986.96"/>
    <s v="BDT"/>
    <s v="EGM1"/>
    <n v="334705.28999999998"/>
    <s v="CM ADJ -424130939991"/>
    <s v="0000005010"/>
    <s v="E35403TC20US0196"/>
    <s v=""/>
    <s v=""/>
    <s v="0"/>
    <s v="424130942157"/>
    <s v=""/>
    <s v=""/>
    <s v=""/>
    <s v=""/>
    <s v=""/>
    <x v="0"/>
    <m/>
    <s v=""/>
    <d v="2020-03-09T00:00:00"/>
    <s v=""/>
    <s v="1909000506"/>
  </r>
  <r>
    <s v="1909000507"/>
    <d v="2020-03-09T00:00:00"/>
    <d v="2020-03-09T00:00:00"/>
    <s v="DZ"/>
    <s v="USD"/>
    <n v="27723.71"/>
    <n v="27723.71"/>
    <s v="BDT"/>
    <s v="EGM1"/>
    <n v="2327405.4500000002"/>
    <s v="CM ADJ -424130912340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7699.54"/>
    <n v="7699.54"/>
    <s v="BDT"/>
    <s v="EGM1"/>
    <n v="646376.38"/>
    <s v="CM ADJ -424130904457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13445.74"/>
    <n v="13445.74"/>
    <s v="BDT"/>
    <s v="EGM1"/>
    <n v="1128769.8700000001"/>
    <s v="CM ADJ -424130932079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24519.3"/>
    <n v="24519.3"/>
    <s v="BDT"/>
    <s v="EGM1"/>
    <n v="2058395.24"/>
    <s v="CM ADJ -424130925158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7"/>
    <d v="2020-03-09T00:00:00"/>
    <d v="2020-03-09T00:00:00"/>
    <s v="DZ"/>
    <s v="USD"/>
    <n v="5484.3"/>
    <n v="5484.3"/>
    <s v="BDT"/>
    <s v="EGM1"/>
    <n v="460406.99"/>
    <s v="CM ADJ -424130939991"/>
    <s v="0000005010"/>
    <s v="E55475AC20KT0149"/>
    <s v=""/>
    <s v=""/>
    <s v="0"/>
    <s v="424130942166"/>
    <s v=""/>
    <s v=""/>
    <s v=""/>
    <s v=""/>
    <s v=""/>
    <x v="0"/>
    <m/>
    <s v=""/>
    <d v="2020-03-09T00:00:00"/>
    <s v=""/>
    <s v="1909000507"/>
  </r>
  <r>
    <s v="1909000508"/>
    <d v="2020-03-11T00:00:00"/>
    <d v="2020-03-11T00:00:00"/>
    <s v="DZ"/>
    <s v="USD"/>
    <n v="5623"/>
    <n v="5623"/>
    <s v="BDT"/>
    <s v="EGM2"/>
    <n v="472050.85"/>
    <s v="CM ADJ -424130923819"/>
    <s v="0000001010"/>
    <s v="05640200147"/>
    <s v=""/>
    <s v=""/>
    <s v="0"/>
    <s v="424130943986"/>
    <s v=""/>
    <s v=""/>
    <s v=""/>
    <s v=""/>
    <s v=""/>
    <x v="0"/>
    <m/>
    <s v=""/>
    <d v="2020-03-11T00:00:00"/>
    <s v=""/>
    <s v="1909000508"/>
  </r>
  <r>
    <s v="1909000508"/>
    <d v="2020-03-11T00:00:00"/>
    <d v="2020-03-11T00:00:00"/>
    <s v="DZ"/>
    <s v="USD"/>
    <n v="14156"/>
    <n v="14156"/>
    <s v="BDT"/>
    <s v="EGM2"/>
    <n v="1188396.2"/>
    <s v="CM ADJ -424130930936"/>
    <s v="0000001010"/>
    <s v="05640200147"/>
    <s v=""/>
    <s v=""/>
    <s v="0"/>
    <s v="424130943986"/>
    <s v=""/>
    <s v=""/>
    <s v=""/>
    <s v=""/>
    <s v=""/>
    <x v="0"/>
    <m/>
    <s v=""/>
    <d v="2020-03-11T00:00:00"/>
    <s v=""/>
    <s v="1909000508"/>
  </r>
  <r>
    <s v="1909000508"/>
    <d v="2020-03-11T00:00:00"/>
    <d v="2020-03-11T00:00:00"/>
    <s v="DZ"/>
    <s v="USD"/>
    <n v="594"/>
    <n v="594"/>
    <s v="BDT"/>
    <s v="EGM2"/>
    <n v="49866.3"/>
    <s v="CM ADJ -424130939027"/>
    <s v="0000001010"/>
    <s v="05640200147"/>
    <s v=""/>
    <s v=""/>
    <s v="0"/>
    <s v="424130943986"/>
    <s v=""/>
    <s v=""/>
    <s v=""/>
    <s v=""/>
    <s v=""/>
    <x v="0"/>
    <m/>
    <s v=""/>
    <d v="2020-03-11T00:00:00"/>
    <s v=""/>
    <s v="1909000508"/>
  </r>
  <r>
    <s v="1909000510"/>
    <d v="2020-03-11T00:00:00"/>
    <d v="2020-03-11T00:00:00"/>
    <s v="DZ"/>
    <s v="USD"/>
    <n v="7918.35"/>
    <n v="7918.35"/>
    <s v="BDT"/>
    <s v="EGM1"/>
    <n v="664745.48"/>
    <s v="CM ADJ -424130912340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0"/>
    <d v="2020-03-11T00:00:00"/>
    <d v="2020-03-11T00:00:00"/>
    <s v="DZ"/>
    <s v="USD"/>
    <n v="661.36"/>
    <n v="661.36"/>
    <s v="BDT"/>
    <s v="EGM1"/>
    <n v="55521.17"/>
    <s v="CM ADJ -424130932079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0"/>
    <d v="2020-03-11T00:00:00"/>
    <d v="2020-03-11T00:00:00"/>
    <s v="DZ"/>
    <s v="USD"/>
    <n v="2595.81"/>
    <n v="2595.81"/>
    <s v="BDT"/>
    <s v="EGM1"/>
    <n v="217918.25"/>
    <s v="CM ADJ -424130925158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0"/>
    <d v="2020-03-11T00:00:00"/>
    <d v="2020-03-11T00:00:00"/>
    <s v="DZ"/>
    <s v="USD"/>
    <n v="1526.98"/>
    <n v="1526.98"/>
    <s v="BDT"/>
    <s v="EGM1"/>
    <n v="128189.97"/>
    <s v="CM ADJ -424130939991"/>
    <s v="0000005010"/>
    <s v="E5338TS20CE0189"/>
    <s v=""/>
    <s v=""/>
    <s v="0"/>
    <s v="424130943968"/>
    <s v=""/>
    <s v=""/>
    <s v=""/>
    <s v=""/>
    <s v=""/>
    <x v="0"/>
    <m/>
    <s v=""/>
    <d v="2020-03-11T00:00:00"/>
    <s v=""/>
    <s v="1909000510"/>
  </r>
  <r>
    <s v="1909000511"/>
    <d v="2020-03-11T00:00:00"/>
    <d v="2020-03-11T00:00:00"/>
    <s v="DZ"/>
    <s v="USD"/>
    <n v="26105.57"/>
    <n v="26105.57"/>
    <s v="BDT"/>
    <s v="EGM1"/>
    <n v="2191562.6"/>
    <s v="CM ADJ -424130912340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8015.88"/>
    <n v="8015.88"/>
    <s v="BDT"/>
    <s v="EGM1"/>
    <n v="672933.13"/>
    <s v="CM ADJ -424130904457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9759.67"/>
    <n v="9759.67"/>
    <s v="BDT"/>
    <s v="EGM1"/>
    <n v="819324.3"/>
    <s v="CM ADJ -424130932079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21555.06"/>
    <n v="21555.06"/>
    <s v="BDT"/>
    <s v="EGM1"/>
    <n v="1809547.29"/>
    <s v="CM ADJ -424130925158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366.84"/>
    <n v="366.84"/>
    <s v="BDT"/>
    <s v="EGM1"/>
    <n v="30796.22"/>
    <s v="CM ADJ -424130896894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1907.57"/>
    <n v="1907.57"/>
    <s v="BDT"/>
    <s v="EGM1"/>
    <n v="160140.5"/>
    <s v="CM ADJ -424130887467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1"/>
    <d v="2020-03-11T00:00:00"/>
    <d v="2020-03-11T00:00:00"/>
    <s v="DZ"/>
    <s v="USD"/>
    <n v="12311.71"/>
    <n v="12311.71"/>
    <s v="BDT"/>
    <s v="EGM1"/>
    <n v="1033568.06"/>
    <s v="CM ADJ -424130939991"/>
    <s v="0000005010"/>
    <s v="E55473SC20KT0186"/>
    <s v=""/>
    <s v=""/>
    <s v="0"/>
    <s v="424130943959"/>
    <s v=""/>
    <s v=""/>
    <s v=""/>
    <s v=""/>
    <s v=""/>
    <x v="0"/>
    <m/>
    <s v=""/>
    <d v="2020-03-11T00:00:00"/>
    <s v=""/>
    <s v="1909000511"/>
  </r>
  <r>
    <s v="1909000512"/>
    <d v="2020-03-11T00:00:00"/>
    <d v="2020-03-11T00:00:00"/>
    <s v="DZ"/>
    <s v="USD"/>
    <n v="1870"/>
    <n v="1870"/>
    <s v="BDT"/>
    <s v="EGM1"/>
    <n v="156986.5"/>
    <s v="CM ADJ -42413088745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12332"/>
    <n v="12332"/>
    <s v="BDT"/>
    <s v="EGM1"/>
    <n v="1035271.4"/>
    <s v="CM ADJ -424130923837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3457"/>
    <n v="3457"/>
    <s v="BDT"/>
    <s v="EGM1"/>
    <n v="288659.5"/>
    <s v="CM ADJ -424130851922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6367"/>
    <n v="6367"/>
    <s v="BDT"/>
    <s v="EGM1"/>
    <n v="531644.5"/>
    <s v="CM ADJ -424130854527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144877"/>
    <n v="144877"/>
    <s v="BDT"/>
    <s v="EGM1"/>
    <n v="12162424.15"/>
    <s v="CM ADJ -42413092382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715"/>
    <n v="715"/>
    <s v="BDT"/>
    <s v="EGM1"/>
    <n v="60024.25"/>
    <s v="CM ADJ -42413090261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2"/>
    <d v="2020-03-11T00:00:00"/>
    <d v="2020-03-11T00:00:00"/>
    <s v="DZ"/>
    <s v="USD"/>
    <n v="2720"/>
    <n v="2720"/>
    <s v="BDT"/>
    <s v="EGM1"/>
    <n v="228344"/>
    <s v="CM ADJ -424130939018"/>
    <s v="0000001010"/>
    <s v="E05483US20-0179"/>
    <s v=""/>
    <s v=""/>
    <s v="0"/>
    <s v="424130943940"/>
    <s v=""/>
    <s v=""/>
    <s v=""/>
    <s v=""/>
    <s v=""/>
    <x v="0"/>
    <m/>
    <s v=""/>
    <d v="2020-03-11T00:00:00"/>
    <s v=""/>
    <s v="1909000512"/>
  </r>
  <r>
    <s v="1909000513"/>
    <d v="2020-03-12T00:00:00"/>
    <d v="2020-03-12T00:00:00"/>
    <s v="DZ"/>
    <s v="USD"/>
    <n v="4030.74"/>
    <n v="4030.74"/>
    <s v="BDT"/>
    <s v="EGM1"/>
    <n v="338380.62"/>
    <s v="CM ADJ -424130904457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35012.71"/>
    <n v="35012.71"/>
    <s v="BDT"/>
    <s v="EGM1"/>
    <n v="2939317.01"/>
    <s v="CM ADJ -424130932079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6045.87"/>
    <n v="6045.87"/>
    <s v="BDT"/>
    <s v="EGM1"/>
    <n v="507550.79"/>
    <s v="CM ADJ -424130925158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11467.28"/>
    <n v="11467.28"/>
    <s v="BDT"/>
    <s v="EGM1"/>
    <n v="962678.16"/>
    <s v="CM ADJ -424130896894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4632.7700000000004"/>
    <n v="4632.7700000000004"/>
    <s v="BDT"/>
    <s v="EGM1"/>
    <n v="388921.04"/>
    <s v="CM ADJ -424130887467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3"/>
    <d v="2020-03-12T00:00:00"/>
    <d v="2020-03-12T00:00:00"/>
    <s v="DZ"/>
    <s v="USD"/>
    <n v="4939.3900000000003"/>
    <n v="4939.3900000000003"/>
    <s v="BDT"/>
    <s v="EGM1"/>
    <n v="414661.79"/>
    <s v="CM ADJ -424130939991"/>
    <s v="0000005010"/>
    <s v="E35401TC20US0234"/>
    <s v=""/>
    <s v=""/>
    <s v="0"/>
    <s v="424130944235"/>
    <s v=""/>
    <s v=""/>
    <s v=""/>
    <s v=""/>
    <s v=""/>
    <x v="0"/>
    <m/>
    <s v=""/>
    <d v="2020-03-12T00:00:00"/>
    <s v=""/>
    <s v="1909000513"/>
  </r>
  <r>
    <s v="1909000514"/>
    <d v="2020-03-12T00:00:00"/>
    <d v="2020-03-12T00:00:00"/>
    <s v="DZ"/>
    <s v="USD"/>
    <n v="8838"/>
    <n v="8838"/>
    <s v="BDT"/>
    <s v="EGM1"/>
    <n v="741950.1"/>
    <s v="CM Adv adj- 424130923837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25164"/>
    <n v="25164"/>
    <s v="BDT"/>
    <s v="EGM1"/>
    <n v="2112517.7999999998"/>
    <s v="CM Adv adj- 424130923828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7564"/>
    <n v="7564"/>
    <s v="BDT"/>
    <s v="EGM1"/>
    <n v="634997.80000000005"/>
    <s v="CM Adv adj- 424130902609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3343"/>
    <n v="3343"/>
    <s v="BDT"/>
    <s v="EGM1"/>
    <n v="280644.84999999998"/>
    <s v="CM Adv adj- 424130902618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4"/>
    <d v="2020-03-12T00:00:00"/>
    <d v="2020-03-12T00:00:00"/>
    <s v="DZ"/>
    <s v="USD"/>
    <n v="858"/>
    <n v="858"/>
    <s v="BDT"/>
    <s v="EGM1"/>
    <n v="72029.100000000006"/>
    <s v="CM Adv adj- 424130939018"/>
    <s v="0000001010"/>
    <s v="E35401TC20US0234"/>
    <s v=""/>
    <s v=""/>
    <s v="0"/>
    <s v="424130944226"/>
    <s v=""/>
    <s v=""/>
    <s v=""/>
    <s v=""/>
    <s v=""/>
    <x v="0"/>
    <m/>
    <s v=""/>
    <d v="2020-03-12T00:00:00"/>
    <s v=""/>
    <s v="1909000514"/>
  </r>
  <r>
    <s v="1909000515"/>
    <d v="2020-03-16T00:00:00"/>
    <d v="2020-03-16T00:00:00"/>
    <s v="DZ"/>
    <s v="USD"/>
    <n v="309"/>
    <n v="309"/>
    <s v="BDT"/>
    <s v="EGM2"/>
    <n v="25940.55"/>
    <s v="CM ADJ -424130923819"/>
    <s v="0000001010"/>
    <s v="150,168,169,125"/>
    <s v=""/>
    <s v=""/>
    <s v="0"/>
    <s v="424130945984"/>
    <s v=""/>
    <s v=""/>
    <s v=""/>
    <s v=""/>
    <s v=""/>
    <x v="0"/>
    <m/>
    <s v=""/>
    <d v="2020-03-16T00:00:00"/>
    <s v=""/>
    <s v="1909000515"/>
  </r>
  <r>
    <s v="1909000515"/>
    <d v="2020-03-16T00:00:00"/>
    <d v="2020-03-16T00:00:00"/>
    <s v="DZ"/>
    <s v="USD"/>
    <n v="1379"/>
    <n v="1379"/>
    <s v="BDT"/>
    <s v="EGM2"/>
    <n v="115767.05"/>
    <s v="CM ADJ -424130930936"/>
    <s v="0000001010"/>
    <s v="150,168,169,125"/>
    <s v=""/>
    <s v=""/>
    <s v="0"/>
    <s v="424130945984"/>
    <s v=""/>
    <s v=""/>
    <s v=""/>
    <s v=""/>
    <s v=""/>
    <x v="0"/>
    <m/>
    <s v=""/>
    <d v="2020-03-16T00:00:00"/>
    <s v=""/>
    <s v="1909000515"/>
  </r>
  <r>
    <s v="1909000516"/>
    <d v="2020-03-16T00:00:00"/>
    <d v="2020-03-16T00:00:00"/>
    <s v="DZ"/>
    <s v="USD"/>
    <n v="1086"/>
    <n v="1086"/>
    <s v="BDT"/>
    <s v="EGM2"/>
    <n v="91169.7"/>
    <s v="CM ADJ -424130930936"/>
    <s v="0000001010"/>
    <s v="173,174,175"/>
    <s v=""/>
    <s v=""/>
    <s v="0"/>
    <s v="424130945993"/>
    <s v=""/>
    <s v=""/>
    <s v=""/>
    <s v=""/>
    <s v=""/>
    <x v="0"/>
    <m/>
    <s v=""/>
    <d v="2020-03-16T00:00:00"/>
    <s v=""/>
    <s v="1909000516"/>
  </r>
  <r>
    <s v="1909000516"/>
    <d v="2020-03-16T00:00:00"/>
    <d v="2020-03-16T00:00:00"/>
    <s v="DZ"/>
    <s v="USD"/>
    <n v="876"/>
    <n v="876"/>
    <s v="BDT"/>
    <s v="EGM2"/>
    <n v="73540.2"/>
    <s v="CM ADJ -424130939027"/>
    <s v="0000001010"/>
    <s v="173,174,175"/>
    <s v=""/>
    <s v=""/>
    <s v="0"/>
    <s v="424130945993"/>
    <s v=""/>
    <s v=""/>
    <s v=""/>
    <s v=""/>
    <s v=""/>
    <x v="0"/>
    <m/>
    <s v=""/>
    <d v="2020-03-16T00:00:00"/>
    <s v=""/>
    <s v="1909000516"/>
  </r>
  <r>
    <s v="1909000519"/>
    <d v="2020-03-16T00:00:00"/>
    <d v="2020-03-16T00:00:00"/>
    <s v="DZ"/>
    <s v="USD"/>
    <n v="3306"/>
    <n v="3306"/>
    <s v="BDT"/>
    <s v="EGM1"/>
    <n v="277538.7"/>
    <s v="CM ADJ -424130939018"/>
    <s v="0000001010"/>
    <s v="D130"/>
    <s v=""/>
    <s v=""/>
    <s v="0"/>
    <s v="424130945957"/>
    <s v=""/>
    <s v=""/>
    <s v=""/>
    <s v=""/>
    <s v=""/>
    <x v="0"/>
    <m/>
    <s v=""/>
    <d v="2020-03-16T00:00:00"/>
    <s v=""/>
    <s v="1909000519"/>
  </r>
  <r>
    <s v="1909000520"/>
    <d v="2020-03-16T00:00:00"/>
    <d v="2020-03-16T00:00:00"/>
    <s v="DZ"/>
    <s v="USD"/>
    <n v="18105"/>
    <n v="18105"/>
    <s v="BDT"/>
    <s v="EGM1"/>
    <n v="1511767.5"/>
    <s v="CM ADJ -424130869147"/>
    <s v="0000001010"/>
    <s v="E15279DM20US0217"/>
    <s v=""/>
    <s v=""/>
    <s v="0"/>
    <s v="424130945948"/>
    <s v=""/>
    <s v=""/>
    <s v=""/>
    <s v=""/>
    <s v=""/>
    <x v="0"/>
    <m/>
    <s v=""/>
    <d v="2020-03-16T00:00:00"/>
    <s v=""/>
    <s v="1909000520"/>
  </r>
  <r>
    <s v="1909000520"/>
    <d v="2020-03-16T00:00:00"/>
    <d v="2020-03-16T00:00:00"/>
    <s v="DZ"/>
    <s v="USD"/>
    <n v="1786"/>
    <n v="1786"/>
    <s v="BDT"/>
    <s v="EGM1"/>
    <n v="149131"/>
    <s v="CM ADJ -424130851922"/>
    <s v="0000001010"/>
    <s v="E15279DM20US0217"/>
    <s v=""/>
    <s v=""/>
    <s v="0"/>
    <s v="424130945948"/>
    <s v=""/>
    <s v=""/>
    <s v=""/>
    <s v=""/>
    <s v=""/>
    <x v="0"/>
    <m/>
    <s v=""/>
    <d v="2020-03-16T00:00:00"/>
    <s v=""/>
    <s v="1909000520"/>
  </r>
  <r>
    <s v="1909000521"/>
    <d v="2020-03-16T00:00:00"/>
    <d v="2020-03-16T00:00:00"/>
    <s v="DZ"/>
    <s v="USD"/>
    <n v="2165"/>
    <n v="2165"/>
    <s v="BDT"/>
    <s v="EGM1"/>
    <n v="181751.75"/>
    <s v="CM ADJ -424130887458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4900"/>
    <n v="4900"/>
    <s v="BDT"/>
    <s v="EGM1"/>
    <n v="411355"/>
    <s v="CM ADJ -424130923837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22604"/>
    <n v="22604"/>
    <s v="BDT"/>
    <s v="EGM1"/>
    <n v="1887434"/>
    <s v="CM ADJ -424130851922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22673"/>
    <n v="22673"/>
    <s v="BDT"/>
    <s v="EGM1"/>
    <n v="1901131.05"/>
    <s v="CM ADJ -424130871205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2758"/>
    <n v="2758"/>
    <s v="BDT"/>
    <s v="EGM1"/>
    <n v="231534.1"/>
    <s v="CM ADJ -424130923828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128"/>
    <n v="128"/>
    <s v="BDT"/>
    <s v="EGM1"/>
    <n v="10745.6"/>
    <s v="CM ADJ -424130902609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1"/>
    <d v="2020-03-16T00:00:00"/>
    <d v="2020-03-16T00:00:00"/>
    <s v="DZ"/>
    <s v="USD"/>
    <n v="130"/>
    <n v="130"/>
    <s v="BDT"/>
    <s v="EGM1"/>
    <n v="10913.5"/>
    <s v="CM ADJ -424130939018"/>
    <s v="0000001010"/>
    <s v="E05565US20-0173"/>
    <s v=""/>
    <s v=""/>
    <s v="0"/>
    <s v="424130945939"/>
    <s v=""/>
    <s v=""/>
    <s v=""/>
    <s v=""/>
    <s v=""/>
    <x v="0"/>
    <m/>
    <s v=""/>
    <d v="2020-03-16T00:00:00"/>
    <s v=""/>
    <s v="1909000521"/>
  </r>
  <r>
    <s v="1909000522"/>
    <d v="2020-03-16T00:00:00"/>
    <d v="2020-03-16T00:00:00"/>
    <s v="DZ"/>
    <s v="USD"/>
    <n v="26245"/>
    <n v="26245"/>
    <s v="BDT"/>
    <s v="EGM1"/>
    <n v="2203267.75"/>
    <s v="CM ADJ -424130887458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39907"/>
    <n v="39907"/>
    <s v="BDT"/>
    <s v="EGM1"/>
    <n v="3350192.65"/>
    <s v="CM ADJ -424130923837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8553"/>
    <n v="8553"/>
    <s v="BDT"/>
    <s v="EGM1"/>
    <n v="718024.35"/>
    <s v="CM Adv adj- 424130889090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117591"/>
    <n v="117591"/>
    <s v="BDT"/>
    <s v="EGM1"/>
    <n v="9871764.4499999993"/>
    <s v="CM ADJ -424130923828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200392"/>
    <n v="200392"/>
    <s v="BDT"/>
    <s v="EGM1"/>
    <n v="16822908.399999999"/>
    <s v="CM ADJ -424130902609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67632"/>
    <n v="67632"/>
    <s v="BDT"/>
    <s v="EGM1"/>
    <n v="5677706.4000000004"/>
    <s v="CM ADJ -424130902618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2"/>
    <d v="2020-03-16T00:00:00"/>
    <d v="2020-03-16T00:00:00"/>
    <s v="DZ"/>
    <s v="USD"/>
    <n v="9450"/>
    <n v="9450"/>
    <s v="BDT"/>
    <s v="EGM1"/>
    <n v="793327.5"/>
    <s v="CM ADJ -424130897759"/>
    <s v="0000001010"/>
    <s v="E05546US20-0199"/>
    <s v=""/>
    <s v=""/>
    <s v="0"/>
    <s v="424130945920"/>
    <s v=""/>
    <s v=""/>
    <s v=""/>
    <s v=""/>
    <s v=""/>
    <x v="0"/>
    <m/>
    <s v=""/>
    <d v="2020-03-16T00:00:00"/>
    <s v=""/>
    <s v="1909000522"/>
  </r>
  <r>
    <s v="1909000523"/>
    <d v="2020-03-16T00:00:00"/>
    <d v="2020-03-16T00:00:00"/>
    <s v="DZ"/>
    <s v="USD"/>
    <n v="12932.8"/>
    <n v="12932.8"/>
    <s v="BDT"/>
    <s v="EGM1"/>
    <n v="1085708.56"/>
    <s v="CM ADJ -424130912340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597.54"/>
    <n v="597.54"/>
    <s v="BDT"/>
    <s v="EGM1"/>
    <n v="50163.48"/>
    <s v="CM ADJ -424130904457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9643.69"/>
    <n v="9643.69"/>
    <s v="BDT"/>
    <s v="EGM1"/>
    <n v="809587.78"/>
    <s v="CM ADJ -424130932079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7897.14"/>
    <n v="7897.14"/>
    <s v="BDT"/>
    <s v="EGM1"/>
    <n v="662964.9"/>
    <s v="CM ADJ -424130925158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3"/>
    <d v="2020-03-16T00:00:00"/>
    <d v="2020-03-16T00:00:00"/>
    <s v="DZ"/>
    <s v="USD"/>
    <n v="65.19"/>
    <n v="65.19"/>
    <s v="BDT"/>
    <s v="EGM1"/>
    <n v="5472.7"/>
    <s v="CM ADJ -424130939991"/>
    <s v="0000005010"/>
    <s v="E5338TS20CE0228"/>
    <s v=""/>
    <s v=""/>
    <s v="0"/>
    <s v="424130946741"/>
    <s v=""/>
    <s v=""/>
    <s v=""/>
    <s v=""/>
    <s v=""/>
    <x v="0"/>
    <m/>
    <s v=""/>
    <d v="2020-03-16T00:00:00"/>
    <s v=""/>
    <s v="1909000523"/>
  </r>
  <r>
    <s v="1909000524"/>
    <d v="2020-03-16T00:00:00"/>
    <d v="2020-03-16T00:00:00"/>
    <s v="DZ"/>
    <s v="USD"/>
    <n v="35300.44"/>
    <n v="35300.44"/>
    <s v="BDT"/>
    <s v="EGM2"/>
    <n v="2963471.94"/>
    <s v="CM ADJ -424130932060"/>
    <s v="0000005010"/>
    <s v="E25503VF20US0165"/>
    <s v=""/>
    <s v=""/>
    <s v="0"/>
    <s v="424130946769"/>
    <s v=""/>
    <s v=""/>
    <s v=""/>
    <s v=""/>
    <s v=""/>
    <x v="0"/>
    <m/>
    <s v=""/>
    <d v="2020-03-16T00:00:00"/>
    <s v=""/>
    <s v="1909000524"/>
  </r>
  <r>
    <s v="1909000524"/>
    <d v="2020-03-16T00:00:00"/>
    <d v="2020-03-16T00:00:00"/>
    <s v="DZ"/>
    <s v="USD"/>
    <n v="3402.43"/>
    <n v="3402.43"/>
    <s v="BDT"/>
    <s v="EGM2"/>
    <n v="285634"/>
    <s v="CM ADJ -424130940006"/>
    <s v="0000005010"/>
    <s v="E25503VF20US0165"/>
    <s v=""/>
    <s v=""/>
    <s v="0"/>
    <s v="424130946769"/>
    <s v=""/>
    <s v=""/>
    <s v=""/>
    <s v=""/>
    <s v=""/>
    <x v="0"/>
    <m/>
    <s v=""/>
    <d v="2020-03-16T00:00:00"/>
    <s v=""/>
    <s v="1909000524"/>
  </r>
  <r>
    <s v="1909000525"/>
    <d v="2020-03-16T00:00:00"/>
    <d v="2020-03-16T00:00:00"/>
    <s v="DZ"/>
    <s v="USD"/>
    <n v="27901.53"/>
    <n v="27901.53"/>
    <s v="BDT"/>
    <s v="EGM2"/>
    <n v="2342333.4399999999"/>
    <s v="CM ADJ -424130932060"/>
    <s v="0000005010"/>
    <s v="E25427AC20CK0162"/>
    <s v=""/>
    <s v=""/>
    <s v="0"/>
    <s v="424130946750"/>
    <s v=""/>
    <s v=""/>
    <s v=""/>
    <s v=""/>
    <s v=""/>
    <x v="0"/>
    <m/>
    <s v=""/>
    <d v="2020-03-16T00:00:00"/>
    <s v=""/>
    <s v="1909000525"/>
  </r>
  <r>
    <s v="1909000525"/>
    <d v="2020-03-16T00:00:00"/>
    <d v="2020-03-16T00:00:00"/>
    <s v="DZ"/>
    <s v="USD"/>
    <n v="1180.79"/>
    <n v="1180.79"/>
    <s v="BDT"/>
    <s v="EGM2"/>
    <n v="99127.32"/>
    <s v="CM ADJ -424130925149"/>
    <s v="0000005010"/>
    <s v="E25427AC20CK0162"/>
    <s v=""/>
    <s v=""/>
    <s v="0"/>
    <s v="424130946750"/>
    <s v=""/>
    <s v=""/>
    <s v=""/>
    <s v=""/>
    <s v=""/>
    <x v="0"/>
    <m/>
    <s v=""/>
    <d v="2020-03-16T00:00:00"/>
    <s v=""/>
    <s v="1909000525"/>
  </r>
  <r>
    <s v="1909000525"/>
    <d v="2020-03-16T00:00:00"/>
    <d v="2020-03-16T00:00:00"/>
    <s v="DZ"/>
    <s v="USD"/>
    <n v="6122.59"/>
    <n v="6122.59"/>
    <s v="BDT"/>
    <s v="EGM2"/>
    <n v="513991.43"/>
    <s v="CM ADJ -424130940006"/>
    <s v="0000005010"/>
    <s v="E25427AC20CK0162"/>
    <s v=""/>
    <s v=""/>
    <s v="0"/>
    <s v="424130946750"/>
    <s v=""/>
    <s v=""/>
    <s v=""/>
    <s v=""/>
    <s v=""/>
    <x v="0"/>
    <m/>
    <s v=""/>
    <d v="2020-03-16T00:00:00"/>
    <s v=""/>
    <s v="1909000525"/>
  </r>
  <r>
    <s v="1909000526"/>
    <d v="2020-03-16T00:00:00"/>
    <d v="2020-03-16T00:00:00"/>
    <s v="DZ"/>
    <s v="USD"/>
    <n v="-173386"/>
    <n v="-173386"/>
    <s v="BDT"/>
    <s v="EGM1"/>
    <n v="-14555754.699999999"/>
    <s v="CM ADV REC -424130945902"/>
    <s v="0000001010"/>
    <s v="EG3-05652B"/>
    <s v=""/>
    <s v=""/>
    <s v="0"/>
    <s v="424130945902"/>
    <s v=""/>
    <s v=""/>
    <s v=""/>
    <s v=""/>
    <s v=""/>
    <x v="0"/>
    <m/>
    <s v=""/>
    <d v="2020-03-16T00:00:00"/>
    <s v=""/>
    <s v="1909000526"/>
  </r>
  <r>
    <s v="1909000527"/>
    <d v="2020-03-19T00:00:00"/>
    <d v="2020-03-19T00:00:00"/>
    <s v="DZ"/>
    <s v="USD"/>
    <n v="-148149.57999999999"/>
    <n v="-148149.57999999999"/>
    <s v="BDT"/>
    <s v="EGM2"/>
    <n v="-12437157.25"/>
    <s v="CM ADV REC -424130947848"/>
    <s v="0000005010"/>
    <s v="05319"/>
    <s v=""/>
    <s v=""/>
    <s v="0"/>
    <s v="424130947848"/>
    <s v=""/>
    <s v=""/>
    <s v=""/>
    <s v=""/>
    <s v=""/>
    <x v="0"/>
    <m/>
    <s v=""/>
    <d v="2020-03-19T00:00:00"/>
    <s v=""/>
    <s v="1909000527"/>
  </r>
  <r>
    <s v="1909000528"/>
    <d v="2020-03-19T00:00:00"/>
    <d v="2020-03-19T00:00:00"/>
    <s v="DZ"/>
    <s v="USD"/>
    <n v="-78404.429999999993"/>
    <n v="-78404.429999999993"/>
    <s v="BDT"/>
    <s v="EGM1"/>
    <n v="-6582051.9000000004"/>
    <s v="CM ADV REC -424130947857"/>
    <s v="0000005010"/>
    <s v="05453"/>
    <s v=""/>
    <s v=""/>
    <s v="0"/>
    <s v="424130947857"/>
    <s v=""/>
    <s v=""/>
    <s v=""/>
    <s v=""/>
    <s v=""/>
    <x v="0"/>
    <m/>
    <s v=""/>
    <d v="2020-03-19T00:00:00"/>
    <s v=""/>
    <s v="1909000528"/>
  </r>
  <r>
    <s v="1909000529"/>
    <d v="2020-03-19T00:00:00"/>
    <d v="2020-03-19T00:00:00"/>
    <s v="DZ"/>
    <s v="USD"/>
    <n v="28292"/>
    <n v="28292"/>
    <s v="BDT"/>
    <s v="EGM1"/>
    <n v="2375113.4"/>
    <s v="CM ADJ -424130923837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18994"/>
    <n v="18994"/>
    <s v="BDT"/>
    <s v="EGM1"/>
    <n v="1594546.3"/>
    <s v="CM ADJ -424130923828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10328"/>
    <n v="10328"/>
    <s v="BDT"/>
    <s v="EGM1"/>
    <n v="867035.6"/>
    <s v="CM ADJ -424130902609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2354"/>
    <n v="2354"/>
    <s v="BDT"/>
    <s v="EGM1"/>
    <n v="197618.3"/>
    <s v="CM ADJ -424130902618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29"/>
    <d v="2020-03-19T00:00:00"/>
    <d v="2020-03-19T00:00:00"/>
    <s v="DZ"/>
    <s v="USD"/>
    <n v="45"/>
    <n v="45"/>
    <s v="BDT"/>
    <s v="EGM1"/>
    <n v="3777.75"/>
    <s v="CM ADJ -424130911742"/>
    <s v="0000001010"/>
    <s v="E5440KH20US0227"/>
    <s v=""/>
    <s v=""/>
    <s v="0"/>
    <s v="424130948641"/>
    <s v=""/>
    <s v=""/>
    <s v=""/>
    <s v=""/>
    <s v=""/>
    <x v="0"/>
    <m/>
    <s v=""/>
    <d v="2020-03-19T00:00:00"/>
    <s v=""/>
    <s v="1909000529"/>
  </r>
  <r>
    <s v="1909000530"/>
    <d v="2020-03-19T00:00:00"/>
    <d v="2020-03-19T00:00:00"/>
    <s v="DZ"/>
    <s v="USD"/>
    <n v="639"/>
    <n v="639"/>
    <s v="BDT"/>
    <s v="EGM1"/>
    <n v="53644.05"/>
    <s v="CM ADJ -424130923828"/>
    <s v="0000001010"/>
    <s v="E5536SB20UK0239"/>
    <s v=""/>
    <s v=""/>
    <s v="0"/>
    <s v="424130947713"/>
    <s v=""/>
    <s v=""/>
    <s v=""/>
    <s v=""/>
    <s v=""/>
    <x v="0"/>
    <m/>
    <s v=""/>
    <d v="2020-03-19T00:00:00"/>
    <s v=""/>
    <s v="1909000530"/>
  </r>
  <r>
    <s v="1909000531"/>
    <d v="2020-03-19T00:00:00"/>
    <d v="2020-03-19T00:00:00"/>
    <s v="DZ"/>
    <s v="USD"/>
    <n v="5712"/>
    <n v="5712"/>
    <s v="BDT"/>
    <s v="EGM1"/>
    <n v="476952"/>
    <s v="CM ADJ -424130869147"/>
    <s v="0000001010"/>
    <s v="E05340US20-0190"/>
    <s v=""/>
    <s v=""/>
    <s v="0"/>
    <s v="424130947722"/>
    <s v=""/>
    <s v=""/>
    <s v=""/>
    <s v=""/>
    <s v=""/>
    <x v="0"/>
    <m/>
    <s v=""/>
    <d v="2020-03-19T00:00:00"/>
    <s v=""/>
    <s v="1909000531"/>
  </r>
  <r>
    <s v="1909000531"/>
    <d v="2020-03-19T00:00:00"/>
    <d v="2020-03-19T00:00:00"/>
    <s v="DZ"/>
    <s v="USD"/>
    <n v="7162"/>
    <n v="7162"/>
    <s v="BDT"/>
    <s v="EGM1"/>
    <n v="598027"/>
    <s v="CM ADJ -424130854527"/>
    <s v="0000001010"/>
    <s v="E05340US20-0190"/>
    <s v=""/>
    <s v=""/>
    <s v="0"/>
    <s v="424130947722"/>
    <s v=""/>
    <s v=""/>
    <s v=""/>
    <s v=""/>
    <s v=""/>
    <x v="0"/>
    <m/>
    <s v=""/>
    <d v="2020-03-19T00:00:00"/>
    <s v=""/>
    <s v="1909000531"/>
  </r>
  <r>
    <s v="1909000531"/>
    <d v="2020-03-19T00:00:00"/>
    <d v="2020-03-19T00:00:00"/>
    <s v="DZ"/>
    <s v="USD"/>
    <n v="7540"/>
    <n v="7540"/>
    <s v="BDT"/>
    <s v="EGM1"/>
    <n v="632983"/>
    <s v="CM ADJ -424130923828"/>
    <s v="0000001010"/>
    <s v="E05340US20-0190"/>
    <s v=""/>
    <s v=""/>
    <s v="0"/>
    <s v="424130947722"/>
    <s v=""/>
    <s v=""/>
    <s v=""/>
    <s v=""/>
    <s v=""/>
    <x v="0"/>
    <m/>
    <s v=""/>
    <d v="2020-03-19T00:00:00"/>
    <s v=""/>
    <s v="1909000531"/>
  </r>
  <r>
    <s v="1909000532"/>
    <d v="2020-03-19T00:00:00"/>
    <d v="2020-03-19T00:00:00"/>
    <s v="DZ"/>
    <s v="USD"/>
    <n v="1348"/>
    <n v="1348"/>
    <s v="BDT"/>
    <s v="EGM1"/>
    <n v="113164.6"/>
    <s v="CM ADJ -424130923828"/>
    <s v="0000001010"/>
    <s v="E05518US200210"/>
    <s v=""/>
    <s v=""/>
    <s v="0"/>
    <s v="424130948669"/>
    <s v=""/>
    <s v=""/>
    <s v=""/>
    <s v=""/>
    <s v=""/>
    <x v="0"/>
    <m/>
    <s v=""/>
    <d v="2020-03-19T00:00:00"/>
    <s v=""/>
    <s v="1909000532"/>
  </r>
  <r>
    <s v="1909000533"/>
    <d v="2020-03-23T00:00:00"/>
    <d v="2020-03-23T00:00:00"/>
    <s v="DZ"/>
    <s v="USD"/>
    <n v="31006.560000000001"/>
    <n v="31006.560000000001"/>
    <s v="BDT"/>
    <s v="EGM2"/>
    <n v="2603000.71"/>
    <s v="CM ADJ -424130932060"/>
    <s v="0000005010"/>
    <s v="E25427AC20KT0164"/>
    <s v=""/>
    <s v=""/>
    <s v="0"/>
    <s v="0164"/>
    <s v=""/>
    <s v=""/>
    <s v=""/>
    <s v=""/>
    <s v=""/>
    <x v="0"/>
    <m/>
    <s v=""/>
    <d v="2020-03-23T00:00:00"/>
    <s v=""/>
    <s v="1909000533"/>
  </r>
  <r>
    <s v="1909000533"/>
    <d v="2020-03-23T00:00:00"/>
    <d v="2020-03-23T00:00:00"/>
    <s v="DZ"/>
    <s v="USD"/>
    <n v="11545.43"/>
    <n v="11545.43"/>
    <s v="BDT"/>
    <s v="EGM2"/>
    <n v="969238.85"/>
    <s v="CM ADJ -424130940006"/>
    <s v="0000005010"/>
    <s v="E25427AC20KT0164"/>
    <s v=""/>
    <s v=""/>
    <s v="0"/>
    <s v="0164"/>
    <s v=""/>
    <s v=""/>
    <s v=""/>
    <s v=""/>
    <s v=""/>
    <x v="0"/>
    <m/>
    <s v=""/>
    <d v="2020-03-23T00:00:00"/>
    <s v=""/>
    <s v="1909000533"/>
  </r>
  <r>
    <s v="1909000534"/>
    <d v="2020-03-23T00:00:00"/>
    <d v="2020-03-23T00:00:00"/>
    <s v="DZ"/>
    <s v="USD"/>
    <n v="13836.79"/>
    <n v="13836.79"/>
    <s v="BDT"/>
    <s v="EGM2"/>
    <n v="1161598.52"/>
    <s v="CM ADJ -424130932060"/>
    <s v="0000005010"/>
    <s v="E25577VF20US0167"/>
    <s v=""/>
    <s v=""/>
    <s v="0"/>
    <s v="424130949089"/>
    <s v=""/>
    <s v=""/>
    <s v=""/>
    <s v=""/>
    <s v=""/>
    <x v="0"/>
    <m/>
    <s v=""/>
    <d v="2020-03-23T00:00:00"/>
    <s v=""/>
    <s v="1909000534"/>
  </r>
  <r>
    <s v="1909000534"/>
    <d v="2020-03-23T00:00:00"/>
    <d v="2020-03-23T00:00:00"/>
    <s v="DZ"/>
    <s v="USD"/>
    <n v="18569.3"/>
    <n v="18569.3"/>
    <s v="BDT"/>
    <s v="EGM2"/>
    <n v="1558892.73"/>
    <s v="CM ADJ -424130940006"/>
    <s v="0000005010"/>
    <s v="E25577VF20US0167"/>
    <s v=""/>
    <s v=""/>
    <s v="0"/>
    <s v="424130949089"/>
    <s v=""/>
    <s v=""/>
    <s v=""/>
    <s v=""/>
    <s v=""/>
    <x v="0"/>
    <m/>
    <s v=""/>
    <d v="2020-03-23T00:00:00"/>
    <s v=""/>
    <s v="1909000534"/>
  </r>
  <r>
    <s v="1909000535"/>
    <d v="2020-03-23T00:00:00"/>
    <d v="2020-03-23T00:00:00"/>
    <s v="DZ"/>
    <s v="USD"/>
    <n v="7988"/>
    <n v="7988"/>
    <s v="BDT"/>
    <s v="EGM2"/>
    <n v="670592.6"/>
    <s v="CM ADJ -424130923819"/>
    <s v="0000001010"/>
    <s v="170,177,178,179"/>
    <s v=""/>
    <s v=""/>
    <s v="0"/>
    <s v="424130948650"/>
    <s v=""/>
    <s v=""/>
    <s v=""/>
    <s v=""/>
    <s v=""/>
    <x v="0"/>
    <m/>
    <s v=""/>
    <d v="2020-03-23T00:00:00"/>
    <s v=""/>
    <s v="1909000535"/>
  </r>
  <r>
    <s v="1909000535"/>
    <d v="2020-03-23T00:00:00"/>
    <d v="2020-03-23T00:00:00"/>
    <s v="DZ"/>
    <s v="USD"/>
    <n v="452"/>
    <n v="452"/>
    <s v="BDT"/>
    <s v="EGM2"/>
    <n v="37945.4"/>
    <s v="CM ADJ -424130930936"/>
    <s v="0000001010"/>
    <s v="170,177,178,179"/>
    <s v=""/>
    <s v=""/>
    <s v="0"/>
    <s v="424130948650"/>
    <s v=""/>
    <s v=""/>
    <s v=""/>
    <s v=""/>
    <s v=""/>
    <x v="0"/>
    <m/>
    <s v=""/>
    <d v="2020-03-23T00:00:00"/>
    <s v=""/>
    <s v="1909000535"/>
  </r>
  <r>
    <s v="1909000535"/>
    <d v="2020-03-23T00:00:00"/>
    <d v="2020-03-23T00:00:00"/>
    <s v="DZ"/>
    <s v="USD"/>
    <n v="1246"/>
    <n v="1246"/>
    <s v="BDT"/>
    <s v="EGM2"/>
    <n v="104601.7"/>
    <s v="CM ADJ -424130939027"/>
    <s v="0000001010"/>
    <s v="170,177,178,179"/>
    <s v=""/>
    <s v=""/>
    <s v="0"/>
    <s v="424130948650"/>
    <s v=""/>
    <s v=""/>
    <s v=""/>
    <s v=""/>
    <s v=""/>
    <x v="0"/>
    <m/>
    <s v=""/>
    <d v="2020-03-23T00:00:00"/>
    <s v=""/>
    <s v="1909000535"/>
  </r>
  <r>
    <s v="1909000536"/>
    <d v="2020-03-23T00:00:00"/>
    <d v="2020-03-23T00:00:00"/>
    <s v="DZ"/>
    <s v="USD"/>
    <n v="9868.48"/>
    <n v="9868.48"/>
    <s v="BDT"/>
    <s v="EGM1"/>
    <n v="828458.9"/>
    <s v="CM ADJ -424130912340"/>
    <s v="0000005010"/>
    <s v="258,237,257,259"/>
    <s v=""/>
    <s v=""/>
    <s v="0"/>
    <s v="424130949052"/>
    <s v=""/>
    <s v=""/>
    <s v=""/>
    <s v=""/>
    <s v=""/>
    <x v="0"/>
    <m/>
    <s v=""/>
    <d v="2020-03-23T00:00:00"/>
    <s v=""/>
    <s v="1909000536"/>
  </r>
  <r>
    <s v="1909000536"/>
    <d v="2020-03-23T00:00:00"/>
    <d v="2020-03-23T00:00:00"/>
    <s v="DZ"/>
    <s v="USD"/>
    <n v="30464.49"/>
    <n v="30464.49"/>
    <s v="BDT"/>
    <s v="EGM1"/>
    <n v="2557493.94"/>
    <s v="CM ADJ -424130932079"/>
    <s v="0000005010"/>
    <s v="258,237,257,259"/>
    <s v=""/>
    <s v=""/>
    <s v="0"/>
    <s v="424130949052"/>
    <s v=""/>
    <s v=""/>
    <s v=""/>
    <s v=""/>
    <s v=""/>
    <x v="0"/>
    <m/>
    <s v=""/>
    <d v="2020-03-23T00:00:00"/>
    <s v=""/>
    <s v="1909000536"/>
  </r>
  <r>
    <s v="1909000536"/>
    <d v="2020-03-23T00:00:00"/>
    <d v="2020-03-23T00:00:00"/>
    <s v="DZ"/>
    <s v="USD"/>
    <n v="52933.21"/>
    <n v="52933.21"/>
    <s v="BDT"/>
    <s v="EGM1"/>
    <n v="4443742.9800000004"/>
    <s v="CM ADJ -424130925158"/>
    <s v="0000005010"/>
    <s v="258,237,257,259"/>
    <s v=""/>
    <s v=""/>
    <s v="0"/>
    <s v="424130949052"/>
    <s v=""/>
    <s v=""/>
    <s v=""/>
    <s v=""/>
    <s v=""/>
    <x v="0"/>
    <m/>
    <s v=""/>
    <d v="2020-03-23T00:00:00"/>
    <s v=""/>
    <s v="1909000536"/>
  </r>
  <r>
    <s v="1909000537"/>
    <d v="2020-03-23T00:00:00"/>
    <d v="2020-03-23T00:00:00"/>
    <s v="DZ"/>
    <s v="USD"/>
    <n v="1157.72"/>
    <n v="1157.72"/>
    <s v="BDT"/>
    <s v="EGM1"/>
    <n v="97190.59"/>
    <s v="CM ADJ -424130912340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7"/>
    <d v="2020-03-23T00:00:00"/>
    <d v="2020-03-23T00:00:00"/>
    <s v="DZ"/>
    <s v="USD"/>
    <n v="928.42"/>
    <n v="928.42"/>
    <s v="BDT"/>
    <s v="EGM1"/>
    <n v="77940.86"/>
    <s v="CM ADJ -424130932079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7"/>
    <d v="2020-03-23T00:00:00"/>
    <d v="2020-03-23T00:00:00"/>
    <s v="DZ"/>
    <s v="USD"/>
    <n v="11327.12"/>
    <n v="11327.12"/>
    <s v="BDT"/>
    <s v="EGM1"/>
    <n v="950911.72"/>
    <s v="CM ADJ -424130925158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7"/>
    <d v="2020-03-23T00:00:00"/>
    <d v="2020-03-23T00:00:00"/>
    <s v="DZ"/>
    <s v="USD"/>
    <n v="13220"/>
    <n v="13220"/>
    <s v="BDT"/>
    <s v="EGM1"/>
    <n v="1109819"/>
    <s v="CM ADJ -424130896894"/>
    <s v="0000005010"/>
    <s v="229"/>
    <s v=""/>
    <s v=""/>
    <s v="0"/>
    <s v="424130949070"/>
    <s v=""/>
    <s v=""/>
    <s v=""/>
    <s v=""/>
    <s v=""/>
    <x v="0"/>
    <m/>
    <s v=""/>
    <d v="2020-03-23T00:00:00"/>
    <s v=""/>
    <s v="1909000537"/>
  </r>
  <r>
    <s v="1909000538"/>
    <d v="2020-03-23T00:00:00"/>
    <d v="2020-03-23T00:00:00"/>
    <s v="DZ"/>
    <s v="USD"/>
    <n v="23247.37"/>
    <n v="23247.37"/>
    <s v="BDT"/>
    <s v="EGM1"/>
    <n v="1951616.71"/>
    <s v="CM ADJ -424130912340"/>
    <s v="0000005010"/>
    <s v="0164"/>
    <s v=""/>
    <s v=""/>
    <s v="0"/>
    <s v="424130949089"/>
    <s v=""/>
    <s v=""/>
    <s v=""/>
    <s v=""/>
    <s v=""/>
    <x v="0"/>
    <m/>
    <s v=""/>
    <d v="2020-03-23T00:00:00"/>
    <s v=""/>
    <s v="1909000538"/>
  </r>
  <r>
    <s v="1909000539"/>
    <d v="2020-03-23T00:00:00"/>
    <d v="2020-03-23T00:00:00"/>
    <s v="DZ"/>
    <s v="USD"/>
    <n v="26211.23"/>
    <n v="26211.23"/>
    <s v="BDT"/>
    <s v="EGM1"/>
    <n v="2200432.7599999998"/>
    <s v="CM ADJ -424130932079"/>
    <s v="0000005010"/>
    <s v="E55554AC20KT0232"/>
    <s v=""/>
    <s v=""/>
    <s v="0"/>
    <s v="424130949310"/>
    <s v=""/>
    <s v=""/>
    <s v=""/>
    <s v=""/>
    <s v=""/>
    <x v="0"/>
    <m/>
    <s v=""/>
    <d v="2020-03-23T00:00:00"/>
    <s v=""/>
    <s v="1909000539"/>
  </r>
  <r>
    <s v="1909000539"/>
    <d v="2020-03-23T00:00:00"/>
    <d v="2020-03-23T00:00:00"/>
    <s v="DZ"/>
    <s v="USD"/>
    <n v="454.25"/>
    <n v="454.25"/>
    <s v="BDT"/>
    <s v="EGM1"/>
    <n v="37793.599999999999"/>
    <s v="CM ADJ -424130749198"/>
    <s v="0000005010"/>
    <s v="E55554AC20KT0232"/>
    <s v=""/>
    <s v=""/>
    <s v="0"/>
    <s v="424130949310"/>
    <s v=""/>
    <s v=""/>
    <s v=""/>
    <s v=""/>
    <s v=""/>
    <x v="0"/>
    <m/>
    <s v=""/>
    <d v="2020-03-23T00:00:00"/>
    <s v=""/>
    <s v="1909000539"/>
  </r>
  <r>
    <s v="1909000539"/>
    <d v="2020-03-23T00:00:00"/>
    <d v="2020-03-23T00:00:00"/>
    <s v="DZ"/>
    <s v="USD"/>
    <n v="1138.02"/>
    <n v="1138.02"/>
    <s v="BDT"/>
    <s v="EGM1"/>
    <n v="95536.78"/>
    <s v="CM Adv adj- 424130939991"/>
    <s v="0000005010"/>
    <s v="E55554AC20KT0232"/>
    <s v=""/>
    <s v=""/>
    <s v="0"/>
    <s v="424130949310"/>
    <s v=""/>
    <s v=""/>
    <s v=""/>
    <s v=""/>
    <s v=""/>
    <x v="0"/>
    <m/>
    <s v=""/>
    <d v="2020-03-23T00:00:00"/>
    <s v=""/>
    <s v="1909000539"/>
  </r>
  <r>
    <s v="1909000540"/>
    <d v="2020-03-23T00:00:00"/>
    <d v="2020-03-23T00:00:00"/>
    <s v="DZ"/>
    <s v="USD"/>
    <n v="690.98"/>
    <n v="690.98"/>
    <s v="BDT"/>
    <s v="EGM1"/>
    <n v="58007.77"/>
    <s v="CM ADJ -424130932079"/>
    <s v="0000005010"/>
    <s v="E35402TC20CA0249"/>
    <s v=""/>
    <s v=""/>
    <s v="0"/>
    <s v="424130949105"/>
    <s v=""/>
    <s v=""/>
    <s v=""/>
    <s v=""/>
    <s v=""/>
    <x v="0"/>
    <m/>
    <s v=""/>
    <d v="2020-03-23T00:00:00"/>
    <s v=""/>
    <s v="1909000540"/>
  </r>
  <r>
    <s v="1909000541"/>
    <d v="2020-03-24T00:00:00"/>
    <d v="2020-03-24T00:00:00"/>
    <s v="DZ"/>
    <s v="USD"/>
    <n v="8273.08"/>
    <n v="8273.08"/>
    <s v="BDT"/>
    <s v="EGM1"/>
    <n v="694525.07"/>
    <s v="CM ADJ -424130932079"/>
    <s v="0000005010"/>
    <s v="E5500AMZ20US0238"/>
    <s v=""/>
    <s v=""/>
    <s v="0"/>
    <s v="424130950913"/>
    <s v=""/>
    <s v=""/>
    <s v=""/>
    <s v=""/>
    <s v=""/>
    <x v="0"/>
    <m/>
    <s v=""/>
    <d v="2020-03-24T00:00:00"/>
    <s v=""/>
    <s v="1909000541"/>
  </r>
  <r>
    <s v="1909000542"/>
    <d v="2020-03-24T00:00:00"/>
    <d v="2020-03-24T00:00:00"/>
    <s v="DZ"/>
    <s v="USD"/>
    <n v="947"/>
    <n v="947"/>
    <s v="BDT"/>
    <s v="EGM1"/>
    <n v="79074.5"/>
    <s v="CM ADJ -424130869147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53990"/>
    <n v="53990"/>
    <s v="BDT"/>
    <s v="EGM1"/>
    <n v="4532460.5"/>
    <s v="CM ADJ -424130923837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4744"/>
    <n v="4744"/>
    <s v="BDT"/>
    <s v="EGM1"/>
    <n v="396124"/>
    <s v="CM ADJ -4424130854527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22013"/>
    <n v="22013"/>
    <s v="BDT"/>
    <s v="EGM1"/>
    <n v="1847991.35"/>
    <s v="CM Adv adj- 424130923828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2"/>
    <d v="2020-03-24T00:00:00"/>
    <d v="2020-03-24T00:00:00"/>
    <s v="DZ"/>
    <s v="USD"/>
    <n v="207"/>
    <n v="207"/>
    <s v="BDT"/>
    <s v="EGM1"/>
    <n v="17377.650000000001"/>
    <s v="CM ADJ -424130939009"/>
    <s v="0000001010"/>
    <s v="E05340US20-0191"/>
    <s v=""/>
    <s v=""/>
    <s v="0"/>
    <s v="424130951299"/>
    <s v=""/>
    <s v=""/>
    <s v=""/>
    <s v=""/>
    <s v=""/>
    <x v="0"/>
    <m/>
    <s v=""/>
    <d v="2020-03-24T00:00:00"/>
    <s v=""/>
    <s v="1909000542"/>
  </r>
  <r>
    <s v="1909000545"/>
    <d v="2020-03-31T00:00:00"/>
    <d v="2020-03-31T00:00:00"/>
    <s v="DZ"/>
    <s v="USD"/>
    <n v="71961.179999999993"/>
    <n v="71961.179999999993"/>
    <s v="BDT"/>
    <s v="EGM1"/>
    <n v="6041141.0599999996"/>
    <s v="FIT-CMAD-DWC-Mar-20"/>
    <s v="0000005010"/>
    <s v="FIT-CM-DWC-MAR20"/>
    <s v=""/>
    <s v=""/>
    <s v="0"/>
    <s v="FIT-CMAD-DWC-Mar-20"/>
    <s v=""/>
    <s v=""/>
    <s v=""/>
    <s v=""/>
    <s v=""/>
    <x v="0"/>
    <d v="2020-04-01T00:00:00"/>
    <s v="1903009077"/>
    <d v="2020-05-31T00:00:00"/>
    <s v=""/>
    <s v="1909000545"/>
  </r>
  <r>
    <s v="1909000546"/>
    <d v="2020-04-09T00:00:00"/>
    <d v="2020-04-09T00:00:00"/>
    <s v="DZ"/>
    <s v="USD"/>
    <n v="11369.79"/>
    <n v="11369.79"/>
    <s v="BDT"/>
    <s v="EGM1"/>
    <n v="954493.87"/>
    <s v="CM ADVANCE ADJUSTED-424130932079"/>
    <s v="0000005010"/>
    <s v="E5500AMZ20US0261"/>
    <s v=""/>
    <s v=""/>
    <s v="0"/>
    <s v="424130952341"/>
    <s v=""/>
    <s v=""/>
    <s v=""/>
    <s v=""/>
    <s v=""/>
    <x v="0"/>
    <m/>
    <s v=""/>
    <d v="2020-04-09T00:00:00"/>
    <s v=""/>
    <s v="1909000546"/>
  </r>
  <r>
    <s v="1909000547"/>
    <d v="2020-04-06T00:00:00"/>
    <d v="2020-04-06T00:00:00"/>
    <s v="DZ"/>
    <s v="USD"/>
    <n v="-261277"/>
    <n v="-261277"/>
    <s v="BDT"/>
    <s v="EGM1"/>
    <n v="-21934204.149999999"/>
    <s v="CM ADVANCE RECEIVED-424130951976"/>
    <s v="0000001010"/>
    <s v="IT06592004040018"/>
    <s v=""/>
    <s v=""/>
    <s v="0"/>
    <s v="424130951976"/>
    <s v=""/>
    <s v=""/>
    <s v=""/>
    <s v=""/>
    <s v=""/>
    <x v="0"/>
    <m/>
    <s v=""/>
    <d v="2020-04-06T00:00:00"/>
    <s v=""/>
    <s v="1909000547"/>
  </r>
  <r>
    <s v="1909000548"/>
    <d v="2020-04-09T00:00:00"/>
    <d v="2020-04-09T00:00:00"/>
    <s v="DZ"/>
    <s v="USD"/>
    <n v="10393"/>
    <n v="10393"/>
    <s v="BDT"/>
    <s v="EGM1"/>
    <n v="872492.35"/>
    <s v="CM ADVANCE ADJUSTED-424130923837"/>
    <s v="0000001010"/>
    <s v="E5596SB20UK0287"/>
    <s v=""/>
    <s v=""/>
    <s v="0"/>
    <s v="424130952298"/>
    <s v=""/>
    <s v=""/>
    <s v=""/>
    <s v=""/>
    <s v=""/>
    <x v="0"/>
    <m/>
    <s v=""/>
    <d v="2020-04-09T00:00:00"/>
    <s v=""/>
    <s v="1909000548"/>
  </r>
  <r>
    <s v="1909000548"/>
    <d v="2020-04-09T00:00:00"/>
    <d v="2020-04-09T00:00:00"/>
    <s v="DZ"/>
    <s v="USD"/>
    <n v="57279"/>
    <n v="57279"/>
    <s v="BDT"/>
    <s v="EGM1"/>
    <n v="4808572.05"/>
    <s v="CM ADVANCE ADJUSTED-424130923828"/>
    <s v="0000001010"/>
    <s v="E5596SB20UK0287"/>
    <s v=""/>
    <s v=""/>
    <s v="0"/>
    <s v="424130952298"/>
    <s v=""/>
    <s v=""/>
    <s v=""/>
    <s v=""/>
    <s v=""/>
    <x v="0"/>
    <m/>
    <s v=""/>
    <d v="2020-04-09T00:00:00"/>
    <s v=""/>
    <s v="1909000548"/>
  </r>
  <r>
    <s v="1909000548"/>
    <d v="2020-04-09T00:00:00"/>
    <d v="2020-04-09T00:00:00"/>
    <s v="DZ"/>
    <s v="USD"/>
    <n v="9749"/>
    <n v="9749"/>
    <s v="BDT"/>
    <s v="EGM1"/>
    <n v="818428.55"/>
    <s v="CM ADVANCE ADJUSTED-424130939009"/>
    <s v="0000001010"/>
    <s v="E5596SB20UK0287"/>
    <s v=""/>
    <s v=""/>
    <s v="0"/>
    <s v="424130952298"/>
    <s v=""/>
    <s v=""/>
    <s v=""/>
    <s v=""/>
    <s v=""/>
    <x v="0"/>
    <m/>
    <s v=""/>
    <d v="2020-04-09T00:00:00"/>
    <s v=""/>
    <s v="1909000548"/>
  </r>
  <r>
    <s v="1909000549"/>
    <d v="2020-04-09T00:00:00"/>
    <d v="2020-04-09T00:00:00"/>
    <s v="DZ"/>
    <s v="USD"/>
    <n v="38698"/>
    <n v="38698"/>
    <s v="BDT"/>
    <s v="EGM1"/>
    <n v="3248697.1"/>
    <s v="CM ADVANCE ADJUSTED-424130923837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49"/>
    <d v="2020-04-09T00:00:00"/>
    <d v="2020-04-09T00:00:00"/>
    <s v="DZ"/>
    <s v="USD"/>
    <n v="102882"/>
    <n v="102882"/>
    <s v="BDT"/>
    <s v="EGM1"/>
    <n v="8636943.9000000004"/>
    <s v="CM ADVANCE ADJUSTED-424130923828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49"/>
    <d v="2020-04-09T00:00:00"/>
    <d v="2020-04-09T00:00:00"/>
    <s v="DZ"/>
    <s v="USD"/>
    <n v="34964"/>
    <n v="34964"/>
    <s v="BDT"/>
    <s v="EGM1"/>
    <n v="2935227.8"/>
    <s v="CM ADVANCE ADJUSTED-424130939009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49"/>
    <d v="2020-04-09T00:00:00"/>
    <d v="2020-04-09T00:00:00"/>
    <s v="DZ"/>
    <s v="USD"/>
    <n v="40584"/>
    <n v="40584"/>
    <s v="BDT"/>
    <s v="EGM1"/>
    <n v="3407026.8"/>
    <s v="CM ADVANCE ADJUSTED-424130902609"/>
    <s v="0000001010"/>
    <s v="E05546US20-0284"/>
    <s v=""/>
    <s v=""/>
    <s v="0"/>
    <s v="424130952305"/>
    <s v=""/>
    <s v=""/>
    <s v=""/>
    <s v=""/>
    <s v=""/>
    <x v="0"/>
    <m/>
    <s v=""/>
    <d v="2020-04-09T00:00:00"/>
    <s v=""/>
    <s v="1909000549"/>
  </r>
  <r>
    <s v="1909000550"/>
    <d v="2020-04-09T00:00:00"/>
    <d v="2020-04-09T00:00:00"/>
    <s v="DZ"/>
    <s v="USD"/>
    <n v="3721.32"/>
    <n v="3721.32"/>
    <s v="BDT"/>
    <s v="EGM1"/>
    <n v="312404.81"/>
    <s v="CM ADVANCE ADJUSTED-424130912340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11150.87"/>
    <n v="11150.87"/>
    <s v="BDT"/>
    <s v="EGM1"/>
    <n v="936115.54"/>
    <s v="CM ADVANCE ADJUSTED-424130932079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6877.8"/>
    <n v="6877.8"/>
    <s v="BDT"/>
    <s v="EGM1"/>
    <n v="577391.31000000006"/>
    <s v="CM ADVANCE ADJUSTED-424130925158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8961.82"/>
    <n v="8961.82"/>
    <s v="BDT"/>
    <s v="EGM1"/>
    <n v="751448.61"/>
    <s v="CM ADVANCE ADJUSTED-424130880767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0"/>
    <d v="2020-04-09T00:00:00"/>
    <d v="2020-04-09T00:00:00"/>
    <s v="DZ"/>
    <s v="USD"/>
    <n v="1796.16"/>
    <n v="1796.16"/>
    <s v="BDT"/>
    <s v="EGM1"/>
    <n v="150787.63"/>
    <s v="CM ADVANCE ADJUSTED-424130939991"/>
    <s v="0000005010"/>
    <s v="E5338TS20UK0241"/>
    <s v=""/>
    <s v=""/>
    <s v="0"/>
    <s v="424130952350"/>
    <s v=""/>
    <s v=""/>
    <s v=""/>
    <s v=""/>
    <s v=""/>
    <x v="0"/>
    <m/>
    <s v=""/>
    <d v="2020-04-09T00:00:00"/>
    <s v=""/>
    <s v="1909000550"/>
  </r>
  <r>
    <s v="1909000552"/>
    <d v="2020-04-09T00:00:00"/>
    <d v="2020-04-09T00:00:00"/>
    <s v="DZ"/>
    <s v="USD"/>
    <n v="2777.45"/>
    <n v="2777.45"/>
    <s v="BDT"/>
    <s v="EGM1"/>
    <n v="233166.93"/>
    <s v="CM ADVANCE ADJUSTED-424130932079"/>
    <s v="0000005010"/>
    <s v="E5500AMZ20PLO260"/>
    <s v=""/>
    <s v=""/>
    <s v="0"/>
    <s v="424130952323"/>
    <s v=""/>
    <s v=""/>
    <s v=""/>
    <s v=""/>
    <s v=""/>
    <x v="0"/>
    <m/>
    <s v=""/>
    <d v="2020-04-09T00:00:00"/>
    <s v=""/>
    <s v="1909000552"/>
  </r>
  <r>
    <s v="1909000553"/>
    <d v="2020-04-09T00:00:00"/>
    <d v="2020-04-09T00:00:00"/>
    <s v="DZ"/>
    <s v="USD"/>
    <n v="-122876.79"/>
    <n v="-122876.79"/>
    <s v="BDT"/>
    <s v="EGM1"/>
    <n v="-10315506.52"/>
    <s v="CM ADVANCE RECEIVED-424130952289"/>
    <s v="0000005010"/>
    <s v="IT06592004070017"/>
    <s v=""/>
    <s v=""/>
    <s v="0"/>
    <s v="424130952289"/>
    <s v=""/>
    <s v=""/>
    <s v=""/>
    <s v=""/>
    <s v=""/>
    <x v="0"/>
    <m/>
    <s v=""/>
    <d v="2020-04-09T00:00:00"/>
    <s v=""/>
    <s v="1909000553"/>
  </r>
  <r>
    <s v="1909000554"/>
    <d v="2020-04-09T00:00:00"/>
    <d v="2020-04-09T00:00:00"/>
    <s v="DZ"/>
    <s v="USD"/>
    <n v="4385.87"/>
    <n v="4385.87"/>
    <s v="BDT"/>
    <s v="EGM1"/>
    <n v="368193.79"/>
    <s v="CM ADVANCE ADJUSTED-424130912340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4"/>
    <d v="2020-04-09T00:00:00"/>
    <d v="2020-04-09T00:00:00"/>
    <s v="DZ"/>
    <s v="USD"/>
    <n v="933.7"/>
    <n v="933.7"/>
    <s v="BDT"/>
    <s v="EGM1"/>
    <n v="78384.12"/>
    <s v="CM ADVANCE ADJUSTED-424130932079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4"/>
    <d v="2020-04-09T00:00:00"/>
    <d v="2020-04-09T00:00:00"/>
    <s v="DZ"/>
    <s v="USD"/>
    <n v="2544.12"/>
    <n v="2544.12"/>
    <s v="BDT"/>
    <s v="EGM1"/>
    <n v="213578.87"/>
    <s v="CM ADVANCE ADJUSTED-424130925158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4"/>
    <d v="2020-04-09T00:00:00"/>
    <d v="2020-04-09T00:00:00"/>
    <s v="DZ"/>
    <s v="USD"/>
    <n v="539"/>
    <n v="539"/>
    <s v="BDT"/>
    <s v="EGM1"/>
    <n v="44844.800000000003"/>
    <s v="CM ADVANCE ADJUSTED-424130749198"/>
    <s v="0000005010"/>
    <s v="E55385AC20JF0251"/>
    <s v=""/>
    <s v=""/>
    <s v="0"/>
    <s v="424130952332"/>
    <s v=""/>
    <s v=""/>
    <s v=""/>
    <s v=""/>
    <s v=""/>
    <x v="0"/>
    <m/>
    <s v=""/>
    <d v="2020-04-09T00:00:00"/>
    <s v=""/>
    <s v="1909000554"/>
  </r>
  <r>
    <s v="1909000555"/>
    <d v="2020-04-09T00:00:00"/>
    <d v="2020-04-09T00:00:00"/>
    <s v="DZ"/>
    <s v="USD"/>
    <n v="8431.56"/>
    <n v="8431.56"/>
    <s v="BDT"/>
    <s v="EGM1"/>
    <n v="707829.46"/>
    <s v="CM ADVANCE ADJUSTED-424130912340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5"/>
    <d v="2020-04-09T00:00:00"/>
    <d v="2020-04-09T00:00:00"/>
    <s v="DZ"/>
    <s v="USD"/>
    <n v="2214.2600000000002"/>
    <n v="2214.2600000000002"/>
    <s v="BDT"/>
    <s v="EGM1"/>
    <n v="185887.13"/>
    <s v="CM ADVANCE ADJUSTED-424130932079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5"/>
    <d v="2020-04-09T00:00:00"/>
    <d v="2020-04-09T00:00:00"/>
    <s v="DZ"/>
    <s v="USD"/>
    <n v="5046.43"/>
    <n v="5046.43"/>
    <s v="BDT"/>
    <s v="EGM1"/>
    <n v="423647.8"/>
    <s v="CM ADVANCE ADJUSTED-424130925158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5"/>
    <d v="2020-04-09T00:00:00"/>
    <d v="2020-04-09T00:00:00"/>
    <s v="DZ"/>
    <s v="USD"/>
    <n v="1190.01"/>
    <n v="1190.01"/>
    <s v="BDT"/>
    <s v="EGM1"/>
    <n v="99008.83"/>
    <s v="CM ADVANCE ADJUSTED-424130749198"/>
    <s v="0000005010"/>
    <s v="E55385AC20KT0252"/>
    <s v=""/>
    <s v=""/>
    <s v="0"/>
    <s v="424130952314"/>
    <s v=""/>
    <s v=""/>
    <s v=""/>
    <s v=""/>
    <s v=""/>
    <x v="0"/>
    <m/>
    <s v=""/>
    <d v="2020-04-09T00:00:00"/>
    <s v=""/>
    <s v="1909000555"/>
  </r>
  <r>
    <s v="1909000556"/>
    <d v="2020-04-21T00:00:00"/>
    <d v="2020-04-21T00:00:00"/>
    <s v="DZ"/>
    <s v="USD"/>
    <n v="-328191"/>
    <n v="-328191"/>
    <s v="BDT"/>
    <s v="EGM1"/>
    <n v="-27551634.449999999"/>
    <s v="CM ADVANCE RECEIVED-424130952751"/>
    <s v="0000001010"/>
    <s v="IT06592004180028"/>
    <s v=""/>
    <s v=""/>
    <s v="0"/>
    <s v="424130952751"/>
    <s v=""/>
    <s v=""/>
    <s v=""/>
    <s v=""/>
    <s v=""/>
    <x v="0"/>
    <m/>
    <s v=""/>
    <d v="2020-04-21T00:00:00"/>
    <s v=""/>
    <s v="1909000556"/>
  </r>
  <r>
    <s v="1909000557"/>
    <d v="2020-04-21T00:00:00"/>
    <d v="2020-04-21T00:00:00"/>
    <s v="DZ"/>
    <s v="USD"/>
    <n v="3021.62"/>
    <n v="3021.62"/>
    <s v="BDT"/>
    <s v="EGM1"/>
    <n v="253665"/>
    <s v="CM ADVANCE ADJUSTED-424130912340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513.95000000000005"/>
    <n v="513.95000000000005"/>
    <s v="BDT"/>
    <s v="EGM1"/>
    <n v="43146.1"/>
    <s v="CM ADVANCE ADJUSTED-424130904457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6278.82"/>
    <n v="6278.82"/>
    <s v="BDT"/>
    <s v="EGM1"/>
    <n v="527106.93999999994"/>
    <s v="CM ADVANCE ADJUSTED-424130932079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2472.7600000000002"/>
    <n v="2472.7600000000002"/>
    <s v="BDT"/>
    <s v="EGM1"/>
    <n v="207588.2"/>
    <s v="CM ADVANCE ADJUSTED-424130925158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29031.84"/>
    <n v="29031.84"/>
    <s v="BDT"/>
    <s v="EGM1"/>
    <n v="2437222.9700000002"/>
    <s v="CM ADVANCE ADJUSTED-424130939991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7"/>
    <d v="2020-04-21T00:00:00"/>
    <d v="2020-04-21T00:00:00"/>
    <s v="DZ"/>
    <s v="USD"/>
    <n v="6546.67"/>
    <n v="6546.67"/>
    <s v="BDT"/>
    <s v="EGM1"/>
    <n v="549592.94999999995"/>
    <s v="CM ADVANCE ADJUSTED-424130947857"/>
    <s v="0000005010"/>
    <s v="E55473AC20CK0298"/>
    <s v=""/>
    <s v=""/>
    <s v="0"/>
    <s v="424130952788"/>
    <s v=""/>
    <s v=""/>
    <s v=""/>
    <s v=""/>
    <s v=""/>
    <x v="0"/>
    <m/>
    <s v=""/>
    <d v="2020-04-21T00:00:00"/>
    <s v=""/>
    <s v="1909000557"/>
  </r>
  <r>
    <s v="1909000558"/>
    <d v="2020-04-21T00:00:00"/>
    <d v="2020-04-21T00:00:00"/>
    <s v="DZ"/>
    <s v="USD"/>
    <n v="1956"/>
    <n v="1956"/>
    <s v="BDT"/>
    <s v="EGM1"/>
    <n v="163326"/>
    <s v="CM ADVANCE ADJUSTED-424130869147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8"/>
    <d v="2020-04-21T00:00:00"/>
    <d v="2020-04-21T00:00:00"/>
    <s v="DZ"/>
    <s v="USD"/>
    <n v="115825"/>
    <n v="115825"/>
    <s v="BDT"/>
    <s v="EGM1"/>
    <n v="9723508.75"/>
    <s v="CM ADVANCE ADJUSTED-424130923837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8"/>
    <d v="2020-04-21T00:00:00"/>
    <d v="2020-04-21T00:00:00"/>
    <s v="DZ"/>
    <s v="USD"/>
    <n v="20175"/>
    <n v="20175"/>
    <s v="BDT"/>
    <s v="EGM1"/>
    <n v="1693691.25"/>
    <s v="CM ADVANCE ADJUSTED-424130923828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8"/>
    <d v="2020-04-21T00:00:00"/>
    <d v="2020-04-21T00:00:00"/>
    <s v="DZ"/>
    <s v="USD"/>
    <n v="45110"/>
    <n v="45110"/>
    <s v="BDT"/>
    <s v="EGM1"/>
    <n v="3786984.5"/>
    <s v="CM ADVANCE ADJUSTED-424130939009"/>
    <s v="0000001010"/>
    <s v="E05548US20-0321"/>
    <s v=""/>
    <s v=""/>
    <s v="0"/>
    <s v="424130952760"/>
    <s v=""/>
    <s v=""/>
    <s v=""/>
    <s v=""/>
    <s v=""/>
    <x v="0"/>
    <m/>
    <s v=""/>
    <d v="2020-04-21T00:00:00"/>
    <s v=""/>
    <s v="1909000558"/>
  </r>
  <r>
    <s v="1909000559"/>
    <d v="2020-04-21T00:00:00"/>
    <d v="2020-04-21T00:00:00"/>
    <s v="DZ"/>
    <s v="USD"/>
    <n v="12302.66"/>
    <n v="12302.66"/>
    <s v="BDT"/>
    <s v="EGM1"/>
    <n v="1032808.31"/>
    <s v="CM ADVANCE ADJUSTED-424130925158"/>
    <s v="0000005010"/>
    <s v="E455550C2OUS0292"/>
    <s v=""/>
    <s v=""/>
    <s v="0"/>
    <s v="424130952715"/>
    <s v=""/>
    <s v=""/>
    <s v=""/>
    <s v=""/>
    <s v=""/>
    <x v="0"/>
    <m/>
    <s v=""/>
    <d v="2020-04-21T00:00:00"/>
    <s v=""/>
    <s v="1909000559"/>
  </r>
  <r>
    <s v="1909000560"/>
    <d v="2020-04-21T00:00:00"/>
    <d v="2020-04-21T00:00:00"/>
    <s v="DZ"/>
    <s v="USD"/>
    <n v="3564.47"/>
    <n v="3564.47"/>
    <s v="BDT"/>
    <s v="EGM1"/>
    <n v="299237.26"/>
    <s v="CM ADVANCE ADJUSTED-424130932079"/>
    <s v="0000005010"/>
    <s v="E5543AMZ20US0316"/>
    <s v=""/>
    <s v=""/>
    <s v="0"/>
    <s v="424130952733"/>
    <s v=""/>
    <s v=""/>
    <s v=""/>
    <s v=""/>
    <s v=""/>
    <x v="0"/>
    <m/>
    <s v=""/>
    <d v="2020-04-21T00:00:00"/>
    <s v=""/>
    <s v="1909000560"/>
  </r>
  <r>
    <s v="1909000561"/>
    <d v="2020-04-21T00:00:00"/>
    <d v="2020-04-21T00:00:00"/>
    <s v="DZ"/>
    <s v="USD"/>
    <n v="5073"/>
    <n v="5073"/>
    <s v="BDT"/>
    <s v="EGM1"/>
    <n v="423595.5"/>
    <s v="CM ADVANCE ADJUSTED-424130869147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4213"/>
    <n v="4213"/>
    <s v="BDT"/>
    <s v="EGM1"/>
    <n v="353681.35"/>
    <s v="CM ADVANCE ADJUSTED-42413088745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8317"/>
    <n v="18317"/>
    <s v="BDT"/>
    <s v="EGM1"/>
    <n v="1537712.15"/>
    <s v="CM ADVANCE ADJUSTED-424130923837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1485"/>
    <n v="11485"/>
    <s v="BDT"/>
    <s v="EGM1"/>
    <n v="958997.5"/>
    <s v="CM ADVANCE ADJUSTED-424130851922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3472"/>
    <n v="13472"/>
    <s v="BDT"/>
    <s v="EGM1"/>
    <n v="1124912"/>
    <s v="CM ADVANCE ADJUSTED-424130854527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52"/>
    <n v="152"/>
    <s v="BDT"/>
    <s v="EGM1"/>
    <n v="12745.2"/>
    <s v="CM ADVANCE ADJUSTED-424130871205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46810"/>
    <n v="46810"/>
    <s v="BDT"/>
    <s v="EGM1"/>
    <n v="3929699.5"/>
    <s v="CM ADVANCE ADJUSTED-42413092382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0296"/>
    <n v="10296"/>
    <s v="BDT"/>
    <s v="EGM1"/>
    <n v="864349.2"/>
    <s v="CM ADVANCE ADJUSTED-424130939009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3087"/>
    <n v="3087"/>
    <s v="BDT"/>
    <s v="EGM1"/>
    <n v="259153.65"/>
    <s v="CM ADVANCE ADJUSTED-424130902609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17330"/>
    <n v="17330"/>
    <s v="BDT"/>
    <s v="EGM1"/>
    <n v="1454853.5"/>
    <s v="CM ADVANCE ADJUSTED-42413090261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50849"/>
    <n v="50849"/>
    <s v="BDT"/>
    <s v="EGM1"/>
    <n v="4268773.55"/>
    <s v="CM ADVANCE ADJUSTED-424130939018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1"/>
    <d v="2020-04-21T00:00:00"/>
    <d v="2020-04-21T00:00:00"/>
    <s v="DZ"/>
    <s v="USD"/>
    <n v="8"/>
    <n v="8"/>
    <s v="BDT"/>
    <s v="EGM1"/>
    <n v="671.6"/>
    <s v="CM ADVANCE ADJUSTED-424130897759"/>
    <s v="0000001010"/>
    <s v="E0534OUS20-0276"/>
    <s v=""/>
    <s v=""/>
    <s v="0"/>
    <s v="424130952706"/>
    <s v=""/>
    <s v=""/>
    <s v=""/>
    <s v=""/>
    <s v=""/>
    <x v="0"/>
    <m/>
    <s v=""/>
    <d v="2020-04-21T00:00:00"/>
    <s v=""/>
    <s v="1909000561"/>
  </r>
  <r>
    <s v="1909000566"/>
    <d v="2020-04-27T00:00:00"/>
    <d v="2020-04-27T00:00:00"/>
    <s v="DZ"/>
    <s v="USD"/>
    <n v="-25890.32"/>
    <n v="-25890.32"/>
    <s v="BDT"/>
    <s v="EGM1"/>
    <n v="-2173492.37"/>
    <s v="CM ADVANCE RECEIVED-424130953055"/>
    <s v="0000005010"/>
    <s v="EG5-05453"/>
    <s v=""/>
    <s v=""/>
    <s v="0"/>
    <s v="424130953055"/>
    <s v=""/>
    <s v=""/>
    <s v=""/>
    <s v=""/>
    <s v=""/>
    <x v="0"/>
    <m/>
    <s v=""/>
    <d v="2020-04-27T00:00:00"/>
    <s v=""/>
    <s v="1909000566"/>
  </r>
  <r>
    <s v="1909000567"/>
    <d v="2020-04-09T00:00:00"/>
    <d v="2020-04-09T00:00:00"/>
    <s v="DZ"/>
    <s v="USD"/>
    <n v="-215423.75"/>
    <n v="-215423.75"/>
    <s v="BDT"/>
    <s v="EGM2"/>
    <n v="-18084823.82"/>
    <s v="P &amp; H advance receive, ref- 424130952270"/>
    <s v="0000005010"/>
    <s v="P &amp; H ADVANCE"/>
    <s v=""/>
    <s v=""/>
    <s v="0"/>
    <s v="424130952270"/>
    <s v=""/>
    <s v=""/>
    <s v=""/>
    <s v=""/>
    <s v=""/>
    <x v="0"/>
    <m/>
    <s v=""/>
    <d v="2020-04-09T00:00:00"/>
    <s v=""/>
    <s v="1909000567"/>
  </r>
  <r>
    <s v="1909000568"/>
    <d v="2020-04-21T00:00:00"/>
    <d v="2020-04-21T00:00:00"/>
    <s v="DZ"/>
    <s v="USD"/>
    <n v="2416.8200000000002"/>
    <n v="2416.8200000000002"/>
    <s v="BDT"/>
    <s v="EGM2"/>
    <n v="202892.04"/>
    <s v="CM advance adjusted, ref- 424130932060"/>
    <s v="0000005010"/>
    <s v="E25583VF20US0180"/>
    <s v=""/>
    <s v=""/>
    <s v="0"/>
    <s v="424130952724"/>
    <s v=""/>
    <s v=""/>
    <s v=""/>
    <s v=""/>
    <s v=""/>
    <x v="0"/>
    <m/>
    <s v=""/>
    <d v="2020-04-21T00:00:00"/>
    <s v=""/>
    <s v="1909000568"/>
  </r>
  <r>
    <s v="1909000569"/>
    <d v="2020-04-21T00:00:00"/>
    <d v="2020-04-21T00:00:00"/>
    <s v="DZ"/>
    <s v="USD"/>
    <n v="5199.7299999999996"/>
    <n v="5199.7299999999996"/>
    <s v="BDT"/>
    <s v="EGM2"/>
    <n v="436517.33"/>
    <s v="CM advance adjusted, ref- 424130932060"/>
    <s v="0000005010"/>
    <s v="E25605AC20JF0184"/>
    <s v=""/>
    <s v=""/>
    <s v="0"/>
    <s v="424130952779"/>
    <s v=""/>
    <s v=""/>
    <s v=""/>
    <s v=""/>
    <s v=""/>
    <x v="0"/>
    <m/>
    <s v=""/>
    <d v="2020-04-21T00:00:00"/>
    <s v=""/>
    <s v="1909000569"/>
  </r>
  <r>
    <s v="1909000569"/>
    <d v="2020-04-21T00:00:00"/>
    <d v="2020-04-21T00:00:00"/>
    <s v="DZ"/>
    <s v="USD"/>
    <n v="30632.87"/>
    <n v="30632.87"/>
    <s v="BDT"/>
    <s v="EGM2"/>
    <n v="2571629.44"/>
    <s v="CM advance adjusted, ref- 424130947848"/>
    <s v="0000005010"/>
    <s v="E25605AC20JF0184"/>
    <s v=""/>
    <s v=""/>
    <s v="0"/>
    <s v="424130952779"/>
    <s v=""/>
    <s v=""/>
    <s v=""/>
    <s v=""/>
    <s v=""/>
    <x v="0"/>
    <m/>
    <s v=""/>
    <d v="2020-04-21T00:00:00"/>
    <s v=""/>
    <s v="1909000569"/>
  </r>
  <r>
    <s v="1909000569"/>
    <d v="2020-04-21T00:00:00"/>
    <d v="2020-04-21T00:00:00"/>
    <s v="DZ"/>
    <s v="USD"/>
    <n v="9126.99"/>
    <n v="9126.99"/>
    <s v="BDT"/>
    <s v="EGM2"/>
    <n v="766210.81"/>
    <s v="CM advance adjusted, ref- 424130940006"/>
    <s v="0000005010"/>
    <s v="E25605AC20JF0184"/>
    <s v=""/>
    <s v=""/>
    <s v="0"/>
    <s v="424130952779"/>
    <s v=""/>
    <s v=""/>
    <s v=""/>
    <s v=""/>
    <s v=""/>
    <x v="0"/>
    <m/>
    <s v=""/>
    <d v="2020-04-21T00:00:00"/>
    <s v=""/>
    <s v="1909000569"/>
  </r>
  <r>
    <s v="1909000570"/>
    <d v="2020-04-22T00:00:00"/>
    <d v="2020-04-22T00:00:00"/>
    <s v="DZ"/>
    <s v="USD"/>
    <n v="-53982.559999999998"/>
    <n v="-53982.559999999998"/>
    <s v="BDT"/>
    <s v="EGM2"/>
    <n v="-4531835.92"/>
    <s v="CM advance adjusted, ref- 424130953019"/>
    <s v="0000005010"/>
    <s v="P &amp; H ADVANCE"/>
    <s v=""/>
    <s v=""/>
    <s v="0"/>
    <s v="424130953019"/>
    <s v=""/>
    <s v=""/>
    <s v=""/>
    <s v=""/>
    <s v=""/>
    <x v="0"/>
    <m/>
    <s v=""/>
    <d v="2020-04-22T00:00:00"/>
    <s v=""/>
    <s v="1909000570"/>
  </r>
  <r>
    <s v="1909000571"/>
    <d v="2020-04-29T00:00:00"/>
    <d v="2020-04-29T00:00:00"/>
    <s v="DZ"/>
    <s v="USD"/>
    <n v="208"/>
    <n v="208"/>
    <s v="BDT"/>
    <s v="EGM1"/>
    <n v="17368"/>
    <s v="CM ADJ -424130869147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283"/>
    <n v="283"/>
    <s v="BDT"/>
    <s v="EGM1"/>
    <n v="23757.85"/>
    <s v="CM ADJ -424130887458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83"/>
    <n v="83"/>
    <s v="BDT"/>
    <s v="EGM1"/>
    <n v="6930.5"/>
    <s v="CM ADJ -424130851922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321"/>
    <n v="321"/>
    <s v="BDT"/>
    <s v="EGM1"/>
    <n v="26803.5"/>
    <s v="CM ADJ -424130854527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3516"/>
    <n v="3516"/>
    <s v="BDT"/>
    <s v="EGM1"/>
    <n v="295168.2"/>
    <s v="CM ADJ -424130939009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374"/>
    <n v="374"/>
    <s v="BDT"/>
    <s v="EGM1"/>
    <n v="31397.3"/>
    <s v="CM ADJ -424130902618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1"/>
    <d v="2020-04-29T00:00:00"/>
    <d v="2020-04-29T00:00:00"/>
    <s v="DZ"/>
    <s v="USD"/>
    <n v="617"/>
    <n v="617"/>
    <s v="BDT"/>
    <s v="EGM1"/>
    <n v="51797.15"/>
    <s v="CM ADJ -424130952751"/>
    <s v="0000001010"/>
    <s v="IT06592004250033"/>
    <s v=""/>
    <s v=""/>
    <s v="0"/>
    <s v="424130953117"/>
    <s v=""/>
    <s v=""/>
    <s v=""/>
    <s v=""/>
    <s v=""/>
    <x v="0"/>
    <m/>
    <s v=""/>
    <d v="2020-04-29T00:00:00"/>
    <s v=""/>
    <s v="1909000571"/>
  </r>
  <r>
    <s v="1909000572"/>
    <d v="2020-04-06T00:00:00"/>
    <d v="2020-04-06T00:00:00"/>
    <s v="DZ"/>
    <s v="USD"/>
    <n v="225"/>
    <n v="225"/>
    <s v="BDT"/>
    <s v="EGM2"/>
    <n v="18888.75"/>
    <s v="CM ADJ -424130939027"/>
    <s v="0000001010"/>
    <s v="05640200171VN"/>
    <s v=""/>
    <s v=""/>
    <s v="0"/>
    <s v="424130951994"/>
    <s v=""/>
    <s v=""/>
    <s v=""/>
    <s v=""/>
    <s v=""/>
    <x v="0"/>
    <m/>
    <s v=""/>
    <d v="2020-04-06T00:00:00"/>
    <s v=""/>
    <s v="1909000572"/>
  </r>
  <r>
    <s v="1909000574"/>
    <d v="2020-04-30T00:00:00"/>
    <d v="2020-04-30T00:00:00"/>
    <s v="DZ"/>
    <s v="USD"/>
    <n v="48333"/>
    <n v="48333"/>
    <s v="BDT"/>
    <s v="EGM1"/>
    <n v="4057555.35"/>
    <s v="FIT-CM-ADV-EDL-Apr-20"/>
    <s v="0000001010"/>
    <s v="FIT-CM-EDL-APR20"/>
    <s v=""/>
    <s v=""/>
    <s v="0"/>
    <s v="FIT-CM-EDL-APR-20"/>
    <s v=""/>
    <s v=""/>
    <s v=""/>
    <s v=""/>
    <s v=""/>
    <x v="0"/>
    <d v="2020-05-01T00:00:00"/>
    <s v="1903010574"/>
    <d v="2020-06-30T00:00:00"/>
    <s v=""/>
    <s v="1909000574"/>
  </r>
  <r>
    <s v="1909000576"/>
    <d v="2020-04-30T00:00:00"/>
    <d v="2020-04-30T00:00:00"/>
    <s v="DZ"/>
    <s v="USD"/>
    <n v="425135.42"/>
    <n v="425135.42"/>
    <s v="BDT"/>
    <s v="EGM1"/>
    <n v="35690118.509999998"/>
    <s v="FIT-CMAD-DWC-April-20"/>
    <s v="0000005010"/>
    <s v="FIT-CMDWC-APR-20"/>
    <s v=""/>
    <s v=""/>
    <s v="0"/>
    <s v="FIT-CM Adv-EGDWC-April-20"/>
    <s v=""/>
    <s v=""/>
    <s v=""/>
    <s v=""/>
    <s v=""/>
    <x v="0"/>
    <d v="2020-05-01T00:00:00"/>
    <s v="1903010553"/>
    <d v="2020-05-31T00:00:00"/>
    <s v=""/>
    <s v="1909000576"/>
  </r>
  <r>
    <s v="1909000577"/>
    <d v="2020-05-07T00:00:00"/>
    <d v="2020-05-07T00:00:00"/>
    <s v="DZ"/>
    <s v="USD"/>
    <n v="10026.07"/>
    <n v="10026.07"/>
    <s v="BDT"/>
    <s v="EGM1"/>
    <n v="841688.58"/>
    <s v="CM ADJ adj -424130932079"/>
    <s v="0000005010"/>
    <s v="E5338TS20UK0269"/>
    <s v=""/>
    <s v=""/>
    <s v="0"/>
    <s v="424130953215"/>
    <s v=""/>
    <s v=""/>
    <s v=""/>
    <s v=""/>
    <s v=""/>
    <x v="0"/>
    <m/>
    <s v=""/>
    <d v="2020-05-07T00:00:00"/>
    <s v=""/>
    <s v="1909000577"/>
  </r>
  <r>
    <s v="1909000577"/>
    <d v="2020-05-07T00:00:00"/>
    <d v="2020-05-07T00:00:00"/>
    <s v="DZ"/>
    <s v="USD"/>
    <n v="4110"/>
    <n v="4110"/>
    <s v="BDT"/>
    <s v="EGM1"/>
    <n v="341952"/>
    <s v="CM ADJ adj -424130749198"/>
    <s v="0000005010"/>
    <s v="E5338TS20UK0269"/>
    <s v=""/>
    <s v=""/>
    <s v="0"/>
    <s v="424130953215"/>
    <s v=""/>
    <s v=""/>
    <s v=""/>
    <s v=""/>
    <s v=""/>
    <x v="0"/>
    <m/>
    <s v=""/>
    <d v="2020-05-07T00:00:00"/>
    <s v=""/>
    <s v="1909000577"/>
  </r>
  <r>
    <s v="1909000577"/>
    <d v="2020-05-07T00:00:00"/>
    <d v="2020-05-07T00:00:00"/>
    <s v="DZ"/>
    <s v="USD"/>
    <n v="2247.9899999999998"/>
    <n v="2247.9899999999998"/>
    <s v="BDT"/>
    <s v="EGM1"/>
    <n v="188718.76"/>
    <s v="CM ADJ adj -424130947857"/>
    <s v="0000005010"/>
    <s v="E5338TS20UK0269"/>
    <s v=""/>
    <s v=""/>
    <s v="0"/>
    <s v="424130953215"/>
    <s v=""/>
    <s v=""/>
    <s v=""/>
    <s v=""/>
    <s v=""/>
    <x v="0"/>
    <m/>
    <s v=""/>
    <d v="2020-05-07T00:00:00"/>
    <s v=""/>
    <s v="1909000577"/>
  </r>
  <r>
    <s v="1909000578"/>
    <d v="2020-05-07T00:00:00"/>
    <d v="2020-05-07T00:00:00"/>
    <s v="DZ"/>
    <s v="USD"/>
    <n v="10762.77"/>
    <n v="10762.77"/>
    <s v="BDT"/>
    <s v="EGM1"/>
    <n v="903534.54"/>
    <s v="CM ADJ adj -424130912340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431.71"/>
    <n v="1431.71"/>
    <s v="BDT"/>
    <s v="EGM1"/>
    <n v="120192.05"/>
    <s v="CM ADJ adj -424130904457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1753.9"/>
    <n v="11753.9"/>
    <s v="BDT"/>
    <s v="EGM1"/>
    <n v="986739.91"/>
    <s v="CM ADJ adj -424130932079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2442.23"/>
    <n v="12442.23"/>
    <s v="BDT"/>
    <s v="EGM1"/>
    <n v="1044525.21"/>
    <s v="CM ADJ adj -424130925158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1271.06"/>
    <n v="11271.06"/>
    <s v="BDT"/>
    <s v="EGM2"/>
    <n v="946205.49"/>
    <s v="CM ADJ adj -424130952270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11026.51"/>
    <n v="11026.51"/>
    <s v="BDT"/>
    <s v="EGM1"/>
    <n v="925675.51"/>
    <s v="CM ADJ adj -424130939991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8"/>
    <d v="2020-05-07T00:00:00"/>
    <d v="2020-05-07T00:00:00"/>
    <s v="DZ"/>
    <s v="USD"/>
    <n v="7666.14"/>
    <n v="7666.14"/>
    <s v="BDT"/>
    <s v="EGM1"/>
    <n v="643572.44999999995"/>
    <s v="CM ADJ adj -424130947857"/>
    <s v="0000005010"/>
    <s v="E55473AC20KT0297"/>
    <s v=""/>
    <s v=""/>
    <s v="0"/>
    <s v="424130953233"/>
    <s v=""/>
    <s v=""/>
    <s v=""/>
    <s v=""/>
    <s v=""/>
    <x v="0"/>
    <m/>
    <s v=""/>
    <d v="2020-05-07T00:00:00"/>
    <s v=""/>
    <s v="1909000578"/>
  </r>
  <r>
    <s v="1909000579"/>
    <d v="2020-05-07T00:00:00"/>
    <d v="2020-05-07T00:00:00"/>
    <s v="DZ"/>
    <s v="USD"/>
    <n v="1039.83"/>
    <n v="1039.83"/>
    <s v="BDT"/>
    <s v="EGM1"/>
    <n v="87293.73"/>
    <s v="CM ADJ adj -424130932079"/>
    <s v="0000005010"/>
    <s v="E35403TC20US0265"/>
    <s v=""/>
    <s v=""/>
    <s v="0"/>
    <s v="424130953251"/>
    <s v=""/>
    <s v=""/>
    <s v=""/>
    <s v=""/>
    <s v=""/>
    <x v="0"/>
    <m/>
    <s v=""/>
    <d v="2020-05-07T00:00:00"/>
    <s v=""/>
    <s v="1909000579"/>
  </r>
  <r>
    <s v="1909000579"/>
    <d v="2020-05-07T00:00:00"/>
    <d v="2020-05-07T00:00:00"/>
    <s v="DZ"/>
    <s v="USD"/>
    <n v="3109.2"/>
    <n v="3109.2"/>
    <s v="BDT"/>
    <s v="EGM1"/>
    <n v="261017.34"/>
    <s v="CM ADJ adj -424130925158"/>
    <s v="0000005010"/>
    <s v="E35403TC20US0265"/>
    <s v=""/>
    <s v=""/>
    <s v="0"/>
    <s v="424130953251"/>
    <s v=""/>
    <s v=""/>
    <s v=""/>
    <s v=""/>
    <s v=""/>
    <x v="0"/>
    <m/>
    <s v=""/>
    <d v="2020-05-07T00:00:00"/>
    <s v=""/>
    <s v="1909000579"/>
  </r>
  <r>
    <s v="1909000579"/>
    <d v="2020-05-07T00:00:00"/>
    <d v="2020-05-07T00:00:00"/>
    <s v="DZ"/>
    <s v="USD"/>
    <n v="37447.58"/>
    <n v="37447.58"/>
    <s v="BDT"/>
    <s v="EGM1"/>
    <n v="3143724.34"/>
    <s v="CM ADJ adj -424130939991"/>
    <s v="0000005010"/>
    <s v="E35403TC20US0265"/>
    <s v=""/>
    <s v=""/>
    <s v="0"/>
    <s v="424130953251"/>
    <s v=""/>
    <s v=""/>
    <s v=""/>
    <s v=""/>
    <s v=""/>
    <x v="0"/>
    <m/>
    <s v=""/>
    <d v="2020-05-07T00:00:00"/>
    <s v=""/>
    <s v="1909000579"/>
  </r>
  <r>
    <s v="1909000580"/>
    <d v="2020-05-07T00:00:00"/>
    <d v="2020-05-07T00:00:00"/>
    <s v="DZ"/>
    <s v="USD"/>
    <n v="2380"/>
    <n v="2380"/>
    <s v="BDT"/>
    <s v="EGM1"/>
    <n v="198730"/>
    <s v="CM ADJ adj -424130869147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14321"/>
    <n v="14321"/>
    <s v="BDT"/>
    <s v="EGM1"/>
    <n v="1195803.5"/>
    <s v="CM Adv adj- 424130854527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6109"/>
    <n v="6109"/>
    <s v="BDT"/>
    <s v="EGM1"/>
    <n v="512239.65"/>
    <s v="CM Adv adj- 424130871205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3333"/>
    <n v="3333"/>
    <s v="BDT"/>
    <s v="EGM1"/>
    <n v="279805.34999999998"/>
    <s v="CM Adv adj- 424130923828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16840"/>
    <n v="16840"/>
    <s v="BDT"/>
    <s v="EGM1"/>
    <n v="1413718"/>
    <s v="CM Adv adj- 424130939009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0"/>
    <d v="2020-05-07T00:00:00"/>
    <d v="2020-05-07T00:00:00"/>
    <s v="DZ"/>
    <s v="USD"/>
    <n v="5351"/>
    <n v="5351"/>
    <s v="BDT"/>
    <s v="EGM1"/>
    <n v="449216.45"/>
    <s v="CM Adv adj- 424130952751"/>
    <s v="0000001010"/>
    <s v="E5639SB20UK0281"/>
    <s v=""/>
    <s v=""/>
    <s v="0"/>
    <s v="424130953297"/>
    <s v=""/>
    <s v=""/>
    <s v=""/>
    <s v=""/>
    <s v=""/>
    <x v="0"/>
    <m/>
    <s v=""/>
    <d v="2020-05-07T00:00:00"/>
    <s v=""/>
    <s v="1909000580"/>
  </r>
  <r>
    <s v="1909000581"/>
    <d v="2020-05-07T00:00:00"/>
    <d v="2020-05-07T00:00:00"/>
    <s v="DZ"/>
    <s v="USD"/>
    <n v="27038.91"/>
    <n v="27038.91"/>
    <s v="BDT"/>
    <s v="EGM1"/>
    <n v="2269916.5"/>
    <s v="CM Adv adj- 424130932079"/>
    <s v="0000005010"/>
    <s v="E5500AMZ20US0336"/>
    <s v=""/>
    <s v=""/>
    <s v="0"/>
    <s v="424130953304"/>
    <s v=""/>
    <s v=""/>
    <s v=""/>
    <s v=""/>
    <s v=""/>
    <x v="0"/>
    <m/>
    <s v=""/>
    <d v="2020-05-07T00:00:00"/>
    <s v=""/>
    <s v="1909000581"/>
  </r>
  <r>
    <s v="1909000581"/>
    <d v="2020-05-07T00:00:00"/>
    <d v="2020-05-07T00:00:00"/>
    <s v="DZ"/>
    <s v="USD"/>
    <n v="5286.38"/>
    <n v="5286.38"/>
    <s v="BDT"/>
    <s v="EGM1"/>
    <n v="443791.6"/>
    <s v="CM Adv adj- 424130939991"/>
    <s v="0000005010"/>
    <s v="E5500AMZ20US0336"/>
    <s v=""/>
    <s v=""/>
    <s v="0"/>
    <s v="424130953304"/>
    <s v=""/>
    <s v=""/>
    <s v=""/>
    <s v=""/>
    <s v=""/>
    <x v="0"/>
    <m/>
    <s v=""/>
    <d v="2020-05-07T00:00:00"/>
    <s v=""/>
    <s v="1909000581"/>
  </r>
  <r>
    <s v="1909000581"/>
    <d v="2020-05-07T00:00:00"/>
    <d v="2020-05-07T00:00:00"/>
    <s v="DZ"/>
    <s v="USD"/>
    <n v="33793.050000000003"/>
    <n v="33793.050000000003"/>
    <s v="BDT"/>
    <s v="EGM1"/>
    <n v="2836926.55"/>
    <s v="CM Adv adj- 424130947857"/>
    <s v="0000005010"/>
    <s v="E5500AMZ20US0336"/>
    <s v=""/>
    <s v=""/>
    <s v="0"/>
    <s v="424130953304"/>
    <s v=""/>
    <s v=""/>
    <s v=""/>
    <s v=""/>
    <s v=""/>
    <x v="0"/>
    <m/>
    <s v=""/>
    <d v="2020-05-07T00:00:00"/>
    <s v=""/>
    <s v="1909000581"/>
  </r>
  <r>
    <s v="1909000582"/>
    <d v="2020-05-07T00:00:00"/>
    <d v="2020-05-07T00:00:00"/>
    <s v="DZ"/>
    <s v="USD"/>
    <n v="135"/>
    <n v="135"/>
    <s v="BDT"/>
    <s v="EGM1"/>
    <n v="11333.25"/>
    <s v="CM Adv adj- 424130887458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7570"/>
    <n v="7570"/>
    <s v="BDT"/>
    <s v="EGM1"/>
    <n v="635501.5"/>
    <s v="CM Adv adj- 424130923837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3726"/>
    <n v="3726"/>
    <s v="BDT"/>
    <s v="EGM1"/>
    <n v="312797.7"/>
    <s v="CM Adv adj- 424130923828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21037"/>
    <n v="21037"/>
    <s v="BDT"/>
    <s v="EGM1"/>
    <n v="1766056.15"/>
    <s v="CM Adv adj- 424130939009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258"/>
    <n v="258"/>
    <s v="BDT"/>
    <s v="EGM1"/>
    <n v="21659.1"/>
    <s v="CM Adv adj- 424130902618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2"/>
    <d v="2020-05-07T00:00:00"/>
    <d v="2020-05-07T00:00:00"/>
    <s v="DZ"/>
    <s v="USD"/>
    <n v="3916"/>
    <n v="3916"/>
    <s v="BDT"/>
    <s v="EGM1"/>
    <n v="328748.2"/>
    <s v="CM Adv adj- 424130952751"/>
    <s v="0000001010"/>
    <s v="EG3-05598,05482"/>
    <s v=""/>
    <s v=""/>
    <s v="0"/>
    <s v="424130953402"/>
    <s v=""/>
    <s v=""/>
    <s v=""/>
    <s v=""/>
    <s v=""/>
    <x v="0"/>
    <m/>
    <s v=""/>
    <d v="2020-05-07T00:00:00"/>
    <s v=""/>
    <s v="1909000582"/>
  </r>
  <r>
    <s v="1909000583"/>
    <d v="2020-05-11T00:00:00"/>
    <d v="2020-05-11T00:00:00"/>
    <s v="DZ"/>
    <s v="USD"/>
    <n v="7269.67"/>
    <n v="7269.67"/>
    <s v="BDT"/>
    <s v="EGM1"/>
    <n v="610288.80000000005"/>
    <s v="CM Adv adj- 424130932079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1958.74"/>
    <n v="1958.74"/>
    <s v="BDT"/>
    <s v="EGM1"/>
    <n v="163554.79"/>
    <s v="CM Adv adj- 424130862144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852.39"/>
    <n v="852.39"/>
    <s v="BDT"/>
    <s v="EGM1"/>
    <n v="71472.899999999994"/>
    <s v="CM Adv adj- 424130869726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989.18"/>
    <n v="989.18"/>
    <s v="BDT"/>
    <s v="EGM1"/>
    <n v="83041.66"/>
    <s v="CM Adv adj- 424130887467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12935.73"/>
    <n v="12935.73"/>
    <s v="BDT"/>
    <s v="EGM1"/>
    <n v="1085954.53"/>
    <s v="CM Adv adj- 424130952289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3"/>
    <d v="2020-05-11T00:00:00"/>
    <d v="2020-05-11T00:00:00"/>
    <s v="DZ"/>
    <s v="USD"/>
    <n v="18.21"/>
    <n v="18.21"/>
    <s v="BDT"/>
    <s v="EGM1"/>
    <n v="1528.73"/>
    <s v="CM Adv adj- 424130953055"/>
    <s v="0000005010"/>
    <s v="E5339TS20UK0315"/>
    <s v=""/>
    <s v=""/>
    <s v="0"/>
    <s v="424130953439"/>
    <s v=""/>
    <s v=""/>
    <s v=""/>
    <s v=""/>
    <s v=""/>
    <x v="0"/>
    <m/>
    <s v=""/>
    <d v="2020-05-11T00:00:00"/>
    <s v=""/>
    <s v="1909000583"/>
  </r>
  <r>
    <s v="1909000584"/>
    <d v="2020-05-11T00:00:00"/>
    <d v="2020-05-11T00:00:00"/>
    <s v="DZ"/>
    <s v="USD"/>
    <n v="5421.78"/>
    <n v="5421.78"/>
    <s v="BDT"/>
    <s v="EGM1"/>
    <n v="455158.43"/>
    <s v="CM Adv adj- 424130912340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208.53"/>
    <n v="208.53"/>
    <s v="BDT"/>
    <s v="EGM1"/>
    <n v="17506.09"/>
    <s v="CM Adv adj- 424130932079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2377.2399999999998"/>
    <n v="2377.2399999999998"/>
    <s v="BDT"/>
    <s v="EGM1"/>
    <n v="199569.3"/>
    <s v="CM Adv adj- 424130925158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1835.06"/>
    <n v="1835.06"/>
    <s v="BDT"/>
    <s v="EGM1"/>
    <n v="154053.29"/>
    <s v="CM Adv adj- 424130939991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4"/>
    <d v="2020-05-11T00:00:00"/>
    <d v="2020-05-11T00:00:00"/>
    <s v="DZ"/>
    <s v="USD"/>
    <n v="13582.85"/>
    <n v="13582.85"/>
    <s v="BDT"/>
    <s v="EGM1"/>
    <n v="1140280.26"/>
    <s v="CM Adv adj- 424130947857"/>
    <s v="0000005010"/>
    <s v="E55385AC20KT0299"/>
    <s v=""/>
    <s v=""/>
    <s v="0"/>
    <s v="424130953448"/>
    <s v=""/>
    <s v=""/>
    <s v=""/>
    <s v=""/>
    <s v=""/>
    <x v="0"/>
    <m/>
    <s v=""/>
    <d v="2020-05-11T00:00:00"/>
    <s v=""/>
    <s v="1909000584"/>
  </r>
  <r>
    <s v="1909000585"/>
    <d v="2020-05-11T00:00:00"/>
    <d v="2020-05-11T00:00:00"/>
    <s v="DZ"/>
    <s v="USD"/>
    <n v="5761"/>
    <n v="5761"/>
    <s v="BDT"/>
    <s v="EGM1"/>
    <n v="483635.95"/>
    <s v="CM Adv adj- 42413088745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18116"/>
    <n v="18116"/>
    <s v="BDT"/>
    <s v="EGM1"/>
    <n v="1520838.2"/>
    <s v="CM Adv adj- 424130923837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1070"/>
    <n v="1070"/>
    <s v="BDT"/>
    <s v="EGM1"/>
    <n v="89345"/>
    <s v="CM Adv adj- 424130851922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65810"/>
    <n v="65810"/>
    <s v="BDT"/>
    <s v="EGM1"/>
    <n v="5524749.5"/>
    <s v="CM Adv adj- 42413092382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4850"/>
    <n v="4850"/>
    <s v="BDT"/>
    <s v="EGM1"/>
    <n v="407157.5"/>
    <s v="CM Adv adj- 424130939009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6293"/>
    <n v="6293"/>
    <s v="BDT"/>
    <s v="EGM1"/>
    <n v="528297.35"/>
    <s v="CM Adv adj- 42413090261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59731"/>
    <n v="59731"/>
    <s v="BDT"/>
    <s v="EGM1"/>
    <n v="5014417.45"/>
    <s v="CM Adv adj- 424130939018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5"/>
    <d v="2020-05-11T00:00:00"/>
    <d v="2020-05-11T00:00:00"/>
    <s v="DZ"/>
    <s v="USD"/>
    <n v="291"/>
    <n v="291"/>
    <s v="BDT"/>
    <s v="EGM1"/>
    <n v="24429.45"/>
    <s v="CM Adv adj- 424130952751"/>
    <s v="0000001010"/>
    <s v="E05624US200325"/>
    <s v=""/>
    <s v=""/>
    <s v="0"/>
    <s v="424130953457"/>
    <s v=""/>
    <s v=""/>
    <s v=""/>
    <s v=""/>
    <s v=""/>
    <x v="0"/>
    <m/>
    <s v=""/>
    <d v="2020-05-11T00:00:00"/>
    <s v=""/>
    <s v="1909000585"/>
  </r>
  <r>
    <s v="1909000586"/>
    <d v="2020-05-11T00:00:00"/>
    <d v="2020-05-11T00:00:00"/>
    <s v="DZ"/>
    <s v="USD"/>
    <n v="16475.580000000002"/>
    <n v="16475.580000000002"/>
    <s v="BDT"/>
    <s v="EGM1"/>
    <n v="1383124.94"/>
    <s v="CM Adv adj- 424130932079"/>
    <s v="0000005010"/>
    <s v="E5500AMZ20US0353"/>
    <s v=""/>
    <s v=""/>
    <s v="0"/>
    <s v="424130954278"/>
    <s v=""/>
    <s v=""/>
    <s v=""/>
    <s v=""/>
    <s v=""/>
    <x v="0"/>
    <m/>
    <s v=""/>
    <d v="2020-05-11T00:00:00"/>
    <s v=""/>
    <s v="1909000586"/>
  </r>
  <r>
    <s v="1909000586"/>
    <d v="2020-05-11T00:00:00"/>
    <d v="2020-05-11T00:00:00"/>
    <s v="DZ"/>
    <s v="USD"/>
    <n v="4537.3100000000004"/>
    <n v="4537.3100000000004"/>
    <s v="BDT"/>
    <s v="EGM1"/>
    <n v="380907.18"/>
    <s v="CM Adv adj- 424130953055"/>
    <s v="0000005010"/>
    <s v="E5500AMZ20US0353"/>
    <s v=""/>
    <s v=""/>
    <s v="0"/>
    <s v="424130954278"/>
    <s v=""/>
    <s v=""/>
    <s v=""/>
    <s v=""/>
    <s v=""/>
    <x v="0"/>
    <m/>
    <s v=""/>
    <d v="2020-05-11T00:00:00"/>
    <s v=""/>
    <s v="1909000586"/>
  </r>
  <r>
    <s v="1909000587"/>
    <d v="2020-05-07T00:00:00"/>
    <d v="2020-05-07T00:00:00"/>
    <s v="DZ"/>
    <s v="USD"/>
    <n v="43002"/>
    <n v="43002"/>
    <s v="BDT"/>
    <s v="EGM2"/>
    <n v="3610017.9"/>
    <s v="CM Adv adj- 424130952270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25211.63"/>
    <n v="25211.63"/>
    <s v="BDT"/>
    <s v="EGM2"/>
    <n v="2116516.34"/>
    <s v="CM Adv adj- 424130932060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48218.95"/>
    <n v="48218.95"/>
    <s v="BDT"/>
    <s v="EGM2"/>
    <n v="4047980.86"/>
    <s v="CM Adv adj- 424130947848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23074.31"/>
    <n v="23074.31"/>
    <s v="BDT"/>
    <s v="EGM2"/>
    <n v="1937088.33"/>
    <s v="CM Adv adj- 424130912359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7"/>
    <d v="2020-05-07T00:00:00"/>
    <d v="2020-05-07T00:00:00"/>
    <s v="DZ"/>
    <s v="USD"/>
    <n v="10141.31"/>
    <n v="10141.31"/>
    <s v="BDT"/>
    <s v="EGM2"/>
    <n v="851362.98"/>
    <s v="CM Adv adj- 424130925149"/>
    <s v="0000005010"/>
    <s v="E25427AC20KT0189"/>
    <s v=""/>
    <s v=""/>
    <s v="0"/>
    <s v="424130953224"/>
    <s v=""/>
    <s v=""/>
    <s v=""/>
    <s v=""/>
    <s v=""/>
    <x v="0"/>
    <m/>
    <s v=""/>
    <d v="2020-05-07T00:00:00"/>
    <s v=""/>
    <s v="1909000587"/>
  </r>
  <r>
    <s v="1909000588"/>
    <d v="2020-05-07T00:00:00"/>
    <d v="2020-05-07T00:00:00"/>
    <s v="DZ"/>
    <s v="USD"/>
    <n v="4960.0200000000004"/>
    <n v="4960.0200000000004"/>
    <s v="BDT"/>
    <s v="EGM2"/>
    <n v="416393.68"/>
    <s v="CM ADJ adj -424130947848"/>
    <s v="0000005010"/>
    <s v="E25581VF20US0191"/>
    <s v=""/>
    <s v=""/>
    <s v="0"/>
    <s v="424130953242"/>
    <s v=""/>
    <s v=""/>
    <s v=""/>
    <s v=""/>
    <s v=""/>
    <x v="0"/>
    <m/>
    <s v=""/>
    <d v="2020-05-07T00:00:00"/>
    <s v=""/>
    <s v="1909000588"/>
  </r>
  <r>
    <s v="1909000588"/>
    <d v="2020-05-07T00:00:00"/>
    <d v="2020-05-07T00:00:00"/>
    <s v="DZ"/>
    <s v="USD"/>
    <n v="11830.98"/>
    <n v="11830.98"/>
    <s v="BDT"/>
    <s v="EGM2"/>
    <n v="993210.77"/>
    <s v="CM ADJ adj -424130940006"/>
    <s v="0000005010"/>
    <s v="E25581VF20US0191"/>
    <s v=""/>
    <s v=""/>
    <s v="0"/>
    <s v="424130953242"/>
    <s v=""/>
    <s v=""/>
    <s v=""/>
    <s v=""/>
    <s v=""/>
    <x v="0"/>
    <m/>
    <s v=""/>
    <d v="2020-05-07T00:00:00"/>
    <s v=""/>
    <s v="1909000588"/>
  </r>
  <r>
    <s v="1909000589"/>
    <d v="2020-05-07T00:00:00"/>
    <d v="2020-05-07T00:00:00"/>
    <s v="DZ"/>
    <s v="USD"/>
    <n v="6187.71"/>
    <n v="6187.71"/>
    <s v="BDT"/>
    <s v="EGM2"/>
    <n v="519458.25"/>
    <s v="CM Adv adj- 424130947848"/>
    <s v="0000005010"/>
    <s v="E25580VF20US0181"/>
    <s v=""/>
    <s v=""/>
    <s v="0"/>
    <s v="424130953260"/>
    <s v=""/>
    <s v=""/>
    <s v=""/>
    <s v=""/>
    <s v=""/>
    <x v="0"/>
    <m/>
    <s v=""/>
    <d v="2020-05-07T00:00:00"/>
    <s v=""/>
    <s v="1909000589"/>
  </r>
  <r>
    <s v="1909000590"/>
    <d v="2020-05-07T00:00:00"/>
    <d v="2020-05-07T00:00:00"/>
    <s v="DZ"/>
    <s v="USD"/>
    <n v="14144.44"/>
    <n v="14144.44"/>
    <s v="BDT"/>
    <s v="EGM2"/>
    <n v="1187425.74"/>
    <s v="CM ADJ adj -424130952270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328.68"/>
    <n v="328.68"/>
    <s v="BDT"/>
    <s v="EGM2"/>
    <n v="27592.69"/>
    <s v="CM ADJ adj -424130932060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3286.85"/>
    <n v="3286.85"/>
    <s v="BDT"/>
    <s v="EGM2"/>
    <n v="275931.06"/>
    <s v="CM ADJ adj -424130947848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6966.86"/>
    <n v="6966.86"/>
    <s v="BDT"/>
    <s v="EGM2"/>
    <n v="584867.9"/>
    <s v="CM ADJ adj -424130912359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0"/>
    <d v="2020-05-07T00:00:00"/>
    <d v="2020-05-07T00:00:00"/>
    <s v="DZ"/>
    <s v="USD"/>
    <n v="13712.99"/>
    <n v="13712.99"/>
    <s v="BDT"/>
    <s v="EGM2"/>
    <n v="1151205.51"/>
    <s v="CM ADJ adj -424130925149"/>
    <s v="0000005010"/>
    <s v="E25319AC20KT0196"/>
    <s v=""/>
    <s v=""/>
    <s v="0"/>
    <s v="424130953279"/>
    <s v=""/>
    <s v=""/>
    <s v=""/>
    <s v=""/>
    <s v=""/>
    <x v="0"/>
    <m/>
    <s v=""/>
    <d v="2020-05-07T00:00:00"/>
    <s v=""/>
    <s v="1909000590"/>
  </r>
  <r>
    <s v="1909000591"/>
    <d v="2020-05-07T00:00:00"/>
    <d v="2020-05-07T00:00:00"/>
    <s v="DZ"/>
    <s v="USD"/>
    <n v="1715.16"/>
    <n v="1715.16"/>
    <s v="BDT"/>
    <s v="EGM2"/>
    <n v="143987.68"/>
    <s v="CM ADJ adj -424130952270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1"/>
    <d v="2020-05-07T00:00:00"/>
    <d v="2020-05-07T00:00:00"/>
    <s v="DZ"/>
    <s v="USD"/>
    <n v="3144.71"/>
    <n v="3144.71"/>
    <s v="BDT"/>
    <s v="EGM2"/>
    <n v="263998.40000000002"/>
    <s v="CM ADJ adj -424130932060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1"/>
    <d v="2020-05-07T00:00:00"/>
    <d v="2020-05-07T00:00:00"/>
    <s v="DZ"/>
    <s v="USD"/>
    <n v="4198.91"/>
    <n v="4198.91"/>
    <s v="BDT"/>
    <s v="EGM2"/>
    <n v="352498.49"/>
    <s v="CM ADJ adj -424130940006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1"/>
    <d v="2020-05-07T00:00:00"/>
    <d v="2020-05-07T00:00:00"/>
    <s v="DZ"/>
    <s v="USD"/>
    <n v="897.79"/>
    <n v="897.79"/>
    <s v="BDT"/>
    <s v="EGM2"/>
    <n v="75369.47"/>
    <s v="CM ADJ adj -424130953019"/>
    <s v="0000005010"/>
    <s v="E25588VF20US0192"/>
    <s v=""/>
    <s v=""/>
    <s v="0"/>
    <s v="424130953288"/>
    <s v=""/>
    <s v=""/>
    <s v=""/>
    <s v=""/>
    <s v=""/>
    <x v="0"/>
    <m/>
    <s v=""/>
    <d v="2020-05-07T00:00:00"/>
    <s v=""/>
    <s v="1909000591"/>
  </r>
  <r>
    <s v="1909000592"/>
    <d v="2020-05-11T00:00:00"/>
    <d v="2020-05-11T00:00:00"/>
    <s v="DZ"/>
    <s v="USD"/>
    <n v="6769.02"/>
    <n v="6769.02"/>
    <s v="BDT"/>
    <s v="EGM2"/>
    <n v="568259.23"/>
    <s v="CM Adv adj- 424130952270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1208.72"/>
    <n v="1208.72"/>
    <s v="BDT"/>
    <s v="EGM2"/>
    <n v="101472.04"/>
    <s v="CM Adv adj- 424130932060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1663.07"/>
    <n v="1663.07"/>
    <s v="BDT"/>
    <s v="EGM2"/>
    <n v="139614.73000000001"/>
    <s v="CM Adv adj- 424130947848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7513.15"/>
    <n v="7513.15"/>
    <s v="BDT"/>
    <s v="EGM2"/>
    <n v="630728.93999999994"/>
    <s v="CM Adv adj- 424130912359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2"/>
    <d v="2020-05-11T00:00:00"/>
    <d v="2020-05-11T00:00:00"/>
    <s v="DZ"/>
    <s v="USD"/>
    <n v="10686.92"/>
    <n v="10686.92"/>
    <s v="BDT"/>
    <s v="EGM2"/>
    <n v="897166.93"/>
    <s v="CM Adv adj- 424130925149"/>
    <s v="0000005010"/>
    <s v="E25319AC20CK0194"/>
    <s v=""/>
    <s v=""/>
    <s v="0"/>
    <s v="424130953466"/>
    <s v=""/>
    <s v=""/>
    <s v=""/>
    <s v=""/>
    <s v=""/>
    <x v="0"/>
    <m/>
    <s v=""/>
    <d v="2020-05-11T00:00:00"/>
    <s v=""/>
    <s v="1909000592"/>
  </r>
  <r>
    <s v="1909000593"/>
    <d v="2020-05-12T00:00:00"/>
    <d v="2020-05-12T00:00:00"/>
    <s v="DZ"/>
    <s v="USD"/>
    <n v="1167.56"/>
    <n v="1167.56"/>
    <s v="BDT"/>
    <s v="EGM1"/>
    <n v="98016.66"/>
    <s v="CM ADJ adj -424130932079"/>
    <s v="0000005010"/>
    <s v="E55383SC20KT0349"/>
    <s v=""/>
    <s v=""/>
    <s v="0"/>
    <s v="424130954312"/>
    <s v=""/>
    <s v=""/>
    <s v=""/>
    <s v=""/>
    <s v=""/>
    <x v="0"/>
    <m/>
    <s v=""/>
    <d v="2020-05-12T00:00:00"/>
    <s v=""/>
    <s v="1909000593"/>
  </r>
  <r>
    <s v="1909000593"/>
    <d v="2020-05-12T00:00:00"/>
    <d v="2020-05-12T00:00:00"/>
    <s v="DZ"/>
    <s v="USD"/>
    <n v="1340.54"/>
    <n v="1340.54"/>
    <s v="BDT"/>
    <s v="EGM1"/>
    <n v="112538.33"/>
    <s v="CM ADJ adj -424130947857"/>
    <s v="0000005010"/>
    <s v="E55383SC20KT0349"/>
    <s v=""/>
    <s v=""/>
    <s v="0"/>
    <s v="424130954312"/>
    <s v=""/>
    <s v=""/>
    <s v=""/>
    <s v=""/>
    <s v=""/>
    <x v="0"/>
    <m/>
    <s v=""/>
    <d v="2020-05-12T00:00:00"/>
    <s v=""/>
    <s v="1909000593"/>
  </r>
  <r>
    <s v="1909000594"/>
    <d v="2020-05-12T00:00:00"/>
    <d v="2020-05-12T00:00:00"/>
    <s v="DZ"/>
    <s v="USD"/>
    <n v="1796.33"/>
    <n v="1796.33"/>
    <s v="BDT"/>
    <s v="EGM2"/>
    <n v="149993.56"/>
    <s v="CM ADJ adj -424130824374"/>
    <s v="0000005010"/>
    <s v="E25582VF20US0176"/>
    <s v=""/>
    <s v=""/>
    <s v="0"/>
    <s v="424130954303"/>
    <s v=""/>
    <s v=""/>
    <s v=""/>
    <s v=""/>
    <s v=""/>
    <x v="0"/>
    <m/>
    <s v=""/>
    <d v="2020-05-12T00:00:00"/>
    <s v=""/>
    <s v="1909000594"/>
  </r>
  <r>
    <s v="1909000594"/>
    <d v="2020-05-12T00:00:00"/>
    <d v="2020-05-12T00:00:00"/>
    <s v="DZ"/>
    <s v="USD"/>
    <n v="2174.35"/>
    <n v="2174.35"/>
    <s v="BDT"/>
    <s v="EGM2"/>
    <n v="182536.68"/>
    <s v="CM ADJ adj -424130947848"/>
    <s v="0000005010"/>
    <s v="E25582VF20US0176"/>
    <s v=""/>
    <s v=""/>
    <s v="0"/>
    <s v="424130954303"/>
    <s v=""/>
    <s v=""/>
    <s v=""/>
    <s v=""/>
    <s v=""/>
    <x v="0"/>
    <m/>
    <s v=""/>
    <d v="2020-05-12T00:00:00"/>
    <s v=""/>
    <s v="1909000594"/>
  </r>
  <r>
    <s v="1909000594"/>
    <d v="2020-05-12T00:00:00"/>
    <d v="2020-05-12T00:00:00"/>
    <s v="DZ"/>
    <s v="USD"/>
    <n v="9667.41"/>
    <n v="9667.41"/>
    <s v="BDT"/>
    <s v="EGM2"/>
    <n v="811579.07"/>
    <s v="CM ADJ adj -424130940006"/>
    <s v="0000005010"/>
    <s v="E25582VF20US0176"/>
    <s v=""/>
    <s v=""/>
    <s v="0"/>
    <s v="424130954303"/>
    <s v=""/>
    <s v=""/>
    <s v=""/>
    <s v=""/>
    <s v=""/>
    <x v="0"/>
    <m/>
    <s v=""/>
    <d v="2020-05-12T00:00:00"/>
    <s v=""/>
    <s v="1909000594"/>
  </r>
  <r>
    <s v="1909000595"/>
    <d v="2020-05-12T00:00:00"/>
    <d v="2020-05-12T00:00:00"/>
    <s v="DZ"/>
    <s v="USD"/>
    <n v="9402.5499999999993"/>
    <n v="9402.5499999999993"/>
    <s v="BDT"/>
    <s v="EGM2"/>
    <n v="789344.07"/>
    <s v="CM ADJ adj -424130952270"/>
    <s v="0000005010"/>
    <s v="E25606AC20KT0199"/>
    <s v=""/>
    <s v=""/>
    <s v="0"/>
    <s v="424130954321"/>
    <s v=""/>
    <s v=""/>
    <s v=""/>
    <s v=""/>
    <s v=""/>
    <x v="0"/>
    <m/>
    <s v=""/>
    <d v="2020-05-12T00:00:00"/>
    <s v=""/>
    <s v="1909000595"/>
  </r>
  <r>
    <s v="1909000596"/>
    <d v="2020-05-13T00:00:00"/>
    <d v="2020-05-13T00:00:00"/>
    <s v="DZ"/>
    <s v="USD"/>
    <n v="9183"/>
    <n v="9183"/>
    <s v="BDT"/>
    <s v="EGM1"/>
    <n v="770912.85"/>
    <s v="CM ADJ adj -424130923837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10799"/>
    <n v="10799"/>
    <s v="BDT"/>
    <s v="EGM1"/>
    <n v="906576.05"/>
    <s v="CM ADJ adj -424130923828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18303"/>
    <n v="18303"/>
    <s v="BDT"/>
    <s v="EGM1"/>
    <n v="1536536.85"/>
    <s v="CM ADJ adj -424130939009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57148"/>
    <n v="57148"/>
    <s v="BDT"/>
    <s v="EGM1"/>
    <n v="4797574.5999999996"/>
    <s v="CM ADJ adj -424130902609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104764"/>
    <n v="104764"/>
    <s v="BDT"/>
    <s v="EGM1"/>
    <n v="8794937.8000000007"/>
    <s v="CM ADJ adj -424130939018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6"/>
    <d v="2020-05-13T00:00:00"/>
    <d v="2020-05-13T00:00:00"/>
    <s v="DZ"/>
    <s v="USD"/>
    <n v="45861"/>
    <n v="45861"/>
    <s v="BDT"/>
    <s v="EGM1"/>
    <n v="3850030.95"/>
    <s v="CM ADJ adj -424130945902"/>
    <s v="0000001010"/>
    <s v="E05624US20-0358M"/>
    <s v=""/>
    <s v=""/>
    <s v="0"/>
    <s v="424130954679"/>
    <s v=""/>
    <s v=""/>
    <s v=""/>
    <s v=""/>
    <s v=""/>
    <x v="0"/>
    <m/>
    <s v=""/>
    <d v="2020-05-13T00:00:00"/>
    <s v=""/>
    <s v="1909000596"/>
  </r>
  <r>
    <s v="1909000597"/>
    <d v="2020-05-14T00:00:00"/>
    <d v="2020-05-14T00:00:00"/>
    <s v="DZ"/>
    <s v="USD"/>
    <n v="3793.14"/>
    <n v="3793.14"/>
    <s v="BDT"/>
    <s v="EGM1"/>
    <n v="318434.09999999998"/>
    <s v="CM ADJ adj -424130932079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2813.25"/>
    <n v="2813.25"/>
    <s v="BDT"/>
    <s v="EGM1"/>
    <n v="236172.34"/>
    <s v="CM ADJ adj -424130925158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20375.88"/>
    <n v="20375.88"/>
    <s v="BDT"/>
    <s v="EGM1"/>
    <n v="1710555.13"/>
    <s v="CM ADJ adj -424130952289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595.1"/>
    <n v="595.1"/>
    <s v="BDT"/>
    <s v="EGM1"/>
    <n v="49958.65"/>
    <s v="CM ADJ adj -424130939991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7"/>
    <d v="2020-05-14T00:00:00"/>
    <d v="2020-05-14T00:00:00"/>
    <s v="DZ"/>
    <s v="USD"/>
    <n v="1579.38"/>
    <n v="1579.38"/>
    <s v="BDT"/>
    <s v="EGM1"/>
    <n v="132588.95000000001"/>
    <s v="CM ADJ adj -424130947857"/>
    <s v="0000005010"/>
    <s v="E35403TC19MY0264"/>
    <s v=""/>
    <s v=""/>
    <s v="0"/>
    <s v="424130954928"/>
    <s v=""/>
    <s v=""/>
    <s v=""/>
    <s v=""/>
    <s v=""/>
    <x v="0"/>
    <m/>
    <s v=""/>
    <d v="2020-05-14T00:00:00"/>
    <s v=""/>
    <s v="1909000597"/>
  </r>
  <r>
    <s v="1909000598"/>
    <d v="2020-05-14T00:00:00"/>
    <d v="2020-05-14T00:00:00"/>
    <s v="DZ"/>
    <s v="USD"/>
    <n v="42688"/>
    <n v="42688"/>
    <s v="BDT"/>
    <s v="EGM1"/>
    <n v="3583657.6"/>
    <s v="CM ADJ adj -424130939009"/>
    <s v="0000001010"/>
    <s v="E05648US20369"/>
    <s v=""/>
    <s v=""/>
    <s v="0"/>
    <s v="424130954919"/>
    <s v=""/>
    <s v=""/>
    <s v=""/>
    <s v=""/>
    <s v=""/>
    <x v="0"/>
    <m/>
    <s v=""/>
    <d v="2020-05-14T00:00:00"/>
    <s v=""/>
    <s v="1909000598"/>
  </r>
  <r>
    <s v="1909000598"/>
    <d v="2020-05-14T00:00:00"/>
    <d v="2020-05-14T00:00:00"/>
    <s v="DZ"/>
    <s v="USD"/>
    <n v="52201"/>
    <n v="52201"/>
    <s v="BDT"/>
    <s v="EGM1"/>
    <n v="4382273.95"/>
    <s v="CM ADJ adj -424130952751"/>
    <s v="0000001010"/>
    <s v="E05648US20369"/>
    <s v=""/>
    <s v=""/>
    <s v="0"/>
    <s v="424130954919"/>
    <s v=""/>
    <s v=""/>
    <s v=""/>
    <s v=""/>
    <s v=""/>
    <x v="0"/>
    <m/>
    <s v=""/>
    <d v="2020-05-14T00:00:00"/>
    <s v=""/>
    <s v="1909000598"/>
  </r>
  <r>
    <s v="1909000598"/>
    <d v="2020-05-14T00:00:00"/>
    <d v="2020-05-14T00:00:00"/>
    <s v="DZ"/>
    <s v="USD"/>
    <n v="61032"/>
    <n v="61032"/>
    <s v="BDT"/>
    <s v="EGM1"/>
    <n v="5123636.4000000004"/>
    <s v="CM ADJ adj -424130951976"/>
    <s v="0000001010"/>
    <s v="E05648US20369"/>
    <s v=""/>
    <s v=""/>
    <s v="0"/>
    <s v="424130954919"/>
    <s v=""/>
    <s v=""/>
    <s v=""/>
    <s v=""/>
    <s v=""/>
    <x v="0"/>
    <m/>
    <s v=""/>
    <d v="2020-05-14T00:00:00"/>
    <s v=""/>
    <s v="1909000598"/>
  </r>
  <r>
    <s v="1909000599"/>
    <d v="2020-05-18T00:00:00"/>
    <d v="2020-05-18T00:00:00"/>
    <s v="DZ"/>
    <s v="USD"/>
    <n v="35982"/>
    <n v="35982"/>
    <s v="BDT"/>
    <s v="EGM1"/>
    <n v="3020688.9"/>
    <s v="CM ADV ADJ REF-424130951976"/>
    <s v="0000001010"/>
    <s v="E05648US20-0367"/>
    <s v=""/>
    <s v=""/>
    <s v="0"/>
    <s v="424130955776"/>
    <s v=""/>
    <s v=""/>
    <s v=""/>
    <s v=""/>
    <s v=""/>
    <x v="0"/>
    <m/>
    <s v=""/>
    <d v="2020-05-18T00:00:00"/>
    <s v=""/>
    <s v="1909000599"/>
  </r>
  <r>
    <s v="1909000600"/>
    <d v="2020-05-18T00:00:00"/>
    <d v="2020-05-18T00:00:00"/>
    <s v="DZ"/>
    <s v="USD"/>
    <n v="-345389"/>
    <n v="-345389"/>
    <s v="BDT"/>
    <s v="EGM1"/>
    <n v="-28995406.550000001"/>
    <s v="CM ADV REC REF-424130955552"/>
    <s v="0000001010"/>
    <s v="IT06592005160050"/>
    <s v=""/>
    <s v=""/>
    <s v="0"/>
    <s v="424130955552"/>
    <s v=""/>
    <s v=""/>
    <s v=""/>
    <s v=""/>
    <s v=""/>
    <x v="0"/>
    <m/>
    <s v=""/>
    <d v="2020-05-18T00:00:00"/>
    <s v=""/>
    <s v="1909000600"/>
  </r>
  <r>
    <s v="1909000601"/>
    <d v="2020-05-19T00:00:00"/>
    <d v="2020-05-19T00:00:00"/>
    <s v="DZ"/>
    <s v="USD"/>
    <n v="-57170"/>
    <n v="-57170"/>
    <s v="BDT"/>
    <s v="EGM2"/>
    <n v="-4799421.51"/>
    <s v="CM ADV REC REF-424130955767"/>
    <s v="0000005010"/>
    <s v="IT06592005180056"/>
    <s v=""/>
    <s v=""/>
    <s v="0"/>
    <s v="424130955767"/>
    <s v=""/>
    <s v=""/>
    <s v=""/>
    <s v=""/>
    <s v=""/>
    <x v="0"/>
    <m/>
    <s v=""/>
    <d v="2020-05-19T00:00:00"/>
    <s v=""/>
    <s v="1909000601"/>
  </r>
  <r>
    <s v="1909000602"/>
    <d v="2020-05-19T00:00:00"/>
    <d v="2020-05-19T00:00:00"/>
    <s v="DZ"/>
    <s v="USD"/>
    <n v="113938"/>
    <n v="113938"/>
    <s v="BDT"/>
    <s v="EGM1"/>
    <n v="9565095.0999999996"/>
    <s v="CM ADV ADJ REF-424130939009"/>
    <s v="0000001010"/>
    <s v="EG3-05688,649"/>
    <s v=""/>
    <s v=""/>
    <s v="0"/>
    <s v="424130954900"/>
    <s v=""/>
    <s v=""/>
    <s v=""/>
    <s v=""/>
    <s v=""/>
    <x v="0"/>
    <m/>
    <s v=""/>
    <d v="2020-05-19T00:00:00"/>
    <s v=""/>
    <s v="1909000602"/>
  </r>
  <r>
    <s v="1909000602"/>
    <d v="2020-05-19T00:00:00"/>
    <d v="2020-05-19T00:00:00"/>
    <s v="DZ"/>
    <s v="USD"/>
    <n v="12149"/>
    <n v="12149"/>
    <s v="BDT"/>
    <s v="EGM1"/>
    <n v="1019908.55"/>
    <s v="CM ADV ADJ REF-424130939018"/>
    <s v="0000001010"/>
    <s v="EG3-05688,649"/>
    <s v=""/>
    <s v=""/>
    <s v="0"/>
    <s v="424130954900"/>
    <s v=""/>
    <s v=""/>
    <s v=""/>
    <s v=""/>
    <s v=""/>
    <x v="0"/>
    <m/>
    <s v=""/>
    <d v="2020-05-19T00:00:00"/>
    <s v=""/>
    <s v="1909000602"/>
  </r>
  <r>
    <s v="1909000602"/>
    <d v="2020-05-19T00:00:00"/>
    <d v="2020-05-19T00:00:00"/>
    <s v="DZ"/>
    <s v="USD"/>
    <n v="15042"/>
    <n v="15042"/>
    <s v="BDT"/>
    <s v="EGM1"/>
    <n v="1262775.8999999999"/>
    <s v="CM ADV ADJ REF-424130945902"/>
    <s v="0000001010"/>
    <s v="EG3-05688,649"/>
    <s v=""/>
    <s v=""/>
    <s v="0"/>
    <s v="424130954900"/>
    <s v=""/>
    <s v=""/>
    <s v=""/>
    <s v=""/>
    <s v=""/>
    <x v="0"/>
    <m/>
    <s v=""/>
    <d v="2020-05-19T00:00:00"/>
    <s v=""/>
    <s v="1909000602"/>
  </r>
  <r>
    <s v="1909000603"/>
    <d v="2020-05-20T00:00:00"/>
    <d v="2020-05-20T00:00:00"/>
    <s v="DZ"/>
    <s v="USD"/>
    <n v="88948"/>
    <n v="88948"/>
    <s v="BDT"/>
    <s v="EGM1"/>
    <n v="7467184.5999999996"/>
    <s v="CM ADV ADJ REF-424130939009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3"/>
    <d v="2020-05-20T00:00:00"/>
    <d v="2020-05-20T00:00:00"/>
    <s v="DZ"/>
    <s v="USD"/>
    <n v="34706"/>
    <n v="34706"/>
    <s v="BDT"/>
    <s v="EGM1"/>
    <n v="2913568.7"/>
    <s v="CM ADV ADJ REF-424130955552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3"/>
    <d v="2020-05-20T00:00:00"/>
    <d v="2020-05-20T00:00:00"/>
    <s v="DZ"/>
    <s v="USD"/>
    <n v="48261"/>
    <n v="48261"/>
    <s v="BDT"/>
    <s v="EGM1"/>
    <n v="4051510.95"/>
    <s v="CM ADV ADJ REF-424130952751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3"/>
    <d v="2020-05-20T00:00:00"/>
    <d v="2020-05-20T00:00:00"/>
    <s v="DZ"/>
    <s v="USD"/>
    <n v="32717"/>
    <n v="32717"/>
    <s v="BDT"/>
    <s v="EGM1"/>
    <n v="2746592.15"/>
    <s v="CM ADV ADJ REF-424130951976"/>
    <s v="0000001010"/>
    <s v="E05651US20-0380"/>
    <s v=""/>
    <s v=""/>
    <s v="0"/>
    <s v="424130956070"/>
    <s v=""/>
    <s v=""/>
    <s v=""/>
    <s v=""/>
    <s v=""/>
    <x v="0"/>
    <m/>
    <s v=""/>
    <d v="2020-05-20T00:00:00"/>
    <s v=""/>
    <s v="1909000603"/>
  </r>
  <r>
    <s v="1909000604"/>
    <d v="2020-05-27T00:00:00"/>
    <d v="2020-05-27T00:00:00"/>
    <s v="DZ"/>
    <s v="USD"/>
    <n v="-16975"/>
    <n v="-16975"/>
    <s v="BDT"/>
    <s v="EGM1"/>
    <n v="-1425051.25"/>
    <s v="CM ADV REC REF-424130956711"/>
    <s v="0000005010"/>
    <s v="IT06592005180057"/>
    <s v=""/>
    <s v=""/>
    <s v="0"/>
    <s v="424130956711"/>
    <s v=""/>
    <s v=""/>
    <s v=""/>
    <s v=""/>
    <s v=""/>
    <x v="0"/>
    <m/>
    <s v=""/>
    <d v="2020-05-27T00:00:00"/>
    <s v=""/>
    <s v="1909000604"/>
  </r>
  <r>
    <s v="1909000605"/>
    <d v="2020-05-31T00:00:00"/>
    <d v="2020-05-31T00:00:00"/>
    <s v="DZ"/>
    <s v="USD"/>
    <n v="79884.03"/>
    <n v="79884.03"/>
    <s v="BDT"/>
    <s v="EGM1"/>
    <n v="6706264.3200000003"/>
    <s v="FIT-CMAD-DWC-May-20"/>
    <s v="0000005010"/>
    <s v="FIT-CM-DWC-MAY20"/>
    <s v=""/>
    <s v=""/>
    <s v="0"/>
    <s v="FIT-CMAD-DWC-May-20"/>
    <s v=""/>
    <s v=""/>
    <s v=""/>
    <s v=""/>
    <s v=""/>
    <x v="0"/>
    <d v="2020-06-01T00:00:00"/>
    <s v="1903010967"/>
    <d v="2020-05-31T00:00:00"/>
    <s v=""/>
    <s v="1909000605"/>
  </r>
  <r>
    <s v="1909000607"/>
    <d v="2020-05-31T00:00:00"/>
    <d v="2020-05-31T00:00:00"/>
    <s v="DZ"/>
    <s v="USD"/>
    <n v="-736646"/>
    <n v="-736646"/>
    <s v="BDT"/>
    <s v="EGM1"/>
    <n v="-61841431.700000003"/>
    <s v="FIT-CM ADV EDL-May-20"/>
    <s v="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9000607"/>
  </r>
  <r>
    <s v="1909000607"/>
    <d v="2020-05-31T00:00:00"/>
    <d v="2020-05-31T00:00:00"/>
    <s v="DZ"/>
    <s v="USD"/>
    <n v="546437"/>
    <n v="546437"/>
    <s v="BDT"/>
    <s v="EGM1"/>
    <n v="45873386.149999999"/>
    <s v="FIT-CM ADV EDL-May-20"/>
    <s v="0000001010"/>
    <s v="FIT-CM-EDL-MAY20"/>
    <s v=""/>
    <s v=""/>
    <s v="0"/>
    <s v="FIT-CMADV-EDL-May-20"/>
    <s v=""/>
    <s v=""/>
    <s v=""/>
    <s v=""/>
    <s v=""/>
    <x v="0"/>
    <d v="2020-06-01T00:00:00"/>
    <s v="1903010964"/>
    <d v="2020-06-30T00:00:00"/>
    <s v=""/>
    <s v="1909000607"/>
  </r>
  <r>
    <s v="1909000608"/>
    <d v="2020-06-01T00:00:00"/>
    <d v="2020-06-01T00:00:00"/>
    <s v="DZ"/>
    <s v="USD"/>
    <n v="35047"/>
    <n v="35047"/>
    <s v="BDT"/>
    <s v="EGM1"/>
    <n v="2942195.65"/>
    <s v="CM ADVANCE ADJUSTED-424130939009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8"/>
    <d v="2020-06-01T00:00:00"/>
    <d v="2020-06-01T00:00:00"/>
    <s v="DZ"/>
    <s v="USD"/>
    <n v="25181"/>
    <n v="25181"/>
    <s v="BDT"/>
    <s v="EGM1"/>
    <n v="2113944.9500000002"/>
    <s v="CM ADVANCE ADJUSTED-424130939018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8"/>
    <d v="2020-06-01T00:00:00"/>
    <d v="2020-06-01T00:00:00"/>
    <s v="DZ"/>
    <s v="USD"/>
    <n v="59848"/>
    <n v="59848"/>
    <s v="BDT"/>
    <s v="EGM1"/>
    <n v="5024239.5999999996"/>
    <s v="CM ADVANCE ADJUSTED-424130955552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8"/>
    <d v="2020-06-01T00:00:00"/>
    <d v="2020-06-01T00:00:00"/>
    <s v="DZ"/>
    <s v="USD"/>
    <n v="22438"/>
    <n v="22438"/>
    <s v="BDT"/>
    <s v="EGM1"/>
    <n v="1883670.1"/>
    <s v="CM ADVANCE ADJUSTED-424130951976"/>
    <s v="0000001010"/>
    <s v="E05648US200386"/>
    <s v=""/>
    <s v=""/>
    <s v="0"/>
    <s v="424130957033"/>
    <s v=""/>
    <s v=""/>
    <s v=""/>
    <s v=""/>
    <s v=""/>
    <x v="0"/>
    <m/>
    <s v=""/>
    <d v="2020-06-01T00:00:00"/>
    <s v=""/>
    <s v="1909000608"/>
  </r>
  <r>
    <s v="1909000609"/>
    <d v="2020-06-01T00:00:00"/>
    <d v="2020-06-01T00:00:00"/>
    <s v="DZ"/>
    <s v="USD"/>
    <n v="1883"/>
    <n v="1883"/>
    <s v="BDT"/>
    <s v="EGM1"/>
    <n v="158077.85"/>
    <s v="CM ADVANCE ADJUSTED-424130923837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3330"/>
    <n v="3330"/>
    <s v="BDT"/>
    <s v="EGM1"/>
    <n v="279553.5"/>
    <s v="CM ADVANCE ADJUSTED-424130923828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123471"/>
    <n v="123471"/>
    <s v="BDT"/>
    <s v="EGM1"/>
    <n v="10365390.449999999"/>
    <s v="CM ADVANCE ADJUSTED-424130939009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123089"/>
    <n v="123089"/>
    <s v="BDT"/>
    <s v="EGM1"/>
    <n v="10333321.550000001"/>
    <s v="CM ADVANCE ADJUSTED-424130955552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15083"/>
    <n v="15083"/>
    <s v="BDT"/>
    <s v="EGM1"/>
    <n v="1266217.8500000001"/>
    <s v="CM ADVANCE ADJUSTED-424130952751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09"/>
    <d v="2020-06-01T00:00:00"/>
    <d v="2020-06-01T00:00:00"/>
    <s v="DZ"/>
    <s v="USD"/>
    <n v="31455"/>
    <n v="31455"/>
    <s v="BDT"/>
    <s v="EGM1"/>
    <n v="2640647.25"/>
    <s v="CM ADVANCE ADJUSTED-424130951976"/>
    <s v="0000001010"/>
    <s v="E5495SB20UK0372"/>
    <s v=""/>
    <s v=""/>
    <s v="0"/>
    <s v="424130957051"/>
    <s v=""/>
    <s v=""/>
    <s v=""/>
    <s v=""/>
    <s v=""/>
    <x v="0"/>
    <m/>
    <s v=""/>
    <d v="2020-06-01T00:00:00"/>
    <s v=""/>
    <s v="1909000609"/>
  </r>
  <r>
    <s v="1909000610"/>
    <d v="2020-06-01T00:00:00"/>
    <d v="2020-06-01T00:00:00"/>
    <s v="DZ"/>
    <s v="USD"/>
    <n v="9980"/>
    <n v="9980"/>
    <s v="BDT"/>
    <s v="EGM1"/>
    <n v="837821"/>
    <s v="CM ADVANCE ADJ- 424130923828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0"/>
    <d v="2020-06-01T00:00:00"/>
    <d v="2020-06-01T00:00:00"/>
    <s v="DZ"/>
    <s v="USD"/>
    <n v="48641"/>
    <n v="48641"/>
    <s v="BDT"/>
    <s v="EGM1"/>
    <n v="4083411.95"/>
    <s v="CM ADVANCE ADJ- 424130939009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0"/>
    <d v="2020-06-01T00:00:00"/>
    <d v="2020-06-01T00:00:00"/>
    <s v="DZ"/>
    <s v="USD"/>
    <n v="10086"/>
    <n v="10086"/>
    <s v="BDT"/>
    <s v="EGM1"/>
    <n v="846719.7"/>
    <s v="CM ADVANCE ADJ- 424130939018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0"/>
    <d v="2020-06-01T00:00:00"/>
    <d v="2020-06-01T00:00:00"/>
    <s v="DZ"/>
    <s v="USD"/>
    <n v="36906"/>
    <n v="36906"/>
    <s v="BDT"/>
    <s v="EGM1"/>
    <n v="3098258.7"/>
    <s v="CM ADVANCE ADJ- 424130952751"/>
    <s v="0000001010"/>
    <s v="E5494SB20UK0406"/>
    <s v=""/>
    <s v=""/>
    <s v="0"/>
    <s v="424130957042"/>
    <s v=""/>
    <s v=""/>
    <s v=""/>
    <s v=""/>
    <s v=""/>
    <x v="0"/>
    <m/>
    <s v=""/>
    <d v="2020-06-01T00:00:00"/>
    <s v=""/>
    <s v="1909000610"/>
  </r>
  <r>
    <s v="1909000611"/>
    <d v="2020-06-01T00:00:00"/>
    <d v="2020-06-01T00:00:00"/>
    <s v="DZ"/>
    <s v="USD"/>
    <n v="953"/>
    <n v="953"/>
    <s v="BDT"/>
    <s v="EGM1"/>
    <n v="80004.350000000006"/>
    <s v="CM ADVANCE ADJ- 424130932079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6167.35"/>
    <n v="6167.35"/>
    <s v="BDT"/>
    <s v="EGM1"/>
    <n v="517749.03"/>
    <s v="CM ADVANCE ADJ- 424130925158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8236"/>
    <n v="8236"/>
    <s v="BDT"/>
    <s v="EGM1"/>
    <n v="691412.2"/>
    <s v="CM ADVANCE ADJ- 424130952289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216"/>
    <n v="216"/>
    <s v="BDT"/>
    <s v="EGM1"/>
    <n v="18133.2"/>
    <s v="CM ADVANCE ADJ- 424130939991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259"/>
    <n v="259"/>
    <s v="BDT"/>
    <s v="EGM1"/>
    <n v="21743.05"/>
    <s v="CM ADVANCE ADJ- 424130947857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8437"/>
    <n v="8437"/>
    <s v="BDT"/>
    <s v="EGM1"/>
    <n v="708286.15"/>
    <s v="CM ADVANCE ADJ- 424130953055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1"/>
    <d v="2020-06-01T00:00:00"/>
    <d v="2020-06-01T00:00:00"/>
    <s v="DZ"/>
    <s v="USD"/>
    <n v="4772.3500000000004"/>
    <n v="4772.3500000000004"/>
    <s v="BDT"/>
    <s v="EGM1"/>
    <n v="400638.78"/>
    <s v="CM ADVANCE ADJ- 424130956711"/>
    <s v="0000005010"/>
    <s v="E55383AC20JF0351"/>
    <s v=""/>
    <s v=""/>
    <s v="0"/>
    <s v="424130957569"/>
    <s v=""/>
    <s v=""/>
    <s v=""/>
    <s v=""/>
    <s v=""/>
    <x v="0"/>
    <m/>
    <s v=""/>
    <d v="2020-06-01T00:00:00"/>
    <s v=""/>
    <s v="1909000611"/>
  </r>
  <r>
    <s v="1909000612"/>
    <d v="2020-06-01T00:00:00"/>
    <d v="2020-06-01T00:00:00"/>
    <s v="DZ"/>
    <s v="USD"/>
    <n v="5422"/>
    <n v="5422"/>
    <s v="BDT"/>
    <s v="EGM1"/>
    <n v="455176.9"/>
    <s v="CM ADVANCE ADJ- 424130947857"/>
    <s v="0000005010"/>
    <s v="E5339TS20UK0374"/>
    <s v=""/>
    <s v=""/>
    <s v="0"/>
    <s v="424130957060"/>
    <s v=""/>
    <s v=""/>
    <s v=""/>
    <s v=""/>
    <s v=""/>
    <x v="0"/>
    <m/>
    <s v=""/>
    <d v="2020-06-01T00:00:00"/>
    <s v=""/>
    <s v="1909000612"/>
  </r>
  <r>
    <s v="1909000613"/>
    <d v="2020-06-01T00:00:00"/>
    <d v="2020-06-01T00:00:00"/>
    <s v="DZ"/>
    <s v="USD"/>
    <n v="-736619.2"/>
    <n v="-736619.2"/>
    <s v="BDT"/>
    <s v="EGM1"/>
    <n v="-61839181.840000004"/>
    <s v="CM ADVANCE REC- 424130959184"/>
    <s v="0000001010"/>
    <s v="EG5-05768"/>
    <s v=""/>
    <s v=""/>
    <s v="0"/>
    <s v="424130959184"/>
    <s v=""/>
    <s v=""/>
    <s v=""/>
    <s v=""/>
    <s v=""/>
    <x v="0"/>
    <m/>
    <s v=""/>
    <d v="2020-06-01T00:00:00"/>
    <s v=""/>
    <s v="1909000613"/>
  </r>
  <r>
    <s v="1909000614"/>
    <d v="2020-06-02T00:00:00"/>
    <d v="2020-06-02T00:00:00"/>
    <s v="DZ"/>
    <s v="USD"/>
    <n v="-58621.760000000002"/>
    <n v="-58621.760000000002"/>
    <s v="BDT"/>
    <s v="EGM1"/>
    <n v="-4921296.76"/>
    <s v="CM ADVANCE REC- 424130959718"/>
    <s v="0000005010"/>
    <s v="EG3-05609"/>
    <s v=""/>
    <s v=""/>
    <s v="0"/>
    <s v="424130959718"/>
    <s v=""/>
    <s v=""/>
    <s v=""/>
    <s v=""/>
    <s v=""/>
    <x v="0"/>
    <m/>
    <s v=""/>
    <d v="2020-06-02T00:00:00"/>
    <s v=""/>
    <s v="1909000614"/>
  </r>
  <r>
    <s v="1909000615"/>
    <d v="2020-06-07T00:00:00"/>
    <d v="2020-06-07T00:00:00"/>
    <s v="DZ"/>
    <s v="USD"/>
    <n v="13203"/>
    <n v="13203"/>
    <s v="BDT"/>
    <s v="EGM1"/>
    <n v="1108391.8500000001"/>
    <s v="CM ADVANCE ADJ- 424130959184"/>
    <s v="0000001010"/>
    <s v="E05706US20-0425"/>
    <s v=""/>
    <s v=""/>
    <s v="0"/>
    <s v="424130960573"/>
    <s v=""/>
    <s v=""/>
    <s v=""/>
    <s v=""/>
    <s v=""/>
    <x v="0"/>
    <m/>
    <s v=""/>
    <d v="2020-06-07T00:00:00"/>
    <s v=""/>
    <s v="1909000615"/>
  </r>
  <r>
    <s v="1909000615"/>
    <d v="2020-06-07T00:00:00"/>
    <d v="2020-06-07T00:00:00"/>
    <s v="DZ"/>
    <s v="USD"/>
    <n v="3676"/>
    <n v="3676"/>
    <s v="BDT"/>
    <s v="EGM1"/>
    <n v="308600.2"/>
    <s v="CM ADVANCE ADJ- 424130945902"/>
    <s v="0000001010"/>
    <s v="E05706US20-0425"/>
    <s v=""/>
    <s v=""/>
    <s v="0"/>
    <s v="424130960573"/>
    <s v=""/>
    <s v=""/>
    <s v=""/>
    <s v=""/>
    <s v=""/>
    <x v="0"/>
    <m/>
    <s v=""/>
    <d v="2020-06-07T00:00:00"/>
    <s v=""/>
    <s v="1909000615"/>
  </r>
  <r>
    <s v="1909000616"/>
    <d v="2020-06-08T00:00:00"/>
    <d v="2020-06-08T00:00:00"/>
    <s v="DZ"/>
    <s v="USD"/>
    <n v="11176"/>
    <n v="11176"/>
    <s v="BDT"/>
    <s v="EGM1"/>
    <n v="938225.2"/>
    <s v="CM ADVANCE ADJ- 424130923837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28016"/>
    <n v="28016"/>
    <s v="BDT"/>
    <s v="EGM1"/>
    <n v="2351943.2000000002"/>
    <s v="CM ADVANCE ADJ- 424130923828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39843"/>
    <n v="39843"/>
    <s v="BDT"/>
    <s v="EGM1"/>
    <n v="3344819.85"/>
    <s v="CM ADVANCE ADJ- 424130939009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37980"/>
    <n v="37980"/>
    <s v="BDT"/>
    <s v="EGM1"/>
    <n v="3188421"/>
    <s v="CM ADVANCE ADJ- 424130959184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75370"/>
    <n v="75370"/>
    <s v="BDT"/>
    <s v="EGM1"/>
    <n v="6327311.5"/>
    <s v="CM ADVANCE ADJ- 424130939018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3362"/>
    <n v="3362"/>
    <s v="BDT"/>
    <s v="EGM1"/>
    <n v="282239.90000000002"/>
    <s v="CM ADVANCE ADJ- 424130955552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9520"/>
    <n v="9520"/>
    <s v="BDT"/>
    <s v="EGM1"/>
    <n v="799204"/>
    <s v="CM ADVANCE ADJ- 424130952751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6"/>
    <d v="2020-06-08T00:00:00"/>
    <d v="2020-06-08T00:00:00"/>
    <s v="DZ"/>
    <s v="USD"/>
    <n v="8858"/>
    <n v="8858"/>
    <s v="BDT"/>
    <s v="EGM1"/>
    <n v="743629.1"/>
    <s v="CM ADVANCE ADJ- 424130945902"/>
    <s v="0000001010"/>
    <s v="E05649US20-0408"/>
    <s v=""/>
    <s v=""/>
    <s v="0"/>
    <s v="424130960895"/>
    <s v=""/>
    <s v=""/>
    <s v=""/>
    <s v=""/>
    <s v=""/>
    <x v="0"/>
    <m/>
    <s v=""/>
    <d v="2020-06-08T00:00:00"/>
    <s v=""/>
    <s v="1909000616"/>
  </r>
  <r>
    <s v="1909000617"/>
    <d v="2020-06-08T00:00:00"/>
    <d v="2020-06-08T00:00:00"/>
    <s v="DZ"/>
    <s v="USD"/>
    <n v="16728"/>
    <n v="16728"/>
    <s v="BDT"/>
    <s v="EGM1"/>
    <n v="1404315.6"/>
    <s v="CM ADVANCE ADJ- 424130939009"/>
    <s v="0000001010"/>
    <s v="05751US20-0499"/>
    <s v=""/>
    <s v=""/>
    <s v="0"/>
    <s v="424130960902"/>
    <s v=""/>
    <s v=""/>
    <s v=""/>
    <s v=""/>
    <s v=""/>
    <x v="0"/>
    <m/>
    <s v=""/>
    <d v="2020-06-08T00:00:00"/>
    <s v=""/>
    <s v="1909000617"/>
  </r>
  <r>
    <s v="1909000617"/>
    <d v="2020-06-08T00:00:00"/>
    <d v="2020-06-08T00:00:00"/>
    <s v="DZ"/>
    <s v="USD"/>
    <n v="40506"/>
    <n v="40506"/>
    <s v="BDT"/>
    <s v="EGM1"/>
    <n v="3400478.7"/>
    <s v="CM ADVANCE ADJ- 424130959184"/>
    <s v="0000001010"/>
    <s v="05751US20-0499"/>
    <s v=""/>
    <s v=""/>
    <s v="0"/>
    <s v="424130960902"/>
    <s v=""/>
    <s v=""/>
    <s v=""/>
    <s v=""/>
    <s v=""/>
    <x v="0"/>
    <m/>
    <s v=""/>
    <d v="2020-06-08T00:00:00"/>
    <s v=""/>
    <s v="1909000617"/>
  </r>
  <r>
    <s v="1909000617"/>
    <d v="2020-06-08T00:00:00"/>
    <d v="2020-06-08T00:00:00"/>
    <s v="DZ"/>
    <s v="USD"/>
    <n v="25099"/>
    <n v="25099"/>
    <s v="BDT"/>
    <s v="EGM1"/>
    <n v="2107061.0499999998"/>
    <s v="CM ADVANCE ADJ- 424130955552"/>
    <s v="0000001010"/>
    <s v="05751US20-0499"/>
    <s v=""/>
    <s v=""/>
    <s v="0"/>
    <s v="424130960902"/>
    <s v=""/>
    <s v=""/>
    <s v=""/>
    <s v=""/>
    <s v=""/>
    <x v="0"/>
    <m/>
    <s v=""/>
    <d v="2020-06-08T00:00:00"/>
    <s v=""/>
    <s v="1909000617"/>
  </r>
  <r>
    <s v="1909000618"/>
    <d v="2020-06-09T00:00:00"/>
    <d v="2020-06-09T00:00:00"/>
    <s v="DZ"/>
    <s v="USD"/>
    <n v="110.13"/>
    <n v="110.13"/>
    <s v="BDT"/>
    <s v="EGM1"/>
    <n v="9245.41"/>
    <s v="CM ADVANCE ADJ- 424130912340"/>
    <s v="0000005010"/>
    <s v="E55761AC20CK0346"/>
    <s v=""/>
    <s v=""/>
    <s v="0"/>
    <s v="424130962134"/>
    <s v=""/>
    <s v=""/>
    <s v=""/>
    <s v=""/>
    <s v=""/>
    <x v="0"/>
    <m/>
    <s v=""/>
    <d v="2020-06-09T00:00:00"/>
    <s v=""/>
    <s v="1909000618"/>
  </r>
  <r>
    <s v="1909000618"/>
    <d v="2020-06-09T00:00:00"/>
    <d v="2020-06-09T00:00:00"/>
    <s v="DZ"/>
    <s v="USD"/>
    <n v="1357.88"/>
    <n v="1357.88"/>
    <s v="BDT"/>
    <s v="EGM1"/>
    <n v="113994.03"/>
    <s v="CM ADVANCE ADJ- 424130932079"/>
    <s v="0000005010"/>
    <s v="E55761AC20CK0346"/>
    <s v=""/>
    <s v=""/>
    <s v="0"/>
    <s v="424130962134"/>
    <s v=""/>
    <s v=""/>
    <s v=""/>
    <s v=""/>
    <s v=""/>
    <x v="0"/>
    <m/>
    <s v=""/>
    <d v="2020-06-09T00:00:00"/>
    <s v=""/>
    <s v="1909000618"/>
  </r>
  <r>
    <s v="1909000618"/>
    <d v="2020-06-09T00:00:00"/>
    <d v="2020-06-09T00:00:00"/>
    <s v="DZ"/>
    <s v="USD"/>
    <n v="3634.33"/>
    <n v="3634.33"/>
    <s v="BDT"/>
    <s v="EGM1"/>
    <n v="305102"/>
    <s v="CM ADVANCE ADJ- 424130956711"/>
    <s v="0000005010"/>
    <s v="E55761AC20CK0346"/>
    <s v=""/>
    <s v=""/>
    <s v="0"/>
    <s v="424130962134"/>
    <s v=""/>
    <s v=""/>
    <s v=""/>
    <s v=""/>
    <s v=""/>
    <x v="0"/>
    <m/>
    <s v=""/>
    <d v="2020-06-09T00:00:00"/>
    <s v=""/>
    <s v="1909000618"/>
  </r>
  <r>
    <s v="1909000619"/>
    <d v="2020-06-09T00:00:00"/>
    <d v="2020-06-09T00:00:00"/>
    <s v="DZ"/>
    <s v="USD"/>
    <n v="13999.09"/>
    <n v="13999.09"/>
    <s v="BDT"/>
    <s v="EGM1"/>
    <n v="1175223.6100000001"/>
    <s v="CM ADVANCE ADJ- 424130952289"/>
    <s v="0000005010"/>
    <s v="E5544AMZ20JP0354"/>
    <s v=""/>
    <s v=""/>
    <s v="0"/>
    <s v="424130962143"/>
    <s v=""/>
    <s v=""/>
    <s v=""/>
    <s v=""/>
    <s v=""/>
    <x v="0"/>
    <m/>
    <s v=""/>
    <d v="2020-06-09T00:00:00"/>
    <s v=""/>
    <s v="1909000619"/>
  </r>
  <r>
    <s v="1909000620"/>
    <d v="2020-06-02T00:00:00"/>
    <d v="2020-06-02T00:00:00"/>
    <s v="DZ"/>
    <s v="USD"/>
    <n v="8150.44"/>
    <n v="8150.44"/>
    <s v="BDT"/>
    <s v="EGM2"/>
    <n v="684229.44"/>
    <s v=""/>
    <s v="0000005010"/>
    <s v="424130957587"/>
    <s v=""/>
    <s v=""/>
    <s v="0"/>
    <s v="E25580VF20US0203"/>
    <s v=""/>
    <s v=""/>
    <s v=""/>
    <s v=""/>
    <s v=""/>
    <x v="0"/>
    <m/>
    <s v=""/>
    <d v="2020-06-02T00:00:00"/>
    <s v=""/>
    <s v="1909000620"/>
  </r>
  <r>
    <s v="1909000621"/>
    <d v="2020-06-02T00:00:00"/>
    <d v="2020-06-02T00:00:00"/>
    <s v="DZ"/>
    <s v="USD"/>
    <n v="-107540.29"/>
    <n v="-107540.29"/>
    <s v="BDT"/>
    <s v="EGM2"/>
    <n v="-9028007.3499999996"/>
    <s v="Amount received from EPIC Gamt DWC(25666VF20US0214"/>
    <s v="0000005010"/>
    <s v="424130959727"/>
    <s v=""/>
    <s v=""/>
    <s v="0"/>
    <s v="E25666VF20US0214"/>
    <s v=""/>
    <s v=""/>
    <s v=""/>
    <s v=""/>
    <s v="2020110001"/>
    <x v="0"/>
    <d v="2020-06-02T00:00:00"/>
    <s v="1903010816"/>
    <d v="2020-06-02T00:00:00"/>
    <s v=""/>
    <s v="1909000621"/>
  </r>
  <r>
    <s v="1909000622"/>
    <d v="2020-06-11T00:00:00"/>
    <d v="2020-06-11T00:00:00"/>
    <s v="DZ"/>
    <s v="USD"/>
    <n v="1842.24"/>
    <n v="1842.24"/>
    <s v="BDT"/>
    <s v="EGM2"/>
    <n v="154656.04999999999"/>
    <s v=""/>
    <s v="0000005010"/>
    <s v="424130962937"/>
    <s v=""/>
    <s v=""/>
    <s v="0"/>
    <s v="E25607AC20CK0204"/>
    <s v=""/>
    <s v=""/>
    <s v=""/>
    <s v=""/>
    <s v=""/>
    <x v="0"/>
    <m/>
    <s v=""/>
    <d v="2020-06-11T00:00:00"/>
    <s v=""/>
    <s v="1909000622"/>
  </r>
  <r>
    <s v="1909000622"/>
    <d v="2020-06-11T00:00:00"/>
    <d v="2020-06-11T00:00:00"/>
    <s v="DZ"/>
    <s v="USD"/>
    <n v="31569.5"/>
    <n v="31569.5"/>
    <s v="BDT"/>
    <s v="EGM2"/>
    <n v="2650259.5299999998"/>
    <s v=""/>
    <s v="0000005010"/>
    <s v="424130962937"/>
    <s v=""/>
    <s v=""/>
    <s v="0"/>
    <s v="E25607AC20CK0204"/>
    <s v=""/>
    <s v=""/>
    <s v=""/>
    <s v=""/>
    <s v=""/>
    <x v="0"/>
    <m/>
    <s v=""/>
    <d v="2020-06-11T00:00:00"/>
    <s v=""/>
    <s v="1909000622"/>
  </r>
  <r>
    <s v="1909000622"/>
    <d v="2020-06-11T00:00:00"/>
    <d v="2020-06-11T00:00:00"/>
    <s v="DZ"/>
    <s v="USD"/>
    <n v="14547.38"/>
    <n v="14547.38"/>
    <s v="BDT"/>
    <s v="EGM2"/>
    <n v="1221252.55"/>
    <s v=""/>
    <s v="0000005010"/>
    <s v="424130962937"/>
    <s v=""/>
    <s v=""/>
    <s v="0"/>
    <s v="E25607AC20CK0204"/>
    <s v=""/>
    <s v=""/>
    <s v=""/>
    <s v=""/>
    <s v="2020110001"/>
    <x v="0"/>
    <m/>
    <s v=""/>
    <d v="2020-06-11T00:00:00"/>
    <s v=""/>
    <s v="1909000622"/>
  </r>
  <r>
    <s v="1909000623"/>
    <d v="2020-06-11T00:00:00"/>
    <d v="2020-06-11T00:00:00"/>
    <s v="DZ"/>
    <s v="USD"/>
    <n v="67428.14"/>
    <n v="67428.14"/>
    <s v="BDT"/>
    <s v="EGM2"/>
    <n v="5660592.3600000003"/>
    <s v=""/>
    <s v="0000005010"/>
    <s v="424130962946"/>
    <s v=""/>
    <s v=""/>
    <s v="0"/>
    <s v="E25647VF20US0207"/>
    <s v=""/>
    <s v=""/>
    <s v=""/>
    <s v=""/>
    <s v=""/>
    <x v="0"/>
    <m/>
    <s v=""/>
    <d v="2020-06-11T00:00:00"/>
    <s v=""/>
    <s v="1909000623"/>
  </r>
  <r>
    <s v="1909000623"/>
    <d v="2020-06-11T00:00:00"/>
    <d v="2020-06-11T00:00:00"/>
    <s v="DZ"/>
    <s v="USD"/>
    <n v="21655.279999999999"/>
    <n v="21655.279999999999"/>
    <s v="BDT"/>
    <s v="EGM2"/>
    <n v="1817960.76"/>
    <s v=""/>
    <s v="0000005010"/>
    <s v="424130962946"/>
    <s v=""/>
    <s v=""/>
    <s v="0"/>
    <s v="E25647VF20US0207"/>
    <s v=""/>
    <s v=""/>
    <s v=""/>
    <s v=""/>
    <s v=""/>
    <x v="0"/>
    <m/>
    <s v=""/>
    <d v="2020-06-11T00:00:00"/>
    <s v=""/>
    <s v="1909000623"/>
  </r>
  <r>
    <s v="1909000623"/>
    <d v="2020-06-11T00:00:00"/>
    <d v="2020-06-11T00:00:00"/>
    <s v="DZ"/>
    <s v="USD"/>
    <n v="19899.21"/>
    <n v="19899.21"/>
    <s v="BDT"/>
    <s v="EGM2"/>
    <n v="1670538.68"/>
    <s v=""/>
    <s v="0000005010"/>
    <s v="424130962946"/>
    <s v=""/>
    <s v=""/>
    <s v="0"/>
    <s v="E25647VF20US0207"/>
    <s v=""/>
    <s v=""/>
    <s v=""/>
    <s v=""/>
    <s v=""/>
    <x v="0"/>
    <m/>
    <s v=""/>
    <d v="2020-06-11T00:00:00"/>
    <s v=""/>
    <s v="1909000623"/>
  </r>
  <r>
    <s v="1909000623"/>
    <d v="2020-06-11T00:00:00"/>
    <d v="2020-06-11T00:00:00"/>
    <s v="DZ"/>
    <s v="USD"/>
    <n v="24274.880000000001"/>
    <n v="24274.880000000001"/>
    <s v="BDT"/>
    <s v="EGM2"/>
    <n v="2037876.18"/>
    <s v=""/>
    <s v="0000005010"/>
    <s v="424130962946"/>
    <s v=""/>
    <s v=""/>
    <s v="0"/>
    <s v="E25647VF20US0207"/>
    <s v=""/>
    <s v=""/>
    <s v=""/>
    <s v=""/>
    <s v="2020110001"/>
    <x v="0"/>
    <m/>
    <s v=""/>
    <d v="2020-06-11T00:00:00"/>
    <s v=""/>
    <s v="1909000623"/>
  </r>
  <r>
    <s v="1909000624"/>
    <d v="2020-06-16T00:00:00"/>
    <d v="2020-06-16T00:00:00"/>
    <s v="DZ"/>
    <s v="USD"/>
    <n v="40907.42"/>
    <n v="40907.42"/>
    <s v="BDT"/>
    <s v="EGM2"/>
    <n v="3434177.91"/>
    <s v=""/>
    <s v="0000005010"/>
    <s v="424130964409"/>
    <s v=""/>
    <s v=""/>
    <s v="0"/>
    <s v="E25654VF20US0211"/>
    <s v=""/>
    <s v=""/>
    <s v=""/>
    <s v=""/>
    <s v=""/>
    <x v="0"/>
    <m/>
    <s v=""/>
    <d v="2020-06-16T00:00:00"/>
    <s v=""/>
    <s v="1909000624"/>
  </r>
  <r>
    <s v="1909000624"/>
    <d v="2020-06-16T00:00:00"/>
    <d v="2020-06-16T00:00:00"/>
    <s v="DZ"/>
    <s v="USD"/>
    <n v="1947.94"/>
    <n v="1947.94"/>
    <s v="BDT"/>
    <s v="EGM2"/>
    <n v="163529.56"/>
    <s v=""/>
    <s v="0000005010"/>
    <s v="424130964409"/>
    <s v=""/>
    <s v=""/>
    <s v="0"/>
    <s v="E25654VF20US0211"/>
    <s v=""/>
    <s v=""/>
    <s v=""/>
    <s v=""/>
    <s v=""/>
    <x v="0"/>
    <m/>
    <s v=""/>
    <d v="2020-06-16T00:00:00"/>
    <s v=""/>
    <s v="1909000624"/>
  </r>
  <r>
    <s v="1909000624"/>
    <d v="2020-06-16T00:00:00"/>
    <d v="2020-06-16T00:00:00"/>
    <s v="DZ"/>
    <s v="USD"/>
    <n v="5700.61"/>
    <n v="5700.61"/>
    <s v="BDT"/>
    <s v="EGM2"/>
    <n v="478566.21"/>
    <s v=""/>
    <s v="0000005010"/>
    <s v="424130964409"/>
    <s v=""/>
    <s v=""/>
    <s v="0"/>
    <s v="E25654VF20US0211"/>
    <s v=""/>
    <s v=""/>
    <s v=""/>
    <s v=""/>
    <s v=""/>
    <x v="0"/>
    <m/>
    <s v=""/>
    <d v="2020-06-16T00:00:00"/>
    <s v=""/>
    <s v="1909000624"/>
  </r>
  <r>
    <s v="1909000625"/>
    <d v="2020-06-10T00:00:00"/>
    <d v="2020-06-10T00:00:00"/>
    <s v="DZ"/>
    <s v="USD"/>
    <n v="1887"/>
    <n v="1887"/>
    <s v="BDT"/>
    <s v="EGM1"/>
    <n v="158413.65"/>
    <s v="CM ADVANCE ADJ- 424130923828"/>
    <s v="0000001010"/>
    <s v="E5516SB20UK0455"/>
    <s v=""/>
    <s v=""/>
    <s v="0"/>
    <s v="424130962660"/>
    <s v=""/>
    <s v=""/>
    <s v=""/>
    <s v=""/>
    <s v=""/>
    <x v="0"/>
    <m/>
    <s v=""/>
    <d v="2020-06-10T00:00:00"/>
    <s v=""/>
    <s v="1909000625"/>
  </r>
  <r>
    <s v="1909000626"/>
    <d v="2020-06-16T00:00:00"/>
    <d v="2020-06-16T00:00:00"/>
    <s v="DZ"/>
    <s v="USD"/>
    <n v="12028"/>
    <n v="12028"/>
    <s v="BDT"/>
    <s v="EGM1"/>
    <n v="1009750.6"/>
    <s v="CM ADVANCE ADJ- 424130959184"/>
    <s v="0000001010"/>
    <s v="E05701US20-0432"/>
    <s v=""/>
    <s v=""/>
    <s v="0"/>
    <s v="424130963302"/>
    <s v=""/>
    <s v=""/>
    <s v=""/>
    <s v=""/>
    <s v=""/>
    <x v="0"/>
    <m/>
    <s v=""/>
    <d v="2020-06-16T00:00:00"/>
    <s v=""/>
    <s v="1909000626"/>
  </r>
  <r>
    <s v="1909000627"/>
    <d v="2020-06-16T00:00:00"/>
    <d v="2020-06-16T00:00:00"/>
    <s v="DZ"/>
    <s v="USD"/>
    <n v="-8123.04"/>
    <n v="-8123.04"/>
    <s v="BDT"/>
    <s v="EGM1"/>
    <n v="-681929.21"/>
    <s v="CM ADVANCE REC- 424130964864"/>
    <s v="0000005010"/>
    <s v="EG5-05609"/>
    <s v=""/>
    <s v=""/>
    <s v="0"/>
    <s v="424130964864"/>
    <s v=""/>
    <s v=""/>
    <s v=""/>
    <s v=""/>
    <s v=""/>
    <x v="0"/>
    <m/>
    <s v=""/>
    <d v="2020-06-16T00:00:00"/>
    <s v=""/>
    <s v="1909000627"/>
  </r>
  <r>
    <s v="1909000629"/>
    <d v="2020-06-16T00:00:00"/>
    <d v="2020-06-16T00:00:00"/>
    <s v="DZ"/>
    <s v="USD"/>
    <n v="-520529"/>
    <n v="-520529"/>
    <s v="BDT"/>
    <s v="EGM1"/>
    <n v="-43698409.549999997"/>
    <s v="CM ADVANCE REC- 424130965257"/>
    <s v="0000001010"/>
    <s v="EG5-05688"/>
    <s v=""/>
    <s v=""/>
    <s v="0"/>
    <s v="424130965257"/>
    <s v=""/>
    <s v=""/>
    <s v=""/>
    <s v=""/>
    <s v=""/>
    <x v="0"/>
    <m/>
    <s v=""/>
    <d v="2020-06-16T00:00:00"/>
    <s v=""/>
    <s v="1909000629"/>
  </r>
  <r>
    <s v="1909000630"/>
    <d v="2020-06-16T00:00:00"/>
    <d v="2020-06-16T00:00:00"/>
    <s v="DZ"/>
    <s v="USD"/>
    <n v="46930.46"/>
    <n v="46930.46"/>
    <s v="BDT"/>
    <s v="EGM1"/>
    <n v="3939812.12"/>
    <s v="CM ADVANCE ADJ- 424130952289"/>
    <s v="0000005010"/>
    <s v="E5545AMZ20US0352"/>
    <s v=""/>
    <s v=""/>
    <s v="0"/>
    <s v="424130965266"/>
    <s v=""/>
    <s v=""/>
    <s v=""/>
    <s v=""/>
    <s v=""/>
    <x v="0"/>
    <m/>
    <s v=""/>
    <d v="2020-06-16T00:00:00"/>
    <s v=""/>
    <s v="1909000630"/>
  </r>
  <r>
    <s v="1909000630"/>
    <d v="2020-06-16T00:00:00"/>
    <d v="2020-06-16T00:00:00"/>
    <s v="DZ"/>
    <s v="USD"/>
    <n v="1541.27"/>
    <n v="1541.27"/>
    <s v="BDT"/>
    <s v="EGM1"/>
    <n v="129389.62"/>
    <s v="CM ADVANCE ADJ- 424130953055"/>
    <s v="0000005010"/>
    <s v="E5545AMZ20US0352"/>
    <s v=""/>
    <s v=""/>
    <s v="0"/>
    <s v="424130965266"/>
    <s v=""/>
    <s v=""/>
    <s v=""/>
    <s v=""/>
    <s v=""/>
    <x v="0"/>
    <m/>
    <s v=""/>
    <d v="2020-06-16T00:00:00"/>
    <s v=""/>
    <s v="1909000630"/>
  </r>
  <r>
    <s v="1909000632"/>
    <d v="2020-06-21T00:00:00"/>
    <d v="2020-06-21T00:00:00"/>
    <s v="DZ"/>
    <s v="USD"/>
    <n v="16460"/>
    <n v="16460"/>
    <s v="BDT"/>
    <s v="EGM1"/>
    <n v="1381817"/>
    <s v="CM ADVANCE ADJ- 424130959184"/>
    <s v="0000001010"/>
    <s v="E05753US20-0510"/>
    <s v=""/>
    <s v=""/>
    <s v="0"/>
    <s v="424130966933"/>
    <s v=""/>
    <s v=""/>
    <s v=""/>
    <s v=""/>
    <s v=""/>
    <x v="0"/>
    <m/>
    <s v=""/>
    <d v="2020-06-21T00:00:00"/>
    <s v=""/>
    <s v="1909000632"/>
  </r>
  <r>
    <s v="1909000632"/>
    <d v="2020-06-21T00:00:00"/>
    <d v="2020-06-21T00:00:00"/>
    <s v="DZ"/>
    <s v="USD"/>
    <n v="19677"/>
    <n v="19677"/>
    <s v="BDT"/>
    <s v="EGM1"/>
    <n v="1651884.15"/>
    <s v="CM ADVANCE ADJ- 424130955552"/>
    <s v="0000001010"/>
    <s v="E05753US20-0510"/>
    <s v=""/>
    <s v=""/>
    <s v="0"/>
    <s v="424130966933"/>
    <s v=""/>
    <s v=""/>
    <s v=""/>
    <s v=""/>
    <s v=""/>
    <x v="0"/>
    <m/>
    <s v=""/>
    <d v="2020-06-21T00:00:00"/>
    <s v=""/>
    <s v="1909000632"/>
  </r>
  <r>
    <s v="1909000633"/>
    <d v="2020-06-21T00:00:00"/>
    <d v="2020-06-21T00:00:00"/>
    <s v="DZ"/>
    <s v="USD"/>
    <n v="5508"/>
    <n v="5508"/>
    <s v="BDT"/>
    <s v="EGM1"/>
    <n v="462396.6"/>
    <s v="CM ADVANCE ADJ- 424130887458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37193"/>
    <n v="37193"/>
    <s v="BDT"/>
    <s v="EGM1"/>
    <n v="3122352.35"/>
    <s v="CM ADVANCE ADJ- 424130923828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60659"/>
    <n v="60659"/>
    <s v="BDT"/>
    <s v="EGM1"/>
    <n v="5092323.05"/>
    <s v="CM ADVANCE ADJ- 424130939009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17644"/>
    <n v="17644"/>
    <s v="BDT"/>
    <s v="EGM1"/>
    <n v="1481213.8"/>
    <s v="CM ADVANCE ADJ- 424130902609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95981"/>
    <n v="95981"/>
    <s v="BDT"/>
    <s v="EGM1"/>
    <n v="8057604.9500000002"/>
    <s v="CM ADVANCE ADJ- 424130959184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15687"/>
    <n v="15687"/>
    <s v="BDT"/>
    <s v="EGM1"/>
    <n v="1316923.6499999999"/>
    <s v="CM ADVANCE ADJ- 424130955552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3"/>
    <d v="2020-06-21T00:00:00"/>
    <d v="2020-06-21T00:00:00"/>
    <s v="DZ"/>
    <s v="USD"/>
    <n v="1900"/>
    <n v="1900"/>
    <s v="BDT"/>
    <s v="EGM1"/>
    <n v="159505"/>
    <s v="CM ADVANCE ADJ- 424130951976"/>
    <s v="0000001010"/>
    <s v="E05657US20-0484"/>
    <s v=""/>
    <s v=""/>
    <s v="0"/>
    <s v="424130966924"/>
    <s v=""/>
    <s v=""/>
    <s v=""/>
    <s v=""/>
    <s v=""/>
    <x v="0"/>
    <m/>
    <s v=""/>
    <d v="2020-06-21T00:00:00"/>
    <s v=""/>
    <s v="1909000633"/>
  </r>
  <r>
    <s v="1909000634"/>
    <d v="2020-06-02T00:00:00"/>
    <d v="2020-06-02T00:00:00"/>
    <s v="DZ"/>
    <s v="USD"/>
    <n v="-107540.29"/>
    <n v="-107540.29"/>
    <s v="BDT"/>
    <s v="EGM2"/>
    <n v="-9028007.3499999996"/>
    <s v="CM Advance received from EPIC Design DWE"/>
    <s v="0000005010"/>
    <s v="424130959727"/>
    <s v=""/>
    <s v=""/>
    <s v="0"/>
    <s v="E25666VF20US0214"/>
    <s v=""/>
    <s v=""/>
    <s v=""/>
    <s v=""/>
    <s v="2020110001"/>
    <x v="0"/>
    <m/>
    <s v=""/>
    <d v="2020-06-02T00:00:00"/>
    <s v=""/>
    <s v="1909000634"/>
  </r>
  <r>
    <s v="1909000635"/>
    <d v="2020-06-22T00:00:00"/>
    <d v="2020-06-22T00:00:00"/>
    <s v="DZ"/>
    <s v="USD"/>
    <n v="16455"/>
    <n v="16455"/>
    <s v="BDT"/>
    <s v="EGM1"/>
    <n v="1381397.25"/>
    <s v="CM ADVANCE ADJ-424130923828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5"/>
    <d v="2020-06-22T00:00:00"/>
    <d v="2020-06-22T00:00:00"/>
    <s v="DZ"/>
    <s v="USD"/>
    <n v="3070"/>
    <n v="3070"/>
    <s v="BDT"/>
    <s v="EGM1"/>
    <n v="257726.5"/>
    <s v="CM ADVANCE ADJ-424130939009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5"/>
    <d v="2020-06-22T00:00:00"/>
    <d v="2020-06-22T00:00:00"/>
    <s v="DZ"/>
    <s v="USD"/>
    <n v="690"/>
    <n v="690"/>
    <s v="BDT"/>
    <s v="EGM1"/>
    <n v="57925.5"/>
    <s v="CM ADVANCE ADJ-424130959184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5"/>
    <d v="2020-06-22T00:00:00"/>
    <d v="2020-06-22T00:00:00"/>
    <s v="DZ"/>
    <s v="USD"/>
    <n v="39279"/>
    <n v="39279"/>
    <s v="BDT"/>
    <s v="EGM1"/>
    <n v="3297472.05"/>
    <s v="CM ADVANCE ADJ-424130965257"/>
    <s v="0000001010"/>
    <s v="E05693US20-0445"/>
    <s v=""/>
    <s v=""/>
    <s v="0"/>
    <s v="424130967095"/>
    <s v=""/>
    <s v=""/>
    <s v=""/>
    <s v=""/>
    <s v=""/>
    <x v="0"/>
    <m/>
    <s v=""/>
    <d v="2020-06-22T00:00:00"/>
    <s v=""/>
    <s v="1909000635"/>
  </r>
  <r>
    <s v="1909000636"/>
    <d v="2020-06-30T00:00:00"/>
    <d v="2020-06-30T00:00:00"/>
    <s v="DZ"/>
    <s v="USD"/>
    <n v="1351.08"/>
    <n v="1351.08"/>
    <s v="BDT"/>
    <s v="EGM1"/>
    <n v="113423.17"/>
    <s v="CM ADVANCE ADJ-424130932079"/>
    <s v="0000005010"/>
    <s v="E5339TS20UK0523"/>
    <s v=""/>
    <s v=""/>
    <s v="0"/>
    <s v="424130970517"/>
    <s v=""/>
    <s v=""/>
    <s v=""/>
    <s v=""/>
    <s v=""/>
    <x v="0"/>
    <m/>
    <s v=""/>
    <d v="2020-06-30T00:00:00"/>
    <s v=""/>
    <s v="1909000636"/>
  </r>
  <r>
    <s v="1909000636"/>
    <d v="2020-06-30T00:00:00"/>
    <d v="2020-06-30T00:00:00"/>
    <s v="DZ"/>
    <s v="USD"/>
    <n v="8567.8799999999992"/>
    <n v="8567.8799999999992"/>
    <s v="BDT"/>
    <s v="EGM1"/>
    <n v="719273.53"/>
    <s v="CM ADVANCE ADJ-424130956711"/>
    <s v="0000005010"/>
    <s v="E5339TS20UK0523"/>
    <s v=""/>
    <s v=""/>
    <s v="0"/>
    <s v="424130970517"/>
    <s v=""/>
    <s v=""/>
    <s v=""/>
    <s v=""/>
    <s v=""/>
    <x v="0"/>
    <m/>
    <s v=""/>
    <d v="2020-06-30T00:00:00"/>
    <s v=""/>
    <s v="1909000636"/>
  </r>
  <r>
    <s v="1909000637"/>
    <d v="2020-06-25T00:00:00"/>
    <d v="2020-06-25T00:00:00"/>
    <s v="DZ"/>
    <s v="USD"/>
    <n v="1846.66"/>
    <n v="1846.66"/>
    <s v="BDT"/>
    <s v="EGM1"/>
    <n v="155027.10999999999"/>
    <s v="CM ADVANCE ADJ-424130964864"/>
    <s v="0000005010"/>
    <s v="E35687TC20CA0420"/>
    <s v=""/>
    <s v=""/>
    <s v="0"/>
    <s v="424130969039"/>
    <s v=""/>
    <s v=""/>
    <s v=""/>
    <s v=""/>
    <s v=""/>
    <x v="0"/>
    <m/>
    <s v=""/>
    <d v="2020-06-25T00:00:00"/>
    <s v=""/>
    <s v="1909000637"/>
  </r>
  <r>
    <s v="1909000638"/>
    <d v="2020-06-25T00:00:00"/>
    <d v="2020-06-25T00:00:00"/>
    <s v="DZ"/>
    <s v="USD"/>
    <n v="8102"/>
    <n v="8102"/>
    <s v="BDT"/>
    <s v="EGM1"/>
    <n v="680162.9"/>
    <s v="CM ADVANCE ADJ-424130923828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8"/>
    <d v="2020-06-25T00:00:00"/>
    <d v="2020-06-25T00:00:00"/>
    <s v="DZ"/>
    <s v="USD"/>
    <n v="14319.2"/>
    <n v="14319.2"/>
    <s v="BDT"/>
    <s v="EGM1"/>
    <n v="1202096.8400000001"/>
    <s v="CM ADVANCE ADJ-424130939009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8"/>
    <d v="2020-06-25T00:00:00"/>
    <d v="2020-06-25T00:00:00"/>
    <s v="DZ"/>
    <s v="USD"/>
    <n v="8"/>
    <n v="8"/>
    <s v="BDT"/>
    <s v="EGM1"/>
    <n v="671.6"/>
    <s v="CM ADVANCE ADJ-424130959184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8"/>
    <d v="2020-06-25T00:00:00"/>
    <d v="2020-06-25T00:00:00"/>
    <s v="DZ"/>
    <s v="USD"/>
    <n v="4516"/>
    <n v="4516"/>
    <s v="BDT"/>
    <s v="EGM1"/>
    <n v="379118.2"/>
    <s v="CM ADVANCE ADJ-424130951976"/>
    <s v="0000001010"/>
    <s v="E5495SB20UK0453"/>
    <s v=""/>
    <s v=""/>
    <s v="0"/>
    <s v="424130968708"/>
    <s v=""/>
    <s v=""/>
    <s v=""/>
    <s v=""/>
    <s v=""/>
    <x v="0"/>
    <m/>
    <s v=""/>
    <d v="2020-06-25T00:00:00"/>
    <s v=""/>
    <s v="1909000638"/>
  </r>
  <r>
    <s v="1909000639"/>
    <d v="2020-06-25T00:00:00"/>
    <d v="2020-06-25T00:00:00"/>
    <s v="DZ"/>
    <s v="USD"/>
    <n v="19147"/>
    <n v="19147"/>
    <s v="BDT"/>
    <s v="EGM1"/>
    <n v="1607390.65"/>
    <s v="CM ADVANCE ADJ-424130959184"/>
    <s v="0000001010"/>
    <s v="E05755US20-0517"/>
    <s v=""/>
    <s v=""/>
    <s v="0"/>
    <s v="424130968717"/>
    <s v=""/>
    <s v=""/>
    <s v=""/>
    <s v=""/>
    <s v=""/>
    <x v="0"/>
    <m/>
    <s v=""/>
    <d v="2020-06-25T00:00:00"/>
    <s v=""/>
    <s v="1909000639"/>
  </r>
  <r>
    <s v="1909000639"/>
    <d v="2020-06-25T00:00:00"/>
    <d v="2020-06-25T00:00:00"/>
    <s v="DZ"/>
    <s v="USD"/>
    <n v="58314"/>
    <n v="58314"/>
    <s v="BDT"/>
    <s v="EGM1"/>
    <n v="4895460.3"/>
    <s v="CM ADVANCE ADJ-424130965257"/>
    <s v="0000001010"/>
    <s v="E05755US20-0517"/>
    <s v=""/>
    <s v=""/>
    <s v="0"/>
    <s v="424130968717"/>
    <s v=""/>
    <s v=""/>
    <s v=""/>
    <s v=""/>
    <s v=""/>
    <x v="0"/>
    <m/>
    <s v=""/>
    <d v="2020-06-25T00:00:00"/>
    <s v=""/>
    <s v="1909000639"/>
  </r>
  <r>
    <s v="1909000640"/>
    <d v="2020-06-25T00:00:00"/>
    <d v="2020-06-25T00:00:00"/>
    <s v="DZ"/>
    <s v="USD"/>
    <n v="19678"/>
    <n v="19678"/>
    <s v="BDT"/>
    <s v="EGM1"/>
    <n v="1651968.1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33399"/>
    <n v="33399"/>
    <s v="BDT"/>
    <s v="EGM1"/>
    <n v="2803846.05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60160"/>
    <n v="60160"/>
    <s v="BDT"/>
    <s v="EGM1"/>
    <n v="5050432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31464"/>
    <n v="31464"/>
    <s v="BDT"/>
    <s v="EGM1"/>
    <n v="2641402.7999999998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64626"/>
    <n v="64626"/>
    <s v="BDT"/>
    <s v="EGM1"/>
    <n v="5425352.7000000002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0"/>
    <d v="2020-06-25T00:00:00"/>
    <d v="2020-06-25T00:00:00"/>
    <s v="DZ"/>
    <s v="USD"/>
    <n v="7694"/>
    <n v="7694"/>
    <s v="BDT"/>
    <s v="EGM1"/>
    <n v="645911.30000000005"/>
    <s v=""/>
    <s v="0000001010"/>
    <s v="E05551US20-0565"/>
    <s v=""/>
    <s v=""/>
    <s v="0"/>
    <s v="424130969020"/>
    <s v=""/>
    <s v=""/>
    <s v=""/>
    <s v=""/>
    <s v=""/>
    <x v="0"/>
    <m/>
    <s v=""/>
    <d v="2020-06-25T00:00:00"/>
    <s v=""/>
    <s v="1909000640"/>
  </r>
  <r>
    <s v="1909000641"/>
    <d v="2020-06-01T00:00:00"/>
    <d v="2020-06-01T00:00:00"/>
    <s v="DZ"/>
    <s v="USD"/>
    <n v="7764.34"/>
    <n v="7764.34"/>
    <s v="BDT"/>
    <s v="EGM2"/>
    <n v="651816.34"/>
    <s v=""/>
    <s v="0000005010"/>
    <s v="424130957578"/>
    <s v=""/>
    <s v=""/>
    <s v="0"/>
    <s v="E25606AC20CK0197"/>
    <s v=""/>
    <s v=""/>
    <s v=""/>
    <s v=""/>
    <s v=""/>
    <x v="0"/>
    <m/>
    <s v=""/>
    <d v="2020-06-01T00:00:00"/>
    <s v=""/>
    <s v="1909000641"/>
  </r>
  <r>
    <s v="1909000641"/>
    <d v="2020-06-01T00:00:00"/>
    <d v="2020-06-01T00:00:00"/>
    <s v="DZ"/>
    <s v="USD"/>
    <n v="29482.9"/>
    <n v="29482.9"/>
    <s v="BDT"/>
    <s v="EGM2"/>
    <n v="2475089.46"/>
    <s v=""/>
    <s v="0000005010"/>
    <s v="424130957578"/>
    <s v=""/>
    <s v=""/>
    <s v="0"/>
    <s v="E25606AC20CK0197"/>
    <s v=""/>
    <s v=""/>
    <s v=""/>
    <s v=""/>
    <s v=""/>
    <x v="0"/>
    <m/>
    <s v=""/>
    <d v="2020-06-01T00:00:00"/>
    <s v=""/>
    <s v="1909000641"/>
  </r>
  <r>
    <s v="1909000642"/>
    <d v="2020-06-16T00:00:00"/>
    <d v="2020-06-16T00:00:00"/>
    <s v="DZ"/>
    <s v="USD"/>
    <n v="-164016.23000000001"/>
    <n v="-164016.23000000001"/>
    <s v="BDT"/>
    <s v="EGM2"/>
    <n v="-13769162.51"/>
    <s v="CM Advance received (424130964855)"/>
    <s v="0000005010"/>
    <s v="424130964855"/>
    <s v=""/>
    <s v=""/>
    <s v="0"/>
    <s v="E52-05608"/>
    <s v=""/>
    <s v=""/>
    <s v=""/>
    <s v=""/>
    <s v="2020110001"/>
    <x v="0"/>
    <m/>
    <s v=""/>
    <d v="2020-06-16T00:00:00"/>
    <s v=""/>
    <s v="1909000642"/>
  </r>
  <r>
    <s v="1909000643"/>
    <d v="2020-06-30T00:00:00"/>
    <d v="2020-06-30T00:00:00"/>
    <s v="DZ"/>
    <s v="USD"/>
    <n v="-438264"/>
    <n v="-438264"/>
    <s v="BDT"/>
    <s v="EGM1"/>
    <n v="-36792262.799999997"/>
    <s v="FIT-CM ADV-Jun-20"/>
    <s v="1010"/>
    <s v="FIT-CM-EDL-JUN20"/>
    <s v=""/>
    <s v=""/>
    <s v="0"/>
    <s v="FIT-CM-EDL-Jun20"/>
    <s v=""/>
    <s v=""/>
    <s v=""/>
    <s v=""/>
    <s v=""/>
    <x v="0"/>
    <m/>
    <s v=""/>
    <d v="2020-06-30T00:00:00"/>
    <s v=""/>
    <s v="1909000643"/>
  </r>
  <r>
    <s v="1909000643"/>
    <d v="2020-06-30T00:00:00"/>
    <d v="2020-06-30T00:00:00"/>
    <s v="DZ"/>
    <s v="USD"/>
    <n v="90026"/>
    <n v="90026"/>
    <s v="BDT"/>
    <s v="EGM1"/>
    <n v="7557682.7000000002"/>
    <s v="FIT-CM ADV-Jun-20"/>
    <s v="0000001010"/>
    <s v="FIT-CM-EDL-JUN20"/>
    <s v=""/>
    <s v=""/>
    <s v="0"/>
    <s v="FIT-CM-EDL-Jun20"/>
    <s v=""/>
    <s v=""/>
    <s v=""/>
    <s v=""/>
    <s v=""/>
    <x v="0"/>
    <m/>
    <s v=""/>
    <d v="2020-06-30T00:00:00"/>
    <s v=""/>
    <s v="1909000643"/>
  </r>
  <r>
    <s v="1909000645"/>
    <d v="2020-06-30T00:00:00"/>
    <d v="2020-06-30T00:00:00"/>
    <s v="DZ"/>
    <s v="USD"/>
    <n v="-16.579999999999998"/>
    <n v="-16.579999999999998"/>
    <s v="BDT"/>
    <s v="EGM1"/>
    <n v="-1391.89"/>
    <s v="CM ADV"/>
    <s v="0000005010"/>
    <s v="CM-ADVDWC-JUN20"/>
    <s v=""/>
    <s v=""/>
    <s v="0"/>
    <s v="CM-AdvDWC-Jun20"/>
    <s v=""/>
    <s v=""/>
    <s v=""/>
    <s v=""/>
    <s v=""/>
    <x v="0"/>
    <d v="2020-06-30T00:00:00"/>
    <s v="1903011114"/>
    <d v="2020-06-30T00:00:00"/>
    <s v=""/>
    <s v="1909000645"/>
  </r>
  <r>
    <s v="1909000646"/>
    <d v="2020-06-02T00:00:00"/>
    <d v="2020-06-02T00:00:00"/>
    <s v="DZ"/>
    <s v="USD"/>
    <n v="-16.579999999999998"/>
    <n v="-16.579999999999998"/>
    <s v="BDT"/>
    <s v="EGM3"/>
    <n v="-1391.89"/>
    <s v="CM ADV"/>
    <s v="0000005010"/>
    <s v="CM-ADVDWC-JUN20"/>
    <s v=""/>
    <s v=""/>
    <s v="0"/>
    <s v="CM-AdvDWC-Jun20"/>
    <s v=""/>
    <s v=""/>
    <s v=""/>
    <s v=""/>
    <s v=""/>
    <x v="0"/>
    <m/>
    <s v=""/>
    <d v="2020-06-02T00:00:00"/>
    <s v=""/>
    <s v="1909000646"/>
  </r>
  <r>
    <s v="1913003310"/>
    <d v="2020-03-24T00:00:00"/>
    <d v="2020-03-24T00:00:00"/>
    <s v="KZ"/>
    <s v="USD"/>
    <n v="9942.89"/>
    <n v="9942.89"/>
    <s v="BDT"/>
    <s v="EGM1"/>
    <n v="834705.62"/>
    <s v="CM ADJ -424130912340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1535.49"/>
    <n v="1535.49"/>
    <s v="BDT"/>
    <s v="EGM1"/>
    <n v="128904.39"/>
    <s v="CM ADJ -424130932079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5284.06"/>
    <n v="5284.06"/>
    <s v="BDT"/>
    <s v="EGM1"/>
    <n v="443596.84"/>
    <s v="CM ADJ -424130925158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900.46"/>
    <n v="900.46"/>
    <s v="BDT"/>
    <s v="EGM1"/>
    <n v="74918.27"/>
    <s v="CM ADJ -424130749198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  <r>
    <s v="1913003310"/>
    <d v="2020-03-24T00:00:00"/>
    <d v="2020-03-24T00:00:00"/>
    <s v="KZ"/>
    <s v="USD"/>
    <n v="770.16"/>
    <n v="770.16"/>
    <s v="BDT"/>
    <s v="EGM1"/>
    <n v="64654.93"/>
    <s v="CM ADJ -424130887467"/>
    <s v="0000005010"/>
    <s v="E55385AC20CK0250"/>
    <s v=""/>
    <s v=""/>
    <s v="0"/>
    <s v="424130950904"/>
    <s v=""/>
    <s v=""/>
    <s v=""/>
    <s v=""/>
    <s v=""/>
    <x v="0"/>
    <m/>
    <s v=""/>
    <d v="2020-03-24T00:00:00"/>
    <s v=""/>
    <s v="19130033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">
  <r>
    <m/>
    <m/>
    <m/>
    <m/>
    <m/>
    <m/>
    <n v="-3202415.08"/>
    <m/>
    <m/>
    <m/>
    <s v="Defered Liability Fo transfer to Inter. Com. Payable"/>
    <m/>
    <m/>
    <m/>
    <m/>
    <m/>
    <m/>
    <m/>
    <m/>
    <m/>
    <m/>
    <m/>
    <x v="0"/>
    <m/>
    <m/>
    <m/>
    <m/>
    <m/>
  </r>
  <r>
    <s v="1912009256"/>
    <d v="2020-01-01T00:00:00"/>
    <d v="2020-01-01T00:00:00"/>
    <s v="KR"/>
    <s v="USD"/>
    <n v="-6310.67"/>
    <n v="-6310.67"/>
    <s v="BDT"/>
    <s v="EGM2"/>
    <n v="-529780.75"/>
    <s v="Payable to CIPL for washing cost for Jan'19"/>
    <s v="0000002010"/>
    <s v="CIPL-EG2-0058-19"/>
    <s v=""/>
    <s v=""/>
    <s v="0"/>
    <s v="Embroidary Cost Jan'19"/>
    <s v=""/>
    <s v=""/>
    <s v=""/>
    <s v=""/>
    <s v=""/>
    <x v="1"/>
    <m/>
    <s v=""/>
    <d v="2020-01-01T00:00:00"/>
    <s v=""/>
    <s v="1912009256"/>
  </r>
  <r>
    <s v="1912014109"/>
    <d v="2020-06-25T00:00:00"/>
    <d v="2020-06-25T00:00:00"/>
    <s v="KR"/>
    <s v="USD"/>
    <n v="-1940.4"/>
    <n v="-1940.4"/>
    <s v="BDT"/>
    <s v="EGM4"/>
    <n v="-162896.57999999999"/>
    <s v="Purchase of 18000 PCS under EG4-05738"/>
    <s v="0000001020"/>
    <s v="GRN-2020-10045"/>
    <s v=""/>
    <s v=""/>
    <s v="0"/>
    <s v="2000127680"/>
    <s v=""/>
    <s v=""/>
    <s v=""/>
    <s v=""/>
    <s v=""/>
    <x v="1"/>
    <m/>
    <s v=""/>
    <d v="2020-06-25T00:00:00"/>
    <s v=""/>
    <s v="1912014109"/>
  </r>
  <r>
    <s v="1912014255"/>
    <d v="2020-06-30T00:00:00"/>
    <d v="2020-06-30T00:00:00"/>
    <s v="KR"/>
    <s v="USD"/>
    <n v="-4"/>
    <n v="-4"/>
    <s v="BDT"/>
    <s v="EGM2"/>
    <n v="-335.8"/>
    <s v="Purchase of 5000 PCS under EG2-05683"/>
    <s v="0000001020"/>
    <s v="GRN-2020-10578"/>
    <s v=""/>
    <s v=""/>
    <s v="0"/>
    <s v="AB/2331/19"/>
    <s v=""/>
    <s v="EG2-05683"/>
    <s v=""/>
    <s v="2000132160"/>
    <s v=""/>
    <x v="1"/>
    <m/>
    <s v=""/>
    <d v="2020-06-30T00:00:00"/>
    <s v=""/>
    <s v="1912014255"/>
  </r>
  <r>
    <s v="1912014256"/>
    <d v="2020-06-30T00:00:00"/>
    <d v="2020-06-30T00:00:00"/>
    <s v="KR"/>
    <s v="USD"/>
    <n v="-179.91"/>
    <n v="-179.91"/>
    <s v="BDT"/>
    <s v="EGM2"/>
    <n v="-15103.44"/>
    <s v="Purchase of 900 DZ under EG2-05707"/>
    <s v="0000001020"/>
    <s v="GRN-2020-10574"/>
    <s v=""/>
    <s v=""/>
    <s v="0"/>
    <s v="AB/2331/19"/>
    <s v=""/>
    <s v="EG2-05707"/>
    <s v=""/>
    <s v="2000132150"/>
    <s v=""/>
    <x v="1"/>
    <m/>
    <s v=""/>
    <d v="2020-06-30T00:00:00"/>
    <s v=""/>
    <s v="1912014256"/>
  </r>
  <r>
    <s v="1912014288"/>
    <d v="2020-06-28T00:00:00"/>
    <d v="2020-06-28T00:00:00"/>
    <s v="KR"/>
    <s v="USD"/>
    <n v="-491.14"/>
    <n v="-491.14"/>
    <s v="BDT"/>
    <s v="EGM2"/>
    <n v="-41231.199999999997"/>
    <s v="Purchase of 24805 PCS under EG2-05748"/>
    <s v="0000001020"/>
    <s v="GRN-2020-10300"/>
    <s v=""/>
    <s v=""/>
    <s v="0"/>
    <s v="AB/2321/19"/>
    <s v=""/>
    <s v="EG2-05748"/>
    <s v=""/>
    <s v="2000129090"/>
    <s v=""/>
    <x v="1"/>
    <m/>
    <s v=""/>
    <d v="2020-06-28T00:00:00"/>
    <s v=""/>
    <s v="1912014288"/>
  </r>
  <r>
    <s v="1912014289"/>
    <d v="2020-06-28T00:00:00"/>
    <d v="2020-06-28T00:00:00"/>
    <s v="KR"/>
    <s v="USD"/>
    <n v="-156.6"/>
    <n v="-156.6"/>
    <s v="BDT"/>
    <s v="EGM2"/>
    <n v="-13146.57"/>
    <s v="Purchase of 18000 PCS under EG2-05590"/>
    <s v="0000001020"/>
    <s v="GRN-2020-10299"/>
    <s v=""/>
    <s v=""/>
    <s v="0"/>
    <s v="AB/2321/19"/>
    <s v=""/>
    <s v="EG2-05590"/>
    <s v=""/>
    <s v="2000129080"/>
    <s v=""/>
    <x v="1"/>
    <m/>
    <s v=""/>
    <d v="2020-06-28T00:00:00"/>
    <s v=""/>
    <s v="1912014289"/>
  </r>
  <r>
    <s v="1912014918"/>
    <d v="2020-06-30T00:00:00"/>
    <d v="2020-06-30T00:00:00"/>
    <s v="KR"/>
    <s v="USD"/>
    <n v="-47602.61"/>
    <n v="-47602.61"/>
    <s v="BDT"/>
    <s v="EGM1"/>
    <n v="-3996239.11"/>
    <s v="ASL reconciliation with EGMCL the month of June20"/>
    <s v="0000001020"/>
    <s v="ASL RECON JUNE20"/>
    <s v=""/>
    <s v=""/>
    <s v="0"/>
    <s v="ASL RECON June20"/>
    <s v=""/>
    <s v=""/>
    <s v=""/>
    <s v=""/>
    <s v=""/>
    <x v="1"/>
    <m/>
    <s v=""/>
    <d v="2020-06-30T00:00:00"/>
    <s v=""/>
    <s v="1912014918"/>
  </r>
  <r>
    <s v="1912014329"/>
    <d v="2020-06-24T00:00:00"/>
    <d v="2020-06-24T00:00:00"/>
    <s v="KR"/>
    <s v="USD"/>
    <n v="-2094.31"/>
    <n v="-2094.31"/>
    <s v="BDT"/>
    <s v="EGM1"/>
    <n v="-175817.32"/>
    <s v="VM Ware  Support Renewal"/>
    <s v="0000001010"/>
    <s v="DN/414/19"/>
    <s v=""/>
    <s v=""/>
    <s v="0"/>
    <s v="DN/414/19"/>
    <s v=""/>
    <s v=""/>
    <s v=""/>
    <s v=""/>
    <s v=""/>
    <x v="2"/>
    <m/>
    <s v=""/>
    <d v="2020-06-24T00:00:00"/>
    <s v=""/>
    <s v="1912014329"/>
  </r>
  <r>
    <s v="1912014330"/>
    <d v="2020-06-24T00:00:00"/>
    <d v="2020-06-24T00:00:00"/>
    <s v="KR"/>
    <s v="USD"/>
    <n v="-2276.21"/>
    <n v="-2276.21"/>
    <s v="BDT"/>
    <s v="EGM1"/>
    <n v="-191087.83"/>
    <s v="WM Testing  Charge CTL"/>
    <s v="0000001010"/>
    <s v="DN/421/19"/>
    <s v=""/>
    <s v=""/>
    <s v="0"/>
    <s v="DN/421/19"/>
    <s v=""/>
    <s v=""/>
    <s v=""/>
    <s v=""/>
    <s v=""/>
    <x v="2"/>
    <m/>
    <s v=""/>
    <d v="2020-06-24T00:00:00"/>
    <s v=""/>
    <s v="1912014330"/>
  </r>
  <r>
    <s v="1912014332"/>
    <d v="2020-06-26T00:00:00"/>
    <d v="2020-06-26T00:00:00"/>
    <s v="KR"/>
    <s v="USD"/>
    <n v="-1513"/>
    <n v="-1513"/>
    <s v="BDT"/>
    <s v="EGM1"/>
    <n v="-127016.35"/>
    <s v="Kohls Cahrge back   Mar-20 - May-20"/>
    <s v="0000001010"/>
    <s v="DN/411/19"/>
    <s v=""/>
    <s v=""/>
    <s v="0"/>
    <s v="DN/411/19"/>
    <s v=""/>
    <s v=""/>
    <s v=""/>
    <s v=""/>
    <s v=""/>
    <x v="2"/>
    <m/>
    <s v=""/>
    <d v="2020-06-26T00:00:00"/>
    <s v=""/>
    <s v="1912014332"/>
  </r>
  <r>
    <s v="1912014333"/>
    <d v="2020-06-30T00:00:00"/>
    <d v="2020-06-30T00:00:00"/>
    <s v="KR"/>
    <s v="USD"/>
    <n v="-32"/>
    <n v="-32"/>
    <s v="BDT"/>
    <s v="EGM1"/>
    <n v="-2686.4"/>
    <s v="Walmart Claim INV 7000215966"/>
    <s v="0000001010"/>
    <s v="DN/433/19"/>
    <s v=""/>
    <s v=""/>
    <s v="0"/>
    <s v="DN/433/19"/>
    <s v=""/>
    <s v=""/>
    <s v=""/>
    <s v=""/>
    <s v=""/>
    <x v="2"/>
    <m/>
    <s v=""/>
    <d v="2020-06-30T00:00:00"/>
    <s v=""/>
    <s v="1912014333"/>
  </r>
  <r>
    <s v="1912014919"/>
    <d v="2020-06-11T00:00:00"/>
    <d v="2020-06-11T00:00:00"/>
    <s v="KR"/>
    <s v="USD"/>
    <n v="-14611.5"/>
    <n v="-14611.5"/>
    <s v="BDT"/>
    <s v="EGM1"/>
    <n v="-1226635.43"/>
    <s v="Manequin For WM"/>
    <s v="0000001010"/>
    <s v="DN/399/19"/>
    <s v=""/>
    <s v=""/>
    <s v="0"/>
    <s v="DN/399/19"/>
    <s v=""/>
    <s v=""/>
    <s v=""/>
    <s v=""/>
    <s v=""/>
    <x v="2"/>
    <m/>
    <s v=""/>
    <d v="2020-06-11T00:00:00"/>
    <s v=""/>
    <s v="1912014919"/>
  </r>
  <r>
    <s v="1912014920"/>
    <d v="2020-06-18T00:00:00"/>
    <d v="2020-06-18T00:00:00"/>
    <s v="KR"/>
    <s v="USD"/>
    <n v="-7376.71"/>
    <n v="-7376.71"/>
    <s v="BDT"/>
    <s v="EGM1"/>
    <n v="-619274.80000000005"/>
    <s v="Walmart Claim INV700046627"/>
    <s v="0000001010"/>
    <s v="DN/407/19"/>
    <s v=""/>
    <s v=""/>
    <s v="0"/>
    <s v="DN/407/19"/>
    <s v=""/>
    <s v=""/>
    <s v=""/>
    <s v=""/>
    <s v=""/>
    <x v="2"/>
    <m/>
    <s v=""/>
    <d v="2020-06-18T00:00:00"/>
    <s v=""/>
    <s v="19120149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GL code">
  <location ref="B3:C6" firstHeaderRow="1" firstDataRow="1" firstDataCol="1"/>
  <pivotFields count="28">
    <pivotField showAll="0"/>
    <pivotField numFmtId="14" showAll="0"/>
    <pivotField numFmtId="14" showAll="0"/>
    <pivotField showAll="0"/>
    <pivotField showAll="0"/>
    <pivotField numFmtId="4" showAll="0"/>
    <pivotField dataField="1" numFmtId="4"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Sum of Amount in USD" fld="6" baseField="0" baseItem="0" numFmtId="43"/>
  </dataFields>
  <formats count="4">
    <format dxfId="6">
      <pivotArea type="all" dataOnly="0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5" firstHeaderRow="1" firstDataRow="1" firstDataCol="1"/>
  <pivotFields count="28">
    <pivotField showAll="0"/>
    <pivotField numFmtId="14" showAll="0"/>
    <pivotField numFmtId="14" showAll="0"/>
    <pivotField showAll="0"/>
    <pivotField showAll="0"/>
    <pivotField numFmtId="4" showAll="0"/>
    <pivotField dataField="1" numFmtId="4"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22"/>
  </rowFields>
  <rowItems count="2">
    <i>
      <x/>
    </i>
    <i t="grand">
      <x/>
    </i>
  </rowItems>
  <colItems count="1">
    <i/>
  </colItems>
  <dataFields count="1">
    <dataField name="Sum of Amount in loc.curr.2" fld="6" baseField="0" baseItem="0" numFmtId="4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GL code">
  <location ref="A3:B7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mount in USD" fld="6" baseField="0" baseItem="0" numFmtId="164"/>
  </dataFields>
  <formats count="2">
    <format dxfId="1">
      <pivotArea type="all" dataOnly="0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zahidulhm@epicbd.com" TargetMode="External"/><Relationship Id="rId1" Type="http://schemas.openxmlformats.org/officeDocument/2006/relationships/hyperlink" Target="mailto:ann.woo@epichk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tabSelected="1" view="pageBreakPreview" zoomScaleNormal="100" zoomScaleSheetLayoutView="100" workbookViewId="0">
      <selection sqref="A1:XFD1048576"/>
    </sheetView>
  </sheetViews>
  <sheetFormatPr defaultColWidth="9.140625" defaultRowHeight="15"/>
  <cols>
    <col min="1" max="1" width="5.28515625" style="66" customWidth="1"/>
    <col min="2" max="2" width="36.5703125" style="66" customWidth="1"/>
    <col min="3" max="3" width="19.5703125" style="66" bestFit="1" customWidth="1"/>
    <col min="4" max="5" width="16.140625" style="66" bestFit="1" customWidth="1"/>
    <col min="6" max="6" width="16.140625" style="66" customWidth="1"/>
    <col min="7" max="7" width="24.28515625" style="66" bestFit="1" customWidth="1"/>
    <col min="8" max="8" width="22.140625" style="66" bestFit="1" customWidth="1"/>
    <col min="9" max="9" width="12.85546875" style="66" customWidth="1"/>
    <col min="10" max="10" width="29.28515625" style="66" customWidth="1"/>
    <col min="11" max="11" width="11.5703125" style="66" customWidth="1"/>
    <col min="12" max="12" width="2.28515625" style="66" customWidth="1"/>
    <col min="13" max="16384" width="9.140625" style="66"/>
  </cols>
  <sheetData>
    <row r="1" spans="1:12" s="106" customFormat="1">
      <c r="A1" s="86" t="s">
        <v>6501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2" s="106" customFormat="1">
      <c r="A2" s="107" t="s">
        <v>52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2" s="106" customFormat="1">
      <c r="D3" s="108"/>
    </row>
    <row r="4" spans="1:12" s="106" customFormat="1" ht="15" customHeight="1">
      <c r="A4" s="106" t="s">
        <v>6543</v>
      </c>
      <c r="C4" s="108"/>
      <c r="J4" s="62" t="s">
        <v>6521</v>
      </c>
    </row>
    <row r="5" spans="1:12" s="106" customFormat="1">
      <c r="A5" s="106" t="s">
        <v>6512</v>
      </c>
      <c r="C5" s="108"/>
      <c r="J5" s="74"/>
    </row>
    <row r="6" spans="1:12" s="109" customFormat="1">
      <c r="A6" s="74" t="s">
        <v>6523</v>
      </c>
      <c r="B6" s="74"/>
      <c r="C6" s="75"/>
      <c r="D6" s="74"/>
      <c r="E6" s="74"/>
      <c r="F6" s="74"/>
      <c r="G6" s="74"/>
      <c r="J6" s="74" t="s">
        <v>6524</v>
      </c>
    </row>
    <row r="7" spans="1:12" s="74" customFormat="1">
      <c r="A7" s="71" t="s">
        <v>6525</v>
      </c>
      <c r="E7" s="72"/>
      <c r="J7" s="72" t="s">
        <v>6526</v>
      </c>
    </row>
    <row r="8" spans="1:12" s="74" customFormat="1">
      <c r="A8" s="71" t="s">
        <v>6527</v>
      </c>
      <c r="E8" s="72"/>
      <c r="J8" s="72" t="s">
        <v>6526</v>
      </c>
    </row>
    <row r="9" spans="1:12" s="106" customFormat="1">
      <c r="C9" s="108"/>
    </row>
    <row r="10" spans="1:12" s="106" customFormat="1" ht="16.5" customHeight="1">
      <c r="A10" s="110" t="s">
        <v>6514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1"/>
    </row>
    <row r="12" spans="1:12" ht="32.25" customHeight="1">
      <c r="A12" s="65" t="s">
        <v>6490</v>
      </c>
      <c r="B12" s="65" t="s">
        <v>29</v>
      </c>
      <c r="C12" s="65" t="s">
        <v>58</v>
      </c>
      <c r="D12" s="65" t="s">
        <v>59</v>
      </c>
      <c r="E12" s="65" t="s">
        <v>6502</v>
      </c>
      <c r="F12" s="65" t="s">
        <v>6505</v>
      </c>
      <c r="G12" s="65" t="s">
        <v>6530</v>
      </c>
      <c r="H12" s="65" t="s">
        <v>69</v>
      </c>
      <c r="I12" s="65" t="s">
        <v>62</v>
      </c>
      <c r="J12" s="65" t="s">
        <v>60</v>
      </c>
      <c r="K12" s="65" t="s">
        <v>64</v>
      </c>
    </row>
    <row r="13" spans="1:12">
      <c r="A13" s="57">
        <v>1</v>
      </c>
      <c r="B13" s="50" t="s">
        <v>6503</v>
      </c>
      <c r="C13" s="55">
        <v>2412891</v>
      </c>
      <c r="D13" s="55">
        <v>0</v>
      </c>
      <c r="E13" s="55">
        <v>907077</v>
      </c>
      <c r="F13" s="55">
        <v>0</v>
      </c>
      <c r="G13" s="55">
        <f>C13-D13-E13-F13</f>
        <v>1505814</v>
      </c>
      <c r="H13" s="52">
        <v>1505814</v>
      </c>
      <c r="I13" s="55">
        <f>G13-H13</f>
        <v>0</v>
      </c>
      <c r="J13" s="73" t="s">
        <v>6522</v>
      </c>
      <c r="K13" s="51" t="s">
        <v>6534</v>
      </c>
    </row>
    <row r="14" spans="1:12">
      <c r="A14" s="57">
        <v>2</v>
      </c>
      <c r="B14" s="67" t="s">
        <v>6529</v>
      </c>
      <c r="C14" s="55">
        <v>33493</v>
      </c>
      <c r="D14" s="55">
        <v>0</v>
      </c>
      <c r="E14" s="55">
        <v>0</v>
      </c>
      <c r="F14" s="55">
        <v>0</v>
      </c>
      <c r="G14" s="55">
        <f>C14-D14-E14</f>
        <v>33493</v>
      </c>
      <c r="H14" s="52">
        <v>33493</v>
      </c>
      <c r="I14" s="55">
        <f>G14-H14</f>
        <v>0</v>
      </c>
      <c r="J14" s="73" t="s">
        <v>6522</v>
      </c>
      <c r="K14" s="51" t="s">
        <v>6536</v>
      </c>
    </row>
    <row r="15" spans="1:12">
      <c r="A15" s="57">
        <v>3</v>
      </c>
      <c r="B15" s="67" t="s">
        <v>61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2">
        <v>0</v>
      </c>
      <c r="I15" s="55">
        <f>G15-H15</f>
        <v>0</v>
      </c>
      <c r="J15" s="73" t="s">
        <v>6522</v>
      </c>
      <c r="K15" s="51" t="s">
        <v>6535</v>
      </c>
    </row>
    <row r="16" spans="1:12">
      <c r="A16" s="57">
        <v>4</v>
      </c>
      <c r="B16" s="50" t="s">
        <v>6504</v>
      </c>
      <c r="C16" s="55">
        <v>0</v>
      </c>
      <c r="D16" s="55">
        <v>1943379</v>
      </c>
      <c r="E16" s="55">
        <v>0</v>
      </c>
      <c r="F16" s="55">
        <v>0</v>
      </c>
      <c r="G16" s="55">
        <f>C16-D16-E16</f>
        <v>-1943379</v>
      </c>
      <c r="H16" s="55">
        <v>-1943379</v>
      </c>
      <c r="I16" s="55">
        <f t="shared" ref="I16" si="0">G16-H16</f>
        <v>0</v>
      </c>
      <c r="J16" s="73" t="s">
        <v>6522</v>
      </c>
      <c r="K16" s="54" t="s">
        <v>6537</v>
      </c>
    </row>
    <row r="17" spans="1:11">
      <c r="A17" s="85" t="s">
        <v>57</v>
      </c>
      <c r="B17" s="85"/>
      <c r="C17" s="68">
        <f>SUM(C13:C14)</f>
        <v>2446384</v>
      </c>
      <c r="D17" s="68">
        <f>SUM(D13:D16)</f>
        <v>1943379</v>
      </c>
      <c r="E17" s="68">
        <f>SUM(E13:E16)</f>
        <v>907077</v>
      </c>
      <c r="F17" s="68">
        <f>F13</f>
        <v>0</v>
      </c>
      <c r="G17" s="68">
        <f>C17-D17-E17-F17</f>
        <v>-404072</v>
      </c>
      <c r="H17" s="68">
        <f>SUM(H13:H16)</f>
        <v>-404072</v>
      </c>
      <c r="I17" s="68">
        <f>G17-H17</f>
        <v>0</v>
      </c>
      <c r="J17" s="73"/>
      <c r="K17" s="55"/>
    </row>
    <row r="24" spans="1:11">
      <c r="D24" s="69"/>
      <c r="E24" s="69"/>
    </row>
  </sheetData>
  <mergeCells count="4">
    <mergeCell ref="A17:B17"/>
    <mergeCell ref="A10:K10"/>
    <mergeCell ref="A1:K1"/>
    <mergeCell ref="A2:K2"/>
  </mergeCells>
  <pageMargins left="0.7" right="0.7" top="0.75" bottom="0.75" header="0.3" footer="0.3"/>
  <pageSetup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view="pageBreakPreview" zoomScale="106" zoomScaleNormal="100" zoomScaleSheetLayoutView="106" workbookViewId="0">
      <selection activeCell="H7" sqref="H7"/>
    </sheetView>
  </sheetViews>
  <sheetFormatPr defaultColWidth="9.140625" defaultRowHeight="14.25"/>
  <cols>
    <col min="1" max="1" width="5.85546875" style="13" customWidth="1"/>
    <col min="2" max="2" width="11" style="13" customWidth="1"/>
    <col min="3" max="3" width="14.85546875" style="13" bestFit="1" customWidth="1"/>
    <col min="4" max="4" width="27.5703125" style="13" bestFit="1" customWidth="1"/>
    <col min="5" max="5" width="14.28515625" style="13" customWidth="1"/>
    <col min="6" max="6" width="15.5703125" style="13" bestFit="1" customWidth="1"/>
    <col min="7" max="7" width="16.5703125" style="13" customWidth="1"/>
    <col min="8" max="8" width="14" style="13" bestFit="1" customWidth="1"/>
    <col min="9" max="9" width="9.7109375" style="13" bestFit="1" customWidth="1"/>
    <col min="10" max="10" width="9.140625" style="13" customWidth="1"/>
    <col min="11" max="11" width="2.28515625" style="13" customWidth="1"/>
    <col min="12" max="16384" width="9.140625" style="13"/>
  </cols>
  <sheetData>
    <row r="1" spans="1:11" s="8" customFormat="1" ht="15">
      <c r="A1" s="87" t="s">
        <v>51</v>
      </c>
      <c r="B1" s="87"/>
      <c r="C1" s="87"/>
      <c r="D1" s="87"/>
      <c r="E1" s="87"/>
      <c r="F1" s="87"/>
      <c r="G1" s="87"/>
    </row>
    <row r="2" spans="1:11" s="8" customFormat="1">
      <c r="A2" s="88" t="s">
        <v>52</v>
      </c>
      <c r="B2" s="88"/>
      <c r="C2" s="88"/>
      <c r="D2" s="88"/>
      <c r="E2" s="88"/>
      <c r="F2" s="88"/>
      <c r="G2" s="88"/>
    </row>
    <row r="3" spans="1:11" s="8" customFormat="1">
      <c r="D3" s="11"/>
    </row>
    <row r="4" spans="1:11" s="8" customFormat="1" ht="15" customHeight="1">
      <c r="A4" s="8" t="s">
        <v>63</v>
      </c>
      <c r="C4" s="11"/>
      <c r="I4" s="12" t="s">
        <v>6487</v>
      </c>
    </row>
    <row r="5" spans="1:11" s="8" customFormat="1" ht="15">
      <c r="A5" s="8" t="s">
        <v>53</v>
      </c>
      <c r="C5" s="11"/>
    </row>
    <row r="6" spans="1:11" s="8" customFormat="1" ht="15">
      <c r="A6" s="8" t="s">
        <v>54</v>
      </c>
      <c r="C6" s="11"/>
      <c r="I6" s="8" t="s">
        <v>55</v>
      </c>
    </row>
    <row r="7" spans="1:11" s="8" customFormat="1" ht="15">
      <c r="A7" s="10" t="s">
        <v>6480</v>
      </c>
      <c r="C7" s="11"/>
      <c r="I7" s="8" t="s">
        <v>56</v>
      </c>
    </row>
    <row r="8" spans="1:11" s="8" customFormat="1">
      <c r="C8" s="11"/>
    </row>
    <row r="9" spans="1:11" s="8" customFormat="1" ht="16.5" customHeight="1">
      <c r="A9" s="89" t="s">
        <v>6481</v>
      </c>
      <c r="B9" s="89"/>
      <c r="C9" s="89"/>
      <c r="D9" s="89"/>
      <c r="E9" s="89"/>
      <c r="F9" s="89"/>
      <c r="G9" s="89"/>
      <c r="H9" s="89"/>
      <c r="I9" s="89"/>
      <c r="J9" s="89"/>
      <c r="K9" s="9"/>
    </row>
    <row r="11" spans="1:11" ht="32.25" customHeight="1">
      <c r="A11" s="14" t="s">
        <v>49</v>
      </c>
      <c r="B11" s="14" t="s">
        <v>50</v>
      </c>
      <c r="C11" s="14" t="s">
        <v>6482</v>
      </c>
      <c r="D11" s="14" t="s">
        <v>29</v>
      </c>
      <c r="E11" s="14" t="s">
        <v>46</v>
      </c>
      <c r="F11" s="14" t="s">
        <v>6483</v>
      </c>
      <c r="G11" s="14" t="s">
        <v>6484</v>
      </c>
      <c r="H11" s="14" t="s">
        <v>62</v>
      </c>
      <c r="I11" s="14" t="s">
        <v>60</v>
      </c>
      <c r="J11" s="14" t="s">
        <v>64</v>
      </c>
    </row>
    <row r="12" spans="1:11">
      <c r="A12" s="15">
        <v>1</v>
      </c>
      <c r="B12" s="15">
        <v>20121001</v>
      </c>
      <c r="C12" s="43" t="s">
        <v>4599</v>
      </c>
      <c r="D12" s="16" t="s">
        <v>6485</v>
      </c>
      <c r="E12" s="16">
        <v>1004322</v>
      </c>
      <c r="F12" s="16">
        <v>83860887.010000005</v>
      </c>
      <c r="G12" s="16">
        <v>1004322</v>
      </c>
      <c r="H12" s="16">
        <f>E12-G12</f>
        <v>0</v>
      </c>
      <c r="I12" s="16"/>
      <c r="J12" s="16" t="s">
        <v>6489</v>
      </c>
    </row>
    <row r="13" spans="1:11">
      <c r="A13" s="15">
        <v>2</v>
      </c>
      <c r="B13" s="15">
        <v>20121001</v>
      </c>
      <c r="C13" s="44" t="s">
        <v>4708</v>
      </c>
      <c r="D13" s="16" t="s">
        <v>6485</v>
      </c>
      <c r="E13" s="16">
        <v>1390788</v>
      </c>
      <c r="F13" s="16">
        <v>116130798.01000001</v>
      </c>
      <c r="G13" s="16">
        <v>1390788</v>
      </c>
      <c r="H13" s="16">
        <f t="shared" ref="H13:H17" si="0">E13-G13</f>
        <v>0</v>
      </c>
      <c r="I13" s="16"/>
      <c r="J13" s="16" t="s">
        <v>6489</v>
      </c>
    </row>
    <row r="14" spans="1:11">
      <c r="A14" s="15">
        <v>3</v>
      </c>
      <c r="B14" s="15">
        <v>20121001</v>
      </c>
      <c r="C14" s="44" t="s">
        <v>5196</v>
      </c>
      <c r="D14" s="16" t="s">
        <v>6485</v>
      </c>
      <c r="E14" s="16">
        <v>1000000</v>
      </c>
      <c r="F14" s="16">
        <v>83850000</v>
      </c>
      <c r="G14" s="16">
        <v>1000000</v>
      </c>
      <c r="H14" s="16">
        <f t="shared" si="0"/>
        <v>0</v>
      </c>
      <c r="I14" s="16"/>
      <c r="J14" s="16" t="s">
        <v>6489</v>
      </c>
    </row>
    <row r="15" spans="1:11">
      <c r="A15" s="15">
        <v>4</v>
      </c>
      <c r="B15" s="15">
        <v>20121001</v>
      </c>
      <c r="C15" s="44" t="s">
        <v>5643</v>
      </c>
      <c r="D15" s="16" t="s">
        <v>6485</v>
      </c>
      <c r="E15" s="16">
        <v>1100265</v>
      </c>
      <c r="F15" s="16">
        <v>92367246.75</v>
      </c>
      <c r="G15" s="16">
        <v>1100265</v>
      </c>
      <c r="H15" s="16">
        <f t="shared" si="0"/>
        <v>0</v>
      </c>
      <c r="I15" s="38"/>
      <c r="J15" s="16" t="s">
        <v>6489</v>
      </c>
    </row>
    <row r="16" spans="1:11">
      <c r="A16" s="15">
        <v>5</v>
      </c>
      <c r="B16" s="15">
        <v>20121001</v>
      </c>
      <c r="C16" s="44" t="s">
        <v>5779</v>
      </c>
      <c r="D16" s="16" t="s">
        <v>6486</v>
      </c>
      <c r="E16" s="16">
        <v>423436.66</v>
      </c>
      <c r="F16" s="16">
        <v>35547507.619999997</v>
      </c>
      <c r="G16" s="16">
        <v>423436.66</v>
      </c>
      <c r="H16" s="16">
        <f t="shared" si="0"/>
        <v>0</v>
      </c>
      <c r="I16" s="38"/>
      <c r="J16" s="16" t="s">
        <v>6489</v>
      </c>
    </row>
    <row r="17" spans="1:10">
      <c r="A17" s="15">
        <v>6</v>
      </c>
      <c r="B17" s="15">
        <v>20121001</v>
      </c>
      <c r="C17" s="44" t="s">
        <v>6364</v>
      </c>
      <c r="D17" s="16" t="s">
        <v>6485</v>
      </c>
      <c r="E17" s="16">
        <v>520529</v>
      </c>
      <c r="F17" s="16">
        <v>43698409.549999997</v>
      </c>
      <c r="G17" s="16">
        <v>520529</v>
      </c>
      <c r="H17" s="16">
        <f t="shared" si="0"/>
        <v>0</v>
      </c>
      <c r="I17" s="38"/>
      <c r="J17" s="16" t="s">
        <v>6489</v>
      </c>
    </row>
  </sheetData>
  <mergeCells count="3">
    <mergeCell ref="A1:G1"/>
    <mergeCell ref="A2:G2"/>
    <mergeCell ref="A9:J9"/>
  </mergeCells>
  <pageMargins left="0.7" right="0.7" top="0.75" bottom="0.75" header="0.3" footer="0.3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B3349"/>
  <sheetViews>
    <sheetView view="pageBreakPreview" zoomScale="98" zoomScaleNormal="100" zoomScaleSheetLayoutView="98" workbookViewId="0">
      <selection activeCell="AE2829" sqref="AE2829"/>
    </sheetView>
  </sheetViews>
  <sheetFormatPr defaultRowHeight="12.75"/>
  <cols>
    <col min="1" max="1" width="17" bestFit="1" customWidth="1"/>
    <col min="2" max="2" width="14" bestFit="1" customWidth="1"/>
    <col min="3" max="3" width="15" hidden="1" customWidth="1"/>
    <col min="4" max="4" width="10" hidden="1" customWidth="1"/>
    <col min="5" max="5" width="12" hidden="1" customWidth="1"/>
    <col min="6" max="6" width="22" hidden="1" customWidth="1"/>
    <col min="7" max="7" width="16.28515625" bestFit="1" customWidth="1"/>
    <col min="8" max="8" width="5" hidden="1" customWidth="1"/>
    <col min="9" max="9" width="15" hidden="1" customWidth="1"/>
    <col min="10" max="10" width="15.85546875" bestFit="1" customWidth="1"/>
    <col min="11" max="11" width="52" hidden="1" customWidth="1"/>
    <col min="12" max="12" width="12" bestFit="1" customWidth="1"/>
    <col min="13" max="13" width="18" hidden="1" customWidth="1"/>
    <col min="14" max="14" width="13" hidden="1" customWidth="1"/>
    <col min="15" max="15" width="21" hidden="1" customWidth="1"/>
    <col min="16" max="16" width="6" hidden="1" customWidth="1"/>
    <col min="17" max="17" width="27" hidden="1" customWidth="1"/>
    <col min="18" max="18" width="14" hidden="1" customWidth="1"/>
    <col min="19" max="19" width="13" hidden="1" customWidth="1"/>
    <col min="20" max="20" width="12" hidden="1" customWidth="1"/>
    <col min="21" max="21" width="14" hidden="1" customWidth="1"/>
    <col min="22" max="22" width="15" hidden="1" customWidth="1"/>
    <col min="23" max="23" width="13" hidden="1" customWidth="1"/>
    <col min="24" max="24" width="15" hidden="1" customWidth="1"/>
    <col min="25" max="25" width="19" hidden="1" customWidth="1"/>
    <col min="26" max="26" width="14" bestFit="1" customWidth="1"/>
    <col min="27" max="27" width="19" hidden="1" customWidth="1"/>
    <col min="28" max="28" width="17.42578125" bestFit="1" customWidth="1"/>
  </cols>
  <sheetData>
    <row r="1" spans="1:28" s="8" customFormat="1" ht="15">
      <c r="A1" s="87" t="s">
        <v>51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2" spans="1:28" s="8" customFormat="1" ht="14.25">
      <c r="A2" s="88" t="s">
        <v>52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</row>
    <row r="3" spans="1:28" s="8" customFormat="1" ht="14.25">
      <c r="D3" s="11"/>
    </row>
    <row r="4" spans="1:28" s="8" customFormat="1" ht="15" customHeight="1">
      <c r="A4" s="8" t="s">
        <v>63</v>
      </c>
      <c r="C4" s="11"/>
      <c r="I4" s="12" t="s">
        <v>6487</v>
      </c>
      <c r="AA4" s="12"/>
    </row>
    <row r="5" spans="1:28" s="8" customFormat="1" ht="15">
      <c r="A5" s="8" t="s">
        <v>53</v>
      </c>
      <c r="C5" s="11"/>
    </row>
    <row r="6" spans="1:28" s="8" customFormat="1" ht="15">
      <c r="A6" s="8" t="s">
        <v>54</v>
      </c>
      <c r="C6" s="11"/>
      <c r="I6" s="8" t="s">
        <v>55</v>
      </c>
    </row>
    <row r="7" spans="1:28" s="8" customFormat="1" ht="15">
      <c r="A7" s="10" t="s">
        <v>6480</v>
      </c>
      <c r="C7" s="11"/>
      <c r="I7" s="8" t="s">
        <v>56</v>
      </c>
    </row>
    <row r="8" spans="1:28" s="8" customFormat="1" ht="15" thickBot="1">
      <c r="C8" s="11"/>
    </row>
    <row r="9" spans="1:28" s="8" customFormat="1" ht="16.5" customHeight="1" thickBot="1">
      <c r="A9" s="89" t="s">
        <v>6488</v>
      </c>
      <c r="B9" s="89"/>
      <c r="C9" s="89"/>
      <c r="D9" s="89"/>
      <c r="E9" s="89"/>
      <c r="F9" s="89"/>
      <c r="G9" s="89"/>
      <c r="H9" s="89"/>
      <c r="I9" s="89"/>
      <c r="J9" s="89"/>
      <c r="K9" s="9"/>
      <c r="L9" s="46"/>
    </row>
    <row r="10" spans="1:28" ht="14.25" customHeight="1"/>
    <row r="11" spans="1:28" ht="51">
      <c r="A11" s="47" t="s">
        <v>11</v>
      </c>
      <c r="B11" s="47" t="s">
        <v>12</v>
      </c>
      <c r="C11" s="1" t="s">
        <v>13</v>
      </c>
      <c r="D11" s="2" t="s">
        <v>14</v>
      </c>
      <c r="E11" s="45" t="s">
        <v>15</v>
      </c>
      <c r="F11" s="1" t="s">
        <v>16</v>
      </c>
      <c r="G11" s="47" t="s">
        <v>46</v>
      </c>
      <c r="H11" s="2" t="s">
        <v>17</v>
      </c>
      <c r="I11" s="1" t="s">
        <v>18</v>
      </c>
      <c r="J11" s="48" t="s">
        <v>19</v>
      </c>
      <c r="K11" s="1" t="s">
        <v>20</v>
      </c>
      <c r="L11" s="47" t="s">
        <v>21</v>
      </c>
      <c r="M11" s="1" t="s">
        <v>22</v>
      </c>
      <c r="N11" s="1" t="s">
        <v>23</v>
      </c>
      <c r="O11" s="1" t="s">
        <v>24</v>
      </c>
      <c r="P11" s="1" t="s">
        <v>25</v>
      </c>
      <c r="Q11" s="1" t="s">
        <v>26</v>
      </c>
      <c r="R11" s="1" t="s">
        <v>27</v>
      </c>
      <c r="S11" s="1" t="s">
        <v>28</v>
      </c>
      <c r="T11" s="1" t="s">
        <v>29</v>
      </c>
      <c r="U11" s="1" t="s">
        <v>30</v>
      </c>
      <c r="V11" s="1" t="s">
        <v>31</v>
      </c>
      <c r="W11" s="1" t="s">
        <v>32</v>
      </c>
      <c r="X11" s="1" t="s">
        <v>33</v>
      </c>
      <c r="Y11" s="1" t="s">
        <v>34</v>
      </c>
      <c r="Z11" s="47" t="s">
        <v>35</v>
      </c>
      <c r="AA11" s="47" t="s">
        <v>36</v>
      </c>
      <c r="AB11" s="47" t="s">
        <v>37</v>
      </c>
    </row>
    <row r="12" spans="1:28" hidden="1">
      <c r="A12" t="s">
        <v>77</v>
      </c>
      <c r="B12" s="17">
        <v>42381</v>
      </c>
      <c r="C12" s="17">
        <v>42381</v>
      </c>
      <c r="D12" t="s">
        <v>0</v>
      </c>
      <c r="E12" t="s">
        <v>1</v>
      </c>
      <c r="F12" s="18">
        <v>-26215.24</v>
      </c>
      <c r="G12" s="18">
        <v>-26215.24</v>
      </c>
      <c r="H12" t="s">
        <v>2</v>
      </c>
      <c r="I12" t="s">
        <v>8</v>
      </c>
      <c r="J12" s="18">
        <v>-2042167.2</v>
      </c>
      <c r="K12" t="s">
        <v>78</v>
      </c>
      <c r="L12" t="s">
        <v>9</v>
      </c>
      <c r="M12" t="s">
        <v>79</v>
      </c>
      <c r="N12" t="s">
        <v>3</v>
      </c>
      <c r="O12" t="s">
        <v>3</v>
      </c>
      <c r="P12" t="s">
        <v>5</v>
      </c>
      <c r="Q12" t="s">
        <v>80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68</v>
      </c>
      <c r="X12" s="17">
        <v>42390</v>
      </c>
      <c r="Y12" t="s">
        <v>76</v>
      </c>
      <c r="Z12" s="17">
        <v>42381</v>
      </c>
      <c r="AA12" t="s">
        <v>3</v>
      </c>
      <c r="AB12" t="s">
        <v>77</v>
      </c>
    </row>
    <row r="13" spans="1:28" hidden="1">
      <c r="A13" t="s">
        <v>76</v>
      </c>
      <c r="B13" s="17">
        <v>42390</v>
      </c>
      <c r="C13" s="17">
        <v>42390</v>
      </c>
      <c r="D13" t="s">
        <v>7</v>
      </c>
      <c r="E13" t="s">
        <v>1</v>
      </c>
      <c r="F13" s="18">
        <v>26215.24</v>
      </c>
      <c r="G13" s="18">
        <v>26215.24</v>
      </c>
      <c r="H13" t="s">
        <v>2</v>
      </c>
      <c r="I13" t="s">
        <v>8</v>
      </c>
      <c r="J13" s="18">
        <v>2042167.2</v>
      </c>
      <c r="K13" t="s">
        <v>3</v>
      </c>
      <c r="L13" t="s">
        <v>9</v>
      </c>
      <c r="M13" t="s">
        <v>3</v>
      </c>
      <c r="N13" t="s">
        <v>3</v>
      </c>
      <c r="O13" t="s">
        <v>3</v>
      </c>
      <c r="P13" t="s">
        <v>5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68</v>
      </c>
      <c r="X13" s="17">
        <v>42390</v>
      </c>
      <c r="Y13" t="s">
        <v>76</v>
      </c>
      <c r="Z13" s="17">
        <v>42390</v>
      </c>
      <c r="AA13" t="s">
        <v>3</v>
      </c>
      <c r="AB13" t="s">
        <v>76</v>
      </c>
    </row>
    <row r="14" spans="1:28" hidden="1">
      <c r="A14" t="s">
        <v>70</v>
      </c>
      <c r="B14" s="17">
        <v>42429</v>
      </c>
      <c r="C14" s="17">
        <v>42429</v>
      </c>
      <c r="D14" t="s">
        <v>38</v>
      </c>
      <c r="E14" t="s">
        <v>1</v>
      </c>
      <c r="F14" s="18">
        <v>-2486.3000000000002</v>
      </c>
      <c r="G14" s="18">
        <v>-2486.3000000000002</v>
      </c>
      <c r="H14" t="s">
        <v>2</v>
      </c>
      <c r="I14" t="s">
        <v>41</v>
      </c>
      <c r="J14" s="18">
        <v>-193807.09</v>
      </c>
      <c r="K14" t="s">
        <v>71</v>
      </c>
      <c r="L14" t="s">
        <v>9</v>
      </c>
      <c r="M14" t="s">
        <v>72</v>
      </c>
      <c r="N14" t="s">
        <v>3</v>
      </c>
      <c r="O14" t="s">
        <v>3</v>
      </c>
      <c r="P14" t="s">
        <v>5</v>
      </c>
      <c r="Q14" t="s">
        <v>73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68</v>
      </c>
      <c r="X14" s="17">
        <v>42429</v>
      </c>
      <c r="Y14" t="s">
        <v>70</v>
      </c>
      <c r="Z14" s="17">
        <v>42430</v>
      </c>
      <c r="AA14" t="s">
        <v>3</v>
      </c>
      <c r="AB14" t="s">
        <v>70</v>
      </c>
    </row>
    <row r="15" spans="1:28" hidden="1">
      <c r="A15" t="s">
        <v>81</v>
      </c>
      <c r="B15" s="17">
        <v>42429</v>
      </c>
      <c r="C15" s="17">
        <v>42429</v>
      </c>
      <c r="D15" t="s">
        <v>0</v>
      </c>
      <c r="E15" t="s">
        <v>1</v>
      </c>
      <c r="F15" s="18">
        <v>2486.3000000000002</v>
      </c>
      <c r="G15" s="18">
        <v>2486.3000000000002</v>
      </c>
      <c r="H15" t="s">
        <v>2</v>
      </c>
      <c r="I15" t="s">
        <v>41</v>
      </c>
      <c r="J15" s="18">
        <v>193807.09</v>
      </c>
      <c r="K15" t="s">
        <v>71</v>
      </c>
      <c r="L15" t="s">
        <v>9</v>
      </c>
      <c r="M15" t="s">
        <v>72</v>
      </c>
      <c r="N15" t="s">
        <v>3</v>
      </c>
      <c r="O15" t="s">
        <v>3</v>
      </c>
      <c r="P15" t="s">
        <v>5</v>
      </c>
      <c r="Q15" t="s">
        <v>73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68</v>
      </c>
      <c r="X15" s="17">
        <v>42429</v>
      </c>
      <c r="Y15" t="s">
        <v>70</v>
      </c>
      <c r="Z15" s="17">
        <v>42430</v>
      </c>
      <c r="AA15" t="s">
        <v>3</v>
      </c>
      <c r="AB15" t="s">
        <v>81</v>
      </c>
    </row>
    <row r="16" spans="1:28" hidden="1">
      <c r="A16" t="s">
        <v>82</v>
      </c>
      <c r="B16" s="17">
        <v>42429</v>
      </c>
      <c r="C16" s="17">
        <v>42429</v>
      </c>
      <c r="D16" t="s">
        <v>0</v>
      </c>
      <c r="E16" t="s">
        <v>1</v>
      </c>
      <c r="F16" s="18">
        <v>-2486.3000000000002</v>
      </c>
      <c r="G16" s="18">
        <v>-2486.3000000000002</v>
      </c>
      <c r="H16" t="s">
        <v>2</v>
      </c>
      <c r="I16" t="s">
        <v>41</v>
      </c>
      <c r="J16" s="18">
        <v>-193807.09</v>
      </c>
      <c r="K16" t="s">
        <v>71</v>
      </c>
      <c r="L16" t="s">
        <v>9</v>
      </c>
      <c r="M16" t="s">
        <v>75</v>
      </c>
      <c r="N16" t="s">
        <v>3</v>
      </c>
      <c r="O16" t="s">
        <v>3</v>
      </c>
      <c r="P16" t="s">
        <v>5</v>
      </c>
      <c r="Q16" t="s">
        <v>73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68</v>
      </c>
      <c r="X16" s="17">
        <v>42430</v>
      </c>
      <c r="Y16" t="s">
        <v>74</v>
      </c>
      <c r="Z16" s="17">
        <v>42429</v>
      </c>
      <c r="AA16" t="s">
        <v>3</v>
      </c>
      <c r="AB16" t="s">
        <v>82</v>
      </c>
    </row>
    <row r="17" spans="1:28" hidden="1">
      <c r="A17" t="s">
        <v>74</v>
      </c>
      <c r="B17" s="17">
        <v>42430</v>
      </c>
      <c r="C17" s="17">
        <v>42429</v>
      </c>
      <c r="D17" t="s">
        <v>38</v>
      </c>
      <c r="E17" t="s">
        <v>1</v>
      </c>
      <c r="F17" s="18">
        <v>2486.3000000000002</v>
      </c>
      <c r="G17" s="18">
        <v>2486.3000000000002</v>
      </c>
      <c r="H17" t="s">
        <v>2</v>
      </c>
      <c r="I17" t="s">
        <v>41</v>
      </c>
      <c r="J17" s="18">
        <v>193807.09</v>
      </c>
      <c r="K17" t="s">
        <v>71</v>
      </c>
      <c r="L17" t="s">
        <v>9</v>
      </c>
      <c r="M17" t="s">
        <v>75</v>
      </c>
      <c r="N17" t="s">
        <v>3</v>
      </c>
      <c r="O17" t="s">
        <v>3</v>
      </c>
      <c r="P17" t="s">
        <v>5</v>
      </c>
      <c r="Q17" t="s">
        <v>73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68</v>
      </c>
      <c r="X17" s="17">
        <v>42430</v>
      </c>
      <c r="Y17" t="s">
        <v>74</v>
      </c>
      <c r="Z17" s="17">
        <v>42429</v>
      </c>
      <c r="AA17" t="s">
        <v>3</v>
      </c>
      <c r="AB17" t="s">
        <v>74</v>
      </c>
    </row>
    <row r="18" spans="1:28" hidden="1">
      <c r="A18" t="s">
        <v>114</v>
      </c>
      <c r="B18" s="17">
        <v>42708</v>
      </c>
      <c r="C18" s="17">
        <v>42708</v>
      </c>
      <c r="D18" t="s">
        <v>0</v>
      </c>
      <c r="E18" t="s">
        <v>1</v>
      </c>
      <c r="F18" s="18">
        <v>-996754.29</v>
      </c>
      <c r="G18" s="18">
        <v>-996754.29</v>
      </c>
      <c r="H18" t="s">
        <v>2</v>
      </c>
      <c r="I18" t="s">
        <v>8</v>
      </c>
      <c r="J18" s="18">
        <v>-79142290.629999995</v>
      </c>
      <c r="K18" t="s">
        <v>71</v>
      </c>
      <c r="L18" t="s">
        <v>9</v>
      </c>
      <c r="M18" t="s">
        <v>115</v>
      </c>
      <c r="N18" t="s">
        <v>3</v>
      </c>
      <c r="O18" t="s">
        <v>3</v>
      </c>
      <c r="P18" t="s">
        <v>5</v>
      </c>
      <c r="Q18" t="s">
        <v>71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68</v>
      </c>
      <c r="X18" s="17">
        <v>42708</v>
      </c>
      <c r="Y18" t="s">
        <v>116</v>
      </c>
      <c r="Z18" s="17">
        <v>42708</v>
      </c>
      <c r="AA18" t="s">
        <v>3</v>
      </c>
      <c r="AB18" t="s">
        <v>114</v>
      </c>
    </row>
    <row r="19" spans="1:28" hidden="1">
      <c r="A19" t="s">
        <v>117</v>
      </c>
      <c r="B19" s="17">
        <v>42708</v>
      </c>
      <c r="C19" s="17">
        <v>42708</v>
      </c>
      <c r="D19" t="s">
        <v>0</v>
      </c>
      <c r="E19" t="s">
        <v>1</v>
      </c>
      <c r="F19" s="18">
        <v>-221840.14</v>
      </c>
      <c r="G19" s="18">
        <v>-221840.14</v>
      </c>
      <c r="H19" t="s">
        <v>2</v>
      </c>
      <c r="I19" t="s">
        <v>8</v>
      </c>
      <c r="J19" s="18">
        <v>-17614107.120000001</v>
      </c>
      <c r="K19" t="s">
        <v>71</v>
      </c>
      <c r="L19" t="s">
        <v>9</v>
      </c>
      <c r="M19" t="s">
        <v>118</v>
      </c>
      <c r="N19" t="s">
        <v>3</v>
      </c>
      <c r="O19" t="s">
        <v>3</v>
      </c>
      <c r="P19" t="s">
        <v>5</v>
      </c>
      <c r="Q19" t="s">
        <v>71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68</v>
      </c>
      <c r="X19" s="17">
        <v>42715</v>
      </c>
      <c r="Y19" t="s">
        <v>119</v>
      </c>
      <c r="Z19" s="17">
        <v>42708</v>
      </c>
      <c r="AA19" t="s">
        <v>3</v>
      </c>
      <c r="AB19" t="s">
        <v>117</v>
      </c>
    </row>
    <row r="20" spans="1:28" hidden="1">
      <c r="A20" t="s">
        <v>116</v>
      </c>
      <c r="B20" s="17">
        <v>42708</v>
      </c>
      <c r="C20" s="17">
        <v>42708</v>
      </c>
      <c r="D20" t="s">
        <v>0</v>
      </c>
      <c r="E20" t="s">
        <v>1</v>
      </c>
      <c r="F20" s="18">
        <v>-873054.29</v>
      </c>
      <c r="G20" s="18">
        <v>-873054.29</v>
      </c>
      <c r="H20" t="s">
        <v>2</v>
      </c>
      <c r="I20" t="s">
        <v>8</v>
      </c>
      <c r="J20" s="18">
        <v>-69320510.629999995</v>
      </c>
      <c r="K20" t="s">
        <v>3</v>
      </c>
      <c r="L20" t="s">
        <v>9</v>
      </c>
      <c r="M20" t="s">
        <v>120</v>
      </c>
      <c r="N20" t="s">
        <v>3</v>
      </c>
      <c r="O20" t="s">
        <v>3</v>
      </c>
      <c r="P20" t="s">
        <v>5</v>
      </c>
      <c r="Q20" t="s">
        <v>80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68</v>
      </c>
      <c r="X20" s="17">
        <v>42708</v>
      </c>
      <c r="Y20" t="s">
        <v>121</v>
      </c>
      <c r="Z20" s="17">
        <v>42708</v>
      </c>
      <c r="AA20" t="s">
        <v>3</v>
      </c>
      <c r="AB20" t="s">
        <v>116</v>
      </c>
    </row>
    <row r="21" spans="1:28" hidden="1">
      <c r="A21" t="s">
        <v>116</v>
      </c>
      <c r="B21" s="17">
        <v>42708</v>
      </c>
      <c r="C21" s="17">
        <v>42708</v>
      </c>
      <c r="D21" t="s">
        <v>0</v>
      </c>
      <c r="E21" t="s">
        <v>1</v>
      </c>
      <c r="F21" s="18">
        <v>996754.29</v>
      </c>
      <c r="G21" s="18">
        <v>996754.29</v>
      </c>
      <c r="H21" t="s">
        <v>2</v>
      </c>
      <c r="I21" t="s">
        <v>8</v>
      </c>
      <c r="J21" s="18">
        <v>79142290.629999995</v>
      </c>
      <c r="K21" t="s">
        <v>122</v>
      </c>
      <c r="L21" t="s">
        <v>9</v>
      </c>
      <c r="M21" t="s">
        <v>120</v>
      </c>
      <c r="N21" t="s">
        <v>3</v>
      </c>
      <c r="O21" t="s">
        <v>3</v>
      </c>
      <c r="P21" t="s">
        <v>5</v>
      </c>
      <c r="Q21" t="s">
        <v>80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68</v>
      </c>
      <c r="X21" s="17">
        <v>42708</v>
      </c>
      <c r="Y21" t="s">
        <v>116</v>
      </c>
      <c r="Z21" s="17">
        <v>42708</v>
      </c>
      <c r="AA21" t="s">
        <v>3</v>
      </c>
      <c r="AB21" t="s">
        <v>116</v>
      </c>
    </row>
    <row r="22" spans="1:28" hidden="1">
      <c r="A22" t="s">
        <v>121</v>
      </c>
      <c r="B22" s="17">
        <v>42708</v>
      </c>
      <c r="C22" s="17">
        <v>42708</v>
      </c>
      <c r="D22" t="s">
        <v>0</v>
      </c>
      <c r="E22" t="s">
        <v>1</v>
      </c>
      <c r="F22" s="18">
        <v>-871954.29</v>
      </c>
      <c r="G22" s="18">
        <v>-871954.29</v>
      </c>
      <c r="H22" t="s">
        <v>2</v>
      </c>
      <c r="I22" t="s">
        <v>8</v>
      </c>
      <c r="J22" s="18">
        <v>-69233170.629999995</v>
      </c>
      <c r="K22" t="s">
        <v>3</v>
      </c>
      <c r="L22" t="s">
        <v>9</v>
      </c>
      <c r="M22" t="s">
        <v>123</v>
      </c>
      <c r="N22" t="s">
        <v>3</v>
      </c>
      <c r="O22" t="s">
        <v>3</v>
      </c>
      <c r="P22" t="s">
        <v>5</v>
      </c>
      <c r="Q22" t="s">
        <v>80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68</v>
      </c>
      <c r="X22" s="17">
        <v>42711</v>
      </c>
      <c r="Y22" t="s">
        <v>124</v>
      </c>
      <c r="Z22" s="17">
        <v>42708</v>
      </c>
      <c r="AA22" t="s">
        <v>3</v>
      </c>
      <c r="AB22" t="s">
        <v>121</v>
      </c>
    </row>
    <row r="23" spans="1:28" hidden="1">
      <c r="A23" t="s">
        <v>121</v>
      </c>
      <c r="B23" s="17">
        <v>42708</v>
      </c>
      <c r="C23" s="17">
        <v>42708</v>
      </c>
      <c r="D23" t="s">
        <v>0</v>
      </c>
      <c r="E23" t="s">
        <v>1</v>
      </c>
      <c r="F23" s="18">
        <v>873054.29</v>
      </c>
      <c r="G23" s="18">
        <v>873054.29</v>
      </c>
      <c r="H23" t="s">
        <v>2</v>
      </c>
      <c r="I23" t="s">
        <v>8</v>
      </c>
      <c r="J23" s="18">
        <v>69320510.629999995</v>
      </c>
      <c r="K23" t="s">
        <v>125</v>
      </c>
      <c r="L23" t="s">
        <v>9</v>
      </c>
      <c r="M23" t="s">
        <v>123</v>
      </c>
      <c r="N23" t="s">
        <v>3</v>
      </c>
      <c r="O23" t="s">
        <v>3</v>
      </c>
      <c r="P23" t="s">
        <v>5</v>
      </c>
      <c r="Q23" t="s">
        <v>80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68</v>
      </c>
      <c r="X23" s="17">
        <v>42708</v>
      </c>
      <c r="Y23" t="s">
        <v>121</v>
      </c>
      <c r="Z23" s="17">
        <v>42708</v>
      </c>
      <c r="AA23" t="s">
        <v>3</v>
      </c>
      <c r="AB23" t="s">
        <v>121</v>
      </c>
    </row>
    <row r="24" spans="1:28" hidden="1">
      <c r="A24" t="s">
        <v>144</v>
      </c>
      <c r="B24" s="17">
        <v>42708</v>
      </c>
      <c r="C24" s="17">
        <v>42708</v>
      </c>
      <c r="D24" t="s">
        <v>0</v>
      </c>
      <c r="E24" t="s">
        <v>1</v>
      </c>
      <c r="F24" s="18">
        <v>-230100</v>
      </c>
      <c r="G24" s="18">
        <v>-230100</v>
      </c>
      <c r="H24" t="s">
        <v>2</v>
      </c>
      <c r="I24" t="s">
        <v>10</v>
      </c>
      <c r="J24" s="18">
        <v>-18269940</v>
      </c>
      <c r="K24" t="s">
        <v>145</v>
      </c>
      <c r="L24" t="s">
        <v>9</v>
      </c>
      <c r="M24" t="s">
        <v>145</v>
      </c>
      <c r="N24" t="s">
        <v>3</v>
      </c>
      <c r="O24" t="s">
        <v>3</v>
      </c>
      <c r="P24" t="s">
        <v>5</v>
      </c>
      <c r="Q24" t="s">
        <v>145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68</v>
      </c>
      <c r="X24" s="17">
        <v>42711</v>
      </c>
      <c r="Y24" t="s">
        <v>146</v>
      </c>
      <c r="Z24" s="17">
        <v>42708</v>
      </c>
      <c r="AA24" t="s">
        <v>3</v>
      </c>
      <c r="AB24" t="s">
        <v>144</v>
      </c>
    </row>
    <row r="25" spans="1:28" hidden="1">
      <c r="A25" t="s">
        <v>124</v>
      </c>
      <c r="B25" s="17">
        <v>42711</v>
      </c>
      <c r="C25" s="17">
        <v>42711</v>
      </c>
      <c r="D25" t="s">
        <v>0</v>
      </c>
      <c r="E25" t="s">
        <v>1</v>
      </c>
      <c r="F25" s="18">
        <v>-846754.29</v>
      </c>
      <c r="G25" s="18">
        <v>-846754.29</v>
      </c>
      <c r="H25" t="s">
        <v>2</v>
      </c>
      <c r="I25" t="s">
        <v>8</v>
      </c>
      <c r="J25" s="18">
        <v>-67232290.629999995</v>
      </c>
      <c r="K25" t="s">
        <v>3</v>
      </c>
      <c r="L25" t="s">
        <v>9</v>
      </c>
      <c r="M25" t="s">
        <v>126</v>
      </c>
      <c r="N25" t="s">
        <v>3</v>
      </c>
      <c r="O25" t="s">
        <v>3</v>
      </c>
      <c r="P25" t="s">
        <v>5</v>
      </c>
      <c r="Q25" t="s">
        <v>80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68</v>
      </c>
      <c r="X25" s="17">
        <v>42711</v>
      </c>
      <c r="Y25" t="s">
        <v>127</v>
      </c>
      <c r="Z25" s="17">
        <v>42711</v>
      </c>
      <c r="AA25" t="s">
        <v>3</v>
      </c>
      <c r="AB25" t="s">
        <v>124</v>
      </c>
    </row>
    <row r="26" spans="1:28" hidden="1">
      <c r="A26" t="s">
        <v>124</v>
      </c>
      <c r="B26" s="17">
        <v>42711</v>
      </c>
      <c r="C26" s="17">
        <v>42711</v>
      </c>
      <c r="D26" t="s">
        <v>0</v>
      </c>
      <c r="E26" t="s">
        <v>1</v>
      </c>
      <c r="F26" s="18">
        <v>871954.29</v>
      </c>
      <c r="G26" s="18">
        <v>871954.29</v>
      </c>
      <c r="H26" t="s">
        <v>2</v>
      </c>
      <c r="I26" t="s">
        <v>8</v>
      </c>
      <c r="J26" s="18">
        <v>69233170.629999995</v>
      </c>
      <c r="K26" t="s">
        <v>128</v>
      </c>
      <c r="L26" t="s">
        <v>9</v>
      </c>
      <c r="M26" t="s">
        <v>126</v>
      </c>
      <c r="N26" t="s">
        <v>3</v>
      </c>
      <c r="O26" t="s">
        <v>3</v>
      </c>
      <c r="P26" t="s">
        <v>5</v>
      </c>
      <c r="Q26" t="s">
        <v>80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68</v>
      </c>
      <c r="X26" s="17">
        <v>42711</v>
      </c>
      <c r="Y26" t="s">
        <v>124</v>
      </c>
      <c r="Z26" s="17">
        <v>42711</v>
      </c>
      <c r="AA26" t="s">
        <v>3</v>
      </c>
      <c r="AB26" t="s">
        <v>124</v>
      </c>
    </row>
    <row r="27" spans="1:28" hidden="1">
      <c r="A27" t="s">
        <v>127</v>
      </c>
      <c r="B27" s="17">
        <v>42711</v>
      </c>
      <c r="C27" s="17">
        <v>42711</v>
      </c>
      <c r="D27" t="s">
        <v>0</v>
      </c>
      <c r="E27" t="s">
        <v>1</v>
      </c>
      <c r="F27" s="18">
        <v>-782954.29</v>
      </c>
      <c r="G27" s="18">
        <v>-782954.29</v>
      </c>
      <c r="H27" t="s">
        <v>2</v>
      </c>
      <c r="I27" t="s">
        <v>8</v>
      </c>
      <c r="J27" s="18">
        <v>-62166570.630000003</v>
      </c>
      <c r="K27" t="s">
        <v>3</v>
      </c>
      <c r="L27" t="s">
        <v>9</v>
      </c>
      <c r="M27" t="s">
        <v>129</v>
      </c>
      <c r="N27" t="s">
        <v>3</v>
      </c>
      <c r="O27" t="s">
        <v>3</v>
      </c>
      <c r="P27" t="s">
        <v>5</v>
      </c>
      <c r="Q27" t="s">
        <v>80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68</v>
      </c>
      <c r="X27" s="17">
        <v>42711</v>
      </c>
      <c r="Y27" t="s">
        <v>130</v>
      </c>
      <c r="Z27" s="17">
        <v>42711</v>
      </c>
      <c r="AA27" t="s">
        <v>3</v>
      </c>
      <c r="AB27" t="s">
        <v>127</v>
      </c>
    </row>
    <row r="28" spans="1:28" hidden="1">
      <c r="A28" t="s">
        <v>127</v>
      </c>
      <c r="B28" s="17">
        <v>42711</v>
      </c>
      <c r="C28" s="17">
        <v>42711</v>
      </c>
      <c r="D28" t="s">
        <v>0</v>
      </c>
      <c r="E28" t="s">
        <v>1</v>
      </c>
      <c r="F28" s="18">
        <v>846754.29</v>
      </c>
      <c r="G28" s="18">
        <v>846754.29</v>
      </c>
      <c r="H28" t="s">
        <v>2</v>
      </c>
      <c r="I28" t="s">
        <v>8</v>
      </c>
      <c r="J28" s="18">
        <v>67232290.629999995</v>
      </c>
      <c r="K28" t="s">
        <v>131</v>
      </c>
      <c r="L28" t="s">
        <v>9</v>
      </c>
      <c r="M28" t="s">
        <v>129</v>
      </c>
      <c r="N28" t="s">
        <v>3</v>
      </c>
      <c r="O28" t="s">
        <v>3</v>
      </c>
      <c r="P28" t="s">
        <v>5</v>
      </c>
      <c r="Q28" t="s">
        <v>80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68</v>
      </c>
      <c r="X28" s="17">
        <v>42711</v>
      </c>
      <c r="Y28" t="s">
        <v>127</v>
      </c>
      <c r="Z28" s="17">
        <v>42711</v>
      </c>
      <c r="AA28" t="s">
        <v>3</v>
      </c>
      <c r="AB28" t="s">
        <v>127</v>
      </c>
    </row>
    <row r="29" spans="1:28" hidden="1">
      <c r="A29" t="s">
        <v>130</v>
      </c>
      <c r="B29" s="17">
        <v>42711</v>
      </c>
      <c r="C29" s="17">
        <v>42711</v>
      </c>
      <c r="D29" t="s">
        <v>0</v>
      </c>
      <c r="E29" t="s">
        <v>1</v>
      </c>
      <c r="F29" s="18">
        <v>-770754.29</v>
      </c>
      <c r="G29" s="18">
        <v>-770754.29</v>
      </c>
      <c r="H29" t="s">
        <v>2</v>
      </c>
      <c r="I29" t="s">
        <v>8</v>
      </c>
      <c r="J29" s="18">
        <v>-61197890.630000003</v>
      </c>
      <c r="K29" t="s">
        <v>3</v>
      </c>
      <c r="L29" t="s">
        <v>9</v>
      </c>
      <c r="M29" t="s">
        <v>132</v>
      </c>
      <c r="N29" t="s">
        <v>3</v>
      </c>
      <c r="O29" t="s">
        <v>3</v>
      </c>
      <c r="P29" t="s">
        <v>5</v>
      </c>
      <c r="Q29" t="s">
        <v>80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68</v>
      </c>
      <c r="X29" s="17">
        <v>42712</v>
      </c>
      <c r="Y29" t="s">
        <v>133</v>
      </c>
      <c r="Z29" s="17">
        <v>42711</v>
      </c>
      <c r="AA29" t="s">
        <v>3</v>
      </c>
      <c r="AB29" t="s">
        <v>130</v>
      </c>
    </row>
    <row r="30" spans="1:28" hidden="1">
      <c r="A30" t="s">
        <v>130</v>
      </c>
      <c r="B30" s="17">
        <v>42711</v>
      </c>
      <c r="C30" s="17">
        <v>42711</v>
      </c>
      <c r="D30" t="s">
        <v>0</v>
      </c>
      <c r="E30" t="s">
        <v>1</v>
      </c>
      <c r="F30" s="18">
        <v>782954.29</v>
      </c>
      <c r="G30" s="18">
        <v>782954.29</v>
      </c>
      <c r="H30" t="s">
        <v>2</v>
      </c>
      <c r="I30" t="s">
        <v>8</v>
      </c>
      <c r="J30" s="18">
        <v>62166570.630000003</v>
      </c>
      <c r="K30" t="s">
        <v>134</v>
      </c>
      <c r="L30" t="s">
        <v>9</v>
      </c>
      <c r="M30" t="s">
        <v>132</v>
      </c>
      <c r="N30" t="s">
        <v>3</v>
      </c>
      <c r="O30" t="s">
        <v>3</v>
      </c>
      <c r="P30" t="s">
        <v>5</v>
      </c>
      <c r="Q30" t="s">
        <v>80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68</v>
      </c>
      <c r="X30" s="17">
        <v>42711</v>
      </c>
      <c r="Y30" t="s">
        <v>130</v>
      </c>
      <c r="Z30" s="17">
        <v>42711</v>
      </c>
      <c r="AA30" t="s">
        <v>3</v>
      </c>
      <c r="AB30" t="s">
        <v>130</v>
      </c>
    </row>
    <row r="31" spans="1:28" hidden="1">
      <c r="A31" t="s">
        <v>146</v>
      </c>
      <c r="B31" s="17">
        <v>42711</v>
      </c>
      <c r="C31" s="17">
        <v>42711</v>
      </c>
      <c r="D31" t="s">
        <v>0</v>
      </c>
      <c r="E31" t="s">
        <v>1</v>
      </c>
      <c r="F31" s="18">
        <v>-144300</v>
      </c>
      <c r="G31" s="18">
        <v>-144300</v>
      </c>
      <c r="H31" t="s">
        <v>2</v>
      </c>
      <c r="I31" t="s">
        <v>10</v>
      </c>
      <c r="J31" s="18">
        <v>-11457420</v>
      </c>
      <c r="K31" t="s">
        <v>3</v>
      </c>
      <c r="L31" t="s">
        <v>9</v>
      </c>
      <c r="M31" t="s">
        <v>147</v>
      </c>
      <c r="N31" t="s">
        <v>3</v>
      </c>
      <c r="O31" t="s">
        <v>3</v>
      </c>
      <c r="P31" t="s">
        <v>5</v>
      </c>
      <c r="Q31" t="s">
        <v>80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68</v>
      </c>
      <c r="X31" s="17">
        <v>42715</v>
      </c>
      <c r="Y31" t="s">
        <v>148</v>
      </c>
      <c r="Z31" s="17">
        <v>42711</v>
      </c>
      <c r="AA31" t="s">
        <v>3</v>
      </c>
      <c r="AB31" t="s">
        <v>146</v>
      </c>
    </row>
    <row r="32" spans="1:28" hidden="1">
      <c r="A32" t="s">
        <v>146</v>
      </c>
      <c r="B32" s="17">
        <v>42711</v>
      </c>
      <c r="C32" s="17">
        <v>42711</v>
      </c>
      <c r="D32" t="s">
        <v>0</v>
      </c>
      <c r="E32" t="s">
        <v>1</v>
      </c>
      <c r="F32" s="18">
        <v>230100</v>
      </c>
      <c r="G32" s="18">
        <v>230100</v>
      </c>
      <c r="H32" t="s">
        <v>2</v>
      </c>
      <c r="I32" t="s">
        <v>10</v>
      </c>
      <c r="J32" s="18">
        <v>18269940</v>
      </c>
      <c r="K32" t="s">
        <v>149</v>
      </c>
      <c r="L32" t="s">
        <v>9</v>
      </c>
      <c r="M32" t="s">
        <v>147</v>
      </c>
      <c r="N32" t="s">
        <v>3</v>
      </c>
      <c r="O32" t="s">
        <v>3</v>
      </c>
      <c r="P32" t="s">
        <v>5</v>
      </c>
      <c r="Q32" t="s">
        <v>80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68</v>
      </c>
      <c r="X32" s="17">
        <v>42711</v>
      </c>
      <c r="Y32" t="s">
        <v>146</v>
      </c>
      <c r="Z32" s="17">
        <v>42711</v>
      </c>
      <c r="AA32" t="s">
        <v>3</v>
      </c>
      <c r="AB32" t="s">
        <v>146</v>
      </c>
    </row>
    <row r="33" spans="1:28" hidden="1">
      <c r="A33" t="s">
        <v>133</v>
      </c>
      <c r="B33" s="17">
        <v>42712</v>
      </c>
      <c r="C33" s="17">
        <v>42712</v>
      </c>
      <c r="D33" t="s">
        <v>0</v>
      </c>
      <c r="E33" t="s">
        <v>1</v>
      </c>
      <c r="F33" s="18">
        <v>-641054.29</v>
      </c>
      <c r="G33" s="18">
        <v>-641054.29</v>
      </c>
      <c r="H33" t="s">
        <v>2</v>
      </c>
      <c r="I33" t="s">
        <v>8</v>
      </c>
      <c r="J33" s="18">
        <v>-50899710.630000003</v>
      </c>
      <c r="K33" t="s">
        <v>71</v>
      </c>
      <c r="L33" t="s">
        <v>9</v>
      </c>
      <c r="M33" t="s">
        <v>135</v>
      </c>
      <c r="N33" t="s">
        <v>3</v>
      </c>
      <c r="O33" t="s">
        <v>3</v>
      </c>
      <c r="P33" t="s">
        <v>5</v>
      </c>
      <c r="Q33" t="s">
        <v>80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68</v>
      </c>
      <c r="X33" s="17">
        <v>42712</v>
      </c>
      <c r="Y33" t="s">
        <v>136</v>
      </c>
      <c r="Z33" s="17">
        <v>42712</v>
      </c>
      <c r="AA33" t="s">
        <v>3</v>
      </c>
      <c r="AB33" t="s">
        <v>133</v>
      </c>
    </row>
    <row r="34" spans="1:28" hidden="1">
      <c r="A34" t="s">
        <v>133</v>
      </c>
      <c r="B34" s="17">
        <v>42712</v>
      </c>
      <c r="C34" s="17">
        <v>42712</v>
      </c>
      <c r="D34" t="s">
        <v>0</v>
      </c>
      <c r="E34" t="s">
        <v>1</v>
      </c>
      <c r="F34" s="18">
        <v>770754.29</v>
      </c>
      <c r="G34" s="18">
        <v>770754.29</v>
      </c>
      <c r="H34" t="s">
        <v>2</v>
      </c>
      <c r="I34" t="s">
        <v>8</v>
      </c>
      <c r="J34" s="18">
        <v>61197890.630000003</v>
      </c>
      <c r="K34" t="s">
        <v>137</v>
      </c>
      <c r="L34" t="s">
        <v>9</v>
      </c>
      <c r="M34" t="s">
        <v>135</v>
      </c>
      <c r="N34" t="s">
        <v>3</v>
      </c>
      <c r="O34" t="s">
        <v>3</v>
      </c>
      <c r="P34" t="s">
        <v>5</v>
      </c>
      <c r="Q34" t="s">
        <v>80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68</v>
      </c>
      <c r="X34" s="17">
        <v>42712</v>
      </c>
      <c r="Y34" t="s">
        <v>133</v>
      </c>
      <c r="Z34" s="17">
        <v>42712</v>
      </c>
      <c r="AA34" t="s">
        <v>3</v>
      </c>
      <c r="AB34" t="s">
        <v>133</v>
      </c>
    </row>
    <row r="35" spans="1:28" hidden="1">
      <c r="A35" t="s">
        <v>136</v>
      </c>
      <c r="B35" s="17">
        <v>42712</v>
      </c>
      <c r="C35" s="17">
        <v>42712</v>
      </c>
      <c r="D35" t="s">
        <v>0</v>
      </c>
      <c r="E35" t="s">
        <v>1</v>
      </c>
      <c r="F35" s="18">
        <v>-634454.29</v>
      </c>
      <c r="G35" s="18">
        <v>-634454.29</v>
      </c>
      <c r="H35" t="s">
        <v>2</v>
      </c>
      <c r="I35" t="s">
        <v>8</v>
      </c>
      <c r="J35" s="18">
        <v>-50375670.630000003</v>
      </c>
      <c r="K35" t="s">
        <v>3</v>
      </c>
      <c r="L35" t="s">
        <v>9</v>
      </c>
      <c r="M35" t="s">
        <v>138</v>
      </c>
      <c r="N35" t="s">
        <v>3</v>
      </c>
      <c r="O35" t="s">
        <v>3</v>
      </c>
      <c r="P35" t="s">
        <v>5</v>
      </c>
      <c r="Q35" t="s">
        <v>80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68</v>
      </c>
      <c r="X35" s="17">
        <v>42712</v>
      </c>
      <c r="Y35" t="s">
        <v>139</v>
      </c>
      <c r="Z35" s="17">
        <v>42712</v>
      </c>
      <c r="AA35" t="s">
        <v>3</v>
      </c>
      <c r="AB35" t="s">
        <v>136</v>
      </c>
    </row>
    <row r="36" spans="1:28" hidden="1">
      <c r="A36" t="s">
        <v>136</v>
      </c>
      <c r="B36" s="17">
        <v>42712</v>
      </c>
      <c r="C36" s="17">
        <v>42712</v>
      </c>
      <c r="D36" t="s">
        <v>0</v>
      </c>
      <c r="E36" t="s">
        <v>1</v>
      </c>
      <c r="F36" s="18">
        <v>641054.29</v>
      </c>
      <c r="G36" s="18">
        <v>641054.29</v>
      </c>
      <c r="H36" t="s">
        <v>2</v>
      </c>
      <c r="I36" t="s">
        <v>8</v>
      </c>
      <c r="J36" s="18">
        <v>50899710.630000003</v>
      </c>
      <c r="K36" t="s">
        <v>140</v>
      </c>
      <c r="L36" t="s">
        <v>9</v>
      </c>
      <c r="M36" t="s">
        <v>138</v>
      </c>
      <c r="N36" t="s">
        <v>3</v>
      </c>
      <c r="O36" t="s">
        <v>3</v>
      </c>
      <c r="P36" t="s">
        <v>5</v>
      </c>
      <c r="Q36" t="s">
        <v>80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68</v>
      </c>
      <c r="X36" s="17">
        <v>42712</v>
      </c>
      <c r="Y36" t="s">
        <v>136</v>
      </c>
      <c r="Z36" s="17">
        <v>42712</v>
      </c>
      <c r="AA36" t="s">
        <v>3</v>
      </c>
      <c r="AB36" t="s">
        <v>136</v>
      </c>
    </row>
    <row r="37" spans="1:28" hidden="1">
      <c r="A37" t="s">
        <v>139</v>
      </c>
      <c r="B37" s="17">
        <v>42712</v>
      </c>
      <c r="C37" s="17">
        <v>42712</v>
      </c>
      <c r="D37" t="s">
        <v>0</v>
      </c>
      <c r="E37" t="s">
        <v>1</v>
      </c>
      <c r="F37" s="18">
        <v>-482854.29</v>
      </c>
      <c r="G37" s="18">
        <v>-482854.29</v>
      </c>
      <c r="H37" t="s">
        <v>2</v>
      </c>
      <c r="I37" t="s">
        <v>8</v>
      </c>
      <c r="J37" s="18">
        <v>-38338630.630000003</v>
      </c>
      <c r="K37" t="s">
        <v>3</v>
      </c>
      <c r="L37" t="s">
        <v>9</v>
      </c>
      <c r="M37" t="s">
        <v>141</v>
      </c>
      <c r="N37" t="s">
        <v>3</v>
      </c>
      <c r="O37" t="s">
        <v>3</v>
      </c>
      <c r="P37" t="s">
        <v>5</v>
      </c>
      <c r="Q37" t="s">
        <v>80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68</v>
      </c>
      <c r="X37" s="17">
        <v>42715</v>
      </c>
      <c r="Y37" t="s">
        <v>142</v>
      </c>
      <c r="Z37" s="17">
        <v>42712</v>
      </c>
      <c r="AA37" t="s">
        <v>3</v>
      </c>
      <c r="AB37" t="s">
        <v>139</v>
      </c>
    </row>
    <row r="38" spans="1:28" hidden="1">
      <c r="A38" t="s">
        <v>139</v>
      </c>
      <c r="B38" s="17">
        <v>42712</v>
      </c>
      <c r="C38" s="17">
        <v>42712</v>
      </c>
      <c r="D38" t="s">
        <v>0</v>
      </c>
      <c r="E38" t="s">
        <v>1</v>
      </c>
      <c r="F38" s="18">
        <v>634454.29</v>
      </c>
      <c r="G38" s="18">
        <v>634454.29</v>
      </c>
      <c r="H38" t="s">
        <v>2</v>
      </c>
      <c r="I38" t="s">
        <v>8</v>
      </c>
      <c r="J38" s="18">
        <v>50375670.630000003</v>
      </c>
      <c r="K38" t="s">
        <v>143</v>
      </c>
      <c r="L38" t="s">
        <v>9</v>
      </c>
      <c r="M38" t="s">
        <v>141</v>
      </c>
      <c r="N38" t="s">
        <v>3</v>
      </c>
      <c r="O38" t="s">
        <v>3</v>
      </c>
      <c r="P38" t="s">
        <v>5</v>
      </c>
      <c r="Q38" t="s">
        <v>80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68</v>
      </c>
      <c r="X38" s="17">
        <v>42712</v>
      </c>
      <c r="Y38" t="s">
        <v>139</v>
      </c>
      <c r="Z38" s="17">
        <v>42712</v>
      </c>
      <c r="AA38" t="s">
        <v>3</v>
      </c>
      <c r="AB38" t="s">
        <v>139</v>
      </c>
    </row>
    <row r="39" spans="1:28" hidden="1">
      <c r="A39" t="s">
        <v>142</v>
      </c>
      <c r="B39" s="17">
        <v>42715</v>
      </c>
      <c r="C39" s="17">
        <v>42715</v>
      </c>
      <c r="D39" t="s">
        <v>0</v>
      </c>
      <c r="E39" t="s">
        <v>1</v>
      </c>
      <c r="F39" s="18">
        <v>-461254.29</v>
      </c>
      <c r="G39" s="18">
        <v>-461254.29</v>
      </c>
      <c r="H39" t="s">
        <v>2</v>
      </c>
      <c r="I39" t="s">
        <v>8</v>
      </c>
      <c r="J39" s="18">
        <v>-36623590.630000003</v>
      </c>
      <c r="K39" t="s">
        <v>3</v>
      </c>
      <c r="L39" t="s">
        <v>9</v>
      </c>
      <c r="M39" t="s">
        <v>150</v>
      </c>
      <c r="N39" t="s">
        <v>3</v>
      </c>
      <c r="O39" t="s">
        <v>3</v>
      </c>
      <c r="P39" t="s">
        <v>5</v>
      </c>
      <c r="Q39" t="s">
        <v>80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68</v>
      </c>
      <c r="X39" s="17">
        <v>42715</v>
      </c>
      <c r="Y39" t="s">
        <v>119</v>
      </c>
      <c r="Z39" s="17">
        <v>42715</v>
      </c>
      <c r="AA39" t="s">
        <v>3</v>
      </c>
      <c r="AB39" t="s">
        <v>142</v>
      </c>
    </row>
    <row r="40" spans="1:28" hidden="1">
      <c r="A40" t="s">
        <v>142</v>
      </c>
      <c r="B40" s="17">
        <v>42715</v>
      </c>
      <c r="C40" s="17">
        <v>42715</v>
      </c>
      <c r="D40" t="s">
        <v>0</v>
      </c>
      <c r="E40" t="s">
        <v>1</v>
      </c>
      <c r="F40" s="18">
        <v>482854.29</v>
      </c>
      <c r="G40" s="18">
        <v>482854.29</v>
      </c>
      <c r="H40" t="s">
        <v>2</v>
      </c>
      <c r="I40" t="s">
        <v>8</v>
      </c>
      <c r="J40" s="18">
        <v>38338630.630000003</v>
      </c>
      <c r="K40" t="s">
        <v>151</v>
      </c>
      <c r="L40" t="s">
        <v>9</v>
      </c>
      <c r="M40" t="s">
        <v>150</v>
      </c>
      <c r="N40" t="s">
        <v>3</v>
      </c>
      <c r="O40" t="s">
        <v>3</v>
      </c>
      <c r="P40" t="s">
        <v>5</v>
      </c>
      <c r="Q40" t="s">
        <v>80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68</v>
      </c>
      <c r="X40" s="17">
        <v>42715</v>
      </c>
      <c r="Y40" t="s">
        <v>142</v>
      </c>
      <c r="Z40" s="17">
        <v>42715</v>
      </c>
      <c r="AA40" t="s">
        <v>3</v>
      </c>
      <c r="AB40" t="s">
        <v>142</v>
      </c>
    </row>
    <row r="41" spans="1:28" hidden="1">
      <c r="A41" t="s">
        <v>119</v>
      </c>
      <c r="B41" s="17">
        <v>42715</v>
      </c>
      <c r="C41" s="17">
        <v>42715</v>
      </c>
      <c r="D41" t="s">
        <v>0</v>
      </c>
      <c r="E41" t="s">
        <v>1</v>
      </c>
      <c r="F41" s="18">
        <v>-419194.43</v>
      </c>
      <c r="G41" s="18">
        <v>-419194.43</v>
      </c>
      <c r="H41" t="s">
        <v>2</v>
      </c>
      <c r="I41" t="s">
        <v>8</v>
      </c>
      <c r="J41" s="18">
        <v>-33284037.739999998</v>
      </c>
      <c r="K41" t="s">
        <v>3</v>
      </c>
      <c r="L41" t="s">
        <v>9</v>
      </c>
      <c r="M41" t="s">
        <v>152</v>
      </c>
      <c r="N41" t="s">
        <v>3</v>
      </c>
      <c r="O41" t="s">
        <v>3</v>
      </c>
      <c r="P41" t="s">
        <v>5</v>
      </c>
      <c r="Q41" t="s">
        <v>80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68</v>
      </c>
      <c r="X41" s="17">
        <v>42715</v>
      </c>
      <c r="Y41" t="s">
        <v>153</v>
      </c>
      <c r="Z41" s="17">
        <v>42715</v>
      </c>
      <c r="AA41" t="s">
        <v>3</v>
      </c>
      <c r="AB41" t="s">
        <v>119</v>
      </c>
    </row>
    <row r="42" spans="1:28" hidden="1">
      <c r="A42" t="s">
        <v>119</v>
      </c>
      <c r="B42" s="17">
        <v>42715</v>
      </c>
      <c r="C42" s="17">
        <v>42715</v>
      </c>
      <c r="D42" t="s">
        <v>0</v>
      </c>
      <c r="E42" t="s">
        <v>1</v>
      </c>
      <c r="F42" s="18">
        <v>683094.43</v>
      </c>
      <c r="G42" s="18">
        <v>683094.43</v>
      </c>
      <c r="H42" t="s">
        <v>2</v>
      </c>
      <c r="I42" t="s">
        <v>8</v>
      </c>
      <c r="J42" s="18">
        <v>54237697.75</v>
      </c>
      <c r="K42" t="s">
        <v>154</v>
      </c>
      <c r="L42" t="s">
        <v>9</v>
      </c>
      <c r="M42" t="s">
        <v>152</v>
      </c>
      <c r="N42" t="s">
        <v>3</v>
      </c>
      <c r="O42" t="s">
        <v>3</v>
      </c>
      <c r="P42" t="s">
        <v>5</v>
      </c>
      <c r="Q42" t="s">
        <v>80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68</v>
      </c>
      <c r="X42" s="17">
        <v>42715</v>
      </c>
      <c r="Y42" t="s">
        <v>119</v>
      </c>
      <c r="Z42" s="17">
        <v>42715</v>
      </c>
      <c r="AA42" t="s">
        <v>3</v>
      </c>
      <c r="AB42" t="s">
        <v>119</v>
      </c>
    </row>
    <row r="43" spans="1:28" hidden="1">
      <c r="A43" t="s">
        <v>153</v>
      </c>
      <c r="B43" s="17">
        <v>42715</v>
      </c>
      <c r="C43" s="17">
        <v>42715</v>
      </c>
      <c r="D43" t="s">
        <v>0</v>
      </c>
      <c r="E43" t="s">
        <v>1</v>
      </c>
      <c r="F43" s="18">
        <v>-374694.43</v>
      </c>
      <c r="G43" s="18">
        <v>-374694.43</v>
      </c>
      <c r="H43" t="s">
        <v>2</v>
      </c>
      <c r="I43" t="s">
        <v>8</v>
      </c>
      <c r="J43" s="18">
        <v>-29750737.739999998</v>
      </c>
      <c r="K43" t="s">
        <v>3</v>
      </c>
      <c r="L43" t="s">
        <v>9</v>
      </c>
      <c r="M43" t="s">
        <v>155</v>
      </c>
      <c r="N43" t="s">
        <v>3</v>
      </c>
      <c r="O43" t="s">
        <v>3</v>
      </c>
      <c r="P43" t="s">
        <v>5</v>
      </c>
      <c r="Q43" t="s">
        <v>80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68</v>
      </c>
      <c r="X43" s="17">
        <v>42718</v>
      </c>
      <c r="Y43" t="s">
        <v>156</v>
      </c>
      <c r="Z43" s="17">
        <v>42715</v>
      </c>
      <c r="AA43" t="s">
        <v>3</v>
      </c>
      <c r="AB43" t="s">
        <v>153</v>
      </c>
    </row>
    <row r="44" spans="1:28" hidden="1">
      <c r="A44" t="s">
        <v>153</v>
      </c>
      <c r="B44" s="17">
        <v>42715</v>
      </c>
      <c r="C44" s="17">
        <v>42715</v>
      </c>
      <c r="D44" t="s">
        <v>0</v>
      </c>
      <c r="E44" t="s">
        <v>1</v>
      </c>
      <c r="F44" s="18">
        <v>419194.43</v>
      </c>
      <c r="G44" s="18">
        <v>419194.43</v>
      </c>
      <c r="H44" t="s">
        <v>2</v>
      </c>
      <c r="I44" t="s">
        <v>8</v>
      </c>
      <c r="J44" s="18">
        <v>33284037.739999998</v>
      </c>
      <c r="K44" t="s">
        <v>157</v>
      </c>
      <c r="L44" t="s">
        <v>9</v>
      </c>
      <c r="M44" t="s">
        <v>155</v>
      </c>
      <c r="N44" t="s">
        <v>3</v>
      </c>
      <c r="O44" t="s">
        <v>3</v>
      </c>
      <c r="P44" t="s">
        <v>5</v>
      </c>
      <c r="Q44" t="s">
        <v>80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68</v>
      </c>
      <c r="X44" s="17">
        <v>42715</v>
      </c>
      <c r="Y44" t="s">
        <v>153</v>
      </c>
      <c r="Z44" s="17">
        <v>42715</v>
      </c>
      <c r="AA44" t="s">
        <v>3</v>
      </c>
      <c r="AB44" t="s">
        <v>153</v>
      </c>
    </row>
    <row r="45" spans="1:28" hidden="1">
      <c r="A45" t="s">
        <v>148</v>
      </c>
      <c r="B45" s="17">
        <v>42715</v>
      </c>
      <c r="C45" s="17">
        <v>42715</v>
      </c>
      <c r="D45" t="s">
        <v>0</v>
      </c>
      <c r="E45" t="s">
        <v>1</v>
      </c>
      <c r="F45" s="18">
        <v>-130200</v>
      </c>
      <c r="G45" s="18">
        <v>-130200</v>
      </c>
      <c r="H45" t="s">
        <v>2</v>
      </c>
      <c r="I45" t="s">
        <v>10</v>
      </c>
      <c r="J45" s="18">
        <v>-10337880</v>
      </c>
      <c r="K45" t="s">
        <v>3</v>
      </c>
      <c r="L45" t="s">
        <v>9</v>
      </c>
      <c r="M45" t="s">
        <v>158</v>
      </c>
      <c r="N45" t="s">
        <v>3</v>
      </c>
      <c r="O45" t="s">
        <v>3</v>
      </c>
      <c r="P45" t="s">
        <v>5</v>
      </c>
      <c r="Q45" t="s">
        <v>80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68</v>
      </c>
      <c r="X45" s="17">
        <v>42718</v>
      </c>
      <c r="Y45" t="s">
        <v>159</v>
      </c>
      <c r="Z45" s="17">
        <v>42715</v>
      </c>
      <c r="AA45" t="s">
        <v>3</v>
      </c>
      <c r="AB45" t="s">
        <v>148</v>
      </c>
    </row>
    <row r="46" spans="1:28" hidden="1">
      <c r="A46" t="s">
        <v>148</v>
      </c>
      <c r="B46" s="17">
        <v>42715</v>
      </c>
      <c r="C46" s="17">
        <v>42715</v>
      </c>
      <c r="D46" t="s">
        <v>0</v>
      </c>
      <c r="E46" t="s">
        <v>1</v>
      </c>
      <c r="F46" s="18">
        <v>144300</v>
      </c>
      <c r="G46" s="18">
        <v>144300</v>
      </c>
      <c r="H46" t="s">
        <v>2</v>
      </c>
      <c r="I46" t="s">
        <v>10</v>
      </c>
      <c r="J46" s="18">
        <v>11457420</v>
      </c>
      <c r="K46" t="s">
        <v>160</v>
      </c>
      <c r="L46" t="s">
        <v>9</v>
      </c>
      <c r="M46" t="s">
        <v>158</v>
      </c>
      <c r="N46" t="s">
        <v>3</v>
      </c>
      <c r="O46" t="s">
        <v>3</v>
      </c>
      <c r="P46" t="s">
        <v>5</v>
      </c>
      <c r="Q46" t="s">
        <v>80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68</v>
      </c>
      <c r="X46" s="17">
        <v>42715</v>
      </c>
      <c r="Y46" t="s">
        <v>148</v>
      </c>
      <c r="Z46" s="17">
        <v>42715</v>
      </c>
      <c r="AA46" t="s">
        <v>3</v>
      </c>
      <c r="AB46" t="s">
        <v>148</v>
      </c>
    </row>
    <row r="47" spans="1:28" hidden="1">
      <c r="A47" t="s">
        <v>156</v>
      </c>
      <c r="B47" s="17">
        <v>42718</v>
      </c>
      <c r="C47" s="17">
        <v>42718</v>
      </c>
      <c r="D47" t="s">
        <v>0</v>
      </c>
      <c r="E47" t="s">
        <v>1</v>
      </c>
      <c r="F47" s="18">
        <v>-363894.43</v>
      </c>
      <c r="G47" s="18">
        <v>-363894.43</v>
      </c>
      <c r="H47" t="s">
        <v>2</v>
      </c>
      <c r="I47" t="s">
        <v>8</v>
      </c>
      <c r="J47" s="18">
        <v>-28893217.739999998</v>
      </c>
      <c r="K47" t="s">
        <v>3</v>
      </c>
      <c r="L47" t="s">
        <v>9</v>
      </c>
      <c r="M47" t="s">
        <v>161</v>
      </c>
      <c r="N47" t="s">
        <v>3</v>
      </c>
      <c r="O47" t="s">
        <v>3</v>
      </c>
      <c r="P47" t="s">
        <v>5</v>
      </c>
      <c r="Q47" t="s">
        <v>80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68</v>
      </c>
      <c r="X47" s="17">
        <v>42718</v>
      </c>
      <c r="Y47" t="s">
        <v>162</v>
      </c>
      <c r="Z47" s="17">
        <v>42718</v>
      </c>
      <c r="AA47" t="s">
        <v>3</v>
      </c>
      <c r="AB47" t="s">
        <v>156</v>
      </c>
    </row>
    <row r="48" spans="1:28" hidden="1">
      <c r="A48" t="s">
        <v>156</v>
      </c>
      <c r="B48" s="17">
        <v>42718</v>
      </c>
      <c r="C48" s="17">
        <v>42718</v>
      </c>
      <c r="D48" t="s">
        <v>0</v>
      </c>
      <c r="E48" t="s">
        <v>1</v>
      </c>
      <c r="F48" s="18">
        <v>374694.43</v>
      </c>
      <c r="G48" s="18">
        <v>374694.43</v>
      </c>
      <c r="H48" t="s">
        <v>2</v>
      </c>
      <c r="I48" t="s">
        <v>8</v>
      </c>
      <c r="J48" s="18">
        <v>29750737.739999998</v>
      </c>
      <c r="K48" t="s">
        <v>163</v>
      </c>
      <c r="L48" t="s">
        <v>9</v>
      </c>
      <c r="M48" t="s">
        <v>161</v>
      </c>
      <c r="N48" t="s">
        <v>3</v>
      </c>
      <c r="O48" t="s">
        <v>3</v>
      </c>
      <c r="P48" t="s">
        <v>5</v>
      </c>
      <c r="Q48" t="s">
        <v>80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68</v>
      </c>
      <c r="X48" s="17">
        <v>42718</v>
      </c>
      <c r="Y48" t="s">
        <v>156</v>
      </c>
      <c r="Z48" s="17">
        <v>42718</v>
      </c>
      <c r="AA48" t="s">
        <v>3</v>
      </c>
      <c r="AB48" t="s">
        <v>156</v>
      </c>
    </row>
    <row r="49" spans="1:28" hidden="1">
      <c r="A49" t="s">
        <v>162</v>
      </c>
      <c r="B49" s="17">
        <v>42718</v>
      </c>
      <c r="C49" s="17">
        <v>42718</v>
      </c>
      <c r="D49" t="s">
        <v>0</v>
      </c>
      <c r="E49" t="s">
        <v>1</v>
      </c>
      <c r="F49" s="18">
        <v>-358694.43</v>
      </c>
      <c r="G49" s="18">
        <v>-358694.43</v>
      </c>
      <c r="H49" t="s">
        <v>2</v>
      </c>
      <c r="I49" t="s">
        <v>8</v>
      </c>
      <c r="J49" s="18">
        <v>-28480337.739999998</v>
      </c>
      <c r="K49" t="s">
        <v>3</v>
      </c>
      <c r="L49" t="s">
        <v>9</v>
      </c>
      <c r="M49" t="s">
        <v>164</v>
      </c>
      <c r="N49" t="s">
        <v>3</v>
      </c>
      <c r="O49" t="s">
        <v>3</v>
      </c>
      <c r="P49" t="s">
        <v>5</v>
      </c>
      <c r="Q49" t="s">
        <v>80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68</v>
      </c>
      <c r="X49" s="17">
        <v>42718</v>
      </c>
      <c r="Y49" t="s">
        <v>165</v>
      </c>
      <c r="Z49" s="17">
        <v>42718</v>
      </c>
      <c r="AA49" t="s">
        <v>3</v>
      </c>
      <c r="AB49" t="s">
        <v>162</v>
      </c>
    </row>
    <row r="50" spans="1:28" hidden="1">
      <c r="A50" t="s">
        <v>162</v>
      </c>
      <c r="B50" s="17">
        <v>42718</v>
      </c>
      <c r="C50" s="17">
        <v>42718</v>
      </c>
      <c r="D50" t="s">
        <v>0</v>
      </c>
      <c r="E50" t="s">
        <v>1</v>
      </c>
      <c r="F50" s="18">
        <v>363894.43</v>
      </c>
      <c r="G50" s="18">
        <v>363894.43</v>
      </c>
      <c r="H50" t="s">
        <v>2</v>
      </c>
      <c r="I50" t="s">
        <v>8</v>
      </c>
      <c r="J50" s="18">
        <v>28893217.739999998</v>
      </c>
      <c r="K50" t="s">
        <v>166</v>
      </c>
      <c r="L50" t="s">
        <v>9</v>
      </c>
      <c r="M50" t="s">
        <v>164</v>
      </c>
      <c r="N50" t="s">
        <v>3</v>
      </c>
      <c r="O50" t="s">
        <v>3</v>
      </c>
      <c r="P50" t="s">
        <v>5</v>
      </c>
      <c r="Q50" t="s">
        <v>80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68</v>
      </c>
      <c r="X50" s="17">
        <v>42718</v>
      </c>
      <c r="Y50" t="s">
        <v>162</v>
      </c>
      <c r="Z50" s="17">
        <v>42718</v>
      </c>
      <c r="AA50" t="s">
        <v>3</v>
      </c>
      <c r="AB50" t="s">
        <v>162</v>
      </c>
    </row>
    <row r="51" spans="1:28" hidden="1">
      <c r="A51" t="s">
        <v>165</v>
      </c>
      <c r="B51" s="17">
        <v>42718</v>
      </c>
      <c r="C51" s="17">
        <v>42718</v>
      </c>
      <c r="D51" t="s">
        <v>0</v>
      </c>
      <c r="E51" t="s">
        <v>1</v>
      </c>
      <c r="F51" s="18">
        <v>-302994.43</v>
      </c>
      <c r="G51" s="18">
        <v>-302994.43</v>
      </c>
      <c r="H51" t="s">
        <v>2</v>
      </c>
      <c r="I51" t="s">
        <v>8</v>
      </c>
      <c r="J51" s="18">
        <v>-24057757.739999998</v>
      </c>
      <c r="K51" t="s">
        <v>3</v>
      </c>
      <c r="L51" t="s">
        <v>9</v>
      </c>
      <c r="M51" t="s">
        <v>167</v>
      </c>
      <c r="N51" t="s">
        <v>3</v>
      </c>
      <c r="O51" t="s">
        <v>3</v>
      </c>
      <c r="P51" t="s">
        <v>5</v>
      </c>
      <c r="Q51" t="s">
        <v>80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68</v>
      </c>
      <c r="X51" s="17">
        <v>42718</v>
      </c>
      <c r="Y51" t="s">
        <v>168</v>
      </c>
      <c r="Z51" s="17">
        <v>42718</v>
      </c>
      <c r="AA51" t="s">
        <v>3</v>
      </c>
      <c r="AB51" t="s">
        <v>165</v>
      </c>
    </row>
    <row r="52" spans="1:28" hidden="1">
      <c r="A52" t="s">
        <v>165</v>
      </c>
      <c r="B52" s="17">
        <v>42718</v>
      </c>
      <c r="C52" s="17">
        <v>42718</v>
      </c>
      <c r="D52" t="s">
        <v>0</v>
      </c>
      <c r="E52" t="s">
        <v>1</v>
      </c>
      <c r="F52" s="18">
        <v>358694.43</v>
      </c>
      <c r="G52" s="18">
        <v>358694.43</v>
      </c>
      <c r="H52" t="s">
        <v>2</v>
      </c>
      <c r="I52" t="s">
        <v>8</v>
      </c>
      <c r="J52" s="18">
        <v>28480337.739999998</v>
      </c>
      <c r="K52" t="s">
        <v>169</v>
      </c>
      <c r="L52" t="s">
        <v>9</v>
      </c>
      <c r="M52" t="s">
        <v>167</v>
      </c>
      <c r="N52" t="s">
        <v>3</v>
      </c>
      <c r="O52" t="s">
        <v>3</v>
      </c>
      <c r="P52" t="s">
        <v>5</v>
      </c>
      <c r="Q52" t="s">
        <v>80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68</v>
      </c>
      <c r="X52" s="17">
        <v>42718</v>
      </c>
      <c r="Y52" t="s">
        <v>165</v>
      </c>
      <c r="Z52" s="17">
        <v>42718</v>
      </c>
      <c r="AA52" t="s">
        <v>3</v>
      </c>
      <c r="AB52" t="s">
        <v>165</v>
      </c>
    </row>
    <row r="53" spans="1:28" hidden="1">
      <c r="A53" t="s">
        <v>168</v>
      </c>
      <c r="B53" s="17">
        <v>42718</v>
      </c>
      <c r="C53" s="17">
        <v>42718</v>
      </c>
      <c r="D53" t="s">
        <v>0</v>
      </c>
      <c r="E53" t="s">
        <v>1</v>
      </c>
      <c r="F53" s="18">
        <v>-293694.43</v>
      </c>
      <c r="G53" s="18">
        <v>-293694.43</v>
      </c>
      <c r="H53" t="s">
        <v>2</v>
      </c>
      <c r="I53" t="s">
        <v>8</v>
      </c>
      <c r="J53" s="18">
        <v>-23319337.739999998</v>
      </c>
      <c r="K53" t="s">
        <v>3</v>
      </c>
      <c r="L53" t="s">
        <v>9</v>
      </c>
      <c r="M53" t="s">
        <v>170</v>
      </c>
      <c r="N53" t="s">
        <v>3</v>
      </c>
      <c r="O53" t="s">
        <v>3</v>
      </c>
      <c r="P53" t="s">
        <v>5</v>
      </c>
      <c r="Q53" t="s">
        <v>80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68</v>
      </c>
      <c r="X53" s="17">
        <v>42718</v>
      </c>
      <c r="Y53" t="s">
        <v>171</v>
      </c>
      <c r="Z53" s="17">
        <v>42718</v>
      </c>
      <c r="AA53" t="s">
        <v>3</v>
      </c>
      <c r="AB53" t="s">
        <v>168</v>
      </c>
    </row>
    <row r="54" spans="1:28" hidden="1">
      <c r="A54" t="s">
        <v>168</v>
      </c>
      <c r="B54" s="17">
        <v>42718</v>
      </c>
      <c r="C54" s="17">
        <v>42718</v>
      </c>
      <c r="D54" t="s">
        <v>0</v>
      </c>
      <c r="E54" t="s">
        <v>1</v>
      </c>
      <c r="F54" s="18">
        <v>302994.43</v>
      </c>
      <c r="G54" s="18">
        <v>302994.43</v>
      </c>
      <c r="H54" t="s">
        <v>2</v>
      </c>
      <c r="I54" t="s">
        <v>8</v>
      </c>
      <c r="J54" s="18">
        <v>24057757.739999998</v>
      </c>
      <c r="K54" t="s">
        <v>172</v>
      </c>
      <c r="L54" t="s">
        <v>9</v>
      </c>
      <c r="M54" t="s">
        <v>170</v>
      </c>
      <c r="N54" t="s">
        <v>3</v>
      </c>
      <c r="O54" t="s">
        <v>3</v>
      </c>
      <c r="P54" t="s">
        <v>5</v>
      </c>
      <c r="Q54" t="s">
        <v>80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68</v>
      </c>
      <c r="X54" s="17">
        <v>42718</v>
      </c>
      <c r="Y54" t="s">
        <v>168</v>
      </c>
      <c r="Z54" s="17">
        <v>42718</v>
      </c>
      <c r="AA54" t="s">
        <v>3</v>
      </c>
      <c r="AB54" t="s">
        <v>168</v>
      </c>
    </row>
    <row r="55" spans="1:28" hidden="1">
      <c r="A55" t="s">
        <v>171</v>
      </c>
      <c r="B55" s="17">
        <v>42718</v>
      </c>
      <c r="C55" s="17">
        <v>42718</v>
      </c>
      <c r="D55" t="s">
        <v>0</v>
      </c>
      <c r="E55" t="s">
        <v>1</v>
      </c>
      <c r="F55" s="18">
        <v>-26594.43</v>
      </c>
      <c r="G55" s="18">
        <v>-26594.43</v>
      </c>
      <c r="H55" t="s">
        <v>2</v>
      </c>
      <c r="I55" t="s">
        <v>8</v>
      </c>
      <c r="J55" s="18">
        <v>-2111597.7400000002</v>
      </c>
      <c r="K55" t="s">
        <v>3</v>
      </c>
      <c r="L55" t="s">
        <v>9</v>
      </c>
      <c r="M55" t="s">
        <v>173</v>
      </c>
      <c r="N55" t="s">
        <v>3</v>
      </c>
      <c r="O55" t="s">
        <v>3</v>
      </c>
      <c r="P55" t="s">
        <v>5</v>
      </c>
      <c r="Q55" t="s">
        <v>80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68</v>
      </c>
      <c r="X55" s="17">
        <v>42718</v>
      </c>
      <c r="Y55" t="s">
        <v>174</v>
      </c>
      <c r="Z55" s="17">
        <v>42718</v>
      </c>
      <c r="AA55" t="s">
        <v>3</v>
      </c>
      <c r="AB55" t="s">
        <v>171</v>
      </c>
    </row>
    <row r="56" spans="1:28" hidden="1">
      <c r="A56" t="s">
        <v>171</v>
      </c>
      <c r="B56" s="17">
        <v>42718</v>
      </c>
      <c r="C56" s="17">
        <v>42718</v>
      </c>
      <c r="D56" t="s">
        <v>0</v>
      </c>
      <c r="E56" t="s">
        <v>1</v>
      </c>
      <c r="F56" s="18">
        <v>293694.43</v>
      </c>
      <c r="G56" s="18">
        <v>293694.43</v>
      </c>
      <c r="H56" t="s">
        <v>2</v>
      </c>
      <c r="I56" t="s">
        <v>8</v>
      </c>
      <c r="J56" s="18">
        <v>23319337.739999998</v>
      </c>
      <c r="K56" t="s">
        <v>175</v>
      </c>
      <c r="L56" t="s">
        <v>9</v>
      </c>
      <c r="M56" t="s">
        <v>173</v>
      </c>
      <c r="N56" t="s">
        <v>3</v>
      </c>
      <c r="O56" t="s">
        <v>3</v>
      </c>
      <c r="P56" t="s">
        <v>5</v>
      </c>
      <c r="Q56" t="s">
        <v>80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68</v>
      </c>
      <c r="X56" s="17">
        <v>42718</v>
      </c>
      <c r="Y56" t="s">
        <v>171</v>
      </c>
      <c r="Z56" s="17">
        <v>42718</v>
      </c>
      <c r="AA56" t="s">
        <v>3</v>
      </c>
      <c r="AB56" t="s">
        <v>171</v>
      </c>
    </row>
    <row r="57" spans="1:28" hidden="1">
      <c r="A57" t="s">
        <v>174</v>
      </c>
      <c r="B57" s="17">
        <v>42718</v>
      </c>
      <c r="C57" s="17">
        <v>42718</v>
      </c>
      <c r="D57" t="s">
        <v>0</v>
      </c>
      <c r="E57" t="s">
        <v>1</v>
      </c>
      <c r="F57" s="18">
        <v>-1894.43</v>
      </c>
      <c r="G57" s="18">
        <v>-1894.43</v>
      </c>
      <c r="H57" t="s">
        <v>2</v>
      </c>
      <c r="I57" t="s">
        <v>8</v>
      </c>
      <c r="J57" s="18">
        <v>-150417.74</v>
      </c>
      <c r="K57" t="s">
        <v>3</v>
      </c>
      <c r="L57" t="s">
        <v>9</v>
      </c>
      <c r="M57" t="s">
        <v>176</v>
      </c>
      <c r="N57" t="s">
        <v>3</v>
      </c>
      <c r="O57" t="s">
        <v>3</v>
      </c>
      <c r="P57" t="s">
        <v>5</v>
      </c>
      <c r="Q57" t="s">
        <v>80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68</v>
      </c>
      <c r="X57" s="17">
        <v>42736</v>
      </c>
      <c r="Y57" t="s">
        <v>177</v>
      </c>
      <c r="Z57" s="17">
        <v>42718</v>
      </c>
      <c r="AA57" t="s">
        <v>3</v>
      </c>
      <c r="AB57" t="s">
        <v>174</v>
      </c>
    </row>
    <row r="58" spans="1:28" hidden="1">
      <c r="A58" t="s">
        <v>174</v>
      </c>
      <c r="B58" s="17">
        <v>42718</v>
      </c>
      <c r="C58" s="17">
        <v>42718</v>
      </c>
      <c r="D58" t="s">
        <v>0</v>
      </c>
      <c r="E58" t="s">
        <v>1</v>
      </c>
      <c r="F58" s="18">
        <v>26594.43</v>
      </c>
      <c r="G58" s="18">
        <v>26594.43</v>
      </c>
      <c r="H58" t="s">
        <v>2</v>
      </c>
      <c r="I58" t="s">
        <v>8</v>
      </c>
      <c r="J58" s="18">
        <v>2111597.7400000002</v>
      </c>
      <c r="K58" t="s">
        <v>178</v>
      </c>
      <c r="L58" t="s">
        <v>9</v>
      </c>
      <c r="M58" t="s">
        <v>176</v>
      </c>
      <c r="N58" t="s">
        <v>3</v>
      </c>
      <c r="O58" t="s">
        <v>3</v>
      </c>
      <c r="P58" t="s">
        <v>5</v>
      </c>
      <c r="Q58" t="s">
        <v>80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68</v>
      </c>
      <c r="X58" s="17">
        <v>42718</v>
      </c>
      <c r="Y58" t="s">
        <v>174</v>
      </c>
      <c r="Z58" s="17">
        <v>42718</v>
      </c>
      <c r="AA58" t="s">
        <v>3</v>
      </c>
      <c r="AB58" t="s">
        <v>174</v>
      </c>
    </row>
    <row r="59" spans="1:28" hidden="1">
      <c r="A59" t="s">
        <v>159</v>
      </c>
      <c r="B59" s="17">
        <v>42718</v>
      </c>
      <c r="C59" s="17">
        <v>42718</v>
      </c>
      <c r="D59" t="s">
        <v>0</v>
      </c>
      <c r="E59" t="s">
        <v>1</v>
      </c>
      <c r="F59" s="18">
        <v>-27700</v>
      </c>
      <c r="G59" s="18">
        <v>-27700</v>
      </c>
      <c r="H59" t="s">
        <v>2</v>
      </c>
      <c r="I59" t="s">
        <v>10</v>
      </c>
      <c r="J59" s="18">
        <v>-2199380</v>
      </c>
      <c r="K59" t="s">
        <v>3</v>
      </c>
      <c r="L59" t="s">
        <v>9</v>
      </c>
      <c r="M59" t="s">
        <v>179</v>
      </c>
      <c r="N59" t="s">
        <v>3</v>
      </c>
      <c r="O59" t="s">
        <v>3</v>
      </c>
      <c r="P59" t="s">
        <v>5</v>
      </c>
      <c r="Q59" t="s">
        <v>80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68</v>
      </c>
      <c r="X59" s="17">
        <v>42724</v>
      </c>
      <c r="Y59" t="s">
        <v>180</v>
      </c>
      <c r="Z59" s="17">
        <v>42718</v>
      </c>
      <c r="AA59" t="s">
        <v>3</v>
      </c>
      <c r="AB59" t="s">
        <v>159</v>
      </c>
    </row>
    <row r="60" spans="1:28" hidden="1">
      <c r="A60" t="s">
        <v>159</v>
      </c>
      <c r="B60" s="17">
        <v>42718</v>
      </c>
      <c r="C60" s="17">
        <v>42718</v>
      </c>
      <c r="D60" t="s">
        <v>0</v>
      </c>
      <c r="E60" t="s">
        <v>1</v>
      </c>
      <c r="F60" s="18">
        <v>130200</v>
      </c>
      <c r="G60" s="18">
        <v>130200</v>
      </c>
      <c r="H60" t="s">
        <v>2</v>
      </c>
      <c r="I60" t="s">
        <v>10</v>
      </c>
      <c r="J60" s="18">
        <v>10337880</v>
      </c>
      <c r="K60" t="s">
        <v>181</v>
      </c>
      <c r="L60" t="s">
        <v>9</v>
      </c>
      <c r="M60" t="s">
        <v>179</v>
      </c>
      <c r="N60" t="s">
        <v>3</v>
      </c>
      <c r="O60" t="s">
        <v>3</v>
      </c>
      <c r="P60" t="s">
        <v>5</v>
      </c>
      <c r="Q60" t="s">
        <v>80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68</v>
      </c>
      <c r="X60" s="17">
        <v>42718</v>
      </c>
      <c r="Y60" t="s">
        <v>159</v>
      </c>
      <c r="Z60" s="17">
        <v>42718</v>
      </c>
      <c r="AA60" t="s">
        <v>3</v>
      </c>
      <c r="AB60" t="s">
        <v>159</v>
      </c>
    </row>
    <row r="61" spans="1:28" hidden="1">
      <c r="A61" t="s">
        <v>182</v>
      </c>
      <c r="B61" s="17">
        <v>42719</v>
      </c>
      <c r="C61" s="17">
        <v>42719</v>
      </c>
      <c r="D61" t="s">
        <v>0</v>
      </c>
      <c r="E61" t="s">
        <v>1</v>
      </c>
      <c r="F61" s="18">
        <v>-1027200</v>
      </c>
      <c r="G61" s="18">
        <v>-1027200</v>
      </c>
      <c r="H61" t="s">
        <v>2</v>
      </c>
      <c r="I61" t="s">
        <v>8</v>
      </c>
      <c r="J61" s="18">
        <v>-81559680</v>
      </c>
      <c r="K61" t="s">
        <v>71</v>
      </c>
      <c r="L61" t="s">
        <v>9</v>
      </c>
      <c r="M61" t="s">
        <v>183</v>
      </c>
      <c r="N61" t="s">
        <v>3</v>
      </c>
      <c r="O61" t="s">
        <v>3</v>
      </c>
      <c r="P61" t="s">
        <v>5</v>
      </c>
      <c r="Q61" t="s">
        <v>71</v>
      </c>
      <c r="R61" t="s">
        <v>183</v>
      </c>
      <c r="S61" t="s">
        <v>184</v>
      </c>
      <c r="T61" t="s">
        <v>3</v>
      </c>
      <c r="U61" t="s">
        <v>183</v>
      </c>
      <c r="V61" t="s">
        <v>3</v>
      </c>
      <c r="W61" t="s">
        <v>68</v>
      </c>
      <c r="X61" s="17">
        <v>42730</v>
      </c>
      <c r="Y61" t="s">
        <v>185</v>
      </c>
      <c r="Z61" s="17">
        <v>42719</v>
      </c>
      <c r="AA61" t="s">
        <v>3</v>
      </c>
      <c r="AB61" t="s">
        <v>182</v>
      </c>
    </row>
    <row r="62" spans="1:28" hidden="1">
      <c r="A62" t="s">
        <v>180</v>
      </c>
      <c r="B62" s="17">
        <v>42724</v>
      </c>
      <c r="C62" s="17">
        <v>42724</v>
      </c>
      <c r="D62" t="s">
        <v>0</v>
      </c>
      <c r="E62" t="s">
        <v>1</v>
      </c>
      <c r="F62" s="18">
        <v>27700</v>
      </c>
      <c r="G62" s="18">
        <v>27700</v>
      </c>
      <c r="H62" t="s">
        <v>2</v>
      </c>
      <c r="I62" t="s">
        <v>10</v>
      </c>
      <c r="J62" s="18">
        <v>2199380</v>
      </c>
      <c r="K62" t="s">
        <v>186</v>
      </c>
      <c r="L62" t="s">
        <v>9</v>
      </c>
      <c r="M62" t="s">
        <v>187</v>
      </c>
      <c r="N62" t="s">
        <v>3</v>
      </c>
      <c r="O62" t="s">
        <v>3</v>
      </c>
      <c r="P62" t="s">
        <v>5</v>
      </c>
      <c r="Q62" t="s">
        <v>80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68</v>
      </c>
      <c r="X62" s="17">
        <v>42724</v>
      </c>
      <c r="Y62" t="s">
        <v>180</v>
      </c>
      <c r="Z62" s="17">
        <v>42724</v>
      </c>
      <c r="AA62" t="s">
        <v>3</v>
      </c>
      <c r="AB62" t="s">
        <v>180</v>
      </c>
    </row>
    <row r="63" spans="1:28" hidden="1">
      <c r="A63" t="s">
        <v>185</v>
      </c>
      <c r="B63" s="17">
        <v>42730</v>
      </c>
      <c r="C63" s="17">
        <v>42730</v>
      </c>
      <c r="D63" t="s">
        <v>0</v>
      </c>
      <c r="E63" t="s">
        <v>1</v>
      </c>
      <c r="F63" s="18">
        <v>-776500</v>
      </c>
      <c r="G63" s="18">
        <v>-776500</v>
      </c>
      <c r="H63" t="s">
        <v>2</v>
      </c>
      <c r="I63" t="s">
        <v>8</v>
      </c>
      <c r="J63" s="18">
        <v>-61654100</v>
      </c>
      <c r="K63" t="s">
        <v>3</v>
      </c>
      <c r="L63" t="s">
        <v>9</v>
      </c>
      <c r="M63" t="s">
        <v>188</v>
      </c>
      <c r="N63" t="s">
        <v>3</v>
      </c>
      <c r="O63" t="s">
        <v>3</v>
      </c>
      <c r="P63" t="s">
        <v>5</v>
      </c>
      <c r="Q63" t="s">
        <v>80</v>
      </c>
      <c r="R63" t="s">
        <v>183</v>
      </c>
      <c r="S63" t="s">
        <v>184</v>
      </c>
      <c r="T63" t="s">
        <v>3</v>
      </c>
      <c r="U63" t="s">
        <v>183</v>
      </c>
      <c r="V63" t="s">
        <v>3</v>
      </c>
      <c r="W63" t="s">
        <v>68</v>
      </c>
      <c r="X63" s="17">
        <v>42730</v>
      </c>
      <c r="Y63" t="s">
        <v>189</v>
      </c>
      <c r="Z63" s="17">
        <v>42730</v>
      </c>
      <c r="AA63" t="s">
        <v>3</v>
      </c>
      <c r="AB63" t="s">
        <v>185</v>
      </c>
    </row>
    <row r="64" spans="1:28" hidden="1">
      <c r="A64" t="s">
        <v>185</v>
      </c>
      <c r="B64" s="17">
        <v>42730</v>
      </c>
      <c r="C64" s="17">
        <v>42730</v>
      </c>
      <c r="D64" t="s">
        <v>0</v>
      </c>
      <c r="E64" t="s">
        <v>1</v>
      </c>
      <c r="F64" s="18">
        <v>1027200</v>
      </c>
      <c r="G64" s="18">
        <v>1027200</v>
      </c>
      <c r="H64" t="s">
        <v>2</v>
      </c>
      <c r="I64" t="s">
        <v>8</v>
      </c>
      <c r="J64" s="18">
        <v>81559680</v>
      </c>
      <c r="K64" t="s">
        <v>190</v>
      </c>
      <c r="L64" t="s">
        <v>9</v>
      </c>
      <c r="M64" t="s">
        <v>188</v>
      </c>
      <c r="N64" t="s">
        <v>3</v>
      </c>
      <c r="O64" t="s">
        <v>3</v>
      </c>
      <c r="P64" t="s">
        <v>5</v>
      </c>
      <c r="Q64" t="s">
        <v>80</v>
      </c>
      <c r="R64" t="s">
        <v>183</v>
      </c>
      <c r="S64" t="s">
        <v>184</v>
      </c>
      <c r="T64" t="s">
        <v>3</v>
      </c>
      <c r="U64" t="s">
        <v>183</v>
      </c>
      <c r="V64" t="s">
        <v>3</v>
      </c>
      <c r="W64" t="s">
        <v>68</v>
      </c>
      <c r="X64" s="17">
        <v>42730</v>
      </c>
      <c r="Y64" t="s">
        <v>185</v>
      </c>
      <c r="Z64" s="17">
        <v>42730</v>
      </c>
      <c r="AA64" t="s">
        <v>3</v>
      </c>
      <c r="AB64" t="s">
        <v>185</v>
      </c>
    </row>
    <row r="65" spans="1:28" hidden="1">
      <c r="A65" t="s">
        <v>189</v>
      </c>
      <c r="B65" s="17">
        <v>42730</v>
      </c>
      <c r="C65" s="17">
        <v>42730</v>
      </c>
      <c r="D65" t="s">
        <v>0</v>
      </c>
      <c r="E65" t="s">
        <v>1</v>
      </c>
      <c r="F65" s="18">
        <v>-681500</v>
      </c>
      <c r="G65" s="18">
        <v>-681500</v>
      </c>
      <c r="H65" t="s">
        <v>2</v>
      </c>
      <c r="I65" t="s">
        <v>8</v>
      </c>
      <c r="J65" s="18">
        <v>-54111100</v>
      </c>
      <c r="K65" t="s">
        <v>3</v>
      </c>
      <c r="L65" t="s">
        <v>9</v>
      </c>
      <c r="M65" t="s">
        <v>191</v>
      </c>
      <c r="N65" t="s">
        <v>3</v>
      </c>
      <c r="O65" t="s">
        <v>3</v>
      </c>
      <c r="P65" t="s">
        <v>5</v>
      </c>
      <c r="Q65" t="s">
        <v>80</v>
      </c>
      <c r="R65" t="s">
        <v>183</v>
      </c>
      <c r="S65" t="s">
        <v>184</v>
      </c>
      <c r="T65" t="s">
        <v>3</v>
      </c>
      <c r="U65" t="s">
        <v>183</v>
      </c>
      <c r="V65" t="s">
        <v>3</v>
      </c>
      <c r="W65" t="s">
        <v>68</v>
      </c>
      <c r="X65" s="17">
        <v>42730</v>
      </c>
      <c r="Y65" t="s">
        <v>192</v>
      </c>
      <c r="Z65" s="17">
        <v>42730</v>
      </c>
      <c r="AA65" t="s">
        <v>3</v>
      </c>
      <c r="AB65" t="s">
        <v>189</v>
      </c>
    </row>
    <row r="66" spans="1:28" hidden="1">
      <c r="A66" t="s">
        <v>189</v>
      </c>
      <c r="B66" s="17">
        <v>42730</v>
      </c>
      <c r="C66" s="17">
        <v>42730</v>
      </c>
      <c r="D66" t="s">
        <v>0</v>
      </c>
      <c r="E66" t="s">
        <v>1</v>
      </c>
      <c r="F66" s="18">
        <v>776500</v>
      </c>
      <c r="G66" s="18">
        <v>776500</v>
      </c>
      <c r="H66" t="s">
        <v>2</v>
      </c>
      <c r="I66" t="s">
        <v>8</v>
      </c>
      <c r="J66" s="18">
        <v>61654100</v>
      </c>
      <c r="K66" t="s">
        <v>193</v>
      </c>
      <c r="L66" t="s">
        <v>9</v>
      </c>
      <c r="M66" t="s">
        <v>191</v>
      </c>
      <c r="N66" t="s">
        <v>3</v>
      </c>
      <c r="O66" t="s">
        <v>3</v>
      </c>
      <c r="P66" t="s">
        <v>5</v>
      </c>
      <c r="Q66" t="s">
        <v>80</v>
      </c>
      <c r="R66" t="s">
        <v>183</v>
      </c>
      <c r="S66" t="s">
        <v>184</v>
      </c>
      <c r="T66" t="s">
        <v>3</v>
      </c>
      <c r="U66" t="s">
        <v>183</v>
      </c>
      <c r="V66" t="s">
        <v>3</v>
      </c>
      <c r="W66" t="s">
        <v>68</v>
      </c>
      <c r="X66" s="17">
        <v>42730</v>
      </c>
      <c r="Y66" t="s">
        <v>189</v>
      </c>
      <c r="Z66" s="17">
        <v>42730</v>
      </c>
      <c r="AA66" t="s">
        <v>3</v>
      </c>
      <c r="AB66" t="s">
        <v>189</v>
      </c>
    </row>
    <row r="67" spans="1:28" hidden="1">
      <c r="A67" t="s">
        <v>192</v>
      </c>
      <c r="B67" s="17">
        <v>42730</v>
      </c>
      <c r="C67" s="17">
        <v>42730</v>
      </c>
      <c r="D67" t="s">
        <v>0</v>
      </c>
      <c r="E67" t="s">
        <v>1</v>
      </c>
      <c r="F67" s="18">
        <v>-264500</v>
      </c>
      <c r="G67" s="18">
        <v>-264500</v>
      </c>
      <c r="H67" t="s">
        <v>2</v>
      </c>
      <c r="I67" t="s">
        <v>8</v>
      </c>
      <c r="J67" s="18">
        <v>-21001300</v>
      </c>
      <c r="K67" t="s">
        <v>3</v>
      </c>
      <c r="L67" t="s">
        <v>9</v>
      </c>
      <c r="M67" t="s">
        <v>194</v>
      </c>
      <c r="N67" t="s">
        <v>3</v>
      </c>
      <c r="O67" t="s">
        <v>3</v>
      </c>
      <c r="P67" t="s">
        <v>5</v>
      </c>
      <c r="Q67" t="s">
        <v>80</v>
      </c>
      <c r="R67" t="s">
        <v>183</v>
      </c>
      <c r="S67" t="s">
        <v>184</v>
      </c>
      <c r="T67" t="s">
        <v>3</v>
      </c>
      <c r="U67" t="s">
        <v>183</v>
      </c>
      <c r="V67" t="s">
        <v>3</v>
      </c>
      <c r="W67" t="s">
        <v>68</v>
      </c>
      <c r="X67" s="17">
        <v>42736</v>
      </c>
      <c r="Y67" t="s">
        <v>177</v>
      </c>
      <c r="Z67" s="17">
        <v>42730</v>
      </c>
      <c r="AA67" t="s">
        <v>3</v>
      </c>
      <c r="AB67" t="s">
        <v>192</v>
      </c>
    </row>
    <row r="68" spans="1:28" hidden="1">
      <c r="A68" t="s">
        <v>192</v>
      </c>
      <c r="B68" s="17">
        <v>42730</v>
      </c>
      <c r="C68" s="17">
        <v>42730</v>
      </c>
      <c r="D68" t="s">
        <v>0</v>
      </c>
      <c r="E68" t="s">
        <v>1</v>
      </c>
      <c r="F68" s="18">
        <v>681500</v>
      </c>
      <c r="G68" s="18">
        <v>681500</v>
      </c>
      <c r="H68" t="s">
        <v>2</v>
      </c>
      <c r="I68" t="s">
        <v>8</v>
      </c>
      <c r="J68" s="18">
        <v>54111100</v>
      </c>
      <c r="K68" t="s">
        <v>195</v>
      </c>
      <c r="L68" t="s">
        <v>9</v>
      </c>
      <c r="M68" t="s">
        <v>194</v>
      </c>
      <c r="N68" t="s">
        <v>3</v>
      </c>
      <c r="O68" t="s">
        <v>3</v>
      </c>
      <c r="P68" t="s">
        <v>5</v>
      </c>
      <c r="Q68" t="s">
        <v>80</v>
      </c>
      <c r="R68" t="s">
        <v>183</v>
      </c>
      <c r="S68" t="s">
        <v>184</v>
      </c>
      <c r="T68" t="s">
        <v>3</v>
      </c>
      <c r="U68" t="s">
        <v>183</v>
      </c>
      <c r="V68" t="s">
        <v>3</v>
      </c>
      <c r="W68" t="s">
        <v>68</v>
      </c>
      <c r="X68" s="17">
        <v>42730</v>
      </c>
      <c r="Y68" t="s">
        <v>192</v>
      </c>
      <c r="Z68" s="17">
        <v>42730</v>
      </c>
      <c r="AA68" t="s">
        <v>3</v>
      </c>
      <c r="AB68" t="s">
        <v>192</v>
      </c>
    </row>
    <row r="69" spans="1:28" hidden="1">
      <c r="A69" t="s">
        <v>196</v>
      </c>
      <c r="B69" s="17">
        <v>42733</v>
      </c>
      <c r="C69" s="17">
        <v>42733</v>
      </c>
      <c r="D69" t="s">
        <v>0</v>
      </c>
      <c r="E69" t="s">
        <v>1</v>
      </c>
      <c r="F69" s="18">
        <v>-168555.15</v>
      </c>
      <c r="G69" s="18">
        <v>-168555.15</v>
      </c>
      <c r="H69" t="s">
        <v>2</v>
      </c>
      <c r="I69" t="s">
        <v>10</v>
      </c>
      <c r="J69" s="18">
        <v>-13383278.91</v>
      </c>
      <c r="K69" t="s">
        <v>145</v>
      </c>
      <c r="L69" t="s">
        <v>9</v>
      </c>
      <c r="M69" t="s">
        <v>197</v>
      </c>
      <c r="N69" t="s">
        <v>3</v>
      </c>
      <c r="O69" t="s">
        <v>3</v>
      </c>
      <c r="P69" t="s">
        <v>5</v>
      </c>
      <c r="Q69" t="s">
        <v>145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68</v>
      </c>
      <c r="X69" s="17">
        <v>42759</v>
      </c>
      <c r="Y69" t="s">
        <v>198</v>
      </c>
      <c r="Z69" s="17">
        <v>42733</v>
      </c>
      <c r="AA69" t="s">
        <v>3</v>
      </c>
      <c r="AB69" t="s">
        <v>196</v>
      </c>
    </row>
    <row r="70" spans="1:28" hidden="1">
      <c r="A70" t="s">
        <v>199</v>
      </c>
      <c r="B70" s="17">
        <v>42735</v>
      </c>
      <c r="C70" s="17">
        <v>42735</v>
      </c>
      <c r="D70" t="s">
        <v>0</v>
      </c>
      <c r="E70" t="s">
        <v>1</v>
      </c>
      <c r="F70" s="18">
        <v>-105.57</v>
      </c>
      <c r="G70" s="18">
        <v>-105.57</v>
      </c>
      <c r="H70" t="s">
        <v>2</v>
      </c>
      <c r="I70" t="s">
        <v>8</v>
      </c>
      <c r="J70" s="18">
        <v>-8234.4599999999991</v>
      </c>
      <c r="K70" t="s">
        <v>71</v>
      </c>
      <c r="L70" t="s">
        <v>9</v>
      </c>
      <c r="M70" t="s">
        <v>71</v>
      </c>
      <c r="N70" t="s">
        <v>3</v>
      </c>
      <c r="O70" t="s">
        <v>3</v>
      </c>
      <c r="P70" t="s">
        <v>5</v>
      </c>
      <c r="Q70" t="s">
        <v>71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68</v>
      </c>
      <c r="X70" s="17">
        <v>42736</v>
      </c>
      <c r="Y70" t="s">
        <v>177</v>
      </c>
      <c r="Z70" s="17">
        <v>42735</v>
      </c>
      <c r="AA70" t="s">
        <v>3</v>
      </c>
      <c r="AB70" t="s">
        <v>199</v>
      </c>
    </row>
    <row r="71" spans="1:28" hidden="1">
      <c r="A71" t="s">
        <v>200</v>
      </c>
      <c r="B71" s="17">
        <v>42735</v>
      </c>
      <c r="C71" s="17">
        <v>42735</v>
      </c>
      <c r="D71" t="s">
        <v>0</v>
      </c>
      <c r="E71" t="s">
        <v>1</v>
      </c>
      <c r="F71" s="18">
        <v>35100.15</v>
      </c>
      <c r="G71" s="18">
        <v>35100.15</v>
      </c>
      <c r="H71" t="s">
        <v>2</v>
      </c>
      <c r="I71" t="s">
        <v>8</v>
      </c>
      <c r="J71" s="18">
        <v>2737811.7</v>
      </c>
      <c r="K71" t="s">
        <v>84</v>
      </c>
      <c r="L71" t="s">
        <v>9</v>
      </c>
      <c r="M71" t="s">
        <v>85</v>
      </c>
      <c r="N71" t="s">
        <v>3</v>
      </c>
      <c r="O71" t="s">
        <v>3</v>
      </c>
      <c r="P71" t="s">
        <v>5</v>
      </c>
      <c r="Q71" t="s">
        <v>86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68</v>
      </c>
      <c r="X71" s="17">
        <v>42736</v>
      </c>
      <c r="Y71" t="s">
        <v>83</v>
      </c>
      <c r="Z71" s="17">
        <v>42735</v>
      </c>
      <c r="AA71" t="s">
        <v>3</v>
      </c>
      <c r="AB71" t="s">
        <v>200</v>
      </c>
    </row>
    <row r="72" spans="1:28" hidden="1">
      <c r="A72" t="s">
        <v>83</v>
      </c>
      <c r="B72" s="17">
        <v>42736</v>
      </c>
      <c r="C72" s="17">
        <v>42735</v>
      </c>
      <c r="D72" t="s">
        <v>38</v>
      </c>
      <c r="E72" t="s">
        <v>1</v>
      </c>
      <c r="F72" s="18">
        <v>-35100.15</v>
      </c>
      <c r="G72" s="18">
        <v>-35100.15</v>
      </c>
      <c r="H72" t="s">
        <v>2</v>
      </c>
      <c r="I72" t="s">
        <v>8</v>
      </c>
      <c r="J72" s="18">
        <v>-2737811.7</v>
      </c>
      <c r="K72" t="s">
        <v>84</v>
      </c>
      <c r="L72" t="s">
        <v>9</v>
      </c>
      <c r="M72" t="s">
        <v>85</v>
      </c>
      <c r="N72" t="s">
        <v>3</v>
      </c>
      <c r="O72" t="s">
        <v>3</v>
      </c>
      <c r="P72" t="s">
        <v>5</v>
      </c>
      <c r="Q72" t="s">
        <v>86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68</v>
      </c>
      <c r="X72" s="17">
        <v>42736</v>
      </c>
      <c r="Y72" t="s">
        <v>83</v>
      </c>
      <c r="Z72" s="17">
        <v>42735</v>
      </c>
      <c r="AA72" t="s">
        <v>3</v>
      </c>
      <c r="AB72" t="s">
        <v>83</v>
      </c>
    </row>
    <row r="73" spans="1:28" hidden="1">
      <c r="A73" t="s">
        <v>177</v>
      </c>
      <c r="B73" s="17">
        <v>42736</v>
      </c>
      <c r="C73" s="17">
        <v>42736</v>
      </c>
      <c r="D73" t="s">
        <v>0</v>
      </c>
      <c r="E73" t="s">
        <v>1</v>
      </c>
      <c r="F73" s="18">
        <v>-231400</v>
      </c>
      <c r="G73" s="18">
        <v>-231400</v>
      </c>
      <c r="H73" t="s">
        <v>2</v>
      </c>
      <c r="I73" t="s">
        <v>8</v>
      </c>
      <c r="J73" s="18">
        <v>-18049200</v>
      </c>
      <c r="K73" t="s">
        <v>3</v>
      </c>
      <c r="L73" t="s">
        <v>9</v>
      </c>
      <c r="M73" t="s">
        <v>201</v>
      </c>
      <c r="N73" t="s">
        <v>3</v>
      </c>
      <c r="O73" t="s">
        <v>3</v>
      </c>
      <c r="P73" t="s">
        <v>5</v>
      </c>
      <c r="Q73" t="s">
        <v>80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68</v>
      </c>
      <c r="X73" s="17">
        <v>42739</v>
      </c>
      <c r="Y73" t="s">
        <v>202</v>
      </c>
      <c r="Z73" s="17">
        <v>42736</v>
      </c>
      <c r="AA73" t="s">
        <v>3</v>
      </c>
      <c r="AB73" t="s">
        <v>177</v>
      </c>
    </row>
    <row r="74" spans="1:28" hidden="1">
      <c r="A74" t="s">
        <v>177</v>
      </c>
      <c r="B74" s="17">
        <v>42736</v>
      </c>
      <c r="C74" s="17">
        <v>42736</v>
      </c>
      <c r="D74" t="s">
        <v>0</v>
      </c>
      <c r="E74" t="s">
        <v>1</v>
      </c>
      <c r="F74" s="18">
        <v>266500</v>
      </c>
      <c r="G74" s="18">
        <v>266500</v>
      </c>
      <c r="H74" t="s">
        <v>2</v>
      </c>
      <c r="I74" t="s">
        <v>8</v>
      </c>
      <c r="J74" s="18">
        <v>21159952.199999999</v>
      </c>
      <c r="K74" t="s">
        <v>203</v>
      </c>
      <c r="L74" t="s">
        <v>9</v>
      </c>
      <c r="M74" t="s">
        <v>201</v>
      </c>
      <c r="N74" t="s">
        <v>3</v>
      </c>
      <c r="O74" t="s">
        <v>3</v>
      </c>
      <c r="P74" t="s">
        <v>5</v>
      </c>
      <c r="Q74" t="s">
        <v>80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68</v>
      </c>
      <c r="X74" s="17">
        <v>42736</v>
      </c>
      <c r="Y74" t="s">
        <v>177</v>
      </c>
      <c r="Z74" s="17">
        <v>42736</v>
      </c>
      <c r="AA74" t="s">
        <v>3</v>
      </c>
      <c r="AB74" t="s">
        <v>177</v>
      </c>
    </row>
    <row r="75" spans="1:28" hidden="1">
      <c r="A75" t="s">
        <v>202</v>
      </c>
      <c r="B75" s="17">
        <v>42739</v>
      </c>
      <c r="C75" s="17">
        <v>42739</v>
      </c>
      <c r="D75" t="s">
        <v>0</v>
      </c>
      <c r="E75" t="s">
        <v>1</v>
      </c>
      <c r="F75" s="18">
        <v>-97800</v>
      </c>
      <c r="G75" s="18">
        <v>-97800</v>
      </c>
      <c r="H75" t="s">
        <v>2</v>
      </c>
      <c r="I75" t="s">
        <v>8</v>
      </c>
      <c r="J75" s="18">
        <v>-7628400</v>
      </c>
      <c r="K75" t="s">
        <v>3</v>
      </c>
      <c r="L75" t="s">
        <v>9</v>
      </c>
      <c r="M75" t="s">
        <v>204</v>
      </c>
      <c r="N75" t="s">
        <v>3</v>
      </c>
      <c r="O75" t="s">
        <v>3</v>
      </c>
      <c r="P75" t="s">
        <v>5</v>
      </c>
      <c r="Q75" t="s">
        <v>80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68</v>
      </c>
      <c r="X75" s="17">
        <v>42739</v>
      </c>
      <c r="Y75" t="s">
        <v>205</v>
      </c>
      <c r="Z75" s="17">
        <v>42739</v>
      </c>
      <c r="AA75" t="s">
        <v>3</v>
      </c>
      <c r="AB75" t="s">
        <v>202</v>
      </c>
    </row>
    <row r="76" spans="1:28" hidden="1">
      <c r="A76" t="s">
        <v>202</v>
      </c>
      <c r="B76" s="17">
        <v>42739</v>
      </c>
      <c r="C76" s="17">
        <v>42739</v>
      </c>
      <c r="D76" t="s">
        <v>0</v>
      </c>
      <c r="E76" t="s">
        <v>1</v>
      </c>
      <c r="F76" s="18">
        <v>231400</v>
      </c>
      <c r="G76" s="18">
        <v>231400</v>
      </c>
      <c r="H76" t="s">
        <v>2</v>
      </c>
      <c r="I76" t="s">
        <v>8</v>
      </c>
      <c r="J76" s="18">
        <v>18049200</v>
      </c>
      <c r="K76" t="s">
        <v>206</v>
      </c>
      <c r="L76" t="s">
        <v>9</v>
      </c>
      <c r="M76" t="s">
        <v>204</v>
      </c>
      <c r="N76" t="s">
        <v>3</v>
      </c>
      <c r="O76" t="s">
        <v>3</v>
      </c>
      <c r="P76" t="s">
        <v>5</v>
      </c>
      <c r="Q76" t="s">
        <v>80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68</v>
      </c>
      <c r="X76" s="17">
        <v>42739</v>
      </c>
      <c r="Y76" t="s">
        <v>202</v>
      </c>
      <c r="Z76" s="17">
        <v>42739</v>
      </c>
      <c r="AA76" t="s">
        <v>3</v>
      </c>
      <c r="AB76" t="s">
        <v>202</v>
      </c>
    </row>
    <row r="77" spans="1:28" hidden="1">
      <c r="A77" t="s">
        <v>205</v>
      </c>
      <c r="B77" s="17">
        <v>42739</v>
      </c>
      <c r="C77" s="17">
        <v>42739</v>
      </c>
      <c r="D77" t="s">
        <v>0</v>
      </c>
      <c r="E77" t="s">
        <v>1</v>
      </c>
      <c r="F77" s="18">
        <v>-2000</v>
      </c>
      <c r="G77" s="18">
        <v>-2000</v>
      </c>
      <c r="H77" t="s">
        <v>2</v>
      </c>
      <c r="I77" t="s">
        <v>8</v>
      </c>
      <c r="J77" s="18">
        <v>-156000</v>
      </c>
      <c r="K77" t="s">
        <v>3</v>
      </c>
      <c r="L77" t="s">
        <v>9</v>
      </c>
      <c r="M77" t="s">
        <v>207</v>
      </c>
      <c r="N77" t="s">
        <v>3</v>
      </c>
      <c r="O77" t="s">
        <v>3</v>
      </c>
      <c r="P77" t="s">
        <v>5</v>
      </c>
      <c r="Q77" t="s">
        <v>80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68</v>
      </c>
      <c r="X77" s="17">
        <v>42752</v>
      </c>
      <c r="Y77" t="s">
        <v>208</v>
      </c>
      <c r="Z77" s="17">
        <v>42739</v>
      </c>
      <c r="AA77" t="s">
        <v>3</v>
      </c>
      <c r="AB77" t="s">
        <v>205</v>
      </c>
    </row>
    <row r="78" spans="1:28" hidden="1">
      <c r="A78" t="s">
        <v>205</v>
      </c>
      <c r="B78" s="17">
        <v>42739</v>
      </c>
      <c r="C78" s="17">
        <v>42739</v>
      </c>
      <c r="D78" t="s">
        <v>0</v>
      </c>
      <c r="E78" t="s">
        <v>1</v>
      </c>
      <c r="F78" s="18">
        <v>97800</v>
      </c>
      <c r="G78" s="18">
        <v>97800</v>
      </c>
      <c r="H78" t="s">
        <v>2</v>
      </c>
      <c r="I78" t="s">
        <v>8</v>
      </c>
      <c r="J78" s="18">
        <v>7628400</v>
      </c>
      <c r="K78" t="s">
        <v>209</v>
      </c>
      <c r="L78" t="s">
        <v>9</v>
      </c>
      <c r="M78" t="s">
        <v>207</v>
      </c>
      <c r="N78" t="s">
        <v>3</v>
      </c>
      <c r="O78" t="s">
        <v>3</v>
      </c>
      <c r="P78" t="s">
        <v>5</v>
      </c>
      <c r="Q78" t="s">
        <v>80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68</v>
      </c>
      <c r="X78" s="17">
        <v>42739</v>
      </c>
      <c r="Y78" t="s">
        <v>205</v>
      </c>
      <c r="Z78" s="17">
        <v>42739</v>
      </c>
      <c r="AA78" t="s">
        <v>3</v>
      </c>
      <c r="AB78" t="s">
        <v>205</v>
      </c>
    </row>
    <row r="79" spans="1:28" hidden="1">
      <c r="A79" t="s">
        <v>210</v>
      </c>
      <c r="B79" s="17">
        <v>42739</v>
      </c>
      <c r="C79" s="17">
        <v>42739</v>
      </c>
      <c r="D79" t="s">
        <v>0</v>
      </c>
      <c r="E79" t="s">
        <v>1</v>
      </c>
      <c r="F79" s="18">
        <v>-998200</v>
      </c>
      <c r="G79" s="18">
        <v>-998200</v>
      </c>
      <c r="H79" t="s">
        <v>2</v>
      </c>
      <c r="I79" t="s">
        <v>8</v>
      </c>
      <c r="J79" s="18">
        <v>-77859600</v>
      </c>
      <c r="K79" t="s">
        <v>71</v>
      </c>
      <c r="L79" t="s">
        <v>9</v>
      </c>
      <c r="M79" t="s">
        <v>71</v>
      </c>
      <c r="N79" t="s">
        <v>3</v>
      </c>
      <c r="O79" t="s">
        <v>3</v>
      </c>
      <c r="P79" t="s">
        <v>5</v>
      </c>
      <c r="Q79" t="s">
        <v>71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68</v>
      </c>
      <c r="X79" s="17">
        <v>42744</v>
      </c>
      <c r="Y79" t="s">
        <v>211</v>
      </c>
      <c r="Z79" s="17">
        <v>42739</v>
      </c>
      <c r="AA79" t="s">
        <v>3</v>
      </c>
      <c r="AB79" t="s">
        <v>210</v>
      </c>
    </row>
    <row r="80" spans="1:28" hidden="1">
      <c r="A80" t="s">
        <v>254</v>
      </c>
      <c r="B80" s="17">
        <v>42740</v>
      </c>
      <c r="C80" s="17">
        <v>42740</v>
      </c>
      <c r="D80" t="s">
        <v>0</v>
      </c>
      <c r="E80" t="s">
        <v>1</v>
      </c>
      <c r="F80" s="18">
        <v>-61901.15</v>
      </c>
      <c r="G80" s="18">
        <v>-61901.15</v>
      </c>
      <c r="H80" t="s">
        <v>2</v>
      </c>
      <c r="I80" t="s">
        <v>10</v>
      </c>
      <c r="J80" s="18">
        <v>-4828289.7</v>
      </c>
      <c r="K80" t="s">
        <v>3</v>
      </c>
      <c r="L80" t="s">
        <v>9</v>
      </c>
      <c r="M80" t="s">
        <v>256</v>
      </c>
      <c r="N80" t="s">
        <v>3</v>
      </c>
      <c r="O80" t="s">
        <v>3</v>
      </c>
      <c r="P80" t="s">
        <v>5</v>
      </c>
      <c r="Q80" t="s">
        <v>241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68</v>
      </c>
      <c r="X80" s="17">
        <v>42765</v>
      </c>
      <c r="Y80" t="s">
        <v>257</v>
      </c>
      <c r="Z80" s="17">
        <v>42740</v>
      </c>
      <c r="AA80" t="s">
        <v>3</v>
      </c>
      <c r="AB80" t="s">
        <v>254</v>
      </c>
    </row>
    <row r="81" spans="1:28" hidden="1">
      <c r="A81" t="s">
        <v>254</v>
      </c>
      <c r="B81" s="17">
        <v>42740</v>
      </c>
      <c r="C81" s="17">
        <v>42740</v>
      </c>
      <c r="D81" t="s">
        <v>0</v>
      </c>
      <c r="E81" t="s">
        <v>1</v>
      </c>
      <c r="F81" s="18">
        <v>106096.15</v>
      </c>
      <c r="G81" s="18">
        <v>106096.15</v>
      </c>
      <c r="H81" t="s">
        <v>2</v>
      </c>
      <c r="I81" t="s">
        <v>10</v>
      </c>
      <c r="J81" s="18">
        <v>8275499.7000000002</v>
      </c>
      <c r="K81" t="s">
        <v>258</v>
      </c>
      <c r="L81" t="s">
        <v>9</v>
      </c>
      <c r="M81" t="s">
        <v>256</v>
      </c>
      <c r="N81" t="s">
        <v>3</v>
      </c>
      <c r="O81" t="s">
        <v>3</v>
      </c>
      <c r="P81" t="s">
        <v>5</v>
      </c>
      <c r="Q81" t="s">
        <v>241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68</v>
      </c>
      <c r="X81" s="17">
        <v>42758</v>
      </c>
      <c r="Y81" t="s">
        <v>254</v>
      </c>
      <c r="Z81" s="17">
        <v>42740</v>
      </c>
      <c r="AA81" t="s">
        <v>3</v>
      </c>
      <c r="AB81" t="s">
        <v>254</v>
      </c>
    </row>
    <row r="82" spans="1:28" hidden="1">
      <c r="A82" t="s">
        <v>211</v>
      </c>
      <c r="B82" s="17">
        <v>42744</v>
      </c>
      <c r="C82" s="17">
        <v>42744</v>
      </c>
      <c r="D82" t="s">
        <v>0</v>
      </c>
      <c r="E82" t="s">
        <v>1</v>
      </c>
      <c r="F82" s="18">
        <v>-894100</v>
      </c>
      <c r="G82" s="18">
        <v>-894100</v>
      </c>
      <c r="H82" t="s">
        <v>2</v>
      </c>
      <c r="I82" t="s">
        <v>8</v>
      </c>
      <c r="J82" s="18">
        <v>-69739800</v>
      </c>
      <c r="K82" t="s">
        <v>3</v>
      </c>
      <c r="L82" t="s">
        <v>9</v>
      </c>
      <c r="M82" t="s">
        <v>212</v>
      </c>
      <c r="N82" t="s">
        <v>3</v>
      </c>
      <c r="O82" t="s">
        <v>3</v>
      </c>
      <c r="P82" t="s">
        <v>5</v>
      </c>
      <c r="Q82" t="s">
        <v>80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68</v>
      </c>
      <c r="X82" s="17">
        <v>42744</v>
      </c>
      <c r="Y82" t="s">
        <v>213</v>
      </c>
      <c r="Z82" s="17">
        <v>42744</v>
      </c>
      <c r="AA82" t="s">
        <v>3</v>
      </c>
      <c r="AB82" t="s">
        <v>211</v>
      </c>
    </row>
    <row r="83" spans="1:28" hidden="1">
      <c r="A83" t="s">
        <v>211</v>
      </c>
      <c r="B83" s="17">
        <v>42744</v>
      </c>
      <c r="C83" s="17">
        <v>42744</v>
      </c>
      <c r="D83" t="s">
        <v>0</v>
      </c>
      <c r="E83" t="s">
        <v>1</v>
      </c>
      <c r="F83" s="18">
        <v>998200</v>
      </c>
      <c r="G83" s="18">
        <v>998200</v>
      </c>
      <c r="H83" t="s">
        <v>2</v>
      </c>
      <c r="I83" t="s">
        <v>8</v>
      </c>
      <c r="J83" s="18">
        <v>77859600</v>
      </c>
      <c r="K83" t="s">
        <v>214</v>
      </c>
      <c r="L83" t="s">
        <v>9</v>
      </c>
      <c r="M83" t="s">
        <v>212</v>
      </c>
      <c r="N83" t="s">
        <v>3</v>
      </c>
      <c r="O83" t="s">
        <v>3</v>
      </c>
      <c r="P83" t="s">
        <v>5</v>
      </c>
      <c r="Q83" t="s">
        <v>80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68</v>
      </c>
      <c r="X83" s="17">
        <v>42744</v>
      </c>
      <c r="Y83" t="s">
        <v>211</v>
      </c>
      <c r="Z83" s="17">
        <v>42744</v>
      </c>
      <c r="AA83" t="s">
        <v>3</v>
      </c>
      <c r="AB83" t="s">
        <v>211</v>
      </c>
    </row>
    <row r="84" spans="1:28" hidden="1">
      <c r="A84" t="s">
        <v>213</v>
      </c>
      <c r="B84" s="17">
        <v>42744</v>
      </c>
      <c r="C84" s="17">
        <v>42744</v>
      </c>
      <c r="D84" t="s">
        <v>0</v>
      </c>
      <c r="E84" t="s">
        <v>1</v>
      </c>
      <c r="F84" s="18">
        <v>-850700</v>
      </c>
      <c r="G84" s="18">
        <v>-850700</v>
      </c>
      <c r="H84" t="s">
        <v>2</v>
      </c>
      <c r="I84" t="s">
        <v>8</v>
      </c>
      <c r="J84" s="18">
        <v>-66354600</v>
      </c>
      <c r="K84" t="s">
        <v>3</v>
      </c>
      <c r="L84" t="s">
        <v>9</v>
      </c>
      <c r="M84" t="s">
        <v>215</v>
      </c>
      <c r="N84" t="s">
        <v>3</v>
      </c>
      <c r="O84" t="s">
        <v>3</v>
      </c>
      <c r="P84" t="s">
        <v>5</v>
      </c>
      <c r="Q84" t="s">
        <v>80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68</v>
      </c>
      <c r="X84" s="17">
        <v>42745</v>
      </c>
      <c r="Y84" t="s">
        <v>216</v>
      </c>
      <c r="Z84" s="17">
        <v>42744</v>
      </c>
      <c r="AA84" t="s">
        <v>3</v>
      </c>
      <c r="AB84" t="s">
        <v>213</v>
      </c>
    </row>
    <row r="85" spans="1:28" hidden="1">
      <c r="A85" t="s">
        <v>213</v>
      </c>
      <c r="B85" s="17">
        <v>42744</v>
      </c>
      <c r="C85" s="17">
        <v>42744</v>
      </c>
      <c r="D85" t="s">
        <v>0</v>
      </c>
      <c r="E85" t="s">
        <v>1</v>
      </c>
      <c r="F85" s="18">
        <v>894100</v>
      </c>
      <c r="G85" s="18">
        <v>894100</v>
      </c>
      <c r="H85" t="s">
        <v>2</v>
      </c>
      <c r="I85" t="s">
        <v>8</v>
      </c>
      <c r="J85" s="18">
        <v>69739800</v>
      </c>
      <c r="K85" t="s">
        <v>217</v>
      </c>
      <c r="L85" t="s">
        <v>9</v>
      </c>
      <c r="M85" t="s">
        <v>215</v>
      </c>
      <c r="N85" t="s">
        <v>3</v>
      </c>
      <c r="O85" t="s">
        <v>3</v>
      </c>
      <c r="P85" t="s">
        <v>5</v>
      </c>
      <c r="Q85" t="s">
        <v>80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68</v>
      </c>
      <c r="X85" s="17">
        <v>42744</v>
      </c>
      <c r="Y85" t="s">
        <v>213</v>
      </c>
      <c r="Z85" s="17">
        <v>42744</v>
      </c>
      <c r="AA85" t="s">
        <v>3</v>
      </c>
      <c r="AB85" t="s">
        <v>213</v>
      </c>
    </row>
    <row r="86" spans="1:28" hidden="1">
      <c r="A86" t="s">
        <v>242</v>
      </c>
      <c r="B86" s="17">
        <v>42744</v>
      </c>
      <c r="C86" s="17">
        <v>42744</v>
      </c>
      <c r="D86" t="s">
        <v>0</v>
      </c>
      <c r="E86" t="s">
        <v>1</v>
      </c>
      <c r="F86" s="18">
        <v>-155177.15</v>
      </c>
      <c r="G86" s="18">
        <v>-155177.15</v>
      </c>
      <c r="H86" t="s">
        <v>2</v>
      </c>
      <c r="I86" t="s">
        <v>10</v>
      </c>
      <c r="J86" s="18">
        <v>-12103817.699999999</v>
      </c>
      <c r="K86" t="s">
        <v>3</v>
      </c>
      <c r="L86" t="s">
        <v>9</v>
      </c>
      <c r="M86" t="s">
        <v>244</v>
      </c>
      <c r="N86" t="s">
        <v>3</v>
      </c>
      <c r="O86" t="s">
        <v>3</v>
      </c>
      <c r="P86" t="s">
        <v>5</v>
      </c>
      <c r="Q86" t="s">
        <v>241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68</v>
      </c>
      <c r="X86" s="17">
        <v>42746</v>
      </c>
      <c r="Y86" t="s">
        <v>245</v>
      </c>
      <c r="Z86" s="17">
        <v>42744</v>
      </c>
      <c r="AA86" t="s">
        <v>3</v>
      </c>
      <c r="AB86" t="s">
        <v>242</v>
      </c>
    </row>
    <row r="87" spans="1:28" hidden="1">
      <c r="A87" t="s">
        <v>242</v>
      </c>
      <c r="B87" s="17">
        <v>42744</v>
      </c>
      <c r="C87" s="17">
        <v>42744</v>
      </c>
      <c r="D87" t="s">
        <v>0</v>
      </c>
      <c r="E87" t="s">
        <v>1</v>
      </c>
      <c r="F87" s="18">
        <v>159630.15</v>
      </c>
      <c r="G87" s="18">
        <v>159630.15</v>
      </c>
      <c r="H87" t="s">
        <v>2</v>
      </c>
      <c r="I87" t="s">
        <v>10</v>
      </c>
      <c r="J87" s="18">
        <v>12451151.699999999</v>
      </c>
      <c r="K87" t="s">
        <v>246</v>
      </c>
      <c r="L87" t="s">
        <v>9</v>
      </c>
      <c r="M87" t="s">
        <v>244</v>
      </c>
      <c r="N87" t="s">
        <v>3</v>
      </c>
      <c r="O87" t="s">
        <v>3</v>
      </c>
      <c r="P87" t="s">
        <v>5</v>
      </c>
      <c r="Q87" t="s">
        <v>241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68</v>
      </c>
      <c r="X87" s="17">
        <v>42759</v>
      </c>
      <c r="Y87" t="s">
        <v>242</v>
      </c>
      <c r="Z87" s="17">
        <v>42744</v>
      </c>
      <c r="AA87" t="s">
        <v>3</v>
      </c>
      <c r="AB87" t="s">
        <v>242</v>
      </c>
    </row>
    <row r="88" spans="1:28" hidden="1">
      <c r="A88" t="s">
        <v>250</v>
      </c>
      <c r="B88" s="17">
        <v>42744</v>
      </c>
      <c r="C88" s="17">
        <v>42744</v>
      </c>
      <c r="D88" t="s">
        <v>0</v>
      </c>
      <c r="E88" t="s">
        <v>1</v>
      </c>
      <c r="F88" s="18">
        <v>-179793</v>
      </c>
      <c r="G88" s="18">
        <v>-179793</v>
      </c>
      <c r="H88" t="s">
        <v>2</v>
      </c>
      <c r="I88" t="s">
        <v>10</v>
      </c>
      <c r="J88" s="18">
        <v>-14023854</v>
      </c>
      <c r="K88" t="s">
        <v>251</v>
      </c>
      <c r="L88" t="s">
        <v>9</v>
      </c>
      <c r="M88" t="s">
        <v>252</v>
      </c>
      <c r="N88" t="s">
        <v>3</v>
      </c>
      <c r="O88" t="s">
        <v>3</v>
      </c>
      <c r="P88" t="s">
        <v>5</v>
      </c>
      <c r="Q88" t="s">
        <v>251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68</v>
      </c>
      <c r="X88" s="17">
        <v>42758</v>
      </c>
      <c r="Y88" t="s">
        <v>248</v>
      </c>
      <c r="Z88" s="17">
        <v>42744</v>
      </c>
      <c r="AA88" t="s">
        <v>3</v>
      </c>
      <c r="AB88" t="s">
        <v>250</v>
      </c>
    </row>
    <row r="89" spans="1:28" hidden="1">
      <c r="A89" t="s">
        <v>216</v>
      </c>
      <c r="B89" s="17">
        <v>42745</v>
      </c>
      <c r="C89" s="17">
        <v>42745</v>
      </c>
      <c r="D89" t="s">
        <v>0</v>
      </c>
      <c r="E89" t="s">
        <v>1</v>
      </c>
      <c r="F89" s="18">
        <v>-843000</v>
      </c>
      <c r="G89" s="18">
        <v>-843000</v>
      </c>
      <c r="H89" t="s">
        <v>2</v>
      </c>
      <c r="I89" t="s">
        <v>8</v>
      </c>
      <c r="J89" s="18">
        <v>-65754000</v>
      </c>
      <c r="K89" t="s">
        <v>3</v>
      </c>
      <c r="L89" t="s">
        <v>9</v>
      </c>
      <c r="M89" t="s">
        <v>218</v>
      </c>
      <c r="N89" t="s">
        <v>3</v>
      </c>
      <c r="O89" t="s">
        <v>3</v>
      </c>
      <c r="P89" t="s">
        <v>5</v>
      </c>
      <c r="Q89" t="s">
        <v>80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68</v>
      </c>
      <c r="X89" s="17">
        <v>42746</v>
      </c>
      <c r="Y89" t="s">
        <v>219</v>
      </c>
      <c r="Z89" s="17">
        <v>42745</v>
      </c>
      <c r="AA89" t="s">
        <v>3</v>
      </c>
      <c r="AB89" t="s">
        <v>216</v>
      </c>
    </row>
    <row r="90" spans="1:28" hidden="1">
      <c r="A90" t="s">
        <v>216</v>
      </c>
      <c r="B90" s="17">
        <v>42745</v>
      </c>
      <c r="C90" s="17">
        <v>42745</v>
      </c>
      <c r="D90" t="s">
        <v>0</v>
      </c>
      <c r="E90" t="s">
        <v>1</v>
      </c>
      <c r="F90" s="18">
        <v>850700</v>
      </c>
      <c r="G90" s="18">
        <v>850700</v>
      </c>
      <c r="H90" t="s">
        <v>2</v>
      </c>
      <c r="I90" t="s">
        <v>8</v>
      </c>
      <c r="J90" s="18">
        <v>66354600</v>
      </c>
      <c r="K90" t="s">
        <v>220</v>
      </c>
      <c r="L90" t="s">
        <v>9</v>
      </c>
      <c r="M90" t="s">
        <v>218</v>
      </c>
      <c r="N90" t="s">
        <v>3</v>
      </c>
      <c r="O90" t="s">
        <v>3</v>
      </c>
      <c r="P90" t="s">
        <v>5</v>
      </c>
      <c r="Q90" t="s">
        <v>80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68</v>
      </c>
      <c r="X90" s="17">
        <v>42745</v>
      </c>
      <c r="Y90" t="s">
        <v>216</v>
      </c>
      <c r="Z90" s="17">
        <v>42745</v>
      </c>
      <c r="AA90" t="s">
        <v>3</v>
      </c>
      <c r="AB90" t="s">
        <v>216</v>
      </c>
    </row>
    <row r="91" spans="1:28" hidden="1">
      <c r="A91" t="s">
        <v>219</v>
      </c>
      <c r="B91" s="17">
        <v>42746</v>
      </c>
      <c r="C91" s="17">
        <v>42746</v>
      </c>
      <c r="D91" t="s">
        <v>0</v>
      </c>
      <c r="E91" t="s">
        <v>1</v>
      </c>
      <c r="F91" s="18">
        <v>-508800</v>
      </c>
      <c r="G91" s="18">
        <v>-508800</v>
      </c>
      <c r="H91" t="s">
        <v>2</v>
      </c>
      <c r="I91" t="s">
        <v>8</v>
      </c>
      <c r="J91" s="18">
        <v>-39686400</v>
      </c>
      <c r="K91" t="s">
        <v>3</v>
      </c>
      <c r="L91" t="s">
        <v>9</v>
      </c>
      <c r="M91" t="s">
        <v>221</v>
      </c>
      <c r="N91" t="s">
        <v>3</v>
      </c>
      <c r="O91" t="s">
        <v>3</v>
      </c>
      <c r="P91" t="s">
        <v>5</v>
      </c>
      <c r="Q91" t="s">
        <v>80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68</v>
      </c>
      <c r="X91" s="17">
        <v>42746</v>
      </c>
      <c r="Y91" t="s">
        <v>222</v>
      </c>
      <c r="Z91" s="17">
        <v>42746</v>
      </c>
      <c r="AA91" t="s">
        <v>3</v>
      </c>
      <c r="AB91" t="s">
        <v>219</v>
      </c>
    </row>
    <row r="92" spans="1:28" hidden="1">
      <c r="A92" t="s">
        <v>219</v>
      </c>
      <c r="B92" s="17">
        <v>42746</v>
      </c>
      <c r="C92" s="17">
        <v>42746</v>
      </c>
      <c r="D92" t="s">
        <v>0</v>
      </c>
      <c r="E92" t="s">
        <v>1</v>
      </c>
      <c r="F92" s="18">
        <v>843000</v>
      </c>
      <c r="G92" s="18">
        <v>843000</v>
      </c>
      <c r="H92" t="s">
        <v>2</v>
      </c>
      <c r="I92" t="s">
        <v>8</v>
      </c>
      <c r="J92" s="18">
        <v>65754000</v>
      </c>
      <c r="K92" t="s">
        <v>223</v>
      </c>
      <c r="L92" t="s">
        <v>9</v>
      </c>
      <c r="M92" t="s">
        <v>221</v>
      </c>
      <c r="N92" t="s">
        <v>3</v>
      </c>
      <c r="O92" t="s">
        <v>3</v>
      </c>
      <c r="P92" t="s">
        <v>5</v>
      </c>
      <c r="Q92" t="s">
        <v>80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68</v>
      </c>
      <c r="X92" s="17">
        <v>42746</v>
      </c>
      <c r="Y92" t="s">
        <v>219</v>
      </c>
      <c r="Z92" s="17">
        <v>42746</v>
      </c>
      <c r="AA92" t="s">
        <v>3</v>
      </c>
      <c r="AB92" t="s">
        <v>219</v>
      </c>
    </row>
    <row r="93" spans="1:28" hidden="1">
      <c r="A93" t="s">
        <v>222</v>
      </c>
      <c r="B93" s="17">
        <v>42746</v>
      </c>
      <c r="C93" s="17">
        <v>42746</v>
      </c>
      <c r="D93" t="s">
        <v>0</v>
      </c>
      <c r="E93" t="s">
        <v>1</v>
      </c>
      <c r="F93" s="18">
        <v>-432600</v>
      </c>
      <c r="G93" s="18">
        <v>-432600</v>
      </c>
      <c r="H93" t="s">
        <v>2</v>
      </c>
      <c r="I93" t="s">
        <v>8</v>
      </c>
      <c r="J93" s="18">
        <v>-33742800</v>
      </c>
      <c r="K93" t="s">
        <v>3</v>
      </c>
      <c r="L93" t="s">
        <v>9</v>
      </c>
      <c r="M93" t="s">
        <v>224</v>
      </c>
      <c r="N93" t="s">
        <v>3</v>
      </c>
      <c r="O93" t="s">
        <v>3</v>
      </c>
      <c r="P93" t="s">
        <v>5</v>
      </c>
      <c r="Q93" t="s">
        <v>80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68</v>
      </c>
      <c r="X93" s="17">
        <v>42747</v>
      </c>
      <c r="Y93" t="s">
        <v>225</v>
      </c>
      <c r="Z93" s="17">
        <v>42746</v>
      </c>
      <c r="AA93" t="s">
        <v>3</v>
      </c>
      <c r="AB93" t="s">
        <v>222</v>
      </c>
    </row>
    <row r="94" spans="1:28" hidden="1">
      <c r="A94" t="s">
        <v>222</v>
      </c>
      <c r="B94" s="17">
        <v>42746</v>
      </c>
      <c r="C94" s="17">
        <v>42746</v>
      </c>
      <c r="D94" t="s">
        <v>0</v>
      </c>
      <c r="E94" t="s">
        <v>1</v>
      </c>
      <c r="F94" s="18">
        <v>508800</v>
      </c>
      <c r="G94" s="18">
        <v>508800</v>
      </c>
      <c r="H94" t="s">
        <v>2</v>
      </c>
      <c r="I94" t="s">
        <v>8</v>
      </c>
      <c r="J94" s="18">
        <v>39686400</v>
      </c>
      <c r="K94" t="s">
        <v>226</v>
      </c>
      <c r="L94" t="s">
        <v>9</v>
      </c>
      <c r="M94" t="s">
        <v>224</v>
      </c>
      <c r="N94" t="s">
        <v>3</v>
      </c>
      <c r="O94" t="s">
        <v>3</v>
      </c>
      <c r="P94" t="s">
        <v>5</v>
      </c>
      <c r="Q94" t="s">
        <v>80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68</v>
      </c>
      <c r="X94" s="17">
        <v>42746</v>
      </c>
      <c r="Y94" t="s">
        <v>222</v>
      </c>
      <c r="Z94" s="17">
        <v>42746</v>
      </c>
      <c r="AA94" t="s">
        <v>3</v>
      </c>
      <c r="AB94" t="s">
        <v>222</v>
      </c>
    </row>
    <row r="95" spans="1:28" hidden="1">
      <c r="A95" t="s">
        <v>245</v>
      </c>
      <c r="B95" s="17">
        <v>42746</v>
      </c>
      <c r="C95" s="17">
        <v>42746</v>
      </c>
      <c r="D95" t="s">
        <v>0</v>
      </c>
      <c r="E95" t="s">
        <v>1</v>
      </c>
      <c r="F95" s="18">
        <v>-35269.15</v>
      </c>
      <c r="G95" s="18">
        <v>-35269.15</v>
      </c>
      <c r="H95" t="s">
        <v>2</v>
      </c>
      <c r="I95" t="s">
        <v>10</v>
      </c>
      <c r="J95" s="18">
        <v>-2750993.7</v>
      </c>
      <c r="K95" t="s">
        <v>3</v>
      </c>
      <c r="L95" t="s">
        <v>9</v>
      </c>
      <c r="M95" t="s">
        <v>247</v>
      </c>
      <c r="N95" t="s">
        <v>3</v>
      </c>
      <c r="O95" t="s">
        <v>3</v>
      </c>
      <c r="P95" t="s">
        <v>5</v>
      </c>
      <c r="Q95" t="s">
        <v>241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68</v>
      </c>
      <c r="X95" s="17">
        <v>42758</v>
      </c>
      <c r="Y95" t="s">
        <v>248</v>
      </c>
      <c r="Z95" s="17">
        <v>42746</v>
      </c>
      <c r="AA95" t="s">
        <v>3</v>
      </c>
      <c r="AB95" t="s">
        <v>245</v>
      </c>
    </row>
    <row r="96" spans="1:28" hidden="1">
      <c r="A96" t="s">
        <v>245</v>
      </c>
      <c r="B96" s="17">
        <v>42746</v>
      </c>
      <c r="C96" s="17">
        <v>42746</v>
      </c>
      <c r="D96" t="s">
        <v>0</v>
      </c>
      <c r="E96" t="s">
        <v>1</v>
      </c>
      <c r="F96" s="18">
        <v>155177.15</v>
      </c>
      <c r="G96" s="18">
        <v>155177.15</v>
      </c>
      <c r="H96" t="s">
        <v>2</v>
      </c>
      <c r="I96" t="s">
        <v>10</v>
      </c>
      <c r="J96" s="18">
        <v>12103817.699999999</v>
      </c>
      <c r="K96" t="s">
        <v>249</v>
      </c>
      <c r="L96" t="s">
        <v>9</v>
      </c>
      <c r="M96" t="s">
        <v>247</v>
      </c>
      <c r="N96" t="s">
        <v>3</v>
      </c>
      <c r="O96" t="s">
        <v>3</v>
      </c>
      <c r="P96" t="s">
        <v>5</v>
      </c>
      <c r="Q96" t="s">
        <v>241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68</v>
      </c>
      <c r="X96" s="17">
        <v>42746</v>
      </c>
      <c r="Y96" t="s">
        <v>245</v>
      </c>
      <c r="Z96" s="17">
        <v>42746</v>
      </c>
      <c r="AA96" t="s">
        <v>3</v>
      </c>
      <c r="AB96" t="s">
        <v>245</v>
      </c>
    </row>
    <row r="97" spans="1:28" hidden="1">
      <c r="A97" t="s">
        <v>225</v>
      </c>
      <c r="B97" s="17">
        <v>42747</v>
      </c>
      <c r="C97" s="17">
        <v>42747</v>
      </c>
      <c r="D97" t="s">
        <v>0</v>
      </c>
      <c r="E97" t="s">
        <v>1</v>
      </c>
      <c r="F97" s="18">
        <v>-115600</v>
      </c>
      <c r="G97" s="18">
        <v>-115600</v>
      </c>
      <c r="H97" t="s">
        <v>2</v>
      </c>
      <c r="I97" t="s">
        <v>8</v>
      </c>
      <c r="J97" s="18">
        <v>-9016800</v>
      </c>
      <c r="K97" t="s">
        <v>3</v>
      </c>
      <c r="L97" t="s">
        <v>9</v>
      </c>
      <c r="M97" t="s">
        <v>227</v>
      </c>
      <c r="N97" t="s">
        <v>3</v>
      </c>
      <c r="O97" t="s">
        <v>3</v>
      </c>
      <c r="P97" t="s">
        <v>5</v>
      </c>
      <c r="Q97" t="s">
        <v>80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68</v>
      </c>
      <c r="X97" s="17">
        <v>42752</v>
      </c>
      <c r="Y97" t="s">
        <v>228</v>
      </c>
      <c r="Z97" s="17">
        <v>42747</v>
      </c>
      <c r="AA97" t="s">
        <v>3</v>
      </c>
      <c r="AB97" t="s">
        <v>225</v>
      </c>
    </row>
    <row r="98" spans="1:28" hidden="1">
      <c r="A98" t="s">
        <v>225</v>
      </c>
      <c r="B98" s="17">
        <v>42747</v>
      </c>
      <c r="C98" s="17">
        <v>42747</v>
      </c>
      <c r="D98" t="s">
        <v>0</v>
      </c>
      <c r="E98" t="s">
        <v>1</v>
      </c>
      <c r="F98" s="18">
        <v>432600</v>
      </c>
      <c r="G98" s="18">
        <v>432600</v>
      </c>
      <c r="H98" t="s">
        <v>2</v>
      </c>
      <c r="I98" t="s">
        <v>8</v>
      </c>
      <c r="J98" s="18">
        <v>33742800</v>
      </c>
      <c r="K98" t="s">
        <v>229</v>
      </c>
      <c r="L98" t="s">
        <v>9</v>
      </c>
      <c r="M98" t="s">
        <v>227</v>
      </c>
      <c r="N98" t="s">
        <v>3</v>
      </c>
      <c r="O98" t="s">
        <v>3</v>
      </c>
      <c r="P98" t="s">
        <v>5</v>
      </c>
      <c r="Q98" t="s">
        <v>80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68</v>
      </c>
      <c r="X98" s="17">
        <v>42747</v>
      </c>
      <c r="Y98" t="s">
        <v>225</v>
      </c>
      <c r="Z98" s="17">
        <v>42747</v>
      </c>
      <c r="AA98" t="s">
        <v>3</v>
      </c>
      <c r="AB98" t="s">
        <v>225</v>
      </c>
    </row>
    <row r="99" spans="1:28" hidden="1">
      <c r="A99" t="s">
        <v>228</v>
      </c>
      <c r="B99" s="17">
        <v>42752</v>
      </c>
      <c r="C99" s="17">
        <v>42752</v>
      </c>
      <c r="D99" t="s">
        <v>0</v>
      </c>
      <c r="E99" t="s">
        <v>1</v>
      </c>
      <c r="F99" s="18">
        <v>-109100</v>
      </c>
      <c r="G99" s="18">
        <v>-109100</v>
      </c>
      <c r="H99" t="s">
        <v>2</v>
      </c>
      <c r="I99" t="s">
        <v>8</v>
      </c>
      <c r="J99" s="18">
        <v>-8509800</v>
      </c>
      <c r="K99" t="s">
        <v>3</v>
      </c>
      <c r="L99" t="s">
        <v>9</v>
      </c>
      <c r="M99" t="s">
        <v>230</v>
      </c>
      <c r="N99" t="s">
        <v>3</v>
      </c>
      <c r="O99" t="s">
        <v>3</v>
      </c>
      <c r="P99" t="s">
        <v>5</v>
      </c>
      <c r="Q99" t="s">
        <v>80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68</v>
      </c>
      <c r="X99" s="17">
        <v>42752</v>
      </c>
      <c r="Y99" t="s">
        <v>231</v>
      </c>
      <c r="Z99" s="17">
        <v>42752</v>
      </c>
      <c r="AA99" t="s">
        <v>3</v>
      </c>
      <c r="AB99" t="s">
        <v>228</v>
      </c>
    </row>
    <row r="100" spans="1:28" hidden="1">
      <c r="A100" t="s">
        <v>228</v>
      </c>
      <c r="B100" s="17">
        <v>42752</v>
      </c>
      <c r="C100" s="17">
        <v>42752</v>
      </c>
      <c r="D100" t="s">
        <v>0</v>
      </c>
      <c r="E100" t="s">
        <v>1</v>
      </c>
      <c r="F100" s="18">
        <v>115600</v>
      </c>
      <c r="G100" s="18">
        <v>115600</v>
      </c>
      <c r="H100" t="s">
        <v>2</v>
      </c>
      <c r="I100" t="s">
        <v>8</v>
      </c>
      <c r="J100" s="18">
        <v>9016800</v>
      </c>
      <c r="K100" t="s">
        <v>232</v>
      </c>
      <c r="L100" t="s">
        <v>9</v>
      </c>
      <c r="M100" t="s">
        <v>230</v>
      </c>
      <c r="N100" t="s">
        <v>3</v>
      </c>
      <c r="O100" t="s">
        <v>3</v>
      </c>
      <c r="P100" t="s">
        <v>5</v>
      </c>
      <c r="Q100" t="s">
        <v>80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68</v>
      </c>
      <c r="X100" s="17">
        <v>42752</v>
      </c>
      <c r="Y100" t="s">
        <v>228</v>
      </c>
      <c r="Z100" s="17">
        <v>42752</v>
      </c>
      <c r="AA100" t="s">
        <v>3</v>
      </c>
      <c r="AB100" t="s">
        <v>228</v>
      </c>
    </row>
    <row r="101" spans="1:28" hidden="1">
      <c r="A101" t="s">
        <v>231</v>
      </c>
      <c r="B101" s="17">
        <v>42752</v>
      </c>
      <c r="C101" s="17">
        <v>42752</v>
      </c>
      <c r="D101" t="s">
        <v>0</v>
      </c>
      <c r="E101" t="s">
        <v>1</v>
      </c>
      <c r="F101" s="18">
        <v>-9700</v>
      </c>
      <c r="G101" s="18">
        <v>-9700</v>
      </c>
      <c r="H101" t="s">
        <v>2</v>
      </c>
      <c r="I101" t="s">
        <v>8</v>
      </c>
      <c r="J101" s="18">
        <v>-756600</v>
      </c>
      <c r="K101" t="s">
        <v>3</v>
      </c>
      <c r="L101" t="s">
        <v>9</v>
      </c>
      <c r="M101" t="s">
        <v>233</v>
      </c>
      <c r="N101" t="s">
        <v>3</v>
      </c>
      <c r="O101" t="s">
        <v>3</v>
      </c>
      <c r="P101" t="s">
        <v>5</v>
      </c>
      <c r="Q101" t="s">
        <v>80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68</v>
      </c>
      <c r="X101" s="17">
        <v>42752</v>
      </c>
      <c r="Y101" t="s">
        <v>208</v>
      </c>
      <c r="Z101" s="17">
        <v>42752</v>
      </c>
      <c r="AA101" t="s">
        <v>3</v>
      </c>
      <c r="AB101" t="s">
        <v>231</v>
      </c>
    </row>
    <row r="102" spans="1:28" hidden="1">
      <c r="A102" t="s">
        <v>231</v>
      </c>
      <c r="B102" s="17">
        <v>42752</v>
      </c>
      <c r="C102" s="17">
        <v>42752</v>
      </c>
      <c r="D102" t="s">
        <v>0</v>
      </c>
      <c r="E102" t="s">
        <v>1</v>
      </c>
      <c r="F102" s="18">
        <v>109100</v>
      </c>
      <c r="G102" s="18">
        <v>109100</v>
      </c>
      <c r="H102" t="s">
        <v>2</v>
      </c>
      <c r="I102" t="s">
        <v>8</v>
      </c>
      <c r="J102" s="18">
        <v>8509800</v>
      </c>
      <c r="K102" t="s">
        <v>234</v>
      </c>
      <c r="L102" t="s">
        <v>9</v>
      </c>
      <c r="M102" t="s">
        <v>233</v>
      </c>
      <c r="N102" t="s">
        <v>3</v>
      </c>
      <c r="O102" t="s">
        <v>3</v>
      </c>
      <c r="P102" t="s">
        <v>5</v>
      </c>
      <c r="Q102" t="s">
        <v>80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68</v>
      </c>
      <c r="X102" s="17">
        <v>42752</v>
      </c>
      <c r="Y102" t="s">
        <v>231</v>
      </c>
      <c r="Z102" s="17">
        <v>42752</v>
      </c>
      <c r="AA102" t="s">
        <v>3</v>
      </c>
      <c r="AB102" t="s">
        <v>231</v>
      </c>
    </row>
    <row r="103" spans="1:28" hidden="1">
      <c r="A103" t="s">
        <v>208</v>
      </c>
      <c r="B103" s="17">
        <v>42752</v>
      </c>
      <c r="C103" s="17">
        <v>42752</v>
      </c>
      <c r="D103" t="s">
        <v>0</v>
      </c>
      <c r="E103" t="s">
        <v>1</v>
      </c>
      <c r="F103" s="18">
        <v>11700</v>
      </c>
      <c r="G103" s="18">
        <v>11700</v>
      </c>
      <c r="H103" t="s">
        <v>2</v>
      </c>
      <c r="I103" t="s">
        <v>8</v>
      </c>
      <c r="J103" s="18">
        <v>912600</v>
      </c>
      <c r="K103" t="s">
        <v>235</v>
      </c>
      <c r="L103" t="s">
        <v>9</v>
      </c>
      <c r="M103" t="s">
        <v>236</v>
      </c>
      <c r="N103" t="s">
        <v>3</v>
      </c>
      <c r="O103" t="s">
        <v>3</v>
      </c>
      <c r="P103" t="s">
        <v>5</v>
      </c>
      <c r="Q103" t="s">
        <v>80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68</v>
      </c>
      <c r="X103" s="17">
        <v>42752</v>
      </c>
      <c r="Y103" t="s">
        <v>208</v>
      </c>
      <c r="Z103" s="17">
        <v>42752</v>
      </c>
      <c r="AA103" t="s">
        <v>3</v>
      </c>
      <c r="AB103" t="s">
        <v>208</v>
      </c>
    </row>
    <row r="104" spans="1:28" hidden="1">
      <c r="A104" t="s">
        <v>280</v>
      </c>
      <c r="B104" s="17">
        <v>42754</v>
      </c>
      <c r="C104" s="17">
        <v>42754</v>
      </c>
      <c r="D104" t="s">
        <v>0</v>
      </c>
      <c r="E104" t="s">
        <v>1</v>
      </c>
      <c r="F104" s="18">
        <v>-82488</v>
      </c>
      <c r="G104" s="18">
        <v>-82488</v>
      </c>
      <c r="H104" t="s">
        <v>2</v>
      </c>
      <c r="I104" t="s">
        <v>10</v>
      </c>
      <c r="J104" s="18">
        <v>-6434064</v>
      </c>
      <c r="K104" t="s">
        <v>71</v>
      </c>
      <c r="L104" t="s">
        <v>9</v>
      </c>
      <c r="M104" t="s">
        <v>281</v>
      </c>
      <c r="N104" t="s">
        <v>3</v>
      </c>
      <c r="O104" t="s">
        <v>3</v>
      </c>
      <c r="P104" t="s">
        <v>5</v>
      </c>
      <c r="Q104" t="s">
        <v>71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68</v>
      </c>
      <c r="X104" s="17">
        <v>42778</v>
      </c>
      <c r="Y104" t="s">
        <v>282</v>
      </c>
      <c r="Z104" s="17">
        <v>42754</v>
      </c>
      <c r="AA104" t="s">
        <v>3</v>
      </c>
      <c r="AB104" t="s">
        <v>280</v>
      </c>
    </row>
    <row r="105" spans="1:28" hidden="1">
      <c r="A105" t="s">
        <v>237</v>
      </c>
      <c r="B105" s="17">
        <v>42758</v>
      </c>
      <c r="C105" s="17">
        <v>42758</v>
      </c>
      <c r="D105" t="s">
        <v>0</v>
      </c>
      <c r="E105" t="s">
        <v>1</v>
      </c>
      <c r="F105" s="18">
        <v>-455704</v>
      </c>
      <c r="G105" s="18">
        <v>-455704</v>
      </c>
      <c r="H105" t="s">
        <v>2</v>
      </c>
      <c r="I105" t="s">
        <v>8</v>
      </c>
      <c r="J105" s="18">
        <v>-35544912</v>
      </c>
      <c r="K105" t="s">
        <v>71</v>
      </c>
      <c r="L105" t="s">
        <v>9</v>
      </c>
      <c r="M105" t="s">
        <v>238</v>
      </c>
      <c r="N105" t="s">
        <v>3</v>
      </c>
      <c r="O105" t="s">
        <v>3</v>
      </c>
      <c r="P105" t="s">
        <v>5</v>
      </c>
      <c r="Q105" t="s">
        <v>71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68</v>
      </c>
      <c r="X105" s="17">
        <v>42764</v>
      </c>
      <c r="Y105" t="s">
        <v>239</v>
      </c>
      <c r="Z105" s="17">
        <v>42758</v>
      </c>
      <c r="AA105" t="s">
        <v>3</v>
      </c>
      <c r="AB105" t="s">
        <v>237</v>
      </c>
    </row>
    <row r="106" spans="1:28" hidden="1">
      <c r="A106" t="s">
        <v>248</v>
      </c>
      <c r="B106" s="17">
        <v>42758</v>
      </c>
      <c r="C106" s="17">
        <v>42758</v>
      </c>
      <c r="D106" t="s">
        <v>0</v>
      </c>
      <c r="E106" t="s">
        <v>1</v>
      </c>
      <c r="F106" s="18">
        <v>-106096.15</v>
      </c>
      <c r="G106" s="18">
        <v>-106096.15</v>
      </c>
      <c r="H106" t="s">
        <v>2</v>
      </c>
      <c r="I106" t="s">
        <v>10</v>
      </c>
      <c r="J106" s="18">
        <v>-8275499.7000000002</v>
      </c>
      <c r="K106" t="s">
        <v>3</v>
      </c>
      <c r="L106" t="s">
        <v>9</v>
      </c>
      <c r="M106" t="s">
        <v>253</v>
      </c>
      <c r="N106" t="s">
        <v>3</v>
      </c>
      <c r="O106" t="s">
        <v>3</v>
      </c>
      <c r="P106" t="s">
        <v>5</v>
      </c>
      <c r="Q106" t="s">
        <v>241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68</v>
      </c>
      <c r="X106" s="17">
        <v>42758</v>
      </c>
      <c r="Y106" t="s">
        <v>254</v>
      </c>
      <c r="Z106" s="17">
        <v>42758</v>
      </c>
      <c r="AA106" t="s">
        <v>3</v>
      </c>
      <c r="AB106" t="s">
        <v>248</v>
      </c>
    </row>
    <row r="107" spans="1:28" hidden="1">
      <c r="A107" t="s">
        <v>248</v>
      </c>
      <c r="B107" s="17">
        <v>42758</v>
      </c>
      <c r="C107" s="17">
        <v>42758</v>
      </c>
      <c r="D107" t="s">
        <v>0</v>
      </c>
      <c r="E107" t="s">
        <v>1</v>
      </c>
      <c r="F107" s="18">
        <v>215062.15</v>
      </c>
      <c r="G107" s="18">
        <v>215062.15</v>
      </c>
      <c r="H107" t="s">
        <v>2</v>
      </c>
      <c r="I107" t="s">
        <v>10</v>
      </c>
      <c r="J107" s="18">
        <v>16774847.699999999</v>
      </c>
      <c r="K107" t="s">
        <v>255</v>
      </c>
      <c r="L107" t="s">
        <v>9</v>
      </c>
      <c r="M107" t="s">
        <v>253</v>
      </c>
      <c r="N107" t="s">
        <v>3</v>
      </c>
      <c r="O107" t="s">
        <v>3</v>
      </c>
      <c r="P107" t="s">
        <v>5</v>
      </c>
      <c r="Q107" t="s">
        <v>241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68</v>
      </c>
      <c r="X107" s="17">
        <v>42758</v>
      </c>
      <c r="Y107" t="s">
        <v>248</v>
      </c>
      <c r="Z107" s="17">
        <v>42758</v>
      </c>
      <c r="AA107" t="s">
        <v>3</v>
      </c>
      <c r="AB107" t="s">
        <v>248</v>
      </c>
    </row>
    <row r="108" spans="1:28" hidden="1">
      <c r="A108" t="s">
        <v>198</v>
      </c>
      <c r="B108" s="17">
        <v>42759</v>
      </c>
      <c r="C108" s="17">
        <v>42759</v>
      </c>
      <c r="D108" t="s">
        <v>0</v>
      </c>
      <c r="E108" t="s">
        <v>1</v>
      </c>
      <c r="F108" s="18">
        <v>-159630.15</v>
      </c>
      <c r="G108" s="18">
        <v>-159630.15</v>
      </c>
      <c r="H108" t="s">
        <v>2</v>
      </c>
      <c r="I108" t="s">
        <v>10</v>
      </c>
      <c r="J108" s="18">
        <v>-12451151.699999999</v>
      </c>
      <c r="K108" t="s">
        <v>3</v>
      </c>
      <c r="L108" t="s">
        <v>9</v>
      </c>
      <c r="M108" t="s">
        <v>240</v>
      </c>
      <c r="N108" t="s">
        <v>3</v>
      </c>
      <c r="O108" t="s">
        <v>3</v>
      </c>
      <c r="P108" t="s">
        <v>5</v>
      </c>
      <c r="Q108" t="s">
        <v>241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68</v>
      </c>
      <c r="X108" s="17">
        <v>42759</v>
      </c>
      <c r="Y108" t="s">
        <v>242</v>
      </c>
      <c r="Z108" s="17">
        <v>42759</v>
      </c>
      <c r="AA108" t="s">
        <v>3</v>
      </c>
      <c r="AB108" t="s">
        <v>198</v>
      </c>
    </row>
    <row r="109" spans="1:28" hidden="1">
      <c r="A109" t="s">
        <v>198</v>
      </c>
      <c r="B109" s="17">
        <v>42759</v>
      </c>
      <c r="C109" s="17">
        <v>42759</v>
      </c>
      <c r="D109" t="s">
        <v>0</v>
      </c>
      <c r="E109" t="s">
        <v>1</v>
      </c>
      <c r="F109" s="18">
        <v>168555.15</v>
      </c>
      <c r="G109" s="18">
        <v>168555.15</v>
      </c>
      <c r="H109" t="s">
        <v>2</v>
      </c>
      <c r="I109" t="s">
        <v>10</v>
      </c>
      <c r="J109" s="18">
        <v>13383278.91</v>
      </c>
      <c r="K109" t="s">
        <v>243</v>
      </c>
      <c r="L109" t="s">
        <v>9</v>
      </c>
      <c r="M109" t="s">
        <v>240</v>
      </c>
      <c r="N109" t="s">
        <v>3</v>
      </c>
      <c r="O109" t="s">
        <v>3</v>
      </c>
      <c r="P109" t="s">
        <v>5</v>
      </c>
      <c r="Q109" t="s">
        <v>241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68</v>
      </c>
      <c r="X109" s="17">
        <v>42759</v>
      </c>
      <c r="Y109" t="s">
        <v>198</v>
      </c>
      <c r="Z109" s="17">
        <v>42759</v>
      </c>
      <c r="AA109" t="s">
        <v>3</v>
      </c>
      <c r="AB109" t="s">
        <v>198</v>
      </c>
    </row>
    <row r="110" spans="1:28" hidden="1">
      <c r="A110" t="s">
        <v>239</v>
      </c>
      <c r="B110" s="17">
        <v>42764</v>
      </c>
      <c r="C110" s="17">
        <v>42764</v>
      </c>
      <c r="D110" t="s">
        <v>0</v>
      </c>
      <c r="E110" t="s">
        <v>1</v>
      </c>
      <c r="F110" s="18">
        <v>-448481</v>
      </c>
      <c r="G110" s="18">
        <v>-448481</v>
      </c>
      <c r="H110" t="s">
        <v>2</v>
      </c>
      <c r="I110" t="s">
        <v>8</v>
      </c>
      <c r="J110" s="18">
        <v>-34981518</v>
      </c>
      <c r="K110" t="s">
        <v>3</v>
      </c>
      <c r="L110" t="s">
        <v>9</v>
      </c>
      <c r="M110" t="s">
        <v>259</v>
      </c>
      <c r="N110" t="s">
        <v>3</v>
      </c>
      <c r="O110" t="s">
        <v>3</v>
      </c>
      <c r="P110" t="s">
        <v>5</v>
      </c>
      <c r="Q110" t="s">
        <v>241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68</v>
      </c>
      <c r="X110" s="17">
        <v>42764</v>
      </c>
      <c r="Y110" t="s">
        <v>260</v>
      </c>
      <c r="Z110" s="17">
        <v>42764</v>
      </c>
      <c r="AA110" t="s">
        <v>3</v>
      </c>
      <c r="AB110" t="s">
        <v>239</v>
      </c>
    </row>
    <row r="111" spans="1:28" hidden="1">
      <c r="A111" t="s">
        <v>239</v>
      </c>
      <c r="B111" s="17">
        <v>42764</v>
      </c>
      <c r="C111" s="17">
        <v>42764</v>
      </c>
      <c r="D111" t="s">
        <v>0</v>
      </c>
      <c r="E111" t="s">
        <v>1</v>
      </c>
      <c r="F111" s="18">
        <v>455704</v>
      </c>
      <c r="G111" s="18">
        <v>455704</v>
      </c>
      <c r="H111" t="s">
        <v>2</v>
      </c>
      <c r="I111" t="s">
        <v>8</v>
      </c>
      <c r="J111" s="18">
        <v>35544912</v>
      </c>
      <c r="K111" t="s">
        <v>261</v>
      </c>
      <c r="L111" t="s">
        <v>9</v>
      </c>
      <c r="M111" t="s">
        <v>259</v>
      </c>
      <c r="N111" t="s">
        <v>3</v>
      </c>
      <c r="O111" t="s">
        <v>3</v>
      </c>
      <c r="P111" t="s">
        <v>5</v>
      </c>
      <c r="Q111" t="s">
        <v>241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68</v>
      </c>
      <c r="X111" s="17">
        <v>42764</v>
      </c>
      <c r="Y111" t="s">
        <v>239</v>
      </c>
      <c r="Z111" s="17">
        <v>42764</v>
      </c>
      <c r="AA111" t="s">
        <v>3</v>
      </c>
      <c r="AB111" t="s">
        <v>239</v>
      </c>
    </row>
    <row r="112" spans="1:28" hidden="1">
      <c r="A112" t="s">
        <v>260</v>
      </c>
      <c r="B112" s="17">
        <v>42764</v>
      </c>
      <c r="C112" s="17">
        <v>42764</v>
      </c>
      <c r="D112" t="s">
        <v>0</v>
      </c>
      <c r="E112" t="s">
        <v>1</v>
      </c>
      <c r="F112" s="18">
        <v>-175411</v>
      </c>
      <c r="G112" s="18">
        <v>-175411</v>
      </c>
      <c r="H112" t="s">
        <v>2</v>
      </c>
      <c r="I112" t="s">
        <v>8</v>
      </c>
      <c r="J112" s="18">
        <v>-13682058</v>
      </c>
      <c r="K112" t="s">
        <v>3</v>
      </c>
      <c r="L112" t="s">
        <v>9</v>
      </c>
      <c r="M112" t="s">
        <v>262</v>
      </c>
      <c r="N112" t="s">
        <v>3</v>
      </c>
      <c r="O112" t="s">
        <v>3</v>
      </c>
      <c r="P112" t="s">
        <v>5</v>
      </c>
      <c r="Q112" t="s">
        <v>241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68</v>
      </c>
      <c r="X112" s="17">
        <v>42765</v>
      </c>
      <c r="Y112" t="s">
        <v>263</v>
      </c>
      <c r="Z112" s="17">
        <v>42764</v>
      </c>
      <c r="AA112" t="s">
        <v>3</v>
      </c>
      <c r="AB112" t="s">
        <v>260</v>
      </c>
    </row>
    <row r="113" spans="1:28" hidden="1">
      <c r="A113" t="s">
        <v>260</v>
      </c>
      <c r="B113" s="17">
        <v>42764</v>
      </c>
      <c r="C113" s="17">
        <v>42764</v>
      </c>
      <c r="D113" t="s">
        <v>0</v>
      </c>
      <c r="E113" t="s">
        <v>1</v>
      </c>
      <c r="F113" s="18">
        <v>448481</v>
      </c>
      <c r="G113" s="18">
        <v>448481</v>
      </c>
      <c r="H113" t="s">
        <v>2</v>
      </c>
      <c r="I113" t="s">
        <v>8</v>
      </c>
      <c r="J113" s="18">
        <v>34981518</v>
      </c>
      <c r="K113" t="s">
        <v>264</v>
      </c>
      <c r="L113" t="s">
        <v>9</v>
      </c>
      <c r="M113" t="s">
        <v>262</v>
      </c>
      <c r="N113" t="s">
        <v>3</v>
      </c>
      <c r="O113" t="s">
        <v>3</v>
      </c>
      <c r="P113" t="s">
        <v>5</v>
      </c>
      <c r="Q113" t="s">
        <v>241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68</v>
      </c>
      <c r="X113" s="17">
        <v>42764</v>
      </c>
      <c r="Y113" t="s">
        <v>260</v>
      </c>
      <c r="Z113" s="17">
        <v>42764</v>
      </c>
      <c r="AA113" t="s">
        <v>3</v>
      </c>
      <c r="AB113" t="s">
        <v>260</v>
      </c>
    </row>
    <row r="114" spans="1:28" hidden="1">
      <c r="A114" t="s">
        <v>277</v>
      </c>
      <c r="B114" s="17">
        <v>42764</v>
      </c>
      <c r="C114" s="17">
        <v>42764</v>
      </c>
      <c r="D114" t="s">
        <v>0</v>
      </c>
      <c r="E114" t="s">
        <v>1</v>
      </c>
      <c r="F114" s="18">
        <v>-1065107</v>
      </c>
      <c r="G114" s="18">
        <v>-1065107</v>
      </c>
      <c r="H114" t="s">
        <v>2</v>
      </c>
      <c r="I114" t="s">
        <v>8</v>
      </c>
      <c r="J114" s="18">
        <v>-83078346</v>
      </c>
      <c r="K114" t="s">
        <v>71</v>
      </c>
      <c r="L114" t="s">
        <v>9</v>
      </c>
      <c r="M114" t="s">
        <v>278</v>
      </c>
      <c r="N114" t="s">
        <v>3</v>
      </c>
      <c r="O114" t="s">
        <v>3</v>
      </c>
      <c r="P114" t="s">
        <v>5</v>
      </c>
      <c r="Q114" t="s">
        <v>71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68</v>
      </c>
      <c r="X114" s="17">
        <v>42771</v>
      </c>
      <c r="Y114" t="s">
        <v>279</v>
      </c>
      <c r="Z114" s="17">
        <v>42764</v>
      </c>
      <c r="AA114" t="s">
        <v>3</v>
      </c>
      <c r="AB114" t="s">
        <v>277</v>
      </c>
    </row>
    <row r="115" spans="1:28" hidden="1">
      <c r="A115" t="s">
        <v>257</v>
      </c>
      <c r="B115" s="17">
        <v>42765</v>
      </c>
      <c r="C115" s="17">
        <v>42765</v>
      </c>
      <c r="D115" t="s">
        <v>0</v>
      </c>
      <c r="E115" t="s">
        <v>1</v>
      </c>
      <c r="F115" s="18">
        <v>-45459.15</v>
      </c>
      <c r="G115" s="18">
        <v>-45459.15</v>
      </c>
      <c r="H115" t="s">
        <v>2</v>
      </c>
      <c r="I115" t="s">
        <v>10</v>
      </c>
      <c r="J115" s="18">
        <v>-3545813.7</v>
      </c>
      <c r="K115" t="s">
        <v>3</v>
      </c>
      <c r="L115" t="s">
        <v>9</v>
      </c>
      <c r="M115" t="s">
        <v>265</v>
      </c>
      <c r="N115" t="s">
        <v>3</v>
      </c>
      <c r="O115" t="s">
        <v>3</v>
      </c>
      <c r="P115" t="s">
        <v>5</v>
      </c>
      <c r="Q115" t="s">
        <v>241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68</v>
      </c>
      <c r="X115" s="17">
        <v>42773</v>
      </c>
      <c r="Y115" t="s">
        <v>266</v>
      </c>
      <c r="Z115" s="17">
        <v>42765</v>
      </c>
      <c r="AA115" t="s">
        <v>3</v>
      </c>
      <c r="AB115" t="s">
        <v>257</v>
      </c>
    </row>
    <row r="116" spans="1:28" hidden="1">
      <c r="A116" t="s">
        <v>257</v>
      </c>
      <c r="B116" s="17">
        <v>42765</v>
      </c>
      <c r="C116" s="17">
        <v>42765</v>
      </c>
      <c r="D116" t="s">
        <v>0</v>
      </c>
      <c r="E116" t="s">
        <v>1</v>
      </c>
      <c r="F116" s="18">
        <v>61901.15</v>
      </c>
      <c r="G116" s="18">
        <v>61901.15</v>
      </c>
      <c r="H116" t="s">
        <v>2</v>
      </c>
      <c r="I116" t="s">
        <v>10</v>
      </c>
      <c r="J116" s="18">
        <v>4828289.7</v>
      </c>
      <c r="K116" t="s">
        <v>267</v>
      </c>
      <c r="L116" t="s">
        <v>9</v>
      </c>
      <c r="M116" t="s">
        <v>265</v>
      </c>
      <c r="N116" t="s">
        <v>3</v>
      </c>
      <c r="O116" t="s">
        <v>3</v>
      </c>
      <c r="P116" t="s">
        <v>5</v>
      </c>
      <c r="Q116" t="s">
        <v>241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68</v>
      </c>
      <c r="X116" s="17">
        <v>42765</v>
      </c>
      <c r="Y116" t="s">
        <v>257</v>
      </c>
      <c r="Z116" s="17">
        <v>42765</v>
      </c>
      <c r="AA116" t="s">
        <v>3</v>
      </c>
      <c r="AB116" t="s">
        <v>257</v>
      </c>
    </row>
    <row r="117" spans="1:28" hidden="1">
      <c r="A117" t="s">
        <v>263</v>
      </c>
      <c r="B117" s="17">
        <v>42765</v>
      </c>
      <c r="C117" s="17">
        <v>42765</v>
      </c>
      <c r="D117" t="s">
        <v>0</v>
      </c>
      <c r="E117" t="s">
        <v>1</v>
      </c>
      <c r="F117" s="18">
        <v>-168463</v>
      </c>
      <c r="G117" s="18">
        <v>-168463</v>
      </c>
      <c r="H117" t="s">
        <v>2</v>
      </c>
      <c r="I117" t="s">
        <v>8</v>
      </c>
      <c r="J117" s="18">
        <v>-13140114</v>
      </c>
      <c r="K117" t="s">
        <v>3</v>
      </c>
      <c r="L117" t="s">
        <v>9</v>
      </c>
      <c r="M117" t="s">
        <v>268</v>
      </c>
      <c r="N117" t="s">
        <v>3</v>
      </c>
      <c r="O117" t="s">
        <v>3</v>
      </c>
      <c r="P117" t="s">
        <v>5</v>
      </c>
      <c r="Q117" t="s">
        <v>241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68</v>
      </c>
      <c r="X117" s="17">
        <v>42765</v>
      </c>
      <c r="Y117" t="s">
        <v>269</v>
      </c>
      <c r="Z117" s="17">
        <v>42765</v>
      </c>
      <c r="AA117" t="s">
        <v>3</v>
      </c>
      <c r="AB117" t="s">
        <v>263</v>
      </c>
    </row>
    <row r="118" spans="1:28" hidden="1">
      <c r="A118" t="s">
        <v>263</v>
      </c>
      <c r="B118" s="17">
        <v>42765</v>
      </c>
      <c r="C118" s="17">
        <v>42765</v>
      </c>
      <c r="D118" t="s">
        <v>0</v>
      </c>
      <c r="E118" t="s">
        <v>1</v>
      </c>
      <c r="F118" s="18">
        <v>175411</v>
      </c>
      <c r="G118" s="18">
        <v>175411</v>
      </c>
      <c r="H118" t="s">
        <v>2</v>
      </c>
      <c r="I118" t="s">
        <v>8</v>
      </c>
      <c r="J118" s="18">
        <v>13682058</v>
      </c>
      <c r="K118" t="s">
        <v>270</v>
      </c>
      <c r="L118" t="s">
        <v>9</v>
      </c>
      <c r="M118" t="s">
        <v>268</v>
      </c>
      <c r="N118" t="s">
        <v>3</v>
      </c>
      <c r="O118" t="s">
        <v>3</v>
      </c>
      <c r="P118" t="s">
        <v>5</v>
      </c>
      <c r="Q118" t="s">
        <v>241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68</v>
      </c>
      <c r="X118" s="17">
        <v>42765</v>
      </c>
      <c r="Y118" t="s">
        <v>263</v>
      </c>
      <c r="Z118" s="17">
        <v>42765</v>
      </c>
      <c r="AA118" t="s">
        <v>3</v>
      </c>
      <c r="AB118" t="s">
        <v>263</v>
      </c>
    </row>
    <row r="119" spans="1:28" hidden="1">
      <c r="A119" t="s">
        <v>269</v>
      </c>
      <c r="B119" s="17">
        <v>42765</v>
      </c>
      <c r="C119" s="17">
        <v>42765</v>
      </c>
      <c r="D119" t="s">
        <v>0</v>
      </c>
      <c r="E119" t="s">
        <v>1</v>
      </c>
      <c r="F119" s="18">
        <v>-53093</v>
      </c>
      <c r="G119" s="18">
        <v>-53093</v>
      </c>
      <c r="H119" t="s">
        <v>2</v>
      </c>
      <c r="I119" t="s">
        <v>8</v>
      </c>
      <c r="J119" s="18">
        <v>-4141254</v>
      </c>
      <c r="K119" t="s">
        <v>3</v>
      </c>
      <c r="L119" t="s">
        <v>9</v>
      </c>
      <c r="M119" t="s">
        <v>271</v>
      </c>
      <c r="N119" t="s">
        <v>3</v>
      </c>
      <c r="O119" t="s">
        <v>3</v>
      </c>
      <c r="P119" t="s">
        <v>5</v>
      </c>
      <c r="Q119" t="s">
        <v>241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68</v>
      </c>
      <c r="X119" s="17">
        <v>42765</v>
      </c>
      <c r="Y119" t="s">
        <v>272</v>
      </c>
      <c r="Z119" s="17">
        <v>42765</v>
      </c>
      <c r="AA119" t="s">
        <v>3</v>
      </c>
      <c r="AB119" t="s">
        <v>269</v>
      </c>
    </row>
    <row r="120" spans="1:28" hidden="1">
      <c r="A120" t="s">
        <v>269</v>
      </c>
      <c r="B120" s="17">
        <v>42765</v>
      </c>
      <c r="C120" s="17">
        <v>42765</v>
      </c>
      <c r="D120" t="s">
        <v>0</v>
      </c>
      <c r="E120" t="s">
        <v>1</v>
      </c>
      <c r="F120" s="18">
        <v>168463</v>
      </c>
      <c r="G120" s="18">
        <v>168463</v>
      </c>
      <c r="H120" t="s">
        <v>2</v>
      </c>
      <c r="I120" t="s">
        <v>8</v>
      </c>
      <c r="J120" s="18">
        <v>13140114</v>
      </c>
      <c r="K120" t="s">
        <v>273</v>
      </c>
      <c r="L120" t="s">
        <v>9</v>
      </c>
      <c r="M120" t="s">
        <v>271</v>
      </c>
      <c r="N120" t="s">
        <v>3</v>
      </c>
      <c r="O120" t="s">
        <v>3</v>
      </c>
      <c r="P120" t="s">
        <v>5</v>
      </c>
      <c r="Q120" t="s">
        <v>241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68</v>
      </c>
      <c r="X120" s="17">
        <v>42765</v>
      </c>
      <c r="Y120" t="s">
        <v>269</v>
      </c>
      <c r="Z120" s="17">
        <v>42765</v>
      </c>
      <c r="AA120" t="s">
        <v>3</v>
      </c>
      <c r="AB120" t="s">
        <v>269</v>
      </c>
    </row>
    <row r="121" spans="1:28" hidden="1">
      <c r="A121" t="s">
        <v>272</v>
      </c>
      <c r="B121" s="17">
        <v>42765</v>
      </c>
      <c r="C121" s="17">
        <v>42765</v>
      </c>
      <c r="D121" t="s">
        <v>0</v>
      </c>
      <c r="E121" t="s">
        <v>1</v>
      </c>
      <c r="F121" s="18">
        <v>-47119</v>
      </c>
      <c r="G121" s="18">
        <v>-47119</v>
      </c>
      <c r="H121" t="s">
        <v>2</v>
      </c>
      <c r="I121" t="s">
        <v>8</v>
      </c>
      <c r="J121" s="18">
        <v>-3675282</v>
      </c>
      <c r="K121" t="s">
        <v>3</v>
      </c>
      <c r="L121" t="s">
        <v>9</v>
      </c>
      <c r="M121" t="s">
        <v>274</v>
      </c>
      <c r="N121" t="s">
        <v>3</v>
      </c>
      <c r="O121" t="s">
        <v>3</v>
      </c>
      <c r="P121" t="s">
        <v>5</v>
      </c>
      <c r="Q121" t="s">
        <v>241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68</v>
      </c>
      <c r="X121" s="17">
        <v>42771</v>
      </c>
      <c r="Y121" t="s">
        <v>275</v>
      </c>
      <c r="Z121" s="17">
        <v>42765</v>
      </c>
      <c r="AA121" t="s">
        <v>3</v>
      </c>
      <c r="AB121" t="s">
        <v>272</v>
      </c>
    </row>
    <row r="122" spans="1:28" hidden="1">
      <c r="A122" t="s">
        <v>272</v>
      </c>
      <c r="B122" s="17">
        <v>42765</v>
      </c>
      <c r="C122" s="17">
        <v>42765</v>
      </c>
      <c r="D122" t="s">
        <v>0</v>
      </c>
      <c r="E122" t="s">
        <v>1</v>
      </c>
      <c r="F122" s="18">
        <v>53093</v>
      </c>
      <c r="G122" s="18">
        <v>53093</v>
      </c>
      <c r="H122" t="s">
        <v>2</v>
      </c>
      <c r="I122" t="s">
        <v>8</v>
      </c>
      <c r="J122" s="18">
        <v>4141254</v>
      </c>
      <c r="K122" t="s">
        <v>276</v>
      </c>
      <c r="L122" t="s">
        <v>9</v>
      </c>
      <c r="M122" t="s">
        <v>274</v>
      </c>
      <c r="N122" t="s">
        <v>3</v>
      </c>
      <c r="O122" t="s">
        <v>3</v>
      </c>
      <c r="P122" t="s">
        <v>5</v>
      </c>
      <c r="Q122" t="s">
        <v>241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68</v>
      </c>
      <c r="X122" s="17">
        <v>42765</v>
      </c>
      <c r="Y122" t="s">
        <v>272</v>
      </c>
      <c r="Z122" s="17">
        <v>42765</v>
      </c>
      <c r="AA122" t="s">
        <v>3</v>
      </c>
      <c r="AB122" t="s">
        <v>272</v>
      </c>
    </row>
    <row r="123" spans="1:28" hidden="1">
      <c r="A123" t="s">
        <v>87</v>
      </c>
      <c r="B123" s="17">
        <v>42771</v>
      </c>
      <c r="C123" s="17">
        <v>42771</v>
      </c>
      <c r="D123" t="s">
        <v>38</v>
      </c>
      <c r="E123" t="s">
        <v>1</v>
      </c>
      <c r="F123" s="18">
        <v>52104.15</v>
      </c>
      <c r="G123" s="18">
        <v>52104.15</v>
      </c>
      <c r="H123" t="s">
        <v>2</v>
      </c>
      <c r="I123" t="s">
        <v>10</v>
      </c>
      <c r="J123" s="18">
        <v>4113622.64</v>
      </c>
      <c r="K123" t="s">
        <v>88</v>
      </c>
      <c r="L123" t="s">
        <v>9</v>
      </c>
      <c r="M123" t="s">
        <v>89</v>
      </c>
      <c r="N123" t="s">
        <v>3</v>
      </c>
      <c r="O123" t="s">
        <v>3</v>
      </c>
      <c r="P123" t="s">
        <v>5</v>
      </c>
      <c r="Q123" t="s">
        <v>88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68</v>
      </c>
      <c r="X123" s="17">
        <v>42771</v>
      </c>
      <c r="Y123" t="s">
        <v>87</v>
      </c>
      <c r="Z123" s="17">
        <v>42771</v>
      </c>
      <c r="AA123" t="s">
        <v>3</v>
      </c>
      <c r="AB123" t="s">
        <v>87</v>
      </c>
    </row>
    <row r="124" spans="1:28" hidden="1">
      <c r="A124" t="s">
        <v>275</v>
      </c>
      <c r="B124" s="17">
        <v>42771</v>
      </c>
      <c r="C124" s="17">
        <v>42771</v>
      </c>
      <c r="D124" t="s">
        <v>0</v>
      </c>
      <c r="E124" t="s">
        <v>1</v>
      </c>
      <c r="F124" s="18">
        <v>-32636</v>
      </c>
      <c r="G124" s="18">
        <v>-32636</v>
      </c>
      <c r="H124" t="s">
        <v>2</v>
      </c>
      <c r="I124" t="s">
        <v>8</v>
      </c>
      <c r="J124" s="18">
        <v>-2576612.2000000002</v>
      </c>
      <c r="K124" t="s">
        <v>3</v>
      </c>
      <c r="L124" t="s">
        <v>9</v>
      </c>
      <c r="M124" t="s">
        <v>283</v>
      </c>
      <c r="N124" t="s">
        <v>3</v>
      </c>
      <c r="O124" t="s">
        <v>3</v>
      </c>
      <c r="P124" t="s">
        <v>5</v>
      </c>
      <c r="Q124" t="s">
        <v>80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68</v>
      </c>
      <c r="X124" s="17">
        <v>42771</v>
      </c>
      <c r="Y124" t="s">
        <v>284</v>
      </c>
      <c r="Z124" s="17">
        <v>42771</v>
      </c>
      <c r="AA124" t="s">
        <v>3</v>
      </c>
      <c r="AB124" t="s">
        <v>275</v>
      </c>
    </row>
    <row r="125" spans="1:28" hidden="1">
      <c r="A125" t="s">
        <v>275</v>
      </c>
      <c r="B125" s="17">
        <v>42771</v>
      </c>
      <c r="C125" s="17">
        <v>42771</v>
      </c>
      <c r="D125" t="s">
        <v>0</v>
      </c>
      <c r="E125" t="s">
        <v>1</v>
      </c>
      <c r="F125" s="18">
        <v>47119</v>
      </c>
      <c r="G125" s="18">
        <v>47119</v>
      </c>
      <c r="H125" t="s">
        <v>2</v>
      </c>
      <c r="I125" t="s">
        <v>8</v>
      </c>
      <c r="J125" s="18">
        <v>3675282</v>
      </c>
      <c r="K125" t="s">
        <v>285</v>
      </c>
      <c r="L125" t="s">
        <v>9</v>
      </c>
      <c r="M125" t="s">
        <v>283</v>
      </c>
      <c r="N125" t="s">
        <v>3</v>
      </c>
      <c r="O125" t="s">
        <v>3</v>
      </c>
      <c r="P125" t="s">
        <v>5</v>
      </c>
      <c r="Q125" t="s">
        <v>80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68</v>
      </c>
      <c r="X125" s="17">
        <v>42771</v>
      </c>
      <c r="Y125" t="s">
        <v>275</v>
      </c>
      <c r="Z125" s="17">
        <v>42771</v>
      </c>
      <c r="AA125" t="s">
        <v>3</v>
      </c>
      <c r="AB125" t="s">
        <v>275</v>
      </c>
    </row>
    <row r="126" spans="1:28" hidden="1">
      <c r="A126" t="s">
        <v>284</v>
      </c>
      <c r="B126" s="17">
        <v>42771</v>
      </c>
      <c r="C126" s="17">
        <v>42771</v>
      </c>
      <c r="D126" t="s">
        <v>0</v>
      </c>
      <c r="E126" t="s">
        <v>1</v>
      </c>
      <c r="F126" s="18">
        <v>-24748</v>
      </c>
      <c r="G126" s="18">
        <v>-24748</v>
      </c>
      <c r="H126" t="s">
        <v>2</v>
      </c>
      <c r="I126" t="s">
        <v>8</v>
      </c>
      <c r="J126" s="18">
        <v>-1953854.6</v>
      </c>
      <c r="K126" t="s">
        <v>3</v>
      </c>
      <c r="L126" t="s">
        <v>9</v>
      </c>
      <c r="M126" t="s">
        <v>286</v>
      </c>
      <c r="N126" t="s">
        <v>3</v>
      </c>
      <c r="O126" t="s">
        <v>3</v>
      </c>
      <c r="P126" t="s">
        <v>5</v>
      </c>
      <c r="Q126" t="s">
        <v>80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68</v>
      </c>
      <c r="X126" s="17">
        <v>42771</v>
      </c>
      <c r="Y126" t="s">
        <v>279</v>
      </c>
      <c r="Z126" s="17">
        <v>42771</v>
      </c>
      <c r="AA126" t="s">
        <v>3</v>
      </c>
      <c r="AB126" t="s">
        <v>284</v>
      </c>
    </row>
    <row r="127" spans="1:28" hidden="1">
      <c r="A127" t="s">
        <v>284</v>
      </c>
      <c r="B127" s="17">
        <v>42771</v>
      </c>
      <c r="C127" s="17">
        <v>42771</v>
      </c>
      <c r="D127" t="s">
        <v>0</v>
      </c>
      <c r="E127" t="s">
        <v>1</v>
      </c>
      <c r="F127" s="18">
        <v>32636</v>
      </c>
      <c r="G127" s="18">
        <v>32636</v>
      </c>
      <c r="H127" t="s">
        <v>2</v>
      </c>
      <c r="I127" t="s">
        <v>8</v>
      </c>
      <c r="J127" s="18">
        <v>2576612.2000000002</v>
      </c>
      <c r="K127" t="s">
        <v>287</v>
      </c>
      <c r="L127" t="s">
        <v>9</v>
      </c>
      <c r="M127" t="s">
        <v>286</v>
      </c>
      <c r="N127" t="s">
        <v>3</v>
      </c>
      <c r="O127" t="s">
        <v>3</v>
      </c>
      <c r="P127" t="s">
        <v>5</v>
      </c>
      <c r="Q127" t="s">
        <v>80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68</v>
      </c>
      <c r="X127" s="17">
        <v>42771</v>
      </c>
      <c r="Y127" t="s">
        <v>284</v>
      </c>
      <c r="Z127" s="17">
        <v>42771</v>
      </c>
      <c r="AA127" t="s">
        <v>3</v>
      </c>
      <c r="AB127" t="s">
        <v>284</v>
      </c>
    </row>
    <row r="128" spans="1:28" hidden="1">
      <c r="A128" t="s">
        <v>279</v>
      </c>
      <c r="B128" s="17">
        <v>42771</v>
      </c>
      <c r="C128" s="17">
        <v>42771</v>
      </c>
      <c r="D128" t="s">
        <v>0</v>
      </c>
      <c r="E128" t="s">
        <v>1</v>
      </c>
      <c r="F128" s="18">
        <v>-1064572</v>
      </c>
      <c r="G128" s="18">
        <v>-1064572</v>
      </c>
      <c r="H128" t="s">
        <v>2</v>
      </c>
      <c r="I128" t="s">
        <v>8</v>
      </c>
      <c r="J128" s="18">
        <v>-84047959.400000006</v>
      </c>
      <c r="K128" t="s">
        <v>3</v>
      </c>
      <c r="L128" t="s">
        <v>9</v>
      </c>
      <c r="M128" t="s">
        <v>288</v>
      </c>
      <c r="N128" t="s">
        <v>3</v>
      </c>
      <c r="O128" t="s">
        <v>3</v>
      </c>
      <c r="P128" t="s">
        <v>5</v>
      </c>
      <c r="Q128" t="s">
        <v>80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68</v>
      </c>
      <c r="X128" s="17">
        <v>42771</v>
      </c>
      <c r="Y128" t="s">
        <v>289</v>
      </c>
      <c r="Z128" s="17">
        <v>42771</v>
      </c>
      <c r="AA128" t="s">
        <v>3</v>
      </c>
      <c r="AB128" t="s">
        <v>279</v>
      </c>
    </row>
    <row r="129" spans="1:28" hidden="1">
      <c r="A129" t="s">
        <v>279</v>
      </c>
      <c r="B129" s="17">
        <v>42771</v>
      </c>
      <c r="C129" s="17">
        <v>42771</v>
      </c>
      <c r="D129" t="s">
        <v>0</v>
      </c>
      <c r="E129" t="s">
        <v>1</v>
      </c>
      <c r="F129" s="18">
        <v>1089855</v>
      </c>
      <c r="G129" s="18">
        <v>1089855</v>
      </c>
      <c r="H129" t="s">
        <v>2</v>
      </c>
      <c r="I129" t="s">
        <v>8</v>
      </c>
      <c r="J129" s="18">
        <v>85032200.599999994</v>
      </c>
      <c r="K129" t="s">
        <v>290</v>
      </c>
      <c r="L129" t="s">
        <v>9</v>
      </c>
      <c r="M129" t="s">
        <v>288</v>
      </c>
      <c r="N129" t="s">
        <v>3</v>
      </c>
      <c r="O129" t="s">
        <v>3</v>
      </c>
      <c r="P129" t="s">
        <v>5</v>
      </c>
      <c r="Q129" t="s">
        <v>80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68</v>
      </c>
      <c r="X129" s="17">
        <v>42771</v>
      </c>
      <c r="Y129" t="s">
        <v>279</v>
      </c>
      <c r="Z129" s="17">
        <v>42771</v>
      </c>
      <c r="AA129" t="s">
        <v>3</v>
      </c>
      <c r="AB129" t="s">
        <v>279</v>
      </c>
    </row>
    <row r="130" spans="1:28" hidden="1">
      <c r="A130" t="s">
        <v>289</v>
      </c>
      <c r="B130" s="17">
        <v>42771</v>
      </c>
      <c r="C130" s="17">
        <v>42771</v>
      </c>
      <c r="D130" t="s">
        <v>0</v>
      </c>
      <c r="E130" t="s">
        <v>1</v>
      </c>
      <c r="F130" s="18">
        <v>-1061699</v>
      </c>
      <c r="G130" s="18">
        <v>-1061699</v>
      </c>
      <c r="H130" t="s">
        <v>2</v>
      </c>
      <c r="I130" t="s">
        <v>8</v>
      </c>
      <c r="J130" s="18">
        <v>-83821136.049999997</v>
      </c>
      <c r="K130" t="s">
        <v>3</v>
      </c>
      <c r="L130" t="s">
        <v>9</v>
      </c>
      <c r="M130" t="s">
        <v>291</v>
      </c>
      <c r="N130" t="s">
        <v>3</v>
      </c>
      <c r="O130" t="s">
        <v>3</v>
      </c>
      <c r="P130" t="s">
        <v>5</v>
      </c>
      <c r="Q130" t="s">
        <v>80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68</v>
      </c>
      <c r="X130" s="17">
        <v>42773</v>
      </c>
      <c r="Y130" t="s">
        <v>292</v>
      </c>
      <c r="Z130" s="17">
        <v>42771</v>
      </c>
      <c r="AA130" t="s">
        <v>3</v>
      </c>
      <c r="AB130" t="s">
        <v>289</v>
      </c>
    </row>
    <row r="131" spans="1:28" hidden="1">
      <c r="A131" t="s">
        <v>289</v>
      </c>
      <c r="B131" s="17">
        <v>42771</v>
      </c>
      <c r="C131" s="17">
        <v>42771</v>
      </c>
      <c r="D131" t="s">
        <v>0</v>
      </c>
      <c r="E131" t="s">
        <v>1</v>
      </c>
      <c r="F131" s="18">
        <v>1064572</v>
      </c>
      <c r="G131" s="18">
        <v>1064572</v>
      </c>
      <c r="H131" t="s">
        <v>2</v>
      </c>
      <c r="I131" t="s">
        <v>8</v>
      </c>
      <c r="J131" s="18">
        <v>84047959.400000006</v>
      </c>
      <c r="K131" t="s">
        <v>293</v>
      </c>
      <c r="L131" t="s">
        <v>9</v>
      </c>
      <c r="M131" t="s">
        <v>291</v>
      </c>
      <c r="N131" t="s">
        <v>3</v>
      </c>
      <c r="O131" t="s">
        <v>3</v>
      </c>
      <c r="P131" t="s">
        <v>5</v>
      </c>
      <c r="Q131" t="s">
        <v>80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68</v>
      </c>
      <c r="X131" s="17">
        <v>42771</v>
      </c>
      <c r="Y131" t="s">
        <v>289</v>
      </c>
      <c r="Z131" s="17">
        <v>42771</v>
      </c>
      <c r="AA131" t="s">
        <v>3</v>
      </c>
      <c r="AB131" t="s">
        <v>289</v>
      </c>
    </row>
    <row r="132" spans="1:28" hidden="1">
      <c r="A132" t="s">
        <v>307</v>
      </c>
      <c r="B132" s="17">
        <v>42771</v>
      </c>
      <c r="C132" s="17">
        <v>42771</v>
      </c>
      <c r="D132" t="s">
        <v>0</v>
      </c>
      <c r="E132" t="s">
        <v>1</v>
      </c>
      <c r="F132" s="18">
        <v>-191677</v>
      </c>
      <c r="G132" s="18">
        <v>-191677</v>
      </c>
      <c r="H132" t="s">
        <v>2</v>
      </c>
      <c r="I132" t="s">
        <v>8</v>
      </c>
      <c r="J132" s="18">
        <v>-15132899.15</v>
      </c>
      <c r="K132" t="s">
        <v>3</v>
      </c>
      <c r="L132" t="s">
        <v>9</v>
      </c>
      <c r="M132" t="s">
        <v>309</v>
      </c>
      <c r="N132" t="s">
        <v>3</v>
      </c>
      <c r="O132" t="s">
        <v>3</v>
      </c>
      <c r="P132" t="s">
        <v>5</v>
      </c>
      <c r="Q132" t="s">
        <v>80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68</v>
      </c>
      <c r="X132" s="17">
        <v>42778</v>
      </c>
      <c r="Y132" t="s">
        <v>310</v>
      </c>
      <c r="Z132" s="17">
        <v>42771</v>
      </c>
      <c r="AA132" t="s">
        <v>3</v>
      </c>
      <c r="AB132" t="s">
        <v>307</v>
      </c>
    </row>
    <row r="133" spans="1:28" hidden="1">
      <c r="A133" t="s">
        <v>307</v>
      </c>
      <c r="B133" s="17">
        <v>42771</v>
      </c>
      <c r="C133" s="17">
        <v>42771</v>
      </c>
      <c r="D133" t="s">
        <v>0</v>
      </c>
      <c r="E133" t="s">
        <v>1</v>
      </c>
      <c r="F133" s="18">
        <v>581184</v>
      </c>
      <c r="G133" s="18">
        <v>581184</v>
      </c>
      <c r="H133" t="s">
        <v>2</v>
      </c>
      <c r="I133" t="s">
        <v>8</v>
      </c>
      <c r="J133" s="18">
        <v>45884476.799999997</v>
      </c>
      <c r="K133" t="s">
        <v>311</v>
      </c>
      <c r="L133" t="s">
        <v>9</v>
      </c>
      <c r="M133" t="s">
        <v>309</v>
      </c>
      <c r="N133" t="s">
        <v>3</v>
      </c>
      <c r="O133" t="s">
        <v>3</v>
      </c>
      <c r="P133" t="s">
        <v>5</v>
      </c>
      <c r="Q133" t="s">
        <v>80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68</v>
      </c>
      <c r="X133" s="17">
        <v>42775</v>
      </c>
      <c r="Y133" t="s">
        <v>307</v>
      </c>
      <c r="Z133" s="17">
        <v>42771</v>
      </c>
      <c r="AA133" t="s">
        <v>3</v>
      </c>
      <c r="AB133" t="s">
        <v>307</v>
      </c>
    </row>
    <row r="134" spans="1:28" hidden="1">
      <c r="A134" t="s">
        <v>346</v>
      </c>
      <c r="B134" s="17">
        <v>42771</v>
      </c>
      <c r="C134" s="17">
        <v>42771</v>
      </c>
      <c r="D134" t="s">
        <v>0</v>
      </c>
      <c r="E134" t="s">
        <v>1</v>
      </c>
      <c r="F134" s="18">
        <v>-52104.15</v>
      </c>
      <c r="G134" s="18">
        <v>-52104.15</v>
      </c>
      <c r="H134" t="s">
        <v>2</v>
      </c>
      <c r="I134" t="s">
        <v>10</v>
      </c>
      <c r="J134" s="18">
        <v>-4113622.64</v>
      </c>
      <c r="K134" t="s">
        <v>88</v>
      </c>
      <c r="L134" t="s">
        <v>9</v>
      </c>
      <c r="M134" t="s">
        <v>89</v>
      </c>
      <c r="N134" t="s">
        <v>3</v>
      </c>
      <c r="O134" t="s">
        <v>3</v>
      </c>
      <c r="P134" t="s">
        <v>5</v>
      </c>
      <c r="Q134" t="s">
        <v>88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68</v>
      </c>
      <c r="X134" s="17">
        <v>42771</v>
      </c>
      <c r="Y134" t="s">
        <v>87</v>
      </c>
      <c r="Z134" s="17">
        <v>42771</v>
      </c>
      <c r="AA134" t="s">
        <v>3</v>
      </c>
      <c r="AB134" t="s">
        <v>346</v>
      </c>
    </row>
    <row r="135" spans="1:28" hidden="1">
      <c r="A135" t="s">
        <v>347</v>
      </c>
      <c r="B135" s="17">
        <v>42771</v>
      </c>
      <c r="C135" s="17">
        <v>42771</v>
      </c>
      <c r="D135" t="s">
        <v>0</v>
      </c>
      <c r="E135" t="s">
        <v>1</v>
      </c>
      <c r="F135" s="18">
        <v>-52165</v>
      </c>
      <c r="G135" s="18">
        <v>-52165</v>
      </c>
      <c r="H135" t="s">
        <v>2</v>
      </c>
      <c r="I135" t="s">
        <v>10</v>
      </c>
      <c r="J135" s="18">
        <v>-4118426.75</v>
      </c>
      <c r="K135" t="s">
        <v>88</v>
      </c>
      <c r="L135" t="s">
        <v>9</v>
      </c>
      <c r="M135" t="s">
        <v>89</v>
      </c>
      <c r="N135" t="s">
        <v>3</v>
      </c>
      <c r="O135" t="s">
        <v>3</v>
      </c>
      <c r="P135" t="s">
        <v>5</v>
      </c>
      <c r="Q135" t="s">
        <v>88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68</v>
      </c>
      <c r="X135" s="17">
        <v>42794</v>
      </c>
      <c r="Y135" t="s">
        <v>343</v>
      </c>
      <c r="Z135" s="17">
        <v>42771</v>
      </c>
      <c r="AA135" t="s">
        <v>3</v>
      </c>
      <c r="AB135" t="s">
        <v>347</v>
      </c>
    </row>
    <row r="136" spans="1:28" hidden="1">
      <c r="A136" t="s">
        <v>348</v>
      </c>
      <c r="B136" s="17">
        <v>42771</v>
      </c>
      <c r="C136" s="17">
        <v>42771</v>
      </c>
      <c r="D136" t="s">
        <v>0</v>
      </c>
      <c r="E136" t="s">
        <v>1</v>
      </c>
      <c r="F136" s="18">
        <v>-103602</v>
      </c>
      <c r="G136" s="18">
        <v>-103602</v>
      </c>
      <c r="H136" t="s">
        <v>2</v>
      </c>
      <c r="I136" t="s">
        <v>10</v>
      </c>
      <c r="J136" s="18">
        <v>-8179377.9100000001</v>
      </c>
      <c r="K136" t="s">
        <v>88</v>
      </c>
      <c r="L136" t="s">
        <v>9</v>
      </c>
      <c r="M136" t="s">
        <v>91</v>
      </c>
      <c r="N136" t="s">
        <v>3</v>
      </c>
      <c r="O136" t="s">
        <v>3</v>
      </c>
      <c r="P136" t="s">
        <v>5</v>
      </c>
      <c r="Q136" t="s">
        <v>88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68</v>
      </c>
      <c r="X136" s="17">
        <v>42794</v>
      </c>
      <c r="Y136" t="s">
        <v>349</v>
      </c>
      <c r="Z136" s="17">
        <v>42771</v>
      </c>
      <c r="AA136" t="s">
        <v>3</v>
      </c>
      <c r="AB136" t="s">
        <v>348</v>
      </c>
    </row>
    <row r="137" spans="1:28" hidden="1">
      <c r="A137" t="s">
        <v>90</v>
      </c>
      <c r="B137" s="17">
        <v>42773</v>
      </c>
      <c r="C137" s="17">
        <v>42773</v>
      </c>
      <c r="D137" t="s">
        <v>38</v>
      </c>
      <c r="E137" t="s">
        <v>1</v>
      </c>
      <c r="F137" s="18">
        <v>103556.3</v>
      </c>
      <c r="G137" s="18">
        <v>103556.3</v>
      </c>
      <c r="H137" t="s">
        <v>2</v>
      </c>
      <c r="I137" t="s">
        <v>10</v>
      </c>
      <c r="J137" s="18">
        <v>8175769.8899999997</v>
      </c>
      <c r="K137" t="s">
        <v>88</v>
      </c>
      <c r="L137" t="s">
        <v>9</v>
      </c>
      <c r="M137" t="s">
        <v>91</v>
      </c>
      <c r="N137" t="s">
        <v>3</v>
      </c>
      <c r="O137" t="s">
        <v>3</v>
      </c>
      <c r="P137" t="s">
        <v>5</v>
      </c>
      <c r="Q137" t="s">
        <v>88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68</v>
      </c>
      <c r="X137" s="17">
        <v>42773</v>
      </c>
      <c r="Y137" t="s">
        <v>90</v>
      </c>
      <c r="Z137" s="17">
        <v>42773</v>
      </c>
      <c r="AA137" t="s">
        <v>3</v>
      </c>
      <c r="AB137" t="s">
        <v>90</v>
      </c>
    </row>
    <row r="138" spans="1:28" hidden="1">
      <c r="A138" t="s">
        <v>292</v>
      </c>
      <c r="B138" s="17">
        <v>42773</v>
      </c>
      <c r="C138" s="17">
        <v>42773</v>
      </c>
      <c r="D138" t="s">
        <v>0</v>
      </c>
      <c r="E138" t="s">
        <v>1</v>
      </c>
      <c r="F138" s="18">
        <v>-1043665</v>
      </c>
      <c r="G138" s="18">
        <v>-1043665</v>
      </c>
      <c r="H138" t="s">
        <v>2</v>
      </c>
      <c r="I138" t="s">
        <v>8</v>
      </c>
      <c r="J138" s="18">
        <v>-82397351.75</v>
      </c>
      <c r="K138" t="s">
        <v>3</v>
      </c>
      <c r="L138" t="s">
        <v>9</v>
      </c>
      <c r="M138" t="s">
        <v>294</v>
      </c>
      <c r="N138" t="s">
        <v>3</v>
      </c>
      <c r="O138" t="s">
        <v>3</v>
      </c>
      <c r="P138" t="s">
        <v>5</v>
      </c>
      <c r="Q138" t="s">
        <v>80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68</v>
      </c>
      <c r="X138" s="17">
        <v>42773</v>
      </c>
      <c r="Y138" t="s">
        <v>295</v>
      </c>
      <c r="Z138" s="17">
        <v>42773</v>
      </c>
      <c r="AA138" t="s">
        <v>3</v>
      </c>
      <c r="AB138" t="s">
        <v>292</v>
      </c>
    </row>
    <row r="139" spans="1:28" hidden="1">
      <c r="A139" t="s">
        <v>292</v>
      </c>
      <c r="B139" s="17">
        <v>42773</v>
      </c>
      <c r="C139" s="17">
        <v>42773</v>
      </c>
      <c r="D139" t="s">
        <v>0</v>
      </c>
      <c r="E139" t="s">
        <v>1</v>
      </c>
      <c r="F139" s="18">
        <v>1061699</v>
      </c>
      <c r="G139" s="18">
        <v>1061699</v>
      </c>
      <c r="H139" t="s">
        <v>2</v>
      </c>
      <c r="I139" t="s">
        <v>8</v>
      </c>
      <c r="J139" s="18">
        <v>83821136.049999997</v>
      </c>
      <c r="K139" t="s">
        <v>296</v>
      </c>
      <c r="L139" t="s">
        <v>9</v>
      </c>
      <c r="M139" t="s">
        <v>294</v>
      </c>
      <c r="N139" t="s">
        <v>3</v>
      </c>
      <c r="O139" t="s">
        <v>3</v>
      </c>
      <c r="P139" t="s">
        <v>5</v>
      </c>
      <c r="Q139" t="s">
        <v>80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68</v>
      </c>
      <c r="X139" s="17">
        <v>42773</v>
      </c>
      <c r="Y139" t="s">
        <v>292</v>
      </c>
      <c r="Z139" s="17">
        <v>42773</v>
      </c>
      <c r="AA139" t="s">
        <v>3</v>
      </c>
      <c r="AB139" t="s">
        <v>292</v>
      </c>
    </row>
    <row r="140" spans="1:28" hidden="1">
      <c r="A140" t="s">
        <v>295</v>
      </c>
      <c r="B140" s="17">
        <v>42773</v>
      </c>
      <c r="C140" s="17">
        <v>42773</v>
      </c>
      <c r="D140" t="s">
        <v>0</v>
      </c>
      <c r="E140" t="s">
        <v>1</v>
      </c>
      <c r="F140" s="18">
        <v>-1034015</v>
      </c>
      <c r="G140" s="18">
        <v>-1034015</v>
      </c>
      <c r="H140" t="s">
        <v>2</v>
      </c>
      <c r="I140" t="s">
        <v>8</v>
      </c>
      <c r="J140" s="18">
        <v>-81635484.25</v>
      </c>
      <c r="K140" t="s">
        <v>3</v>
      </c>
      <c r="L140" t="s">
        <v>9</v>
      </c>
      <c r="M140" t="s">
        <v>297</v>
      </c>
      <c r="N140" t="s">
        <v>3</v>
      </c>
      <c r="O140" t="s">
        <v>3</v>
      </c>
      <c r="P140" t="s">
        <v>5</v>
      </c>
      <c r="Q140" t="s">
        <v>80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68</v>
      </c>
      <c r="X140" s="17">
        <v>42773</v>
      </c>
      <c r="Y140" t="s">
        <v>298</v>
      </c>
      <c r="Z140" s="17">
        <v>42773</v>
      </c>
      <c r="AA140" t="s">
        <v>3</v>
      </c>
      <c r="AB140" t="s">
        <v>295</v>
      </c>
    </row>
    <row r="141" spans="1:28" hidden="1">
      <c r="A141" t="s">
        <v>295</v>
      </c>
      <c r="B141" s="17">
        <v>42773</v>
      </c>
      <c r="C141" s="17">
        <v>42773</v>
      </c>
      <c r="D141" t="s">
        <v>0</v>
      </c>
      <c r="E141" t="s">
        <v>1</v>
      </c>
      <c r="F141" s="18">
        <v>1043665</v>
      </c>
      <c r="G141" s="18">
        <v>1043665</v>
      </c>
      <c r="H141" t="s">
        <v>2</v>
      </c>
      <c r="I141" t="s">
        <v>8</v>
      </c>
      <c r="J141" s="18">
        <v>82397351.75</v>
      </c>
      <c r="K141" t="s">
        <v>299</v>
      </c>
      <c r="L141" t="s">
        <v>9</v>
      </c>
      <c r="M141" t="s">
        <v>297</v>
      </c>
      <c r="N141" t="s">
        <v>3</v>
      </c>
      <c r="O141" t="s">
        <v>3</v>
      </c>
      <c r="P141" t="s">
        <v>5</v>
      </c>
      <c r="Q141" t="s">
        <v>80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68</v>
      </c>
      <c r="X141" s="17">
        <v>42773</v>
      </c>
      <c r="Y141" t="s">
        <v>295</v>
      </c>
      <c r="Z141" s="17">
        <v>42773</v>
      </c>
      <c r="AA141" t="s">
        <v>3</v>
      </c>
      <c r="AB141" t="s">
        <v>295</v>
      </c>
    </row>
    <row r="142" spans="1:28" hidden="1">
      <c r="A142" t="s">
        <v>298</v>
      </c>
      <c r="B142" s="17">
        <v>42773</v>
      </c>
      <c r="C142" s="17">
        <v>42773</v>
      </c>
      <c r="D142" t="s">
        <v>0</v>
      </c>
      <c r="E142" t="s">
        <v>1</v>
      </c>
      <c r="F142" s="18">
        <v>-1027470</v>
      </c>
      <c r="G142" s="18">
        <v>-1027470</v>
      </c>
      <c r="H142" t="s">
        <v>2</v>
      </c>
      <c r="I142" t="s">
        <v>8</v>
      </c>
      <c r="J142" s="18">
        <v>-81118756.5</v>
      </c>
      <c r="K142" t="s">
        <v>3</v>
      </c>
      <c r="L142" t="s">
        <v>9</v>
      </c>
      <c r="M142" t="s">
        <v>300</v>
      </c>
      <c r="N142" t="s">
        <v>3</v>
      </c>
      <c r="O142" t="s">
        <v>3</v>
      </c>
      <c r="P142" t="s">
        <v>5</v>
      </c>
      <c r="Q142" t="s">
        <v>80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68</v>
      </c>
      <c r="X142" s="17">
        <v>42775</v>
      </c>
      <c r="Y142" t="s">
        <v>301</v>
      </c>
      <c r="Z142" s="17">
        <v>42773</v>
      </c>
      <c r="AA142" t="s">
        <v>3</v>
      </c>
      <c r="AB142" t="s">
        <v>298</v>
      </c>
    </row>
    <row r="143" spans="1:28" hidden="1">
      <c r="A143" t="s">
        <v>298</v>
      </c>
      <c r="B143" s="17">
        <v>42773</v>
      </c>
      <c r="C143" s="17">
        <v>42773</v>
      </c>
      <c r="D143" t="s">
        <v>0</v>
      </c>
      <c r="E143" t="s">
        <v>1</v>
      </c>
      <c r="F143" s="18">
        <v>1034015</v>
      </c>
      <c r="G143" s="18">
        <v>1034015</v>
      </c>
      <c r="H143" t="s">
        <v>2</v>
      </c>
      <c r="I143" t="s">
        <v>8</v>
      </c>
      <c r="J143" s="18">
        <v>81635484.25</v>
      </c>
      <c r="K143" t="s">
        <v>302</v>
      </c>
      <c r="L143" t="s">
        <v>9</v>
      </c>
      <c r="M143" t="s">
        <v>300</v>
      </c>
      <c r="N143" t="s">
        <v>3</v>
      </c>
      <c r="O143" t="s">
        <v>3</v>
      </c>
      <c r="P143" t="s">
        <v>5</v>
      </c>
      <c r="Q143" t="s">
        <v>80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68</v>
      </c>
      <c r="X143" s="17">
        <v>42773</v>
      </c>
      <c r="Y143" t="s">
        <v>298</v>
      </c>
      <c r="Z143" s="17">
        <v>42773</v>
      </c>
      <c r="AA143" t="s">
        <v>3</v>
      </c>
      <c r="AB143" t="s">
        <v>298</v>
      </c>
    </row>
    <row r="144" spans="1:28" hidden="1">
      <c r="A144" t="s">
        <v>266</v>
      </c>
      <c r="B144" s="17">
        <v>42773</v>
      </c>
      <c r="C144" s="17">
        <v>42773</v>
      </c>
      <c r="D144" t="s">
        <v>0</v>
      </c>
      <c r="E144" t="s">
        <v>1</v>
      </c>
      <c r="F144" s="18">
        <v>-39646.15</v>
      </c>
      <c r="G144" s="18">
        <v>-39646.15</v>
      </c>
      <c r="H144" t="s">
        <v>2</v>
      </c>
      <c r="I144" t="s">
        <v>10</v>
      </c>
      <c r="J144" s="18">
        <v>-3130063.54</v>
      </c>
      <c r="K144" t="s">
        <v>3</v>
      </c>
      <c r="L144" t="s">
        <v>9</v>
      </c>
      <c r="M144" t="s">
        <v>330</v>
      </c>
      <c r="N144" t="s">
        <v>3</v>
      </c>
      <c r="O144" t="s">
        <v>3</v>
      </c>
      <c r="P144" t="s">
        <v>5</v>
      </c>
      <c r="Q144" t="s">
        <v>80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68</v>
      </c>
      <c r="X144" s="17">
        <v>42779</v>
      </c>
      <c r="Y144" t="s">
        <v>331</v>
      </c>
      <c r="Z144" s="17">
        <v>42773</v>
      </c>
      <c r="AA144" t="s">
        <v>3</v>
      </c>
      <c r="AB144" t="s">
        <v>266</v>
      </c>
    </row>
    <row r="145" spans="1:28" hidden="1">
      <c r="A145" t="s">
        <v>266</v>
      </c>
      <c r="B145" s="17">
        <v>42773</v>
      </c>
      <c r="C145" s="17">
        <v>42773</v>
      </c>
      <c r="D145" t="s">
        <v>0</v>
      </c>
      <c r="E145" t="s">
        <v>1</v>
      </c>
      <c r="F145" s="18">
        <v>45459.15</v>
      </c>
      <c r="G145" s="18">
        <v>45459.15</v>
      </c>
      <c r="H145" t="s">
        <v>2</v>
      </c>
      <c r="I145" t="s">
        <v>10</v>
      </c>
      <c r="J145" s="18">
        <v>3545813.7</v>
      </c>
      <c r="K145" t="s">
        <v>332</v>
      </c>
      <c r="L145" t="s">
        <v>9</v>
      </c>
      <c r="M145" t="s">
        <v>330</v>
      </c>
      <c r="N145" t="s">
        <v>3</v>
      </c>
      <c r="O145" t="s">
        <v>3</v>
      </c>
      <c r="P145" t="s">
        <v>5</v>
      </c>
      <c r="Q145" t="s">
        <v>80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68</v>
      </c>
      <c r="X145" s="17">
        <v>42773</v>
      </c>
      <c r="Y145" t="s">
        <v>266</v>
      </c>
      <c r="Z145" s="17">
        <v>42773</v>
      </c>
      <c r="AA145" t="s">
        <v>3</v>
      </c>
      <c r="AB145" t="s">
        <v>266</v>
      </c>
    </row>
    <row r="146" spans="1:28" hidden="1">
      <c r="A146" t="s">
        <v>345</v>
      </c>
      <c r="B146" s="17">
        <v>42773</v>
      </c>
      <c r="C146" s="17">
        <v>42773</v>
      </c>
      <c r="D146" t="s">
        <v>0</v>
      </c>
      <c r="E146" t="s">
        <v>1</v>
      </c>
      <c r="F146" s="18">
        <v>-103556.3</v>
      </c>
      <c r="G146" s="18">
        <v>-103556.3</v>
      </c>
      <c r="H146" t="s">
        <v>2</v>
      </c>
      <c r="I146" t="s">
        <v>10</v>
      </c>
      <c r="J146" s="18">
        <v>-8175769.8899999997</v>
      </c>
      <c r="K146" t="s">
        <v>88</v>
      </c>
      <c r="L146" t="s">
        <v>9</v>
      </c>
      <c r="M146" t="s">
        <v>91</v>
      </c>
      <c r="N146" t="s">
        <v>3</v>
      </c>
      <c r="O146" t="s">
        <v>3</v>
      </c>
      <c r="P146" t="s">
        <v>5</v>
      </c>
      <c r="Q146" t="s">
        <v>88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68</v>
      </c>
      <c r="X146" s="17">
        <v>42773</v>
      </c>
      <c r="Y146" t="s">
        <v>90</v>
      </c>
      <c r="Z146" s="17">
        <v>42773</v>
      </c>
      <c r="AA146" t="s">
        <v>3</v>
      </c>
      <c r="AB146" t="s">
        <v>345</v>
      </c>
    </row>
    <row r="147" spans="1:28" hidden="1">
      <c r="A147" t="s">
        <v>301</v>
      </c>
      <c r="B147" s="17">
        <v>42775</v>
      </c>
      <c r="C147" s="17">
        <v>42775</v>
      </c>
      <c r="D147" t="s">
        <v>0</v>
      </c>
      <c r="E147" t="s">
        <v>1</v>
      </c>
      <c r="F147" s="18">
        <v>-1005330</v>
      </c>
      <c r="G147" s="18">
        <v>-1005330</v>
      </c>
      <c r="H147" t="s">
        <v>2</v>
      </c>
      <c r="I147" t="s">
        <v>8</v>
      </c>
      <c r="J147" s="18">
        <v>-79370803.5</v>
      </c>
      <c r="K147" t="s">
        <v>3</v>
      </c>
      <c r="L147" t="s">
        <v>9</v>
      </c>
      <c r="M147" t="s">
        <v>303</v>
      </c>
      <c r="N147" t="s">
        <v>3</v>
      </c>
      <c r="O147" t="s">
        <v>3</v>
      </c>
      <c r="P147" t="s">
        <v>5</v>
      </c>
      <c r="Q147" t="s">
        <v>80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68</v>
      </c>
      <c r="X147" s="17">
        <v>42775</v>
      </c>
      <c r="Y147" t="s">
        <v>304</v>
      </c>
      <c r="Z147" s="17">
        <v>42775</v>
      </c>
      <c r="AA147" t="s">
        <v>3</v>
      </c>
      <c r="AB147" t="s">
        <v>301</v>
      </c>
    </row>
    <row r="148" spans="1:28" hidden="1">
      <c r="A148" t="s">
        <v>301</v>
      </c>
      <c r="B148" s="17">
        <v>42775</v>
      </c>
      <c r="C148" s="17">
        <v>42775</v>
      </c>
      <c r="D148" t="s">
        <v>0</v>
      </c>
      <c r="E148" t="s">
        <v>1</v>
      </c>
      <c r="F148" s="18">
        <v>1027470</v>
      </c>
      <c r="G148" s="18">
        <v>1027470</v>
      </c>
      <c r="H148" t="s">
        <v>2</v>
      </c>
      <c r="I148" t="s">
        <v>8</v>
      </c>
      <c r="J148" s="18">
        <v>81118756.5</v>
      </c>
      <c r="K148" t="s">
        <v>305</v>
      </c>
      <c r="L148" t="s">
        <v>9</v>
      </c>
      <c r="M148" t="s">
        <v>303</v>
      </c>
      <c r="N148" t="s">
        <v>3</v>
      </c>
      <c r="O148" t="s">
        <v>3</v>
      </c>
      <c r="P148" t="s">
        <v>5</v>
      </c>
      <c r="Q148" t="s">
        <v>80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68</v>
      </c>
      <c r="X148" s="17">
        <v>42775</v>
      </c>
      <c r="Y148" t="s">
        <v>301</v>
      </c>
      <c r="Z148" s="17">
        <v>42775</v>
      </c>
      <c r="AA148" t="s">
        <v>3</v>
      </c>
      <c r="AB148" t="s">
        <v>301</v>
      </c>
    </row>
    <row r="149" spans="1:28" hidden="1">
      <c r="A149" t="s">
        <v>304</v>
      </c>
      <c r="B149" s="17">
        <v>42775</v>
      </c>
      <c r="C149" s="17">
        <v>42775</v>
      </c>
      <c r="D149" t="s">
        <v>0</v>
      </c>
      <c r="E149" t="s">
        <v>1</v>
      </c>
      <c r="F149" s="18">
        <v>-581184</v>
      </c>
      <c r="G149" s="18">
        <v>-581184</v>
      </c>
      <c r="H149" t="s">
        <v>2</v>
      </c>
      <c r="I149" t="s">
        <v>8</v>
      </c>
      <c r="J149" s="18">
        <v>-45884476.799999997</v>
      </c>
      <c r="K149" t="s">
        <v>3</v>
      </c>
      <c r="L149" t="s">
        <v>9</v>
      </c>
      <c r="M149" t="s">
        <v>306</v>
      </c>
      <c r="N149" t="s">
        <v>3</v>
      </c>
      <c r="O149" t="s">
        <v>3</v>
      </c>
      <c r="P149" t="s">
        <v>5</v>
      </c>
      <c r="Q149" t="s">
        <v>80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68</v>
      </c>
      <c r="X149" s="17">
        <v>42775</v>
      </c>
      <c r="Y149" t="s">
        <v>307</v>
      </c>
      <c r="Z149" s="17">
        <v>42775</v>
      </c>
      <c r="AA149" t="s">
        <v>3</v>
      </c>
      <c r="AB149" t="s">
        <v>304</v>
      </c>
    </row>
    <row r="150" spans="1:28" hidden="1">
      <c r="A150" t="s">
        <v>304</v>
      </c>
      <c r="B150" s="17">
        <v>42775</v>
      </c>
      <c r="C150" s="17">
        <v>42775</v>
      </c>
      <c r="D150" t="s">
        <v>0</v>
      </c>
      <c r="E150" t="s">
        <v>1</v>
      </c>
      <c r="F150" s="18">
        <v>1005330</v>
      </c>
      <c r="G150" s="18">
        <v>1005330</v>
      </c>
      <c r="H150" t="s">
        <v>2</v>
      </c>
      <c r="I150" t="s">
        <v>8</v>
      </c>
      <c r="J150" s="18">
        <v>79370803.5</v>
      </c>
      <c r="K150" t="s">
        <v>308</v>
      </c>
      <c r="L150" t="s">
        <v>9</v>
      </c>
      <c r="M150" t="s">
        <v>306</v>
      </c>
      <c r="N150" t="s">
        <v>3</v>
      </c>
      <c r="O150" t="s">
        <v>3</v>
      </c>
      <c r="P150" t="s">
        <v>5</v>
      </c>
      <c r="Q150" t="s">
        <v>80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68</v>
      </c>
      <c r="X150" s="17">
        <v>42775</v>
      </c>
      <c r="Y150" t="s">
        <v>304</v>
      </c>
      <c r="Z150" s="17">
        <v>42775</v>
      </c>
      <c r="AA150" t="s">
        <v>3</v>
      </c>
      <c r="AB150" t="s">
        <v>304</v>
      </c>
    </row>
    <row r="151" spans="1:28" hidden="1">
      <c r="A151" t="s">
        <v>310</v>
      </c>
      <c r="B151" s="17">
        <v>42778</v>
      </c>
      <c r="C151" s="17">
        <v>42778</v>
      </c>
      <c r="D151" t="s">
        <v>0</v>
      </c>
      <c r="E151" t="s">
        <v>1</v>
      </c>
      <c r="F151" s="18">
        <v>-182711</v>
      </c>
      <c r="G151" s="18">
        <v>-182711</v>
      </c>
      <c r="H151" t="s">
        <v>2</v>
      </c>
      <c r="I151" t="s">
        <v>8</v>
      </c>
      <c r="J151" s="18">
        <v>-14425033.449999999</v>
      </c>
      <c r="K151" t="s">
        <v>3</v>
      </c>
      <c r="L151" t="s">
        <v>9</v>
      </c>
      <c r="M151" t="s">
        <v>312</v>
      </c>
      <c r="N151" t="s">
        <v>3</v>
      </c>
      <c r="O151" t="s">
        <v>3</v>
      </c>
      <c r="P151" t="s">
        <v>5</v>
      </c>
      <c r="Q151" t="s">
        <v>80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68</v>
      </c>
      <c r="X151" s="17">
        <v>42778</v>
      </c>
      <c r="Y151" t="s">
        <v>313</v>
      </c>
      <c r="Z151" s="17">
        <v>42778</v>
      </c>
      <c r="AA151" t="s">
        <v>3</v>
      </c>
      <c r="AB151" t="s">
        <v>310</v>
      </c>
    </row>
    <row r="152" spans="1:28" hidden="1">
      <c r="A152" t="s">
        <v>310</v>
      </c>
      <c r="B152" s="17">
        <v>42778</v>
      </c>
      <c r="C152" s="17">
        <v>42778</v>
      </c>
      <c r="D152" t="s">
        <v>0</v>
      </c>
      <c r="E152" t="s">
        <v>1</v>
      </c>
      <c r="F152" s="18">
        <v>191677</v>
      </c>
      <c r="G152" s="18">
        <v>191677</v>
      </c>
      <c r="H152" t="s">
        <v>2</v>
      </c>
      <c r="I152" t="s">
        <v>8</v>
      </c>
      <c r="J152" s="18">
        <v>15132899.15</v>
      </c>
      <c r="K152" t="s">
        <v>314</v>
      </c>
      <c r="L152" t="s">
        <v>9</v>
      </c>
      <c r="M152" t="s">
        <v>312</v>
      </c>
      <c r="N152" t="s">
        <v>3</v>
      </c>
      <c r="O152" t="s">
        <v>3</v>
      </c>
      <c r="P152" t="s">
        <v>5</v>
      </c>
      <c r="Q152" t="s">
        <v>80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68</v>
      </c>
      <c r="X152" s="17">
        <v>42778</v>
      </c>
      <c r="Y152" t="s">
        <v>310</v>
      </c>
      <c r="Z152" s="17">
        <v>42778</v>
      </c>
      <c r="AA152" t="s">
        <v>3</v>
      </c>
      <c r="AB152" t="s">
        <v>310</v>
      </c>
    </row>
    <row r="153" spans="1:28" hidden="1">
      <c r="A153" t="s">
        <v>313</v>
      </c>
      <c r="B153" s="17">
        <v>42778</v>
      </c>
      <c r="C153" s="17">
        <v>42778</v>
      </c>
      <c r="D153" t="s">
        <v>0</v>
      </c>
      <c r="E153" t="s">
        <v>1</v>
      </c>
      <c r="F153" s="18">
        <v>-138011</v>
      </c>
      <c r="G153" s="18">
        <v>-138011</v>
      </c>
      <c r="H153" t="s">
        <v>2</v>
      </c>
      <c r="I153" t="s">
        <v>8</v>
      </c>
      <c r="J153" s="18">
        <v>-10895968.449999999</v>
      </c>
      <c r="K153" t="s">
        <v>3</v>
      </c>
      <c r="L153" t="s">
        <v>9</v>
      </c>
      <c r="M153" t="s">
        <v>315</v>
      </c>
      <c r="N153" t="s">
        <v>3</v>
      </c>
      <c r="O153" t="s">
        <v>3</v>
      </c>
      <c r="P153" t="s">
        <v>5</v>
      </c>
      <c r="Q153" t="s">
        <v>80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68</v>
      </c>
      <c r="X153" s="17">
        <v>42778</v>
      </c>
      <c r="Y153" t="s">
        <v>316</v>
      </c>
      <c r="Z153" s="17">
        <v>42778</v>
      </c>
      <c r="AA153" t="s">
        <v>3</v>
      </c>
      <c r="AB153" t="s">
        <v>313</v>
      </c>
    </row>
    <row r="154" spans="1:28" hidden="1">
      <c r="A154" t="s">
        <v>313</v>
      </c>
      <c r="B154" s="17">
        <v>42778</v>
      </c>
      <c r="C154" s="17">
        <v>42778</v>
      </c>
      <c r="D154" t="s">
        <v>0</v>
      </c>
      <c r="E154" t="s">
        <v>1</v>
      </c>
      <c r="F154" s="18">
        <v>182711</v>
      </c>
      <c r="G154" s="18">
        <v>182711</v>
      </c>
      <c r="H154" t="s">
        <v>2</v>
      </c>
      <c r="I154" t="s">
        <v>8</v>
      </c>
      <c r="J154" s="18">
        <v>14425033.449999999</v>
      </c>
      <c r="K154" t="s">
        <v>317</v>
      </c>
      <c r="L154" t="s">
        <v>9</v>
      </c>
      <c r="M154" t="s">
        <v>315</v>
      </c>
      <c r="N154" t="s">
        <v>3</v>
      </c>
      <c r="O154" t="s">
        <v>3</v>
      </c>
      <c r="P154" t="s">
        <v>5</v>
      </c>
      <c r="Q154" t="s">
        <v>80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68</v>
      </c>
      <c r="X154" s="17">
        <v>42778</v>
      </c>
      <c r="Y154" t="s">
        <v>313</v>
      </c>
      <c r="Z154" s="17">
        <v>42778</v>
      </c>
      <c r="AA154" t="s">
        <v>3</v>
      </c>
      <c r="AB154" t="s">
        <v>313</v>
      </c>
    </row>
    <row r="155" spans="1:28" hidden="1">
      <c r="A155" t="s">
        <v>316</v>
      </c>
      <c r="B155" s="17">
        <v>42778</v>
      </c>
      <c r="C155" s="17">
        <v>42778</v>
      </c>
      <c r="D155" t="s">
        <v>0</v>
      </c>
      <c r="E155" t="s">
        <v>1</v>
      </c>
      <c r="F155" s="18">
        <v>-81192</v>
      </c>
      <c r="G155" s="18">
        <v>-81192</v>
      </c>
      <c r="H155" t="s">
        <v>2</v>
      </c>
      <c r="I155" t="s">
        <v>8</v>
      </c>
      <c r="J155" s="18">
        <v>-6410108.4000000004</v>
      </c>
      <c r="K155" t="s">
        <v>3</v>
      </c>
      <c r="L155" t="s">
        <v>9</v>
      </c>
      <c r="M155" t="s">
        <v>318</v>
      </c>
      <c r="N155" t="s">
        <v>3</v>
      </c>
      <c r="O155" t="s">
        <v>3</v>
      </c>
      <c r="P155" t="s">
        <v>5</v>
      </c>
      <c r="Q155" t="s">
        <v>80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68</v>
      </c>
      <c r="X155" s="17">
        <v>42780</v>
      </c>
      <c r="Y155" t="s">
        <v>319</v>
      </c>
      <c r="Z155" s="17">
        <v>42778</v>
      </c>
      <c r="AA155" t="s">
        <v>3</v>
      </c>
      <c r="AB155" t="s">
        <v>316</v>
      </c>
    </row>
    <row r="156" spans="1:28" hidden="1">
      <c r="A156" t="s">
        <v>316</v>
      </c>
      <c r="B156" s="17">
        <v>42778</v>
      </c>
      <c r="C156" s="17">
        <v>42778</v>
      </c>
      <c r="D156" t="s">
        <v>0</v>
      </c>
      <c r="E156" t="s">
        <v>1</v>
      </c>
      <c r="F156" s="18">
        <v>138011</v>
      </c>
      <c r="G156" s="18">
        <v>138011</v>
      </c>
      <c r="H156" t="s">
        <v>2</v>
      </c>
      <c r="I156" t="s">
        <v>8</v>
      </c>
      <c r="J156" s="18">
        <v>10895968.449999999</v>
      </c>
      <c r="K156" t="s">
        <v>320</v>
      </c>
      <c r="L156" t="s">
        <v>9</v>
      </c>
      <c r="M156" t="s">
        <v>318</v>
      </c>
      <c r="N156" t="s">
        <v>3</v>
      </c>
      <c r="O156" t="s">
        <v>3</v>
      </c>
      <c r="P156" t="s">
        <v>5</v>
      </c>
      <c r="Q156" t="s">
        <v>80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68</v>
      </c>
      <c r="X156" s="17">
        <v>42778</v>
      </c>
      <c r="Y156" t="s">
        <v>316</v>
      </c>
      <c r="Z156" s="17">
        <v>42778</v>
      </c>
      <c r="AA156" t="s">
        <v>3</v>
      </c>
      <c r="AB156" t="s">
        <v>316</v>
      </c>
    </row>
    <row r="157" spans="1:28" hidden="1">
      <c r="A157" t="s">
        <v>282</v>
      </c>
      <c r="B157" s="17">
        <v>42778</v>
      </c>
      <c r="C157" s="17">
        <v>42778</v>
      </c>
      <c r="D157" t="s">
        <v>0</v>
      </c>
      <c r="E157" t="s">
        <v>1</v>
      </c>
      <c r="F157" s="18">
        <v>-74387</v>
      </c>
      <c r="G157" s="18">
        <v>-74387</v>
      </c>
      <c r="H157" t="s">
        <v>2</v>
      </c>
      <c r="I157" t="s">
        <v>10</v>
      </c>
      <c r="J157" s="18">
        <v>-5872853.6500000004</v>
      </c>
      <c r="K157" t="s">
        <v>3</v>
      </c>
      <c r="L157" t="s">
        <v>9</v>
      </c>
      <c r="M157" t="s">
        <v>321</v>
      </c>
      <c r="N157" t="s">
        <v>3</v>
      </c>
      <c r="O157" t="s">
        <v>3</v>
      </c>
      <c r="P157" t="s">
        <v>5</v>
      </c>
      <c r="Q157" t="s">
        <v>80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68</v>
      </c>
      <c r="X157" s="17">
        <v>42780</v>
      </c>
      <c r="Y157" t="s">
        <v>322</v>
      </c>
      <c r="Z157" s="17">
        <v>42778</v>
      </c>
      <c r="AA157" t="s">
        <v>3</v>
      </c>
      <c r="AB157" t="s">
        <v>282</v>
      </c>
    </row>
    <row r="158" spans="1:28" hidden="1">
      <c r="A158" t="s">
        <v>282</v>
      </c>
      <c r="B158" s="17">
        <v>42778</v>
      </c>
      <c r="C158" s="17">
        <v>42778</v>
      </c>
      <c r="D158" t="s">
        <v>0</v>
      </c>
      <c r="E158" t="s">
        <v>1</v>
      </c>
      <c r="F158" s="18">
        <v>82488</v>
      </c>
      <c r="G158" s="18">
        <v>82488</v>
      </c>
      <c r="H158" t="s">
        <v>2</v>
      </c>
      <c r="I158" t="s">
        <v>10</v>
      </c>
      <c r="J158" s="18">
        <v>6434064</v>
      </c>
      <c r="K158" t="s">
        <v>323</v>
      </c>
      <c r="L158" t="s">
        <v>9</v>
      </c>
      <c r="M158" t="s">
        <v>321</v>
      </c>
      <c r="N158" t="s">
        <v>3</v>
      </c>
      <c r="O158" t="s">
        <v>3</v>
      </c>
      <c r="P158" t="s">
        <v>5</v>
      </c>
      <c r="Q158" t="s">
        <v>80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68</v>
      </c>
      <c r="X158" s="17">
        <v>42778</v>
      </c>
      <c r="Y158" t="s">
        <v>282</v>
      </c>
      <c r="Z158" s="17">
        <v>42778</v>
      </c>
      <c r="AA158" t="s">
        <v>3</v>
      </c>
      <c r="AB158" t="s">
        <v>282</v>
      </c>
    </row>
    <row r="159" spans="1:28" hidden="1">
      <c r="A159" t="s">
        <v>331</v>
      </c>
      <c r="B159" s="17">
        <v>42779</v>
      </c>
      <c r="C159" s="17">
        <v>42779</v>
      </c>
      <c r="D159" t="s">
        <v>0</v>
      </c>
      <c r="E159" t="s">
        <v>1</v>
      </c>
      <c r="F159" s="18">
        <v>-32651.15</v>
      </c>
      <c r="G159" s="18">
        <v>-32651.15</v>
      </c>
      <c r="H159" t="s">
        <v>2</v>
      </c>
      <c r="I159" t="s">
        <v>10</v>
      </c>
      <c r="J159" s="18">
        <v>-2577808.29</v>
      </c>
      <c r="K159" t="s">
        <v>3</v>
      </c>
      <c r="L159" t="s">
        <v>9</v>
      </c>
      <c r="M159" t="s">
        <v>333</v>
      </c>
      <c r="N159" t="s">
        <v>3</v>
      </c>
      <c r="O159" t="s">
        <v>3</v>
      </c>
      <c r="P159" t="s">
        <v>5</v>
      </c>
      <c r="Q159" t="s">
        <v>80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68</v>
      </c>
      <c r="X159" s="17">
        <v>42780</v>
      </c>
      <c r="Y159" t="s">
        <v>322</v>
      </c>
      <c r="Z159" s="17">
        <v>42779</v>
      </c>
      <c r="AA159" t="s">
        <v>3</v>
      </c>
      <c r="AB159" t="s">
        <v>331</v>
      </c>
    </row>
    <row r="160" spans="1:28" hidden="1">
      <c r="A160" t="s">
        <v>331</v>
      </c>
      <c r="B160" s="17">
        <v>42779</v>
      </c>
      <c r="C160" s="17">
        <v>42779</v>
      </c>
      <c r="D160" t="s">
        <v>0</v>
      </c>
      <c r="E160" t="s">
        <v>1</v>
      </c>
      <c r="F160" s="18">
        <v>39646.15</v>
      </c>
      <c r="G160" s="18">
        <v>39646.15</v>
      </c>
      <c r="H160" t="s">
        <v>2</v>
      </c>
      <c r="I160" t="s">
        <v>10</v>
      </c>
      <c r="J160" s="18">
        <v>3130063.54</v>
      </c>
      <c r="K160" t="s">
        <v>334</v>
      </c>
      <c r="L160" t="s">
        <v>9</v>
      </c>
      <c r="M160" t="s">
        <v>333</v>
      </c>
      <c r="N160" t="s">
        <v>3</v>
      </c>
      <c r="O160" t="s">
        <v>3</v>
      </c>
      <c r="P160" t="s">
        <v>5</v>
      </c>
      <c r="Q160" t="s">
        <v>80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68</v>
      </c>
      <c r="X160" s="17">
        <v>42779</v>
      </c>
      <c r="Y160" t="s">
        <v>331</v>
      </c>
      <c r="Z160" s="17">
        <v>42779</v>
      </c>
      <c r="AA160" t="s">
        <v>3</v>
      </c>
      <c r="AB160" t="s">
        <v>331</v>
      </c>
    </row>
    <row r="161" spans="1:28" hidden="1">
      <c r="A161" t="s">
        <v>319</v>
      </c>
      <c r="B161" s="17">
        <v>42780</v>
      </c>
      <c r="C161" s="17">
        <v>42780</v>
      </c>
      <c r="D161" t="s">
        <v>0</v>
      </c>
      <c r="E161" t="s">
        <v>1</v>
      </c>
      <c r="F161" s="18">
        <v>-27200</v>
      </c>
      <c r="G161" s="18">
        <v>-27200</v>
      </c>
      <c r="H161" t="s">
        <v>2</v>
      </c>
      <c r="I161" t="s">
        <v>8</v>
      </c>
      <c r="J161" s="18">
        <v>-2147440</v>
      </c>
      <c r="K161" t="s">
        <v>3</v>
      </c>
      <c r="L161" t="s">
        <v>9</v>
      </c>
      <c r="M161" t="s">
        <v>324</v>
      </c>
      <c r="N161" t="s">
        <v>3</v>
      </c>
      <c r="O161" t="s">
        <v>3</v>
      </c>
      <c r="P161" t="s">
        <v>5</v>
      </c>
      <c r="Q161" t="s">
        <v>80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68</v>
      </c>
      <c r="X161" s="17">
        <v>42781</v>
      </c>
      <c r="Y161" t="s">
        <v>325</v>
      </c>
      <c r="Z161" s="17">
        <v>42780</v>
      </c>
      <c r="AA161" t="s">
        <v>3</v>
      </c>
      <c r="AB161" t="s">
        <v>319</v>
      </c>
    </row>
    <row r="162" spans="1:28" hidden="1">
      <c r="A162" t="s">
        <v>319</v>
      </c>
      <c r="B162" s="17">
        <v>42780</v>
      </c>
      <c r="C162" s="17">
        <v>42780</v>
      </c>
      <c r="D162" t="s">
        <v>0</v>
      </c>
      <c r="E162" t="s">
        <v>1</v>
      </c>
      <c r="F162" s="18">
        <v>81192</v>
      </c>
      <c r="G162" s="18">
        <v>81192</v>
      </c>
      <c r="H162" t="s">
        <v>2</v>
      </c>
      <c r="I162" t="s">
        <v>8</v>
      </c>
      <c r="J162" s="18">
        <v>6410108.4000000004</v>
      </c>
      <c r="K162" t="s">
        <v>326</v>
      </c>
      <c r="L162" t="s">
        <v>9</v>
      </c>
      <c r="M162" t="s">
        <v>324</v>
      </c>
      <c r="N162" t="s">
        <v>3</v>
      </c>
      <c r="O162" t="s">
        <v>3</v>
      </c>
      <c r="P162" t="s">
        <v>5</v>
      </c>
      <c r="Q162" t="s">
        <v>80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68</v>
      </c>
      <c r="X162" s="17">
        <v>42780</v>
      </c>
      <c r="Y162" t="s">
        <v>319</v>
      </c>
      <c r="Z162" s="17">
        <v>42780</v>
      </c>
      <c r="AA162" t="s">
        <v>3</v>
      </c>
      <c r="AB162" t="s">
        <v>319</v>
      </c>
    </row>
    <row r="163" spans="1:28" hidden="1">
      <c r="A163" t="s">
        <v>322</v>
      </c>
      <c r="B163" s="17">
        <v>42780</v>
      </c>
      <c r="C163" s="17">
        <v>42780</v>
      </c>
      <c r="D163" t="s">
        <v>0</v>
      </c>
      <c r="E163" t="s">
        <v>1</v>
      </c>
      <c r="F163" s="18">
        <v>-70052.149999999994</v>
      </c>
      <c r="G163" s="18">
        <v>-70052.149999999994</v>
      </c>
      <c r="H163" t="s">
        <v>2</v>
      </c>
      <c r="I163" t="s">
        <v>10</v>
      </c>
      <c r="J163" s="18">
        <v>-5530617.2400000002</v>
      </c>
      <c r="K163" t="s">
        <v>3</v>
      </c>
      <c r="L163" t="s">
        <v>9</v>
      </c>
      <c r="M163" t="s">
        <v>335</v>
      </c>
      <c r="N163" t="s">
        <v>3</v>
      </c>
      <c r="O163" t="s">
        <v>3</v>
      </c>
      <c r="P163" t="s">
        <v>5</v>
      </c>
      <c r="Q163" t="s">
        <v>80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68</v>
      </c>
      <c r="X163" s="17">
        <v>42785</v>
      </c>
      <c r="Y163" t="s">
        <v>336</v>
      </c>
      <c r="Z163" s="17">
        <v>42780</v>
      </c>
      <c r="AA163" t="s">
        <v>3</v>
      </c>
      <c r="AB163" t="s">
        <v>322</v>
      </c>
    </row>
    <row r="164" spans="1:28" hidden="1">
      <c r="A164" t="s">
        <v>322</v>
      </c>
      <c r="B164" s="17">
        <v>42780</v>
      </c>
      <c r="C164" s="17">
        <v>42780</v>
      </c>
      <c r="D164" t="s">
        <v>0</v>
      </c>
      <c r="E164" t="s">
        <v>1</v>
      </c>
      <c r="F164" s="18">
        <v>107038.15</v>
      </c>
      <c r="G164" s="18">
        <v>107038.15</v>
      </c>
      <c r="H164" t="s">
        <v>2</v>
      </c>
      <c r="I164" t="s">
        <v>10</v>
      </c>
      <c r="J164" s="18">
        <v>8450661.9399999995</v>
      </c>
      <c r="K164" t="s">
        <v>323</v>
      </c>
      <c r="L164" t="s">
        <v>9</v>
      </c>
      <c r="M164" t="s">
        <v>335</v>
      </c>
      <c r="N164" t="s">
        <v>3</v>
      </c>
      <c r="O164" t="s">
        <v>3</v>
      </c>
      <c r="P164" t="s">
        <v>5</v>
      </c>
      <c r="Q164" t="s">
        <v>80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68</v>
      </c>
      <c r="X164" s="17">
        <v>42780</v>
      </c>
      <c r="Y164" t="s">
        <v>322</v>
      </c>
      <c r="Z164" s="17">
        <v>42780</v>
      </c>
      <c r="AA164" t="s">
        <v>3</v>
      </c>
      <c r="AB164" t="s">
        <v>322</v>
      </c>
    </row>
    <row r="165" spans="1:28" hidden="1">
      <c r="A165" t="s">
        <v>325</v>
      </c>
      <c r="B165" s="17">
        <v>42781</v>
      </c>
      <c r="C165" s="17">
        <v>42781</v>
      </c>
      <c r="D165" t="s">
        <v>0</v>
      </c>
      <c r="E165" t="s">
        <v>1</v>
      </c>
      <c r="F165" s="18">
        <v>-10324</v>
      </c>
      <c r="G165" s="18">
        <v>-10324</v>
      </c>
      <c r="H165" t="s">
        <v>2</v>
      </c>
      <c r="I165" t="s">
        <v>8</v>
      </c>
      <c r="J165" s="18">
        <v>-815079.8</v>
      </c>
      <c r="K165" t="s">
        <v>3</v>
      </c>
      <c r="L165" t="s">
        <v>9</v>
      </c>
      <c r="M165" t="s">
        <v>327</v>
      </c>
      <c r="N165" t="s">
        <v>3</v>
      </c>
      <c r="O165" t="s">
        <v>3</v>
      </c>
      <c r="P165" t="s">
        <v>5</v>
      </c>
      <c r="Q165" t="s">
        <v>80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68</v>
      </c>
      <c r="X165" s="17">
        <v>42789</v>
      </c>
      <c r="Y165" t="s">
        <v>328</v>
      </c>
      <c r="Z165" s="17">
        <v>42781</v>
      </c>
      <c r="AA165" t="s">
        <v>3</v>
      </c>
      <c r="AB165" t="s">
        <v>325</v>
      </c>
    </row>
    <row r="166" spans="1:28" hidden="1">
      <c r="A166" t="s">
        <v>325</v>
      </c>
      <c r="B166" s="17">
        <v>42781</v>
      </c>
      <c r="C166" s="17">
        <v>42781</v>
      </c>
      <c r="D166" t="s">
        <v>0</v>
      </c>
      <c r="E166" t="s">
        <v>1</v>
      </c>
      <c r="F166" s="18">
        <v>27200</v>
      </c>
      <c r="G166" s="18">
        <v>27200</v>
      </c>
      <c r="H166" t="s">
        <v>2</v>
      </c>
      <c r="I166" t="s">
        <v>8</v>
      </c>
      <c r="J166" s="18">
        <v>2147440</v>
      </c>
      <c r="K166" t="s">
        <v>329</v>
      </c>
      <c r="L166" t="s">
        <v>9</v>
      </c>
      <c r="M166" t="s">
        <v>327</v>
      </c>
      <c r="N166" t="s">
        <v>3</v>
      </c>
      <c r="O166" t="s">
        <v>3</v>
      </c>
      <c r="P166" t="s">
        <v>5</v>
      </c>
      <c r="Q166" t="s">
        <v>80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68</v>
      </c>
      <c r="X166" s="17">
        <v>42781</v>
      </c>
      <c r="Y166" t="s">
        <v>325</v>
      </c>
      <c r="Z166" s="17">
        <v>42781</v>
      </c>
      <c r="AA166" t="s">
        <v>3</v>
      </c>
      <c r="AB166" t="s">
        <v>325</v>
      </c>
    </row>
    <row r="167" spans="1:28" hidden="1">
      <c r="A167" t="s">
        <v>336</v>
      </c>
      <c r="B167" s="17">
        <v>42785</v>
      </c>
      <c r="C167" s="17">
        <v>42785</v>
      </c>
      <c r="D167" t="s">
        <v>0</v>
      </c>
      <c r="E167" t="s">
        <v>1</v>
      </c>
      <c r="F167" s="18">
        <v>-50234.15</v>
      </c>
      <c r="G167" s="18">
        <v>-50234.15</v>
      </c>
      <c r="H167" t="s">
        <v>2</v>
      </c>
      <c r="I167" t="s">
        <v>10</v>
      </c>
      <c r="J167" s="18">
        <v>-3965986.14</v>
      </c>
      <c r="K167" t="s">
        <v>3</v>
      </c>
      <c r="L167" t="s">
        <v>9</v>
      </c>
      <c r="M167" t="s">
        <v>337</v>
      </c>
      <c r="N167" t="s">
        <v>3</v>
      </c>
      <c r="O167" t="s">
        <v>3</v>
      </c>
      <c r="P167" t="s">
        <v>5</v>
      </c>
      <c r="Q167" t="s">
        <v>80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68</v>
      </c>
      <c r="X167" s="17">
        <v>42792</v>
      </c>
      <c r="Y167" t="s">
        <v>338</v>
      </c>
      <c r="Z167" s="17">
        <v>42785</v>
      </c>
      <c r="AA167" t="s">
        <v>3</v>
      </c>
      <c r="AB167" t="s">
        <v>336</v>
      </c>
    </row>
    <row r="168" spans="1:28" hidden="1">
      <c r="A168" t="s">
        <v>336</v>
      </c>
      <c r="B168" s="17">
        <v>42785</v>
      </c>
      <c r="C168" s="17">
        <v>42785</v>
      </c>
      <c r="D168" t="s">
        <v>0</v>
      </c>
      <c r="E168" t="s">
        <v>1</v>
      </c>
      <c r="F168" s="18">
        <v>70052.149999999994</v>
      </c>
      <c r="G168" s="18">
        <v>70052.149999999994</v>
      </c>
      <c r="H168" t="s">
        <v>2</v>
      </c>
      <c r="I168" t="s">
        <v>10</v>
      </c>
      <c r="J168" s="18">
        <v>5530617.2400000002</v>
      </c>
      <c r="K168" t="s">
        <v>339</v>
      </c>
      <c r="L168" t="s">
        <v>9</v>
      </c>
      <c r="M168" t="s">
        <v>337</v>
      </c>
      <c r="N168" t="s">
        <v>3</v>
      </c>
      <c r="O168" t="s">
        <v>3</v>
      </c>
      <c r="P168" t="s">
        <v>5</v>
      </c>
      <c r="Q168" t="s">
        <v>80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68</v>
      </c>
      <c r="X168" s="17">
        <v>42785</v>
      </c>
      <c r="Y168" t="s">
        <v>336</v>
      </c>
      <c r="Z168" s="17">
        <v>42785</v>
      </c>
      <c r="AA168" t="s">
        <v>3</v>
      </c>
      <c r="AB168" t="s">
        <v>336</v>
      </c>
    </row>
    <row r="169" spans="1:28" hidden="1">
      <c r="A169" t="s">
        <v>328</v>
      </c>
      <c r="B169" s="17">
        <v>42789</v>
      </c>
      <c r="C169" s="17">
        <v>42789</v>
      </c>
      <c r="D169" t="s">
        <v>0</v>
      </c>
      <c r="E169" t="s">
        <v>1</v>
      </c>
      <c r="F169" s="18">
        <v>10324</v>
      </c>
      <c r="G169" s="18">
        <v>10324</v>
      </c>
      <c r="H169" t="s">
        <v>2</v>
      </c>
      <c r="I169" t="s">
        <v>8</v>
      </c>
      <c r="J169" s="18">
        <v>815079.8</v>
      </c>
      <c r="K169" t="s">
        <v>340</v>
      </c>
      <c r="L169" t="s">
        <v>9</v>
      </c>
      <c r="M169" t="s">
        <v>341</v>
      </c>
      <c r="N169" t="s">
        <v>3</v>
      </c>
      <c r="O169" t="s">
        <v>3</v>
      </c>
      <c r="P169" t="s">
        <v>5</v>
      </c>
      <c r="Q169" t="s">
        <v>80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68</v>
      </c>
      <c r="X169" s="17">
        <v>42789</v>
      </c>
      <c r="Y169" t="s">
        <v>328</v>
      </c>
      <c r="Z169" s="17">
        <v>42789</v>
      </c>
      <c r="AA169" t="s">
        <v>3</v>
      </c>
      <c r="AB169" t="s">
        <v>328</v>
      </c>
    </row>
    <row r="170" spans="1:28" hidden="1">
      <c r="A170" t="s">
        <v>338</v>
      </c>
      <c r="B170" s="17">
        <v>42792</v>
      </c>
      <c r="C170" s="17">
        <v>42792</v>
      </c>
      <c r="D170" t="s">
        <v>0</v>
      </c>
      <c r="E170" t="s">
        <v>1</v>
      </c>
      <c r="F170" s="18">
        <v>-35304.15</v>
      </c>
      <c r="G170" s="18">
        <v>-35304.15</v>
      </c>
      <c r="H170" t="s">
        <v>2</v>
      </c>
      <c r="I170" t="s">
        <v>10</v>
      </c>
      <c r="J170" s="18">
        <v>-2787262.64</v>
      </c>
      <c r="K170" t="s">
        <v>3</v>
      </c>
      <c r="L170" t="s">
        <v>9</v>
      </c>
      <c r="M170" t="s">
        <v>342</v>
      </c>
      <c r="N170" t="s">
        <v>3</v>
      </c>
      <c r="O170" t="s">
        <v>3</v>
      </c>
      <c r="P170" t="s">
        <v>5</v>
      </c>
      <c r="Q170" t="s">
        <v>80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68</v>
      </c>
      <c r="X170" s="17">
        <v>42794</v>
      </c>
      <c r="Y170" t="s">
        <v>343</v>
      </c>
      <c r="Z170" s="17">
        <v>42792</v>
      </c>
      <c r="AA170" t="s">
        <v>3</v>
      </c>
      <c r="AB170" t="s">
        <v>338</v>
      </c>
    </row>
    <row r="171" spans="1:28" hidden="1">
      <c r="A171" t="s">
        <v>338</v>
      </c>
      <c r="B171" s="17">
        <v>42792</v>
      </c>
      <c r="C171" s="17">
        <v>42792</v>
      </c>
      <c r="D171" t="s">
        <v>0</v>
      </c>
      <c r="E171" t="s">
        <v>1</v>
      </c>
      <c r="F171" s="18">
        <v>50234.15</v>
      </c>
      <c r="G171" s="18">
        <v>50234.15</v>
      </c>
      <c r="H171" t="s">
        <v>2</v>
      </c>
      <c r="I171" t="s">
        <v>10</v>
      </c>
      <c r="J171" s="18">
        <v>3965986.14</v>
      </c>
      <c r="K171" t="s">
        <v>344</v>
      </c>
      <c r="L171" t="s">
        <v>9</v>
      </c>
      <c r="M171" t="s">
        <v>342</v>
      </c>
      <c r="N171" t="s">
        <v>3</v>
      </c>
      <c r="O171" t="s">
        <v>3</v>
      </c>
      <c r="P171" t="s">
        <v>5</v>
      </c>
      <c r="Q171" t="s">
        <v>80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68</v>
      </c>
      <c r="X171" s="17">
        <v>42792</v>
      </c>
      <c r="Y171" t="s">
        <v>338</v>
      </c>
      <c r="Z171" s="17">
        <v>42792</v>
      </c>
      <c r="AA171" t="s">
        <v>3</v>
      </c>
      <c r="AB171" t="s">
        <v>338</v>
      </c>
    </row>
    <row r="172" spans="1:28" hidden="1">
      <c r="A172" t="s">
        <v>343</v>
      </c>
      <c r="B172" s="17">
        <v>42794</v>
      </c>
      <c r="C172" s="17">
        <v>42794</v>
      </c>
      <c r="D172" t="s">
        <v>0</v>
      </c>
      <c r="E172" t="s">
        <v>1</v>
      </c>
      <c r="F172" s="18">
        <v>-5397.15</v>
      </c>
      <c r="G172" s="18">
        <v>-5397.15</v>
      </c>
      <c r="H172" t="s">
        <v>2</v>
      </c>
      <c r="I172" t="s">
        <v>10</v>
      </c>
      <c r="J172" s="18">
        <v>-426914.57</v>
      </c>
      <c r="K172" t="s">
        <v>3</v>
      </c>
      <c r="L172" t="s">
        <v>9</v>
      </c>
      <c r="M172" t="s">
        <v>350</v>
      </c>
      <c r="N172" t="s">
        <v>3</v>
      </c>
      <c r="O172" t="s">
        <v>3</v>
      </c>
      <c r="P172" t="s">
        <v>5</v>
      </c>
      <c r="Q172" t="s">
        <v>80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68</v>
      </c>
      <c r="X172" s="17">
        <v>42794</v>
      </c>
      <c r="Y172" t="s">
        <v>349</v>
      </c>
      <c r="Z172" s="17">
        <v>42794</v>
      </c>
      <c r="AA172" t="s">
        <v>3</v>
      </c>
      <c r="AB172" t="s">
        <v>343</v>
      </c>
    </row>
    <row r="173" spans="1:28" hidden="1">
      <c r="A173" t="s">
        <v>343</v>
      </c>
      <c r="B173" s="17">
        <v>42794</v>
      </c>
      <c r="C173" s="17">
        <v>42794</v>
      </c>
      <c r="D173" t="s">
        <v>0</v>
      </c>
      <c r="E173" t="s">
        <v>1</v>
      </c>
      <c r="F173" s="18">
        <v>87469.15</v>
      </c>
      <c r="G173" s="18">
        <v>87469.15</v>
      </c>
      <c r="H173" t="s">
        <v>2</v>
      </c>
      <c r="I173" t="s">
        <v>10</v>
      </c>
      <c r="J173" s="18">
        <v>6905689.3899999997</v>
      </c>
      <c r="K173" t="s">
        <v>351</v>
      </c>
      <c r="L173" t="s">
        <v>9</v>
      </c>
      <c r="M173" t="s">
        <v>350</v>
      </c>
      <c r="N173" t="s">
        <v>3</v>
      </c>
      <c r="O173" t="s">
        <v>3</v>
      </c>
      <c r="P173" t="s">
        <v>5</v>
      </c>
      <c r="Q173" t="s">
        <v>80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68</v>
      </c>
      <c r="X173" s="17">
        <v>42794</v>
      </c>
      <c r="Y173" t="s">
        <v>343</v>
      </c>
      <c r="Z173" s="17">
        <v>42794</v>
      </c>
      <c r="AA173" t="s">
        <v>3</v>
      </c>
      <c r="AB173" t="s">
        <v>343</v>
      </c>
    </row>
    <row r="174" spans="1:28" hidden="1">
      <c r="A174" t="s">
        <v>349</v>
      </c>
      <c r="B174" s="17">
        <v>42794</v>
      </c>
      <c r="C174" s="17">
        <v>42794</v>
      </c>
      <c r="D174" t="s">
        <v>0</v>
      </c>
      <c r="E174" t="s">
        <v>1</v>
      </c>
      <c r="F174" s="18">
        <v>-41121.71</v>
      </c>
      <c r="G174" s="18">
        <v>-41121.71</v>
      </c>
      <c r="H174" t="s">
        <v>2</v>
      </c>
      <c r="I174" t="s">
        <v>10</v>
      </c>
      <c r="J174" s="18">
        <v>-3252727.26</v>
      </c>
      <c r="K174" t="s">
        <v>3</v>
      </c>
      <c r="L174" t="s">
        <v>9</v>
      </c>
      <c r="M174" t="s">
        <v>352</v>
      </c>
      <c r="N174" t="s">
        <v>3</v>
      </c>
      <c r="O174" t="s">
        <v>3</v>
      </c>
      <c r="P174" t="s">
        <v>5</v>
      </c>
      <c r="Q174" t="s">
        <v>80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68</v>
      </c>
      <c r="X174" s="17">
        <v>43008</v>
      </c>
      <c r="Y174" t="s">
        <v>353</v>
      </c>
      <c r="Z174" s="17">
        <v>42794</v>
      </c>
      <c r="AA174" t="s">
        <v>3</v>
      </c>
      <c r="AB174" t="s">
        <v>349</v>
      </c>
    </row>
    <row r="175" spans="1:28" hidden="1">
      <c r="A175" t="s">
        <v>349</v>
      </c>
      <c r="B175" s="17">
        <v>42794</v>
      </c>
      <c r="C175" s="17">
        <v>42794</v>
      </c>
      <c r="D175" t="s">
        <v>0</v>
      </c>
      <c r="E175" t="s">
        <v>1</v>
      </c>
      <c r="F175" s="18">
        <v>108999.15</v>
      </c>
      <c r="G175" s="18">
        <v>108999.15</v>
      </c>
      <c r="H175" t="s">
        <v>2</v>
      </c>
      <c r="I175" t="s">
        <v>10</v>
      </c>
      <c r="J175" s="18">
        <v>8606292.4800000004</v>
      </c>
      <c r="K175" t="s">
        <v>354</v>
      </c>
      <c r="L175" t="s">
        <v>9</v>
      </c>
      <c r="M175" t="s">
        <v>352</v>
      </c>
      <c r="N175" t="s">
        <v>3</v>
      </c>
      <c r="O175" t="s">
        <v>3</v>
      </c>
      <c r="P175" t="s">
        <v>5</v>
      </c>
      <c r="Q175" t="s">
        <v>80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68</v>
      </c>
      <c r="X175" s="17">
        <v>42794</v>
      </c>
      <c r="Y175" t="s">
        <v>349</v>
      </c>
      <c r="Z175" s="17">
        <v>42794</v>
      </c>
      <c r="AA175" t="s">
        <v>3</v>
      </c>
      <c r="AB175" t="s">
        <v>349</v>
      </c>
    </row>
    <row r="176" spans="1:28" hidden="1">
      <c r="A176" t="s">
        <v>355</v>
      </c>
      <c r="B176" s="17">
        <v>42799</v>
      </c>
      <c r="C176" s="17">
        <v>42799</v>
      </c>
      <c r="D176" t="s">
        <v>0</v>
      </c>
      <c r="E176" t="s">
        <v>1</v>
      </c>
      <c r="F176" s="18">
        <v>15179</v>
      </c>
      <c r="G176" s="18">
        <v>15179</v>
      </c>
      <c r="H176" t="s">
        <v>2</v>
      </c>
      <c r="I176" t="s">
        <v>10</v>
      </c>
      <c r="J176" s="18">
        <v>1200658.8999999999</v>
      </c>
      <c r="K176" t="s">
        <v>3</v>
      </c>
      <c r="L176" t="s">
        <v>9</v>
      </c>
      <c r="M176" t="s">
        <v>356</v>
      </c>
      <c r="N176" t="s">
        <v>3</v>
      </c>
      <c r="O176" t="s">
        <v>3</v>
      </c>
      <c r="P176" t="s">
        <v>5</v>
      </c>
      <c r="Q176" t="s">
        <v>357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68</v>
      </c>
      <c r="X176" s="17">
        <v>43008</v>
      </c>
      <c r="Y176" t="s">
        <v>353</v>
      </c>
      <c r="Z176" s="17">
        <v>42799</v>
      </c>
      <c r="AA176" t="s">
        <v>3</v>
      </c>
      <c r="AB176" t="s">
        <v>355</v>
      </c>
    </row>
    <row r="177" spans="1:28" hidden="1">
      <c r="A177" t="s">
        <v>361</v>
      </c>
      <c r="B177" s="17">
        <v>42799</v>
      </c>
      <c r="C177" s="17">
        <v>42799</v>
      </c>
      <c r="D177" t="s">
        <v>0</v>
      </c>
      <c r="E177" t="s">
        <v>1</v>
      </c>
      <c r="F177" s="18">
        <v>-111193</v>
      </c>
      <c r="G177" s="18">
        <v>-111193</v>
      </c>
      <c r="H177" t="s">
        <v>2</v>
      </c>
      <c r="I177" t="s">
        <v>10</v>
      </c>
      <c r="J177" s="18">
        <v>-8812045.25</v>
      </c>
      <c r="K177" t="s">
        <v>362</v>
      </c>
      <c r="L177" t="s">
        <v>9</v>
      </c>
      <c r="M177" t="s">
        <v>363</v>
      </c>
      <c r="N177" t="s">
        <v>3</v>
      </c>
      <c r="O177" t="s">
        <v>3</v>
      </c>
      <c r="P177" t="s">
        <v>5</v>
      </c>
      <c r="Q177" t="s">
        <v>364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68</v>
      </c>
      <c r="X177" s="17">
        <v>42979</v>
      </c>
      <c r="Y177" t="s">
        <v>365</v>
      </c>
      <c r="Z177" s="17">
        <v>42799</v>
      </c>
      <c r="AA177" t="s">
        <v>3</v>
      </c>
      <c r="AB177" t="s">
        <v>361</v>
      </c>
    </row>
    <row r="178" spans="1:28" hidden="1">
      <c r="A178" t="s">
        <v>358</v>
      </c>
      <c r="B178" s="17">
        <v>42801</v>
      </c>
      <c r="C178" s="17">
        <v>42801</v>
      </c>
      <c r="D178" t="s">
        <v>0</v>
      </c>
      <c r="E178" t="s">
        <v>1</v>
      </c>
      <c r="F178" s="18">
        <v>25942.71</v>
      </c>
      <c r="G178" s="18">
        <v>25942.71</v>
      </c>
      <c r="H178" t="s">
        <v>2</v>
      </c>
      <c r="I178" t="s">
        <v>10</v>
      </c>
      <c r="J178" s="18">
        <v>2052068.36</v>
      </c>
      <c r="K178" t="s">
        <v>3</v>
      </c>
      <c r="L178" t="s">
        <v>9</v>
      </c>
      <c r="M178" t="s">
        <v>359</v>
      </c>
      <c r="N178" t="s">
        <v>3</v>
      </c>
      <c r="O178" t="s">
        <v>3</v>
      </c>
      <c r="P178" t="s">
        <v>5</v>
      </c>
      <c r="Q178" t="s">
        <v>360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68</v>
      </c>
      <c r="X178" s="17">
        <v>43008</v>
      </c>
      <c r="Y178" t="s">
        <v>353</v>
      </c>
      <c r="Z178" s="17">
        <v>42801</v>
      </c>
      <c r="AA178" t="s">
        <v>3</v>
      </c>
      <c r="AB178" t="s">
        <v>358</v>
      </c>
    </row>
    <row r="179" spans="1:28" hidden="1">
      <c r="A179" t="s">
        <v>366</v>
      </c>
      <c r="B179" s="17">
        <v>42809</v>
      </c>
      <c r="C179" s="17">
        <v>42809</v>
      </c>
      <c r="D179" t="s">
        <v>0</v>
      </c>
      <c r="E179" t="s">
        <v>1</v>
      </c>
      <c r="F179" s="18">
        <v>-118422</v>
      </c>
      <c r="G179" s="18">
        <v>-118422</v>
      </c>
      <c r="H179" t="s">
        <v>2</v>
      </c>
      <c r="I179" t="s">
        <v>10</v>
      </c>
      <c r="J179" s="18">
        <v>-9384943.5</v>
      </c>
      <c r="K179" t="s">
        <v>367</v>
      </c>
      <c r="L179" t="s">
        <v>9</v>
      </c>
      <c r="M179" t="s">
        <v>363</v>
      </c>
      <c r="N179" t="s">
        <v>3</v>
      </c>
      <c r="O179" t="s">
        <v>3</v>
      </c>
      <c r="P179" t="s">
        <v>5</v>
      </c>
      <c r="Q179" t="s">
        <v>368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68</v>
      </c>
      <c r="X179" s="17">
        <v>43008</v>
      </c>
      <c r="Y179" t="s">
        <v>369</v>
      </c>
      <c r="Z179" s="17">
        <v>42809</v>
      </c>
      <c r="AA179" t="s">
        <v>3</v>
      </c>
      <c r="AB179" t="s">
        <v>366</v>
      </c>
    </row>
    <row r="180" spans="1:28" hidden="1">
      <c r="A180" t="s">
        <v>370</v>
      </c>
      <c r="B180" s="17">
        <v>42813</v>
      </c>
      <c r="C180" s="17">
        <v>42813</v>
      </c>
      <c r="D180" t="s">
        <v>0</v>
      </c>
      <c r="E180" t="s">
        <v>1</v>
      </c>
      <c r="F180" s="18">
        <v>5502</v>
      </c>
      <c r="G180" s="18">
        <v>5502</v>
      </c>
      <c r="H180" t="s">
        <v>2</v>
      </c>
      <c r="I180" t="s">
        <v>10</v>
      </c>
      <c r="J180" s="18">
        <v>435208.2</v>
      </c>
      <c r="K180" t="s">
        <v>371</v>
      </c>
      <c r="L180" t="s">
        <v>9</v>
      </c>
      <c r="M180" t="s">
        <v>372</v>
      </c>
      <c r="N180" t="s">
        <v>3</v>
      </c>
      <c r="O180" t="s">
        <v>3</v>
      </c>
      <c r="P180" t="s">
        <v>5</v>
      </c>
      <c r="Q180" t="s">
        <v>373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68</v>
      </c>
      <c r="X180" s="17">
        <v>42979</v>
      </c>
      <c r="Y180" t="s">
        <v>365</v>
      </c>
      <c r="Z180" s="17">
        <v>42813</v>
      </c>
      <c r="AA180" t="s">
        <v>3</v>
      </c>
      <c r="AB180" t="s">
        <v>370</v>
      </c>
    </row>
    <row r="181" spans="1:28" hidden="1">
      <c r="A181" t="s">
        <v>374</v>
      </c>
      <c r="B181" s="17">
        <v>42814</v>
      </c>
      <c r="C181" s="17">
        <v>42814</v>
      </c>
      <c r="D181" t="s">
        <v>0</v>
      </c>
      <c r="E181" t="s">
        <v>1</v>
      </c>
      <c r="F181" s="18">
        <v>28150</v>
      </c>
      <c r="G181" s="18">
        <v>28150</v>
      </c>
      <c r="H181" t="s">
        <v>2</v>
      </c>
      <c r="I181" t="s">
        <v>10</v>
      </c>
      <c r="J181" s="18">
        <v>2230887.5</v>
      </c>
      <c r="K181" t="s">
        <v>371</v>
      </c>
      <c r="L181" t="s">
        <v>9</v>
      </c>
      <c r="M181" t="s">
        <v>375</v>
      </c>
      <c r="N181" t="s">
        <v>3</v>
      </c>
      <c r="O181" t="s">
        <v>3</v>
      </c>
      <c r="P181" t="s">
        <v>5</v>
      </c>
      <c r="Q181" t="s">
        <v>376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68</v>
      </c>
      <c r="X181" s="17">
        <v>42979</v>
      </c>
      <c r="Y181" t="s">
        <v>365</v>
      </c>
      <c r="Z181" s="17">
        <v>42814</v>
      </c>
      <c r="AA181" t="s">
        <v>3</v>
      </c>
      <c r="AB181" t="s">
        <v>374</v>
      </c>
    </row>
    <row r="182" spans="1:28" hidden="1">
      <c r="A182" t="s">
        <v>377</v>
      </c>
      <c r="B182" s="17">
        <v>42823</v>
      </c>
      <c r="C182" s="17">
        <v>42823</v>
      </c>
      <c r="D182" t="s">
        <v>0</v>
      </c>
      <c r="E182" t="s">
        <v>1</v>
      </c>
      <c r="F182" s="18">
        <v>9187</v>
      </c>
      <c r="G182" s="18">
        <v>9187</v>
      </c>
      <c r="H182" t="s">
        <v>2</v>
      </c>
      <c r="I182" t="s">
        <v>10</v>
      </c>
      <c r="J182" s="18">
        <v>728069.75</v>
      </c>
      <c r="K182" t="s">
        <v>371</v>
      </c>
      <c r="L182" t="s">
        <v>9</v>
      </c>
      <c r="M182" t="s">
        <v>378</v>
      </c>
      <c r="N182" t="s">
        <v>3</v>
      </c>
      <c r="O182" t="s">
        <v>3</v>
      </c>
      <c r="P182" t="s">
        <v>5</v>
      </c>
      <c r="Q182" t="s">
        <v>379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68</v>
      </c>
      <c r="X182" s="17">
        <v>42979</v>
      </c>
      <c r="Y182" t="s">
        <v>365</v>
      </c>
      <c r="Z182" s="17">
        <v>42823</v>
      </c>
      <c r="AA182" t="s">
        <v>3</v>
      </c>
      <c r="AB182" t="s">
        <v>377</v>
      </c>
    </row>
    <row r="183" spans="1:28" hidden="1">
      <c r="A183" t="s">
        <v>380</v>
      </c>
      <c r="B183" s="17">
        <v>42823</v>
      </c>
      <c r="C183" s="17">
        <v>42823</v>
      </c>
      <c r="D183" t="s">
        <v>0</v>
      </c>
      <c r="E183" t="s">
        <v>1</v>
      </c>
      <c r="F183" s="18">
        <v>7590</v>
      </c>
      <c r="G183" s="18">
        <v>7590</v>
      </c>
      <c r="H183" t="s">
        <v>2</v>
      </c>
      <c r="I183" t="s">
        <v>10</v>
      </c>
      <c r="J183" s="18">
        <v>601507.5</v>
      </c>
      <c r="K183" t="s">
        <v>3</v>
      </c>
      <c r="L183" t="s">
        <v>9</v>
      </c>
      <c r="M183" t="s">
        <v>381</v>
      </c>
      <c r="N183" t="s">
        <v>3</v>
      </c>
      <c r="O183" t="s">
        <v>3</v>
      </c>
      <c r="P183" t="s">
        <v>5</v>
      </c>
      <c r="Q183" t="s">
        <v>382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68</v>
      </c>
      <c r="X183" s="17">
        <v>42979</v>
      </c>
      <c r="Y183" t="s">
        <v>365</v>
      </c>
      <c r="Z183" s="17">
        <v>42823</v>
      </c>
      <c r="AA183" t="s">
        <v>3</v>
      </c>
      <c r="AB183" t="s">
        <v>380</v>
      </c>
    </row>
    <row r="184" spans="1:28" hidden="1">
      <c r="A184" t="s">
        <v>92</v>
      </c>
      <c r="B184" s="17">
        <v>42825</v>
      </c>
      <c r="C184" s="17">
        <v>42825</v>
      </c>
      <c r="D184" t="s">
        <v>38</v>
      </c>
      <c r="E184" t="s">
        <v>1</v>
      </c>
      <c r="F184" s="18">
        <v>242864</v>
      </c>
      <c r="G184" s="18">
        <v>242864</v>
      </c>
      <c r="H184" t="s">
        <v>2</v>
      </c>
      <c r="I184" t="s">
        <v>8</v>
      </c>
      <c r="J184" s="18">
        <v>19356260.800000001</v>
      </c>
      <c r="K184" t="s">
        <v>93</v>
      </c>
      <c r="L184" t="s">
        <v>9</v>
      </c>
      <c r="M184" t="s">
        <v>94</v>
      </c>
      <c r="N184" t="s">
        <v>3</v>
      </c>
      <c r="O184" t="s">
        <v>3</v>
      </c>
      <c r="P184" t="s">
        <v>5</v>
      </c>
      <c r="Q184" t="s">
        <v>95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68</v>
      </c>
      <c r="X184" s="17">
        <v>42825</v>
      </c>
      <c r="Y184" t="s">
        <v>92</v>
      </c>
      <c r="Z184" s="17">
        <v>42825</v>
      </c>
      <c r="AA184" t="s">
        <v>3</v>
      </c>
      <c r="AB184" t="s">
        <v>92</v>
      </c>
    </row>
    <row r="185" spans="1:28" hidden="1">
      <c r="A185" t="s">
        <v>96</v>
      </c>
      <c r="B185" s="17">
        <v>42825</v>
      </c>
      <c r="C185" s="17">
        <v>42825</v>
      </c>
      <c r="D185" t="s">
        <v>38</v>
      </c>
      <c r="E185" t="s">
        <v>1</v>
      </c>
      <c r="F185" s="18">
        <v>448</v>
      </c>
      <c r="G185" s="18">
        <v>448</v>
      </c>
      <c r="H185" t="s">
        <v>2</v>
      </c>
      <c r="I185" t="s">
        <v>8</v>
      </c>
      <c r="J185" s="18">
        <v>35705.599999999999</v>
      </c>
      <c r="K185" t="s">
        <v>84</v>
      </c>
      <c r="L185" t="s">
        <v>9</v>
      </c>
      <c r="M185" t="s">
        <v>97</v>
      </c>
      <c r="N185" t="s">
        <v>3</v>
      </c>
      <c r="O185" t="s">
        <v>3</v>
      </c>
      <c r="P185" t="s">
        <v>5</v>
      </c>
      <c r="Q185" t="s">
        <v>97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68</v>
      </c>
      <c r="X185" s="17">
        <v>42825</v>
      </c>
      <c r="Y185" t="s">
        <v>96</v>
      </c>
      <c r="Z185" s="17">
        <v>42825</v>
      </c>
      <c r="AA185" t="s">
        <v>3</v>
      </c>
      <c r="AB185" t="s">
        <v>96</v>
      </c>
    </row>
    <row r="186" spans="1:28" hidden="1">
      <c r="A186" t="s">
        <v>420</v>
      </c>
      <c r="B186" s="17">
        <v>42825</v>
      </c>
      <c r="C186" s="17">
        <v>42825</v>
      </c>
      <c r="D186" t="s">
        <v>0</v>
      </c>
      <c r="E186" t="s">
        <v>1</v>
      </c>
      <c r="F186" s="18">
        <v>-242864</v>
      </c>
      <c r="G186" s="18">
        <v>-242864</v>
      </c>
      <c r="H186" t="s">
        <v>2</v>
      </c>
      <c r="I186" t="s">
        <v>8</v>
      </c>
      <c r="J186" s="18">
        <v>-19356260.800000001</v>
      </c>
      <c r="K186" t="s">
        <v>93</v>
      </c>
      <c r="L186" t="s">
        <v>9</v>
      </c>
      <c r="M186" t="s">
        <v>94</v>
      </c>
      <c r="N186" t="s">
        <v>3</v>
      </c>
      <c r="O186" t="s">
        <v>3</v>
      </c>
      <c r="P186" t="s">
        <v>5</v>
      </c>
      <c r="Q186" t="s">
        <v>95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68</v>
      </c>
      <c r="X186" s="17">
        <v>42825</v>
      </c>
      <c r="Y186" t="s">
        <v>92</v>
      </c>
      <c r="Z186" s="17">
        <v>42825</v>
      </c>
      <c r="AA186" t="s">
        <v>3</v>
      </c>
      <c r="AB186" t="s">
        <v>420</v>
      </c>
    </row>
    <row r="187" spans="1:28" hidden="1">
      <c r="A187" t="s">
        <v>421</v>
      </c>
      <c r="B187" s="17">
        <v>42825</v>
      </c>
      <c r="C187" s="17">
        <v>42825</v>
      </c>
      <c r="D187" t="s">
        <v>0</v>
      </c>
      <c r="E187" t="s">
        <v>1</v>
      </c>
      <c r="F187" s="18">
        <v>-448</v>
      </c>
      <c r="G187" s="18">
        <v>-448</v>
      </c>
      <c r="H187" t="s">
        <v>2</v>
      </c>
      <c r="I187" t="s">
        <v>8</v>
      </c>
      <c r="J187" s="18">
        <v>-35705.599999999999</v>
      </c>
      <c r="K187" t="s">
        <v>84</v>
      </c>
      <c r="L187" t="s">
        <v>9</v>
      </c>
      <c r="M187" t="s">
        <v>97</v>
      </c>
      <c r="N187" t="s">
        <v>3</v>
      </c>
      <c r="O187" t="s">
        <v>3</v>
      </c>
      <c r="P187" t="s">
        <v>5</v>
      </c>
      <c r="Q187" t="s">
        <v>97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68</v>
      </c>
      <c r="X187" s="17">
        <v>42825</v>
      </c>
      <c r="Y187" t="s">
        <v>96</v>
      </c>
      <c r="Z187" s="17">
        <v>42825</v>
      </c>
      <c r="AA187" t="s">
        <v>3</v>
      </c>
      <c r="AB187" t="s">
        <v>421</v>
      </c>
    </row>
    <row r="188" spans="1:28" hidden="1">
      <c r="A188" t="s">
        <v>422</v>
      </c>
      <c r="B188" s="17">
        <v>42825</v>
      </c>
      <c r="C188" s="17">
        <v>42825</v>
      </c>
      <c r="D188" t="s">
        <v>0</v>
      </c>
      <c r="E188" t="s">
        <v>1</v>
      </c>
      <c r="F188" s="18">
        <v>-243312</v>
      </c>
      <c r="G188" s="18">
        <v>-243312</v>
      </c>
      <c r="H188" t="s">
        <v>2</v>
      </c>
      <c r="I188" t="s">
        <v>8</v>
      </c>
      <c r="J188" s="18">
        <v>-19391966.399999999</v>
      </c>
      <c r="K188" t="s">
        <v>93</v>
      </c>
      <c r="L188" t="s">
        <v>9</v>
      </c>
      <c r="M188" t="s">
        <v>94</v>
      </c>
      <c r="N188" t="s">
        <v>3</v>
      </c>
      <c r="O188" t="s">
        <v>3</v>
      </c>
      <c r="P188" t="s">
        <v>5</v>
      </c>
      <c r="Q188" t="s">
        <v>95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68</v>
      </c>
      <c r="X188" s="17">
        <v>42826</v>
      </c>
      <c r="Y188" t="s">
        <v>98</v>
      </c>
      <c r="Z188" s="17">
        <v>42825</v>
      </c>
      <c r="AA188" t="s">
        <v>3</v>
      </c>
      <c r="AB188" t="s">
        <v>422</v>
      </c>
    </row>
    <row r="189" spans="1:28" hidden="1">
      <c r="A189" t="s">
        <v>98</v>
      </c>
      <c r="B189" s="17">
        <v>42826</v>
      </c>
      <c r="C189" s="17">
        <v>42825</v>
      </c>
      <c r="D189" t="s">
        <v>38</v>
      </c>
      <c r="E189" t="s">
        <v>1</v>
      </c>
      <c r="F189" s="18">
        <v>243312</v>
      </c>
      <c r="G189" s="18">
        <v>243312</v>
      </c>
      <c r="H189" t="s">
        <v>2</v>
      </c>
      <c r="I189" t="s">
        <v>8</v>
      </c>
      <c r="J189" s="18">
        <v>19391966.399999999</v>
      </c>
      <c r="K189" t="s">
        <v>93</v>
      </c>
      <c r="L189" t="s">
        <v>9</v>
      </c>
      <c r="M189" t="s">
        <v>94</v>
      </c>
      <c r="N189" t="s">
        <v>3</v>
      </c>
      <c r="O189" t="s">
        <v>3</v>
      </c>
      <c r="P189" t="s">
        <v>5</v>
      </c>
      <c r="Q189" t="s">
        <v>95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68</v>
      </c>
      <c r="X189" s="17">
        <v>42826</v>
      </c>
      <c r="Y189" t="s">
        <v>98</v>
      </c>
      <c r="Z189" s="17">
        <v>42825</v>
      </c>
      <c r="AA189" t="s">
        <v>3</v>
      </c>
      <c r="AB189" t="s">
        <v>98</v>
      </c>
    </row>
    <row r="190" spans="1:28" hidden="1">
      <c r="A190" t="s">
        <v>383</v>
      </c>
      <c r="B190" s="17">
        <v>42828</v>
      </c>
      <c r="C190" s="17">
        <v>42828</v>
      </c>
      <c r="D190" t="s">
        <v>0</v>
      </c>
      <c r="E190" t="s">
        <v>1</v>
      </c>
      <c r="F190" s="18">
        <v>5692</v>
      </c>
      <c r="G190" s="18">
        <v>5692</v>
      </c>
      <c r="H190" t="s">
        <v>2</v>
      </c>
      <c r="I190" t="s">
        <v>10</v>
      </c>
      <c r="J190" s="18">
        <v>451091</v>
      </c>
      <c r="K190" t="s">
        <v>371</v>
      </c>
      <c r="L190" t="s">
        <v>9</v>
      </c>
      <c r="M190" t="s">
        <v>384</v>
      </c>
      <c r="N190" t="s">
        <v>3</v>
      </c>
      <c r="O190" t="s">
        <v>3</v>
      </c>
      <c r="P190" t="s">
        <v>5</v>
      </c>
      <c r="Q190" t="s">
        <v>385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68</v>
      </c>
      <c r="X190" s="17">
        <v>42979</v>
      </c>
      <c r="Y190" t="s">
        <v>365</v>
      </c>
      <c r="Z190" s="17">
        <v>42828</v>
      </c>
      <c r="AA190" t="s">
        <v>3</v>
      </c>
      <c r="AB190" t="s">
        <v>383</v>
      </c>
    </row>
    <row r="191" spans="1:28" hidden="1">
      <c r="A191" t="s">
        <v>390</v>
      </c>
      <c r="B191" s="17">
        <v>42828</v>
      </c>
      <c r="C191" s="17">
        <v>42828</v>
      </c>
      <c r="D191" t="s">
        <v>0</v>
      </c>
      <c r="E191" t="s">
        <v>1</v>
      </c>
      <c r="F191" s="18">
        <v>-250407</v>
      </c>
      <c r="G191" s="18">
        <v>-250407</v>
      </c>
      <c r="H191" t="s">
        <v>2</v>
      </c>
      <c r="I191" t="s">
        <v>8</v>
      </c>
      <c r="J191" s="18">
        <v>-19957437.899999999</v>
      </c>
      <c r="K191" t="s">
        <v>391</v>
      </c>
      <c r="L191" t="s">
        <v>9</v>
      </c>
      <c r="M191" t="s">
        <v>392</v>
      </c>
      <c r="N191" t="s">
        <v>3</v>
      </c>
      <c r="O191" t="s">
        <v>3</v>
      </c>
      <c r="P191" t="s">
        <v>5</v>
      </c>
      <c r="Q191" t="s">
        <v>393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68</v>
      </c>
      <c r="X191" s="17">
        <v>42855</v>
      </c>
      <c r="Y191" t="s">
        <v>111</v>
      </c>
      <c r="Z191" s="17">
        <v>42828</v>
      </c>
      <c r="AA191" t="s">
        <v>3</v>
      </c>
      <c r="AB191" t="s">
        <v>390</v>
      </c>
    </row>
    <row r="192" spans="1:28" hidden="1">
      <c r="A192" t="s">
        <v>386</v>
      </c>
      <c r="B192" s="17">
        <v>42830</v>
      </c>
      <c r="C192" s="17">
        <v>42830</v>
      </c>
      <c r="D192" t="s">
        <v>0</v>
      </c>
      <c r="E192" t="s">
        <v>1</v>
      </c>
      <c r="F192" s="18">
        <v>1423</v>
      </c>
      <c r="G192" s="18">
        <v>1423</v>
      </c>
      <c r="H192" t="s">
        <v>2</v>
      </c>
      <c r="I192" t="s">
        <v>10</v>
      </c>
      <c r="J192" s="18">
        <v>112772.75</v>
      </c>
      <c r="K192" t="s">
        <v>387</v>
      </c>
      <c r="L192" t="s">
        <v>9</v>
      </c>
      <c r="M192" t="s">
        <v>388</v>
      </c>
      <c r="N192" t="s">
        <v>3</v>
      </c>
      <c r="O192" t="s">
        <v>3</v>
      </c>
      <c r="P192" t="s">
        <v>5</v>
      </c>
      <c r="Q192" t="s">
        <v>389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68</v>
      </c>
      <c r="X192" s="17">
        <v>43008</v>
      </c>
      <c r="Y192" t="s">
        <v>369</v>
      </c>
      <c r="Z192" s="17">
        <v>42830</v>
      </c>
      <c r="AA192" t="s">
        <v>3</v>
      </c>
      <c r="AB192" t="s">
        <v>386</v>
      </c>
    </row>
    <row r="193" spans="1:28" hidden="1">
      <c r="A193" t="s">
        <v>394</v>
      </c>
      <c r="B193" s="17">
        <v>42830</v>
      </c>
      <c r="C193" s="17">
        <v>42830</v>
      </c>
      <c r="D193" t="s">
        <v>0</v>
      </c>
      <c r="E193" t="s">
        <v>1</v>
      </c>
      <c r="F193" s="18">
        <v>36718</v>
      </c>
      <c r="G193" s="18">
        <v>36718</v>
      </c>
      <c r="H193" t="s">
        <v>2</v>
      </c>
      <c r="I193" t="s">
        <v>8</v>
      </c>
      <c r="J193" s="18">
        <v>2926424.6</v>
      </c>
      <c r="K193" t="s">
        <v>3</v>
      </c>
      <c r="L193" t="s">
        <v>9</v>
      </c>
      <c r="M193" t="s">
        <v>395</v>
      </c>
      <c r="N193" t="s">
        <v>3</v>
      </c>
      <c r="O193" t="s">
        <v>3</v>
      </c>
      <c r="P193" t="s">
        <v>5</v>
      </c>
      <c r="Q193" t="s">
        <v>396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68</v>
      </c>
      <c r="X193" s="17">
        <v>42855</v>
      </c>
      <c r="Y193" t="s">
        <v>111</v>
      </c>
      <c r="Z193" s="17">
        <v>42830</v>
      </c>
      <c r="AA193" t="s">
        <v>3</v>
      </c>
      <c r="AB193" t="s">
        <v>394</v>
      </c>
    </row>
    <row r="194" spans="1:28" hidden="1">
      <c r="A194" t="s">
        <v>409</v>
      </c>
      <c r="B194" s="17">
        <v>42834</v>
      </c>
      <c r="C194" s="17">
        <v>42834</v>
      </c>
      <c r="D194" t="s">
        <v>0</v>
      </c>
      <c r="E194" t="s">
        <v>1</v>
      </c>
      <c r="F194" s="18">
        <v>-139902</v>
      </c>
      <c r="G194" s="18">
        <v>-139902</v>
      </c>
      <c r="H194" t="s">
        <v>2</v>
      </c>
      <c r="I194" t="s">
        <v>10</v>
      </c>
      <c r="J194" s="18">
        <v>-11150189.4</v>
      </c>
      <c r="K194" t="s">
        <v>410</v>
      </c>
      <c r="L194" t="s">
        <v>9</v>
      </c>
      <c r="M194" t="s">
        <v>411</v>
      </c>
      <c r="N194" t="s">
        <v>3</v>
      </c>
      <c r="O194" t="s">
        <v>3</v>
      </c>
      <c r="P194" t="s">
        <v>5</v>
      </c>
      <c r="Q194" t="s">
        <v>412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68</v>
      </c>
      <c r="X194" s="17">
        <v>43008</v>
      </c>
      <c r="Y194" t="s">
        <v>413</v>
      </c>
      <c r="Z194" s="17">
        <v>42834</v>
      </c>
      <c r="AA194" t="s">
        <v>3</v>
      </c>
      <c r="AB194" t="s">
        <v>409</v>
      </c>
    </row>
    <row r="195" spans="1:28" hidden="1">
      <c r="A195" t="s">
        <v>397</v>
      </c>
      <c r="B195" s="17">
        <v>42835</v>
      </c>
      <c r="C195" s="17">
        <v>42835</v>
      </c>
      <c r="D195" t="s">
        <v>0</v>
      </c>
      <c r="E195" t="s">
        <v>1</v>
      </c>
      <c r="F195" s="18">
        <v>9999</v>
      </c>
      <c r="G195" s="18">
        <v>9999</v>
      </c>
      <c r="H195" t="s">
        <v>2</v>
      </c>
      <c r="I195" t="s">
        <v>10</v>
      </c>
      <c r="J195" s="18">
        <v>792420.75</v>
      </c>
      <c r="K195" t="s">
        <v>387</v>
      </c>
      <c r="L195" t="s">
        <v>9</v>
      </c>
      <c r="M195" t="s">
        <v>398</v>
      </c>
      <c r="N195" t="s">
        <v>3</v>
      </c>
      <c r="O195" t="s">
        <v>3</v>
      </c>
      <c r="P195" t="s">
        <v>5</v>
      </c>
      <c r="Q195" t="s">
        <v>399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68</v>
      </c>
      <c r="X195" s="17">
        <v>43008</v>
      </c>
      <c r="Y195" t="s">
        <v>369</v>
      </c>
      <c r="Z195" s="17">
        <v>42835</v>
      </c>
      <c r="AA195" t="s">
        <v>3</v>
      </c>
      <c r="AB195" t="s">
        <v>397</v>
      </c>
    </row>
    <row r="196" spans="1:28" hidden="1">
      <c r="A196" t="s">
        <v>397</v>
      </c>
      <c r="B196" s="17">
        <v>42835</v>
      </c>
      <c r="C196" s="17">
        <v>42835</v>
      </c>
      <c r="D196" t="s">
        <v>0</v>
      </c>
      <c r="E196" t="s">
        <v>1</v>
      </c>
      <c r="F196" s="18">
        <v>19289</v>
      </c>
      <c r="G196" s="18">
        <v>19289</v>
      </c>
      <c r="H196" t="s">
        <v>2</v>
      </c>
      <c r="I196" t="s">
        <v>10</v>
      </c>
      <c r="J196" s="18">
        <v>1528653.25</v>
      </c>
      <c r="K196" t="s">
        <v>371</v>
      </c>
      <c r="L196" t="s">
        <v>9</v>
      </c>
      <c r="M196" t="s">
        <v>398</v>
      </c>
      <c r="N196" t="s">
        <v>3</v>
      </c>
      <c r="O196" t="s">
        <v>3</v>
      </c>
      <c r="P196" t="s">
        <v>5</v>
      </c>
      <c r="Q196" t="s">
        <v>399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68</v>
      </c>
      <c r="X196" s="17">
        <v>42979</v>
      </c>
      <c r="Y196" t="s">
        <v>365</v>
      </c>
      <c r="Z196" s="17">
        <v>42835</v>
      </c>
      <c r="AA196" t="s">
        <v>3</v>
      </c>
      <c r="AB196" t="s">
        <v>397</v>
      </c>
    </row>
    <row r="197" spans="1:28" hidden="1">
      <c r="A197" t="s">
        <v>400</v>
      </c>
      <c r="B197" s="17">
        <v>42835</v>
      </c>
      <c r="C197" s="17">
        <v>42835</v>
      </c>
      <c r="D197" t="s">
        <v>0</v>
      </c>
      <c r="E197" t="s">
        <v>1</v>
      </c>
      <c r="F197" s="18">
        <v>2678</v>
      </c>
      <c r="G197" s="18">
        <v>2678</v>
      </c>
      <c r="H197" t="s">
        <v>2</v>
      </c>
      <c r="I197" t="s">
        <v>10</v>
      </c>
      <c r="J197" s="18">
        <v>212231.5</v>
      </c>
      <c r="K197" t="s">
        <v>387</v>
      </c>
      <c r="L197" t="s">
        <v>9</v>
      </c>
      <c r="M197" t="s">
        <v>401</v>
      </c>
      <c r="N197" t="s">
        <v>3</v>
      </c>
      <c r="O197" t="s">
        <v>3</v>
      </c>
      <c r="P197" t="s">
        <v>5</v>
      </c>
      <c r="Q197" t="s">
        <v>402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68</v>
      </c>
      <c r="X197" s="17">
        <v>43008</v>
      </c>
      <c r="Y197" t="s">
        <v>369</v>
      </c>
      <c r="Z197" s="17">
        <v>42835</v>
      </c>
      <c r="AA197" t="s">
        <v>3</v>
      </c>
      <c r="AB197" t="s">
        <v>400</v>
      </c>
    </row>
    <row r="198" spans="1:28" hidden="1">
      <c r="A198" t="s">
        <v>400</v>
      </c>
      <c r="B198" s="17">
        <v>42835</v>
      </c>
      <c r="C198" s="17">
        <v>42835</v>
      </c>
      <c r="D198" t="s">
        <v>0</v>
      </c>
      <c r="E198" t="s">
        <v>1</v>
      </c>
      <c r="F198" s="18">
        <v>1423</v>
      </c>
      <c r="G198" s="18">
        <v>1423</v>
      </c>
      <c r="H198" t="s">
        <v>2</v>
      </c>
      <c r="I198" t="s">
        <v>10</v>
      </c>
      <c r="J198" s="18">
        <v>112772.75</v>
      </c>
      <c r="K198" t="s">
        <v>371</v>
      </c>
      <c r="L198" t="s">
        <v>9</v>
      </c>
      <c r="M198" t="s">
        <v>401</v>
      </c>
      <c r="N198" t="s">
        <v>3</v>
      </c>
      <c r="O198" t="s">
        <v>3</v>
      </c>
      <c r="P198" t="s">
        <v>5</v>
      </c>
      <c r="Q198" t="s">
        <v>402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68</v>
      </c>
      <c r="X198" s="17">
        <v>42979</v>
      </c>
      <c r="Y198" t="s">
        <v>365</v>
      </c>
      <c r="Z198" s="17">
        <v>42835</v>
      </c>
      <c r="AA198" t="s">
        <v>3</v>
      </c>
      <c r="AB198" t="s">
        <v>400</v>
      </c>
    </row>
    <row r="199" spans="1:28" hidden="1">
      <c r="A199" t="s">
        <v>403</v>
      </c>
      <c r="B199" s="17">
        <v>42835</v>
      </c>
      <c r="C199" s="17">
        <v>42835</v>
      </c>
      <c r="D199" t="s">
        <v>0</v>
      </c>
      <c r="E199" t="s">
        <v>1</v>
      </c>
      <c r="F199" s="18">
        <v>55476</v>
      </c>
      <c r="G199" s="18">
        <v>55476</v>
      </c>
      <c r="H199" t="s">
        <v>2</v>
      </c>
      <c r="I199" t="s">
        <v>10</v>
      </c>
      <c r="J199" s="18">
        <v>4396473</v>
      </c>
      <c r="K199" t="s">
        <v>387</v>
      </c>
      <c r="L199" t="s">
        <v>9</v>
      </c>
      <c r="M199" t="s">
        <v>404</v>
      </c>
      <c r="N199" t="s">
        <v>3</v>
      </c>
      <c r="O199" t="s">
        <v>3</v>
      </c>
      <c r="P199" t="s">
        <v>5</v>
      </c>
      <c r="Q199" t="s">
        <v>405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68</v>
      </c>
      <c r="X199" s="17">
        <v>43008</v>
      </c>
      <c r="Y199" t="s">
        <v>369</v>
      </c>
      <c r="Z199" s="17">
        <v>42835</v>
      </c>
      <c r="AA199" t="s">
        <v>3</v>
      </c>
      <c r="AB199" t="s">
        <v>403</v>
      </c>
    </row>
    <row r="200" spans="1:28" hidden="1">
      <c r="A200" t="s">
        <v>403</v>
      </c>
      <c r="B200" s="17">
        <v>42835</v>
      </c>
      <c r="C200" s="17">
        <v>42835</v>
      </c>
      <c r="D200" t="s">
        <v>0</v>
      </c>
      <c r="E200" t="s">
        <v>1</v>
      </c>
      <c r="F200" s="18">
        <v>34359</v>
      </c>
      <c r="G200" s="18">
        <v>34359</v>
      </c>
      <c r="H200" t="s">
        <v>2</v>
      </c>
      <c r="I200" t="s">
        <v>10</v>
      </c>
      <c r="J200" s="18">
        <v>2722950.75</v>
      </c>
      <c r="K200" t="s">
        <v>371</v>
      </c>
      <c r="L200" t="s">
        <v>9</v>
      </c>
      <c r="M200" t="s">
        <v>404</v>
      </c>
      <c r="N200" t="s">
        <v>3</v>
      </c>
      <c r="O200" t="s">
        <v>3</v>
      </c>
      <c r="P200" t="s">
        <v>5</v>
      </c>
      <c r="Q200" t="s">
        <v>405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68</v>
      </c>
      <c r="X200" s="17">
        <v>42979</v>
      </c>
      <c r="Y200" t="s">
        <v>365</v>
      </c>
      <c r="Z200" s="17">
        <v>42835</v>
      </c>
      <c r="AA200" t="s">
        <v>3</v>
      </c>
      <c r="AB200" t="s">
        <v>403</v>
      </c>
    </row>
    <row r="201" spans="1:28" hidden="1">
      <c r="A201" t="s">
        <v>406</v>
      </c>
      <c r="B201" s="17">
        <v>42836</v>
      </c>
      <c r="C201" s="17">
        <v>42836</v>
      </c>
      <c r="D201" t="s">
        <v>0</v>
      </c>
      <c r="E201" t="s">
        <v>1</v>
      </c>
      <c r="F201" s="18">
        <v>145929</v>
      </c>
      <c r="G201" s="18">
        <v>145929</v>
      </c>
      <c r="H201" t="s">
        <v>2</v>
      </c>
      <c r="I201" t="s">
        <v>8</v>
      </c>
      <c r="J201" s="18">
        <v>11630541.300000001</v>
      </c>
      <c r="K201" t="s">
        <v>3</v>
      </c>
      <c r="L201" t="s">
        <v>9</v>
      </c>
      <c r="M201" t="s">
        <v>407</v>
      </c>
      <c r="N201" t="s">
        <v>3</v>
      </c>
      <c r="O201" t="s">
        <v>3</v>
      </c>
      <c r="P201" t="s">
        <v>5</v>
      </c>
      <c r="Q201" t="s">
        <v>408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68</v>
      </c>
      <c r="X201" s="17">
        <v>42855</v>
      </c>
      <c r="Y201" t="s">
        <v>111</v>
      </c>
      <c r="Z201" s="17">
        <v>42836</v>
      </c>
      <c r="AA201" t="s">
        <v>3</v>
      </c>
      <c r="AB201" t="s">
        <v>406</v>
      </c>
    </row>
    <row r="202" spans="1:28" hidden="1">
      <c r="A202" t="s">
        <v>414</v>
      </c>
      <c r="B202" s="17">
        <v>42838</v>
      </c>
      <c r="C202" s="17">
        <v>42838</v>
      </c>
      <c r="D202" t="s">
        <v>0</v>
      </c>
      <c r="E202" t="s">
        <v>1</v>
      </c>
      <c r="F202" s="18">
        <v>9115</v>
      </c>
      <c r="G202" s="18">
        <v>9115</v>
      </c>
      <c r="H202" t="s">
        <v>2</v>
      </c>
      <c r="I202" t="s">
        <v>10</v>
      </c>
      <c r="J202" s="18">
        <v>722363.75</v>
      </c>
      <c r="K202" t="s">
        <v>387</v>
      </c>
      <c r="L202" t="s">
        <v>9</v>
      </c>
      <c r="M202" t="s">
        <v>415</v>
      </c>
      <c r="N202" t="s">
        <v>3</v>
      </c>
      <c r="O202" t="s">
        <v>3</v>
      </c>
      <c r="P202" t="s">
        <v>5</v>
      </c>
      <c r="Q202" t="s">
        <v>416</v>
      </c>
      <c r="R202" t="s">
        <v>3</v>
      </c>
      <c r="S202" t="s">
        <v>3</v>
      </c>
      <c r="T202" t="s">
        <v>3</v>
      </c>
      <c r="U202" t="s">
        <v>3</v>
      </c>
      <c r="V202" t="s">
        <v>3</v>
      </c>
      <c r="W202" t="s">
        <v>68</v>
      </c>
      <c r="X202" s="17">
        <v>43008</v>
      </c>
      <c r="Y202" t="s">
        <v>369</v>
      </c>
      <c r="Z202" s="17">
        <v>42838</v>
      </c>
      <c r="AA202" t="s">
        <v>3</v>
      </c>
      <c r="AB202" t="s">
        <v>414</v>
      </c>
    </row>
    <row r="203" spans="1:28" hidden="1">
      <c r="A203" t="s">
        <v>417</v>
      </c>
      <c r="B203" s="17">
        <v>42838</v>
      </c>
      <c r="C203" s="17">
        <v>42838</v>
      </c>
      <c r="D203" t="s">
        <v>0</v>
      </c>
      <c r="E203" t="s">
        <v>1</v>
      </c>
      <c r="F203" s="18">
        <v>67760</v>
      </c>
      <c r="G203" s="18">
        <v>67760</v>
      </c>
      <c r="H203" t="s">
        <v>2</v>
      </c>
      <c r="I203" t="s">
        <v>8</v>
      </c>
      <c r="J203" s="18">
        <v>5400472</v>
      </c>
      <c r="K203" t="s">
        <v>3</v>
      </c>
      <c r="L203" t="s">
        <v>9</v>
      </c>
      <c r="M203" t="s">
        <v>418</v>
      </c>
      <c r="N203" t="s">
        <v>3</v>
      </c>
      <c r="O203" t="s">
        <v>3</v>
      </c>
      <c r="P203" t="s">
        <v>5</v>
      </c>
      <c r="Q203" t="s">
        <v>419</v>
      </c>
      <c r="R203" t="s">
        <v>3</v>
      </c>
      <c r="S203" t="s">
        <v>3</v>
      </c>
      <c r="T203" t="s">
        <v>3</v>
      </c>
      <c r="U203" t="s">
        <v>3</v>
      </c>
      <c r="V203" t="s">
        <v>3</v>
      </c>
      <c r="W203" t="s">
        <v>68</v>
      </c>
      <c r="X203" s="17">
        <v>42855</v>
      </c>
      <c r="Y203" t="s">
        <v>111</v>
      </c>
      <c r="Z203" s="17">
        <v>42838</v>
      </c>
      <c r="AA203" t="s">
        <v>3</v>
      </c>
      <c r="AB203" t="s">
        <v>417</v>
      </c>
    </row>
    <row r="204" spans="1:28" hidden="1">
      <c r="A204" t="s">
        <v>436</v>
      </c>
      <c r="B204" s="17">
        <v>42843</v>
      </c>
      <c r="C204" s="17">
        <v>42843</v>
      </c>
      <c r="D204" t="s">
        <v>0</v>
      </c>
      <c r="E204" t="s">
        <v>1</v>
      </c>
      <c r="F204" s="18">
        <v>1564</v>
      </c>
      <c r="G204" s="18">
        <v>1564</v>
      </c>
      <c r="H204" t="s">
        <v>2</v>
      </c>
      <c r="I204" t="s">
        <v>10</v>
      </c>
      <c r="J204" s="18">
        <v>123947</v>
      </c>
      <c r="K204" t="s">
        <v>387</v>
      </c>
      <c r="L204" t="s">
        <v>9</v>
      </c>
      <c r="M204" t="s">
        <v>437</v>
      </c>
      <c r="N204" t="s">
        <v>3</v>
      </c>
      <c r="O204" t="s">
        <v>3</v>
      </c>
      <c r="P204" t="s">
        <v>5</v>
      </c>
      <c r="Q204" t="s">
        <v>438</v>
      </c>
      <c r="R204" t="s">
        <v>3</v>
      </c>
      <c r="S204" t="s">
        <v>3</v>
      </c>
      <c r="T204" t="s">
        <v>3</v>
      </c>
      <c r="U204" t="s">
        <v>3</v>
      </c>
      <c r="V204" t="s">
        <v>3</v>
      </c>
      <c r="W204" t="s">
        <v>68</v>
      </c>
      <c r="X204" s="17">
        <v>43008</v>
      </c>
      <c r="Y204" t="s">
        <v>369</v>
      </c>
      <c r="Z204" s="17">
        <v>42843</v>
      </c>
      <c r="AA204" t="s">
        <v>3</v>
      </c>
      <c r="AB204" t="s">
        <v>436</v>
      </c>
    </row>
    <row r="205" spans="1:28" hidden="1">
      <c r="A205" t="s">
        <v>430</v>
      </c>
      <c r="B205" s="17">
        <v>42844</v>
      </c>
      <c r="C205" s="17">
        <v>42844</v>
      </c>
      <c r="D205" t="s">
        <v>0</v>
      </c>
      <c r="E205" t="s">
        <v>1</v>
      </c>
      <c r="F205" s="18">
        <v>8430</v>
      </c>
      <c r="G205" s="18">
        <v>8430</v>
      </c>
      <c r="H205" t="s">
        <v>2</v>
      </c>
      <c r="I205" t="s">
        <v>10</v>
      </c>
      <c r="J205" s="18">
        <v>671871</v>
      </c>
      <c r="K205" t="s">
        <v>427</v>
      </c>
      <c r="L205" t="s">
        <v>9</v>
      </c>
      <c r="M205" t="s">
        <v>431</v>
      </c>
      <c r="N205" t="s">
        <v>3</v>
      </c>
      <c r="O205" t="s">
        <v>3</v>
      </c>
      <c r="P205" t="s">
        <v>5</v>
      </c>
      <c r="Q205" t="s">
        <v>432</v>
      </c>
      <c r="R205" t="s">
        <v>3</v>
      </c>
      <c r="S205" t="s">
        <v>3</v>
      </c>
      <c r="T205" t="s">
        <v>3</v>
      </c>
      <c r="U205" t="s">
        <v>3</v>
      </c>
      <c r="V205" t="s">
        <v>3</v>
      </c>
      <c r="W205" t="s">
        <v>68</v>
      </c>
      <c r="X205" s="17">
        <v>43008</v>
      </c>
      <c r="Y205" t="s">
        <v>413</v>
      </c>
      <c r="Z205" s="17">
        <v>42844</v>
      </c>
      <c r="AA205" t="s">
        <v>3</v>
      </c>
      <c r="AB205" t="s">
        <v>430</v>
      </c>
    </row>
    <row r="206" spans="1:28" hidden="1">
      <c r="A206" t="s">
        <v>430</v>
      </c>
      <c r="B206" s="17">
        <v>42844</v>
      </c>
      <c r="C206" s="17">
        <v>42844</v>
      </c>
      <c r="D206" t="s">
        <v>0</v>
      </c>
      <c r="E206" t="s">
        <v>1</v>
      </c>
      <c r="F206" s="18">
        <v>19516</v>
      </c>
      <c r="G206" s="18">
        <v>19516</v>
      </c>
      <c r="H206" t="s">
        <v>2</v>
      </c>
      <c r="I206" t="s">
        <v>10</v>
      </c>
      <c r="J206" s="18">
        <v>1546643</v>
      </c>
      <c r="K206" t="s">
        <v>387</v>
      </c>
      <c r="L206" t="s">
        <v>9</v>
      </c>
      <c r="M206" t="s">
        <v>431</v>
      </c>
      <c r="N206" t="s">
        <v>3</v>
      </c>
      <c r="O206" t="s">
        <v>3</v>
      </c>
      <c r="P206" t="s">
        <v>5</v>
      </c>
      <c r="Q206" t="s">
        <v>432</v>
      </c>
      <c r="R206" t="s">
        <v>3</v>
      </c>
      <c r="S206" t="s">
        <v>3</v>
      </c>
      <c r="T206" t="s">
        <v>3</v>
      </c>
      <c r="U206" t="s">
        <v>3</v>
      </c>
      <c r="V206" t="s">
        <v>3</v>
      </c>
      <c r="W206" t="s">
        <v>68</v>
      </c>
      <c r="X206" s="17">
        <v>43008</v>
      </c>
      <c r="Y206" t="s">
        <v>369</v>
      </c>
      <c r="Z206" s="17">
        <v>42844</v>
      </c>
      <c r="AA206" t="s">
        <v>3</v>
      </c>
      <c r="AB206" t="s">
        <v>430</v>
      </c>
    </row>
    <row r="207" spans="1:28" hidden="1">
      <c r="A207" t="s">
        <v>433</v>
      </c>
      <c r="B207" s="17">
        <v>42844</v>
      </c>
      <c r="C207" s="17">
        <v>42844</v>
      </c>
      <c r="D207" t="s">
        <v>0</v>
      </c>
      <c r="E207" t="s">
        <v>1</v>
      </c>
      <c r="F207" s="18">
        <v>4842</v>
      </c>
      <c r="G207" s="18">
        <v>4842</v>
      </c>
      <c r="H207" t="s">
        <v>2</v>
      </c>
      <c r="I207" t="s">
        <v>10</v>
      </c>
      <c r="J207" s="18">
        <v>383728.5</v>
      </c>
      <c r="K207" t="s">
        <v>387</v>
      </c>
      <c r="L207" t="s">
        <v>9</v>
      </c>
      <c r="M207" t="s">
        <v>434</v>
      </c>
      <c r="N207" t="s">
        <v>3</v>
      </c>
      <c r="O207" t="s">
        <v>3</v>
      </c>
      <c r="P207" t="s">
        <v>5</v>
      </c>
      <c r="Q207" t="s">
        <v>435</v>
      </c>
      <c r="R207" t="s">
        <v>3</v>
      </c>
      <c r="S207" t="s">
        <v>3</v>
      </c>
      <c r="T207" t="s">
        <v>3</v>
      </c>
      <c r="U207" t="s">
        <v>3</v>
      </c>
      <c r="V207" t="s">
        <v>3</v>
      </c>
      <c r="W207" t="s">
        <v>68</v>
      </c>
      <c r="X207" s="17">
        <v>43008</v>
      </c>
      <c r="Y207" t="s">
        <v>369</v>
      </c>
      <c r="Z207" s="17">
        <v>42844</v>
      </c>
      <c r="AA207" t="s">
        <v>3</v>
      </c>
      <c r="AB207" t="s">
        <v>433</v>
      </c>
    </row>
    <row r="208" spans="1:28" hidden="1">
      <c r="A208" t="s">
        <v>423</v>
      </c>
      <c r="B208" s="17">
        <v>42845</v>
      </c>
      <c r="C208" s="17">
        <v>42845</v>
      </c>
      <c r="D208" t="s">
        <v>0</v>
      </c>
      <c r="E208" t="s">
        <v>1</v>
      </c>
      <c r="F208" s="18">
        <v>5976</v>
      </c>
      <c r="G208" s="18">
        <v>5976</v>
      </c>
      <c r="H208" t="s">
        <v>2</v>
      </c>
      <c r="I208" t="s">
        <v>10</v>
      </c>
      <c r="J208" s="18">
        <v>473598</v>
      </c>
      <c r="K208" t="s">
        <v>387</v>
      </c>
      <c r="L208" t="s">
        <v>9</v>
      </c>
      <c r="M208" t="s">
        <v>424</v>
      </c>
      <c r="N208" t="s">
        <v>3</v>
      </c>
      <c r="O208" t="s">
        <v>3</v>
      </c>
      <c r="P208" t="s">
        <v>5</v>
      </c>
      <c r="Q208" t="s">
        <v>425</v>
      </c>
      <c r="R208" t="s">
        <v>3</v>
      </c>
      <c r="S208" t="s">
        <v>3</v>
      </c>
      <c r="T208" t="s">
        <v>3</v>
      </c>
      <c r="U208" t="s">
        <v>3</v>
      </c>
      <c r="V208" t="s">
        <v>3</v>
      </c>
      <c r="W208" t="s">
        <v>68</v>
      </c>
      <c r="X208" s="17">
        <v>43008</v>
      </c>
      <c r="Y208" t="s">
        <v>369</v>
      </c>
      <c r="Z208" s="17">
        <v>42845</v>
      </c>
      <c r="AA208" t="s">
        <v>3</v>
      </c>
      <c r="AB208" t="s">
        <v>423</v>
      </c>
    </row>
    <row r="209" spans="1:28" hidden="1">
      <c r="A209" t="s">
        <v>426</v>
      </c>
      <c r="B209" s="17">
        <v>42845</v>
      </c>
      <c r="C209" s="17">
        <v>42845</v>
      </c>
      <c r="D209" t="s">
        <v>0</v>
      </c>
      <c r="E209" t="s">
        <v>1</v>
      </c>
      <c r="F209" s="18">
        <v>17242</v>
      </c>
      <c r="G209" s="18">
        <v>17242</v>
      </c>
      <c r="H209" t="s">
        <v>2</v>
      </c>
      <c r="I209" t="s">
        <v>10</v>
      </c>
      <c r="J209" s="18">
        <v>1374187.4</v>
      </c>
      <c r="K209" t="s">
        <v>427</v>
      </c>
      <c r="L209" t="s">
        <v>9</v>
      </c>
      <c r="M209" t="s">
        <v>428</v>
      </c>
      <c r="N209" t="s">
        <v>3</v>
      </c>
      <c r="O209" t="s">
        <v>3</v>
      </c>
      <c r="P209" t="s">
        <v>5</v>
      </c>
      <c r="Q209" t="s">
        <v>429</v>
      </c>
      <c r="R209" t="s">
        <v>3</v>
      </c>
      <c r="S209" t="s">
        <v>3</v>
      </c>
      <c r="T209" t="s">
        <v>3</v>
      </c>
      <c r="U209" t="s">
        <v>3</v>
      </c>
      <c r="V209" t="s">
        <v>3</v>
      </c>
      <c r="W209" t="s">
        <v>68</v>
      </c>
      <c r="X209" s="17">
        <v>43008</v>
      </c>
      <c r="Y209" t="s">
        <v>413</v>
      </c>
      <c r="Z209" s="17">
        <v>42845</v>
      </c>
      <c r="AA209" t="s">
        <v>3</v>
      </c>
      <c r="AB209" t="s">
        <v>426</v>
      </c>
    </row>
    <row r="210" spans="1:28" hidden="1">
      <c r="A210" t="s">
        <v>426</v>
      </c>
      <c r="B210" s="17">
        <v>42845</v>
      </c>
      <c r="C210" s="17">
        <v>42845</v>
      </c>
      <c r="D210" t="s">
        <v>0</v>
      </c>
      <c r="E210" t="s">
        <v>1</v>
      </c>
      <c r="F210" s="18">
        <v>414</v>
      </c>
      <c r="G210" s="18">
        <v>414</v>
      </c>
      <c r="H210" t="s">
        <v>2</v>
      </c>
      <c r="I210" t="s">
        <v>10</v>
      </c>
      <c r="J210" s="18">
        <v>32809.5</v>
      </c>
      <c r="K210" t="s">
        <v>387</v>
      </c>
      <c r="L210" t="s">
        <v>9</v>
      </c>
      <c r="M210" t="s">
        <v>428</v>
      </c>
      <c r="N210" t="s">
        <v>3</v>
      </c>
      <c r="O210" t="s">
        <v>3</v>
      </c>
      <c r="P210" t="s">
        <v>5</v>
      </c>
      <c r="Q210" t="s">
        <v>429</v>
      </c>
      <c r="R210" t="s">
        <v>3</v>
      </c>
      <c r="S210" t="s">
        <v>3</v>
      </c>
      <c r="T210" t="s">
        <v>3</v>
      </c>
      <c r="U210" t="s">
        <v>3</v>
      </c>
      <c r="V210" t="s">
        <v>3</v>
      </c>
      <c r="W210" t="s">
        <v>68</v>
      </c>
      <c r="X210" s="17">
        <v>43008</v>
      </c>
      <c r="Y210" t="s">
        <v>369</v>
      </c>
      <c r="Z210" s="17">
        <v>42845</v>
      </c>
      <c r="AA210" t="s">
        <v>3</v>
      </c>
      <c r="AB210" t="s">
        <v>426</v>
      </c>
    </row>
    <row r="211" spans="1:28" hidden="1">
      <c r="A211" t="s">
        <v>439</v>
      </c>
      <c r="B211" s="17">
        <v>42852</v>
      </c>
      <c r="C211" s="17">
        <v>42852</v>
      </c>
      <c r="D211" t="s">
        <v>0</v>
      </c>
      <c r="E211" t="s">
        <v>1</v>
      </c>
      <c r="F211" s="18">
        <v>30077</v>
      </c>
      <c r="G211" s="18">
        <v>30077</v>
      </c>
      <c r="H211" t="s">
        <v>2</v>
      </c>
      <c r="I211" t="s">
        <v>10</v>
      </c>
      <c r="J211" s="18">
        <v>2397136.9</v>
      </c>
      <c r="K211" t="s">
        <v>427</v>
      </c>
      <c r="L211" t="s">
        <v>9</v>
      </c>
      <c r="M211" t="s">
        <v>440</v>
      </c>
      <c r="N211" t="s">
        <v>3</v>
      </c>
      <c r="O211" t="s">
        <v>3</v>
      </c>
      <c r="P211" t="s">
        <v>5</v>
      </c>
      <c r="Q211" t="s">
        <v>441</v>
      </c>
      <c r="R211" t="s">
        <v>3</v>
      </c>
      <c r="S211" t="s">
        <v>3</v>
      </c>
      <c r="T211" t="s">
        <v>3</v>
      </c>
      <c r="U211" t="s">
        <v>3</v>
      </c>
      <c r="V211" t="s">
        <v>3</v>
      </c>
      <c r="W211" t="s">
        <v>68</v>
      </c>
      <c r="X211" s="17">
        <v>43008</v>
      </c>
      <c r="Y211" t="s">
        <v>413</v>
      </c>
      <c r="Z211" s="17">
        <v>42852</v>
      </c>
      <c r="AA211" t="s">
        <v>3</v>
      </c>
      <c r="AB211" t="s">
        <v>439</v>
      </c>
    </row>
    <row r="212" spans="1:28" hidden="1">
      <c r="A212" t="s">
        <v>442</v>
      </c>
      <c r="B212" s="17">
        <v>42852</v>
      </c>
      <c r="C212" s="17">
        <v>42852</v>
      </c>
      <c r="D212" t="s">
        <v>0</v>
      </c>
      <c r="E212" t="s">
        <v>1</v>
      </c>
      <c r="F212" s="18">
        <v>67198</v>
      </c>
      <c r="G212" s="18">
        <v>67198</v>
      </c>
      <c r="H212" t="s">
        <v>2</v>
      </c>
      <c r="I212" t="s">
        <v>10</v>
      </c>
      <c r="J212" s="18">
        <v>5355680.5999999996</v>
      </c>
      <c r="K212" t="s">
        <v>427</v>
      </c>
      <c r="L212" t="s">
        <v>9</v>
      </c>
      <c r="M212" t="s">
        <v>443</v>
      </c>
      <c r="N212" t="s">
        <v>3</v>
      </c>
      <c r="O212" t="s">
        <v>3</v>
      </c>
      <c r="P212" t="s">
        <v>5</v>
      </c>
      <c r="Q212" t="s">
        <v>444</v>
      </c>
      <c r="R212" t="s">
        <v>3</v>
      </c>
      <c r="S212" t="s">
        <v>3</v>
      </c>
      <c r="T212" t="s">
        <v>3</v>
      </c>
      <c r="U212" t="s">
        <v>3</v>
      </c>
      <c r="V212" t="s">
        <v>3</v>
      </c>
      <c r="W212" t="s">
        <v>68</v>
      </c>
      <c r="X212" s="17">
        <v>43008</v>
      </c>
      <c r="Y212" t="s">
        <v>413</v>
      </c>
      <c r="Z212" s="17">
        <v>42852</v>
      </c>
      <c r="AA212" t="s">
        <v>3</v>
      </c>
      <c r="AB212" t="s">
        <v>442</v>
      </c>
    </row>
    <row r="213" spans="1:28" hidden="1">
      <c r="A213" t="s">
        <v>442</v>
      </c>
      <c r="B213" s="17">
        <v>42852</v>
      </c>
      <c r="C213" s="17">
        <v>42852</v>
      </c>
      <c r="D213" t="s">
        <v>0</v>
      </c>
      <c r="E213" t="s">
        <v>1</v>
      </c>
      <c r="F213" s="18">
        <v>4924</v>
      </c>
      <c r="G213" s="18">
        <v>4924</v>
      </c>
      <c r="H213" t="s">
        <v>2</v>
      </c>
      <c r="I213" t="s">
        <v>10</v>
      </c>
      <c r="J213" s="18">
        <v>390227</v>
      </c>
      <c r="K213" t="s">
        <v>387</v>
      </c>
      <c r="L213" t="s">
        <v>9</v>
      </c>
      <c r="M213" t="s">
        <v>443</v>
      </c>
      <c r="N213" t="s">
        <v>3</v>
      </c>
      <c r="O213" t="s">
        <v>3</v>
      </c>
      <c r="P213" t="s">
        <v>5</v>
      </c>
      <c r="Q213" t="s">
        <v>444</v>
      </c>
      <c r="R213" t="s">
        <v>3</v>
      </c>
      <c r="S213" t="s">
        <v>3</v>
      </c>
      <c r="T213" t="s">
        <v>3</v>
      </c>
      <c r="U213" t="s">
        <v>3</v>
      </c>
      <c r="V213" t="s">
        <v>3</v>
      </c>
      <c r="W213" t="s">
        <v>68</v>
      </c>
      <c r="X213" s="17">
        <v>43008</v>
      </c>
      <c r="Y213" t="s">
        <v>369</v>
      </c>
      <c r="Z213" s="17">
        <v>42852</v>
      </c>
      <c r="AA213" t="s">
        <v>3</v>
      </c>
      <c r="AB213" t="s">
        <v>442</v>
      </c>
    </row>
    <row r="214" spans="1:28" hidden="1">
      <c r="A214" t="s">
        <v>111</v>
      </c>
      <c r="B214" s="17">
        <v>42855</v>
      </c>
      <c r="C214" s="17">
        <v>42855</v>
      </c>
      <c r="D214" t="s">
        <v>7</v>
      </c>
      <c r="E214" t="s">
        <v>1</v>
      </c>
      <c r="F214" s="18">
        <v>250407</v>
      </c>
      <c r="G214" s="18">
        <v>250407</v>
      </c>
      <c r="H214" t="s">
        <v>2</v>
      </c>
      <c r="I214" t="s">
        <v>8</v>
      </c>
      <c r="J214" s="18">
        <v>19957437.899999999</v>
      </c>
      <c r="K214" t="s">
        <v>3</v>
      </c>
      <c r="L214" t="s">
        <v>9</v>
      </c>
      <c r="M214" t="s">
        <v>112</v>
      </c>
      <c r="N214" t="s">
        <v>3</v>
      </c>
      <c r="O214" t="s">
        <v>3</v>
      </c>
      <c r="P214" t="s">
        <v>5</v>
      </c>
      <c r="Q214" t="s">
        <v>113</v>
      </c>
      <c r="R214" t="s">
        <v>3</v>
      </c>
      <c r="S214" t="s">
        <v>3</v>
      </c>
      <c r="T214" t="s">
        <v>3</v>
      </c>
      <c r="U214" t="s">
        <v>3</v>
      </c>
      <c r="V214" t="s">
        <v>3</v>
      </c>
      <c r="W214" t="s">
        <v>68</v>
      </c>
      <c r="X214" s="17">
        <v>42855</v>
      </c>
      <c r="Y214" t="s">
        <v>111</v>
      </c>
      <c r="Z214" s="17">
        <v>42855</v>
      </c>
      <c r="AA214" t="s">
        <v>3</v>
      </c>
      <c r="AB214" t="s">
        <v>111</v>
      </c>
    </row>
    <row r="215" spans="1:28" hidden="1">
      <c r="A215" t="s">
        <v>111</v>
      </c>
      <c r="B215" s="17">
        <v>42855</v>
      </c>
      <c r="C215" s="17">
        <v>42855</v>
      </c>
      <c r="D215" t="s">
        <v>7</v>
      </c>
      <c r="E215" t="s">
        <v>1</v>
      </c>
      <c r="F215" s="18">
        <v>-250407</v>
      </c>
      <c r="G215" s="18">
        <v>-250407</v>
      </c>
      <c r="H215" t="s">
        <v>2</v>
      </c>
      <c r="I215" t="s">
        <v>8</v>
      </c>
      <c r="J215" s="18">
        <v>-19957437.899999999</v>
      </c>
      <c r="K215" t="s">
        <v>3</v>
      </c>
      <c r="L215" t="s">
        <v>9</v>
      </c>
      <c r="M215" t="s">
        <v>112</v>
      </c>
      <c r="N215" t="s">
        <v>3</v>
      </c>
      <c r="O215" t="s">
        <v>3</v>
      </c>
      <c r="P215" t="s">
        <v>5</v>
      </c>
      <c r="Q215" t="s">
        <v>113</v>
      </c>
      <c r="R215" t="s">
        <v>3</v>
      </c>
      <c r="S215" t="s">
        <v>3</v>
      </c>
      <c r="T215" t="s">
        <v>3</v>
      </c>
      <c r="U215" t="s">
        <v>3</v>
      </c>
      <c r="V215" t="s">
        <v>3</v>
      </c>
      <c r="W215" t="s">
        <v>68</v>
      </c>
      <c r="X215" s="17">
        <v>42855</v>
      </c>
      <c r="Y215" t="s">
        <v>111</v>
      </c>
      <c r="Z215" s="17">
        <v>42855</v>
      </c>
      <c r="AA215" t="s">
        <v>3</v>
      </c>
      <c r="AB215" t="s">
        <v>111</v>
      </c>
    </row>
    <row r="216" spans="1:28" hidden="1">
      <c r="A216" t="s">
        <v>467</v>
      </c>
      <c r="B216" s="17">
        <v>42855</v>
      </c>
      <c r="C216" s="17">
        <v>42855</v>
      </c>
      <c r="D216" t="s">
        <v>0</v>
      </c>
      <c r="E216" t="s">
        <v>1</v>
      </c>
      <c r="F216" s="18">
        <v>3943</v>
      </c>
      <c r="G216" s="18">
        <v>3943</v>
      </c>
      <c r="H216" t="s">
        <v>2</v>
      </c>
      <c r="I216" t="s">
        <v>8</v>
      </c>
      <c r="J216" s="18">
        <v>318397.25</v>
      </c>
      <c r="K216" t="s">
        <v>104</v>
      </c>
      <c r="L216" t="s">
        <v>9</v>
      </c>
      <c r="M216" t="s">
        <v>94</v>
      </c>
      <c r="N216" t="s">
        <v>3</v>
      </c>
      <c r="O216" t="s">
        <v>3</v>
      </c>
      <c r="P216" t="s">
        <v>5</v>
      </c>
      <c r="Q216" t="s">
        <v>105</v>
      </c>
      <c r="R216" t="s">
        <v>3</v>
      </c>
      <c r="S216" t="s">
        <v>3</v>
      </c>
      <c r="T216" t="s">
        <v>3</v>
      </c>
      <c r="U216" t="s">
        <v>3</v>
      </c>
      <c r="V216" t="s">
        <v>3</v>
      </c>
      <c r="W216" t="s">
        <v>68</v>
      </c>
      <c r="X216" s="17">
        <v>42856</v>
      </c>
      <c r="Y216" t="s">
        <v>103</v>
      </c>
      <c r="Z216" s="17">
        <v>42855</v>
      </c>
      <c r="AA216" t="s">
        <v>3</v>
      </c>
      <c r="AB216" t="s">
        <v>467</v>
      </c>
    </row>
    <row r="217" spans="1:28" hidden="1">
      <c r="A217" t="s">
        <v>103</v>
      </c>
      <c r="B217" s="17">
        <v>42856</v>
      </c>
      <c r="C217" s="17">
        <v>42855</v>
      </c>
      <c r="D217" t="s">
        <v>38</v>
      </c>
      <c r="E217" t="s">
        <v>1</v>
      </c>
      <c r="F217" s="18">
        <v>-3943</v>
      </c>
      <c r="G217" s="18">
        <v>-3943</v>
      </c>
      <c r="H217" t="s">
        <v>2</v>
      </c>
      <c r="I217" t="s">
        <v>8</v>
      </c>
      <c r="J217" s="18">
        <v>-318397.25</v>
      </c>
      <c r="K217" t="s">
        <v>104</v>
      </c>
      <c r="L217" t="s">
        <v>9</v>
      </c>
      <c r="M217" t="s">
        <v>94</v>
      </c>
      <c r="N217" t="s">
        <v>3</v>
      </c>
      <c r="O217" t="s">
        <v>3</v>
      </c>
      <c r="P217" t="s">
        <v>5</v>
      </c>
      <c r="Q217" t="s">
        <v>105</v>
      </c>
      <c r="R217" t="s">
        <v>3</v>
      </c>
      <c r="S217" t="s">
        <v>3</v>
      </c>
      <c r="T217" t="s">
        <v>3</v>
      </c>
      <c r="U217" t="s">
        <v>3</v>
      </c>
      <c r="V217" t="s">
        <v>3</v>
      </c>
      <c r="W217" t="s">
        <v>68</v>
      </c>
      <c r="X217" s="17">
        <v>42856</v>
      </c>
      <c r="Y217" t="s">
        <v>103</v>
      </c>
      <c r="Z217" s="17">
        <v>42855</v>
      </c>
      <c r="AA217" t="s">
        <v>3</v>
      </c>
      <c r="AB217" t="s">
        <v>103</v>
      </c>
    </row>
    <row r="218" spans="1:28" hidden="1">
      <c r="A218" t="s">
        <v>458</v>
      </c>
      <c r="B218" s="17">
        <v>42857</v>
      </c>
      <c r="C218" s="17">
        <v>42857</v>
      </c>
      <c r="D218" t="s">
        <v>0</v>
      </c>
      <c r="E218" t="s">
        <v>1</v>
      </c>
      <c r="F218" s="18">
        <v>3963</v>
      </c>
      <c r="G218" s="18">
        <v>3963</v>
      </c>
      <c r="H218" t="s">
        <v>2</v>
      </c>
      <c r="I218" t="s">
        <v>10</v>
      </c>
      <c r="J218" s="18">
        <v>315851.09999999998</v>
      </c>
      <c r="K218" t="s">
        <v>427</v>
      </c>
      <c r="L218" t="s">
        <v>9</v>
      </c>
      <c r="M218" t="s">
        <v>459</v>
      </c>
      <c r="N218" t="s">
        <v>3</v>
      </c>
      <c r="O218" t="s">
        <v>3</v>
      </c>
      <c r="P218" t="s">
        <v>5</v>
      </c>
      <c r="Q218" t="s">
        <v>460</v>
      </c>
      <c r="R218" t="s">
        <v>3</v>
      </c>
      <c r="S218" t="s">
        <v>3</v>
      </c>
      <c r="T218" t="s">
        <v>3</v>
      </c>
      <c r="U218" t="s">
        <v>3</v>
      </c>
      <c r="V218" t="s">
        <v>3</v>
      </c>
      <c r="W218" t="s">
        <v>68</v>
      </c>
      <c r="X218" s="17">
        <v>43008</v>
      </c>
      <c r="Y218" t="s">
        <v>413</v>
      </c>
      <c r="Z218" s="17">
        <v>42857</v>
      </c>
      <c r="AA218" t="s">
        <v>3</v>
      </c>
      <c r="AB218" t="s">
        <v>458</v>
      </c>
    </row>
    <row r="219" spans="1:28" hidden="1">
      <c r="A219" t="s">
        <v>445</v>
      </c>
      <c r="B219" s="17">
        <v>42858</v>
      </c>
      <c r="C219" s="17">
        <v>42858</v>
      </c>
      <c r="D219" t="s">
        <v>0</v>
      </c>
      <c r="E219" t="s">
        <v>1</v>
      </c>
      <c r="F219" s="18">
        <v>-206302</v>
      </c>
      <c r="G219" s="18">
        <v>-206302</v>
      </c>
      <c r="H219" t="s">
        <v>2</v>
      </c>
      <c r="I219" t="s">
        <v>10</v>
      </c>
      <c r="J219" s="18">
        <v>-16658886.5</v>
      </c>
      <c r="K219" t="s">
        <v>446</v>
      </c>
      <c r="L219" t="s">
        <v>9</v>
      </c>
      <c r="M219" t="s">
        <v>447</v>
      </c>
      <c r="N219" t="s">
        <v>3</v>
      </c>
      <c r="O219" t="s">
        <v>3</v>
      </c>
      <c r="P219" t="s">
        <v>5</v>
      </c>
      <c r="Q219" t="s">
        <v>448</v>
      </c>
      <c r="R219" t="s">
        <v>3</v>
      </c>
      <c r="S219" t="s">
        <v>3</v>
      </c>
      <c r="T219" t="s">
        <v>3</v>
      </c>
      <c r="U219" t="s">
        <v>3</v>
      </c>
      <c r="V219" t="s">
        <v>3</v>
      </c>
      <c r="W219" t="s">
        <v>68</v>
      </c>
      <c r="X219" s="17">
        <v>43008</v>
      </c>
      <c r="Y219" t="s">
        <v>449</v>
      </c>
      <c r="Z219" s="17">
        <v>42858</v>
      </c>
      <c r="AA219" t="s">
        <v>3</v>
      </c>
      <c r="AB219" t="s">
        <v>445</v>
      </c>
    </row>
    <row r="220" spans="1:28" hidden="1">
      <c r="A220" t="s">
        <v>450</v>
      </c>
      <c r="B220" s="17">
        <v>42858</v>
      </c>
      <c r="C220" s="17">
        <v>42858</v>
      </c>
      <c r="D220" t="s">
        <v>0</v>
      </c>
      <c r="E220" t="s">
        <v>1</v>
      </c>
      <c r="F220" s="18">
        <v>-783000</v>
      </c>
      <c r="G220" s="18">
        <v>-783000</v>
      </c>
      <c r="H220" t="s">
        <v>2</v>
      </c>
      <c r="I220" t="s">
        <v>8</v>
      </c>
      <c r="J220" s="18">
        <v>-63227250</v>
      </c>
      <c r="K220" t="s">
        <v>451</v>
      </c>
      <c r="L220" t="s">
        <v>9</v>
      </c>
      <c r="M220" t="s">
        <v>452</v>
      </c>
      <c r="N220" t="s">
        <v>3</v>
      </c>
      <c r="O220" t="s">
        <v>3</v>
      </c>
      <c r="P220" t="s">
        <v>5</v>
      </c>
      <c r="Q220" t="s">
        <v>453</v>
      </c>
      <c r="R220" t="s">
        <v>3</v>
      </c>
      <c r="S220" t="s">
        <v>3</v>
      </c>
      <c r="T220" t="s">
        <v>3</v>
      </c>
      <c r="U220" t="s">
        <v>3</v>
      </c>
      <c r="V220" t="s">
        <v>3</v>
      </c>
      <c r="W220" t="s">
        <v>68</v>
      </c>
      <c r="X220" s="17">
        <v>42979</v>
      </c>
      <c r="Y220" t="s">
        <v>454</v>
      </c>
      <c r="Z220" s="17">
        <v>42858</v>
      </c>
      <c r="AA220" t="s">
        <v>3</v>
      </c>
      <c r="AB220" t="s">
        <v>450</v>
      </c>
    </row>
    <row r="221" spans="1:28" hidden="1">
      <c r="A221" t="s">
        <v>455</v>
      </c>
      <c r="B221" s="17">
        <v>42859</v>
      </c>
      <c r="C221" s="17">
        <v>42859</v>
      </c>
      <c r="D221" t="s">
        <v>0</v>
      </c>
      <c r="E221" t="s">
        <v>1</v>
      </c>
      <c r="F221" s="18">
        <v>11807</v>
      </c>
      <c r="G221" s="18">
        <v>11807</v>
      </c>
      <c r="H221" t="s">
        <v>2</v>
      </c>
      <c r="I221" t="s">
        <v>10</v>
      </c>
      <c r="J221" s="18">
        <v>941017.9</v>
      </c>
      <c r="K221" t="s">
        <v>427</v>
      </c>
      <c r="L221" t="s">
        <v>9</v>
      </c>
      <c r="M221" t="s">
        <v>456</v>
      </c>
      <c r="N221" t="s">
        <v>3</v>
      </c>
      <c r="O221" t="s">
        <v>3</v>
      </c>
      <c r="P221" t="s">
        <v>5</v>
      </c>
      <c r="Q221" t="s">
        <v>457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68</v>
      </c>
      <c r="X221" s="17">
        <v>43008</v>
      </c>
      <c r="Y221" t="s">
        <v>413</v>
      </c>
      <c r="Z221" s="17">
        <v>42859</v>
      </c>
      <c r="AA221" t="s">
        <v>3</v>
      </c>
      <c r="AB221" t="s">
        <v>455</v>
      </c>
    </row>
    <row r="222" spans="1:28" hidden="1">
      <c r="A222" t="s">
        <v>455</v>
      </c>
      <c r="B222" s="17">
        <v>42859</v>
      </c>
      <c r="C222" s="17">
        <v>42859</v>
      </c>
      <c r="D222" t="s">
        <v>0</v>
      </c>
      <c r="E222" t="s">
        <v>1</v>
      </c>
      <c r="F222" s="18">
        <v>109</v>
      </c>
      <c r="G222" s="18">
        <v>109</v>
      </c>
      <c r="H222" t="s">
        <v>2</v>
      </c>
      <c r="I222" t="s">
        <v>10</v>
      </c>
      <c r="J222" s="18">
        <v>8638.25</v>
      </c>
      <c r="K222" t="s">
        <v>387</v>
      </c>
      <c r="L222" t="s">
        <v>9</v>
      </c>
      <c r="M222" t="s">
        <v>456</v>
      </c>
      <c r="N222" t="s">
        <v>3</v>
      </c>
      <c r="O222" t="s">
        <v>3</v>
      </c>
      <c r="P222" t="s">
        <v>5</v>
      </c>
      <c r="Q222" t="s">
        <v>457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68</v>
      </c>
      <c r="X222" s="17">
        <v>43008</v>
      </c>
      <c r="Y222" t="s">
        <v>369</v>
      </c>
      <c r="Z222" s="17">
        <v>42859</v>
      </c>
      <c r="AA222" t="s">
        <v>3</v>
      </c>
      <c r="AB222" t="s">
        <v>455</v>
      </c>
    </row>
    <row r="223" spans="1:28" hidden="1">
      <c r="A223" t="s">
        <v>461</v>
      </c>
      <c r="B223" s="17">
        <v>42870</v>
      </c>
      <c r="C223" s="17">
        <v>42870</v>
      </c>
      <c r="D223" t="s">
        <v>0</v>
      </c>
      <c r="E223" t="s">
        <v>1</v>
      </c>
      <c r="F223" s="18">
        <v>1185</v>
      </c>
      <c r="G223" s="18">
        <v>1185</v>
      </c>
      <c r="H223" t="s">
        <v>2</v>
      </c>
      <c r="I223" t="s">
        <v>10</v>
      </c>
      <c r="J223" s="18">
        <v>94444.5</v>
      </c>
      <c r="K223" t="s">
        <v>427</v>
      </c>
      <c r="L223" t="s">
        <v>9</v>
      </c>
      <c r="M223" t="s">
        <v>462</v>
      </c>
      <c r="N223" t="s">
        <v>3</v>
      </c>
      <c r="O223" t="s">
        <v>3</v>
      </c>
      <c r="P223" t="s">
        <v>5</v>
      </c>
      <c r="Q223" t="s">
        <v>463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68</v>
      </c>
      <c r="X223" s="17">
        <v>43008</v>
      </c>
      <c r="Y223" t="s">
        <v>413</v>
      </c>
      <c r="Z223" s="17">
        <v>42870</v>
      </c>
      <c r="AA223" t="s">
        <v>3</v>
      </c>
      <c r="AB223" t="s">
        <v>461</v>
      </c>
    </row>
    <row r="224" spans="1:28" hidden="1">
      <c r="A224" t="s">
        <v>461</v>
      </c>
      <c r="B224" s="17">
        <v>42870</v>
      </c>
      <c r="C224" s="17">
        <v>42870</v>
      </c>
      <c r="D224" t="s">
        <v>0</v>
      </c>
      <c r="E224" t="s">
        <v>1</v>
      </c>
      <c r="F224" s="18">
        <v>2298</v>
      </c>
      <c r="G224" s="18">
        <v>2298</v>
      </c>
      <c r="H224" t="s">
        <v>2</v>
      </c>
      <c r="I224" t="s">
        <v>10</v>
      </c>
      <c r="J224" s="18">
        <v>182116.5</v>
      </c>
      <c r="K224" t="s">
        <v>387</v>
      </c>
      <c r="L224" t="s">
        <v>9</v>
      </c>
      <c r="M224" t="s">
        <v>462</v>
      </c>
      <c r="N224" t="s">
        <v>3</v>
      </c>
      <c r="O224" t="s">
        <v>3</v>
      </c>
      <c r="P224" t="s">
        <v>5</v>
      </c>
      <c r="Q224" t="s">
        <v>463</v>
      </c>
      <c r="R224" t="s">
        <v>3</v>
      </c>
      <c r="S224" t="s">
        <v>3</v>
      </c>
      <c r="T224" t="s">
        <v>3</v>
      </c>
      <c r="U224" t="s">
        <v>3</v>
      </c>
      <c r="V224" t="s">
        <v>3</v>
      </c>
      <c r="W224" t="s">
        <v>68</v>
      </c>
      <c r="X224" s="17">
        <v>43008</v>
      </c>
      <c r="Y224" t="s">
        <v>369</v>
      </c>
      <c r="Z224" s="17">
        <v>42870</v>
      </c>
      <c r="AA224" t="s">
        <v>3</v>
      </c>
      <c r="AB224" t="s">
        <v>461</v>
      </c>
    </row>
    <row r="225" spans="1:28" hidden="1">
      <c r="A225" t="s">
        <v>464</v>
      </c>
      <c r="B225" s="17">
        <v>42870</v>
      </c>
      <c r="C225" s="17">
        <v>42870</v>
      </c>
      <c r="D225" t="s">
        <v>0</v>
      </c>
      <c r="E225" t="s">
        <v>1</v>
      </c>
      <c r="F225" s="18">
        <v>30289</v>
      </c>
      <c r="G225" s="18">
        <v>30289</v>
      </c>
      <c r="H225" t="s">
        <v>2</v>
      </c>
      <c r="I225" t="s">
        <v>10</v>
      </c>
      <c r="J225" s="18">
        <v>2445836.75</v>
      </c>
      <c r="K225" t="s">
        <v>100</v>
      </c>
      <c r="L225" t="s">
        <v>9</v>
      </c>
      <c r="M225" t="s">
        <v>465</v>
      </c>
      <c r="N225" t="s">
        <v>3</v>
      </c>
      <c r="O225" t="s">
        <v>3</v>
      </c>
      <c r="P225" t="s">
        <v>5</v>
      </c>
      <c r="Q225" t="s">
        <v>466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68</v>
      </c>
      <c r="X225" s="17">
        <v>43008</v>
      </c>
      <c r="Y225" t="s">
        <v>449</v>
      </c>
      <c r="Z225" s="17">
        <v>42870</v>
      </c>
      <c r="AA225" t="s">
        <v>3</v>
      </c>
      <c r="AB225" t="s">
        <v>464</v>
      </c>
    </row>
    <row r="226" spans="1:28" hidden="1">
      <c r="A226" t="s">
        <v>468</v>
      </c>
      <c r="B226" s="17">
        <v>42871</v>
      </c>
      <c r="C226" s="17">
        <v>42871</v>
      </c>
      <c r="D226" t="s">
        <v>0</v>
      </c>
      <c r="E226" t="s">
        <v>1</v>
      </c>
      <c r="F226" s="18">
        <v>561211</v>
      </c>
      <c r="G226" s="18">
        <v>561211</v>
      </c>
      <c r="H226" t="s">
        <v>2</v>
      </c>
      <c r="I226" t="s">
        <v>8</v>
      </c>
      <c r="J226" s="18">
        <v>45317788.25</v>
      </c>
      <c r="K226" t="s">
        <v>469</v>
      </c>
      <c r="L226" t="s">
        <v>9</v>
      </c>
      <c r="M226" t="s">
        <v>470</v>
      </c>
      <c r="N226" t="s">
        <v>3</v>
      </c>
      <c r="O226" t="s">
        <v>3</v>
      </c>
      <c r="P226" t="s">
        <v>5</v>
      </c>
      <c r="Q226" t="s">
        <v>471</v>
      </c>
      <c r="R226" t="s">
        <v>3</v>
      </c>
      <c r="S226" t="s">
        <v>3</v>
      </c>
      <c r="T226" t="s">
        <v>3</v>
      </c>
      <c r="U226" t="s">
        <v>3</v>
      </c>
      <c r="V226" t="s">
        <v>3</v>
      </c>
      <c r="W226" t="s">
        <v>68</v>
      </c>
      <c r="X226" s="17">
        <v>42979</v>
      </c>
      <c r="Y226" t="s">
        <v>454</v>
      </c>
      <c r="Z226" s="17">
        <v>42871</v>
      </c>
      <c r="AA226" t="s">
        <v>3</v>
      </c>
      <c r="AB226" t="s">
        <v>468</v>
      </c>
    </row>
    <row r="227" spans="1:28" hidden="1">
      <c r="A227" t="s">
        <v>472</v>
      </c>
      <c r="B227" s="17">
        <v>42871</v>
      </c>
      <c r="C227" s="17">
        <v>42871</v>
      </c>
      <c r="D227" t="s">
        <v>0</v>
      </c>
      <c r="E227" t="s">
        <v>1</v>
      </c>
      <c r="F227" s="18">
        <v>109</v>
      </c>
      <c r="G227" s="18">
        <v>109</v>
      </c>
      <c r="H227" t="s">
        <v>2</v>
      </c>
      <c r="I227" t="s">
        <v>10</v>
      </c>
      <c r="J227" s="18">
        <v>8638.25</v>
      </c>
      <c r="K227" t="s">
        <v>387</v>
      </c>
      <c r="L227" t="s">
        <v>9</v>
      </c>
      <c r="M227" t="s">
        <v>473</v>
      </c>
      <c r="N227" t="s">
        <v>3</v>
      </c>
      <c r="O227" t="s">
        <v>3</v>
      </c>
      <c r="P227" t="s">
        <v>5</v>
      </c>
      <c r="Q227" t="s">
        <v>474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68</v>
      </c>
      <c r="X227" s="17">
        <v>43008</v>
      </c>
      <c r="Y227" t="s">
        <v>369</v>
      </c>
      <c r="Z227" s="17">
        <v>42871</v>
      </c>
      <c r="AA227" t="s">
        <v>3</v>
      </c>
      <c r="AB227" t="s">
        <v>472</v>
      </c>
    </row>
    <row r="228" spans="1:28" hidden="1">
      <c r="A228" t="s">
        <v>481</v>
      </c>
      <c r="B228" s="17">
        <v>42872</v>
      </c>
      <c r="C228" s="17">
        <v>42872</v>
      </c>
      <c r="D228" t="s">
        <v>0</v>
      </c>
      <c r="E228" t="s">
        <v>1</v>
      </c>
      <c r="F228" s="18">
        <v>140063</v>
      </c>
      <c r="G228" s="18">
        <v>140063</v>
      </c>
      <c r="H228" t="s">
        <v>2</v>
      </c>
      <c r="I228" t="s">
        <v>8</v>
      </c>
      <c r="J228" s="18">
        <v>11310087.25</v>
      </c>
      <c r="K228" t="s">
        <v>482</v>
      </c>
      <c r="L228" t="s">
        <v>9</v>
      </c>
      <c r="M228" t="s">
        <v>483</v>
      </c>
      <c r="N228" t="s">
        <v>3</v>
      </c>
      <c r="O228" t="s">
        <v>3</v>
      </c>
      <c r="P228" t="s">
        <v>5</v>
      </c>
      <c r="Q228" t="s">
        <v>484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68</v>
      </c>
      <c r="X228" s="17">
        <v>42979</v>
      </c>
      <c r="Y228" t="s">
        <v>454</v>
      </c>
      <c r="Z228" s="17">
        <v>42872</v>
      </c>
      <c r="AA228" t="s">
        <v>3</v>
      </c>
      <c r="AB228" t="s">
        <v>481</v>
      </c>
    </row>
    <row r="229" spans="1:28" hidden="1">
      <c r="A229" t="s">
        <v>475</v>
      </c>
      <c r="B229" s="17">
        <v>42876</v>
      </c>
      <c r="C229" s="17">
        <v>42876</v>
      </c>
      <c r="D229" t="s">
        <v>0</v>
      </c>
      <c r="E229" t="s">
        <v>1</v>
      </c>
      <c r="F229" s="18">
        <v>81726</v>
      </c>
      <c r="G229" s="18">
        <v>81726</v>
      </c>
      <c r="H229" t="s">
        <v>2</v>
      </c>
      <c r="I229" t="s">
        <v>8</v>
      </c>
      <c r="J229" s="18">
        <v>6599374.5</v>
      </c>
      <c r="K229" t="s">
        <v>469</v>
      </c>
      <c r="L229" t="s">
        <v>9</v>
      </c>
      <c r="M229" t="s">
        <v>476</v>
      </c>
      <c r="N229" t="s">
        <v>3</v>
      </c>
      <c r="O229" t="s">
        <v>3</v>
      </c>
      <c r="P229" t="s">
        <v>5</v>
      </c>
      <c r="Q229" t="s">
        <v>477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68</v>
      </c>
      <c r="X229" s="17">
        <v>42979</v>
      </c>
      <c r="Y229" t="s">
        <v>454</v>
      </c>
      <c r="Z229" s="17">
        <v>42876</v>
      </c>
      <c r="AA229" t="s">
        <v>3</v>
      </c>
      <c r="AB229" t="s">
        <v>475</v>
      </c>
    </row>
    <row r="230" spans="1:28" hidden="1">
      <c r="A230" t="s">
        <v>478</v>
      </c>
      <c r="B230" s="17">
        <v>42877</v>
      </c>
      <c r="C230" s="17">
        <v>42877</v>
      </c>
      <c r="D230" t="s">
        <v>0</v>
      </c>
      <c r="E230" t="s">
        <v>1</v>
      </c>
      <c r="F230" s="18">
        <v>89919</v>
      </c>
      <c r="G230" s="18">
        <v>89919</v>
      </c>
      <c r="H230" t="s">
        <v>2</v>
      </c>
      <c r="I230" t="s">
        <v>10</v>
      </c>
      <c r="J230" s="18">
        <v>7260959.25</v>
      </c>
      <c r="K230" t="s">
        <v>100</v>
      </c>
      <c r="L230" t="s">
        <v>9</v>
      </c>
      <c r="M230" t="s">
        <v>479</v>
      </c>
      <c r="N230" t="s">
        <v>3</v>
      </c>
      <c r="O230" t="s">
        <v>3</v>
      </c>
      <c r="P230" t="s">
        <v>5</v>
      </c>
      <c r="Q230" t="s">
        <v>480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68</v>
      </c>
      <c r="X230" s="17">
        <v>43008</v>
      </c>
      <c r="Y230" t="s">
        <v>449</v>
      </c>
      <c r="Z230" s="17">
        <v>42877</v>
      </c>
      <c r="AA230" t="s">
        <v>3</v>
      </c>
      <c r="AB230" t="s">
        <v>478</v>
      </c>
    </row>
    <row r="231" spans="1:28" hidden="1">
      <c r="A231" t="s">
        <v>485</v>
      </c>
      <c r="B231" s="17">
        <v>42878</v>
      </c>
      <c r="C231" s="17">
        <v>42878</v>
      </c>
      <c r="D231" t="s">
        <v>0</v>
      </c>
      <c r="E231" t="s">
        <v>1</v>
      </c>
      <c r="F231" s="18">
        <v>4630</v>
      </c>
      <c r="G231" s="18">
        <v>4630</v>
      </c>
      <c r="H231" t="s">
        <v>2</v>
      </c>
      <c r="I231" t="s">
        <v>10</v>
      </c>
      <c r="J231" s="18">
        <v>373872.5</v>
      </c>
      <c r="K231" t="s">
        <v>100</v>
      </c>
      <c r="L231" t="s">
        <v>9</v>
      </c>
      <c r="M231" t="s">
        <v>486</v>
      </c>
      <c r="N231" t="s">
        <v>3</v>
      </c>
      <c r="O231" t="s">
        <v>3</v>
      </c>
      <c r="P231" t="s">
        <v>5</v>
      </c>
      <c r="Q231" t="s">
        <v>487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68</v>
      </c>
      <c r="X231" s="17">
        <v>43008</v>
      </c>
      <c r="Y231" t="s">
        <v>449</v>
      </c>
      <c r="Z231" s="17">
        <v>42878</v>
      </c>
      <c r="AA231" t="s">
        <v>3</v>
      </c>
      <c r="AB231" t="s">
        <v>485</v>
      </c>
    </row>
    <row r="232" spans="1:28" hidden="1">
      <c r="A232" t="s">
        <v>488</v>
      </c>
      <c r="B232" s="17">
        <v>42880</v>
      </c>
      <c r="C232" s="17">
        <v>42880</v>
      </c>
      <c r="D232" t="s">
        <v>0</v>
      </c>
      <c r="E232" t="s">
        <v>1</v>
      </c>
      <c r="F232" s="18">
        <v>14980</v>
      </c>
      <c r="G232" s="18">
        <v>14980</v>
      </c>
      <c r="H232" t="s">
        <v>2</v>
      </c>
      <c r="I232" t="s">
        <v>10</v>
      </c>
      <c r="J232" s="18">
        <v>1209635</v>
      </c>
      <c r="K232" t="s">
        <v>100</v>
      </c>
      <c r="L232" t="s">
        <v>9</v>
      </c>
      <c r="M232" t="s">
        <v>489</v>
      </c>
      <c r="N232" t="s">
        <v>3</v>
      </c>
      <c r="O232" t="s">
        <v>3</v>
      </c>
      <c r="P232" t="s">
        <v>5</v>
      </c>
      <c r="Q232" t="s">
        <v>490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68</v>
      </c>
      <c r="X232" s="17">
        <v>43008</v>
      </c>
      <c r="Y232" t="s">
        <v>449</v>
      </c>
      <c r="Z232" s="17">
        <v>42880</v>
      </c>
      <c r="AA232" t="s">
        <v>3</v>
      </c>
      <c r="AB232" t="s">
        <v>488</v>
      </c>
    </row>
    <row r="233" spans="1:28" hidden="1">
      <c r="A233" t="s">
        <v>491</v>
      </c>
      <c r="B233" s="17">
        <v>42883</v>
      </c>
      <c r="C233" s="17">
        <v>42883</v>
      </c>
      <c r="D233" t="s">
        <v>0</v>
      </c>
      <c r="E233" t="s">
        <v>1</v>
      </c>
      <c r="F233" s="18">
        <v>-150509</v>
      </c>
      <c r="G233" s="18">
        <v>-150509</v>
      </c>
      <c r="H233" t="s">
        <v>2</v>
      </c>
      <c r="I233" t="s">
        <v>10</v>
      </c>
      <c r="J233" s="18">
        <v>-12153601.75</v>
      </c>
      <c r="K233" t="s">
        <v>492</v>
      </c>
      <c r="L233" t="s">
        <v>9</v>
      </c>
      <c r="M233" t="s">
        <v>493</v>
      </c>
      <c r="N233" t="s">
        <v>3</v>
      </c>
      <c r="O233" t="s">
        <v>3</v>
      </c>
      <c r="P233" t="s">
        <v>5</v>
      </c>
      <c r="Q233" t="s">
        <v>494</v>
      </c>
      <c r="R233" t="s">
        <v>3</v>
      </c>
      <c r="S233" t="s">
        <v>3</v>
      </c>
      <c r="T233" t="s">
        <v>3</v>
      </c>
      <c r="U233" t="s">
        <v>3</v>
      </c>
      <c r="V233" t="s">
        <v>3</v>
      </c>
      <c r="W233" t="s">
        <v>68</v>
      </c>
      <c r="X233" s="17">
        <v>43008</v>
      </c>
      <c r="Y233" t="s">
        <v>495</v>
      </c>
      <c r="Z233" s="17">
        <v>42883</v>
      </c>
      <c r="AA233" t="s">
        <v>3</v>
      </c>
      <c r="AB233" t="s">
        <v>491</v>
      </c>
    </row>
    <row r="234" spans="1:28" hidden="1">
      <c r="A234" t="s">
        <v>99</v>
      </c>
      <c r="B234" s="17">
        <v>42886</v>
      </c>
      <c r="C234" s="17">
        <v>42886</v>
      </c>
      <c r="D234" t="s">
        <v>38</v>
      </c>
      <c r="E234" t="s">
        <v>1</v>
      </c>
      <c r="F234" s="18">
        <v>-15989</v>
      </c>
      <c r="G234" s="18">
        <v>-15989</v>
      </c>
      <c r="H234" t="s">
        <v>2</v>
      </c>
      <c r="I234" t="s">
        <v>10</v>
      </c>
      <c r="J234" s="18">
        <v>-1291111.75</v>
      </c>
      <c r="K234" t="s">
        <v>100</v>
      </c>
      <c r="L234" t="s">
        <v>9</v>
      </c>
      <c r="M234" t="s">
        <v>101</v>
      </c>
      <c r="N234" t="s">
        <v>3</v>
      </c>
      <c r="O234" t="s">
        <v>3</v>
      </c>
      <c r="P234" t="s">
        <v>5</v>
      </c>
      <c r="Q234" t="s">
        <v>102</v>
      </c>
      <c r="R234" t="s">
        <v>3</v>
      </c>
      <c r="S234" t="s">
        <v>3</v>
      </c>
      <c r="T234" t="s">
        <v>3</v>
      </c>
      <c r="U234" t="s">
        <v>3</v>
      </c>
      <c r="V234" t="s">
        <v>3</v>
      </c>
      <c r="W234" t="s">
        <v>68</v>
      </c>
      <c r="X234" s="17">
        <v>42886</v>
      </c>
      <c r="Y234" t="s">
        <v>99</v>
      </c>
      <c r="Z234" s="17">
        <v>42886</v>
      </c>
      <c r="AA234" t="s">
        <v>3</v>
      </c>
      <c r="AB234" t="s">
        <v>99</v>
      </c>
    </row>
    <row r="235" spans="1:28" hidden="1">
      <c r="A235" t="s">
        <v>106</v>
      </c>
      <c r="B235" s="17">
        <v>42886</v>
      </c>
      <c r="C235" s="17">
        <v>42886</v>
      </c>
      <c r="D235" t="s">
        <v>38</v>
      </c>
      <c r="E235" t="s">
        <v>1</v>
      </c>
      <c r="F235" s="18">
        <v>-29757</v>
      </c>
      <c r="G235" s="18">
        <v>-29757</v>
      </c>
      <c r="H235" t="s">
        <v>2</v>
      </c>
      <c r="I235" t="s">
        <v>8</v>
      </c>
      <c r="J235" s="18">
        <v>-2384130.84</v>
      </c>
      <c r="K235" t="s">
        <v>84</v>
      </c>
      <c r="L235" t="s">
        <v>9</v>
      </c>
      <c r="M235" t="s">
        <v>107</v>
      </c>
      <c r="N235" t="s">
        <v>3</v>
      </c>
      <c r="O235" t="s">
        <v>3</v>
      </c>
      <c r="P235" t="s">
        <v>5</v>
      </c>
      <c r="Q235" t="s">
        <v>86</v>
      </c>
      <c r="R235" t="s">
        <v>3</v>
      </c>
      <c r="S235" t="s">
        <v>3</v>
      </c>
      <c r="T235" t="s">
        <v>3</v>
      </c>
      <c r="U235" t="s">
        <v>3</v>
      </c>
      <c r="V235" t="s">
        <v>3</v>
      </c>
      <c r="W235" t="s">
        <v>68</v>
      </c>
      <c r="X235" s="17">
        <v>42886</v>
      </c>
      <c r="Y235" t="s">
        <v>106</v>
      </c>
      <c r="Z235" s="17">
        <v>42886</v>
      </c>
      <c r="AA235" t="s">
        <v>3</v>
      </c>
      <c r="AB235" t="s">
        <v>106</v>
      </c>
    </row>
    <row r="236" spans="1:28" hidden="1">
      <c r="A236" t="s">
        <v>496</v>
      </c>
      <c r="B236" s="17">
        <v>42886</v>
      </c>
      <c r="C236" s="17">
        <v>42886</v>
      </c>
      <c r="D236" t="s">
        <v>0</v>
      </c>
      <c r="E236" t="s">
        <v>1</v>
      </c>
      <c r="F236" s="18">
        <v>15989</v>
      </c>
      <c r="G236" s="18">
        <v>15989</v>
      </c>
      <c r="H236" t="s">
        <v>2</v>
      </c>
      <c r="I236" t="s">
        <v>10</v>
      </c>
      <c r="J236" s="18">
        <v>1291111.75</v>
      </c>
      <c r="K236" t="s">
        <v>100</v>
      </c>
      <c r="L236" t="s">
        <v>9</v>
      </c>
      <c r="M236" t="s">
        <v>101</v>
      </c>
      <c r="N236" t="s">
        <v>3</v>
      </c>
      <c r="O236" t="s">
        <v>3</v>
      </c>
      <c r="P236" t="s">
        <v>5</v>
      </c>
      <c r="Q236" t="s">
        <v>102</v>
      </c>
      <c r="R236" t="s">
        <v>3</v>
      </c>
      <c r="S236" t="s">
        <v>3</v>
      </c>
      <c r="T236" t="s">
        <v>3</v>
      </c>
      <c r="U236" t="s">
        <v>3</v>
      </c>
      <c r="V236" t="s">
        <v>3</v>
      </c>
      <c r="W236" t="s">
        <v>68</v>
      </c>
      <c r="X236" s="17">
        <v>42886</v>
      </c>
      <c r="Y236" t="s">
        <v>99</v>
      </c>
      <c r="Z236" s="17">
        <v>42886</v>
      </c>
      <c r="AA236" t="s">
        <v>3</v>
      </c>
      <c r="AB236" t="s">
        <v>496</v>
      </c>
    </row>
    <row r="237" spans="1:28" hidden="1">
      <c r="A237" t="s">
        <v>526</v>
      </c>
      <c r="B237" s="17">
        <v>42886</v>
      </c>
      <c r="C237" s="17">
        <v>42886</v>
      </c>
      <c r="D237" t="s">
        <v>0</v>
      </c>
      <c r="E237" t="s">
        <v>1</v>
      </c>
      <c r="F237" s="18">
        <v>29757</v>
      </c>
      <c r="G237" s="18">
        <v>29757</v>
      </c>
      <c r="H237" t="s">
        <v>2</v>
      </c>
      <c r="I237" t="s">
        <v>8</v>
      </c>
      <c r="J237" s="18">
        <v>2384130.84</v>
      </c>
      <c r="K237" t="s">
        <v>84</v>
      </c>
      <c r="L237" t="s">
        <v>9</v>
      </c>
      <c r="M237" t="s">
        <v>107</v>
      </c>
      <c r="N237" t="s">
        <v>3</v>
      </c>
      <c r="O237" t="s">
        <v>3</v>
      </c>
      <c r="P237" t="s">
        <v>5</v>
      </c>
      <c r="Q237" t="s">
        <v>86</v>
      </c>
      <c r="R237" t="s">
        <v>3</v>
      </c>
      <c r="S237" t="s">
        <v>3</v>
      </c>
      <c r="T237" t="s">
        <v>3</v>
      </c>
      <c r="U237" t="s">
        <v>3</v>
      </c>
      <c r="V237" t="s">
        <v>3</v>
      </c>
      <c r="W237" t="s">
        <v>68</v>
      </c>
      <c r="X237" s="17">
        <v>42886</v>
      </c>
      <c r="Y237" t="s">
        <v>106</v>
      </c>
      <c r="Z237" s="17">
        <v>42886</v>
      </c>
      <c r="AA237" t="s">
        <v>3</v>
      </c>
      <c r="AB237" t="s">
        <v>526</v>
      </c>
    </row>
    <row r="238" spans="1:28" hidden="1">
      <c r="A238" t="s">
        <v>527</v>
      </c>
      <c r="B238" s="17">
        <v>42886</v>
      </c>
      <c r="C238" s="17">
        <v>42886</v>
      </c>
      <c r="D238" t="s">
        <v>0</v>
      </c>
      <c r="E238" t="s">
        <v>1</v>
      </c>
      <c r="F238" s="18">
        <v>33700</v>
      </c>
      <c r="G238" s="18">
        <v>33700</v>
      </c>
      <c r="H238" t="s">
        <v>2</v>
      </c>
      <c r="I238" t="s">
        <v>8</v>
      </c>
      <c r="J238" s="18">
        <v>2700044</v>
      </c>
      <c r="K238" t="s">
        <v>109</v>
      </c>
      <c r="L238" t="s">
        <v>9</v>
      </c>
      <c r="M238" t="s">
        <v>94</v>
      </c>
      <c r="N238" t="s">
        <v>3</v>
      </c>
      <c r="O238" t="s">
        <v>3</v>
      </c>
      <c r="P238" t="s">
        <v>5</v>
      </c>
      <c r="Q238" t="s">
        <v>110</v>
      </c>
      <c r="R238" t="s">
        <v>3</v>
      </c>
      <c r="S238" t="s">
        <v>3</v>
      </c>
      <c r="T238" t="s">
        <v>3</v>
      </c>
      <c r="U238" t="s">
        <v>3</v>
      </c>
      <c r="V238" t="s">
        <v>3</v>
      </c>
      <c r="W238" t="s">
        <v>68</v>
      </c>
      <c r="X238" s="17">
        <v>42887</v>
      </c>
      <c r="Y238" t="s">
        <v>108</v>
      </c>
      <c r="Z238" s="17">
        <v>42886</v>
      </c>
      <c r="AA238" t="s">
        <v>3</v>
      </c>
      <c r="AB238" t="s">
        <v>527</v>
      </c>
    </row>
    <row r="239" spans="1:28" hidden="1">
      <c r="A239" t="s">
        <v>108</v>
      </c>
      <c r="B239" s="17">
        <v>42887</v>
      </c>
      <c r="C239" s="17">
        <v>42886</v>
      </c>
      <c r="D239" t="s">
        <v>38</v>
      </c>
      <c r="E239" t="s">
        <v>1</v>
      </c>
      <c r="F239" s="18">
        <v>-33700</v>
      </c>
      <c r="G239" s="18">
        <v>-33700</v>
      </c>
      <c r="H239" t="s">
        <v>2</v>
      </c>
      <c r="I239" t="s">
        <v>8</v>
      </c>
      <c r="J239" s="18">
        <v>-2700044</v>
      </c>
      <c r="K239" t="s">
        <v>109</v>
      </c>
      <c r="L239" t="s">
        <v>9</v>
      </c>
      <c r="M239" t="s">
        <v>94</v>
      </c>
      <c r="N239" t="s">
        <v>3</v>
      </c>
      <c r="O239" t="s">
        <v>3</v>
      </c>
      <c r="P239" t="s">
        <v>5</v>
      </c>
      <c r="Q239" t="s">
        <v>110</v>
      </c>
      <c r="R239" t="s">
        <v>3</v>
      </c>
      <c r="S239" t="s">
        <v>3</v>
      </c>
      <c r="T239" t="s">
        <v>3</v>
      </c>
      <c r="U239" t="s">
        <v>3</v>
      </c>
      <c r="V239" t="s">
        <v>3</v>
      </c>
      <c r="W239" t="s">
        <v>68</v>
      </c>
      <c r="X239" s="17">
        <v>42887</v>
      </c>
      <c r="Y239" t="s">
        <v>108</v>
      </c>
      <c r="Z239" s="17">
        <v>42886</v>
      </c>
      <c r="AA239" t="s">
        <v>3</v>
      </c>
      <c r="AB239" t="s">
        <v>108</v>
      </c>
    </row>
    <row r="240" spans="1:28" hidden="1">
      <c r="A240" t="s">
        <v>497</v>
      </c>
      <c r="B240" s="17">
        <v>42887</v>
      </c>
      <c r="C240" s="17">
        <v>42887</v>
      </c>
      <c r="D240" t="s">
        <v>0</v>
      </c>
      <c r="E240" t="s">
        <v>1</v>
      </c>
      <c r="F240" s="18">
        <v>17731</v>
      </c>
      <c r="G240" s="18">
        <v>17731</v>
      </c>
      <c r="H240" t="s">
        <v>2</v>
      </c>
      <c r="I240" t="s">
        <v>10</v>
      </c>
      <c r="J240" s="18">
        <v>1431778.25</v>
      </c>
      <c r="K240" t="s">
        <v>100</v>
      </c>
      <c r="L240" t="s">
        <v>9</v>
      </c>
      <c r="M240" t="s">
        <v>498</v>
      </c>
      <c r="N240" t="s">
        <v>3</v>
      </c>
      <c r="O240" t="s">
        <v>3</v>
      </c>
      <c r="P240" t="s">
        <v>5</v>
      </c>
      <c r="Q240" t="s">
        <v>499</v>
      </c>
      <c r="R240" t="s">
        <v>3</v>
      </c>
      <c r="S240" t="s">
        <v>3</v>
      </c>
      <c r="T240" t="s">
        <v>3</v>
      </c>
      <c r="U240" t="s">
        <v>3</v>
      </c>
      <c r="V240" t="s">
        <v>3</v>
      </c>
      <c r="W240" t="s">
        <v>68</v>
      </c>
      <c r="X240" s="17">
        <v>43008</v>
      </c>
      <c r="Y240" t="s">
        <v>495</v>
      </c>
      <c r="Z240" s="17">
        <v>42887</v>
      </c>
      <c r="AA240" t="s">
        <v>3</v>
      </c>
      <c r="AB240" t="s">
        <v>497</v>
      </c>
    </row>
    <row r="241" spans="1:28" hidden="1">
      <c r="A241" t="s">
        <v>500</v>
      </c>
      <c r="B241" s="17">
        <v>42887</v>
      </c>
      <c r="C241" s="17">
        <v>42887</v>
      </c>
      <c r="D241" t="s">
        <v>0</v>
      </c>
      <c r="E241" t="s">
        <v>1</v>
      </c>
      <c r="F241" s="18">
        <v>15989</v>
      </c>
      <c r="G241" s="18">
        <v>15989</v>
      </c>
      <c r="H241" t="s">
        <v>2</v>
      </c>
      <c r="I241" t="s">
        <v>10</v>
      </c>
      <c r="J241" s="18">
        <v>1291111.75</v>
      </c>
      <c r="K241" t="s">
        <v>100</v>
      </c>
      <c r="L241" t="s">
        <v>9</v>
      </c>
      <c r="M241" t="s">
        <v>101</v>
      </c>
      <c r="N241" t="s">
        <v>3</v>
      </c>
      <c r="O241" t="s">
        <v>3</v>
      </c>
      <c r="P241" t="s">
        <v>5</v>
      </c>
      <c r="Q241" t="s">
        <v>102</v>
      </c>
      <c r="R241" t="s">
        <v>3</v>
      </c>
      <c r="S241" t="s">
        <v>3</v>
      </c>
      <c r="T241" t="s">
        <v>3</v>
      </c>
      <c r="U241" t="s">
        <v>3</v>
      </c>
      <c r="V241" t="s">
        <v>3</v>
      </c>
      <c r="W241" t="s">
        <v>68</v>
      </c>
      <c r="X241" s="17">
        <v>43008</v>
      </c>
      <c r="Y241" t="s">
        <v>449</v>
      </c>
      <c r="Z241" s="17">
        <v>42887</v>
      </c>
      <c r="AA241" t="s">
        <v>3</v>
      </c>
      <c r="AB241" t="s">
        <v>500</v>
      </c>
    </row>
    <row r="242" spans="1:28" hidden="1">
      <c r="A242" t="s">
        <v>501</v>
      </c>
      <c r="B242" s="17">
        <v>42890</v>
      </c>
      <c r="C242" s="17">
        <v>42890</v>
      </c>
      <c r="D242" t="s">
        <v>0</v>
      </c>
      <c r="E242" t="s">
        <v>1</v>
      </c>
      <c r="F242" s="18">
        <v>-196937</v>
      </c>
      <c r="G242" s="18">
        <v>-196937</v>
      </c>
      <c r="H242" t="s">
        <v>2</v>
      </c>
      <c r="I242" t="s">
        <v>10</v>
      </c>
      <c r="J242" s="18">
        <v>-15902662.75</v>
      </c>
      <c r="K242" t="s">
        <v>502</v>
      </c>
      <c r="L242" t="s">
        <v>9</v>
      </c>
      <c r="M242" t="s">
        <v>503</v>
      </c>
      <c r="N242" t="s">
        <v>3</v>
      </c>
      <c r="O242" t="s">
        <v>3</v>
      </c>
      <c r="P242" t="s">
        <v>5</v>
      </c>
      <c r="Q242" t="s">
        <v>504</v>
      </c>
      <c r="R242" t="s">
        <v>3</v>
      </c>
      <c r="S242" t="s">
        <v>3</v>
      </c>
      <c r="T242" t="s">
        <v>3</v>
      </c>
      <c r="U242" t="s">
        <v>3</v>
      </c>
      <c r="V242" t="s">
        <v>3</v>
      </c>
      <c r="W242" t="s">
        <v>68</v>
      </c>
      <c r="X242" s="17">
        <v>42979</v>
      </c>
      <c r="Y242" t="s">
        <v>505</v>
      </c>
      <c r="Z242" s="17">
        <v>42890</v>
      </c>
      <c r="AA242" t="s">
        <v>3</v>
      </c>
      <c r="AB242" t="s">
        <v>501</v>
      </c>
    </row>
    <row r="243" spans="1:28" hidden="1">
      <c r="A243" t="s">
        <v>506</v>
      </c>
      <c r="B243" s="17">
        <v>42891</v>
      </c>
      <c r="C243" s="17">
        <v>42891</v>
      </c>
      <c r="D243" t="s">
        <v>0</v>
      </c>
      <c r="E243" t="s">
        <v>1</v>
      </c>
      <c r="F243" s="18">
        <v>1211</v>
      </c>
      <c r="G243" s="18">
        <v>1211</v>
      </c>
      <c r="H243" t="s">
        <v>2</v>
      </c>
      <c r="I243" t="s">
        <v>10</v>
      </c>
      <c r="J243" s="18">
        <v>97788.25</v>
      </c>
      <c r="K243" t="s">
        <v>100</v>
      </c>
      <c r="L243" t="s">
        <v>9</v>
      </c>
      <c r="M243" t="s">
        <v>507</v>
      </c>
      <c r="N243" t="s">
        <v>3</v>
      </c>
      <c r="O243" t="s">
        <v>3</v>
      </c>
      <c r="P243" t="s">
        <v>5</v>
      </c>
      <c r="Q243" t="s">
        <v>508</v>
      </c>
      <c r="R243" t="s">
        <v>3</v>
      </c>
      <c r="S243" t="s">
        <v>3</v>
      </c>
      <c r="T243" t="s">
        <v>3</v>
      </c>
      <c r="U243" t="s">
        <v>3</v>
      </c>
      <c r="V243" t="s">
        <v>3</v>
      </c>
      <c r="W243" t="s">
        <v>68</v>
      </c>
      <c r="X243" s="17">
        <v>43008</v>
      </c>
      <c r="Y243" t="s">
        <v>449</v>
      </c>
      <c r="Z243" s="17">
        <v>42891</v>
      </c>
      <c r="AA243" t="s">
        <v>3</v>
      </c>
      <c r="AB243" t="s">
        <v>506</v>
      </c>
    </row>
    <row r="244" spans="1:28" hidden="1">
      <c r="A244" t="s">
        <v>509</v>
      </c>
      <c r="B244" s="17">
        <v>42892</v>
      </c>
      <c r="C244" s="17">
        <v>42892</v>
      </c>
      <c r="D244" t="s">
        <v>0</v>
      </c>
      <c r="E244" t="s">
        <v>1</v>
      </c>
      <c r="F244" s="18">
        <v>8733</v>
      </c>
      <c r="G244" s="18">
        <v>8733</v>
      </c>
      <c r="H244" t="s">
        <v>2</v>
      </c>
      <c r="I244" t="s">
        <v>10</v>
      </c>
      <c r="J244" s="18">
        <v>705189.75</v>
      </c>
      <c r="K244" t="s">
        <v>100</v>
      </c>
      <c r="L244" t="s">
        <v>9</v>
      </c>
      <c r="M244" t="s">
        <v>510</v>
      </c>
      <c r="N244" t="s">
        <v>3</v>
      </c>
      <c r="O244" t="s">
        <v>3</v>
      </c>
      <c r="P244" t="s">
        <v>5</v>
      </c>
      <c r="Q244" t="s">
        <v>511</v>
      </c>
      <c r="R244" t="s">
        <v>3</v>
      </c>
      <c r="S244" t="s">
        <v>3</v>
      </c>
      <c r="T244" t="s">
        <v>3</v>
      </c>
      <c r="U244" t="s">
        <v>3</v>
      </c>
      <c r="V244" t="s">
        <v>3</v>
      </c>
      <c r="W244" t="s">
        <v>68</v>
      </c>
      <c r="X244" s="17">
        <v>43008</v>
      </c>
      <c r="Y244" t="s">
        <v>449</v>
      </c>
      <c r="Z244" s="17">
        <v>42892</v>
      </c>
      <c r="AA244" t="s">
        <v>3</v>
      </c>
      <c r="AB244" t="s">
        <v>509</v>
      </c>
    </row>
    <row r="245" spans="1:28" hidden="1">
      <c r="A245" t="s">
        <v>509</v>
      </c>
      <c r="B245" s="17">
        <v>42892</v>
      </c>
      <c r="C245" s="17">
        <v>42892</v>
      </c>
      <c r="D245" t="s">
        <v>0</v>
      </c>
      <c r="E245" t="s">
        <v>1</v>
      </c>
      <c r="F245" s="18">
        <v>12463</v>
      </c>
      <c r="G245" s="18">
        <v>12463</v>
      </c>
      <c r="H245" t="s">
        <v>2</v>
      </c>
      <c r="I245" t="s">
        <v>10</v>
      </c>
      <c r="J245" s="18">
        <v>1006387.25</v>
      </c>
      <c r="K245" t="s">
        <v>512</v>
      </c>
      <c r="L245" t="s">
        <v>9</v>
      </c>
      <c r="M245" t="s">
        <v>510</v>
      </c>
      <c r="N245" t="s">
        <v>3</v>
      </c>
      <c r="O245" t="s">
        <v>3</v>
      </c>
      <c r="P245" t="s">
        <v>5</v>
      </c>
      <c r="Q245" t="s">
        <v>511</v>
      </c>
      <c r="R245" t="s">
        <v>3</v>
      </c>
      <c r="S245" t="s">
        <v>3</v>
      </c>
      <c r="T245" t="s">
        <v>3</v>
      </c>
      <c r="U245" t="s">
        <v>3</v>
      </c>
      <c r="V245" t="s">
        <v>3</v>
      </c>
      <c r="W245" t="s">
        <v>68</v>
      </c>
      <c r="X245" s="17">
        <v>43008</v>
      </c>
      <c r="Y245" t="s">
        <v>495</v>
      </c>
      <c r="Z245" s="17">
        <v>42892</v>
      </c>
      <c r="AA245" t="s">
        <v>3</v>
      </c>
      <c r="AB245" t="s">
        <v>509</v>
      </c>
    </row>
    <row r="246" spans="1:28" hidden="1">
      <c r="A246" t="s">
        <v>589</v>
      </c>
      <c r="B246" s="17">
        <v>42894</v>
      </c>
      <c r="C246" s="17">
        <v>42894</v>
      </c>
      <c r="D246" t="s">
        <v>0</v>
      </c>
      <c r="E246" t="s">
        <v>1</v>
      </c>
      <c r="F246" s="18">
        <v>47382</v>
      </c>
      <c r="G246" s="18">
        <v>47382</v>
      </c>
      <c r="H246" t="s">
        <v>2</v>
      </c>
      <c r="I246" t="s">
        <v>10</v>
      </c>
      <c r="J246" s="18">
        <v>3826096.5</v>
      </c>
      <c r="K246" t="s">
        <v>590</v>
      </c>
      <c r="L246" t="s">
        <v>9</v>
      </c>
      <c r="M246" t="s">
        <v>591</v>
      </c>
      <c r="N246" t="s">
        <v>3</v>
      </c>
      <c r="O246" t="s">
        <v>3</v>
      </c>
      <c r="P246" t="s">
        <v>5</v>
      </c>
      <c r="Q246" t="s">
        <v>592</v>
      </c>
      <c r="R246" t="s">
        <v>3</v>
      </c>
      <c r="S246" t="s">
        <v>3</v>
      </c>
      <c r="T246" t="s">
        <v>3</v>
      </c>
      <c r="U246" t="s">
        <v>3</v>
      </c>
      <c r="V246" t="s">
        <v>3</v>
      </c>
      <c r="W246" t="s">
        <v>68</v>
      </c>
      <c r="X246" s="17">
        <v>42979</v>
      </c>
      <c r="Y246" t="s">
        <v>505</v>
      </c>
      <c r="Z246" s="17">
        <v>42894</v>
      </c>
      <c r="AA246" t="s">
        <v>3</v>
      </c>
      <c r="AB246" t="s">
        <v>589</v>
      </c>
    </row>
    <row r="247" spans="1:28" hidden="1">
      <c r="A247" t="s">
        <v>513</v>
      </c>
      <c r="B247" s="17">
        <v>42898</v>
      </c>
      <c r="C247" s="17">
        <v>42898</v>
      </c>
      <c r="D247" t="s">
        <v>0</v>
      </c>
      <c r="E247" t="s">
        <v>1</v>
      </c>
      <c r="F247" s="18">
        <v>1981</v>
      </c>
      <c r="G247" s="18">
        <v>1981</v>
      </c>
      <c r="H247" t="s">
        <v>2</v>
      </c>
      <c r="I247" t="s">
        <v>10</v>
      </c>
      <c r="J247" s="18">
        <v>159965.75</v>
      </c>
      <c r="K247" t="s">
        <v>514</v>
      </c>
      <c r="L247" t="s">
        <v>9</v>
      </c>
      <c r="M247" t="s">
        <v>515</v>
      </c>
      <c r="N247" t="s">
        <v>3</v>
      </c>
      <c r="O247" t="s">
        <v>3</v>
      </c>
      <c r="P247" t="s">
        <v>5</v>
      </c>
      <c r="Q247" t="s">
        <v>516</v>
      </c>
      <c r="R247" t="s">
        <v>3</v>
      </c>
      <c r="S247" t="s">
        <v>3</v>
      </c>
      <c r="T247" t="s">
        <v>3</v>
      </c>
      <c r="U247" t="s">
        <v>3</v>
      </c>
      <c r="V247" t="s">
        <v>3</v>
      </c>
      <c r="W247" t="s">
        <v>68</v>
      </c>
      <c r="X247" s="17">
        <v>42979</v>
      </c>
      <c r="Y247" t="s">
        <v>505</v>
      </c>
      <c r="Z247" s="17">
        <v>42898</v>
      </c>
      <c r="AA247" t="s">
        <v>3</v>
      </c>
      <c r="AB247" t="s">
        <v>513</v>
      </c>
    </row>
    <row r="248" spans="1:28" hidden="1">
      <c r="A248" t="s">
        <v>513</v>
      </c>
      <c r="B248" s="17">
        <v>42898</v>
      </c>
      <c r="C248" s="17">
        <v>42898</v>
      </c>
      <c r="D248" t="s">
        <v>0</v>
      </c>
      <c r="E248" t="s">
        <v>1</v>
      </c>
      <c r="F248" s="18">
        <v>30858</v>
      </c>
      <c r="G248" s="18">
        <v>30858</v>
      </c>
      <c r="H248" t="s">
        <v>2</v>
      </c>
      <c r="I248" t="s">
        <v>10</v>
      </c>
      <c r="J248" s="18">
        <v>2491783.5</v>
      </c>
      <c r="K248" t="s">
        <v>517</v>
      </c>
      <c r="L248" t="s">
        <v>9</v>
      </c>
      <c r="M248" t="s">
        <v>515</v>
      </c>
      <c r="N248" t="s">
        <v>3</v>
      </c>
      <c r="O248" t="s">
        <v>3</v>
      </c>
      <c r="P248" t="s">
        <v>5</v>
      </c>
      <c r="Q248" t="s">
        <v>516</v>
      </c>
      <c r="R248" t="s">
        <v>3</v>
      </c>
      <c r="S248" t="s">
        <v>3</v>
      </c>
      <c r="T248" t="s">
        <v>3</v>
      </c>
      <c r="U248" t="s">
        <v>3</v>
      </c>
      <c r="V248" t="s">
        <v>3</v>
      </c>
      <c r="W248" t="s">
        <v>68</v>
      </c>
      <c r="X248" s="17">
        <v>43008</v>
      </c>
      <c r="Y248" t="s">
        <v>495</v>
      </c>
      <c r="Z248" s="17">
        <v>42898</v>
      </c>
      <c r="AA248" t="s">
        <v>3</v>
      </c>
      <c r="AB248" t="s">
        <v>513</v>
      </c>
    </row>
    <row r="249" spans="1:28" hidden="1">
      <c r="A249" t="s">
        <v>518</v>
      </c>
      <c r="B249" s="17">
        <v>42898</v>
      </c>
      <c r="C249" s="17">
        <v>42898</v>
      </c>
      <c r="D249" t="s">
        <v>0</v>
      </c>
      <c r="E249" t="s">
        <v>1</v>
      </c>
      <c r="F249" s="18">
        <v>2059</v>
      </c>
      <c r="G249" s="18">
        <v>2059</v>
      </c>
      <c r="H249" t="s">
        <v>2</v>
      </c>
      <c r="I249" t="s">
        <v>10</v>
      </c>
      <c r="J249" s="18">
        <v>166264.25</v>
      </c>
      <c r="K249" t="s">
        <v>514</v>
      </c>
      <c r="L249" t="s">
        <v>9</v>
      </c>
      <c r="M249" t="s">
        <v>519</v>
      </c>
      <c r="N249" t="s">
        <v>3</v>
      </c>
      <c r="O249" t="s">
        <v>3</v>
      </c>
      <c r="P249" t="s">
        <v>5</v>
      </c>
      <c r="Q249" t="s">
        <v>520</v>
      </c>
      <c r="R249" t="s">
        <v>3</v>
      </c>
      <c r="S249" t="s">
        <v>3</v>
      </c>
      <c r="T249" t="s">
        <v>3</v>
      </c>
      <c r="U249" t="s">
        <v>3</v>
      </c>
      <c r="V249" t="s">
        <v>3</v>
      </c>
      <c r="W249" t="s">
        <v>68</v>
      </c>
      <c r="X249" s="17">
        <v>42979</v>
      </c>
      <c r="Y249" t="s">
        <v>505</v>
      </c>
      <c r="Z249" s="17">
        <v>42898</v>
      </c>
      <c r="AA249" t="s">
        <v>3</v>
      </c>
      <c r="AB249" t="s">
        <v>518</v>
      </c>
    </row>
    <row r="250" spans="1:28" hidden="1">
      <c r="A250" t="s">
        <v>518</v>
      </c>
      <c r="B250" s="17">
        <v>42898</v>
      </c>
      <c r="C250" s="17">
        <v>42898</v>
      </c>
      <c r="D250" t="s">
        <v>0</v>
      </c>
      <c r="E250" t="s">
        <v>1</v>
      </c>
      <c r="F250" s="18">
        <v>39418</v>
      </c>
      <c r="G250" s="18">
        <v>39418</v>
      </c>
      <c r="H250" t="s">
        <v>2</v>
      </c>
      <c r="I250" t="s">
        <v>10</v>
      </c>
      <c r="J250" s="18">
        <v>3183003.5</v>
      </c>
      <c r="K250" t="s">
        <v>517</v>
      </c>
      <c r="L250" t="s">
        <v>9</v>
      </c>
      <c r="M250" t="s">
        <v>519</v>
      </c>
      <c r="N250" t="s">
        <v>3</v>
      </c>
      <c r="O250" t="s">
        <v>3</v>
      </c>
      <c r="P250" t="s">
        <v>5</v>
      </c>
      <c r="Q250" t="s">
        <v>520</v>
      </c>
      <c r="R250" t="s">
        <v>3</v>
      </c>
      <c r="S250" t="s">
        <v>3</v>
      </c>
      <c r="T250" t="s">
        <v>3</v>
      </c>
      <c r="U250" t="s">
        <v>3</v>
      </c>
      <c r="V250" t="s">
        <v>3</v>
      </c>
      <c r="W250" t="s">
        <v>68</v>
      </c>
      <c r="X250" s="17">
        <v>43008</v>
      </c>
      <c r="Y250" t="s">
        <v>495</v>
      </c>
      <c r="Z250" s="17">
        <v>42898</v>
      </c>
      <c r="AA250" t="s">
        <v>3</v>
      </c>
      <c r="AB250" t="s">
        <v>518</v>
      </c>
    </row>
    <row r="251" spans="1:28" hidden="1">
      <c r="A251" t="s">
        <v>521</v>
      </c>
      <c r="B251" s="17">
        <v>42899</v>
      </c>
      <c r="C251" s="17">
        <v>42899</v>
      </c>
      <c r="D251" t="s">
        <v>0</v>
      </c>
      <c r="E251" t="s">
        <v>1</v>
      </c>
      <c r="F251" s="18">
        <v>-103498</v>
      </c>
      <c r="G251" s="18">
        <v>-103498</v>
      </c>
      <c r="H251" t="s">
        <v>2</v>
      </c>
      <c r="I251" t="s">
        <v>10</v>
      </c>
      <c r="J251" s="18">
        <v>-8292259.7599999998</v>
      </c>
      <c r="K251" t="s">
        <v>522</v>
      </c>
      <c r="L251" t="s">
        <v>9</v>
      </c>
      <c r="M251" t="s">
        <v>523</v>
      </c>
      <c r="N251" t="s">
        <v>3</v>
      </c>
      <c r="O251" t="s">
        <v>3</v>
      </c>
      <c r="P251" t="s">
        <v>5</v>
      </c>
      <c r="Q251" t="s">
        <v>524</v>
      </c>
      <c r="R251" t="s">
        <v>3</v>
      </c>
      <c r="S251" t="s">
        <v>3</v>
      </c>
      <c r="T251" t="s">
        <v>3</v>
      </c>
      <c r="U251" t="s">
        <v>3</v>
      </c>
      <c r="V251" t="s">
        <v>3</v>
      </c>
      <c r="W251" t="s">
        <v>68</v>
      </c>
      <c r="X251" s="17">
        <v>43008</v>
      </c>
      <c r="Y251" t="s">
        <v>525</v>
      </c>
      <c r="Z251" s="17">
        <v>42899</v>
      </c>
      <c r="AA251" t="s">
        <v>3</v>
      </c>
      <c r="AB251" t="s">
        <v>521</v>
      </c>
    </row>
    <row r="252" spans="1:28" hidden="1">
      <c r="A252" t="s">
        <v>533</v>
      </c>
      <c r="B252" s="17">
        <v>42900</v>
      </c>
      <c r="C252" s="17">
        <v>42900</v>
      </c>
      <c r="D252" t="s">
        <v>0</v>
      </c>
      <c r="E252" t="s">
        <v>1</v>
      </c>
      <c r="F252" s="18">
        <v>1829</v>
      </c>
      <c r="G252" s="18">
        <v>1829</v>
      </c>
      <c r="H252" t="s">
        <v>2</v>
      </c>
      <c r="I252" t="s">
        <v>10</v>
      </c>
      <c r="J252" s="18">
        <v>147691.75</v>
      </c>
      <c r="K252" t="s">
        <v>514</v>
      </c>
      <c r="L252" t="s">
        <v>9</v>
      </c>
      <c r="M252" t="s">
        <v>534</v>
      </c>
      <c r="N252" t="s">
        <v>3</v>
      </c>
      <c r="O252" t="s">
        <v>3</v>
      </c>
      <c r="P252" t="s">
        <v>5</v>
      </c>
      <c r="Q252" t="s">
        <v>535</v>
      </c>
      <c r="R252" t="s">
        <v>3</v>
      </c>
      <c r="S252" t="s">
        <v>3</v>
      </c>
      <c r="T252" t="s">
        <v>3</v>
      </c>
      <c r="U252" t="s">
        <v>3</v>
      </c>
      <c r="V252" t="s">
        <v>3</v>
      </c>
      <c r="W252" t="s">
        <v>68</v>
      </c>
      <c r="X252" s="17">
        <v>42979</v>
      </c>
      <c r="Y252" t="s">
        <v>505</v>
      </c>
      <c r="Z252" s="17">
        <v>42900</v>
      </c>
      <c r="AA252" t="s">
        <v>3</v>
      </c>
      <c r="AB252" t="s">
        <v>533</v>
      </c>
    </row>
    <row r="253" spans="1:28" hidden="1">
      <c r="A253" t="s">
        <v>528</v>
      </c>
      <c r="B253" s="17">
        <v>42901</v>
      </c>
      <c r="C253" s="17">
        <v>42901</v>
      </c>
      <c r="D253" t="s">
        <v>0</v>
      </c>
      <c r="E253" t="s">
        <v>1</v>
      </c>
      <c r="F253" s="18">
        <v>-502280</v>
      </c>
      <c r="G253" s="18">
        <v>-502280</v>
      </c>
      <c r="H253" t="s">
        <v>2</v>
      </c>
      <c r="I253" t="s">
        <v>8</v>
      </c>
      <c r="J253" s="18">
        <v>-40242673.600000001</v>
      </c>
      <c r="K253" t="s">
        <v>529</v>
      </c>
      <c r="L253" t="s">
        <v>9</v>
      </c>
      <c r="M253" t="s">
        <v>530</v>
      </c>
      <c r="N253" t="s">
        <v>3</v>
      </c>
      <c r="O253" t="s">
        <v>3</v>
      </c>
      <c r="P253" t="s">
        <v>5</v>
      </c>
      <c r="Q253" t="s">
        <v>531</v>
      </c>
      <c r="R253" t="s">
        <v>3</v>
      </c>
      <c r="S253" t="s">
        <v>3</v>
      </c>
      <c r="T253" t="s">
        <v>3</v>
      </c>
      <c r="U253" t="s">
        <v>3</v>
      </c>
      <c r="V253" t="s">
        <v>3</v>
      </c>
      <c r="W253" t="s">
        <v>68</v>
      </c>
      <c r="X253" s="17">
        <v>42979</v>
      </c>
      <c r="Y253" t="s">
        <v>532</v>
      </c>
      <c r="Z253" s="17">
        <v>42901</v>
      </c>
      <c r="AA253" t="s">
        <v>3</v>
      </c>
      <c r="AB253" t="s">
        <v>528</v>
      </c>
    </row>
    <row r="254" spans="1:28" hidden="1">
      <c r="A254" t="s">
        <v>536</v>
      </c>
      <c r="B254" s="17">
        <v>42904</v>
      </c>
      <c r="C254" s="17">
        <v>42904</v>
      </c>
      <c r="D254" t="s">
        <v>0</v>
      </c>
      <c r="E254" t="s">
        <v>1</v>
      </c>
      <c r="F254" s="18">
        <v>19388</v>
      </c>
      <c r="G254" s="18">
        <v>19388</v>
      </c>
      <c r="H254" t="s">
        <v>2</v>
      </c>
      <c r="I254" t="s">
        <v>10</v>
      </c>
      <c r="J254" s="18">
        <v>1565581</v>
      </c>
      <c r="K254" t="s">
        <v>514</v>
      </c>
      <c r="L254" t="s">
        <v>9</v>
      </c>
      <c r="M254" t="s">
        <v>537</v>
      </c>
      <c r="N254" t="s">
        <v>3</v>
      </c>
      <c r="O254" t="s">
        <v>3</v>
      </c>
      <c r="P254" t="s">
        <v>5</v>
      </c>
      <c r="Q254" t="s">
        <v>538</v>
      </c>
      <c r="R254" t="s">
        <v>3</v>
      </c>
      <c r="S254" t="s">
        <v>3</v>
      </c>
      <c r="T254" t="s">
        <v>3</v>
      </c>
      <c r="U254" t="s">
        <v>3</v>
      </c>
      <c r="V254" t="s">
        <v>3</v>
      </c>
      <c r="W254" t="s">
        <v>68</v>
      </c>
      <c r="X254" s="17">
        <v>42979</v>
      </c>
      <c r="Y254" t="s">
        <v>505</v>
      </c>
      <c r="Z254" s="17">
        <v>42904</v>
      </c>
      <c r="AA254" t="s">
        <v>3</v>
      </c>
      <c r="AB254" t="s">
        <v>536</v>
      </c>
    </row>
    <row r="255" spans="1:28" hidden="1">
      <c r="A255" t="s">
        <v>539</v>
      </c>
      <c r="B255" s="17">
        <v>42905</v>
      </c>
      <c r="C255" s="17">
        <v>42905</v>
      </c>
      <c r="D255" t="s">
        <v>0</v>
      </c>
      <c r="E255" t="s">
        <v>1</v>
      </c>
      <c r="F255" s="18">
        <v>5846</v>
      </c>
      <c r="G255" s="18">
        <v>5846</v>
      </c>
      <c r="H255" t="s">
        <v>2</v>
      </c>
      <c r="I255" t="s">
        <v>10</v>
      </c>
      <c r="J255" s="18">
        <v>472064.5</v>
      </c>
      <c r="K255" t="s">
        <v>514</v>
      </c>
      <c r="L255" t="s">
        <v>9</v>
      </c>
      <c r="M255" t="s">
        <v>540</v>
      </c>
      <c r="N255" t="s">
        <v>3</v>
      </c>
      <c r="O255" t="s">
        <v>3</v>
      </c>
      <c r="P255" t="s">
        <v>5</v>
      </c>
      <c r="Q255" t="s">
        <v>541</v>
      </c>
      <c r="R255" t="s">
        <v>3</v>
      </c>
      <c r="S255" t="s">
        <v>3</v>
      </c>
      <c r="T255" t="s">
        <v>3</v>
      </c>
      <c r="U255" t="s">
        <v>3</v>
      </c>
      <c r="V255" t="s">
        <v>3</v>
      </c>
      <c r="W255" t="s">
        <v>68</v>
      </c>
      <c r="X255" s="17">
        <v>42979</v>
      </c>
      <c r="Y255" t="s">
        <v>505</v>
      </c>
      <c r="Z255" s="17">
        <v>42905</v>
      </c>
      <c r="AA255" t="s">
        <v>3</v>
      </c>
      <c r="AB255" t="s">
        <v>539</v>
      </c>
    </row>
    <row r="256" spans="1:28" hidden="1">
      <c r="A256" t="s">
        <v>542</v>
      </c>
      <c r="B256" s="17">
        <v>42905</v>
      </c>
      <c r="C256" s="17">
        <v>42905</v>
      </c>
      <c r="D256" t="s">
        <v>0</v>
      </c>
      <c r="E256" t="s">
        <v>1</v>
      </c>
      <c r="F256" s="18">
        <v>13959</v>
      </c>
      <c r="G256" s="18">
        <v>13959</v>
      </c>
      <c r="H256" t="s">
        <v>2</v>
      </c>
      <c r="I256" t="s">
        <v>10</v>
      </c>
      <c r="J256" s="18">
        <v>1127189.25</v>
      </c>
      <c r="K256" t="s">
        <v>543</v>
      </c>
      <c r="L256" t="s">
        <v>9</v>
      </c>
      <c r="M256" t="s">
        <v>544</v>
      </c>
      <c r="N256" t="s">
        <v>3</v>
      </c>
      <c r="O256" t="s">
        <v>3</v>
      </c>
      <c r="P256" t="s">
        <v>5</v>
      </c>
      <c r="Q256" t="s">
        <v>545</v>
      </c>
      <c r="R256" t="s">
        <v>3</v>
      </c>
      <c r="S256" t="s">
        <v>3</v>
      </c>
      <c r="T256" t="s">
        <v>3</v>
      </c>
      <c r="U256" t="s">
        <v>3</v>
      </c>
      <c r="V256" t="s">
        <v>3</v>
      </c>
      <c r="W256" t="s">
        <v>68</v>
      </c>
      <c r="X256" s="17">
        <v>43008</v>
      </c>
      <c r="Y256" t="s">
        <v>449</v>
      </c>
      <c r="Z256" s="17">
        <v>42905</v>
      </c>
      <c r="AA256" t="s">
        <v>3</v>
      </c>
      <c r="AB256" t="s">
        <v>542</v>
      </c>
    </row>
    <row r="257" spans="1:28" hidden="1">
      <c r="A257" t="s">
        <v>542</v>
      </c>
      <c r="B257" s="17">
        <v>42905</v>
      </c>
      <c r="C257" s="17">
        <v>42905</v>
      </c>
      <c r="D257" t="s">
        <v>0</v>
      </c>
      <c r="E257" t="s">
        <v>1</v>
      </c>
      <c r="F257" s="18">
        <v>104905</v>
      </c>
      <c r="G257" s="18">
        <v>104905</v>
      </c>
      <c r="H257" t="s">
        <v>2</v>
      </c>
      <c r="I257" t="s">
        <v>10</v>
      </c>
      <c r="J257" s="18">
        <v>8471078.75</v>
      </c>
      <c r="K257" t="s">
        <v>514</v>
      </c>
      <c r="L257" t="s">
        <v>9</v>
      </c>
      <c r="M257" t="s">
        <v>544</v>
      </c>
      <c r="N257" t="s">
        <v>3</v>
      </c>
      <c r="O257" t="s">
        <v>3</v>
      </c>
      <c r="P257" t="s">
        <v>5</v>
      </c>
      <c r="Q257" t="s">
        <v>545</v>
      </c>
      <c r="R257" t="s">
        <v>3</v>
      </c>
      <c r="S257" t="s">
        <v>3</v>
      </c>
      <c r="T257" t="s">
        <v>3</v>
      </c>
      <c r="U257" t="s">
        <v>3</v>
      </c>
      <c r="V257" t="s">
        <v>3</v>
      </c>
      <c r="W257" t="s">
        <v>68</v>
      </c>
      <c r="X257" s="17">
        <v>42979</v>
      </c>
      <c r="Y257" t="s">
        <v>505</v>
      </c>
      <c r="Z257" s="17">
        <v>42905</v>
      </c>
      <c r="AA257" t="s">
        <v>3</v>
      </c>
      <c r="AB257" t="s">
        <v>542</v>
      </c>
    </row>
    <row r="258" spans="1:28" hidden="1">
      <c r="A258" t="s">
        <v>568</v>
      </c>
      <c r="B258" s="17">
        <v>42906</v>
      </c>
      <c r="C258" s="17">
        <v>42906</v>
      </c>
      <c r="D258" t="s">
        <v>0</v>
      </c>
      <c r="E258" t="s">
        <v>1</v>
      </c>
      <c r="F258" s="18">
        <v>16908</v>
      </c>
      <c r="G258" s="18">
        <v>16908</v>
      </c>
      <c r="H258" t="s">
        <v>2</v>
      </c>
      <c r="I258" t="s">
        <v>10</v>
      </c>
      <c r="J258" s="18">
        <v>1365321</v>
      </c>
      <c r="K258" t="s">
        <v>543</v>
      </c>
      <c r="L258" t="s">
        <v>9</v>
      </c>
      <c r="M258" t="s">
        <v>569</v>
      </c>
      <c r="N258" t="s">
        <v>3</v>
      </c>
      <c r="O258" t="s">
        <v>3</v>
      </c>
      <c r="P258" t="s">
        <v>5</v>
      </c>
      <c r="Q258" t="s">
        <v>570</v>
      </c>
      <c r="R258" t="s">
        <v>3</v>
      </c>
      <c r="S258" t="s">
        <v>3</v>
      </c>
      <c r="T258" t="s">
        <v>3</v>
      </c>
      <c r="U258" t="s">
        <v>3</v>
      </c>
      <c r="V258" t="s">
        <v>3</v>
      </c>
      <c r="W258" t="s">
        <v>68</v>
      </c>
      <c r="X258" s="17">
        <v>43008</v>
      </c>
      <c r="Y258" t="s">
        <v>449</v>
      </c>
      <c r="Z258" s="17">
        <v>42906</v>
      </c>
      <c r="AA258" t="s">
        <v>3</v>
      </c>
      <c r="AB258" t="s">
        <v>568</v>
      </c>
    </row>
    <row r="259" spans="1:28" hidden="1">
      <c r="A259" t="s">
        <v>568</v>
      </c>
      <c r="B259" s="17">
        <v>42906</v>
      </c>
      <c r="C259" s="17">
        <v>42906</v>
      </c>
      <c r="D259" t="s">
        <v>0</v>
      </c>
      <c r="E259" t="s">
        <v>1</v>
      </c>
      <c r="F259" s="18">
        <v>33137</v>
      </c>
      <c r="G259" s="18">
        <v>33137</v>
      </c>
      <c r="H259" t="s">
        <v>2</v>
      </c>
      <c r="I259" t="s">
        <v>10</v>
      </c>
      <c r="J259" s="18">
        <v>2675812.75</v>
      </c>
      <c r="K259" t="s">
        <v>514</v>
      </c>
      <c r="L259" t="s">
        <v>9</v>
      </c>
      <c r="M259" t="s">
        <v>569</v>
      </c>
      <c r="N259" t="s">
        <v>3</v>
      </c>
      <c r="O259" t="s">
        <v>3</v>
      </c>
      <c r="P259" t="s">
        <v>5</v>
      </c>
      <c r="Q259" t="s">
        <v>570</v>
      </c>
      <c r="R259" t="s">
        <v>3</v>
      </c>
      <c r="S259" t="s">
        <v>3</v>
      </c>
      <c r="T259" t="s">
        <v>3</v>
      </c>
      <c r="U259" t="s">
        <v>3</v>
      </c>
      <c r="V259" t="s">
        <v>3</v>
      </c>
      <c r="W259" t="s">
        <v>68</v>
      </c>
      <c r="X259" s="17">
        <v>42979</v>
      </c>
      <c r="Y259" t="s">
        <v>505</v>
      </c>
      <c r="Z259" s="17">
        <v>42906</v>
      </c>
      <c r="AA259" t="s">
        <v>3</v>
      </c>
      <c r="AB259" t="s">
        <v>568</v>
      </c>
    </row>
    <row r="260" spans="1:28" hidden="1">
      <c r="A260" t="s">
        <v>571</v>
      </c>
      <c r="B260" s="17">
        <v>42906</v>
      </c>
      <c r="C260" s="17">
        <v>42906</v>
      </c>
      <c r="D260" t="s">
        <v>0</v>
      </c>
      <c r="E260" t="s">
        <v>1</v>
      </c>
      <c r="F260" s="18">
        <v>-94194</v>
      </c>
      <c r="G260" s="18">
        <v>-94194</v>
      </c>
      <c r="H260" t="s">
        <v>2</v>
      </c>
      <c r="I260" t="s">
        <v>10</v>
      </c>
      <c r="J260" s="18">
        <v>-7546823.2800000003</v>
      </c>
      <c r="K260" t="s">
        <v>572</v>
      </c>
      <c r="L260" t="s">
        <v>9</v>
      </c>
      <c r="M260" t="s">
        <v>573</v>
      </c>
      <c r="N260" t="s">
        <v>3</v>
      </c>
      <c r="O260" t="s">
        <v>3</v>
      </c>
      <c r="P260" t="s">
        <v>5</v>
      </c>
      <c r="Q260" t="s">
        <v>574</v>
      </c>
      <c r="R260" t="s">
        <v>3</v>
      </c>
      <c r="S260" t="s">
        <v>3</v>
      </c>
      <c r="T260" t="s">
        <v>3</v>
      </c>
      <c r="U260" t="s">
        <v>3</v>
      </c>
      <c r="V260" t="s">
        <v>3</v>
      </c>
      <c r="W260" t="s">
        <v>68</v>
      </c>
      <c r="X260" s="17">
        <v>43008</v>
      </c>
      <c r="Y260" t="s">
        <v>575</v>
      </c>
      <c r="Z260" s="17">
        <v>42906</v>
      </c>
      <c r="AA260" t="s">
        <v>3</v>
      </c>
      <c r="AB260" t="s">
        <v>571</v>
      </c>
    </row>
    <row r="261" spans="1:28" hidden="1">
      <c r="A261" t="s">
        <v>546</v>
      </c>
      <c r="B261" s="17">
        <v>42907</v>
      </c>
      <c r="C261" s="17">
        <v>42907</v>
      </c>
      <c r="D261" t="s">
        <v>0</v>
      </c>
      <c r="E261" t="s">
        <v>1</v>
      </c>
      <c r="F261" s="18">
        <v>39738</v>
      </c>
      <c r="G261" s="18">
        <v>39738</v>
      </c>
      <c r="H261" t="s">
        <v>2</v>
      </c>
      <c r="I261" t="s">
        <v>8</v>
      </c>
      <c r="J261" s="18">
        <v>3183808.56</v>
      </c>
      <c r="K261" t="s">
        <v>547</v>
      </c>
      <c r="L261" t="s">
        <v>9</v>
      </c>
      <c r="M261" t="s">
        <v>548</v>
      </c>
      <c r="N261" t="s">
        <v>3</v>
      </c>
      <c r="O261" t="s">
        <v>3</v>
      </c>
      <c r="P261" t="s">
        <v>5</v>
      </c>
      <c r="Q261" t="s">
        <v>549</v>
      </c>
      <c r="R261" t="s">
        <v>3</v>
      </c>
      <c r="S261" t="s">
        <v>3</v>
      </c>
      <c r="T261" t="s">
        <v>3</v>
      </c>
      <c r="U261" t="s">
        <v>3</v>
      </c>
      <c r="V261" t="s">
        <v>3</v>
      </c>
      <c r="W261" t="s">
        <v>68</v>
      </c>
      <c r="X261" s="17">
        <v>42979</v>
      </c>
      <c r="Y261" t="s">
        <v>532</v>
      </c>
      <c r="Z261" s="17">
        <v>42907</v>
      </c>
      <c r="AA261" t="s">
        <v>3</v>
      </c>
      <c r="AB261" t="s">
        <v>546</v>
      </c>
    </row>
    <row r="262" spans="1:28" hidden="1">
      <c r="A262" t="s">
        <v>550</v>
      </c>
      <c r="B262" s="17">
        <v>42907</v>
      </c>
      <c r="C262" s="17">
        <v>42907</v>
      </c>
      <c r="D262" t="s">
        <v>0</v>
      </c>
      <c r="E262" t="s">
        <v>1</v>
      </c>
      <c r="F262" s="18">
        <v>114922</v>
      </c>
      <c r="G262" s="18">
        <v>114922</v>
      </c>
      <c r="H262" t="s">
        <v>2</v>
      </c>
      <c r="I262" t="s">
        <v>8</v>
      </c>
      <c r="J262" s="18">
        <v>9207550.6400000006</v>
      </c>
      <c r="K262" t="s">
        <v>547</v>
      </c>
      <c r="L262" t="s">
        <v>9</v>
      </c>
      <c r="M262" t="s">
        <v>551</v>
      </c>
      <c r="N262" t="s">
        <v>3</v>
      </c>
      <c r="O262" t="s">
        <v>3</v>
      </c>
      <c r="P262" t="s">
        <v>5</v>
      </c>
      <c r="Q262" t="s">
        <v>552</v>
      </c>
      <c r="R262" t="s">
        <v>3</v>
      </c>
      <c r="S262" t="s">
        <v>3</v>
      </c>
      <c r="T262" t="s">
        <v>3</v>
      </c>
      <c r="U262" t="s">
        <v>3</v>
      </c>
      <c r="V262" t="s">
        <v>3</v>
      </c>
      <c r="W262" t="s">
        <v>68</v>
      </c>
      <c r="X262" s="17">
        <v>42979</v>
      </c>
      <c r="Y262" t="s">
        <v>532</v>
      </c>
      <c r="Z262" s="17">
        <v>42907</v>
      </c>
      <c r="AA262" t="s">
        <v>3</v>
      </c>
      <c r="AB262" t="s">
        <v>550</v>
      </c>
    </row>
    <row r="263" spans="1:28" hidden="1">
      <c r="A263" t="s">
        <v>553</v>
      </c>
      <c r="B263" s="17">
        <v>42907</v>
      </c>
      <c r="C263" s="17">
        <v>42907</v>
      </c>
      <c r="D263" t="s">
        <v>0</v>
      </c>
      <c r="E263" t="s">
        <v>1</v>
      </c>
      <c r="F263" s="18">
        <v>29234</v>
      </c>
      <c r="G263" s="18">
        <v>29234</v>
      </c>
      <c r="H263" t="s">
        <v>2</v>
      </c>
      <c r="I263" t="s">
        <v>8</v>
      </c>
      <c r="J263" s="18">
        <v>2342228.08</v>
      </c>
      <c r="K263" t="s">
        <v>547</v>
      </c>
      <c r="L263" t="s">
        <v>9</v>
      </c>
      <c r="M263" t="s">
        <v>554</v>
      </c>
      <c r="N263" t="s">
        <v>3</v>
      </c>
      <c r="O263" t="s">
        <v>3</v>
      </c>
      <c r="P263" t="s">
        <v>5</v>
      </c>
      <c r="Q263" t="s">
        <v>555</v>
      </c>
      <c r="R263" t="s">
        <v>3</v>
      </c>
      <c r="S263" t="s">
        <v>3</v>
      </c>
      <c r="T263" t="s">
        <v>3</v>
      </c>
      <c r="U263" t="s">
        <v>3</v>
      </c>
      <c r="V263" t="s">
        <v>3</v>
      </c>
      <c r="W263" t="s">
        <v>68</v>
      </c>
      <c r="X263" s="17">
        <v>42979</v>
      </c>
      <c r="Y263" t="s">
        <v>532</v>
      </c>
      <c r="Z263" s="17">
        <v>42907</v>
      </c>
      <c r="AA263" t="s">
        <v>3</v>
      </c>
      <c r="AB263" t="s">
        <v>553</v>
      </c>
    </row>
    <row r="264" spans="1:28" hidden="1">
      <c r="A264" t="s">
        <v>556</v>
      </c>
      <c r="B264" s="17">
        <v>42907</v>
      </c>
      <c r="C264" s="17">
        <v>42907</v>
      </c>
      <c r="D264" t="s">
        <v>0</v>
      </c>
      <c r="E264" t="s">
        <v>1</v>
      </c>
      <c r="F264" s="18">
        <v>83409</v>
      </c>
      <c r="G264" s="18">
        <v>83409</v>
      </c>
      <c r="H264" t="s">
        <v>2</v>
      </c>
      <c r="I264" t="s">
        <v>8</v>
      </c>
      <c r="J264" s="18">
        <v>6682729.0800000001</v>
      </c>
      <c r="K264" t="s">
        <v>547</v>
      </c>
      <c r="L264" t="s">
        <v>9</v>
      </c>
      <c r="M264" t="s">
        <v>557</v>
      </c>
      <c r="N264" t="s">
        <v>3</v>
      </c>
      <c r="O264" t="s">
        <v>3</v>
      </c>
      <c r="P264" t="s">
        <v>5</v>
      </c>
      <c r="Q264" t="s">
        <v>558</v>
      </c>
      <c r="R264" t="s">
        <v>3</v>
      </c>
      <c r="S264" t="s">
        <v>3</v>
      </c>
      <c r="T264" t="s">
        <v>3</v>
      </c>
      <c r="U264" t="s">
        <v>3</v>
      </c>
      <c r="V264" t="s">
        <v>3</v>
      </c>
      <c r="W264" t="s">
        <v>68</v>
      </c>
      <c r="X264" s="17">
        <v>42979</v>
      </c>
      <c r="Y264" t="s">
        <v>532</v>
      </c>
      <c r="Z264" s="17">
        <v>42907</v>
      </c>
      <c r="AA264" t="s">
        <v>3</v>
      </c>
      <c r="AB264" t="s">
        <v>556</v>
      </c>
    </row>
    <row r="265" spans="1:28" hidden="1">
      <c r="A265" t="s">
        <v>559</v>
      </c>
      <c r="B265" s="17">
        <v>42908</v>
      </c>
      <c r="C265" s="17">
        <v>42908</v>
      </c>
      <c r="D265" t="s">
        <v>0</v>
      </c>
      <c r="E265" t="s">
        <v>1</v>
      </c>
      <c r="F265" s="18">
        <v>10518</v>
      </c>
      <c r="G265" s="18">
        <v>10518</v>
      </c>
      <c r="H265" t="s">
        <v>2</v>
      </c>
      <c r="I265" t="s">
        <v>8</v>
      </c>
      <c r="J265" s="18">
        <v>842702.16</v>
      </c>
      <c r="K265" t="s">
        <v>547</v>
      </c>
      <c r="L265" t="s">
        <v>9</v>
      </c>
      <c r="M265" t="s">
        <v>560</v>
      </c>
      <c r="N265" t="s">
        <v>3</v>
      </c>
      <c r="O265" t="s">
        <v>3</v>
      </c>
      <c r="P265" t="s">
        <v>5</v>
      </c>
      <c r="Q265" t="s">
        <v>561</v>
      </c>
      <c r="R265" t="s">
        <v>3</v>
      </c>
      <c r="S265" t="s">
        <v>3</v>
      </c>
      <c r="T265" t="s">
        <v>3</v>
      </c>
      <c r="U265" t="s">
        <v>3</v>
      </c>
      <c r="V265" t="s">
        <v>3</v>
      </c>
      <c r="W265" t="s">
        <v>68</v>
      </c>
      <c r="X265" s="17">
        <v>42979</v>
      </c>
      <c r="Y265" t="s">
        <v>532</v>
      </c>
      <c r="Z265" s="17">
        <v>42908</v>
      </c>
      <c r="AA265" t="s">
        <v>3</v>
      </c>
      <c r="AB265" t="s">
        <v>559</v>
      </c>
    </row>
    <row r="266" spans="1:28" hidden="1">
      <c r="A266" t="s">
        <v>562</v>
      </c>
      <c r="B266" s="17">
        <v>42908</v>
      </c>
      <c r="C266" s="17">
        <v>42908</v>
      </c>
      <c r="D266" t="s">
        <v>0</v>
      </c>
      <c r="E266" t="s">
        <v>1</v>
      </c>
      <c r="F266" s="18">
        <v>5238</v>
      </c>
      <c r="G266" s="18">
        <v>5238</v>
      </c>
      <c r="H266" t="s">
        <v>2</v>
      </c>
      <c r="I266" t="s">
        <v>8</v>
      </c>
      <c r="J266" s="18">
        <v>419668.56</v>
      </c>
      <c r="K266" t="s">
        <v>547</v>
      </c>
      <c r="L266" t="s">
        <v>9</v>
      </c>
      <c r="M266" t="s">
        <v>563</v>
      </c>
      <c r="N266" t="s">
        <v>3</v>
      </c>
      <c r="O266" t="s">
        <v>3</v>
      </c>
      <c r="P266" t="s">
        <v>5</v>
      </c>
      <c r="Q266" t="s">
        <v>564</v>
      </c>
      <c r="R266" t="s">
        <v>3</v>
      </c>
      <c r="S266" t="s">
        <v>3</v>
      </c>
      <c r="T266" t="s">
        <v>3</v>
      </c>
      <c r="U266" t="s">
        <v>3</v>
      </c>
      <c r="V266" t="s">
        <v>3</v>
      </c>
      <c r="W266" t="s">
        <v>68</v>
      </c>
      <c r="X266" s="17">
        <v>42979</v>
      </c>
      <c r="Y266" t="s">
        <v>532</v>
      </c>
      <c r="Z266" s="17">
        <v>42908</v>
      </c>
      <c r="AA266" t="s">
        <v>3</v>
      </c>
      <c r="AB266" t="s">
        <v>562</v>
      </c>
    </row>
    <row r="267" spans="1:28" hidden="1">
      <c r="A267" t="s">
        <v>565</v>
      </c>
      <c r="B267" s="17">
        <v>42908</v>
      </c>
      <c r="C267" s="17">
        <v>42908</v>
      </c>
      <c r="D267" t="s">
        <v>0</v>
      </c>
      <c r="E267" t="s">
        <v>1</v>
      </c>
      <c r="F267" s="18">
        <v>17209</v>
      </c>
      <c r="G267" s="18">
        <v>17209</v>
      </c>
      <c r="H267" t="s">
        <v>2</v>
      </c>
      <c r="I267" t="s">
        <v>10</v>
      </c>
      <c r="J267" s="18">
        <v>1389626.75</v>
      </c>
      <c r="K267" t="s">
        <v>514</v>
      </c>
      <c r="L267" t="s">
        <v>9</v>
      </c>
      <c r="M267" t="s">
        <v>566</v>
      </c>
      <c r="N267" t="s">
        <v>3</v>
      </c>
      <c r="O267" t="s">
        <v>3</v>
      </c>
      <c r="P267" t="s">
        <v>5</v>
      </c>
      <c r="Q267" t="s">
        <v>567</v>
      </c>
      <c r="R267" t="s">
        <v>3</v>
      </c>
      <c r="S267" t="s">
        <v>3</v>
      </c>
      <c r="T267" t="s">
        <v>3</v>
      </c>
      <c r="U267" t="s">
        <v>3</v>
      </c>
      <c r="V267" t="s">
        <v>3</v>
      </c>
      <c r="W267" t="s">
        <v>68</v>
      </c>
      <c r="X267" s="17">
        <v>42979</v>
      </c>
      <c r="Y267" t="s">
        <v>505</v>
      </c>
      <c r="Z267" s="17">
        <v>42908</v>
      </c>
      <c r="AA267" t="s">
        <v>3</v>
      </c>
      <c r="AB267" t="s">
        <v>565</v>
      </c>
    </row>
    <row r="268" spans="1:28" hidden="1">
      <c r="A268" t="s">
        <v>576</v>
      </c>
      <c r="B268" s="17">
        <v>42914</v>
      </c>
      <c r="C268" s="17">
        <v>42914</v>
      </c>
      <c r="D268" t="s">
        <v>0</v>
      </c>
      <c r="E268" t="s">
        <v>1</v>
      </c>
      <c r="F268" s="18">
        <v>5245</v>
      </c>
      <c r="G268" s="18">
        <v>5245</v>
      </c>
      <c r="H268" t="s">
        <v>2</v>
      </c>
      <c r="I268" t="s">
        <v>10</v>
      </c>
      <c r="J268" s="18">
        <v>420229.4</v>
      </c>
      <c r="K268" t="s">
        <v>577</v>
      </c>
      <c r="L268" t="s">
        <v>9</v>
      </c>
      <c r="M268" t="s">
        <v>578</v>
      </c>
      <c r="N268" t="s">
        <v>3</v>
      </c>
      <c r="O268" t="s">
        <v>3</v>
      </c>
      <c r="P268" t="s">
        <v>5</v>
      </c>
      <c r="Q268" t="s">
        <v>579</v>
      </c>
      <c r="R268" t="s">
        <v>3</v>
      </c>
      <c r="S268" t="s">
        <v>3</v>
      </c>
      <c r="T268" t="s">
        <v>3</v>
      </c>
      <c r="U268" t="s">
        <v>3</v>
      </c>
      <c r="V268" t="s">
        <v>3</v>
      </c>
      <c r="W268" t="s">
        <v>68</v>
      </c>
      <c r="X268" s="17">
        <v>43008</v>
      </c>
      <c r="Y268" t="s">
        <v>525</v>
      </c>
      <c r="Z268" s="17">
        <v>42914</v>
      </c>
      <c r="AA268" t="s">
        <v>3</v>
      </c>
      <c r="AB268" t="s">
        <v>576</v>
      </c>
    </row>
    <row r="269" spans="1:28" hidden="1">
      <c r="A269" t="s">
        <v>580</v>
      </c>
      <c r="B269" s="17">
        <v>42914</v>
      </c>
      <c r="C269" s="17">
        <v>42914</v>
      </c>
      <c r="D269" t="s">
        <v>0</v>
      </c>
      <c r="E269" t="s">
        <v>1</v>
      </c>
      <c r="F269" s="18">
        <v>1223</v>
      </c>
      <c r="G269" s="18">
        <v>1223</v>
      </c>
      <c r="H269" t="s">
        <v>2</v>
      </c>
      <c r="I269" t="s">
        <v>10</v>
      </c>
      <c r="J269" s="18">
        <v>98757.25</v>
      </c>
      <c r="K269" t="s">
        <v>514</v>
      </c>
      <c r="L269" t="s">
        <v>9</v>
      </c>
      <c r="M269" t="s">
        <v>581</v>
      </c>
      <c r="N269" t="s">
        <v>3</v>
      </c>
      <c r="O269" t="s">
        <v>3</v>
      </c>
      <c r="P269" t="s">
        <v>5</v>
      </c>
      <c r="Q269" t="s">
        <v>582</v>
      </c>
      <c r="R269" t="s">
        <v>3</v>
      </c>
      <c r="S269" t="s">
        <v>3</v>
      </c>
      <c r="T269" t="s">
        <v>3</v>
      </c>
      <c r="U269" t="s">
        <v>3</v>
      </c>
      <c r="V269" t="s">
        <v>3</v>
      </c>
      <c r="W269" t="s">
        <v>68</v>
      </c>
      <c r="X269" s="17">
        <v>42979</v>
      </c>
      <c r="Y269" t="s">
        <v>505</v>
      </c>
      <c r="Z269" s="17">
        <v>42914</v>
      </c>
      <c r="AA269" t="s">
        <v>3</v>
      </c>
      <c r="AB269" t="s">
        <v>580</v>
      </c>
    </row>
    <row r="270" spans="1:28" hidden="1">
      <c r="A270" t="s">
        <v>580</v>
      </c>
      <c r="B270" s="17">
        <v>42914</v>
      </c>
      <c r="C270" s="17">
        <v>42914</v>
      </c>
      <c r="D270" t="s">
        <v>0</v>
      </c>
      <c r="E270" t="s">
        <v>1</v>
      </c>
      <c r="F270" s="18">
        <v>3494</v>
      </c>
      <c r="G270" s="18">
        <v>3494</v>
      </c>
      <c r="H270" t="s">
        <v>2</v>
      </c>
      <c r="I270" t="s">
        <v>10</v>
      </c>
      <c r="J270" s="18">
        <v>279939.28000000003</v>
      </c>
      <c r="K270" t="s">
        <v>577</v>
      </c>
      <c r="L270" t="s">
        <v>9</v>
      </c>
      <c r="M270" t="s">
        <v>581</v>
      </c>
      <c r="N270" t="s">
        <v>3</v>
      </c>
      <c r="O270" t="s">
        <v>3</v>
      </c>
      <c r="P270" t="s">
        <v>5</v>
      </c>
      <c r="Q270" t="s">
        <v>582</v>
      </c>
      <c r="R270" t="s">
        <v>3</v>
      </c>
      <c r="S270" t="s">
        <v>3</v>
      </c>
      <c r="T270" t="s">
        <v>3</v>
      </c>
      <c r="U270" t="s">
        <v>3</v>
      </c>
      <c r="V270" t="s">
        <v>3</v>
      </c>
      <c r="W270" t="s">
        <v>68</v>
      </c>
      <c r="X270" s="17">
        <v>43008</v>
      </c>
      <c r="Y270" t="s">
        <v>525</v>
      </c>
      <c r="Z270" s="17">
        <v>42914</v>
      </c>
      <c r="AA270" t="s">
        <v>3</v>
      </c>
      <c r="AB270" t="s">
        <v>580</v>
      </c>
    </row>
    <row r="271" spans="1:28" hidden="1">
      <c r="A271" t="s">
        <v>583</v>
      </c>
      <c r="B271" s="17">
        <v>42915</v>
      </c>
      <c r="C271" s="17">
        <v>42915</v>
      </c>
      <c r="D271" t="s">
        <v>0</v>
      </c>
      <c r="E271" t="s">
        <v>1</v>
      </c>
      <c r="F271" s="18">
        <v>204664</v>
      </c>
      <c r="G271" s="18">
        <v>204664</v>
      </c>
      <c r="H271" t="s">
        <v>2</v>
      </c>
      <c r="I271" t="s">
        <v>8</v>
      </c>
      <c r="J271" s="18">
        <v>16397679.68</v>
      </c>
      <c r="K271" t="s">
        <v>547</v>
      </c>
      <c r="L271" t="s">
        <v>9</v>
      </c>
      <c r="M271" t="s">
        <v>584</v>
      </c>
      <c r="N271" t="s">
        <v>3</v>
      </c>
      <c r="O271" t="s">
        <v>3</v>
      </c>
      <c r="P271" t="s">
        <v>5</v>
      </c>
      <c r="Q271" t="s">
        <v>585</v>
      </c>
      <c r="R271" t="s">
        <v>3</v>
      </c>
      <c r="S271" t="s">
        <v>3</v>
      </c>
      <c r="T271" t="s">
        <v>3</v>
      </c>
      <c r="U271" t="s">
        <v>3</v>
      </c>
      <c r="V271" t="s">
        <v>3</v>
      </c>
      <c r="W271" t="s">
        <v>68</v>
      </c>
      <c r="X271" s="17">
        <v>42979</v>
      </c>
      <c r="Y271" t="s">
        <v>532</v>
      </c>
      <c r="Z271" s="17">
        <v>42915</v>
      </c>
      <c r="AA271" t="s">
        <v>3</v>
      </c>
      <c r="AB271" t="s">
        <v>583</v>
      </c>
    </row>
    <row r="272" spans="1:28" hidden="1">
      <c r="A272" t="s">
        <v>586</v>
      </c>
      <c r="B272" s="17">
        <v>42915</v>
      </c>
      <c r="C272" s="17">
        <v>42915</v>
      </c>
      <c r="D272" t="s">
        <v>0</v>
      </c>
      <c r="E272" t="s">
        <v>1</v>
      </c>
      <c r="F272" s="18">
        <v>14558</v>
      </c>
      <c r="G272" s="18">
        <v>14558</v>
      </c>
      <c r="H272" t="s">
        <v>2</v>
      </c>
      <c r="I272" t="s">
        <v>8</v>
      </c>
      <c r="J272" s="18">
        <v>1166386.96</v>
      </c>
      <c r="K272" t="s">
        <v>547</v>
      </c>
      <c r="L272" t="s">
        <v>9</v>
      </c>
      <c r="M272" t="s">
        <v>587</v>
      </c>
      <c r="N272" t="s">
        <v>3</v>
      </c>
      <c r="O272" t="s">
        <v>3</v>
      </c>
      <c r="P272" t="s">
        <v>5</v>
      </c>
      <c r="Q272" t="s">
        <v>588</v>
      </c>
      <c r="R272" t="s">
        <v>3</v>
      </c>
      <c r="S272" t="s">
        <v>3</v>
      </c>
      <c r="T272" t="s">
        <v>3</v>
      </c>
      <c r="U272" t="s">
        <v>3</v>
      </c>
      <c r="V272" t="s">
        <v>3</v>
      </c>
      <c r="W272" t="s">
        <v>68</v>
      </c>
      <c r="X272" s="17">
        <v>42979</v>
      </c>
      <c r="Y272" t="s">
        <v>532</v>
      </c>
      <c r="Z272" s="17">
        <v>42915</v>
      </c>
      <c r="AA272" t="s">
        <v>3</v>
      </c>
      <c r="AB272" t="s">
        <v>586</v>
      </c>
    </row>
    <row r="273" spans="1:28" hidden="1">
      <c r="A273" t="s">
        <v>593</v>
      </c>
      <c r="B273" s="17">
        <v>42916</v>
      </c>
      <c r="C273" s="17">
        <v>42916</v>
      </c>
      <c r="D273" t="s">
        <v>0</v>
      </c>
      <c r="E273" t="s">
        <v>1</v>
      </c>
      <c r="F273" s="18">
        <v>-563820</v>
      </c>
      <c r="G273" s="18">
        <v>-563820</v>
      </c>
      <c r="H273" t="s">
        <v>2</v>
      </c>
      <c r="I273" t="s">
        <v>8</v>
      </c>
      <c r="J273" s="18">
        <v>-45161982</v>
      </c>
      <c r="K273" t="s">
        <v>594</v>
      </c>
      <c r="L273" t="s">
        <v>9</v>
      </c>
      <c r="M273" t="s">
        <v>595</v>
      </c>
      <c r="N273" t="s">
        <v>3</v>
      </c>
      <c r="O273" t="s">
        <v>3</v>
      </c>
      <c r="P273" t="s">
        <v>5</v>
      </c>
      <c r="Q273" t="s">
        <v>596</v>
      </c>
      <c r="R273" t="s">
        <v>3</v>
      </c>
      <c r="S273" t="s">
        <v>3</v>
      </c>
      <c r="T273" t="s">
        <v>3</v>
      </c>
      <c r="U273" t="s">
        <v>3</v>
      </c>
      <c r="V273" t="s">
        <v>3</v>
      </c>
      <c r="W273" t="s">
        <v>68</v>
      </c>
      <c r="X273" s="17">
        <v>42917</v>
      </c>
      <c r="Y273" t="s">
        <v>597</v>
      </c>
      <c r="Z273" s="17">
        <v>42916</v>
      </c>
      <c r="AA273" t="s">
        <v>3</v>
      </c>
      <c r="AB273" t="s">
        <v>593</v>
      </c>
    </row>
    <row r="274" spans="1:28" hidden="1">
      <c r="A274" t="s">
        <v>597</v>
      </c>
      <c r="B274" s="17">
        <v>42917</v>
      </c>
      <c r="C274" s="17">
        <v>42916</v>
      </c>
      <c r="D274" t="s">
        <v>38</v>
      </c>
      <c r="E274" t="s">
        <v>1</v>
      </c>
      <c r="F274" s="18">
        <v>563820</v>
      </c>
      <c r="G274" s="18">
        <v>563820</v>
      </c>
      <c r="H274" t="s">
        <v>2</v>
      </c>
      <c r="I274" t="s">
        <v>8</v>
      </c>
      <c r="J274" s="18">
        <v>45161982</v>
      </c>
      <c r="K274" t="s">
        <v>594</v>
      </c>
      <c r="L274" t="s">
        <v>9</v>
      </c>
      <c r="M274" t="s">
        <v>595</v>
      </c>
      <c r="N274" t="s">
        <v>3</v>
      </c>
      <c r="O274" t="s">
        <v>3</v>
      </c>
      <c r="P274" t="s">
        <v>5</v>
      </c>
      <c r="Q274" t="s">
        <v>596</v>
      </c>
      <c r="R274" t="s">
        <v>3</v>
      </c>
      <c r="S274" t="s">
        <v>3</v>
      </c>
      <c r="T274" t="s">
        <v>3</v>
      </c>
      <c r="U274" t="s">
        <v>3</v>
      </c>
      <c r="V274" t="s">
        <v>3</v>
      </c>
      <c r="W274" t="s">
        <v>68</v>
      </c>
      <c r="X274" s="17">
        <v>42917</v>
      </c>
      <c r="Y274" t="s">
        <v>597</v>
      </c>
      <c r="Z274" s="17">
        <v>42916</v>
      </c>
      <c r="AA274" t="s">
        <v>3</v>
      </c>
      <c r="AB274" t="s">
        <v>597</v>
      </c>
    </row>
    <row r="275" spans="1:28" hidden="1">
      <c r="A275" t="s">
        <v>859</v>
      </c>
      <c r="B275" s="17">
        <v>42918</v>
      </c>
      <c r="C275" s="17">
        <v>42918</v>
      </c>
      <c r="D275" t="s">
        <v>0</v>
      </c>
      <c r="E275" t="s">
        <v>1</v>
      </c>
      <c r="F275" s="18">
        <v>28692</v>
      </c>
      <c r="G275" s="18">
        <v>28692</v>
      </c>
      <c r="H275" t="s">
        <v>2</v>
      </c>
      <c r="I275" t="s">
        <v>10</v>
      </c>
      <c r="J275" s="18">
        <v>2298803.04</v>
      </c>
      <c r="K275" t="s">
        <v>577</v>
      </c>
      <c r="L275" t="s">
        <v>9</v>
      </c>
      <c r="M275" t="s">
        <v>860</v>
      </c>
      <c r="N275" t="s">
        <v>3</v>
      </c>
      <c r="O275" t="s">
        <v>3</v>
      </c>
      <c r="P275" t="s">
        <v>5</v>
      </c>
      <c r="Q275" t="s">
        <v>861</v>
      </c>
      <c r="R275" t="s">
        <v>3</v>
      </c>
      <c r="S275" t="s">
        <v>3</v>
      </c>
      <c r="T275" t="s">
        <v>3</v>
      </c>
      <c r="U275" t="s">
        <v>3</v>
      </c>
      <c r="V275" t="s">
        <v>3</v>
      </c>
      <c r="W275" t="s">
        <v>68</v>
      </c>
      <c r="X275" s="17">
        <v>43008</v>
      </c>
      <c r="Y275" t="s">
        <v>525</v>
      </c>
      <c r="Z275" s="17">
        <v>42918</v>
      </c>
      <c r="AA275" t="s">
        <v>3</v>
      </c>
      <c r="AB275" t="s">
        <v>859</v>
      </c>
    </row>
    <row r="276" spans="1:28" hidden="1">
      <c r="A276" t="s">
        <v>862</v>
      </c>
      <c r="B276" s="17">
        <v>42920</v>
      </c>
      <c r="C276" s="17">
        <v>42920</v>
      </c>
      <c r="D276" t="s">
        <v>0</v>
      </c>
      <c r="E276" t="s">
        <v>1</v>
      </c>
      <c r="F276" s="18">
        <v>-759252</v>
      </c>
      <c r="G276" s="18">
        <v>-759252</v>
      </c>
      <c r="H276" t="s">
        <v>2</v>
      </c>
      <c r="I276" t="s">
        <v>8</v>
      </c>
      <c r="J276" s="18">
        <v>-60816085.200000003</v>
      </c>
      <c r="K276" t="s">
        <v>863</v>
      </c>
      <c r="L276" t="s">
        <v>9</v>
      </c>
      <c r="M276" t="s">
        <v>864</v>
      </c>
      <c r="N276" t="s">
        <v>3</v>
      </c>
      <c r="O276" t="s">
        <v>3</v>
      </c>
      <c r="P276" t="s">
        <v>5</v>
      </c>
      <c r="Q276" t="s">
        <v>865</v>
      </c>
      <c r="R276" t="s">
        <v>3</v>
      </c>
      <c r="S276" t="s">
        <v>3</v>
      </c>
      <c r="T276" t="s">
        <v>3</v>
      </c>
      <c r="U276" t="s">
        <v>3</v>
      </c>
      <c r="V276" t="s">
        <v>3</v>
      </c>
      <c r="W276" t="s">
        <v>68</v>
      </c>
      <c r="X276" s="17">
        <v>42979</v>
      </c>
      <c r="Y276" t="s">
        <v>656</v>
      </c>
      <c r="Z276" s="17">
        <v>42920</v>
      </c>
      <c r="AA276" t="s">
        <v>3</v>
      </c>
      <c r="AB276" t="s">
        <v>862</v>
      </c>
    </row>
    <row r="277" spans="1:28" hidden="1">
      <c r="A277" t="s">
        <v>866</v>
      </c>
      <c r="B277" s="17">
        <v>42921</v>
      </c>
      <c r="C277" s="17">
        <v>42921</v>
      </c>
      <c r="D277" t="s">
        <v>0</v>
      </c>
      <c r="E277" t="s">
        <v>1</v>
      </c>
      <c r="F277" s="18">
        <v>-141808</v>
      </c>
      <c r="G277" s="18">
        <v>-141808</v>
      </c>
      <c r="H277" t="s">
        <v>2</v>
      </c>
      <c r="I277" t="s">
        <v>10</v>
      </c>
      <c r="J277" s="18">
        <v>-11358820.800000001</v>
      </c>
      <c r="K277" t="s">
        <v>867</v>
      </c>
      <c r="L277" t="s">
        <v>9</v>
      </c>
      <c r="M277" t="s">
        <v>868</v>
      </c>
      <c r="N277" t="s">
        <v>3</v>
      </c>
      <c r="O277" t="s">
        <v>3</v>
      </c>
      <c r="P277" t="s">
        <v>5</v>
      </c>
      <c r="Q277" t="s">
        <v>869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68</v>
      </c>
      <c r="X277" s="17">
        <v>43008</v>
      </c>
      <c r="Y277" t="s">
        <v>672</v>
      </c>
      <c r="Z277" s="17">
        <v>42921</v>
      </c>
      <c r="AA277" t="s">
        <v>3</v>
      </c>
      <c r="AB277" t="s">
        <v>866</v>
      </c>
    </row>
    <row r="278" spans="1:28" hidden="1">
      <c r="A278" t="s">
        <v>870</v>
      </c>
      <c r="B278" s="17">
        <v>42921</v>
      </c>
      <c r="C278" s="17">
        <v>42921</v>
      </c>
      <c r="D278" t="s">
        <v>0</v>
      </c>
      <c r="E278" t="s">
        <v>1</v>
      </c>
      <c r="F278" s="18">
        <v>22984</v>
      </c>
      <c r="G278" s="18">
        <v>22984</v>
      </c>
      <c r="H278" t="s">
        <v>2</v>
      </c>
      <c r="I278" t="s">
        <v>8</v>
      </c>
      <c r="J278" s="18">
        <v>1841018.4</v>
      </c>
      <c r="K278" t="s">
        <v>863</v>
      </c>
      <c r="L278" t="s">
        <v>9</v>
      </c>
      <c r="M278" t="s">
        <v>871</v>
      </c>
      <c r="N278" t="s">
        <v>3</v>
      </c>
      <c r="O278" t="s">
        <v>3</v>
      </c>
      <c r="P278" t="s">
        <v>5</v>
      </c>
      <c r="Q278" t="s">
        <v>872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68</v>
      </c>
      <c r="X278" s="17">
        <v>42979</v>
      </c>
      <c r="Y278" t="s">
        <v>656</v>
      </c>
      <c r="Z278" s="17">
        <v>42921</v>
      </c>
      <c r="AA278" t="s">
        <v>3</v>
      </c>
      <c r="AB278" t="s">
        <v>870</v>
      </c>
    </row>
    <row r="279" spans="1:28" hidden="1">
      <c r="A279" t="s">
        <v>873</v>
      </c>
      <c r="B279" s="17">
        <v>42921</v>
      </c>
      <c r="C279" s="17">
        <v>42921</v>
      </c>
      <c r="D279" t="s">
        <v>0</v>
      </c>
      <c r="E279" t="s">
        <v>1</v>
      </c>
      <c r="F279" s="18">
        <v>5464</v>
      </c>
      <c r="G279" s="18">
        <v>5464</v>
      </c>
      <c r="H279" t="s">
        <v>2</v>
      </c>
      <c r="I279" t="s">
        <v>10</v>
      </c>
      <c r="J279" s="18">
        <v>441218</v>
      </c>
      <c r="K279" t="s">
        <v>874</v>
      </c>
      <c r="L279" t="s">
        <v>9</v>
      </c>
      <c r="M279" t="s">
        <v>875</v>
      </c>
      <c r="N279" t="s">
        <v>3</v>
      </c>
      <c r="O279" t="s">
        <v>3</v>
      </c>
      <c r="P279" t="s">
        <v>5</v>
      </c>
      <c r="Q279" t="s">
        <v>876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68</v>
      </c>
      <c r="X279" s="17">
        <v>42979</v>
      </c>
      <c r="Y279" t="s">
        <v>505</v>
      </c>
      <c r="Z279" s="17">
        <v>42921</v>
      </c>
      <c r="AA279" t="s">
        <v>3</v>
      </c>
      <c r="AB279" t="s">
        <v>873</v>
      </c>
    </row>
    <row r="280" spans="1:28" hidden="1">
      <c r="A280" t="s">
        <v>877</v>
      </c>
      <c r="B280" s="17">
        <v>42921</v>
      </c>
      <c r="C280" s="17">
        <v>42921</v>
      </c>
      <c r="D280" t="s">
        <v>0</v>
      </c>
      <c r="E280" t="s">
        <v>1</v>
      </c>
      <c r="F280" s="18">
        <v>5128</v>
      </c>
      <c r="G280" s="18">
        <v>5128</v>
      </c>
      <c r="H280" t="s">
        <v>2</v>
      </c>
      <c r="I280" t="s">
        <v>10</v>
      </c>
      <c r="J280" s="18">
        <v>410855.36</v>
      </c>
      <c r="K280" t="s">
        <v>577</v>
      </c>
      <c r="L280" t="s">
        <v>9</v>
      </c>
      <c r="M280" t="s">
        <v>878</v>
      </c>
      <c r="N280" t="s">
        <v>3</v>
      </c>
      <c r="O280" t="s">
        <v>3</v>
      </c>
      <c r="P280" t="s">
        <v>5</v>
      </c>
      <c r="Q280" t="s">
        <v>879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68</v>
      </c>
      <c r="X280" s="17">
        <v>43008</v>
      </c>
      <c r="Y280" t="s">
        <v>525</v>
      </c>
      <c r="Z280" s="17">
        <v>42921</v>
      </c>
      <c r="AA280" t="s">
        <v>3</v>
      </c>
      <c r="AB280" t="s">
        <v>877</v>
      </c>
    </row>
    <row r="281" spans="1:28" hidden="1">
      <c r="A281" t="s">
        <v>880</v>
      </c>
      <c r="B281" s="17">
        <v>42921</v>
      </c>
      <c r="C281" s="17">
        <v>42921</v>
      </c>
      <c r="D281" t="s">
        <v>0</v>
      </c>
      <c r="E281" t="s">
        <v>1</v>
      </c>
      <c r="F281" s="18">
        <v>13010</v>
      </c>
      <c r="G281" s="18">
        <v>13010</v>
      </c>
      <c r="H281" t="s">
        <v>2</v>
      </c>
      <c r="I281" t="s">
        <v>10</v>
      </c>
      <c r="J281" s="18">
        <v>1042361.2</v>
      </c>
      <c r="K281" t="s">
        <v>577</v>
      </c>
      <c r="L281" t="s">
        <v>9</v>
      </c>
      <c r="M281" t="s">
        <v>881</v>
      </c>
      <c r="N281" t="s">
        <v>3</v>
      </c>
      <c r="O281" t="s">
        <v>3</v>
      </c>
      <c r="P281" t="s">
        <v>5</v>
      </c>
      <c r="Q281" t="s">
        <v>882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68</v>
      </c>
      <c r="X281" s="17">
        <v>43008</v>
      </c>
      <c r="Y281" t="s">
        <v>525</v>
      </c>
      <c r="Z281" s="17">
        <v>42921</v>
      </c>
      <c r="AA281" t="s">
        <v>3</v>
      </c>
      <c r="AB281" t="s">
        <v>880</v>
      </c>
    </row>
    <row r="282" spans="1:28" hidden="1">
      <c r="A282" t="s">
        <v>880</v>
      </c>
      <c r="B282" s="17">
        <v>42921</v>
      </c>
      <c r="C282" s="17">
        <v>42921</v>
      </c>
      <c r="D282" t="s">
        <v>0</v>
      </c>
      <c r="E282" t="s">
        <v>1</v>
      </c>
      <c r="F282" s="18">
        <v>3715</v>
      </c>
      <c r="G282" s="18">
        <v>3715</v>
      </c>
      <c r="H282" t="s">
        <v>2</v>
      </c>
      <c r="I282" t="s">
        <v>10</v>
      </c>
      <c r="J282" s="18">
        <v>297645.8</v>
      </c>
      <c r="K282" t="s">
        <v>883</v>
      </c>
      <c r="L282" t="s">
        <v>9</v>
      </c>
      <c r="M282" t="s">
        <v>881</v>
      </c>
      <c r="N282" t="s">
        <v>3</v>
      </c>
      <c r="O282" t="s">
        <v>3</v>
      </c>
      <c r="P282" t="s">
        <v>5</v>
      </c>
      <c r="Q282" t="s">
        <v>882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68</v>
      </c>
      <c r="X282" s="17">
        <v>43008</v>
      </c>
      <c r="Y282" t="s">
        <v>575</v>
      </c>
      <c r="Z282" s="17">
        <v>42921</v>
      </c>
      <c r="AA282" t="s">
        <v>3</v>
      </c>
      <c r="AB282" t="s">
        <v>880</v>
      </c>
    </row>
    <row r="283" spans="1:28" hidden="1">
      <c r="A283" t="s">
        <v>884</v>
      </c>
      <c r="B283" s="17">
        <v>42925</v>
      </c>
      <c r="C283" s="17">
        <v>42925</v>
      </c>
      <c r="D283" t="s">
        <v>0</v>
      </c>
      <c r="E283" t="s">
        <v>1</v>
      </c>
      <c r="F283" s="18">
        <v>11442</v>
      </c>
      <c r="G283" s="18">
        <v>11442</v>
      </c>
      <c r="H283" t="s">
        <v>2</v>
      </c>
      <c r="I283" t="s">
        <v>10</v>
      </c>
      <c r="J283" s="18">
        <v>916733.04</v>
      </c>
      <c r="K283" t="s">
        <v>577</v>
      </c>
      <c r="L283" t="s">
        <v>9</v>
      </c>
      <c r="M283" t="s">
        <v>885</v>
      </c>
      <c r="N283" t="s">
        <v>3</v>
      </c>
      <c r="O283" t="s">
        <v>3</v>
      </c>
      <c r="P283" t="s">
        <v>5</v>
      </c>
      <c r="Q283" t="s">
        <v>886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68</v>
      </c>
      <c r="X283" s="17">
        <v>43008</v>
      </c>
      <c r="Y283" t="s">
        <v>525</v>
      </c>
      <c r="Z283" s="17">
        <v>42925</v>
      </c>
      <c r="AA283" t="s">
        <v>3</v>
      </c>
      <c r="AB283" t="s">
        <v>884</v>
      </c>
    </row>
    <row r="284" spans="1:28" hidden="1">
      <c r="A284" t="s">
        <v>887</v>
      </c>
      <c r="B284" s="17">
        <v>42925</v>
      </c>
      <c r="C284" s="17">
        <v>42925</v>
      </c>
      <c r="D284" t="s">
        <v>0</v>
      </c>
      <c r="E284" t="s">
        <v>1</v>
      </c>
      <c r="F284" s="18">
        <v>13396</v>
      </c>
      <c r="G284" s="18">
        <v>13396</v>
      </c>
      <c r="H284" t="s">
        <v>2</v>
      </c>
      <c r="I284" t="s">
        <v>8</v>
      </c>
      <c r="J284" s="18">
        <v>1073019.6000000001</v>
      </c>
      <c r="K284" t="s">
        <v>888</v>
      </c>
      <c r="L284" t="s">
        <v>9</v>
      </c>
      <c r="M284" t="s">
        <v>889</v>
      </c>
      <c r="N284" t="s">
        <v>3</v>
      </c>
      <c r="O284" t="s">
        <v>3</v>
      </c>
      <c r="P284" t="s">
        <v>5</v>
      </c>
      <c r="Q284" t="s">
        <v>890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68</v>
      </c>
      <c r="X284" s="17">
        <v>42979</v>
      </c>
      <c r="Y284" t="s">
        <v>656</v>
      </c>
      <c r="Z284" s="17">
        <v>42925</v>
      </c>
      <c r="AA284" t="s">
        <v>3</v>
      </c>
      <c r="AB284" t="s">
        <v>887</v>
      </c>
    </row>
    <row r="285" spans="1:28" hidden="1">
      <c r="A285" t="s">
        <v>891</v>
      </c>
      <c r="B285" s="17">
        <v>42925</v>
      </c>
      <c r="C285" s="17">
        <v>42925</v>
      </c>
      <c r="D285" t="s">
        <v>0</v>
      </c>
      <c r="E285" t="s">
        <v>1</v>
      </c>
      <c r="F285" s="18">
        <v>3945</v>
      </c>
      <c r="G285" s="18">
        <v>3945</v>
      </c>
      <c r="H285" t="s">
        <v>2</v>
      </c>
      <c r="I285" t="s">
        <v>8</v>
      </c>
      <c r="J285" s="18">
        <v>315994.5</v>
      </c>
      <c r="K285" t="s">
        <v>888</v>
      </c>
      <c r="L285" t="s">
        <v>9</v>
      </c>
      <c r="M285" t="s">
        <v>892</v>
      </c>
      <c r="N285" t="s">
        <v>3</v>
      </c>
      <c r="O285" t="s">
        <v>3</v>
      </c>
      <c r="P285" t="s">
        <v>5</v>
      </c>
      <c r="Q285" t="s">
        <v>893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68</v>
      </c>
      <c r="X285" s="17">
        <v>42979</v>
      </c>
      <c r="Y285" t="s">
        <v>656</v>
      </c>
      <c r="Z285" s="17">
        <v>42925</v>
      </c>
      <c r="AA285" t="s">
        <v>3</v>
      </c>
      <c r="AB285" t="s">
        <v>891</v>
      </c>
    </row>
    <row r="286" spans="1:28" hidden="1">
      <c r="A286" t="s">
        <v>894</v>
      </c>
      <c r="B286" s="17">
        <v>42927</v>
      </c>
      <c r="C286" s="17">
        <v>42927</v>
      </c>
      <c r="D286" t="s">
        <v>0</v>
      </c>
      <c r="E286" t="s">
        <v>1</v>
      </c>
      <c r="F286" s="18">
        <v>107108</v>
      </c>
      <c r="G286" s="18">
        <v>107108</v>
      </c>
      <c r="H286" t="s">
        <v>2</v>
      </c>
      <c r="I286" t="s">
        <v>10</v>
      </c>
      <c r="J286" s="18">
        <v>8579350.8000000007</v>
      </c>
      <c r="K286" t="s">
        <v>895</v>
      </c>
      <c r="L286" t="s">
        <v>9</v>
      </c>
      <c r="M286" t="s">
        <v>896</v>
      </c>
      <c r="N286" t="s">
        <v>3</v>
      </c>
      <c r="O286" t="s">
        <v>3</v>
      </c>
      <c r="P286" t="s">
        <v>5</v>
      </c>
      <c r="Q286" t="s">
        <v>897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68</v>
      </c>
      <c r="X286" s="17">
        <v>43008</v>
      </c>
      <c r="Y286" t="s">
        <v>672</v>
      </c>
      <c r="Z286" s="17">
        <v>42927</v>
      </c>
      <c r="AA286" t="s">
        <v>3</v>
      </c>
      <c r="AB286" t="s">
        <v>894</v>
      </c>
    </row>
    <row r="287" spans="1:28" hidden="1">
      <c r="A287" t="s">
        <v>898</v>
      </c>
      <c r="B287" s="17">
        <v>42929</v>
      </c>
      <c r="C287" s="17">
        <v>42929</v>
      </c>
      <c r="D287" t="s">
        <v>0</v>
      </c>
      <c r="E287" t="s">
        <v>1</v>
      </c>
      <c r="F287" s="18">
        <v>-74584</v>
      </c>
      <c r="G287" s="18">
        <v>-74584</v>
      </c>
      <c r="H287" t="s">
        <v>2</v>
      </c>
      <c r="I287" t="s">
        <v>10</v>
      </c>
      <c r="J287" s="18">
        <v>-5974178.4100000001</v>
      </c>
      <c r="K287" t="s">
        <v>899</v>
      </c>
      <c r="L287" t="s">
        <v>9</v>
      </c>
      <c r="M287" t="s">
        <v>900</v>
      </c>
      <c r="N287" t="s">
        <v>3</v>
      </c>
      <c r="O287" t="s">
        <v>3</v>
      </c>
      <c r="P287" t="s">
        <v>5</v>
      </c>
      <c r="Q287" t="s">
        <v>901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68</v>
      </c>
      <c r="X287" s="17">
        <v>42979</v>
      </c>
      <c r="Y287" t="s">
        <v>688</v>
      </c>
      <c r="Z287" s="17">
        <v>42929</v>
      </c>
      <c r="AA287" t="s">
        <v>3</v>
      </c>
      <c r="AB287" t="s">
        <v>898</v>
      </c>
    </row>
    <row r="288" spans="1:28" hidden="1">
      <c r="A288" t="s">
        <v>902</v>
      </c>
      <c r="B288" s="17">
        <v>42932</v>
      </c>
      <c r="C288" s="17">
        <v>42932</v>
      </c>
      <c r="D288" t="s">
        <v>0</v>
      </c>
      <c r="E288" t="s">
        <v>1</v>
      </c>
      <c r="F288" s="18">
        <v>11836</v>
      </c>
      <c r="G288" s="18">
        <v>11836</v>
      </c>
      <c r="H288" t="s">
        <v>2</v>
      </c>
      <c r="I288" t="s">
        <v>10</v>
      </c>
      <c r="J288" s="18">
        <v>955757</v>
      </c>
      <c r="K288" t="s">
        <v>590</v>
      </c>
      <c r="L288" t="s">
        <v>9</v>
      </c>
      <c r="M288" t="s">
        <v>903</v>
      </c>
      <c r="N288" t="s">
        <v>3</v>
      </c>
      <c r="O288" t="s">
        <v>3</v>
      </c>
      <c r="P288" t="s">
        <v>5</v>
      </c>
      <c r="Q288" t="s">
        <v>904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68</v>
      </c>
      <c r="X288" s="17">
        <v>43008</v>
      </c>
      <c r="Y288" t="s">
        <v>495</v>
      </c>
      <c r="Z288" s="17">
        <v>42932</v>
      </c>
      <c r="AA288" t="s">
        <v>3</v>
      </c>
      <c r="AB288" t="s">
        <v>902</v>
      </c>
    </row>
    <row r="289" spans="1:28" hidden="1">
      <c r="A289" t="s">
        <v>902</v>
      </c>
      <c r="B289" s="17">
        <v>42932</v>
      </c>
      <c r="C289" s="17">
        <v>42932</v>
      </c>
      <c r="D289" t="s">
        <v>0</v>
      </c>
      <c r="E289" t="s">
        <v>1</v>
      </c>
      <c r="F289" s="18">
        <v>34878</v>
      </c>
      <c r="G289" s="18">
        <v>34878</v>
      </c>
      <c r="H289" t="s">
        <v>2</v>
      </c>
      <c r="I289" t="s">
        <v>10</v>
      </c>
      <c r="J289" s="18">
        <v>2794425.36</v>
      </c>
      <c r="K289" t="s">
        <v>577</v>
      </c>
      <c r="L289" t="s">
        <v>9</v>
      </c>
      <c r="M289" t="s">
        <v>903</v>
      </c>
      <c r="N289" t="s">
        <v>3</v>
      </c>
      <c r="O289" t="s">
        <v>3</v>
      </c>
      <c r="P289" t="s">
        <v>5</v>
      </c>
      <c r="Q289" t="s">
        <v>904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68</v>
      </c>
      <c r="X289" s="17">
        <v>43008</v>
      </c>
      <c r="Y289" t="s">
        <v>525</v>
      </c>
      <c r="Z289" s="17">
        <v>42932</v>
      </c>
      <c r="AA289" t="s">
        <v>3</v>
      </c>
      <c r="AB289" t="s">
        <v>902</v>
      </c>
    </row>
    <row r="290" spans="1:28" hidden="1">
      <c r="A290" t="s">
        <v>902</v>
      </c>
      <c r="B290" s="17">
        <v>42932</v>
      </c>
      <c r="C290" s="17">
        <v>42932</v>
      </c>
      <c r="D290" t="s">
        <v>0</v>
      </c>
      <c r="E290" t="s">
        <v>1</v>
      </c>
      <c r="F290" s="18">
        <v>58305</v>
      </c>
      <c r="G290" s="18">
        <v>58305</v>
      </c>
      <c r="H290" t="s">
        <v>2</v>
      </c>
      <c r="I290" t="s">
        <v>10</v>
      </c>
      <c r="J290" s="18">
        <v>4671396.5999999996</v>
      </c>
      <c r="K290" t="s">
        <v>883</v>
      </c>
      <c r="L290" t="s">
        <v>9</v>
      </c>
      <c r="M290" t="s">
        <v>903</v>
      </c>
      <c r="N290" t="s">
        <v>3</v>
      </c>
      <c r="O290" t="s">
        <v>3</v>
      </c>
      <c r="P290" t="s">
        <v>5</v>
      </c>
      <c r="Q290" t="s">
        <v>904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68</v>
      </c>
      <c r="X290" s="17">
        <v>43008</v>
      </c>
      <c r="Y290" t="s">
        <v>575</v>
      </c>
      <c r="Z290" s="17">
        <v>42932</v>
      </c>
      <c r="AA290" t="s">
        <v>3</v>
      </c>
      <c r="AB290" t="s">
        <v>902</v>
      </c>
    </row>
    <row r="291" spans="1:28" hidden="1">
      <c r="A291" t="s">
        <v>905</v>
      </c>
      <c r="B291" s="17">
        <v>42932</v>
      </c>
      <c r="C291" s="17">
        <v>42932</v>
      </c>
      <c r="D291" t="s">
        <v>0</v>
      </c>
      <c r="E291" t="s">
        <v>1</v>
      </c>
      <c r="F291" s="18">
        <v>11997</v>
      </c>
      <c r="G291" s="18">
        <v>11997</v>
      </c>
      <c r="H291" t="s">
        <v>2</v>
      </c>
      <c r="I291" t="s">
        <v>10</v>
      </c>
      <c r="J291" s="18">
        <v>960959.7</v>
      </c>
      <c r="K291" t="s">
        <v>895</v>
      </c>
      <c r="L291" t="s">
        <v>9</v>
      </c>
      <c r="M291" t="s">
        <v>906</v>
      </c>
      <c r="N291" t="s">
        <v>3</v>
      </c>
      <c r="O291" t="s">
        <v>3</v>
      </c>
      <c r="P291" t="s">
        <v>5</v>
      </c>
      <c r="Q291" t="s">
        <v>907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68</v>
      </c>
      <c r="X291" s="17">
        <v>43008</v>
      </c>
      <c r="Y291" t="s">
        <v>672</v>
      </c>
      <c r="Z291" s="17">
        <v>42932</v>
      </c>
      <c r="AA291" t="s">
        <v>3</v>
      </c>
      <c r="AB291" t="s">
        <v>905</v>
      </c>
    </row>
    <row r="292" spans="1:28" hidden="1">
      <c r="A292" t="s">
        <v>908</v>
      </c>
      <c r="B292" s="17">
        <v>42932</v>
      </c>
      <c r="C292" s="17">
        <v>42932</v>
      </c>
      <c r="D292" t="s">
        <v>0</v>
      </c>
      <c r="E292" t="s">
        <v>1</v>
      </c>
      <c r="F292" s="18">
        <v>50748</v>
      </c>
      <c r="G292" s="18">
        <v>50748</v>
      </c>
      <c r="H292" t="s">
        <v>2</v>
      </c>
      <c r="I292" t="s">
        <v>8</v>
      </c>
      <c r="J292" s="18">
        <v>4064914.8</v>
      </c>
      <c r="K292" t="s">
        <v>888</v>
      </c>
      <c r="L292" t="s">
        <v>9</v>
      </c>
      <c r="M292" t="s">
        <v>909</v>
      </c>
      <c r="N292" t="s">
        <v>3</v>
      </c>
      <c r="O292" t="s">
        <v>3</v>
      </c>
      <c r="P292" t="s">
        <v>5</v>
      </c>
      <c r="Q292" t="s">
        <v>910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68</v>
      </c>
      <c r="X292" s="17">
        <v>42979</v>
      </c>
      <c r="Y292" t="s">
        <v>656</v>
      </c>
      <c r="Z292" s="17">
        <v>42932</v>
      </c>
      <c r="AA292" t="s">
        <v>3</v>
      </c>
      <c r="AB292" t="s">
        <v>908</v>
      </c>
    </row>
    <row r="293" spans="1:28" hidden="1">
      <c r="A293" t="s">
        <v>911</v>
      </c>
      <c r="B293" s="17">
        <v>42934</v>
      </c>
      <c r="C293" s="17">
        <v>42934</v>
      </c>
      <c r="D293" t="s">
        <v>0</v>
      </c>
      <c r="E293" t="s">
        <v>1</v>
      </c>
      <c r="F293" s="18">
        <v>24497</v>
      </c>
      <c r="G293" s="18">
        <v>24497</v>
      </c>
      <c r="H293" t="s">
        <v>2</v>
      </c>
      <c r="I293" t="s">
        <v>8</v>
      </c>
      <c r="J293" s="18">
        <v>1962209.7</v>
      </c>
      <c r="K293" t="s">
        <v>888</v>
      </c>
      <c r="L293" t="s">
        <v>9</v>
      </c>
      <c r="M293" t="s">
        <v>912</v>
      </c>
      <c r="N293" t="s">
        <v>3</v>
      </c>
      <c r="O293" t="s">
        <v>3</v>
      </c>
      <c r="P293" t="s">
        <v>5</v>
      </c>
      <c r="Q293" t="s">
        <v>913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68</v>
      </c>
      <c r="X293" s="17">
        <v>42979</v>
      </c>
      <c r="Y293" t="s">
        <v>656</v>
      </c>
      <c r="Z293" s="17">
        <v>42934</v>
      </c>
      <c r="AA293" t="s">
        <v>3</v>
      </c>
      <c r="AB293" t="s">
        <v>911</v>
      </c>
    </row>
    <row r="294" spans="1:28" hidden="1">
      <c r="A294" t="s">
        <v>914</v>
      </c>
      <c r="B294" s="17">
        <v>42934</v>
      </c>
      <c r="C294" s="17">
        <v>42934</v>
      </c>
      <c r="D294" t="s">
        <v>0</v>
      </c>
      <c r="E294" t="s">
        <v>1</v>
      </c>
      <c r="F294" s="18">
        <v>35844</v>
      </c>
      <c r="G294" s="18">
        <v>35844</v>
      </c>
      <c r="H294" t="s">
        <v>2</v>
      </c>
      <c r="I294" t="s">
        <v>8</v>
      </c>
      <c r="J294" s="18">
        <v>2871104.4</v>
      </c>
      <c r="K294" t="s">
        <v>888</v>
      </c>
      <c r="L294" t="s">
        <v>9</v>
      </c>
      <c r="M294" t="s">
        <v>915</v>
      </c>
      <c r="N294" t="s">
        <v>3</v>
      </c>
      <c r="O294" t="s">
        <v>3</v>
      </c>
      <c r="P294" t="s">
        <v>5</v>
      </c>
      <c r="Q294" t="s">
        <v>916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68</v>
      </c>
      <c r="X294" s="17">
        <v>42979</v>
      </c>
      <c r="Y294" t="s">
        <v>656</v>
      </c>
      <c r="Z294" s="17">
        <v>42934</v>
      </c>
      <c r="AA294" t="s">
        <v>3</v>
      </c>
      <c r="AB294" t="s">
        <v>914</v>
      </c>
    </row>
    <row r="295" spans="1:28" hidden="1">
      <c r="A295" t="s">
        <v>917</v>
      </c>
      <c r="B295" s="17">
        <v>42934</v>
      </c>
      <c r="C295" s="17">
        <v>42934</v>
      </c>
      <c r="D295" t="s">
        <v>0</v>
      </c>
      <c r="E295" t="s">
        <v>1</v>
      </c>
      <c r="F295" s="18">
        <v>5072</v>
      </c>
      <c r="G295" s="18">
        <v>5072</v>
      </c>
      <c r="H295" t="s">
        <v>2</v>
      </c>
      <c r="I295" t="s">
        <v>8</v>
      </c>
      <c r="J295" s="18">
        <v>406267.2</v>
      </c>
      <c r="K295" t="s">
        <v>888</v>
      </c>
      <c r="L295" t="s">
        <v>9</v>
      </c>
      <c r="M295" t="s">
        <v>918</v>
      </c>
      <c r="N295" t="s">
        <v>3</v>
      </c>
      <c r="O295" t="s">
        <v>3</v>
      </c>
      <c r="P295" t="s">
        <v>5</v>
      </c>
      <c r="Q295" t="s">
        <v>919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68</v>
      </c>
      <c r="X295" s="17">
        <v>42979</v>
      </c>
      <c r="Y295" t="s">
        <v>656</v>
      </c>
      <c r="Z295" s="17">
        <v>42934</v>
      </c>
      <c r="AA295" t="s">
        <v>3</v>
      </c>
      <c r="AB295" t="s">
        <v>917</v>
      </c>
    </row>
    <row r="296" spans="1:28" hidden="1">
      <c r="A296" t="s">
        <v>920</v>
      </c>
      <c r="B296" s="17">
        <v>42936</v>
      </c>
      <c r="C296" s="17">
        <v>42936</v>
      </c>
      <c r="D296" t="s">
        <v>0</v>
      </c>
      <c r="E296" t="s">
        <v>1</v>
      </c>
      <c r="F296" s="18">
        <v>227028</v>
      </c>
      <c r="G296" s="18">
        <v>227028</v>
      </c>
      <c r="H296" t="s">
        <v>2</v>
      </c>
      <c r="I296" t="s">
        <v>8</v>
      </c>
      <c r="J296" s="18">
        <v>18184942.800000001</v>
      </c>
      <c r="K296" t="s">
        <v>888</v>
      </c>
      <c r="L296" t="s">
        <v>9</v>
      </c>
      <c r="M296" t="s">
        <v>921</v>
      </c>
      <c r="N296" t="s">
        <v>3</v>
      </c>
      <c r="O296" t="s">
        <v>3</v>
      </c>
      <c r="P296" t="s">
        <v>5</v>
      </c>
      <c r="Q296" t="s">
        <v>922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68</v>
      </c>
      <c r="X296" s="17">
        <v>42979</v>
      </c>
      <c r="Y296" t="s">
        <v>656</v>
      </c>
      <c r="Z296" s="17">
        <v>42936</v>
      </c>
      <c r="AA296" t="s">
        <v>3</v>
      </c>
      <c r="AB296" t="s">
        <v>920</v>
      </c>
    </row>
    <row r="297" spans="1:28" hidden="1">
      <c r="A297" t="s">
        <v>923</v>
      </c>
      <c r="B297" s="17">
        <v>42936</v>
      </c>
      <c r="C297" s="17">
        <v>42936</v>
      </c>
      <c r="D297" t="s">
        <v>0</v>
      </c>
      <c r="E297" t="s">
        <v>1</v>
      </c>
      <c r="F297" s="18">
        <v>124506</v>
      </c>
      <c r="G297" s="18">
        <v>124506</v>
      </c>
      <c r="H297" t="s">
        <v>2</v>
      </c>
      <c r="I297" t="s">
        <v>8</v>
      </c>
      <c r="J297" s="18">
        <v>9972930.5999999996</v>
      </c>
      <c r="K297" t="s">
        <v>888</v>
      </c>
      <c r="L297" t="s">
        <v>9</v>
      </c>
      <c r="M297" t="s">
        <v>924</v>
      </c>
      <c r="N297" t="s">
        <v>3</v>
      </c>
      <c r="O297" t="s">
        <v>3</v>
      </c>
      <c r="P297" t="s">
        <v>5</v>
      </c>
      <c r="Q297" t="s">
        <v>925</v>
      </c>
      <c r="R297" t="s">
        <v>3</v>
      </c>
      <c r="S297" t="s">
        <v>3</v>
      </c>
      <c r="T297" t="s">
        <v>3</v>
      </c>
      <c r="U297" t="s">
        <v>3</v>
      </c>
      <c r="V297" t="s">
        <v>3</v>
      </c>
      <c r="W297" t="s">
        <v>68</v>
      </c>
      <c r="X297" s="17">
        <v>42979</v>
      </c>
      <c r="Y297" t="s">
        <v>656</v>
      </c>
      <c r="Z297" s="17">
        <v>42936</v>
      </c>
      <c r="AA297" t="s">
        <v>3</v>
      </c>
      <c r="AB297" t="s">
        <v>923</v>
      </c>
    </row>
    <row r="298" spans="1:28" hidden="1">
      <c r="A298" t="s">
        <v>926</v>
      </c>
      <c r="B298" s="17">
        <v>42936</v>
      </c>
      <c r="C298" s="17">
        <v>42936</v>
      </c>
      <c r="D298" t="s">
        <v>0</v>
      </c>
      <c r="E298" t="s">
        <v>1</v>
      </c>
      <c r="F298" s="18">
        <v>791</v>
      </c>
      <c r="G298" s="18">
        <v>791</v>
      </c>
      <c r="H298" t="s">
        <v>2</v>
      </c>
      <c r="I298" t="s">
        <v>10</v>
      </c>
      <c r="J298" s="18">
        <v>63873.25</v>
      </c>
      <c r="K298" t="s">
        <v>927</v>
      </c>
      <c r="L298" t="s">
        <v>9</v>
      </c>
      <c r="M298" t="s">
        <v>928</v>
      </c>
      <c r="N298" t="s">
        <v>3</v>
      </c>
      <c r="O298" t="s">
        <v>3</v>
      </c>
      <c r="P298" t="s">
        <v>5</v>
      </c>
      <c r="Q298" t="s">
        <v>929</v>
      </c>
      <c r="R298" t="s">
        <v>3</v>
      </c>
      <c r="S298" t="s">
        <v>3</v>
      </c>
      <c r="T298" t="s">
        <v>3</v>
      </c>
      <c r="U298" t="s">
        <v>3</v>
      </c>
      <c r="V298" t="s">
        <v>3</v>
      </c>
      <c r="W298" t="s">
        <v>68</v>
      </c>
      <c r="X298" s="17">
        <v>43008</v>
      </c>
      <c r="Y298" t="s">
        <v>449</v>
      </c>
      <c r="Z298" s="17">
        <v>42936</v>
      </c>
      <c r="AA298" t="s">
        <v>3</v>
      </c>
      <c r="AB298" t="s">
        <v>926</v>
      </c>
    </row>
    <row r="299" spans="1:28" hidden="1">
      <c r="A299" t="s">
        <v>926</v>
      </c>
      <c r="B299" s="17">
        <v>42936</v>
      </c>
      <c r="C299" s="17">
        <v>42936</v>
      </c>
      <c r="D299" t="s">
        <v>0</v>
      </c>
      <c r="E299" t="s">
        <v>1</v>
      </c>
      <c r="F299" s="18">
        <v>58492</v>
      </c>
      <c r="G299" s="18">
        <v>58492</v>
      </c>
      <c r="H299" t="s">
        <v>2</v>
      </c>
      <c r="I299" t="s">
        <v>10</v>
      </c>
      <c r="J299" s="18">
        <v>4685209.21</v>
      </c>
      <c r="K299" t="s">
        <v>930</v>
      </c>
      <c r="L299" t="s">
        <v>9</v>
      </c>
      <c r="M299" t="s">
        <v>928</v>
      </c>
      <c r="N299" t="s">
        <v>3</v>
      </c>
      <c r="O299" t="s">
        <v>3</v>
      </c>
      <c r="P299" t="s">
        <v>5</v>
      </c>
      <c r="Q299" t="s">
        <v>929</v>
      </c>
      <c r="R299" t="s">
        <v>3</v>
      </c>
      <c r="S299" t="s">
        <v>3</v>
      </c>
      <c r="T299" t="s">
        <v>3</v>
      </c>
      <c r="U299" t="s">
        <v>3</v>
      </c>
      <c r="V299" t="s">
        <v>3</v>
      </c>
      <c r="W299" t="s">
        <v>68</v>
      </c>
      <c r="X299" s="17">
        <v>42979</v>
      </c>
      <c r="Y299" t="s">
        <v>688</v>
      </c>
      <c r="Z299" s="17">
        <v>42936</v>
      </c>
      <c r="AA299" t="s">
        <v>3</v>
      </c>
      <c r="AB299" t="s">
        <v>926</v>
      </c>
    </row>
    <row r="300" spans="1:28" hidden="1">
      <c r="A300" t="s">
        <v>931</v>
      </c>
      <c r="B300" s="17">
        <v>42939</v>
      </c>
      <c r="C300" s="17">
        <v>42939</v>
      </c>
      <c r="D300" t="s">
        <v>0</v>
      </c>
      <c r="E300" t="s">
        <v>1</v>
      </c>
      <c r="F300" s="18">
        <v>9599</v>
      </c>
      <c r="G300" s="18">
        <v>9599</v>
      </c>
      <c r="H300" t="s">
        <v>2</v>
      </c>
      <c r="I300" t="s">
        <v>8</v>
      </c>
      <c r="J300" s="18">
        <v>768879.9</v>
      </c>
      <c r="K300" t="s">
        <v>888</v>
      </c>
      <c r="L300" t="s">
        <v>9</v>
      </c>
      <c r="M300" t="s">
        <v>932</v>
      </c>
      <c r="N300" t="s">
        <v>3</v>
      </c>
      <c r="O300" t="s">
        <v>3</v>
      </c>
      <c r="P300" t="s">
        <v>5</v>
      </c>
      <c r="Q300" t="s">
        <v>933</v>
      </c>
      <c r="R300" t="s">
        <v>3</v>
      </c>
      <c r="S300" t="s">
        <v>3</v>
      </c>
      <c r="T300" t="s">
        <v>3</v>
      </c>
      <c r="U300" t="s">
        <v>3</v>
      </c>
      <c r="V300" t="s">
        <v>3</v>
      </c>
      <c r="W300" t="s">
        <v>68</v>
      </c>
      <c r="X300" s="17">
        <v>42979</v>
      </c>
      <c r="Y300" t="s">
        <v>656</v>
      </c>
      <c r="Z300" s="17">
        <v>42939</v>
      </c>
      <c r="AA300" t="s">
        <v>3</v>
      </c>
      <c r="AB300" t="s">
        <v>931</v>
      </c>
    </row>
    <row r="301" spans="1:28" hidden="1">
      <c r="A301" t="s">
        <v>934</v>
      </c>
      <c r="B301" s="17">
        <v>42940</v>
      </c>
      <c r="C301" s="17">
        <v>42940</v>
      </c>
      <c r="D301" t="s">
        <v>0</v>
      </c>
      <c r="E301" t="s">
        <v>1</v>
      </c>
      <c r="F301" s="18">
        <v>4911</v>
      </c>
      <c r="G301" s="18">
        <v>4911</v>
      </c>
      <c r="H301" t="s">
        <v>2</v>
      </c>
      <c r="I301" t="s">
        <v>8</v>
      </c>
      <c r="J301" s="18">
        <v>393371.1</v>
      </c>
      <c r="K301" t="s">
        <v>888</v>
      </c>
      <c r="L301" t="s">
        <v>9</v>
      </c>
      <c r="M301" t="s">
        <v>935</v>
      </c>
      <c r="N301" t="s">
        <v>3</v>
      </c>
      <c r="O301" t="s">
        <v>3</v>
      </c>
      <c r="P301" t="s">
        <v>5</v>
      </c>
      <c r="Q301" t="s">
        <v>936</v>
      </c>
      <c r="R301" t="s">
        <v>3</v>
      </c>
      <c r="S301" t="s">
        <v>3</v>
      </c>
      <c r="T301" t="s">
        <v>3</v>
      </c>
      <c r="U301" t="s">
        <v>3</v>
      </c>
      <c r="V301" t="s">
        <v>3</v>
      </c>
      <c r="W301" t="s">
        <v>68</v>
      </c>
      <c r="X301" s="17">
        <v>42979</v>
      </c>
      <c r="Y301" t="s">
        <v>656</v>
      </c>
      <c r="Z301" s="17">
        <v>42940</v>
      </c>
      <c r="AA301" t="s">
        <v>3</v>
      </c>
      <c r="AB301" t="s">
        <v>934</v>
      </c>
    </row>
    <row r="302" spans="1:28" hidden="1">
      <c r="A302" t="s">
        <v>937</v>
      </c>
      <c r="B302" s="17">
        <v>42940</v>
      </c>
      <c r="C302" s="17">
        <v>42940</v>
      </c>
      <c r="D302" t="s">
        <v>0</v>
      </c>
      <c r="E302" t="s">
        <v>1</v>
      </c>
      <c r="F302" s="18">
        <v>6307</v>
      </c>
      <c r="G302" s="18">
        <v>6307</v>
      </c>
      <c r="H302" t="s">
        <v>2</v>
      </c>
      <c r="I302" t="s">
        <v>10</v>
      </c>
      <c r="J302" s="18">
        <v>505190.7</v>
      </c>
      <c r="K302" t="s">
        <v>930</v>
      </c>
      <c r="L302" t="s">
        <v>9</v>
      </c>
      <c r="M302" t="s">
        <v>938</v>
      </c>
      <c r="N302" t="s">
        <v>3</v>
      </c>
      <c r="O302" t="s">
        <v>3</v>
      </c>
      <c r="P302" t="s">
        <v>5</v>
      </c>
      <c r="Q302" t="s">
        <v>939</v>
      </c>
      <c r="R302" t="s">
        <v>3</v>
      </c>
      <c r="S302" t="s">
        <v>3</v>
      </c>
      <c r="T302" t="s">
        <v>3</v>
      </c>
      <c r="U302" t="s">
        <v>3</v>
      </c>
      <c r="V302" t="s">
        <v>3</v>
      </c>
      <c r="W302" t="s">
        <v>68</v>
      </c>
      <c r="X302" s="17">
        <v>42979</v>
      </c>
      <c r="Y302" t="s">
        <v>688</v>
      </c>
      <c r="Z302" s="17">
        <v>42940</v>
      </c>
      <c r="AA302" t="s">
        <v>3</v>
      </c>
      <c r="AB302" t="s">
        <v>937</v>
      </c>
    </row>
    <row r="303" spans="1:28" hidden="1">
      <c r="A303" t="s">
        <v>940</v>
      </c>
      <c r="B303" s="17">
        <v>42943</v>
      </c>
      <c r="C303" s="17">
        <v>42943</v>
      </c>
      <c r="D303" t="s">
        <v>0</v>
      </c>
      <c r="E303" t="s">
        <v>1</v>
      </c>
      <c r="F303" s="18">
        <v>-139323</v>
      </c>
      <c r="G303" s="18">
        <v>-139323</v>
      </c>
      <c r="H303" t="s">
        <v>2</v>
      </c>
      <c r="I303" t="s">
        <v>10</v>
      </c>
      <c r="J303" s="18">
        <v>-11159772.300000001</v>
      </c>
      <c r="K303" t="s">
        <v>941</v>
      </c>
      <c r="L303" t="s">
        <v>9</v>
      </c>
      <c r="M303" t="s">
        <v>942</v>
      </c>
      <c r="N303" t="s">
        <v>3</v>
      </c>
      <c r="O303" t="s">
        <v>3</v>
      </c>
      <c r="P303" t="s">
        <v>5</v>
      </c>
      <c r="Q303" t="s">
        <v>943</v>
      </c>
      <c r="R303" t="s">
        <v>3</v>
      </c>
      <c r="S303" t="s">
        <v>3</v>
      </c>
      <c r="T303" t="s">
        <v>3</v>
      </c>
      <c r="U303" t="s">
        <v>3</v>
      </c>
      <c r="V303" t="s">
        <v>3</v>
      </c>
      <c r="W303" t="s">
        <v>68</v>
      </c>
      <c r="X303" s="17">
        <v>43008</v>
      </c>
      <c r="Y303" t="s">
        <v>675</v>
      </c>
      <c r="Z303" s="17">
        <v>42943</v>
      </c>
      <c r="AA303" t="s">
        <v>3</v>
      </c>
      <c r="AB303" t="s">
        <v>940</v>
      </c>
    </row>
    <row r="304" spans="1:28" hidden="1">
      <c r="A304" t="s">
        <v>944</v>
      </c>
      <c r="B304" s="17">
        <v>42946</v>
      </c>
      <c r="C304" s="17">
        <v>42946</v>
      </c>
      <c r="D304" t="s">
        <v>0</v>
      </c>
      <c r="E304" t="s">
        <v>1</v>
      </c>
      <c r="F304" s="18">
        <v>116462</v>
      </c>
      <c r="G304" s="18">
        <v>116462</v>
      </c>
      <c r="H304" t="s">
        <v>2</v>
      </c>
      <c r="I304" t="s">
        <v>8</v>
      </c>
      <c r="J304" s="18">
        <v>9328606.1999999993</v>
      </c>
      <c r="K304" t="s">
        <v>945</v>
      </c>
      <c r="L304" t="s">
        <v>9</v>
      </c>
      <c r="M304" t="s">
        <v>946</v>
      </c>
      <c r="N304" t="s">
        <v>3</v>
      </c>
      <c r="O304" t="s">
        <v>3</v>
      </c>
      <c r="P304" t="s">
        <v>5</v>
      </c>
      <c r="Q304" t="s">
        <v>947</v>
      </c>
      <c r="R304" t="s">
        <v>3</v>
      </c>
      <c r="S304" t="s">
        <v>3</v>
      </c>
      <c r="T304" t="s">
        <v>3</v>
      </c>
      <c r="U304" t="s">
        <v>3</v>
      </c>
      <c r="V304" t="s">
        <v>3</v>
      </c>
      <c r="W304" t="s">
        <v>68</v>
      </c>
      <c r="X304" s="17">
        <v>42979</v>
      </c>
      <c r="Y304" t="s">
        <v>656</v>
      </c>
      <c r="Z304" s="17">
        <v>42946</v>
      </c>
      <c r="AA304" t="s">
        <v>3</v>
      </c>
      <c r="AB304" t="s">
        <v>944</v>
      </c>
    </row>
    <row r="305" spans="1:28" hidden="1">
      <c r="A305" t="s">
        <v>948</v>
      </c>
      <c r="B305" s="17">
        <v>42946</v>
      </c>
      <c r="C305" s="17">
        <v>42946</v>
      </c>
      <c r="D305" t="s">
        <v>0</v>
      </c>
      <c r="E305" t="s">
        <v>1</v>
      </c>
      <c r="F305" s="18">
        <v>344</v>
      </c>
      <c r="G305" s="18">
        <v>344</v>
      </c>
      <c r="H305" t="s">
        <v>2</v>
      </c>
      <c r="I305" t="s">
        <v>8</v>
      </c>
      <c r="J305" s="18">
        <v>27554.400000000001</v>
      </c>
      <c r="K305" t="s">
        <v>945</v>
      </c>
      <c r="L305" t="s">
        <v>9</v>
      </c>
      <c r="M305" t="s">
        <v>949</v>
      </c>
      <c r="N305" t="s">
        <v>3</v>
      </c>
      <c r="O305" t="s">
        <v>3</v>
      </c>
      <c r="P305" t="s">
        <v>5</v>
      </c>
      <c r="Q305" t="s">
        <v>950</v>
      </c>
      <c r="R305" t="s">
        <v>3</v>
      </c>
      <c r="S305" t="s">
        <v>3</v>
      </c>
      <c r="T305" t="s">
        <v>3</v>
      </c>
      <c r="U305" t="s">
        <v>3</v>
      </c>
      <c r="V305" t="s">
        <v>3</v>
      </c>
      <c r="W305" t="s">
        <v>68</v>
      </c>
      <c r="X305" s="17">
        <v>42979</v>
      </c>
      <c r="Y305" t="s">
        <v>656</v>
      </c>
      <c r="Z305" s="17">
        <v>42946</v>
      </c>
      <c r="AA305" t="s">
        <v>3</v>
      </c>
      <c r="AB305" t="s">
        <v>948</v>
      </c>
    </row>
    <row r="306" spans="1:28" hidden="1">
      <c r="A306" t="s">
        <v>951</v>
      </c>
      <c r="B306" s="17">
        <v>42946</v>
      </c>
      <c r="C306" s="17">
        <v>42946</v>
      </c>
      <c r="D306" t="s">
        <v>0</v>
      </c>
      <c r="E306" t="s">
        <v>1</v>
      </c>
      <c r="F306" s="18">
        <v>3255</v>
      </c>
      <c r="G306" s="18">
        <v>3255</v>
      </c>
      <c r="H306" t="s">
        <v>2</v>
      </c>
      <c r="I306" t="s">
        <v>8</v>
      </c>
      <c r="J306" s="18">
        <v>260725.5</v>
      </c>
      <c r="K306" t="s">
        <v>945</v>
      </c>
      <c r="L306" t="s">
        <v>9</v>
      </c>
      <c r="M306" t="s">
        <v>952</v>
      </c>
      <c r="N306" t="s">
        <v>3</v>
      </c>
      <c r="O306" t="s">
        <v>3</v>
      </c>
      <c r="P306" t="s">
        <v>5</v>
      </c>
      <c r="Q306" t="s">
        <v>953</v>
      </c>
      <c r="R306" t="s">
        <v>3</v>
      </c>
      <c r="S306" t="s">
        <v>3</v>
      </c>
      <c r="T306" t="s">
        <v>3</v>
      </c>
      <c r="U306" t="s">
        <v>3</v>
      </c>
      <c r="V306" t="s">
        <v>3</v>
      </c>
      <c r="W306" t="s">
        <v>68</v>
      </c>
      <c r="X306" s="17">
        <v>42979</v>
      </c>
      <c r="Y306" t="s">
        <v>656</v>
      </c>
      <c r="Z306" s="17">
        <v>42946</v>
      </c>
      <c r="AA306" t="s">
        <v>3</v>
      </c>
      <c r="AB306" t="s">
        <v>951</v>
      </c>
    </row>
    <row r="307" spans="1:28" hidden="1">
      <c r="A307" t="s">
        <v>598</v>
      </c>
      <c r="B307" s="17">
        <v>42947</v>
      </c>
      <c r="C307" s="17">
        <v>42947</v>
      </c>
      <c r="D307" t="s">
        <v>38</v>
      </c>
      <c r="E307" t="s">
        <v>1</v>
      </c>
      <c r="F307" s="18">
        <v>92367</v>
      </c>
      <c r="G307" s="18">
        <v>92367</v>
      </c>
      <c r="H307" t="s">
        <v>2</v>
      </c>
      <c r="I307" t="s">
        <v>8</v>
      </c>
      <c r="J307" s="18">
        <v>7449398.5499999998</v>
      </c>
      <c r="K307" t="s">
        <v>599</v>
      </c>
      <c r="L307" t="s">
        <v>9</v>
      </c>
      <c r="M307" t="s">
        <v>600</v>
      </c>
      <c r="N307" t="s">
        <v>3</v>
      </c>
      <c r="O307" t="s">
        <v>3</v>
      </c>
      <c r="P307" t="s">
        <v>5</v>
      </c>
      <c r="Q307" t="s">
        <v>601</v>
      </c>
      <c r="R307" t="s">
        <v>3</v>
      </c>
      <c r="S307" t="s">
        <v>3</v>
      </c>
      <c r="T307" t="s">
        <v>3</v>
      </c>
      <c r="U307" t="s">
        <v>3</v>
      </c>
      <c r="V307" t="s">
        <v>3</v>
      </c>
      <c r="W307" t="s">
        <v>68</v>
      </c>
      <c r="X307" s="17">
        <v>42947</v>
      </c>
      <c r="Y307" t="s">
        <v>598</v>
      </c>
      <c r="Z307" s="17">
        <v>42947</v>
      </c>
      <c r="AA307" t="s">
        <v>3</v>
      </c>
      <c r="AB307" t="s">
        <v>598</v>
      </c>
    </row>
    <row r="308" spans="1:28" hidden="1">
      <c r="A308" t="s">
        <v>954</v>
      </c>
      <c r="B308" s="17">
        <v>42947</v>
      </c>
      <c r="C308" s="17">
        <v>42947</v>
      </c>
      <c r="D308" t="s">
        <v>0</v>
      </c>
      <c r="E308" t="s">
        <v>1</v>
      </c>
      <c r="F308" s="18">
        <v>46956</v>
      </c>
      <c r="G308" s="18">
        <v>46956</v>
      </c>
      <c r="H308" t="s">
        <v>2</v>
      </c>
      <c r="I308" t="s">
        <v>8</v>
      </c>
      <c r="J308" s="18">
        <v>3761175.6</v>
      </c>
      <c r="K308" t="s">
        <v>945</v>
      </c>
      <c r="L308" t="s">
        <v>9</v>
      </c>
      <c r="M308" t="s">
        <v>955</v>
      </c>
      <c r="N308" t="s">
        <v>3</v>
      </c>
      <c r="O308" t="s">
        <v>3</v>
      </c>
      <c r="P308" t="s">
        <v>5</v>
      </c>
      <c r="Q308" t="s">
        <v>956</v>
      </c>
      <c r="R308" t="s">
        <v>3</v>
      </c>
      <c r="S308" t="s">
        <v>3</v>
      </c>
      <c r="T308" t="s">
        <v>3</v>
      </c>
      <c r="U308" t="s">
        <v>3</v>
      </c>
      <c r="V308" t="s">
        <v>3</v>
      </c>
      <c r="W308" t="s">
        <v>68</v>
      </c>
      <c r="X308" s="17">
        <v>42979</v>
      </c>
      <c r="Y308" t="s">
        <v>656</v>
      </c>
      <c r="Z308" s="17">
        <v>42947</v>
      </c>
      <c r="AA308" t="s">
        <v>3</v>
      </c>
      <c r="AB308" t="s">
        <v>954</v>
      </c>
    </row>
    <row r="309" spans="1:28" hidden="1">
      <c r="A309" t="s">
        <v>957</v>
      </c>
      <c r="B309" s="17">
        <v>42947</v>
      </c>
      <c r="C309" s="17">
        <v>42947</v>
      </c>
      <c r="D309" t="s">
        <v>0</v>
      </c>
      <c r="E309" t="s">
        <v>1</v>
      </c>
      <c r="F309" s="18">
        <v>3096</v>
      </c>
      <c r="G309" s="18">
        <v>3096</v>
      </c>
      <c r="H309" t="s">
        <v>2</v>
      </c>
      <c r="I309" t="s">
        <v>10</v>
      </c>
      <c r="J309" s="18">
        <v>248051.52</v>
      </c>
      <c r="K309" t="s">
        <v>958</v>
      </c>
      <c r="L309" t="s">
        <v>9</v>
      </c>
      <c r="M309" t="s">
        <v>959</v>
      </c>
      <c r="N309" t="s">
        <v>3</v>
      </c>
      <c r="O309" t="s">
        <v>3</v>
      </c>
      <c r="P309" t="s">
        <v>5</v>
      </c>
      <c r="Q309" t="s">
        <v>960</v>
      </c>
      <c r="R309" t="s">
        <v>3</v>
      </c>
      <c r="S309" t="s">
        <v>3</v>
      </c>
      <c r="T309" t="s">
        <v>3</v>
      </c>
      <c r="U309" t="s">
        <v>3</v>
      </c>
      <c r="V309" t="s">
        <v>3</v>
      </c>
      <c r="W309" t="s">
        <v>68</v>
      </c>
      <c r="X309" s="17">
        <v>43008</v>
      </c>
      <c r="Y309" t="s">
        <v>575</v>
      </c>
      <c r="Z309" s="17">
        <v>42947</v>
      </c>
      <c r="AA309" t="s">
        <v>3</v>
      </c>
      <c r="AB309" t="s">
        <v>957</v>
      </c>
    </row>
    <row r="310" spans="1:28" hidden="1">
      <c r="A310" t="s">
        <v>961</v>
      </c>
      <c r="B310" s="17">
        <v>42947</v>
      </c>
      <c r="C310" s="17">
        <v>42947</v>
      </c>
      <c r="D310" t="s">
        <v>0</v>
      </c>
      <c r="E310" t="s">
        <v>1</v>
      </c>
      <c r="F310" s="18">
        <v>3225</v>
      </c>
      <c r="G310" s="18">
        <v>3225</v>
      </c>
      <c r="H310" t="s">
        <v>2</v>
      </c>
      <c r="I310" t="s">
        <v>10</v>
      </c>
      <c r="J310" s="18">
        <v>258322.5</v>
      </c>
      <c r="K310" t="s">
        <v>962</v>
      </c>
      <c r="L310" t="s">
        <v>9</v>
      </c>
      <c r="M310" t="s">
        <v>963</v>
      </c>
      <c r="N310" t="s">
        <v>3</v>
      </c>
      <c r="O310" t="s">
        <v>3</v>
      </c>
      <c r="P310" t="s">
        <v>5</v>
      </c>
      <c r="Q310" t="s">
        <v>964</v>
      </c>
      <c r="R310" t="s">
        <v>3</v>
      </c>
      <c r="S310" t="s">
        <v>3</v>
      </c>
      <c r="T310" t="s">
        <v>3</v>
      </c>
      <c r="U310" t="s">
        <v>3</v>
      </c>
      <c r="V310" t="s">
        <v>3</v>
      </c>
      <c r="W310" t="s">
        <v>68</v>
      </c>
      <c r="X310" s="17">
        <v>43008</v>
      </c>
      <c r="Y310" t="s">
        <v>672</v>
      </c>
      <c r="Z310" s="17">
        <v>42947</v>
      </c>
      <c r="AA310" t="s">
        <v>3</v>
      </c>
      <c r="AB310" t="s">
        <v>961</v>
      </c>
    </row>
    <row r="311" spans="1:28" hidden="1">
      <c r="A311" t="s">
        <v>965</v>
      </c>
      <c r="B311" s="17">
        <v>42947</v>
      </c>
      <c r="C311" s="17">
        <v>42947</v>
      </c>
      <c r="D311" t="s">
        <v>0</v>
      </c>
      <c r="E311" t="s">
        <v>1</v>
      </c>
      <c r="F311" s="18">
        <v>4336</v>
      </c>
      <c r="G311" s="18">
        <v>4336</v>
      </c>
      <c r="H311" t="s">
        <v>2</v>
      </c>
      <c r="I311" t="s">
        <v>10</v>
      </c>
      <c r="J311" s="18">
        <v>347400.32</v>
      </c>
      <c r="K311" t="s">
        <v>958</v>
      </c>
      <c r="L311" t="s">
        <v>9</v>
      </c>
      <c r="M311" t="s">
        <v>966</v>
      </c>
      <c r="N311" t="s">
        <v>3</v>
      </c>
      <c r="O311" t="s">
        <v>3</v>
      </c>
      <c r="P311" t="s">
        <v>5</v>
      </c>
      <c r="Q311" t="s">
        <v>967</v>
      </c>
      <c r="R311" t="s">
        <v>3</v>
      </c>
      <c r="S311" t="s">
        <v>3</v>
      </c>
      <c r="T311" t="s">
        <v>3</v>
      </c>
      <c r="U311" t="s">
        <v>3</v>
      </c>
      <c r="V311" t="s">
        <v>3</v>
      </c>
      <c r="W311" t="s">
        <v>68</v>
      </c>
      <c r="X311" s="17">
        <v>43008</v>
      </c>
      <c r="Y311" t="s">
        <v>575</v>
      </c>
      <c r="Z311" s="17">
        <v>42947</v>
      </c>
      <c r="AA311" t="s">
        <v>3</v>
      </c>
      <c r="AB311" t="s">
        <v>965</v>
      </c>
    </row>
    <row r="312" spans="1:28" hidden="1">
      <c r="A312" t="s">
        <v>968</v>
      </c>
      <c r="B312" s="17">
        <v>42947</v>
      </c>
      <c r="C312" s="17">
        <v>42947</v>
      </c>
      <c r="D312" t="s">
        <v>0</v>
      </c>
      <c r="E312" t="s">
        <v>1</v>
      </c>
      <c r="F312" s="18">
        <v>1207</v>
      </c>
      <c r="G312" s="18">
        <v>1207</v>
      </c>
      <c r="H312" t="s">
        <v>2</v>
      </c>
      <c r="I312" t="s">
        <v>10</v>
      </c>
      <c r="J312" s="18">
        <v>96680.7</v>
      </c>
      <c r="K312" t="s">
        <v>962</v>
      </c>
      <c r="L312" t="s">
        <v>9</v>
      </c>
      <c r="M312" t="s">
        <v>969</v>
      </c>
      <c r="N312" t="s">
        <v>3</v>
      </c>
      <c r="O312" t="s">
        <v>3</v>
      </c>
      <c r="P312" t="s">
        <v>5</v>
      </c>
      <c r="Q312" t="s">
        <v>970</v>
      </c>
      <c r="R312" t="s">
        <v>3</v>
      </c>
      <c r="S312" t="s">
        <v>3</v>
      </c>
      <c r="T312" t="s">
        <v>3</v>
      </c>
      <c r="U312" t="s">
        <v>3</v>
      </c>
      <c r="V312" t="s">
        <v>3</v>
      </c>
      <c r="W312" t="s">
        <v>68</v>
      </c>
      <c r="X312" s="17">
        <v>43008</v>
      </c>
      <c r="Y312" t="s">
        <v>672</v>
      </c>
      <c r="Z312" s="17">
        <v>42947</v>
      </c>
      <c r="AA312" t="s">
        <v>3</v>
      </c>
      <c r="AB312" t="s">
        <v>968</v>
      </c>
    </row>
    <row r="313" spans="1:28" hidden="1">
      <c r="A313" t="s">
        <v>971</v>
      </c>
      <c r="B313" s="17">
        <v>42947</v>
      </c>
      <c r="C313" s="17">
        <v>42947</v>
      </c>
      <c r="D313" t="s">
        <v>0</v>
      </c>
      <c r="E313" t="s">
        <v>1</v>
      </c>
      <c r="F313" s="18">
        <v>24743</v>
      </c>
      <c r="G313" s="18">
        <v>24743</v>
      </c>
      <c r="H313" t="s">
        <v>2</v>
      </c>
      <c r="I313" t="s">
        <v>10</v>
      </c>
      <c r="J313" s="18">
        <v>1982409.16</v>
      </c>
      <c r="K313" t="s">
        <v>958</v>
      </c>
      <c r="L313" t="s">
        <v>9</v>
      </c>
      <c r="M313" t="s">
        <v>972</v>
      </c>
      <c r="N313" t="s">
        <v>3</v>
      </c>
      <c r="O313" t="s">
        <v>3</v>
      </c>
      <c r="P313" t="s">
        <v>5</v>
      </c>
      <c r="Q313" t="s">
        <v>973</v>
      </c>
      <c r="R313" t="s">
        <v>3</v>
      </c>
      <c r="S313" t="s">
        <v>3</v>
      </c>
      <c r="T313" t="s">
        <v>3</v>
      </c>
      <c r="U313" t="s">
        <v>3</v>
      </c>
      <c r="V313" t="s">
        <v>3</v>
      </c>
      <c r="W313" t="s">
        <v>68</v>
      </c>
      <c r="X313" s="17">
        <v>43008</v>
      </c>
      <c r="Y313" t="s">
        <v>575</v>
      </c>
      <c r="Z313" s="17">
        <v>42947</v>
      </c>
      <c r="AA313" t="s">
        <v>3</v>
      </c>
      <c r="AB313" t="s">
        <v>971</v>
      </c>
    </row>
    <row r="314" spans="1:28" hidden="1">
      <c r="A314" t="s">
        <v>974</v>
      </c>
      <c r="B314" s="17">
        <v>42947</v>
      </c>
      <c r="C314" s="17">
        <v>42947</v>
      </c>
      <c r="D314" t="s">
        <v>0</v>
      </c>
      <c r="E314" t="s">
        <v>1</v>
      </c>
      <c r="F314" s="18">
        <v>9785</v>
      </c>
      <c r="G314" s="18">
        <v>9785</v>
      </c>
      <c r="H314" t="s">
        <v>2</v>
      </c>
      <c r="I314" t="s">
        <v>10</v>
      </c>
      <c r="J314" s="18">
        <v>783778.5</v>
      </c>
      <c r="K314" t="s">
        <v>975</v>
      </c>
      <c r="L314" t="s">
        <v>9</v>
      </c>
      <c r="M314" t="s">
        <v>976</v>
      </c>
      <c r="N314" t="s">
        <v>3</v>
      </c>
      <c r="O314" t="s">
        <v>3</v>
      </c>
      <c r="P314" t="s">
        <v>5</v>
      </c>
      <c r="Q314" t="s">
        <v>977</v>
      </c>
      <c r="R314" t="s">
        <v>3</v>
      </c>
      <c r="S314" t="s">
        <v>3</v>
      </c>
      <c r="T314" t="s">
        <v>3</v>
      </c>
      <c r="U314" t="s">
        <v>3</v>
      </c>
      <c r="V314" t="s">
        <v>3</v>
      </c>
      <c r="W314" t="s">
        <v>68</v>
      </c>
      <c r="X314" s="17">
        <v>42979</v>
      </c>
      <c r="Y314" t="s">
        <v>688</v>
      </c>
      <c r="Z314" s="17">
        <v>42947</v>
      </c>
      <c r="AA314" t="s">
        <v>3</v>
      </c>
      <c r="AB314" t="s">
        <v>974</v>
      </c>
    </row>
    <row r="315" spans="1:28" hidden="1">
      <c r="A315" t="s">
        <v>999</v>
      </c>
      <c r="B315" s="17">
        <v>42947</v>
      </c>
      <c r="C315" s="17">
        <v>42947</v>
      </c>
      <c r="D315" t="s">
        <v>0</v>
      </c>
      <c r="E315" t="s">
        <v>1</v>
      </c>
      <c r="F315" s="18">
        <v>-92367</v>
      </c>
      <c r="G315" s="18">
        <v>-92367</v>
      </c>
      <c r="H315" t="s">
        <v>2</v>
      </c>
      <c r="I315" t="s">
        <v>8</v>
      </c>
      <c r="J315" s="18">
        <v>-7449398.5499999998</v>
      </c>
      <c r="K315" t="s">
        <v>599</v>
      </c>
      <c r="L315" t="s">
        <v>9</v>
      </c>
      <c r="M315" t="s">
        <v>600</v>
      </c>
      <c r="N315" t="s">
        <v>3</v>
      </c>
      <c r="O315" t="s">
        <v>3</v>
      </c>
      <c r="P315" t="s">
        <v>5</v>
      </c>
      <c r="Q315" t="s">
        <v>601</v>
      </c>
      <c r="R315" t="s">
        <v>3</v>
      </c>
      <c r="S315" t="s">
        <v>3</v>
      </c>
      <c r="T315" t="s">
        <v>3</v>
      </c>
      <c r="U315" t="s">
        <v>3</v>
      </c>
      <c r="V315" t="s">
        <v>3</v>
      </c>
      <c r="W315" t="s">
        <v>68</v>
      </c>
      <c r="X315" s="17">
        <v>42947</v>
      </c>
      <c r="Y315" t="s">
        <v>598</v>
      </c>
      <c r="Z315" s="17">
        <v>42947</v>
      </c>
      <c r="AA315" t="s">
        <v>3</v>
      </c>
      <c r="AB315" t="s">
        <v>999</v>
      </c>
    </row>
    <row r="316" spans="1:28" hidden="1">
      <c r="A316" t="s">
        <v>1000</v>
      </c>
      <c r="B316" s="17">
        <v>42947</v>
      </c>
      <c r="C316" s="17">
        <v>42947</v>
      </c>
      <c r="D316" t="s">
        <v>0</v>
      </c>
      <c r="E316" t="s">
        <v>1</v>
      </c>
      <c r="F316" s="18">
        <v>92367</v>
      </c>
      <c r="G316" s="18">
        <v>92367</v>
      </c>
      <c r="H316" t="s">
        <v>2</v>
      </c>
      <c r="I316" t="s">
        <v>8</v>
      </c>
      <c r="J316" s="18">
        <v>7449398.5499999998</v>
      </c>
      <c r="K316" t="s">
        <v>599</v>
      </c>
      <c r="L316" t="s">
        <v>9</v>
      </c>
      <c r="M316" t="s">
        <v>600</v>
      </c>
      <c r="N316" t="s">
        <v>3</v>
      </c>
      <c r="O316" t="s">
        <v>3</v>
      </c>
      <c r="P316" t="s">
        <v>5</v>
      </c>
      <c r="Q316" t="s">
        <v>601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68</v>
      </c>
      <c r="X316" s="17">
        <v>42948</v>
      </c>
      <c r="Y316" t="s">
        <v>602</v>
      </c>
      <c r="Z316" s="17">
        <v>42947</v>
      </c>
      <c r="AA316" t="s">
        <v>3</v>
      </c>
      <c r="AB316" t="s">
        <v>1000</v>
      </c>
    </row>
    <row r="317" spans="1:28" hidden="1">
      <c r="A317" t="s">
        <v>602</v>
      </c>
      <c r="B317" s="17">
        <v>42948</v>
      </c>
      <c r="C317" s="17">
        <v>42947</v>
      </c>
      <c r="D317" t="s">
        <v>38</v>
      </c>
      <c r="E317" t="s">
        <v>1</v>
      </c>
      <c r="F317" s="18">
        <v>-92367</v>
      </c>
      <c r="G317" s="18">
        <v>-92367</v>
      </c>
      <c r="H317" t="s">
        <v>2</v>
      </c>
      <c r="I317" t="s">
        <v>8</v>
      </c>
      <c r="J317" s="18">
        <v>-7449398.5499999998</v>
      </c>
      <c r="K317" t="s">
        <v>599</v>
      </c>
      <c r="L317" t="s">
        <v>9</v>
      </c>
      <c r="M317" t="s">
        <v>600</v>
      </c>
      <c r="N317" t="s">
        <v>3</v>
      </c>
      <c r="O317" t="s">
        <v>3</v>
      </c>
      <c r="P317" t="s">
        <v>5</v>
      </c>
      <c r="Q317" t="s">
        <v>601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68</v>
      </c>
      <c r="X317" s="17">
        <v>42948</v>
      </c>
      <c r="Y317" t="s">
        <v>602</v>
      </c>
      <c r="Z317" s="17">
        <v>42947</v>
      </c>
      <c r="AA317" t="s">
        <v>3</v>
      </c>
      <c r="AB317" t="s">
        <v>602</v>
      </c>
    </row>
    <row r="318" spans="1:28" hidden="1">
      <c r="A318" t="s">
        <v>978</v>
      </c>
      <c r="B318" s="17">
        <v>42949</v>
      </c>
      <c r="C318" s="17">
        <v>42949</v>
      </c>
      <c r="D318" t="s">
        <v>0</v>
      </c>
      <c r="E318" t="s">
        <v>1</v>
      </c>
      <c r="F318" s="18">
        <v>35882</v>
      </c>
      <c r="G318" s="18">
        <v>35882</v>
      </c>
      <c r="H318" t="s">
        <v>2</v>
      </c>
      <c r="I318" t="s">
        <v>8</v>
      </c>
      <c r="J318" s="18">
        <v>2874148.2</v>
      </c>
      <c r="K318" t="s">
        <v>945</v>
      </c>
      <c r="L318" t="s">
        <v>9</v>
      </c>
      <c r="M318" t="s">
        <v>979</v>
      </c>
      <c r="N318" t="s">
        <v>3</v>
      </c>
      <c r="O318" t="s">
        <v>3</v>
      </c>
      <c r="P318" t="s">
        <v>5</v>
      </c>
      <c r="Q318" t="s">
        <v>980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68</v>
      </c>
      <c r="X318" s="17">
        <v>42979</v>
      </c>
      <c r="Y318" t="s">
        <v>656</v>
      </c>
      <c r="Z318" s="17">
        <v>42949</v>
      </c>
      <c r="AA318" t="s">
        <v>3</v>
      </c>
      <c r="AB318" t="s">
        <v>978</v>
      </c>
    </row>
    <row r="319" spans="1:28" hidden="1">
      <c r="A319" t="s">
        <v>981</v>
      </c>
      <c r="B319" s="17">
        <v>42949</v>
      </c>
      <c r="C319" s="17">
        <v>42949</v>
      </c>
      <c r="D319" t="s">
        <v>0</v>
      </c>
      <c r="E319" t="s">
        <v>1</v>
      </c>
      <c r="F319" s="18">
        <v>33823</v>
      </c>
      <c r="G319" s="18">
        <v>33823</v>
      </c>
      <c r="H319" t="s">
        <v>2</v>
      </c>
      <c r="I319" t="s">
        <v>8</v>
      </c>
      <c r="J319" s="18">
        <v>2709222.3</v>
      </c>
      <c r="K319" t="s">
        <v>945</v>
      </c>
      <c r="L319" t="s">
        <v>9</v>
      </c>
      <c r="M319" t="s">
        <v>982</v>
      </c>
      <c r="N319" t="s">
        <v>3</v>
      </c>
      <c r="O319" t="s">
        <v>3</v>
      </c>
      <c r="P319" t="s">
        <v>5</v>
      </c>
      <c r="Q319" t="s">
        <v>983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68</v>
      </c>
      <c r="X319" s="17">
        <v>42979</v>
      </c>
      <c r="Y319" t="s">
        <v>656</v>
      </c>
      <c r="Z319" s="17">
        <v>42949</v>
      </c>
      <c r="AA319" t="s">
        <v>3</v>
      </c>
      <c r="AB319" t="s">
        <v>981</v>
      </c>
    </row>
    <row r="320" spans="1:28" hidden="1">
      <c r="A320" t="s">
        <v>984</v>
      </c>
      <c r="B320" s="17">
        <v>42949</v>
      </c>
      <c r="C320" s="17">
        <v>42949</v>
      </c>
      <c r="D320" t="s">
        <v>0</v>
      </c>
      <c r="E320" t="s">
        <v>1</v>
      </c>
      <c r="F320" s="18">
        <v>-432377</v>
      </c>
      <c r="G320" s="18">
        <v>-432377</v>
      </c>
      <c r="H320" t="s">
        <v>2</v>
      </c>
      <c r="I320" t="s">
        <v>8</v>
      </c>
      <c r="J320" s="18">
        <v>-34914442.75</v>
      </c>
      <c r="K320" t="s">
        <v>985</v>
      </c>
      <c r="L320" t="s">
        <v>9</v>
      </c>
      <c r="M320" t="s">
        <v>986</v>
      </c>
      <c r="N320" t="s">
        <v>3</v>
      </c>
      <c r="O320" t="s">
        <v>3</v>
      </c>
      <c r="P320" t="s">
        <v>5</v>
      </c>
      <c r="Q320" t="s">
        <v>987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68</v>
      </c>
      <c r="X320" s="17">
        <v>42979</v>
      </c>
      <c r="Y320" t="s">
        <v>661</v>
      </c>
      <c r="Z320" s="17">
        <v>42949</v>
      </c>
      <c r="AA320" t="s">
        <v>3</v>
      </c>
      <c r="AB320" t="s">
        <v>984</v>
      </c>
    </row>
    <row r="321" spans="1:28" hidden="1">
      <c r="A321" t="s">
        <v>1098</v>
      </c>
      <c r="B321" s="17">
        <v>42949</v>
      </c>
      <c r="C321" s="17">
        <v>42949</v>
      </c>
      <c r="D321" t="s">
        <v>0</v>
      </c>
      <c r="E321" t="s">
        <v>1</v>
      </c>
      <c r="F321" s="18">
        <v>18271</v>
      </c>
      <c r="G321" s="18">
        <v>18271</v>
      </c>
      <c r="H321" t="s">
        <v>2</v>
      </c>
      <c r="I321" t="s">
        <v>10</v>
      </c>
      <c r="J321" s="18">
        <v>1463507.1</v>
      </c>
      <c r="K321" t="s">
        <v>1099</v>
      </c>
      <c r="L321" t="s">
        <v>9</v>
      </c>
      <c r="M321" t="s">
        <v>1100</v>
      </c>
      <c r="N321" t="s">
        <v>3</v>
      </c>
      <c r="O321" t="s">
        <v>3</v>
      </c>
      <c r="P321" t="s">
        <v>5</v>
      </c>
      <c r="Q321" t="s">
        <v>1101</v>
      </c>
      <c r="R321" t="s">
        <v>3</v>
      </c>
      <c r="S321" t="s">
        <v>3</v>
      </c>
      <c r="T321" t="s">
        <v>3</v>
      </c>
      <c r="U321" t="s">
        <v>3</v>
      </c>
      <c r="V321" t="s">
        <v>3</v>
      </c>
      <c r="W321" t="s">
        <v>68</v>
      </c>
      <c r="X321" s="17">
        <v>43008</v>
      </c>
      <c r="Y321" t="s">
        <v>672</v>
      </c>
      <c r="Z321" s="17">
        <v>42949</v>
      </c>
      <c r="AA321" t="s">
        <v>3</v>
      </c>
      <c r="AB321" t="s">
        <v>1098</v>
      </c>
    </row>
    <row r="322" spans="1:28" hidden="1">
      <c r="A322" t="s">
        <v>988</v>
      </c>
      <c r="B322" s="17">
        <v>42953</v>
      </c>
      <c r="C322" s="17">
        <v>42953</v>
      </c>
      <c r="D322" t="s">
        <v>0</v>
      </c>
      <c r="E322" t="s">
        <v>1</v>
      </c>
      <c r="F322" s="18">
        <v>32641</v>
      </c>
      <c r="G322" s="18">
        <v>32641</v>
      </c>
      <c r="H322" t="s">
        <v>2</v>
      </c>
      <c r="I322" t="s">
        <v>10</v>
      </c>
      <c r="J322" s="18">
        <v>2614544.1</v>
      </c>
      <c r="K322" t="s">
        <v>989</v>
      </c>
      <c r="L322" t="s">
        <v>9</v>
      </c>
      <c r="M322" t="s">
        <v>990</v>
      </c>
      <c r="N322" t="s">
        <v>3</v>
      </c>
      <c r="O322" t="s">
        <v>3</v>
      </c>
      <c r="P322" t="s">
        <v>5</v>
      </c>
      <c r="Q322" t="s">
        <v>991</v>
      </c>
      <c r="R322" t="s">
        <v>3</v>
      </c>
      <c r="S322" t="s">
        <v>3</v>
      </c>
      <c r="T322" t="s">
        <v>3</v>
      </c>
      <c r="U322" t="s">
        <v>3</v>
      </c>
      <c r="V322" t="s">
        <v>3</v>
      </c>
      <c r="W322" t="s">
        <v>68</v>
      </c>
      <c r="X322" s="17">
        <v>43008</v>
      </c>
      <c r="Y322" t="s">
        <v>675</v>
      </c>
      <c r="Z322" s="17">
        <v>42953</v>
      </c>
      <c r="AA322" t="s">
        <v>3</v>
      </c>
      <c r="AB322" t="s">
        <v>988</v>
      </c>
    </row>
    <row r="323" spans="1:28" hidden="1">
      <c r="A323" t="s">
        <v>992</v>
      </c>
      <c r="B323" s="17">
        <v>42955</v>
      </c>
      <c r="C323" s="17">
        <v>42955</v>
      </c>
      <c r="D323" t="s">
        <v>0</v>
      </c>
      <c r="E323" t="s">
        <v>1</v>
      </c>
      <c r="F323" s="18">
        <v>132086</v>
      </c>
      <c r="G323" s="18">
        <v>132086</v>
      </c>
      <c r="H323" t="s">
        <v>2</v>
      </c>
      <c r="I323" t="s">
        <v>8</v>
      </c>
      <c r="J323" s="18">
        <v>10665944.5</v>
      </c>
      <c r="K323" t="s">
        <v>993</v>
      </c>
      <c r="L323" t="s">
        <v>9</v>
      </c>
      <c r="M323" t="s">
        <v>994</v>
      </c>
      <c r="N323" t="s">
        <v>3</v>
      </c>
      <c r="O323" t="s">
        <v>3</v>
      </c>
      <c r="P323" t="s">
        <v>5</v>
      </c>
      <c r="Q323" t="s">
        <v>995</v>
      </c>
      <c r="R323" t="s">
        <v>3</v>
      </c>
      <c r="S323" t="s">
        <v>3</v>
      </c>
      <c r="T323" t="s">
        <v>3</v>
      </c>
      <c r="U323" t="s">
        <v>3</v>
      </c>
      <c r="V323" t="s">
        <v>3</v>
      </c>
      <c r="W323" t="s">
        <v>68</v>
      </c>
      <c r="X323" s="17">
        <v>42979</v>
      </c>
      <c r="Y323" t="s">
        <v>661</v>
      </c>
      <c r="Z323" s="17">
        <v>42955</v>
      </c>
      <c r="AA323" t="s">
        <v>3</v>
      </c>
      <c r="AB323" t="s">
        <v>992</v>
      </c>
    </row>
    <row r="324" spans="1:28" hidden="1">
      <c r="A324" t="s">
        <v>996</v>
      </c>
      <c r="B324" s="17">
        <v>42955</v>
      </c>
      <c r="C324" s="17">
        <v>42955</v>
      </c>
      <c r="D324" t="s">
        <v>0</v>
      </c>
      <c r="E324" t="s">
        <v>1</v>
      </c>
      <c r="F324" s="18">
        <v>127697</v>
      </c>
      <c r="G324" s="18">
        <v>127697</v>
      </c>
      <c r="H324" t="s">
        <v>2</v>
      </c>
      <c r="I324" t="s">
        <v>8</v>
      </c>
      <c r="J324" s="18">
        <v>10311532.75</v>
      </c>
      <c r="K324" t="s">
        <v>993</v>
      </c>
      <c r="L324" t="s">
        <v>9</v>
      </c>
      <c r="M324" t="s">
        <v>997</v>
      </c>
      <c r="N324" t="s">
        <v>3</v>
      </c>
      <c r="O324" t="s">
        <v>3</v>
      </c>
      <c r="P324" t="s">
        <v>5</v>
      </c>
      <c r="Q324" t="s">
        <v>998</v>
      </c>
      <c r="R324" t="s">
        <v>3</v>
      </c>
      <c r="S324" t="s">
        <v>3</v>
      </c>
      <c r="T324" t="s">
        <v>3</v>
      </c>
      <c r="U324" t="s">
        <v>3</v>
      </c>
      <c r="V324" t="s">
        <v>3</v>
      </c>
      <c r="W324" t="s">
        <v>68</v>
      </c>
      <c r="X324" s="17">
        <v>42979</v>
      </c>
      <c r="Y324" t="s">
        <v>661</v>
      </c>
      <c r="Z324" s="17">
        <v>42955</v>
      </c>
      <c r="AA324" t="s">
        <v>3</v>
      </c>
      <c r="AB324" t="s">
        <v>996</v>
      </c>
    </row>
    <row r="325" spans="1:28" hidden="1">
      <c r="A325" t="s">
        <v>1039</v>
      </c>
      <c r="B325" s="17">
        <v>42956</v>
      </c>
      <c r="C325" s="17">
        <v>42956</v>
      </c>
      <c r="D325" t="s">
        <v>0</v>
      </c>
      <c r="E325" t="s">
        <v>1</v>
      </c>
      <c r="F325" s="18">
        <v>1295</v>
      </c>
      <c r="G325" s="18">
        <v>1295</v>
      </c>
      <c r="H325" t="s">
        <v>2</v>
      </c>
      <c r="I325" t="s">
        <v>10</v>
      </c>
      <c r="J325" s="18">
        <v>103729.5</v>
      </c>
      <c r="K325" t="s">
        <v>1040</v>
      </c>
      <c r="L325" t="s">
        <v>9</v>
      </c>
      <c r="M325" t="s">
        <v>1041</v>
      </c>
      <c r="N325" t="s">
        <v>3</v>
      </c>
      <c r="O325" t="s">
        <v>3</v>
      </c>
      <c r="P325" t="s">
        <v>5</v>
      </c>
      <c r="Q325" t="s">
        <v>1042</v>
      </c>
      <c r="R325" t="s">
        <v>3</v>
      </c>
      <c r="S325" t="s">
        <v>3</v>
      </c>
      <c r="T325" t="s">
        <v>3</v>
      </c>
      <c r="U325" t="s">
        <v>3</v>
      </c>
      <c r="V325" t="s">
        <v>3</v>
      </c>
      <c r="W325" t="s">
        <v>68</v>
      </c>
      <c r="X325" s="17">
        <v>43008</v>
      </c>
      <c r="Y325" t="s">
        <v>675</v>
      </c>
      <c r="Z325" s="17">
        <v>42956</v>
      </c>
      <c r="AA325" t="s">
        <v>3</v>
      </c>
      <c r="AB325" t="s">
        <v>1039</v>
      </c>
    </row>
    <row r="326" spans="1:28" hidden="1">
      <c r="A326" t="s">
        <v>1043</v>
      </c>
      <c r="B326" s="17">
        <v>42956</v>
      </c>
      <c r="C326" s="17">
        <v>42956</v>
      </c>
      <c r="D326" t="s">
        <v>0</v>
      </c>
      <c r="E326" t="s">
        <v>1</v>
      </c>
      <c r="F326" s="18">
        <v>6908</v>
      </c>
      <c r="G326" s="18">
        <v>6908</v>
      </c>
      <c r="H326" t="s">
        <v>2</v>
      </c>
      <c r="I326" t="s">
        <v>10</v>
      </c>
      <c r="J326" s="18">
        <v>553330.80000000005</v>
      </c>
      <c r="K326" t="s">
        <v>1040</v>
      </c>
      <c r="L326" t="s">
        <v>9</v>
      </c>
      <c r="M326" t="s">
        <v>1044</v>
      </c>
      <c r="N326" t="s">
        <v>3</v>
      </c>
      <c r="O326" t="s">
        <v>3</v>
      </c>
      <c r="P326" t="s">
        <v>5</v>
      </c>
      <c r="Q326" t="s">
        <v>1045</v>
      </c>
      <c r="R326" t="s">
        <v>3</v>
      </c>
      <c r="S326" t="s">
        <v>3</v>
      </c>
      <c r="T326" t="s">
        <v>3</v>
      </c>
      <c r="U326" t="s">
        <v>3</v>
      </c>
      <c r="V326" t="s">
        <v>3</v>
      </c>
      <c r="W326" t="s">
        <v>68</v>
      </c>
      <c r="X326" s="17">
        <v>43008</v>
      </c>
      <c r="Y326" t="s">
        <v>675</v>
      </c>
      <c r="Z326" s="17">
        <v>42956</v>
      </c>
      <c r="AA326" t="s">
        <v>3</v>
      </c>
      <c r="AB326" t="s">
        <v>1043</v>
      </c>
    </row>
    <row r="327" spans="1:28" hidden="1">
      <c r="A327" t="s">
        <v>1046</v>
      </c>
      <c r="B327" s="17">
        <v>42956</v>
      </c>
      <c r="C327" s="17">
        <v>42956</v>
      </c>
      <c r="D327" t="s">
        <v>0</v>
      </c>
      <c r="E327" t="s">
        <v>1</v>
      </c>
      <c r="F327" s="18">
        <v>9831</v>
      </c>
      <c r="G327" s="18">
        <v>9831</v>
      </c>
      <c r="H327" t="s">
        <v>2</v>
      </c>
      <c r="I327" t="s">
        <v>10</v>
      </c>
      <c r="J327" s="18">
        <v>787463.1</v>
      </c>
      <c r="K327" t="s">
        <v>1040</v>
      </c>
      <c r="L327" t="s">
        <v>9</v>
      </c>
      <c r="M327" t="s">
        <v>1047</v>
      </c>
      <c r="N327" t="s">
        <v>3</v>
      </c>
      <c r="O327" t="s">
        <v>3</v>
      </c>
      <c r="P327" t="s">
        <v>5</v>
      </c>
      <c r="Q327" t="s">
        <v>1048</v>
      </c>
      <c r="R327" t="s">
        <v>3</v>
      </c>
      <c r="S327" t="s">
        <v>3</v>
      </c>
      <c r="T327" t="s">
        <v>3</v>
      </c>
      <c r="U327" t="s">
        <v>3</v>
      </c>
      <c r="V327" t="s">
        <v>3</v>
      </c>
      <c r="W327" t="s">
        <v>68</v>
      </c>
      <c r="X327" s="17">
        <v>43008</v>
      </c>
      <c r="Y327" t="s">
        <v>675</v>
      </c>
      <c r="Z327" s="17">
        <v>42956</v>
      </c>
      <c r="AA327" t="s">
        <v>3</v>
      </c>
      <c r="AB327" t="s">
        <v>1046</v>
      </c>
    </row>
    <row r="328" spans="1:28" hidden="1">
      <c r="A328" t="s">
        <v>1001</v>
      </c>
      <c r="B328" s="17">
        <v>42957</v>
      </c>
      <c r="C328" s="17">
        <v>42957</v>
      </c>
      <c r="D328" t="s">
        <v>0</v>
      </c>
      <c r="E328" t="s">
        <v>1</v>
      </c>
      <c r="F328" s="18">
        <v>43013</v>
      </c>
      <c r="G328" s="18">
        <v>43013</v>
      </c>
      <c r="H328" t="s">
        <v>2</v>
      </c>
      <c r="I328" t="s">
        <v>8</v>
      </c>
      <c r="J328" s="18">
        <v>3473299.75</v>
      </c>
      <c r="K328" t="s">
        <v>1002</v>
      </c>
      <c r="L328" t="s">
        <v>9</v>
      </c>
      <c r="M328" t="s">
        <v>1003</v>
      </c>
      <c r="N328" t="s">
        <v>3</v>
      </c>
      <c r="O328" t="s">
        <v>3</v>
      </c>
      <c r="P328" t="s">
        <v>5</v>
      </c>
      <c r="Q328" t="s">
        <v>1004</v>
      </c>
      <c r="R328" t="s">
        <v>3</v>
      </c>
      <c r="S328" t="s">
        <v>3</v>
      </c>
      <c r="T328" t="s">
        <v>3</v>
      </c>
      <c r="U328" t="s">
        <v>3</v>
      </c>
      <c r="V328" t="s">
        <v>3</v>
      </c>
      <c r="W328" t="s">
        <v>68</v>
      </c>
      <c r="X328" s="17">
        <v>42979</v>
      </c>
      <c r="Y328" t="s">
        <v>661</v>
      </c>
      <c r="Z328" s="17">
        <v>42957</v>
      </c>
      <c r="AA328" t="s">
        <v>3</v>
      </c>
      <c r="AB328" t="s">
        <v>1001</v>
      </c>
    </row>
    <row r="329" spans="1:28" hidden="1">
      <c r="A329" t="s">
        <v>1005</v>
      </c>
      <c r="B329" s="17">
        <v>42957</v>
      </c>
      <c r="C329" s="17">
        <v>42957</v>
      </c>
      <c r="D329" t="s">
        <v>0</v>
      </c>
      <c r="E329" t="s">
        <v>1</v>
      </c>
      <c r="F329" s="18">
        <v>52120</v>
      </c>
      <c r="G329" s="18">
        <v>52120</v>
      </c>
      <c r="H329" t="s">
        <v>2</v>
      </c>
      <c r="I329" t="s">
        <v>8</v>
      </c>
      <c r="J329" s="18">
        <v>4208690</v>
      </c>
      <c r="K329" t="s">
        <v>1002</v>
      </c>
      <c r="L329" t="s">
        <v>9</v>
      </c>
      <c r="M329" t="s">
        <v>1006</v>
      </c>
      <c r="N329" t="s">
        <v>3</v>
      </c>
      <c r="O329" t="s">
        <v>3</v>
      </c>
      <c r="P329" t="s">
        <v>5</v>
      </c>
      <c r="Q329" t="s">
        <v>1007</v>
      </c>
      <c r="R329" t="s">
        <v>3</v>
      </c>
      <c r="S329" t="s">
        <v>3</v>
      </c>
      <c r="T329" t="s">
        <v>3</v>
      </c>
      <c r="U329" t="s">
        <v>3</v>
      </c>
      <c r="V329" t="s">
        <v>3</v>
      </c>
      <c r="W329" t="s">
        <v>68</v>
      </c>
      <c r="X329" s="17">
        <v>42979</v>
      </c>
      <c r="Y329" t="s">
        <v>661</v>
      </c>
      <c r="Z329" s="17">
        <v>42957</v>
      </c>
      <c r="AA329" t="s">
        <v>3</v>
      </c>
      <c r="AB329" t="s">
        <v>1005</v>
      </c>
    </row>
    <row r="330" spans="1:28" hidden="1">
      <c r="A330" t="s">
        <v>1058</v>
      </c>
      <c r="B330" s="17">
        <v>42960</v>
      </c>
      <c r="C330" s="17">
        <v>42960</v>
      </c>
      <c r="D330" t="s">
        <v>0</v>
      </c>
      <c r="E330" t="s">
        <v>1</v>
      </c>
      <c r="F330" s="18">
        <v>2803</v>
      </c>
      <c r="G330" s="18">
        <v>2803</v>
      </c>
      <c r="H330" t="s">
        <v>2</v>
      </c>
      <c r="I330" t="s">
        <v>10</v>
      </c>
      <c r="J330" s="18">
        <v>226342.25</v>
      </c>
      <c r="K330" t="s">
        <v>1059</v>
      </c>
      <c r="L330" t="s">
        <v>9</v>
      </c>
      <c r="M330" t="s">
        <v>1060</v>
      </c>
      <c r="N330" t="s">
        <v>3</v>
      </c>
      <c r="O330" t="s">
        <v>3</v>
      </c>
      <c r="P330" t="s">
        <v>5</v>
      </c>
      <c r="Q330" t="s">
        <v>1061</v>
      </c>
      <c r="R330" t="s">
        <v>3</v>
      </c>
      <c r="S330" t="s">
        <v>3</v>
      </c>
      <c r="T330" t="s">
        <v>3</v>
      </c>
      <c r="U330" t="s">
        <v>3</v>
      </c>
      <c r="V330" t="s">
        <v>3</v>
      </c>
      <c r="W330" t="s">
        <v>68</v>
      </c>
      <c r="X330" s="17">
        <v>42979</v>
      </c>
      <c r="Y330" t="s">
        <v>505</v>
      </c>
      <c r="Z330" s="17">
        <v>42960</v>
      </c>
      <c r="AA330" t="s">
        <v>3</v>
      </c>
      <c r="AB330" t="s">
        <v>1058</v>
      </c>
    </row>
    <row r="331" spans="1:28" hidden="1">
      <c r="A331" t="s">
        <v>1058</v>
      </c>
      <c r="B331" s="17">
        <v>42960</v>
      </c>
      <c r="C331" s="17">
        <v>42960</v>
      </c>
      <c r="D331" t="s">
        <v>0</v>
      </c>
      <c r="E331" t="s">
        <v>1</v>
      </c>
      <c r="F331" s="18">
        <v>1609</v>
      </c>
      <c r="G331" s="18">
        <v>1609</v>
      </c>
      <c r="H331" t="s">
        <v>2</v>
      </c>
      <c r="I331" t="s">
        <v>10</v>
      </c>
      <c r="J331" s="18">
        <v>128913.08</v>
      </c>
      <c r="K331" t="s">
        <v>1062</v>
      </c>
      <c r="L331" t="s">
        <v>9</v>
      </c>
      <c r="M331" t="s">
        <v>1060</v>
      </c>
      <c r="N331" t="s">
        <v>3</v>
      </c>
      <c r="O331" t="s">
        <v>3</v>
      </c>
      <c r="P331" t="s">
        <v>5</v>
      </c>
      <c r="Q331" t="s">
        <v>1061</v>
      </c>
      <c r="R331" t="s">
        <v>3</v>
      </c>
      <c r="S331" t="s">
        <v>3</v>
      </c>
      <c r="T331" t="s">
        <v>3</v>
      </c>
      <c r="U331" t="s">
        <v>3</v>
      </c>
      <c r="V331" t="s">
        <v>3</v>
      </c>
      <c r="W331" t="s">
        <v>68</v>
      </c>
      <c r="X331" s="17">
        <v>43008</v>
      </c>
      <c r="Y331" t="s">
        <v>525</v>
      </c>
      <c r="Z331" s="17">
        <v>42960</v>
      </c>
      <c r="AA331" t="s">
        <v>3</v>
      </c>
      <c r="AB331" t="s">
        <v>1058</v>
      </c>
    </row>
    <row r="332" spans="1:28" hidden="1">
      <c r="A332" t="s">
        <v>1008</v>
      </c>
      <c r="B332" s="17">
        <v>42964</v>
      </c>
      <c r="C332" s="17">
        <v>42964</v>
      </c>
      <c r="D332" t="s">
        <v>0</v>
      </c>
      <c r="E332" t="s">
        <v>1</v>
      </c>
      <c r="F332" s="18">
        <v>11738</v>
      </c>
      <c r="G332" s="18">
        <v>11738</v>
      </c>
      <c r="H332" t="s">
        <v>2</v>
      </c>
      <c r="I332" t="s">
        <v>8</v>
      </c>
      <c r="J332" s="18">
        <v>947843.5</v>
      </c>
      <c r="K332" t="s">
        <v>1002</v>
      </c>
      <c r="L332" t="s">
        <v>9</v>
      </c>
      <c r="M332" t="s">
        <v>1009</v>
      </c>
      <c r="N332" t="s">
        <v>3</v>
      </c>
      <c r="O332" t="s">
        <v>3</v>
      </c>
      <c r="P332" t="s">
        <v>5</v>
      </c>
      <c r="Q332" t="s">
        <v>1010</v>
      </c>
      <c r="R332" t="s">
        <v>3</v>
      </c>
      <c r="S332" t="s">
        <v>3</v>
      </c>
      <c r="T332" t="s">
        <v>3</v>
      </c>
      <c r="U332" t="s">
        <v>3</v>
      </c>
      <c r="V332" t="s">
        <v>3</v>
      </c>
      <c r="W332" t="s">
        <v>68</v>
      </c>
      <c r="X332" s="17">
        <v>42979</v>
      </c>
      <c r="Y332" t="s">
        <v>661</v>
      </c>
      <c r="Z332" s="17">
        <v>42964</v>
      </c>
      <c r="AA332" t="s">
        <v>3</v>
      </c>
      <c r="AB332" t="s">
        <v>1008</v>
      </c>
    </row>
    <row r="333" spans="1:28" hidden="1">
      <c r="A333" t="s">
        <v>1011</v>
      </c>
      <c r="B333" s="17">
        <v>42967</v>
      </c>
      <c r="C333" s="17">
        <v>42967</v>
      </c>
      <c r="D333" t="s">
        <v>0</v>
      </c>
      <c r="E333" t="s">
        <v>1</v>
      </c>
      <c r="F333" s="18">
        <v>33069</v>
      </c>
      <c r="G333" s="18">
        <v>33069</v>
      </c>
      <c r="H333" t="s">
        <v>2</v>
      </c>
      <c r="I333" t="s">
        <v>8</v>
      </c>
      <c r="J333" s="18">
        <v>2670321.75</v>
      </c>
      <c r="K333" t="s">
        <v>1002</v>
      </c>
      <c r="L333" t="s">
        <v>9</v>
      </c>
      <c r="M333" t="s">
        <v>1012</v>
      </c>
      <c r="N333" t="s">
        <v>3</v>
      </c>
      <c r="O333" t="s">
        <v>3</v>
      </c>
      <c r="P333" t="s">
        <v>5</v>
      </c>
      <c r="Q333" t="s">
        <v>1013</v>
      </c>
      <c r="R333" t="s">
        <v>3</v>
      </c>
      <c r="S333" t="s">
        <v>3</v>
      </c>
      <c r="T333" t="s">
        <v>3</v>
      </c>
      <c r="U333" t="s">
        <v>3</v>
      </c>
      <c r="V333" t="s">
        <v>3</v>
      </c>
      <c r="W333" t="s">
        <v>68</v>
      </c>
      <c r="X333" s="17">
        <v>42979</v>
      </c>
      <c r="Y333" t="s">
        <v>661</v>
      </c>
      <c r="Z333" s="17">
        <v>42967</v>
      </c>
      <c r="AA333" t="s">
        <v>3</v>
      </c>
      <c r="AB333" t="s">
        <v>1011</v>
      </c>
    </row>
    <row r="334" spans="1:28" hidden="1">
      <c r="A334" t="s">
        <v>1014</v>
      </c>
      <c r="B334" s="17">
        <v>42967</v>
      </c>
      <c r="C334" s="17">
        <v>42967</v>
      </c>
      <c r="D334" t="s">
        <v>0</v>
      </c>
      <c r="E334" t="s">
        <v>1</v>
      </c>
      <c r="F334" s="18">
        <v>27137</v>
      </c>
      <c r="G334" s="18">
        <v>27137</v>
      </c>
      <c r="H334" t="s">
        <v>2</v>
      </c>
      <c r="I334" t="s">
        <v>8</v>
      </c>
      <c r="J334" s="18">
        <v>2191312.75</v>
      </c>
      <c r="K334" t="s">
        <v>1002</v>
      </c>
      <c r="L334" t="s">
        <v>9</v>
      </c>
      <c r="M334" t="s">
        <v>1015</v>
      </c>
      <c r="N334" t="s">
        <v>3</v>
      </c>
      <c r="O334" t="s">
        <v>3</v>
      </c>
      <c r="P334" t="s">
        <v>5</v>
      </c>
      <c r="Q334" t="s">
        <v>1016</v>
      </c>
      <c r="R334" t="s">
        <v>3</v>
      </c>
      <c r="S334" t="s">
        <v>3</v>
      </c>
      <c r="T334" t="s">
        <v>3</v>
      </c>
      <c r="U334" t="s">
        <v>3</v>
      </c>
      <c r="V334" t="s">
        <v>3</v>
      </c>
      <c r="W334" t="s">
        <v>68</v>
      </c>
      <c r="X334" s="17">
        <v>42979</v>
      </c>
      <c r="Y334" t="s">
        <v>661</v>
      </c>
      <c r="Z334" s="17">
        <v>42967</v>
      </c>
      <c r="AA334" t="s">
        <v>3</v>
      </c>
      <c r="AB334" t="s">
        <v>1014</v>
      </c>
    </row>
    <row r="335" spans="1:28" hidden="1">
      <c r="A335" t="s">
        <v>1017</v>
      </c>
      <c r="B335" s="17">
        <v>42967</v>
      </c>
      <c r="C335" s="17">
        <v>42967</v>
      </c>
      <c r="D335" t="s">
        <v>0</v>
      </c>
      <c r="E335" t="s">
        <v>1</v>
      </c>
      <c r="F335" s="18">
        <v>-818104</v>
      </c>
      <c r="G335" s="18">
        <v>-818104</v>
      </c>
      <c r="H335" t="s">
        <v>2</v>
      </c>
      <c r="I335" t="s">
        <v>8</v>
      </c>
      <c r="J335" s="18">
        <v>-66061898</v>
      </c>
      <c r="K335" t="s">
        <v>1018</v>
      </c>
      <c r="L335" t="s">
        <v>9</v>
      </c>
      <c r="M335" t="s">
        <v>1019</v>
      </c>
      <c r="N335" t="s">
        <v>3</v>
      </c>
      <c r="O335" t="s">
        <v>3</v>
      </c>
      <c r="P335" t="s">
        <v>5</v>
      </c>
      <c r="Q335" t="s">
        <v>1020</v>
      </c>
      <c r="R335" t="s">
        <v>3</v>
      </c>
      <c r="S335" t="s">
        <v>3</v>
      </c>
      <c r="T335" t="s">
        <v>3</v>
      </c>
      <c r="U335" t="s">
        <v>3</v>
      </c>
      <c r="V335" t="s">
        <v>3</v>
      </c>
      <c r="W335" t="s">
        <v>68</v>
      </c>
      <c r="X335" s="17">
        <v>43008</v>
      </c>
      <c r="Y335" t="s">
        <v>651</v>
      </c>
      <c r="Z335" s="17">
        <v>42967</v>
      </c>
      <c r="AA335" t="s">
        <v>3</v>
      </c>
      <c r="AB335" t="s">
        <v>1017</v>
      </c>
    </row>
    <row r="336" spans="1:28" hidden="1">
      <c r="A336" t="s">
        <v>1021</v>
      </c>
      <c r="B336" s="17">
        <v>42967</v>
      </c>
      <c r="C336" s="17">
        <v>42967</v>
      </c>
      <c r="D336" t="s">
        <v>0</v>
      </c>
      <c r="E336" t="s">
        <v>1</v>
      </c>
      <c r="F336" s="18">
        <v>-40125</v>
      </c>
      <c r="G336" s="18">
        <v>-40125</v>
      </c>
      <c r="H336" t="s">
        <v>2</v>
      </c>
      <c r="I336" t="s">
        <v>10</v>
      </c>
      <c r="J336" s="18">
        <v>-3240093.75</v>
      </c>
      <c r="K336" t="s">
        <v>1022</v>
      </c>
      <c r="L336" t="s">
        <v>9</v>
      </c>
      <c r="M336" t="s">
        <v>1023</v>
      </c>
      <c r="N336" t="s">
        <v>3</v>
      </c>
      <c r="O336" t="s">
        <v>3</v>
      </c>
      <c r="P336" t="s">
        <v>5</v>
      </c>
      <c r="Q336" t="s">
        <v>1024</v>
      </c>
      <c r="R336" t="s">
        <v>3</v>
      </c>
      <c r="S336" t="s">
        <v>3</v>
      </c>
      <c r="T336" t="s">
        <v>3</v>
      </c>
      <c r="U336" t="s">
        <v>3</v>
      </c>
      <c r="V336" t="s">
        <v>3</v>
      </c>
      <c r="W336" t="s">
        <v>68</v>
      </c>
      <c r="X336" s="17">
        <v>43008</v>
      </c>
      <c r="Y336" t="s">
        <v>681</v>
      </c>
      <c r="Z336" s="17">
        <v>42967</v>
      </c>
      <c r="AA336" t="s">
        <v>3</v>
      </c>
      <c r="AB336" t="s">
        <v>1021</v>
      </c>
    </row>
    <row r="337" spans="1:28" hidden="1">
      <c r="A337" t="s">
        <v>1055</v>
      </c>
      <c r="B337" s="17">
        <v>42967</v>
      </c>
      <c r="C337" s="17">
        <v>42967</v>
      </c>
      <c r="D337" t="s">
        <v>0</v>
      </c>
      <c r="E337" t="s">
        <v>1</v>
      </c>
      <c r="F337" s="18">
        <v>61452</v>
      </c>
      <c r="G337" s="18">
        <v>61452</v>
      </c>
      <c r="H337" t="s">
        <v>2</v>
      </c>
      <c r="I337" t="s">
        <v>10</v>
      </c>
      <c r="J337" s="18">
        <v>4922305.2</v>
      </c>
      <c r="K337" t="s">
        <v>1040</v>
      </c>
      <c r="L337" t="s">
        <v>9</v>
      </c>
      <c r="M337" t="s">
        <v>1056</v>
      </c>
      <c r="N337" t="s">
        <v>3</v>
      </c>
      <c r="O337" t="s">
        <v>3</v>
      </c>
      <c r="P337" t="s">
        <v>5</v>
      </c>
      <c r="Q337" t="s">
        <v>1057</v>
      </c>
      <c r="R337" t="s">
        <v>3</v>
      </c>
      <c r="S337" t="s">
        <v>3</v>
      </c>
      <c r="T337" t="s">
        <v>3</v>
      </c>
      <c r="U337" t="s">
        <v>3</v>
      </c>
      <c r="V337" t="s">
        <v>3</v>
      </c>
      <c r="W337" t="s">
        <v>68</v>
      </c>
      <c r="X337" s="17">
        <v>43008</v>
      </c>
      <c r="Y337" t="s">
        <v>675</v>
      </c>
      <c r="Z337" s="17">
        <v>42967</v>
      </c>
      <c r="AA337" t="s">
        <v>3</v>
      </c>
      <c r="AB337" t="s">
        <v>1055</v>
      </c>
    </row>
    <row r="338" spans="1:28" hidden="1">
      <c r="A338" t="s">
        <v>1029</v>
      </c>
      <c r="B338" s="17">
        <v>42968</v>
      </c>
      <c r="C338" s="17">
        <v>42968</v>
      </c>
      <c r="D338" t="s">
        <v>0</v>
      </c>
      <c r="E338" t="s">
        <v>1</v>
      </c>
      <c r="F338" s="18">
        <v>5517</v>
      </c>
      <c r="G338" s="18">
        <v>5517</v>
      </c>
      <c r="H338" t="s">
        <v>2</v>
      </c>
      <c r="I338" t="s">
        <v>8</v>
      </c>
      <c r="J338" s="18">
        <v>445497.75</v>
      </c>
      <c r="K338" t="s">
        <v>1002</v>
      </c>
      <c r="L338" t="s">
        <v>9</v>
      </c>
      <c r="M338" t="s">
        <v>1030</v>
      </c>
      <c r="N338" t="s">
        <v>3</v>
      </c>
      <c r="O338" t="s">
        <v>3</v>
      </c>
      <c r="P338" t="s">
        <v>5</v>
      </c>
      <c r="Q338" t="s">
        <v>1031</v>
      </c>
      <c r="R338" t="s">
        <v>3</v>
      </c>
      <c r="S338" t="s">
        <v>3</v>
      </c>
      <c r="T338" t="s">
        <v>3</v>
      </c>
      <c r="U338" t="s">
        <v>3</v>
      </c>
      <c r="V338" t="s">
        <v>3</v>
      </c>
      <c r="W338" t="s">
        <v>68</v>
      </c>
      <c r="X338" s="17">
        <v>42979</v>
      </c>
      <c r="Y338" t="s">
        <v>661</v>
      </c>
      <c r="Z338" s="17">
        <v>42968</v>
      </c>
      <c r="AA338" t="s">
        <v>3</v>
      </c>
      <c r="AB338" t="s">
        <v>1029</v>
      </c>
    </row>
    <row r="339" spans="1:28" hidden="1">
      <c r="A339" t="s">
        <v>1025</v>
      </c>
      <c r="B339" s="17">
        <v>42969</v>
      </c>
      <c r="C339" s="17">
        <v>42969</v>
      </c>
      <c r="D339" t="s">
        <v>0</v>
      </c>
      <c r="E339" t="s">
        <v>1</v>
      </c>
      <c r="F339" s="18">
        <v>-109294</v>
      </c>
      <c r="G339" s="18">
        <v>-109294</v>
      </c>
      <c r="H339" t="s">
        <v>2</v>
      </c>
      <c r="I339" t="s">
        <v>10</v>
      </c>
      <c r="J339" s="18">
        <v>-8825490.5</v>
      </c>
      <c r="K339" t="s">
        <v>1026</v>
      </c>
      <c r="L339" t="s">
        <v>9</v>
      </c>
      <c r="M339" t="s">
        <v>1027</v>
      </c>
      <c r="N339" t="s">
        <v>3</v>
      </c>
      <c r="O339" t="s">
        <v>3</v>
      </c>
      <c r="P339" t="s">
        <v>5</v>
      </c>
      <c r="Q339" t="s">
        <v>1028</v>
      </c>
      <c r="R339" t="s">
        <v>3</v>
      </c>
      <c r="S339" t="s">
        <v>3</v>
      </c>
      <c r="T339" t="s">
        <v>3</v>
      </c>
      <c r="U339" t="s">
        <v>3</v>
      </c>
      <c r="V339" t="s">
        <v>3</v>
      </c>
      <c r="W339" t="s">
        <v>68</v>
      </c>
      <c r="X339" s="17">
        <v>43008</v>
      </c>
      <c r="Y339" t="s">
        <v>678</v>
      </c>
      <c r="Z339" s="17">
        <v>42969</v>
      </c>
      <c r="AA339" t="s">
        <v>3</v>
      </c>
      <c r="AB339" t="s">
        <v>1025</v>
      </c>
    </row>
    <row r="340" spans="1:28" hidden="1">
      <c r="A340" t="s">
        <v>1049</v>
      </c>
      <c r="B340" s="17">
        <v>42971</v>
      </c>
      <c r="C340" s="17">
        <v>42971</v>
      </c>
      <c r="D340" t="s">
        <v>0</v>
      </c>
      <c r="E340" t="s">
        <v>1</v>
      </c>
      <c r="F340" s="18">
        <v>11101</v>
      </c>
      <c r="G340" s="18">
        <v>11101</v>
      </c>
      <c r="H340" t="s">
        <v>2</v>
      </c>
      <c r="I340" t="s">
        <v>10</v>
      </c>
      <c r="J340" s="18">
        <v>889190.1</v>
      </c>
      <c r="K340" t="s">
        <v>1040</v>
      </c>
      <c r="L340" t="s">
        <v>9</v>
      </c>
      <c r="M340" t="s">
        <v>1050</v>
      </c>
      <c r="N340" t="s">
        <v>3</v>
      </c>
      <c r="O340" t="s">
        <v>3</v>
      </c>
      <c r="P340" t="s">
        <v>5</v>
      </c>
      <c r="Q340" t="s">
        <v>1051</v>
      </c>
      <c r="R340" t="s">
        <v>3</v>
      </c>
      <c r="S340" t="s">
        <v>3</v>
      </c>
      <c r="T340" t="s">
        <v>3</v>
      </c>
      <c r="U340" t="s">
        <v>3</v>
      </c>
      <c r="V340" t="s">
        <v>3</v>
      </c>
      <c r="W340" t="s">
        <v>68</v>
      </c>
      <c r="X340" s="17">
        <v>43008</v>
      </c>
      <c r="Y340" t="s">
        <v>675</v>
      </c>
      <c r="Z340" s="17">
        <v>42971</v>
      </c>
      <c r="AA340" t="s">
        <v>3</v>
      </c>
      <c r="AB340" t="s">
        <v>1049</v>
      </c>
    </row>
    <row r="341" spans="1:28" hidden="1">
      <c r="A341" t="s">
        <v>1032</v>
      </c>
      <c r="B341" s="17">
        <v>42974</v>
      </c>
      <c r="C341" s="17">
        <v>42974</v>
      </c>
      <c r="D341" t="s">
        <v>0</v>
      </c>
      <c r="E341" t="s">
        <v>1</v>
      </c>
      <c r="F341" s="18">
        <v>185812</v>
      </c>
      <c r="G341" s="18">
        <v>185812</v>
      </c>
      <c r="H341" t="s">
        <v>2</v>
      </c>
      <c r="I341" t="s">
        <v>8</v>
      </c>
      <c r="J341" s="18">
        <v>15004319</v>
      </c>
      <c r="K341" t="s">
        <v>1033</v>
      </c>
      <c r="L341" t="s">
        <v>9</v>
      </c>
      <c r="M341" t="s">
        <v>1034</v>
      </c>
      <c r="N341" t="s">
        <v>3</v>
      </c>
      <c r="O341" t="s">
        <v>3</v>
      </c>
      <c r="P341" t="s">
        <v>5</v>
      </c>
      <c r="Q341" t="s">
        <v>1035</v>
      </c>
      <c r="R341" t="s">
        <v>3</v>
      </c>
      <c r="S341" t="s">
        <v>3</v>
      </c>
      <c r="T341" t="s">
        <v>3</v>
      </c>
      <c r="U341" t="s">
        <v>3</v>
      </c>
      <c r="V341" t="s">
        <v>3</v>
      </c>
      <c r="W341" t="s">
        <v>68</v>
      </c>
      <c r="X341" s="17">
        <v>43008</v>
      </c>
      <c r="Y341" t="s">
        <v>651</v>
      </c>
      <c r="Z341" s="17">
        <v>42974</v>
      </c>
      <c r="AA341" t="s">
        <v>3</v>
      </c>
      <c r="AB341" t="s">
        <v>1032</v>
      </c>
    </row>
    <row r="342" spans="1:28" hidden="1">
      <c r="A342" t="s">
        <v>1036</v>
      </c>
      <c r="B342" s="17">
        <v>42974</v>
      </c>
      <c r="C342" s="17">
        <v>42974</v>
      </c>
      <c r="D342" t="s">
        <v>0</v>
      </c>
      <c r="E342" t="s">
        <v>1</v>
      </c>
      <c r="F342" s="18">
        <v>18608</v>
      </c>
      <c r="G342" s="18">
        <v>18608</v>
      </c>
      <c r="H342" t="s">
        <v>2</v>
      </c>
      <c r="I342" t="s">
        <v>8</v>
      </c>
      <c r="J342" s="18">
        <v>1502596</v>
      </c>
      <c r="K342" t="s">
        <v>1033</v>
      </c>
      <c r="L342" t="s">
        <v>9</v>
      </c>
      <c r="M342" t="s">
        <v>1037</v>
      </c>
      <c r="N342" t="s">
        <v>3</v>
      </c>
      <c r="O342" t="s">
        <v>3</v>
      </c>
      <c r="P342" t="s">
        <v>5</v>
      </c>
      <c r="Q342" t="s">
        <v>1038</v>
      </c>
      <c r="R342" t="s">
        <v>3</v>
      </c>
      <c r="S342" t="s">
        <v>3</v>
      </c>
      <c r="T342" t="s">
        <v>3</v>
      </c>
      <c r="U342" t="s">
        <v>3</v>
      </c>
      <c r="V342" t="s">
        <v>3</v>
      </c>
      <c r="W342" t="s">
        <v>68</v>
      </c>
      <c r="X342" s="17">
        <v>43008</v>
      </c>
      <c r="Y342" t="s">
        <v>651</v>
      </c>
      <c r="Z342" s="17">
        <v>42974</v>
      </c>
      <c r="AA342" t="s">
        <v>3</v>
      </c>
      <c r="AB342" t="s">
        <v>1036</v>
      </c>
    </row>
    <row r="343" spans="1:28" hidden="1">
      <c r="A343" t="s">
        <v>1052</v>
      </c>
      <c r="B343" s="17">
        <v>42977</v>
      </c>
      <c r="C343" s="17">
        <v>42977</v>
      </c>
      <c r="D343" t="s">
        <v>0</v>
      </c>
      <c r="E343" t="s">
        <v>1</v>
      </c>
      <c r="F343" s="18">
        <v>6975</v>
      </c>
      <c r="G343" s="18">
        <v>6975</v>
      </c>
      <c r="H343" t="s">
        <v>2</v>
      </c>
      <c r="I343" t="s">
        <v>10</v>
      </c>
      <c r="J343" s="18">
        <v>558697.5</v>
      </c>
      <c r="K343" t="s">
        <v>1040</v>
      </c>
      <c r="L343" t="s">
        <v>9</v>
      </c>
      <c r="M343" t="s">
        <v>1053</v>
      </c>
      <c r="N343" t="s">
        <v>3</v>
      </c>
      <c r="O343" t="s">
        <v>3</v>
      </c>
      <c r="P343" t="s">
        <v>5</v>
      </c>
      <c r="Q343" t="s">
        <v>1054</v>
      </c>
      <c r="R343" t="s">
        <v>3</v>
      </c>
      <c r="S343" t="s">
        <v>3</v>
      </c>
      <c r="T343" t="s">
        <v>3</v>
      </c>
      <c r="U343" t="s">
        <v>3</v>
      </c>
      <c r="V343" t="s">
        <v>3</v>
      </c>
      <c r="W343" t="s">
        <v>68</v>
      </c>
      <c r="X343" s="17">
        <v>43008</v>
      </c>
      <c r="Y343" t="s">
        <v>675</v>
      </c>
      <c r="Z343" s="17">
        <v>42977</v>
      </c>
      <c r="AA343" t="s">
        <v>3</v>
      </c>
      <c r="AB343" t="s">
        <v>1052</v>
      </c>
    </row>
    <row r="344" spans="1:28" hidden="1">
      <c r="A344" t="s">
        <v>1132</v>
      </c>
      <c r="B344" s="17">
        <v>42978</v>
      </c>
      <c r="C344" s="17">
        <v>42978</v>
      </c>
      <c r="D344" t="s">
        <v>0</v>
      </c>
      <c r="E344" t="s">
        <v>1</v>
      </c>
      <c r="F344" s="18">
        <v>635801</v>
      </c>
      <c r="G344" s="18">
        <v>635801</v>
      </c>
      <c r="H344" t="s">
        <v>2</v>
      </c>
      <c r="I344" t="s">
        <v>8</v>
      </c>
      <c r="J344" s="18">
        <v>51309140.700000003</v>
      </c>
      <c r="K344" t="s">
        <v>599</v>
      </c>
      <c r="L344" t="s">
        <v>9</v>
      </c>
      <c r="M344" t="s">
        <v>604</v>
      </c>
      <c r="N344" t="s">
        <v>3</v>
      </c>
      <c r="O344" t="s">
        <v>3</v>
      </c>
      <c r="P344" t="s">
        <v>5</v>
      </c>
      <c r="Q344" t="s">
        <v>605</v>
      </c>
      <c r="R344" t="s">
        <v>3</v>
      </c>
      <c r="S344" t="s">
        <v>3</v>
      </c>
      <c r="T344" t="s">
        <v>3</v>
      </c>
      <c r="U344" t="s">
        <v>3</v>
      </c>
      <c r="V344" t="s">
        <v>3</v>
      </c>
      <c r="W344" t="s">
        <v>68</v>
      </c>
      <c r="X344" s="17">
        <v>42979</v>
      </c>
      <c r="Y344" t="s">
        <v>603</v>
      </c>
      <c r="Z344" s="17">
        <v>42978</v>
      </c>
      <c r="AA344" t="s">
        <v>3</v>
      </c>
      <c r="AB344" t="s">
        <v>1132</v>
      </c>
    </row>
    <row r="345" spans="1:28" hidden="1">
      <c r="A345" t="s">
        <v>603</v>
      </c>
      <c r="B345" s="17">
        <v>42979</v>
      </c>
      <c r="C345" s="17">
        <v>42978</v>
      </c>
      <c r="D345" t="s">
        <v>38</v>
      </c>
      <c r="E345" t="s">
        <v>1</v>
      </c>
      <c r="F345" s="18">
        <v>-635801</v>
      </c>
      <c r="G345" s="18">
        <v>-635801</v>
      </c>
      <c r="H345" t="s">
        <v>2</v>
      </c>
      <c r="I345" t="s">
        <v>8</v>
      </c>
      <c r="J345" s="18">
        <v>-51309140.700000003</v>
      </c>
      <c r="K345" t="s">
        <v>599</v>
      </c>
      <c r="L345" t="s">
        <v>9</v>
      </c>
      <c r="M345" t="s">
        <v>604</v>
      </c>
      <c r="N345" t="s">
        <v>3</v>
      </c>
      <c r="O345" t="s">
        <v>3</v>
      </c>
      <c r="P345" t="s">
        <v>5</v>
      </c>
      <c r="Q345" t="s">
        <v>605</v>
      </c>
      <c r="R345" t="s">
        <v>3</v>
      </c>
      <c r="S345" t="s">
        <v>3</v>
      </c>
      <c r="T345" t="s">
        <v>3</v>
      </c>
      <c r="U345" t="s">
        <v>3</v>
      </c>
      <c r="V345" t="s">
        <v>3</v>
      </c>
      <c r="W345" t="s">
        <v>68</v>
      </c>
      <c r="X345" s="17">
        <v>42979</v>
      </c>
      <c r="Y345" t="s">
        <v>603</v>
      </c>
      <c r="Z345" s="17">
        <v>42978</v>
      </c>
      <c r="AA345" t="s">
        <v>3</v>
      </c>
      <c r="AB345" t="s">
        <v>603</v>
      </c>
    </row>
    <row r="346" spans="1:28" hidden="1">
      <c r="A346" t="s">
        <v>454</v>
      </c>
      <c r="B346" s="17">
        <v>42979</v>
      </c>
      <c r="C346" s="17">
        <v>42979</v>
      </c>
      <c r="D346" t="s">
        <v>7</v>
      </c>
      <c r="E346" t="s">
        <v>1</v>
      </c>
      <c r="F346" s="18">
        <v>783000</v>
      </c>
      <c r="G346" s="18">
        <v>783000</v>
      </c>
      <c r="H346" t="s">
        <v>2</v>
      </c>
      <c r="I346" t="s">
        <v>8</v>
      </c>
      <c r="J346" s="18">
        <v>63227250</v>
      </c>
      <c r="K346" t="s">
        <v>3</v>
      </c>
      <c r="L346" t="s">
        <v>9</v>
      </c>
      <c r="M346" t="s">
        <v>654</v>
      </c>
      <c r="N346" t="s">
        <v>3</v>
      </c>
      <c r="O346" t="s">
        <v>3</v>
      </c>
      <c r="P346" t="s">
        <v>5</v>
      </c>
      <c r="Q346" t="s">
        <v>655</v>
      </c>
      <c r="R346" t="s">
        <v>3</v>
      </c>
      <c r="S346" t="s">
        <v>3</v>
      </c>
      <c r="T346" t="s">
        <v>3</v>
      </c>
      <c r="U346" t="s">
        <v>3</v>
      </c>
      <c r="V346" t="s">
        <v>3</v>
      </c>
      <c r="W346" t="s">
        <v>68</v>
      </c>
      <c r="X346" s="17">
        <v>42979</v>
      </c>
      <c r="Y346" t="s">
        <v>454</v>
      </c>
      <c r="Z346" s="17">
        <v>42979</v>
      </c>
      <c r="AA346" t="s">
        <v>3</v>
      </c>
      <c r="AB346" t="s">
        <v>454</v>
      </c>
    </row>
    <row r="347" spans="1:28" hidden="1">
      <c r="A347" t="s">
        <v>454</v>
      </c>
      <c r="B347" s="17">
        <v>42979</v>
      </c>
      <c r="C347" s="17">
        <v>42979</v>
      </c>
      <c r="D347" t="s">
        <v>7</v>
      </c>
      <c r="E347" t="s">
        <v>1</v>
      </c>
      <c r="F347" s="18">
        <v>-783000</v>
      </c>
      <c r="G347" s="18">
        <v>-783000</v>
      </c>
      <c r="H347" t="s">
        <v>2</v>
      </c>
      <c r="I347" t="s">
        <v>8</v>
      </c>
      <c r="J347" s="18">
        <v>-63227250</v>
      </c>
      <c r="K347" t="s">
        <v>3</v>
      </c>
      <c r="L347" t="s">
        <v>9</v>
      </c>
      <c r="M347" t="s">
        <v>654</v>
      </c>
      <c r="N347" t="s">
        <v>3</v>
      </c>
      <c r="O347" t="s">
        <v>3</v>
      </c>
      <c r="P347" t="s">
        <v>5</v>
      </c>
      <c r="Q347" t="s">
        <v>655</v>
      </c>
      <c r="R347" t="s">
        <v>3</v>
      </c>
      <c r="S347" t="s">
        <v>3</v>
      </c>
      <c r="T347" t="s">
        <v>3</v>
      </c>
      <c r="U347" t="s">
        <v>3</v>
      </c>
      <c r="V347" t="s">
        <v>3</v>
      </c>
      <c r="W347" t="s">
        <v>68</v>
      </c>
      <c r="X347" s="17">
        <v>42979</v>
      </c>
      <c r="Y347" t="s">
        <v>454</v>
      </c>
      <c r="Z347" s="17">
        <v>42979</v>
      </c>
      <c r="AA347" t="s">
        <v>3</v>
      </c>
      <c r="AB347" t="s">
        <v>454</v>
      </c>
    </row>
    <row r="348" spans="1:28" hidden="1">
      <c r="A348" t="s">
        <v>656</v>
      </c>
      <c r="B348" s="17">
        <v>42979</v>
      </c>
      <c r="C348" s="17">
        <v>42979</v>
      </c>
      <c r="D348" t="s">
        <v>7</v>
      </c>
      <c r="E348" t="s">
        <v>1</v>
      </c>
      <c r="F348" s="18">
        <v>759252</v>
      </c>
      <c r="G348" s="18">
        <v>759252</v>
      </c>
      <c r="H348" t="s">
        <v>2</v>
      </c>
      <c r="I348" t="s">
        <v>8</v>
      </c>
      <c r="J348" s="18">
        <v>60816085.200000003</v>
      </c>
      <c r="K348" t="s">
        <v>3</v>
      </c>
      <c r="L348" t="s">
        <v>9</v>
      </c>
      <c r="M348" t="s">
        <v>657</v>
      </c>
      <c r="N348" t="s">
        <v>3</v>
      </c>
      <c r="O348" t="s">
        <v>3</v>
      </c>
      <c r="P348" t="s">
        <v>5</v>
      </c>
      <c r="Q348" t="s">
        <v>658</v>
      </c>
      <c r="R348" t="s">
        <v>3</v>
      </c>
      <c r="S348" t="s">
        <v>3</v>
      </c>
      <c r="T348" t="s">
        <v>3</v>
      </c>
      <c r="U348" t="s">
        <v>3</v>
      </c>
      <c r="V348" t="s">
        <v>3</v>
      </c>
      <c r="W348" t="s">
        <v>68</v>
      </c>
      <c r="X348" s="17">
        <v>42979</v>
      </c>
      <c r="Y348" t="s">
        <v>656</v>
      </c>
      <c r="Z348" s="17">
        <v>42979</v>
      </c>
      <c r="AA348" t="s">
        <v>3</v>
      </c>
      <c r="AB348" t="s">
        <v>656</v>
      </c>
    </row>
    <row r="349" spans="1:28" hidden="1">
      <c r="A349" t="s">
        <v>656</v>
      </c>
      <c r="B349" s="17">
        <v>42979</v>
      </c>
      <c r="C349" s="17">
        <v>42979</v>
      </c>
      <c r="D349" t="s">
        <v>7</v>
      </c>
      <c r="E349" t="s">
        <v>1</v>
      </c>
      <c r="F349" s="18">
        <v>-759252</v>
      </c>
      <c r="G349" s="18">
        <v>-759252</v>
      </c>
      <c r="H349" t="s">
        <v>2</v>
      </c>
      <c r="I349" t="s">
        <v>8</v>
      </c>
      <c r="J349" s="18">
        <v>-60816085.200000003</v>
      </c>
      <c r="K349" t="s">
        <v>3</v>
      </c>
      <c r="L349" t="s">
        <v>9</v>
      </c>
      <c r="M349" t="s">
        <v>657</v>
      </c>
      <c r="N349" t="s">
        <v>3</v>
      </c>
      <c r="O349" t="s">
        <v>3</v>
      </c>
      <c r="P349" t="s">
        <v>5</v>
      </c>
      <c r="Q349" t="s">
        <v>658</v>
      </c>
      <c r="R349" t="s">
        <v>3</v>
      </c>
      <c r="S349" t="s">
        <v>3</v>
      </c>
      <c r="T349" t="s">
        <v>3</v>
      </c>
      <c r="U349" t="s">
        <v>3</v>
      </c>
      <c r="V349" t="s">
        <v>3</v>
      </c>
      <c r="W349" t="s">
        <v>68</v>
      </c>
      <c r="X349" s="17">
        <v>42979</v>
      </c>
      <c r="Y349" t="s">
        <v>656</v>
      </c>
      <c r="Z349" s="17">
        <v>42979</v>
      </c>
      <c r="AA349" t="s">
        <v>3</v>
      </c>
      <c r="AB349" t="s">
        <v>656</v>
      </c>
    </row>
    <row r="350" spans="1:28" hidden="1">
      <c r="A350" t="s">
        <v>532</v>
      </c>
      <c r="B350" s="17">
        <v>42979</v>
      </c>
      <c r="C350" s="17">
        <v>42979</v>
      </c>
      <c r="D350" t="s">
        <v>7</v>
      </c>
      <c r="E350" t="s">
        <v>1</v>
      </c>
      <c r="F350" s="18">
        <v>-1</v>
      </c>
      <c r="G350" s="18">
        <v>-1</v>
      </c>
      <c r="H350" t="s">
        <v>2</v>
      </c>
      <c r="I350" t="s">
        <v>8</v>
      </c>
      <c r="J350" s="18">
        <v>-80.12</v>
      </c>
      <c r="K350" t="s">
        <v>3</v>
      </c>
      <c r="L350" t="s">
        <v>9</v>
      </c>
      <c r="M350" t="s">
        <v>659</v>
      </c>
      <c r="N350" t="s">
        <v>3</v>
      </c>
      <c r="O350" t="s">
        <v>3</v>
      </c>
      <c r="P350" t="s">
        <v>5</v>
      </c>
      <c r="Q350" t="s">
        <v>660</v>
      </c>
      <c r="R350" t="s">
        <v>3</v>
      </c>
      <c r="S350" t="s">
        <v>3</v>
      </c>
      <c r="T350" t="s">
        <v>3</v>
      </c>
      <c r="U350" t="s">
        <v>3</v>
      </c>
      <c r="V350" t="s">
        <v>3</v>
      </c>
      <c r="W350" t="s">
        <v>68</v>
      </c>
      <c r="X350" s="17">
        <v>42979</v>
      </c>
      <c r="Y350" t="s">
        <v>532</v>
      </c>
      <c r="Z350" s="17">
        <v>42979</v>
      </c>
      <c r="AA350" t="s">
        <v>3</v>
      </c>
      <c r="AB350" t="s">
        <v>532</v>
      </c>
    </row>
    <row r="351" spans="1:28" hidden="1">
      <c r="A351" t="s">
        <v>661</v>
      </c>
      <c r="B351" s="17">
        <v>42979</v>
      </c>
      <c r="C351" s="17">
        <v>42979</v>
      </c>
      <c r="D351" t="s">
        <v>7</v>
      </c>
      <c r="E351" t="s">
        <v>1</v>
      </c>
      <c r="F351" s="18">
        <v>432377</v>
      </c>
      <c r="G351" s="18">
        <v>432377</v>
      </c>
      <c r="H351" t="s">
        <v>2</v>
      </c>
      <c r="I351" t="s">
        <v>8</v>
      </c>
      <c r="J351" s="18">
        <v>34914442.75</v>
      </c>
      <c r="K351" t="s">
        <v>3</v>
      </c>
      <c r="L351" t="s">
        <v>9</v>
      </c>
      <c r="M351" t="s">
        <v>662</v>
      </c>
      <c r="N351" t="s">
        <v>3</v>
      </c>
      <c r="O351" t="s">
        <v>3</v>
      </c>
      <c r="P351" t="s">
        <v>5</v>
      </c>
      <c r="Q351" t="s">
        <v>663</v>
      </c>
      <c r="R351" t="s">
        <v>3</v>
      </c>
      <c r="S351" t="s">
        <v>3</v>
      </c>
      <c r="T351" t="s">
        <v>3</v>
      </c>
      <c r="U351" t="s">
        <v>3</v>
      </c>
      <c r="V351" t="s">
        <v>3</v>
      </c>
      <c r="W351" t="s">
        <v>68</v>
      </c>
      <c r="X351" s="17">
        <v>42979</v>
      </c>
      <c r="Y351" t="s">
        <v>661</v>
      </c>
      <c r="Z351" s="17">
        <v>42979</v>
      </c>
      <c r="AA351" t="s">
        <v>3</v>
      </c>
      <c r="AB351" t="s">
        <v>661</v>
      </c>
    </row>
    <row r="352" spans="1:28" hidden="1">
      <c r="A352" t="s">
        <v>661</v>
      </c>
      <c r="B352" s="17">
        <v>42979</v>
      </c>
      <c r="C352" s="17">
        <v>42979</v>
      </c>
      <c r="D352" t="s">
        <v>7</v>
      </c>
      <c r="E352" t="s">
        <v>1</v>
      </c>
      <c r="F352" s="18">
        <v>-432377</v>
      </c>
      <c r="G352" s="18">
        <v>-432377</v>
      </c>
      <c r="H352" t="s">
        <v>2</v>
      </c>
      <c r="I352" t="s">
        <v>8</v>
      </c>
      <c r="J352" s="18">
        <v>-34914442.75</v>
      </c>
      <c r="K352" t="s">
        <v>3</v>
      </c>
      <c r="L352" t="s">
        <v>9</v>
      </c>
      <c r="M352" t="s">
        <v>662</v>
      </c>
      <c r="N352" t="s">
        <v>3</v>
      </c>
      <c r="O352" t="s">
        <v>3</v>
      </c>
      <c r="P352" t="s">
        <v>5</v>
      </c>
      <c r="Q352" t="s">
        <v>663</v>
      </c>
      <c r="R352" t="s">
        <v>3</v>
      </c>
      <c r="S352" t="s">
        <v>3</v>
      </c>
      <c r="T352" t="s">
        <v>3</v>
      </c>
      <c r="U352" t="s">
        <v>3</v>
      </c>
      <c r="V352" t="s">
        <v>3</v>
      </c>
      <c r="W352" t="s">
        <v>68</v>
      </c>
      <c r="X352" s="17">
        <v>42979</v>
      </c>
      <c r="Y352" t="s">
        <v>661</v>
      </c>
      <c r="Z352" s="17">
        <v>42979</v>
      </c>
      <c r="AA352" t="s">
        <v>3</v>
      </c>
      <c r="AB352" t="s">
        <v>661</v>
      </c>
    </row>
    <row r="353" spans="1:28" hidden="1">
      <c r="A353" t="s">
        <v>495</v>
      </c>
      <c r="B353" s="17">
        <v>42979</v>
      </c>
      <c r="C353" s="17">
        <v>42979</v>
      </c>
      <c r="D353" t="s">
        <v>7</v>
      </c>
      <c r="E353" t="s">
        <v>1</v>
      </c>
      <c r="F353" s="18">
        <v>-46290</v>
      </c>
      <c r="G353" s="18">
        <v>-46290</v>
      </c>
      <c r="H353" t="s">
        <v>2</v>
      </c>
      <c r="I353" t="s">
        <v>10</v>
      </c>
      <c r="J353" s="18">
        <v>-3740232</v>
      </c>
      <c r="K353" t="s">
        <v>3</v>
      </c>
      <c r="L353" t="s">
        <v>9</v>
      </c>
      <c r="M353" t="s">
        <v>666</v>
      </c>
      <c r="N353" t="s">
        <v>3</v>
      </c>
      <c r="O353" t="s">
        <v>3</v>
      </c>
      <c r="P353" t="s">
        <v>5</v>
      </c>
      <c r="Q353" t="s">
        <v>667</v>
      </c>
      <c r="R353" t="s">
        <v>3</v>
      </c>
      <c r="S353" t="s">
        <v>3</v>
      </c>
      <c r="T353" t="s">
        <v>3</v>
      </c>
      <c r="U353" t="s">
        <v>3</v>
      </c>
      <c r="V353" t="s">
        <v>3</v>
      </c>
      <c r="W353" t="s">
        <v>68</v>
      </c>
      <c r="X353" s="17">
        <v>42979</v>
      </c>
      <c r="Y353" t="s">
        <v>505</v>
      </c>
      <c r="Z353" s="17">
        <v>42979</v>
      </c>
      <c r="AA353" t="s">
        <v>3</v>
      </c>
      <c r="AB353" t="s">
        <v>495</v>
      </c>
    </row>
    <row r="354" spans="1:28" hidden="1">
      <c r="A354" t="s">
        <v>495</v>
      </c>
      <c r="B354" s="17">
        <v>42979</v>
      </c>
      <c r="C354" s="17">
        <v>42979</v>
      </c>
      <c r="D354" t="s">
        <v>7</v>
      </c>
      <c r="E354" t="s">
        <v>1</v>
      </c>
      <c r="F354" s="18">
        <v>46290</v>
      </c>
      <c r="G354" s="18">
        <v>46290</v>
      </c>
      <c r="H354" t="s">
        <v>2</v>
      </c>
      <c r="I354" t="s">
        <v>10</v>
      </c>
      <c r="J354" s="18">
        <v>3745600.15</v>
      </c>
      <c r="K354" t="s">
        <v>3</v>
      </c>
      <c r="L354" t="s">
        <v>9</v>
      </c>
      <c r="M354" t="s">
        <v>666</v>
      </c>
      <c r="N354" t="s">
        <v>3</v>
      </c>
      <c r="O354" t="s">
        <v>3</v>
      </c>
      <c r="P354" t="s">
        <v>5</v>
      </c>
      <c r="Q354" t="s">
        <v>667</v>
      </c>
      <c r="R354" t="s">
        <v>3</v>
      </c>
      <c r="S354" t="s">
        <v>3</v>
      </c>
      <c r="T354" t="s">
        <v>3</v>
      </c>
      <c r="U354" t="s">
        <v>3</v>
      </c>
      <c r="V354" t="s">
        <v>3</v>
      </c>
      <c r="W354" t="s">
        <v>68</v>
      </c>
      <c r="X354" s="17">
        <v>43008</v>
      </c>
      <c r="Y354" t="s">
        <v>495</v>
      </c>
      <c r="Z354" s="17">
        <v>42979</v>
      </c>
      <c r="AA354" t="s">
        <v>3</v>
      </c>
      <c r="AB354" t="s">
        <v>495</v>
      </c>
    </row>
    <row r="355" spans="1:28" hidden="1">
      <c r="A355" t="s">
        <v>505</v>
      </c>
      <c r="B355" s="17">
        <v>42979</v>
      </c>
      <c r="C355" s="17">
        <v>42979</v>
      </c>
      <c r="D355" t="s">
        <v>7</v>
      </c>
      <c r="E355" t="s">
        <v>1</v>
      </c>
      <c r="F355" s="18">
        <v>1</v>
      </c>
      <c r="G355" s="18">
        <v>1</v>
      </c>
      <c r="H355" t="s">
        <v>2</v>
      </c>
      <c r="I355" t="s">
        <v>10</v>
      </c>
      <c r="J355" s="18">
        <v>2395.25</v>
      </c>
      <c r="K355" t="s">
        <v>3</v>
      </c>
      <c r="L355" t="s">
        <v>9</v>
      </c>
      <c r="M355" t="s">
        <v>668</v>
      </c>
      <c r="N355" t="s">
        <v>3</v>
      </c>
      <c r="O355" t="s">
        <v>3</v>
      </c>
      <c r="P355" t="s">
        <v>5</v>
      </c>
      <c r="Q355" t="s">
        <v>669</v>
      </c>
      <c r="R355" t="s">
        <v>3</v>
      </c>
      <c r="S355" t="s">
        <v>3</v>
      </c>
      <c r="T355" t="s">
        <v>3</v>
      </c>
      <c r="U355" t="s">
        <v>3</v>
      </c>
      <c r="V355" t="s">
        <v>3</v>
      </c>
      <c r="W355" t="s">
        <v>68</v>
      </c>
      <c r="X355" s="17">
        <v>42979</v>
      </c>
      <c r="Y355" t="s">
        <v>505</v>
      </c>
      <c r="Z355" s="17">
        <v>42979</v>
      </c>
      <c r="AA355" t="s">
        <v>3</v>
      </c>
      <c r="AB355" t="s">
        <v>505</v>
      </c>
    </row>
    <row r="356" spans="1:28" hidden="1">
      <c r="A356" t="s">
        <v>688</v>
      </c>
      <c r="B356" s="17">
        <v>42979</v>
      </c>
      <c r="C356" s="17">
        <v>42979</v>
      </c>
      <c r="D356" t="s">
        <v>7</v>
      </c>
      <c r="E356" t="s">
        <v>1</v>
      </c>
      <c r="F356" s="18">
        <v>74584</v>
      </c>
      <c r="G356" s="18">
        <v>74584</v>
      </c>
      <c r="H356" t="s">
        <v>2</v>
      </c>
      <c r="I356" t="s">
        <v>10</v>
      </c>
      <c r="J356" s="18">
        <v>5974178.4100000001</v>
      </c>
      <c r="K356" t="s">
        <v>689</v>
      </c>
      <c r="L356" t="s">
        <v>9</v>
      </c>
      <c r="M356" t="s">
        <v>690</v>
      </c>
      <c r="N356" t="s">
        <v>3</v>
      </c>
      <c r="O356" t="s">
        <v>3</v>
      </c>
      <c r="P356" t="s">
        <v>5</v>
      </c>
      <c r="Q356" t="s">
        <v>689</v>
      </c>
      <c r="R356" t="s">
        <v>3</v>
      </c>
      <c r="S356" t="s">
        <v>3</v>
      </c>
      <c r="T356" t="s">
        <v>3</v>
      </c>
      <c r="U356" t="s">
        <v>3</v>
      </c>
      <c r="V356" t="s">
        <v>3</v>
      </c>
      <c r="W356" t="s">
        <v>68</v>
      </c>
      <c r="X356" s="17">
        <v>42979</v>
      </c>
      <c r="Y356" t="s">
        <v>688</v>
      </c>
      <c r="Z356" s="17">
        <v>42979</v>
      </c>
      <c r="AA356" t="s">
        <v>3</v>
      </c>
      <c r="AB356" t="s">
        <v>688</v>
      </c>
    </row>
    <row r="357" spans="1:28" hidden="1">
      <c r="A357" t="s">
        <v>688</v>
      </c>
      <c r="B357" s="17">
        <v>42979</v>
      </c>
      <c r="C357" s="17">
        <v>42979</v>
      </c>
      <c r="D357" t="s">
        <v>7</v>
      </c>
      <c r="E357" t="s">
        <v>1</v>
      </c>
      <c r="F357" s="18">
        <v>-74584</v>
      </c>
      <c r="G357" s="18">
        <v>-74584</v>
      </c>
      <c r="H357" t="s">
        <v>2</v>
      </c>
      <c r="I357" t="s">
        <v>10</v>
      </c>
      <c r="J357" s="18">
        <v>-5974178.4100000001</v>
      </c>
      <c r="K357" t="s">
        <v>3</v>
      </c>
      <c r="L357" t="s">
        <v>9</v>
      </c>
      <c r="M357" t="s">
        <v>690</v>
      </c>
      <c r="N357" t="s">
        <v>3</v>
      </c>
      <c r="O357" t="s">
        <v>3</v>
      </c>
      <c r="P357" t="s">
        <v>5</v>
      </c>
      <c r="Q357" t="s">
        <v>689</v>
      </c>
      <c r="R357" t="s">
        <v>3</v>
      </c>
      <c r="S357" t="s">
        <v>3</v>
      </c>
      <c r="T357" t="s">
        <v>3</v>
      </c>
      <c r="U357" t="s">
        <v>3</v>
      </c>
      <c r="V357" t="s">
        <v>3</v>
      </c>
      <c r="W357" t="s">
        <v>68</v>
      </c>
      <c r="X357" s="17">
        <v>42979</v>
      </c>
      <c r="Y357" t="s">
        <v>688</v>
      </c>
      <c r="Z357" s="17">
        <v>42979</v>
      </c>
      <c r="AA357" t="s">
        <v>3</v>
      </c>
      <c r="AB357" t="s">
        <v>688</v>
      </c>
    </row>
    <row r="358" spans="1:28" hidden="1">
      <c r="A358" t="s">
        <v>365</v>
      </c>
      <c r="B358" s="17">
        <v>42979</v>
      </c>
      <c r="C358" s="17">
        <v>42979</v>
      </c>
      <c r="D358" t="s">
        <v>7</v>
      </c>
      <c r="E358" t="s">
        <v>1</v>
      </c>
      <c r="F358" s="18">
        <v>1</v>
      </c>
      <c r="G358" s="18">
        <v>1</v>
      </c>
      <c r="H358" t="s">
        <v>2</v>
      </c>
      <c r="I358" t="s">
        <v>10</v>
      </c>
      <c r="J358" s="18">
        <v>904.55</v>
      </c>
      <c r="K358" t="s">
        <v>693</v>
      </c>
      <c r="L358" t="s">
        <v>9</v>
      </c>
      <c r="M358" t="s">
        <v>694</v>
      </c>
      <c r="N358" t="s">
        <v>3</v>
      </c>
      <c r="O358" t="s">
        <v>3</v>
      </c>
      <c r="P358" t="s">
        <v>5</v>
      </c>
      <c r="Q358" t="s">
        <v>693</v>
      </c>
      <c r="R358" t="s">
        <v>3</v>
      </c>
      <c r="S358" t="s">
        <v>3</v>
      </c>
      <c r="T358" t="s">
        <v>3</v>
      </c>
      <c r="U358" t="s">
        <v>3</v>
      </c>
      <c r="V358" t="s">
        <v>3</v>
      </c>
      <c r="W358" t="s">
        <v>68</v>
      </c>
      <c r="X358" s="17">
        <v>42979</v>
      </c>
      <c r="Y358" t="s">
        <v>365</v>
      </c>
      <c r="Z358" s="17">
        <v>42979</v>
      </c>
      <c r="AA358" t="s">
        <v>3</v>
      </c>
      <c r="AB358" t="s">
        <v>365</v>
      </c>
    </row>
    <row r="359" spans="1:28" hidden="1">
      <c r="A359" t="s">
        <v>1063</v>
      </c>
      <c r="B359" s="17">
        <v>42989</v>
      </c>
      <c r="C359" s="17">
        <v>42989</v>
      </c>
      <c r="D359" t="s">
        <v>0</v>
      </c>
      <c r="E359" t="s">
        <v>1</v>
      </c>
      <c r="F359" s="18">
        <v>243056</v>
      </c>
      <c r="G359" s="18">
        <v>243056</v>
      </c>
      <c r="H359" t="s">
        <v>2</v>
      </c>
      <c r="I359" t="s">
        <v>8</v>
      </c>
      <c r="J359" s="18">
        <v>19626772</v>
      </c>
      <c r="K359" t="s">
        <v>1033</v>
      </c>
      <c r="L359" t="s">
        <v>9</v>
      </c>
      <c r="M359" t="s">
        <v>1064</v>
      </c>
      <c r="N359" t="s">
        <v>3</v>
      </c>
      <c r="O359" t="s">
        <v>3</v>
      </c>
      <c r="P359" t="s">
        <v>5</v>
      </c>
      <c r="Q359" t="s">
        <v>1065</v>
      </c>
      <c r="R359" t="s">
        <v>3</v>
      </c>
      <c r="S359" t="s">
        <v>3</v>
      </c>
      <c r="T359" t="s">
        <v>3</v>
      </c>
      <c r="U359" t="s">
        <v>3</v>
      </c>
      <c r="V359" t="s">
        <v>3</v>
      </c>
      <c r="W359" t="s">
        <v>68</v>
      </c>
      <c r="X359" s="17">
        <v>43008</v>
      </c>
      <c r="Y359" t="s">
        <v>651</v>
      </c>
      <c r="Z359" s="17">
        <v>42989</v>
      </c>
      <c r="AA359" t="s">
        <v>3</v>
      </c>
      <c r="AB359" t="s">
        <v>1063</v>
      </c>
    </row>
    <row r="360" spans="1:28" hidden="1">
      <c r="A360" t="s">
        <v>1066</v>
      </c>
      <c r="B360" s="17">
        <v>42989</v>
      </c>
      <c r="C360" s="17">
        <v>42989</v>
      </c>
      <c r="D360" t="s">
        <v>0</v>
      </c>
      <c r="E360" t="s">
        <v>1</v>
      </c>
      <c r="F360" s="18">
        <v>209762</v>
      </c>
      <c r="G360" s="18">
        <v>209762</v>
      </c>
      <c r="H360" t="s">
        <v>2</v>
      </c>
      <c r="I360" t="s">
        <v>8</v>
      </c>
      <c r="J360" s="18">
        <v>16938281.5</v>
      </c>
      <c r="K360" t="s">
        <v>1033</v>
      </c>
      <c r="L360" t="s">
        <v>9</v>
      </c>
      <c r="M360" t="s">
        <v>1067</v>
      </c>
      <c r="N360" t="s">
        <v>3</v>
      </c>
      <c r="O360" t="s">
        <v>3</v>
      </c>
      <c r="P360" t="s">
        <v>5</v>
      </c>
      <c r="Q360" t="s">
        <v>1068</v>
      </c>
      <c r="R360" t="s">
        <v>3</v>
      </c>
      <c r="S360" t="s">
        <v>3</v>
      </c>
      <c r="T360" t="s">
        <v>3</v>
      </c>
      <c r="U360" t="s">
        <v>3</v>
      </c>
      <c r="V360" t="s">
        <v>3</v>
      </c>
      <c r="W360" t="s">
        <v>68</v>
      </c>
      <c r="X360" s="17">
        <v>43008</v>
      </c>
      <c r="Y360" t="s">
        <v>651</v>
      </c>
      <c r="Z360" s="17">
        <v>42989</v>
      </c>
      <c r="AA360" t="s">
        <v>3</v>
      </c>
      <c r="AB360" t="s">
        <v>1066</v>
      </c>
    </row>
    <row r="361" spans="1:28" hidden="1">
      <c r="A361" t="s">
        <v>1069</v>
      </c>
      <c r="B361" s="17">
        <v>42990</v>
      </c>
      <c r="C361" s="17">
        <v>42990</v>
      </c>
      <c r="D361" t="s">
        <v>0</v>
      </c>
      <c r="E361" t="s">
        <v>1</v>
      </c>
      <c r="F361" s="18">
        <v>138190</v>
      </c>
      <c r="G361" s="18">
        <v>138190</v>
      </c>
      <c r="H361" t="s">
        <v>2</v>
      </c>
      <c r="I361" t="s">
        <v>8</v>
      </c>
      <c r="J361" s="18">
        <v>11158842.5</v>
      </c>
      <c r="K361" t="s">
        <v>1033</v>
      </c>
      <c r="L361" t="s">
        <v>9</v>
      </c>
      <c r="M361" t="s">
        <v>1070</v>
      </c>
      <c r="N361" t="s">
        <v>3</v>
      </c>
      <c r="O361" t="s">
        <v>3</v>
      </c>
      <c r="P361" t="s">
        <v>5</v>
      </c>
      <c r="Q361" t="s">
        <v>1071</v>
      </c>
      <c r="R361" t="s">
        <v>3</v>
      </c>
      <c r="S361" t="s">
        <v>3</v>
      </c>
      <c r="T361" t="s">
        <v>3</v>
      </c>
      <c r="U361" t="s">
        <v>3</v>
      </c>
      <c r="V361" t="s">
        <v>3</v>
      </c>
      <c r="W361" t="s">
        <v>68</v>
      </c>
      <c r="X361" s="17">
        <v>43008</v>
      </c>
      <c r="Y361" t="s">
        <v>651</v>
      </c>
      <c r="Z361" s="17">
        <v>42990</v>
      </c>
      <c r="AA361" t="s">
        <v>3</v>
      </c>
      <c r="AB361" t="s">
        <v>1069</v>
      </c>
    </row>
    <row r="362" spans="1:28" hidden="1">
      <c r="A362" t="s">
        <v>1075</v>
      </c>
      <c r="B362" s="17">
        <v>42990</v>
      </c>
      <c r="C362" s="17">
        <v>42990</v>
      </c>
      <c r="D362" t="s">
        <v>0</v>
      </c>
      <c r="E362" t="s">
        <v>1</v>
      </c>
      <c r="F362" s="18">
        <v>9562</v>
      </c>
      <c r="G362" s="18">
        <v>9562</v>
      </c>
      <c r="H362" t="s">
        <v>2</v>
      </c>
      <c r="I362" t="s">
        <v>10</v>
      </c>
      <c r="J362" s="18">
        <v>772131.5</v>
      </c>
      <c r="K362" t="s">
        <v>1076</v>
      </c>
      <c r="L362" t="s">
        <v>9</v>
      </c>
      <c r="M362" t="s">
        <v>1077</v>
      </c>
      <c r="N362" t="s">
        <v>3</v>
      </c>
      <c r="O362" t="s">
        <v>3</v>
      </c>
      <c r="P362" t="s">
        <v>5</v>
      </c>
      <c r="Q362" t="s">
        <v>1078</v>
      </c>
      <c r="R362" t="s">
        <v>3</v>
      </c>
      <c r="S362" t="s">
        <v>3</v>
      </c>
      <c r="T362" t="s">
        <v>3</v>
      </c>
      <c r="U362" t="s">
        <v>3</v>
      </c>
      <c r="V362" t="s">
        <v>3</v>
      </c>
      <c r="W362" t="s">
        <v>68</v>
      </c>
      <c r="X362" s="17">
        <v>43008</v>
      </c>
      <c r="Y362" t="s">
        <v>681</v>
      </c>
      <c r="Z362" s="17">
        <v>42990</v>
      </c>
      <c r="AA362" t="s">
        <v>3</v>
      </c>
      <c r="AB362" t="s">
        <v>1075</v>
      </c>
    </row>
    <row r="363" spans="1:28" hidden="1">
      <c r="A363" t="s">
        <v>1079</v>
      </c>
      <c r="B363" s="17">
        <v>42990</v>
      </c>
      <c r="C363" s="17">
        <v>42990</v>
      </c>
      <c r="D363" t="s">
        <v>0</v>
      </c>
      <c r="E363" t="s">
        <v>1</v>
      </c>
      <c r="F363" s="18">
        <v>69439</v>
      </c>
      <c r="G363" s="18">
        <v>69439</v>
      </c>
      <c r="H363" t="s">
        <v>2</v>
      </c>
      <c r="I363" t="s">
        <v>10</v>
      </c>
      <c r="J363" s="18">
        <v>5607199.25</v>
      </c>
      <c r="K363" t="s">
        <v>1080</v>
      </c>
      <c r="L363" t="s">
        <v>9</v>
      </c>
      <c r="M363" t="s">
        <v>1081</v>
      </c>
      <c r="N363" t="s">
        <v>3</v>
      </c>
      <c r="O363" t="s">
        <v>3</v>
      </c>
      <c r="P363" t="s">
        <v>5</v>
      </c>
      <c r="Q363" t="s">
        <v>1082</v>
      </c>
      <c r="R363" t="s">
        <v>3</v>
      </c>
      <c r="S363" t="s">
        <v>3</v>
      </c>
      <c r="T363" t="s">
        <v>3</v>
      </c>
      <c r="U363" t="s">
        <v>3</v>
      </c>
      <c r="V363" t="s">
        <v>3</v>
      </c>
      <c r="W363" t="s">
        <v>68</v>
      </c>
      <c r="X363" s="17">
        <v>43008</v>
      </c>
      <c r="Y363" t="s">
        <v>678</v>
      </c>
      <c r="Z363" s="17">
        <v>42990</v>
      </c>
      <c r="AA363" t="s">
        <v>3</v>
      </c>
      <c r="AB363" t="s">
        <v>1079</v>
      </c>
    </row>
    <row r="364" spans="1:28" hidden="1">
      <c r="A364" t="s">
        <v>1083</v>
      </c>
      <c r="B364" s="17">
        <v>42990</v>
      </c>
      <c r="C364" s="17">
        <v>42990</v>
      </c>
      <c r="D364" t="s">
        <v>0</v>
      </c>
      <c r="E364" t="s">
        <v>1</v>
      </c>
      <c r="F364" s="18">
        <v>4781</v>
      </c>
      <c r="G364" s="18">
        <v>4781</v>
      </c>
      <c r="H364" t="s">
        <v>2</v>
      </c>
      <c r="I364" t="s">
        <v>10</v>
      </c>
      <c r="J364" s="18">
        <v>386065.75</v>
      </c>
      <c r="K364" t="s">
        <v>1076</v>
      </c>
      <c r="L364" t="s">
        <v>9</v>
      </c>
      <c r="M364" t="s">
        <v>1084</v>
      </c>
      <c r="N364" t="s">
        <v>3</v>
      </c>
      <c r="O364" t="s">
        <v>3</v>
      </c>
      <c r="P364" t="s">
        <v>5</v>
      </c>
      <c r="Q364" t="s">
        <v>1085</v>
      </c>
      <c r="R364" t="s">
        <v>3</v>
      </c>
      <c r="S364" t="s">
        <v>3</v>
      </c>
      <c r="T364" t="s">
        <v>3</v>
      </c>
      <c r="U364" t="s">
        <v>3</v>
      </c>
      <c r="V364" t="s">
        <v>3</v>
      </c>
      <c r="W364" t="s">
        <v>68</v>
      </c>
      <c r="X364" s="17">
        <v>43008</v>
      </c>
      <c r="Y364" t="s">
        <v>681</v>
      </c>
      <c r="Z364" s="17">
        <v>42990</v>
      </c>
      <c r="AA364" t="s">
        <v>3</v>
      </c>
      <c r="AB364" t="s">
        <v>1083</v>
      </c>
    </row>
    <row r="365" spans="1:28" hidden="1">
      <c r="A365" t="s">
        <v>1086</v>
      </c>
      <c r="B365" s="17">
        <v>42991</v>
      </c>
      <c r="C365" s="17">
        <v>42991</v>
      </c>
      <c r="D365" t="s">
        <v>0</v>
      </c>
      <c r="E365" t="s">
        <v>1</v>
      </c>
      <c r="F365" s="18">
        <v>1275</v>
      </c>
      <c r="G365" s="18">
        <v>1275</v>
      </c>
      <c r="H365" t="s">
        <v>2</v>
      </c>
      <c r="I365" t="s">
        <v>10</v>
      </c>
      <c r="J365" s="18">
        <v>102127.5</v>
      </c>
      <c r="K365" t="s">
        <v>1040</v>
      </c>
      <c r="L365" t="s">
        <v>9</v>
      </c>
      <c r="M365" t="s">
        <v>1087</v>
      </c>
      <c r="N365" t="s">
        <v>3</v>
      </c>
      <c r="O365" t="s">
        <v>3</v>
      </c>
      <c r="P365" t="s">
        <v>5</v>
      </c>
      <c r="Q365" t="s">
        <v>1088</v>
      </c>
      <c r="R365" t="s">
        <v>3</v>
      </c>
      <c r="S365" t="s">
        <v>3</v>
      </c>
      <c r="T365" t="s">
        <v>3</v>
      </c>
      <c r="U365" t="s">
        <v>3</v>
      </c>
      <c r="V365" t="s">
        <v>3</v>
      </c>
      <c r="W365" t="s">
        <v>68</v>
      </c>
      <c r="X365" s="17">
        <v>43008</v>
      </c>
      <c r="Y365" t="s">
        <v>675</v>
      </c>
      <c r="Z365" s="17">
        <v>42991</v>
      </c>
      <c r="AA365" t="s">
        <v>3</v>
      </c>
      <c r="AB365" t="s">
        <v>1086</v>
      </c>
    </row>
    <row r="366" spans="1:28" hidden="1">
      <c r="A366" t="s">
        <v>1086</v>
      </c>
      <c r="B366" s="17">
        <v>42991</v>
      </c>
      <c r="C366" s="17">
        <v>42991</v>
      </c>
      <c r="D366" t="s">
        <v>0</v>
      </c>
      <c r="E366" t="s">
        <v>1</v>
      </c>
      <c r="F366" s="18">
        <v>25782</v>
      </c>
      <c r="G366" s="18">
        <v>25782</v>
      </c>
      <c r="H366" t="s">
        <v>2</v>
      </c>
      <c r="I366" t="s">
        <v>10</v>
      </c>
      <c r="J366" s="18">
        <v>2081896.5</v>
      </c>
      <c r="K366" t="s">
        <v>1076</v>
      </c>
      <c r="L366" t="s">
        <v>9</v>
      </c>
      <c r="M366" t="s">
        <v>1087</v>
      </c>
      <c r="N366" t="s">
        <v>3</v>
      </c>
      <c r="O366" t="s">
        <v>3</v>
      </c>
      <c r="P366" t="s">
        <v>5</v>
      </c>
      <c r="Q366" t="s">
        <v>1088</v>
      </c>
      <c r="R366" t="s">
        <v>3</v>
      </c>
      <c r="S366" t="s">
        <v>3</v>
      </c>
      <c r="T366" t="s">
        <v>3</v>
      </c>
      <c r="U366" t="s">
        <v>3</v>
      </c>
      <c r="V366" t="s">
        <v>3</v>
      </c>
      <c r="W366" t="s">
        <v>68</v>
      </c>
      <c r="X366" s="17">
        <v>43008</v>
      </c>
      <c r="Y366" t="s">
        <v>681</v>
      </c>
      <c r="Z366" s="17">
        <v>42991</v>
      </c>
      <c r="AA366" t="s">
        <v>3</v>
      </c>
      <c r="AB366" t="s">
        <v>1086</v>
      </c>
    </row>
    <row r="367" spans="1:28" hidden="1">
      <c r="A367" t="s">
        <v>1102</v>
      </c>
      <c r="B367" s="17">
        <v>42991</v>
      </c>
      <c r="C367" s="17">
        <v>42991</v>
      </c>
      <c r="D367" t="s">
        <v>0</v>
      </c>
      <c r="E367" t="s">
        <v>1</v>
      </c>
      <c r="F367" s="18">
        <v>-294346</v>
      </c>
      <c r="G367" s="18">
        <v>-294346</v>
      </c>
      <c r="H367" t="s">
        <v>2</v>
      </c>
      <c r="I367" t="s">
        <v>8</v>
      </c>
      <c r="J367" s="18">
        <v>-23783156.800000001</v>
      </c>
      <c r="K367" t="s">
        <v>1103</v>
      </c>
      <c r="L367" t="s">
        <v>9</v>
      </c>
      <c r="M367" t="s">
        <v>1104</v>
      </c>
      <c r="N367" t="s">
        <v>3</v>
      </c>
      <c r="O367" t="s">
        <v>3</v>
      </c>
      <c r="P367" t="s">
        <v>5</v>
      </c>
      <c r="Q367" t="s">
        <v>1105</v>
      </c>
      <c r="R367" t="s">
        <v>3</v>
      </c>
      <c r="S367" t="s">
        <v>3</v>
      </c>
      <c r="T367" t="s">
        <v>3</v>
      </c>
      <c r="U367" t="s">
        <v>3</v>
      </c>
      <c r="V367" t="s">
        <v>3</v>
      </c>
      <c r="W367" t="s">
        <v>68</v>
      </c>
      <c r="X367" s="17">
        <v>43039</v>
      </c>
      <c r="Y367" t="s">
        <v>701</v>
      </c>
      <c r="Z367" s="17">
        <v>42991</v>
      </c>
      <c r="AA367" t="s">
        <v>3</v>
      </c>
      <c r="AB367" t="s">
        <v>1102</v>
      </c>
    </row>
    <row r="368" spans="1:28" hidden="1">
      <c r="A368" t="s">
        <v>1114</v>
      </c>
      <c r="B368" s="17">
        <v>42991</v>
      </c>
      <c r="C368" s="17">
        <v>42991</v>
      </c>
      <c r="D368" t="s">
        <v>0</v>
      </c>
      <c r="E368" t="s">
        <v>1</v>
      </c>
      <c r="F368" s="18">
        <v>12982</v>
      </c>
      <c r="G368" s="18">
        <v>12982</v>
      </c>
      <c r="H368" t="s">
        <v>2</v>
      </c>
      <c r="I368" t="s">
        <v>8</v>
      </c>
      <c r="J368" s="18">
        <v>1048296.5</v>
      </c>
      <c r="K368" t="s">
        <v>1115</v>
      </c>
      <c r="L368" t="s">
        <v>9</v>
      </c>
      <c r="M368" t="s">
        <v>1116</v>
      </c>
      <c r="N368" t="s">
        <v>3</v>
      </c>
      <c r="O368" t="s">
        <v>3</v>
      </c>
      <c r="P368" t="s">
        <v>5</v>
      </c>
      <c r="Q368" t="s">
        <v>1117</v>
      </c>
      <c r="R368" t="s">
        <v>3</v>
      </c>
      <c r="S368" t="s">
        <v>3</v>
      </c>
      <c r="T368" t="s">
        <v>3</v>
      </c>
      <c r="U368" t="s">
        <v>3</v>
      </c>
      <c r="V368" t="s">
        <v>3</v>
      </c>
      <c r="W368" t="s">
        <v>68</v>
      </c>
      <c r="X368" s="17">
        <v>43008</v>
      </c>
      <c r="Y368" t="s">
        <v>651</v>
      </c>
      <c r="Z368" s="17">
        <v>42991</v>
      </c>
      <c r="AA368" t="s">
        <v>3</v>
      </c>
      <c r="AB368" t="s">
        <v>1114</v>
      </c>
    </row>
    <row r="369" spans="1:28" hidden="1">
      <c r="A369" t="s">
        <v>1118</v>
      </c>
      <c r="B369" s="17">
        <v>42991</v>
      </c>
      <c r="C369" s="17">
        <v>42991</v>
      </c>
      <c r="D369" t="s">
        <v>0</v>
      </c>
      <c r="E369" t="s">
        <v>1</v>
      </c>
      <c r="F369" s="18">
        <v>6728</v>
      </c>
      <c r="G369" s="18">
        <v>6728</v>
      </c>
      <c r="H369" t="s">
        <v>2</v>
      </c>
      <c r="I369" t="s">
        <v>8</v>
      </c>
      <c r="J369" s="18">
        <v>543286</v>
      </c>
      <c r="K369" t="s">
        <v>1115</v>
      </c>
      <c r="L369" t="s">
        <v>9</v>
      </c>
      <c r="M369" t="s">
        <v>1119</v>
      </c>
      <c r="N369" t="s">
        <v>3</v>
      </c>
      <c r="O369" t="s">
        <v>3</v>
      </c>
      <c r="P369" t="s">
        <v>5</v>
      </c>
      <c r="Q369" t="s">
        <v>1120</v>
      </c>
      <c r="R369" t="s">
        <v>3</v>
      </c>
      <c r="S369" t="s">
        <v>3</v>
      </c>
      <c r="T369" t="s">
        <v>3</v>
      </c>
      <c r="U369" t="s">
        <v>3</v>
      </c>
      <c r="V369" t="s">
        <v>3</v>
      </c>
      <c r="W369" t="s">
        <v>68</v>
      </c>
      <c r="X369" s="17">
        <v>43008</v>
      </c>
      <c r="Y369" t="s">
        <v>651</v>
      </c>
      <c r="Z369" s="17">
        <v>42991</v>
      </c>
      <c r="AA369" t="s">
        <v>3</v>
      </c>
      <c r="AB369" t="s">
        <v>1118</v>
      </c>
    </row>
    <row r="370" spans="1:28" hidden="1">
      <c r="A370" t="s">
        <v>1089</v>
      </c>
      <c r="B370" s="17">
        <v>42992</v>
      </c>
      <c r="C370" s="17">
        <v>42992</v>
      </c>
      <c r="D370" t="s">
        <v>0</v>
      </c>
      <c r="E370" t="s">
        <v>1</v>
      </c>
      <c r="F370" s="18">
        <v>6781</v>
      </c>
      <c r="G370" s="18">
        <v>6781</v>
      </c>
      <c r="H370" t="s">
        <v>2</v>
      </c>
      <c r="I370" t="s">
        <v>10</v>
      </c>
      <c r="J370" s="18">
        <v>547565.75</v>
      </c>
      <c r="K370" t="s">
        <v>1080</v>
      </c>
      <c r="L370" t="s">
        <v>9</v>
      </c>
      <c r="M370" t="s">
        <v>1090</v>
      </c>
      <c r="N370" t="s">
        <v>3</v>
      </c>
      <c r="O370" t="s">
        <v>3</v>
      </c>
      <c r="P370" t="s">
        <v>5</v>
      </c>
      <c r="Q370" t="s">
        <v>1091</v>
      </c>
      <c r="R370" t="s">
        <v>3</v>
      </c>
      <c r="S370" t="s">
        <v>3</v>
      </c>
      <c r="T370" t="s">
        <v>3</v>
      </c>
      <c r="U370" t="s">
        <v>3</v>
      </c>
      <c r="V370" t="s">
        <v>3</v>
      </c>
      <c r="W370" t="s">
        <v>68</v>
      </c>
      <c r="X370" s="17">
        <v>43008</v>
      </c>
      <c r="Y370" t="s">
        <v>678</v>
      </c>
      <c r="Z370" s="17">
        <v>42992</v>
      </c>
      <c r="AA370" t="s">
        <v>3</v>
      </c>
      <c r="AB370" t="s">
        <v>1089</v>
      </c>
    </row>
    <row r="371" spans="1:28" hidden="1">
      <c r="A371" t="s">
        <v>1106</v>
      </c>
      <c r="B371" s="17">
        <v>42992</v>
      </c>
      <c r="C371" s="17">
        <v>42992</v>
      </c>
      <c r="D371" t="s">
        <v>0</v>
      </c>
      <c r="E371" t="s">
        <v>1</v>
      </c>
      <c r="F371" s="18">
        <v>-27878</v>
      </c>
      <c r="G371" s="18">
        <v>-27878</v>
      </c>
      <c r="H371" t="s">
        <v>2</v>
      </c>
      <c r="I371" t="s">
        <v>10</v>
      </c>
      <c r="J371" s="18">
        <v>-2252542.4</v>
      </c>
      <c r="K371" t="s">
        <v>1107</v>
      </c>
      <c r="L371" t="s">
        <v>9</v>
      </c>
      <c r="M371" t="s">
        <v>1108</v>
      </c>
      <c r="N371" t="s">
        <v>3</v>
      </c>
      <c r="O371" t="s">
        <v>3</v>
      </c>
      <c r="P371" t="s">
        <v>5</v>
      </c>
      <c r="Q371" t="s">
        <v>1109</v>
      </c>
      <c r="R371" t="s">
        <v>3</v>
      </c>
      <c r="S371" t="s">
        <v>3</v>
      </c>
      <c r="T371" t="s">
        <v>3</v>
      </c>
      <c r="U371" t="s">
        <v>3</v>
      </c>
      <c r="V371" t="s">
        <v>3</v>
      </c>
      <c r="W371" t="s">
        <v>68</v>
      </c>
      <c r="X371" s="17">
        <v>43008</v>
      </c>
      <c r="Y371" t="s">
        <v>695</v>
      </c>
      <c r="Z371" s="17">
        <v>42992</v>
      </c>
      <c r="AA371" t="s">
        <v>3</v>
      </c>
      <c r="AB371" t="s">
        <v>1106</v>
      </c>
    </row>
    <row r="372" spans="1:28" hidden="1">
      <c r="A372" t="s">
        <v>1092</v>
      </c>
      <c r="B372" s="17">
        <v>42996</v>
      </c>
      <c r="C372" s="17">
        <v>42996</v>
      </c>
      <c r="D372" t="s">
        <v>0</v>
      </c>
      <c r="E372" t="s">
        <v>1</v>
      </c>
      <c r="F372" s="18">
        <v>9986</v>
      </c>
      <c r="G372" s="18">
        <v>9986</v>
      </c>
      <c r="H372" t="s">
        <v>2</v>
      </c>
      <c r="I372" t="s">
        <v>10</v>
      </c>
      <c r="J372" s="18">
        <v>806369.5</v>
      </c>
      <c r="K372" t="s">
        <v>1080</v>
      </c>
      <c r="L372" t="s">
        <v>9</v>
      </c>
      <c r="M372" t="s">
        <v>1093</v>
      </c>
      <c r="N372" t="s">
        <v>3</v>
      </c>
      <c r="O372" t="s">
        <v>3</v>
      </c>
      <c r="P372" t="s">
        <v>5</v>
      </c>
      <c r="Q372" t="s">
        <v>1094</v>
      </c>
      <c r="R372" t="s">
        <v>3</v>
      </c>
      <c r="S372" t="s">
        <v>3</v>
      </c>
      <c r="T372" t="s">
        <v>3</v>
      </c>
      <c r="U372" t="s">
        <v>3</v>
      </c>
      <c r="V372" t="s">
        <v>3</v>
      </c>
      <c r="W372" t="s">
        <v>68</v>
      </c>
      <c r="X372" s="17">
        <v>43008</v>
      </c>
      <c r="Y372" t="s">
        <v>678</v>
      </c>
      <c r="Z372" s="17">
        <v>42996</v>
      </c>
      <c r="AA372" t="s">
        <v>3</v>
      </c>
      <c r="AB372" t="s">
        <v>1092</v>
      </c>
    </row>
    <row r="373" spans="1:28" hidden="1">
      <c r="A373" t="s">
        <v>1095</v>
      </c>
      <c r="B373" s="17">
        <v>42996</v>
      </c>
      <c r="C373" s="17">
        <v>42996</v>
      </c>
      <c r="D373" t="s">
        <v>0</v>
      </c>
      <c r="E373" t="s">
        <v>1</v>
      </c>
      <c r="F373" s="18">
        <v>5231</v>
      </c>
      <c r="G373" s="18">
        <v>5231</v>
      </c>
      <c r="H373" t="s">
        <v>2</v>
      </c>
      <c r="I373" t="s">
        <v>10</v>
      </c>
      <c r="J373" s="18">
        <v>419003.1</v>
      </c>
      <c r="K373" t="s">
        <v>1040</v>
      </c>
      <c r="L373" t="s">
        <v>9</v>
      </c>
      <c r="M373" t="s">
        <v>1096</v>
      </c>
      <c r="N373" t="s">
        <v>3</v>
      </c>
      <c r="O373" t="s">
        <v>3</v>
      </c>
      <c r="P373" t="s">
        <v>5</v>
      </c>
      <c r="Q373" t="s">
        <v>1097</v>
      </c>
      <c r="R373" t="s">
        <v>3</v>
      </c>
      <c r="S373" t="s">
        <v>3</v>
      </c>
      <c r="T373" t="s">
        <v>3</v>
      </c>
      <c r="U373" t="s">
        <v>3</v>
      </c>
      <c r="V373" t="s">
        <v>3</v>
      </c>
      <c r="W373" t="s">
        <v>68</v>
      </c>
      <c r="X373" s="17">
        <v>43008</v>
      </c>
      <c r="Y373" t="s">
        <v>675</v>
      </c>
      <c r="Z373" s="17">
        <v>42996</v>
      </c>
      <c r="AA373" t="s">
        <v>3</v>
      </c>
      <c r="AB373" t="s">
        <v>1095</v>
      </c>
    </row>
    <row r="374" spans="1:28" hidden="1">
      <c r="A374" t="s">
        <v>1110</v>
      </c>
      <c r="B374" s="17">
        <v>42998</v>
      </c>
      <c r="C374" s="17">
        <v>42998</v>
      </c>
      <c r="D374" t="s">
        <v>0</v>
      </c>
      <c r="E374" t="s">
        <v>1</v>
      </c>
      <c r="F374" s="18">
        <v>-75129</v>
      </c>
      <c r="G374" s="18">
        <v>-75129</v>
      </c>
      <c r="H374" t="s">
        <v>2</v>
      </c>
      <c r="I374" t="s">
        <v>10</v>
      </c>
      <c r="J374" s="18">
        <v>-6070423.2000000002</v>
      </c>
      <c r="K374" t="s">
        <v>1111</v>
      </c>
      <c r="L374" t="s">
        <v>9</v>
      </c>
      <c r="M374" t="s">
        <v>1112</v>
      </c>
      <c r="N374" t="s">
        <v>3</v>
      </c>
      <c r="O374" t="s">
        <v>3</v>
      </c>
      <c r="P374" t="s">
        <v>5</v>
      </c>
      <c r="Q374" t="s">
        <v>1113</v>
      </c>
      <c r="R374" t="s">
        <v>3</v>
      </c>
      <c r="S374" t="s">
        <v>3</v>
      </c>
      <c r="T374" t="s">
        <v>3</v>
      </c>
      <c r="U374" t="s">
        <v>3</v>
      </c>
      <c r="V374" t="s">
        <v>3</v>
      </c>
      <c r="W374" t="s">
        <v>68</v>
      </c>
      <c r="X374" s="17">
        <v>43039</v>
      </c>
      <c r="Y374" t="s">
        <v>713</v>
      </c>
      <c r="Z374" s="17">
        <v>42998</v>
      </c>
      <c r="AA374" t="s">
        <v>3</v>
      </c>
      <c r="AB374" t="s">
        <v>1110</v>
      </c>
    </row>
    <row r="375" spans="1:28" hidden="1">
      <c r="A375" t="s">
        <v>1072</v>
      </c>
      <c r="B375" s="17">
        <v>42999</v>
      </c>
      <c r="C375" s="17">
        <v>42999</v>
      </c>
      <c r="D375" t="s">
        <v>0</v>
      </c>
      <c r="E375" t="s">
        <v>1</v>
      </c>
      <c r="F375" s="18">
        <v>2965</v>
      </c>
      <c r="G375" s="18">
        <v>2965</v>
      </c>
      <c r="H375" t="s">
        <v>2</v>
      </c>
      <c r="I375" t="s">
        <v>8</v>
      </c>
      <c r="J375" s="18">
        <v>239423.75</v>
      </c>
      <c r="K375" t="s">
        <v>1033</v>
      </c>
      <c r="L375" t="s">
        <v>9</v>
      </c>
      <c r="M375" t="s">
        <v>1073</v>
      </c>
      <c r="N375" t="s">
        <v>3</v>
      </c>
      <c r="O375" t="s">
        <v>3</v>
      </c>
      <c r="P375" t="s">
        <v>5</v>
      </c>
      <c r="Q375" t="s">
        <v>1074</v>
      </c>
      <c r="R375" t="s">
        <v>3</v>
      </c>
      <c r="S375" t="s">
        <v>3</v>
      </c>
      <c r="T375" t="s">
        <v>3</v>
      </c>
      <c r="U375" t="s">
        <v>3</v>
      </c>
      <c r="V375" t="s">
        <v>3</v>
      </c>
      <c r="W375" t="s">
        <v>68</v>
      </c>
      <c r="X375" s="17">
        <v>43008</v>
      </c>
      <c r="Y375" t="s">
        <v>651</v>
      </c>
      <c r="Z375" s="17">
        <v>42999</v>
      </c>
      <c r="AA375" t="s">
        <v>3</v>
      </c>
      <c r="AB375" t="s">
        <v>1072</v>
      </c>
    </row>
    <row r="376" spans="1:28" hidden="1">
      <c r="A376" t="s">
        <v>1150</v>
      </c>
      <c r="B376" s="17">
        <v>43002</v>
      </c>
      <c r="C376" s="17">
        <v>43002</v>
      </c>
      <c r="D376" t="s">
        <v>0</v>
      </c>
      <c r="E376" t="s">
        <v>1</v>
      </c>
      <c r="F376" s="18">
        <v>127676</v>
      </c>
      <c r="G376" s="18">
        <v>127676</v>
      </c>
      <c r="H376" t="s">
        <v>2</v>
      </c>
      <c r="I376" t="s">
        <v>8</v>
      </c>
      <c r="J376" s="18">
        <v>10316220.800000001</v>
      </c>
      <c r="K376" t="s">
        <v>1151</v>
      </c>
      <c r="L376" t="s">
        <v>9</v>
      </c>
      <c r="M376" t="s">
        <v>1152</v>
      </c>
      <c r="N376" t="s">
        <v>3</v>
      </c>
      <c r="O376" t="s">
        <v>3</v>
      </c>
      <c r="P376" t="s">
        <v>5</v>
      </c>
      <c r="Q376" t="s">
        <v>1153</v>
      </c>
      <c r="R376" t="s">
        <v>3</v>
      </c>
      <c r="S376" t="s">
        <v>3</v>
      </c>
      <c r="T376" t="s">
        <v>3</v>
      </c>
      <c r="U376" t="s">
        <v>3</v>
      </c>
      <c r="V376" t="s">
        <v>3</v>
      </c>
      <c r="W376" t="s">
        <v>68</v>
      </c>
      <c r="X376" s="17">
        <v>43039</v>
      </c>
      <c r="Y376" t="s">
        <v>701</v>
      </c>
      <c r="Z376" s="17">
        <v>43002</v>
      </c>
      <c r="AA376" t="s">
        <v>3</v>
      </c>
      <c r="AB376" t="s">
        <v>1150</v>
      </c>
    </row>
    <row r="377" spans="1:28" hidden="1">
      <c r="A377" t="s">
        <v>1121</v>
      </c>
      <c r="B377" s="17">
        <v>43003</v>
      </c>
      <c r="C377" s="17">
        <v>43003</v>
      </c>
      <c r="D377" t="s">
        <v>0</v>
      </c>
      <c r="E377" t="s">
        <v>1</v>
      </c>
      <c r="F377" s="18">
        <v>806</v>
      </c>
      <c r="G377" s="18">
        <v>806</v>
      </c>
      <c r="H377" t="s">
        <v>2</v>
      </c>
      <c r="I377" t="s">
        <v>8</v>
      </c>
      <c r="J377" s="18">
        <v>65084.5</v>
      </c>
      <c r="K377" t="s">
        <v>543</v>
      </c>
      <c r="L377" t="s">
        <v>9</v>
      </c>
      <c r="M377" t="s">
        <v>1122</v>
      </c>
      <c r="N377" t="s">
        <v>3</v>
      </c>
      <c r="O377" t="s">
        <v>3</v>
      </c>
      <c r="P377" t="s">
        <v>5</v>
      </c>
      <c r="Q377" t="s">
        <v>1123</v>
      </c>
      <c r="R377" t="s">
        <v>3</v>
      </c>
      <c r="S377" t="s">
        <v>3</v>
      </c>
      <c r="T377" t="s">
        <v>3</v>
      </c>
      <c r="U377" t="s">
        <v>3</v>
      </c>
      <c r="V377" t="s">
        <v>3</v>
      </c>
      <c r="W377" t="s">
        <v>68</v>
      </c>
      <c r="X377" s="17">
        <v>43008</v>
      </c>
      <c r="Y377" t="s">
        <v>449</v>
      </c>
      <c r="Z377" s="17">
        <v>43003</v>
      </c>
      <c r="AA377" t="s">
        <v>3</v>
      </c>
      <c r="AB377" t="s">
        <v>1121</v>
      </c>
    </row>
    <row r="378" spans="1:28" hidden="1">
      <c r="A378" t="s">
        <v>1121</v>
      </c>
      <c r="B378" s="17">
        <v>43003</v>
      </c>
      <c r="C378" s="17">
        <v>43003</v>
      </c>
      <c r="D378" t="s">
        <v>0</v>
      </c>
      <c r="E378" t="s">
        <v>1</v>
      </c>
      <c r="F378" s="18">
        <v>6200</v>
      </c>
      <c r="G378" s="18">
        <v>6200</v>
      </c>
      <c r="H378" t="s">
        <v>2</v>
      </c>
      <c r="I378" t="s">
        <v>10</v>
      </c>
      <c r="J378" s="18">
        <v>500960</v>
      </c>
      <c r="K378" t="s">
        <v>1124</v>
      </c>
      <c r="L378" t="s">
        <v>9</v>
      </c>
      <c r="M378" t="s">
        <v>1122</v>
      </c>
      <c r="N378" t="s">
        <v>3</v>
      </c>
      <c r="O378" t="s">
        <v>3</v>
      </c>
      <c r="P378" t="s">
        <v>5</v>
      </c>
      <c r="Q378" t="s">
        <v>1123</v>
      </c>
      <c r="R378" t="s">
        <v>3</v>
      </c>
      <c r="S378" t="s">
        <v>3</v>
      </c>
      <c r="T378" t="s">
        <v>3</v>
      </c>
      <c r="U378" t="s">
        <v>3</v>
      </c>
      <c r="V378" t="s">
        <v>3</v>
      </c>
      <c r="W378" t="s">
        <v>68</v>
      </c>
      <c r="X378" s="17">
        <v>43008</v>
      </c>
      <c r="Y378" t="s">
        <v>695</v>
      </c>
      <c r="Z378" s="17">
        <v>43003</v>
      </c>
      <c r="AA378" t="s">
        <v>3</v>
      </c>
      <c r="AB378" t="s">
        <v>1121</v>
      </c>
    </row>
    <row r="379" spans="1:28" hidden="1">
      <c r="A379" t="s">
        <v>1125</v>
      </c>
      <c r="B379" s="17">
        <v>43003</v>
      </c>
      <c r="C379" s="17">
        <v>43003</v>
      </c>
      <c r="D379" t="s">
        <v>0</v>
      </c>
      <c r="E379" t="s">
        <v>1</v>
      </c>
      <c r="F379" s="18">
        <v>11698</v>
      </c>
      <c r="G379" s="18">
        <v>11698</v>
      </c>
      <c r="H379" t="s">
        <v>2</v>
      </c>
      <c r="I379" t="s">
        <v>10</v>
      </c>
      <c r="J379" s="18">
        <v>944613.5</v>
      </c>
      <c r="K379" t="s">
        <v>1126</v>
      </c>
      <c r="L379" t="s">
        <v>9</v>
      </c>
      <c r="M379" t="s">
        <v>1127</v>
      </c>
      <c r="N379" t="s">
        <v>3</v>
      </c>
      <c r="O379" t="s">
        <v>3</v>
      </c>
      <c r="P379" t="s">
        <v>5</v>
      </c>
      <c r="Q379" t="s">
        <v>1128</v>
      </c>
      <c r="R379" t="s">
        <v>3</v>
      </c>
      <c r="S379" t="s">
        <v>3</v>
      </c>
      <c r="T379" t="s">
        <v>3</v>
      </c>
      <c r="U379" t="s">
        <v>3</v>
      </c>
      <c r="V379" t="s">
        <v>3</v>
      </c>
      <c r="W379" t="s">
        <v>68</v>
      </c>
      <c r="X379" s="17">
        <v>43008</v>
      </c>
      <c r="Y379" t="s">
        <v>678</v>
      </c>
      <c r="Z379" s="17">
        <v>43003</v>
      </c>
      <c r="AA379" t="s">
        <v>3</v>
      </c>
      <c r="AB379" t="s">
        <v>1125</v>
      </c>
    </row>
    <row r="380" spans="1:28" hidden="1">
      <c r="A380" t="s">
        <v>1129</v>
      </c>
      <c r="B380" s="17">
        <v>43003</v>
      </c>
      <c r="C380" s="17">
        <v>43003</v>
      </c>
      <c r="D380" t="s">
        <v>0</v>
      </c>
      <c r="E380" t="s">
        <v>1</v>
      </c>
      <c r="F380" s="18">
        <v>9577</v>
      </c>
      <c r="G380" s="18">
        <v>9577</v>
      </c>
      <c r="H380" t="s">
        <v>2</v>
      </c>
      <c r="I380" t="s">
        <v>10</v>
      </c>
      <c r="J380" s="18">
        <v>773821.6</v>
      </c>
      <c r="K380" t="s">
        <v>1124</v>
      </c>
      <c r="L380" t="s">
        <v>9</v>
      </c>
      <c r="M380" t="s">
        <v>1130</v>
      </c>
      <c r="N380" t="s">
        <v>3</v>
      </c>
      <c r="O380" t="s">
        <v>3</v>
      </c>
      <c r="P380" t="s">
        <v>5</v>
      </c>
      <c r="Q380" t="s">
        <v>1131</v>
      </c>
      <c r="R380" t="s">
        <v>3</v>
      </c>
      <c r="S380" t="s">
        <v>3</v>
      </c>
      <c r="T380" t="s">
        <v>3</v>
      </c>
      <c r="U380" t="s">
        <v>3</v>
      </c>
      <c r="V380" t="s">
        <v>3</v>
      </c>
      <c r="W380" t="s">
        <v>68</v>
      </c>
      <c r="X380" s="17">
        <v>43008</v>
      </c>
      <c r="Y380" t="s">
        <v>695</v>
      </c>
      <c r="Z380" s="17">
        <v>43003</v>
      </c>
      <c r="AA380" t="s">
        <v>3</v>
      </c>
      <c r="AB380" t="s">
        <v>1129</v>
      </c>
    </row>
    <row r="381" spans="1:28" hidden="1">
      <c r="A381" t="s">
        <v>1133</v>
      </c>
      <c r="B381" s="17">
        <v>43004</v>
      </c>
      <c r="C381" s="17">
        <v>43004</v>
      </c>
      <c r="D381" t="s">
        <v>0</v>
      </c>
      <c r="E381" t="s">
        <v>1</v>
      </c>
      <c r="F381" s="18">
        <v>-210797</v>
      </c>
      <c r="G381" s="18">
        <v>-210797</v>
      </c>
      <c r="H381" t="s">
        <v>2</v>
      </c>
      <c r="I381" t="s">
        <v>8</v>
      </c>
      <c r="J381" s="18">
        <v>-17032397.600000001</v>
      </c>
      <c r="K381" t="s">
        <v>1134</v>
      </c>
      <c r="L381" t="s">
        <v>9</v>
      </c>
      <c r="M381" t="s">
        <v>1135</v>
      </c>
      <c r="N381" t="s">
        <v>3</v>
      </c>
      <c r="O381" t="s">
        <v>3</v>
      </c>
      <c r="P381" t="s">
        <v>5</v>
      </c>
      <c r="Q381" t="s">
        <v>1136</v>
      </c>
      <c r="R381" t="s">
        <v>3</v>
      </c>
      <c r="S381" t="s">
        <v>3</v>
      </c>
      <c r="T381" t="s">
        <v>3</v>
      </c>
      <c r="U381" t="s">
        <v>3</v>
      </c>
      <c r="V381" t="s">
        <v>3</v>
      </c>
      <c r="W381" t="s">
        <v>68</v>
      </c>
      <c r="X381" s="17">
        <v>43039</v>
      </c>
      <c r="Y381" t="s">
        <v>704</v>
      </c>
      <c r="Z381" s="17">
        <v>43004</v>
      </c>
      <c r="AA381" t="s">
        <v>3</v>
      </c>
      <c r="AB381" t="s">
        <v>1133</v>
      </c>
    </row>
    <row r="382" spans="1:28" hidden="1">
      <c r="A382" t="s">
        <v>1137</v>
      </c>
      <c r="B382" s="17">
        <v>43004</v>
      </c>
      <c r="C382" s="17">
        <v>43004</v>
      </c>
      <c r="D382" t="s">
        <v>0</v>
      </c>
      <c r="E382" t="s">
        <v>1</v>
      </c>
      <c r="F382" s="18">
        <v>11390</v>
      </c>
      <c r="G382" s="18">
        <v>11390</v>
      </c>
      <c r="H382" t="s">
        <v>2</v>
      </c>
      <c r="I382" t="s">
        <v>10</v>
      </c>
      <c r="J382" s="18">
        <v>919742.5</v>
      </c>
      <c r="K382" t="s">
        <v>1138</v>
      </c>
      <c r="L382" t="s">
        <v>9</v>
      </c>
      <c r="M382" t="s">
        <v>1139</v>
      </c>
      <c r="N382" t="s">
        <v>3</v>
      </c>
      <c r="O382" t="s">
        <v>3</v>
      </c>
      <c r="P382" t="s">
        <v>5</v>
      </c>
      <c r="Q382" t="s">
        <v>1140</v>
      </c>
      <c r="R382" t="s">
        <v>3</v>
      </c>
      <c r="S382" t="s">
        <v>3</v>
      </c>
      <c r="T382" t="s">
        <v>3</v>
      </c>
      <c r="U382" t="s">
        <v>3</v>
      </c>
      <c r="V382" t="s">
        <v>3</v>
      </c>
      <c r="W382" t="s">
        <v>68</v>
      </c>
      <c r="X382" s="17">
        <v>43008</v>
      </c>
      <c r="Y382" t="s">
        <v>678</v>
      </c>
      <c r="Z382" s="17">
        <v>43004</v>
      </c>
      <c r="AA382" t="s">
        <v>3</v>
      </c>
      <c r="AB382" t="s">
        <v>1137</v>
      </c>
    </row>
    <row r="383" spans="1:28" hidden="1">
      <c r="A383" t="s">
        <v>1141</v>
      </c>
      <c r="B383" s="17">
        <v>43004</v>
      </c>
      <c r="C383" s="17">
        <v>43004</v>
      </c>
      <c r="D383" t="s">
        <v>0</v>
      </c>
      <c r="E383" t="s">
        <v>1</v>
      </c>
      <c r="F383" s="18">
        <v>2616</v>
      </c>
      <c r="G383" s="18">
        <v>2616</v>
      </c>
      <c r="H383" t="s">
        <v>2</v>
      </c>
      <c r="I383" t="s">
        <v>10</v>
      </c>
      <c r="J383" s="18">
        <v>209541.6</v>
      </c>
      <c r="K383" t="s">
        <v>1142</v>
      </c>
      <c r="L383" t="s">
        <v>9</v>
      </c>
      <c r="M383" t="s">
        <v>1143</v>
      </c>
      <c r="N383" t="s">
        <v>3</v>
      </c>
      <c r="O383" t="s">
        <v>3</v>
      </c>
      <c r="P383" t="s">
        <v>5</v>
      </c>
      <c r="Q383" t="s">
        <v>1144</v>
      </c>
      <c r="R383" t="s">
        <v>3</v>
      </c>
      <c r="S383" t="s">
        <v>3</v>
      </c>
      <c r="T383" t="s">
        <v>3</v>
      </c>
      <c r="U383" t="s">
        <v>3</v>
      </c>
      <c r="V383" t="s">
        <v>3</v>
      </c>
      <c r="W383" t="s">
        <v>68</v>
      </c>
      <c r="X383" s="17">
        <v>43008</v>
      </c>
      <c r="Y383" t="s">
        <v>675</v>
      </c>
      <c r="Z383" s="17">
        <v>43004</v>
      </c>
      <c r="AA383" t="s">
        <v>3</v>
      </c>
      <c r="AB383" t="s">
        <v>1141</v>
      </c>
    </row>
    <row r="384" spans="1:28" hidden="1">
      <c r="A384" t="s">
        <v>1141</v>
      </c>
      <c r="B384" s="17">
        <v>43004</v>
      </c>
      <c r="C384" s="17">
        <v>43004</v>
      </c>
      <c r="D384" t="s">
        <v>0</v>
      </c>
      <c r="E384" t="s">
        <v>1</v>
      </c>
      <c r="F384" s="18">
        <v>12101</v>
      </c>
      <c r="G384" s="18">
        <v>12101</v>
      </c>
      <c r="H384" t="s">
        <v>2</v>
      </c>
      <c r="I384" t="s">
        <v>10</v>
      </c>
      <c r="J384" s="18">
        <v>977760.8</v>
      </c>
      <c r="K384" t="s">
        <v>1145</v>
      </c>
      <c r="L384" t="s">
        <v>9</v>
      </c>
      <c r="M384" t="s">
        <v>1143</v>
      </c>
      <c r="N384" t="s">
        <v>3</v>
      </c>
      <c r="O384" t="s">
        <v>3</v>
      </c>
      <c r="P384" t="s">
        <v>5</v>
      </c>
      <c r="Q384" t="s">
        <v>1144</v>
      </c>
      <c r="R384" t="s">
        <v>3</v>
      </c>
      <c r="S384" t="s">
        <v>3</v>
      </c>
      <c r="T384" t="s">
        <v>3</v>
      </c>
      <c r="U384" t="s">
        <v>3</v>
      </c>
      <c r="V384" t="s">
        <v>3</v>
      </c>
      <c r="W384" t="s">
        <v>68</v>
      </c>
      <c r="X384" s="17">
        <v>43008</v>
      </c>
      <c r="Y384" t="s">
        <v>695</v>
      </c>
      <c r="Z384" s="17">
        <v>43004</v>
      </c>
      <c r="AA384" t="s">
        <v>3</v>
      </c>
      <c r="AB384" t="s">
        <v>1141</v>
      </c>
    </row>
    <row r="385" spans="1:28" hidden="1">
      <c r="A385" t="s">
        <v>1146</v>
      </c>
      <c r="B385" s="17">
        <v>43004</v>
      </c>
      <c r="C385" s="17">
        <v>43004</v>
      </c>
      <c r="D385" t="s">
        <v>0</v>
      </c>
      <c r="E385" t="s">
        <v>1</v>
      </c>
      <c r="F385" s="18">
        <v>27769</v>
      </c>
      <c r="G385" s="18">
        <v>27769</v>
      </c>
      <c r="H385" t="s">
        <v>2</v>
      </c>
      <c r="I385" t="s">
        <v>10</v>
      </c>
      <c r="J385" s="18">
        <v>2243735.2000000002</v>
      </c>
      <c r="K385" t="s">
        <v>1147</v>
      </c>
      <c r="L385" t="s">
        <v>9</v>
      </c>
      <c r="M385" t="s">
        <v>1148</v>
      </c>
      <c r="N385" t="s">
        <v>3</v>
      </c>
      <c r="O385" t="s">
        <v>3</v>
      </c>
      <c r="P385" t="s">
        <v>5</v>
      </c>
      <c r="Q385" t="s">
        <v>1149</v>
      </c>
      <c r="R385" t="s">
        <v>3</v>
      </c>
      <c r="S385" t="s">
        <v>3</v>
      </c>
      <c r="T385" t="s">
        <v>3</v>
      </c>
      <c r="U385" t="s">
        <v>3</v>
      </c>
      <c r="V385" t="s">
        <v>3</v>
      </c>
      <c r="W385" t="s">
        <v>68</v>
      </c>
      <c r="X385" s="17">
        <v>43039</v>
      </c>
      <c r="Y385" t="s">
        <v>713</v>
      </c>
      <c r="Z385" s="17">
        <v>43004</v>
      </c>
      <c r="AA385" t="s">
        <v>3</v>
      </c>
      <c r="AB385" t="s">
        <v>1146</v>
      </c>
    </row>
    <row r="386" spans="1:28" hidden="1">
      <c r="A386" t="s">
        <v>606</v>
      </c>
      <c r="B386" s="17">
        <v>43008</v>
      </c>
      <c r="C386" s="17">
        <v>43008</v>
      </c>
      <c r="D386" t="s">
        <v>38</v>
      </c>
      <c r="E386" t="s">
        <v>1</v>
      </c>
      <c r="F386" s="18">
        <v>-198396</v>
      </c>
      <c r="G386" s="18">
        <v>-198396</v>
      </c>
      <c r="H386" t="s">
        <v>2</v>
      </c>
      <c r="I386" t="s">
        <v>8</v>
      </c>
      <c r="J386" s="18">
        <v>-16010557.199999999</v>
      </c>
      <c r="K386" t="s">
        <v>607</v>
      </c>
      <c r="L386" t="s">
        <v>9</v>
      </c>
      <c r="M386" t="s">
        <v>608</v>
      </c>
      <c r="N386" t="s">
        <v>3</v>
      </c>
      <c r="O386" t="s">
        <v>3</v>
      </c>
      <c r="P386" t="s">
        <v>5</v>
      </c>
      <c r="Q386" t="s">
        <v>607</v>
      </c>
      <c r="R386" t="s">
        <v>3</v>
      </c>
      <c r="S386" t="s">
        <v>3</v>
      </c>
      <c r="T386" t="s">
        <v>3</v>
      </c>
      <c r="U386" t="s">
        <v>3</v>
      </c>
      <c r="V386" t="s">
        <v>3</v>
      </c>
      <c r="W386" t="s">
        <v>68</v>
      </c>
      <c r="X386" s="17">
        <v>43008</v>
      </c>
      <c r="Y386" t="s">
        <v>606</v>
      </c>
      <c r="Z386" s="17">
        <v>43008</v>
      </c>
      <c r="AA386" t="s">
        <v>3</v>
      </c>
      <c r="AB386" t="s">
        <v>606</v>
      </c>
    </row>
    <row r="387" spans="1:28" hidden="1">
      <c r="A387" t="s">
        <v>651</v>
      </c>
      <c r="B387" s="17">
        <v>43008</v>
      </c>
      <c r="C387" s="17">
        <v>43008</v>
      </c>
      <c r="D387" t="s">
        <v>7</v>
      </c>
      <c r="E387" t="s">
        <v>1</v>
      </c>
      <c r="F387" s="18">
        <v>1</v>
      </c>
      <c r="G387" s="18">
        <v>1</v>
      </c>
      <c r="H387" t="s">
        <v>2</v>
      </c>
      <c r="I387" t="s">
        <v>8</v>
      </c>
      <c r="J387" s="18">
        <v>80.75</v>
      </c>
      <c r="K387" t="s">
        <v>3</v>
      </c>
      <c r="L387" t="s">
        <v>9</v>
      </c>
      <c r="M387" t="s">
        <v>652</v>
      </c>
      <c r="N387" t="s">
        <v>3</v>
      </c>
      <c r="O387" t="s">
        <v>3</v>
      </c>
      <c r="P387" t="s">
        <v>5</v>
      </c>
      <c r="Q387" t="s">
        <v>653</v>
      </c>
      <c r="R387" t="s">
        <v>3</v>
      </c>
      <c r="S387" t="s">
        <v>3</v>
      </c>
      <c r="T387" t="s">
        <v>3</v>
      </c>
      <c r="U387" t="s">
        <v>3</v>
      </c>
      <c r="V387" t="s">
        <v>3</v>
      </c>
      <c r="W387" t="s">
        <v>68</v>
      </c>
      <c r="X387" s="17">
        <v>43008</v>
      </c>
      <c r="Y387" t="s">
        <v>651</v>
      </c>
      <c r="Z387" s="17">
        <v>43008</v>
      </c>
      <c r="AA387" t="s">
        <v>3</v>
      </c>
      <c r="AB387" t="s">
        <v>651</v>
      </c>
    </row>
    <row r="388" spans="1:28" hidden="1">
      <c r="A388" t="s">
        <v>449</v>
      </c>
      <c r="B388" s="17">
        <v>43008</v>
      </c>
      <c r="C388" s="17">
        <v>43008</v>
      </c>
      <c r="D388" t="s">
        <v>7</v>
      </c>
      <c r="E388" t="s">
        <v>1</v>
      </c>
      <c r="F388" s="18">
        <v>-8087</v>
      </c>
      <c r="G388" s="18">
        <v>-8087</v>
      </c>
      <c r="H388" t="s">
        <v>2</v>
      </c>
      <c r="I388" t="s">
        <v>10</v>
      </c>
      <c r="J388" s="18">
        <v>-660707.9</v>
      </c>
      <c r="K388" t="s">
        <v>3</v>
      </c>
      <c r="L388" t="s">
        <v>9</v>
      </c>
      <c r="M388" t="s">
        <v>664</v>
      </c>
      <c r="N388" t="s">
        <v>3</v>
      </c>
      <c r="O388" t="s">
        <v>3</v>
      </c>
      <c r="P388" t="s">
        <v>5</v>
      </c>
      <c r="Q388" t="s">
        <v>665</v>
      </c>
      <c r="R388" t="s">
        <v>3</v>
      </c>
      <c r="S388" t="s">
        <v>3</v>
      </c>
      <c r="T388" t="s">
        <v>3</v>
      </c>
      <c r="U388" t="s">
        <v>3</v>
      </c>
      <c r="V388" t="s">
        <v>3</v>
      </c>
      <c r="W388" t="s">
        <v>68</v>
      </c>
      <c r="X388" s="17">
        <v>43008</v>
      </c>
      <c r="Y388" t="s">
        <v>495</v>
      </c>
      <c r="Z388" s="17">
        <v>43008</v>
      </c>
      <c r="AA388" t="s">
        <v>3</v>
      </c>
      <c r="AB388" t="s">
        <v>449</v>
      </c>
    </row>
    <row r="389" spans="1:28" hidden="1">
      <c r="A389" t="s">
        <v>449</v>
      </c>
      <c r="B389" s="17">
        <v>43008</v>
      </c>
      <c r="C389" s="17">
        <v>43008</v>
      </c>
      <c r="D389" t="s">
        <v>7</v>
      </c>
      <c r="E389" t="s">
        <v>1</v>
      </c>
      <c r="F389" s="18">
        <v>-806</v>
      </c>
      <c r="G389" s="18">
        <v>-806</v>
      </c>
      <c r="H389" t="s">
        <v>2</v>
      </c>
      <c r="I389" t="s">
        <v>8</v>
      </c>
      <c r="J389" s="18">
        <v>-65084.5</v>
      </c>
      <c r="K389" t="s">
        <v>3</v>
      </c>
      <c r="L389" t="s">
        <v>9</v>
      </c>
      <c r="M389" t="s">
        <v>664</v>
      </c>
      <c r="N389" t="s">
        <v>3</v>
      </c>
      <c r="O389" t="s">
        <v>3</v>
      </c>
      <c r="P389" t="s">
        <v>5</v>
      </c>
      <c r="Q389" t="s">
        <v>665</v>
      </c>
      <c r="R389" t="s">
        <v>3</v>
      </c>
      <c r="S389" t="s">
        <v>3</v>
      </c>
      <c r="T389" t="s">
        <v>3</v>
      </c>
      <c r="U389" t="s">
        <v>3</v>
      </c>
      <c r="V389" t="s">
        <v>3</v>
      </c>
      <c r="W389" t="s">
        <v>68</v>
      </c>
      <c r="X389" s="17">
        <v>43008</v>
      </c>
      <c r="Y389" t="s">
        <v>449</v>
      </c>
      <c r="Z389" s="17">
        <v>43008</v>
      </c>
      <c r="AA389" t="s">
        <v>3</v>
      </c>
      <c r="AB389" t="s">
        <v>449</v>
      </c>
    </row>
    <row r="390" spans="1:28" hidden="1">
      <c r="A390" t="s">
        <v>449</v>
      </c>
      <c r="B390" s="17">
        <v>43008</v>
      </c>
      <c r="C390" s="17">
        <v>43008</v>
      </c>
      <c r="D390" t="s">
        <v>7</v>
      </c>
      <c r="E390" t="s">
        <v>1</v>
      </c>
      <c r="F390" s="18">
        <v>8893</v>
      </c>
      <c r="G390" s="18">
        <v>8893</v>
      </c>
      <c r="H390" t="s">
        <v>2</v>
      </c>
      <c r="I390" t="s">
        <v>10</v>
      </c>
      <c r="J390" s="18">
        <v>718109.75</v>
      </c>
      <c r="K390" t="s">
        <v>3</v>
      </c>
      <c r="L390" t="s">
        <v>9</v>
      </c>
      <c r="M390" t="s">
        <v>664</v>
      </c>
      <c r="N390" t="s">
        <v>3</v>
      </c>
      <c r="O390" t="s">
        <v>3</v>
      </c>
      <c r="P390" t="s">
        <v>5</v>
      </c>
      <c r="Q390" t="s">
        <v>665</v>
      </c>
      <c r="R390" t="s">
        <v>3</v>
      </c>
      <c r="S390" t="s">
        <v>3</v>
      </c>
      <c r="T390" t="s">
        <v>3</v>
      </c>
      <c r="U390" t="s">
        <v>3</v>
      </c>
      <c r="V390" t="s">
        <v>3</v>
      </c>
      <c r="W390" t="s">
        <v>68</v>
      </c>
      <c r="X390" s="17">
        <v>43008</v>
      </c>
      <c r="Y390" t="s">
        <v>449</v>
      </c>
      <c r="Z390" s="17">
        <v>43008</v>
      </c>
      <c r="AA390" t="s">
        <v>3</v>
      </c>
      <c r="AB390" t="s">
        <v>449</v>
      </c>
    </row>
    <row r="391" spans="1:28" hidden="1">
      <c r="A391" t="s">
        <v>353</v>
      </c>
      <c r="B391" s="17">
        <v>43008</v>
      </c>
      <c r="C391" s="17">
        <v>43008</v>
      </c>
      <c r="D391" t="s">
        <v>7</v>
      </c>
      <c r="E391" t="s">
        <v>1</v>
      </c>
      <c r="F391" s="18">
        <v>41121.71</v>
      </c>
      <c r="G391" s="18">
        <v>41121.71</v>
      </c>
      <c r="H391" t="s">
        <v>2</v>
      </c>
      <c r="I391" t="s">
        <v>10</v>
      </c>
      <c r="J391" s="18">
        <v>3252727.26</v>
      </c>
      <c r="K391" t="s">
        <v>3</v>
      </c>
      <c r="L391" t="s">
        <v>9</v>
      </c>
      <c r="M391" t="s">
        <v>670</v>
      </c>
      <c r="N391" t="s">
        <v>3</v>
      </c>
      <c r="O391" t="s">
        <v>3</v>
      </c>
      <c r="P391" t="s">
        <v>5</v>
      </c>
      <c r="Q391" t="s">
        <v>671</v>
      </c>
      <c r="R391" t="s">
        <v>3</v>
      </c>
      <c r="S391" t="s">
        <v>3</v>
      </c>
      <c r="T391" t="s">
        <v>3</v>
      </c>
      <c r="U391" t="s">
        <v>3</v>
      </c>
      <c r="V391" t="s">
        <v>3</v>
      </c>
      <c r="W391" t="s">
        <v>68</v>
      </c>
      <c r="X391" s="17">
        <v>43008</v>
      </c>
      <c r="Y391" t="s">
        <v>353</v>
      </c>
      <c r="Z391" s="17">
        <v>43008</v>
      </c>
      <c r="AA391" t="s">
        <v>3</v>
      </c>
      <c r="AB391" t="s">
        <v>353</v>
      </c>
    </row>
    <row r="392" spans="1:28" hidden="1">
      <c r="A392" t="s">
        <v>353</v>
      </c>
      <c r="B392" s="17">
        <v>43008</v>
      </c>
      <c r="C392" s="17">
        <v>43008</v>
      </c>
      <c r="D392" t="s">
        <v>7</v>
      </c>
      <c r="E392" t="s">
        <v>1</v>
      </c>
      <c r="F392" s="18">
        <v>-41121.71</v>
      </c>
      <c r="G392" s="18">
        <v>-41121.71</v>
      </c>
      <c r="H392" t="s">
        <v>2</v>
      </c>
      <c r="I392" t="s">
        <v>10</v>
      </c>
      <c r="J392" s="18">
        <v>-3252727.26</v>
      </c>
      <c r="K392" t="s">
        <v>3</v>
      </c>
      <c r="L392" t="s">
        <v>9</v>
      </c>
      <c r="M392" t="s">
        <v>670</v>
      </c>
      <c r="N392" t="s">
        <v>3</v>
      </c>
      <c r="O392" t="s">
        <v>3</v>
      </c>
      <c r="P392" t="s">
        <v>5</v>
      </c>
      <c r="Q392" t="s">
        <v>671</v>
      </c>
      <c r="R392" t="s">
        <v>3</v>
      </c>
      <c r="S392" t="s">
        <v>3</v>
      </c>
      <c r="T392" t="s">
        <v>3</v>
      </c>
      <c r="U392" t="s">
        <v>3</v>
      </c>
      <c r="V392" t="s">
        <v>3</v>
      </c>
      <c r="W392" t="s">
        <v>68</v>
      </c>
      <c r="X392" s="17">
        <v>43008</v>
      </c>
      <c r="Y392" t="s">
        <v>353</v>
      </c>
      <c r="Z392" s="17">
        <v>43008</v>
      </c>
      <c r="AA392" t="s">
        <v>3</v>
      </c>
      <c r="AB392" t="s">
        <v>353</v>
      </c>
    </row>
    <row r="393" spans="1:28" hidden="1">
      <c r="A393" t="s">
        <v>672</v>
      </c>
      <c r="B393" s="17">
        <v>43008</v>
      </c>
      <c r="C393" s="17">
        <v>43008</v>
      </c>
      <c r="D393" t="s">
        <v>7</v>
      </c>
      <c r="E393" t="s">
        <v>1</v>
      </c>
      <c r="F393" s="18">
        <v>141808</v>
      </c>
      <c r="G393" s="18">
        <v>141808</v>
      </c>
      <c r="H393" t="s">
        <v>2</v>
      </c>
      <c r="I393" t="s">
        <v>10</v>
      </c>
      <c r="J393" s="18">
        <v>11358820.800000001</v>
      </c>
      <c r="K393" t="s">
        <v>673</v>
      </c>
      <c r="L393" t="s">
        <v>9</v>
      </c>
      <c r="M393" t="s">
        <v>674</v>
      </c>
      <c r="N393" t="s">
        <v>3</v>
      </c>
      <c r="O393" t="s">
        <v>3</v>
      </c>
      <c r="P393" t="s">
        <v>5</v>
      </c>
      <c r="Q393" t="s">
        <v>673</v>
      </c>
      <c r="R393" t="s">
        <v>3</v>
      </c>
      <c r="S393" t="s">
        <v>3</v>
      </c>
      <c r="T393" t="s">
        <v>3</v>
      </c>
      <c r="U393" t="s">
        <v>3</v>
      </c>
      <c r="V393" t="s">
        <v>3</v>
      </c>
      <c r="W393" t="s">
        <v>68</v>
      </c>
      <c r="X393" s="17">
        <v>43008</v>
      </c>
      <c r="Y393" t="s">
        <v>672</v>
      </c>
      <c r="Z393" s="17">
        <v>43008</v>
      </c>
      <c r="AA393" t="s">
        <v>3</v>
      </c>
      <c r="AB393" t="s">
        <v>672</v>
      </c>
    </row>
    <row r="394" spans="1:28" hidden="1">
      <c r="A394" t="s">
        <v>672</v>
      </c>
      <c r="B394" s="17">
        <v>43008</v>
      </c>
      <c r="C394" s="17">
        <v>43008</v>
      </c>
      <c r="D394" t="s">
        <v>7</v>
      </c>
      <c r="E394" t="s">
        <v>1</v>
      </c>
      <c r="F394" s="18">
        <v>-141808</v>
      </c>
      <c r="G394" s="18">
        <v>-141808</v>
      </c>
      <c r="H394" t="s">
        <v>2</v>
      </c>
      <c r="I394" t="s">
        <v>10</v>
      </c>
      <c r="J394" s="18">
        <v>-11358820.800000001</v>
      </c>
      <c r="K394" t="s">
        <v>673</v>
      </c>
      <c r="L394" t="s">
        <v>9</v>
      </c>
      <c r="M394" t="s">
        <v>674</v>
      </c>
      <c r="N394" t="s">
        <v>3</v>
      </c>
      <c r="O394" t="s">
        <v>3</v>
      </c>
      <c r="P394" t="s">
        <v>5</v>
      </c>
      <c r="Q394" t="s">
        <v>673</v>
      </c>
      <c r="R394" t="s">
        <v>3</v>
      </c>
      <c r="S394" t="s">
        <v>3</v>
      </c>
      <c r="T394" t="s">
        <v>3</v>
      </c>
      <c r="U394" t="s">
        <v>3</v>
      </c>
      <c r="V394" t="s">
        <v>3</v>
      </c>
      <c r="W394" t="s">
        <v>68</v>
      </c>
      <c r="X394" s="17">
        <v>43008</v>
      </c>
      <c r="Y394" t="s">
        <v>672</v>
      </c>
      <c r="Z394" s="17">
        <v>43008</v>
      </c>
      <c r="AA394" t="s">
        <v>3</v>
      </c>
      <c r="AB394" t="s">
        <v>672</v>
      </c>
    </row>
    <row r="395" spans="1:28" hidden="1">
      <c r="A395" t="s">
        <v>675</v>
      </c>
      <c r="B395" s="17">
        <v>43008</v>
      </c>
      <c r="C395" s="17">
        <v>43008</v>
      </c>
      <c r="D395" t="s">
        <v>7</v>
      </c>
      <c r="E395" t="s">
        <v>1</v>
      </c>
      <c r="F395" s="18">
        <v>-2</v>
      </c>
      <c r="G395" s="18">
        <v>-2</v>
      </c>
      <c r="H395" t="s">
        <v>2</v>
      </c>
      <c r="I395" t="s">
        <v>10</v>
      </c>
      <c r="J395" s="18">
        <v>-160.19999999999999</v>
      </c>
      <c r="K395" t="s">
        <v>3</v>
      </c>
      <c r="L395" t="s">
        <v>9</v>
      </c>
      <c r="M395" t="s">
        <v>676</v>
      </c>
      <c r="N395" t="s">
        <v>3</v>
      </c>
      <c r="O395" t="s">
        <v>3</v>
      </c>
      <c r="P395" t="s">
        <v>5</v>
      </c>
      <c r="Q395" t="s">
        <v>677</v>
      </c>
      <c r="R395" t="s">
        <v>3</v>
      </c>
      <c r="S395" t="s">
        <v>3</v>
      </c>
      <c r="T395" t="s">
        <v>3</v>
      </c>
      <c r="U395" t="s">
        <v>3</v>
      </c>
      <c r="V395" t="s">
        <v>3</v>
      </c>
      <c r="W395" t="s">
        <v>68</v>
      </c>
      <c r="X395" s="17">
        <v>43008</v>
      </c>
      <c r="Y395" t="s">
        <v>675</v>
      </c>
      <c r="Z395" s="17">
        <v>43008</v>
      </c>
      <c r="AA395" t="s">
        <v>3</v>
      </c>
      <c r="AB395" t="s">
        <v>675</v>
      </c>
    </row>
    <row r="396" spans="1:28" hidden="1">
      <c r="A396" t="s">
        <v>678</v>
      </c>
      <c r="B396" s="17">
        <v>43008</v>
      </c>
      <c r="C396" s="17">
        <v>43008</v>
      </c>
      <c r="D396" t="s">
        <v>7</v>
      </c>
      <c r="E396" t="s">
        <v>1</v>
      </c>
      <c r="F396" s="18">
        <v>109294</v>
      </c>
      <c r="G396" s="18">
        <v>109294</v>
      </c>
      <c r="H396" t="s">
        <v>2</v>
      </c>
      <c r="I396" t="s">
        <v>10</v>
      </c>
      <c r="J396" s="18">
        <v>8825490.5</v>
      </c>
      <c r="K396" t="s">
        <v>679</v>
      </c>
      <c r="L396" t="s">
        <v>9</v>
      </c>
      <c r="M396" t="s">
        <v>680</v>
      </c>
      <c r="N396" t="s">
        <v>3</v>
      </c>
      <c r="O396" t="s">
        <v>3</v>
      </c>
      <c r="P396" t="s">
        <v>5</v>
      </c>
      <c r="Q396" t="s">
        <v>679</v>
      </c>
      <c r="R396" t="s">
        <v>3</v>
      </c>
      <c r="S396" t="s">
        <v>3</v>
      </c>
      <c r="T396" t="s">
        <v>3</v>
      </c>
      <c r="U396" t="s">
        <v>3</v>
      </c>
      <c r="V396" t="s">
        <v>3</v>
      </c>
      <c r="W396" t="s">
        <v>68</v>
      </c>
      <c r="X396" s="17">
        <v>43008</v>
      </c>
      <c r="Y396" t="s">
        <v>678</v>
      </c>
      <c r="Z396" s="17">
        <v>43008</v>
      </c>
      <c r="AA396" t="s">
        <v>3</v>
      </c>
      <c r="AB396" t="s">
        <v>678</v>
      </c>
    </row>
    <row r="397" spans="1:28" hidden="1">
      <c r="A397" t="s">
        <v>678</v>
      </c>
      <c r="B397" s="17">
        <v>43008</v>
      </c>
      <c r="C397" s="17">
        <v>43008</v>
      </c>
      <c r="D397" t="s">
        <v>7</v>
      </c>
      <c r="E397" t="s">
        <v>1</v>
      </c>
      <c r="F397" s="18">
        <v>-109294</v>
      </c>
      <c r="G397" s="18">
        <v>-109294</v>
      </c>
      <c r="H397" t="s">
        <v>2</v>
      </c>
      <c r="I397" t="s">
        <v>10</v>
      </c>
      <c r="J397" s="18">
        <v>-8825490.5</v>
      </c>
      <c r="K397" t="s">
        <v>3</v>
      </c>
      <c r="L397" t="s">
        <v>9</v>
      </c>
      <c r="M397" t="s">
        <v>680</v>
      </c>
      <c r="N397" t="s">
        <v>3</v>
      </c>
      <c r="O397" t="s">
        <v>3</v>
      </c>
      <c r="P397" t="s">
        <v>5</v>
      </c>
      <c r="Q397" t="s">
        <v>679</v>
      </c>
      <c r="R397" t="s">
        <v>3</v>
      </c>
      <c r="S397" t="s">
        <v>3</v>
      </c>
      <c r="T397" t="s">
        <v>3</v>
      </c>
      <c r="U397" t="s">
        <v>3</v>
      </c>
      <c r="V397" t="s">
        <v>3</v>
      </c>
      <c r="W397" t="s">
        <v>68</v>
      </c>
      <c r="X397" s="17">
        <v>43008</v>
      </c>
      <c r="Y397" t="s">
        <v>678</v>
      </c>
      <c r="Z397" s="17">
        <v>43008</v>
      </c>
      <c r="AA397" t="s">
        <v>3</v>
      </c>
      <c r="AB397" t="s">
        <v>678</v>
      </c>
    </row>
    <row r="398" spans="1:28" hidden="1">
      <c r="A398" t="s">
        <v>681</v>
      </c>
      <c r="B398" s="17">
        <v>43008</v>
      </c>
      <c r="C398" s="17">
        <v>43008</v>
      </c>
      <c r="D398" t="s">
        <v>7</v>
      </c>
      <c r="E398" t="s">
        <v>1</v>
      </c>
      <c r="F398" s="18">
        <v>40125</v>
      </c>
      <c r="G398" s="18">
        <v>40125</v>
      </c>
      <c r="H398" t="s">
        <v>2</v>
      </c>
      <c r="I398" t="s">
        <v>10</v>
      </c>
      <c r="J398" s="18">
        <v>3240093.75</v>
      </c>
      <c r="K398" t="s">
        <v>682</v>
      </c>
      <c r="L398" t="s">
        <v>9</v>
      </c>
      <c r="M398" t="s">
        <v>683</v>
      </c>
      <c r="N398" t="s">
        <v>3</v>
      </c>
      <c r="O398" t="s">
        <v>3</v>
      </c>
      <c r="P398" t="s">
        <v>5</v>
      </c>
      <c r="Q398" t="s">
        <v>682</v>
      </c>
      <c r="R398" t="s">
        <v>3</v>
      </c>
      <c r="S398" t="s">
        <v>3</v>
      </c>
      <c r="T398" t="s">
        <v>3</v>
      </c>
      <c r="U398" t="s">
        <v>3</v>
      </c>
      <c r="V398" t="s">
        <v>3</v>
      </c>
      <c r="W398" t="s">
        <v>68</v>
      </c>
      <c r="X398" s="17">
        <v>43008</v>
      </c>
      <c r="Y398" t="s">
        <v>681</v>
      </c>
      <c r="Z398" s="17">
        <v>43008</v>
      </c>
      <c r="AA398" t="s">
        <v>3</v>
      </c>
      <c r="AB398" t="s">
        <v>681</v>
      </c>
    </row>
    <row r="399" spans="1:28" hidden="1">
      <c r="A399" t="s">
        <v>681</v>
      </c>
      <c r="B399" s="17">
        <v>43008</v>
      </c>
      <c r="C399" s="17">
        <v>43008</v>
      </c>
      <c r="D399" t="s">
        <v>7</v>
      </c>
      <c r="E399" t="s">
        <v>1</v>
      </c>
      <c r="F399" s="18">
        <v>-40125</v>
      </c>
      <c r="G399" s="18">
        <v>-40125</v>
      </c>
      <c r="H399" t="s">
        <v>2</v>
      </c>
      <c r="I399" t="s">
        <v>10</v>
      </c>
      <c r="J399" s="18">
        <v>-3240093.75</v>
      </c>
      <c r="K399" t="s">
        <v>679</v>
      </c>
      <c r="L399" t="s">
        <v>9</v>
      </c>
      <c r="M399" t="s">
        <v>683</v>
      </c>
      <c r="N399" t="s">
        <v>3</v>
      </c>
      <c r="O399" t="s">
        <v>3</v>
      </c>
      <c r="P399" t="s">
        <v>5</v>
      </c>
      <c r="Q399" t="s">
        <v>682</v>
      </c>
      <c r="R399" t="s">
        <v>3</v>
      </c>
      <c r="S399" t="s">
        <v>3</v>
      </c>
      <c r="T399" t="s">
        <v>3</v>
      </c>
      <c r="U399" t="s">
        <v>3</v>
      </c>
      <c r="V399" t="s">
        <v>3</v>
      </c>
      <c r="W399" t="s">
        <v>68</v>
      </c>
      <c r="X399" s="17">
        <v>43008</v>
      </c>
      <c r="Y399" t="s">
        <v>681</v>
      </c>
      <c r="Z399" s="17">
        <v>43008</v>
      </c>
      <c r="AA399" t="s">
        <v>3</v>
      </c>
      <c r="AB399" t="s">
        <v>681</v>
      </c>
    </row>
    <row r="400" spans="1:28" hidden="1">
      <c r="A400" t="s">
        <v>525</v>
      </c>
      <c r="B400" s="17">
        <v>43008</v>
      </c>
      <c r="C400" s="17">
        <v>43008</v>
      </c>
      <c r="D400" t="s">
        <v>7</v>
      </c>
      <c r="E400" t="s">
        <v>1</v>
      </c>
      <c r="F400" s="18">
        <v>103498</v>
      </c>
      <c r="G400" s="18">
        <v>103498</v>
      </c>
      <c r="H400" t="s">
        <v>2</v>
      </c>
      <c r="I400" t="s">
        <v>10</v>
      </c>
      <c r="J400" s="18">
        <v>8292259.7599999998</v>
      </c>
      <c r="K400" t="s">
        <v>684</v>
      </c>
      <c r="L400" t="s">
        <v>9</v>
      </c>
      <c r="M400" t="s">
        <v>685</v>
      </c>
      <c r="N400" t="s">
        <v>3</v>
      </c>
      <c r="O400" t="s">
        <v>3</v>
      </c>
      <c r="P400" t="s">
        <v>5</v>
      </c>
      <c r="Q400" t="s">
        <v>684</v>
      </c>
      <c r="R400" t="s">
        <v>3</v>
      </c>
      <c r="S400" t="s">
        <v>3</v>
      </c>
      <c r="T400" t="s">
        <v>3</v>
      </c>
      <c r="U400" t="s">
        <v>3</v>
      </c>
      <c r="V400" t="s">
        <v>3</v>
      </c>
      <c r="W400" t="s">
        <v>68</v>
      </c>
      <c r="X400" s="17">
        <v>43008</v>
      </c>
      <c r="Y400" t="s">
        <v>525</v>
      </c>
      <c r="Z400" s="17">
        <v>43008</v>
      </c>
      <c r="AA400" t="s">
        <v>3</v>
      </c>
      <c r="AB400" t="s">
        <v>525</v>
      </c>
    </row>
    <row r="401" spans="1:28" hidden="1">
      <c r="A401" t="s">
        <v>525</v>
      </c>
      <c r="B401" s="17">
        <v>43008</v>
      </c>
      <c r="C401" s="17">
        <v>43008</v>
      </c>
      <c r="D401" t="s">
        <v>7</v>
      </c>
      <c r="E401" t="s">
        <v>1</v>
      </c>
      <c r="F401" s="18">
        <v>-103498</v>
      </c>
      <c r="G401" s="18">
        <v>-103498</v>
      </c>
      <c r="H401" t="s">
        <v>2</v>
      </c>
      <c r="I401" t="s">
        <v>10</v>
      </c>
      <c r="J401" s="18">
        <v>-8292259.7599999998</v>
      </c>
      <c r="K401" t="s">
        <v>684</v>
      </c>
      <c r="L401" t="s">
        <v>9</v>
      </c>
      <c r="M401" t="s">
        <v>685</v>
      </c>
      <c r="N401" t="s">
        <v>3</v>
      </c>
      <c r="O401" t="s">
        <v>3</v>
      </c>
      <c r="P401" t="s">
        <v>5</v>
      </c>
      <c r="Q401" t="s">
        <v>684</v>
      </c>
      <c r="R401" t="s">
        <v>3</v>
      </c>
      <c r="S401" t="s">
        <v>3</v>
      </c>
      <c r="T401" t="s">
        <v>3</v>
      </c>
      <c r="U401" t="s">
        <v>3</v>
      </c>
      <c r="V401" t="s">
        <v>3</v>
      </c>
      <c r="W401" t="s">
        <v>68</v>
      </c>
      <c r="X401" s="17">
        <v>43008</v>
      </c>
      <c r="Y401" t="s">
        <v>525</v>
      </c>
      <c r="Z401" s="17">
        <v>43008</v>
      </c>
      <c r="AA401" t="s">
        <v>3</v>
      </c>
      <c r="AB401" t="s">
        <v>525</v>
      </c>
    </row>
    <row r="402" spans="1:28" hidden="1">
      <c r="A402" t="s">
        <v>575</v>
      </c>
      <c r="B402" s="17">
        <v>43008</v>
      </c>
      <c r="C402" s="17">
        <v>43008</v>
      </c>
      <c r="D402" t="s">
        <v>7</v>
      </c>
      <c r="E402" t="s">
        <v>1</v>
      </c>
      <c r="F402" s="18">
        <v>-1</v>
      </c>
      <c r="G402" s="18">
        <v>-1</v>
      </c>
      <c r="H402" t="s">
        <v>2</v>
      </c>
      <c r="I402" t="s">
        <v>10</v>
      </c>
      <c r="J402" s="18">
        <v>-80.12</v>
      </c>
      <c r="K402" t="s">
        <v>686</v>
      </c>
      <c r="L402" t="s">
        <v>9</v>
      </c>
      <c r="M402" t="s">
        <v>687</v>
      </c>
      <c r="N402" t="s">
        <v>3</v>
      </c>
      <c r="O402" t="s">
        <v>3</v>
      </c>
      <c r="P402" t="s">
        <v>5</v>
      </c>
      <c r="Q402" t="s">
        <v>686</v>
      </c>
      <c r="R402" t="s">
        <v>3</v>
      </c>
      <c r="S402" t="s">
        <v>3</v>
      </c>
      <c r="T402" t="s">
        <v>3</v>
      </c>
      <c r="U402" t="s">
        <v>3</v>
      </c>
      <c r="V402" t="s">
        <v>3</v>
      </c>
      <c r="W402" t="s">
        <v>68</v>
      </c>
      <c r="X402" s="17">
        <v>43008</v>
      </c>
      <c r="Y402" t="s">
        <v>575</v>
      </c>
      <c r="Z402" s="17">
        <v>43008</v>
      </c>
      <c r="AA402" t="s">
        <v>3</v>
      </c>
      <c r="AB402" t="s">
        <v>575</v>
      </c>
    </row>
    <row r="403" spans="1:28" hidden="1">
      <c r="A403" t="s">
        <v>413</v>
      </c>
      <c r="B403" s="17">
        <v>43008</v>
      </c>
      <c r="C403" s="17">
        <v>43008</v>
      </c>
      <c r="D403" t="s">
        <v>7</v>
      </c>
      <c r="E403" t="s">
        <v>1</v>
      </c>
      <c r="F403" s="18">
        <v>139902</v>
      </c>
      <c r="G403" s="18">
        <v>139902</v>
      </c>
      <c r="H403" t="s">
        <v>2</v>
      </c>
      <c r="I403" t="s">
        <v>10</v>
      </c>
      <c r="J403" s="18">
        <v>11150189.4</v>
      </c>
      <c r="K403" t="s">
        <v>677</v>
      </c>
      <c r="L403" t="s">
        <v>9</v>
      </c>
      <c r="M403" t="s">
        <v>676</v>
      </c>
      <c r="N403" t="s">
        <v>3</v>
      </c>
      <c r="O403" t="s">
        <v>3</v>
      </c>
      <c r="P403" t="s">
        <v>5</v>
      </c>
      <c r="Q403" t="s">
        <v>677</v>
      </c>
      <c r="R403" t="s">
        <v>3</v>
      </c>
      <c r="S403" t="s">
        <v>3</v>
      </c>
      <c r="T403" t="s">
        <v>3</v>
      </c>
      <c r="U403" t="s">
        <v>3</v>
      </c>
      <c r="V403" t="s">
        <v>3</v>
      </c>
      <c r="W403" t="s">
        <v>68</v>
      </c>
      <c r="X403" s="17">
        <v>43008</v>
      </c>
      <c r="Y403" t="s">
        <v>413</v>
      </c>
      <c r="Z403" s="17">
        <v>43008</v>
      </c>
      <c r="AA403" t="s">
        <v>3</v>
      </c>
      <c r="AB403" t="s">
        <v>413</v>
      </c>
    </row>
    <row r="404" spans="1:28" hidden="1">
      <c r="A404" t="s">
        <v>413</v>
      </c>
      <c r="B404" s="17">
        <v>43008</v>
      </c>
      <c r="C404" s="17">
        <v>43008</v>
      </c>
      <c r="D404" t="s">
        <v>7</v>
      </c>
      <c r="E404" t="s">
        <v>1</v>
      </c>
      <c r="F404" s="18">
        <v>-139902</v>
      </c>
      <c r="G404" s="18">
        <v>-139902</v>
      </c>
      <c r="H404" t="s">
        <v>2</v>
      </c>
      <c r="I404" t="s">
        <v>10</v>
      </c>
      <c r="J404" s="18">
        <v>-11150189.4</v>
      </c>
      <c r="K404" t="s">
        <v>677</v>
      </c>
      <c r="L404" t="s">
        <v>9</v>
      </c>
      <c r="M404" t="s">
        <v>676</v>
      </c>
      <c r="N404" t="s">
        <v>3</v>
      </c>
      <c r="O404" t="s">
        <v>3</v>
      </c>
      <c r="P404" t="s">
        <v>5</v>
      </c>
      <c r="Q404" t="s">
        <v>677</v>
      </c>
      <c r="R404" t="s">
        <v>3</v>
      </c>
      <c r="S404" t="s">
        <v>3</v>
      </c>
      <c r="T404" t="s">
        <v>3</v>
      </c>
      <c r="U404" t="s">
        <v>3</v>
      </c>
      <c r="V404" t="s">
        <v>3</v>
      </c>
      <c r="W404" t="s">
        <v>68</v>
      </c>
      <c r="X404" s="17">
        <v>43008</v>
      </c>
      <c r="Y404" t="s">
        <v>413</v>
      </c>
      <c r="Z404" s="17">
        <v>43008</v>
      </c>
      <c r="AA404" t="s">
        <v>3</v>
      </c>
      <c r="AB404" t="s">
        <v>413</v>
      </c>
    </row>
    <row r="405" spans="1:28" hidden="1">
      <c r="A405" t="s">
        <v>369</v>
      </c>
      <c r="B405" s="17">
        <v>43008</v>
      </c>
      <c r="C405" s="17">
        <v>43008</v>
      </c>
      <c r="D405" t="s">
        <v>7</v>
      </c>
      <c r="E405" t="s">
        <v>1</v>
      </c>
      <c r="F405" s="18">
        <v>-21</v>
      </c>
      <c r="G405" s="18">
        <v>-21</v>
      </c>
      <c r="H405" t="s">
        <v>2</v>
      </c>
      <c r="I405" t="s">
        <v>10</v>
      </c>
      <c r="J405" s="18">
        <v>-1664.25</v>
      </c>
      <c r="K405" t="s">
        <v>3</v>
      </c>
      <c r="L405" t="s">
        <v>9</v>
      </c>
      <c r="M405" t="s">
        <v>691</v>
      </c>
      <c r="N405" t="s">
        <v>3</v>
      </c>
      <c r="O405" t="s">
        <v>3</v>
      </c>
      <c r="P405" t="s">
        <v>5</v>
      </c>
      <c r="Q405" t="s">
        <v>692</v>
      </c>
      <c r="R405" t="s">
        <v>3</v>
      </c>
      <c r="S405" t="s">
        <v>3</v>
      </c>
      <c r="T405" t="s">
        <v>3</v>
      </c>
      <c r="U405" t="s">
        <v>3</v>
      </c>
      <c r="V405" t="s">
        <v>3</v>
      </c>
      <c r="W405" t="s">
        <v>68</v>
      </c>
      <c r="X405" s="17">
        <v>43008</v>
      </c>
      <c r="Y405" t="s">
        <v>369</v>
      </c>
      <c r="Z405" s="17">
        <v>43008</v>
      </c>
      <c r="AA405" t="s">
        <v>3</v>
      </c>
      <c r="AB405" t="s">
        <v>369</v>
      </c>
    </row>
    <row r="406" spans="1:28" hidden="1">
      <c r="A406" t="s">
        <v>695</v>
      </c>
      <c r="B406" s="17">
        <v>43008</v>
      </c>
      <c r="C406" s="17">
        <v>43008</v>
      </c>
      <c r="D406" t="s">
        <v>7</v>
      </c>
      <c r="E406" t="s">
        <v>1</v>
      </c>
      <c r="F406" s="18">
        <v>27878</v>
      </c>
      <c r="G406" s="18">
        <v>27878</v>
      </c>
      <c r="H406" t="s">
        <v>2</v>
      </c>
      <c r="I406" t="s">
        <v>10</v>
      </c>
      <c r="J406" s="18">
        <v>2252542.4</v>
      </c>
      <c r="K406" t="s">
        <v>3</v>
      </c>
      <c r="L406" t="s">
        <v>9</v>
      </c>
      <c r="M406" t="s">
        <v>696</v>
      </c>
      <c r="N406" t="s">
        <v>3</v>
      </c>
      <c r="O406" t="s">
        <v>3</v>
      </c>
      <c r="P406" t="s">
        <v>5</v>
      </c>
      <c r="Q406" t="s">
        <v>697</v>
      </c>
      <c r="R406" t="s">
        <v>3</v>
      </c>
      <c r="S406" t="s">
        <v>3</v>
      </c>
      <c r="T406" t="s">
        <v>3</v>
      </c>
      <c r="U406" t="s">
        <v>3</v>
      </c>
      <c r="V406" t="s">
        <v>3</v>
      </c>
      <c r="W406" t="s">
        <v>68</v>
      </c>
      <c r="X406" s="17">
        <v>43008</v>
      </c>
      <c r="Y406" t="s">
        <v>695</v>
      </c>
      <c r="Z406" s="17">
        <v>43008</v>
      </c>
      <c r="AA406" t="s">
        <v>3</v>
      </c>
      <c r="AB406" t="s">
        <v>695</v>
      </c>
    </row>
    <row r="407" spans="1:28" hidden="1">
      <c r="A407" t="s">
        <v>695</v>
      </c>
      <c r="B407" s="17">
        <v>43008</v>
      </c>
      <c r="C407" s="17">
        <v>43008</v>
      </c>
      <c r="D407" t="s">
        <v>7</v>
      </c>
      <c r="E407" t="s">
        <v>1</v>
      </c>
      <c r="F407" s="18">
        <v>-27878</v>
      </c>
      <c r="G407" s="18">
        <v>-27878</v>
      </c>
      <c r="H407" t="s">
        <v>2</v>
      </c>
      <c r="I407" t="s">
        <v>10</v>
      </c>
      <c r="J407" s="18">
        <v>-2252542.4</v>
      </c>
      <c r="K407" t="s">
        <v>3</v>
      </c>
      <c r="L407" t="s">
        <v>9</v>
      </c>
      <c r="M407" t="s">
        <v>696</v>
      </c>
      <c r="N407" t="s">
        <v>3</v>
      </c>
      <c r="O407" t="s">
        <v>3</v>
      </c>
      <c r="P407" t="s">
        <v>5</v>
      </c>
      <c r="Q407" t="s">
        <v>697</v>
      </c>
      <c r="R407" t="s">
        <v>3</v>
      </c>
      <c r="S407" t="s">
        <v>3</v>
      </c>
      <c r="T407" t="s">
        <v>3</v>
      </c>
      <c r="U407" t="s">
        <v>3</v>
      </c>
      <c r="V407" t="s">
        <v>3</v>
      </c>
      <c r="W407" t="s">
        <v>68</v>
      </c>
      <c r="X407" s="17">
        <v>43008</v>
      </c>
      <c r="Y407" t="s">
        <v>695</v>
      </c>
      <c r="Z407" s="17">
        <v>43008</v>
      </c>
      <c r="AA407" t="s">
        <v>3</v>
      </c>
      <c r="AB407" t="s">
        <v>695</v>
      </c>
    </row>
    <row r="408" spans="1:28" hidden="1">
      <c r="A408" t="s">
        <v>1201</v>
      </c>
      <c r="B408" s="17">
        <v>43008</v>
      </c>
      <c r="C408" s="17">
        <v>43008</v>
      </c>
      <c r="D408" t="s">
        <v>0</v>
      </c>
      <c r="E408" t="s">
        <v>1</v>
      </c>
      <c r="F408" s="18">
        <v>198396</v>
      </c>
      <c r="G408" s="18">
        <v>198396</v>
      </c>
      <c r="H408" t="s">
        <v>2</v>
      </c>
      <c r="I408" t="s">
        <v>8</v>
      </c>
      <c r="J408" s="18">
        <v>16010557.199999999</v>
      </c>
      <c r="K408" t="s">
        <v>607</v>
      </c>
      <c r="L408" t="s">
        <v>9</v>
      </c>
      <c r="M408" t="s">
        <v>608</v>
      </c>
      <c r="N408" t="s">
        <v>3</v>
      </c>
      <c r="O408" t="s">
        <v>3</v>
      </c>
      <c r="P408" t="s">
        <v>5</v>
      </c>
      <c r="Q408" t="s">
        <v>607</v>
      </c>
      <c r="R408" t="s">
        <v>3</v>
      </c>
      <c r="S408" t="s">
        <v>3</v>
      </c>
      <c r="T408" t="s">
        <v>3</v>
      </c>
      <c r="U408" t="s">
        <v>3</v>
      </c>
      <c r="V408" t="s">
        <v>3</v>
      </c>
      <c r="W408" t="s">
        <v>68</v>
      </c>
      <c r="X408" s="17">
        <v>43008</v>
      </c>
      <c r="Y408" t="s">
        <v>606</v>
      </c>
      <c r="Z408" s="17">
        <v>43008</v>
      </c>
      <c r="AA408" t="s">
        <v>3</v>
      </c>
      <c r="AB408" t="s">
        <v>1201</v>
      </c>
    </row>
    <row r="409" spans="1:28" hidden="1">
      <c r="A409" t="s">
        <v>1202</v>
      </c>
      <c r="B409" s="17">
        <v>43008</v>
      </c>
      <c r="C409" s="17">
        <v>43008</v>
      </c>
      <c r="D409" t="s">
        <v>0</v>
      </c>
      <c r="E409" t="s">
        <v>1</v>
      </c>
      <c r="F409" s="18">
        <v>198418</v>
      </c>
      <c r="G409" s="18">
        <v>198418</v>
      </c>
      <c r="H409" t="s">
        <v>2</v>
      </c>
      <c r="I409" t="s">
        <v>8</v>
      </c>
      <c r="J409" s="18">
        <v>16012332.6</v>
      </c>
      <c r="K409" t="s">
        <v>607</v>
      </c>
      <c r="L409" t="s">
        <v>9</v>
      </c>
      <c r="M409" t="s">
        <v>608</v>
      </c>
      <c r="N409" t="s">
        <v>3</v>
      </c>
      <c r="O409" t="s">
        <v>3</v>
      </c>
      <c r="P409" t="s">
        <v>5</v>
      </c>
      <c r="Q409" t="s">
        <v>607</v>
      </c>
      <c r="R409" t="s">
        <v>3</v>
      </c>
      <c r="S409" t="s">
        <v>3</v>
      </c>
      <c r="T409" t="s">
        <v>3</v>
      </c>
      <c r="U409" t="s">
        <v>3</v>
      </c>
      <c r="V409" t="s">
        <v>3</v>
      </c>
      <c r="W409" t="s">
        <v>68</v>
      </c>
      <c r="X409" s="17">
        <v>43009</v>
      </c>
      <c r="Y409" t="s">
        <v>609</v>
      </c>
      <c r="Z409" s="17">
        <v>43008</v>
      </c>
      <c r="AA409" t="s">
        <v>3</v>
      </c>
      <c r="AB409" t="s">
        <v>1202</v>
      </c>
    </row>
    <row r="410" spans="1:28" hidden="1">
      <c r="A410" t="s">
        <v>609</v>
      </c>
      <c r="B410" s="17">
        <v>43009</v>
      </c>
      <c r="C410" s="17">
        <v>43008</v>
      </c>
      <c r="D410" t="s">
        <v>38</v>
      </c>
      <c r="E410" t="s">
        <v>1</v>
      </c>
      <c r="F410" s="18">
        <v>-198418</v>
      </c>
      <c r="G410" s="18">
        <v>-198418</v>
      </c>
      <c r="H410" t="s">
        <v>2</v>
      </c>
      <c r="I410" t="s">
        <v>8</v>
      </c>
      <c r="J410" s="18">
        <v>-16012332.6</v>
      </c>
      <c r="K410" t="s">
        <v>607</v>
      </c>
      <c r="L410" t="s">
        <v>9</v>
      </c>
      <c r="M410" t="s">
        <v>608</v>
      </c>
      <c r="N410" t="s">
        <v>3</v>
      </c>
      <c r="O410" t="s">
        <v>3</v>
      </c>
      <c r="P410" t="s">
        <v>5</v>
      </c>
      <c r="Q410" t="s">
        <v>607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68</v>
      </c>
      <c r="X410" s="17">
        <v>43009</v>
      </c>
      <c r="Y410" t="s">
        <v>609</v>
      </c>
      <c r="Z410" s="17">
        <v>43008</v>
      </c>
      <c r="AA410" t="s">
        <v>3</v>
      </c>
      <c r="AB410" t="s">
        <v>609</v>
      </c>
    </row>
    <row r="411" spans="1:28" hidden="1">
      <c r="A411" t="s">
        <v>1154</v>
      </c>
      <c r="B411" s="17">
        <v>43010</v>
      </c>
      <c r="C411" s="17">
        <v>43010</v>
      </c>
      <c r="D411" t="s">
        <v>0</v>
      </c>
      <c r="E411" t="s">
        <v>1</v>
      </c>
      <c r="F411" s="18">
        <v>166670</v>
      </c>
      <c r="G411" s="18">
        <v>166670</v>
      </c>
      <c r="H411" t="s">
        <v>2</v>
      </c>
      <c r="I411" t="s">
        <v>8</v>
      </c>
      <c r="J411" s="18">
        <v>13466936</v>
      </c>
      <c r="K411" t="s">
        <v>1151</v>
      </c>
      <c r="L411" t="s">
        <v>9</v>
      </c>
      <c r="M411" t="s">
        <v>1155</v>
      </c>
      <c r="N411" t="s">
        <v>3</v>
      </c>
      <c r="O411" t="s">
        <v>3</v>
      </c>
      <c r="P411" t="s">
        <v>5</v>
      </c>
      <c r="Q411" t="s">
        <v>1156</v>
      </c>
      <c r="R411" t="s">
        <v>3</v>
      </c>
      <c r="S411" t="s">
        <v>3</v>
      </c>
      <c r="T411" t="s">
        <v>3</v>
      </c>
      <c r="U411" t="s">
        <v>3</v>
      </c>
      <c r="V411" t="s">
        <v>3</v>
      </c>
      <c r="W411" t="s">
        <v>68</v>
      </c>
      <c r="X411" s="17">
        <v>43039</v>
      </c>
      <c r="Y411" t="s">
        <v>701</v>
      </c>
      <c r="Z411" s="17">
        <v>43010</v>
      </c>
      <c r="AA411" t="s">
        <v>3</v>
      </c>
      <c r="AB411" t="s">
        <v>1154</v>
      </c>
    </row>
    <row r="412" spans="1:28" hidden="1">
      <c r="A412" t="s">
        <v>1157</v>
      </c>
      <c r="B412" s="17">
        <v>43011</v>
      </c>
      <c r="C412" s="17">
        <v>43011</v>
      </c>
      <c r="D412" t="s">
        <v>0</v>
      </c>
      <c r="E412" t="s">
        <v>1</v>
      </c>
      <c r="F412" s="18">
        <v>4861</v>
      </c>
      <c r="G412" s="18">
        <v>4861</v>
      </c>
      <c r="H412" t="s">
        <v>2</v>
      </c>
      <c r="I412" t="s">
        <v>10</v>
      </c>
      <c r="J412" s="18">
        <v>392768.8</v>
      </c>
      <c r="K412" t="s">
        <v>1147</v>
      </c>
      <c r="L412" t="s">
        <v>9</v>
      </c>
      <c r="M412" t="s">
        <v>1158</v>
      </c>
      <c r="N412" t="s">
        <v>3</v>
      </c>
      <c r="O412" t="s">
        <v>3</v>
      </c>
      <c r="P412" t="s">
        <v>5</v>
      </c>
      <c r="Q412" t="s">
        <v>1159</v>
      </c>
      <c r="R412" t="s">
        <v>3</v>
      </c>
      <c r="S412" t="s">
        <v>3</v>
      </c>
      <c r="T412" t="s">
        <v>3</v>
      </c>
      <c r="U412" t="s">
        <v>3</v>
      </c>
      <c r="V412" t="s">
        <v>3</v>
      </c>
      <c r="W412" t="s">
        <v>68</v>
      </c>
      <c r="X412" s="17">
        <v>43039</v>
      </c>
      <c r="Y412" t="s">
        <v>713</v>
      </c>
      <c r="Z412" s="17">
        <v>43011</v>
      </c>
      <c r="AA412" t="s">
        <v>3</v>
      </c>
      <c r="AB412" t="s">
        <v>1157</v>
      </c>
    </row>
    <row r="413" spans="1:28" hidden="1">
      <c r="A413" t="s">
        <v>1160</v>
      </c>
      <c r="B413" s="17">
        <v>43011</v>
      </c>
      <c r="C413" s="17">
        <v>43011</v>
      </c>
      <c r="D413" t="s">
        <v>0</v>
      </c>
      <c r="E413" t="s">
        <v>1</v>
      </c>
      <c r="F413" s="18">
        <v>24692</v>
      </c>
      <c r="G413" s="18">
        <v>24692</v>
      </c>
      <c r="H413" t="s">
        <v>2</v>
      </c>
      <c r="I413" t="s">
        <v>10</v>
      </c>
      <c r="J413" s="18">
        <v>1995113.6</v>
      </c>
      <c r="K413" t="s">
        <v>1147</v>
      </c>
      <c r="L413" t="s">
        <v>9</v>
      </c>
      <c r="M413" t="s">
        <v>1161</v>
      </c>
      <c r="N413" t="s">
        <v>3</v>
      </c>
      <c r="O413" t="s">
        <v>3</v>
      </c>
      <c r="P413" t="s">
        <v>5</v>
      </c>
      <c r="Q413" t="s">
        <v>1162</v>
      </c>
      <c r="R413" t="s">
        <v>3</v>
      </c>
      <c r="S413" t="s">
        <v>3</v>
      </c>
      <c r="T413" t="s">
        <v>3</v>
      </c>
      <c r="U413" t="s">
        <v>3</v>
      </c>
      <c r="V413" t="s">
        <v>3</v>
      </c>
      <c r="W413" t="s">
        <v>68</v>
      </c>
      <c r="X413" s="17">
        <v>43039</v>
      </c>
      <c r="Y413" t="s">
        <v>713</v>
      </c>
      <c r="Z413" s="17">
        <v>43011</v>
      </c>
      <c r="AA413" t="s">
        <v>3</v>
      </c>
      <c r="AB413" t="s">
        <v>1160</v>
      </c>
    </row>
    <row r="414" spans="1:28" hidden="1">
      <c r="A414" t="s">
        <v>1163</v>
      </c>
      <c r="B414" s="17">
        <v>43012</v>
      </c>
      <c r="C414" s="17">
        <v>43012</v>
      </c>
      <c r="D414" t="s">
        <v>0</v>
      </c>
      <c r="E414" t="s">
        <v>1</v>
      </c>
      <c r="F414" s="18">
        <v>2195</v>
      </c>
      <c r="G414" s="18">
        <v>2195</v>
      </c>
      <c r="H414" t="s">
        <v>2</v>
      </c>
      <c r="I414" t="s">
        <v>10</v>
      </c>
      <c r="J414" s="18">
        <v>177356</v>
      </c>
      <c r="K414" t="s">
        <v>1147</v>
      </c>
      <c r="L414" t="s">
        <v>9</v>
      </c>
      <c r="M414" t="s">
        <v>1164</v>
      </c>
      <c r="N414" t="s">
        <v>3</v>
      </c>
      <c r="O414" t="s">
        <v>3</v>
      </c>
      <c r="P414" t="s">
        <v>5</v>
      </c>
      <c r="Q414" t="s">
        <v>1165</v>
      </c>
      <c r="R414" t="s">
        <v>3</v>
      </c>
      <c r="S414" t="s">
        <v>3</v>
      </c>
      <c r="T414" t="s">
        <v>3</v>
      </c>
      <c r="U414" t="s">
        <v>3</v>
      </c>
      <c r="V414" t="s">
        <v>3</v>
      </c>
      <c r="W414" t="s">
        <v>68</v>
      </c>
      <c r="X414" s="17">
        <v>43039</v>
      </c>
      <c r="Y414" t="s">
        <v>713</v>
      </c>
      <c r="Z414" s="17">
        <v>43012</v>
      </c>
      <c r="AA414" t="s">
        <v>3</v>
      </c>
      <c r="AB414" t="s">
        <v>1163</v>
      </c>
    </row>
    <row r="415" spans="1:28" hidden="1">
      <c r="A415" t="s">
        <v>1170</v>
      </c>
      <c r="B415" s="17">
        <v>43012</v>
      </c>
      <c r="C415" s="17">
        <v>43012</v>
      </c>
      <c r="D415" t="s">
        <v>0</v>
      </c>
      <c r="E415" t="s">
        <v>1</v>
      </c>
      <c r="F415" s="18">
        <v>-121110</v>
      </c>
      <c r="G415" s="18">
        <v>-121110</v>
      </c>
      <c r="H415" t="s">
        <v>2</v>
      </c>
      <c r="I415" t="s">
        <v>10</v>
      </c>
      <c r="J415" s="18">
        <v>-9858354</v>
      </c>
      <c r="K415" t="s">
        <v>1171</v>
      </c>
      <c r="L415" t="s">
        <v>9</v>
      </c>
      <c r="M415" t="s">
        <v>1172</v>
      </c>
      <c r="N415" t="s">
        <v>3</v>
      </c>
      <c r="O415" t="s">
        <v>3</v>
      </c>
      <c r="P415" t="s">
        <v>5</v>
      </c>
      <c r="Q415" t="s">
        <v>1173</v>
      </c>
      <c r="R415" t="s">
        <v>3</v>
      </c>
      <c r="S415" t="s">
        <v>3</v>
      </c>
      <c r="T415" t="s">
        <v>3</v>
      </c>
      <c r="U415" t="s">
        <v>3</v>
      </c>
      <c r="V415" t="s">
        <v>3</v>
      </c>
      <c r="W415" t="s">
        <v>68</v>
      </c>
      <c r="X415" s="17">
        <v>43039</v>
      </c>
      <c r="Y415" t="s">
        <v>707</v>
      </c>
      <c r="Z415" s="17">
        <v>43012</v>
      </c>
      <c r="AA415" t="s">
        <v>3</v>
      </c>
      <c r="AB415" t="s">
        <v>1170</v>
      </c>
    </row>
    <row r="416" spans="1:28" hidden="1">
      <c r="A416" t="s">
        <v>1174</v>
      </c>
      <c r="B416" s="17">
        <v>43012</v>
      </c>
      <c r="C416" s="17">
        <v>43012</v>
      </c>
      <c r="D416" t="s">
        <v>0</v>
      </c>
      <c r="E416" t="s">
        <v>1</v>
      </c>
      <c r="F416" s="18">
        <v>-493774</v>
      </c>
      <c r="G416" s="18">
        <v>-493774</v>
      </c>
      <c r="H416" t="s">
        <v>2</v>
      </c>
      <c r="I416" t="s">
        <v>8</v>
      </c>
      <c r="J416" s="18">
        <v>-40193203.600000001</v>
      </c>
      <c r="K416" t="s">
        <v>1175</v>
      </c>
      <c r="L416" t="s">
        <v>9</v>
      </c>
      <c r="M416" t="s">
        <v>1176</v>
      </c>
      <c r="N416" t="s">
        <v>3</v>
      </c>
      <c r="O416" t="s">
        <v>3</v>
      </c>
      <c r="P416" t="s">
        <v>5</v>
      </c>
      <c r="Q416" t="s">
        <v>1177</v>
      </c>
      <c r="R416" t="s">
        <v>3</v>
      </c>
      <c r="S416" t="s">
        <v>3</v>
      </c>
      <c r="T416" t="s">
        <v>3</v>
      </c>
      <c r="U416" t="s">
        <v>3</v>
      </c>
      <c r="V416" t="s">
        <v>3</v>
      </c>
      <c r="W416" t="s">
        <v>68</v>
      </c>
      <c r="X416" s="17">
        <v>43039</v>
      </c>
      <c r="Y416" t="s">
        <v>698</v>
      </c>
      <c r="Z416" s="17">
        <v>43012</v>
      </c>
      <c r="AA416" t="s">
        <v>3</v>
      </c>
      <c r="AB416" t="s">
        <v>1174</v>
      </c>
    </row>
    <row r="417" spans="1:28" hidden="1">
      <c r="A417" t="s">
        <v>1166</v>
      </c>
      <c r="B417" s="17">
        <v>43017</v>
      </c>
      <c r="C417" s="17">
        <v>43017</v>
      </c>
      <c r="D417" t="s">
        <v>0</v>
      </c>
      <c r="E417" t="s">
        <v>1</v>
      </c>
      <c r="F417" s="18">
        <v>15220</v>
      </c>
      <c r="G417" s="18">
        <v>15220</v>
      </c>
      <c r="H417" t="s">
        <v>2</v>
      </c>
      <c r="I417" t="s">
        <v>8</v>
      </c>
      <c r="J417" s="18">
        <v>1229776</v>
      </c>
      <c r="K417" t="s">
        <v>1167</v>
      </c>
      <c r="L417" t="s">
        <v>9</v>
      </c>
      <c r="M417" t="s">
        <v>1168</v>
      </c>
      <c r="N417" t="s">
        <v>3</v>
      </c>
      <c r="O417" t="s">
        <v>3</v>
      </c>
      <c r="P417" t="s">
        <v>5</v>
      </c>
      <c r="Q417" t="s">
        <v>1169</v>
      </c>
      <c r="R417" t="s">
        <v>3</v>
      </c>
      <c r="S417" t="s">
        <v>3</v>
      </c>
      <c r="T417" t="s">
        <v>3</v>
      </c>
      <c r="U417" t="s">
        <v>3</v>
      </c>
      <c r="V417" t="s">
        <v>3</v>
      </c>
      <c r="W417" t="s">
        <v>68</v>
      </c>
      <c r="X417" s="17">
        <v>43039</v>
      </c>
      <c r="Y417" t="s">
        <v>704</v>
      </c>
      <c r="Z417" s="17">
        <v>43017</v>
      </c>
      <c r="AA417" t="s">
        <v>3</v>
      </c>
      <c r="AB417" t="s">
        <v>1166</v>
      </c>
    </row>
    <row r="418" spans="1:28" hidden="1">
      <c r="A418" t="s">
        <v>1178</v>
      </c>
      <c r="B418" s="17">
        <v>43017</v>
      </c>
      <c r="C418" s="17">
        <v>43017</v>
      </c>
      <c r="D418" t="s">
        <v>0</v>
      </c>
      <c r="E418" t="s">
        <v>1</v>
      </c>
      <c r="F418" s="18">
        <v>15238</v>
      </c>
      <c r="G418" s="18">
        <v>15238</v>
      </c>
      <c r="H418" t="s">
        <v>2</v>
      </c>
      <c r="I418" t="s">
        <v>10</v>
      </c>
      <c r="J418" s="18">
        <v>1240373.2</v>
      </c>
      <c r="K418" t="s">
        <v>1179</v>
      </c>
      <c r="L418" t="s">
        <v>9</v>
      </c>
      <c r="M418" t="s">
        <v>1180</v>
      </c>
      <c r="N418" t="s">
        <v>3</v>
      </c>
      <c r="O418" t="s">
        <v>3</v>
      </c>
      <c r="P418" t="s">
        <v>5</v>
      </c>
      <c r="Q418" t="s">
        <v>1181</v>
      </c>
      <c r="R418" t="s">
        <v>3</v>
      </c>
      <c r="S418" t="s">
        <v>3</v>
      </c>
      <c r="T418" t="s">
        <v>3</v>
      </c>
      <c r="U418" t="s">
        <v>3</v>
      </c>
      <c r="V418" t="s">
        <v>3</v>
      </c>
      <c r="W418" t="s">
        <v>68</v>
      </c>
      <c r="X418" s="17">
        <v>43039</v>
      </c>
      <c r="Y418" t="s">
        <v>707</v>
      </c>
      <c r="Z418" s="17">
        <v>43017</v>
      </c>
      <c r="AA418" t="s">
        <v>3</v>
      </c>
      <c r="AB418" t="s">
        <v>1178</v>
      </c>
    </row>
    <row r="419" spans="1:28" hidden="1">
      <c r="A419" t="s">
        <v>1182</v>
      </c>
      <c r="B419" s="17">
        <v>43017</v>
      </c>
      <c r="C419" s="17">
        <v>43017</v>
      </c>
      <c r="D419" t="s">
        <v>0</v>
      </c>
      <c r="E419" t="s">
        <v>1</v>
      </c>
      <c r="F419" s="18">
        <v>9462</v>
      </c>
      <c r="G419" s="18">
        <v>9462</v>
      </c>
      <c r="H419" t="s">
        <v>2</v>
      </c>
      <c r="I419" t="s">
        <v>10</v>
      </c>
      <c r="J419" s="18">
        <v>764529.6</v>
      </c>
      <c r="K419" t="s">
        <v>1147</v>
      </c>
      <c r="L419" t="s">
        <v>9</v>
      </c>
      <c r="M419" t="s">
        <v>1183</v>
      </c>
      <c r="N419" t="s">
        <v>3</v>
      </c>
      <c r="O419" t="s">
        <v>3</v>
      </c>
      <c r="P419" t="s">
        <v>5</v>
      </c>
      <c r="Q419" t="s">
        <v>1184</v>
      </c>
      <c r="R419" t="s">
        <v>3</v>
      </c>
      <c r="S419" t="s">
        <v>3</v>
      </c>
      <c r="T419" t="s">
        <v>3</v>
      </c>
      <c r="U419" t="s">
        <v>3</v>
      </c>
      <c r="V419" t="s">
        <v>3</v>
      </c>
      <c r="W419" t="s">
        <v>68</v>
      </c>
      <c r="X419" s="17">
        <v>43039</v>
      </c>
      <c r="Y419" t="s">
        <v>713</v>
      </c>
      <c r="Z419" s="17">
        <v>43017</v>
      </c>
      <c r="AA419" t="s">
        <v>3</v>
      </c>
      <c r="AB419" t="s">
        <v>1182</v>
      </c>
    </row>
    <row r="420" spans="1:28" hidden="1">
      <c r="A420" t="s">
        <v>1185</v>
      </c>
      <c r="B420" s="17">
        <v>43018</v>
      </c>
      <c r="C420" s="17">
        <v>43018</v>
      </c>
      <c r="D420" t="s">
        <v>0</v>
      </c>
      <c r="E420" t="s">
        <v>1</v>
      </c>
      <c r="F420" s="18">
        <v>90316</v>
      </c>
      <c r="G420" s="18">
        <v>90316</v>
      </c>
      <c r="H420" t="s">
        <v>2</v>
      </c>
      <c r="I420" t="s">
        <v>8</v>
      </c>
      <c r="J420" s="18">
        <v>7297532.7999999998</v>
      </c>
      <c r="K420" t="s">
        <v>1167</v>
      </c>
      <c r="L420" t="s">
        <v>9</v>
      </c>
      <c r="M420" t="s">
        <v>1186</v>
      </c>
      <c r="N420" t="s">
        <v>3</v>
      </c>
      <c r="O420" t="s">
        <v>3</v>
      </c>
      <c r="P420" t="s">
        <v>5</v>
      </c>
      <c r="Q420" t="s">
        <v>1187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68</v>
      </c>
      <c r="X420" s="17">
        <v>43039</v>
      </c>
      <c r="Y420" t="s">
        <v>704</v>
      </c>
      <c r="Z420" s="17">
        <v>43018</v>
      </c>
      <c r="AA420" t="s">
        <v>3</v>
      </c>
      <c r="AB420" t="s">
        <v>1185</v>
      </c>
    </row>
    <row r="421" spans="1:28" hidden="1">
      <c r="A421" t="s">
        <v>1188</v>
      </c>
      <c r="B421" s="17">
        <v>43020</v>
      </c>
      <c r="C421" s="17">
        <v>43020</v>
      </c>
      <c r="D421" t="s">
        <v>0</v>
      </c>
      <c r="E421" t="s">
        <v>1</v>
      </c>
      <c r="F421" s="18">
        <v>117846</v>
      </c>
      <c r="G421" s="18">
        <v>117846</v>
      </c>
      <c r="H421" t="s">
        <v>2</v>
      </c>
      <c r="I421" t="s">
        <v>8</v>
      </c>
      <c r="J421" s="18">
        <v>9592664.4000000004</v>
      </c>
      <c r="K421" t="s">
        <v>1189</v>
      </c>
      <c r="L421" t="s">
        <v>9</v>
      </c>
      <c r="M421" t="s">
        <v>1190</v>
      </c>
      <c r="N421" t="s">
        <v>3</v>
      </c>
      <c r="O421" t="s">
        <v>3</v>
      </c>
      <c r="P421" t="s">
        <v>5</v>
      </c>
      <c r="Q421" t="s">
        <v>1191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68</v>
      </c>
      <c r="X421" s="17">
        <v>43039</v>
      </c>
      <c r="Y421" t="s">
        <v>698</v>
      </c>
      <c r="Z421" s="17">
        <v>43020</v>
      </c>
      <c r="AA421" t="s">
        <v>3</v>
      </c>
      <c r="AB421" t="s">
        <v>1188</v>
      </c>
    </row>
    <row r="422" spans="1:28" hidden="1">
      <c r="A422" t="s">
        <v>1188</v>
      </c>
      <c r="B422" s="17">
        <v>43020</v>
      </c>
      <c r="C422" s="17">
        <v>43020</v>
      </c>
      <c r="D422" t="s">
        <v>0</v>
      </c>
      <c r="E422" t="s">
        <v>1</v>
      </c>
      <c r="F422" s="18">
        <v>52732</v>
      </c>
      <c r="G422" s="18">
        <v>52732</v>
      </c>
      <c r="H422" t="s">
        <v>2</v>
      </c>
      <c r="I422" t="s">
        <v>8</v>
      </c>
      <c r="J422" s="18">
        <v>4260745.5999999996</v>
      </c>
      <c r="K422" t="s">
        <v>1167</v>
      </c>
      <c r="L422" t="s">
        <v>9</v>
      </c>
      <c r="M422" t="s">
        <v>1190</v>
      </c>
      <c r="N422" t="s">
        <v>3</v>
      </c>
      <c r="O422" t="s">
        <v>3</v>
      </c>
      <c r="P422" t="s">
        <v>5</v>
      </c>
      <c r="Q422" t="s">
        <v>1191</v>
      </c>
      <c r="R422" t="s">
        <v>3</v>
      </c>
      <c r="S422" t="s">
        <v>3</v>
      </c>
      <c r="T422" t="s">
        <v>3</v>
      </c>
      <c r="U422" t="s">
        <v>3</v>
      </c>
      <c r="V422" t="s">
        <v>3</v>
      </c>
      <c r="W422" t="s">
        <v>68</v>
      </c>
      <c r="X422" s="17">
        <v>43039</v>
      </c>
      <c r="Y422" t="s">
        <v>704</v>
      </c>
      <c r="Z422" s="17">
        <v>43020</v>
      </c>
      <c r="AA422" t="s">
        <v>3</v>
      </c>
      <c r="AB422" t="s">
        <v>1188</v>
      </c>
    </row>
    <row r="423" spans="1:28" hidden="1">
      <c r="A423" t="s">
        <v>1192</v>
      </c>
      <c r="B423" s="17">
        <v>43020</v>
      </c>
      <c r="C423" s="17">
        <v>43020</v>
      </c>
      <c r="D423" t="s">
        <v>0</v>
      </c>
      <c r="E423" t="s">
        <v>1</v>
      </c>
      <c r="F423" s="18">
        <v>46201</v>
      </c>
      <c r="G423" s="18">
        <v>46201</v>
      </c>
      <c r="H423" t="s">
        <v>2</v>
      </c>
      <c r="I423" t="s">
        <v>8</v>
      </c>
      <c r="J423" s="18">
        <v>3733040.8</v>
      </c>
      <c r="K423" t="s">
        <v>1167</v>
      </c>
      <c r="L423" t="s">
        <v>9</v>
      </c>
      <c r="M423" t="s">
        <v>1193</v>
      </c>
      <c r="N423" t="s">
        <v>3</v>
      </c>
      <c r="O423" t="s">
        <v>3</v>
      </c>
      <c r="P423" t="s">
        <v>5</v>
      </c>
      <c r="Q423" t="s">
        <v>1194</v>
      </c>
      <c r="R423" t="s">
        <v>3</v>
      </c>
      <c r="S423" t="s">
        <v>3</v>
      </c>
      <c r="T423" t="s">
        <v>3</v>
      </c>
      <c r="U423" t="s">
        <v>3</v>
      </c>
      <c r="V423" t="s">
        <v>3</v>
      </c>
      <c r="W423" t="s">
        <v>68</v>
      </c>
      <c r="X423" s="17">
        <v>43039</v>
      </c>
      <c r="Y423" t="s">
        <v>704</v>
      </c>
      <c r="Z423" s="17">
        <v>43020</v>
      </c>
      <c r="AA423" t="s">
        <v>3</v>
      </c>
      <c r="AB423" t="s">
        <v>1192</v>
      </c>
    </row>
    <row r="424" spans="1:28" hidden="1">
      <c r="A424" t="s">
        <v>1195</v>
      </c>
      <c r="B424" s="17">
        <v>43020</v>
      </c>
      <c r="C424" s="17">
        <v>43020</v>
      </c>
      <c r="D424" t="s">
        <v>0</v>
      </c>
      <c r="E424" t="s">
        <v>1</v>
      </c>
      <c r="F424" s="18">
        <v>6328</v>
      </c>
      <c r="G424" s="18">
        <v>6328</v>
      </c>
      <c r="H424" t="s">
        <v>2</v>
      </c>
      <c r="I424" t="s">
        <v>8</v>
      </c>
      <c r="J424" s="18">
        <v>511302.40000000002</v>
      </c>
      <c r="K424" t="s">
        <v>1167</v>
      </c>
      <c r="L424" t="s">
        <v>9</v>
      </c>
      <c r="M424" t="s">
        <v>1196</v>
      </c>
      <c r="N424" t="s">
        <v>3</v>
      </c>
      <c r="O424" t="s">
        <v>3</v>
      </c>
      <c r="P424" t="s">
        <v>5</v>
      </c>
      <c r="Q424" t="s">
        <v>1197</v>
      </c>
      <c r="R424" t="s">
        <v>3</v>
      </c>
      <c r="S424" t="s">
        <v>3</v>
      </c>
      <c r="T424" t="s">
        <v>3</v>
      </c>
      <c r="U424" t="s">
        <v>3</v>
      </c>
      <c r="V424" t="s">
        <v>3</v>
      </c>
      <c r="W424" t="s">
        <v>68</v>
      </c>
      <c r="X424" s="17">
        <v>43039</v>
      </c>
      <c r="Y424" t="s">
        <v>704</v>
      </c>
      <c r="Z424" s="17">
        <v>43020</v>
      </c>
      <c r="AA424" t="s">
        <v>3</v>
      </c>
      <c r="AB424" t="s">
        <v>1195</v>
      </c>
    </row>
    <row r="425" spans="1:28" hidden="1">
      <c r="A425" t="s">
        <v>1198</v>
      </c>
      <c r="B425" s="17">
        <v>43020</v>
      </c>
      <c r="C425" s="17">
        <v>43020</v>
      </c>
      <c r="D425" t="s">
        <v>0</v>
      </c>
      <c r="E425" t="s">
        <v>1</v>
      </c>
      <c r="F425" s="18">
        <v>32990</v>
      </c>
      <c r="G425" s="18">
        <v>32990</v>
      </c>
      <c r="H425" t="s">
        <v>2</v>
      </c>
      <c r="I425" t="s">
        <v>8</v>
      </c>
      <c r="J425" s="18">
        <v>2685386</v>
      </c>
      <c r="K425" t="s">
        <v>1189</v>
      </c>
      <c r="L425" t="s">
        <v>9</v>
      </c>
      <c r="M425" t="s">
        <v>1199</v>
      </c>
      <c r="N425" t="s">
        <v>3</v>
      </c>
      <c r="O425" t="s">
        <v>3</v>
      </c>
      <c r="P425" t="s">
        <v>5</v>
      </c>
      <c r="Q425" t="s">
        <v>1200</v>
      </c>
      <c r="R425" t="s">
        <v>3</v>
      </c>
      <c r="S425" t="s">
        <v>3</v>
      </c>
      <c r="T425" t="s">
        <v>3</v>
      </c>
      <c r="U425" t="s">
        <v>3</v>
      </c>
      <c r="V425" t="s">
        <v>3</v>
      </c>
      <c r="W425" t="s">
        <v>68</v>
      </c>
      <c r="X425" s="17">
        <v>43039</v>
      </c>
      <c r="Y425" t="s">
        <v>698</v>
      </c>
      <c r="Z425" s="17">
        <v>43020</v>
      </c>
      <c r="AA425" t="s">
        <v>3</v>
      </c>
      <c r="AB425" t="s">
        <v>1198</v>
      </c>
    </row>
    <row r="426" spans="1:28" hidden="1">
      <c r="A426" t="s">
        <v>1236</v>
      </c>
      <c r="B426" s="17">
        <v>43023</v>
      </c>
      <c r="C426" s="17">
        <v>43023</v>
      </c>
      <c r="D426" t="s">
        <v>0</v>
      </c>
      <c r="E426" t="s">
        <v>1</v>
      </c>
      <c r="F426" s="18">
        <v>98378</v>
      </c>
      <c r="G426" s="18">
        <v>98378</v>
      </c>
      <c r="H426" t="s">
        <v>2</v>
      </c>
      <c r="I426" t="s">
        <v>10</v>
      </c>
      <c r="J426" s="18">
        <v>8007969.2000000002</v>
      </c>
      <c r="K426" t="s">
        <v>1204</v>
      </c>
      <c r="L426" t="s">
        <v>9</v>
      </c>
      <c r="M426" t="s">
        <v>1237</v>
      </c>
      <c r="N426" t="s">
        <v>3</v>
      </c>
      <c r="O426" t="s">
        <v>3</v>
      </c>
      <c r="P426" t="s">
        <v>5</v>
      </c>
      <c r="Q426" t="s">
        <v>1238</v>
      </c>
      <c r="R426" t="s">
        <v>3</v>
      </c>
      <c r="S426" t="s">
        <v>3</v>
      </c>
      <c r="T426" t="s">
        <v>3</v>
      </c>
      <c r="U426" t="s">
        <v>3</v>
      </c>
      <c r="V426" t="s">
        <v>3</v>
      </c>
      <c r="W426" t="s">
        <v>68</v>
      </c>
      <c r="X426" s="17">
        <v>43039</v>
      </c>
      <c r="Y426" t="s">
        <v>707</v>
      </c>
      <c r="Z426" s="17">
        <v>43023</v>
      </c>
      <c r="AA426" t="s">
        <v>3</v>
      </c>
      <c r="AB426" t="s">
        <v>1236</v>
      </c>
    </row>
    <row r="427" spans="1:28" hidden="1">
      <c r="A427" t="s">
        <v>1203</v>
      </c>
      <c r="B427" s="17">
        <v>43024</v>
      </c>
      <c r="C427" s="17">
        <v>43024</v>
      </c>
      <c r="D427" t="s">
        <v>0</v>
      </c>
      <c r="E427" t="s">
        <v>1</v>
      </c>
      <c r="F427" s="18">
        <v>1197</v>
      </c>
      <c r="G427" s="18">
        <v>1197</v>
      </c>
      <c r="H427" t="s">
        <v>2</v>
      </c>
      <c r="I427" t="s">
        <v>10</v>
      </c>
      <c r="J427" s="18">
        <v>97435.8</v>
      </c>
      <c r="K427" t="s">
        <v>1204</v>
      </c>
      <c r="L427" t="s">
        <v>9</v>
      </c>
      <c r="M427" t="s">
        <v>1205</v>
      </c>
      <c r="N427" t="s">
        <v>3</v>
      </c>
      <c r="O427" t="s">
        <v>3</v>
      </c>
      <c r="P427" t="s">
        <v>5</v>
      </c>
      <c r="Q427" t="s">
        <v>1206</v>
      </c>
      <c r="R427" t="s">
        <v>3</v>
      </c>
      <c r="S427" t="s">
        <v>3</v>
      </c>
      <c r="T427" t="s">
        <v>3</v>
      </c>
      <c r="U427" t="s">
        <v>3</v>
      </c>
      <c r="V427" t="s">
        <v>3</v>
      </c>
      <c r="W427" t="s">
        <v>68</v>
      </c>
      <c r="X427" s="17">
        <v>43039</v>
      </c>
      <c r="Y427" t="s">
        <v>707</v>
      </c>
      <c r="Z427" s="17">
        <v>43024</v>
      </c>
      <c r="AA427" t="s">
        <v>3</v>
      </c>
      <c r="AB427" t="s">
        <v>1203</v>
      </c>
    </row>
    <row r="428" spans="1:28" hidden="1">
      <c r="A428" t="s">
        <v>1207</v>
      </c>
      <c r="B428" s="17">
        <v>43024</v>
      </c>
      <c r="C428" s="17">
        <v>43024</v>
      </c>
      <c r="D428" t="s">
        <v>0</v>
      </c>
      <c r="E428" t="s">
        <v>1</v>
      </c>
      <c r="F428" s="18">
        <v>6297</v>
      </c>
      <c r="G428" s="18">
        <v>6297</v>
      </c>
      <c r="H428" t="s">
        <v>2</v>
      </c>
      <c r="I428" t="s">
        <v>10</v>
      </c>
      <c r="J428" s="18">
        <v>512575.8</v>
      </c>
      <c r="K428" t="s">
        <v>1204</v>
      </c>
      <c r="L428" t="s">
        <v>9</v>
      </c>
      <c r="M428" t="s">
        <v>1208</v>
      </c>
      <c r="N428" t="s">
        <v>3</v>
      </c>
      <c r="O428" t="s">
        <v>3</v>
      </c>
      <c r="P428" t="s">
        <v>5</v>
      </c>
      <c r="Q428" t="s">
        <v>1209</v>
      </c>
      <c r="R428" t="s">
        <v>3</v>
      </c>
      <c r="S428" t="s">
        <v>3</v>
      </c>
      <c r="T428" t="s">
        <v>3</v>
      </c>
      <c r="U428" t="s">
        <v>3</v>
      </c>
      <c r="V428" t="s">
        <v>3</v>
      </c>
      <c r="W428" t="s">
        <v>68</v>
      </c>
      <c r="X428" s="17">
        <v>43039</v>
      </c>
      <c r="Y428" t="s">
        <v>707</v>
      </c>
      <c r="Z428" s="17">
        <v>43024</v>
      </c>
      <c r="AA428" t="s">
        <v>3</v>
      </c>
      <c r="AB428" t="s">
        <v>1207</v>
      </c>
    </row>
    <row r="429" spans="1:28" hidden="1">
      <c r="A429" t="s">
        <v>1214</v>
      </c>
      <c r="B429" s="17">
        <v>43024</v>
      </c>
      <c r="C429" s="17">
        <v>43024</v>
      </c>
      <c r="D429" t="s">
        <v>0</v>
      </c>
      <c r="E429" t="s">
        <v>1</v>
      </c>
      <c r="F429" s="18">
        <v>6377</v>
      </c>
      <c r="G429" s="18">
        <v>6377</v>
      </c>
      <c r="H429" t="s">
        <v>2</v>
      </c>
      <c r="I429" t="s">
        <v>10</v>
      </c>
      <c r="J429" s="18">
        <v>519087.8</v>
      </c>
      <c r="K429" t="s">
        <v>1215</v>
      </c>
      <c r="L429" t="s">
        <v>9</v>
      </c>
      <c r="M429" t="s">
        <v>1216</v>
      </c>
      <c r="N429" t="s">
        <v>3</v>
      </c>
      <c r="O429" t="s">
        <v>3</v>
      </c>
      <c r="P429" t="s">
        <v>5</v>
      </c>
      <c r="Q429" t="s">
        <v>1217</v>
      </c>
      <c r="R429" t="s">
        <v>3</v>
      </c>
      <c r="S429" t="s">
        <v>3</v>
      </c>
      <c r="T429" t="s">
        <v>3</v>
      </c>
      <c r="U429" t="s">
        <v>3</v>
      </c>
      <c r="V429" t="s">
        <v>3</v>
      </c>
      <c r="W429" t="s">
        <v>68</v>
      </c>
      <c r="X429" s="17">
        <v>43039</v>
      </c>
      <c r="Y429" t="s">
        <v>710</v>
      </c>
      <c r="Z429" s="17">
        <v>43026</v>
      </c>
      <c r="AA429" t="s">
        <v>3</v>
      </c>
      <c r="AB429" t="s">
        <v>1214</v>
      </c>
    </row>
    <row r="430" spans="1:28" hidden="1">
      <c r="A430" t="s">
        <v>1225</v>
      </c>
      <c r="B430" s="17">
        <v>43025</v>
      </c>
      <c r="C430" s="17">
        <v>43025</v>
      </c>
      <c r="D430" t="s">
        <v>0</v>
      </c>
      <c r="E430" t="s">
        <v>1</v>
      </c>
      <c r="F430" s="18">
        <v>88183</v>
      </c>
      <c r="G430" s="18">
        <v>88183</v>
      </c>
      <c r="H430" t="s">
        <v>2</v>
      </c>
      <c r="I430" t="s">
        <v>8</v>
      </c>
      <c r="J430" s="18">
        <v>7178096.2000000002</v>
      </c>
      <c r="K430" t="s">
        <v>1226</v>
      </c>
      <c r="L430" t="s">
        <v>9</v>
      </c>
      <c r="M430" t="s">
        <v>1227</v>
      </c>
      <c r="N430" t="s">
        <v>3</v>
      </c>
      <c r="O430" t="s">
        <v>3</v>
      </c>
      <c r="P430" t="s">
        <v>5</v>
      </c>
      <c r="Q430" t="s">
        <v>1228</v>
      </c>
      <c r="R430" t="s">
        <v>3</v>
      </c>
      <c r="S430" t="s">
        <v>3</v>
      </c>
      <c r="T430" t="s">
        <v>3</v>
      </c>
      <c r="U430" t="s">
        <v>3</v>
      </c>
      <c r="V430" t="s">
        <v>3</v>
      </c>
      <c r="W430" t="s">
        <v>68</v>
      </c>
      <c r="X430" s="17">
        <v>43039</v>
      </c>
      <c r="Y430" t="s">
        <v>698</v>
      </c>
      <c r="Z430" s="17">
        <v>43025</v>
      </c>
      <c r="AA430" t="s">
        <v>3</v>
      </c>
      <c r="AB430" t="s">
        <v>1225</v>
      </c>
    </row>
    <row r="431" spans="1:28" hidden="1">
      <c r="A431" t="s">
        <v>1229</v>
      </c>
      <c r="B431" s="17">
        <v>43025</v>
      </c>
      <c r="C431" s="17">
        <v>43025</v>
      </c>
      <c r="D431" t="s">
        <v>0</v>
      </c>
      <c r="E431" t="s">
        <v>1</v>
      </c>
      <c r="F431" s="18">
        <v>254755</v>
      </c>
      <c r="G431" s="18">
        <v>254755</v>
      </c>
      <c r="H431" t="s">
        <v>2</v>
      </c>
      <c r="I431" t="s">
        <v>8</v>
      </c>
      <c r="J431" s="18">
        <v>20737057</v>
      </c>
      <c r="K431" t="s">
        <v>1226</v>
      </c>
      <c r="L431" t="s">
        <v>9</v>
      </c>
      <c r="M431" t="s">
        <v>1230</v>
      </c>
      <c r="N431" t="s">
        <v>3</v>
      </c>
      <c r="O431" t="s">
        <v>3</v>
      </c>
      <c r="P431" t="s">
        <v>5</v>
      </c>
      <c r="Q431" t="s">
        <v>1231</v>
      </c>
      <c r="R431" t="s">
        <v>3</v>
      </c>
      <c r="S431" t="s">
        <v>3</v>
      </c>
      <c r="T431" t="s">
        <v>3</v>
      </c>
      <c r="U431" t="s">
        <v>3</v>
      </c>
      <c r="V431" t="s">
        <v>3</v>
      </c>
      <c r="W431" t="s">
        <v>68</v>
      </c>
      <c r="X431" s="17">
        <v>43039</v>
      </c>
      <c r="Y431" t="s">
        <v>698</v>
      </c>
      <c r="Z431" s="17">
        <v>43025</v>
      </c>
      <c r="AA431" t="s">
        <v>3</v>
      </c>
      <c r="AB431" t="s">
        <v>1229</v>
      </c>
    </row>
    <row r="432" spans="1:28" hidden="1">
      <c r="A432" t="s">
        <v>1210</v>
      </c>
      <c r="B432" s="17">
        <v>43026</v>
      </c>
      <c r="C432" s="17">
        <v>43026</v>
      </c>
      <c r="D432" t="s">
        <v>0</v>
      </c>
      <c r="E432" t="s">
        <v>1</v>
      </c>
      <c r="F432" s="18">
        <v>-32967</v>
      </c>
      <c r="G432" s="18">
        <v>-32967</v>
      </c>
      <c r="H432" t="s">
        <v>2</v>
      </c>
      <c r="I432" t="s">
        <v>10</v>
      </c>
      <c r="J432" s="18">
        <v>-2683513.7999999998</v>
      </c>
      <c r="K432" t="s">
        <v>1211</v>
      </c>
      <c r="L432" t="s">
        <v>9</v>
      </c>
      <c r="M432" t="s">
        <v>1212</v>
      </c>
      <c r="N432" t="s">
        <v>3</v>
      </c>
      <c r="O432" t="s">
        <v>3</v>
      </c>
      <c r="P432" t="s">
        <v>5</v>
      </c>
      <c r="Q432" t="s">
        <v>1213</v>
      </c>
      <c r="R432" t="s">
        <v>3</v>
      </c>
      <c r="S432" t="s">
        <v>3</v>
      </c>
      <c r="T432" t="s">
        <v>3</v>
      </c>
      <c r="U432" t="s">
        <v>3</v>
      </c>
      <c r="V432" t="s">
        <v>3</v>
      </c>
      <c r="W432" t="s">
        <v>68</v>
      </c>
      <c r="X432" s="17">
        <v>43039</v>
      </c>
      <c r="Y432" t="s">
        <v>710</v>
      </c>
      <c r="Z432" s="17">
        <v>43026</v>
      </c>
      <c r="AA432" t="s">
        <v>3</v>
      </c>
      <c r="AB432" t="s">
        <v>1210</v>
      </c>
    </row>
    <row r="433" spans="1:28" hidden="1">
      <c r="A433" t="s">
        <v>1218</v>
      </c>
      <c r="B433" s="17">
        <v>43030</v>
      </c>
      <c r="C433" s="17">
        <v>43030</v>
      </c>
      <c r="D433" t="s">
        <v>0</v>
      </c>
      <c r="E433" t="s">
        <v>1</v>
      </c>
      <c r="F433" s="18">
        <v>7239</v>
      </c>
      <c r="G433" s="18">
        <v>7239</v>
      </c>
      <c r="H433" t="s">
        <v>2</v>
      </c>
      <c r="I433" t="s">
        <v>10</v>
      </c>
      <c r="J433" s="18">
        <v>589254.6</v>
      </c>
      <c r="K433" t="s">
        <v>1215</v>
      </c>
      <c r="L433" t="s">
        <v>9</v>
      </c>
      <c r="M433" t="s">
        <v>1219</v>
      </c>
      <c r="N433" t="s">
        <v>3</v>
      </c>
      <c r="O433" t="s">
        <v>3</v>
      </c>
      <c r="P433" t="s">
        <v>5</v>
      </c>
      <c r="Q433" t="s">
        <v>1220</v>
      </c>
      <c r="R433" t="s">
        <v>3</v>
      </c>
      <c r="S433" t="s">
        <v>3</v>
      </c>
      <c r="T433" t="s">
        <v>3</v>
      </c>
      <c r="U433" t="s">
        <v>3</v>
      </c>
      <c r="V433" t="s">
        <v>3</v>
      </c>
      <c r="W433" t="s">
        <v>68</v>
      </c>
      <c r="X433" s="17">
        <v>43039</v>
      </c>
      <c r="Y433" t="s">
        <v>710</v>
      </c>
      <c r="Z433" s="17">
        <v>43030</v>
      </c>
      <c r="AA433" t="s">
        <v>3</v>
      </c>
      <c r="AB433" t="s">
        <v>1218</v>
      </c>
    </row>
    <row r="434" spans="1:28" hidden="1">
      <c r="A434" t="s">
        <v>1221</v>
      </c>
      <c r="B434" s="17">
        <v>43030</v>
      </c>
      <c r="C434" s="17">
        <v>43030</v>
      </c>
      <c r="D434" t="s">
        <v>0</v>
      </c>
      <c r="E434" t="s">
        <v>1</v>
      </c>
      <c r="F434" s="18">
        <v>6150</v>
      </c>
      <c r="G434" s="18">
        <v>6150</v>
      </c>
      <c r="H434" t="s">
        <v>2</v>
      </c>
      <c r="I434" t="s">
        <v>10</v>
      </c>
      <c r="J434" s="18">
        <v>496920</v>
      </c>
      <c r="K434" t="s">
        <v>1222</v>
      </c>
      <c r="L434" t="s">
        <v>9</v>
      </c>
      <c r="M434" t="s">
        <v>1223</v>
      </c>
      <c r="N434" t="s">
        <v>3</v>
      </c>
      <c r="O434" t="s">
        <v>3</v>
      </c>
      <c r="P434" t="s">
        <v>5</v>
      </c>
      <c r="Q434" t="s">
        <v>1224</v>
      </c>
      <c r="R434" t="s">
        <v>3</v>
      </c>
      <c r="S434" t="s">
        <v>3</v>
      </c>
      <c r="T434" t="s">
        <v>3</v>
      </c>
      <c r="U434" t="s">
        <v>3</v>
      </c>
      <c r="V434" t="s">
        <v>3</v>
      </c>
      <c r="W434" t="s">
        <v>68</v>
      </c>
      <c r="X434" s="17">
        <v>43039</v>
      </c>
      <c r="Y434" t="s">
        <v>713</v>
      </c>
      <c r="Z434" s="17">
        <v>43030</v>
      </c>
      <c r="AA434" t="s">
        <v>3</v>
      </c>
      <c r="AB434" t="s">
        <v>1221</v>
      </c>
    </row>
    <row r="435" spans="1:28" hidden="1">
      <c r="A435" t="s">
        <v>1232</v>
      </c>
      <c r="B435" s="17">
        <v>43033</v>
      </c>
      <c r="C435" s="17">
        <v>43033</v>
      </c>
      <c r="D435" t="s">
        <v>0</v>
      </c>
      <c r="E435" t="s">
        <v>1</v>
      </c>
      <c r="F435" s="18">
        <v>-34293</v>
      </c>
      <c r="G435" s="18">
        <v>-34293</v>
      </c>
      <c r="H435" t="s">
        <v>2</v>
      </c>
      <c r="I435" t="s">
        <v>10</v>
      </c>
      <c r="J435" s="18">
        <v>-2791450.2</v>
      </c>
      <c r="K435" t="s">
        <v>1233</v>
      </c>
      <c r="L435" t="s">
        <v>9</v>
      </c>
      <c r="M435" t="s">
        <v>1234</v>
      </c>
      <c r="N435" t="s">
        <v>3</v>
      </c>
      <c r="O435" t="s">
        <v>3</v>
      </c>
      <c r="P435" t="s">
        <v>5</v>
      </c>
      <c r="Q435" t="s">
        <v>1235</v>
      </c>
      <c r="R435" t="s">
        <v>3</v>
      </c>
      <c r="S435" t="s">
        <v>3</v>
      </c>
      <c r="T435" t="s">
        <v>3</v>
      </c>
      <c r="U435" t="s">
        <v>3</v>
      </c>
      <c r="V435" t="s">
        <v>3</v>
      </c>
      <c r="W435" t="s">
        <v>68</v>
      </c>
      <c r="X435" s="17">
        <v>43044</v>
      </c>
      <c r="Y435" t="s">
        <v>716</v>
      </c>
      <c r="Z435" s="17">
        <v>43033</v>
      </c>
      <c r="AA435" t="s">
        <v>3</v>
      </c>
      <c r="AB435" t="s">
        <v>1232</v>
      </c>
    </row>
    <row r="436" spans="1:28" hidden="1">
      <c r="A436" t="s">
        <v>1239</v>
      </c>
      <c r="B436" s="17">
        <v>43038</v>
      </c>
      <c r="C436" s="17">
        <v>43038</v>
      </c>
      <c r="D436" t="s">
        <v>0</v>
      </c>
      <c r="E436" t="s">
        <v>1</v>
      </c>
      <c r="F436" s="18">
        <v>19358</v>
      </c>
      <c r="G436" s="18">
        <v>19358</v>
      </c>
      <c r="H436" t="s">
        <v>2</v>
      </c>
      <c r="I436" t="s">
        <v>10</v>
      </c>
      <c r="J436" s="18">
        <v>1575741.2</v>
      </c>
      <c r="K436" t="s">
        <v>1240</v>
      </c>
      <c r="L436" t="s">
        <v>9</v>
      </c>
      <c r="M436" t="s">
        <v>1241</v>
      </c>
      <c r="N436" t="s">
        <v>3</v>
      </c>
      <c r="O436" t="s">
        <v>3</v>
      </c>
      <c r="P436" t="s">
        <v>5</v>
      </c>
      <c r="Q436" t="s">
        <v>1242</v>
      </c>
      <c r="R436" t="s">
        <v>3</v>
      </c>
      <c r="S436" t="s">
        <v>3</v>
      </c>
      <c r="T436" t="s">
        <v>3</v>
      </c>
      <c r="U436" t="s">
        <v>3</v>
      </c>
      <c r="V436" t="s">
        <v>3</v>
      </c>
      <c r="W436" t="s">
        <v>68</v>
      </c>
      <c r="X436" s="17">
        <v>43044</v>
      </c>
      <c r="Y436" t="s">
        <v>716</v>
      </c>
      <c r="Z436" s="17">
        <v>43038</v>
      </c>
      <c r="AA436" t="s">
        <v>3</v>
      </c>
      <c r="AB436" t="s">
        <v>1239</v>
      </c>
    </row>
    <row r="437" spans="1:28" hidden="1">
      <c r="A437" t="s">
        <v>1239</v>
      </c>
      <c r="B437" s="17">
        <v>43038</v>
      </c>
      <c r="C437" s="17">
        <v>43038</v>
      </c>
      <c r="D437" t="s">
        <v>0</v>
      </c>
      <c r="E437" t="s">
        <v>1</v>
      </c>
      <c r="F437" s="18">
        <v>19351</v>
      </c>
      <c r="G437" s="18">
        <v>19351</v>
      </c>
      <c r="H437" t="s">
        <v>2</v>
      </c>
      <c r="I437" t="s">
        <v>10</v>
      </c>
      <c r="J437" s="18">
        <v>1575171.4</v>
      </c>
      <c r="K437" t="s">
        <v>1215</v>
      </c>
      <c r="L437" t="s">
        <v>9</v>
      </c>
      <c r="M437" t="s">
        <v>1241</v>
      </c>
      <c r="N437" t="s">
        <v>3</v>
      </c>
      <c r="O437" t="s">
        <v>3</v>
      </c>
      <c r="P437" t="s">
        <v>5</v>
      </c>
      <c r="Q437" t="s">
        <v>1242</v>
      </c>
      <c r="R437" t="s">
        <v>3</v>
      </c>
      <c r="S437" t="s">
        <v>3</v>
      </c>
      <c r="T437" t="s">
        <v>3</v>
      </c>
      <c r="U437" t="s">
        <v>3</v>
      </c>
      <c r="V437" t="s">
        <v>3</v>
      </c>
      <c r="W437" t="s">
        <v>68</v>
      </c>
      <c r="X437" s="17">
        <v>43039</v>
      </c>
      <c r="Y437" t="s">
        <v>710</v>
      </c>
      <c r="Z437" s="17">
        <v>43038</v>
      </c>
      <c r="AA437" t="s">
        <v>3</v>
      </c>
      <c r="AB437" t="s">
        <v>1239</v>
      </c>
    </row>
    <row r="438" spans="1:28" hidden="1">
      <c r="A438" t="s">
        <v>698</v>
      </c>
      <c r="B438" s="17">
        <v>43039</v>
      </c>
      <c r="C438" s="17">
        <v>43039</v>
      </c>
      <c r="D438" t="s">
        <v>7</v>
      </c>
      <c r="E438" t="s">
        <v>1</v>
      </c>
      <c r="F438" s="18">
        <v>493774</v>
      </c>
      <c r="G438" s="18">
        <v>493774</v>
      </c>
      <c r="H438" t="s">
        <v>2</v>
      </c>
      <c r="I438" t="s">
        <v>8</v>
      </c>
      <c r="J438" s="18">
        <v>40193203.600000001</v>
      </c>
      <c r="K438" t="s">
        <v>699</v>
      </c>
      <c r="L438" t="s">
        <v>9</v>
      </c>
      <c r="M438" t="s">
        <v>700</v>
      </c>
      <c r="N438" t="s">
        <v>3</v>
      </c>
      <c r="O438" t="s">
        <v>3</v>
      </c>
      <c r="P438" t="s">
        <v>5</v>
      </c>
      <c r="Q438" t="s">
        <v>699</v>
      </c>
      <c r="R438" t="s">
        <v>3</v>
      </c>
      <c r="S438" t="s">
        <v>3</v>
      </c>
      <c r="T438" t="s">
        <v>3</v>
      </c>
      <c r="U438" t="s">
        <v>3</v>
      </c>
      <c r="V438" t="s">
        <v>3</v>
      </c>
      <c r="W438" t="s">
        <v>68</v>
      </c>
      <c r="X438" s="17">
        <v>43039</v>
      </c>
      <c r="Y438" t="s">
        <v>698</v>
      </c>
      <c r="Z438" s="17">
        <v>43039</v>
      </c>
      <c r="AA438" t="s">
        <v>3</v>
      </c>
      <c r="AB438" t="s">
        <v>698</v>
      </c>
    </row>
    <row r="439" spans="1:28" hidden="1">
      <c r="A439" t="s">
        <v>698</v>
      </c>
      <c r="B439" s="17">
        <v>43039</v>
      </c>
      <c r="C439" s="17">
        <v>43039</v>
      </c>
      <c r="D439" t="s">
        <v>7</v>
      </c>
      <c r="E439" t="s">
        <v>1</v>
      </c>
      <c r="F439" s="18">
        <v>-493774</v>
      </c>
      <c r="G439" s="18">
        <v>-493774</v>
      </c>
      <c r="H439" t="s">
        <v>2</v>
      </c>
      <c r="I439" t="s">
        <v>8</v>
      </c>
      <c r="J439" s="18">
        <v>-40193203.600000001</v>
      </c>
      <c r="K439" t="s">
        <v>699</v>
      </c>
      <c r="L439" t="s">
        <v>9</v>
      </c>
      <c r="M439" t="s">
        <v>700</v>
      </c>
      <c r="N439" t="s">
        <v>3</v>
      </c>
      <c r="O439" t="s">
        <v>3</v>
      </c>
      <c r="P439" t="s">
        <v>5</v>
      </c>
      <c r="Q439" t="s">
        <v>699</v>
      </c>
      <c r="R439" t="s">
        <v>3</v>
      </c>
      <c r="S439" t="s">
        <v>3</v>
      </c>
      <c r="T439" t="s">
        <v>3</v>
      </c>
      <c r="U439" t="s">
        <v>3</v>
      </c>
      <c r="V439" t="s">
        <v>3</v>
      </c>
      <c r="W439" t="s">
        <v>68</v>
      </c>
      <c r="X439" s="17">
        <v>43039</v>
      </c>
      <c r="Y439" t="s">
        <v>698</v>
      </c>
      <c r="Z439" s="17">
        <v>43039</v>
      </c>
      <c r="AA439" t="s">
        <v>3</v>
      </c>
      <c r="AB439" t="s">
        <v>698</v>
      </c>
    </row>
    <row r="440" spans="1:28" hidden="1">
      <c r="A440" t="s">
        <v>701</v>
      </c>
      <c r="B440" s="17">
        <v>43039</v>
      </c>
      <c r="C440" s="17">
        <v>43039</v>
      </c>
      <c r="D440" t="s">
        <v>7</v>
      </c>
      <c r="E440" t="s">
        <v>1</v>
      </c>
      <c r="F440" s="18">
        <v>294346</v>
      </c>
      <c r="G440" s="18">
        <v>294346</v>
      </c>
      <c r="H440" t="s">
        <v>2</v>
      </c>
      <c r="I440" t="s">
        <v>8</v>
      </c>
      <c r="J440" s="18">
        <v>23783156.800000001</v>
      </c>
      <c r="K440" t="s">
        <v>702</v>
      </c>
      <c r="L440" t="s">
        <v>9</v>
      </c>
      <c r="M440" t="s">
        <v>703</v>
      </c>
      <c r="N440" t="s">
        <v>3</v>
      </c>
      <c r="O440" t="s">
        <v>3</v>
      </c>
      <c r="P440" t="s">
        <v>5</v>
      </c>
      <c r="Q440" t="s">
        <v>702</v>
      </c>
      <c r="R440" t="s">
        <v>3</v>
      </c>
      <c r="S440" t="s">
        <v>3</v>
      </c>
      <c r="T440" t="s">
        <v>3</v>
      </c>
      <c r="U440" t="s">
        <v>3</v>
      </c>
      <c r="V440" t="s">
        <v>3</v>
      </c>
      <c r="W440" t="s">
        <v>68</v>
      </c>
      <c r="X440" s="17">
        <v>43039</v>
      </c>
      <c r="Y440" t="s">
        <v>701</v>
      </c>
      <c r="Z440" s="17">
        <v>43039</v>
      </c>
      <c r="AA440" t="s">
        <v>3</v>
      </c>
      <c r="AB440" t="s">
        <v>701</v>
      </c>
    </row>
    <row r="441" spans="1:28" hidden="1">
      <c r="A441" t="s">
        <v>701</v>
      </c>
      <c r="B441" s="17">
        <v>43039</v>
      </c>
      <c r="C441" s="17">
        <v>43039</v>
      </c>
      <c r="D441" t="s">
        <v>7</v>
      </c>
      <c r="E441" t="s">
        <v>1</v>
      </c>
      <c r="F441" s="18">
        <v>-294346</v>
      </c>
      <c r="G441" s="18">
        <v>-294346</v>
      </c>
      <c r="H441" t="s">
        <v>2</v>
      </c>
      <c r="I441" t="s">
        <v>8</v>
      </c>
      <c r="J441" s="18">
        <v>-23783156.800000001</v>
      </c>
      <c r="K441" t="s">
        <v>702</v>
      </c>
      <c r="L441" t="s">
        <v>9</v>
      </c>
      <c r="M441" t="s">
        <v>703</v>
      </c>
      <c r="N441" t="s">
        <v>3</v>
      </c>
      <c r="O441" t="s">
        <v>3</v>
      </c>
      <c r="P441" t="s">
        <v>5</v>
      </c>
      <c r="Q441" t="s">
        <v>702</v>
      </c>
      <c r="R441" t="s">
        <v>3</v>
      </c>
      <c r="S441" t="s">
        <v>3</v>
      </c>
      <c r="T441" t="s">
        <v>3</v>
      </c>
      <c r="U441" t="s">
        <v>3</v>
      </c>
      <c r="V441" t="s">
        <v>3</v>
      </c>
      <c r="W441" t="s">
        <v>68</v>
      </c>
      <c r="X441" s="17">
        <v>43039</v>
      </c>
      <c r="Y441" t="s">
        <v>701</v>
      </c>
      <c r="Z441" s="17">
        <v>43039</v>
      </c>
      <c r="AA441" t="s">
        <v>3</v>
      </c>
      <c r="AB441" t="s">
        <v>701</v>
      </c>
    </row>
    <row r="442" spans="1:28" hidden="1">
      <c r="A442" t="s">
        <v>704</v>
      </c>
      <c r="B442" s="17">
        <v>43039</v>
      </c>
      <c r="C442" s="17">
        <v>43039</v>
      </c>
      <c r="D442" t="s">
        <v>7</v>
      </c>
      <c r="E442" t="s">
        <v>1</v>
      </c>
      <c r="F442" s="18">
        <v>210797</v>
      </c>
      <c r="G442" s="18">
        <v>210797</v>
      </c>
      <c r="H442" t="s">
        <v>2</v>
      </c>
      <c r="I442" t="s">
        <v>8</v>
      </c>
      <c r="J442" s="18">
        <v>17032397.600000001</v>
      </c>
      <c r="K442" t="s">
        <v>705</v>
      </c>
      <c r="L442" t="s">
        <v>9</v>
      </c>
      <c r="M442" t="s">
        <v>706</v>
      </c>
      <c r="N442" t="s">
        <v>3</v>
      </c>
      <c r="O442" t="s">
        <v>3</v>
      </c>
      <c r="P442" t="s">
        <v>5</v>
      </c>
      <c r="Q442" t="s">
        <v>705</v>
      </c>
      <c r="R442" t="s">
        <v>3</v>
      </c>
      <c r="S442" t="s">
        <v>3</v>
      </c>
      <c r="T442" t="s">
        <v>3</v>
      </c>
      <c r="U442" t="s">
        <v>3</v>
      </c>
      <c r="V442" t="s">
        <v>3</v>
      </c>
      <c r="W442" t="s">
        <v>68</v>
      </c>
      <c r="X442" s="17">
        <v>43039</v>
      </c>
      <c r="Y442" t="s">
        <v>704</v>
      </c>
      <c r="Z442" s="17">
        <v>43039</v>
      </c>
      <c r="AA442" t="s">
        <v>3</v>
      </c>
      <c r="AB442" t="s">
        <v>704</v>
      </c>
    </row>
    <row r="443" spans="1:28" hidden="1">
      <c r="A443" t="s">
        <v>704</v>
      </c>
      <c r="B443" s="17">
        <v>43039</v>
      </c>
      <c r="C443" s="17">
        <v>43039</v>
      </c>
      <c r="D443" t="s">
        <v>7</v>
      </c>
      <c r="E443" t="s">
        <v>1</v>
      </c>
      <c r="F443" s="18">
        <v>-210797</v>
      </c>
      <c r="G443" s="18">
        <v>-210797</v>
      </c>
      <c r="H443" t="s">
        <v>2</v>
      </c>
      <c r="I443" t="s">
        <v>8</v>
      </c>
      <c r="J443" s="18">
        <v>-17032397.600000001</v>
      </c>
      <c r="K443" t="s">
        <v>705</v>
      </c>
      <c r="L443" t="s">
        <v>9</v>
      </c>
      <c r="M443" t="s">
        <v>706</v>
      </c>
      <c r="N443" t="s">
        <v>3</v>
      </c>
      <c r="O443" t="s">
        <v>3</v>
      </c>
      <c r="P443" t="s">
        <v>5</v>
      </c>
      <c r="Q443" t="s">
        <v>705</v>
      </c>
      <c r="R443" t="s">
        <v>3</v>
      </c>
      <c r="S443" t="s">
        <v>3</v>
      </c>
      <c r="T443" t="s">
        <v>3</v>
      </c>
      <c r="U443" t="s">
        <v>3</v>
      </c>
      <c r="V443" t="s">
        <v>3</v>
      </c>
      <c r="W443" t="s">
        <v>68</v>
      </c>
      <c r="X443" s="17">
        <v>43039</v>
      </c>
      <c r="Y443" t="s">
        <v>704</v>
      </c>
      <c r="Z443" s="17">
        <v>43039</v>
      </c>
      <c r="AA443" t="s">
        <v>3</v>
      </c>
      <c r="AB443" t="s">
        <v>704</v>
      </c>
    </row>
    <row r="444" spans="1:28" hidden="1">
      <c r="A444" t="s">
        <v>707</v>
      </c>
      <c r="B444" s="17">
        <v>43039</v>
      </c>
      <c r="C444" s="17">
        <v>43039</v>
      </c>
      <c r="D444" t="s">
        <v>7</v>
      </c>
      <c r="E444" t="s">
        <v>1</v>
      </c>
      <c r="F444" s="18">
        <v>121110</v>
      </c>
      <c r="G444" s="18">
        <v>121110</v>
      </c>
      <c r="H444" t="s">
        <v>2</v>
      </c>
      <c r="I444" t="s">
        <v>10</v>
      </c>
      <c r="J444" s="18">
        <v>9858354</v>
      </c>
      <c r="K444" t="s">
        <v>708</v>
      </c>
      <c r="L444" t="s">
        <v>9</v>
      </c>
      <c r="M444" t="s">
        <v>709</v>
      </c>
      <c r="N444" t="s">
        <v>3</v>
      </c>
      <c r="O444" t="s">
        <v>3</v>
      </c>
      <c r="P444" t="s">
        <v>5</v>
      </c>
      <c r="Q444" t="s">
        <v>708</v>
      </c>
      <c r="R444" t="s">
        <v>3</v>
      </c>
      <c r="S444" t="s">
        <v>3</v>
      </c>
      <c r="T444" t="s">
        <v>3</v>
      </c>
      <c r="U444" t="s">
        <v>3</v>
      </c>
      <c r="V444" t="s">
        <v>3</v>
      </c>
      <c r="W444" t="s">
        <v>68</v>
      </c>
      <c r="X444" s="17">
        <v>43039</v>
      </c>
      <c r="Y444" t="s">
        <v>707</v>
      </c>
      <c r="Z444" s="17">
        <v>43039</v>
      </c>
      <c r="AA444" t="s">
        <v>3</v>
      </c>
      <c r="AB444" t="s">
        <v>707</v>
      </c>
    </row>
    <row r="445" spans="1:28" hidden="1">
      <c r="A445" t="s">
        <v>707</v>
      </c>
      <c r="B445" s="17">
        <v>43039</v>
      </c>
      <c r="C445" s="17">
        <v>43039</v>
      </c>
      <c r="D445" t="s">
        <v>7</v>
      </c>
      <c r="E445" t="s">
        <v>1</v>
      </c>
      <c r="F445" s="18">
        <v>-121110</v>
      </c>
      <c r="G445" s="18">
        <v>-121110</v>
      </c>
      <c r="H445" t="s">
        <v>2</v>
      </c>
      <c r="I445" t="s">
        <v>10</v>
      </c>
      <c r="J445" s="18">
        <v>-9858354</v>
      </c>
      <c r="K445" t="s">
        <v>708</v>
      </c>
      <c r="L445" t="s">
        <v>9</v>
      </c>
      <c r="M445" t="s">
        <v>709</v>
      </c>
      <c r="N445" t="s">
        <v>3</v>
      </c>
      <c r="O445" t="s">
        <v>3</v>
      </c>
      <c r="P445" t="s">
        <v>5</v>
      </c>
      <c r="Q445" t="s">
        <v>708</v>
      </c>
      <c r="R445" t="s">
        <v>3</v>
      </c>
      <c r="S445" t="s">
        <v>3</v>
      </c>
      <c r="T445" t="s">
        <v>3</v>
      </c>
      <c r="U445" t="s">
        <v>3</v>
      </c>
      <c r="V445" t="s">
        <v>3</v>
      </c>
      <c r="W445" t="s">
        <v>68</v>
      </c>
      <c r="X445" s="17">
        <v>43039</v>
      </c>
      <c r="Y445" t="s">
        <v>707</v>
      </c>
      <c r="Z445" s="17">
        <v>43039</v>
      </c>
      <c r="AA445" t="s">
        <v>3</v>
      </c>
      <c r="AB445" t="s">
        <v>707</v>
      </c>
    </row>
    <row r="446" spans="1:28" hidden="1">
      <c r="A446" t="s">
        <v>710</v>
      </c>
      <c r="B446" s="17">
        <v>43039</v>
      </c>
      <c r="C446" s="17">
        <v>43039</v>
      </c>
      <c r="D446" t="s">
        <v>7</v>
      </c>
      <c r="E446" t="s">
        <v>1</v>
      </c>
      <c r="F446" s="18">
        <v>32967</v>
      </c>
      <c r="G446" s="18">
        <v>32967</v>
      </c>
      <c r="H446" t="s">
        <v>2</v>
      </c>
      <c r="I446" t="s">
        <v>10</v>
      </c>
      <c r="J446" s="18">
        <v>2683513.7999999998</v>
      </c>
      <c r="K446" t="s">
        <v>711</v>
      </c>
      <c r="L446" t="s">
        <v>9</v>
      </c>
      <c r="M446" t="s">
        <v>712</v>
      </c>
      <c r="N446" t="s">
        <v>3</v>
      </c>
      <c r="O446" t="s">
        <v>3</v>
      </c>
      <c r="P446" t="s">
        <v>5</v>
      </c>
      <c r="Q446" t="s">
        <v>711</v>
      </c>
      <c r="R446" t="s">
        <v>3</v>
      </c>
      <c r="S446" t="s">
        <v>3</v>
      </c>
      <c r="T446" t="s">
        <v>3</v>
      </c>
      <c r="U446" t="s">
        <v>3</v>
      </c>
      <c r="V446" t="s">
        <v>3</v>
      </c>
      <c r="W446" t="s">
        <v>68</v>
      </c>
      <c r="X446" s="17">
        <v>43039</v>
      </c>
      <c r="Y446" t="s">
        <v>710</v>
      </c>
      <c r="Z446" s="17">
        <v>43039</v>
      </c>
      <c r="AA446" t="s">
        <v>3</v>
      </c>
      <c r="AB446" t="s">
        <v>710</v>
      </c>
    </row>
    <row r="447" spans="1:28" hidden="1">
      <c r="A447" t="s">
        <v>710</v>
      </c>
      <c r="B447" s="17">
        <v>43039</v>
      </c>
      <c r="C447" s="17">
        <v>43039</v>
      </c>
      <c r="D447" t="s">
        <v>7</v>
      </c>
      <c r="E447" t="s">
        <v>1</v>
      </c>
      <c r="F447" s="18">
        <v>-32967</v>
      </c>
      <c r="G447" s="18">
        <v>-32967</v>
      </c>
      <c r="H447" t="s">
        <v>2</v>
      </c>
      <c r="I447" t="s">
        <v>10</v>
      </c>
      <c r="J447" s="18">
        <v>-2683513.7999999998</v>
      </c>
      <c r="K447" t="s">
        <v>711</v>
      </c>
      <c r="L447" t="s">
        <v>9</v>
      </c>
      <c r="M447" t="s">
        <v>712</v>
      </c>
      <c r="N447" t="s">
        <v>3</v>
      </c>
      <c r="O447" t="s">
        <v>3</v>
      </c>
      <c r="P447" t="s">
        <v>5</v>
      </c>
      <c r="Q447" t="s">
        <v>711</v>
      </c>
      <c r="R447" t="s">
        <v>3</v>
      </c>
      <c r="S447" t="s">
        <v>3</v>
      </c>
      <c r="T447" t="s">
        <v>3</v>
      </c>
      <c r="U447" t="s">
        <v>3</v>
      </c>
      <c r="V447" t="s">
        <v>3</v>
      </c>
      <c r="W447" t="s">
        <v>68</v>
      </c>
      <c r="X447" s="17">
        <v>43039</v>
      </c>
      <c r="Y447" t="s">
        <v>710</v>
      </c>
      <c r="Z447" s="17">
        <v>43039</v>
      </c>
      <c r="AA447" t="s">
        <v>3</v>
      </c>
      <c r="AB447" t="s">
        <v>710</v>
      </c>
    </row>
    <row r="448" spans="1:28" hidden="1">
      <c r="A448" t="s">
        <v>713</v>
      </c>
      <c r="B448" s="17">
        <v>43039</v>
      </c>
      <c r="C448" s="17">
        <v>43039</v>
      </c>
      <c r="D448" t="s">
        <v>7</v>
      </c>
      <c r="E448" t="s">
        <v>1</v>
      </c>
      <c r="F448" s="18">
        <v>75129</v>
      </c>
      <c r="G448" s="18">
        <v>75129</v>
      </c>
      <c r="H448" t="s">
        <v>2</v>
      </c>
      <c r="I448" t="s">
        <v>10</v>
      </c>
      <c r="J448" s="18">
        <v>6070423.2000000002</v>
      </c>
      <c r="K448" t="s">
        <v>714</v>
      </c>
      <c r="L448" t="s">
        <v>9</v>
      </c>
      <c r="M448" t="s">
        <v>715</v>
      </c>
      <c r="N448" t="s">
        <v>3</v>
      </c>
      <c r="O448" t="s">
        <v>3</v>
      </c>
      <c r="P448" t="s">
        <v>5</v>
      </c>
      <c r="Q448" t="s">
        <v>714</v>
      </c>
      <c r="R448" t="s">
        <v>3</v>
      </c>
      <c r="S448" t="s">
        <v>3</v>
      </c>
      <c r="T448" t="s">
        <v>3</v>
      </c>
      <c r="U448" t="s">
        <v>3</v>
      </c>
      <c r="V448" t="s">
        <v>3</v>
      </c>
      <c r="W448" t="s">
        <v>68</v>
      </c>
      <c r="X448" s="17">
        <v>43039</v>
      </c>
      <c r="Y448" t="s">
        <v>713</v>
      </c>
      <c r="Z448" s="17">
        <v>43039</v>
      </c>
      <c r="AA448" t="s">
        <v>3</v>
      </c>
      <c r="AB448" t="s">
        <v>713</v>
      </c>
    </row>
    <row r="449" spans="1:28" hidden="1">
      <c r="A449" t="s">
        <v>713</v>
      </c>
      <c r="B449" s="17">
        <v>43039</v>
      </c>
      <c r="C449" s="17">
        <v>43039</v>
      </c>
      <c r="D449" t="s">
        <v>7</v>
      </c>
      <c r="E449" t="s">
        <v>1</v>
      </c>
      <c r="F449" s="18">
        <v>-75129</v>
      </c>
      <c r="G449" s="18">
        <v>-75129</v>
      </c>
      <c r="H449" t="s">
        <v>2</v>
      </c>
      <c r="I449" t="s">
        <v>10</v>
      </c>
      <c r="J449" s="18">
        <v>-6070423.2000000002</v>
      </c>
      <c r="K449" t="s">
        <v>714</v>
      </c>
      <c r="L449" t="s">
        <v>9</v>
      </c>
      <c r="M449" t="s">
        <v>715</v>
      </c>
      <c r="N449" t="s">
        <v>3</v>
      </c>
      <c r="O449" t="s">
        <v>3</v>
      </c>
      <c r="P449" t="s">
        <v>5</v>
      </c>
      <c r="Q449" t="s">
        <v>714</v>
      </c>
      <c r="R449" t="s">
        <v>3</v>
      </c>
      <c r="S449" t="s">
        <v>3</v>
      </c>
      <c r="T449" t="s">
        <v>3</v>
      </c>
      <c r="U449" t="s">
        <v>3</v>
      </c>
      <c r="V449" t="s">
        <v>3</v>
      </c>
      <c r="W449" t="s">
        <v>68</v>
      </c>
      <c r="X449" s="17">
        <v>43039</v>
      </c>
      <c r="Y449" t="s">
        <v>713</v>
      </c>
      <c r="Z449" s="17">
        <v>43039</v>
      </c>
      <c r="AA449" t="s">
        <v>3</v>
      </c>
      <c r="AB449" t="s">
        <v>713</v>
      </c>
    </row>
    <row r="450" spans="1:28" hidden="1">
      <c r="A450" t="s">
        <v>1243</v>
      </c>
      <c r="B450" s="17">
        <v>43041</v>
      </c>
      <c r="C450" s="17">
        <v>43041</v>
      </c>
      <c r="D450" t="s">
        <v>0</v>
      </c>
      <c r="E450" t="s">
        <v>1</v>
      </c>
      <c r="F450" s="18">
        <v>-37248</v>
      </c>
      <c r="G450" s="18">
        <v>-37248</v>
      </c>
      <c r="H450" t="s">
        <v>2</v>
      </c>
      <c r="I450" t="s">
        <v>10</v>
      </c>
      <c r="J450" s="18">
        <v>-3060668.16</v>
      </c>
      <c r="K450" t="s">
        <v>1244</v>
      </c>
      <c r="L450" t="s">
        <v>9</v>
      </c>
      <c r="M450" t="s">
        <v>1245</v>
      </c>
      <c r="N450" t="s">
        <v>3</v>
      </c>
      <c r="O450" t="s">
        <v>3</v>
      </c>
      <c r="P450" t="s">
        <v>5</v>
      </c>
      <c r="Q450" t="s">
        <v>1246</v>
      </c>
      <c r="R450" t="s">
        <v>3</v>
      </c>
      <c r="S450" t="s">
        <v>3</v>
      </c>
      <c r="T450" t="s">
        <v>3</v>
      </c>
      <c r="U450" t="s">
        <v>3</v>
      </c>
      <c r="V450" t="s">
        <v>3</v>
      </c>
      <c r="W450" t="s">
        <v>68</v>
      </c>
      <c r="X450" s="17">
        <v>43048</v>
      </c>
      <c r="Y450" t="s">
        <v>719</v>
      </c>
      <c r="Z450" s="17">
        <v>43041</v>
      </c>
      <c r="AA450" t="s">
        <v>3</v>
      </c>
      <c r="AB450" t="s">
        <v>1243</v>
      </c>
    </row>
    <row r="451" spans="1:28" hidden="1">
      <c r="A451" t="s">
        <v>716</v>
      </c>
      <c r="B451" s="17">
        <v>43044</v>
      </c>
      <c r="C451" s="17">
        <v>43044</v>
      </c>
      <c r="D451" t="s">
        <v>7</v>
      </c>
      <c r="E451" t="s">
        <v>1</v>
      </c>
      <c r="F451" s="18">
        <v>34293</v>
      </c>
      <c r="G451" s="18">
        <v>34293</v>
      </c>
      <c r="H451" t="s">
        <v>2</v>
      </c>
      <c r="I451" t="s">
        <v>10</v>
      </c>
      <c r="J451" s="18">
        <v>2791450.2</v>
      </c>
      <c r="K451" t="s">
        <v>717</v>
      </c>
      <c r="L451" t="s">
        <v>9</v>
      </c>
      <c r="M451" t="s">
        <v>718</v>
      </c>
      <c r="N451" t="s">
        <v>3</v>
      </c>
      <c r="O451" t="s">
        <v>3</v>
      </c>
      <c r="P451" t="s">
        <v>5</v>
      </c>
      <c r="Q451" t="s">
        <v>717</v>
      </c>
      <c r="R451" t="s">
        <v>3</v>
      </c>
      <c r="S451" t="s">
        <v>3</v>
      </c>
      <c r="T451" t="s">
        <v>3</v>
      </c>
      <c r="U451" t="s">
        <v>3</v>
      </c>
      <c r="V451" t="s">
        <v>3</v>
      </c>
      <c r="W451" t="s">
        <v>68</v>
      </c>
      <c r="X451" s="17">
        <v>43044</v>
      </c>
      <c r="Y451" t="s">
        <v>716</v>
      </c>
      <c r="Z451" s="17">
        <v>43044</v>
      </c>
      <c r="AA451" t="s">
        <v>3</v>
      </c>
      <c r="AB451" t="s">
        <v>716</v>
      </c>
    </row>
    <row r="452" spans="1:28" hidden="1">
      <c r="A452" t="s">
        <v>716</v>
      </c>
      <c r="B452" s="17">
        <v>43044</v>
      </c>
      <c r="C452" s="17">
        <v>43044</v>
      </c>
      <c r="D452" t="s">
        <v>7</v>
      </c>
      <c r="E452" t="s">
        <v>1</v>
      </c>
      <c r="F452" s="18">
        <v>-34293</v>
      </c>
      <c r="G452" s="18">
        <v>-34293</v>
      </c>
      <c r="H452" t="s">
        <v>2</v>
      </c>
      <c r="I452" t="s">
        <v>10</v>
      </c>
      <c r="J452" s="18">
        <v>-2791450.2</v>
      </c>
      <c r="K452" t="s">
        <v>717</v>
      </c>
      <c r="L452" t="s">
        <v>9</v>
      </c>
      <c r="M452" t="s">
        <v>718</v>
      </c>
      <c r="N452" t="s">
        <v>3</v>
      </c>
      <c r="O452" t="s">
        <v>3</v>
      </c>
      <c r="P452" t="s">
        <v>5</v>
      </c>
      <c r="Q452" t="s">
        <v>717</v>
      </c>
      <c r="R452" t="s">
        <v>3</v>
      </c>
      <c r="S452" t="s">
        <v>3</v>
      </c>
      <c r="T452" t="s">
        <v>3</v>
      </c>
      <c r="U452" t="s">
        <v>3</v>
      </c>
      <c r="V452" t="s">
        <v>3</v>
      </c>
      <c r="W452" t="s">
        <v>68</v>
      </c>
      <c r="X452" s="17">
        <v>43044</v>
      </c>
      <c r="Y452" t="s">
        <v>716</v>
      </c>
      <c r="Z452" s="17">
        <v>43044</v>
      </c>
      <c r="AA452" t="s">
        <v>3</v>
      </c>
      <c r="AB452" t="s">
        <v>716</v>
      </c>
    </row>
    <row r="453" spans="1:28" hidden="1">
      <c r="A453" t="s">
        <v>1247</v>
      </c>
      <c r="B453" s="17">
        <v>43044</v>
      </c>
      <c r="C453" s="17">
        <v>43044</v>
      </c>
      <c r="D453" t="s">
        <v>0</v>
      </c>
      <c r="E453" t="s">
        <v>1</v>
      </c>
      <c r="F453" s="18">
        <v>-358215</v>
      </c>
      <c r="G453" s="18">
        <v>-358215</v>
      </c>
      <c r="H453" t="s">
        <v>2</v>
      </c>
      <c r="I453" t="s">
        <v>8</v>
      </c>
      <c r="J453" s="18">
        <v>-29434526.550000001</v>
      </c>
      <c r="K453" t="s">
        <v>1248</v>
      </c>
      <c r="L453" t="s">
        <v>9</v>
      </c>
      <c r="M453" t="s">
        <v>1249</v>
      </c>
      <c r="N453" t="s">
        <v>3</v>
      </c>
      <c r="O453" t="s">
        <v>3</v>
      </c>
      <c r="P453" t="s">
        <v>5</v>
      </c>
      <c r="Q453" t="s">
        <v>1250</v>
      </c>
      <c r="R453" t="s">
        <v>3</v>
      </c>
      <c r="S453" t="s">
        <v>3</v>
      </c>
      <c r="T453" t="s">
        <v>3</v>
      </c>
      <c r="U453" t="s">
        <v>3</v>
      </c>
      <c r="V453" t="s">
        <v>3</v>
      </c>
      <c r="W453" t="s">
        <v>68</v>
      </c>
      <c r="X453" s="17">
        <v>43059</v>
      </c>
      <c r="Y453" t="s">
        <v>722</v>
      </c>
      <c r="Z453" s="17">
        <v>43044</v>
      </c>
      <c r="AA453" t="s">
        <v>3</v>
      </c>
      <c r="AB453" t="s">
        <v>1247</v>
      </c>
    </row>
    <row r="454" spans="1:28" hidden="1">
      <c r="A454" t="s">
        <v>1251</v>
      </c>
      <c r="B454" s="17">
        <v>43044</v>
      </c>
      <c r="C454" s="17">
        <v>43044</v>
      </c>
      <c r="D454" t="s">
        <v>0</v>
      </c>
      <c r="E454" t="s">
        <v>1</v>
      </c>
      <c r="F454" s="18">
        <v>14935</v>
      </c>
      <c r="G454" s="18">
        <v>14935</v>
      </c>
      <c r="H454" t="s">
        <v>2</v>
      </c>
      <c r="I454" t="s">
        <v>10</v>
      </c>
      <c r="J454" s="18">
        <v>1215709</v>
      </c>
      <c r="K454" t="s">
        <v>1252</v>
      </c>
      <c r="L454" t="s">
        <v>9</v>
      </c>
      <c r="M454" t="s">
        <v>1253</v>
      </c>
      <c r="N454" t="s">
        <v>3</v>
      </c>
      <c r="O454" t="s">
        <v>3</v>
      </c>
      <c r="P454" t="s">
        <v>5</v>
      </c>
      <c r="Q454" t="s">
        <v>1254</v>
      </c>
      <c r="R454" t="s">
        <v>3</v>
      </c>
      <c r="S454" t="s">
        <v>3</v>
      </c>
      <c r="T454" t="s">
        <v>3</v>
      </c>
      <c r="U454" t="s">
        <v>3</v>
      </c>
      <c r="V454" t="s">
        <v>3</v>
      </c>
      <c r="W454" t="s">
        <v>68</v>
      </c>
      <c r="X454" s="17">
        <v>43044</v>
      </c>
      <c r="Y454" t="s">
        <v>716</v>
      </c>
      <c r="Z454" s="17">
        <v>43044</v>
      </c>
      <c r="AA454" t="s">
        <v>3</v>
      </c>
      <c r="AB454" t="s">
        <v>1251</v>
      </c>
    </row>
    <row r="455" spans="1:28" hidden="1">
      <c r="A455" t="s">
        <v>1255</v>
      </c>
      <c r="B455" s="17">
        <v>43047</v>
      </c>
      <c r="C455" s="17">
        <v>43047</v>
      </c>
      <c r="D455" t="s">
        <v>0</v>
      </c>
      <c r="E455" t="s">
        <v>1</v>
      </c>
      <c r="F455" s="18">
        <v>18212</v>
      </c>
      <c r="G455" s="18">
        <v>18212</v>
      </c>
      <c r="H455" t="s">
        <v>2</v>
      </c>
      <c r="I455" t="s">
        <v>10</v>
      </c>
      <c r="J455" s="18">
        <v>1496480.04</v>
      </c>
      <c r="K455" t="s">
        <v>1256</v>
      </c>
      <c r="L455" t="s">
        <v>9</v>
      </c>
      <c r="M455" t="s">
        <v>1257</v>
      </c>
      <c r="N455" t="s">
        <v>3</v>
      </c>
      <c r="O455" t="s">
        <v>3</v>
      </c>
      <c r="P455" t="s">
        <v>5</v>
      </c>
      <c r="Q455" t="s">
        <v>1258</v>
      </c>
      <c r="R455" t="s">
        <v>3</v>
      </c>
      <c r="S455" t="s">
        <v>3</v>
      </c>
      <c r="T455" t="s">
        <v>3</v>
      </c>
      <c r="U455" t="s">
        <v>3</v>
      </c>
      <c r="V455" t="s">
        <v>3</v>
      </c>
      <c r="W455" t="s">
        <v>68</v>
      </c>
      <c r="X455" s="17">
        <v>43048</v>
      </c>
      <c r="Y455" t="s">
        <v>719</v>
      </c>
      <c r="Z455" s="17">
        <v>43047</v>
      </c>
      <c r="AA455" t="s">
        <v>3</v>
      </c>
      <c r="AB455" t="s">
        <v>1255</v>
      </c>
    </row>
    <row r="456" spans="1:28" hidden="1">
      <c r="A456" t="s">
        <v>719</v>
      </c>
      <c r="B456" s="17">
        <v>43048</v>
      </c>
      <c r="C456" s="17">
        <v>43048</v>
      </c>
      <c r="D456" t="s">
        <v>7</v>
      </c>
      <c r="E456" t="s">
        <v>1</v>
      </c>
      <c r="F456" s="18">
        <v>37248</v>
      </c>
      <c r="G456" s="18">
        <v>37248</v>
      </c>
      <c r="H456" t="s">
        <v>2</v>
      </c>
      <c r="I456" t="s">
        <v>10</v>
      </c>
      <c r="J456" s="18">
        <v>3060668.16</v>
      </c>
      <c r="K456" t="s">
        <v>720</v>
      </c>
      <c r="L456" t="s">
        <v>9</v>
      </c>
      <c r="M456" t="s">
        <v>721</v>
      </c>
      <c r="N456" t="s">
        <v>3</v>
      </c>
      <c r="O456" t="s">
        <v>3</v>
      </c>
      <c r="P456" t="s">
        <v>5</v>
      </c>
      <c r="Q456" t="s">
        <v>720</v>
      </c>
      <c r="R456" t="s">
        <v>3</v>
      </c>
      <c r="S456" t="s">
        <v>3</v>
      </c>
      <c r="T456" t="s">
        <v>3</v>
      </c>
      <c r="U456" t="s">
        <v>3</v>
      </c>
      <c r="V456" t="s">
        <v>3</v>
      </c>
      <c r="W456" t="s">
        <v>68</v>
      </c>
      <c r="X456" s="17">
        <v>43048</v>
      </c>
      <c r="Y456" t="s">
        <v>719</v>
      </c>
      <c r="Z456" s="17">
        <v>43048</v>
      </c>
      <c r="AA456" t="s">
        <v>3</v>
      </c>
      <c r="AB456" t="s">
        <v>719</v>
      </c>
    </row>
    <row r="457" spans="1:28" hidden="1">
      <c r="A457" t="s">
        <v>719</v>
      </c>
      <c r="B457" s="17">
        <v>43048</v>
      </c>
      <c r="C457" s="17">
        <v>43048</v>
      </c>
      <c r="D457" t="s">
        <v>7</v>
      </c>
      <c r="E457" t="s">
        <v>1</v>
      </c>
      <c r="F457" s="18">
        <v>-37248</v>
      </c>
      <c r="G457" s="18">
        <v>-37248</v>
      </c>
      <c r="H457" t="s">
        <v>2</v>
      </c>
      <c r="I457" t="s">
        <v>10</v>
      </c>
      <c r="J457" s="18">
        <v>-3060668.16</v>
      </c>
      <c r="K457" t="s">
        <v>720</v>
      </c>
      <c r="L457" t="s">
        <v>9</v>
      </c>
      <c r="M457" t="s">
        <v>721</v>
      </c>
      <c r="N457" t="s">
        <v>3</v>
      </c>
      <c r="O457" t="s">
        <v>3</v>
      </c>
      <c r="P457" t="s">
        <v>5</v>
      </c>
      <c r="Q457" t="s">
        <v>720</v>
      </c>
      <c r="R457" t="s">
        <v>3</v>
      </c>
      <c r="S457" t="s">
        <v>3</v>
      </c>
      <c r="T457" t="s">
        <v>3</v>
      </c>
      <c r="U457" t="s">
        <v>3</v>
      </c>
      <c r="V457" t="s">
        <v>3</v>
      </c>
      <c r="W457" t="s">
        <v>68</v>
      </c>
      <c r="X457" s="17">
        <v>43048</v>
      </c>
      <c r="Y457" t="s">
        <v>719</v>
      </c>
      <c r="Z457" s="17">
        <v>43048</v>
      </c>
      <c r="AA457" t="s">
        <v>3</v>
      </c>
      <c r="AB457" t="s">
        <v>719</v>
      </c>
    </row>
    <row r="458" spans="1:28" hidden="1">
      <c r="A458" t="s">
        <v>1259</v>
      </c>
      <c r="B458" s="17">
        <v>43048</v>
      </c>
      <c r="C458" s="17">
        <v>43048</v>
      </c>
      <c r="D458" t="s">
        <v>0</v>
      </c>
      <c r="E458" t="s">
        <v>1</v>
      </c>
      <c r="F458" s="18">
        <v>8205</v>
      </c>
      <c r="G458" s="18">
        <v>8205</v>
      </c>
      <c r="H458" t="s">
        <v>2</v>
      </c>
      <c r="I458" t="s">
        <v>8</v>
      </c>
      <c r="J458" s="18">
        <v>674204.85</v>
      </c>
      <c r="K458" t="s">
        <v>1260</v>
      </c>
      <c r="L458" t="s">
        <v>9</v>
      </c>
      <c r="M458" t="s">
        <v>1261</v>
      </c>
      <c r="N458" t="s">
        <v>3</v>
      </c>
      <c r="O458" t="s">
        <v>3</v>
      </c>
      <c r="P458" t="s">
        <v>5</v>
      </c>
      <c r="Q458" t="s">
        <v>1262</v>
      </c>
      <c r="R458" t="s">
        <v>3</v>
      </c>
      <c r="S458" t="s">
        <v>3</v>
      </c>
      <c r="T458" t="s">
        <v>3</v>
      </c>
      <c r="U458" t="s">
        <v>3</v>
      </c>
      <c r="V458" t="s">
        <v>3</v>
      </c>
      <c r="W458" t="s">
        <v>68</v>
      </c>
      <c r="X458" s="17">
        <v>43059</v>
      </c>
      <c r="Y458" t="s">
        <v>722</v>
      </c>
      <c r="Z458" s="17">
        <v>43048</v>
      </c>
      <c r="AA458" t="s">
        <v>3</v>
      </c>
      <c r="AB458" t="s">
        <v>1259</v>
      </c>
    </row>
    <row r="459" spans="1:28" hidden="1">
      <c r="A459" t="s">
        <v>1263</v>
      </c>
      <c r="B459" s="17">
        <v>43048</v>
      </c>
      <c r="C459" s="17">
        <v>43048</v>
      </c>
      <c r="D459" t="s">
        <v>0</v>
      </c>
      <c r="E459" t="s">
        <v>1</v>
      </c>
      <c r="F459" s="18">
        <v>93850</v>
      </c>
      <c r="G459" s="18">
        <v>93850</v>
      </c>
      <c r="H459" t="s">
        <v>2</v>
      </c>
      <c r="I459" t="s">
        <v>8</v>
      </c>
      <c r="J459" s="18">
        <v>7711654.5</v>
      </c>
      <c r="K459" t="s">
        <v>1260</v>
      </c>
      <c r="L459" t="s">
        <v>9</v>
      </c>
      <c r="M459" t="s">
        <v>1264</v>
      </c>
      <c r="N459" t="s">
        <v>3</v>
      </c>
      <c r="O459" t="s">
        <v>3</v>
      </c>
      <c r="P459" t="s">
        <v>5</v>
      </c>
      <c r="Q459" t="s">
        <v>1265</v>
      </c>
      <c r="R459" t="s">
        <v>3</v>
      </c>
      <c r="S459" t="s">
        <v>3</v>
      </c>
      <c r="T459" t="s">
        <v>3</v>
      </c>
      <c r="U459" t="s">
        <v>3</v>
      </c>
      <c r="V459" t="s">
        <v>3</v>
      </c>
      <c r="W459" t="s">
        <v>68</v>
      </c>
      <c r="X459" s="17">
        <v>43059</v>
      </c>
      <c r="Y459" t="s">
        <v>722</v>
      </c>
      <c r="Z459" s="17">
        <v>43048</v>
      </c>
      <c r="AA459" t="s">
        <v>3</v>
      </c>
      <c r="AB459" t="s">
        <v>1263</v>
      </c>
    </row>
    <row r="460" spans="1:28" hidden="1">
      <c r="A460" t="s">
        <v>1266</v>
      </c>
      <c r="B460" s="17">
        <v>43048</v>
      </c>
      <c r="C460" s="17">
        <v>43048</v>
      </c>
      <c r="D460" t="s">
        <v>0</v>
      </c>
      <c r="E460" t="s">
        <v>1</v>
      </c>
      <c r="F460" s="18">
        <v>19036</v>
      </c>
      <c r="G460" s="18">
        <v>19036</v>
      </c>
      <c r="H460" t="s">
        <v>2</v>
      </c>
      <c r="I460" t="s">
        <v>10</v>
      </c>
      <c r="J460" s="18">
        <v>1564188.12</v>
      </c>
      <c r="K460" t="s">
        <v>1256</v>
      </c>
      <c r="L460" t="s">
        <v>9</v>
      </c>
      <c r="M460" t="s">
        <v>1267</v>
      </c>
      <c r="N460" t="s">
        <v>3</v>
      </c>
      <c r="O460" t="s">
        <v>3</v>
      </c>
      <c r="P460" t="s">
        <v>5</v>
      </c>
      <c r="Q460" t="s">
        <v>1268</v>
      </c>
      <c r="R460" t="s">
        <v>3</v>
      </c>
      <c r="S460" t="s">
        <v>3</v>
      </c>
      <c r="T460" t="s">
        <v>3</v>
      </c>
      <c r="U460" t="s">
        <v>3</v>
      </c>
      <c r="V460" t="s">
        <v>3</v>
      </c>
      <c r="W460" t="s">
        <v>68</v>
      </c>
      <c r="X460" s="17">
        <v>43048</v>
      </c>
      <c r="Y460" t="s">
        <v>719</v>
      </c>
      <c r="Z460" s="17">
        <v>43048</v>
      </c>
      <c r="AA460" t="s">
        <v>3</v>
      </c>
      <c r="AB460" t="s">
        <v>1266</v>
      </c>
    </row>
    <row r="461" spans="1:28" hidden="1">
      <c r="A461" t="s">
        <v>1285</v>
      </c>
      <c r="B461" s="17">
        <v>43048</v>
      </c>
      <c r="C461" s="17">
        <v>43048</v>
      </c>
      <c r="D461" t="s">
        <v>0</v>
      </c>
      <c r="E461" t="s">
        <v>1</v>
      </c>
      <c r="F461" s="18">
        <v>60345</v>
      </c>
      <c r="G461" s="18">
        <v>60345</v>
      </c>
      <c r="H461" t="s">
        <v>2</v>
      </c>
      <c r="I461" t="s">
        <v>8</v>
      </c>
      <c r="J461" s="18">
        <v>4958548.6500000004</v>
      </c>
      <c r="K461" t="s">
        <v>1260</v>
      </c>
      <c r="L461" t="s">
        <v>9</v>
      </c>
      <c r="M461" t="s">
        <v>1286</v>
      </c>
      <c r="N461" t="s">
        <v>3</v>
      </c>
      <c r="O461" t="s">
        <v>3</v>
      </c>
      <c r="P461" t="s">
        <v>5</v>
      </c>
      <c r="Q461" t="s">
        <v>1287</v>
      </c>
      <c r="R461" t="s">
        <v>3</v>
      </c>
      <c r="S461" t="s">
        <v>3</v>
      </c>
      <c r="T461" t="s">
        <v>3</v>
      </c>
      <c r="U461" t="s">
        <v>3</v>
      </c>
      <c r="V461" t="s">
        <v>3</v>
      </c>
      <c r="W461" t="s">
        <v>68</v>
      </c>
      <c r="X461" s="17">
        <v>43059</v>
      </c>
      <c r="Y461" t="s">
        <v>722</v>
      </c>
      <c r="Z461" s="17">
        <v>43048</v>
      </c>
      <c r="AA461" t="s">
        <v>3</v>
      </c>
      <c r="AB461" t="s">
        <v>1285</v>
      </c>
    </row>
    <row r="462" spans="1:28" hidden="1">
      <c r="A462" t="s">
        <v>1269</v>
      </c>
      <c r="B462" s="17">
        <v>43052</v>
      </c>
      <c r="C462" s="17">
        <v>43052</v>
      </c>
      <c r="D462" t="s">
        <v>0</v>
      </c>
      <c r="E462" t="s">
        <v>1</v>
      </c>
      <c r="F462" s="18">
        <v>10762</v>
      </c>
      <c r="G462" s="18">
        <v>10762</v>
      </c>
      <c r="H462" t="s">
        <v>2</v>
      </c>
      <c r="I462" t="s">
        <v>8</v>
      </c>
      <c r="J462" s="18">
        <v>884313.54</v>
      </c>
      <c r="K462" t="s">
        <v>1260</v>
      </c>
      <c r="L462" t="s">
        <v>9</v>
      </c>
      <c r="M462" t="s">
        <v>1270</v>
      </c>
      <c r="N462" t="s">
        <v>3</v>
      </c>
      <c r="O462" t="s">
        <v>3</v>
      </c>
      <c r="P462" t="s">
        <v>5</v>
      </c>
      <c r="Q462" t="s">
        <v>1271</v>
      </c>
      <c r="R462" t="s">
        <v>3</v>
      </c>
      <c r="S462" t="s">
        <v>3</v>
      </c>
      <c r="T462" t="s">
        <v>3</v>
      </c>
      <c r="U462" t="s">
        <v>3</v>
      </c>
      <c r="V462" t="s">
        <v>3</v>
      </c>
      <c r="W462" t="s">
        <v>68</v>
      </c>
      <c r="X462" s="17">
        <v>43059</v>
      </c>
      <c r="Y462" t="s">
        <v>722</v>
      </c>
      <c r="Z462" s="17">
        <v>43052</v>
      </c>
      <c r="AA462" t="s">
        <v>3</v>
      </c>
      <c r="AB462" t="s">
        <v>1269</v>
      </c>
    </row>
    <row r="463" spans="1:28" hidden="1">
      <c r="A463" t="s">
        <v>1288</v>
      </c>
      <c r="B463" s="17">
        <v>43052</v>
      </c>
      <c r="C463" s="17">
        <v>43052</v>
      </c>
      <c r="D463" t="s">
        <v>0</v>
      </c>
      <c r="E463" t="s">
        <v>1</v>
      </c>
      <c r="F463" s="18">
        <v>116037</v>
      </c>
      <c r="G463" s="18">
        <v>116037</v>
      </c>
      <c r="H463" t="s">
        <v>2</v>
      </c>
      <c r="I463" t="s">
        <v>8</v>
      </c>
      <c r="J463" s="18">
        <v>9534760.2899999991</v>
      </c>
      <c r="K463" t="s">
        <v>1260</v>
      </c>
      <c r="L463" t="s">
        <v>9</v>
      </c>
      <c r="M463" t="s">
        <v>1289</v>
      </c>
      <c r="N463" t="s">
        <v>3</v>
      </c>
      <c r="O463" t="s">
        <v>3</v>
      </c>
      <c r="P463" t="s">
        <v>5</v>
      </c>
      <c r="Q463" t="s">
        <v>1290</v>
      </c>
      <c r="R463" t="s">
        <v>3</v>
      </c>
      <c r="S463" t="s">
        <v>3</v>
      </c>
      <c r="T463" t="s">
        <v>3</v>
      </c>
      <c r="U463" t="s">
        <v>3</v>
      </c>
      <c r="V463" t="s">
        <v>3</v>
      </c>
      <c r="W463" t="s">
        <v>68</v>
      </c>
      <c r="X463" s="17">
        <v>43059</v>
      </c>
      <c r="Y463" t="s">
        <v>722</v>
      </c>
      <c r="Z463" s="17">
        <v>43052</v>
      </c>
      <c r="AA463" t="s">
        <v>3</v>
      </c>
      <c r="AB463" t="s">
        <v>1288</v>
      </c>
    </row>
    <row r="464" spans="1:28" hidden="1">
      <c r="A464" t="s">
        <v>1279</v>
      </c>
      <c r="B464" s="17">
        <v>43054</v>
      </c>
      <c r="C464" s="17">
        <v>43054</v>
      </c>
      <c r="D464" t="s">
        <v>0</v>
      </c>
      <c r="E464" t="s">
        <v>1</v>
      </c>
      <c r="F464" s="18">
        <v>12824</v>
      </c>
      <c r="G464" s="18">
        <v>12824</v>
      </c>
      <c r="H464" t="s">
        <v>2</v>
      </c>
      <c r="I464" t="s">
        <v>8</v>
      </c>
      <c r="J464" s="18">
        <v>1053748.08</v>
      </c>
      <c r="K464" t="s">
        <v>1248</v>
      </c>
      <c r="L464" t="s">
        <v>9</v>
      </c>
      <c r="M464" t="s">
        <v>1280</v>
      </c>
      <c r="N464" t="s">
        <v>3</v>
      </c>
      <c r="O464" t="s">
        <v>3</v>
      </c>
      <c r="P464" t="s">
        <v>5</v>
      </c>
      <c r="Q464" t="s">
        <v>1281</v>
      </c>
      <c r="R464" t="s">
        <v>3</v>
      </c>
      <c r="S464" t="s">
        <v>3</v>
      </c>
      <c r="T464" t="s">
        <v>3</v>
      </c>
      <c r="U464" t="s">
        <v>3</v>
      </c>
      <c r="V464" t="s">
        <v>3</v>
      </c>
      <c r="W464" t="s">
        <v>68</v>
      </c>
      <c r="X464" s="17">
        <v>43059</v>
      </c>
      <c r="Y464" t="s">
        <v>722</v>
      </c>
      <c r="Z464" s="17">
        <v>43054</v>
      </c>
      <c r="AA464" t="s">
        <v>3</v>
      </c>
      <c r="AB464" t="s">
        <v>1279</v>
      </c>
    </row>
    <row r="465" spans="1:28" hidden="1">
      <c r="A465" t="s">
        <v>1282</v>
      </c>
      <c r="B465" s="17">
        <v>43055</v>
      </c>
      <c r="C465" s="17">
        <v>43055</v>
      </c>
      <c r="D465" t="s">
        <v>0</v>
      </c>
      <c r="E465" t="s">
        <v>1</v>
      </c>
      <c r="F465" s="18">
        <v>8553</v>
      </c>
      <c r="G465" s="18">
        <v>8553</v>
      </c>
      <c r="H465" t="s">
        <v>2</v>
      </c>
      <c r="I465" t="s">
        <v>8</v>
      </c>
      <c r="J465" s="18">
        <v>702800.01</v>
      </c>
      <c r="K465" t="s">
        <v>1248</v>
      </c>
      <c r="L465" t="s">
        <v>9</v>
      </c>
      <c r="M465" t="s">
        <v>1283</v>
      </c>
      <c r="N465" t="s">
        <v>3</v>
      </c>
      <c r="O465" t="s">
        <v>3</v>
      </c>
      <c r="P465" t="s">
        <v>5</v>
      </c>
      <c r="Q465" t="s">
        <v>1284</v>
      </c>
      <c r="R465" t="s">
        <v>3</v>
      </c>
      <c r="S465" t="s">
        <v>3</v>
      </c>
      <c r="T465" t="s">
        <v>3</v>
      </c>
      <c r="U465" t="s">
        <v>3</v>
      </c>
      <c r="V465" t="s">
        <v>3</v>
      </c>
      <c r="W465" t="s">
        <v>68</v>
      </c>
      <c r="X465" s="17">
        <v>43059</v>
      </c>
      <c r="Y465" t="s">
        <v>722</v>
      </c>
      <c r="Z465" s="17">
        <v>43055</v>
      </c>
      <c r="AA465" t="s">
        <v>3</v>
      </c>
      <c r="AB465" t="s">
        <v>1282</v>
      </c>
    </row>
    <row r="466" spans="1:28" hidden="1">
      <c r="A466" t="s">
        <v>722</v>
      </c>
      <c r="B466" s="17">
        <v>43059</v>
      </c>
      <c r="C466" s="17">
        <v>43059</v>
      </c>
      <c r="D466" t="s">
        <v>7</v>
      </c>
      <c r="E466" t="s">
        <v>1</v>
      </c>
      <c r="F466" s="18">
        <v>358215</v>
      </c>
      <c r="G466" s="18">
        <v>358215</v>
      </c>
      <c r="H466" t="s">
        <v>2</v>
      </c>
      <c r="I466" t="s">
        <v>8</v>
      </c>
      <c r="J466" s="18">
        <v>29434526.550000001</v>
      </c>
      <c r="K466" t="s">
        <v>723</v>
      </c>
      <c r="L466" t="s">
        <v>9</v>
      </c>
      <c r="M466" t="s">
        <v>724</v>
      </c>
      <c r="N466" t="s">
        <v>3</v>
      </c>
      <c r="O466" t="s">
        <v>3</v>
      </c>
      <c r="P466" t="s">
        <v>5</v>
      </c>
      <c r="Q466" t="s">
        <v>723</v>
      </c>
      <c r="R466" t="s">
        <v>3</v>
      </c>
      <c r="S466" t="s">
        <v>3</v>
      </c>
      <c r="T466" t="s">
        <v>3</v>
      </c>
      <c r="U466" t="s">
        <v>3</v>
      </c>
      <c r="V466" t="s">
        <v>3</v>
      </c>
      <c r="W466" t="s">
        <v>68</v>
      </c>
      <c r="X466" s="17">
        <v>43059</v>
      </c>
      <c r="Y466" t="s">
        <v>722</v>
      </c>
      <c r="Z466" s="17">
        <v>43059</v>
      </c>
      <c r="AA466" t="s">
        <v>3</v>
      </c>
      <c r="AB466" t="s">
        <v>722</v>
      </c>
    </row>
    <row r="467" spans="1:28" hidden="1">
      <c r="A467" t="s">
        <v>722</v>
      </c>
      <c r="B467" s="17">
        <v>43059</v>
      </c>
      <c r="C467" s="17">
        <v>43059</v>
      </c>
      <c r="D467" t="s">
        <v>7</v>
      </c>
      <c r="E467" t="s">
        <v>1</v>
      </c>
      <c r="F467" s="18">
        <v>-358215</v>
      </c>
      <c r="G467" s="18">
        <v>-358215</v>
      </c>
      <c r="H467" t="s">
        <v>2</v>
      </c>
      <c r="I467" t="s">
        <v>8</v>
      </c>
      <c r="J467" s="18">
        <v>-29434526.550000001</v>
      </c>
      <c r="K467" t="s">
        <v>723</v>
      </c>
      <c r="L467" t="s">
        <v>9</v>
      </c>
      <c r="M467" t="s">
        <v>724</v>
      </c>
      <c r="N467" t="s">
        <v>3</v>
      </c>
      <c r="O467" t="s">
        <v>3</v>
      </c>
      <c r="P467" t="s">
        <v>5</v>
      </c>
      <c r="Q467" t="s">
        <v>723</v>
      </c>
      <c r="R467" t="s">
        <v>3</v>
      </c>
      <c r="S467" t="s">
        <v>3</v>
      </c>
      <c r="T467" t="s">
        <v>3</v>
      </c>
      <c r="U467" t="s">
        <v>3</v>
      </c>
      <c r="V467" t="s">
        <v>3</v>
      </c>
      <c r="W467" t="s">
        <v>68</v>
      </c>
      <c r="X467" s="17">
        <v>43059</v>
      </c>
      <c r="Y467" t="s">
        <v>722</v>
      </c>
      <c r="Z467" s="17">
        <v>43059</v>
      </c>
      <c r="AA467" t="s">
        <v>3</v>
      </c>
      <c r="AB467" t="s">
        <v>722</v>
      </c>
    </row>
    <row r="468" spans="1:28" hidden="1">
      <c r="A468" t="s">
        <v>1272</v>
      </c>
      <c r="B468" s="17">
        <v>43059</v>
      </c>
      <c r="C468" s="17">
        <v>43059</v>
      </c>
      <c r="D468" t="s">
        <v>0</v>
      </c>
      <c r="E468" t="s">
        <v>1</v>
      </c>
      <c r="F468" s="18">
        <v>47639</v>
      </c>
      <c r="G468" s="18">
        <v>47639</v>
      </c>
      <c r="H468" t="s">
        <v>2</v>
      </c>
      <c r="I468" t="s">
        <v>8</v>
      </c>
      <c r="J468" s="18">
        <v>3914496.63</v>
      </c>
      <c r="K468" t="s">
        <v>1260</v>
      </c>
      <c r="L468" t="s">
        <v>9</v>
      </c>
      <c r="M468" t="s">
        <v>1273</v>
      </c>
      <c r="N468" t="s">
        <v>3</v>
      </c>
      <c r="O468" t="s">
        <v>3</v>
      </c>
      <c r="P468" t="s">
        <v>5</v>
      </c>
      <c r="Q468" t="s">
        <v>1274</v>
      </c>
      <c r="R468" t="s">
        <v>3</v>
      </c>
      <c r="S468" t="s">
        <v>3</v>
      </c>
      <c r="T468" t="s">
        <v>3</v>
      </c>
      <c r="U468" t="s">
        <v>3</v>
      </c>
      <c r="V468" t="s">
        <v>3</v>
      </c>
      <c r="W468" t="s">
        <v>68</v>
      </c>
      <c r="X468" s="17">
        <v>43059</v>
      </c>
      <c r="Y468" t="s">
        <v>722</v>
      </c>
      <c r="Z468" s="17">
        <v>43059</v>
      </c>
      <c r="AA468" t="s">
        <v>3</v>
      </c>
      <c r="AB468" t="s">
        <v>1272</v>
      </c>
    </row>
    <row r="469" spans="1:28" hidden="1">
      <c r="A469" t="s">
        <v>1275</v>
      </c>
      <c r="B469" s="17">
        <v>43061</v>
      </c>
      <c r="C469" s="17">
        <v>43061</v>
      </c>
      <c r="D469" t="s">
        <v>0</v>
      </c>
      <c r="E469" t="s">
        <v>1</v>
      </c>
      <c r="F469" s="18">
        <v>-112335</v>
      </c>
      <c r="G469" s="18">
        <v>-112335</v>
      </c>
      <c r="H469" t="s">
        <v>2</v>
      </c>
      <c r="I469" t="s">
        <v>10</v>
      </c>
      <c r="J469" s="18">
        <v>-9230566.9499999993</v>
      </c>
      <c r="K469" t="s">
        <v>1276</v>
      </c>
      <c r="L469" t="s">
        <v>9</v>
      </c>
      <c r="M469" t="s">
        <v>1277</v>
      </c>
      <c r="N469" t="s">
        <v>3</v>
      </c>
      <c r="O469" t="s">
        <v>3</v>
      </c>
      <c r="P469" t="s">
        <v>5</v>
      </c>
      <c r="Q469" t="s">
        <v>1278</v>
      </c>
      <c r="R469" t="s">
        <v>3</v>
      </c>
      <c r="S469" t="s">
        <v>3</v>
      </c>
      <c r="T469" t="s">
        <v>3</v>
      </c>
      <c r="U469" t="s">
        <v>3</v>
      </c>
      <c r="V469" t="s">
        <v>3</v>
      </c>
      <c r="W469" t="s">
        <v>68</v>
      </c>
      <c r="X469" s="17">
        <v>43072</v>
      </c>
      <c r="Y469" t="s">
        <v>728</v>
      </c>
      <c r="Z469" s="17">
        <v>43061</v>
      </c>
      <c r="AA469" t="s">
        <v>3</v>
      </c>
      <c r="AB469" t="s">
        <v>1275</v>
      </c>
    </row>
    <row r="470" spans="1:28" hidden="1">
      <c r="A470" t="s">
        <v>1291</v>
      </c>
      <c r="B470" s="17">
        <v>43067</v>
      </c>
      <c r="C470" s="17">
        <v>43067</v>
      </c>
      <c r="D470" t="s">
        <v>0</v>
      </c>
      <c r="E470" t="s">
        <v>1</v>
      </c>
      <c r="F470" s="18">
        <v>18776</v>
      </c>
      <c r="G470" s="18">
        <v>18776</v>
      </c>
      <c r="H470" t="s">
        <v>2</v>
      </c>
      <c r="I470" t="s">
        <v>10</v>
      </c>
      <c r="J470" s="18">
        <v>1542823.92</v>
      </c>
      <c r="K470" t="s">
        <v>1292</v>
      </c>
      <c r="L470" t="s">
        <v>9</v>
      </c>
      <c r="M470" t="s">
        <v>1293</v>
      </c>
      <c r="N470" t="s">
        <v>3</v>
      </c>
      <c r="O470" t="s">
        <v>3</v>
      </c>
      <c r="P470" t="s">
        <v>5</v>
      </c>
      <c r="Q470" t="s">
        <v>1294</v>
      </c>
      <c r="R470" t="s">
        <v>3</v>
      </c>
      <c r="S470" t="s">
        <v>3</v>
      </c>
      <c r="T470" t="s">
        <v>3</v>
      </c>
      <c r="U470" t="s">
        <v>3</v>
      </c>
      <c r="V470" t="s">
        <v>3</v>
      </c>
      <c r="W470" t="s">
        <v>68</v>
      </c>
      <c r="X470" s="17">
        <v>43072</v>
      </c>
      <c r="Y470" t="s">
        <v>728</v>
      </c>
      <c r="Z470" s="17">
        <v>43067</v>
      </c>
      <c r="AA470" t="s">
        <v>3</v>
      </c>
      <c r="AB470" t="s">
        <v>1291</v>
      </c>
    </row>
    <row r="471" spans="1:28" hidden="1">
      <c r="A471" t="s">
        <v>1295</v>
      </c>
      <c r="B471" s="17">
        <v>43067</v>
      </c>
      <c r="C471" s="17">
        <v>43067</v>
      </c>
      <c r="D471" t="s">
        <v>0</v>
      </c>
      <c r="E471" t="s">
        <v>1</v>
      </c>
      <c r="F471" s="18">
        <v>49476</v>
      </c>
      <c r="G471" s="18">
        <v>49476</v>
      </c>
      <c r="H471" t="s">
        <v>2</v>
      </c>
      <c r="I471" t="s">
        <v>10</v>
      </c>
      <c r="J471" s="18">
        <v>4065442.92</v>
      </c>
      <c r="K471" t="s">
        <v>1292</v>
      </c>
      <c r="L471" t="s">
        <v>9</v>
      </c>
      <c r="M471" t="s">
        <v>1296</v>
      </c>
      <c r="N471" t="s">
        <v>3</v>
      </c>
      <c r="O471" t="s">
        <v>3</v>
      </c>
      <c r="P471" t="s">
        <v>5</v>
      </c>
      <c r="Q471" t="s">
        <v>1297</v>
      </c>
      <c r="R471" t="s">
        <v>3</v>
      </c>
      <c r="S471" t="s">
        <v>3</v>
      </c>
      <c r="T471" t="s">
        <v>3</v>
      </c>
      <c r="U471" t="s">
        <v>3</v>
      </c>
      <c r="V471" t="s">
        <v>3</v>
      </c>
      <c r="W471" t="s">
        <v>68</v>
      </c>
      <c r="X471" s="17">
        <v>43072</v>
      </c>
      <c r="Y471" t="s">
        <v>728</v>
      </c>
      <c r="Z471" s="17">
        <v>43067</v>
      </c>
      <c r="AA471" t="s">
        <v>3</v>
      </c>
      <c r="AB471" t="s">
        <v>1295</v>
      </c>
    </row>
    <row r="472" spans="1:28" hidden="1">
      <c r="A472" t="s">
        <v>1298</v>
      </c>
      <c r="B472" s="17">
        <v>43068</v>
      </c>
      <c r="C472" s="17">
        <v>43068</v>
      </c>
      <c r="D472" t="s">
        <v>0</v>
      </c>
      <c r="E472" t="s">
        <v>1</v>
      </c>
      <c r="F472" s="18">
        <v>2429</v>
      </c>
      <c r="G472" s="18">
        <v>2429</v>
      </c>
      <c r="H472" t="s">
        <v>2</v>
      </c>
      <c r="I472" t="s">
        <v>10</v>
      </c>
      <c r="J472" s="18">
        <v>199590.93</v>
      </c>
      <c r="K472" t="s">
        <v>1292</v>
      </c>
      <c r="L472" t="s">
        <v>9</v>
      </c>
      <c r="M472" t="s">
        <v>1299</v>
      </c>
      <c r="N472" t="s">
        <v>3</v>
      </c>
      <c r="O472" t="s">
        <v>3</v>
      </c>
      <c r="P472" t="s">
        <v>5</v>
      </c>
      <c r="Q472" t="s">
        <v>1300</v>
      </c>
      <c r="R472" t="s">
        <v>3</v>
      </c>
      <c r="S472" t="s">
        <v>3</v>
      </c>
      <c r="T472" t="s">
        <v>3</v>
      </c>
      <c r="U472" t="s">
        <v>3</v>
      </c>
      <c r="V472" t="s">
        <v>3</v>
      </c>
      <c r="W472" t="s">
        <v>68</v>
      </c>
      <c r="X472" s="17">
        <v>43072</v>
      </c>
      <c r="Y472" t="s">
        <v>728</v>
      </c>
      <c r="Z472" s="17">
        <v>43068</v>
      </c>
      <c r="AA472" t="s">
        <v>3</v>
      </c>
      <c r="AB472" t="s">
        <v>1298</v>
      </c>
    </row>
    <row r="473" spans="1:28" hidden="1">
      <c r="A473" t="s">
        <v>1301</v>
      </c>
      <c r="B473" s="17">
        <v>43068</v>
      </c>
      <c r="C473" s="17">
        <v>43068</v>
      </c>
      <c r="D473" t="s">
        <v>0</v>
      </c>
      <c r="E473" t="s">
        <v>1</v>
      </c>
      <c r="F473" s="18">
        <v>-192273</v>
      </c>
      <c r="G473" s="18">
        <v>-192273</v>
      </c>
      <c r="H473" t="s">
        <v>2</v>
      </c>
      <c r="I473" t="s">
        <v>10</v>
      </c>
      <c r="J473" s="18">
        <v>-15799072.41</v>
      </c>
      <c r="K473" t="s">
        <v>1302</v>
      </c>
      <c r="L473" t="s">
        <v>9</v>
      </c>
      <c r="M473" t="s">
        <v>1303</v>
      </c>
      <c r="N473" t="s">
        <v>3</v>
      </c>
      <c r="O473" t="s">
        <v>3</v>
      </c>
      <c r="P473" t="s">
        <v>5</v>
      </c>
      <c r="Q473" t="s">
        <v>1304</v>
      </c>
      <c r="R473" t="s">
        <v>3</v>
      </c>
      <c r="S473" t="s">
        <v>3</v>
      </c>
      <c r="T473" t="s">
        <v>3</v>
      </c>
      <c r="U473" t="s">
        <v>3</v>
      </c>
      <c r="V473" t="s">
        <v>3</v>
      </c>
      <c r="W473" t="s">
        <v>68</v>
      </c>
      <c r="X473" s="17">
        <v>43082</v>
      </c>
      <c r="Y473" t="s">
        <v>731</v>
      </c>
      <c r="Z473" s="17">
        <v>43068</v>
      </c>
      <c r="AA473" t="s">
        <v>3</v>
      </c>
      <c r="AB473" t="s">
        <v>1301</v>
      </c>
    </row>
    <row r="474" spans="1:28" hidden="1">
      <c r="A474" t="s">
        <v>1342</v>
      </c>
      <c r="B474" s="17">
        <v>43069</v>
      </c>
      <c r="C474" s="17">
        <v>43069</v>
      </c>
      <c r="D474" t="s">
        <v>0</v>
      </c>
      <c r="E474" t="s">
        <v>1</v>
      </c>
      <c r="F474" s="18">
        <v>41654</v>
      </c>
      <c r="G474" s="18">
        <v>41654</v>
      </c>
      <c r="H474" t="s">
        <v>2</v>
      </c>
      <c r="I474" t="s">
        <v>8</v>
      </c>
      <c r="J474" s="18">
        <v>3413545.3</v>
      </c>
      <c r="K474" t="s">
        <v>611</v>
      </c>
      <c r="L474" t="s">
        <v>9</v>
      </c>
      <c r="M474" t="s">
        <v>612</v>
      </c>
      <c r="N474" t="s">
        <v>3</v>
      </c>
      <c r="O474" t="s">
        <v>3</v>
      </c>
      <c r="P474" t="s">
        <v>5</v>
      </c>
      <c r="Q474" t="s">
        <v>611</v>
      </c>
      <c r="R474" t="s">
        <v>3</v>
      </c>
      <c r="S474" t="s">
        <v>3</v>
      </c>
      <c r="T474" t="s">
        <v>3</v>
      </c>
      <c r="U474" t="s">
        <v>3</v>
      </c>
      <c r="V474" t="s">
        <v>3</v>
      </c>
      <c r="W474" t="s">
        <v>68</v>
      </c>
      <c r="X474" s="17">
        <v>43070</v>
      </c>
      <c r="Y474" t="s">
        <v>610</v>
      </c>
      <c r="Z474" s="17">
        <v>43069</v>
      </c>
      <c r="AA474" t="s">
        <v>3</v>
      </c>
      <c r="AB474" t="s">
        <v>1342</v>
      </c>
    </row>
    <row r="475" spans="1:28" hidden="1">
      <c r="A475" t="s">
        <v>610</v>
      </c>
      <c r="B475" s="17">
        <v>43070</v>
      </c>
      <c r="C475" s="17">
        <v>43069</v>
      </c>
      <c r="D475" t="s">
        <v>38</v>
      </c>
      <c r="E475" t="s">
        <v>1</v>
      </c>
      <c r="F475" s="18">
        <v>-41654</v>
      </c>
      <c r="G475" s="18">
        <v>-41654</v>
      </c>
      <c r="H475" t="s">
        <v>2</v>
      </c>
      <c r="I475" t="s">
        <v>8</v>
      </c>
      <c r="J475" s="18">
        <v>-3413545.3</v>
      </c>
      <c r="K475" t="s">
        <v>611</v>
      </c>
      <c r="L475" t="s">
        <v>9</v>
      </c>
      <c r="M475" t="s">
        <v>612</v>
      </c>
      <c r="N475" t="s">
        <v>3</v>
      </c>
      <c r="O475" t="s">
        <v>3</v>
      </c>
      <c r="P475" t="s">
        <v>5</v>
      </c>
      <c r="Q475" t="s">
        <v>611</v>
      </c>
      <c r="R475" t="s">
        <v>3</v>
      </c>
      <c r="S475" t="s">
        <v>3</v>
      </c>
      <c r="T475" t="s">
        <v>3</v>
      </c>
      <c r="U475" t="s">
        <v>3</v>
      </c>
      <c r="V475" t="s">
        <v>3</v>
      </c>
      <c r="W475" t="s">
        <v>68</v>
      </c>
      <c r="X475" s="17">
        <v>43070</v>
      </c>
      <c r="Y475" t="s">
        <v>610</v>
      </c>
      <c r="Z475" s="17">
        <v>43069</v>
      </c>
      <c r="AA475" t="s">
        <v>3</v>
      </c>
      <c r="AB475" t="s">
        <v>610</v>
      </c>
    </row>
    <row r="476" spans="1:28" hidden="1">
      <c r="A476" t="s">
        <v>728</v>
      </c>
      <c r="B476" s="17">
        <v>43072</v>
      </c>
      <c r="C476" s="17">
        <v>43072</v>
      </c>
      <c r="D476" t="s">
        <v>7</v>
      </c>
      <c r="E476" t="s">
        <v>1</v>
      </c>
      <c r="F476" s="18">
        <v>-2</v>
      </c>
      <c r="G476" s="18">
        <v>-2</v>
      </c>
      <c r="H476" t="s">
        <v>2</v>
      </c>
      <c r="I476" t="s">
        <v>10</v>
      </c>
      <c r="J476" s="18">
        <v>-164.34</v>
      </c>
      <c r="K476" t="s">
        <v>729</v>
      </c>
      <c r="L476" t="s">
        <v>9</v>
      </c>
      <c r="M476" t="s">
        <v>730</v>
      </c>
      <c r="N476" t="s">
        <v>3</v>
      </c>
      <c r="O476" t="s">
        <v>3</v>
      </c>
      <c r="P476" t="s">
        <v>5</v>
      </c>
      <c r="Q476" t="s">
        <v>729</v>
      </c>
      <c r="R476" t="s">
        <v>3</v>
      </c>
      <c r="S476" t="s">
        <v>3</v>
      </c>
      <c r="T476" t="s">
        <v>3</v>
      </c>
      <c r="U476" t="s">
        <v>3</v>
      </c>
      <c r="V476" t="s">
        <v>3</v>
      </c>
      <c r="W476" t="s">
        <v>68</v>
      </c>
      <c r="X476" s="17">
        <v>43072</v>
      </c>
      <c r="Y476" t="s">
        <v>728</v>
      </c>
      <c r="Z476" s="17">
        <v>43072</v>
      </c>
      <c r="AA476" t="s">
        <v>3</v>
      </c>
      <c r="AB476" t="s">
        <v>728</v>
      </c>
    </row>
    <row r="477" spans="1:28" hidden="1">
      <c r="A477" t="s">
        <v>1305</v>
      </c>
      <c r="B477" s="17">
        <v>43072</v>
      </c>
      <c r="C477" s="17">
        <v>43072</v>
      </c>
      <c r="D477" t="s">
        <v>0</v>
      </c>
      <c r="E477" t="s">
        <v>1</v>
      </c>
      <c r="F477" s="18">
        <v>28390</v>
      </c>
      <c r="G477" s="18">
        <v>28390</v>
      </c>
      <c r="H477" t="s">
        <v>2</v>
      </c>
      <c r="I477" t="s">
        <v>10</v>
      </c>
      <c r="J477" s="18">
        <v>2332806.2999999998</v>
      </c>
      <c r="K477" t="s">
        <v>1292</v>
      </c>
      <c r="L477" t="s">
        <v>9</v>
      </c>
      <c r="M477" t="s">
        <v>1306</v>
      </c>
      <c r="N477" t="s">
        <v>3</v>
      </c>
      <c r="O477" t="s">
        <v>3</v>
      </c>
      <c r="P477" t="s">
        <v>5</v>
      </c>
      <c r="Q477" t="s">
        <v>1307</v>
      </c>
      <c r="R477" t="s">
        <v>3</v>
      </c>
      <c r="S477" t="s">
        <v>3</v>
      </c>
      <c r="T477" t="s">
        <v>3</v>
      </c>
      <c r="U477" t="s">
        <v>3</v>
      </c>
      <c r="V477" t="s">
        <v>3</v>
      </c>
      <c r="W477" t="s">
        <v>68</v>
      </c>
      <c r="X477" s="17">
        <v>43072</v>
      </c>
      <c r="Y477" t="s">
        <v>728</v>
      </c>
      <c r="Z477" s="17">
        <v>43072</v>
      </c>
      <c r="AA477" t="s">
        <v>3</v>
      </c>
      <c r="AB477" t="s">
        <v>1305</v>
      </c>
    </row>
    <row r="478" spans="1:28" hidden="1">
      <c r="A478" t="s">
        <v>1319</v>
      </c>
      <c r="B478" s="17">
        <v>43072</v>
      </c>
      <c r="C478" s="17">
        <v>43072</v>
      </c>
      <c r="D478" t="s">
        <v>0</v>
      </c>
      <c r="E478" t="s">
        <v>1</v>
      </c>
      <c r="F478" s="18">
        <v>13266</v>
      </c>
      <c r="G478" s="18">
        <v>13266</v>
      </c>
      <c r="H478" t="s">
        <v>2</v>
      </c>
      <c r="I478" t="s">
        <v>10</v>
      </c>
      <c r="J478" s="18">
        <v>1090067.22</v>
      </c>
      <c r="K478" t="s">
        <v>1292</v>
      </c>
      <c r="L478" t="s">
        <v>9</v>
      </c>
      <c r="M478" t="s">
        <v>1320</v>
      </c>
      <c r="N478" t="s">
        <v>3</v>
      </c>
      <c r="O478" t="s">
        <v>3</v>
      </c>
      <c r="P478" t="s">
        <v>5</v>
      </c>
      <c r="Q478" t="s">
        <v>1321</v>
      </c>
      <c r="R478" t="s">
        <v>3</v>
      </c>
      <c r="S478" t="s">
        <v>3</v>
      </c>
      <c r="T478" t="s">
        <v>3</v>
      </c>
      <c r="U478" t="s">
        <v>3</v>
      </c>
      <c r="V478" t="s">
        <v>3</v>
      </c>
      <c r="W478" t="s">
        <v>68</v>
      </c>
      <c r="X478" s="17">
        <v>43072</v>
      </c>
      <c r="Y478" t="s">
        <v>728</v>
      </c>
      <c r="Z478" s="17">
        <v>43072</v>
      </c>
      <c r="AA478" t="s">
        <v>3</v>
      </c>
      <c r="AB478" t="s">
        <v>1319</v>
      </c>
    </row>
    <row r="479" spans="1:28" hidden="1">
      <c r="A479" t="s">
        <v>1308</v>
      </c>
      <c r="B479" s="17">
        <v>43074</v>
      </c>
      <c r="C479" s="17">
        <v>43074</v>
      </c>
      <c r="D479" t="s">
        <v>0</v>
      </c>
      <c r="E479" t="s">
        <v>1</v>
      </c>
      <c r="F479" s="18">
        <v>-621713</v>
      </c>
      <c r="G479" s="18">
        <v>-621713</v>
      </c>
      <c r="H479" t="s">
        <v>2</v>
      </c>
      <c r="I479" t="s">
        <v>8</v>
      </c>
      <c r="J479" s="18">
        <v>-50949380.350000001</v>
      </c>
      <c r="K479" t="s">
        <v>1309</v>
      </c>
      <c r="L479" t="s">
        <v>9</v>
      </c>
      <c r="M479" t="s">
        <v>1310</v>
      </c>
      <c r="N479" t="s">
        <v>3</v>
      </c>
      <c r="O479" t="s">
        <v>3</v>
      </c>
      <c r="P479" t="s">
        <v>5</v>
      </c>
      <c r="Q479" t="s">
        <v>1311</v>
      </c>
      <c r="R479" t="s">
        <v>3</v>
      </c>
      <c r="S479" t="s">
        <v>3</v>
      </c>
      <c r="T479" t="s">
        <v>3</v>
      </c>
      <c r="U479" t="s">
        <v>3</v>
      </c>
      <c r="V479" t="s">
        <v>3</v>
      </c>
      <c r="W479" t="s">
        <v>68</v>
      </c>
      <c r="X479" s="17">
        <v>43090</v>
      </c>
      <c r="Y479" t="s">
        <v>725</v>
      </c>
      <c r="Z479" s="17">
        <v>43074</v>
      </c>
      <c r="AA479" t="s">
        <v>3</v>
      </c>
      <c r="AB479" t="s">
        <v>1308</v>
      </c>
    </row>
    <row r="480" spans="1:28" hidden="1">
      <c r="A480" t="s">
        <v>1312</v>
      </c>
      <c r="B480" s="17">
        <v>43075</v>
      </c>
      <c r="C480" s="17">
        <v>43075</v>
      </c>
      <c r="D480" t="s">
        <v>0</v>
      </c>
      <c r="E480" t="s">
        <v>1</v>
      </c>
      <c r="F480" s="18">
        <v>24094</v>
      </c>
      <c r="G480" s="18">
        <v>24094</v>
      </c>
      <c r="H480" t="s">
        <v>2</v>
      </c>
      <c r="I480" t="s">
        <v>10</v>
      </c>
      <c r="J480" s="18">
        <v>1979803.98</v>
      </c>
      <c r="K480" t="s">
        <v>1313</v>
      </c>
      <c r="L480" t="s">
        <v>9</v>
      </c>
      <c r="M480" t="s">
        <v>1314</v>
      </c>
      <c r="N480" t="s">
        <v>3</v>
      </c>
      <c r="O480" t="s">
        <v>3</v>
      </c>
      <c r="P480" t="s">
        <v>5</v>
      </c>
      <c r="Q480" t="s">
        <v>1315</v>
      </c>
      <c r="R480" t="s">
        <v>3</v>
      </c>
      <c r="S480" t="s">
        <v>3</v>
      </c>
      <c r="T480" t="s">
        <v>3</v>
      </c>
      <c r="U480" t="s">
        <v>3</v>
      </c>
      <c r="V480" t="s">
        <v>3</v>
      </c>
      <c r="W480" t="s">
        <v>68</v>
      </c>
      <c r="X480" s="17">
        <v>43082</v>
      </c>
      <c r="Y480" t="s">
        <v>731</v>
      </c>
      <c r="Z480" s="17">
        <v>43075</v>
      </c>
      <c r="AA480" t="s">
        <v>3</v>
      </c>
      <c r="AB480" t="s">
        <v>1312</v>
      </c>
    </row>
    <row r="481" spans="1:28" hidden="1">
      <c r="A481" t="s">
        <v>1316</v>
      </c>
      <c r="B481" s="17">
        <v>43075</v>
      </c>
      <c r="C481" s="17">
        <v>43075</v>
      </c>
      <c r="D481" t="s">
        <v>0</v>
      </c>
      <c r="E481" t="s">
        <v>1</v>
      </c>
      <c r="F481" s="18">
        <v>7508</v>
      </c>
      <c r="G481" s="18">
        <v>7508</v>
      </c>
      <c r="H481" t="s">
        <v>2</v>
      </c>
      <c r="I481" t="s">
        <v>10</v>
      </c>
      <c r="J481" s="18">
        <v>616932.36</v>
      </c>
      <c r="K481" t="s">
        <v>1313</v>
      </c>
      <c r="L481" t="s">
        <v>9</v>
      </c>
      <c r="M481" t="s">
        <v>1317</v>
      </c>
      <c r="N481" t="s">
        <v>3</v>
      </c>
      <c r="O481" t="s">
        <v>3</v>
      </c>
      <c r="P481" t="s">
        <v>5</v>
      </c>
      <c r="Q481" t="s">
        <v>1318</v>
      </c>
      <c r="R481" t="s">
        <v>3</v>
      </c>
      <c r="S481" t="s">
        <v>3</v>
      </c>
      <c r="T481" t="s">
        <v>3</v>
      </c>
      <c r="U481" t="s">
        <v>3</v>
      </c>
      <c r="V481" t="s">
        <v>3</v>
      </c>
      <c r="W481" t="s">
        <v>68</v>
      </c>
      <c r="X481" s="17">
        <v>43082</v>
      </c>
      <c r="Y481" t="s">
        <v>731</v>
      </c>
      <c r="Z481" s="17">
        <v>43075</v>
      </c>
      <c r="AA481" t="s">
        <v>3</v>
      </c>
      <c r="AB481" t="s">
        <v>1316</v>
      </c>
    </row>
    <row r="482" spans="1:28" hidden="1">
      <c r="A482" t="s">
        <v>1322</v>
      </c>
      <c r="B482" s="17">
        <v>43080</v>
      </c>
      <c r="C482" s="17">
        <v>43080</v>
      </c>
      <c r="D482" t="s">
        <v>0</v>
      </c>
      <c r="E482" t="s">
        <v>1</v>
      </c>
      <c r="F482" s="18">
        <v>52051</v>
      </c>
      <c r="G482" s="18">
        <v>52051</v>
      </c>
      <c r="H482" t="s">
        <v>2</v>
      </c>
      <c r="I482" t="s">
        <v>8</v>
      </c>
      <c r="J482" s="18">
        <v>4265579.45</v>
      </c>
      <c r="K482" t="s">
        <v>1323</v>
      </c>
      <c r="L482" t="s">
        <v>9</v>
      </c>
      <c r="M482" t="s">
        <v>1324</v>
      </c>
      <c r="N482" t="s">
        <v>3</v>
      </c>
      <c r="O482" t="s">
        <v>3</v>
      </c>
      <c r="P482" t="s">
        <v>5</v>
      </c>
      <c r="Q482" t="s">
        <v>1325</v>
      </c>
      <c r="R482" t="s">
        <v>3</v>
      </c>
      <c r="S482" t="s">
        <v>3</v>
      </c>
      <c r="T482" t="s">
        <v>3</v>
      </c>
      <c r="U482" t="s">
        <v>3</v>
      </c>
      <c r="V482" t="s">
        <v>3</v>
      </c>
      <c r="W482" t="s">
        <v>68</v>
      </c>
      <c r="X482" s="17">
        <v>43090</v>
      </c>
      <c r="Y482" t="s">
        <v>725</v>
      </c>
      <c r="Z482" s="17">
        <v>43080</v>
      </c>
      <c r="AA482" t="s">
        <v>3</v>
      </c>
      <c r="AB482" t="s">
        <v>1322</v>
      </c>
    </row>
    <row r="483" spans="1:28" hidden="1">
      <c r="A483" t="s">
        <v>1326</v>
      </c>
      <c r="B483" s="17">
        <v>43081</v>
      </c>
      <c r="C483" s="17">
        <v>43081</v>
      </c>
      <c r="D483" t="s">
        <v>0</v>
      </c>
      <c r="E483" t="s">
        <v>1</v>
      </c>
      <c r="F483" s="18">
        <v>25177</v>
      </c>
      <c r="G483" s="18">
        <v>25177</v>
      </c>
      <c r="H483" t="s">
        <v>2</v>
      </c>
      <c r="I483" t="s">
        <v>8</v>
      </c>
      <c r="J483" s="18">
        <v>2063255.15</v>
      </c>
      <c r="K483" t="s">
        <v>1323</v>
      </c>
      <c r="L483" t="s">
        <v>9</v>
      </c>
      <c r="M483" t="s">
        <v>1327</v>
      </c>
      <c r="N483" t="s">
        <v>3</v>
      </c>
      <c r="O483" t="s">
        <v>3</v>
      </c>
      <c r="P483" t="s">
        <v>5</v>
      </c>
      <c r="Q483" t="s">
        <v>1328</v>
      </c>
      <c r="R483" t="s">
        <v>3</v>
      </c>
      <c r="S483" t="s">
        <v>3</v>
      </c>
      <c r="T483" t="s">
        <v>3</v>
      </c>
      <c r="U483" t="s">
        <v>3</v>
      </c>
      <c r="V483" t="s">
        <v>3</v>
      </c>
      <c r="W483" t="s">
        <v>68</v>
      </c>
      <c r="X483" s="17">
        <v>43090</v>
      </c>
      <c r="Y483" t="s">
        <v>725</v>
      </c>
      <c r="Z483" s="17">
        <v>43081</v>
      </c>
      <c r="AA483" t="s">
        <v>3</v>
      </c>
      <c r="AB483" t="s">
        <v>1326</v>
      </c>
    </row>
    <row r="484" spans="1:28" hidden="1">
      <c r="A484" t="s">
        <v>1329</v>
      </c>
      <c r="B484" s="17">
        <v>43081</v>
      </c>
      <c r="C484" s="17">
        <v>43081</v>
      </c>
      <c r="D484" t="s">
        <v>0</v>
      </c>
      <c r="E484" t="s">
        <v>1</v>
      </c>
      <c r="F484" s="18">
        <v>82971</v>
      </c>
      <c r="G484" s="18">
        <v>82971</v>
      </c>
      <c r="H484" t="s">
        <v>2</v>
      </c>
      <c r="I484" t="s">
        <v>10</v>
      </c>
      <c r="J484" s="18">
        <v>6817727.0700000003</v>
      </c>
      <c r="K484" t="s">
        <v>1313</v>
      </c>
      <c r="L484" t="s">
        <v>9</v>
      </c>
      <c r="M484" t="s">
        <v>1330</v>
      </c>
      <c r="N484" t="s">
        <v>3</v>
      </c>
      <c r="O484" t="s">
        <v>3</v>
      </c>
      <c r="P484" t="s">
        <v>5</v>
      </c>
      <c r="Q484" t="s">
        <v>1331</v>
      </c>
      <c r="R484" t="s">
        <v>3</v>
      </c>
      <c r="S484" t="s">
        <v>3</v>
      </c>
      <c r="T484" t="s">
        <v>3</v>
      </c>
      <c r="U484" t="s">
        <v>3</v>
      </c>
      <c r="V484" t="s">
        <v>3</v>
      </c>
      <c r="W484" t="s">
        <v>68</v>
      </c>
      <c r="X484" s="17">
        <v>43082</v>
      </c>
      <c r="Y484" t="s">
        <v>731</v>
      </c>
      <c r="Z484" s="17">
        <v>43081</v>
      </c>
      <c r="AA484" t="s">
        <v>3</v>
      </c>
      <c r="AB484" t="s">
        <v>1329</v>
      </c>
    </row>
    <row r="485" spans="1:28" hidden="1">
      <c r="A485" t="s">
        <v>731</v>
      </c>
      <c r="B485" s="17">
        <v>43082</v>
      </c>
      <c r="C485" s="17">
        <v>43082</v>
      </c>
      <c r="D485" t="s">
        <v>7</v>
      </c>
      <c r="E485" t="s">
        <v>1</v>
      </c>
      <c r="F485" s="18">
        <v>-1</v>
      </c>
      <c r="G485" s="18">
        <v>-1</v>
      </c>
      <c r="H485" t="s">
        <v>2</v>
      </c>
      <c r="I485" t="s">
        <v>10</v>
      </c>
      <c r="J485" s="18">
        <v>-82.17</v>
      </c>
      <c r="K485" t="s">
        <v>3</v>
      </c>
      <c r="L485" t="s">
        <v>9</v>
      </c>
      <c r="M485" t="s">
        <v>732</v>
      </c>
      <c r="N485" t="s">
        <v>3</v>
      </c>
      <c r="O485" t="s">
        <v>3</v>
      </c>
      <c r="P485" t="s">
        <v>5</v>
      </c>
      <c r="Q485" t="s">
        <v>733</v>
      </c>
      <c r="R485" t="s">
        <v>3</v>
      </c>
      <c r="S485" t="s">
        <v>3</v>
      </c>
      <c r="T485" t="s">
        <v>3</v>
      </c>
      <c r="U485" t="s">
        <v>3</v>
      </c>
      <c r="V485" t="s">
        <v>3</v>
      </c>
      <c r="W485" t="s">
        <v>68</v>
      </c>
      <c r="X485" s="17">
        <v>43082</v>
      </c>
      <c r="Y485" t="s">
        <v>731</v>
      </c>
      <c r="Z485" s="17">
        <v>43082</v>
      </c>
      <c r="AA485" t="s">
        <v>3</v>
      </c>
      <c r="AB485" t="s">
        <v>731</v>
      </c>
    </row>
    <row r="486" spans="1:28" hidden="1">
      <c r="A486" t="s">
        <v>1332</v>
      </c>
      <c r="B486" s="17">
        <v>43082</v>
      </c>
      <c r="C486" s="17">
        <v>43082</v>
      </c>
      <c r="D486" t="s">
        <v>0</v>
      </c>
      <c r="E486" t="s">
        <v>1</v>
      </c>
      <c r="F486" s="18">
        <v>-407981</v>
      </c>
      <c r="G486" s="18">
        <v>-407981</v>
      </c>
      <c r="H486" t="s">
        <v>2</v>
      </c>
      <c r="I486" t="s">
        <v>8</v>
      </c>
      <c r="J486" s="18">
        <v>-33434042.949999999</v>
      </c>
      <c r="K486" t="s">
        <v>1333</v>
      </c>
      <c r="L486" t="s">
        <v>9</v>
      </c>
      <c r="M486" t="s">
        <v>1334</v>
      </c>
      <c r="N486" t="s">
        <v>3</v>
      </c>
      <c r="O486" t="s">
        <v>3</v>
      </c>
      <c r="P486" t="s">
        <v>5</v>
      </c>
      <c r="Q486" t="s">
        <v>1335</v>
      </c>
      <c r="R486" t="s">
        <v>3</v>
      </c>
      <c r="S486" t="s">
        <v>3</v>
      </c>
      <c r="T486" t="s">
        <v>3</v>
      </c>
      <c r="U486" t="s">
        <v>3</v>
      </c>
      <c r="V486" t="s">
        <v>3</v>
      </c>
      <c r="W486" t="s">
        <v>68</v>
      </c>
      <c r="X486" s="17">
        <v>43159</v>
      </c>
      <c r="Y486" t="s">
        <v>761</v>
      </c>
      <c r="Z486" s="17">
        <v>43082</v>
      </c>
      <c r="AA486" t="s">
        <v>3</v>
      </c>
      <c r="AB486" t="s">
        <v>1332</v>
      </c>
    </row>
    <row r="487" spans="1:28" hidden="1">
      <c r="A487" t="s">
        <v>1336</v>
      </c>
      <c r="B487" s="17">
        <v>43082</v>
      </c>
      <c r="C487" s="17">
        <v>43082</v>
      </c>
      <c r="D487" t="s">
        <v>0</v>
      </c>
      <c r="E487" t="s">
        <v>1</v>
      </c>
      <c r="F487" s="18">
        <v>47617</v>
      </c>
      <c r="G487" s="18">
        <v>47617</v>
      </c>
      <c r="H487" t="s">
        <v>2</v>
      </c>
      <c r="I487" t="s">
        <v>10</v>
      </c>
      <c r="J487" s="18">
        <v>3912688.89</v>
      </c>
      <c r="K487" t="s">
        <v>1313</v>
      </c>
      <c r="L487" t="s">
        <v>9</v>
      </c>
      <c r="M487" t="s">
        <v>1337</v>
      </c>
      <c r="N487" t="s">
        <v>3</v>
      </c>
      <c r="O487" t="s">
        <v>3</v>
      </c>
      <c r="P487" t="s">
        <v>5</v>
      </c>
      <c r="Q487" t="s">
        <v>1338</v>
      </c>
      <c r="R487" t="s">
        <v>3</v>
      </c>
      <c r="S487" t="s">
        <v>3</v>
      </c>
      <c r="T487" t="s">
        <v>3</v>
      </c>
      <c r="U487" t="s">
        <v>3</v>
      </c>
      <c r="V487" t="s">
        <v>3</v>
      </c>
      <c r="W487" t="s">
        <v>68</v>
      </c>
      <c r="X487" s="17">
        <v>43082</v>
      </c>
      <c r="Y487" t="s">
        <v>731</v>
      </c>
      <c r="Z487" s="17">
        <v>43082</v>
      </c>
      <c r="AA487" t="s">
        <v>3</v>
      </c>
      <c r="AB487" t="s">
        <v>1336</v>
      </c>
    </row>
    <row r="488" spans="1:28" hidden="1">
      <c r="A488" t="s">
        <v>1339</v>
      </c>
      <c r="B488" s="17">
        <v>43082</v>
      </c>
      <c r="C488" s="17">
        <v>43082</v>
      </c>
      <c r="D488" t="s">
        <v>0</v>
      </c>
      <c r="E488" t="s">
        <v>1</v>
      </c>
      <c r="F488" s="18">
        <v>30084</v>
      </c>
      <c r="G488" s="18">
        <v>30084</v>
      </c>
      <c r="H488" t="s">
        <v>2</v>
      </c>
      <c r="I488" t="s">
        <v>10</v>
      </c>
      <c r="J488" s="18">
        <v>2472002.2799999998</v>
      </c>
      <c r="K488" t="s">
        <v>1313</v>
      </c>
      <c r="L488" t="s">
        <v>9</v>
      </c>
      <c r="M488" t="s">
        <v>1340</v>
      </c>
      <c r="N488" t="s">
        <v>3</v>
      </c>
      <c r="O488" t="s">
        <v>3</v>
      </c>
      <c r="P488" t="s">
        <v>5</v>
      </c>
      <c r="Q488" t="s">
        <v>1341</v>
      </c>
      <c r="R488" t="s">
        <v>3</v>
      </c>
      <c r="S488" t="s">
        <v>3</v>
      </c>
      <c r="T488" t="s">
        <v>3</v>
      </c>
      <c r="U488" t="s">
        <v>3</v>
      </c>
      <c r="V488" t="s">
        <v>3</v>
      </c>
      <c r="W488" t="s">
        <v>68</v>
      </c>
      <c r="X488" s="17">
        <v>43082</v>
      </c>
      <c r="Y488" t="s">
        <v>731</v>
      </c>
      <c r="Z488" s="17">
        <v>43082</v>
      </c>
      <c r="AA488" t="s">
        <v>3</v>
      </c>
      <c r="AB488" t="s">
        <v>1339</v>
      </c>
    </row>
    <row r="489" spans="1:28" hidden="1">
      <c r="A489" t="s">
        <v>1343</v>
      </c>
      <c r="B489" s="17">
        <v>43086</v>
      </c>
      <c r="C489" s="17">
        <v>43086</v>
      </c>
      <c r="D489" t="s">
        <v>0</v>
      </c>
      <c r="E489" t="s">
        <v>1</v>
      </c>
      <c r="F489" s="18">
        <v>134122</v>
      </c>
      <c r="G489" s="18">
        <v>134122</v>
      </c>
      <c r="H489" t="s">
        <v>2</v>
      </c>
      <c r="I489" t="s">
        <v>8</v>
      </c>
      <c r="J489" s="18">
        <v>10991297.9</v>
      </c>
      <c r="K489" t="s">
        <v>1323</v>
      </c>
      <c r="L489" t="s">
        <v>9</v>
      </c>
      <c r="M489" t="s">
        <v>1344</v>
      </c>
      <c r="N489" t="s">
        <v>3</v>
      </c>
      <c r="O489" t="s">
        <v>3</v>
      </c>
      <c r="P489" t="s">
        <v>5</v>
      </c>
      <c r="Q489" t="s">
        <v>1345</v>
      </c>
      <c r="R489" t="s">
        <v>3</v>
      </c>
      <c r="S489" t="s">
        <v>3</v>
      </c>
      <c r="T489" t="s">
        <v>3</v>
      </c>
      <c r="U489" t="s">
        <v>3</v>
      </c>
      <c r="V489" t="s">
        <v>3</v>
      </c>
      <c r="W489" t="s">
        <v>68</v>
      </c>
      <c r="X489" s="17">
        <v>43090</v>
      </c>
      <c r="Y489" t="s">
        <v>725</v>
      </c>
      <c r="Z489" s="17">
        <v>43086</v>
      </c>
      <c r="AA489" t="s">
        <v>3</v>
      </c>
      <c r="AB489" t="s">
        <v>1343</v>
      </c>
    </row>
    <row r="490" spans="1:28" hidden="1">
      <c r="A490" t="s">
        <v>1346</v>
      </c>
      <c r="B490" s="17">
        <v>43086</v>
      </c>
      <c r="C490" s="17">
        <v>43086</v>
      </c>
      <c r="D490" t="s">
        <v>0</v>
      </c>
      <c r="E490" t="s">
        <v>1</v>
      </c>
      <c r="F490" s="18">
        <v>193577</v>
      </c>
      <c r="G490" s="18">
        <v>193577</v>
      </c>
      <c r="H490" t="s">
        <v>2</v>
      </c>
      <c r="I490" t="s">
        <v>8</v>
      </c>
      <c r="J490" s="18">
        <v>15863635.15</v>
      </c>
      <c r="K490" t="s">
        <v>1323</v>
      </c>
      <c r="L490" t="s">
        <v>9</v>
      </c>
      <c r="M490" t="s">
        <v>1347</v>
      </c>
      <c r="N490" t="s">
        <v>3</v>
      </c>
      <c r="O490" t="s">
        <v>3</v>
      </c>
      <c r="P490" t="s">
        <v>5</v>
      </c>
      <c r="Q490" t="s">
        <v>1348</v>
      </c>
      <c r="R490" t="s">
        <v>3</v>
      </c>
      <c r="S490" t="s">
        <v>3</v>
      </c>
      <c r="T490" t="s">
        <v>3</v>
      </c>
      <c r="U490" t="s">
        <v>3</v>
      </c>
      <c r="V490" t="s">
        <v>3</v>
      </c>
      <c r="W490" t="s">
        <v>68</v>
      </c>
      <c r="X490" s="17">
        <v>43090</v>
      </c>
      <c r="Y490" t="s">
        <v>725</v>
      </c>
      <c r="Z490" s="17">
        <v>43086</v>
      </c>
      <c r="AA490" t="s">
        <v>3</v>
      </c>
      <c r="AB490" t="s">
        <v>1346</v>
      </c>
    </row>
    <row r="491" spans="1:28" hidden="1">
      <c r="A491" t="s">
        <v>1349</v>
      </c>
      <c r="B491" s="17">
        <v>43086</v>
      </c>
      <c r="C491" s="17">
        <v>43086</v>
      </c>
      <c r="D491" t="s">
        <v>0</v>
      </c>
      <c r="E491" t="s">
        <v>1</v>
      </c>
      <c r="F491" s="18">
        <v>84010</v>
      </c>
      <c r="G491" s="18">
        <v>84010</v>
      </c>
      <c r="H491" t="s">
        <v>2</v>
      </c>
      <c r="I491" t="s">
        <v>8</v>
      </c>
      <c r="J491" s="18">
        <v>6884619.5</v>
      </c>
      <c r="K491" t="s">
        <v>1323</v>
      </c>
      <c r="L491" t="s">
        <v>9</v>
      </c>
      <c r="M491" t="s">
        <v>1350</v>
      </c>
      <c r="N491" t="s">
        <v>3</v>
      </c>
      <c r="O491" t="s">
        <v>3</v>
      </c>
      <c r="P491" t="s">
        <v>5</v>
      </c>
      <c r="Q491" t="s">
        <v>1351</v>
      </c>
      <c r="R491" t="s">
        <v>3</v>
      </c>
      <c r="S491" t="s">
        <v>3</v>
      </c>
      <c r="T491" t="s">
        <v>3</v>
      </c>
      <c r="U491" t="s">
        <v>3</v>
      </c>
      <c r="V491" t="s">
        <v>3</v>
      </c>
      <c r="W491" t="s">
        <v>68</v>
      </c>
      <c r="X491" s="17">
        <v>43090</v>
      </c>
      <c r="Y491" t="s">
        <v>725</v>
      </c>
      <c r="Z491" s="17">
        <v>43086</v>
      </c>
      <c r="AA491" t="s">
        <v>3</v>
      </c>
      <c r="AB491" t="s">
        <v>1349</v>
      </c>
    </row>
    <row r="492" spans="1:28" hidden="1">
      <c r="A492" t="s">
        <v>1352</v>
      </c>
      <c r="B492" s="17">
        <v>43086</v>
      </c>
      <c r="C492" s="17">
        <v>43086</v>
      </c>
      <c r="D492" t="s">
        <v>0</v>
      </c>
      <c r="E492" t="s">
        <v>1</v>
      </c>
      <c r="F492" s="18">
        <v>-146084</v>
      </c>
      <c r="G492" s="18">
        <v>-146084</v>
      </c>
      <c r="H492" t="s">
        <v>2</v>
      </c>
      <c r="I492" t="s">
        <v>10</v>
      </c>
      <c r="J492" s="18">
        <v>-11971583.800000001</v>
      </c>
      <c r="K492" t="s">
        <v>1353</v>
      </c>
      <c r="L492" t="s">
        <v>9</v>
      </c>
      <c r="M492" t="s">
        <v>1354</v>
      </c>
      <c r="N492" t="s">
        <v>3</v>
      </c>
      <c r="O492" t="s">
        <v>3</v>
      </c>
      <c r="P492" t="s">
        <v>5</v>
      </c>
      <c r="Q492" t="s">
        <v>1355</v>
      </c>
      <c r="R492" t="s">
        <v>3</v>
      </c>
      <c r="S492" t="s">
        <v>3</v>
      </c>
      <c r="T492" t="s">
        <v>3</v>
      </c>
      <c r="U492" t="s">
        <v>3</v>
      </c>
      <c r="V492" t="s">
        <v>3</v>
      </c>
      <c r="W492" t="s">
        <v>68</v>
      </c>
      <c r="X492" s="17">
        <v>43159</v>
      </c>
      <c r="Y492" t="s">
        <v>758</v>
      </c>
      <c r="Z492" s="17">
        <v>43086</v>
      </c>
      <c r="AA492" t="s">
        <v>3</v>
      </c>
      <c r="AB492" t="s">
        <v>1352</v>
      </c>
    </row>
    <row r="493" spans="1:28" hidden="1">
      <c r="A493" t="s">
        <v>1356</v>
      </c>
      <c r="B493" s="17">
        <v>43088</v>
      </c>
      <c r="C493" s="17">
        <v>43088</v>
      </c>
      <c r="D493" t="s">
        <v>0</v>
      </c>
      <c r="E493" t="s">
        <v>1</v>
      </c>
      <c r="F493" s="18">
        <v>12588</v>
      </c>
      <c r="G493" s="18">
        <v>12588</v>
      </c>
      <c r="H493" t="s">
        <v>2</v>
      </c>
      <c r="I493" t="s">
        <v>8</v>
      </c>
      <c r="J493" s="18">
        <v>1031586.6</v>
      </c>
      <c r="K493" t="s">
        <v>1357</v>
      </c>
      <c r="L493" t="s">
        <v>9</v>
      </c>
      <c r="M493" t="s">
        <v>1358</v>
      </c>
      <c r="N493" t="s">
        <v>3</v>
      </c>
      <c r="O493" t="s">
        <v>3</v>
      </c>
      <c r="P493" t="s">
        <v>5</v>
      </c>
      <c r="Q493" t="s">
        <v>1359</v>
      </c>
      <c r="R493" t="s">
        <v>3</v>
      </c>
      <c r="S493" t="s">
        <v>3</v>
      </c>
      <c r="T493" t="s">
        <v>3</v>
      </c>
      <c r="U493" t="s">
        <v>3</v>
      </c>
      <c r="V493" t="s">
        <v>3</v>
      </c>
      <c r="W493" t="s">
        <v>68</v>
      </c>
      <c r="X493" s="17">
        <v>43159</v>
      </c>
      <c r="Y493" t="s">
        <v>761</v>
      </c>
      <c r="Z493" s="17">
        <v>43088</v>
      </c>
      <c r="AA493" t="s">
        <v>3</v>
      </c>
      <c r="AB493" t="s">
        <v>1356</v>
      </c>
    </row>
    <row r="494" spans="1:28" hidden="1">
      <c r="A494" t="s">
        <v>1360</v>
      </c>
      <c r="B494" s="17">
        <v>43089</v>
      </c>
      <c r="C494" s="17">
        <v>43089</v>
      </c>
      <c r="D494" t="s">
        <v>0</v>
      </c>
      <c r="E494" t="s">
        <v>1</v>
      </c>
      <c r="F494" s="18">
        <v>65105</v>
      </c>
      <c r="G494" s="18">
        <v>65105</v>
      </c>
      <c r="H494" t="s">
        <v>2</v>
      </c>
      <c r="I494" t="s">
        <v>8</v>
      </c>
      <c r="J494" s="18">
        <v>5335354.75</v>
      </c>
      <c r="K494" t="s">
        <v>1323</v>
      </c>
      <c r="L494" t="s">
        <v>9</v>
      </c>
      <c r="M494" t="s">
        <v>1361</v>
      </c>
      <c r="N494" t="s">
        <v>3</v>
      </c>
      <c r="O494" t="s">
        <v>3</v>
      </c>
      <c r="P494" t="s">
        <v>5</v>
      </c>
      <c r="Q494" t="s">
        <v>1362</v>
      </c>
      <c r="R494" t="s">
        <v>3</v>
      </c>
      <c r="S494" t="s">
        <v>3</v>
      </c>
      <c r="T494" t="s">
        <v>3</v>
      </c>
      <c r="U494" t="s">
        <v>3</v>
      </c>
      <c r="V494" t="s">
        <v>3</v>
      </c>
      <c r="W494" t="s">
        <v>68</v>
      </c>
      <c r="X494" s="17">
        <v>43090</v>
      </c>
      <c r="Y494" t="s">
        <v>725</v>
      </c>
      <c r="Z494" s="17">
        <v>43089</v>
      </c>
      <c r="AA494" t="s">
        <v>3</v>
      </c>
      <c r="AB494" t="s">
        <v>1360</v>
      </c>
    </row>
    <row r="495" spans="1:28" hidden="1">
      <c r="A495" t="s">
        <v>1363</v>
      </c>
      <c r="B495" s="17">
        <v>43089</v>
      </c>
      <c r="C495" s="17">
        <v>43089</v>
      </c>
      <c r="D495" t="s">
        <v>0</v>
      </c>
      <c r="E495" t="s">
        <v>1</v>
      </c>
      <c r="F495" s="18">
        <v>80374</v>
      </c>
      <c r="G495" s="18">
        <v>80374</v>
      </c>
      <c r="H495" t="s">
        <v>2</v>
      </c>
      <c r="I495" t="s">
        <v>8</v>
      </c>
      <c r="J495" s="18">
        <v>6586649.2999999998</v>
      </c>
      <c r="K495" t="s">
        <v>1357</v>
      </c>
      <c r="L495" t="s">
        <v>9</v>
      </c>
      <c r="M495" t="s">
        <v>1364</v>
      </c>
      <c r="N495" t="s">
        <v>3</v>
      </c>
      <c r="O495" t="s">
        <v>3</v>
      </c>
      <c r="P495" t="s">
        <v>5</v>
      </c>
      <c r="Q495" t="s">
        <v>1365</v>
      </c>
      <c r="R495" t="s">
        <v>3</v>
      </c>
      <c r="S495" t="s">
        <v>3</v>
      </c>
      <c r="T495" t="s">
        <v>3</v>
      </c>
      <c r="U495" t="s">
        <v>3</v>
      </c>
      <c r="V495" t="s">
        <v>3</v>
      </c>
      <c r="W495" t="s">
        <v>68</v>
      </c>
      <c r="X495" s="17">
        <v>43159</v>
      </c>
      <c r="Y495" t="s">
        <v>761</v>
      </c>
      <c r="Z495" s="17">
        <v>43089</v>
      </c>
      <c r="AA495" t="s">
        <v>3</v>
      </c>
      <c r="AB495" t="s">
        <v>1363</v>
      </c>
    </row>
    <row r="496" spans="1:28" hidden="1">
      <c r="A496" t="s">
        <v>1366</v>
      </c>
      <c r="B496" s="17">
        <v>43089</v>
      </c>
      <c r="C496" s="17">
        <v>43089</v>
      </c>
      <c r="D496" t="s">
        <v>0</v>
      </c>
      <c r="E496" t="s">
        <v>1</v>
      </c>
      <c r="F496" s="18">
        <v>23740</v>
      </c>
      <c r="G496" s="18">
        <v>23740</v>
      </c>
      <c r="H496" t="s">
        <v>2</v>
      </c>
      <c r="I496" t="s">
        <v>8</v>
      </c>
      <c r="J496" s="18">
        <v>1945493</v>
      </c>
      <c r="K496" t="s">
        <v>1357</v>
      </c>
      <c r="L496" t="s">
        <v>9</v>
      </c>
      <c r="M496" t="s">
        <v>1367</v>
      </c>
      <c r="N496" t="s">
        <v>3</v>
      </c>
      <c r="O496" t="s">
        <v>3</v>
      </c>
      <c r="P496" t="s">
        <v>5</v>
      </c>
      <c r="Q496" t="s">
        <v>1368</v>
      </c>
      <c r="R496" t="s">
        <v>3</v>
      </c>
      <c r="S496" t="s">
        <v>3</v>
      </c>
      <c r="T496" t="s">
        <v>3</v>
      </c>
      <c r="U496" t="s">
        <v>3</v>
      </c>
      <c r="V496" t="s">
        <v>3</v>
      </c>
      <c r="W496" t="s">
        <v>68</v>
      </c>
      <c r="X496" s="17">
        <v>43159</v>
      </c>
      <c r="Y496" t="s">
        <v>761</v>
      </c>
      <c r="Z496" s="17">
        <v>43089</v>
      </c>
      <c r="AA496" t="s">
        <v>3</v>
      </c>
      <c r="AB496" t="s">
        <v>1366</v>
      </c>
    </row>
    <row r="497" spans="1:28" hidden="1">
      <c r="A497" t="s">
        <v>1369</v>
      </c>
      <c r="B497" s="17">
        <v>43089</v>
      </c>
      <c r="C497" s="17">
        <v>43089</v>
      </c>
      <c r="D497" t="s">
        <v>0</v>
      </c>
      <c r="E497" t="s">
        <v>1</v>
      </c>
      <c r="F497" s="18">
        <v>6242</v>
      </c>
      <c r="G497" s="18">
        <v>6242</v>
      </c>
      <c r="H497" t="s">
        <v>2</v>
      </c>
      <c r="I497" t="s">
        <v>8</v>
      </c>
      <c r="J497" s="18">
        <v>511531.9</v>
      </c>
      <c r="K497" t="s">
        <v>1357</v>
      </c>
      <c r="L497" t="s">
        <v>9</v>
      </c>
      <c r="M497" t="s">
        <v>1370</v>
      </c>
      <c r="N497" t="s">
        <v>3</v>
      </c>
      <c r="O497" t="s">
        <v>3</v>
      </c>
      <c r="P497" t="s">
        <v>5</v>
      </c>
      <c r="Q497" t="s">
        <v>1371</v>
      </c>
      <c r="R497" t="s">
        <v>3</v>
      </c>
      <c r="S497" t="s">
        <v>3</v>
      </c>
      <c r="T497" t="s">
        <v>3</v>
      </c>
      <c r="U497" t="s">
        <v>3</v>
      </c>
      <c r="V497" t="s">
        <v>3</v>
      </c>
      <c r="W497" t="s">
        <v>68</v>
      </c>
      <c r="X497" s="17">
        <v>43159</v>
      </c>
      <c r="Y497" t="s">
        <v>761</v>
      </c>
      <c r="Z497" s="17">
        <v>43089</v>
      </c>
      <c r="AA497" t="s">
        <v>3</v>
      </c>
      <c r="AB497" t="s">
        <v>1369</v>
      </c>
    </row>
    <row r="498" spans="1:28" hidden="1">
      <c r="A498" t="s">
        <v>725</v>
      </c>
      <c r="B498" s="17">
        <v>43090</v>
      </c>
      <c r="C498" s="17">
        <v>43090</v>
      </c>
      <c r="D498" t="s">
        <v>7</v>
      </c>
      <c r="E498" t="s">
        <v>1</v>
      </c>
      <c r="F498" s="18">
        <v>621713</v>
      </c>
      <c r="G498" s="18">
        <v>621713</v>
      </c>
      <c r="H498" t="s">
        <v>2</v>
      </c>
      <c r="I498" t="s">
        <v>8</v>
      </c>
      <c r="J498" s="18">
        <v>50949380.350000001</v>
      </c>
      <c r="K498" t="s">
        <v>726</v>
      </c>
      <c r="L498" t="s">
        <v>9</v>
      </c>
      <c r="M498" t="s">
        <v>727</v>
      </c>
      <c r="N498" t="s">
        <v>3</v>
      </c>
      <c r="O498" t="s">
        <v>3</v>
      </c>
      <c r="P498" t="s">
        <v>5</v>
      </c>
      <c r="Q498" t="s">
        <v>726</v>
      </c>
      <c r="R498" t="s">
        <v>3</v>
      </c>
      <c r="S498" t="s">
        <v>3</v>
      </c>
      <c r="T498" t="s">
        <v>3</v>
      </c>
      <c r="U498" t="s">
        <v>3</v>
      </c>
      <c r="V498" t="s">
        <v>3</v>
      </c>
      <c r="W498" t="s">
        <v>68</v>
      </c>
      <c r="X498" s="17">
        <v>43090</v>
      </c>
      <c r="Y498" t="s">
        <v>725</v>
      </c>
      <c r="Z498" s="17">
        <v>43090</v>
      </c>
      <c r="AA498" t="s">
        <v>3</v>
      </c>
      <c r="AB498" t="s">
        <v>725</v>
      </c>
    </row>
    <row r="499" spans="1:28" hidden="1">
      <c r="A499" t="s">
        <v>725</v>
      </c>
      <c r="B499" s="17">
        <v>43090</v>
      </c>
      <c r="C499" s="17">
        <v>43090</v>
      </c>
      <c r="D499" t="s">
        <v>7</v>
      </c>
      <c r="E499" t="s">
        <v>1</v>
      </c>
      <c r="F499" s="18">
        <v>-621713</v>
      </c>
      <c r="G499" s="18">
        <v>-621713</v>
      </c>
      <c r="H499" t="s">
        <v>2</v>
      </c>
      <c r="I499" t="s">
        <v>8</v>
      </c>
      <c r="J499" s="18">
        <v>-50949380.350000001</v>
      </c>
      <c r="K499" t="s">
        <v>726</v>
      </c>
      <c r="L499" t="s">
        <v>9</v>
      </c>
      <c r="M499" t="s">
        <v>727</v>
      </c>
      <c r="N499" t="s">
        <v>3</v>
      </c>
      <c r="O499" t="s">
        <v>3</v>
      </c>
      <c r="P499" t="s">
        <v>5</v>
      </c>
      <c r="Q499" t="s">
        <v>726</v>
      </c>
      <c r="R499" t="s">
        <v>3</v>
      </c>
      <c r="S499" t="s">
        <v>3</v>
      </c>
      <c r="T499" t="s">
        <v>3</v>
      </c>
      <c r="U499" t="s">
        <v>3</v>
      </c>
      <c r="V499" t="s">
        <v>3</v>
      </c>
      <c r="W499" t="s">
        <v>68</v>
      </c>
      <c r="X499" s="17">
        <v>43090</v>
      </c>
      <c r="Y499" t="s">
        <v>725</v>
      </c>
      <c r="Z499" s="17">
        <v>43090</v>
      </c>
      <c r="AA499" t="s">
        <v>3</v>
      </c>
      <c r="AB499" t="s">
        <v>725</v>
      </c>
    </row>
    <row r="500" spans="1:28" hidden="1">
      <c r="A500" t="s">
        <v>1372</v>
      </c>
      <c r="B500" s="17">
        <v>43090</v>
      </c>
      <c r="C500" s="17">
        <v>43090</v>
      </c>
      <c r="D500" t="s">
        <v>0</v>
      </c>
      <c r="E500" t="s">
        <v>1</v>
      </c>
      <c r="F500" s="18">
        <v>100133</v>
      </c>
      <c r="G500" s="18">
        <v>100133</v>
      </c>
      <c r="H500" t="s">
        <v>2</v>
      </c>
      <c r="I500" t="s">
        <v>10</v>
      </c>
      <c r="J500" s="18">
        <v>8205899.3499999996</v>
      </c>
      <c r="K500" t="s">
        <v>1373</v>
      </c>
      <c r="L500" t="s">
        <v>9</v>
      </c>
      <c r="M500" t="s">
        <v>1374</v>
      </c>
      <c r="N500" t="s">
        <v>3</v>
      </c>
      <c r="O500" t="s">
        <v>3</v>
      </c>
      <c r="P500" t="s">
        <v>5</v>
      </c>
      <c r="Q500" t="s">
        <v>1375</v>
      </c>
      <c r="R500" t="s">
        <v>3</v>
      </c>
      <c r="S500" t="s">
        <v>3</v>
      </c>
      <c r="T500" t="s">
        <v>3</v>
      </c>
      <c r="U500" t="s">
        <v>3</v>
      </c>
      <c r="V500" t="s">
        <v>3</v>
      </c>
      <c r="W500" t="s">
        <v>68</v>
      </c>
      <c r="X500" s="17">
        <v>43159</v>
      </c>
      <c r="Y500" t="s">
        <v>758</v>
      </c>
      <c r="Z500" s="17">
        <v>43090</v>
      </c>
      <c r="AA500" t="s">
        <v>3</v>
      </c>
      <c r="AB500" t="s">
        <v>1372</v>
      </c>
    </row>
    <row r="501" spans="1:28" hidden="1">
      <c r="A501" t="s">
        <v>1376</v>
      </c>
      <c r="B501" s="17">
        <v>43090</v>
      </c>
      <c r="C501" s="17">
        <v>43090</v>
      </c>
      <c r="D501" t="s">
        <v>0</v>
      </c>
      <c r="E501" t="s">
        <v>1</v>
      </c>
      <c r="F501" s="18">
        <v>35032</v>
      </c>
      <c r="G501" s="18">
        <v>35032</v>
      </c>
      <c r="H501" t="s">
        <v>2</v>
      </c>
      <c r="I501" t="s">
        <v>8</v>
      </c>
      <c r="J501" s="18">
        <v>2870872.4</v>
      </c>
      <c r="K501" t="s">
        <v>1357</v>
      </c>
      <c r="L501" t="s">
        <v>9</v>
      </c>
      <c r="M501" t="s">
        <v>1377</v>
      </c>
      <c r="N501" t="s">
        <v>3</v>
      </c>
      <c r="O501" t="s">
        <v>3</v>
      </c>
      <c r="P501" t="s">
        <v>5</v>
      </c>
      <c r="Q501" t="s">
        <v>1378</v>
      </c>
      <c r="R501" t="s">
        <v>3</v>
      </c>
      <c r="S501" t="s">
        <v>3</v>
      </c>
      <c r="T501" t="s">
        <v>3</v>
      </c>
      <c r="U501" t="s">
        <v>3</v>
      </c>
      <c r="V501" t="s">
        <v>3</v>
      </c>
      <c r="W501" t="s">
        <v>68</v>
      </c>
      <c r="X501" s="17">
        <v>43159</v>
      </c>
      <c r="Y501" t="s">
        <v>761</v>
      </c>
      <c r="Z501" s="17">
        <v>43090</v>
      </c>
      <c r="AA501" t="s">
        <v>3</v>
      </c>
      <c r="AB501" t="s">
        <v>1376</v>
      </c>
    </row>
    <row r="502" spans="1:28" hidden="1">
      <c r="A502" t="s">
        <v>1379</v>
      </c>
      <c r="B502" s="17">
        <v>43090</v>
      </c>
      <c r="C502" s="17">
        <v>43090</v>
      </c>
      <c r="D502" t="s">
        <v>0</v>
      </c>
      <c r="E502" t="s">
        <v>1</v>
      </c>
      <c r="F502" s="18">
        <v>67671</v>
      </c>
      <c r="G502" s="18">
        <v>67671</v>
      </c>
      <c r="H502" t="s">
        <v>2</v>
      </c>
      <c r="I502" t="s">
        <v>8</v>
      </c>
      <c r="J502" s="18">
        <v>5545638.4500000002</v>
      </c>
      <c r="K502" t="s">
        <v>1323</v>
      </c>
      <c r="L502" t="s">
        <v>9</v>
      </c>
      <c r="M502" t="s">
        <v>1380</v>
      </c>
      <c r="N502" t="s">
        <v>3</v>
      </c>
      <c r="O502" t="s">
        <v>3</v>
      </c>
      <c r="P502" t="s">
        <v>5</v>
      </c>
      <c r="Q502" t="s">
        <v>1381</v>
      </c>
      <c r="R502" t="s">
        <v>3</v>
      </c>
      <c r="S502" t="s">
        <v>3</v>
      </c>
      <c r="T502" t="s">
        <v>3</v>
      </c>
      <c r="U502" t="s">
        <v>3</v>
      </c>
      <c r="V502" t="s">
        <v>3</v>
      </c>
      <c r="W502" t="s">
        <v>68</v>
      </c>
      <c r="X502" s="17">
        <v>43090</v>
      </c>
      <c r="Y502" t="s">
        <v>725</v>
      </c>
      <c r="Z502" s="17">
        <v>43090</v>
      </c>
      <c r="AA502" t="s">
        <v>3</v>
      </c>
      <c r="AB502" t="s">
        <v>1379</v>
      </c>
    </row>
    <row r="503" spans="1:28" hidden="1">
      <c r="A503" t="s">
        <v>1382</v>
      </c>
      <c r="B503" s="17">
        <v>43093</v>
      </c>
      <c r="C503" s="17">
        <v>43093</v>
      </c>
      <c r="D503" t="s">
        <v>0</v>
      </c>
      <c r="E503" t="s">
        <v>1</v>
      </c>
      <c r="F503" s="18">
        <v>1117</v>
      </c>
      <c r="G503" s="18">
        <v>1117</v>
      </c>
      <c r="H503" t="s">
        <v>2</v>
      </c>
      <c r="I503" t="s">
        <v>10</v>
      </c>
      <c r="J503" s="18">
        <v>91538.15</v>
      </c>
      <c r="K503" t="s">
        <v>1373</v>
      </c>
      <c r="L503" t="s">
        <v>9</v>
      </c>
      <c r="M503" t="s">
        <v>1383</v>
      </c>
      <c r="N503" t="s">
        <v>3</v>
      </c>
      <c r="O503" t="s">
        <v>3</v>
      </c>
      <c r="P503" t="s">
        <v>5</v>
      </c>
      <c r="Q503" t="s">
        <v>1384</v>
      </c>
      <c r="R503" t="s">
        <v>3</v>
      </c>
      <c r="S503" t="s">
        <v>3</v>
      </c>
      <c r="T503" t="s">
        <v>3</v>
      </c>
      <c r="U503" t="s">
        <v>3</v>
      </c>
      <c r="V503" t="s">
        <v>3</v>
      </c>
      <c r="W503" t="s">
        <v>68</v>
      </c>
      <c r="X503" s="17">
        <v>43159</v>
      </c>
      <c r="Y503" t="s">
        <v>758</v>
      </c>
      <c r="Z503" s="17">
        <v>43093</v>
      </c>
      <c r="AA503" t="s">
        <v>3</v>
      </c>
      <c r="AB503" t="s">
        <v>1382</v>
      </c>
    </row>
    <row r="504" spans="1:28" hidden="1">
      <c r="A504" t="s">
        <v>1385</v>
      </c>
      <c r="B504" s="17">
        <v>43093</v>
      </c>
      <c r="C504" s="17">
        <v>43093</v>
      </c>
      <c r="D504" t="s">
        <v>0</v>
      </c>
      <c r="E504" t="s">
        <v>1</v>
      </c>
      <c r="F504" s="18">
        <v>72892</v>
      </c>
      <c r="G504" s="18">
        <v>72892</v>
      </c>
      <c r="H504" t="s">
        <v>2</v>
      </c>
      <c r="I504" t="s">
        <v>8</v>
      </c>
      <c r="J504" s="18">
        <v>5973499.4000000004</v>
      </c>
      <c r="K504" t="s">
        <v>1357</v>
      </c>
      <c r="L504" t="s">
        <v>9</v>
      </c>
      <c r="M504" t="s">
        <v>1386</v>
      </c>
      <c r="N504" t="s">
        <v>3</v>
      </c>
      <c r="O504" t="s">
        <v>3</v>
      </c>
      <c r="P504" t="s">
        <v>5</v>
      </c>
      <c r="Q504" t="s">
        <v>1387</v>
      </c>
      <c r="R504" t="s">
        <v>3</v>
      </c>
      <c r="S504" t="s">
        <v>3</v>
      </c>
      <c r="T504" t="s">
        <v>3</v>
      </c>
      <c r="U504" t="s">
        <v>3</v>
      </c>
      <c r="V504" t="s">
        <v>3</v>
      </c>
      <c r="W504" t="s">
        <v>68</v>
      </c>
      <c r="X504" s="17">
        <v>43159</v>
      </c>
      <c r="Y504" t="s">
        <v>761</v>
      </c>
      <c r="Z504" s="17">
        <v>43093</v>
      </c>
      <c r="AA504" t="s">
        <v>3</v>
      </c>
      <c r="AB504" t="s">
        <v>1385</v>
      </c>
    </row>
    <row r="505" spans="1:28" hidden="1">
      <c r="A505" t="s">
        <v>1388</v>
      </c>
      <c r="B505" s="17">
        <v>43093</v>
      </c>
      <c r="C505" s="17">
        <v>43093</v>
      </c>
      <c r="D505" t="s">
        <v>0</v>
      </c>
      <c r="E505" t="s">
        <v>1</v>
      </c>
      <c r="F505" s="18">
        <v>53999</v>
      </c>
      <c r="G505" s="18">
        <v>53999</v>
      </c>
      <c r="H505" t="s">
        <v>2</v>
      </c>
      <c r="I505" t="s">
        <v>8</v>
      </c>
      <c r="J505" s="18">
        <v>4425218.05</v>
      </c>
      <c r="K505" t="s">
        <v>1357</v>
      </c>
      <c r="L505" t="s">
        <v>9</v>
      </c>
      <c r="M505" t="s">
        <v>1389</v>
      </c>
      <c r="N505" t="s">
        <v>3</v>
      </c>
      <c r="O505" t="s">
        <v>3</v>
      </c>
      <c r="P505" t="s">
        <v>5</v>
      </c>
      <c r="Q505" t="s">
        <v>1390</v>
      </c>
      <c r="R505" t="s">
        <v>3</v>
      </c>
      <c r="S505" t="s">
        <v>3</v>
      </c>
      <c r="T505" t="s">
        <v>3</v>
      </c>
      <c r="U505" t="s">
        <v>3</v>
      </c>
      <c r="V505" t="s">
        <v>3</v>
      </c>
      <c r="W505" t="s">
        <v>68</v>
      </c>
      <c r="X505" s="17">
        <v>43159</v>
      </c>
      <c r="Y505" t="s">
        <v>761</v>
      </c>
      <c r="Z505" s="17">
        <v>43093</v>
      </c>
      <c r="AA505" t="s">
        <v>3</v>
      </c>
      <c r="AB505" t="s">
        <v>1388</v>
      </c>
    </row>
    <row r="506" spans="1:28" hidden="1">
      <c r="A506" t="s">
        <v>1391</v>
      </c>
      <c r="B506" s="17">
        <v>43095</v>
      </c>
      <c r="C506" s="17">
        <v>43095</v>
      </c>
      <c r="D506" t="s">
        <v>0</v>
      </c>
      <c r="E506" t="s">
        <v>1</v>
      </c>
      <c r="F506" s="18">
        <v>38077</v>
      </c>
      <c r="G506" s="18">
        <v>38077</v>
      </c>
      <c r="H506" t="s">
        <v>2</v>
      </c>
      <c r="I506" t="s">
        <v>8</v>
      </c>
      <c r="J506" s="18">
        <v>3120410.15</v>
      </c>
      <c r="K506" t="s">
        <v>1357</v>
      </c>
      <c r="L506" t="s">
        <v>9</v>
      </c>
      <c r="M506" t="s">
        <v>1392</v>
      </c>
      <c r="N506" t="s">
        <v>3</v>
      </c>
      <c r="O506" t="s">
        <v>3</v>
      </c>
      <c r="P506" t="s">
        <v>5</v>
      </c>
      <c r="Q506" t="s">
        <v>1393</v>
      </c>
      <c r="R506" t="s">
        <v>3</v>
      </c>
      <c r="S506" t="s">
        <v>3</v>
      </c>
      <c r="T506" t="s">
        <v>3</v>
      </c>
      <c r="U506" t="s">
        <v>3</v>
      </c>
      <c r="V506" t="s">
        <v>3</v>
      </c>
      <c r="W506" t="s">
        <v>68</v>
      </c>
      <c r="X506" s="17">
        <v>43159</v>
      </c>
      <c r="Y506" t="s">
        <v>761</v>
      </c>
      <c r="Z506" s="17">
        <v>43095</v>
      </c>
      <c r="AA506" t="s">
        <v>3</v>
      </c>
      <c r="AB506" t="s">
        <v>1391</v>
      </c>
    </row>
    <row r="507" spans="1:28" hidden="1">
      <c r="A507" t="s">
        <v>1394</v>
      </c>
      <c r="B507" s="17">
        <v>43095</v>
      </c>
      <c r="C507" s="17">
        <v>43095</v>
      </c>
      <c r="D507" t="s">
        <v>0</v>
      </c>
      <c r="E507" t="s">
        <v>1</v>
      </c>
      <c r="F507" s="18">
        <v>28004</v>
      </c>
      <c r="G507" s="18">
        <v>28004</v>
      </c>
      <c r="H507" t="s">
        <v>2</v>
      </c>
      <c r="I507" t="s">
        <v>10</v>
      </c>
      <c r="J507" s="18">
        <v>2294927.7999999998</v>
      </c>
      <c r="K507" t="s">
        <v>1373</v>
      </c>
      <c r="L507" t="s">
        <v>9</v>
      </c>
      <c r="M507" t="s">
        <v>1392</v>
      </c>
      <c r="N507" t="s">
        <v>3</v>
      </c>
      <c r="O507" t="s">
        <v>3</v>
      </c>
      <c r="P507" t="s">
        <v>5</v>
      </c>
      <c r="Q507" t="s">
        <v>1395</v>
      </c>
      <c r="R507" t="s">
        <v>3</v>
      </c>
      <c r="S507" t="s">
        <v>3</v>
      </c>
      <c r="T507" t="s">
        <v>3</v>
      </c>
      <c r="U507" t="s">
        <v>3</v>
      </c>
      <c r="V507" t="s">
        <v>3</v>
      </c>
      <c r="W507" t="s">
        <v>68</v>
      </c>
      <c r="X507" s="17">
        <v>43159</v>
      </c>
      <c r="Y507" t="s">
        <v>758</v>
      </c>
      <c r="Z507" s="17">
        <v>43095</v>
      </c>
      <c r="AA507" t="s">
        <v>3</v>
      </c>
      <c r="AB507" t="s">
        <v>1394</v>
      </c>
    </row>
    <row r="508" spans="1:28" hidden="1">
      <c r="A508" t="s">
        <v>1396</v>
      </c>
      <c r="B508" s="17">
        <v>43097</v>
      </c>
      <c r="C508" s="17">
        <v>43097</v>
      </c>
      <c r="D508" t="s">
        <v>0</v>
      </c>
      <c r="E508" t="s">
        <v>1</v>
      </c>
      <c r="F508" s="18">
        <v>-73213</v>
      </c>
      <c r="G508" s="18">
        <v>-73213</v>
      </c>
      <c r="H508" t="s">
        <v>2</v>
      </c>
      <c r="I508" t="s">
        <v>10</v>
      </c>
      <c r="J508" s="18">
        <v>-5999805.3499999996</v>
      </c>
      <c r="K508" t="s">
        <v>1397</v>
      </c>
      <c r="L508" t="s">
        <v>9</v>
      </c>
      <c r="M508" t="s">
        <v>1398</v>
      </c>
      <c r="N508" t="s">
        <v>3</v>
      </c>
      <c r="O508" t="s">
        <v>3</v>
      </c>
      <c r="P508" t="s">
        <v>5</v>
      </c>
      <c r="Q508" t="s">
        <v>1399</v>
      </c>
      <c r="R508" t="s">
        <v>3</v>
      </c>
      <c r="S508" t="s">
        <v>3</v>
      </c>
      <c r="T508" t="s">
        <v>3</v>
      </c>
      <c r="U508" t="s">
        <v>3</v>
      </c>
      <c r="V508" t="s">
        <v>3</v>
      </c>
      <c r="W508" t="s">
        <v>68</v>
      </c>
      <c r="X508" s="17">
        <v>43159</v>
      </c>
      <c r="Y508" t="s">
        <v>764</v>
      </c>
      <c r="Z508" s="17">
        <v>43097</v>
      </c>
      <c r="AA508" t="s">
        <v>3</v>
      </c>
      <c r="AB508" t="s">
        <v>1396</v>
      </c>
    </row>
    <row r="509" spans="1:28" hidden="1">
      <c r="A509" t="s">
        <v>1432</v>
      </c>
      <c r="B509" s="17">
        <v>43100</v>
      </c>
      <c r="C509" s="17">
        <v>43100</v>
      </c>
      <c r="D509" t="s">
        <v>0</v>
      </c>
      <c r="E509" t="s">
        <v>1</v>
      </c>
      <c r="F509" s="18">
        <v>60524</v>
      </c>
      <c r="G509" s="18">
        <v>60524</v>
      </c>
      <c r="H509" t="s">
        <v>2</v>
      </c>
      <c r="I509" t="s">
        <v>8</v>
      </c>
      <c r="J509" s="18">
        <v>4975072.8</v>
      </c>
      <c r="K509" t="s">
        <v>614</v>
      </c>
      <c r="L509" t="s">
        <v>9</v>
      </c>
      <c r="M509" t="s">
        <v>615</v>
      </c>
      <c r="N509" t="s">
        <v>3</v>
      </c>
      <c r="O509" t="s">
        <v>3</v>
      </c>
      <c r="P509" t="s">
        <v>5</v>
      </c>
      <c r="Q509" t="s">
        <v>614</v>
      </c>
      <c r="R509" t="s">
        <v>3</v>
      </c>
      <c r="S509" t="s">
        <v>3</v>
      </c>
      <c r="T509" t="s">
        <v>3</v>
      </c>
      <c r="U509" t="s">
        <v>3</v>
      </c>
      <c r="V509" t="s">
        <v>3</v>
      </c>
      <c r="W509" t="s">
        <v>68</v>
      </c>
      <c r="X509" s="17">
        <v>43101</v>
      </c>
      <c r="Y509" t="s">
        <v>613</v>
      </c>
      <c r="Z509" s="17">
        <v>43100</v>
      </c>
      <c r="AA509" t="s">
        <v>3</v>
      </c>
      <c r="AB509" t="s">
        <v>1432</v>
      </c>
    </row>
    <row r="510" spans="1:28" hidden="1">
      <c r="A510" t="s">
        <v>613</v>
      </c>
      <c r="B510" s="17">
        <v>43101</v>
      </c>
      <c r="C510" s="17">
        <v>43100</v>
      </c>
      <c r="D510" t="s">
        <v>38</v>
      </c>
      <c r="E510" t="s">
        <v>1</v>
      </c>
      <c r="F510" s="18">
        <v>-60524</v>
      </c>
      <c r="G510" s="18">
        <v>-60524</v>
      </c>
      <c r="H510" t="s">
        <v>2</v>
      </c>
      <c r="I510" t="s">
        <v>8</v>
      </c>
      <c r="J510" s="18">
        <v>-4975072.8</v>
      </c>
      <c r="K510" t="s">
        <v>614</v>
      </c>
      <c r="L510" t="s">
        <v>9</v>
      </c>
      <c r="M510" t="s">
        <v>615</v>
      </c>
      <c r="N510" t="s">
        <v>3</v>
      </c>
      <c r="O510" t="s">
        <v>3</v>
      </c>
      <c r="P510" t="s">
        <v>5</v>
      </c>
      <c r="Q510" t="s">
        <v>614</v>
      </c>
      <c r="R510" t="s">
        <v>3</v>
      </c>
      <c r="S510" t="s">
        <v>3</v>
      </c>
      <c r="T510" t="s">
        <v>3</v>
      </c>
      <c r="U510" t="s">
        <v>3</v>
      </c>
      <c r="V510" t="s">
        <v>3</v>
      </c>
      <c r="W510" t="s">
        <v>68</v>
      </c>
      <c r="X510" s="17">
        <v>43101</v>
      </c>
      <c r="Y510" t="s">
        <v>613</v>
      </c>
      <c r="Z510" s="17">
        <v>43100</v>
      </c>
      <c r="AA510" t="s">
        <v>3</v>
      </c>
      <c r="AB510" t="s">
        <v>613</v>
      </c>
    </row>
    <row r="511" spans="1:28" hidden="1">
      <c r="A511" t="s">
        <v>1400</v>
      </c>
      <c r="B511" s="17">
        <v>43101</v>
      </c>
      <c r="C511" s="17">
        <v>43101</v>
      </c>
      <c r="D511" t="s">
        <v>0</v>
      </c>
      <c r="E511" t="s">
        <v>1</v>
      </c>
      <c r="F511" s="18">
        <v>60524</v>
      </c>
      <c r="G511" s="18">
        <v>60524</v>
      </c>
      <c r="H511" t="s">
        <v>2</v>
      </c>
      <c r="I511" t="s">
        <v>8</v>
      </c>
      <c r="J511" s="18">
        <v>4959941.8</v>
      </c>
      <c r="K511" t="s">
        <v>1401</v>
      </c>
      <c r="L511" t="s">
        <v>9</v>
      </c>
      <c r="M511" t="s">
        <v>1402</v>
      </c>
      <c r="N511" t="s">
        <v>3</v>
      </c>
      <c r="O511" t="s">
        <v>3</v>
      </c>
      <c r="P511" t="s">
        <v>5</v>
      </c>
      <c r="Q511" t="s">
        <v>1403</v>
      </c>
      <c r="R511" t="s">
        <v>3</v>
      </c>
      <c r="S511" t="s">
        <v>3</v>
      </c>
      <c r="T511" t="s">
        <v>3</v>
      </c>
      <c r="U511" t="s">
        <v>3</v>
      </c>
      <c r="V511" t="s">
        <v>3</v>
      </c>
      <c r="W511" t="s">
        <v>68</v>
      </c>
      <c r="X511" s="17">
        <v>43159</v>
      </c>
      <c r="Y511" t="s">
        <v>761</v>
      </c>
      <c r="Z511" s="17">
        <v>43101</v>
      </c>
      <c r="AA511" t="s">
        <v>3</v>
      </c>
      <c r="AB511" t="s">
        <v>1400</v>
      </c>
    </row>
    <row r="512" spans="1:28" hidden="1">
      <c r="A512" t="s">
        <v>1404</v>
      </c>
      <c r="B512" s="17">
        <v>43103</v>
      </c>
      <c r="C512" s="17">
        <v>43103</v>
      </c>
      <c r="D512" t="s">
        <v>0</v>
      </c>
      <c r="E512" t="s">
        <v>1</v>
      </c>
      <c r="F512" s="18">
        <v>24514</v>
      </c>
      <c r="G512" s="18">
        <v>24514</v>
      </c>
      <c r="H512" t="s">
        <v>2</v>
      </c>
      <c r="I512" t="s">
        <v>8</v>
      </c>
      <c r="J512" s="18">
        <v>2008922.3</v>
      </c>
      <c r="K512" t="s">
        <v>1357</v>
      </c>
      <c r="L512" t="s">
        <v>9</v>
      </c>
      <c r="M512" t="s">
        <v>1405</v>
      </c>
      <c r="N512" t="s">
        <v>3</v>
      </c>
      <c r="O512" t="s">
        <v>3</v>
      </c>
      <c r="P512" t="s">
        <v>5</v>
      </c>
      <c r="Q512" t="s">
        <v>1406</v>
      </c>
      <c r="R512" t="s">
        <v>3</v>
      </c>
      <c r="S512" t="s">
        <v>3</v>
      </c>
      <c r="T512" t="s">
        <v>3</v>
      </c>
      <c r="U512" t="s">
        <v>3</v>
      </c>
      <c r="V512" t="s">
        <v>3</v>
      </c>
      <c r="W512" t="s">
        <v>68</v>
      </c>
      <c r="X512" s="17">
        <v>43159</v>
      </c>
      <c r="Y512" t="s">
        <v>761</v>
      </c>
      <c r="Z512" s="17">
        <v>43103</v>
      </c>
      <c r="AA512" t="s">
        <v>3</v>
      </c>
      <c r="AB512" t="s">
        <v>1404</v>
      </c>
    </row>
    <row r="513" spans="1:28" hidden="1">
      <c r="A513" t="s">
        <v>1407</v>
      </c>
      <c r="B513" s="17">
        <v>43103</v>
      </c>
      <c r="C513" s="17">
        <v>43103</v>
      </c>
      <c r="D513" t="s">
        <v>0</v>
      </c>
      <c r="E513" t="s">
        <v>1</v>
      </c>
      <c r="F513" s="18">
        <v>-59326</v>
      </c>
      <c r="G513" s="18">
        <v>-59326</v>
      </c>
      <c r="H513" t="s">
        <v>2</v>
      </c>
      <c r="I513" t="s">
        <v>10</v>
      </c>
      <c r="J513" s="18">
        <v>-4876597.2</v>
      </c>
      <c r="K513" t="s">
        <v>1408</v>
      </c>
      <c r="L513" t="s">
        <v>9</v>
      </c>
      <c r="M513" t="s">
        <v>1409</v>
      </c>
      <c r="N513" t="s">
        <v>3</v>
      </c>
      <c r="O513" t="s">
        <v>3</v>
      </c>
      <c r="P513" t="s">
        <v>5</v>
      </c>
      <c r="Q513" t="s">
        <v>1410</v>
      </c>
      <c r="R513" t="s">
        <v>3</v>
      </c>
      <c r="S513" t="s">
        <v>3</v>
      </c>
      <c r="T513" t="s">
        <v>3</v>
      </c>
      <c r="U513" t="s">
        <v>3</v>
      </c>
      <c r="V513" t="s">
        <v>3</v>
      </c>
      <c r="W513" t="s">
        <v>68</v>
      </c>
      <c r="X513" s="17">
        <v>43118</v>
      </c>
      <c r="Y513" t="s">
        <v>734</v>
      </c>
      <c r="Z513" s="17">
        <v>43103</v>
      </c>
      <c r="AA513" t="s">
        <v>3</v>
      </c>
      <c r="AB513" t="s">
        <v>1407</v>
      </c>
    </row>
    <row r="514" spans="1:28" hidden="1">
      <c r="A514" t="s">
        <v>1421</v>
      </c>
      <c r="B514" s="17">
        <v>43103</v>
      </c>
      <c r="C514" s="17">
        <v>43103</v>
      </c>
      <c r="D514" t="s">
        <v>0</v>
      </c>
      <c r="E514" t="s">
        <v>1</v>
      </c>
      <c r="F514" s="18">
        <v>-316544</v>
      </c>
      <c r="G514" s="18">
        <v>-316544</v>
      </c>
      <c r="H514" t="s">
        <v>2</v>
      </c>
      <c r="I514" t="s">
        <v>8</v>
      </c>
      <c r="J514" s="18">
        <v>-26019916.800000001</v>
      </c>
      <c r="K514" t="s">
        <v>1422</v>
      </c>
      <c r="L514" t="s">
        <v>9</v>
      </c>
      <c r="M514" t="s">
        <v>1423</v>
      </c>
      <c r="N514" t="s">
        <v>3</v>
      </c>
      <c r="O514" t="s">
        <v>3</v>
      </c>
      <c r="P514" t="s">
        <v>5</v>
      </c>
      <c r="Q514" t="s">
        <v>1424</v>
      </c>
      <c r="R514" t="s">
        <v>3</v>
      </c>
      <c r="S514" t="s">
        <v>3</v>
      </c>
      <c r="T514" t="s">
        <v>3</v>
      </c>
      <c r="U514" t="s">
        <v>3</v>
      </c>
      <c r="V514" t="s">
        <v>3</v>
      </c>
      <c r="W514" t="s">
        <v>68</v>
      </c>
      <c r="X514" s="17">
        <v>43104</v>
      </c>
      <c r="Y514" t="s">
        <v>749</v>
      </c>
      <c r="Z514" s="17">
        <v>43103</v>
      </c>
      <c r="AA514" t="s">
        <v>3</v>
      </c>
      <c r="AB514" t="s">
        <v>1421</v>
      </c>
    </row>
    <row r="515" spans="1:28" hidden="1">
      <c r="A515" t="s">
        <v>1425</v>
      </c>
      <c r="B515" s="17">
        <v>43103</v>
      </c>
      <c r="C515" s="17">
        <v>43103</v>
      </c>
      <c r="D515" t="s">
        <v>0</v>
      </c>
      <c r="E515" t="s">
        <v>1</v>
      </c>
      <c r="F515" s="18">
        <v>-846648</v>
      </c>
      <c r="G515" s="18">
        <v>-846648</v>
      </c>
      <c r="H515" t="s">
        <v>2</v>
      </c>
      <c r="I515" t="s">
        <v>8</v>
      </c>
      <c r="J515" s="18">
        <v>-69594465.599999994</v>
      </c>
      <c r="K515" t="s">
        <v>1426</v>
      </c>
      <c r="L515" t="s">
        <v>9</v>
      </c>
      <c r="M515" t="s">
        <v>1427</v>
      </c>
      <c r="N515" t="s">
        <v>3</v>
      </c>
      <c r="O515" t="s">
        <v>3</v>
      </c>
      <c r="P515" t="s">
        <v>5</v>
      </c>
      <c r="Q515" t="s">
        <v>1428</v>
      </c>
      <c r="R515" t="s">
        <v>3</v>
      </c>
      <c r="S515" t="s">
        <v>3</v>
      </c>
      <c r="T515" t="s">
        <v>3</v>
      </c>
      <c r="U515" t="s">
        <v>3</v>
      </c>
      <c r="V515" t="s">
        <v>3</v>
      </c>
      <c r="W515" t="s">
        <v>68</v>
      </c>
      <c r="X515" s="17">
        <v>43122</v>
      </c>
      <c r="Y515" t="s">
        <v>740</v>
      </c>
      <c r="Z515" s="17">
        <v>43103</v>
      </c>
      <c r="AA515" t="s">
        <v>3</v>
      </c>
      <c r="AB515" t="s">
        <v>1425</v>
      </c>
    </row>
    <row r="516" spans="1:28" hidden="1">
      <c r="A516" t="s">
        <v>749</v>
      </c>
      <c r="B516" s="17">
        <v>43104</v>
      </c>
      <c r="C516" s="17">
        <v>43104</v>
      </c>
      <c r="D516" t="s">
        <v>7</v>
      </c>
      <c r="E516" t="s">
        <v>1</v>
      </c>
      <c r="F516" s="18">
        <v>316544</v>
      </c>
      <c r="G516" s="18">
        <v>316544</v>
      </c>
      <c r="H516" t="s">
        <v>2</v>
      </c>
      <c r="I516" t="s">
        <v>8</v>
      </c>
      <c r="J516" s="18">
        <v>26019916.800000001</v>
      </c>
      <c r="K516" t="s">
        <v>750</v>
      </c>
      <c r="L516" t="s">
        <v>9</v>
      </c>
      <c r="M516" t="s">
        <v>751</v>
      </c>
      <c r="N516" t="s">
        <v>3</v>
      </c>
      <c r="O516" t="s">
        <v>3</v>
      </c>
      <c r="P516" t="s">
        <v>5</v>
      </c>
      <c r="Q516" t="s">
        <v>750</v>
      </c>
      <c r="R516" t="s">
        <v>3</v>
      </c>
      <c r="S516" t="s">
        <v>3</v>
      </c>
      <c r="T516" t="s">
        <v>3</v>
      </c>
      <c r="U516" t="s">
        <v>3</v>
      </c>
      <c r="V516" t="s">
        <v>3</v>
      </c>
      <c r="W516" t="s">
        <v>68</v>
      </c>
      <c r="X516" s="17">
        <v>43104</v>
      </c>
      <c r="Y516" t="s">
        <v>749</v>
      </c>
      <c r="Z516" s="17">
        <v>43104</v>
      </c>
      <c r="AA516" t="s">
        <v>3</v>
      </c>
      <c r="AB516" t="s">
        <v>749</v>
      </c>
    </row>
    <row r="517" spans="1:28" hidden="1">
      <c r="A517" t="s">
        <v>749</v>
      </c>
      <c r="B517" s="17">
        <v>43104</v>
      </c>
      <c r="C517" s="17">
        <v>43104</v>
      </c>
      <c r="D517" t="s">
        <v>7</v>
      </c>
      <c r="E517" t="s">
        <v>1</v>
      </c>
      <c r="F517" s="18">
        <v>-316544</v>
      </c>
      <c r="G517" s="18">
        <v>-316544</v>
      </c>
      <c r="H517" t="s">
        <v>2</v>
      </c>
      <c r="I517" t="s">
        <v>8</v>
      </c>
      <c r="J517" s="18">
        <v>-26019916.800000001</v>
      </c>
      <c r="K517" t="s">
        <v>3</v>
      </c>
      <c r="L517" t="s">
        <v>9</v>
      </c>
      <c r="M517" t="s">
        <v>751</v>
      </c>
      <c r="N517" t="s">
        <v>3</v>
      </c>
      <c r="O517" t="s">
        <v>3</v>
      </c>
      <c r="P517" t="s">
        <v>5</v>
      </c>
      <c r="Q517" t="s">
        <v>750</v>
      </c>
      <c r="R517" t="s">
        <v>3</v>
      </c>
      <c r="S517" t="s">
        <v>3</v>
      </c>
      <c r="T517" t="s">
        <v>3</v>
      </c>
      <c r="U517" t="s">
        <v>3</v>
      </c>
      <c r="V517" t="s">
        <v>3</v>
      </c>
      <c r="W517" t="s">
        <v>68</v>
      </c>
      <c r="X517" s="17">
        <v>43104</v>
      </c>
      <c r="Y517" t="s">
        <v>749</v>
      </c>
      <c r="Z517" s="17">
        <v>43104</v>
      </c>
      <c r="AA517" t="s">
        <v>3</v>
      </c>
      <c r="AB517" t="s">
        <v>749</v>
      </c>
    </row>
    <row r="518" spans="1:28" hidden="1">
      <c r="A518" t="s">
        <v>1411</v>
      </c>
      <c r="B518" s="17">
        <v>43104</v>
      </c>
      <c r="C518" s="17">
        <v>43104</v>
      </c>
      <c r="D518" t="s">
        <v>0</v>
      </c>
      <c r="E518" t="s">
        <v>1</v>
      </c>
      <c r="F518" s="18">
        <v>1077</v>
      </c>
      <c r="G518" s="18">
        <v>1077</v>
      </c>
      <c r="H518" t="s">
        <v>2</v>
      </c>
      <c r="I518" t="s">
        <v>10</v>
      </c>
      <c r="J518" s="18">
        <v>88260.15</v>
      </c>
      <c r="K518" t="s">
        <v>1373</v>
      </c>
      <c r="L518" t="s">
        <v>9</v>
      </c>
      <c r="M518" t="s">
        <v>1412</v>
      </c>
      <c r="N518" t="s">
        <v>3</v>
      </c>
      <c r="O518" t="s">
        <v>3</v>
      </c>
      <c r="P518" t="s">
        <v>5</v>
      </c>
      <c r="Q518" t="s">
        <v>1413</v>
      </c>
      <c r="R518" t="s">
        <v>3</v>
      </c>
      <c r="S518" t="s">
        <v>3</v>
      </c>
      <c r="T518" t="s">
        <v>3</v>
      </c>
      <c r="U518" t="s">
        <v>3</v>
      </c>
      <c r="V518" t="s">
        <v>3</v>
      </c>
      <c r="W518" t="s">
        <v>68</v>
      </c>
      <c r="X518" s="17">
        <v>43159</v>
      </c>
      <c r="Y518" t="s">
        <v>758</v>
      </c>
      <c r="Z518" s="17">
        <v>43104</v>
      </c>
      <c r="AA518" t="s">
        <v>3</v>
      </c>
      <c r="AB518" t="s">
        <v>1411</v>
      </c>
    </row>
    <row r="519" spans="1:28" hidden="1">
      <c r="A519" t="s">
        <v>1414</v>
      </c>
      <c r="B519" s="17">
        <v>43104</v>
      </c>
      <c r="C519" s="17">
        <v>43104</v>
      </c>
      <c r="D519" t="s">
        <v>0</v>
      </c>
      <c r="E519" t="s">
        <v>1</v>
      </c>
      <c r="F519" s="18">
        <v>15753</v>
      </c>
      <c r="G519" s="18">
        <v>15753</v>
      </c>
      <c r="H519" t="s">
        <v>2</v>
      </c>
      <c r="I519" t="s">
        <v>10</v>
      </c>
      <c r="J519" s="18">
        <v>1290958.3500000001</v>
      </c>
      <c r="K519" t="s">
        <v>1373</v>
      </c>
      <c r="L519" t="s">
        <v>9</v>
      </c>
      <c r="M519" t="s">
        <v>1415</v>
      </c>
      <c r="N519" t="s">
        <v>3</v>
      </c>
      <c r="O519" t="s">
        <v>3</v>
      </c>
      <c r="P519" t="s">
        <v>5</v>
      </c>
      <c r="Q519" t="s">
        <v>1416</v>
      </c>
      <c r="R519" t="s">
        <v>3</v>
      </c>
      <c r="S519" t="s">
        <v>3</v>
      </c>
      <c r="T519" t="s">
        <v>3</v>
      </c>
      <c r="U519" t="s">
        <v>3</v>
      </c>
      <c r="V519" t="s">
        <v>3</v>
      </c>
      <c r="W519" t="s">
        <v>68</v>
      </c>
      <c r="X519" s="17">
        <v>43159</v>
      </c>
      <c r="Y519" t="s">
        <v>758</v>
      </c>
      <c r="Z519" s="17">
        <v>43104</v>
      </c>
      <c r="AA519" t="s">
        <v>3</v>
      </c>
      <c r="AB519" t="s">
        <v>1414</v>
      </c>
    </row>
    <row r="520" spans="1:28" hidden="1">
      <c r="A520" t="s">
        <v>1414</v>
      </c>
      <c r="B520" s="17">
        <v>43104</v>
      </c>
      <c r="C520" s="17">
        <v>43104</v>
      </c>
      <c r="D520" t="s">
        <v>0</v>
      </c>
      <c r="E520" t="s">
        <v>1</v>
      </c>
      <c r="F520" s="18">
        <v>22426</v>
      </c>
      <c r="G520" s="18">
        <v>22426</v>
      </c>
      <c r="H520" t="s">
        <v>2</v>
      </c>
      <c r="I520" t="s">
        <v>10</v>
      </c>
      <c r="J520" s="18">
        <v>1837810.7</v>
      </c>
      <c r="K520" t="s">
        <v>1417</v>
      </c>
      <c r="L520" t="s">
        <v>9</v>
      </c>
      <c r="M520" t="s">
        <v>1415</v>
      </c>
      <c r="N520" t="s">
        <v>3</v>
      </c>
      <c r="O520" t="s">
        <v>3</v>
      </c>
      <c r="P520" t="s">
        <v>5</v>
      </c>
      <c r="Q520" t="s">
        <v>1416</v>
      </c>
      <c r="R520" t="s">
        <v>3</v>
      </c>
      <c r="S520" t="s">
        <v>3</v>
      </c>
      <c r="T520" t="s">
        <v>3</v>
      </c>
      <c r="U520" t="s">
        <v>3</v>
      </c>
      <c r="V520" t="s">
        <v>3</v>
      </c>
      <c r="W520" t="s">
        <v>68</v>
      </c>
      <c r="X520" s="17">
        <v>43159</v>
      </c>
      <c r="Y520" t="s">
        <v>764</v>
      </c>
      <c r="Z520" s="17">
        <v>43104</v>
      </c>
      <c r="AA520" t="s">
        <v>3</v>
      </c>
      <c r="AB520" t="s">
        <v>1414</v>
      </c>
    </row>
    <row r="521" spans="1:28" hidden="1">
      <c r="A521" t="s">
        <v>1548</v>
      </c>
      <c r="B521" s="17">
        <v>43104</v>
      </c>
      <c r="C521" s="17">
        <v>43104</v>
      </c>
      <c r="D521" t="s">
        <v>0</v>
      </c>
      <c r="E521" t="s">
        <v>1</v>
      </c>
      <c r="F521" s="18">
        <v>5651</v>
      </c>
      <c r="G521" s="18">
        <v>5651</v>
      </c>
      <c r="H521" t="s">
        <v>2</v>
      </c>
      <c r="I521" t="s">
        <v>8</v>
      </c>
      <c r="J521" s="18">
        <v>464512.2</v>
      </c>
      <c r="K521" t="s">
        <v>1549</v>
      </c>
      <c r="L521" t="s">
        <v>9</v>
      </c>
      <c r="M521" t="s">
        <v>1550</v>
      </c>
      <c r="N521" t="s">
        <v>3</v>
      </c>
      <c r="O521" t="s">
        <v>3</v>
      </c>
      <c r="P521" t="s">
        <v>5</v>
      </c>
      <c r="Q521" t="s">
        <v>1551</v>
      </c>
      <c r="R521" t="s">
        <v>3</v>
      </c>
      <c r="S521" t="s">
        <v>3</v>
      </c>
      <c r="T521" t="s">
        <v>3</v>
      </c>
      <c r="U521" t="s">
        <v>3</v>
      </c>
      <c r="V521" t="s">
        <v>3</v>
      </c>
      <c r="W521" t="s">
        <v>68</v>
      </c>
      <c r="X521" s="17">
        <v>43104</v>
      </c>
      <c r="Y521" t="s">
        <v>749</v>
      </c>
      <c r="Z521" s="17">
        <v>43104</v>
      </c>
      <c r="AA521" t="s">
        <v>3</v>
      </c>
      <c r="AB521" t="s">
        <v>1548</v>
      </c>
    </row>
    <row r="522" spans="1:28" hidden="1">
      <c r="A522" t="s">
        <v>1552</v>
      </c>
      <c r="B522" s="17">
        <v>43104</v>
      </c>
      <c r="C522" s="17">
        <v>43104</v>
      </c>
      <c r="D522" t="s">
        <v>0</v>
      </c>
      <c r="E522" t="s">
        <v>1</v>
      </c>
      <c r="F522" s="18">
        <v>267443</v>
      </c>
      <c r="G522" s="18">
        <v>267443</v>
      </c>
      <c r="H522" t="s">
        <v>2</v>
      </c>
      <c r="I522" t="s">
        <v>8</v>
      </c>
      <c r="J522" s="18">
        <v>21983814.600000001</v>
      </c>
      <c r="K522" t="s">
        <v>1549</v>
      </c>
      <c r="L522" t="s">
        <v>9</v>
      </c>
      <c r="M522" t="s">
        <v>1553</v>
      </c>
      <c r="N522" t="s">
        <v>3</v>
      </c>
      <c r="O522" t="s">
        <v>3</v>
      </c>
      <c r="P522" t="s">
        <v>5</v>
      </c>
      <c r="Q522" t="s">
        <v>1554</v>
      </c>
      <c r="R522" t="s">
        <v>3</v>
      </c>
      <c r="S522" t="s">
        <v>3</v>
      </c>
      <c r="T522" t="s">
        <v>3</v>
      </c>
      <c r="U522" t="s">
        <v>3</v>
      </c>
      <c r="V522" t="s">
        <v>3</v>
      </c>
      <c r="W522" t="s">
        <v>68</v>
      </c>
      <c r="X522" s="17">
        <v>43104</v>
      </c>
      <c r="Y522" t="s">
        <v>749</v>
      </c>
      <c r="Z522" s="17">
        <v>43104</v>
      </c>
      <c r="AA522" t="s">
        <v>3</v>
      </c>
      <c r="AB522" t="s">
        <v>1552</v>
      </c>
    </row>
    <row r="523" spans="1:28" hidden="1">
      <c r="A523" t="s">
        <v>1555</v>
      </c>
      <c r="B523" s="17">
        <v>43104</v>
      </c>
      <c r="C523" s="17">
        <v>43104</v>
      </c>
      <c r="D523" t="s">
        <v>0</v>
      </c>
      <c r="E523" t="s">
        <v>1</v>
      </c>
      <c r="F523" s="18">
        <v>43450</v>
      </c>
      <c r="G523" s="18">
        <v>43450</v>
      </c>
      <c r="H523" t="s">
        <v>2</v>
      </c>
      <c r="I523" t="s">
        <v>8</v>
      </c>
      <c r="J523" s="18">
        <v>3571590</v>
      </c>
      <c r="K523" t="s">
        <v>1549</v>
      </c>
      <c r="L523" t="s">
        <v>9</v>
      </c>
      <c r="M523" t="s">
        <v>1556</v>
      </c>
      <c r="N523" t="s">
        <v>3</v>
      </c>
      <c r="O523" t="s">
        <v>3</v>
      </c>
      <c r="P523" t="s">
        <v>5</v>
      </c>
      <c r="Q523" t="s">
        <v>1557</v>
      </c>
      <c r="R523" t="s">
        <v>3</v>
      </c>
      <c r="S523" t="s">
        <v>3</v>
      </c>
      <c r="T523" t="s">
        <v>3</v>
      </c>
      <c r="U523" t="s">
        <v>3</v>
      </c>
      <c r="V523" t="s">
        <v>3</v>
      </c>
      <c r="W523" t="s">
        <v>68</v>
      </c>
      <c r="X523" s="17">
        <v>43104</v>
      </c>
      <c r="Y523" t="s">
        <v>749</v>
      </c>
      <c r="Z523" s="17">
        <v>43104</v>
      </c>
      <c r="AA523" t="s">
        <v>3</v>
      </c>
      <c r="AB523" t="s">
        <v>1555</v>
      </c>
    </row>
    <row r="524" spans="1:28" hidden="1">
      <c r="A524" t="s">
        <v>1418</v>
      </c>
      <c r="B524" s="17">
        <v>43109</v>
      </c>
      <c r="C524" s="17">
        <v>43109</v>
      </c>
      <c r="D524" t="s">
        <v>0</v>
      </c>
      <c r="E524" t="s">
        <v>1</v>
      </c>
      <c r="F524" s="18">
        <v>45700</v>
      </c>
      <c r="G524" s="18">
        <v>45700</v>
      </c>
      <c r="H524" t="s">
        <v>2</v>
      </c>
      <c r="I524" t="s">
        <v>10</v>
      </c>
      <c r="J524" s="18">
        <v>3745115</v>
      </c>
      <c r="K524" t="s">
        <v>1417</v>
      </c>
      <c r="L524" t="s">
        <v>9</v>
      </c>
      <c r="M524" t="s">
        <v>1419</v>
      </c>
      <c r="N524" t="s">
        <v>3</v>
      </c>
      <c r="O524" t="s">
        <v>3</v>
      </c>
      <c r="P524" t="s">
        <v>5</v>
      </c>
      <c r="Q524" t="s">
        <v>1420</v>
      </c>
      <c r="R524" t="s">
        <v>3</v>
      </c>
      <c r="S524" t="s">
        <v>3</v>
      </c>
      <c r="T524" t="s">
        <v>3</v>
      </c>
      <c r="U524" t="s">
        <v>3</v>
      </c>
      <c r="V524" t="s">
        <v>3</v>
      </c>
      <c r="W524" t="s">
        <v>68</v>
      </c>
      <c r="X524" s="17">
        <v>43159</v>
      </c>
      <c r="Y524" t="s">
        <v>764</v>
      </c>
      <c r="Z524" s="17">
        <v>43109</v>
      </c>
      <c r="AA524" t="s">
        <v>3</v>
      </c>
      <c r="AB524" t="s">
        <v>1418</v>
      </c>
    </row>
    <row r="525" spans="1:28" hidden="1">
      <c r="A525" t="s">
        <v>1429</v>
      </c>
      <c r="B525" s="17">
        <v>43110</v>
      </c>
      <c r="C525" s="17">
        <v>43110</v>
      </c>
      <c r="D525" t="s">
        <v>0</v>
      </c>
      <c r="E525" t="s">
        <v>1</v>
      </c>
      <c r="F525" s="18">
        <v>172373</v>
      </c>
      <c r="G525" s="18">
        <v>172373</v>
      </c>
      <c r="H525" t="s">
        <v>2</v>
      </c>
      <c r="I525" t="s">
        <v>8</v>
      </c>
      <c r="J525" s="18">
        <v>14169060.6</v>
      </c>
      <c r="K525" t="s">
        <v>1426</v>
      </c>
      <c r="L525" t="s">
        <v>9</v>
      </c>
      <c r="M525" t="s">
        <v>1430</v>
      </c>
      <c r="N525" t="s">
        <v>3</v>
      </c>
      <c r="O525" t="s">
        <v>3</v>
      </c>
      <c r="P525" t="s">
        <v>5</v>
      </c>
      <c r="Q525" t="s">
        <v>1431</v>
      </c>
      <c r="R525" t="s">
        <v>3</v>
      </c>
      <c r="S525" t="s">
        <v>3</v>
      </c>
      <c r="T525" t="s">
        <v>3</v>
      </c>
      <c r="U525" t="s">
        <v>3</v>
      </c>
      <c r="V525" t="s">
        <v>3</v>
      </c>
      <c r="W525" t="s">
        <v>68</v>
      </c>
      <c r="X525" s="17">
        <v>43122</v>
      </c>
      <c r="Y525" t="s">
        <v>740</v>
      </c>
      <c r="Z525" s="17">
        <v>43110</v>
      </c>
      <c r="AA525" t="s">
        <v>3</v>
      </c>
      <c r="AB525" t="s">
        <v>1429</v>
      </c>
    </row>
    <row r="526" spans="1:28" hidden="1">
      <c r="A526" t="s">
        <v>1433</v>
      </c>
      <c r="B526" s="17">
        <v>43111</v>
      </c>
      <c r="C526" s="17">
        <v>43111</v>
      </c>
      <c r="D526" t="s">
        <v>0</v>
      </c>
      <c r="E526" t="s">
        <v>1</v>
      </c>
      <c r="F526" s="18">
        <v>5642</v>
      </c>
      <c r="G526" s="18">
        <v>5642</v>
      </c>
      <c r="H526" t="s">
        <v>2</v>
      </c>
      <c r="I526" t="s">
        <v>8</v>
      </c>
      <c r="J526" s="18">
        <v>463772.4</v>
      </c>
      <c r="K526" t="s">
        <v>1434</v>
      </c>
      <c r="L526" t="s">
        <v>9</v>
      </c>
      <c r="M526" t="s">
        <v>1435</v>
      </c>
      <c r="N526" t="s">
        <v>3</v>
      </c>
      <c r="O526" t="s">
        <v>3</v>
      </c>
      <c r="P526" t="s">
        <v>5</v>
      </c>
      <c r="Q526" t="s">
        <v>1436</v>
      </c>
      <c r="R526" t="s">
        <v>3</v>
      </c>
      <c r="S526" t="s">
        <v>3</v>
      </c>
      <c r="T526" t="s">
        <v>3</v>
      </c>
      <c r="U526" t="s">
        <v>3</v>
      </c>
      <c r="V526" t="s">
        <v>3</v>
      </c>
      <c r="W526" t="s">
        <v>68</v>
      </c>
      <c r="X526" s="17">
        <v>43122</v>
      </c>
      <c r="Y526" t="s">
        <v>740</v>
      </c>
      <c r="Z526" s="17">
        <v>43111</v>
      </c>
      <c r="AA526" t="s">
        <v>3</v>
      </c>
      <c r="AB526" t="s">
        <v>1433</v>
      </c>
    </row>
    <row r="527" spans="1:28" hidden="1">
      <c r="A527" t="s">
        <v>1437</v>
      </c>
      <c r="B527" s="17">
        <v>43111</v>
      </c>
      <c r="C527" s="17">
        <v>43111</v>
      </c>
      <c r="D527" t="s">
        <v>0</v>
      </c>
      <c r="E527" t="s">
        <v>1</v>
      </c>
      <c r="F527" s="18">
        <v>76873</v>
      </c>
      <c r="G527" s="18">
        <v>76873</v>
      </c>
      <c r="H527" t="s">
        <v>2</v>
      </c>
      <c r="I527" t="s">
        <v>8</v>
      </c>
      <c r="J527" s="18">
        <v>6318960.5999999996</v>
      </c>
      <c r="K527" t="s">
        <v>1434</v>
      </c>
      <c r="L527" t="s">
        <v>9</v>
      </c>
      <c r="M527" t="s">
        <v>1438</v>
      </c>
      <c r="N527" t="s">
        <v>3</v>
      </c>
      <c r="O527" t="s">
        <v>3</v>
      </c>
      <c r="P527" t="s">
        <v>5</v>
      </c>
      <c r="Q527" t="s">
        <v>1439</v>
      </c>
      <c r="R527" t="s">
        <v>3</v>
      </c>
      <c r="S527" t="s">
        <v>3</v>
      </c>
      <c r="T527" t="s">
        <v>3</v>
      </c>
      <c r="U527" t="s">
        <v>3</v>
      </c>
      <c r="V527" t="s">
        <v>3</v>
      </c>
      <c r="W527" t="s">
        <v>68</v>
      </c>
      <c r="X527" s="17">
        <v>43122</v>
      </c>
      <c r="Y527" t="s">
        <v>740</v>
      </c>
      <c r="Z527" s="17">
        <v>43111</v>
      </c>
      <c r="AA527" t="s">
        <v>3</v>
      </c>
      <c r="AB527" t="s">
        <v>1437</v>
      </c>
    </row>
    <row r="528" spans="1:28" hidden="1">
      <c r="A528" t="s">
        <v>1440</v>
      </c>
      <c r="B528" s="17">
        <v>43111</v>
      </c>
      <c r="C528" s="17">
        <v>43111</v>
      </c>
      <c r="D528" t="s">
        <v>0</v>
      </c>
      <c r="E528" t="s">
        <v>1</v>
      </c>
      <c r="F528" s="18">
        <v>30677</v>
      </c>
      <c r="G528" s="18">
        <v>30677</v>
      </c>
      <c r="H528" t="s">
        <v>2</v>
      </c>
      <c r="I528" t="s">
        <v>8</v>
      </c>
      <c r="J528" s="18">
        <v>2521649.4</v>
      </c>
      <c r="K528" t="s">
        <v>1434</v>
      </c>
      <c r="L528" t="s">
        <v>9</v>
      </c>
      <c r="M528" t="s">
        <v>1441</v>
      </c>
      <c r="N528" t="s">
        <v>3</v>
      </c>
      <c r="O528" t="s">
        <v>3</v>
      </c>
      <c r="P528" t="s">
        <v>5</v>
      </c>
      <c r="Q528" t="s">
        <v>1442</v>
      </c>
      <c r="R528" t="s">
        <v>3</v>
      </c>
      <c r="S528" t="s">
        <v>3</v>
      </c>
      <c r="T528" t="s">
        <v>3</v>
      </c>
      <c r="U528" t="s">
        <v>3</v>
      </c>
      <c r="V528" t="s">
        <v>3</v>
      </c>
      <c r="W528" t="s">
        <v>68</v>
      </c>
      <c r="X528" s="17">
        <v>43122</v>
      </c>
      <c r="Y528" t="s">
        <v>740</v>
      </c>
      <c r="Z528" s="17">
        <v>43111</v>
      </c>
      <c r="AA528" t="s">
        <v>3</v>
      </c>
      <c r="AB528" t="s">
        <v>1440</v>
      </c>
    </row>
    <row r="529" spans="1:28" hidden="1">
      <c r="A529" t="s">
        <v>1443</v>
      </c>
      <c r="B529" s="17">
        <v>43111</v>
      </c>
      <c r="C529" s="17">
        <v>43111</v>
      </c>
      <c r="D529" t="s">
        <v>0</v>
      </c>
      <c r="E529" t="s">
        <v>1</v>
      </c>
      <c r="F529" s="18">
        <v>-167403</v>
      </c>
      <c r="G529" s="18">
        <v>-167403</v>
      </c>
      <c r="H529" t="s">
        <v>2</v>
      </c>
      <c r="I529" t="s">
        <v>8</v>
      </c>
      <c r="J529" s="18">
        <v>-13760526.6</v>
      </c>
      <c r="K529" t="s">
        <v>1444</v>
      </c>
      <c r="L529" t="s">
        <v>9</v>
      </c>
      <c r="M529" t="s">
        <v>1445</v>
      </c>
      <c r="N529" t="s">
        <v>3</v>
      </c>
      <c r="O529" t="s">
        <v>3</v>
      </c>
      <c r="P529" t="s">
        <v>5</v>
      </c>
      <c r="Q529" t="s">
        <v>1446</v>
      </c>
      <c r="R529" t="s">
        <v>3</v>
      </c>
      <c r="S529" t="s">
        <v>3</v>
      </c>
      <c r="T529" t="s">
        <v>3</v>
      </c>
      <c r="U529" t="s">
        <v>3</v>
      </c>
      <c r="V529" t="s">
        <v>3</v>
      </c>
      <c r="W529" t="s">
        <v>68</v>
      </c>
      <c r="X529" s="17">
        <v>43128</v>
      </c>
      <c r="Y529" t="s">
        <v>737</v>
      </c>
      <c r="Z529" s="17">
        <v>43111</v>
      </c>
      <c r="AA529" t="s">
        <v>3</v>
      </c>
      <c r="AB529" t="s">
        <v>1443</v>
      </c>
    </row>
    <row r="530" spans="1:28" hidden="1">
      <c r="A530" t="s">
        <v>1447</v>
      </c>
      <c r="B530" s="17">
        <v>43115</v>
      </c>
      <c r="C530" s="17">
        <v>43115</v>
      </c>
      <c r="D530" t="s">
        <v>0</v>
      </c>
      <c r="E530" t="s">
        <v>1</v>
      </c>
      <c r="F530" s="18">
        <v>198503</v>
      </c>
      <c r="G530" s="18">
        <v>198503</v>
      </c>
      <c r="H530" t="s">
        <v>2</v>
      </c>
      <c r="I530" t="s">
        <v>8</v>
      </c>
      <c r="J530" s="18">
        <v>16316946.6</v>
      </c>
      <c r="K530" t="s">
        <v>1434</v>
      </c>
      <c r="L530" t="s">
        <v>9</v>
      </c>
      <c r="M530" t="s">
        <v>1448</v>
      </c>
      <c r="N530" t="s">
        <v>3</v>
      </c>
      <c r="O530" t="s">
        <v>3</v>
      </c>
      <c r="P530" t="s">
        <v>5</v>
      </c>
      <c r="Q530" t="s">
        <v>1449</v>
      </c>
      <c r="R530" t="s">
        <v>3</v>
      </c>
      <c r="S530" t="s">
        <v>3</v>
      </c>
      <c r="T530" t="s">
        <v>3</v>
      </c>
      <c r="U530" t="s">
        <v>3</v>
      </c>
      <c r="V530" t="s">
        <v>3</v>
      </c>
      <c r="W530" t="s">
        <v>68</v>
      </c>
      <c r="X530" s="17">
        <v>43122</v>
      </c>
      <c r="Y530" t="s">
        <v>740</v>
      </c>
      <c r="Z530" s="17">
        <v>43115</v>
      </c>
      <c r="AA530" t="s">
        <v>3</v>
      </c>
      <c r="AB530" t="s">
        <v>1447</v>
      </c>
    </row>
    <row r="531" spans="1:28" hidden="1">
      <c r="A531" t="s">
        <v>1450</v>
      </c>
      <c r="B531" s="17">
        <v>43115</v>
      </c>
      <c r="C531" s="17">
        <v>43115</v>
      </c>
      <c r="D531" t="s">
        <v>0</v>
      </c>
      <c r="E531" t="s">
        <v>1</v>
      </c>
      <c r="F531" s="18">
        <v>189362</v>
      </c>
      <c r="G531" s="18">
        <v>189362</v>
      </c>
      <c r="H531" t="s">
        <v>2</v>
      </c>
      <c r="I531" t="s">
        <v>8</v>
      </c>
      <c r="J531" s="18">
        <v>15565556.4</v>
      </c>
      <c r="K531" t="s">
        <v>1434</v>
      </c>
      <c r="L531" t="s">
        <v>9</v>
      </c>
      <c r="M531" t="s">
        <v>1451</v>
      </c>
      <c r="N531" t="s">
        <v>3</v>
      </c>
      <c r="O531" t="s">
        <v>3</v>
      </c>
      <c r="P531" t="s">
        <v>5</v>
      </c>
      <c r="Q531" t="s">
        <v>1452</v>
      </c>
      <c r="R531" t="s">
        <v>3</v>
      </c>
      <c r="S531" t="s">
        <v>3</v>
      </c>
      <c r="T531" t="s">
        <v>3</v>
      </c>
      <c r="U531" t="s">
        <v>3</v>
      </c>
      <c r="V531" t="s">
        <v>3</v>
      </c>
      <c r="W531" t="s">
        <v>68</v>
      </c>
      <c r="X531" s="17">
        <v>43122</v>
      </c>
      <c r="Y531" t="s">
        <v>740</v>
      </c>
      <c r="Z531" s="17">
        <v>43115</v>
      </c>
      <c r="AA531" t="s">
        <v>3</v>
      </c>
      <c r="AB531" t="s">
        <v>1450</v>
      </c>
    </row>
    <row r="532" spans="1:28" hidden="1">
      <c r="A532" t="s">
        <v>1453</v>
      </c>
      <c r="B532" s="17">
        <v>43116</v>
      </c>
      <c r="C532" s="17">
        <v>43116</v>
      </c>
      <c r="D532" t="s">
        <v>0</v>
      </c>
      <c r="E532" t="s">
        <v>1</v>
      </c>
      <c r="F532" s="18">
        <v>5088</v>
      </c>
      <c r="G532" s="18">
        <v>5088</v>
      </c>
      <c r="H532" t="s">
        <v>2</v>
      </c>
      <c r="I532" t="s">
        <v>10</v>
      </c>
      <c r="J532" s="18">
        <v>416961.6</v>
      </c>
      <c r="K532" t="s">
        <v>1417</v>
      </c>
      <c r="L532" t="s">
        <v>9</v>
      </c>
      <c r="M532" t="s">
        <v>1454</v>
      </c>
      <c r="N532" t="s">
        <v>3</v>
      </c>
      <c r="O532" t="s">
        <v>3</v>
      </c>
      <c r="P532" t="s">
        <v>5</v>
      </c>
      <c r="Q532" t="s">
        <v>1455</v>
      </c>
      <c r="R532" t="s">
        <v>3</v>
      </c>
      <c r="S532" t="s">
        <v>3</v>
      </c>
      <c r="T532" t="s">
        <v>3</v>
      </c>
      <c r="U532" t="s">
        <v>3</v>
      </c>
      <c r="V532" t="s">
        <v>3</v>
      </c>
      <c r="W532" t="s">
        <v>68</v>
      </c>
      <c r="X532" s="17">
        <v>43159</v>
      </c>
      <c r="Y532" t="s">
        <v>764</v>
      </c>
      <c r="Z532" s="17">
        <v>43116</v>
      </c>
      <c r="AA532" t="s">
        <v>3</v>
      </c>
      <c r="AB532" t="s">
        <v>1453</v>
      </c>
    </row>
    <row r="533" spans="1:28" hidden="1">
      <c r="A533" t="s">
        <v>1453</v>
      </c>
      <c r="B533" s="17">
        <v>43116</v>
      </c>
      <c r="C533" s="17">
        <v>43116</v>
      </c>
      <c r="D533" t="s">
        <v>0</v>
      </c>
      <c r="E533" t="s">
        <v>1</v>
      </c>
      <c r="F533" s="18">
        <v>7857</v>
      </c>
      <c r="G533" s="18">
        <v>7857</v>
      </c>
      <c r="H533" t="s">
        <v>2</v>
      </c>
      <c r="I533" t="s">
        <v>10</v>
      </c>
      <c r="J533" s="18">
        <v>645845.4</v>
      </c>
      <c r="K533" t="s">
        <v>1456</v>
      </c>
      <c r="L533" t="s">
        <v>9</v>
      </c>
      <c r="M533" t="s">
        <v>1454</v>
      </c>
      <c r="N533" t="s">
        <v>3</v>
      </c>
      <c r="O533" t="s">
        <v>3</v>
      </c>
      <c r="P533" t="s">
        <v>5</v>
      </c>
      <c r="Q533" t="s">
        <v>1455</v>
      </c>
      <c r="R533" t="s">
        <v>3</v>
      </c>
      <c r="S533" t="s">
        <v>3</v>
      </c>
      <c r="T533" t="s">
        <v>3</v>
      </c>
      <c r="U533" t="s">
        <v>3</v>
      </c>
      <c r="V533" t="s">
        <v>3</v>
      </c>
      <c r="W533" t="s">
        <v>68</v>
      </c>
      <c r="X533" s="17">
        <v>43118</v>
      </c>
      <c r="Y533" t="s">
        <v>734</v>
      </c>
      <c r="Z533" s="17">
        <v>43116</v>
      </c>
      <c r="AA533" t="s">
        <v>3</v>
      </c>
      <c r="AB533" t="s">
        <v>1453</v>
      </c>
    </row>
    <row r="534" spans="1:28" hidden="1">
      <c r="A534" t="s">
        <v>1457</v>
      </c>
      <c r="B534" s="17">
        <v>43116</v>
      </c>
      <c r="C534" s="17">
        <v>43116</v>
      </c>
      <c r="D534" t="s">
        <v>0</v>
      </c>
      <c r="E534" t="s">
        <v>1</v>
      </c>
      <c r="F534" s="18">
        <v>30109</v>
      </c>
      <c r="G534" s="18">
        <v>30109</v>
      </c>
      <c r="H534" t="s">
        <v>2</v>
      </c>
      <c r="I534" t="s">
        <v>8</v>
      </c>
      <c r="J534" s="18">
        <v>2474959.7999999998</v>
      </c>
      <c r="K534" t="s">
        <v>1434</v>
      </c>
      <c r="L534" t="s">
        <v>9</v>
      </c>
      <c r="M534" t="s">
        <v>1458</v>
      </c>
      <c r="N534" t="s">
        <v>3</v>
      </c>
      <c r="O534" t="s">
        <v>3</v>
      </c>
      <c r="P534" t="s">
        <v>5</v>
      </c>
      <c r="Q534" t="s">
        <v>1459</v>
      </c>
      <c r="R534" t="s">
        <v>3</v>
      </c>
      <c r="S534" t="s">
        <v>3</v>
      </c>
      <c r="T534" t="s">
        <v>3</v>
      </c>
      <c r="U534" t="s">
        <v>3</v>
      </c>
      <c r="V534" t="s">
        <v>3</v>
      </c>
      <c r="W534" t="s">
        <v>68</v>
      </c>
      <c r="X534" s="17">
        <v>43122</v>
      </c>
      <c r="Y534" t="s">
        <v>740</v>
      </c>
      <c r="Z534" s="17">
        <v>43116</v>
      </c>
      <c r="AA534" t="s">
        <v>3</v>
      </c>
      <c r="AB534" t="s">
        <v>1457</v>
      </c>
    </row>
    <row r="535" spans="1:28" hidden="1">
      <c r="A535" t="s">
        <v>1460</v>
      </c>
      <c r="B535" s="17">
        <v>43116</v>
      </c>
      <c r="C535" s="17">
        <v>43116</v>
      </c>
      <c r="D535" t="s">
        <v>0</v>
      </c>
      <c r="E535" t="s">
        <v>1</v>
      </c>
      <c r="F535" s="18">
        <v>17414</v>
      </c>
      <c r="G535" s="18">
        <v>17414</v>
      </c>
      <c r="H535" t="s">
        <v>2</v>
      </c>
      <c r="I535" t="s">
        <v>8</v>
      </c>
      <c r="J535" s="18">
        <v>1431430.8</v>
      </c>
      <c r="K535" t="s">
        <v>1434</v>
      </c>
      <c r="L535" t="s">
        <v>9</v>
      </c>
      <c r="M535" t="s">
        <v>1461</v>
      </c>
      <c r="N535" t="s">
        <v>3</v>
      </c>
      <c r="O535" t="s">
        <v>3</v>
      </c>
      <c r="P535" t="s">
        <v>5</v>
      </c>
      <c r="Q535" t="s">
        <v>1462</v>
      </c>
      <c r="R535" t="s">
        <v>3</v>
      </c>
      <c r="S535" t="s">
        <v>3</v>
      </c>
      <c r="T535" t="s">
        <v>3</v>
      </c>
      <c r="U535" t="s">
        <v>3</v>
      </c>
      <c r="V535" t="s">
        <v>3</v>
      </c>
      <c r="W535" t="s">
        <v>68</v>
      </c>
      <c r="X535" s="17">
        <v>43122</v>
      </c>
      <c r="Y535" t="s">
        <v>740</v>
      </c>
      <c r="Z535" s="17">
        <v>43116</v>
      </c>
      <c r="AA535" t="s">
        <v>3</v>
      </c>
      <c r="AB535" t="s">
        <v>1460</v>
      </c>
    </row>
    <row r="536" spans="1:28" hidden="1">
      <c r="A536" t="s">
        <v>1463</v>
      </c>
      <c r="B536" s="17">
        <v>43117</v>
      </c>
      <c r="C536" s="17">
        <v>43117</v>
      </c>
      <c r="D536" t="s">
        <v>0</v>
      </c>
      <c r="E536" t="s">
        <v>1</v>
      </c>
      <c r="F536" s="18">
        <v>-326271</v>
      </c>
      <c r="G536" s="18">
        <v>-326271</v>
      </c>
      <c r="H536" t="s">
        <v>2</v>
      </c>
      <c r="I536" t="s">
        <v>8</v>
      </c>
      <c r="J536" s="18">
        <v>-26819476.210000001</v>
      </c>
      <c r="K536" t="s">
        <v>1464</v>
      </c>
      <c r="L536" t="s">
        <v>9</v>
      </c>
      <c r="M536" t="s">
        <v>1465</v>
      </c>
      <c r="N536" t="s">
        <v>3</v>
      </c>
      <c r="O536" t="s">
        <v>3</v>
      </c>
      <c r="P536" t="s">
        <v>5</v>
      </c>
      <c r="Q536" t="s">
        <v>1466</v>
      </c>
      <c r="R536" t="s">
        <v>3</v>
      </c>
      <c r="S536" t="s">
        <v>3</v>
      </c>
      <c r="T536" t="s">
        <v>3</v>
      </c>
      <c r="U536" t="s">
        <v>3</v>
      </c>
      <c r="V536" t="s">
        <v>3</v>
      </c>
      <c r="W536" t="s">
        <v>68</v>
      </c>
      <c r="X536" s="17">
        <v>43136</v>
      </c>
      <c r="Y536" t="s">
        <v>743</v>
      </c>
      <c r="Z536" s="17">
        <v>43117</v>
      </c>
      <c r="AA536" t="s">
        <v>3</v>
      </c>
      <c r="AB536" t="s">
        <v>1463</v>
      </c>
    </row>
    <row r="537" spans="1:28" hidden="1">
      <c r="A537" t="s">
        <v>734</v>
      </c>
      <c r="B537" s="17">
        <v>43118</v>
      </c>
      <c r="C537" s="17">
        <v>43118</v>
      </c>
      <c r="D537" t="s">
        <v>7</v>
      </c>
      <c r="E537" t="s">
        <v>1</v>
      </c>
      <c r="F537" s="18">
        <v>1</v>
      </c>
      <c r="G537" s="18">
        <v>1</v>
      </c>
      <c r="H537" t="s">
        <v>2</v>
      </c>
      <c r="I537" t="s">
        <v>10</v>
      </c>
      <c r="J537" s="18">
        <v>82.2</v>
      </c>
      <c r="K537" t="s">
        <v>735</v>
      </c>
      <c r="L537" t="s">
        <v>9</v>
      </c>
      <c r="M537" t="s">
        <v>736</v>
      </c>
      <c r="N537" t="s">
        <v>3</v>
      </c>
      <c r="O537" t="s">
        <v>3</v>
      </c>
      <c r="P537" t="s">
        <v>5</v>
      </c>
      <c r="Q537" t="s">
        <v>735</v>
      </c>
      <c r="R537" t="s">
        <v>3</v>
      </c>
      <c r="S537" t="s">
        <v>3</v>
      </c>
      <c r="T537" t="s">
        <v>3</v>
      </c>
      <c r="U537" t="s">
        <v>3</v>
      </c>
      <c r="V537" t="s">
        <v>3</v>
      </c>
      <c r="W537" t="s">
        <v>68</v>
      </c>
      <c r="X537" s="17">
        <v>43118</v>
      </c>
      <c r="Y537" t="s">
        <v>734</v>
      </c>
      <c r="Z537" s="17">
        <v>43118</v>
      </c>
      <c r="AA537" t="s">
        <v>3</v>
      </c>
      <c r="AB537" t="s">
        <v>734</v>
      </c>
    </row>
    <row r="538" spans="1:28" hidden="1">
      <c r="A538" t="s">
        <v>1467</v>
      </c>
      <c r="B538" s="17">
        <v>43118</v>
      </c>
      <c r="C538" s="17">
        <v>43118</v>
      </c>
      <c r="D538" t="s">
        <v>0</v>
      </c>
      <c r="E538" t="s">
        <v>1</v>
      </c>
      <c r="F538" s="18">
        <v>20017</v>
      </c>
      <c r="G538" s="18">
        <v>20017</v>
      </c>
      <c r="H538" t="s">
        <v>2</v>
      </c>
      <c r="I538" t="s">
        <v>8</v>
      </c>
      <c r="J538" s="18">
        <v>1645397.4</v>
      </c>
      <c r="K538" t="s">
        <v>1468</v>
      </c>
      <c r="L538" t="s">
        <v>9</v>
      </c>
      <c r="M538" t="s">
        <v>1469</v>
      </c>
      <c r="N538" t="s">
        <v>3</v>
      </c>
      <c r="O538" t="s">
        <v>3</v>
      </c>
      <c r="P538" t="s">
        <v>5</v>
      </c>
      <c r="Q538" t="s">
        <v>1470</v>
      </c>
      <c r="R538" t="s">
        <v>3</v>
      </c>
      <c r="S538" t="s">
        <v>3</v>
      </c>
      <c r="T538" t="s">
        <v>3</v>
      </c>
      <c r="U538" t="s">
        <v>3</v>
      </c>
      <c r="V538" t="s">
        <v>3</v>
      </c>
      <c r="W538" t="s">
        <v>68</v>
      </c>
      <c r="X538" s="17">
        <v>43122</v>
      </c>
      <c r="Y538" t="s">
        <v>740</v>
      </c>
      <c r="Z538" s="17">
        <v>43118</v>
      </c>
      <c r="AA538" t="s">
        <v>3</v>
      </c>
      <c r="AB538" t="s">
        <v>1467</v>
      </c>
    </row>
    <row r="539" spans="1:28" hidden="1">
      <c r="A539" t="s">
        <v>1471</v>
      </c>
      <c r="B539" s="17">
        <v>43118</v>
      </c>
      <c r="C539" s="17">
        <v>43118</v>
      </c>
      <c r="D539" t="s">
        <v>0</v>
      </c>
      <c r="E539" t="s">
        <v>1</v>
      </c>
      <c r="F539" s="18">
        <v>51468</v>
      </c>
      <c r="G539" s="18">
        <v>51468</v>
      </c>
      <c r="H539" t="s">
        <v>2</v>
      </c>
      <c r="I539" t="s">
        <v>10</v>
      </c>
      <c r="J539" s="18">
        <v>4230669.5999999996</v>
      </c>
      <c r="K539" t="s">
        <v>1472</v>
      </c>
      <c r="L539" t="s">
        <v>9</v>
      </c>
      <c r="M539" t="s">
        <v>1473</v>
      </c>
      <c r="N539" t="s">
        <v>3</v>
      </c>
      <c r="O539" t="s">
        <v>3</v>
      </c>
      <c r="P539" t="s">
        <v>5</v>
      </c>
      <c r="Q539" t="s">
        <v>1474</v>
      </c>
      <c r="R539" t="s">
        <v>3</v>
      </c>
      <c r="S539" t="s">
        <v>3</v>
      </c>
      <c r="T539" t="s">
        <v>3</v>
      </c>
      <c r="U539" t="s">
        <v>3</v>
      </c>
      <c r="V539" t="s">
        <v>3</v>
      </c>
      <c r="W539" t="s">
        <v>68</v>
      </c>
      <c r="X539" s="17">
        <v>43118</v>
      </c>
      <c r="Y539" t="s">
        <v>734</v>
      </c>
      <c r="Z539" s="17">
        <v>43118</v>
      </c>
      <c r="AA539" t="s">
        <v>3</v>
      </c>
      <c r="AB539" t="s">
        <v>1471</v>
      </c>
    </row>
    <row r="540" spans="1:28" hidden="1">
      <c r="A540" t="s">
        <v>1475</v>
      </c>
      <c r="B540" s="17">
        <v>43118</v>
      </c>
      <c r="C540" s="17">
        <v>43118</v>
      </c>
      <c r="D540" t="s">
        <v>0</v>
      </c>
      <c r="E540" t="s">
        <v>1</v>
      </c>
      <c r="F540" s="18">
        <v>-133646</v>
      </c>
      <c r="G540" s="18">
        <v>-133646</v>
      </c>
      <c r="H540" t="s">
        <v>2</v>
      </c>
      <c r="I540" t="s">
        <v>10</v>
      </c>
      <c r="J540" s="18">
        <v>-10985701.199999999</v>
      </c>
      <c r="K540" t="s">
        <v>1476</v>
      </c>
      <c r="L540" t="s">
        <v>9</v>
      </c>
      <c r="M540" t="s">
        <v>1477</v>
      </c>
      <c r="N540" t="s">
        <v>3</v>
      </c>
      <c r="O540" t="s">
        <v>3</v>
      </c>
      <c r="P540" t="s">
        <v>5</v>
      </c>
      <c r="Q540" t="s">
        <v>1478</v>
      </c>
      <c r="R540" t="s">
        <v>3</v>
      </c>
      <c r="S540" t="s">
        <v>3</v>
      </c>
      <c r="T540" t="s">
        <v>3</v>
      </c>
      <c r="U540" t="s">
        <v>3</v>
      </c>
      <c r="V540" t="s">
        <v>3</v>
      </c>
      <c r="W540" t="s">
        <v>68</v>
      </c>
      <c r="X540" s="17">
        <v>43138</v>
      </c>
      <c r="Y540" t="s">
        <v>746</v>
      </c>
      <c r="Z540" s="17">
        <v>43118</v>
      </c>
      <c r="AA540" t="s">
        <v>3</v>
      </c>
      <c r="AB540" t="s">
        <v>1475</v>
      </c>
    </row>
    <row r="541" spans="1:28" hidden="1">
      <c r="A541" t="s">
        <v>740</v>
      </c>
      <c r="B541" s="17">
        <v>43122</v>
      </c>
      <c r="C541" s="17">
        <v>43122</v>
      </c>
      <c r="D541" t="s">
        <v>7</v>
      </c>
      <c r="E541" t="s">
        <v>1</v>
      </c>
      <c r="F541" s="18">
        <v>846648</v>
      </c>
      <c r="G541" s="18">
        <v>846648</v>
      </c>
      <c r="H541" t="s">
        <v>2</v>
      </c>
      <c r="I541" t="s">
        <v>8</v>
      </c>
      <c r="J541" s="18">
        <v>69594465.599999994</v>
      </c>
      <c r="K541" t="s">
        <v>741</v>
      </c>
      <c r="L541" t="s">
        <v>9</v>
      </c>
      <c r="M541" t="s">
        <v>742</v>
      </c>
      <c r="N541" t="s">
        <v>3</v>
      </c>
      <c r="O541" t="s">
        <v>3</v>
      </c>
      <c r="P541" t="s">
        <v>5</v>
      </c>
      <c r="Q541" t="s">
        <v>741</v>
      </c>
      <c r="R541" t="s">
        <v>3</v>
      </c>
      <c r="S541" t="s">
        <v>3</v>
      </c>
      <c r="T541" t="s">
        <v>3</v>
      </c>
      <c r="U541" t="s">
        <v>3</v>
      </c>
      <c r="V541" t="s">
        <v>3</v>
      </c>
      <c r="W541" t="s">
        <v>68</v>
      </c>
      <c r="X541" s="17">
        <v>43122</v>
      </c>
      <c r="Y541" t="s">
        <v>740</v>
      </c>
      <c r="Z541" s="17">
        <v>43122</v>
      </c>
      <c r="AA541" t="s">
        <v>3</v>
      </c>
      <c r="AB541" t="s">
        <v>740</v>
      </c>
    </row>
    <row r="542" spans="1:28" hidden="1">
      <c r="A542" t="s">
        <v>740</v>
      </c>
      <c r="B542" s="17">
        <v>43122</v>
      </c>
      <c r="C542" s="17">
        <v>43122</v>
      </c>
      <c r="D542" t="s">
        <v>7</v>
      </c>
      <c r="E542" t="s">
        <v>1</v>
      </c>
      <c r="F542" s="18">
        <v>-846648</v>
      </c>
      <c r="G542" s="18">
        <v>-846648</v>
      </c>
      <c r="H542" t="s">
        <v>2</v>
      </c>
      <c r="I542" t="s">
        <v>8</v>
      </c>
      <c r="J542" s="18">
        <v>-69594465.599999994</v>
      </c>
      <c r="K542" t="s">
        <v>741</v>
      </c>
      <c r="L542" t="s">
        <v>9</v>
      </c>
      <c r="M542" t="s">
        <v>742</v>
      </c>
      <c r="N542" t="s">
        <v>3</v>
      </c>
      <c r="O542" t="s">
        <v>3</v>
      </c>
      <c r="P542" t="s">
        <v>5</v>
      </c>
      <c r="Q542" t="s">
        <v>741</v>
      </c>
      <c r="R542" t="s">
        <v>3</v>
      </c>
      <c r="S542" t="s">
        <v>3</v>
      </c>
      <c r="T542" t="s">
        <v>3</v>
      </c>
      <c r="U542" t="s">
        <v>3</v>
      </c>
      <c r="V542" t="s">
        <v>3</v>
      </c>
      <c r="W542" t="s">
        <v>68</v>
      </c>
      <c r="X542" s="17">
        <v>43122</v>
      </c>
      <c r="Y542" t="s">
        <v>740</v>
      </c>
      <c r="Z542" s="17">
        <v>43122</v>
      </c>
      <c r="AA542" t="s">
        <v>3</v>
      </c>
      <c r="AB542" t="s">
        <v>740</v>
      </c>
    </row>
    <row r="543" spans="1:28" hidden="1">
      <c r="A543" t="s">
        <v>1479</v>
      </c>
      <c r="B543" s="17">
        <v>43122</v>
      </c>
      <c r="C543" s="17">
        <v>43122</v>
      </c>
      <c r="D543" t="s">
        <v>0</v>
      </c>
      <c r="E543" t="s">
        <v>1</v>
      </c>
      <c r="F543" s="18">
        <v>75813</v>
      </c>
      <c r="G543" s="18">
        <v>75813</v>
      </c>
      <c r="H543" t="s">
        <v>2</v>
      </c>
      <c r="I543" t="s">
        <v>8</v>
      </c>
      <c r="J543" s="18">
        <v>6231828.5999999996</v>
      </c>
      <c r="K543" t="s">
        <v>1434</v>
      </c>
      <c r="L543" t="s">
        <v>9</v>
      </c>
      <c r="M543" t="s">
        <v>1480</v>
      </c>
      <c r="N543" t="s">
        <v>3</v>
      </c>
      <c r="O543" t="s">
        <v>3</v>
      </c>
      <c r="P543" t="s">
        <v>5</v>
      </c>
      <c r="Q543" t="s">
        <v>1481</v>
      </c>
      <c r="R543" t="s">
        <v>3</v>
      </c>
      <c r="S543" t="s">
        <v>3</v>
      </c>
      <c r="T543" t="s">
        <v>3</v>
      </c>
      <c r="U543" t="s">
        <v>3</v>
      </c>
      <c r="V543" t="s">
        <v>3</v>
      </c>
      <c r="W543" t="s">
        <v>68</v>
      </c>
      <c r="X543" s="17">
        <v>43122</v>
      </c>
      <c r="Y543" t="s">
        <v>740</v>
      </c>
      <c r="Z543" s="17">
        <v>43122</v>
      </c>
      <c r="AA543" t="s">
        <v>3</v>
      </c>
      <c r="AB543" t="s">
        <v>1479</v>
      </c>
    </row>
    <row r="544" spans="1:28" hidden="1">
      <c r="A544" t="s">
        <v>1479</v>
      </c>
      <c r="B544" s="17">
        <v>43122</v>
      </c>
      <c r="C544" s="17">
        <v>43122</v>
      </c>
      <c r="D544" t="s">
        <v>0</v>
      </c>
      <c r="E544" t="s">
        <v>1</v>
      </c>
      <c r="F544" s="18">
        <v>106568</v>
      </c>
      <c r="G544" s="18">
        <v>106568</v>
      </c>
      <c r="H544" t="s">
        <v>2</v>
      </c>
      <c r="I544" t="s">
        <v>8</v>
      </c>
      <c r="J544" s="18">
        <v>8759889.5999999996</v>
      </c>
      <c r="K544" t="s">
        <v>1482</v>
      </c>
      <c r="L544" t="s">
        <v>9</v>
      </c>
      <c r="M544" t="s">
        <v>1480</v>
      </c>
      <c r="N544" t="s">
        <v>3</v>
      </c>
      <c r="O544" t="s">
        <v>3</v>
      </c>
      <c r="P544" t="s">
        <v>5</v>
      </c>
      <c r="Q544" t="s">
        <v>1481</v>
      </c>
      <c r="R544" t="s">
        <v>3</v>
      </c>
      <c r="S544" t="s">
        <v>3</v>
      </c>
      <c r="T544" t="s">
        <v>3</v>
      </c>
      <c r="U544" t="s">
        <v>3</v>
      </c>
      <c r="V544" t="s">
        <v>3</v>
      </c>
      <c r="W544" t="s">
        <v>68</v>
      </c>
      <c r="X544" s="17">
        <v>43128</v>
      </c>
      <c r="Y544" t="s">
        <v>737</v>
      </c>
      <c r="Z544" s="17">
        <v>43122</v>
      </c>
      <c r="AA544" t="s">
        <v>3</v>
      </c>
      <c r="AB544" t="s">
        <v>1479</v>
      </c>
    </row>
    <row r="545" spans="1:28" hidden="1">
      <c r="A545" t="s">
        <v>1483</v>
      </c>
      <c r="B545" s="17">
        <v>43122</v>
      </c>
      <c r="C545" s="17">
        <v>43122</v>
      </c>
      <c r="D545" t="s">
        <v>0</v>
      </c>
      <c r="E545" t="s">
        <v>1</v>
      </c>
      <c r="F545" s="18">
        <v>29865</v>
      </c>
      <c r="G545" s="18">
        <v>29865</v>
      </c>
      <c r="H545" t="s">
        <v>2</v>
      </c>
      <c r="I545" t="s">
        <v>8</v>
      </c>
      <c r="J545" s="18">
        <v>2454903</v>
      </c>
      <c r="K545" t="s">
        <v>1434</v>
      </c>
      <c r="L545" t="s">
        <v>9</v>
      </c>
      <c r="M545" t="s">
        <v>1484</v>
      </c>
      <c r="N545" t="s">
        <v>3</v>
      </c>
      <c r="O545" t="s">
        <v>3</v>
      </c>
      <c r="P545" t="s">
        <v>5</v>
      </c>
      <c r="Q545" t="s">
        <v>1485</v>
      </c>
      <c r="R545" t="s">
        <v>3</v>
      </c>
      <c r="S545" t="s">
        <v>3</v>
      </c>
      <c r="T545" t="s">
        <v>3</v>
      </c>
      <c r="U545" t="s">
        <v>3</v>
      </c>
      <c r="V545" t="s">
        <v>3</v>
      </c>
      <c r="W545" t="s">
        <v>68</v>
      </c>
      <c r="X545" s="17">
        <v>43122</v>
      </c>
      <c r="Y545" t="s">
        <v>740</v>
      </c>
      <c r="Z545" s="17">
        <v>43122</v>
      </c>
      <c r="AA545" t="s">
        <v>3</v>
      </c>
      <c r="AB545" t="s">
        <v>1483</v>
      </c>
    </row>
    <row r="546" spans="1:28" hidden="1">
      <c r="A546" t="s">
        <v>1486</v>
      </c>
      <c r="B546" s="17">
        <v>43122</v>
      </c>
      <c r="C546" s="17">
        <v>43122</v>
      </c>
      <c r="D546" t="s">
        <v>0</v>
      </c>
      <c r="E546" t="s">
        <v>1</v>
      </c>
      <c r="F546" s="18">
        <v>7862</v>
      </c>
      <c r="G546" s="18">
        <v>7862</v>
      </c>
      <c r="H546" t="s">
        <v>2</v>
      </c>
      <c r="I546" t="s">
        <v>8</v>
      </c>
      <c r="J546" s="18">
        <v>646256.4</v>
      </c>
      <c r="K546" t="s">
        <v>1482</v>
      </c>
      <c r="L546" t="s">
        <v>9</v>
      </c>
      <c r="M546" t="s">
        <v>1487</v>
      </c>
      <c r="N546" t="s">
        <v>3</v>
      </c>
      <c r="O546" t="s">
        <v>3</v>
      </c>
      <c r="P546" t="s">
        <v>5</v>
      </c>
      <c r="Q546" t="s">
        <v>1488</v>
      </c>
      <c r="R546" t="s">
        <v>3</v>
      </c>
      <c r="S546" t="s">
        <v>3</v>
      </c>
      <c r="T546" t="s">
        <v>3</v>
      </c>
      <c r="U546" t="s">
        <v>3</v>
      </c>
      <c r="V546" t="s">
        <v>3</v>
      </c>
      <c r="W546" t="s">
        <v>68</v>
      </c>
      <c r="X546" s="17">
        <v>43128</v>
      </c>
      <c r="Y546" t="s">
        <v>737</v>
      </c>
      <c r="Z546" s="17">
        <v>43122</v>
      </c>
      <c r="AA546" t="s">
        <v>3</v>
      </c>
      <c r="AB546" t="s">
        <v>1486</v>
      </c>
    </row>
    <row r="547" spans="1:28" hidden="1">
      <c r="A547" t="s">
        <v>1489</v>
      </c>
      <c r="B547" s="17">
        <v>43124</v>
      </c>
      <c r="C547" s="17">
        <v>43124</v>
      </c>
      <c r="D547" t="s">
        <v>0</v>
      </c>
      <c r="E547" t="s">
        <v>1</v>
      </c>
      <c r="F547" s="18">
        <v>8977</v>
      </c>
      <c r="G547" s="18">
        <v>8977</v>
      </c>
      <c r="H547" t="s">
        <v>2</v>
      </c>
      <c r="I547" t="s">
        <v>8</v>
      </c>
      <c r="J547" s="18">
        <v>737909.4</v>
      </c>
      <c r="K547" t="s">
        <v>1482</v>
      </c>
      <c r="L547" t="s">
        <v>9</v>
      </c>
      <c r="M547" t="s">
        <v>1490</v>
      </c>
      <c r="N547" t="s">
        <v>3</v>
      </c>
      <c r="O547" t="s">
        <v>3</v>
      </c>
      <c r="P547" t="s">
        <v>5</v>
      </c>
      <c r="Q547" t="s">
        <v>1491</v>
      </c>
      <c r="R547" t="s">
        <v>3</v>
      </c>
      <c r="S547" t="s">
        <v>3</v>
      </c>
      <c r="T547" t="s">
        <v>3</v>
      </c>
      <c r="U547" t="s">
        <v>3</v>
      </c>
      <c r="V547" t="s">
        <v>3</v>
      </c>
      <c r="W547" t="s">
        <v>68</v>
      </c>
      <c r="X547" s="17">
        <v>43128</v>
      </c>
      <c r="Y547" t="s">
        <v>737</v>
      </c>
      <c r="Z547" s="17">
        <v>43124</v>
      </c>
      <c r="AA547" t="s">
        <v>3</v>
      </c>
      <c r="AB547" t="s">
        <v>1489</v>
      </c>
    </row>
    <row r="548" spans="1:28" hidden="1">
      <c r="A548" t="s">
        <v>1492</v>
      </c>
      <c r="B548" s="17">
        <v>43124</v>
      </c>
      <c r="C548" s="17">
        <v>43124</v>
      </c>
      <c r="D548" t="s">
        <v>0</v>
      </c>
      <c r="E548" t="s">
        <v>1</v>
      </c>
      <c r="F548" s="18">
        <v>13375</v>
      </c>
      <c r="G548" s="18">
        <v>13375</v>
      </c>
      <c r="H548" t="s">
        <v>2</v>
      </c>
      <c r="I548" t="s">
        <v>10</v>
      </c>
      <c r="J548" s="18">
        <v>1099425</v>
      </c>
      <c r="K548" t="s">
        <v>1493</v>
      </c>
      <c r="L548" t="s">
        <v>9</v>
      </c>
      <c r="M548" t="s">
        <v>1494</v>
      </c>
      <c r="N548" t="s">
        <v>3</v>
      </c>
      <c r="O548" t="s">
        <v>3</v>
      </c>
      <c r="P548" t="s">
        <v>5</v>
      </c>
      <c r="Q548" t="s">
        <v>1495</v>
      </c>
      <c r="R548" t="s">
        <v>3</v>
      </c>
      <c r="S548" t="s">
        <v>3</v>
      </c>
      <c r="T548" t="s">
        <v>3</v>
      </c>
      <c r="U548" t="s">
        <v>3</v>
      </c>
      <c r="V548" t="s">
        <v>3</v>
      </c>
      <c r="W548" t="s">
        <v>68</v>
      </c>
      <c r="X548" s="17">
        <v>43138</v>
      </c>
      <c r="Y548" t="s">
        <v>746</v>
      </c>
      <c r="Z548" s="17">
        <v>43124</v>
      </c>
      <c r="AA548" t="s">
        <v>3</v>
      </c>
      <c r="AB548" t="s">
        <v>1492</v>
      </c>
    </row>
    <row r="549" spans="1:28" hidden="1">
      <c r="A549" t="s">
        <v>1496</v>
      </c>
      <c r="B549" s="17">
        <v>43125</v>
      </c>
      <c r="C549" s="17">
        <v>43125</v>
      </c>
      <c r="D549" t="s">
        <v>0</v>
      </c>
      <c r="E549" t="s">
        <v>1</v>
      </c>
      <c r="F549" s="18">
        <v>36103</v>
      </c>
      <c r="G549" s="18">
        <v>36103</v>
      </c>
      <c r="H549" t="s">
        <v>2</v>
      </c>
      <c r="I549" t="s">
        <v>10</v>
      </c>
      <c r="J549" s="18">
        <v>2967666.6</v>
      </c>
      <c r="K549" t="s">
        <v>1493</v>
      </c>
      <c r="L549" t="s">
        <v>9</v>
      </c>
      <c r="M549" t="s">
        <v>1497</v>
      </c>
      <c r="N549" t="s">
        <v>3</v>
      </c>
      <c r="O549" t="s">
        <v>3</v>
      </c>
      <c r="P549" t="s">
        <v>5</v>
      </c>
      <c r="Q549" t="s">
        <v>1498</v>
      </c>
      <c r="R549" t="s">
        <v>3</v>
      </c>
      <c r="S549" t="s">
        <v>3</v>
      </c>
      <c r="T549" t="s">
        <v>3</v>
      </c>
      <c r="U549" t="s">
        <v>3</v>
      </c>
      <c r="V549" t="s">
        <v>3</v>
      </c>
      <c r="W549" t="s">
        <v>68</v>
      </c>
      <c r="X549" s="17">
        <v>43138</v>
      </c>
      <c r="Y549" t="s">
        <v>746</v>
      </c>
      <c r="Z549" s="17">
        <v>43125</v>
      </c>
      <c r="AA549" t="s">
        <v>3</v>
      </c>
      <c r="AB549" t="s">
        <v>1496</v>
      </c>
    </row>
    <row r="550" spans="1:28" hidden="1">
      <c r="A550" t="s">
        <v>1499</v>
      </c>
      <c r="B550" s="17">
        <v>43125</v>
      </c>
      <c r="C550" s="17">
        <v>43125</v>
      </c>
      <c r="D550" t="s">
        <v>0</v>
      </c>
      <c r="E550" t="s">
        <v>1</v>
      </c>
      <c r="F550" s="18">
        <v>-105909</v>
      </c>
      <c r="G550" s="18">
        <v>-105909</v>
      </c>
      <c r="H550" t="s">
        <v>2</v>
      </c>
      <c r="I550" t="s">
        <v>10</v>
      </c>
      <c r="J550" s="18">
        <v>-8705719.8000000007</v>
      </c>
      <c r="K550" t="s">
        <v>1500</v>
      </c>
      <c r="L550" t="s">
        <v>9</v>
      </c>
      <c r="M550" t="s">
        <v>1501</v>
      </c>
      <c r="N550" t="s">
        <v>3</v>
      </c>
      <c r="O550" t="s">
        <v>3</v>
      </c>
      <c r="P550" t="s">
        <v>5</v>
      </c>
      <c r="Q550" t="s">
        <v>1502</v>
      </c>
      <c r="R550" t="s">
        <v>3</v>
      </c>
      <c r="S550" t="s">
        <v>3</v>
      </c>
      <c r="T550" t="s">
        <v>3</v>
      </c>
      <c r="U550" t="s">
        <v>3</v>
      </c>
      <c r="V550" t="s">
        <v>3</v>
      </c>
      <c r="W550" t="s">
        <v>68</v>
      </c>
      <c r="X550" s="17">
        <v>43159</v>
      </c>
      <c r="Y550" t="s">
        <v>755</v>
      </c>
      <c r="Z550" s="17">
        <v>43125</v>
      </c>
      <c r="AA550" t="s">
        <v>3</v>
      </c>
      <c r="AB550" t="s">
        <v>1499</v>
      </c>
    </row>
    <row r="551" spans="1:28" hidden="1">
      <c r="A551" t="s">
        <v>737</v>
      </c>
      <c r="B551" s="17">
        <v>43128</v>
      </c>
      <c r="C551" s="17">
        <v>43128</v>
      </c>
      <c r="D551" t="s">
        <v>7</v>
      </c>
      <c r="E551" t="s">
        <v>1</v>
      </c>
      <c r="F551" s="18">
        <v>-1</v>
      </c>
      <c r="G551" s="18">
        <v>-1</v>
      </c>
      <c r="H551" t="s">
        <v>2</v>
      </c>
      <c r="I551" t="s">
        <v>8</v>
      </c>
      <c r="J551" s="18">
        <v>-82.2</v>
      </c>
      <c r="K551" t="s">
        <v>3</v>
      </c>
      <c r="L551" t="s">
        <v>9</v>
      </c>
      <c r="M551" t="s">
        <v>738</v>
      </c>
      <c r="N551" t="s">
        <v>3</v>
      </c>
      <c r="O551" t="s">
        <v>3</v>
      </c>
      <c r="P551" t="s">
        <v>5</v>
      </c>
      <c r="Q551" t="s">
        <v>739</v>
      </c>
      <c r="R551" t="s">
        <v>3</v>
      </c>
      <c r="S551" t="s">
        <v>3</v>
      </c>
      <c r="T551" t="s">
        <v>3</v>
      </c>
      <c r="U551" t="s">
        <v>3</v>
      </c>
      <c r="V551" t="s">
        <v>3</v>
      </c>
      <c r="W551" t="s">
        <v>68</v>
      </c>
      <c r="X551" s="17">
        <v>43128</v>
      </c>
      <c r="Y551" t="s">
        <v>737</v>
      </c>
      <c r="Z551" s="17">
        <v>43128</v>
      </c>
      <c r="AA551" t="s">
        <v>3</v>
      </c>
      <c r="AB551" t="s">
        <v>737</v>
      </c>
    </row>
    <row r="552" spans="1:28" hidden="1">
      <c r="A552" t="s">
        <v>743</v>
      </c>
      <c r="B552" s="17">
        <v>43128</v>
      </c>
      <c r="C552" s="17">
        <v>43128</v>
      </c>
      <c r="D552" t="s">
        <v>7</v>
      </c>
      <c r="E552" t="s">
        <v>1</v>
      </c>
      <c r="F552" s="18">
        <v>326271</v>
      </c>
      <c r="G552" s="18">
        <v>326271</v>
      </c>
      <c r="H552" t="s">
        <v>2</v>
      </c>
      <c r="I552" t="s">
        <v>8</v>
      </c>
      <c r="J552" s="18">
        <v>26819476.210000001</v>
      </c>
      <c r="K552" t="s">
        <v>744</v>
      </c>
      <c r="L552" t="s">
        <v>9</v>
      </c>
      <c r="M552" t="s">
        <v>745</v>
      </c>
      <c r="N552" t="s">
        <v>3</v>
      </c>
      <c r="O552" t="s">
        <v>3</v>
      </c>
      <c r="P552" t="s">
        <v>5</v>
      </c>
      <c r="Q552" t="s">
        <v>744</v>
      </c>
      <c r="R552" t="s">
        <v>3</v>
      </c>
      <c r="S552" t="s">
        <v>3</v>
      </c>
      <c r="T552" t="s">
        <v>3</v>
      </c>
      <c r="U552" t="s">
        <v>3</v>
      </c>
      <c r="V552" t="s">
        <v>3</v>
      </c>
      <c r="W552" t="s">
        <v>68</v>
      </c>
      <c r="X552" s="17">
        <v>43136</v>
      </c>
      <c r="Y552" t="s">
        <v>743</v>
      </c>
      <c r="Z552" s="17">
        <v>43128</v>
      </c>
      <c r="AA552" t="s">
        <v>3</v>
      </c>
      <c r="AB552" t="s">
        <v>743</v>
      </c>
    </row>
    <row r="553" spans="1:28" hidden="1">
      <c r="A553" t="s">
        <v>743</v>
      </c>
      <c r="B553" s="17">
        <v>43128</v>
      </c>
      <c r="C553" s="17">
        <v>43128</v>
      </c>
      <c r="D553" t="s">
        <v>7</v>
      </c>
      <c r="E553" t="s">
        <v>1</v>
      </c>
      <c r="F553" s="18">
        <v>-326271</v>
      </c>
      <c r="G553" s="18">
        <v>-326271</v>
      </c>
      <c r="H553" t="s">
        <v>2</v>
      </c>
      <c r="I553" t="s">
        <v>8</v>
      </c>
      <c r="J553" s="18">
        <v>-26819476.210000001</v>
      </c>
      <c r="K553" t="s">
        <v>744</v>
      </c>
      <c r="L553" t="s">
        <v>9</v>
      </c>
      <c r="M553" t="s">
        <v>745</v>
      </c>
      <c r="N553" t="s">
        <v>3</v>
      </c>
      <c r="O553" t="s">
        <v>3</v>
      </c>
      <c r="P553" t="s">
        <v>5</v>
      </c>
      <c r="Q553" t="s">
        <v>744</v>
      </c>
      <c r="R553" t="s">
        <v>3</v>
      </c>
      <c r="S553" t="s">
        <v>3</v>
      </c>
      <c r="T553" t="s">
        <v>3</v>
      </c>
      <c r="U553" t="s">
        <v>3</v>
      </c>
      <c r="V553" t="s">
        <v>3</v>
      </c>
      <c r="W553" t="s">
        <v>68</v>
      </c>
      <c r="X553" s="17">
        <v>43136</v>
      </c>
      <c r="Y553" t="s">
        <v>743</v>
      </c>
      <c r="Z553" s="17">
        <v>43128</v>
      </c>
      <c r="AA553" t="s">
        <v>3</v>
      </c>
      <c r="AB553" t="s">
        <v>743</v>
      </c>
    </row>
    <row r="554" spans="1:28" hidden="1">
      <c r="A554" t="s">
        <v>746</v>
      </c>
      <c r="B554" s="17">
        <v>43128</v>
      </c>
      <c r="C554" s="17">
        <v>43128</v>
      </c>
      <c r="D554" t="s">
        <v>7</v>
      </c>
      <c r="E554" t="s">
        <v>1</v>
      </c>
      <c r="F554" s="18">
        <v>133646</v>
      </c>
      <c r="G554" s="18">
        <v>133646</v>
      </c>
      <c r="H554" t="s">
        <v>2</v>
      </c>
      <c r="I554" t="s">
        <v>10</v>
      </c>
      <c r="J554" s="18">
        <v>10985701.199999999</v>
      </c>
      <c r="K554" t="s">
        <v>747</v>
      </c>
      <c r="L554" t="s">
        <v>9</v>
      </c>
      <c r="M554" t="s">
        <v>748</v>
      </c>
      <c r="N554" t="s">
        <v>3</v>
      </c>
      <c r="O554" t="s">
        <v>3</v>
      </c>
      <c r="P554" t="s">
        <v>5</v>
      </c>
      <c r="Q554" t="s">
        <v>747</v>
      </c>
      <c r="R554" t="s">
        <v>3</v>
      </c>
      <c r="S554" t="s">
        <v>3</v>
      </c>
      <c r="T554" t="s">
        <v>3</v>
      </c>
      <c r="U554" t="s">
        <v>3</v>
      </c>
      <c r="V554" t="s">
        <v>3</v>
      </c>
      <c r="W554" t="s">
        <v>68</v>
      </c>
      <c r="X554" s="17">
        <v>43138</v>
      </c>
      <c r="Y554" t="s">
        <v>746</v>
      </c>
      <c r="Z554" s="17">
        <v>43128</v>
      </c>
      <c r="AA554" t="s">
        <v>3</v>
      </c>
      <c r="AB554" t="s">
        <v>746</v>
      </c>
    </row>
    <row r="555" spans="1:28" hidden="1">
      <c r="A555" t="s">
        <v>746</v>
      </c>
      <c r="B555" s="17">
        <v>43128</v>
      </c>
      <c r="C555" s="17">
        <v>43128</v>
      </c>
      <c r="D555" t="s">
        <v>7</v>
      </c>
      <c r="E555" t="s">
        <v>1</v>
      </c>
      <c r="F555" s="18">
        <v>-133646</v>
      </c>
      <c r="G555" s="18">
        <v>-133646</v>
      </c>
      <c r="H555" t="s">
        <v>2</v>
      </c>
      <c r="I555" t="s">
        <v>10</v>
      </c>
      <c r="J555" s="18">
        <v>-10985701.199999999</v>
      </c>
      <c r="K555" t="s">
        <v>747</v>
      </c>
      <c r="L555" t="s">
        <v>9</v>
      </c>
      <c r="M555" t="s">
        <v>748</v>
      </c>
      <c r="N555" t="s">
        <v>3</v>
      </c>
      <c r="O555" t="s">
        <v>3</v>
      </c>
      <c r="P555" t="s">
        <v>5</v>
      </c>
      <c r="Q555" t="s">
        <v>747</v>
      </c>
      <c r="R555" t="s">
        <v>3</v>
      </c>
      <c r="S555" t="s">
        <v>3</v>
      </c>
      <c r="T555" t="s">
        <v>3</v>
      </c>
      <c r="U555" t="s">
        <v>3</v>
      </c>
      <c r="V555" t="s">
        <v>3</v>
      </c>
      <c r="W555" t="s">
        <v>68</v>
      </c>
      <c r="X555" s="17">
        <v>43138</v>
      </c>
      <c r="Y555" t="s">
        <v>746</v>
      </c>
      <c r="Z555" s="17">
        <v>43128</v>
      </c>
      <c r="AA555" t="s">
        <v>3</v>
      </c>
      <c r="AB555" t="s">
        <v>746</v>
      </c>
    </row>
    <row r="556" spans="1:28" hidden="1">
      <c r="A556" t="s">
        <v>1503</v>
      </c>
      <c r="B556" s="17">
        <v>43128</v>
      </c>
      <c r="C556" s="17">
        <v>43128</v>
      </c>
      <c r="D556" t="s">
        <v>0</v>
      </c>
      <c r="E556" t="s">
        <v>1</v>
      </c>
      <c r="F556" s="18">
        <v>280625</v>
      </c>
      <c r="G556" s="18">
        <v>280625</v>
      </c>
      <c r="H556" t="s">
        <v>2</v>
      </c>
      <c r="I556" t="s">
        <v>8</v>
      </c>
      <c r="J556" s="18">
        <v>23067375.010000002</v>
      </c>
      <c r="K556" t="s">
        <v>1504</v>
      </c>
      <c r="L556" t="s">
        <v>9</v>
      </c>
      <c r="M556" t="s">
        <v>1505</v>
      </c>
      <c r="N556" t="s">
        <v>3</v>
      </c>
      <c r="O556" t="s">
        <v>3</v>
      </c>
      <c r="P556" t="s">
        <v>5</v>
      </c>
      <c r="Q556" t="s">
        <v>1506</v>
      </c>
      <c r="R556" t="s">
        <v>3</v>
      </c>
      <c r="S556" t="s">
        <v>3</v>
      </c>
      <c r="T556" t="s">
        <v>3</v>
      </c>
      <c r="U556" t="s">
        <v>3</v>
      </c>
      <c r="V556" t="s">
        <v>3</v>
      </c>
      <c r="W556" t="s">
        <v>68</v>
      </c>
      <c r="X556" s="17">
        <v>43136</v>
      </c>
      <c r="Y556" t="s">
        <v>743</v>
      </c>
      <c r="Z556" s="17">
        <v>43128</v>
      </c>
      <c r="AA556" t="s">
        <v>3</v>
      </c>
      <c r="AB556" t="s">
        <v>1503</v>
      </c>
    </row>
    <row r="557" spans="1:28" hidden="1">
      <c r="A557" t="s">
        <v>1503</v>
      </c>
      <c r="B557" s="17">
        <v>43128</v>
      </c>
      <c r="C557" s="17">
        <v>43128</v>
      </c>
      <c r="D557" t="s">
        <v>0</v>
      </c>
      <c r="E557" t="s">
        <v>1</v>
      </c>
      <c r="F557" s="18">
        <v>43997</v>
      </c>
      <c r="G557" s="18">
        <v>43997</v>
      </c>
      <c r="H557" t="s">
        <v>2</v>
      </c>
      <c r="I557" t="s">
        <v>8</v>
      </c>
      <c r="J557" s="18">
        <v>3616553.4</v>
      </c>
      <c r="K557" t="s">
        <v>1482</v>
      </c>
      <c r="L557" t="s">
        <v>9</v>
      </c>
      <c r="M557" t="s">
        <v>1505</v>
      </c>
      <c r="N557" t="s">
        <v>3</v>
      </c>
      <c r="O557" t="s">
        <v>3</v>
      </c>
      <c r="P557" t="s">
        <v>5</v>
      </c>
      <c r="Q557" t="s">
        <v>1506</v>
      </c>
      <c r="R557" t="s">
        <v>3</v>
      </c>
      <c r="S557" t="s">
        <v>3</v>
      </c>
      <c r="T557" t="s">
        <v>3</v>
      </c>
      <c r="U557" t="s">
        <v>3</v>
      </c>
      <c r="V557" t="s">
        <v>3</v>
      </c>
      <c r="W557" t="s">
        <v>68</v>
      </c>
      <c r="X557" s="17">
        <v>43128</v>
      </c>
      <c r="Y557" t="s">
        <v>737</v>
      </c>
      <c r="Z557" s="17">
        <v>43128</v>
      </c>
      <c r="AA557" t="s">
        <v>3</v>
      </c>
      <c r="AB557" t="s">
        <v>1503</v>
      </c>
    </row>
    <row r="558" spans="1:28" hidden="1">
      <c r="A558" t="s">
        <v>1507</v>
      </c>
      <c r="B558" s="17">
        <v>43128</v>
      </c>
      <c r="C558" s="17">
        <v>43128</v>
      </c>
      <c r="D558" t="s">
        <v>0</v>
      </c>
      <c r="E558" t="s">
        <v>1</v>
      </c>
      <c r="F558" s="18">
        <v>34160</v>
      </c>
      <c r="G558" s="18">
        <v>34160</v>
      </c>
      <c r="H558" t="s">
        <v>2</v>
      </c>
      <c r="I558" t="s">
        <v>8</v>
      </c>
      <c r="J558" s="18">
        <v>2807952</v>
      </c>
      <c r="K558" t="s">
        <v>1504</v>
      </c>
      <c r="L558" t="s">
        <v>9</v>
      </c>
      <c r="M558" t="s">
        <v>1508</v>
      </c>
      <c r="N558" t="s">
        <v>3</v>
      </c>
      <c r="O558" t="s">
        <v>3</v>
      </c>
      <c r="P558" t="s">
        <v>5</v>
      </c>
      <c r="Q558" t="s">
        <v>1509</v>
      </c>
      <c r="R558" t="s">
        <v>3</v>
      </c>
      <c r="S558" t="s">
        <v>3</v>
      </c>
      <c r="T558" t="s">
        <v>3</v>
      </c>
      <c r="U558" t="s">
        <v>3</v>
      </c>
      <c r="V558" t="s">
        <v>3</v>
      </c>
      <c r="W558" t="s">
        <v>68</v>
      </c>
      <c r="X558" s="17">
        <v>43136</v>
      </c>
      <c r="Y558" t="s">
        <v>743</v>
      </c>
      <c r="Z558" s="17">
        <v>43128</v>
      </c>
      <c r="AA558" t="s">
        <v>3</v>
      </c>
      <c r="AB558" t="s">
        <v>1507</v>
      </c>
    </row>
    <row r="559" spans="1:28" hidden="1">
      <c r="A559" t="s">
        <v>1510</v>
      </c>
      <c r="B559" s="17">
        <v>43128</v>
      </c>
      <c r="C559" s="17">
        <v>43128</v>
      </c>
      <c r="D559" t="s">
        <v>0</v>
      </c>
      <c r="E559" t="s">
        <v>1</v>
      </c>
      <c r="F559" s="18">
        <v>34390</v>
      </c>
      <c r="G559" s="18">
        <v>34390</v>
      </c>
      <c r="H559" t="s">
        <v>2</v>
      </c>
      <c r="I559" t="s">
        <v>10</v>
      </c>
      <c r="J559" s="18">
        <v>2826858</v>
      </c>
      <c r="K559" t="s">
        <v>1493</v>
      </c>
      <c r="L559" t="s">
        <v>9</v>
      </c>
      <c r="M559" t="s">
        <v>1511</v>
      </c>
      <c r="N559" t="s">
        <v>3</v>
      </c>
      <c r="O559" t="s">
        <v>3</v>
      </c>
      <c r="P559" t="s">
        <v>5</v>
      </c>
      <c r="Q559" t="s">
        <v>1512</v>
      </c>
      <c r="R559" t="s">
        <v>3</v>
      </c>
      <c r="S559" t="s">
        <v>3</v>
      </c>
      <c r="T559" t="s">
        <v>3</v>
      </c>
      <c r="U559" t="s">
        <v>3</v>
      </c>
      <c r="V559" t="s">
        <v>3</v>
      </c>
      <c r="W559" t="s">
        <v>68</v>
      </c>
      <c r="X559" s="17">
        <v>43138</v>
      </c>
      <c r="Y559" t="s">
        <v>746</v>
      </c>
      <c r="Z559" s="17">
        <v>43128</v>
      </c>
      <c r="AA559" t="s">
        <v>3</v>
      </c>
      <c r="AB559" t="s">
        <v>1510</v>
      </c>
    </row>
    <row r="560" spans="1:28" hidden="1">
      <c r="A560" t="s">
        <v>1513</v>
      </c>
      <c r="B560" s="17">
        <v>43130</v>
      </c>
      <c r="C560" s="17">
        <v>43130</v>
      </c>
      <c r="D560" t="s">
        <v>0</v>
      </c>
      <c r="E560" t="s">
        <v>1</v>
      </c>
      <c r="F560" s="18">
        <v>-514644</v>
      </c>
      <c r="G560" s="18">
        <v>-514644</v>
      </c>
      <c r="H560" t="s">
        <v>2</v>
      </c>
      <c r="I560" t="s">
        <v>8</v>
      </c>
      <c r="J560" s="18">
        <v>-42303736.799999997</v>
      </c>
      <c r="K560" t="s">
        <v>1514</v>
      </c>
      <c r="L560" t="s">
        <v>9</v>
      </c>
      <c r="M560" t="s">
        <v>1515</v>
      </c>
      <c r="N560" t="s">
        <v>3</v>
      </c>
      <c r="O560" t="s">
        <v>3</v>
      </c>
      <c r="P560" t="s">
        <v>5</v>
      </c>
      <c r="Q560" t="s">
        <v>1516</v>
      </c>
      <c r="R560" t="s">
        <v>3</v>
      </c>
      <c r="S560" t="s">
        <v>3</v>
      </c>
      <c r="T560" t="s">
        <v>3</v>
      </c>
      <c r="U560" t="s">
        <v>3</v>
      </c>
      <c r="V560" t="s">
        <v>3</v>
      </c>
      <c r="W560" t="s">
        <v>68</v>
      </c>
      <c r="X560" s="17">
        <v>43190</v>
      </c>
      <c r="Y560" t="s">
        <v>786</v>
      </c>
      <c r="Z560" s="17">
        <v>43130</v>
      </c>
      <c r="AA560" t="s">
        <v>3</v>
      </c>
      <c r="AB560" t="s">
        <v>1513</v>
      </c>
    </row>
    <row r="561" spans="1:28" hidden="1">
      <c r="A561" t="s">
        <v>1580</v>
      </c>
      <c r="B561" s="17">
        <v>43131</v>
      </c>
      <c r="C561" s="17">
        <v>43131</v>
      </c>
      <c r="D561" t="s">
        <v>0</v>
      </c>
      <c r="E561" t="s">
        <v>1</v>
      </c>
      <c r="F561" s="18">
        <v>78005</v>
      </c>
      <c r="G561" s="18">
        <v>78005</v>
      </c>
      <c r="H561" t="s">
        <v>2</v>
      </c>
      <c r="I561" t="s">
        <v>8</v>
      </c>
      <c r="J561" s="18">
        <v>6427612</v>
      </c>
      <c r="K561" t="s">
        <v>617</v>
      </c>
      <c r="L561" t="s">
        <v>9</v>
      </c>
      <c r="M561" t="s">
        <v>618</v>
      </c>
      <c r="N561" t="s">
        <v>3</v>
      </c>
      <c r="O561" t="s">
        <v>3</v>
      </c>
      <c r="P561" t="s">
        <v>5</v>
      </c>
      <c r="Q561" t="s">
        <v>617</v>
      </c>
      <c r="R561" t="s">
        <v>3</v>
      </c>
      <c r="S561" t="s">
        <v>3</v>
      </c>
      <c r="T561" t="s">
        <v>3</v>
      </c>
      <c r="U561" t="s">
        <v>3</v>
      </c>
      <c r="V561" t="s">
        <v>3</v>
      </c>
      <c r="W561" t="s">
        <v>68</v>
      </c>
      <c r="X561" s="17">
        <v>43132</v>
      </c>
      <c r="Y561" t="s">
        <v>616</v>
      </c>
      <c r="Z561" s="17">
        <v>43131</v>
      </c>
      <c r="AA561" t="s">
        <v>3</v>
      </c>
      <c r="AB561" t="s">
        <v>1580</v>
      </c>
    </row>
    <row r="562" spans="1:28" hidden="1">
      <c r="A562" t="s">
        <v>616</v>
      </c>
      <c r="B562" s="17">
        <v>43132</v>
      </c>
      <c r="C562" s="17">
        <v>43131</v>
      </c>
      <c r="D562" t="s">
        <v>38</v>
      </c>
      <c r="E562" t="s">
        <v>1</v>
      </c>
      <c r="F562" s="18">
        <v>-78005</v>
      </c>
      <c r="G562" s="18">
        <v>-78005</v>
      </c>
      <c r="H562" t="s">
        <v>2</v>
      </c>
      <c r="I562" t="s">
        <v>8</v>
      </c>
      <c r="J562" s="18">
        <v>-6427612</v>
      </c>
      <c r="K562" t="s">
        <v>617</v>
      </c>
      <c r="L562" t="s">
        <v>9</v>
      </c>
      <c r="M562" t="s">
        <v>618</v>
      </c>
      <c r="N562" t="s">
        <v>3</v>
      </c>
      <c r="O562" t="s">
        <v>3</v>
      </c>
      <c r="P562" t="s">
        <v>5</v>
      </c>
      <c r="Q562" t="s">
        <v>617</v>
      </c>
      <c r="R562" t="s">
        <v>3</v>
      </c>
      <c r="S562" t="s">
        <v>3</v>
      </c>
      <c r="T562" t="s">
        <v>3</v>
      </c>
      <c r="U562" t="s">
        <v>3</v>
      </c>
      <c r="V562" t="s">
        <v>3</v>
      </c>
      <c r="W562" t="s">
        <v>68</v>
      </c>
      <c r="X562" s="17">
        <v>43132</v>
      </c>
      <c r="Y562" t="s">
        <v>616</v>
      </c>
      <c r="Z562" s="17">
        <v>43131</v>
      </c>
      <c r="AA562" t="s">
        <v>3</v>
      </c>
      <c r="AB562" t="s">
        <v>616</v>
      </c>
    </row>
    <row r="563" spans="1:28" hidden="1">
      <c r="A563" t="s">
        <v>1517</v>
      </c>
      <c r="B563" s="17">
        <v>43132</v>
      </c>
      <c r="C563" s="17">
        <v>43132</v>
      </c>
      <c r="D563" t="s">
        <v>0</v>
      </c>
      <c r="E563" t="s">
        <v>1</v>
      </c>
      <c r="F563" s="18">
        <v>5575</v>
      </c>
      <c r="G563" s="18">
        <v>5575</v>
      </c>
      <c r="H563" t="s">
        <v>2</v>
      </c>
      <c r="I563" t="s">
        <v>10</v>
      </c>
      <c r="J563" s="18">
        <v>458265</v>
      </c>
      <c r="K563" t="s">
        <v>1493</v>
      </c>
      <c r="L563" t="s">
        <v>9</v>
      </c>
      <c r="M563" t="s">
        <v>1518</v>
      </c>
      <c r="N563" t="s">
        <v>3</v>
      </c>
      <c r="O563" t="s">
        <v>3</v>
      </c>
      <c r="P563" t="s">
        <v>5</v>
      </c>
      <c r="Q563" t="s">
        <v>1519</v>
      </c>
      <c r="R563" t="s">
        <v>3</v>
      </c>
      <c r="S563" t="s">
        <v>3</v>
      </c>
      <c r="T563" t="s">
        <v>3</v>
      </c>
      <c r="U563" t="s">
        <v>3</v>
      </c>
      <c r="V563" t="s">
        <v>3</v>
      </c>
      <c r="W563" t="s">
        <v>68</v>
      </c>
      <c r="X563" s="17">
        <v>43138</v>
      </c>
      <c r="Y563" t="s">
        <v>746</v>
      </c>
      <c r="Z563" s="17">
        <v>43132</v>
      </c>
      <c r="AA563" t="s">
        <v>3</v>
      </c>
      <c r="AB563" t="s">
        <v>1517</v>
      </c>
    </row>
    <row r="564" spans="1:28" hidden="1">
      <c r="A564" t="s">
        <v>1520</v>
      </c>
      <c r="B564" s="17">
        <v>43135</v>
      </c>
      <c r="C564" s="17">
        <v>43135</v>
      </c>
      <c r="D564" t="s">
        <v>0</v>
      </c>
      <c r="E564" t="s">
        <v>1</v>
      </c>
      <c r="F564" s="18">
        <v>46005</v>
      </c>
      <c r="G564" s="18">
        <v>46005</v>
      </c>
      <c r="H564" t="s">
        <v>2</v>
      </c>
      <c r="I564" t="s">
        <v>10</v>
      </c>
      <c r="J564" s="18">
        <v>3781611</v>
      </c>
      <c r="K564" t="s">
        <v>1521</v>
      </c>
      <c r="L564" t="s">
        <v>9</v>
      </c>
      <c r="M564" t="s">
        <v>1522</v>
      </c>
      <c r="N564" t="s">
        <v>3</v>
      </c>
      <c r="O564" t="s">
        <v>3</v>
      </c>
      <c r="P564" t="s">
        <v>5</v>
      </c>
      <c r="Q564" t="s">
        <v>1523</v>
      </c>
      <c r="R564" t="s">
        <v>3</v>
      </c>
      <c r="S564" t="s">
        <v>3</v>
      </c>
      <c r="T564" t="s">
        <v>3</v>
      </c>
      <c r="U564" t="s">
        <v>3</v>
      </c>
      <c r="V564" t="s">
        <v>3</v>
      </c>
      <c r="W564" t="s">
        <v>68</v>
      </c>
      <c r="X564" s="17">
        <v>43159</v>
      </c>
      <c r="Y564" t="s">
        <v>755</v>
      </c>
      <c r="Z564" s="17">
        <v>43135</v>
      </c>
      <c r="AA564" t="s">
        <v>3</v>
      </c>
      <c r="AB564" t="s">
        <v>1520</v>
      </c>
    </row>
    <row r="565" spans="1:28" hidden="1">
      <c r="A565" t="s">
        <v>1524</v>
      </c>
      <c r="B565" s="17">
        <v>43135</v>
      </c>
      <c r="C565" s="17">
        <v>43135</v>
      </c>
      <c r="D565" t="s">
        <v>0</v>
      </c>
      <c r="E565" t="s">
        <v>1</v>
      </c>
      <c r="F565" s="18">
        <v>-358963</v>
      </c>
      <c r="G565" s="18">
        <v>-358963</v>
      </c>
      <c r="H565" t="s">
        <v>2</v>
      </c>
      <c r="I565" t="s">
        <v>8</v>
      </c>
      <c r="J565" s="18">
        <v>-29578551.199999999</v>
      </c>
      <c r="K565" t="s">
        <v>1525</v>
      </c>
      <c r="L565" t="s">
        <v>9</v>
      </c>
      <c r="M565" t="s">
        <v>1526</v>
      </c>
      <c r="N565" t="s">
        <v>3</v>
      </c>
      <c r="O565" t="s">
        <v>3</v>
      </c>
      <c r="P565" t="s">
        <v>5</v>
      </c>
      <c r="Q565" t="s">
        <v>1527</v>
      </c>
      <c r="R565" t="s">
        <v>3</v>
      </c>
      <c r="S565" t="s">
        <v>3</v>
      </c>
      <c r="T565" t="s">
        <v>3</v>
      </c>
      <c r="U565" t="s">
        <v>3</v>
      </c>
      <c r="V565" t="s">
        <v>3</v>
      </c>
      <c r="W565" t="s">
        <v>68</v>
      </c>
      <c r="X565" s="17">
        <v>43190</v>
      </c>
      <c r="Y565" t="s">
        <v>784</v>
      </c>
      <c r="Z565" s="17">
        <v>43135</v>
      </c>
      <c r="AA565" t="s">
        <v>3</v>
      </c>
      <c r="AB565" t="s">
        <v>1524</v>
      </c>
    </row>
    <row r="566" spans="1:28" hidden="1">
      <c r="A566" t="s">
        <v>1528</v>
      </c>
      <c r="B566" s="17">
        <v>43135</v>
      </c>
      <c r="C566" s="17">
        <v>43135</v>
      </c>
      <c r="D566" t="s">
        <v>0</v>
      </c>
      <c r="E566" t="s">
        <v>1</v>
      </c>
      <c r="F566" s="18">
        <v>-68265</v>
      </c>
      <c r="G566" s="18">
        <v>-68265</v>
      </c>
      <c r="H566" t="s">
        <v>2</v>
      </c>
      <c r="I566" t="s">
        <v>10</v>
      </c>
      <c r="J566" s="18">
        <v>-5625036.0099999998</v>
      </c>
      <c r="K566" t="s">
        <v>1529</v>
      </c>
      <c r="L566" t="s">
        <v>9</v>
      </c>
      <c r="M566" t="s">
        <v>1530</v>
      </c>
      <c r="N566" t="s">
        <v>3</v>
      </c>
      <c r="O566" t="s">
        <v>3</v>
      </c>
      <c r="P566" t="s">
        <v>5</v>
      </c>
      <c r="Q566" t="s">
        <v>1531</v>
      </c>
      <c r="R566" t="s">
        <v>3</v>
      </c>
      <c r="S566" t="s">
        <v>3</v>
      </c>
      <c r="T566" t="s">
        <v>3</v>
      </c>
      <c r="U566" t="s">
        <v>3</v>
      </c>
      <c r="V566" t="s">
        <v>3</v>
      </c>
      <c r="W566" t="s">
        <v>68</v>
      </c>
      <c r="X566" s="17">
        <v>43159</v>
      </c>
      <c r="Y566" t="s">
        <v>752</v>
      </c>
      <c r="Z566" s="17">
        <v>43135</v>
      </c>
      <c r="AA566" t="s">
        <v>3</v>
      </c>
      <c r="AB566" t="s">
        <v>1528</v>
      </c>
    </row>
    <row r="567" spans="1:28" hidden="1">
      <c r="A567" t="s">
        <v>1532</v>
      </c>
      <c r="B567" s="17">
        <v>43136</v>
      </c>
      <c r="C567" s="17">
        <v>43136</v>
      </c>
      <c r="D567" t="s">
        <v>0</v>
      </c>
      <c r="E567" t="s">
        <v>1</v>
      </c>
      <c r="F567" s="18">
        <v>5068</v>
      </c>
      <c r="G567" s="18">
        <v>5068</v>
      </c>
      <c r="H567" t="s">
        <v>2</v>
      </c>
      <c r="I567" t="s">
        <v>10</v>
      </c>
      <c r="J567" s="18">
        <v>416589.6</v>
      </c>
      <c r="K567" t="s">
        <v>1521</v>
      </c>
      <c r="L567" t="s">
        <v>9</v>
      </c>
      <c r="M567" t="s">
        <v>1533</v>
      </c>
      <c r="N567" t="s">
        <v>3</v>
      </c>
      <c r="O567" t="s">
        <v>3</v>
      </c>
      <c r="P567" t="s">
        <v>5</v>
      </c>
      <c r="Q567" t="s">
        <v>1534</v>
      </c>
      <c r="R567" t="s">
        <v>3</v>
      </c>
      <c r="S567" t="s">
        <v>3</v>
      </c>
      <c r="T567" t="s">
        <v>3</v>
      </c>
      <c r="U567" t="s">
        <v>3</v>
      </c>
      <c r="V567" t="s">
        <v>3</v>
      </c>
      <c r="W567" t="s">
        <v>68</v>
      </c>
      <c r="X567" s="17">
        <v>43159</v>
      </c>
      <c r="Y567" t="s">
        <v>755</v>
      </c>
      <c r="Z567" s="17">
        <v>43136</v>
      </c>
      <c r="AA567" t="s">
        <v>3</v>
      </c>
      <c r="AB567" t="s">
        <v>1532</v>
      </c>
    </row>
    <row r="568" spans="1:28" hidden="1">
      <c r="A568" t="s">
        <v>1535</v>
      </c>
      <c r="B568" s="17">
        <v>43136</v>
      </c>
      <c r="C568" s="17">
        <v>43136</v>
      </c>
      <c r="D568" t="s">
        <v>0</v>
      </c>
      <c r="E568" t="s">
        <v>1</v>
      </c>
      <c r="F568" s="18">
        <v>28349</v>
      </c>
      <c r="G568" s="18">
        <v>28349</v>
      </c>
      <c r="H568" t="s">
        <v>2</v>
      </c>
      <c r="I568" t="s">
        <v>10</v>
      </c>
      <c r="J568" s="18">
        <v>2330287.7999999998</v>
      </c>
      <c r="K568" t="s">
        <v>1493</v>
      </c>
      <c r="L568" t="s">
        <v>9</v>
      </c>
      <c r="M568" t="s">
        <v>1536</v>
      </c>
      <c r="N568" t="s">
        <v>3</v>
      </c>
      <c r="O568" t="s">
        <v>3</v>
      </c>
      <c r="P568" t="s">
        <v>5</v>
      </c>
      <c r="Q568" t="s">
        <v>1537</v>
      </c>
      <c r="R568" t="s">
        <v>3</v>
      </c>
      <c r="S568" t="s">
        <v>3</v>
      </c>
      <c r="T568" t="s">
        <v>3</v>
      </c>
      <c r="U568" t="s">
        <v>3</v>
      </c>
      <c r="V568" t="s">
        <v>3</v>
      </c>
      <c r="W568" t="s">
        <v>68</v>
      </c>
      <c r="X568" s="17">
        <v>43138</v>
      </c>
      <c r="Y568" t="s">
        <v>746</v>
      </c>
      <c r="Z568" s="17">
        <v>43136</v>
      </c>
      <c r="AA568" t="s">
        <v>3</v>
      </c>
      <c r="AB568" t="s">
        <v>1535</v>
      </c>
    </row>
    <row r="569" spans="1:28" hidden="1">
      <c r="A569" t="s">
        <v>1538</v>
      </c>
      <c r="B569" s="17">
        <v>43136</v>
      </c>
      <c r="C569" s="17">
        <v>43136</v>
      </c>
      <c r="D569" t="s">
        <v>0</v>
      </c>
      <c r="E569" t="s">
        <v>1</v>
      </c>
      <c r="F569" s="18">
        <v>2277</v>
      </c>
      <c r="G569" s="18">
        <v>2277</v>
      </c>
      <c r="H569" t="s">
        <v>2</v>
      </c>
      <c r="I569" t="s">
        <v>10</v>
      </c>
      <c r="J569" s="18">
        <v>187169.4</v>
      </c>
      <c r="K569" t="s">
        <v>1493</v>
      </c>
      <c r="L569" t="s">
        <v>9</v>
      </c>
      <c r="M569" t="s">
        <v>1539</v>
      </c>
      <c r="N569" t="s">
        <v>3</v>
      </c>
      <c r="O569" t="s">
        <v>3</v>
      </c>
      <c r="P569" t="s">
        <v>5</v>
      </c>
      <c r="Q569" t="s">
        <v>1540</v>
      </c>
      <c r="R569" t="s">
        <v>3</v>
      </c>
      <c r="S569" t="s">
        <v>3</v>
      </c>
      <c r="T569" t="s">
        <v>3</v>
      </c>
      <c r="U569" t="s">
        <v>3</v>
      </c>
      <c r="V569" t="s">
        <v>3</v>
      </c>
      <c r="W569" t="s">
        <v>68</v>
      </c>
      <c r="X569" s="17">
        <v>43138</v>
      </c>
      <c r="Y569" t="s">
        <v>746</v>
      </c>
      <c r="Z569" s="17">
        <v>43136</v>
      </c>
      <c r="AA569" t="s">
        <v>3</v>
      </c>
      <c r="AB569" t="s">
        <v>1538</v>
      </c>
    </row>
    <row r="570" spans="1:28" hidden="1">
      <c r="A570" t="s">
        <v>1538</v>
      </c>
      <c r="B570" s="17">
        <v>43136</v>
      </c>
      <c r="C570" s="17">
        <v>43136</v>
      </c>
      <c r="D570" t="s">
        <v>0</v>
      </c>
      <c r="E570" t="s">
        <v>1</v>
      </c>
      <c r="F570" s="18">
        <v>5751</v>
      </c>
      <c r="G570" s="18">
        <v>5751</v>
      </c>
      <c r="H570" t="s">
        <v>2</v>
      </c>
      <c r="I570" t="s">
        <v>10</v>
      </c>
      <c r="J570" s="18">
        <v>472732.2</v>
      </c>
      <c r="K570" t="s">
        <v>1521</v>
      </c>
      <c r="L570" t="s">
        <v>9</v>
      </c>
      <c r="M570" t="s">
        <v>1539</v>
      </c>
      <c r="N570" t="s">
        <v>3</v>
      </c>
      <c r="O570" t="s">
        <v>3</v>
      </c>
      <c r="P570" t="s">
        <v>5</v>
      </c>
      <c r="Q570" t="s">
        <v>1540</v>
      </c>
      <c r="R570" t="s">
        <v>3</v>
      </c>
      <c r="S570" t="s">
        <v>3</v>
      </c>
      <c r="T570" t="s">
        <v>3</v>
      </c>
      <c r="U570" t="s">
        <v>3</v>
      </c>
      <c r="V570" t="s">
        <v>3</v>
      </c>
      <c r="W570" t="s">
        <v>68</v>
      </c>
      <c r="X570" s="17">
        <v>43159</v>
      </c>
      <c r="Y570" t="s">
        <v>755</v>
      </c>
      <c r="Z570" s="17">
        <v>43136</v>
      </c>
      <c r="AA570" t="s">
        <v>3</v>
      </c>
      <c r="AB570" t="s">
        <v>1538</v>
      </c>
    </row>
    <row r="571" spans="1:28" hidden="1">
      <c r="A571" t="s">
        <v>1541</v>
      </c>
      <c r="B571" s="17">
        <v>43136</v>
      </c>
      <c r="C571" s="17">
        <v>43136</v>
      </c>
      <c r="D571" t="s">
        <v>0</v>
      </c>
      <c r="E571" t="s">
        <v>1</v>
      </c>
      <c r="F571" s="18">
        <v>11486</v>
      </c>
      <c r="G571" s="18">
        <v>11486</v>
      </c>
      <c r="H571" t="s">
        <v>2</v>
      </c>
      <c r="I571" t="s">
        <v>8</v>
      </c>
      <c r="J571" s="18">
        <v>944149.2</v>
      </c>
      <c r="K571" t="s">
        <v>1504</v>
      </c>
      <c r="L571" t="s">
        <v>9</v>
      </c>
      <c r="M571" t="s">
        <v>1542</v>
      </c>
      <c r="N571" t="s">
        <v>3</v>
      </c>
      <c r="O571" t="s">
        <v>3</v>
      </c>
      <c r="P571" t="s">
        <v>5</v>
      </c>
      <c r="Q571" t="s">
        <v>1543</v>
      </c>
      <c r="R571" t="s">
        <v>3</v>
      </c>
      <c r="S571" t="s">
        <v>3</v>
      </c>
      <c r="T571" t="s">
        <v>3</v>
      </c>
      <c r="U571" t="s">
        <v>3</v>
      </c>
      <c r="V571" t="s">
        <v>3</v>
      </c>
      <c r="W571" t="s">
        <v>68</v>
      </c>
      <c r="X571" s="17">
        <v>43136</v>
      </c>
      <c r="Y571" t="s">
        <v>743</v>
      </c>
      <c r="Z571" s="17">
        <v>43136</v>
      </c>
      <c r="AA571" t="s">
        <v>3</v>
      </c>
      <c r="AB571" t="s">
        <v>1541</v>
      </c>
    </row>
    <row r="572" spans="1:28" hidden="1">
      <c r="A572" t="s">
        <v>1544</v>
      </c>
      <c r="B572" s="17">
        <v>43136</v>
      </c>
      <c r="C572" s="17">
        <v>43136</v>
      </c>
      <c r="D572" t="s">
        <v>0</v>
      </c>
      <c r="E572" t="s">
        <v>1</v>
      </c>
      <c r="F572" s="18">
        <v>3533</v>
      </c>
      <c r="G572" s="18">
        <v>3533</v>
      </c>
      <c r="H572" t="s">
        <v>2</v>
      </c>
      <c r="I572" t="s">
        <v>8</v>
      </c>
      <c r="J572" s="18">
        <v>290412.59999999998</v>
      </c>
      <c r="K572" t="s">
        <v>1545</v>
      </c>
      <c r="L572" t="s">
        <v>9</v>
      </c>
      <c r="M572" t="s">
        <v>1546</v>
      </c>
      <c r="N572" t="s">
        <v>3</v>
      </c>
      <c r="O572" t="s">
        <v>3</v>
      </c>
      <c r="P572" t="s">
        <v>5</v>
      </c>
      <c r="Q572" t="s">
        <v>1547</v>
      </c>
      <c r="R572" t="s">
        <v>3</v>
      </c>
      <c r="S572" t="s">
        <v>3</v>
      </c>
      <c r="T572" t="s">
        <v>3</v>
      </c>
      <c r="U572" t="s">
        <v>3</v>
      </c>
      <c r="V572" t="s">
        <v>3</v>
      </c>
      <c r="W572" t="s">
        <v>68</v>
      </c>
      <c r="X572" s="17">
        <v>43190</v>
      </c>
      <c r="Y572" t="s">
        <v>786</v>
      </c>
      <c r="Z572" s="17">
        <v>43136</v>
      </c>
      <c r="AA572" t="s">
        <v>3</v>
      </c>
      <c r="AB572" t="s">
        <v>1544</v>
      </c>
    </row>
    <row r="573" spans="1:28" hidden="1">
      <c r="A573" t="s">
        <v>1558</v>
      </c>
      <c r="B573" s="17">
        <v>43137</v>
      </c>
      <c r="C573" s="17">
        <v>43137</v>
      </c>
      <c r="D573" t="s">
        <v>0</v>
      </c>
      <c r="E573" t="s">
        <v>1</v>
      </c>
      <c r="F573" s="18">
        <v>-182122</v>
      </c>
      <c r="G573" s="18">
        <v>-182122</v>
      </c>
      <c r="H573" t="s">
        <v>2</v>
      </c>
      <c r="I573" t="s">
        <v>8</v>
      </c>
      <c r="J573" s="18">
        <v>-15006852.800000001</v>
      </c>
      <c r="K573" t="s">
        <v>1559</v>
      </c>
      <c r="L573" t="s">
        <v>9</v>
      </c>
      <c r="M573" t="s">
        <v>1560</v>
      </c>
      <c r="N573" t="s">
        <v>3</v>
      </c>
      <c r="O573" t="s">
        <v>3</v>
      </c>
      <c r="P573" t="s">
        <v>5</v>
      </c>
      <c r="Q573" t="s">
        <v>1561</v>
      </c>
      <c r="R573" t="s">
        <v>3</v>
      </c>
      <c r="S573" t="s">
        <v>3</v>
      </c>
      <c r="T573" t="s">
        <v>3</v>
      </c>
      <c r="U573" t="s">
        <v>3</v>
      </c>
      <c r="V573" t="s">
        <v>3</v>
      </c>
      <c r="W573" t="s">
        <v>68</v>
      </c>
      <c r="X573" s="17">
        <v>43190</v>
      </c>
      <c r="Y573" t="s">
        <v>782</v>
      </c>
      <c r="Z573" s="17">
        <v>43137</v>
      </c>
      <c r="AA573" t="s">
        <v>3</v>
      </c>
      <c r="AB573" t="s">
        <v>1558</v>
      </c>
    </row>
    <row r="574" spans="1:28" hidden="1">
      <c r="A574" t="s">
        <v>1562</v>
      </c>
      <c r="B574" s="17">
        <v>43137</v>
      </c>
      <c r="C574" s="17">
        <v>43137</v>
      </c>
      <c r="D574" t="s">
        <v>0</v>
      </c>
      <c r="E574" t="s">
        <v>1</v>
      </c>
      <c r="F574" s="18">
        <v>36055</v>
      </c>
      <c r="G574" s="18">
        <v>36055</v>
      </c>
      <c r="H574" t="s">
        <v>2</v>
      </c>
      <c r="I574" t="s">
        <v>10</v>
      </c>
      <c r="J574" s="18">
        <v>2963721</v>
      </c>
      <c r="K574" t="s">
        <v>1563</v>
      </c>
      <c r="L574" t="s">
        <v>9</v>
      </c>
      <c r="M574" t="s">
        <v>1564</v>
      </c>
      <c r="N574" t="s">
        <v>3</v>
      </c>
      <c r="O574" t="s">
        <v>3</v>
      </c>
      <c r="P574" t="s">
        <v>5</v>
      </c>
      <c r="Q574" t="s">
        <v>1565</v>
      </c>
      <c r="R574" t="s">
        <v>3</v>
      </c>
      <c r="S574" t="s">
        <v>3</v>
      </c>
      <c r="T574" t="s">
        <v>3</v>
      </c>
      <c r="U574" t="s">
        <v>3</v>
      </c>
      <c r="V574" t="s">
        <v>3</v>
      </c>
      <c r="W574" t="s">
        <v>68</v>
      </c>
      <c r="X574" s="17">
        <v>43159</v>
      </c>
      <c r="Y574" t="s">
        <v>755</v>
      </c>
      <c r="Z574" s="17">
        <v>43137</v>
      </c>
      <c r="AA574" t="s">
        <v>3</v>
      </c>
      <c r="AB574" t="s">
        <v>1562</v>
      </c>
    </row>
    <row r="575" spans="1:28" hidden="1">
      <c r="A575" t="s">
        <v>1566</v>
      </c>
      <c r="B575" s="17">
        <v>43138</v>
      </c>
      <c r="C575" s="17">
        <v>43138</v>
      </c>
      <c r="D575" t="s">
        <v>0</v>
      </c>
      <c r="E575" t="s">
        <v>1</v>
      </c>
      <c r="F575" s="18">
        <v>13577</v>
      </c>
      <c r="G575" s="18">
        <v>13577</v>
      </c>
      <c r="H575" t="s">
        <v>2</v>
      </c>
      <c r="I575" t="s">
        <v>10</v>
      </c>
      <c r="J575" s="18">
        <v>1116029.3999999999</v>
      </c>
      <c r="K575" t="s">
        <v>1567</v>
      </c>
      <c r="L575" t="s">
        <v>9</v>
      </c>
      <c r="M575" t="s">
        <v>1568</v>
      </c>
      <c r="N575" t="s">
        <v>3</v>
      </c>
      <c r="O575" t="s">
        <v>3</v>
      </c>
      <c r="P575" t="s">
        <v>5</v>
      </c>
      <c r="Q575" t="s">
        <v>1569</v>
      </c>
      <c r="R575" t="s">
        <v>3</v>
      </c>
      <c r="S575" t="s">
        <v>3</v>
      </c>
      <c r="T575" t="s">
        <v>3</v>
      </c>
      <c r="U575" t="s">
        <v>3</v>
      </c>
      <c r="V575" t="s">
        <v>3</v>
      </c>
      <c r="W575" t="s">
        <v>68</v>
      </c>
      <c r="X575" s="17">
        <v>43138</v>
      </c>
      <c r="Y575" t="s">
        <v>746</v>
      </c>
      <c r="Z575" s="17">
        <v>43138</v>
      </c>
      <c r="AA575" t="s">
        <v>3</v>
      </c>
      <c r="AB575" t="s">
        <v>1566</v>
      </c>
    </row>
    <row r="576" spans="1:28" hidden="1">
      <c r="A576" t="s">
        <v>1570</v>
      </c>
      <c r="B576" s="17">
        <v>43138</v>
      </c>
      <c r="C576" s="17">
        <v>43138</v>
      </c>
      <c r="D576" t="s">
        <v>0</v>
      </c>
      <c r="E576" t="s">
        <v>1</v>
      </c>
      <c r="F576" s="18">
        <v>48478</v>
      </c>
      <c r="G576" s="18">
        <v>48478</v>
      </c>
      <c r="H576" t="s">
        <v>2</v>
      </c>
      <c r="I576" t="s">
        <v>8</v>
      </c>
      <c r="J576" s="18">
        <v>3984891.6</v>
      </c>
      <c r="K576" t="s">
        <v>1571</v>
      </c>
      <c r="L576" t="s">
        <v>9</v>
      </c>
      <c r="M576" t="s">
        <v>1572</v>
      </c>
      <c r="N576" t="s">
        <v>3</v>
      </c>
      <c r="O576" t="s">
        <v>3</v>
      </c>
      <c r="P576" t="s">
        <v>5</v>
      </c>
      <c r="Q576" t="s">
        <v>1573</v>
      </c>
      <c r="R576" t="s">
        <v>3</v>
      </c>
      <c r="S576" t="s">
        <v>3</v>
      </c>
      <c r="T576" t="s">
        <v>3</v>
      </c>
      <c r="U576" t="s">
        <v>3</v>
      </c>
      <c r="V576" t="s">
        <v>3</v>
      </c>
      <c r="W576" t="s">
        <v>68</v>
      </c>
      <c r="X576" s="17">
        <v>43190</v>
      </c>
      <c r="Y576" t="s">
        <v>786</v>
      </c>
      <c r="Z576" s="17">
        <v>43138</v>
      </c>
      <c r="AA576" t="s">
        <v>3</v>
      </c>
      <c r="AB576" t="s">
        <v>1570</v>
      </c>
    </row>
    <row r="577" spans="1:28" hidden="1">
      <c r="A577" t="s">
        <v>1574</v>
      </c>
      <c r="B577" s="17">
        <v>43139</v>
      </c>
      <c r="C577" s="17">
        <v>43139</v>
      </c>
      <c r="D577" t="s">
        <v>0</v>
      </c>
      <c r="E577" t="s">
        <v>1</v>
      </c>
      <c r="F577" s="18">
        <v>12766</v>
      </c>
      <c r="G577" s="18">
        <v>12766</v>
      </c>
      <c r="H577" t="s">
        <v>2</v>
      </c>
      <c r="I577" t="s">
        <v>8</v>
      </c>
      <c r="J577" s="18">
        <v>1049365.2</v>
      </c>
      <c r="K577" t="s">
        <v>1571</v>
      </c>
      <c r="L577" t="s">
        <v>9</v>
      </c>
      <c r="M577" t="s">
        <v>1575</v>
      </c>
      <c r="N577" t="s">
        <v>3</v>
      </c>
      <c r="O577" t="s">
        <v>3</v>
      </c>
      <c r="P577" t="s">
        <v>5</v>
      </c>
      <c r="Q577" t="s">
        <v>1576</v>
      </c>
      <c r="R577" t="s">
        <v>3</v>
      </c>
      <c r="S577" t="s">
        <v>3</v>
      </c>
      <c r="T577" t="s">
        <v>3</v>
      </c>
      <c r="U577" t="s">
        <v>3</v>
      </c>
      <c r="V577" t="s">
        <v>3</v>
      </c>
      <c r="W577" t="s">
        <v>68</v>
      </c>
      <c r="X577" s="17">
        <v>43190</v>
      </c>
      <c r="Y577" t="s">
        <v>786</v>
      </c>
      <c r="Z577" s="17">
        <v>43139</v>
      </c>
      <c r="AA577" t="s">
        <v>3</v>
      </c>
      <c r="AB577" t="s">
        <v>1574</v>
      </c>
    </row>
    <row r="578" spans="1:28" hidden="1">
      <c r="A578" t="s">
        <v>1577</v>
      </c>
      <c r="B578" s="17">
        <v>43142</v>
      </c>
      <c r="C578" s="17">
        <v>43142</v>
      </c>
      <c r="D578" t="s">
        <v>0</v>
      </c>
      <c r="E578" t="s">
        <v>1</v>
      </c>
      <c r="F578" s="18">
        <v>325015</v>
      </c>
      <c r="G578" s="18">
        <v>325015</v>
      </c>
      <c r="H578" t="s">
        <v>2</v>
      </c>
      <c r="I578" t="s">
        <v>8</v>
      </c>
      <c r="J578" s="18">
        <v>26716233</v>
      </c>
      <c r="K578" t="s">
        <v>1571</v>
      </c>
      <c r="L578" t="s">
        <v>9</v>
      </c>
      <c r="M578" t="s">
        <v>1578</v>
      </c>
      <c r="N578" t="s">
        <v>3</v>
      </c>
      <c r="O578" t="s">
        <v>3</v>
      </c>
      <c r="P578" t="s">
        <v>5</v>
      </c>
      <c r="Q578" t="s">
        <v>1579</v>
      </c>
      <c r="R578" t="s">
        <v>3</v>
      </c>
      <c r="S578" t="s">
        <v>3</v>
      </c>
      <c r="T578" t="s">
        <v>3</v>
      </c>
      <c r="U578" t="s">
        <v>3</v>
      </c>
      <c r="V578" t="s">
        <v>3</v>
      </c>
      <c r="W578" t="s">
        <v>68</v>
      </c>
      <c r="X578" s="17">
        <v>43190</v>
      </c>
      <c r="Y578" t="s">
        <v>786</v>
      </c>
      <c r="Z578" s="17">
        <v>43142</v>
      </c>
      <c r="AA578" t="s">
        <v>3</v>
      </c>
      <c r="AB578" t="s">
        <v>1577</v>
      </c>
    </row>
    <row r="579" spans="1:28" hidden="1">
      <c r="A579" t="s">
        <v>1581</v>
      </c>
      <c r="B579" s="17">
        <v>43144</v>
      </c>
      <c r="C579" s="17">
        <v>43144</v>
      </c>
      <c r="D579" t="s">
        <v>0</v>
      </c>
      <c r="E579" t="s">
        <v>1</v>
      </c>
      <c r="F579" s="18">
        <v>13553</v>
      </c>
      <c r="G579" s="18">
        <v>13553</v>
      </c>
      <c r="H579" t="s">
        <v>2</v>
      </c>
      <c r="I579" t="s">
        <v>8</v>
      </c>
      <c r="J579" s="18">
        <v>1114056.6000000001</v>
      </c>
      <c r="K579" t="s">
        <v>1545</v>
      </c>
      <c r="L579" t="s">
        <v>9</v>
      </c>
      <c r="M579" t="s">
        <v>1582</v>
      </c>
      <c r="N579" t="s">
        <v>3</v>
      </c>
      <c r="O579" t="s">
        <v>3</v>
      </c>
      <c r="P579" t="s">
        <v>5</v>
      </c>
      <c r="Q579" t="s">
        <v>1583</v>
      </c>
      <c r="R579" t="s">
        <v>3</v>
      </c>
      <c r="S579" t="s">
        <v>3</v>
      </c>
      <c r="T579" t="s">
        <v>3</v>
      </c>
      <c r="U579" t="s">
        <v>3</v>
      </c>
      <c r="V579" t="s">
        <v>3</v>
      </c>
      <c r="W579" t="s">
        <v>68</v>
      </c>
      <c r="X579" s="17">
        <v>43190</v>
      </c>
      <c r="Y579" t="s">
        <v>786</v>
      </c>
      <c r="Z579" s="17">
        <v>43144</v>
      </c>
      <c r="AA579" t="s">
        <v>3</v>
      </c>
      <c r="AB579" t="s">
        <v>1581</v>
      </c>
    </row>
    <row r="580" spans="1:28" hidden="1">
      <c r="A580" t="s">
        <v>1584</v>
      </c>
      <c r="B580" s="17">
        <v>43144</v>
      </c>
      <c r="C580" s="17">
        <v>43144</v>
      </c>
      <c r="D580" t="s">
        <v>0</v>
      </c>
      <c r="E580" t="s">
        <v>1</v>
      </c>
      <c r="F580" s="18">
        <v>2313</v>
      </c>
      <c r="G580" s="18">
        <v>2313</v>
      </c>
      <c r="H580" t="s">
        <v>2</v>
      </c>
      <c r="I580" t="s">
        <v>10</v>
      </c>
      <c r="J580" s="18">
        <v>190591.2</v>
      </c>
      <c r="K580" t="s">
        <v>1585</v>
      </c>
      <c r="L580" t="s">
        <v>9</v>
      </c>
      <c r="M580" t="s">
        <v>1586</v>
      </c>
      <c r="N580" t="s">
        <v>3</v>
      </c>
      <c r="O580" t="s">
        <v>3</v>
      </c>
      <c r="P580" t="s">
        <v>5</v>
      </c>
      <c r="Q580" t="s">
        <v>1587</v>
      </c>
      <c r="R580" t="s">
        <v>3</v>
      </c>
      <c r="S580" t="s">
        <v>3</v>
      </c>
      <c r="T580" t="s">
        <v>3</v>
      </c>
      <c r="U580" t="s">
        <v>3</v>
      </c>
      <c r="V580" t="s">
        <v>3</v>
      </c>
      <c r="W580" t="s">
        <v>68</v>
      </c>
      <c r="X580" s="17">
        <v>43159</v>
      </c>
      <c r="Y580" t="s">
        <v>752</v>
      </c>
      <c r="Z580" s="17">
        <v>43144</v>
      </c>
      <c r="AA580" t="s">
        <v>3</v>
      </c>
      <c r="AB580" t="s">
        <v>1584</v>
      </c>
    </row>
    <row r="581" spans="1:28" hidden="1">
      <c r="A581" t="s">
        <v>1588</v>
      </c>
      <c r="B581" s="17">
        <v>43144</v>
      </c>
      <c r="C581" s="17">
        <v>43144</v>
      </c>
      <c r="D581" t="s">
        <v>0</v>
      </c>
      <c r="E581" t="s">
        <v>1</v>
      </c>
      <c r="F581" s="18">
        <v>13030</v>
      </c>
      <c r="G581" s="18">
        <v>13030</v>
      </c>
      <c r="H581" t="s">
        <v>2</v>
      </c>
      <c r="I581" t="s">
        <v>10</v>
      </c>
      <c r="J581" s="18">
        <v>1071066</v>
      </c>
      <c r="K581" t="s">
        <v>1563</v>
      </c>
      <c r="L581" t="s">
        <v>9</v>
      </c>
      <c r="M581" t="s">
        <v>1589</v>
      </c>
      <c r="N581" t="s">
        <v>3</v>
      </c>
      <c r="O581" t="s">
        <v>3</v>
      </c>
      <c r="P581" t="s">
        <v>5</v>
      </c>
      <c r="Q581" t="s">
        <v>1590</v>
      </c>
      <c r="R581" t="s">
        <v>3</v>
      </c>
      <c r="S581" t="s">
        <v>3</v>
      </c>
      <c r="T581" t="s">
        <v>3</v>
      </c>
      <c r="U581" t="s">
        <v>3</v>
      </c>
      <c r="V581" t="s">
        <v>3</v>
      </c>
      <c r="W581" t="s">
        <v>68</v>
      </c>
      <c r="X581" s="17">
        <v>43159</v>
      </c>
      <c r="Y581" t="s">
        <v>755</v>
      </c>
      <c r="Z581" s="17">
        <v>43144</v>
      </c>
      <c r="AA581" t="s">
        <v>3</v>
      </c>
      <c r="AB581" t="s">
        <v>1588</v>
      </c>
    </row>
    <row r="582" spans="1:28" hidden="1">
      <c r="A582" t="s">
        <v>1591</v>
      </c>
      <c r="B582" s="17">
        <v>43144</v>
      </c>
      <c r="C582" s="17">
        <v>43144</v>
      </c>
      <c r="D582" t="s">
        <v>0</v>
      </c>
      <c r="E582" t="s">
        <v>1</v>
      </c>
      <c r="F582" s="18">
        <v>-465639</v>
      </c>
      <c r="G582" s="18">
        <v>-465639</v>
      </c>
      <c r="H582" t="s">
        <v>2</v>
      </c>
      <c r="I582" t="s">
        <v>8</v>
      </c>
      <c r="J582" s="18">
        <v>-38368653.600000001</v>
      </c>
      <c r="K582" t="s">
        <v>1592</v>
      </c>
      <c r="L582" t="s">
        <v>9</v>
      </c>
      <c r="M582" t="s">
        <v>1593</v>
      </c>
      <c r="N582" t="s">
        <v>3</v>
      </c>
      <c r="O582" t="s">
        <v>3</v>
      </c>
      <c r="P582" t="s">
        <v>5</v>
      </c>
      <c r="Q582" t="s">
        <v>1594</v>
      </c>
      <c r="R582" t="s">
        <v>3</v>
      </c>
      <c r="S582" t="s">
        <v>3</v>
      </c>
      <c r="T582" t="s">
        <v>3</v>
      </c>
      <c r="U582" t="s">
        <v>3</v>
      </c>
      <c r="V582" t="s">
        <v>3</v>
      </c>
      <c r="W582" t="s">
        <v>68</v>
      </c>
      <c r="X582" s="17">
        <v>43190</v>
      </c>
      <c r="Y582" t="s">
        <v>790</v>
      </c>
      <c r="Z582" s="17">
        <v>43144</v>
      </c>
      <c r="AA582" t="s">
        <v>3</v>
      </c>
      <c r="AB582" t="s">
        <v>1591</v>
      </c>
    </row>
    <row r="583" spans="1:28" hidden="1">
      <c r="A583" t="s">
        <v>1595</v>
      </c>
      <c r="B583" s="17">
        <v>43144</v>
      </c>
      <c r="C583" s="17">
        <v>43144</v>
      </c>
      <c r="D583" t="s">
        <v>0</v>
      </c>
      <c r="E583" t="s">
        <v>1</v>
      </c>
      <c r="F583" s="18">
        <v>-78861</v>
      </c>
      <c r="G583" s="18">
        <v>-78861</v>
      </c>
      <c r="H583" t="s">
        <v>2</v>
      </c>
      <c r="I583" t="s">
        <v>10</v>
      </c>
      <c r="J583" s="18">
        <v>-6498146.4000000004</v>
      </c>
      <c r="K583" t="s">
        <v>1596</v>
      </c>
      <c r="L583" t="s">
        <v>9</v>
      </c>
      <c r="M583" t="s">
        <v>1597</v>
      </c>
      <c r="N583" t="s">
        <v>3</v>
      </c>
      <c r="O583" t="s">
        <v>3</v>
      </c>
      <c r="P583" t="s">
        <v>5</v>
      </c>
      <c r="Q583" t="s">
        <v>1598</v>
      </c>
      <c r="R583" t="s">
        <v>3</v>
      </c>
      <c r="S583" t="s">
        <v>3</v>
      </c>
      <c r="T583" t="s">
        <v>3</v>
      </c>
      <c r="U583" t="s">
        <v>3</v>
      </c>
      <c r="V583" t="s">
        <v>3</v>
      </c>
      <c r="W583" t="s">
        <v>68</v>
      </c>
      <c r="X583" s="17">
        <v>43190</v>
      </c>
      <c r="Y583" t="s">
        <v>770</v>
      </c>
      <c r="Z583" s="17">
        <v>43144</v>
      </c>
      <c r="AA583" t="s">
        <v>3</v>
      </c>
      <c r="AB583" t="s">
        <v>1595</v>
      </c>
    </row>
    <row r="584" spans="1:28" hidden="1">
      <c r="A584" t="s">
        <v>1683</v>
      </c>
      <c r="B584" s="17">
        <v>43144</v>
      </c>
      <c r="C584" s="17">
        <v>43144</v>
      </c>
      <c r="D584" t="s">
        <v>0</v>
      </c>
      <c r="E584" t="s">
        <v>1</v>
      </c>
      <c r="F584" s="18">
        <v>19445</v>
      </c>
      <c r="G584" s="18">
        <v>19445</v>
      </c>
      <c r="H584" t="s">
        <v>2</v>
      </c>
      <c r="I584" t="s">
        <v>8</v>
      </c>
      <c r="J584" s="18">
        <v>1602268</v>
      </c>
      <c r="K584" t="s">
        <v>627</v>
      </c>
      <c r="L584" t="s">
        <v>9</v>
      </c>
      <c r="M584" t="s">
        <v>1684</v>
      </c>
      <c r="N584" t="s">
        <v>3</v>
      </c>
      <c r="O584" t="s">
        <v>3</v>
      </c>
      <c r="P584" t="s">
        <v>5</v>
      </c>
      <c r="Q584" t="s">
        <v>1685</v>
      </c>
      <c r="R584" t="s">
        <v>3</v>
      </c>
      <c r="S584" t="s">
        <v>3</v>
      </c>
      <c r="T584" t="s">
        <v>3</v>
      </c>
      <c r="U584" t="s">
        <v>3</v>
      </c>
      <c r="V584" t="s">
        <v>3</v>
      </c>
      <c r="W584" t="s">
        <v>68</v>
      </c>
      <c r="X584" s="17">
        <v>43190</v>
      </c>
      <c r="Y584" t="s">
        <v>784</v>
      </c>
      <c r="Z584" s="17">
        <v>43144</v>
      </c>
      <c r="AA584" t="s">
        <v>3</v>
      </c>
      <c r="AB584" t="s">
        <v>1683</v>
      </c>
    </row>
    <row r="585" spans="1:28" hidden="1">
      <c r="A585" t="s">
        <v>1599</v>
      </c>
      <c r="B585" s="17">
        <v>43146</v>
      </c>
      <c r="C585" s="17">
        <v>43146</v>
      </c>
      <c r="D585" t="s">
        <v>0</v>
      </c>
      <c r="E585" t="s">
        <v>1</v>
      </c>
      <c r="F585" s="18">
        <v>170653</v>
      </c>
      <c r="G585" s="18">
        <v>170653</v>
      </c>
      <c r="H585" t="s">
        <v>2</v>
      </c>
      <c r="I585" t="s">
        <v>8</v>
      </c>
      <c r="J585" s="18">
        <v>14061807.199999999</v>
      </c>
      <c r="K585" t="s">
        <v>627</v>
      </c>
      <c r="L585" t="s">
        <v>9</v>
      </c>
      <c r="M585" t="s">
        <v>1600</v>
      </c>
      <c r="N585" t="s">
        <v>3</v>
      </c>
      <c r="O585" t="s">
        <v>3</v>
      </c>
      <c r="P585" t="s">
        <v>5</v>
      </c>
      <c r="Q585" t="s">
        <v>1601</v>
      </c>
      <c r="R585" t="s">
        <v>3</v>
      </c>
      <c r="S585" t="s">
        <v>3</v>
      </c>
      <c r="T585" t="s">
        <v>3</v>
      </c>
      <c r="U585" t="s">
        <v>3</v>
      </c>
      <c r="V585" t="s">
        <v>3</v>
      </c>
      <c r="W585" t="s">
        <v>68</v>
      </c>
      <c r="X585" s="17">
        <v>43190</v>
      </c>
      <c r="Y585" t="s">
        <v>784</v>
      </c>
      <c r="Z585" s="17">
        <v>43146</v>
      </c>
      <c r="AA585" t="s">
        <v>3</v>
      </c>
      <c r="AB585" t="s">
        <v>1599</v>
      </c>
    </row>
    <row r="586" spans="1:28" hidden="1">
      <c r="A586" t="s">
        <v>1602</v>
      </c>
      <c r="B586" s="17">
        <v>43146</v>
      </c>
      <c r="C586" s="17">
        <v>43146</v>
      </c>
      <c r="D586" t="s">
        <v>0</v>
      </c>
      <c r="E586" t="s">
        <v>1</v>
      </c>
      <c r="F586" s="18">
        <v>6831</v>
      </c>
      <c r="G586" s="18">
        <v>6831</v>
      </c>
      <c r="H586" t="s">
        <v>2</v>
      </c>
      <c r="I586" t="s">
        <v>8</v>
      </c>
      <c r="J586" s="18">
        <v>561508.19999999995</v>
      </c>
      <c r="K586" t="s">
        <v>1545</v>
      </c>
      <c r="L586" t="s">
        <v>9</v>
      </c>
      <c r="M586" t="s">
        <v>1603</v>
      </c>
      <c r="N586" t="s">
        <v>3</v>
      </c>
      <c r="O586" t="s">
        <v>3</v>
      </c>
      <c r="P586" t="s">
        <v>5</v>
      </c>
      <c r="Q586" t="s">
        <v>1604</v>
      </c>
      <c r="R586" t="s">
        <v>3</v>
      </c>
      <c r="S586" t="s">
        <v>3</v>
      </c>
      <c r="T586" t="s">
        <v>3</v>
      </c>
      <c r="U586" t="s">
        <v>3</v>
      </c>
      <c r="V586" t="s">
        <v>3</v>
      </c>
      <c r="W586" t="s">
        <v>68</v>
      </c>
      <c r="X586" s="17">
        <v>43190</v>
      </c>
      <c r="Y586" t="s">
        <v>786</v>
      </c>
      <c r="Z586" s="17">
        <v>43146</v>
      </c>
      <c r="AA586" t="s">
        <v>3</v>
      </c>
      <c r="AB586" t="s">
        <v>1602</v>
      </c>
    </row>
    <row r="587" spans="1:28" hidden="1">
      <c r="A587" t="s">
        <v>1602</v>
      </c>
      <c r="B587" s="17">
        <v>43146</v>
      </c>
      <c r="C587" s="17">
        <v>43146</v>
      </c>
      <c r="D587" t="s">
        <v>0</v>
      </c>
      <c r="E587" t="s">
        <v>1</v>
      </c>
      <c r="F587" s="18">
        <v>47708</v>
      </c>
      <c r="G587" s="18">
        <v>47708</v>
      </c>
      <c r="H587" t="s">
        <v>2</v>
      </c>
      <c r="I587" t="s">
        <v>8</v>
      </c>
      <c r="J587" s="18">
        <v>3931139.2</v>
      </c>
      <c r="K587" t="s">
        <v>627</v>
      </c>
      <c r="L587" t="s">
        <v>9</v>
      </c>
      <c r="M587" t="s">
        <v>1603</v>
      </c>
      <c r="N587" t="s">
        <v>3</v>
      </c>
      <c r="O587" t="s">
        <v>3</v>
      </c>
      <c r="P587" t="s">
        <v>5</v>
      </c>
      <c r="Q587" t="s">
        <v>1604</v>
      </c>
      <c r="R587" t="s">
        <v>3</v>
      </c>
      <c r="S587" t="s">
        <v>3</v>
      </c>
      <c r="T587" t="s">
        <v>3</v>
      </c>
      <c r="U587" t="s">
        <v>3</v>
      </c>
      <c r="V587" t="s">
        <v>3</v>
      </c>
      <c r="W587" t="s">
        <v>68</v>
      </c>
      <c r="X587" s="17">
        <v>43190</v>
      </c>
      <c r="Y587" t="s">
        <v>784</v>
      </c>
      <c r="Z587" s="17">
        <v>43146</v>
      </c>
      <c r="AA587" t="s">
        <v>3</v>
      </c>
      <c r="AB587" t="s">
        <v>1602</v>
      </c>
    </row>
    <row r="588" spans="1:28" hidden="1">
      <c r="A588" t="s">
        <v>1605</v>
      </c>
      <c r="B588" s="17">
        <v>43146</v>
      </c>
      <c r="C588" s="17">
        <v>43146</v>
      </c>
      <c r="D588" t="s">
        <v>0</v>
      </c>
      <c r="E588" t="s">
        <v>1</v>
      </c>
      <c r="F588" s="18">
        <v>18911</v>
      </c>
      <c r="G588" s="18">
        <v>18911</v>
      </c>
      <c r="H588" t="s">
        <v>2</v>
      </c>
      <c r="I588" t="s">
        <v>8</v>
      </c>
      <c r="J588" s="18">
        <v>1558266.4</v>
      </c>
      <c r="K588" t="s">
        <v>627</v>
      </c>
      <c r="L588" t="s">
        <v>9</v>
      </c>
      <c r="M588" t="s">
        <v>1606</v>
      </c>
      <c r="N588" t="s">
        <v>3</v>
      </c>
      <c r="O588" t="s">
        <v>3</v>
      </c>
      <c r="P588" t="s">
        <v>5</v>
      </c>
      <c r="Q588" t="s">
        <v>1607</v>
      </c>
      <c r="R588" t="s">
        <v>3</v>
      </c>
      <c r="S588" t="s">
        <v>3</v>
      </c>
      <c r="T588" t="s">
        <v>3</v>
      </c>
      <c r="U588" t="s">
        <v>3</v>
      </c>
      <c r="V588" t="s">
        <v>3</v>
      </c>
      <c r="W588" t="s">
        <v>68</v>
      </c>
      <c r="X588" s="17">
        <v>43190</v>
      </c>
      <c r="Y588" t="s">
        <v>784</v>
      </c>
      <c r="Z588" s="17">
        <v>43146</v>
      </c>
      <c r="AA588" t="s">
        <v>3</v>
      </c>
      <c r="AB588" t="s">
        <v>1605</v>
      </c>
    </row>
    <row r="589" spans="1:28" hidden="1">
      <c r="A589" t="s">
        <v>1608</v>
      </c>
      <c r="B589" s="17">
        <v>43146</v>
      </c>
      <c r="C589" s="17">
        <v>43146</v>
      </c>
      <c r="D589" t="s">
        <v>0</v>
      </c>
      <c r="E589" t="s">
        <v>1</v>
      </c>
      <c r="F589" s="18">
        <v>13799</v>
      </c>
      <c r="G589" s="18">
        <v>13799</v>
      </c>
      <c r="H589" t="s">
        <v>2</v>
      </c>
      <c r="I589" t="s">
        <v>8</v>
      </c>
      <c r="J589" s="18">
        <v>1134277.8</v>
      </c>
      <c r="K589" t="s">
        <v>1545</v>
      </c>
      <c r="L589" t="s">
        <v>9</v>
      </c>
      <c r="M589" t="s">
        <v>1609</v>
      </c>
      <c r="N589" t="s">
        <v>3</v>
      </c>
      <c r="O589" t="s">
        <v>3</v>
      </c>
      <c r="P589" t="s">
        <v>5</v>
      </c>
      <c r="Q589" t="s">
        <v>1610</v>
      </c>
      <c r="R589" t="s">
        <v>3</v>
      </c>
      <c r="S589" t="s">
        <v>3</v>
      </c>
      <c r="T589" t="s">
        <v>3</v>
      </c>
      <c r="U589" t="s">
        <v>3</v>
      </c>
      <c r="V589" t="s">
        <v>3</v>
      </c>
      <c r="W589" t="s">
        <v>68</v>
      </c>
      <c r="X589" s="17">
        <v>43190</v>
      </c>
      <c r="Y589" t="s">
        <v>786</v>
      </c>
      <c r="Z589" s="17">
        <v>43146</v>
      </c>
      <c r="AA589" t="s">
        <v>3</v>
      </c>
      <c r="AB589" t="s">
        <v>1608</v>
      </c>
    </row>
    <row r="590" spans="1:28" hidden="1">
      <c r="A590" t="s">
        <v>1611</v>
      </c>
      <c r="B590" s="17">
        <v>43146</v>
      </c>
      <c r="C590" s="17">
        <v>43146</v>
      </c>
      <c r="D590" t="s">
        <v>0</v>
      </c>
      <c r="E590" t="s">
        <v>1</v>
      </c>
      <c r="F590" s="18">
        <v>44328</v>
      </c>
      <c r="G590" s="18">
        <v>44328</v>
      </c>
      <c r="H590" t="s">
        <v>2</v>
      </c>
      <c r="I590" t="s">
        <v>8</v>
      </c>
      <c r="J590" s="18">
        <v>3652627.2</v>
      </c>
      <c r="K590" t="s">
        <v>627</v>
      </c>
      <c r="L590" t="s">
        <v>9</v>
      </c>
      <c r="M590" t="s">
        <v>1612</v>
      </c>
      <c r="N590" t="s">
        <v>3</v>
      </c>
      <c r="O590" t="s">
        <v>3</v>
      </c>
      <c r="P590" t="s">
        <v>5</v>
      </c>
      <c r="Q590" t="s">
        <v>1613</v>
      </c>
      <c r="R590" t="s">
        <v>3</v>
      </c>
      <c r="S590" t="s">
        <v>3</v>
      </c>
      <c r="T590" t="s">
        <v>3</v>
      </c>
      <c r="U590" t="s">
        <v>3</v>
      </c>
      <c r="V590" t="s">
        <v>3</v>
      </c>
      <c r="W590" t="s">
        <v>68</v>
      </c>
      <c r="X590" s="17">
        <v>43190</v>
      </c>
      <c r="Y590" t="s">
        <v>784</v>
      </c>
      <c r="Z590" s="17">
        <v>43146</v>
      </c>
      <c r="AA590" t="s">
        <v>3</v>
      </c>
      <c r="AB590" t="s">
        <v>1611</v>
      </c>
    </row>
    <row r="591" spans="1:28" hidden="1">
      <c r="A591" t="s">
        <v>1614</v>
      </c>
      <c r="B591" s="17">
        <v>43146</v>
      </c>
      <c r="C591" s="17">
        <v>43146</v>
      </c>
      <c r="D591" t="s">
        <v>0</v>
      </c>
      <c r="E591" t="s">
        <v>1</v>
      </c>
      <c r="F591" s="18">
        <v>8258</v>
      </c>
      <c r="G591" s="18">
        <v>8258</v>
      </c>
      <c r="H591" t="s">
        <v>2</v>
      </c>
      <c r="I591" t="s">
        <v>8</v>
      </c>
      <c r="J591" s="18">
        <v>680459.2</v>
      </c>
      <c r="K591" t="s">
        <v>627</v>
      </c>
      <c r="L591" t="s">
        <v>9</v>
      </c>
      <c r="M591" t="s">
        <v>1615</v>
      </c>
      <c r="N591" t="s">
        <v>3</v>
      </c>
      <c r="O591" t="s">
        <v>3</v>
      </c>
      <c r="P591" t="s">
        <v>5</v>
      </c>
      <c r="Q591" t="s">
        <v>1616</v>
      </c>
      <c r="R591" t="s">
        <v>3</v>
      </c>
      <c r="S591" t="s">
        <v>3</v>
      </c>
      <c r="T591" t="s">
        <v>3</v>
      </c>
      <c r="U591" t="s">
        <v>3</v>
      </c>
      <c r="V591" t="s">
        <v>3</v>
      </c>
      <c r="W591" t="s">
        <v>68</v>
      </c>
      <c r="X591" s="17">
        <v>43190</v>
      </c>
      <c r="Y591" t="s">
        <v>784</v>
      </c>
      <c r="Z591" s="17">
        <v>43146</v>
      </c>
      <c r="AA591" t="s">
        <v>3</v>
      </c>
      <c r="AB591" t="s">
        <v>1614</v>
      </c>
    </row>
    <row r="592" spans="1:28" hidden="1">
      <c r="A592" t="s">
        <v>1617</v>
      </c>
      <c r="B592" s="17">
        <v>43146</v>
      </c>
      <c r="C592" s="17">
        <v>43146</v>
      </c>
      <c r="D592" t="s">
        <v>0</v>
      </c>
      <c r="E592" t="s">
        <v>1</v>
      </c>
      <c r="F592" s="18">
        <v>16281</v>
      </c>
      <c r="G592" s="18">
        <v>16281</v>
      </c>
      <c r="H592" t="s">
        <v>2</v>
      </c>
      <c r="I592" t="s">
        <v>10</v>
      </c>
      <c r="J592" s="18">
        <v>1341554.3999999999</v>
      </c>
      <c r="K592" t="s">
        <v>1618</v>
      </c>
      <c r="L592" t="s">
        <v>9</v>
      </c>
      <c r="M592" t="s">
        <v>1619</v>
      </c>
      <c r="N592" t="s">
        <v>3</v>
      </c>
      <c r="O592" t="s">
        <v>3</v>
      </c>
      <c r="P592" t="s">
        <v>5</v>
      </c>
      <c r="Q592" t="s">
        <v>1620</v>
      </c>
      <c r="R592" t="s">
        <v>3</v>
      </c>
      <c r="S592" t="s">
        <v>3</v>
      </c>
      <c r="T592" t="s">
        <v>3</v>
      </c>
      <c r="U592" t="s">
        <v>3</v>
      </c>
      <c r="V592" t="s">
        <v>3</v>
      </c>
      <c r="W592" t="s">
        <v>68</v>
      </c>
      <c r="X592" s="17">
        <v>43159</v>
      </c>
      <c r="Y592" t="s">
        <v>752</v>
      </c>
      <c r="Z592" s="17">
        <v>43146</v>
      </c>
      <c r="AA592" t="s">
        <v>3</v>
      </c>
      <c r="AB592" t="s">
        <v>1617</v>
      </c>
    </row>
    <row r="593" spans="1:28" hidden="1">
      <c r="A593" t="s">
        <v>1621</v>
      </c>
      <c r="B593" s="17">
        <v>43146</v>
      </c>
      <c r="C593" s="17">
        <v>43146</v>
      </c>
      <c r="D593" t="s">
        <v>0</v>
      </c>
      <c r="E593" t="s">
        <v>1</v>
      </c>
      <c r="F593" s="18">
        <v>35431</v>
      </c>
      <c r="G593" s="18">
        <v>35431</v>
      </c>
      <c r="H593" t="s">
        <v>2</v>
      </c>
      <c r="I593" t="s">
        <v>10</v>
      </c>
      <c r="J593" s="18">
        <v>2919514.41</v>
      </c>
      <c r="K593" t="s">
        <v>1618</v>
      </c>
      <c r="L593" t="s">
        <v>9</v>
      </c>
      <c r="M593" t="s">
        <v>1622</v>
      </c>
      <c r="N593" t="s">
        <v>3</v>
      </c>
      <c r="O593" t="s">
        <v>3</v>
      </c>
      <c r="P593" t="s">
        <v>5</v>
      </c>
      <c r="Q593" t="s">
        <v>1623</v>
      </c>
      <c r="R593" t="s">
        <v>3</v>
      </c>
      <c r="S593" t="s">
        <v>3</v>
      </c>
      <c r="T593" t="s">
        <v>3</v>
      </c>
      <c r="U593" t="s">
        <v>3</v>
      </c>
      <c r="V593" t="s">
        <v>3</v>
      </c>
      <c r="W593" t="s">
        <v>68</v>
      </c>
      <c r="X593" s="17">
        <v>43159</v>
      </c>
      <c r="Y593" t="s">
        <v>752</v>
      </c>
      <c r="Z593" s="17">
        <v>43146</v>
      </c>
      <c r="AA593" t="s">
        <v>3</v>
      </c>
      <c r="AB593" t="s">
        <v>1621</v>
      </c>
    </row>
    <row r="594" spans="1:28" hidden="1">
      <c r="A594" t="s">
        <v>1624</v>
      </c>
      <c r="B594" s="17">
        <v>43146</v>
      </c>
      <c r="C594" s="17">
        <v>43146</v>
      </c>
      <c r="D594" t="s">
        <v>0</v>
      </c>
      <c r="E594" t="s">
        <v>1</v>
      </c>
      <c r="F594" s="18">
        <v>14240</v>
      </c>
      <c r="G594" s="18">
        <v>14240</v>
      </c>
      <c r="H594" t="s">
        <v>2</v>
      </c>
      <c r="I594" t="s">
        <v>10</v>
      </c>
      <c r="J594" s="18">
        <v>1173376</v>
      </c>
      <c r="K594" t="s">
        <v>1618</v>
      </c>
      <c r="L594" t="s">
        <v>9</v>
      </c>
      <c r="M594" t="s">
        <v>1625</v>
      </c>
      <c r="N594" t="s">
        <v>3</v>
      </c>
      <c r="O594" t="s">
        <v>3</v>
      </c>
      <c r="P594" t="s">
        <v>5</v>
      </c>
      <c r="Q594" t="s">
        <v>1626</v>
      </c>
      <c r="R594" t="s">
        <v>3</v>
      </c>
      <c r="S594" t="s">
        <v>3</v>
      </c>
      <c r="T594" t="s">
        <v>3</v>
      </c>
      <c r="U594" t="s">
        <v>3</v>
      </c>
      <c r="V594" t="s">
        <v>3</v>
      </c>
      <c r="W594" t="s">
        <v>68</v>
      </c>
      <c r="X594" s="17">
        <v>43159</v>
      </c>
      <c r="Y594" t="s">
        <v>752</v>
      </c>
      <c r="Z594" s="17">
        <v>43146</v>
      </c>
      <c r="AA594" t="s">
        <v>3</v>
      </c>
      <c r="AB594" t="s">
        <v>1624</v>
      </c>
    </row>
    <row r="595" spans="1:28" hidden="1">
      <c r="A595" t="s">
        <v>1680</v>
      </c>
      <c r="B595" s="17">
        <v>43146</v>
      </c>
      <c r="C595" s="17">
        <v>43146</v>
      </c>
      <c r="D595" t="s">
        <v>0</v>
      </c>
      <c r="E595" t="s">
        <v>1</v>
      </c>
      <c r="F595" s="18">
        <v>90669</v>
      </c>
      <c r="G595" s="18">
        <v>90669</v>
      </c>
      <c r="H595" t="s">
        <v>2</v>
      </c>
      <c r="I595" t="s">
        <v>8</v>
      </c>
      <c r="J595" s="18">
        <v>7452991.7999999998</v>
      </c>
      <c r="K595" t="s">
        <v>1545</v>
      </c>
      <c r="L595" t="s">
        <v>9</v>
      </c>
      <c r="M595" t="s">
        <v>1681</v>
      </c>
      <c r="N595" t="s">
        <v>3</v>
      </c>
      <c r="O595" t="s">
        <v>3</v>
      </c>
      <c r="P595" t="s">
        <v>5</v>
      </c>
      <c r="Q595" t="s">
        <v>1682</v>
      </c>
      <c r="R595" t="s">
        <v>3</v>
      </c>
      <c r="S595" t="s">
        <v>3</v>
      </c>
      <c r="T595" t="s">
        <v>3</v>
      </c>
      <c r="U595" t="s">
        <v>3</v>
      </c>
      <c r="V595" t="s">
        <v>3</v>
      </c>
      <c r="W595" t="s">
        <v>68</v>
      </c>
      <c r="X595" s="17">
        <v>43190</v>
      </c>
      <c r="Y595" t="s">
        <v>786</v>
      </c>
      <c r="Z595" s="17">
        <v>43146</v>
      </c>
      <c r="AA595" t="s">
        <v>3</v>
      </c>
      <c r="AB595" t="s">
        <v>1680</v>
      </c>
    </row>
    <row r="596" spans="1:28" hidden="1">
      <c r="A596" t="s">
        <v>1627</v>
      </c>
      <c r="B596" s="17">
        <v>43149</v>
      </c>
      <c r="C596" s="17">
        <v>43149</v>
      </c>
      <c r="D596" t="s">
        <v>0</v>
      </c>
      <c r="E596" t="s">
        <v>1</v>
      </c>
      <c r="F596" s="18">
        <v>14724</v>
      </c>
      <c r="G596" s="18">
        <v>14724</v>
      </c>
      <c r="H596" t="s">
        <v>2</v>
      </c>
      <c r="I596" t="s">
        <v>8</v>
      </c>
      <c r="J596" s="18">
        <v>1213257.6000000001</v>
      </c>
      <c r="K596" t="s">
        <v>1628</v>
      </c>
      <c r="L596" t="s">
        <v>9</v>
      </c>
      <c r="M596" t="s">
        <v>1629</v>
      </c>
      <c r="N596" t="s">
        <v>3</v>
      </c>
      <c r="O596" t="s">
        <v>3</v>
      </c>
      <c r="P596" t="s">
        <v>5</v>
      </c>
      <c r="Q596" t="s">
        <v>1630</v>
      </c>
      <c r="R596" t="s">
        <v>3</v>
      </c>
      <c r="S596" t="s">
        <v>3</v>
      </c>
      <c r="T596" t="s">
        <v>3</v>
      </c>
      <c r="U596" t="s">
        <v>3</v>
      </c>
      <c r="V596" t="s">
        <v>3</v>
      </c>
      <c r="W596" t="s">
        <v>68</v>
      </c>
      <c r="X596" s="17">
        <v>43190</v>
      </c>
      <c r="Y596" t="s">
        <v>782</v>
      </c>
      <c r="Z596" s="17">
        <v>43149</v>
      </c>
      <c r="AA596" t="s">
        <v>3</v>
      </c>
      <c r="AB596" t="s">
        <v>1627</v>
      </c>
    </row>
    <row r="597" spans="1:28" hidden="1">
      <c r="A597" t="s">
        <v>1631</v>
      </c>
      <c r="B597" s="17">
        <v>43156</v>
      </c>
      <c r="C597" s="17">
        <v>43156</v>
      </c>
      <c r="D597" t="s">
        <v>0</v>
      </c>
      <c r="E597" t="s">
        <v>1</v>
      </c>
      <c r="F597" s="18">
        <v>-475138</v>
      </c>
      <c r="G597" s="18">
        <v>-475138</v>
      </c>
      <c r="H597" t="s">
        <v>2</v>
      </c>
      <c r="I597" t="s">
        <v>8</v>
      </c>
      <c r="J597" s="18">
        <v>-39151371.200000003</v>
      </c>
      <c r="K597" t="s">
        <v>1632</v>
      </c>
      <c r="L597" t="s">
        <v>9</v>
      </c>
      <c r="M597" t="s">
        <v>1633</v>
      </c>
      <c r="N597" t="s">
        <v>3</v>
      </c>
      <c r="O597" t="s">
        <v>3</v>
      </c>
      <c r="P597" t="s">
        <v>5</v>
      </c>
      <c r="Q597" t="s">
        <v>1634</v>
      </c>
      <c r="R597" t="s">
        <v>3</v>
      </c>
      <c r="S597" t="s">
        <v>3</v>
      </c>
      <c r="T597" t="s">
        <v>3</v>
      </c>
      <c r="U597" t="s">
        <v>3</v>
      </c>
      <c r="V597" t="s">
        <v>3</v>
      </c>
      <c r="W597" t="s">
        <v>68</v>
      </c>
      <c r="X597" s="17">
        <v>43190</v>
      </c>
      <c r="Y597" t="s">
        <v>794</v>
      </c>
      <c r="Z597" s="17">
        <v>43156</v>
      </c>
      <c r="AA597" t="s">
        <v>3</v>
      </c>
      <c r="AB597" t="s">
        <v>1631</v>
      </c>
    </row>
    <row r="598" spans="1:28" hidden="1">
      <c r="A598" t="s">
        <v>1635</v>
      </c>
      <c r="B598" s="17">
        <v>43156</v>
      </c>
      <c r="C598" s="17">
        <v>43156</v>
      </c>
      <c r="D598" t="s">
        <v>0</v>
      </c>
      <c r="E598" t="s">
        <v>1</v>
      </c>
      <c r="F598" s="18">
        <v>-133257</v>
      </c>
      <c r="G598" s="18">
        <v>-133257</v>
      </c>
      <c r="H598" t="s">
        <v>2</v>
      </c>
      <c r="I598" t="s">
        <v>10</v>
      </c>
      <c r="J598" s="18">
        <v>-10980376.800000001</v>
      </c>
      <c r="K598" t="s">
        <v>1636</v>
      </c>
      <c r="L598" t="s">
        <v>9</v>
      </c>
      <c r="M598" t="s">
        <v>1637</v>
      </c>
      <c r="N598" t="s">
        <v>3</v>
      </c>
      <c r="O598" t="s">
        <v>3</v>
      </c>
      <c r="P598" t="s">
        <v>5</v>
      </c>
      <c r="Q598" t="s">
        <v>1638</v>
      </c>
      <c r="R598" t="s">
        <v>3</v>
      </c>
      <c r="S598" t="s">
        <v>3</v>
      </c>
      <c r="T598" t="s">
        <v>3</v>
      </c>
      <c r="U598" t="s">
        <v>3</v>
      </c>
      <c r="V598" t="s">
        <v>3</v>
      </c>
      <c r="W598" t="s">
        <v>68</v>
      </c>
      <c r="X598" s="17">
        <v>43190</v>
      </c>
      <c r="Y598" t="s">
        <v>778</v>
      </c>
      <c r="Z598" s="17">
        <v>43156</v>
      </c>
      <c r="AA598" t="s">
        <v>3</v>
      </c>
      <c r="AB598" t="s">
        <v>1635</v>
      </c>
    </row>
    <row r="599" spans="1:28" hidden="1">
      <c r="A599" t="s">
        <v>1639</v>
      </c>
      <c r="B599" s="17">
        <v>43157</v>
      </c>
      <c r="C599" s="17">
        <v>43157</v>
      </c>
      <c r="D599" t="s">
        <v>0</v>
      </c>
      <c r="E599" t="s">
        <v>1</v>
      </c>
      <c r="F599" s="18">
        <v>28782</v>
      </c>
      <c r="G599" s="18">
        <v>28782</v>
      </c>
      <c r="H599" t="s">
        <v>2</v>
      </c>
      <c r="I599" t="s">
        <v>10</v>
      </c>
      <c r="J599" s="18">
        <v>2371636.7999999998</v>
      </c>
      <c r="K599" t="s">
        <v>1640</v>
      </c>
      <c r="L599" t="s">
        <v>9</v>
      </c>
      <c r="M599" t="s">
        <v>1641</v>
      </c>
      <c r="N599" t="s">
        <v>3</v>
      </c>
      <c r="O599" t="s">
        <v>3</v>
      </c>
      <c r="P599" t="s">
        <v>5</v>
      </c>
      <c r="Q599" t="s">
        <v>1642</v>
      </c>
      <c r="R599" t="s">
        <v>3</v>
      </c>
      <c r="S599" t="s">
        <v>3</v>
      </c>
      <c r="T599" t="s">
        <v>3</v>
      </c>
      <c r="U599" t="s">
        <v>3</v>
      </c>
      <c r="V599" t="s">
        <v>3</v>
      </c>
      <c r="W599" t="s">
        <v>68</v>
      </c>
      <c r="X599" s="17">
        <v>43190</v>
      </c>
      <c r="Y599" t="s">
        <v>770</v>
      </c>
      <c r="Z599" s="17">
        <v>43157</v>
      </c>
      <c r="AA599" t="s">
        <v>3</v>
      </c>
      <c r="AB599" t="s">
        <v>1639</v>
      </c>
    </row>
    <row r="600" spans="1:28" hidden="1">
      <c r="A600" t="s">
        <v>1643</v>
      </c>
      <c r="B600" s="17">
        <v>43157</v>
      </c>
      <c r="C600" s="17">
        <v>43157</v>
      </c>
      <c r="D600" t="s">
        <v>0</v>
      </c>
      <c r="E600" t="s">
        <v>1</v>
      </c>
      <c r="F600" s="18">
        <v>33483</v>
      </c>
      <c r="G600" s="18">
        <v>33483</v>
      </c>
      <c r="H600" t="s">
        <v>2</v>
      </c>
      <c r="I600" t="s">
        <v>8</v>
      </c>
      <c r="J600" s="18">
        <v>2758999.2</v>
      </c>
      <c r="K600" t="s">
        <v>627</v>
      </c>
      <c r="L600" t="s">
        <v>9</v>
      </c>
      <c r="M600" t="s">
        <v>1644</v>
      </c>
      <c r="N600" t="s">
        <v>3</v>
      </c>
      <c r="O600" t="s">
        <v>3</v>
      </c>
      <c r="P600" t="s">
        <v>5</v>
      </c>
      <c r="Q600" t="s">
        <v>1645</v>
      </c>
      <c r="R600" t="s">
        <v>3</v>
      </c>
      <c r="S600" t="s">
        <v>3</v>
      </c>
      <c r="T600" t="s">
        <v>3</v>
      </c>
      <c r="U600" t="s">
        <v>3</v>
      </c>
      <c r="V600" t="s">
        <v>3</v>
      </c>
      <c r="W600" t="s">
        <v>68</v>
      </c>
      <c r="X600" s="17">
        <v>43190</v>
      </c>
      <c r="Y600" t="s">
        <v>784</v>
      </c>
      <c r="Z600" s="17">
        <v>43157</v>
      </c>
      <c r="AA600" t="s">
        <v>3</v>
      </c>
      <c r="AB600" t="s">
        <v>1643</v>
      </c>
    </row>
    <row r="601" spans="1:28" hidden="1">
      <c r="A601" t="s">
        <v>1643</v>
      </c>
      <c r="B601" s="17">
        <v>43157</v>
      </c>
      <c r="C601" s="17">
        <v>43157</v>
      </c>
      <c r="D601" t="s">
        <v>0</v>
      </c>
      <c r="E601" t="s">
        <v>1</v>
      </c>
      <c r="F601" s="18">
        <v>153513</v>
      </c>
      <c r="G601" s="18">
        <v>153513</v>
      </c>
      <c r="H601" t="s">
        <v>2</v>
      </c>
      <c r="I601" t="s">
        <v>8</v>
      </c>
      <c r="J601" s="18">
        <v>12649471.199999999</v>
      </c>
      <c r="K601" t="s">
        <v>1628</v>
      </c>
      <c r="L601" t="s">
        <v>9</v>
      </c>
      <c r="M601" t="s">
        <v>1644</v>
      </c>
      <c r="N601" t="s">
        <v>3</v>
      </c>
      <c r="O601" t="s">
        <v>3</v>
      </c>
      <c r="P601" t="s">
        <v>5</v>
      </c>
      <c r="Q601" t="s">
        <v>1645</v>
      </c>
      <c r="R601" t="s">
        <v>3</v>
      </c>
      <c r="S601" t="s">
        <v>3</v>
      </c>
      <c r="T601" t="s">
        <v>3</v>
      </c>
      <c r="U601" t="s">
        <v>3</v>
      </c>
      <c r="V601" t="s">
        <v>3</v>
      </c>
      <c r="W601" t="s">
        <v>68</v>
      </c>
      <c r="X601" s="17">
        <v>43190</v>
      </c>
      <c r="Y601" t="s">
        <v>782</v>
      </c>
      <c r="Z601" s="17">
        <v>43157</v>
      </c>
      <c r="AA601" t="s">
        <v>3</v>
      </c>
      <c r="AB601" t="s">
        <v>1643</v>
      </c>
    </row>
    <row r="602" spans="1:28" hidden="1">
      <c r="A602" t="s">
        <v>752</v>
      </c>
      <c r="B602" s="17">
        <v>43159</v>
      </c>
      <c r="C602" s="17">
        <v>43159</v>
      </c>
      <c r="D602" t="s">
        <v>7</v>
      </c>
      <c r="E602" t="s">
        <v>1</v>
      </c>
      <c r="F602" s="18">
        <v>68265</v>
      </c>
      <c r="G602" s="18">
        <v>68265</v>
      </c>
      <c r="H602" t="s">
        <v>2</v>
      </c>
      <c r="I602" t="s">
        <v>10</v>
      </c>
      <c r="J602" s="18">
        <v>5625036.0099999998</v>
      </c>
      <c r="K602" t="s">
        <v>753</v>
      </c>
      <c r="L602" t="s">
        <v>9</v>
      </c>
      <c r="M602" t="s">
        <v>754</v>
      </c>
      <c r="N602" t="s">
        <v>3</v>
      </c>
      <c r="O602" t="s">
        <v>3</v>
      </c>
      <c r="P602" t="s">
        <v>5</v>
      </c>
      <c r="Q602" t="s">
        <v>753</v>
      </c>
      <c r="R602" t="s">
        <v>3</v>
      </c>
      <c r="S602" t="s">
        <v>3</v>
      </c>
      <c r="T602" t="s">
        <v>3</v>
      </c>
      <c r="U602" t="s">
        <v>3</v>
      </c>
      <c r="V602" t="s">
        <v>3</v>
      </c>
      <c r="W602" t="s">
        <v>68</v>
      </c>
      <c r="X602" s="17">
        <v>43159</v>
      </c>
      <c r="Y602" t="s">
        <v>752</v>
      </c>
      <c r="Z602" s="17">
        <v>43159</v>
      </c>
      <c r="AA602" t="s">
        <v>3</v>
      </c>
      <c r="AB602" t="s">
        <v>752</v>
      </c>
    </row>
    <row r="603" spans="1:28" hidden="1">
      <c r="A603" t="s">
        <v>752</v>
      </c>
      <c r="B603" s="17">
        <v>43159</v>
      </c>
      <c r="C603" s="17">
        <v>43159</v>
      </c>
      <c r="D603" t="s">
        <v>7</v>
      </c>
      <c r="E603" t="s">
        <v>1</v>
      </c>
      <c r="F603" s="18">
        <v>-68265</v>
      </c>
      <c r="G603" s="18">
        <v>-68265</v>
      </c>
      <c r="H603" t="s">
        <v>2</v>
      </c>
      <c r="I603" t="s">
        <v>10</v>
      </c>
      <c r="J603" s="18">
        <v>-5625036.0099999998</v>
      </c>
      <c r="K603" t="s">
        <v>753</v>
      </c>
      <c r="L603" t="s">
        <v>9</v>
      </c>
      <c r="M603" t="s">
        <v>754</v>
      </c>
      <c r="N603" t="s">
        <v>3</v>
      </c>
      <c r="O603" t="s">
        <v>3</v>
      </c>
      <c r="P603" t="s">
        <v>5</v>
      </c>
      <c r="Q603" t="s">
        <v>753</v>
      </c>
      <c r="R603" t="s">
        <v>3</v>
      </c>
      <c r="S603" t="s">
        <v>3</v>
      </c>
      <c r="T603" t="s">
        <v>3</v>
      </c>
      <c r="U603" t="s">
        <v>3</v>
      </c>
      <c r="V603" t="s">
        <v>3</v>
      </c>
      <c r="W603" t="s">
        <v>68</v>
      </c>
      <c r="X603" s="17">
        <v>43159</v>
      </c>
      <c r="Y603" t="s">
        <v>752</v>
      </c>
      <c r="Z603" s="17">
        <v>43159</v>
      </c>
      <c r="AA603" t="s">
        <v>3</v>
      </c>
      <c r="AB603" t="s">
        <v>752</v>
      </c>
    </row>
    <row r="604" spans="1:28" hidden="1">
      <c r="A604" t="s">
        <v>755</v>
      </c>
      <c r="B604" s="17">
        <v>43159</v>
      </c>
      <c r="C604" s="17">
        <v>43159</v>
      </c>
      <c r="D604" t="s">
        <v>7</v>
      </c>
      <c r="E604" t="s">
        <v>1</v>
      </c>
      <c r="F604" s="18">
        <v>105909</v>
      </c>
      <c r="G604" s="18">
        <v>105909</v>
      </c>
      <c r="H604" t="s">
        <v>2</v>
      </c>
      <c r="I604" t="s">
        <v>10</v>
      </c>
      <c r="J604" s="18">
        <v>8705719.8000000007</v>
      </c>
      <c r="K604" t="s">
        <v>756</v>
      </c>
      <c r="L604" t="s">
        <v>9</v>
      </c>
      <c r="M604" t="s">
        <v>757</v>
      </c>
      <c r="N604" t="s">
        <v>3</v>
      </c>
      <c r="O604" t="s">
        <v>3</v>
      </c>
      <c r="P604" t="s">
        <v>5</v>
      </c>
      <c r="Q604" t="s">
        <v>756</v>
      </c>
      <c r="R604" t="s">
        <v>3</v>
      </c>
      <c r="S604" t="s">
        <v>3</v>
      </c>
      <c r="T604" t="s">
        <v>3</v>
      </c>
      <c r="U604" t="s">
        <v>3</v>
      </c>
      <c r="V604" t="s">
        <v>3</v>
      </c>
      <c r="W604" t="s">
        <v>68</v>
      </c>
      <c r="X604" s="17">
        <v>43159</v>
      </c>
      <c r="Y604" t="s">
        <v>755</v>
      </c>
      <c r="Z604" s="17">
        <v>43159</v>
      </c>
      <c r="AA604" t="s">
        <v>3</v>
      </c>
      <c r="AB604" t="s">
        <v>755</v>
      </c>
    </row>
    <row r="605" spans="1:28" hidden="1">
      <c r="A605" t="s">
        <v>755</v>
      </c>
      <c r="B605" s="17">
        <v>43159</v>
      </c>
      <c r="C605" s="17">
        <v>43159</v>
      </c>
      <c r="D605" t="s">
        <v>7</v>
      </c>
      <c r="E605" t="s">
        <v>1</v>
      </c>
      <c r="F605" s="18">
        <v>-105909</v>
      </c>
      <c r="G605" s="18">
        <v>-105909</v>
      </c>
      <c r="H605" t="s">
        <v>2</v>
      </c>
      <c r="I605" t="s">
        <v>10</v>
      </c>
      <c r="J605" s="18">
        <v>-8705719.8000000007</v>
      </c>
      <c r="K605" t="s">
        <v>756</v>
      </c>
      <c r="L605" t="s">
        <v>9</v>
      </c>
      <c r="M605" t="s">
        <v>757</v>
      </c>
      <c r="N605" t="s">
        <v>3</v>
      </c>
      <c r="O605" t="s">
        <v>3</v>
      </c>
      <c r="P605" t="s">
        <v>5</v>
      </c>
      <c r="Q605" t="s">
        <v>756</v>
      </c>
      <c r="R605" t="s">
        <v>3</v>
      </c>
      <c r="S605" t="s">
        <v>3</v>
      </c>
      <c r="T605" t="s">
        <v>3</v>
      </c>
      <c r="U605" t="s">
        <v>3</v>
      </c>
      <c r="V605" t="s">
        <v>3</v>
      </c>
      <c r="W605" t="s">
        <v>68</v>
      </c>
      <c r="X605" s="17">
        <v>43159</v>
      </c>
      <c r="Y605" t="s">
        <v>755</v>
      </c>
      <c r="Z605" s="17">
        <v>43159</v>
      </c>
      <c r="AA605" t="s">
        <v>3</v>
      </c>
      <c r="AB605" t="s">
        <v>755</v>
      </c>
    </row>
    <row r="606" spans="1:28" hidden="1">
      <c r="A606" t="s">
        <v>758</v>
      </c>
      <c r="B606" s="17">
        <v>43159</v>
      </c>
      <c r="C606" s="17">
        <v>43159</v>
      </c>
      <c r="D606" t="s">
        <v>7</v>
      </c>
      <c r="E606" t="s">
        <v>1</v>
      </c>
      <c r="F606" s="18">
        <v>146084</v>
      </c>
      <c r="G606" s="18">
        <v>146084</v>
      </c>
      <c r="H606" t="s">
        <v>2</v>
      </c>
      <c r="I606" t="s">
        <v>10</v>
      </c>
      <c r="J606" s="18">
        <v>11971583.800000001</v>
      </c>
      <c r="K606" t="s">
        <v>759</v>
      </c>
      <c r="L606" t="s">
        <v>9</v>
      </c>
      <c r="M606" t="s">
        <v>760</v>
      </c>
      <c r="N606" t="s">
        <v>3</v>
      </c>
      <c r="O606" t="s">
        <v>3</v>
      </c>
      <c r="P606" t="s">
        <v>5</v>
      </c>
      <c r="Q606" t="s">
        <v>759</v>
      </c>
      <c r="R606" t="s">
        <v>3</v>
      </c>
      <c r="S606" t="s">
        <v>3</v>
      </c>
      <c r="T606" t="s">
        <v>3</v>
      </c>
      <c r="U606" t="s">
        <v>3</v>
      </c>
      <c r="V606" t="s">
        <v>3</v>
      </c>
      <c r="W606" t="s">
        <v>68</v>
      </c>
      <c r="X606" s="17">
        <v>43159</v>
      </c>
      <c r="Y606" t="s">
        <v>758</v>
      </c>
      <c r="Z606" s="17">
        <v>43159</v>
      </c>
      <c r="AA606" t="s">
        <v>3</v>
      </c>
      <c r="AB606" t="s">
        <v>758</v>
      </c>
    </row>
    <row r="607" spans="1:28" hidden="1">
      <c r="A607" t="s">
        <v>758</v>
      </c>
      <c r="B607" s="17">
        <v>43159</v>
      </c>
      <c r="C607" s="17">
        <v>43159</v>
      </c>
      <c r="D607" t="s">
        <v>7</v>
      </c>
      <c r="E607" t="s">
        <v>1</v>
      </c>
      <c r="F607" s="18">
        <v>-146084</v>
      </c>
      <c r="G607" s="18">
        <v>-146084</v>
      </c>
      <c r="H607" t="s">
        <v>2</v>
      </c>
      <c r="I607" t="s">
        <v>10</v>
      </c>
      <c r="J607" s="18">
        <v>-11971583.800000001</v>
      </c>
      <c r="K607" t="s">
        <v>759</v>
      </c>
      <c r="L607" t="s">
        <v>9</v>
      </c>
      <c r="M607" t="s">
        <v>760</v>
      </c>
      <c r="N607" t="s">
        <v>3</v>
      </c>
      <c r="O607" t="s">
        <v>3</v>
      </c>
      <c r="P607" t="s">
        <v>5</v>
      </c>
      <c r="Q607" t="s">
        <v>759</v>
      </c>
      <c r="R607" t="s">
        <v>3</v>
      </c>
      <c r="S607" t="s">
        <v>3</v>
      </c>
      <c r="T607" t="s">
        <v>3</v>
      </c>
      <c r="U607" t="s">
        <v>3</v>
      </c>
      <c r="V607" t="s">
        <v>3</v>
      </c>
      <c r="W607" t="s">
        <v>68</v>
      </c>
      <c r="X607" s="17">
        <v>43159</v>
      </c>
      <c r="Y607" t="s">
        <v>758</v>
      </c>
      <c r="Z607" s="17">
        <v>43159</v>
      </c>
      <c r="AA607" t="s">
        <v>3</v>
      </c>
      <c r="AB607" t="s">
        <v>758</v>
      </c>
    </row>
    <row r="608" spans="1:28" hidden="1">
      <c r="A608" t="s">
        <v>761</v>
      </c>
      <c r="B608" s="17">
        <v>43159</v>
      </c>
      <c r="C608" s="17">
        <v>43159</v>
      </c>
      <c r="D608" t="s">
        <v>7</v>
      </c>
      <c r="E608" t="s">
        <v>1</v>
      </c>
      <c r="F608" s="18">
        <v>60523</v>
      </c>
      <c r="G608" s="18">
        <v>60523</v>
      </c>
      <c r="H608" t="s">
        <v>2</v>
      </c>
      <c r="I608" t="s">
        <v>8</v>
      </c>
      <c r="J608" s="18">
        <v>4959859.8499999996</v>
      </c>
      <c r="K608" t="s">
        <v>762</v>
      </c>
      <c r="L608" t="s">
        <v>9</v>
      </c>
      <c r="M608" t="s">
        <v>763</v>
      </c>
      <c r="N608" t="s">
        <v>3</v>
      </c>
      <c r="O608" t="s">
        <v>3</v>
      </c>
      <c r="P608" t="s">
        <v>5</v>
      </c>
      <c r="Q608" t="s">
        <v>762</v>
      </c>
      <c r="R608" t="s">
        <v>3</v>
      </c>
      <c r="S608" t="s">
        <v>3</v>
      </c>
      <c r="T608" t="s">
        <v>3</v>
      </c>
      <c r="U608" t="s">
        <v>3</v>
      </c>
      <c r="V608" t="s">
        <v>3</v>
      </c>
      <c r="W608" t="s">
        <v>68</v>
      </c>
      <c r="X608" s="17">
        <v>43159</v>
      </c>
      <c r="Y608" t="s">
        <v>761</v>
      </c>
      <c r="Z608" s="17">
        <v>43159</v>
      </c>
      <c r="AA608" t="s">
        <v>3</v>
      </c>
      <c r="AB608" t="s">
        <v>761</v>
      </c>
    </row>
    <row r="609" spans="1:28" hidden="1">
      <c r="A609" t="s">
        <v>761</v>
      </c>
      <c r="B609" s="17">
        <v>43159</v>
      </c>
      <c r="C609" s="17">
        <v>43159</v>
      </c>
      <c r="D609" t="s">
        <v>7</v>
      </c>
      <c r="E609" t="s">
        <v>1</v>
      </c>
      <c r="F609" s="18">
        <v>-60524</v>
      </c>
      <c r="G609" s="18">
        <v>-60524</v>
      </c>
      <c r="H609" t="s">
        <v>2</v>
      </c>
      <c r="I609" t="s">
        <v>8</v>
      </c>
      <c r="J609" s="18">
        <v>-4959941.8</v>
      </c>
      <c r="K609" t="s">
        <v>762</v>
      </c>
      <c r="L609" t="s">
        <v>9</v>
      </c>
      <c r="M609" t="s">
        <v>763</v>
      </c>
      <c r="N609" t="s">
        <v>3</v>
      </c>
      <c r="O609" t="s">
        <v>3</v>
      </c>
      <c r="P609" t="s">
        <v>5</v>
      </c>
      <c r="Q609" t="s">
        <v>762</v>
      </c>
      <c r="R609" t="s">
        <v>3</v>
      </c>
      <c r="S609" t="s">
        <v>3</v>
      </c>
      <c r="T609" t="s">
        <v>3</v>
      </c>
      <c r="U609" t="s">
        <v>3</v>
      </c>
      <c r="V609" t="s">
        <v>3</v>
      </c>
      <c r="W609" t="s">
        <v>68</v>
      </c>
      <c r="X609" s="17">
        <v>43159</v>
      </c>
      <c r="Y609" t="s">
        <v>761</v>
      </c>
      <c r="Z609" s="17">
        <v>43159</v>
      </c>
      <c r="AA609" t="s">
        <v>3</v>
      </c>
      <c r="AB609" t="s">
        <v>761</v>
      </c>
    </row>
    <row r="610" spans="1:28" hidden="1">
      <c r="A610" t="s">
        <v>764</v>
      </c>
      <c r="B610" s="17">
        <v>43159</v>
      </c>
      <c r="C610" s="17">
        <v>43159</v>
      </c>
      <c r="D610" t="s">
        <v>7</v>
      </c>
      <c r="E610" t="s">
        <v>1</v>
      </c>
      <c r="F610" s="18">
        <v>-1</v>
      </c>
      <c r="G610" s="18">
        <v>-1</v>
      </c>
      <c r="H610" t="s">
        <v>2</v>
      </c>
      <c r="I610" t="s">
        <v>10</v>
      </c>
      <c r="J610" s="18">
        <v>-81.95</v>
      </c>
      <c r="K610" t="s">
        <v>765</v>
      </c>
      <c r="L610" t="s">
        <v>9</v>
      </c>
      <c r="M610" t="s">
        <v>766</v>
      </c>
      <c r="N610" t="s">
        <v>3</v>
      </c>
      <c r="O610" t="s">
        <v>3</v>
      </c>
      <c r="P610" t="s">
        <v>5</v>
      </c>
      <c r="Q610" t="s">
        <v>765</v>
      </c>
      <c r="R610" t="s">
        <v>3</v>
      </c>
      <c r="S610" t="s">
        <v>3</v>
      </c>
      <c r="T610" t="s">
        <v>3</v>
      </c>
      <c r="U610" t="s">
        <v>3</v>
      </c>
      <c r="V610" t="s">
        <v>3</v>
      </c>
      <c r="W610" t="s">
        <v>68</v>
      </c>
      <c r="X610" s="17">
        <v>43159</v>
      </c>
      <c r="Y610" t="s">
        <v>764</v>
      </c>
      <c r="Z610" s="17">
        <v>43159</v>
      </c>
      <c r="AA610" t="s">
        <v>3</v>
      </c>
      <c r="AB610" t="s">
        <v>764</v>
      </c>
    </row>
    <row r="611" spans="1:28" hidden="1">
      <c r="A611" t="s">
        <v>1646</v>
      </c>
      <c r="B611" s="17">
        <v>43159</v>
      </c>
      <c r="C611" s="17">
        <v>43159</v>
      </c>
      <c r="D611" t="s">
        <v>0</v>
      </c>
      <c r="E611" t="s">
        <v>1</v>
      </c>
      <c r="F611" s="18">
        <v>9652</v>
      </c>
      <c r="G611" s="18">
        <v>9652</v>
      </c>
      <c r="H611" t="s">
        <v>2</v>
      </c>
      <c r="I611" t="s">
        <v>10</v>
      </c>
      <c r="J611" s="18">
        <v>795324.8</v>
      </c>
      <c r="K611" t="s">
        <v>1640</v>
      </c>
      <c r="L611" t="s">
        <v>9</v>
      </c>
      <c r="M611" t="s">
        <v>1647</v>
      </c>
      <c r="N611" t="s">
        <v>3</v>
      </c>
      <c r="O611" t="s">
        <v>3</v>
      </c>
      <c r="P611" t="s">
        <v>5</v>
      </c>
      <c r="Q611" t="s">
        <v>1648</v>
      </c>
      <c r="R611" t="s">
        <v>3</v>
      </c>
      <c r="S611" t="s">
        <v>3</v>
      </c>
      <c r="T611" t="s">
        <v>3</v>
      </c>
      <c r="U611" t="s">
        <v>3</v>
      </c>
      <c r="V611" t="s">
        <v>3</v>
      </c>
      <c r="W611" t="s">
        <v>68</v>
      </c>
      <c r="X611" s="17">
        <v>43190</v>
      </c>
      <c r="Y611" t="s">
        <v>770</v>
      </c>
      <c r="Z611" s="17">
        <v>43159</v>
      </c>
      <c r="AA611" t="s">
        <v>3</v>
      </c>
      <c r="AB611" t="s">
        <v>1646</v>
      </c>
    </row>
    <row r="612" spans="1:28" hidden="1">
      <c r="A612" t="s">
        <v>1649</v>
      </c>
      <c r="B612" s="17">
        <v>43159</v>
      </c>
      <c r="C612" s="17">
        <v>43159</v>
      </c>
      <c r="D612" t="s">
        <v>0</v>
      </c>
      <c r="E612" t="s">
        <v>1</v>
      </c>
      <c r="F612" s="18">
        <v>76759</v>
      </c>
      <c r="G612" s="18">
        <v>76759</v>
      </c>
      <c r="H612" t="s">
        <v>2</v>
      </c>
      <c r="I612" t="s">
        <v>8</v>
      </c>
      <c r="J612" s="18">
        <v>6324941.5999999996</v>
      </c>
      <c r="K612" t="s">
        <v>1650</v>
      </c>
      <c r="L612" t="s">
        <v>9</v>
      </c>
      <c r="M612" t="s">
        <v>1651</v>
      </c>
      <c r="N612" t="s">
        <v>3</v>
      </c>
      <c r="O612" t="s">
        <v>3</v>
      </c>
      <c r="P612" t="s">
        <v>5</v>
      </c>
      <c r="Q612" t="s">
        <v>1652</v>
      </c>
      <c r="R612" t="s">
        <v>3</v>
      </c>
      <c r="S612" t="s">
        <v>3</v>
      </c>
      <c r="T612" t="s">
        <v>3</v>
      </c>
      <c r="U612" t="s">
        <v>3</v>
      </c>
      <c r="V612" t="s">
        <v>3</v>
      </c>
      <c r="W612" t="s">
        <v>68</v>
      </c>
      <c r="X612" s="17">
        <v>43190</v>
      </c>
      <c r="Y612" t="s">
        <v>794</v>
      </c>
      <c r="Z612" s="17">
        <v>43159</v>
      </c>
      <c r="AA612" t="s">
        <v>3</v>
      </c>
      <c r="AB612" t="s">
        <v>1649</v>
      </c>
    </row>
    <row r="613" spans="1:28" hidden="1">
      <c r="A613" t="s">
        <v>1649</v>
      </c>
      <c r="B613" s="17">
        <v>43159</v>
      </c>
      <c r="C613" s="17">
        <v>43159</v>
      </c>
      <c r="D613" t="s">
        <v>0</v>
      </c>
      <c r="E613" t="s">
        <v>1</v>
      </c>
      <c r="F613" s="18">
        <v>150213</v>
      </c>
      <c r="G613" s="18">
        <v>150213</v>
      </c>
      <c r="H613" t="s">
        <v>2</v>
      </c>
      <c r="I613" t="s">
        <v>8</v>
      </c>
      <c r="J613" s="18">
        <v>12377551.199999999</v>
      </c>
      <c r="K613" t="s">
        <v>624</v>
      </c>
      <c r="L613" t="s">
        <v>9</v>
      </c>
      <c r="M613" t="s">
        <v>1651</v>
      </c>
      <c r="N613" t="s">
        <v>3</v>
      </c>
      <c r="O613" t="s">
        <v>3</v>
      </c>
      <c r="P613" t="s">
        <v>5</v>
      </c>
      <c r="Q613" t="s">
        <v>1652</v>
      </c>
      <c r="R613" t="s">
        <v>3</v>
      </c>
      <c r="S613" t="s">
        <v>3</v>
      </c>
      <c r="T613" t="s">
        <v>3</v>
      </c>
      <c r="U613" t="s">
        <v>3</v>
      </c>
      <c r="V613" t="s">
        <v>3</v>
      </c>
      <c r="W613" t="s">
        <v>68</v>
      </c>
      <c r="X613" s="17">
        <v>43190</v>
      </c>
      <c r="Y613" t="s">
        <v>790</v>
      </c>
      <c r="Z613" s="17">
        <v>43159</v>
      </c>
      <c r="AA613" t="s">
        <v>3</v>
      </c>
      <c r="AB613" t="s">
        <v>1649</v>
      </c>
    </row>
    <row r="614" spans="1:28" hidden="1">
      <c r="A614" t="s">
        <v>1653</v>
      </c>
      <c r="B614" s="17">
        <v>43159</v>
      </c>
      <c r="C614" s="17">
        <v>43159</v>
      </c>
      <c r="D614" t="s">
        <v>0</v>
      </c>
      <c r="E614" t="s">
        <v>1</v>
      </c>
      <c r="F614" s="18">
        <v>68245</v>
      </c>
      <c r="G614" s="18">
        <v>68245</v>
      </c>
      <c r="H614" t="s">
        <v>2</v>
      </c>
      <c r="I614" t="s">
        <v>8</v>
      </c>
      <c r="J614" s="18">
        <v>5623388</v>
      </c>
      <c r="K614" t="s">
        <v>1650</v>
      </c>
      <c r="L614" t="s">
        <v>9</v>
      </c>
      <c r="M614" t="s">
        <v>1654</v>
      </c>
      <c r="N614" t="s">
        <v>3</v>
      </c>
      <c r="O614" t="s">
        <v>3</v>
      </c>
      <c r="P614" t="s">
        <v>5</v>
      </c>
      <c r="Q614" t="s">
        <v>1655</v>
      </c>
      <c r="R614" t="s">
        <v>3</v>
      </c>
      <c r="S614" t="s">
        <v>3</v>
      </c>
      <c r="T614" t="s">
        <v>3</v>
      </c>
      <c r="U614" t="s">
        <v>3</v>
      </c>
      <c r="V614" t="s">
        <v>3</v>
      </c>
      <c r="W614" t="s">
        <v>68</v>
      </c>
      <c r="X614" s="17">
        <v>43190</v>
      </c>
      <c r="Y614" t="s">
        <v>794</v>
      </c>
      <c r="Z614" s="17">
        <v>43159</v>
      </c>
      <c r="AA614" t="s">
        <v>3</v>
      </c>
      <c r="AB614" t="s">
        <v>1653</v>
      </c>
    </row>
    <row r="615" spans="1:28" hidden="1">
      <c r="A615" t="s">
        <v>1653</v>
      </c>
      <c r="B615" s="17">
        <v>43159</v>
      </c>
      <c r="C615" s="17">
        <v>43159</v>
      </c>
      <c r="D615" t="s">
        <v>0</v>
      </c>
      <c r="E615" t="s">
        <v>1</v>
      </c>
      <c r="F615" s="18">
        <v>101629</v>
      </c>
      <c r="G615" s="18">
        <v>101629</v>
      </c>
      <c r="H615" t="s">
        <v>2</v>
      </c>
      <c r="I615" t="s">
        <v>8</v>
      </c>
      <c r="J615" s="18">
        <v>8374229.5999999996</v>
      </c>
      <c r="K615" t="s">
        <v>624</v>
      </c>
      <c r="L615" t="s">
        <v>9</v>
      </c>
      <c r="M615" t="s">
        <v>1654</v>
      </c>
      <c r="N615" t="s">
        <v>3</v>
      </c>
      <c r="O615" t="s">
        <v>3</v>
      </c>
      <c r="P615" t="s">
        <v>5</v>
      </c>
      <c r="Q615" t="s">
        <v>1655</v>
      </c>
      <c r="R615" t="s">
        <v>3</v>
      </c>
      <c r="S615" t="s">
        <v>3</v>
      </c>
      <c r="T615" t="s">
        <v>3</v>
      </c>
      <c r="U615" t="s">
        <v>3</v>
      </c>
      <c r="V615" t="s">
        <v>3</v>
      </c>
      <c r="W615" t="s">
        <v>68</v>
      </c>
      <c r="X615" s="17">
        <v>43190</v>
      </c>
      <c r="Y615" t="s">
        <v>790</v>
      </c>
      <c r="Z615" s="17">
        <v>43159</v>
      </c>
      <c r="AA615" t="s">
        <v>3</v>
      </c>
      <c r="AB615" t="s">
        <v>1653</v>
      </c>
    </row>
    <row r="616" spans="1:28" hidden="1">
      <c r="A616" t="s">
        <v>1656</v>
      </c>
      <c r="B616" s="17">
        <v>43159</v>
      </c>
      <c r="C616" s="17">
        <v>43159</v>
      </c>
      <c r="D616" t="s">
        <v>0</v>
      </c>
      <c r="E616" t="s">
        <v>1</v>
      </c>
      <c r="F616" s="18">
        <v>12191</v>
      </c>
      <c r="G616" s="18">
        <v>12191</v>
      </c>
      <c r="H616" t="s">
        <v>2</v>
      </c>
      <c r="I616" t="s">
        <v>8</v>
      </c>
      <c r="J616" s="18">
        <v>1004538.4</v>
      </c>
      <c r="K616" t="s">
        <v>627</v>
      </c>
      <c r="L616" t="s">
        <v>9</v>
      </c>
      <c r="M616" t="s">
        <v>1657</v>
      </c>
      <c r="N616" t="s">
        <v>3</v>
      </c>
      <c r="O616" t="s">
        <v>3</v>
      </c>
      <c r="P616" t="s">
        <v>5</v>
      </c>
      <c r="Q616" t="s">
        <v>1658</v>
      </c>
      <c r="R616" t="s">
        <v>3</v>
      </c>
      <c r="S616" t="s">
        <v>3</v>
      </c>
      <c r="T616" t="s">
        <v>3</v>
      </c>
      <c r="U616" t="s">
        <v>3</v>
      </c>
      <c r="V616" t="s">
        <v>3</v>
      </c>
      <c r="W616" t="s">
        <v>68</v>
      </c>
      <c r="X616" s="17">
        <v>43190</v>
      </c>
      <c r="Y616" t="s">
        <v>784</v>
      </c>
      <c r="Z616" s="17">
        <v>43159</v>
      </c>
      <c r="AA616" t="s">
        <v>3</v>
      </c>
      <c r="AB616" t="s">
        <v>1656</v>
      </c>
    </row>
    <row r="617" spans="1:28" hidden="1">
      <c r="A617" t="s">
        <v>1659</v>
      </c>
      <c r="B617" s="17">
        <v>43159</v>
      </c>
      <c r="C617" s="17">
        <v>43159</v>
      </c>
      <c r="D617" t="s">
        <v>0</v>
      </c>
      <c r="E617" t="s">
        <v>1</v>
      </c>
      <c r="F617" s="18">
        <v>23416</v>
      </c>
      <c r="G617" s="18">
        <v>23416</v>
      </c>
      <c r="H617" t="s">
        <v>2</v>
      </c>
      <c r="I617" t="s">
        <v>8</v>
      </c>
      <c r="J617" s="18">
        <v>1929478.4</v>
      </c>
      <c r="K617" t="s">
        <v>624</v>
      </c>
      <c r="L617" t="s">
        <v>9</v>
      </c>
      <c r="M617" t="s">
        <v>1660</v>
      </c>
      <c r="N617" t="s">
        <v>3</v>
      </c>
      <c r="O617" t="s">
        <v>3</v>
      </c>
      <c r="P617" t="s">
        <v>5</v>
      </c>
      <c r="Q617" t="s">
        <v>1661</v>
      </c>
      <c r="R617" t="s">
        <v>3</v>
      </c>
      <c r="S617" t="s">
        <v>3</v>
      </c>
      <c r="T617" t="s">
        <v>3</v>
      </c>
      <c r="U617" t="s">
        <v>3</v>
      </c>
      <c r="V617" t="s">
        <v>3</v>
      </c>
      <c r="W617" t="s">
        <v>68</v>
      </c>
      <c r="X617" s="17">
        <v>43190</v>
      </c>
      <c r="Y617" t="s">
        <v>790</v>
      </c>
      <c r="Z617" s="17">
        <v>43159</v>
      </c>
      <c r="AA617" t="s">
        <v>3</v>
      </c>
      <c r="AB617" t="s">
        <v>1659</v>
      </c>
    </row>
    <row r="618" spans="1:28" hidden="1">
      <c r="A618" t="s">
        <v>1662</v>
      </c>
      <c r="B618" s="17">
        <v>43159</v>
      </c>
      <c r="C618" s="17">
        <v>43159</v>
      </c>
      <c r="D618" t="s">
        <v>0</v>
      </c>
      <c r="E618" t="s">
        <v>1</v>
      </c>
      <c r="F618" s="18">
        <v>11233</v>
      </c>
      <c r="G618" s="18">
        <v>11233</v>
      </c>
      <c r="H618" t="s">
        <v>2</v>
      </c>
      <c r="I618" t="s">
        <v>8</v>
      </c>
      <c r="J618" s="18">
        <v>925599.2</v>
      </c>
      <c r="K618" t="s">
        <v>1650</v>
      </c>
      <c r="L618" t="s">
        <v>9</v>
      </c>
      <c r="M618" t="s">
        <v>1663</v>
      </c>
      <c r="N618" t="s">
        <v>3</v>
      </c>
      <c r="O618" t="s">
        <v>3</v>
      </c>
      <c r="P618" t="s">
        <v>5</v>
      </c>
      <c r="Q618" t="s">
        <v>1664</v>
      </c>
      <c r="R618" t="s">
        <v>3</v>
      </c>
      <c r="S618" t="s">
        <v>3</v>
      </c>
      <c r="T618" t="s">
        <v>3</v>
      </c>
      <c r="U618" t="s">
        <v>3</v>
      </c>
      <c r="V618" t="s">
        <v>3</v>
      </c>
      <c r="W618" t="s">
        <v>68</v>
      </c>
      <c r="X618" s="17">
        <v>43190</v>
      </c>
      <c r="Y618" t="s">
        <v>794</v>
      </c>
      <c r="Z618" s="17">
        <v>43159</v>
      </c>
      <c r="AA618" t="s">
        <v>3</v>
      </c>
      <c r="AB618" t="s">
        <v>1662</v>
      </c>
    </row>
    <row r="619" spans="1:28" hidden="1">
      <c r="A619" t="s">
        <v>1662</v>
      </c>
      <c r="B619" s="17">
        <v>43159</v>
      </c>
      <c r="C619" s="17">
        <v>43159</v>
      </c>
      <c r="D619" t="s">
        <v>0</v>
      </c>
      <c r="E619" t="s">
        <v>1</v>
      </c>
      <c r="F619" s="18">
        <v>28667</v>
      </c>
      <c r="G619" s="18">
        <v>28667</v>
      </c>
      <c r="H619" t="s">
        <v>2</v>
      </c>
      <c r="I619" t="s">
        <v>8</v>
      </c>
      <c r="J619" s="18">
        <v>2362160.7999999998</v>
      </c>
      <c r="K619" t="s">
        <v>624</v>
      </c>
      <c r="L619" t="s">
        <v>9</v>
      </c>
      <c r="M619" t="s">
        <v>1663</v>
      </c>
      <c r="N619" t="s">
        <v>3</v>
      </c>
      <c r="O619" t="s">
        <v>3</v>
      </c>
      <c r="P619" t="s">
        <v>5</v>
      </c>
      <c r="Q619" t="s">
        <v>1664</v>
      </c>
      <c r="R619" t="s">
        <v>3</v>
      </c>
      <c r="S619" t="s">
        <v>3</v>
      </c>
      <c r="T619" t="s">
        <v>3</v>
      </c>
      <c r="U619" t="s">
        <v>3</v>
      </c>
      <c r="V619" t="s">
        <v>3</v>
      </c>
      <c r="W619" t="s">
        <v>68</v>
      </c>
      <c r="X619" s="17">
        <v>43190</v>
      </c>
      <c r="Y619" t="s">
        <v>790</v>
      </c>
      <c r="Z619" s="17">
        <v>43159</v>
      </c>
      <c r="AA619" t="s">
        <v>3</v>
      </c>
      <c r="AB619" t="s">
        <v>1662</v>
      </c>
    </row>
    <row r="620" spans="1:28" hidden="1">
      <c r="A620" t="s">
        <v>1665</v>
      </c>
      <c r="B620" s="17">
        <v>43159</v>
      </c>
      <c r="C620" s="17">
        <v>43159</v>
      </c>
      <c r="D620" t="s">
        <v>0</v>
      </c>
      <c r="E620" t="s">
        <v>1</v>
      </c>
      <c r="F620" s="18">
        <v>13884</v>
      </c>
      <c r="G620" s="18">
        <v>13884</v>
      </c>
      <c r="H620" t="s">
        <v>2</v>
      </c>
      <c r="I620" t="s">
        <v>8</v>
      </c>
      <c r="J620" s="18">
        <v>1144041.6000000001</v>
      </c>
      <c r="K620" t="s">
        <v>1628</v>
      </c>
      <c r="L620" t="s">
        <v>9</v>
      </c>
      <c r="M620" t="s">
        <v>1666</v>
      </c>
      <c r="N620" t="s">
        <v>3</v>
      </c>
      <c r="O620" t="s">
        <v>3</v>
      </c>
      <c r="P620" t="s">
        <v>5</v>
      </c>
      <c r="Q620" t="s">
        <v>1667</v>
      </c>
      <c r="R620" t="s">
        <v>3</v>
      </c>
      <c r="S620" t="s">
        <v>3</v>
      </c>
      <c r="T620" t="s">
        <v>3</v>
      </c>
      <c r="U620" t="s">
        <v>3</v>
      </c>
      <c r="V620" t="s">
        <v>3</v>
      </c>
      <c r="W620" t="s">
        <v>68</v>
      </c>
      <c r="X620" s="17">
        <v>43190</v>
      </c>
      <c r="Y620" t="s">
        <v>782</v>
      </c>
      <c r="Z620" s="17">
        <v>43159</v>
      </c>
      <c r="AA620" t="s">
        <v>3</v>
      </c>
      <c r="AB620" t="s">
        <v>1665</v>
      </c>
    </row>
    <row r="621" spans="1:28" hidden="1">
      <c r="A621" t="s">
        <v>1668</v>
      </c>
      <c r="B621" s="17">
        <v>43159</v>
      </c>
      <c r="C621" s="17">
        <v>43159</v>
      </c>
      <c r="D621" t="s">
        <v>0</v>
      </c>
      <c r="E621" t="s">
        <v>1</v>
      </c>
      <c r="F621" s="18">
        <v>16394</v>
      </c>
      <c r="G621" s="18">
        <v>16394</v>
      </c>
      <c r="H621" t="s">
        <v>2</v>
      </c>
      <c r="I621" t="s">
        <v>8</v>
      </c>
      <c r="J621" s="18">
        <v>1350865.6</v>
      </c>
      <c r="K621" t="s">
        <v>624</v>
      </c>
      <c r="L621" t="s">
        <v>9</v>
      </c>
      <c r="M621" t="s">
        <v>1669</v>
      </c>
      <c r="N621" t="s">
        <v>3</v>
      </c>
      <c r="O621" t="s">
        <v>3</v>
      </c>
      <c r="P621" t="s">
        <v>5</v>
      </c>
      <c r="Q621" t="s">
        <v>1670</v>
      </c>
      <c r="R621" t="s">
        <v>3</v>
      </c>
      <c r="S621" t="s">
        <v>3</v>
      </c>
      <c r="T621" t="s">
        <v>3</v>
      </c>
      <c r="U621" t="s">
        <v>3</v>
      </c>
      <c r="V621" t="s">
        <v>3</v>
      </c>
      <c r="W621" t="s">
        <v>68</v>
      </c>
      <c r="X621" s="17">
        <v>43190</v>
      </c>
      <c r="Y621" t="s">
        <v>790</v>
      </c>
      <c r="Z621" s="17">
        <v>43159</v>
      </c>
      <c r="AA621" t="s">
        <v>3</v>
      </c>
      <c r="AB621" t="s">
        <v>1668</v>
      </c>
    </row>
    <row r="622" spans="1:28" hidden="1">
      <c r="A622" t="s">
        <v>1671</v>
      </c>
      <c r="B622" s="17">
        <v>43159</v>
      </c>
      <c r="C622" s="17">
        <v>43159</v>
      </c>
      <c r="D622" t="s">
        <v>0</v>
      </c>
      <c r="E622" t="s">
        <v>1</v>
      </c>
      <c r="F622" s="18">
        <v>51831</v>
      </c>
      <c r="G622" s="18">
        <v>51831</v>
      </c>
      <c r="H622" t="s">
        <v>2</v>
      </c>
      <c r="I622" t="s">
        <v>8</v>
      </c>
      <c r="J622" s="18">
        <v>4270874.4000000004</v>
      </c>
      <c r="K622" t="s">
        <v>1650</v>
      </c>
      <c r="L622" t="s">
        <v>9</v>
      </c>
      <c r="M622" t="s">
        <v>1672</v>
      </c>
      <c r="N622" t="s">
        <v>3</v>
      </c>
      <c r="O622" t="s">
        <v>3</v>
      </c>
      <c r="P622" t="s">
        <v>5</v>
      </c>
      <c r="Q622" t="s">
        <v>1673</v>
      </c>
      <c r="R622" t="s">
        <v>3</v>
      </c>
      <c r="S622" t="s">
        <v>3</v>
      </c>
      <c r="T622" t="s">
        <v>3</v>
      </c>
      <c r="U622" t="s">
        <v>3</v>
      </c>
      <c r="V622" t="s">
        <v>3</v>
      </c>
      <c r="W622" t="s">
        <v>68</v>
      </c>
      <c r="X622" s="17">
        <v>43190</v>
      </c>
      <c r="Y622" t="s">
        <v>794</v>
      </c>
      <c r="Z622" s="17">
        <v>43159</v>
      </c>
      <c r="AA622" t="s">
        <v>3</v>
      </c>
      <c r="AB622" t="s">
        <v>1671</v>
      </c>
    </row>
    <row r="623" spans="1:28" hidden="1">
      <c r="A623" t="s">
        <v>1674</v>
      </c>
      <c r="B623" s="17">
        <v>43159</v>
      </c>
      <c r="C623" s="17">
        <v>43159</v>
      </c>
      <c r="D623" t="s">
        <v>0</v>
      </c>
      <c r="E623" t="s">
        <v>1</v>
      </c>
      <c r="F623" s="18">
        <v>5442</v>
      </c>
      <c r="G623" s="18">
        <v>5442</v>
      </c>
      <c r="H623" t="s">
        <v>2</v>
      </c>
      <c r="I623" t="s">
        <v>8</v>
      </c>
      <c r="J623" s="18">
        <v>448420.8</v>
      </c>
      <c r="K623" t="s">
        <v>1650</v>
      </c>
      <c r="L623" t="s">
        <v>9</v>
      </c>
      <c r="M623" t="s">
        <v>1675</v>
      </c>
      <c r="N623" t="s">
        <v>3</v>
      </c>
      <c r="O623" t="s">
        <v>3</v>
      </c>
      <c r="P623" t="s">
        <v>5</v>
      </c>
      <c r="Q623" t="s">
        <v>1676</v>
      </c>
      <c r="R623" t="s">
        <v>3</v>
      </c>
      <c r="S623" t="s">
        <v>3</v>
      </c>
      <c r="T623" t="s">
        <v>3</v>
      </c>
      <c r="U623" t="s">
        <v>3</v>
      </c>
      <c r="V623" t="s">
        <v>3</v>
      </c>
      <c r="W623" t="s">
        <v>68</v>
      </c>
      <c r="X623" s="17">
        <v>43190</v>
      </c>
      <c r="Y623" t="s">
        <v>794</v>
      </c>
      <c r="Z623" s="17">
        <v>43159</v>
      </c>
      <c r="AA623" t="s">
        <v>3</v>
      </c>
      <c r="AB623" t="s">
        <v>1674</v>
      </c>
    </row>
    <row r="624" spans="1:28" hidden="1">
      <c r="A624" t="s">
        <v>1677</v>
      </c>
      <c r="B624" s="17">
        <v>43159</v>
      </c>
      <c r="C624" s="17">
        <v>43159</v>
      </c>
      <c r="D624" t="s">
        <v>0</v>
      </c>
      <c r="E624" t="s">
        <v>1</v>
      </c>
      <c r="F624" s="18">
        <v>27573</v>
      </c>
      <c r="G624" s="18">
        <v>27573</v>
      </c>
      <c r="H624" t="s">
        <v>2</v>
      </c>
      <c r="I624" t="s">
        <v>10</v>
      </c>
      <c r="J624" s="18">
        <v>2272015.2000000002</v>
      </c>
      <c r="K624" t="s">
        <v>1640</v>
      </c>
      <c r="L624" t="s">
        <v>9</v>
      </c>
      <c r="M624" t="s">
        <v>1678</v>
      </c>
      <c r="N624" t="s">
        <v>3</v>
      </c>
      <c r="O624" t="s">
        <v>3</v>
      </c>
      <c r="P624" t="s">
        <v>5</v>
      </c>
      <c r="Q624" t="s">
        <v>1679</v>
      </c>
      <c r="R624" t="s">
        <v>3</v>
      </c>
      <c r="S624" t="s">
        <v>3</v>
      </c>
      <c r="T624" t="s">
        <v>3</v>
      </c>
      <c r="U624" t="s">
        <v>3</v>
      </c>
      <c r="V624" t="s">
        <v>3</v>
      </c>
      <c r="W624" t="s">
        <v>68</v>
      </c>
      <c r="X624" s="17">
        <v>43190</v>
      </c>
      <c r="Y624" t="s">
        <v>770</v>
      </c>
      <c r="Z624" s="17">
        <v>43159</v>
      </c>
      <c r="AA624" t="s">
        <v>3</v>
      </c>
      <c r="AB624" t="s">
        <v>1677</v>
      </c>
    </row>
    <row r="625" spans="1:28" hidden="1">
      <c r="A625" t="s">
        <v>1745</v>
      </c>
      <c r="B625" s="17">
        <v>43159</v>
      </c>
      <c r="C625" s="17">
        <v>43159</v>
      </c>
      <c r="D625" t="s">
        <v>0</v>
      </c>
      <c r="E625" t="s">
        <v>1</v>
      </c>
      <c r="F625" s="18">
        <v>-85114</v>
      </c>
      <c r="G625" s="18">
        <v>-85114</v>
      </c>
      <c r="H625" t="s">
        <v>2</v>
      </c>
      <c r="I625" t="s">
        <v>8</v>
      </c>
      <c r="J625" s="18">
        <v>-7021905</v>
      </c>
      <c r="K625" t="s">
        <v>629</v>
      </c>
      <c r="L625" t="s">
        <v>9</v>
      </c>
      <c r="M625" t="s">
        <v>630</v>
      </c>
      <c r="N625" t="s">
        <v>3</v>
      </c>
      <c r="O625" t="s">
        <v>3</v>
      </c>
      <c r="P625" t="s">
        <v>5</v>
      </c>
      <c r="Q625" t="s">
        <v>631</v>
      </c>
      <c r="R625" t="s">
        <v>3</v>
      </c>
      <c r="S625" t="s">
        <v>3</v>
      </c>
      <c r="T625" t="s">
        <v>3</v>
      </c>
      <c r="U625" t="s">
        <v>3</v>
      </c>
      <c r="V625" t="s">
        <v>3</v>
      </c>
      <c r="W625" t="s">
        <v>68</v>
      </c>
      <c r="X625" s="17">
        <v>43160</v>
      </c>
      <c r="Y625" t="s">
        <v>628</v>
      </c>
      <c r="Z625" s="17">
        <v>43159</v>
      </c>
      <c r="AA625" t="s">
        <v>3</v>
      </c>
      <c r="AB625" t="s">
        <v>1745</v>
      </c>
    </row>
    <row r="626" spans="1:28" hidden="1">
      <c r="A626" t="s">
        <v>628</v>
      </c>
      <c r="B626" s="17">
        <v>43160</v>
      </c>
      <c r="C626" s="17">
        <v>43159</v>
      </c>
      <c r="D626" t="s">
        <v>38</v>
      </c>
      <c r="E626" t="s">
        <v>1</v>
      </c>
      <c r="F626" s="18">
        <v>85114</v>
      </c>
      <c r="G626" s="18">
        <v>85114</v>
      </c>
      <c r="H626" t="s">
        <v>2</v>
      </c>
      <c r="I626" t="s">
        <v>8</v>
      </c>
      <c r="J626" s="18">
        <v>7021905</v>
      </c>
      <c r="K626" t="s">
        <v>629</v>
      </c>
      <c r="L626" t="s">
        <v>9</v>
      </c>
      <c r="M626" t="s">
        <v>630</v>
      </c>
      <c r="N626" t="s">
        <v>3</v>
      </c>
      <c r="O626" t="s">
        <v>3</v>
      </c>
      <c r="P626" t="s">
        <v>5</v>
      </c>
      <c r="Q626" t="s">
        <v>631</v>
      </c>
      <c r="R626" t="s">
        <v>3</v>
      </c>
      <c r="S626" t="s">
        <v>3</v>
      </c>
      <c r="T626" t="s">
        <v>3</v>
      </c>
      <c r="U626" t="s">
        <v>3</v>
      </c>
      <c r="V626" t="s">
        <v>3</v>
      </c>
      <c r="W626" t="s">
        <v>68</v>
      </c>
      <c r="X626" s="17">
        <v>43160</v>
      </c>
      <c r="Y626" t="s">
        <v>628</v>
      </c>
      <c r="Z626" s="17">
        <v>43159</v>
      </c>
      <c r="AA626" t="s">
        <v>3</v>
      </c>
      <c r="AB626" t="s">
        <v>628</v>
      </c>
    </row>
    <row r="627" spans="1:28" hidden="1">
      <c r="A627" t="s">
        <v>1686</v>
      </c>
      <c r="B627" s="17">
        <v>43160</v>
      </c>
      <c r="C627" s="17">
        <v>43160</v>
      </c>
      <c r="D627" t="s">
        <v>0</v>
      </c>
      <c r="E627" t="s">
        <v>1</v>
      </c>
      <c r="F627" s="18">
        <v>-85116</v>
      </c>
      <c r="G627" s="18">
        <v>-85116</v>
      </c>
      <c r="H627" t="s">
        <v>2</v>
      </c>
      <c r="I627" t="s">
        <v>10</v>
      </c>
      <c r="J627" s="18">
        <v>-7022070.0099999998</v>
      </c>
      <c r="K627" t="s">
        <v>1687</v>
      </c>
      <c r="L627" t="s">
        <v>9</v>
      </c>
      <c r="M627" t="s">
        <v>1688</v>
      </c>
      <c r="N627" t="s">
        <v>3</v>
      </c>
      <c r="O627" t="s">
        <v>3</v>
      </c>
      <c r="P627" t="s">
        <v>5</v>
      </c>
      <c r="Q627" t="s">
        <v>1689</v>
      </c>
      <c r="R627" t="s">
        <v>3</v>
      </c>
      <c r="S627" t="s">
        <v>3</v>
      </c>
      <c r="T627" t="s">
        <v>3</v>
      </c>
      <c r="U627" t="s">
        <v>3</v>
      </c>
      <c r="V627" t="s">
        <v>3</v>
      </c>
      <c r="W627" t="s">
        <v>68</v>
      </c>
      <c r="X627" s="17">
        <v>43190</v>
      </c>
      <c r="Y627" t="s">
        <v>788</v>
      </c>
      <c r="Z627" s="17">
        <v>43160</v>
      </c>
      <c r="AA627" t="s">
        <v>3</v>
      </c>
      <c r="AB627" t="s">
        <v>1686</v>
      </c>
    </row>
    <row r="628" spans="1:28" hidden="1">
      <c r="A628" t="s">
        <v>1690</v>
      </c>
      <c r="B628" s="17">
        <v>43163</v>
      </c>
      <c r="C628" s="17">
        <v>43163</v>
      </c>
      <c r="D628" t="s">
        <v>0</v>
      </c>
      <c r="E628" t="s">
        <v>1</v>
      </c>
      <c r="F628" s="18">
        <v>-643892</v>
      </c>
      <c r="G628" s="18">
        <v>-643892</v>
      </c>
      <c r="H628" t="s">
        <v>2</v>
      </c>
      <c r="I628" t="s">
        <v>8</v>
      </c>
      <c r="J628" s="18">
        <v>-53121090.020000003</v>
      </c>
      <c r="K628" t="s">
        <v>1691</v>
      </c>
      <c r="L628" t="s">
        <v>9</v>
      </c>
      <c r="M628" t="s">
        <v>1692</v>
      </c>
      <c r="N628" t="s">
        <v>3</v>
      </c>
      <c r="O628" t="s">
        <v>3</v>
      </c>
      <c r="P628" t="s">
        <v>5</v>
      </c>
      <c r="Q628" t="s">
        <v>1693</v>
      </c>
      <c r="R628" t="s">
        <v>3</v>
      </c>
      <c r="S628" t="s">
        <v>3</v>
      </c>
      <c r="T628" t="s">
        <v>3</v>
      </c>
      <c r="U628" t="s">
        <v>3</v>
      </c>
      <c r="V628" t="s">
        <v>3</v>
      </c>
      <c r="W628" t="s">
        <v>68</v>
      </c>
      <c r="X628" s="17">
        <v>43190</v>
      </c>
      <c r="Y628" t="s">
        <v>792</v>
      </c>
      <c r="Z628" s="17">
        <v>43163</v>
      </c>
      <c r="AA628" t="s">
        <v>3</v>
      </c>
      <c r="AB628" t="s">
        <v>1690</v>
      </c>
    </row>
    <row r="629" spans="1:28" hidden="1">
      <c r="A629" t="s">
        <v>1694</v>
      </c>
      <c r="B629" s="17">
        <v>43163</v>
      </c>
      <c r="C629" s="17">
        <v>43163</v>
      </c>
      <c r="D629" t="s">
        <v>0</v>
      </c>
      <c r="E629" t="s">
        <v>1</v>
      </c>
      <c r="F629" s="18">
        <v>79682</v>
      </c>
      <c r="G629" s="18">
        <v>79682</v>
      </c>
      <c r="H629" t="s">
        <v>2</v>
      </c>
      <c r="I629" t="s">
        <v>8</v>
      </c>
      <c r="J629" s="18">
        <v>6565796.7999999998</v>
      </c>
      <c r="K629" t="s">
        <v>624</v>
      </c>
      <c r="L629" t="s">
        <v>9</v>
      </c>
      <c r="M629" t="s">
        <v>1695</v>
      </c>
      <c r="N629" t="s">
        <v>3</v>
      </c>
      <c r="O629" t="s">
        <v>3</v>
      </c>
      <c r="P629" t="s">
        <v>5</v>
      </c>
      <c r="Q629" t="s">
        <v>1696</v>
      </c>
      <c r="R629" t="s">
        <v>3</v>
      </c>
      <c r="S629" t="s">
        <v>3</v>
      </c>
      <c r="T629" t="s">
        <v>3</v>
      </c>
      <c r="U629" t="s">
        <v>3</v>
      </c>
      <c r="V629" t="s">
        <v>3</v>
      </c>
      <c r="W629" t="s">
        <v>68</v>
      </c>
      <c r="X629" s="17">
        <v>43190</v>
      </c>
      <c r="Y629" t="s">
        <v>790</v>
      </c>
      <c r="Z629" s="17">
        <v>43163</v>
      </c>
      <c r="AA629" t="s">
        <v>3</v>
      </c>
      <c r="AB629" t="s">
        <v>1694</v>
      </c>
    </row>
    <row r="630" spans="1:28" hidden="1">
      <c r="A630" t="s">
        <v>1697</v>
      </c>
      <c r="B630" s="17">
        <v>43163</v>
      </c>
      <c r="C630" s="17">
        <v>43163</v>
      </c>
      <c r="D630" t="s">
        <v>0</v>
      </c>
      <c r="E630" t="s">
        <v>1</v>
      </c>
      <c r="F630" s="18">
        <v>242773</v>
      </c>
      <c r="G630" s="18">
        <v>242773</v>
      </c>
      <c r="H630" t="s">
        <v>2</v>
      </c>
      <c r="I630" t="s">
        <v>8</v>
      </c>
      <c r="J630" s="18">
        <v>20004495.199999999</v>
      </c>
      <c r="K630" t="s">
        <v>1650</v>
      </c>
      <c r="L630" t="s">
        <v>9</v>
      </c>
      <c r="M630" t="s">
        <v>1698</v>
      </c>
      <c r="N630" t="s">
        <v>3</v>
      </c>
      <c r="O630" t="s">
        <v>3</v>
      </c>
      <c r="P630" t="s">
        <v>5</v>
      </c>
      <c r="Q630" t="s">
        <v>1699</v>
      </c>
      <c r="R630" t="s">
        <v>3</v>
      </c>
      <c r="S630" t="s">
        <v>3</v>
      </c>
      <c r="T630" t="s">
        <v>3</v>
      </c>
      <c r="U630" t="s">
        <v>3</v>
      </c>
      <c r="V630" t="s">
        <v>3</v>
      </c>
      <c r="W630" t="s">
        <v>68</v>
      </c>
      <c r="X630" s="17">
        <v>43190</v>
      </c>
      <c r="Y630" t="s">
        <v>794</v>
      </c>
      <c r="Z630" s="17">
        <v>43163</v>
      </c>
      <c r="AA630" t="s">
        <v>3</v>
      </c>
      <c r="AB630" t="s">
        <v>1697</v>
      </c>
    </row>
    <row r="631" spans="1:28" hidden="1">
      <c r="A631" t="s">
        <v>1697</v>
      </c>
      <c r="B631" s="17">
        <v>43163</v>
      </c>
      <c r="C631" s="17">
        <v>43163</v>
      </c>
      <c r="D631" t="s">
        <v>0</v>
      </c>
      <c r="E631" t="s">
        <v>1</v>
      </c>
      <c r="F631" s="18">
        <v>46188</v>
      </c>
      <c r="G631" s="18">
        <v>46188</v>
      </c>
      <c r="H631" t="s">
        <v>2</v>
      </c>
      <c r="I631" t="s">
        <v>8</v>
      </c>
      <c r="J631" s="18">
        <v>3805891.2</v>
      </c>
      <c r="K631" t="s">
        <v>624</v>
      </c>
      <c r="L631" t="s">
        <v>9</v>
      </c>
      <c r="M631" t="s">
        <v>1698</v>
      </c>
      <c r="N631" t="s">
        <v>3</v>
      </c>
      <c r="O631" t="s">
        <v>3</v>
      </c>
      <c r="P631" t="s">
        <v>5</v>
      </c>
      <c r="Q631" t="s">
        <v>1699</v>
      </c>
      <c r="R631" t="s">
        <v>3</v>
      </c>
      <c r="S631" t="s">
        <v>3</v>
      </c>
      <c r="T631" t="s">
        <v>3</v>
      </c>
      <c r="U631" t="s">
        <v>3</v>
      </c>
      <c r="V631" t="s">
        <v>3</v>
      </c>
      <c r="W631" t="s">
        <v>68</v>
      </c>
      <c r="X631" s="17">
        <v>43190</v>
      </c>
      <c r="Y631" t="s">
        <v>790</v>
      </c>
      <c r="Z631" s="17">
        <v>43163</v>
      </c>
      <c r="AA631" t="s">
        <v>3</v>
      </c>
      <c r="AB631" t="s">
        <v>1697</v>
      </c>
    </row>
    <row r="632" spans="1:28" hidden="1">
      <c r="A632" t="s">
        <v>623</v>
      </c>
      <c r="B632" s="17">
        <v>43164</v>
      </c>
      <c r="C632" s="17">
        <v>43164</v>
      </c>
      <c r="D632" t="s">
        <v>38</v>
      </c>
      <c r="E632" t="s">
        <v>1</v>
      </c>
      <c r="F632" s="18">
        <v>-18399</v>
      </c>
      <c r="G632" s="18">
        <v>-18399</v>
      </c>
      <c r="H632" t="s">
        <v>2</v>
      </c>
      <c r="I632" t="s">
        <v>8</v>
      </c>
      <c r="J632" s="18">
        <v>-1516077.6</v>
      </c>
      <c r="K632" t="s">
        <v>624</v>
      </c>
      <c r="L632" t="s">
        <v>9</v>
      </c>
      <c r="M632" t="s">
        <v>625</v>
      </c>
      <c r="N632" t="s">
        <v>3</v>
      </c>
      <c r="O632" t="s">
        <v>3</v>
      </c>
      <c r="P632" t="s">
        <v>5</v>
      </c>
      <c r="Q632" t="s">
        <v>626</v>
      </c>
      <c r="R632" t="s">
        <v>3</v>
      </c>
      <c r="S632" t="s">
        <v>3</v>
      </c>
      <c r="T632" t="s">
        <v>3</v>
      </c>
      <c r="U632" t="s">
        <v>3</v>
      </c>
      <c r="V632" t="s">
        <v>3</v>
      </c>
      <c r="W632" t="s">
        <v>68</v>
      </c>
      <c r="X632" s="17">
        <v>43164</v>
      </c>
      <c r="Y632" t="s">
        <v>623</v>
      </c>
      <c r="Z632" s="17">
        <v>43164</v>
      </c>
      <c r="AA632" t="s">
        <v>3</v>
      </c>
      <c r="AB632" t="s">
        <v>623</v>
      </c>
    </row>
    <row r="633" spans="1:28" hidden="1">
      <c r="A633" t="s">
        <v>623</v>
      </c>
      <c r="B633" s="17">
        <v>43164</v>
      </c>
      <c r="C633" s="17">
        <v>43164</v>
      </c>
      <c r="D633" t="s">
        <v>38</v>
      </c>
      <c r="E633" t="s">
        <v>1</v>
      </c>
      <c r="F633" s="18">
        <v>-3986</v>
      </c>
      <c r="G633" s="18">
        <v>-3986</v>
      </c>
      <c r="H633" t="s">
        <v>2</v>
      </c>
      <c r="I633" t="s">
        <v>8</v>
      </c>
      <c r="J633" s="18">
        <v>-328446.40000000002</v>
      </c>
      <c r="K633" t="s">
        <v>627</v>
      </c>
      <c r="L633" t="s">
        <v>9</v>
      </c>
      <c r="M633" t="s">
        <v>625</v>
      </c>
      <c r="N633" t="s">
        <v>3</v>
      </c>
      <c r="O633" t="s">
        <v>3</v>
      </c>
      <c r="P633" t="s">
        <v>5</v>
      </c>
      <c r="Q633" t="s">
        <v>626</v>
      </c>
      <c r="R633" t="s">
        <v>3</v>
      </c>
      <c r="S633" t="s">
        <v>3</v>
      </c>
      <c r="T633" t="s">
        <v>3</v>
      </c>
      <c r="U633" t="s">
        <v>3</v>
      </c>
      <c r="V633" t="s">
        <v>3</v>
      </c>
      <c r="W633" t="s">
        <v>68</v>
      </c>
      <c r="X633" s="17">
        <v>43164</v>
      </c>
      <c r="Y633" t="s">
        <v>623</v>
      </c>
      <c r="Z633" s="17">
        <v>43164</v>
      </c>
      <c r="AA633" t="s">
        <v>3</v>
      </c>
      <c r="AB633" t="s">
        <v>623</v>
      </c>
    </row>
    <row r="634" spans="1:28" hidden="1">
      <c r="A634" t="s">
        <v>1700</v>
      </c>
      <c r="B634" s="17">
        <v>43164</v>
      </c>
      <c r="C634" s="17">
        <v>43164</v>
      </c>
      <c r="D634" t="s">
        <v>0</v>
      </c>
      <c r="E634" t="s">
        <v>1</v>
      </c>
      <c r="F634" s="18">
        <v>1052</v>
      </c>
      <c r="G634" s="18">
        <v>1052</v>
      </c>
      <c r="H634" t="s">
        <v>2</v>
      </c>
      <c r="I634" t="s">
        <v>8</v>
      </c>
      <c r="J634" s="18">
        <v>86684.800000000003</v>
      </c>
      <c r="K634" t="s">
        <v>624</v>
      </c>
      <c r="L634" t="s">
        <v>9</v>
      </c>
      <c r="M634" t="s">
        <v>1701</v>
      </c>
      <c r="N634" t="s">
        <v>3</v>
      </c>
      <c r="O634" t="s">
        <v>3</v>
      </c>
      <c r="P634" t="s">
        <v>5</v>
      </c>
      <c r="Q634" t="s">
        <v>1702</v>
      </c>
      <c r="R634" t="s">
        <v>3</v>
      </c>
      <c r="S634" t="s">
        <v>3</v>
      </c>
      <c r="T634" t="s">
        <v>3</v>
      </c>
      <c r="U634" t="s">
        <v>3</v>
      </c>
      <c r="V634" t="s">
        <v>3</v>
      </c>
      <c r="W634" t="s">
        <v>68</v>
      </c>
      <c r="X634" s="17">
        <v>43190</v>
      </c>
      <c r="Y634" t="s">
        <v>790</v>
      </c>
      <c r="Z634" s="17">
        <v>43164</v>
      </c>
      <c r="AA634" t="s">
        <v>3</v>
      </c>
      <c r="AB634" t="s">
        <v>1700</v>
      </c>
    </row>
    <row r="635" spans="1:28" hidden="1">
      <c r="A635" t="s">
        <v>1703</v>
      </c>
      <c r="B635" s="17">
        <v>43164</v>
      </c>
      <c r="C635" s="17">
        <v>43164</v>
      </c>
      <c r="D635" t="s">
        <v>0</v>
      </c>
      <c r="E635" t="s">
        <v>1</v>
      </c>
      <c r="F635" s="18">
        <v>18399</v>
      </c>
      <c r="G635" s="18">
        <v>18399</v>
      </c>
      <c r="H635" t="s">
        <v>2</v>
      </c>
      <c r="I635" t="s">
        <v>8</v>
      </c>
      <c r="J635" s="18">
        <v>1516077.6</v>
      </c>
      <c r="K635" t="s">
        <v>624</v>
      </c>
      <c r="L635" t="s">
        <v>9</v>
      </c>
      <c r="M635" t="s">
        <v>625</v>
      </c>
      <c r="N635" t="s">
        <v>3</v>
      </c>
      <c r="O635" t="s">
        <v>3</v>
      </c>
      <c r="P635" t="s">
        <v>5</v>
      </c>
      <c r="Q635" t="s">
        <v>626</v>
      </c>
      <c r="R635" t="s">
        <v>3</v>
      </c>
      <c r="S635" t="s">
        <v>3</v>
      </c>
      <c r="T635" t="s">
        <v>3</v>
      </c>
      <c r="U635" t="s">
        <v>3</v>
      </c>
      <c r="V635" t="s">
        <v>3</v>
      </c>
      <c r="W635" t="s">
        <v>68</v>
      </c>
      <c r="X635" s="17">
        <v>43164</v>
      </c>
      <c r="Y635" t="s">
        <v>623</v>
      </c>
      <c r="Z635" s="17">
        <v>43164</v>
      </c>
      <c r="AA635" t="s">
        <v>3</v>
      </c>
      <c r="AB635" t="s">
        <v>1703</v>
      </c>
    </row>
    <row r="636" spans="1:28" hidden="1">
      <c r="A636" t="s">
        <v>1703</v>
      </c>
      <c r="B636" s="17">
        <v>43164</v>
      </c>
      <c r="C636" s="17">
        <v>43164</v>
      </c>
      <c r="D636" t="s">
        <v>0</v>
      </c>
      <c r="E636" t="s">
        <v>1</v>
      </c>
      <c r="F636" s="18">
        <v>3986</v>
      </c>
      <c r="G636" s="18">
        <v>3986</v>
      </c>
      <c r="H636" t="s">
        <v>2</v>
      </c>
      <c r="I636" t="s">
        <v>8</v>
      </c>
      <c r="J636" s="18">
        <v>328446.40000000002</v>
      </c>
      <c r="K636" t="s">
        <v>627</v>
      </c>
      <c r="L636" t="s">
        <v>9</v>
      </c>
      <c r="M636" t="s">
        <v>625</v>
      </c>
      <c r="N636" t="s">
        <v>3</v>
      </c>
      <c r="O636" t="s">
        <v>3</v>
      </c>
      <c r="P636" t="s">
        <v>5</v>
      </c>
      <c r="Q636" t="s">
        <v>626</v>
      </c>
      <c r="R636" t="s">
        <v>3</v>
      </c>
      <c r="S636" t="s">
        <v>3</v>
      </c>
      <c r="T636" t="s">
        <v>3</v>
      </c>
      <c r="U636" t="s">
        <v>3</v>
      </c>
      <c r="V636" t="s">
        <v>3</v>
      </c>
      <c r="W636" t="s">
        <v>68</v>
      </c>
      <c r="X636" s="17">
        <v>43164</v>
      </c>
      <c r="Y636" t="s">
        <v>623</v>
      </c>
      <c r="Z636" s="17">
        <v>43164</v>
      </c>
      <c r="AA636" t="s">
        <v>3</v>
      </c>
      <c r="AB636" t="s">
        <v>1703</v>
      </c>
    </row>
    <row r="637" spans="1:28" hidden="1">
      <c r="A637" t="s">
        <v>1704</v>
      </c>
      <c r="B637" s="17">
        <v>43164</v>
      </c>
      <c r="C637" s="17">
        <v>43164</v>
      </c>
      <c r="D637" t="s">
        <v>0</v>
      </c>
      <c r="E637" t="s">
        <v>1</v>
      </c>
      <c r="F637" s="18">
        <v>10574</v>
      </c>
      <c r="G637" s="18">
        <v>10574</v>
      </c>
      <c r="H637" t="s">
        <v>2</v>
      </c>
      <c r="I637" t="s">
        <v>10</v>
      </c>
      <c r="J637" s="18">
        <v>871297.6</v>
      </c>
      <c r="K637" t="s">
        <v>1640</v>
      </c>
      <c r="L637" t="s">
        <v>9</v>
      </c>
      <c r="M637" t="s">
        <v>1705</v>
      </c>
      <c r="N637" t="s">
        <v>3</v>
      </c>
      <c r="O637" t="s">
        <v>3</v>
      </c>
      <c r="P637" t="s">
        <v>5</v>
      </c>
      <c r="Q637" t="s">
        <v>1706</v>
      </c>
      <c r="R637" t="s">
        <v>3</v>
      </c>
      <c r="S637" t="s">
        <v>3</v>
      </c>
      <c r="T637" t="s">
        <v>3</v>
      </c>
      <c r="U637" t="s">
        <v>3</v>
      </c>
      <c r="V637" t="s">
        <v>3</v>
      </c>
      <c r="W637" t="s">
        <v>68</v>
      </c>
      <c r="X637" s="17">
        <v>43190</v>
      </c>
      <c r="Y637" t="s">
        <v>770</v>
      </c>
      <c r="Z637" s="17">
        <v>43164</v>
      </c>
      <c r="AA637" t="s">
        <v>3</v>
      </c>
      <c r="AB637" t="s">
        <v>1704</v>
      </c>
    </row>
    <row r="638" spans="1:28" hidden="1">
      <c r="A638" t="s">
        <v>1883</v>
      </c>
      <c r="B638" s="17">
        <v>43164</v>
      </c>
      <c r="C638" s="17">
        <v>43164</v>
      </c>
      <c r="D638" t="s">
        <v>0</v>
      </c>
      <c r="E638" t="s">
        <v>1</v>
      </c>
      <c r="F638" s="18">
        <v>18399</v>
      </c>
      <c r="G638" s="18">
        <v>18399</v>
      </c>
      <c r="H638" t="s">
        <v>2</v>
      </c>
      <c r="I638" t="s">
        <v>8</v>
      </c>
      <c r="J638" s="18">
        <v>1516077.6</v>
      </c>
      <c r="K638" t="s">
        <v>624</v>
      </c>
      <c r="L638" t="s">
        <v>9</v>
      </c>
      <c r="M638" t="s">
        <v>625</v>
      </c>
      <c r="N638" t="s">
        <v>3</v>
      </c>
      <c r="O638" t="s">
        <v>3</v>
      </c>
      <c r="P638" t="s">
        <v>5</v>
      </c>
      <c r="Q638" t="s">
        <v>626</v>
      </c>
      <c r="R638" t="s">
        <v>3</v>
      </c>
      <c r="S638" t="s">
        <v>3</v>
      </c>
      <c r="T638" t="s">
        <v>3</v>
      </c>
      <c r="U638" t="s">
        <v>3</v>
      </c>
      <c r="V638" t="s">
        <v>3</v>
      </c>
      <c r="W638" t="s">
        <v>68</v>
      </c>
      <c r="X638" s="17">
        <v>43190</v>
      </c>
      <c r="Y638" t="s">
        <v>790</v>
      </c>
      <c r="Z638" s="17">
        <v>43164</v>
      </c>
      <c r="AA638" t="s">
        <v>3</v>
      </c>
      <c r="AB638" t="s">
        <v>1883</v>
      </c>
    </row>
    <row r="639" spans="1:28" hidden="1">
      <c r="A639" t="s">
        <v>1883</v>
      </c>
      <c r="B639" s="17">
        <v>43164</v>
      </c>
      <c r="C639" s="17">
        <v>43164</v>
      </c>
      <c r="D639" t="s">
        <v>0</v>
      </c>
      <c r="E639" t="s">
        <v>1</v>
      </c>
      <c r="F639" s="18">
        <v>3986</v>
      </c>
      <c r="G639" s="18">
        <v>3986</v>
      </c>
      <c r="H639" t="s">
        <v>2</v>
      </c>
      <c r="I639" t="s">
        <v>8</v>
      </c>
      <c r="J639" s="18">
        <v>328446.40000000002</v>
      </c>
      <c r="K639" t="s">
        <v>627</v>
      </c>
      <c r="L639" t="s">
        <v>9</v>
      </c>
      <c r="M639" t="s">
        <v>625</v>
      </c>
      <c r="N639" t="s">
        <v>3</v>
      </c>
      <c r="O639" t="s">
        <v>3</v>
      </c>
      <c r="P639" t="s">
        <v>5</v>
      </c>
      <c r="Q639" t="s">
        <v>626</v>
      </c>
      <c r="R639" t="s">
        <v>3</v>
      </c>
      <c r="S639" t="s">
        <v>3</v>
      </c>
      <c r="T639" t="s">
        <v>3</v>
      </c>
      <c r="U639" t="s">
        <v>3</v>
      </c>
      <c r="V639" t="s">
        <v>3</v>
      </c>
      <c r="W639" t="s">
        <v>68</v>
      </c>
      <c r="X639" s="17">
        <v>43190</v>
      </c>
      <c r="Y639" t="s">
        <v>784</v>
      </c>
      <c r="Z639" s="17">
        <v>43164</v>
      </c>
      <c r="AA639" t="s">
        <v>3</v>
      </c>
      <c r="AB639" t="s">
        <v>1883</v>
      </c>
    </row>
    <row r="640" spans="1:28" hidden="1">
      <c r="A640" t="s">
        <v>1707</v>
      </c>
      <c r="B640" s="17">
        <v>43165</v>
      </c>
      <c r="C640" s="17">
        <v>43165</v>
      </c>
      <c r="D640" t="s">
        <v>0</v>
      </c>
      <c r="E640" t="s">
        <v>1</v>
      </c>
      <c r="F640" s="18">
        <v>96243</v>
      </c>
      <c r="G640" s="18">
        <v>96243</v>
      </c>
      <c r="H640" t="s">
        <v>2</v>
      </c>
      <c r="I640" t="s">
        <v>10</v>
      </c>
      <c r="J640" s="18">
        <v>7930423.2000000002</v>
      </c>
      <c r="K640" t="s">
        <v>1708</v>
      </c>
      <c r="L640" t="s">
        <v>9</v>
      </c>
      <c r="M640" t="s">
        <v>1709</v>
      </c>
      <c r="N640" t="s">
        <v>3</v>
      </c>
      <c r="O640" t="s">
        <v>3</v>
      </c>
      <c r="P640" t="s">
        <v>5</v>
      </c>
      <c r="Q640" t="s">
        <v>1710</v>
      </c>
      <c r="R640" t="s">
        <v>3</v>
      </c>
      <c r="S640" t="s">
        <v>3</v>
      </c>
      <c r="T640" t="s">
        <v>3</v>
      </c>
      <c r="U640" t="s">
        <v>3</v>
      </c>
      <c r="V640" t="s">
        <v>3</v>
      </c>
      <c r="W640" t="s">
        <v>68</v>
      </c>
      <c r="X640" s="17">
        <v>43190</v>
      </c>
      <c r="Y640" t="s">
        <v>778</v>
      </c>
      <c r="Z640" s="17">
        <v>43165</v>
      </c>
      <c r="AA640" t="s">
        <v>3</v>
      </c>
      <c r="AB640" t="s">
        <v>1707</v>
      </c>
    </row>
    <row r="641" spans="1:28" hidden="1">
      <c r="A641" t="s">
        <v>1711</v>
      </c>
      <c r="B641" s="17">
        <v>43166</v>
      </c>
      <c r="C641" s="17">
        <v>43166</v>
      </c>
      <c r="D641" t="s">
        <v>0</v>
      </c>
      <c r="E641" t="s">
        <v>1</v>
      </c>
      <c r="F641" s="18">
        <v>-132473</v>
      </c>
      <c r="G641" s="18">
        <v>-132473</v>
      </c>
      <c r="H641" t="s">
        <v>2</v>
      </c>
      <c r="I641" t="s">
        <v>8</v>
      </c>
      <c r="J641" s="18">
        <v>-10929022.51</v>
      </c>
      <c r="K641" t="s">
        <v>1712</v>
      </c>
      <c r="L641" t="s">
        <v>9</v>
      </c>
      <c r="M641" t="s">
        <v>1713</v>
      </c>
      <c r="N641" t="s">
        <v>3</v>
      </c>
      <c r="O641" t="s">
        <v>3</v>
      </c>
      <c r="P641" t="s">
        <v>5</v>
      </c>
      <c r="Q641" t="s">
        <v>1714</v>
      </c>
      <c r="R641" t="s">
        <v>3</v>
      </c>
      <c r="S641" t="s">
        <v>3</v>
      </c>
      <c r="T641" t="s">
        <v>3</v>
      </c>
      <c r="U641" t="s">
        <v>3</v>
      </c>
      <c r="V641" t="s">
        <v>3</v>
      </c>
      <c r="W641" t="s">
        <v>68</v>
      </c>
      <c r="X641" s="17">
        <v>43190</v>
      </c>
      <c r="Y641" t="s">
        <v>776</v>
      </c>
      <c r="Z641" s="17">
        <v>43166</v>
      </c>
      <c r="AA641" t="s">
        <v>3</v>
      </c>
      <c r="AB641" t="s">
        <v>1711</v>
      </c>
    </row>
    <row r="642" spans="1:28" hidden="1">
      <c r="A642" t="s">
        <v>1715</v>
      </c>
      <c r="B642" s="17">
        <v>43166</v>
      </c>
      <c r="C642" s="17">
        <v>43166</v>
      </c>
      <c r="D642" t="s">
        <v>0</v>
      </c>
      <c r="E642" t="s">
        <v>1</v>
      </c>
      <c r="F642" s="18">
        <v>15030</v>
      </c>
      <c r="G642" s="18">
        <v>15030</v>
      </c>
      <c r="H642" t="s">
        <v>2</v>
      </c>
      <c r="I642" t="s">
        <v>10</v>
      </c>
      <c r="J642" s="18">
        <v>1239975</v>
      </c>
      <c r="K642" t="s">
        <v>1716</v>
      </c>
      <c r="L642" t="s">
        <v>9</v>
      </c>
      <c r="M642" t="s">
        <v>1717</v>
      </c>
      <c r="N642" t="s">
        <v>3</v>
      </c>
      <c r="O642" t="s">
        <v>3</v>
      </c>
      <c r="P642" t="s">
        <v>5</v>
      </c>
      <c r="Q642" t="s">
        <v>1718</v>
      </c>
      <c r="R642" t="s">
        <v>3</v>
      </c>
      <c r="S642" t="s">
        <v>3</v>
      </c>
      <c r="T642" t="s">
        <v>3</v>
      </c>
      <c r="U642" t="s">
        <v>3</v>
      </c>
      <c r="V642" t="s">
        <v>3</v>
      </c>
      <c r="W642" t="s">
        <v>68</v>
      </c>
      <c r="X642" s="17">
        <v>43190</v>
      </c>
      <c r="Y642" t="s">
        <v>788</v>
      </c>
      <c r="Z642" s="17">
        <v>43166</v>
      </c>
      <c r="AA642" t="s">
        <v>3</v>
      </c>
      <c r="AB642" t="s">
        <v>1715</v>
      </c>
    </row>
    <row r="643" spans="1:28" hidden="1">
      <c r="A643" t="s">
        <v>1719</v>
      </c>
      <c r="B643" s="17">
        <v>43166</v>
      </c>
      <c r="C643" s="17">
        <v>43166</v>
      </c>
      <c r="D643" t="s">
        <v>0</v>
      </c>
      <c r="E643" t="s">
        <v>1</v>
      </c>
      <c r="F643" s="18">
        <v>27256</v>
      </c>
      <c r="G643" s="18">
        <v>27256</v>
      </c>
      <c r="H643" t="s">
        <v>2</v>
      </c>
      <c r="I643" t="s">
        <v>10</v>
      </c>
      <c r="J643" s="18">
        <v>2245894.4</v>
      </c>
      <c r="K643" t="s">
        <v>1708</v>
      </c>
      <c r="L643" t="s">
        <v>9</v>
      </c>
      <c r="M643" t="s">
        <v>1720</v>
      </c>
      <c r="N643" t="s">
        <v>3</v>
      </c>
      <c r="O643" t="s">
        <v>3</v>
      </c>
      <c r="P643" t="s">
        <v>5</v>
      </c>
      <c r="Q643" t="s">
        <v>1721</v>
      </c>
      <c r="R643" t="s">
        <v>3</v>
      </c>
      <c r="S643" t="s">
        <v>3</v>
      </c>
      <c r="T643" t="s">
        <v>3</v>
      </c>
      <c r="U643" t="s">
        <v>3</v>
      </c>
      <c r="V643" t="s">
        <v>3</v>
      </c>
      <c r="W643" t="s">
        <v>68</v>
      </c>
      <c r="X643" s="17">
        <v>43190</v>
      </c>
      <c r="Y643" t="s">
        <v>778</v>
      </c>
      <c r="Z643" s="17">
        <v>43166</v>
      </c>
      <c r="AA643" t="s">
        <v>3</v>
      </c>
      <c r="AB643" t="s">
        <v>1719</v>
      </c>
    </row>
    <row r="644" spans="1:28" hidden="1">
      <c r="A644" t="s">
        <v>1719</v>
      </c>
      <c r="B644" s="17">
        <v>43166</v>
      </c>
      <c r="C644" s="17">
        <v>43166</v>
      </c>
      <c r="D644" t="s">
        <v>0</v>
      </c>
      <c r="E644" t="s">
        <v>1</v>
      </c>
      <c r="F644" s="18">
        <v>2279</v>
      </c>
      <c r="G644" s="18">
        <v>2279</v>
      </c>
      <c r="H644" t="s">
        <v>2</v>
      </c>
      <c r="I644" t="s">
        <v>10</v>
      </c>
      <c r="J644" s="18">
        <v>187789.6</v>
      </c>
      <c r="K644" t="s">
        <v>1640</v>
      </c>
      <c r="L644" t="s">
        <v>9</v>
      </c>
      <c r="M644" t="s">
        <v>1720</v>
      </c>
      <c r="N644" t="s">
        <v>3</v>
      </c>
      <c r="O644" t="s">
        <v>3</v>
      </c>
      <c r="P644" t="s">
        <v>5</v>
      </c>
      <c r="Q644" t="s">
        <v>1721</v>
      </c>
      <c r="R644" t="s">
        <v>3</v>
      </c>
      <c r="S644" t="s">
        <v>3</v>
      </c>
      <c r="T644" t="s">
        <v>3</v>
      </c>
      <c r="U644" t="s">
        <v>3</v>
      </c>
      <c r="V644" t="s">
        <v>3</v>
      </c>
      <c r="W644" t="s">
        <v>68</v>
      </c>
      <c r="X644" s="17">
        <v>43190</v>
      </c>
      <c r="Y644" t="s">
        <v>770</v>
      </c>
      <c r="Z644" s="17">
        <v>43166</v>
      </c>
      <c r="AA644" t="s">
        <v>3</v>
      </c>
      <c r="AB644" t="s">
        <v>1719</v>
      </c>
    </row>
    <row r="645" spans="1:28" hidden="1">
      <c r="A645" t="s">
        <v>1722</v>
      </c>
      <c r="B645" s="17">
        <v>43167</v>
      </c>
      <c r="C645" s="17">
        <v>43167</v>
      </c>
      <c r="D645" t="s">
        <v>0</v>
      </c>
      <c r="E645" t="s">
        <v>1</v>
      </c>
      <c r="F645" s="18">
        <v>176926</v>
      </c>
      <c r="G645" s="18">
        <v>176926</v>
      </c>
      <c r="H645" t="s">
        <v>2</v>
      </c>
      <c r="I645" t="s">
        <v>8</v>
      </c>
      <c r="J645" s="18">
        <v>14596395.01</v>
      </c>
      <c r="K645" t="s">
        <v>1723</v>
      </c>
      <c r="L645" t="s">
        <v>9</v>
      </c>
      <c r="M645" t="s">
        <v>1724</v>
      </c>
      <c r="N645" t="s">
        <v>3</v>
      </c>
      <c r="O645" t="s">
        <v>3</v>
      </c>
      <c r="P645" t="s">
        <v>5</v>
      </c>
      <c r="Q645" t="s">
        <v>1725</v>
      </c>
      <c r="R645" t="s">
        <v>3</v>
      </c>
      <c r="S645" t="s">
        <v>3</v>
      </c>
      <c r="T645" t="s">
        <v>3</v>
      </c>
      <c r="U645" t="s">
        <v>3</v>
      </c>
      <c r="V645" t="s">
        <v>3</v>
      </c>
      <c r="W645" t="s">
        <v>68</v>
      </c>
      <c r="X645" s="17">
        <v>43190</v>
      </c>
      <c r="Y645" t="s">
        <v>792</v>
      </c>
      <c r="Z645" s="17">
        <v>43167</v>
      </c>
      <c r="AA645" t="s">
        <v>3</v>
      </c>
      <c r="AB645" t="s">
        <v>1722</v>
      </c>
    </row>
    <row r="646" spans="1:28" hidden="1">
      <c r="A646" t="s">
        <v>1726</v>
      </c>
      <c r="B646" s="17">
        <v>43167</v>
      </c>
      <c r="C646" s="17">
        <v>43167</v>
      </c>
      <c r="D646" t="s">
        <v>0</v>
      </c>
      <c r="E646" t="s">
        <v>1</v>
      </c>
      <c r="F646" s="18">
        <v>10023</v>
      </c>
      <c r="G646" s="18">
        <v>10023</v>
      </c>
      <c r="H646" t="s">
        <v>2</v>
      </c>
      <c r="I646" t="s">
        <v>10</v>
      </c>
      <c r="J646" s="18">
        <v>826897.5</v>
      </c>
      <c r="K646" t="s">
        <v>1716</v>
      </c>
      <c r="L646" t="s">
        <v>9</v>
      </c>
      <c r="M646" t="s">
        <v>1727</v>
      </c>
      <c r="N646" t="s">
        <v>3</v>
      </c>
      <c r="O646" t="s">
        <v>3</v>
      </c>
      <c r="P646" t="s">
        <v>5</v>
      </c>
      <c r="Q646" t="s">
        <v>1728</v>
      </c>
      <c r="R646" t="s">
        <v>3</v>
      </c>
      <c r="S646" t="s">
        <v>3</v>
      </c>
      <c r="T646" t="s">
        <v>3</v>
      </c>
      <c r="U646" t="s">
        <v>3</v>
      </c>
      <c r="V646" t="s">
        <v>3</v>
      </c>
      <c r="W646" t="s">
        <v>68</v>
      </c>
      <c r="X646" s="17">
        <v>43190</v>
      </c>
      <c r="Y646" t="s">
        <v>788</v>
      </c>
      <c r="Z646" s="17">
        <v>43167</v>
      </c>
      <c r="AA646" t="s">
        <v>3</v>
      </c>
      <c r="AB646" t="s">
        <v>1726</v>
      </c>
    </row>
    <row r="647" spans="1:28" hidden="1">
      <c r="A647" t="s">
        <v>1729</v>
      </c>
      <c r="B647" s="17">
        <v>43170</v>
      </c>
      <c r="C647" s="17">
        <v>43170</v>
      </c>
      <c r="D647" t="s">
        <v>0</v>
      </c>
      <c r="E647" t="s">
        <v>1</v>
      </c>
      <c r="F647" s="18">
        <v>13879</v>
      </c>
      <c r="G647" s="18">
        <v>13879</v>
      </c>
      <c r="H647" t="s">
        <v>2</v>
      </c>
      <c r="I647" t="s">
        <v>10</v>
      </c>
      <c r="J647" s="18">
        <v>1145017.5</v>
      </c>
      <c r="K647" t="s">
        <v>1716</v>
      </c>
      <c r="L647" t="s">
        <v>9</v>
      </c>
      <c r="M647" t="s">
        <v>1730</v>
      </c>
      <c r="N647" t="s">
        <v>3</v>
      </c>
      <c r="O647" t="s">
        <v>3</v>
      </c>
      <c r="P647" t="s">
        <v>5</v>
      </c>
      <c r="Q647" t="s">
        <v>1731</v>
      </c>
      <c r="R647" t="s">
        <v>3</v>
      </c>
      <c r="S647" t="s">
        <v>3</v>
      </c>
      <c r="T647" t="s">
        <v>3</v>
      </c>
      <c r="U647" t="s">
        <v>3</v>
      </c>
      <c r="V647" t="s">
        <v>3</v>
      </c>
      <c r="W647" t="s">
        <v>68</v>
      </c>
      <c r="X647" s="17">
        <v>43190</v>
      </c>
      <c r="Y647" t="s">
        <v>788</v>
      </c>
      <c r="Z647" s="17">
        <v>43170</v>
      </c>
      <c r="AA647" t="s">
        <v>3</v>
      </c>
      <c r="AB647" t="s">
        <v>1729</v>
      </c>
    </row>
    <row r="648" spans="1:28" hidden="1">
      <c r="A648" t="s">
        <v>1732</v>
      </c>
      <c r="B648" s="17">
        <v>43171</v>
      </c>
      <c r="C648" s="17">
        <v>43171</v>
      </c>
      <c r="D648" t="s">
        <v>0</v>
      </c>
      <c r="E648" t="s">
        <v>1</v>
      </c>
      <c r="F648" s="18">
        <v>1583</v>
      </c>
      <c r="G648" s="18">
        <v>1583</v>
      </c>
      <c r="H648" t="s">
        <v>2</v>
      </c>
      <c r="I648" t="s">
        <v>10</v>
      </c>
      <c r="J648" s="18">
        <v>130597.5</v>
      </c>
      <c r="K648" t="s">
        <v>1716</v>
      </c>
      <c r="L648" t="s">
        <v>9</v>
      </c>
      <c r="M648" t="s">
        <v>1733</v>
      </c>
      <c r="N648" t="s">
        <v>3</v>
      </c>
      <c r="O648" t="s">
        <v>3</v>
      </c>
      <c r="P648" t="s">
        <v>5</v>
      </c>
      <c r="Q648" t="s">
        <v>1734</v>
      </c>
      <c r="R648" t="s">
        <v>3</v>
      </c>
      <c r="S648" t="s">
        <v>3</v>
      </c>
      <c r="T648" t="s">
        <v>3</v>
      </c>
      <c r="U648" t="s">
        <v>3</v>
      </c>
      <c r="V648" t="s">
        <v>3</v>
      </c>
      <c r="W648" t="s">
        <v>68</v>
      </c>
      <c r="X648" s="17">
        <v>43190</v>
      </c>
      <c r="Y648" t="s">
        <v>788</v>
      </c>
      <c r="Z648" s="17">
        <v>43171</v>
      </c>
      <c r="AA648" t="s">
        <v>3</v>
      </c>
      <c r="AB648" t="s">
        <v>1732</v>
      </c>
    </row>
    <row r="649" spans="1:28" hidden="1">
      <c r="A649" t="s">
        <v>1735</v>
      </c>
      <c r="B649" s="17">
        <v>43171</v>
      </c>
      <c r="C649" s="17">
        <v>43171</v>
      </c>
      <c r="D649" t="s">
        <v>0</v>
      </c>
      <c r="E649" t="s">
        <v>1</v>
      </c>
      <c r="F649" s="18">
        <v>217335</v>
      </c>
      <c r="G649" s="18">
        <v>217335</v>
      </c>
      <c r="H649" t="s">
        <v>2</v>
      </c>
      <c r="I649" t="s">
        <v>8</v>
      </c>
      <c r="J649" s="18">
        <v>17930137.510000002</v>
      </c>
      <c r="K649" t="s">
        <v>1723</v>
      </c>
      <c r="L649" t="s">
        <v>9</v>
      </c>
      <c r="M649" t="s">
        <v>1736</v>
      </c>
      <c r="N649" t="s">
        <v>3</v>
      </c>
      <c r="O649" t="s">
        <v>3</v>
      </c>
      <c r="P649" t="s">
        <v>5</v>
      </c>
      <c r="Q649" t="s">
        <v>1737</v>
      </c>
      <c r="R649" t="s">
        <v>3</v>
      </c>
      <c r="S649" t="s">
        <v>3</v>
      </c>
      <c r="T649" t="s">
        <v>3</v>
      </c>
      <c r="U649" t="s">
        <v>3</v>
      </c>
      <c r="V649" t="s">
        <v>3</v>
      </c>
      <c r="W649" t="s">
        <v>68</v>
      </c>
      <c r="X649" s="17">
        <v>43190</v>
      </c>
      <c r="Y649" t="s">
        <v>792</v>
      </c>
      <c r="Z649" s="17">
        <v>43171</v>
      </c>
      <c r="AA649" t="s">
        <v>3</v>
      </c>
      <c r="AB649" t="s">
        <v>1735</v>
      </c>
    </row>
    <row r="650" spans="1:28" hidden="1">
      <c r="A650" t="s">
        <v>1738</v>
      </c>
      <c r="B650" s="17">
        <v>43171</v>
      </c>
      <c r="C650" s="17">
        <v>43171</v>
      </c>
      <c r="D650" t="s">
        <v>0</v>
      </c>
      <c r="E650" t="s">
        <v>1</v>
      </c>
      <c r="F650" s="18">
        <v>18855</v>
      </c>
      <c r="G650" s="18">
        <v>18855</v>
      </c>
      <c r="H650" t="s">
        <v>2</v>
      </c>
      <c r="I650" t="s">
        <v>8</v>
      </c>
      <c r="J650" s="18">
        <v>1553652</v>
      </c>
      <c r="K650" t="s">
        <v>1650</v>
      </c>
      <c r="L650" t="s">
        <v>9</v>
      </c>
      <c r="M650" t="s">
        <v>1739</v>
      </c>
      <c r="N650" t="s">
        <v>3</v>
      </c>
      <c r="O650" t="s">
        <v>3</v>
      </c>
      <c r="P650" t="s">
        <v>5</v>
      </c>
      <c r="Q650" t="s">
        <v>1740</v>
      </c>
      <c r="R650" t="s">
        <v>3</v>
      </c>
      <c r="S650" t="s">
        <v>3</v>
      </c>
      <c r="T650" t="s">
        <v>3</v>
      </c>
      <c r="U650" t="s">
        <v>3</v>
      </c>
      <c r="V650" t="s">
        <v>3</v>
      </c>
      <c r="W650" t="s">
        <v>68</v>
      </c>
      <c r="X650" s="17">
        <v>43190</v>
      </c>
      <c r="Y650" t="s">
        <v>794</v>
      </c>
      <c r="Z650" s="17">
        <v>43171</v>
      </c>
      <c r="AA650" t="s">
        <v>3</v>
      </c>
      <c r="AB650" t="s">
        <v>1738</v>
      </c>
    </row>
    <row r="651" spans="1:28" hidden="1">
      <c r="A651" t="s">
        <v>1741</v>
      </c>
      <c r="B651" s="17">
        <v>43171</v>
      </c>
      <c r="C651" s="17">
        <v>43171</v>
      </c>
      <c r="D651" t="s">
        <v>0</v>
      </c>
      <c r="E651" t="s">
        <v>1</v>
      </c>
      <c r="F651" s="18">
        <v>-92997</v>
      </c>
      <c r="G651" s="18">
        <v>-92997</v>
      </c>
      <c r="H651" t="s">
        <v>2</v>
      </c>
      <c r="I651" t="s">
        <v>8</v>
      </c>
      <c r="J651" s="18">
        <v>-7672252.5099999998</v>
      </c>
      <c r="K651" t="s">
        <v>1742</v>
      </c>
      <c r="L651" t="s">
        <v>9</v>
      </c>
      <c r="M651" t="s">
        <v>1743</v>
      </c>
      <c r="N651" t="s">
        <v>3</v>
      </c>
      <c r="O651" t="s">
        <v>3</v>
      </c>
      <c r="P651" t="s">
        <v>5</v>
      </c>
      <c r="Q651" t="s">
        <v>1744</v>
      </c>
      <c r="R651" t="s">
        <v>3</v>
      </c>
      <c r="S651" t="s">
        <v>3</v>
      </c>
      <c r="T651" t="s">
        <v>3</v>
      </c>
      <c r="U651" t="s">
        <v>3</v>
      </c>
      <c r="V651" t="s">
        <v>3</v>
      </c>
      <c r="W651" t="s">
        <v>68</v>
      </c>
      <c r="X651" s="17">
        <v>43190</v>
      </c>
      <c r="Y651" t="s">
        <v>774</v>
      </c>
      <c r="Z651" s="17">
        <v>43171</v>
      </c>
      <c r="AA651" t="s">
        <v>3</v>
      </c>
      <c r="AB651" t="s">
        <v>1741</v>
      </c>
    </row>
    <row r="652" spans="1:28" hidden="1">
      <c r="A652" t="s">
        <v>1746</v>
      </c>
      <c r="B652" s="17">
        <v>43172</v>
      </c>
      <c r="C652" s="17">
        <v>43172</v>
      </c>
      <c r="D652" t="s">
        <v>0</v>
      </c>
      <c r="E652" t="s">
        <v>1</v>
      </c>
      <c r="F652" s="18">
        <v>9758</v>
      </c>
      <c r="G652" s="18">
        <v>9758</v>
      </c>
      <c r="H652" t="s">
        <v>2</v>
      </c>
      <c r="I652" t="s">
        <v>10</v>
      </c>
      <c r="J652" s="18">
        <v>804059.2</v>
      </c>
      <c r="K652" t="s">
        <v>1708</v>
      </c>
      <c r="L652" t="s">
        <v>9</v>
      </c>
      <c r="M652" t="s">
        <v>1747</v>
      </c>
      <c r="N652" t="s">
        <v>3</v>
      </c>
      <c r="O652" t="s">
        <v>3</v>
      </c>
      <c r="P652" t="s">
        <v>5</v>
      </c>
      <c r="Q652" t="s">
        <v>1748</v>
      </c>
      <c r="R652" t="s">
        <v>3</v>
      </c>
      <c r="S652" t="s">
        <v>3</v>
      </c>
      <c r="T652" t="s">
        <v>3</v>
      </c>
      <c r="U652" t="s">
        <v>3</v>
      </c>
      <c r="V652" t="s">
        <v>3</v>
      </c>
      <c r="W652" t="s">
        <v>68</v>
      </c>
      <c r="X652" s="17">
        <v>43190</v>
      </c>
      <c r="Y652" t="s">
        <v>778</v>
      </c>
      <c r="Z652" s="17">
        <v>43172</v>
      </c>
      <c r="AA652" t="s">
        <v>3</v>
      </c>
      <c r="AB652" t="s">
        <v>1746</v>
      </c>
    </row>
    <row r="653" spans="1:28" hidden="1">
      <c r="A653" t="s">
        <v>1746</v>
      </c>
      <c r="B653" s="17">
        <v>43172</v>
      </c>
      <c r="C653" s="17">
        <v>43172</v>
      </c>
      <c r="D653" t="s">
        <v>0</v>
      </c>
      <c r="E653" t="s">
        <v>1</v>
      </c>
      <c r="F653" s="18">
        <v>5300</v>
      </c>
      <c r="G653" s="18">
        <v>5300</v>
      </c>
      <c r="H653" t="s">
        <v>2</v>
      </c>
      <c r="I653" t="s">
        <v>10</v>
      </c>
      <c r="J653" s="18">
        <v>437250</v>
      </c>
      <c r="K653" t="s">
        <v>1716</v>
      </c>
      <c r="L653" t="s">
        <v>9</v>
      </c>
      <c r="M653" t="s">
        <v>1747</v>
      </c>
      <c r="N653" t="s">
        <v>3</v>
      </c>
      <c r="O653" t="s">
        <v>3</v>
      </c>
      <c r="P653" t="s">
        <v>5</v>
      </c>
      <c r="Q653" t="s">
        <v>1748</v>
      </c>
      <c r="R653" t="s">
        <v>3</v>
      </c>
      <c r="S653" t="s">
        <v>3</v>
      </c>
      <c r="T653" t="s">
        <v>3</v>
      </c>
      <c r="U653" t="s">
        <v>3</v>
      </c>
      <c r="V653" t="s">
        <v>3</v>
      </c>
      <c r="W653" t="s">
        <v>68</v>
      </c>
      <c r="X653" s="17">
        <v>43190</v>
      </c>
      <c r="Y653" t="s">
        <v>788</v>
      </c>
      <c r="Z653" s="17">
        <v>43172</v>
      </c>
      <c r="AA653" t="s">
        <v>3</v>
      </c>
      <c r="AB653" t="s">
        <v>1746</v>
      </c>
    </row>
    <row r="654" spans="1:28" hidden="1">
      <c r="A654" t="s">
        <v>1749</v>
      </c>
      <c r="B654" s="17">
        <v>43172</v>
      </c>
      <c r="C654" s="17">
        <v>43172</v>
      </c>
      <c r="D654" t="s">
        <v>0</v>
      </c>
      <c r="E654" t="s">
        <v>1</v>
      </c>
      <c r="F654" s="18">
        <v>-173562</v>
      </c>
      <c r="G654" s="18">
        <v>-173562</v>
      </c>
      <c r="H654" t="s">
        <v>2</v>
      </c>
      <c r="I654" t="s">
        <v>8</v>
      </c>
      <c r="J654" s="18">
        <v>-14318865.01</v>
      </c>
      <c r="K654" t="s">
        <v>1750</v>
      </c>
      <c r="L654" t="s">
        <v>9</v>
      </c>
      <c r="M654" t="s">
        <v>1751</v>
      </c>
      <c r="N654" t="s">
        <v>3</v>
      </c>
      <c r="O654" t="s">
        <v>3</v>
      </c>
      <c r="P654" t="s">
        <v>5</v>
      </c>
      <c r="Q654" t="s">
        <v>1752</v>
      </c>
      <c r="R654" t="s">
        <v>3</v>
      </c>
      <c r="S654" t="s">
        <v>3</v>
      </c>
      <c r="T654" t="s">
        <v>3</v>
      </c>
      <c r="U654" t="s">
        <v>3</v>
      </c>
      <c r="V654" t="s">
        <v>3</v>
      </c>
      <c r="W654" t="s">
        <v>68</v>
      </c>
      <c r="X654" s="17">
        <v>43190</v>
      </c>
      <c r="Y654" t="s">
        <v>780</v>
      </c>
      <c r="Z654" s="17">
        <v>43172</v>
      </c>
      <c r="AA654" t="s">
        <v>3</v>
      </c>
      <c r="AB654" t="s">
        <v>1749</v>
      </c>
    </row>
    <row r="655" spans="1:28" hidden="1">
      <c r="A655" t="s">
        <v>1753</v>
      </c>
      <c r="B655" s="17">
        <v>43173</v>
      </c>
      <c r="C655" s="17">
        <v>43173</v>
      </c>
      <c r="D655" t="s">
        <v>0</v>
      </c>
      <c r="E655" t="s">
        <v>1</v>
      </c>
      <c r="F655" s="18">
        <v>8215</v>
      </c>
      <c r="G655" s="18">
        <v>8215</v>
      </c>
      <c r="H655" t="s">
        <v>2</v>
      </c>
      <c r="I655" t="s">
        <v>10</v>
      </c>
      <c r="J655" s="18">
        <v>677737.5</v>
      </c>
      <c r="K655" t="s">
        <v>1716</v>
      </c>
      <c r="L655" t="s">
        <v>9</v>
      </c>
      <c r="M655" t="s">
        <v>1754</v>
      </c>
      <c r="N655" t="s">
        <v>3</v>
      </c>
      <c r="O655" t="s">
        <v>3</v>
      </c>
      <c r="P655" t="s">
        <v>5</v>
      </c>
      <c r="Q655" t="s">
        <v>1755</v>
      </c>
      <c r="R655" t="s">
        <v>3</v>
      </c>
      <c r="S655" t="s">
        <v>3</v>
      </c>
      <c r="T655" t="s">
        <v>3</v>
      </c>
      <c r="U655" t="s">
        <v>3</v>
      </c>
      <c r="V655" t="s">
        <v>3</v>
      </c>
      <c r="W655" t="s">
        <v>68</v>
      </c>
      <c r="X655" s="17">
        <v>43190</v>
      </c>
      <c r="Y655" t="s">
        <v>788</v>
      </c>
      <c r="Z655" s="17">
        <v>43173</v>
      </c>
      <c r="AA655" t="s">
        <v>3</v>
      </c>
      <c r="AB655" t="s">
        <v>1753</v>
      </c>
    </row>
    <row r="656" spans="1:28" hidden="1">
      <c r="A656" t="s">
        <v>1756</v>
      </c>
      <c r="B656" s="17">
        <v>43173</v>
      </c>
      <c r="C656" s="17">
        <v>43173</v>
      </c>
      <c r="D656" t="s">
        <v>0</v>
      </c>
      <c r="E656" t="s">
        <v>1</v>
      </c>
      <c r="F656" s="18">
        <v>126279</v>
      </c>
      <c r="G656" s="18">
        <v>126279</v>
      </c>
      <c r="H656" t="s">
        <v>2</v>
      </c>
      <c r="I656" t="s">
        <v>8</v>
      </c>
      <c r="J656" s="18">
        <v>10418017.5</v>
      </c>
      <c r="K656" t="s">
        <v>1723</v>
      </c>
      <c r="L656" t="s">
        <v>9</v>
      </c>
      <c r="M656" t="s">
        <v>1757</v>
      </c>
      <c r="N656" t="s">
        <v>3</v>
      </c>
      <c r="O656" t="s">
        <v>3</v>
      </c>
      <c r="P656" t="s">
        <v>5</v>
      </c>
      <c r="Q656" t="s">
        <v>1758</v>
      </c>
      <c r="R656" t="s">
        <v>3</v>
      </c>
      <c r="S656" t="s">
        <v>3</v>
      </c>
      <c r="T656" t="s">
        <v>3</v>
      </c>
      <c r="U656" t="s">
        <v>3</v>
      </c>
      <c r="V656" t="s">
        <v>3</v>
      </c>
      <c r="W656" t="s">
        <v>68</v>
      </c>
      <c r="X656" s="17">
        <v>43190</v>
      </c>
      <c r="Y656" t="s">
        <v>792</v>
      </c>
      <c r="Z656" s="17">
        <v>43173</v>
      </c>
      <c r="AA656" t="s">
        <v>3</v>
      </c>
      <c r="AB656" t="s">
        <v>1756</v>
      </c>
    </row>
    <row r="657" spans="1:28" hidden="1">
      <c r="A657" t="s">
        <v>1759</v>
      </c>
      <c r="B657" s="17">
        <v>43173</v>
      </c>
      <c r="C657" s="17">
        <v>43173</v>
      </c>
      <c r="D657" t="s">
        <v>0</v>
      </c>
      <c r="E657" t="s">
        <v>1</v>
      </c>
      <c r="F657" s="18">
        <v>-10398</v>
      </c>
      <c r="G657" s="18">
        <v>-10398</v>
      </c>
      <c r="H657" t="s">
        <v>2</v>
      </c>
      <c r="I657" t="s">
        <v>10</v>
      </c>
      <c r="J657" s="18">
        <v>-857835.01</v>
      </c>
      <c r="K657" t="s">
        <v>1760</v>
      </c>
      <c r="L657" t="s">
        <v>9</v>
      </c>
      <c r="M657" t="s">
        <v>1761</v>
      </c>
      <c r="N657" t="s">
        <v>3</v>
      </c>
      <c r="O657" t="s">
        <v>3</v>
      </c>
      <c r="P657" t="s">
        <v>5</v>
      </c>
      <c r="Q657" t="s">
        <v>1762</v>
      </c>
      <c r="R657" t="s">
        <v>3</v>
      </c>
      <c r="S657" t="s">
        <v>3</v>
      </c>
      <c r="T657" t="s">
        <v>3</v>
      </c>
      <c r="U657" t="s">
        <v>3</v>
      </c>
      <c r="V657" t="s">
        <v>3</v>
      </c>
      <c r="W657" t="s">
        <v>68</v>
      </c>
      <c r="X657" s="17">
        <v>43190</v>
      </c>
      <c r="Y657" t="s">
        <v>767</v>
      </c>
      <c r="Z657" s="17">
        <v>43173</v>
      </c>
      <c r="AA657" t="s">
        <v>3</v>
      </c>
      <c r="AB657" t="s">
        <v>1759</v>
      </c>
    </row>
    <row r="658" spans="1:28" hidden="1">
      <c r="A658" t="s">
        <v>1763</v>
      </c>
      <c r="B658" s="17">
        <v>43173</v>
      </c>
      <c r="C658" s="17">
        <v>43173</v>
      </c>
      <c r="D658" t="s">
        <v>0</v>
      </c>
      <c r="E658" t="s">
        <v>1</v>
      </c>
      <c r="F658" s="18">
        <v>-82843</v>
      </c>
      <c r="G658" s="18">
        <v>-82843</v>
      </c>
      <c r="H658" t="s">
        <v>2</v>
      </c>
      <c r="I658" t="s">
        <v>8</v>
      </c>
      <c r="J658" s="18">
        <v>-6834547.5099999998</v>
      </c>
      <c r="K658" t="s">
        <v>1764</v>
      </c>
      <c r="L658" t="s">
        <v>9</v>
      </c>
      <c r="M658" t="s">
        <v>1765</v>
      </c>
      <c r="N658" t="s">
        <v>3</v>
      </c>
      <c r="O658" t="s">
        <v>3</v>
      </c>
      <c r="P658" t="s">
        <v>5</v>
      </c>
      <c r="Q658" t="s">
        <v>1766</v>
      </c>
      <c r="R658" t="s">
        <v>3</v>
      </c>
      <c r="S658" t="s">
        <v>3</v>
      </c>
      <c r="T658" t="s">
        <v>3</v>
      </c>
      <c r="U658" t="s">
        <v>3</v>
      </c>
      <c r="V658" t="s">
        <v>3</v>
      </c>
      <c r="W658" t="s">
        <v>68</v>
      </c>
      <c r="X658" s="17">
        <v>43190</v>
      </c>
      <c r="Y658" t="s">
        <v>772</v>
      </c>
      <c r="Z658" s="17">
        <v>43173</v>
      </c>
      <c r="AA658" t="s">
        <v>3</v>
      </c>
      <c r="AB658" t="s">
        <v>1763</v>
      </c>
    </row>
    <row r="659" spans="1:28" hidden="1">
      <c r="A659" t="s">
        <v>1767</v>
      </c>
      <c r="B659" s="17">
        <v>43174</v>
      </c>
      <c r="C659" s="17">
        <v>43174</v>
      </c>
      <c r="D659" t="s">
        <v>0</v>
      </c>
      <c r="E659" t="s">
        <v>1</v>
      </c>
      <c r="F659" s="18">
        <v>1186</v>
      </c>
      <c r="G659" s="18">
        <v>1186</v>
      </c>
      <c r="H659" t="s">
        <v>2</v>
      </c>
      <c r="I659" t="s">
        <v>8</v>
      </c>
      <c r="J659" s="18">
        <v>97845</v>
      </c>
      <c r="K659" t="s">
        <v>1768</v>
      </c>
      <c r="L659" t="s">
        <v>9</v>
      </c>
      <c r="M659" t="s">
        <v>1769</v>
      </c>
      <c r="N659" t="s">
        <v>3</v>
      </c>
      <c r="O659" t="s">
        <v>3</v>
      </c>
      <c r="P659" t="s">
        <v>5</v>
      </c>
      <c r="Q659" t="s">
        <v>1770</v>
      </c>
      <c r="R659" t="s">
        <v>3</v>
      </c>
      <c r="S659" t="s">
        <v>3</v>
      </c>
      <c r="T659" t="s">
        <v>3</v>
      </c>
      <c r="U659" t="s">
        <v>3</v>
      </c>
      <c r="V659" t="s">
        <v>3</v>
      </c>
      <c r="W659" t="s">
        <v>68</v>
      </c>
      <c r="X659" s="17">
        <v>43190</v>
      </c>
      <c r="Y659" t="s">
        <v>776</v>
      </c>
      <c r="Z659" s="17">
        <v>43174</v>
      </c>
      <c r="AA659" t="s">
        <v>3</v>
      </c>
      <c r="AB659" t="s">
        <v>1767</v>
      </c>
    </row>
    <row r="660" spans="1:28" hidden="1">
      <c r="A660" t="s">
        <v>1771</v>
      </c>
      <c r="B660" s="17">
        <v>43174</v>
      </c>
      <c r="C660" s="17">
        <v>43174</v>
      </c>
      <c r="D660" t="s">
        <v>0</v>
      </c>
      <c r="E660" t="s">
        <v>1</v>
      </c>
      <c r="F660" s="18">
        <v>14341</v>
      </c>
      <c r="G660" s="18">
        <v>14341</v>
      </c>
      <c r="H660" t="s">
        <v>2</v>
      </c>
      <c r="I660" t="s">
        <v>8</v>
      </c>
      <c r="J660" s="18">
        <v>1183132.5</v>
      </c>
      <c r="K660" t="s">
        <v>1723</v>
      </c>
      <c r="L660" t="s">
        <v>9</v>
      </c>
      <c r="M660" t="s">
        <v>1772</v>
      </c>
      <c r="N660" t="s">
        <v>3</v>
      </c>
      <c r="O660" t="s">
        <v>3</v>
      </c>
      <c r="P660" t="s">
        <v>5</v>
      </c>
      <c r="Q660" t="s">
        <v>1773</v>
      </c>
      <c r="R660" t="s">
        <v>3</v>
      </c>
      <c r="S660" t="s">
        <v>3</v>
      </c>
      <c r="T660" t="s">
        <v>3</v>
      </c>
      <c r="U660" t="s">
        <v>3</v>
      </c>
      <c r="V660" t="s">
        <v>3</v>
      </c>
      <c r="W660" t="s">
        <v>68</v>
      </c>
      <c r="X660" s="17">
        <v>43190</v>
      </c>
      <c r="Y660" t="s">
        <v>792</v>
      </c>
      <c r="Z660" s="17">
        <v>43174</v>
      </c>
      <c r="AA660" t="s">
        <v>3</v>
      </c>
      <c r="AB660" t="s">
        <v>1771</v>
      </c>
    </row>
    <row r="661" spans="1:28" hidden="1">
      <c r="A661" t="s">
        <v>1774</v>
      </c>
      <c r="B661" s="17">
        <v>43177</v>
      </c>
      <c r="C661" s="17">
        <v>43177</v>
      </c>
      <c r="D661" t="s">
        <v>0</v>
      </c>
      <c r="E661" t="s">
        <v>1</v>
      </c>
      <c r="F661" s="18">
        <v>-108946</v>
      </c>
      <c r="G661" s="18">
        <v>-108946</v>
      </c>
      <c r="H661" t="s">
        <v>2</v>
      </c>
      <c r="I661" t="s">
        <v>8</v>
      </c>
      <c r="J661" s="18">
        <v>-8988045</v>
      </c>
      <c r="K661" t="s">
        <v>1775</v>
      </c>
      <c r="L661" t="s">
        <v>9</v>
      </c>
      <c r="M661" t="s">
        <v>1776</v>
      </c>
      <c r="N661" t="s">
        <v>3</v>
      </c>
      <c r="O661" t="s">
        <v>3</v>
      </c>
      <c r="P661" t="s">
        <v>5</v>
      </c>
      <c r="Q661" t="s">
        <v>1777</v>
      </c>
      <c r="R661" t="s">
        <v>3</v>
      </c>
      <c r="S661" t="s">
        <v>3</v>
      </c>
      <c r="T661" t="s">
        <v>3</v>
      </c>
      <c r="U661" t="s">
        <v>3</v>
      </c>
      <c r="V661" t="s">
        <v>3</v>
      </c>
      <c r="W661" t="s">
        <v>68</v>
      </c>
      <c r="X661" s="17">
        <v>43220</v>
      </c>
      <c r="Y661" t="s">
        <v>800</v>
      </c>
      <c r="Z661" s="17">
        <v>43177</v>
      </c>
      <c r="AA661" t="s">
        <v>3</v>
      </c>
      <c r="AB661" t="s">
        <v>1774</v>
      </c>
    </row>
    <row r="662" spans="1:28" hidden="1">
      <c r="A662" t="s">
        <v>1778</v>
      </c>
      <c r="B662" s="17">
        <v>43177</v>
      </c>
      <c r="C662" s="17">
        <v>43177</v>
      </c>
      <c r="D662" t="s">
        <v>0</v>
      </c>
      <c r="E662" t="s">
        <v>1</v>
      </c>
      <c r="F662" s="18">
        <v>-100870</v>
      </c>
      <c r="G662" s="18">
        <v>-100870</v>
      </c>
      <c r="H662" t="s">
        <v>2</v>
      </c>
      <c r="I662" t="s">
        <v>8</v>
      </c>
      <c r="J662" s="18">
        <v>-8321775.0099999998</v>
      </c>
      <c r="K662" t="s">
        <v>1779</v>
      </c>
      <c r="L662" t="s">
        <v>9</v>
      </c>
      <c r="M662" t="s">
        <v>1780</v>
      </c>
      <c r="N662" t="s">
        <v>3</v>
      </c>
      <c r="O662" t="s">
        <v>3</v>
      </c>
      <c r="P662" t="s">
        <v>5</v>
      </c>
      <c r="Q662" t="s">
        <v>1781</v>
      </c>
      <c r="R662" t="s">
        <v>3</v>
      </c>
      <c r="S662" t="s">
        <v>3</v>
      </c>
      <c r="T662" t="s">
        <v>3</v>
      </c>
      <c r="U662" t="s">
        <v>3</v>
      </c>
      <c r="V662" t="s">
        <v>3</v>
      </c>
      <c r="W662" t="s">
        <v>68</v>
      </c>
      <c r="X662" s="17">
        <v>43195</v>
      </c>
      <c r="Y662" t="s">
        <v>1782</v>
      </c>
      <c r="Z662" s="17">
        <v>43177</v>
      </c>
      <c r="AA662" t="s">
        <v>3</v>
      </c>
      <c r="AB662" t="s">
        <v>1778</v>
      </c>
    </row>
    <row r="663" spans="1:28" hidden="1">
      <c r="A663" t="s">
        <v>1802</v>
      </c>
      <c r="B663" s="17">
        <v>43177</v>
      </c>
      <c r="C663" s="17">
        <v>43177</v>
      </c>
      <c r="D663" t="s">
        <v>0</v>
      </c>
      <c r="E663" t="s">
        <v>1</v>
      </c>
      <c r="F663" s="18">
        <v>90222</v>
      </c>
      <c r="G663" s="18">
        <v>90222</v>
      </c>
      <c r="H663" t="s">
        <v>2</v>
      </c>
      <c r="I663" t="s">
        <v>8</v>
      </c>
      <c r="J663" s="18">
        <v>7443315</v>
      </c>
      <c r="K663" t="s">
        <v>1723</v>
      </c>
      <c r="L663" t="s">
        <v>9</v>
      </c>
      <c r="M663" t="s">
        <v>1803</v>
      </c>
      <c r="N663" t="s">
        <v>3</v>
      </c>
      <c r="O663" t="s">
        <v>3</v>
      </c>
      <c r="P663" t="s">
        <v>5</v>
      </c>
      <c r="Q663" t="s">
        <v>1804</v>
      </c>
      <c r="R663" t="s">
        <v>3</v>
      </c>
      <c r="S663" t="s">
        <v>3</v>
      </c>
      <c r="T663" t="s">
        <v>3</v>
      </c>
      <c r="U663" t="s">
        <v>3</v>
      </c>
      <c r="V663" t="s">
        <v>3</v>
      </c>
      <c r="W663" t="s">
        <v>68</v>
      </c>
      <c r="X663" s="17">
        <v>43190</v>
      </c>
      <c r="Y663" t="s">
        <v>792</v>
      </c>
      <c r="Z663" s="17">
        <v>43177</v>
      </c>
      <c r="AA663" t="s">
        <v>3</v>
      </c>
      <c r="AB663" t="s">
        <v>1802</v>
      </c>
    </row>
    <row r="664" spans="1:28" hidden="1">
      <c r="A664" t="s">
        <v>1805</v>
      </c>
      <c r="B664" s="17">
        <v>43178</v>
      </c>
      <c r="C664" s="17">
        <v>43178</v>
      </c>
      <c r="D664" t="s">
        <v>0</v>
      </c>
      <c r="E664" t="s">
        <v>1</v>
      </c>
      <c r="F664" s="18">
        <v>18788</v>
      </c>
      <c r="G664" s="18">
        <v>18788</v>
      </c>
      <c r="H664" t="s">
        <v>2</v>
      </c>
      <c r="I664" t="s">
        <v>8</v>
      </c>
      <c r="J664" s="18">
        <v>1550010</v>
      </c>
      <c r="K664" t="s">
        <v>1723</v>
      </c>
      <c r="L664" t="s">
        <v>9</v>
      </c>
      <c r="M664" t="s">
        <v>1806</v>
      </c>
      <c r="N664" t="s">
        <v>3</v>
      </c>
      <c r="O664" t="s">
        <v>3</v>
      </c>
      <c r="P664" t="s">
        <v>5</v>
      </c>
      <c r="Q664" t="s">
        <v>1807</v>
      </c>
      <c r="R664" t="s">
        <v>3</v>
      </c>
      <c r="S664" t="s">
        <v>3</v>
      </c>
      <c r="T664" t="s">
        <v>3</v>
      </c>
      <c r="U664" t="s">
        <v>3</v>
      </c>
      <c r="V664" t="s">
        <v>3</v>
      </c>
      <c r="W664" t="s">
        <v>68</v>
      </c>
      <c r="X664" s="17">
        <v>43190</v>
      </c>
      <c r="Y664" t="s">
        <v>792</v>
      </c>
      <c r="Z664" s="17">
        <v>43178</v>
      </c>
      <c r="AA664" t="s">
        <v>3</v>
      </c>
      <c r="AB664" t="s">
        <v>1805</v>
      </c>
    </row>
    <row r="665" spans="1:28" hidden="1">
      <c r="A665" t="s">
        <v>1805</v>
      </c>
      <c r="B665" s="17">
        <v>43178</v>
      </c>
      <c r="C665" s="17">
        <v>43178</v>
      </c>
      <c r="D665" t="s">
        <v>0</v>
      </c>
      <c r="E665" t="s">
        <v>1</v>
      </c>
      <c r="F665" s="18">
        <v>125402</v>
      </c>
      <c r="G665" s="18">
        <v>125402</v>
      </c>
      <c r="H665" t="s">
        <v>2</v>
      </c>
      <c r="I665" t="s">
        <v>8</v>
      </c>
      <c r="J665" s="18">
        <v>10345665.01</v>
      </c>
      <c r="K665" t="s">
        <v>1768</v>
      </c>
      <c r="L665" t="s">
        <v>9</v>
      </c>
      <c r="M665" t="s">
        <v>1806</v>
      </c>
      <c r="N665" t="s">
        <v>3</v>
      </c>
      <c r="O665" t="s">
        <v>3</v>
      </c>
      <c r="P665" t="s">
        <v>5</v>
      </c>
      <c r="Q665" t="s">
        <v>1807</v>
      </c>
      <c r="R665" t="s">
        <v>3</v>
      </c>
      <c r="S665" t="s">
        <v>3</v>
      </c>
      <c r="T665" t="s">
        <v>3</v>
      </c>
      <c r="U665" t="s">
        <v>3</v>
      </c>
      <c r="V665" t="s">
        <v>3</v>
      </c>
      <c r="W665" t="s">
        <v>68</v>
      </c>
      <c r="X665" s="17">
        <v>43190</v>
      </c>
      <c r="Y665" t="s">
        <v>776</v>
      </c>
      <c r="Z665" s="17">
        <v>43178</v>
      </c>
      <c r="AA665" t="s">
        <v>3</v>
      </c>
      <c r="AB665" t="s">
        <v>1805</v>
      </c>
    </row>
    <row r="666" spans="1:28" hidden="1">
      <c r="A666" t="s">
        <v>1791</v>
      </c>
      <c r="B666" s="17">
        <v>43179</v>
      </c>
      <c r="C666" s="17">
        <v>43179</v>
      </c>
      <c r="D666" t="s">
        <v>0</v>
      </c>
      <c r="E666" t="s">
        <v>1</v>
      </c>
      <c r="F666" s="18">
        <v>-93088</v>
      </c>
      <c r="G666" s="18">
        <v>-93088</v>
      </c>
      <c r="H666" t="s">
        <v>2</v>
      </c>
      <c r="I666" t="s">
        <v>10</v>
      </c>
      <c r="J666" s="18">
        <v>-7679760.0099999998</v>
      </c>
      <c r="K666" t="s">
        <v>1792</v>
      </c>
      <c r="L666" t="s">
        <v>9</v>
      </c>
      <c r="M666" t="s">
        <v>1793</v>
      </c>
      <c r="N666" t="s">
        <v>3</v>
      </c>
      <c r="O666" t="s">
        <v>3</v>
      </c>
      <c r="P666" t="s">
        <v>5</v>
      </c>
      <c r="Q666" t="s">
        <v>1794</v>
      </c>
      <c r="R666" t="s">
        <v>3</v>
      </c>
      <c r="S666" t="s">
        <v>3</v>
      </c>
      <c r="T666" t="s">
        <v>3</v>
      </c>
      <c r="U666" t="s">
        <v>3</v>
      </c>
      <c r="V666" t="s">
        <v>3</v>
      </c>
      <c r="W666" t="s">
        <v>68</v>
      </c>
      <c r="X666" s="17">
        <v>43220</v>
      </c>
      <c r="Y666" t="s">
        <v>804</v>
      </c>
      <c r="Z666" s="17">
        <v>43179</v>
      </c>
      <c r="AA666" t="s">
        <v>3</v>
      </c>
      <c r="AB666" t="s">
        <v>1791</v>
      </c>
    </row>
    <row r="667" spans="1:28" hidden="1">
      <c r="A667" t="s">
        <v>1795</v>
      </c>
      <c r="B667" s="17">
        <v>43179</v>
      </c>
      <c r="C667" s="17">
        <v>43179</v>
      </c>
      <c r="D667" t="s">
        <v>0</v>
      </c>
      <c r="E667" t="s">
        <v>1</v>
      </c>
      <c r="F667" s="18">
        <v>1179</v>
      </c>
      <c r="G667" s="18">
        <v>1179</v>
      </c>
      <c r="H667" t="s">
        <v>2</v>
      </c>
      <c r="I667" t="s">
        <v>10</v>
      </c>
      <c r="J667" s="18">
        <v>97267.5</v>
      </c>
      <c r="K667" t="s">
        <v>1796</v>
      </c>
      <c r="L667" t="s">
        <v>9</v>
      </c>
      <c r="M667" t="s">
        <v>1797</v>
      </c>
      <c r="N667" t="s">
        <v>3</v>
      </c>
      <c r="O667" t="s">
        <v>3</v>
      </c>
      <c r="P667" t="s">
        <v>5</v>
      </c>
      <c r="Q667" t="s">
        <v>1798</v>
      </c>
      <c r="R667" t="s">
        <v>3</v>
      </c>
      <c r="S667" t="s">
        <v>3</v>
      </c>
      <c r="T667" t="s">
        <v>3</v>
      </c>
      <c r="U667" t="s">
        <v>3</v>
      </c>
      <c r="V667" t="s">
        <v>3</v>
      </c>
      <c r="W667" t="s">
        <v>68</v>
      </c>
      <c r="X667" s="17">
        <v>43190</v>
      </c>
      <c r="Y667" t="s">
        <v>767</v>
      </c>
      <c r="Z667" s="17">
        <v>43179</v>
      </c>
      <c r="AA667" t="s">
        <v>3</v>
      </c>
      <c r="AB667" t="s">
        <v>1795</v>
      </c>
    </row>
    <row r="668" spans="1:28" hidden="1">
      <c r="A668" t="s">
        <v>1799</v>
      </c>
      <c r="B668" s="17">
        <v>43179</v>
      </c>
      <c r="C668" s="17">
        <v>43179</v>
      </c>
      <c r="D668" t="s">
        <v>0</v>
      </c>
      <c r="E668" t="s">
        <v>1</v>
      </c>
      <c r="F668" s="18">
        <v>31086</v>
      </c>
      <c r="G668" s="18">
        <v>31086</v>
      </c>
      <c r="H668" t="s">
        <v>2</v>
      </c>
      <c r="I668" t="s">
        <v>10</v>
      </c>
      <c r="J668" s="18">
        <v>2564595</v>
      </c>
      <c r="K668" t="s">
        <v>1716</v>
      </c>
      <c r="L668" t="s">
        <v>9</v>
      </c>
      <c r="M668" t="s">
        <v>1800</v>
      </c>
      <c r="N668" t="s">
        <v>3</v>
      </c>
      <c r="O668" t="s">
        <v>3</v>
      </c>
      <c r="P668" t="s">
        <v>5</v>
      </c>
      <c r="Q668" t="s">
        <v>1801</v>
      </c>
      <c r="R668" t="s">
        <v>3</v>
      </c>
      <c r="S668" t="s">
        <v>3</v>
      </c>
      <c r="T668" t="s">
        <v>3</v>
      </c>
      <c r="U668" t="s">
        <v>3</v>
      </c>
      <c r="V668" t="s">
        <v>3</v>
      </c>
      <c r="W668" t="s">
        <v>68</v>
      </c>
      <c r="X668" s="17">
        <v>43190</v>
      </c>
      <c r="Y668" t="s">
        <v>788</v>
      </c>
      <c r="Z668" s="17">
        <v>43179</v>
      </c>
      <c r="AA668" t="s">
        <v>3</v>
      </c>
      <c r="AB668" t="s">
        <v>1799</v>
      </c>
    </row>
    <row r="669" spans="1:28" hidden="1">
      <c r="A669" t="s">
        <v>1808</v>
      </c>
      <c r="B669" s="17">
        <v>43179</v>
      </c>
      <c r="C669" s="17">
        <v>43179</v>
      </c>
      <c r="D669" t="s">
        <v>0</v>
      </c>
      <c r="E669" t="s">
        <v>1</v>
      </c>
      <c r="F669" s="18">
        <v>5885</v>
      </c>
      <c r="G669" s="18">
        <v>5885</v>
      </c>
      <c r="H669" t="s">
        <v>2</v>
      </c>
      <c r="I669" t="s">
        <v>8</v>
      </c>
      <c r="J669" s="18">
        <v>485512.5</v>
      </c>
      <c r="K669" t="s">
        <v>1768</v>
      </c>
      <c r="L669" t="s">
        <v>9</v>
      </c>
      <c r="M669" t="s">
        <v>1809</v>
      </c>
      <c r="N669" t="s">
        <v>3</v>
      </c>
      <c r="O669" t="s">
        <v>3</v>
      </c>
      <c r="P669" t="s">
        <v>5</v>
      </c>
      <c r="Q669" t="s">
        <v>1810</v>
      </c>
      <c r="R669" t="s">
        <v>3</v>
      </c>
      <c r="S669" t="s">
        <v>3</v>
      </c>
      <c r="T669" t="s">
        <v>3</v>
      </c>
      <c r="U669" t="s">
        <v>3</v>
      </c>
      <c r="V669" t="s">
        <v>3</v>
      </c>
      <c r="W669" t="s">
        <v>68</v>
      </c>
      <c r="X669" s="17">
        <v>43190</v>
      </c>
      <c r="Y669" t="s">
        <v>776</v>
      </c>
      <c r="Z669" s="17">
        <v>43179</v>
      </c>
      <c r="AA669" t="s">
        <v>3</v>
      </c>
      <c r="AB669" t="s">
        <v>1808</v>
      </c>
    </row>
    <row r="670" spans="1:28" hidden="1">
      <c r="A670" t="s">
        <v>1783</v>
      </c>
      <c r="B670" s="17">
        <v>43180</v>
      </c>
      <c r="C670" s="17">
        <v>43180</v>
      </c>
      <c r="D670" t="s">
        <v>0</v>
      </c>
      <c r="E670" t="s">
        <v>1</v>
      </c>
      <c r="F670" s="18">
        <v>-243146</v>
      </c>
      <c r="G670" s="18">
        <v>-243146</v>
      </c>
      <c r="H670" t="s">
        <v>2</v>
      </c>
      <c r="I670" t="s">
        <v>8</v>
      </c>
      <c r="J670" s="18">
        <v>-20059545.010000002</v>
      </c>
      <c r="K670" t="s">
        <v>1784</v>
      </c>
      <c r="L670" t="s">
        <v>9</v>
      </c>
      <c r="M670" t="s">
        <v>1785</v>
      </c>
      <c r="N670" t="s">
        <v>3</v>
      </c>
      <c r="O670" t="s">
        <v>3</v>
      </c>
      <c r="P670" t="s">
        <v>5</v>
      </c>
      <c r="Q670" t="s">
        <v>1786</v>
      </c>
      <c r="R670" t="s">
        <v>3</v>
      </c>
      <c r="S670" t="s">
        <v>3</v>
      </c>
      <c r="T670" t="s">
        <v>3</v>
      </c>
      <c r="U670" t="s">
        <v>3</v>
      </c>
      <c r="V670" t="s">
        <v>3</v>
      </c>
      <c r="W670" t="s">
        <v>68</v>
      </c>
      <c r="X670" s="17">
        <v>43195</v>
      </c>
      <c r="Y670" t="s">
        <v>1782</v>
      </c>
      <c r="Z670" s="17">
        <v>43180</v>
      </c>
      <c r="AA670" t="s">
        <v>3</v>
      </c>
      <c r="AB670" t="s">
        <v>1783</v>
      </c>
    </row>
    <row r="671" spans="1:28" hidden="1">
      <c r="A671" t="s">
        <v>1787</v>
      </c>
      <c r="B671" s="17">
        <v>43180</v>
      </c>
      <c r="C671" s="17">
        <v>43180</v>
      </c>
      <c r="D671" t="s">
        <v>0</v>
      </c>
      <c r="E671" t="s">
        <v>1</v>
      </c>
      <c r="F671" s="18">
        <v>-115719</v>
      </c>
      <c r="G671" s="18">
        <v>-115719</v>
      </c>
      <c r="H671" t="s">
        <v>2</v>
      </c>
      <c r="I671" t="s">
        <v>8</v>
      </c>
      <c r="J671" s="18">
        <v>-9546817.5099999998</v>
      </c>
      <c r="K671" t="s">
        <v>1788</v>
      </c>
      <c r="L671" t="s">
        <v>9</v>
      </c>
      <c r="M671" t="s">
        <v>1789</v>
      </c>
      <c r="N671" t="s">
        <v>3</v>
      </c>
      <c r="O671" t="s">
        <v>3</v>
      </c>
      <c r="P671" t="s">
        <v>5</v>
      </c>
      <c r="Q671" t="s">
        <v>1790</v>
      </c>
      <c r="R671" t="s">
        <v>3</v>
      </c>
      <c r="S671" t="s">
        <v>3</v>
      </c>
      <c r="T671" t="s">
        <v>3</v>
      </c>
      <c r="U671" t="s">
        <v>3</v>
      </c>
      <c r="V671" t="s">
        <v>3</v>
      </c>
      <c r="W671" t="s">
        <v>68</v>
      </c>
      <c r="X671" s="17">
        <v>43220</v>
      </c>
      <c r="Y671" t="s">
        <v>798</v>
      </c>
      <c r="Z671" s="17">
        <v>43180</v>
      </c>
      <c r="AA671" t="s">
        <v>3</v>
      </c>
      <c r="AB671" t="s">
        <v>1787</v>
      </c>
    </row>
    <row r="672" spans="1:28" hidden="1">
      <c r="A672" t="s">
        <v>1811</v>
      </c>
      <c r="B672" s="17">
        <v>43184</v>
      </c>
      <c r="C672" s="17">
        <v>43184</v>
      </c>
      <c r="D672" t="s">
        <v>0</v>
      </c>
      <c r="E672" t="s">
        <v>1</v>
      </c>
      <c r="F672" s="18">
        <v>57691</v>
      </c>
      <c r="G672" s="18">
        <v>57691</v>
      </c>
      <c r="H672" t="s">
        <v>2</v>
      </c>
      <c r="I672" t="s">
        <v>8</v>
      </c>
      <c r="J672" s="18">
        <v>4759507.5</v>
      </c>
      <c r="K672" t="s">
        <v>1812</v>
      </c>
      <c r="L672" t="s">
        <v>9</v>
      </c>
      <c r="M672" t="s">
        <v>1813</v>
      </c>
      <c r="N672" t="s">
        <v>3</v>
      </c>
      <c r="O672" t="s">
        <v>3</v>
      </c>
      <c r="P672" t="s">
        <v>5</v>
      </c>
      <c r="Q672" t="s">
        <v>1814</v>
      </c>
      <c r="R672" t="s">
        <v>3</v>
      </c>
      <c r="S672" t="s">
        <v>3</v>
      </c>
      <c r="T672" t="s">
        <v>3</v>
      </c>
      <c r="U672" t="s">
        <v>3</v>
      </c>
      <c r="V672" t="s">
        <v>3</v>
      </c>
      <c r="W672" t="s">
        <v>68</v>
      </c>
      <c r="X672" s="17">
        <v>43190</v>
      </c>
      <c r="Y672" t="s">
        <v>780</v>
      </c>
      <c r="Z672" s="17">
        <v>43184</v>
      </c>
      <c r="AA672" t="s">
        <v>3</v>
      </c>
      <c r="AB672" t="s">
        <v>1811</v>
      </c>
    </row>
    <row r="673" spans="1:28" hidden="1">
      <c r="A673" t="s">
        <v>1815</v>
      </c>
      <c r="B673" s="17">
        <v>43184</v>
      </c>
      <c r="C673" s="17">
        <v>43184</v>
      </c>
      <c r="D673" t="s">
        <v>0</v>
      </c>
      <c r="E673" t="s">
        <v>1</v>
      </c>
      <c r="F673" s="18">
        <v>65372</v>
      </c>
      <c r="G673" s="18">
        <v>65372</v>
      </c>
      <c r="H673" t="s">
        <v>2</v>
      </c>
      <c r="I673" t="s">
        <v>8</v>
      </c>
      <c r="J673" s="18">
        <v>5393190</v>
      </c>
      <c r="K673" t="s">
        <v>1812</v>
      </c>
      <c r="L673" t="s">
        <v>9</v>
      </c>
      <c r="M673" t="s">
        <v>1816</v>
      </c>
      <c r="N673" t="s">
        <v>3</v>
      </c>
      <c r="O673" t="s">
        <v>3</v>
      </c>
      <c r="P673" t="s">
        <v>5</v>
      </c>
      <c r="Q673" t="s">
        <v>1817</v>
      </c>
      <c r="R673" t="s">
        <v>3</v>
      </c>
      <c r="S673" t="s">
        <v>3</v>
      </c>
      <c r="T673" t="s">
        <v>3</v>
      </c>
      <c r="U673" t="s">
        <v>3</v>
      </c>
      <c r="V673" t="s">
        <v>3</v>
      </c>
      <c r="W673" t="s">
        <v>68</v>
      </c>
      <c r="X673" s="17">
        <v>43190</v>
      </c>
      <c r="Y673" t="s">
        <v>780</v>
      </c>
      <c r="Z673" s="17">
        <v>43184</v>
      </c>
      <c r="AA673" t="s">
        <v>3</v>
      </c>
      <c r="AB673" t="s">
        <v>1815</v>
      </c>
    </row>
    <row r="674" spans="1:28" hidden="1">
      <c r="A674" t="s">
        <v>1815</v>
      </c>
      <c r="B674" s="17">
        <v>43184</v>
      </c>
      <c r="C674" s="17">
        <v>43184</v>
      </c>
      <c r="D674" t="s">
        <v>0</v>
      </c>
      <c r="E674" t="s">
        <v>1</v>
      </c>
      <c r="F674" s="18">
        <v>956</v>
      </c>
      <c r="G674" s="18">
        <v>956</v>
      </c>
      <c r="H674" t="s">
        <v>2</v>
      </c>
      <c r="I674" t="s">
        <v>8</v>
      </c>
      <c r="J674" s="18">
        <v>78870</v>
      </c>
      <c r="K674" t="s">
        <v>1818</v>
      </c>
      <c r="L674" t="s">
        <v>9</v>
      </c>
      <c r="M674" t="s">
        <v>1816</v>
      </c>
      <c r="N674" t="s">
        <v>3</v>
      </c>
      <c r="O674" t="s">
        <v>3</v>
      </c>
      <c r="P674" t="s">
        <v>5</v>
      </c>
      <c r="Q674" t="s">
        <v>1817</v>
      </c>
      <c r="R674" t="s">
        <v>3</v>
      </c>
      <c r="S674" t="s">
        <v>3</v>
      </c>
      <c r="T674" t="s">
        <v>3</v>
      </c>
      <c r="U674" t="s">
        <v>3</v>
      </c>
      <c r="V674" t="s">
        <v>3</v>
      </c>
      <c r="W674" t="s">
        <v>68</v>
      </c>
      <c r="X674" s="17">
        <v>43220</v>
      </c>
      <c r="Y674" t="s">
        <v>798</v>
      </c>
      <c r="Z674" s="17">
        <v>43184</v>
      </c>
      <c r="AA674" t="s">
        <v>3</v>
      </c>
      <c r="AB674" t="s">
        <v>1815</v>
      </c>
    </row>
    <row r="675" spans="1:28" hidden="1">
      <c r="A675" t="s">
        <v>1815</v>
      </c>
      <c r="B675" s="17">
        <v>43184</v>
      </c>
      <c r="C675" s="17">
        <v>43184</v>
      </c>
      <c r="D675" t="s">
        <v>0</v>
      </c>
      <c r="E675" t="s">
        <v>1</v>
      </c>
      <c r="F675" s="18">
        <v>75978</v>
      </c>
      <c r="G675" s="18">
        <v>75978</v>
      </c>
      <c r="H675" t="s">
        <v>2</v>
      </c>
      <c r="I675" t="s">
        <v>8</v>
      </c>
      <c r="J675" s="18">
        <v>6268185.0099999998</v>
      </c>
      <c r="K675" t="s">
        <v>1819</v>
      </c>
      <c r="L675" t="s">
        <v>9</v>
      </c>
      <c r="M675" t="s">
        <v>1816</v>
      </c>
      <c r="N675" t="s">
        <v>3</v>
      </c>
      <c r="O675" t="s">
        <v>3</v>
      </c>
      <c r="P675" t="s">
        <v>5</v>
      </c>
      <c r="Q675" t="s">
        <v>1817</v>
      </c>
      <c r="R675" t="s">
        <v>3</v>
      </c>
      <c r="S675" t="s">
        <v>3</v>
      </c>
      <c r="T675" t="s">
        <v>3</v>
      </c>
      <c r="U675" t="s">
        <v>3</v>
      </c>
      <c r="V675" t="s">
        <v>3</v>
      </c>
      <c r="W675" t="s">
        <v>68</v>
      </c>
      <c r="X675" s="17">
        <v>43190</v>
      </c>
      <c r="Y675" t="s">
        <v>774</v>
      </c>
      <c r="Z675" s="17">
        <v>43184</v>
      </c>
      <c r="AA675" t="s">
        <v>3</v>
      </c>
      <c r="AB675" t="s">
        <v>1815</v>
      </c>
    </row>
    <row r="676" spans="1:28" hidden="1">
      <c r="A676" t="s">
        <v>1815</v>
      </c>
      <c r="B676" s="17">
        <v>43184</v>
      </c>
      <c r="C676" s="17">
        <v>43184</v>
      </c>
      <c r="D676" t="s">
        <v>0</v>
      </c>
      <c r="E676" t="s">
        <v>1</v>
      </c>
      <c r="F676" s="18">
        <v>7453</v>
      </c>
      <c r="G676" s="18">
        <v>7453</v>
      </c>
      <c r="H676" t="s">
        <v>2</v>
      </c>
      <c r="I676" t="s">
        <v>8</v>
      </c>
      <c r="J676" s="18">
        <v>614872.5</v>
      </c>
      <c r="K676" t="s">
        <v>1820</v>
      </c>
      <c r="L676" t="s">
        <v>9</v>
      </c>
      <c r="M676" t="s">
        <v>1816</v>
      </c>
      <c r="N676" t="s">
        <v>3</v>
      </c>
      <c r="O676" t="s">
        <v>3</v>
      </c>
      <c r="P676" t="s">
        <v>5</v>
      </c>
      <c r="Q676" t="s">
        <v>1817</v>
      </c>
      <c r="R676" t="s">
        <v>3</v>
      </c>
      <c r="S676" t="s">
        <v>3</v>
      </c>
      <c r="T676" t="s">
        <v>3</v>
      </c>
      <c r="U676" t="s">
        <v>3</v>
      </c>
      <c r="V676" t="s">
        <v>3</v>
      </c>
      <c r="W676" t="s">
        <v>68</v>
      </c>
      <c r="X676" s="17">
        <v>43190</v>
      </c>
      <c r="Y676" t="s">
        <v>772</v>
      </c>
      <c r="Z676" s="17">
        <v>43184</v>
      </c>
      <c r="AA676" t="s">
        <v>3</v>
      </c>
      <c r="AB676" t="s">
        <v>1815</v>
      </c>
    </row>
    <row r="677" spans="1:28" hidden="1">
      <c r="A677" t="s">
        <v>1821</v>
      </c>
      <c r="B677" s="17">
        <v>43186</v>
      </c>
      <c r="C677" s="17">
        <v>43186</v>
      </c>
      <c r="D677" t="s">
        <v>0</v>
      </c>
      <c r="E677" t="s">
        <v>1</v>
      </c>
      <c r="F677" s="18">
        <v>17019</v>
      </c>
      <c r="G677" s="18">
        <v>17019</v>
      </c>
      <c r="H677" t="s">
        <v>2</v>
      </c>
      <c r="I677" t="s">
        <v>8</v>
      </c>
      <c r="J677" s="18">
        <v>1404067.5</v>
      </c>
      <c r="K677" t="s">
        <v>1819</v>
      </c>
      <c r="L677" t="s">
        <v>9</v>
      </c>
      <c r="M677" t="s">
        <v>1822</v>
      </c>
      <c r="N677" t="s">
        <v>3</v>
      </c>
      <c r="O677" t="s">
        <v>3</v>
      </c>
      <c r="P677" t="s">
        <v>5</v>
      </c>
      <c r="Q677" t="s">
        <v>1823</v>
      </c>
      <c r="R677" t="s">
        <v>3</v>
      </c>
      <c r="S677" t="s">
        <v>3</v>
      </c>
      <c r="T677" t="s">
        <v>3</v>
      </c>
      <c r="U677" t="s">
        <v>3</v>
      </c>
      <c r="V677" t="s">
        <v>3</v>
      </c>
      <c r="W677" t="s">
        <v>68</v>
      </c>
      <c r="X677" s="17">
        <v>43190</v>
      </c>
      <c r="Y677" t="s">
        <v>774</v>
      </c>
      <c r="Z677" s="17">
        <v>43186</v>
      </c>
      <c r="AA677" t="s">
        <v>3</v>
      </c>
      <c r="AB677" t="s">
        <v>1821</v>
      </c>
    </row>
    <row r="678" spans="1:28" hidden="1">
      <c r="A678" t="s">
        <v>1824</v>
      </c>
      <c r="B678" s="17">
        <v>43186</v>
      </c>
      <c r="C678" s="17">
        <v>43186</v>
      </c>
      <c r="D678" t="s">
        <v>0</v>
      </c>
      <c r="E678" t="s">
        <v>1</v>
      </c>
      <c r="F678" s="18">
        <v>-96819</v>
      </c>
      <c r="G678" s="18">
        <v>-96819</v>
      </c>
      <c r="H678" t="s">
        <v>2</v>
      </c>
      <c r="I678" t="s">
        <v>10</v>
      </c>
      <c r="J678" s="18">
        <v>-7987567.5</v>
      </c>
      <c r="K678" t="s">
        <v>1825</v>
      </c>
      <c r="L678" t="s">
        <v>9</v>
      </c>
      <c r="M678" t="s">
        <v>1826</v>
      </c>
      <c r="N678" t="s">
        <v>3</v>
      </c>
      <c r="O678" t="s">
        <v>3</v>
      </c>
      <c r="P678" t="s">
        <v>5</v>
      </c>
      <c r="Q678" t="s">
        <v>1827</v>
      </c>
      <c r="R678" t="s">
        <v>3</v>
      </c>
      <c r="S678" t="s">
        <v>3</v>
      </c>
      <c r="T678" t="s">
        <v>3</v>
      </c>
      <c r="U678" t="s">
        <v>3</v>
      </c>
      <c r="V678" t="s">
        <v>3</v>
      </c>
      <c r="W678" t="s">
        <v>68</v>
      </c>
      <c r="X678" s="17">
        <v>43220</v>
      </c>
      <c r="Y678" t="s">
        <v>802</v>
      </c>
      <c r="Z678" s="17">
        <v>43186</v>
      </c>
      <c r="AA678" t="s">
        <v>3</v>
      </c>
      <c r="AB678" t="s">
        <v>1824</v>
      </c>
    </row>
    <row r="679" spans="1:28" hidden="1">
      <c r="A679" t="s">
        <v>1828</v>
      </c>
      <c r="B679" s="17">
        <v>43187</v>
      </c>
      <c r="C679" s="17">
        <v>43187</v>
      </c>
      <c r="D679" t="s">
        <v>0</v>
      </c>
      <c r="E679" t="s">
        <v>1</v>
      </c>
      <c r="F679" s="18">
        <v>7186</v>
      </c>
      <c r="G679" s="18">
        <v>7186</v>
      </c>
      <c r="H679" t="s">
        <v>2</v>
      </c>
      <c r="I679" t="s">
        <v>10</v>
      </c>
      <c r="J679" s="18">
        <v>592845.01</v>
      </c>
      <c r="K679" t="s">
        <v>1796</v>
      </c>
      <c r="L679" t="s">
        <v>9</v>
      </c>
      <c r="M679" t="s">
        <v>1829</v>
      </c>
      <c r="N679" t="s">
        <v>3</v>
      </c>
      <c r="O679" t="s">
        <v>3</v>
      </c>
      <c r="P679" t="s">
        <v>5</v>
      </c>
      <c r="Q679" t="s">
        <v>1830</v>
      </c>
      <c r="R679" t="s">
        <v>3</v>
      </c>
      <c r="S679" t="s">
        <v>3</v>
      </c>
      <c r="T679" t="s">
        <v>3</v>
      </c>
      <c r="U679" t="s">
        <v>3</v>
      </c>
      <c r="V679" t="s">
        <v>3</v>
      </c>
      <c r="W679" t="s">
        <v>68</v>
      </c>
      <c r="X679" s="17">
        <v>43190</v>
      </c>
      <c r="Y679" t="s">
        <v>767</v>
      </c>
      <c r="Z679" s="17">
        <v>43187</v>
      </c>
      <c r="AA679" t="s">
        <v>3</v>
      </c>
      <c r="AB679" t="s">
        <v>1828</v>
      </c>
    </row>
    <row r="680" spans="1:28" hidden="1">
      <c r="A680" t="s">
        <v>1831</v>
      </c>
      <c r="B680" s="17">
        <v>43187</v>
      </c>
      <c r="C680" s="17">
        <v>43187</v>
      </c>
      <c r="D680" t="s">
        <v>0</v>
      </c>
      <c r="E680" t="s">
        <v>1</v>
      </c>
      <c r="F680" s="18">
        <v>1160</v>
      </c>
      <c r="G680" s="18">
        <v>1160</v>
      </c>
      <c r="H680" t="s">
        <v>2</v>
      </c>
      <c r="I680" t="s">
        <v>10</v>
      </c>
      <c r="J680" s="18">
        <v>95700</v>
      </c>
      <c r="K680" t="s">
        <v>1796</v>
      </c>
      <c r="L680" t="s">
        <v>9</v>
      </c>
      <c r="M680" t="s">
        <v>1832</v>
      </c>
      <c r="N680" t="s">
        <v>3</v>
      </c>
      <c r="O680" t="s">
        <v>3</v>
      </c>
      <c r="P680" t="s">
        <v>5</v>
      </c>
      <c r="Q680" t="s">
        <v>1833</v>
      </c>
      <c r="R680" t="s">
        <v>3</v>
      </c>
      <c r="S680" t="s">
        <v>3</v>
      </c>
      <c r="T680" t="s">
        <v>3</v>
      </c>
      <c r="U680" t="s">
        <v>3</v>
      </c>
      <c r="V680" t="s">
        <v>3</v>
      </c>
      <c r="W680" t="s">
        <v>68</v>
      </c>
      <c r="X680" s="17">
        <v>43190</v>
      </c>
      <c r="Y680" t="s">
        <v>767</v>
      </c>
      <c r="Z680" s="17">
        <v>43187</v>
      </c>
      <c r="AA680" t="s">
        <v>3</v>
      </c>
      <c r="AB680" t="s">
        <v>1831</v>
      </c>
    </row>
    <row r="681" spans="1:28" hidden="1">
      <c r="A681" t="s">
        <v>1834</v>
      </c>
      <c r="B681" s="17">
        <v>43187</v>
      </c>
      <c r="C681" s="17">
        <v>43187</v>
      </c>
      <c r="D681" t="s">
        <v>0</v>
      </c>
      <c r="E681" t="s">
        <v>1</v>
      </c>
      <c r="F681" s="18">
        <v>873</v>
      </c>
      <c r="G681" s="18">
        <v>873</v>
      </c>
      <c r="H681" t="s">
        <v>2</v>
      </c>
      <c r="I681" t="s">
        <v>10</v>
      </c>
      <c r="J681" s="18">
        <v>72022.5</v>
      </c>
      <c r="K681" t="s">
        <v>1796</v>
      </c>
      <c r="L681" t="s">
        <v>9</v>
      </c>
      <c r="M681" t="s">
        <v>1835</v>
      </c>
      <c r="N681" t="s">
        <v>3</v>
      </c>
      <c r="O681" t="s">
        <v>3</v>
      </c>
      <c r="P681" t="s">
        <v>5</v>
      </c>
      <c r="Q681" t="s">
        <v>1836</v>
      </c>
      <c r="R681" t="s">
        <v>3</v>
      </c>
      <c r="S681" t="s">
        <v>3</v>
      </c>
      <c r="T681" t="s">
        <v>3</v>
      </c>
      <c r="U681" t="s">
        <v>3</v>
      </c>
      <c r="V681" t="s">
        <v>3</v>
      </c>
      <c r="W681" t="s">
        <v>68</v>
      </c>
      <c r="X681" s="17">
        <v>43190</v>
      </c>
      <c r="Y681" t="s">
        <v>767</v>
      </c>
      <c r="Z681" s="17">
        <v>43187</v>
      </c>
      <c r="AA681" t="s">
        <v>3</v>
      </c>
      <c r="AB681" t="s">
        <v>1834</v>
      </c>
    </row>
    <row r="682" spans="1:28" hidden="1">
      <c r="A682" t="s">
        <v>1837</v>
      </c>
      <c r="B682" s="17">
        <v>43187</v>
      </c>
      <c r="C682" s="17">
        <v>43187</v>
      </c>
      <c r="D682" t="s">
        <v>0</v>
      </c>
      <c r="E682" t="s">
        <v>1</v>
      </c>
      <c r="F682" s="18">
        <v>33915</v>
      </c>
      <c r="G682" s="18">
        <v>33915</v>
      </c>
      <c r="H682" t="s">
        <v>2</v>
      </c>
      <c r="I682" t="s">
        <v>8</v>
      </c>
      <c r="J682" s="18">
        <v>2797987.5</v>
      </c>
      <c r="K682" t="s">
        <v>1812</v>
      </c>
      <c r="L682" t="s">
        <v>9</v>
      </c>
      <c r="M682" t="s">
        <v>1838</v>
      </c>
      <c r="N682" t="s">
        <v>3</v>
      </c>
      <c r="O682" t="s">
        <v>3</v>
      </c>
      <c r="P682" t="s">
        <v>5</v>
      </c>
      <c r="Q682" t="s">
        <v>1839</v>
      </c>
      <c r="R682" t="s">
        <v>3</v>
      </c>
      <c r="S682" t="s">
        <v>3</v>
      </c>
      <c r="T682" t="s">
        <v>3</v>
      </c>
      <c r="U682" t="s">
        <v>3</v>
      </c>
      <c r="V682" t="s">
        <v>3</v>
      </c>
      <c r="W682" t="s">
        <v>68</v>
      </c>
      <c r="X682" s="17">
        <v>43190</v>
      </c>
      <c r="Y682" t="s">
        <v>780</v>
      </c>
      <c r="Z682" s="17">
        <v>43187</v>
      </c>
      <c r="AA682" t="s">
        <v>3</v>
      </c>
      <c r="AB682" t="s">
        <v>1837</v>
      </c>
    </row>
    <row r="683" spans="1:28" hidden="1">
      <c r="A683" t="s">
        <v>1837</v>
      </c>
      <c r="B683" s="17">
        <v>43187</v>
      </c>
      <c r="C683" s="17">
        <v>43187</v>
      </c>
      <c r="D683" t="s">
        <v>0</v>
      </c>
      <c r="E683" t="s">
        <v>1</v>
      </c>
      <c r="F683" s="18">
        <v>37992</v>
      </c>
      <c r="G683" s="18">
        <v>37992</v>
      </c>
      <c r="H683" t="s">
        <v>2</v>
      </c>
      <c r="I683" t="s">
        <v>8</v>
      </c>
      <c r="J683" s="18">
        <v>3134340</v>
      </c>
      <c r="K683" t="s">
        <v>1818</v>
      </c>
      <c r="L683" t="s">
        <v>9</v>
      </c>
      <c r="M683" t="s">
        <v>1838</v>
      </c>
      <c r="N683" t="s">
        <v>3</v>
      </c>
      <c r="O683" t="s">
        <v>3</v>
      </c>
      <c r="P683" t="s">
        <v>5</v>
      </c>
      <c r="Q683" t="s">
        <v>1839</v>
      </c>
      <c r="R683" t="s">
        <v>3</v>
      </c>
      <c r="S683" t="s">
        <v>3</v>
      </c>
      <c r="T683" t="s">
        <v>3</v>
      </c>
      <c r="U683" t="s">
        <v>3</v>
      </c>
      <c r="V683" t="s">
        <v>3</v>
      </c>
      <c r="W683" t="s">
        <v>68</v>
      </c>
      <c r="X683" s="17">
        <v>43220</v>
      </c>
      <c r="Y683" t="s">
        <v>798</v>
      </c>
      <c r="Z683" s="17">
        <v>43187</v>
      </c>
      <c r="AA683" t="s">
        <v>3</v>
      </c>
      <c r="AB683" t="s">
        <v>1837</v>
      </c>
    </row>
    <row r="684" spans="1:28" hidden="1">
      <c r="A684" t="s">
        <v>1837</v>
      </c>
      <c r="B684" s="17">
        <v>43187</v>
      </c>
      <c r="C684" s="17">
        <v>43187</v>
      </c>
      <c r="D684" t="s">
        <v>0</v>
      </c>
      <c r="E684" t="s">
        <v>1</v>
      </c>
      <c r="F684" s="18">
        <v>2028</v>
      </c>
      <c r="G684" s="18">
        <v>2028</v>
      </c>
      <c r="H684" t="s">
        <v>2</v>
      </c>
      <c r="I684" t="s">
        <v>8</v>
      </c>
      <c r="J684" s="18">
        <v>167310</v>
      </c>
      <c r="K684" t="s">
        <v>1840</v>
      </c>
      <c r="L684" t="s">
        <v>9</v>
      </c>
      <c r="M684" t="s">
        <v>1838</v>
      </c>
      <c r="N684" t="s">
        <v>3</v>
      </c>
      <c r="O684" t="s">
        <v>3</v>
      </c>
      <c r="P684" t="s">
        <v>5</v>
      </c>
      <c r="Q684" t="s">
        <v>1839</v>
      </c>
      <c r="R684" t="s">
        <v>3</v>
      </c>
      <c r="S684" t="s">
        <v>3</v>
      </c>
      <c r="T684" t="s">
        <v>3</v>
      </c>
      <c r="U684" t="s">
        <v>3</v>
      </c>
      <c r="V684" t="s">
        <v>3</v>
      </c>
      <c r="W684" t="s">
        <v>68</v>
      </c>
      <c r="X684" s="17">
        <v>43220</v>
      </c>
      <c r="Y684" t="s">
        <v>800</v>
      </c>
      <c r="Z684" s="17">
        <v>43187</v>
      </c>
      <c r="AA684" t="s">
        <v>3</v>
      </c>
      <c r="AB684" t="s">
        <v>1837</v>
      </c>
    </row>
    <row r="685" spans="1:28" hidden="1">
      <c r="A685" t="s">
        <v>1837</v>
      </c>
      <c r="B685" s="17">
        <v>43187</v>
      </c>
      <c r="C685" s="17">
        <v>43187</v>
      </c>
      <c r="D685" t="s">
        <v>0</v>
      </c>
      <c r="E685" t="s">
        <v>1</v>
      </c>
      <c r="F685" s="18">
        <v>75390</v>
      </c>
      <c r="G685" s="18">
        <v>75390</v>
      </c>
      <c r="H685" t="s">
        <v>2</v>
      </c>
      <c r="I685" t="s">
        <v>8</v>
      </c>
      <c r="J685" s="18">
        <v>6219675.0099999998</v>
      </c>
      <c r="K685" t="s">
        <v>1820</v>
      </c>
      <c r="L685" t="s">
        <v>9</v>
      </c>
      <c r="M685" t="s">
        <v>1838</v>
      </c>
      <c r="N685" t="s">
        <v>3</v>
      </c>
      <c r="O685" t="s">
        <v>3</v>
      </c>
      <c r="P685" t="s">
        <v>5</v>
      </c>
      <c r="Q685" t="s">
        <v>1839</v>
      </c>
      <c r="R685" t="s">
        <v>3</v>
      </c>
      <c r="S685" t="s">
        <v>3</v>
      </c>
      <c r="T685" t="s">
        <v>3</v>
      </c>
      <c r="U685" t="s">
        <v>3</v>
      </c>
      <c r="V685" t="s">
        <v>3</v>
      </c>
      <c r="W685" t="s">
        <v>68</v>
      </c>
      <c r="X685" s="17">
        <v>43190</v>
      </c>
      <c r="Y685" t="s">
        <v>772</v>
      </c>
      <c r="Z685" s="17">
        <v>43187</v>
      </c>
      <c r="AA685" t="s">
        <v>3</v>
      </c>
      <c r="AB685" t="s">
        <v>1837</v>
      </c>
    </row>
    <row r="686" spans="1:28" hidden="1">
      <c r="A686" t="s">
        <v>1841</v>
      </c>
      <c r="B686" s="17">
        <v>43187</v>
      </c>
      <c r="C686" s="17">
        <v>43187</v>
      </c>
      <c r="D686" t="s">
        <v>0</v>
      </c>
      <c r="E686" t="s">
        <v>1</v>
      </c>
      <c r="F686" s="18">
        <v>16584</v>
      </c>
      <c r="G686" s="18">
        <v>16584</v>
      </c>
      <c r="H686" t="s">
        <v>2</v>
      </c>
      <c r="I686" t="s">
        <v>8</v>
      </c>
      <c r="J686" s="18">
        <v>1368180</v>
      </c>
      <c r="K686" t="s">
        <v>1812</v>
      </c>
      <c r="L686" t="s">
        <v>9</v>
      </c>
      <c r="M686" t="s">
        <v>1842</v>
      </c>
      <c r="N686" t="s">
        <v>3</v>
      </c>
      <c r="O686" t="s">
        <v>3</v>
      </c>
      <c r="P686" t="s">
        <v>5</v>
      </c>
      <c r="Q686" t="s">
        <v>1843</v>
      </c>
      <c r="R686" t="s">
        <v>3</v>
      </c>
      <c r="S686" t="s">
        <v>3</v>
      </c>
      <c r="T686" t="s">
        <v>3</v>
      </c>
      <c r="U686" t="s">
        <v>3</v>
      </c>
      <c r="V686" t="s">
        <v>3</v>
      </c>
      <c r="W686" t="s">
        <v>68</v>
      </c>
      <c r="X686" s="17">
        <v>43190</v>
      </c>
      <c r="Y686" t="s">
        <v>780</v>
      </c>
      <c r="Z686" s="17">
        <v>43187</v>
      </c>
      <c r="AA686" t="s">
        <v>3</v>
      </c>
      <c r="AB686" t="s">
        <v>1841</v>
      </c>
    </row>
    <row r="687" spans="1:28" hidden="1">
      <c r="A687" t="s">
        <v>767</v>
      </c>
      <c r="B687" s="17">
        <v>43190</v>
      </c>
      <c r="C687" s="17">
        <v>43190</v>
      </c>
      <c r="D687" t="s">
        <v>7</v>
      </c>
      <c r="E687" t="s">
        <v>1</v>
      </c>
      <c r="F687" s="18">
        <v>10398</v>
      </c>
      <c r="G687" s="18">
        <v>10398</v>
      </c>
      <c r="H687" t="s">
        <v>2</v>
      </c>
      <c r="I687" t="s">
        <v>10</v>
      </c>
      <c r="J687" s="18">
        <v>857835.01</v>
      </c>
      <c r="K687" t="s">
        <v>768</v>
      </c>
      <c r="L687" t="s">
        <v>9</v>
      </c>
      <c r="M687" t="s">
        <v>769</v>
      </c>
      <c r="N687" t="s">
        <v>3</v>
      </c>
      <c r="O687" t="s">
        <v>3</v>
      </c>
      <c r="P687" t="s">
        <v>5</v>
      </c>
      <c r="Q687" t="s">
        <v>768</v>
      </c>
      <c r="R687" t="s">
        <v>3</v>
      </c>
      <c r="S687" t="s">
        <v>3</v>
      </c>
      <c r="T687" t="s">
        <v>3</v>
      </c>
      <c r="U687" t="s">
        <v>3</v>
      </c>
      <c r="V687" t="s">
        <v>3</v>
      </c>
      <c r="W687" t="s">
        <v>68</v>
      </c>
      <c r="X687" s="17">
        <v>43190</v>
      </c>
      <c r="Y687" t="s">
        <v>767</v>
      </c>
      <c r="Z687" s="17">
        <v>43190</v>
      </c>
      <c r="AA687" t="s">
        <v>3</v>
      </c>
      <c r="AB687" t="s">
        <v>767</v>
      </c>
    </row>
    <row r="688" spans="1:28" hidden="1">
      <c r="A688" t="s">
        <v>767</v>
      </c>
      <c r="B688" s="17">
        <v>43190</v>
      </c>
      <c r="C688" s="17">
        <v>43190</v>
      </c>
      <c r="D688" t="s">
        <v>7</v>
      </c>
      <c r="E688" t="s">
        <v>1</v>
      </c>
      <c r="F688" s="18">
        <v>-10398</v>
      </c>
      <c r="G688" s="18">
        <v>-10398</v>
      </c>
      <c r="H688" t="s">
        <v>2</v>
      </c>
      <c r="I688" t="s">
        <v>10</v>
      </c>
      <c r="J688" s="18">
        <v>-857835.01</v>
      </c>
      <c r="K688" t="s">
        <v>768</v>
      </c>
      <c r="L688" t="s">
        <v>9</v>
      </c>
      <c r="M688" t="s">
        <v>769</v>
      </c>
      <c r="N688" t="s">
        <v>3</v>
      </c>
      <c r="O688" t="s">
        <v>3</v>
      </c>
      <c r="P688" t="s">
        <v>5</v>
      </c>
      <c r="Q688" t="s">
        <v>768</v>
      </c>
      <c r="R688" t="s">
        <v>3</v>
      </c>
      <c r="S688" t="s">
        <v>3</v>
      </c>
      <c r="T688" t="s">
        <v>3</v>
      </c>
      <c r="U688" t="s">
        <v>3</v>
      </c>
      <c r="V688" t="s">
        <v>3</v>
      </c>
      <c r="W688" t="s">
        <v>68</v>
      </c>
      <c r="X688" s="17">
        <v>43190</v>
      </c>
      <c r="Y688" t="s">
        <v>767</v>
      </c>
      <c r="Z688" s="17">
        <v>43190</v>
      </c>
      <c r="AA688" t="s">
        <v>3</v>
      </c>
      <c r="AB688" t="s">
        <v>767</v>
      </c>
    </row>
    <row r="689" spans="1:28" hidden="1">
      <c r="A689" t="s">
        <v>770</v>
      </c>
      <c r="B689" s="17">
        <v>43190</v>
      </c>
      <c r="C689" s="17">
        <v>43190</v>
      </c>
      <c r="D689" t="s">
        <v>7</v>
      </c>
      <c r="E689" t="s">
        <v>1</v>
      </c>
      <c r="F689" s="18">
        <v>1</v>
      </c>
      <c r="G689" s="18">
        <v>1</v>
      </c>
      <c r="H689" t="s">
        <v>2</v>
      </c>
      <c r="I689" t="s">
        <v>10</v>
      </c>
      <c r="J689" s="18">
        <v>82.4</v>
      </c>
      <c r="K689" t="s">
        <v>771</v>
      </c>
      <c r="L689" t="s">
        <v>9</v>
      </c>
      <c r="M689" t="s">
        <v>769</v>
      </c>
      <c r="N689" t="s">
        <v>3</v>
      </c>
      <c r="O689" t="s">
        <v>3</v>
      </c>
      <c r="P689" t="s">
        <v>5</v>
      </c>
      <c r="Q689" t="s">
        <v>771</v>
      </c>
      <c r="R689" t="s">
        <v>3</v>
      </c>
      <c r="S689" t="s">
        <v>3</v>
      </c>
      <c r="T689" t="s">
        <v>3</v>
      </c>
      <c r="U689" t="s">
        <v>3</v>
      </c>
      <c r="V689" t="s">
        <v>3</v>
      </c>
      <c r="W689" t="s">
        <v>68</v>
      </c>
      <c r="X689" s="17">
        <v>43190</v>
      </c>
      <c r="Y689" t="s">
        <v>770</v>
      </c>
      <c r="Z689" s="17">
        <v>43190</v>
      </c>
      <c r="AA689" t="s">
        <v>3</v>
      </c>
      <c r="AB689" t="s">
        <v>770</v>
      </c>
    </row>
    <row r="690" spans="1:28" hidden="1">
      <c r="A690" t="s">
        <v>772</v>
      </c>
      <c r="B690" s="17">
        <v>43190</v>
      </c>
      <c r="C690" s="17">
        <v>43190</v>
      </c>
      <c r="D690" t="s">
        <v>7</v>
      </c>
      <c r="E690" t="s">
        <v>1</v>
      </c>
      <c r="F690" s="18">
        <v>82843</v>
      </c>
      <c r="G690" s="18">
        <v>82843</v>
      </c>
      <c r="H690" t="s">
        <v>2</v>
      </c>
      <c r="I690" t="s">
        <v>8</v>
      </c>
      <c r="J690" s="18">
        <v>6834547.5099999998</v>
      </c>
      <c r="K690" t="s">
        <v>773</v>
      </c>
      <c r="L690" t="s">
        <v>9</v>
      </c>
      <c r="M690" t="s">
        <v>769</v>
      </c>
      <c r="N690" t="s">
        <v>3</v>
      </c>
      <c r="O690" t="s">
        <v>3</v>
      </c>
      <c r="P690" t="s">
        <v>5</v>
      </c>
      <c r="Q690" t="s">
        <v>773</v>
      </c>
      <c r="R690" t="s">
        <v>3</v>
      </c>
      <c r="S690" t="s">
        <v>3</v>
      </c>
      <c r="T690" t="s">
        <v>3</v>
      </c>
      <c r="U690" t="s">
        <v>3</v>
      </c>
      <c r="V690" t="s">
        <v>3</v>
      </c>
      <c r="W690" t="s">
        <v>68</v>
      </c>
      <c r="X690" s="17">
        <v>43190</v>
      </c>
      <c r="Y690" t="s">
        <v>772</v>
      </c>
      <c r="Z690" s="17">
        <v>43190</v>
      </c>
      <c r="AA690" t="s">
        <v>3</v>
      </c>
      <c r="AB690" t="s">
        <v>772</v>
      </c>
    </row>
    <row r="691" spans="1:28" hidden="1">
      <c r="A691" t="s">
        <v>772</v>
      </c>
      <c r="B691" s="17">
        <v>43190</v>
      </c>
      <c r="C691" s="17">
        <v>43190</v>
      </c>
      <c r="D691" t="s">
        <v>7</v>
      </c>
      <c r="E691" t="s">
        <v>1</v>
      </c>
      <c r="F691" s="18">
        <v>-82843</v>
      </c>
      <c r="G691" s="18">
        <v>-82843</v>
      </c>
      <c r="H691" t="s">
        <v>2</v>
      </c>
      <c r="I691" t="s">
        <v>8</v>
      </c>
      <c r="J691" s="18">
        <v>-6834547.5099999998</v>
      </c>
      <c r="K691" t="s">
        <v>773</v>
      </c>
      <c r="L691" t="s">
        <v>9</v>
      </c>
      <c r="M691" t="s">
        <v>769</v>
      </c>
      <c r="N691" t="s">
        <v>3</v>
      </c>
      <c r="O691" t="s">
        <v>3</v>
      </c>
      <c r="P691" t="s">
        <v>5</v>
      </c>
      <c r="Q691" t="s">
        <v>773</v>
      </c>
      <c r="R691" t="s">
        <v>3</v>
      </c>
      <c r="S691" t="s">
        <v>3</v>
      </c>
      <c r="T691" t="s">
        <v>3</v>
      </c>
      <c r="U691" t="s">
        <v>3</v>
      </c>
      <c r="V691" t="s">
        <v>3</v>
      </c>
      <c r="W691" t="s">
        <v>68</v>
      </c>
      <c r="X691" s="17">
        <v>43190</v>
      </c>
      <c r="Y691" t="s">
        <v>772</v>
      </c>
      <c r="Z691" s="17">
        <v>43190</v>
      </c>
      <c r="AA691" t="s">
        <v>3</v>
      </c>
      <c r="AB691" t="s">
        <v>772</v>
      </c>
    </row>
    <row r="692" spans="1:28" hidden="1">
      <c r="A692" t="s">
        <v>774</v>
      </c>
      <c r="B692" s="17">
        <v>43190</v>
      </c>
      <c r="C692" s="17">
        <v>43190</v>
      </c>
      <c r="D692" t="s">
        <v>7</v>
      </c>
      <c r="E692" t="s">
        <v>1</v>
      </c>
      <c r="F692" s="18">
        <v>92997</v>
      </c>
      <c r="G692" s="18">
        <v>92997</v>
      </c>
      <c r="H692" t="s">
        <v>2</v>
      </c>
      <c r="I692" t="s">
        <v>8</v>
      </c>
      <c r="J692" s="18">
        <v>7672252.5099999998</v>
      </c>
      <c r="K692" t="s">
        <v>775</v>
      </c>
      <c r="L692" t="s">
        <v>9</v>
      </c>
      <c r="M692" t="s">
        <v>769</v>
      </c>
      <c r="N692" t="s">
        <v>3</v>
      </c>
      <c r="O692" t="s">
        <v>3</v>
      </c>
      <c r="P692" t="s">
        <v>5</v>
      </c>
      <c r="Q692" t="s">
        <v>775</v>
      </c>
      <c r="R692" t="s">
        <v>3</v>
      </c>
      <c r="S692" t="s">
        <v>3</v>
      </c>
      <c r="T692" t="s">
        <v>3</v>
      </c>
      <c r="U692" t="s">
        <v>3</v>
      </c>
      <c r="V692" t="s">
        <v>3</v>
      </c>
      <c r="W692" t="s">
        <v>68</v>
      </c>
      <c r="X692" s="17">
        <v>43190</v>
      </c>
      <c r="Y692" t="s">
        <v>774</v>
      </c>
      <c r="Z692" s="17">
        <v>43190</v>
      </c>
      <c r="AA692" t="s">
        <v>3</v>
      </c>
      <c r="AB692" t="s">
        <v>774</v>
      </c>
    </row>
    <row r="693" spans="1:28" hidden="1">
      <c r="A693" t="s">
        <v>774</v>
      </c>
      <c r="B693" s="17">
        <v>43190</v>
      </c>
      <c r="C693" s="17">
        <v>43190</v>
      </c>
      <c r="D693" t="s">
        <v>7</v>
      </c>
      <c r="E693" t="s">
        <v>1</v>
      </c>
      <c r="F693" s="18">
        <v>-92997</v>
      </c>
      <c r="G693" s="18">
        <v>-92997</v>
      </c>
      <c r="H693" t="s">
        <v>2</v>
      </c>
      <c r="I693" t="s">
        <v>8</v>
      </c>
      <c r="J693" s="18">
        <v>-7672252.5099999998</v>
      </c>
      <c r="K693" t="s">
        <v>775</v>
      </c>
      <c r="L693" t="s">
        <v>9</v>
      </c>
      <c r="M693" t="s">
        <v>769</v>
      </c>
      <c r="N693" t="s">
        <v>3</v>
      </c>
      <c r="O693" t="s">
        <v>3</v>
      </c>
      <c r="P693" t="s">
        <v>5</v>
      </c>
      <c r="Q693" t="s">
        <v>775</v>
      </c>
      <c r="R693" t="s">
        <v>3</v>
      </c>
      <c r="S693" t="s">
        <v>3</v>
      </c>
      <c r="T693" t="s">
        <v>3</v>
      </c>
      <c r="U693" t="s">
        <v>3</v>
      </c>
      <c r="V693" t="s">
        <v>3</v>
      </c>
      <c r="W693" t="s">
        <v>68</v>
      </c>
      <c r="X693" s="17">
        <v>43190</v>
      </c>
      <c r="Y693" t="s">
        <v>774</v>
      </c>
      <c r="Z693" s="17">
        <v>43190</v>
      </c>
      <c r="AA693" t="s">
        <v>3</v>
      </c>
      <c r="AB693" t="s">
        <v>774</v>
      </c>
    </row>
    <row r="694" spans="1:28" hidden="1">
      <c r="A694" t="s">
        <v>776</v>
      </c>
      <c r="B694" s="17">
        <v>43190</v>
      </c>
      <c r="C694" s="17">
        <v>43190</v>
      </c>
      <c r="D694" t="s">
        <v>7</v>
      </c>
      <c r="E694" t="s">
        <v>1</v>
      </c>
      <c r="F694" s="18">
        <v>132473</v>
      </c>
      <c r="G694" s="18">
        <v>132473</v>
      </c>
      <c r="H694" t="s">
        <v>2</v>
      </c>
      <c r="I694" t="s">
        <v>8</v>
      </c>
      <c r="J694" s="18">
        <v>10929022.51</v>
      </c>
      <c r="K694" t="s">
        <v>777</v>
      </c>
      <c r="L694" t="s">
        <v>9</v>
      </c>
      <c r="M694" t="s">
        <v>769</v>
      </c>
      <c r="N694" t="s">
        <v>3</v>
      </c>
      <c r="O694" t="s">
        <v>3</v>
      </c>
      <c r="P694" t="s">
        <v>5</v>
      </c>
      <c r="Q694" t="s">
        <v>777</v>
      </c>
      <c r="R694" t="s">
        <v>3</v>
      </c>
      <c r="S694" t="s">
        <v>3</v>
      </c>
      <c r="T694" t="s">
        <v>3</v>
      </c>
      <c r="U694" t="s">
        <v>3</v>
      </c>
      <c r="V694" t="s">
        <v>3</v>
      </c>
      <c r="W694" t="s">
        <v>68</v>
      </c>
      <c r="X694" s="17">
        <v>43190</v>
      </c>
      <c r="Y694" t="s">
        <v>776</v>
      </c>
      <c r="Z694" s="17">
        <v>43190</v>
      </c>
      <c r="AA694" t="s">
        <v>3</v>
      </c>
      <c r="AB694" t="s">
        <v>776</v>
      </c>
    </row>
    <row r="695" spans="1:28" hidden="1">
      <c r="A695" t="s">
        <v>776</v>
      </c>
      <c r="B695" s="17">
        <v>43190</v>
      </c>
      <c r="C695" s="17">
        <v>43190</v>
      </c>
      <c r="D695" t="s">
        <v>7</v>
      </c>
      <c r="E695" t="s">
        <v>1</v>
      </c>
      <c r="F695" s="18">
        <v>-132473</v>
      </c>
      <c r="G695" s="18">
        <v>-132473</v>
      </c>
      <c r="H695" t="s">
        <v>2</v>
      </c>
      <c r="I695" t="s">
        <v>8</v>
      </c>
      <c r="J695" s="18">
        <v>-10929022.51</v>
      </c>
      <c r="K695" t="s">
        <v>777</v>
      </c>
      <c r="L695" t="s">
        <v>9</v>
      </c>
      <c r="M695" t="s">
        <v>769</v>
      </c>
      <c r="N695" t="s">
        <v>3</v>
      </c>
      <c r="O695" t="s">
        <v>3</v>
      </c>
      <c r="P695" t="s">
        <v>5</v>
      </c>
      <c r="Q695" t="s">
        <v>777</v>
      </c>
      <c r="R695" t="s">
        <v>3</v>
      </c>
      <c r="S695" t="s">
        <v>3</v>
      </c>
      <c r="T695" t="s">
        <v>3</v>
      </c>
      <c r="U695" t="s">
        <v>3</v>
      </c>
      <c r="V695" t="s">
        <v>3</v>
      </c>
      <c r="W695" t="s">
        <v>68</v>
      </c>
      <c r="X695" s="17">
        <v>43190</v>
      </c>
      <c r="Y695" t="s">
        <v>776</v>
      </c>
      <c r="Z695" s="17">
        <v>43190</v>
      </c>
      <c r="AA695" t="s">
        <v>3</v>
      </c>
      <c r="AB695" t="s">
        <v>776</v>
      </c>
    </row>
    <row r="696" spans="1:28" hidden="1">
      <c r="A696" t="s">
        <v>778</v>
      </c>
      <c r="B696" s="17">
        <v>43190</v>
      </c>
      <c r="C696" s="17">
        <v>43190</v>
      </c>
      <c r="D696" t="s">
        <v>7</v>
      </c>
      <c r="E696" t="s">
        <v>1</v>
      </c>
      <c r="F696" s="18">
        <v>133257</v>
      </c>
      <c r="G696" s="18">
        <v>133257</v>
      </c>
      <c r="H696" t="s">
        <v>2</v>
      </c>
      <c r="I696" t="s">
        <v>10</v>
      </c>
      <c r="J696" s="18">
        <v>10980376.800000001</v>
      </c>
      <c r="K696" t="s">
        <v>779</v>
      </c>
      <c r="L696" t="s">
        <v>9</v>
      </c>
      <c r="M696" t="s">
        <v>769</v>
      </c>
      <c r="N696" t="s">
        <v>3</v>
      </c>
      <c r="O696" t="s">
        <v>3</v>
      </c>
      <c r="P696" t="s">
        <v>5</v>
      </c>
      <c r="Q696" t="s">
        <v>779</v>
      </c>
      <c r="R696" t="s">
        <v>3</v>
      </c>
      <c r="S696" t="s">
        <v>3</v>
      </c>
      <c r="T696" t="s">
        <v>3</v>
      </c>
      <c r="U696" t="s">
        <v>3</v>
      </c>
      <c r="V696" t="s">
        <v>3</v>
      </c>
      <c r="W696" t="s">
        <v>68</v>
      </c>
      <c r="X696" s="17">
        <v>43190</v>
      </c>
      <c r="Y696" t="s">
        <v>778</v>
      </c>
      <c r="Z696" s="17">
        <v>43190</v>
      </c>
      <c r="AA696" t="s">
        <v>3</v>
      </c>
      <c r="AB696" t="s">
        <v>778</v>
      </c>
    </row>
    <row r="697" spans="1:28" hidden="1">
      <c r="A697" t="s">
        <v>778</v>
      </c>
      <c r="B697" s="17">
        <v>43190</v>
      </c>
      <c r="C697" s="17">
        <v>43190</v>
      </c>
      <c r="D697" t="s">
        <v>7</v>
      </c>
      <c r="E697" t="s">
        <v>1</v>
      </c>
      <c r="F697" s="18">
        <v>-133257</v>
      </c>
      <c r="G697" s="18">
        <v>-133257</v>
      </c>
      <c r="H697" t="s">
        <v>2</v>
      </c>
      <c r="I697" t="s">
        <v>10</v>
      </c>
      <c r="J697" s="18">
        <v>-10980376.800000001</v>
      </c>
      <c r="K697" t="s">
        <v>779</v>
      </c>
      <c r="L697" t="s">
        <v>9</v>
      </c>
      <c r="M697" t="s">
        <v>769</v>
      </c>
      <c r="N697" t="s">
        <v>3</v>
      </c>
      <c r="O697" t="s">
        <v>3</v>
      </c>
      <c r="P697" t="s">
        <v>5</v>
      </c>
      <c r="Q697" t="s">
        <v>779</v>
      </c>
      <c r="R697" t="s">
        <v>3</v>
      </c>
      <c r="S697" t="s">
        <v>3</v>
      </c>
      <c r="T697" t="s">
        <v>3</v>
      </c>
      <c r="U697" t="s">
        <v>3</v>
      </c>
      <c r="V697" t="s">
        <v>3</v>
      </c>
      <c r="W697" t="s">
        <v>68</v>
      </c>
      <c r="X697" s="17">
        <v>43190</v>
      </c>
      <c r="Y697" t="s">
        <v>778</v>
      </c>
      <c r="Z697" s="17">
        <v>43190</v>
      </c>
      <c r="AA697" t="s">
        <v>3</v>
      </c>
      <c r="AB697" t="s">
        <v>778</v>
      </c>
    </row>
    <row r="698" spans="1:28" hidden="1">
      <c r="A698" t="s">
        <v>780</v>
      </c>
      <c r="B698" s="17">
        <v>43190</v>
      </c>
      <c r="C698" s="17">
        <v>43190</v>
      </c>
      <c r="D698" t="s">
        <v>7</v>
      </c>
      <c r="E698" t="s">
        <v>1</v>
      </c>
      <c r="F698" s="18">
        <v>0</v>
      </c>
      <c r="G698" s="18">
        <v>0</v>
      </c>
      <c r="H698" t="s">
        <v>2</v>
      </c>
      <c r="I698" t="s">
        <v>8</v>
      </c>
      <c r="J698" s="18">
        <v>0.01</v>
      </c>
      <c r="K698" t="s">
        <v>781</v>
      </c>
      <c r="L698" t="s">
        <v>9</v>
      </c>
      <c r="M698" t="s">
        <v>769</v>
      </c>
      <c r="N698" t="s">
        <v>3</v>
      </c>
      <c r="O698" t="s">
        <v>3</v>
      </c>
      <c r="P698" t="s">
        <v>5</v>
      </c>
      <c r="Q698" t="s">
        <v>781</v>
      </c>
      <c r="R698" t="s">
        <v>3</v>
      </c>
      <c r="S698" t="s">
        <v>3</v>
      </c>
      <c r="T698" t="s">
        <v>3</v>
      </c>
      <c r="U698" t="s">
        <v>3</v>
      </c>
      <c r="V698" t="s">
        <v>3</v>
      </c>
      <c r="W698" t="s">
        <v>68</v>
      </c>
      <c r="X698" s="17">
        <v>43190</v>
      </c>
      <c r="Y698" t="s">
        <v>780</v>
      </c>
      <c r="Z698" s="17">
        <v>43190</v>
      </c>
      <c r="AA698" t="s">
        <v>3</v>
      </c>
      <c r="AB698" t="s">
        <v>780</v>
      </c>
    </row>
    <row r="699" spans="1:28" hidden="1">
      <c r="A699" t="s">
        <v>782</v>
      </c>
      <c r="B699" s="17">
        <v>43190</v>
      </c>
      <c r="C699" s="17">
        <v>43190</v>
      </c>
      <c r="D699" t="s">
        <v>7</v>
      </c>
      <c r="E699" t="s">
        <v>1</v>
      </c>
      <c r="F699" s="18">
        <v>1</v>
      </c>
      <c r="G699" s="18">
        <v>1</v>
      </c>
      <c r="H699" t="s">
        <v>2</v>
      </c>
      <c r="I699" t="s">
        <v>8</v>
      </c>
      <c r="J699" s="18">
        <v>82.4</v>
      </c>
      <c r="K699" t="s">
        <v>783</v>
      </c>
      <c r="L699" t="s">
        <v>9</v>
      </c>
      <c r="M699" t="s">
        <v>769</v>
      </c>
      <c r="N699" t="s">
        <v>3</v>
      </c>
      <c r="O699" t="s">
        <v>3</v>
      </c>
      <c r="P699" t="s">
        <v>5</v>
      </c>
      <c r="Q699" t="s">
        <v>783</v>
      </c>
      <c r="R699" t="s">
        <v>3</v>
      </c>
      <c r="S699" t="s">
        <v>3</v>
      </c>
      <c r="T699" t="s">
        <v>3</v>
      </c>
      <c r="U699" t="s">
        <v>3</v>
      </c>
      <c r="V699" t="s">
        <v>3</v>
      </c>
      <c r="W699" t="s">
        <v>68</v>
      </c>
      <c r="X699" s="17">
        <v>43190</v>
      </c>
      <c r="Y699" t="s">
        <v>782</v>
      </c>
      <c r="Z699" s="17">
        <v>43190</v>
      </c>
      <c r="AA699" t="s">
        <v>3</v>
      </c>
      <c r="AB699" t="s">
        <v>782</v>
      </c>
    </row>
    <row r="700" spans="1:28" hidden="1">
      <c r="A700" t="s">
        <v>784</v>
      </c>
      <c r="B700" s="17">
        <v>43190</v>
      </c>
      <c r="C700" s="17">
        <v>43190</v>
      </c>
      <c r="D700" t="s">
        <v>7</v>
      </c>
      <c r="E700" t="s">
        <v>1</v>
      </c>
      <c r="F700" s="18">
        <v>358963</v>
      </c>
      <c r="G700" s="18">
        <v>358963</v>
      </c>
      <c r="H700" t="s">
        <v>2</v>
      </c>
      <c r="I700" t="s">
        <v>8</v>
      </c>
      <c r="J700" s="18">
        <v>29578551.199999999</v>
      </c>
      <c r="K700" t="s">
        <v>785</v>
      </c>
      <c r="L700" t="s">
        <v>9</v>
      </c>
      <c r="M700" t="s">
        <v>769</v>
      </c>
      <c r="N700" t="s">
        <v>3</v>
      </c>
      <c r="O700" t="s">
        <v>3</v>
      </c>
      <c r="P700" t="s">
        <v>5</v>
      </c>
      <c r="Q700" t="s">
        <v>785</v>
      </c>
      <c r="R700" t="s">
        <v>3</v>
      </c>
      <c r="S700" t="s">
        <v>3</v>
      </c>
      <c r="T700" t="s">
        <v>3</v>
      </c>
      <c r="U700" t="s">
        <v>3</v>
      </c>
      <c r="V700" t="s">
        <v>3</v>
      </c>
      <c r="W700" t="s">
        <v>68</v>
      </c>
      <c r="X700" s="17">
        <v>43190</v>
      </c>
      <c r="Y700" t="s">
        <v>784</v>
      </c>
      <c r="Z700" s="17">
        <v>43190</v>
      </c>
      <c r="AA700" t="s">
        <v>3</v>
      </c>
      <c r="AB700" t="s">
        <v>784</v>
      </c>
    </row>
    <row r="701" spans="1:28" hidden="1">
      <c r="A701" t="s">
        <v>784</v>
      </c>
      <c r="B701" s="17">
        <v>43190</v>
      </c>
      <c r="C701" s="17">
        <v>43190</v>
      </c>
      <c r="D701" t="s">
        <v>7</v>
      </c>
      <c r="E701" t="s">
        <v>1</v>
      </c>
      <c r="F701" s="18">
        <v>-358963</v>
      </c>
      <c r="G701" s="18">
        <v>-358963</v>
      </c>
      <c r="H701" t="s">
        <v>2</v>
      </c>
      <c r="I701" t="s">
        <v>8</v>
      </c>
      <c r="J701" s="18">
        <v>-29578551.199999999</v>
      </c>
      <c r="K701" t="s">
        <v>785</v>
      </c>
      <c r="L701" t="s">
        <v>9</v>
      </c>
      <c r="M701" t="s">
        <v>769</v>
      </c>
      <c r="N701" t="s">
        <v>3</v>
      </c>
      <c r="O701" t="s">
        <v>3</v>
      </c>
      <c r="P701" t="s">
        <v>5</v>
      </c>
      <c r="Q701" t="s">
        <v>785</v>
      </c>
      <c r="R701" t="s">
        <v>3</v>
      </c>
      <c r="S701" t="s">
        <v>3</v>
      </c>
      <c r="T701" t="s">
        <v>3</v>
      </c>
      <c r="U701" t="s">
        <v>3</v>
      </c>
      <c r="V701" t="s">
        <v>3</v>
      </c>
      <c r="W701" t="s">
        <v>68</v>
      </c>
      <c r="X701" s="17">
        <v>43190</v>
      </c>
      <c r="Y701" t="s">
        <v>784</v>
      </c>
      <c r="Z701" s="17">
        <v>43190</v>
      </c>
      <c r="AA701" t="s">
        <v>3</v>
      </c>
      <c r="AB701" t="s">
        <v>784</v>
      </c>
    </row>
    <row r="702" spans="1:28" hidden="1">
      <c r="A702" t="s">
        <v>786</v>
      </c>
      <c r="B702" s="17">
        <v>43190</v>
      </c>
      <c r="C702" s="17">
        <v>43190</v>
      </c>
      <c r="D702" t="s">
        <v>7</v>
      </c>
      <c r="E702" t="s">
        <v>1</v>
      </c>
      <c r="F702" s="18">
        <v>514644</v>
      </c>
      <c r="G702" s="18">
        <v>514644</v>
      </c>
      <c r="H702" t="s">
        <v>2</v>
      </c>
      <c r="I702" t="s">
        <v>8</v>
      </c>
      <c r="J702" s="18">
        <v>42303736.799999997</v>
      </c>
      <c r="K702" t="s">
        <v>787</v>
      </c>
      <c r="L702" t="s">
        <v>9</v>
      </c>
      <c r="M702" t="s">
        <v>769</v>
      </c>
      <c r="N702" t="s">
        <v>3</v>
      </c>
      <c r="O702" t="s">
        <v>3</v>
      </c>
      <c r="P702" t="s">
        <v>5</v>
      </c>
      <c r="Q702" t="s">
        <v>787</v>
      </c>
      <c r="R702" t="s">
        <v>3</v>
      </c>
      <c r="S702" t="s">
        <v>3</v>
      </c>
      <c r="T702" t="s">
        <v>3</v>
      </c>
      <c r="U702" t="s">
        <v>3</v>
      </c>
      <c r="V702" t="s">
        <v>3</v>
      </c>
      <c r="W702" t="s">
        <v>68</v>
      </c>
      <c r="X702" s="17">
        <v>43190</v>
      </c>
      <c r="Y702" t="s">
        <v>786</v>
      </c>
      <c r="Z702" s="17">
        <v>43190</v>
      </c>
      <c r="AA702" t="s">
        <v>3</v>
      </c>
      <c r="AB702" t="s">
        <v>786</v>
      </c>
    </row>
    <row r="703" spans="1:28" hidden="1">
      <c r="A703" t="s">
        <v>786</v>
      </c>
      <c r="B703" s="17">
        <v>43190</v>
      </c>
      <c r="C703" s="17">
        <v>43190</v>
      </c>
      <c r="D703" t="s">
        <v>7</v>
      </c>
      <c r="E703" t="s">
        <v>1</v>
      </c>
      <c r="F703" s="18">
        <v>-514644</v>
      </c>
      <c r="G703" s="18">
        <v>-514644</v>
      </c>
      <c r="H703" t="s">
        <v>2</v>
      </c>
      <c r="I703" t="s">
        <v>8</v>
      </c>
      <c r="J703" s="18">
        <v>-42303736.799999997</v>
      </c>
      <c r="K703" t="s">
        <v>787</v>
      </c>
      <c r="L703" t="s">
        <v>9</v>
      </c>
      <c r="M703" t="s">
        <v>769</v>
      </c>
      <c r="N703" t="s">
        <v>3</v>
      </c>
      <c r="O703" t="s">
        <v>3</v>
      </c>
      <c r="P703" t="s">
        <v>5</v>
      </c>
      <c r="Q703" t="s">
        <v>787</v>
      </c>
      <c r="R703" t="s">
        <v>3</v>
      </c>
      <c r="S703" t="s">
        <v>3</v>
      </c>
      <c r="T703" t="s">
        <v>3</v>
      </c>
      <c r="U703" t="s">
        <v>3</v>
      </c>
      <c r="V703" t="s">
        <v>3</v>
      </c>
      <c r="W703" t="s">
        <v>68</v>
      </c>
      <c r="X703" s="17">
        <v>43190</v>
      </c>
      <c r="Y703" t="s">
        <v>786</v>
      </c>
      <c r="Z703" s="17">
        <v>43190</v>
      </c>
      <c r="AA703" t="s">
        <v>3</v>
      </c>
      <c r="AB703" t="s">
        <v>786</v>
      </c>
    </row>
    <row r="704" spans="1:28" hidden="1">
      <c r="A704" t="s">
        <v>788</v>
      </c>
      <c r="B704" s="17">
        <v>43190</v>
      </c>
      <c r="C704" s="17">
        <v>43190</v>
      </c>
      <c r="D704" t="s">
        <v>7</v>
      </c>
      <c r="E704" t="s">
        <v>1</v>
      </c>
      <c r="F704" s="18">
        <v>0</v>
      </c>
      <c r="G704" s="18">
        <v>0</v>
      </c>
      <c r="H704" t="s">
        <v>2</v>
      </c>
      <c r="I704" t="s">
        <v>10</v>
      </c>
      <c r="J704" s="18">
        <v>0.01</v>
      </c>
      <c r="K704" t="s">
        <v>789</v>
      </c>
      <c r="L704" t="s">
        <v>9</v>
      </c>
      <c r="M704" t="s">
        <v>769</v>
      </c>
      <c r="N704" t="s">
        <v>3</v>
      </c>
      <c r="O704" t="s">
        <v>3</v>
      </c>
      <c r="P704" t="s">
        <v>5</v>
      </c>
      <c r="Q704" t="s">
        <v>789</v>
      </c>
      <c r="R704" t="s">
        <v>3</v>
      </c>
      <c r="S704" t="s">
        <v>3</v>
      </c>
      <c r="T704" t="s">
        <v>3</v>
      </c>
      <c r="U704" t="s">
        <v>3</v>
      </c>
      <c r="V704" t="s">
        <v>3</v>
      </c>
      <c r="W704" t="s">
        <v>68</v>
      </c>
      <c r="X704" s="17">
        <v>43190</v>
      </c>
      <c r="Y704" t="s">
        <v>788</v>
      </c>
      <c r="Z704" s="17">
        <v>43190</v>
      </c>
      <c r="AA704" t="s">
        <v>3</v>
      </c>
      <c r="AB704" t="s">
        <v>788</v>
      </c>
    </row>
    <row r="705" spans="1:28" hidden="1">
      <c r="A705" t="s">
        <v>790</v>
      </c>
      <c r="B705" s="17">
        <v>43190</v>
      </c>
      <c r="C705" s="17">
        <v>43190</v>
      </c>
      <c r="D705" t="s">
        <v>7</v>
      </c>
      <c r="E705" t="s">
        <v>1</v>
      </c>
      <c r="F705" s="18">
        <v>1051</v>
      </c>
      <c r="G705" s="18">
        <v>1051</v>
      </c>
      <c r="H705" t="s">
        <v>2</v>
      </c>
      <c r="I705" t="s">
        <v>8</v>
      </c>
      <c r="J705" s="18">
        <v>86602.4</v>
      </c>
      <c r="K705" t="s">
        <v>791</v>
      </c>
      <c r="L705" t="s">
        <v>9</v>
      </c>
      <c r="M705" t="s">
        <v>769</v>
      </c>
      <c r="N705" t="s">
        <v>3</v>
      </c>
      <c r="O705" t="s">
        <v>3</v>
      </c>
      <c r="P705" t="s">
        <v>5</v>
      </c>
      <c r="Q705" t="s">
        <v>791</v>
      </c>
      <c r="R705" t="s">
        <v>3</v>
      </c>
      <c r="S705" t="s">
        <v>3</v>
      </c>
      <c r="T705" t="s">
        <v>3</v>
      </c>
      <c r="U705" t="s">
        <v>3</v>
      </c>
      <c r="V705" t="s">
        <v>3</v>
      </c>
      <c r="W705" t="s">
        <v>68</v>
      </c>
      <c r="X705" s="17">
        <v>43190</v>
      </c>
      <c r="Y705" t="s">
        <v>790</v>
      </c>
      <c r="Z705" s="17">
        <v>43190</v>
      </c>
      <c r="AA705" t="s">
        <v>3</v>
      </c>
      <c r="AB705" t="s">
        <v>790</v>
      </c>
    </row>
    <row r="706" spans="1:28" hidden="1">
      <c r="A706" t="s">
        <v>790</v>
      </c>
      <c r="B706" s="17">
        <v>43190</v>
      </c>
      <c r="C706" s="17">
        <v>43190</v>
      </c>
      <c r="D706" t="s">
        <v>7</v>
      </c>
      <c r="E706" t="s">
        <v>1</v>
      </c>
      <c r="F706" s="18">
        <v>-1052</v>
      </c>
      <c r="G706" s="18">
        <v>-1052</v>
      </c>
      <c r="H706" t="s">
        <v>2</v>
      </c>
      <c r="I706" t="s">
        <v>8</v>
      </c>
      <c r="J706" s="18">
        <v>-86684.800000000003</v>
      </c>
      <c r="K706" t="s">
        <v>791</v>
      </c>
      <c r="L706" t="s">
        <v>9</v>
      </c>
      <c r="M706" t="s">
        <v>769</v>
      </c>
      <c r="N706" t="s">
        <v>3</v>
      </c>
      <c r="O706" t="s">
        <v>3</v>
      </c>
      <c r="P706" t="s">
        <v>5</v>
      </c>
      <c r="Q706" t="s">
        <v>791</v>
      </c>
      <c r="R706" t="s">
        <v>3</v>
      </c>
      <c r="S706" t="s">
        <v>3</v>
      </c>
      <c r="T706" t="s">
        <v>3</v>
      </c>
      <c r="U706" t="s">
        <v>3</v>
      </c>
      <c r="V706" t="s">
        <v>3</v>
      </c>
      <c r="W706" t="s">
        <v>68</v>
      </c>
      <c r="X706" s="17">
        <v>43190</v>
      </c>
      <c r="Y706" t="s">
        <v>790</v>
      </c>
      <c r="Z706" s="17">
        <v>43190</v>
      </c>
      <c r="AA706" t="s">
        <v>3</v>
      </c>
      <c r="AB706" t="s">
        <v>790</v>
      </c>
    </row>
    <row r="707" spans="1:28" hidden="1">
      <c r="A707" t="s">
        <v>792</v>
      </c>
      <c r="B707" s="17">
        <v>43190</v>
      </c>
      <c r="C707" s="17">
        <v>43190</v>
      </c>
      <c r="D707" t="s">
        <v>7</v>
      </c>
      <c r="E707" t="s">
        <v>1</v>
      </c>
      <c r="F707" s="18">
        <v>1</v>
      </c>
      <c r="G707" s="18">
        <v>1</v>
      </c>
      <c r="H707" t="s">
        <v>2</v>
      </c>
      <c r="I707" t="s">
        <v>8</v>
      </c>
      <c r="J707" s="18">
        <v>82.5</v>
      </c>
      <c r="K707" t="s">
        <v>793</v>
      </c>
      <c r="L707" t="s">
        <v>9</v>
      </c>
      <c r="M707" t="s">
        <v>769</v>
      </c>
      <c r="N707" t="s">
        <v>3</v>
      </c>
      <c r="O707" t="s">
        <v>3</v>
      </c>
      <c r="P707" t="s">
        <v>5</v>
      </c>
      <c r="Q707" t="s">
        <v>793</v>
      </c>
      <c r="R707" t="s">
        <v>3</v>
      </c>
      <c r="S707" t="s">
        <v>3</v>
      </c>
      <c r="T707" t="s">
        <v>3</v>
      </c>
      <c r="U707" t="s">
        <v>3</v>
      </c>
      <c r="V707" t="s">
        <v>3</v>
      </c>
      <c r="W707" t="s">
        <v>68</v>
      </c>
      <c r="X707" s="17">
        <v>43190</v>
      </c>
      <c r="Y707" t="s">
        <v>792</v>
      </c>
      <c r="Z707" s="17">
        <v>43190</v>
      </c>
      <c r="AA707" t="s">
        <v>3</v>
      </c>
      <c r="AB707" t="s">
        <v>792</v>
      </c>
    </row>
    <row r="708" spans="1:28" hidden="1">
      <c r="A708" t="s">
        <v>794</v>
      </c>
      <c r="B708" s="17">
        <v>43190</v>
      </c>
      <c r="C708" s="17">
        <v>43190</v>
      </c>
      <c r="D708" t="s">
        <v>7</v>
      </c>
      <c r="E708" t="s">
        <v>1</v>
      </c>
      <c r="F708" s="18">
        <v>475138</v>
      </c>
      <c r="G708" s="18">
        <v>475138</v>
      </c>
      <c r="H708" t="s">
        <v>2</v>
      </c>
      <c r="I708" t="s">
        <v>8</v>
      </c>
      <c r="J708" s="18">
        <v>39151371.200000003</v>
      </c>
      <c r="K708" t="s">
        <v>795</v>
      </c>
      <c r="L708" t="s">
        <v>9</v>
      </c>
      <c r="M708" t="s">
        <v>769</v>
      </c>
      <c r="N708" t="s">
        <v>3</v>
      </c>
      <c r="O708" t="s">
        <v>3</v>
      </c>
      <c r="P708" t="s">
        <v>5</v>
      </c>
      <c r="Q708" t="s">
        <v>795</v>
      </c>
      <c r="R708" t="s">
        <v>3</v>
      </c>
      <c r="S708" t="s">
        <v>3</v>
      </c>
      <c r="T708" t="s">
        <v>3</v>
      </c>
      <c r="U708" t="s">
        <v>3</v>
      </c>
      <c r="V708" t="s">
        <v>3</v>
      </c>
      <c r="W708" t="s">
        <v>68</v>
      </c>
      <c r="X708" s="17">
        <v>43190</v>
      </c>
      <c r="Y708" t="s">
        <v>794</v>
      </c>
      <c r="Z708" s="17">
        <v>43190</v>
      </c>
      <c r="AA708" t="s">
        <v>3</v>
      </c>
      <c r="AB708" t="s">
        <v>794</v>
      </c>
    </row>
    <row r="709" spans="1:28" hidden="1">
      <c r="A709" t="s">
        <v>794</v>
      </c>
      <c r="B709" s="17">
        <v>43190</v>
      </c>
      <c r="C709" s="17">
        <v>43190</v>
      </c>
      <c r="D709" t="s">
        <v>7</v>
      </c>
      <c r="E709" t="s">
        <v>1</v>
      </c>
      <c r="F709" s="18">
        <v>-475138</v>
      </c>
      <c r="G709" s="18">
        <v>-475138</v>
      </c>
      <c r="H709" t="s">
        <v>2</v>
      </c>
      <c r="I709" t="s">
        <v>8</v>
      </c>
      <c r="J709" s="18">
        <v>-39151371.200000003</v>
      </c>
      <c r="K709" t="s">
        <v>795</v>
      </c>
      <c r="L709" t="s">
        <v>9</v>
      </c>
      <c r="M709" t="s">
        <v>769</v>
      </c>
      <c r="N709" t="s">
        <v>3</v>
      </c>
      <c r="O709" t="s">
        <v>3</v>
      </c>
      <c r="P709" t="s">
        <v>5</v>
      </c>
      <c r="Q709" t="s">
        <v>795</v>
      </c>
      <c r="R709" t="s">
        <v>3</v>
      </c>
      <c r="S709" t="s">
        <v>3</v>
      </c>
      <c r="T709" t="s">
        <v>3</v>
      </c>
      <c r="U709" t="s">
        <v>3</v>
      </c>
      <c r="V709" t="s">
        <v>3</v>
      </c>
      <c r="W709" t="s">
        <v>68</v>
      </c>
      <c r="X709" s="17">
        <v>43190</v>
      </c>
      <c r="Y709" t="s">
        <v>794</v>
      </c>
      <c r="Z709" s="17">
        <v>43190</v>
      </c>
      <c r="AA709" t="s">
        <v>3</v>
      </c>
      <c r="AB709" t="s">
        <v>794</v>
      </c>
    </row>
    <row r="710" spans="1:28" hidden="1">
      <c r="A710" t="s">
        <v>1915</v>
      </c>
      <c r="B710" s="17">
        <v>43190</v>
      </c>
      <c r="C710" s="17">
        <v>43190</v>
      </c>
      <c r="D710" t="s">
        <v>0</v>
      </c>
      <c r="E710" t="s">
        <v>1</v>
      </c>
      <c r="F710" s="18">
        <v>-645343</v>
      </c>
      <c r="G710" s="18">
        <v>-645343</v>
      </c>
      <c r="H710" t="s">
        <v>2</v>
      </c>
      <c r="I710" t="s">
        <v>8</v>
      </c>
      <c r="J710" s="18">
        <v>-53240797.5</v>
      </c>
      <c r="K710" t="s">
        <v>629</v>
      </c>
      <c r="L710" t="s">
        <v>9</v>
      </c>
      <c r="M710" t="s">
        <v>633</v>
      </c>
      <c r="N710" t="s">
        <v>3</v>
      </c>
      <c r="O710" t="s">
        <v>3</v>
      </c>
      <c r="P710" t="s">
        <v>5</v>
      </c>
      <c r="Q710" t="s">
        <v>634</v>
      </c>
      <c r="R710" t="s">
        <v>3</v>
      </c>
      <c r="S710" t="s">
        <v>3</v>
      </c>
      <c r="T710" t="s">
        <v>3</v>
      </c>
      <c r="U710" t="s">
        <v>3</v>
      </c>
      <c r="V710" t="s">
        <v>3</v>
      </c>
      <c r="W710" t="s">
        <v>68</v>
      </c>
      <c r="X710" s="17">
        <v>43191</v>
      </c>
      <c r="Y710" t="s">
        <v>632</v>
      </c>
      <c r="Z710" s="17">
        <v>43190</v>
      </c>
      <c r="AA710" t="s">
        <v>3</v>
      </c>
      <c r="AB710" t="s">
        <v>1915</v>
      </c>
    </row>
    <row r="711" spans="1:28" hidden="1">
      <c r="A711" t="s">
        <v>1915</v>
      </c>
      <c r="B711" s="17">
        <v>43190</v>
      </c>
      <c r="C711" s="17">
        <v>43190</v>
      </c>
      <c r="D711" t="s">
        <v>0</v>
      </c>
      <c r="E711" t="s">
        <v>1</v>
      </c>
      <c r="F711" s="18">
        <v>11418</v>
      </c>
      <c r="G711" s="18">
        <v>11418</v>
      </c>
      <c r="H711" t="s">
        <v>2</v>
      </c>
      <c r="I711" t="s">
        <v>8</v>
      </c>
      <c r="J711" s="18">
        <v>941985</v>
      </c>
      <c r="K711" t="s">
        <v>635</v>
      </c>
      <c r="L711" t="s">
        <v>9</v>
      </c>
      <c r="M711" t="s">
        <v>633</v>
      </c>
      <c r="N711" t="s">
        <v>3</v>
      </c>
      <c r="O711" t="s">
        <v>3</v>
      </c>
      <c r="P711" t="s">
        <v>5</v>
      </c>
      <c r="Q711" t="s">
        <v>634</v>
      </c>
      <c r="R711" t="s">
        <v>3</v>
      </c>
      <c r="S711" t="s">
        <v>3</v>
      </c>
      <c r="T711" t="s">
        <v>3</v>
      </c>
      <c r="U711" t="s">
        <v>3</v>
      </c>
      <c r="V711" t="s">
        <v>3</v>
      </c>
      <c r="W711" t="s">
        <v>68</v>
      </c>
      <c r="X711" s="17">
        <v>43191</v>
      </c>
      <c r="Y711" t="s">
        <v>632</v>
      </c>
      <c r="Z711" s="17">
        <v>43190</v>
      </c>
      <c r="AA711" t="s">
        <v>3</v>
      </c>
      <c r="AB711" t="s">
        <v>1915</v>
      </c>
    </row>
    <row r="712" spans="1:28" hidden="1">
      <c r="A712" t="s">
        <v>1931</v>
      </c>
      <c r="B712" s="17">
        <v>43190</v>
      </c>
      <c r="C712" s="17">
        <v>43190</v>
      </c>
      <c r="D712" t="s">
        <v>0</v>
      </c>
      <c r="E712" t="s">
        <v>1</v>
      </c>
      <c r="F712" s="18">
        <v>-190381</v>
      </c>
      <c r="G712" s="18">
        <v>-190381</v>
      </c>
      <c r="H712" t="s">
        <v>2</v>
      </c>
      <c r="I712" t="s">
        <v>8</v>
      </c>
      <c r="J712" s="18">
        <v>-15706432.5</v>
      </c>
      <c r="K712" t="s">
        <v>637</v>
      </c>
      <c r="L712" t="s">
        <v>4</v>
      </c>
      <c r="M712" t="s">
        <v>638</v>
      </c>
      <c r="N712" t="s">
        <v>3</v>
      </c>
      <c r="O712" t="s">
        <v>3</v>
      </c>
      <c r="P712" t="s">
        <v>5</v>
      </c>
      <c r="Q712" t="s">
        <v>637</v>
      </c>
      <c r="R712" t="s">
        <v>3</v>
      </c>
      <c r="S712" t="s">
        <v>3</v>
      </c>
      <c r="T712" t="s">
        <v>3</v>
      </c>
      <c r="U712" t="s">
        <v>3</v>
      </c>
      <c r="V712" t="s">
        <v>3</v>
      </c>
      <c r="W712" t="s">
        <v>68</v>
      </c>
      <c r="X712" s="17">
        <v>43191</v>
      </c>
      <c r="Y712" t="s">
        <v>636</v>
      </c>
      <c r="Z712" s="17">
        <v>43190</v>
      </c>
      <c r="AA712" t="s">
        <v>3</v>
      </c>
      <c r="AB712" t="s">
        <v>1931</v>
      </c>
    </row>
    <row r="713" spans="1:28" hidden="1">
      <c r="A713" t="s">
        <v>619</v>
      </c>
      <c r="B713" s="17">
        <v>43191</v>
      </c>
      <c r="C713" s="17">
        <v>43191</v>
      </c>
      <c r="D713" t="s">
        <v>38</v>
      </c>
      <c r="E713" t="s">
        <v>1</v>
      </c>
      <c r="F713" s="18">
        <v>190381.44</v>
      </c>
      <c r="G713" s="18">
        <v>190381.44</v>
      </c>
      <c r="H713" t="s">
        <v>2</v>
      </c>
      <c r="I713" t="s">
        <v>8</v>
      </c>
      <c r="J713" s="18">
        <v>15706468.82</v>
      </c>
      <c r="K713" t="s">
        <v>620</v>
      </c>
      <c r="L713" t="s">
        <v>9</v>
      </c>
      <c r="M713" t="s">
        <v>621</v>
      </c>
      <c r="N713" t="s">
        <v>3</v>
      </c>
      <c r="O713" t="s">
        <v>3</v>
      </c>
      <c r="P713" t="s">
        <v>5</v>
      </c>
      <c r="Q713" t="s">
        <v>622</v>
      </c>
      <c r="R713" t="s">
        <v>3</v>
      </c>
      <c r="S713" t="s">
        <v>3</v>
      </c>
      <c r="T713" t="s">
        <v>3</v>
      </c>
      <c r="U713" t="s">
        <v>3</v>
      </c>
      <c r="V713" t="s">
        <v>3</v>
      </c>
      <c r="W713" t="s">
        <v>68</v>
      </c>
      <c r="X713" s="17">
        <v>43191</v>
      </c>
      <c r="Y713" t="s">
        <v>619</v>
      </c>
      <c r="Z713" s="17">
        <v>43191</v>
      </c>
      <c r="AA713" t="s">
        <v>3</v>
      </c>
      <c r="AB713" t="s">
        <v>619</v>
      </c>
    </row>
    <row r="714" spans="1:28" hidden="1">
      <c r="A714" t="s">
        <v>632</v>
      </c>
      <c r="B714" s="17">
        <v>43191</v>
      </c>
      <c r="C714" s="17">
        <v>43190</v>
      </c>
      <c r="D714" t="s">
        <v>38</v>
      </c>
      <c r="E714" t="s">
        <v>1</v>
      </c>
      <c r="F714" s="18">
        <v>645343</v>
      </c>
      <c r="G714" s="18">
        <v>645343</v>
      </c>
      <c r="H714" t="s">
        <v>2</v>
      </c>
      <c r="I714" t="s">
        <v>8</v>
      </c>
      <c r="J714" s="18">
        <v>53240797.5</v>
      </c>
      <c r="K714" t="s">
        <v>629</v>
      </c>
      <c r="L714" t="s">
        <v>9</v>
      </c>
      <c r="M714" t="s">
        <v>633</v>
      </c>
      <c r="N714" t="s">
        <v>3</v>
      </c>
      <c r="O714" t="s">
        <v>3</v>
      </c>
      <c r="P714" t="s">
        <v>5</v>
      </c>
      <c r="Q714" t="s">
        <v>634</v>
      </c>
      <c r="R714" t="s">
        <v>3</v>
      </c>
      <c r="S714" t="s">
        <v>3</v>
      </c>
      <c r="T714" t="s">
        <v>3</v>
      </c>
      <c r="U714" t="s">
        <v>3</v>
      </c>
      <c r="V714" t="s">
        <v>3</v>
      </c>
      <c r="W714" t="s">
        <v>68</v>
      </c>
      <c r="X714" s="17">
        <v>43191</v>
      </c>
      <c r="Y714" t="s">
        <v>632</v>
      </c>
      <c r="Z714" s="17">
        <v>43190</v>
      </c>
      <c r="AA714" t="s">
        <v>3</v>
      </c>
      <c r="AB714" t="s">
        <v>632</v>
      </c>
    </row>
    <row r="715" spans="1:28" hidden="1">
      <c r="A715" t="s">
        <v>632</v>
      </c>
      <c r="B715" s="17">
        <v>43191</v>
      </c>
      <c r="C715" s="17">
        <v>43190</v>
      </c>
      <c r="D715" t="s">
        <v>38</v>
      </c>
      <c r="E715" t="s">
        <v>1</v>
      </c>
      <c r="F715" s="18">
        <v>-11418</v>
      </c>
      <c r="G715" s="18">
        <v>-11418</v>
      </c>
      <c r="H715" t="s">
        <v>2</v>
      </c>
      <c r="I715" t="s">
        <v>8</v>
      </c>
      <c r="J715" s="18">
        <v>-941985</v>
      </c>
      <c r="K715" t="s">
        <v>635</v>
      </c>
      <c r="L715" t="s">
        <v>9</v>
      </c>
      <c r="M715" t="s">
        <v>633</v>
      </c>
      <c r="N715" t="s">
        <v>3</v>
      </c>
      <c r="O715" t="s">
        <v>3</v>
      </c>
      <c r="P715" t="s">
        <v>5</v>
      </c>
      <c r="Q715" t="s">
        <v>634</v>
      </c>
      <c r="R715" t="s">
        <v>3</v>
      </c>
      <c r="S715" t="s">
        <v>3</v>
      </c>
      <c r="T715" t="s">
        <v>3</v>
      </c>
      <c r="U715" t="s">
        <v>3</v>
      </c>
      <c r="V715" t="s">
        <v>3</v>
      </c>
      <c r="W715" t="s">
        <v>68</v>
      </c>
      <c r="X715" s="17">
        <v>43191</v>
      </c>
      <c r="Y715" t="s">
        <v>632</v>
      </c>
      <c r="Z715" s="17">
        <v>43190</v>
      </c>
      <c r="AA715" t="s">
        <v>3</v>
      </c>
      <c r="AB715" t="s">
        <v>632</v>
      </c>
    </row>
    <row r="716" spans="1:28" hidden="1">
      <c r="A716" t="s">
        <v>636</v>
      </c>
      <c r="B716" s="17">
        <v>43191</v>
      </c>
      <c r="C716" s="17">
        <v>43190</v>
      </c>
      <c r="D716" t="s">
        <v>38</v>
      </c>
      <c r="E716" t="s">
        <v>1</v>
      </c>
      <c r="F716" s="18">
        <v>190381</v>
      </c>
      <c r="G716" s="18">
        <v>190381</v>
      </c>
      <c r="H716" t="s">
        <v>2</v>
      </c>
      <c r="I716" t="s">
        <v>8</v>
      </c>
      <c r="J716" s="18">
        <v>15706432.5</v>
      </c>
      <c r="K716" t="s">
        <v>637</v>
      </c>
      <c r="L716" t="s">
        <v>4</v>
      </c>
      <c r="M716" t="s">
        <v>638</v>
      </c>
      <c r="N716" t="s">
        <v>3</v>
      </c>
      <c r="O716" t="s">
        <v>3</v>
      </c>
      <c r="P716" t="s">
        <v>5</v>
      </c>
      <c r="Q716" t="s">
        <v>637</v>
      </c>
      <c r="R716" t="s">
        <v>3</v>
      </c>
      <c r="S716" t="s">
        <v>3</v>
      </c>
      <c r="T716" t="s">
        <v>3</v>
      </c>
      <c r="U716" t="s">
        <v>3</v>
      </c>
      <c r="V716" t="s">
        <v>3</v>
      </c>
      <c r="W716" t="s">
        <v>68</v>
      </c>
      <c r="X716" s="17">
        <v>43191</v>
      </c>
      <c r="Y716" t="s">
        <v>636</v>
      </c>
      <c r="Z716" s="17">
        <v>43190</v>
      </c>
      <c r="AA716" t="s">
        <v>3</v>
      </c>
      <c r="AB716" t="s">
        <v>636</v>
      </c>
    </row>
    <row r="717" spans="1:28" hidden="1">
      <c r="A717" t="s">
        <v>1847</v>
      </c>
      <c r="B717" s="17">
        <v>43191</v>
      </c>
      <c r="C717" s="17">
        <v>43191</v>
      </c>
      <c r="D717" t="s">
        <v>0</v>
      </c>
      <c r="E717" t="s">
        <v>1</v>
      </c>
      <c r="F717" s="18">
        <v>-536903</v>
      </c>
      <c r="G717" s="18">
        <v>-536903</v>
      </c>
      <c r="H717" t="s">
        <v>2</v>
      </c>
      <c r="I717" t="s">
        <v>8</v>
      </c>
      <c r="J717" s="18">
        <v>-44294497.509999998</v>
      </c>
      <c r="K717" t="s">
        <v>1848</v>
      </c>
      <c r="L717" t="s">
        <v>9</v>
      </c>
      <c r="M717" t="s">
        <v>1849</v>
      </c>
      <c r="N717" t="s">
        <v>3</v>
      </c>
      <c r="O717" t="s">
        <v>3</v>
      </c>
      <c r="P717" t="s">
        <v>5</v>
      </c>
      <c r="Q717" t="s">
        <v>1850</v>
      </c>
      <c r="R717" t="s">
        <v>3</v>
      </c>
      <c r="S717" t="s">
        <v>3</v>
      </c>
      <c r="T717" t="s">
        <v>3</v>
      </c>
      <c r="U717" t="s">
        <v>3</v>
      </c>
      <c r="V717" t="s">
        <v>3</v>
      </c>
      <c r="W717" t="s">
        <v>68</v>
      </c>
      <c r="X717" s="17">
        <v>43220</v>
      </c>
      <c r="Y717" t="s">
        <v>796</v>
      </c>
      <c r="Z717" s="17">
        <v>43191</v>
      </c>
      <c r="AA717" t="s">
        <v>3</v>
      </c>
      <c r="AB717" t="s">
        <v>1847</v>
      </c>
    </row>
    <row r="718" spans="1:28" hidden="1">
      <c r="A718" t="s">
        <v>1851</v>
      </c>
      <c r="B718" s="17">
        <v>43191</v>
      </c>
      <c r="C718" s="17">
        <v>43191</v>
      </c>
      <c r="D718" t="s">
        <v>0</v>
      </c>
      <c r="E718" t="s">
        <v>1</v>
      </c>
      <c r="F718" s="18">
        <v>-190381.44</v>
      </c>
      <c r="G718" s="18">
        <v>-190381.44</v>
      </c>
      <c r="H718" t="s">
        <v>2</v>
      </c>
      <c r="I718" t="s">
        <v>8</v>
      </c>
      <c r="J718" s="18">
        <v>-15706468.82</v>
      </c>
      <c r="K718" t="s">
        <v>620</v>
      </c>
      <c r="L718" t="s">
        <v>9</v>
      </c>
      <c r="M718" t="s">
        <v>621</v>
      </c>
      <c r="N718" t="s">
        <v>3</v>
      </c>
      <c r="O718" t="s">
        <v>3</v>
      </c>
      <c r="P718" t="s">
        <v>5</v>
      </c>
      <c r="Q718" t="s">
        <v>622</v>
      </c>
      <c r="R718" t="s">
        <v>3</v>
      </c>
      <c r="S718" t="s">
        <v>3</v>
      </c>
      <c r="T718" t="s">
        <v>3</v>
      </c>
      <c r="U718" t="s">
        <v>3</v>
      </c>
      <c r="V718" t="s">
        <v>3</v>
      </c>
      <c r="W718" t="s">
        <v>68</v>
      </c>
      <c r="X718" s="17">
        <v>43191</v>
      </c>
      <c r="Y718" t="s">
        <v>619</v>
      </c>
      <c r="Z718" s="17">
        <v>43191</v>
      </c>
      <c r="AA718" t="s">
        <v>3</v>
      </c>
      <c r="AB718" t="s">
        <v>1851</v>
      </c>
    </row>
    <row r="719" spans="1:28" hidden="1">
      <c r="A719" t="s">
        <v>1852</v>
      </c>
      <c r="B719" s="17">
        <v>43191</v>
      </c>
      <c r="C719" s="17">
        <v>43191</v>
      </c>
      <c r="D719" t="s">
        <v>0</v>
      </c>
      <c r="E719" t="s">
        <v>1</v>
      </c>
      <c r="F719" s="18">
        <v>-108440</v>
      </c>
      <c r="G719" s="18">
        <v>-108440</v>
      </c>
      <c r="H719" t="s">
        <v>2</v>
      </c>
      <c r="I719" t="s">
        <v>8</v>
      </c>
      <c r="J719" s="18">
        <v>-8946300.0099999998</v>
      </c>
      <c r="K719" t="s">
        <v>1853</v>
      </c>
      <c r="L719" t="s">
        <v>9</v>
      </c>
      <c r="M719" t="s">
        <v>1854</v>
      </c>
      <c r="N719" t="s">
        <v>3</v>
      </c>
      <c r="O719" t="s">
        <v>3</v>
      </c>
      <c r="P719" t="s">
        <v>5</v>
      </c>
      <c r="Q719" t="s">
        <v>1855</v>
      </c>
      <c r="R719" t="s">
        <v>3</v>
      </c>
      <c r="S719" t="s">
        <v>3</v>
      </c>
      <c r="T719" t="s">
        <v>3</v>
      </c>
      <c r="U719" t="s">
        <v>3</v>
      </c>
      <c r="V719" t="s">
        <v>3</v>
      </c>
      <c r="W719" t="s">
        <v>68</v>
      </c>
      <c r="X719" s="17">
        <v>43223</v>
      </c>
      <c r="Y719" t="s">
        <v>823</v>
      </c>
      <c r="Z719" s="17">
        <v>43191</v>
      </c>
      <c r="AA719" t="s">
        <v>3</v>
      </c>
      <c r="AB719" t="s">
        <v>1852</v>
      </c>
    </row>
    <row r="720" spans="1:28" hidden="1">
      <c r="A720" t="s">
        <v>1856</v>
      </c>
      <c r="B720" s="17">
        <v>43191</v>
      </c>
      <c r="C720" s="17">
        <v>43191</v>
      </c>
      <c r="D720" t="s">
        <v>0</v>
      </c>
      <c r="E720" t="s">
        <v>1</v>
      </c>
      <c r="F720" s="18">
        <v>-190381.44</v>
      </c>
      <c r="G720" s="18">
        <v>-190381.44</v>
      </c>
      <c r="H720" t="s">
        <v>2</v>
      </c>
      <c r="I720" t="s">
        <v>8</v>
      </c>
      <c r="J720" s="18">
        <v>-15706468.82</v>
      </c>
      <c r="K720" t="s">
        <v>620</v>
      </c>
      <c r="L720" t="s">
        <v>4</v>
      </c>
      <c r="M720" t="s">
        <v>621</v>
      </c>
      <c r="N720" t="s">
        <v>3</v>
      </c>
      <c r="O720" t="s">
        <v>3</v>
      </c>
      <c r="P720" t="s">
        <v>5</v>
      </c>
      <c r="Q720" t="s">
        <v>622</v>
      </c>
      <c r="R720" t="s">
        <v>3</v>
      </c>
      <c r="S720" t="s">
        <v>3</v>
      </c>
      <c r="T720" t="s">
        <v>3</v>
      </c>
      <c r="U720" t="s">
        <v>3</v>
      </c>
      <c r="V720" t="s">
        <v>3</v>
      </c>
      <c r="W720" t="s">
        <v>68</v>
      </c>
      <c r="X720" s="17">
        <v>43228</v>
      </c>
      <c r="Y720" t="s">
        <v>1857</v>
      </c>
      <c r="Z720" s="17">
        <v>43191</v>
      </c>
      <c r="AA720" t="s">
        <v>3</v>
      </c>
      <c r="AB720" t="s">
        <v>1856</v>
      </c>
    </row>
    <row r="721" spans="1:28" hidden="1">
      <c r="A721" t="s">
        <v>1844</v>
      </c>
      <c r="B721" s="17">
        <v>43192</v>
      </c>
      <c r="C721" s="17">
        <v>43192</v>
      </c>
      <c r="D721" t="s">
        <v>0</v>
      </c>
      <c r="E721" t="s">
        <v>1</v>
      </c>
      <c r="F721" s="18">
        <v>11418</v>
      </c>
      <c r="G721" s="18">
        <v>11418</v>
      </c>
      <c r="H721" t="s">
        <v>2</v>
      </c>
      <c r="I721" t="s">
        <v>8</v>
      </c>
      <c r="J721" s="18">
        <v>941985</v>
      </c>
      <c r="K721" t="s">
        <v>1840</v>
      </c>
      <c r="L721" t="s">
        <v>9</v>
      </c>
      <c r="M721" t="s">
        <v>1845</v>
      </c>
      <c r="N721" t="s">
        <v>3</v>
      </c>
      <c r="O721" t="s">
        <v>3</v>
      </c>
      <c r="P721" t="s">
        <v>5</v>
      </c>
      <c r="Q721" t="s">
        <v>1846</v>
      </c>
      <c r="R721" t="s">
        <v>3</v>
      </c>
      <c r="S721" t="s">
        <v>3</v>
      </c>
      <c r="T721" t="s">
        <v>3</v>
      </c>
      <c r="U721" t="s">
        <v>3</v>
      </c>
      <c r="V721" t="s">
        <v>3</v>
      </c>
      <c r="W721" t="s">
        <v>68</v>
      </c>
      <c r="X721" s="17">
        <v>43220</v>
      </c>
      <c r="Y721" t="s">
        <v>800</v>
      </c>
      <c r="Z721" s="17">
        <v>43192</v>
      </c>
      <c r="AA721" t="s">
        <v>3</v>
      </c>
      <c r="AB721" t="s">
        <v>1844</v>
      </c>
    </row>
    <row r="722" spans="1:28" hidden="1">
      <c r="A722" t="s">
        <v>1866</v>
      </c>
      <c r="B722" s="17">
        <v>43194</v>
      </c>
      <c r="C722" s="17">
        <v>43194</v>
      </c>
      <c r="D722" t="s">
        <v>0</v>
      </c>
      <c r="E722" t="s">
        <v>1</v>
      </c>
      <c r="F722" s="18">
        <v>43106</v>
      </c>
      <c r="G722" s="18">
        <v>43106</v>
      </c>
      <c r="H722" t="s">
        <v>2</v>
      </c>
      <c r="I722" t="s">
        <v>8</v>
      </c>
      <c r="J722" s="18">
        <v>3556245</v>
      </c>
      <c r="K722" t="s">
        <v>1867</v>
      </c>
      <c r="L722" t="s">
        <v>9</v>
      </c>
      <c r="M722" t="s">
        <v>1868</v>
      </c>
      <c r="N722" t="s">
        <v>3</v>
      </c>
      <c r="O722" t="s">
        <v>3</v>
      </c>
      <c r="P722" t="s">
        <v>5</v>
      </c>
      <c r="Q722" t="s">
        <v>1869</v>
      </c>
      <c r="R722" t="s">
        <v>3</v>
      </c>
      <c r="S722" t="s">
        <v>3</v>
      </c>
      <c r="T722" t="s">
        <v>3</v>
      </c>
      <c r="U722" t="s">
        <v>3</v>
      </c>
      <c r="V722" t="s">
        <v>3</v>
      </c>
      <c r="W722" t="s">
        <v>68</v>
      </c>
      <c r="X722" s="17">
        <v>43220</v>
      </c>
      <c r="Y722" t="s">
        <v>796</v>
      </c>
      <c r="Z722" s="17">
        <v>43194</v>
      </c>
      <c r="AA722" t="s">
        <v>3</v>
      </c>
      <c r="AB722" t="s">
        <v>1866</v>
      </c>
    </row>
    <row r="723" spans="1:28" hidden="1">
      <c r="A723" t="s">
        <v>1866</v>
      </c>
      <c r="B723" s="17">
        <v>43194</v>
      </c>
      <c r="C723" s="17">
        <v>43194</v>
      </c>
      <c r="D723" t="s">
        <v>0</v>
      </c>
      <c r="E723" t="s">
        <v>1</v>
      </c>
      <c r="F723" s="18">
        <v>74825</v>
      </c>
      <c r="G723" s="18">
        <v>74825</v>
      </c>
      <c r="H723" t="s">
        <v>2</v>
      </c>
      <c r="I723" t="s">
        <v>8</v>
      </c>
      <c r="J723" s="18">
        <v>6173062.5099999998</v>
      </c>
      <c r="K723" t="s">
        <v>1818</v>
      </c>
      <c r="L723" t="s">
        <v>9</v>
      </c>
      <c r="M723" t="s">
        <v>1868</v>
      </c>
      <c r="N723" t="s">
        <v>3</v>
      </c>
      <c r="O723" t="s">
        <v>3</v>
      </c>
      <c r="P723" t="s">
        <v>5</v>
      </c>
      <c r="Q723" t="s">
        <v>1869</v>
      </c>
      <c r="R723" t="s">
        <v>3</v>
      </c>
      <c r="S723" t="s">
        <v>3</v>
      </c>
      <c r="T723" t="s">
        <v>3</v>
      </c>
      <c r="U723" t="s">
        <v>3</v>
      </c>
      <c r="V723" t="s">
        <v>3</v>
      </c>
      <c r="W723" t="s">
        <v>68</v>
      </c>
      <c r="X723" s="17">
        <v>43220</v>
      </c>
      <c r="Y723" t="s">
        <v>798</v>
      </c>
      <c r="Z723" s="17">
        <v>43194</v>
      </c>
      <c r="AA723" t="s">
        <v>3</v>
      </c>
      <c r="AB723" t="s">
        <v>1866</v>
      </c>
    </row>
    <row r="724" spans="1:28" hidden="1">
      <c r="A724" t="s">
        <v>1870</v>
      </c>
      <c r="B724" s="17">
        <v>43194</v>
      </c>
      <c r="C724" s="17">
        <v>43194</v>
      </c>
      <c r="D724" t="s">
        <v>0</v>
      </c>
      <c r="E724" t="s">
        <v>1</v>
      </c>
      <c r="F724" s="18">
        <v>546</v>
      </c>
      <c r="G724" s="18">
        <v>546</v>
      </c>
      <c r="H724" t="s">
        <v>2</v>
      </c>
      <c r="I724" t="s">
        <v>8</v>
      </c>
      <c r="J724" s="18">
        <v>45045</v>
      </c>
      <c r="K724" t="s">
        <v>1867</v>
      </c>
      <c r="L724" t="s">
        <v>9</v>
      </c>
      <c r="M724" t="s">
        <v>1871</v>
      </c>
      <c r="N724" t="s">
        <v>3</v>
      </c>
      <c r="O724" t="s">
        <v>3</v>
      </c>
      <c r="P724" t="s">
        <v>5</v>
      </c>
      <c r="Q724" t="s">
        <v>1872</v>
      </c>
      <c r="R724" t="s">
        <v>3</v>
      </c>
      <c r="S724" t="s">
        <v>3</v>
      </c>
      <c r="T724" t="s">
        <v>3</v>
      </c>
      <c r="U724" t="s">
        <v>3</v>
      </c>
      <c r="V724" t="s">
        <v>3</v>
      </c>
      <c r="W724" t="s">
        <v>68</v>
      </c>
      <c r="X724" s="17">
        <v>43220</v>
      </c>
      <c r="Y724" t="s">
        <v>796</v>
      </c>
      <c r="Z724" s="17">
        <v>43194</v>
      </c>
      <c r="AA724" t="s">
        <v>3</v>
      </c>
      <c r="AB724" t="s">
        <v>1870</v>
      </c>
    </row>
    <row r="725" spans="1:28" hidden="1">
      <c r="A725" t="s">
        <v>1870</v>
      </c>
      <c r="B725" s="17">
        <v>43194</v>
      </c>
      <c r="C725" s="17">
        <v>43194</v>
      </c>
      <c r="D725" t="s">
        <v>0</v>
      </c>
      <c r="E725" t="s">
        <v>1</v>
      </c>
      <c r="F725" s="18">
        <v>1947</v>
      </c>
      <c r="G725" s="18">
        <v>1947</v>
      </c>
      <c r="H725" t="s">
        <v>2</v>
      </c>
      <c r="I725" t="s">
        <v>8</v>
      </c>
      <c r="J725" s="18">
        <v>160627.5</v>
      </c>
      <c r="K725" t="s">
        <v>1818</v>
      </c>
      <c r="L725" t="s">
        <v>9</v>
      </c>
      <c r="M725" t="s">
        <v>1871</v>
      </c>
      <c r="N725" t="s">
        <v>3</v>
      </c>
      <c r="O725" t="s">
        <v>3</v>
      </c>
      <c r="P725" t="s">
        <v>5</v>
      </c>
      <c r="Q725" t="s">
        <v>1872</v>
      </c>
      <c r="R725" t="s">
        <v>3</v>
      </c>
      <c r="S725" t="s">
        <v>3</v>
      </c>
      <c r="T725" t="s">
        <v>3</v>
      </c>
      <c r="U725" t="s">
        <v>3</v>
      </c>
      <c r="V725" t="s">
        <v>3</v>
      </c>
      <c r="W725" t="s">
        <v>68</v>
      </c>
      <c r="X725" s="17">
        <v>43220</v>
      </c>
      <c r="Y725" t="s">
        <v>798</v>
      </c>
      <c r="Z725" s="17">
        <v>43194</v>
      </c>
      <c r="AA725" t="s">
        <v>3</v>
      </c>
      <c r="AB725" t="s">
        <v>1870</v>
      </c>
    </row>
    <row r="726" spans="1:28" hidden="1">
      <c r="A726" t="s">
        <v>1870</v>
      </c>
      <c r="B726" s="17">
        <v>43194</v>
      </c>
      <c r="C726" s="17">
        <v>43194</v>
      </c>
      <c r="D726" t="s">
        <v>0</v>
      </c>
      <c r="E726" t="s">
        <v>1</v>
      </c>
      <c r="F726" s="18">
        <v>84016</v>
      </c>
      <c r="G726" s="18">
        <v>84016</v>
      </c>
      <c r="H726" t="s">
        <v>2</v>
      </c>
      <c r="I726" t="s">
        <v>8</v>
      </c>
      <c r="J726" s="18">
        <v>6931320</v>
      </c>
      <c r="K726" t="s">
        <v>1840</v>
      </c>
      <c r="L726" t="s">
        <v>9</v>
      </c>
      <c r="M726" t="s">
        <v>1871</v>
      </c>
      <c r="N726" t="s">
        <v>3</v>
      </c>
      <c r="O726" t="s">
        <v>3</v>
      </c>
      <c r="P726" t="s">
        <v>5</v>
      </c>
      <c r="Q726" t="s">
        <v>1872</v>
      </c>
      <c r="R726" t="s">
        <v>3</v>
      </c>
      <c r="S726" t="s">
        <v>3</v>
      </c>
      <c r="T726" t="s">
        <v>3</v>
      </c>
      <c r="U726" t="s">
        <v>3</v>
      </c>
      <c r="V726" t="s">
        <v>3</v>
      </c>
      <c r="W726" t="s">
        <v>68</v>
      </c>
      <c r="X726" s="17">
        <v>43220</v>
      </c>
      <c r="Y726" t="s">
        <v>800</v>
      </c>
      <c r="Z726" s="17">
        <v>43194</v>
      </c>
      <c r="AA726" t="s">
        <v>3</v>
      </c>
      <c r="AB726" t="s">
        <v>1870</v>
      </c>
    </row>
    <row r="727" spans="1:28" hidden="1">
      <c r="A727" t="s">
        <v>1858</v>
      </c>
      <c r="B727" s="17">
        <v>43195</v>
      </c>
      <c r="C727" s="17">
        <v>43195</v>
      </c>
      <c r="D727" t="s">
        <v>0</v>
      </c>
      <c r="E727" t="s">
        <v>1</v>
      </c>
      <c r="F727" s="18">
        <v>23643</v>
      </c>
      <c r="G727" s="18">
        <v>23643</v>
      </c>
      <c r="H727" t="s">
        <v>2</v>
      </c>
      <c r="I727" t="s">
        <v>10</v>
      </c>
      <c r="J727" s="18">
        <v>1950547.5</v>
      </c>
      <c r="K727" t="s">
        <v>1859</v>
      </c>
      <c r="L727" t="s">
        <v>9</v>
      </c>
      <c r="M727" t="s">
        <v>1860</v>
      </c>
      <c r="N727" t="s">
        <v>3</v>
      </c>
      <c r="O727" t="s">
        <v>3</v>
      </c>
      <c r="P727" t="s">
        <v>5</v>
      </c>
      <c r="Q727" t="s">
        <v>1861</v>
      </c>
      <c r="R727" t="s">
        <v>3</v>
      </c>
      <c r="S727" t="s">
        <v>3</v>
      </c>
      <c r="T727" t="s">
        <v>3</v>
      </c>
      <c r="U727" t="s">
        <v>3</v>
      </c>
      <c r="V727" t="s">
        <v>3</v>
      </c>
      <c r="W727" t="s">
        <v>68</v>
      </c>
      <c r="X727" s="17">
        <v>43220</v>
      </c>
      <c r="Y727" t="s">
        <v>802</v>
      </c>
      <c r="Z727" s="17">
        <v>43195</v>
      </c>
      <c r="AA727" t="s">
        <v>3</v>
      </c>
      <c r="AB727" t="s">
        <v>1858</v>
      </c>
    </row>
    <row r="728" spans="1:28" hidden="1">
      <c r="A728" t="s">
        <v>1858</v>
      </c>
      <c r="B728" s="17">
        <v>43195</v>
      </c>
      <c r="C728" s="17">
        <v>43195</v>
      </c>
      <c r="D728" t="s">
        <v>0</v>
      </c>
      <c r="E728" t="s">
        <v>1</v>
      </c>
      <c r="F728" s="18">
        <v>79229</v>
      </c>
      <c r="G728" s="18">
        <v>79229</v>
      </c>
      <c r="H728" t="s">
        <v>2</v>
      </c>
      <c r="I728" t="s">
        <v>10</v>
      </c>
      <c r="J728" s="18">
        <v>6536392.5099999998</v>
      </c>
      <c r="K728" t="s">
        <v>1862</v>
      </c>
      <c r="L728" t="s">
        <v>9</v>
      </c>
      <c r="M728" t="s">
        <v>1860</v>
      </c>
      <c r="N728" t="s">
        <v>3</v>
      </c>
      <c r="O728" t="s">
        <v>3</v>
      </c>
      <c r="P728" t="s">
        <v>5</v>
      </c>
      <c r="Q728" t="s">
        <v>1861</v>
      </c>
      <c r="R728" t="s">
        <v>3</v>
      </c>
      <c r="S728" t="s">
        <v>3</v>
      </c>
      <c r="T728" t="s">
        <v>3</v>
      </c>
      <c r="U728" t="s">
        <v>3</v>
      </c>
      <c r="V728" t="s">
        <v>3</v>
      </c>
      <c r="W728" t="s">
        <v>68</v>
      </c>
      <c r="X728" s="17">
        <v>43220</v>
      </c>
      <c r="Y728" t="s">
        <v>804</v>
      </c>
      <c r="Z728" s="17">
        <v>43195</v>
      </c>
      <c r="AA728" t="s">
        <v>3</v>
      </c>
      <c r="AB728" t="s">
        <v>1858</v>
      </c>
    </row>
    <row r="729" spans="1:28" hidden="1">
      <c r="A729" t="s">
        <v>1782</v>
      </c>
      <c r="B729" s="17">
        <v>43195</v>
      </c>
      <c r="C729" s="17">
        <v>43195</v>
      </c>
      <c r="D729" t="s">
        <v>0</v>
      </c>
      <c r="E729" t="s">
        <v>1</v>
      </c>
      <c r="F729" s="18">
        <v>110001</v>
      </c>
      <c r="G729" s="18">
        <v>110001</v>
      </c>
      <c r="H729" t="s">
        <v>2</v>
      </c>
      <c r="I729" t="s">
        <v>8</v>
      </c>
      <c r="J729" s="18">
        <v>9075082.5</v>
      </c>
      <c r="K729" t="s">
        <v>1867</v>
      </c>
      <c r="L729" t="s">
        <v>9</v>
      </c>
      <c r="M729" t="s">
        <v>1873</v>
      </c>
      <c r="N729" t="s">
        <v>3</v>
      </c>
      <c r="O729" t="s">
        <v>3</v>
      </c>
      <c r="P729" t="s">
        <v>5</v>
      </c>
      <c r="Q729" t="s">
        <v>1874</v>
      </c>
      <c r="R729" t="s">
        <v>3</v>
      </c>
      <c r="S729" t="s">
        <v>3</v>
      </c>
      <c r="T729" t="s">
        <v>3</v>
      </c>
      <c r="U729" t="s">
        <v>3</v>
      </c>
      <c r="V729" t="s">
        <v>3</v>
      </c>
      <c r="W729" t="s">
        <v>68</v>
      </c>
      <c r="X729" s="17">
        <v>43220</v>
      </c>
      <c r="Y729" t="s">
        <v>796</v>
      </c>
      <c r="Z729" s="17">
        <v>43195</v>
      </c>
      <c r="AA729" t="s">
        <v>3</v>
      </c>
      <c r="AB729" t="s">
        <v>1782</v>
      </c>
    </row>
    <row r="730" spans="1:28" hidden="1">
      <c r="A730" t="s">
        <v>1782</v>
      </c>
      <c r="B730" s="17">
        <v>43195</v>
      </c>
      <c r="C730" s="17">
        <v>43195</v>
      </c>
      <c r="D730" t="s">
        <v>0</v>
      </c>
      <c r="E730" t="s">
        <v>1</v>
      </c>
      <c r="F730" s="18">
        <v>344016</v>
      </c>
      <c r="G730" s="18">
        <v>344016</v>
      </c>
      <c r="H730" t="s">
        <v>2</v>
      </c>
      <c r="I730" t="s">
        <v>8</v>
      </c>
      <c r="J730" s="18">
        <v>28381320.02</v>
      </c>
      <c r="K730" t="s">
        <v>1873</v>
      </c>
      <c r="L730" t="s">
        <v>9</v>
      </c>
      <c r="M730" t="s">
        <v>1873</v>
      </c>
      <c r="N730" t="s">
        <v>3</v>
      </c>
      <c r="O730" t="s">
        <v>3</v>
      </c>
      <c r="P730" t="s">
        <v>5</v>
      </c>
      <c r="Q730" t="s">
        <v>1874</v>
      </c>
      <c r="R730" t="s">
        <v>3</v>
      </c>
      <c r="S730" t="s">
        <v>3</v>
      </c>
      <c r="T730" t="s">
        <v>3</v>
      </c>
      <c r="U730" t="s">
        <v>3</v>
      </c>
      <c r="V730" t="s">
        <v>3</v>
      </c>
      <c r="W730" t="s">
        <v>68</v>
      </c>
      <c r="X730" s="17">
        <v>43195</v>
      </c>
      <c r="Y730" t="s">
        <v>1782</v>
      </c>
      <c r="Z730" s="17">
        <v>43195</v>
      </c>
      <c r="AA730" t="s">
        <v>3</v>
      </c>
      <c r="AB730" t="s">
        <v>1782</v>
      </c>
    </row>
    <row r="731" spans="1:28" hidden="1">
      <c r="A731" t="s">
        <v>1875</v>
      </c>
      <c r="B731" s="17">
        <v>43195</v>
      </c>
      <c r="C731" s="17">
        <v>43195</v>
      </c>
      <c r="D731" t="s">
        <v>0</v>
      </c>
      <c r="E731" t="s">
        <v>1</v>
      </c>
      <c r="F731" s="18">
        <v>-72752</v>
      </c>
      <c r="G731" s="18">
        <v>-72752</v>
      </c>
      <c r="H731" t="s">
        <v>2</v>
      </c>
      <c r="I731" t="s">
        <v>8</v>
      </c>
      <c r="J731" s="18">
        <v>-6002040.0099999998</v>
      </c>
      <c r="K731" t="s">
        <v>1876</v>
      </c>
      <c r="L731" t="s">
        <v>9</v>
      </c>
      <c r="M731" t="s">
        <v>1877</v>
      </c>
      <c r="N731" t="s">
        <v>3</v>
      </c>
      <c r="O731" t="s">
        <v>3</v>
      </c>
      <c r="P731" t="s">
        <v>5</v>
      </c>
      <c r="Q731" t="s">
        <v>1878</v>
      </c>
      <c r="R731" t="s">
        <v>3</v>
      </c>
      <c r="S731" t="s">
        <v>3</v>
      </c>
      <c r="T731" t="s">
        <v>3</v>
      </c>
      <c r="U731" t="s">
        <v>3</v>
      </c>
      <c r="V731" t="s">
        <v>3</v>
      </c>
      <c r="W731" t="s">
        <v>68</v>
      </c>
      <c r="X731" s="17">
        <v>43220</v>
      </c>
      <c r="Y731" t="s">
        <v>806</v>
      </c>
      <c r="Z731" s="17">
        <v>43195</v>
      </c>
      <c r="AA731" t="s">
        <v>3</v>
      </c>
      <c r="AB731" t="s">
        <v>1875</v>
      </c>
    </row>
    <row r="732" spans="1:28" hidden="1">
      <c r="A732" t="s">
        <v>1863</v>
      </c>
      <c r="B732" s="17">
        <v>43198</v>
      </c>
      <c r="C732" s="17">
        <v>43198</v>
      </c>
      <c r="D732" t="s">
        <v>0</v>
      </c>
      <c r="E732" t="s">
        <v>1</v>
      </c>
      <c r="F732" s="18">
        <v>5754</v>
      </c>
      <c r="G732" s="18">
        <v>5754</v>
      </c>
      <c r="H732" t="s">
        <v>2</v>
      </c>
      <c r="I732" t="s">
        <v>10</v>
      </c>
      <c r="J732" s="18">
        <v>474705</v>
      </c>
      <c r="K732" t="s">
        <v>1859</v>
      </c>
      <c r="L732" t="s">
        <v>9</v>
      </c>
      <c r="M732" t="s">
        <v>1864</v>
      </c>
      <c r="N732" t="s">
        <v>3</v>
      </c>
      <c r="O732" t="s">
        <v>3</v>
      </c>
      <c r="P732" t="s">
        <v>5</v>
      </c>
      <c r="Q732" t="s">
        <v>1865</v>
      </c>
      <c r="R732" t="s">
        <v>3</v>
      </c>
      <c r="S732" t="s">
        <v>3</v>
      </c>
      <c r="T732" t="s">
        <v>3</v>
      </c>
      <c r="U732" t="s">
        <v>3</v>
      </c>
      <c r="V732" t="s">
        <v>3</v>
      </c>
      <c r="W732" t="s">
        <v>68</v>
      </c>
      <c r="X732" s="17">
        <v>43220</v>
      </c>
      <c r="Y732" t="s">
        <v>802</v>
      </c>
      <c r="Z732" s="17">
        <v>43198</v>
      </c>
      <c r="AA732" t="s">
        <v>3</v>
      </c>
      <c r="AB732" t="s">
        <v>1863</v>
      </c>
    </row>
    <row r="733" spans="1:28" hidden="1">
      <c r="A733" t="s">
        <v>1863</v>
      </c>
      <c r="B733" s="17">
        <v>43198</v>
      </c>
      <c r="C733" s="17">
        <v>43198</v>
      </c>
      <c r="D733" t="s">
        <v>0</v>
      </c>
      <c r="E733" t="s">
        <v>1</v>
      </c>
      <c r="F733" s="18">
        <v>7712</v>
      </c>
      <c r="G733" s="18">
        <v>7712</v>
      </c>
      <c r="H733" t="s">
        <v>2</v>
      </c>
      <c r="I733" t="s">
        <v>10</v>
      </c>
      <c r="J733" s="18">
        <v>636240</v>
      </c>
      <c r="K733" t="s">
        <v>1862</v>
      </c>
      <c r="L733" t="s">
        <v>9</v>
      </c>
      <c r="M733" t="s">
        <v>1864</v>
      </c>
      <c r="N733" t="s">
        <v>3</v>
      </c>
      <c r="O733" t="s">
        <v>3</v>
      </c>
      <c r="P733" t="s">
        <v>5</v>
      </c>
      <c r="Q733" t="s">
        <v>1865</v>
      </c>
      <c r="R733" t="s">
        <v>3</v>
      </c>
      <c r="S733" t="s">
        <v>3</v>
      </c>
      <c r="T733" t="s">
        <v>3</v>
      </c>
      <c r="U733" t="s">
        <v>3</v>
      </c>
      <c r="V733" t="s">
        <v>3</v>
      </c>
      <c r="W733" t="s">
        <v>68</v>
      </c>
      <c r="X733" s="17">
        <v>43220</v>
      </c>
      <c r="Y733" t="s">
        <v>804</v>
      </c>
      <c r="Z733" s="17">
        <v>43198</v>
      </c>
      <c r="AA733" t="s">
        <v>3</v>
      </c>
      <c r="AB733" t="s">
        <v>1863</v>
      </c>
    </row>
    <row r="734" spans="1:28" hidden="1">
      <c r="A734" t="s">
        <v>1879</v>
      </c>
      <c r="B734" s="17">
        <v>43198</v>
      </c>
      <c r="C734" s="17">
        <v>43198</v>
      </c>
      <c r="D734" t="s">
        <v>0</v>
      </c>
      <c r="E734" t="s">
        <v>1</v>
      </c>
      <c r="F734" s="18">
        <v>-262797</v>
      </c>
      <c r="G734" s="18">
        <v>-262797</v>
      </c>
      <c r="H734" t="s">
        <v>2</v>
      </c>
      <c r="I734" t="s">
        <v>8</v>
      </c>
      <c r="J734" s="18">
        <v>-21680752.510000002</v>
      </c>
      <c r="K734" t="s">
        <v>1880</v>
      </c>
      <c r="L734" t="s">
        <v>9</v>
      </c>
      <c r="M734" t="s">
        <v>1881</v>
      </c>
      <c r="N734" t="s">
        <v>3</v>
      </c>
      <c r="O734" t="s">
        <v>3</v>
      </c>
      <c r="P734" t="s">
        <v>5</v>
      </c>
      <c r="Q734" t="s">
        <v>1882</v>
      </c>
      <c r="R734" t="s">
        <v>3</v>
      </c>
      <c r="S734" t="s">
        <v>3</v>
      </c>
      <c r="T734" t="s">
        <v>3</v>
      </c>
      <c r="U734" t="s">
        <v>3</v>
      </c>
      <c r="V734" t="s">
        <v>3</v>
      </c>
      <c r="W734" t="s">
        <v>68</v>
      </c>
      <c r="X734" s="17">
        <v>43223</v>
      </c>
      <c r="Y734" t="s">
        <v>832</v>
      </c>
      <c r="Z734" s="17">
        <v>43198</v>
      </c>
      <c r="AA734" t="s">
        <v>3</v>
      </c>
      <c r="AB734" t="s">
        <v>1879</v>
      </c>
    </row>
    <row r="735" spans="1:28" hidden="1">
      <c r="A735" t="s">
        <v>1884</v>
      </c>
      <c r="B735" s="17">
        <v>43201</v>
      </c>
      <c r="C735" s="17">
        <v>43201</v>
      </c>
      <c r="D735" t="s">
        <v>0</v>
      </c>
      <c r="E735" t="s">
        <v>1</v>
      </c>
      <c r="F735" s="18">
        <v>51837</v>
      </c>
      <c r="G735" s="18">
        <v>51837</v>
      </c>
      <c r="H735" t="s">
        <v>2</v>
      </c>
      <c r="I735" t="s">
        <v>8</v>
      </c>
      <c r="J735" s="18">
        <v>4276552.5</v>
      </c>
      <c r="K735" t="s">
        <v>1867</v>
      </c>
      <c r="L735" t="s">
        <v>9</v>
      </c>
      <c r="M735" t="s">
        <v>1885</v>
      </c>
      <c r="N735" t="s">
        <v>3</v>
      </c>
      <c r="O735" t="s">
        <v>3</v>
      </c>
      <c r="P735" t="s">
        <v>5</v>
      </c>
      <c r="Q735" t="s">
        <v>1886</v>
      </c>
      <c r="R735" t="s">
        <v>3</v>
      </c>
      <c r="S735" t="s">
        <v>3</v>
      </c>
      <c r="T735" t="s">
        <v>3</v>
      </c>
      <c r="U735" t="s">
        <v>3</v>
      </c>
      <c r="V735" t="s">
        <v>3</v>
      </c>
      <c r="W735" t="s">
        <v>68</v>
      </c>
      <c r="X735" s="17">
        <v>43220</v>
      </c>
      <c r="Y735" t="s">
        <v>796</v>
      </c>
      <c r="Z735" s="17">
        <v>43201</v>
      </c>
      <c r="AA735" t="s">
        <v>3</v>
      </c>
      <c r="AB735" t="s">
        <v>1884</v>
      </c>
    </row>
    <row r="736" spans="1:28" hidden="1">
      <c r="A736" t="s">
        <v>1887</v>
      </c>
      <c r="B736" s="17">
        <v>43201</v>
      </c>
      <c r="C736" s="17">
        <v>43201</v>
      </c>
      <c r="D736" t="s">
        <v>0</v>
      </c>
      <c r="E736" t="s">
        <v>1</v>
      </c>
      <c r="F736" s="18">
        <v>740</v>
      </c>
      <c r="G736" s="18">
        <v>740</v>
      </c>
      <c r="H736" t="s">
        <v>2</v>
      </c>
      <c r="I736" t="s">
        <v>8</v>
      </c>
      <c r="J736" s="18">
        <v>61050</v>
      </c>
      <c r="K736" t="s">
        <v>1867</v>
      </c>
      <c r="L736" t="s">
        <v>9</v>
      </c>
      <c r="M736" t="s">
        <v>1888</v>
      </c>
      <c r="N736" t="s">
        <v>3</v>
      </c>
      <c r="O736" t="s">
        <v>3</v>
      </c>
      <c r="P736" t="s">
        <v>5</v>
      </c>
      <c r="Q736" t="s">
        <v>1889</v>
      </c>
      <c r="R736" t="s">
        <v>3</v>
      </c>
      <c r="S736" t="s">
        <v>3</v>
      </c>
      <c r="T736" t="s">
        <v>3</v>
      </c>
      <c r="U736" t="s">
        <v>3</v>
      </c>
      <c r="V736" t="s">
        <v>3</v>
      </c>
      <c r="W736" t="s">
        <v>68</v>
      </c>
      <c r="X736" s="17">
        <v>43220</v>
      </c>
      <c r="Y736" t="s">
        <v>796</v>
      </c>
      <c r="Z736" s="17">
        <v>43201</v>
      </c>
      <c r="AA736" t="s">
        <v>3</v>
      </c>
      <c r="AB736" t="s">
        <v>1887</v>
      </c>
    </row>
    <row r="737" spans="1:28" hidden="1">
      <c r="A737" t="s">
        <v>1887</v>
      </c>
      <c r="B737" s="17">
        <v>43201</v>
      </c>
      <c r="C737" s="17">
        <v>43201</v>
      </c>
      <c r="D737" t="s">
        <v>0</v>
      </c>
      <c r="E737" t="s">
        <v>1</v>
      </c>
      <c r="F737" s="18">
        <v>11484</v>
      </c>
      <c r="G737" s="18">
        <v>11484</v>
      </c>
      <c r="H737" t="s">
        <v>2</v>
      </c>
      <c r="I737" t="s">
        <v>8</v>
      </c>
      <c r="J737" s="18">
        <v>947430</v>
      </c>
      <c r="K737" t="s">
        <v>1840</v>
      </c>
      <c r="L737" t="s">
        <v>9</v>
      </c>
      <c r="M737" t="s">
        <v>1888</v>
      </c>
      <c r="N737" t="s">
        <v>3</v>
      </c>
      <c r="O737" t="s">
        <v>3</v>
      </c>
      <c r="P737" t="s">
        <v>5</v>
      </c>
      <c r="Q737" t="s">
        <v>1889</v>
      </c>
      <c r="R737" t="s">
        <v>3</v>
      </c>
      <c r="S737" t="s">
        <v>3</v>
      </c>
      <c r="T737" t="s">
        <v>3</v>
      </c>
      <c r="U737" t="s">
        <v>3</v>
      </c>
      <c r="V737" t="s">
        <v>3</v>
      </c>
      <c r="W737" t="s">
        <v>68</v>
      </c>
      <c r="X737" s="17">
        <v>43220</v>
      </c>
      <c r="Y737" t="s">
        <v>800</v>
      </c>
      <c r="Z737" s="17">
        <v>43201</v>
      </c>
      <c r="AA737" t="s">
        <v>3</v>
      </c>
      <c r="AB737" t="s">
        <v>1887</v>
      </c>
    </row>
    <row r="738" spans="1:28" hidden="1">
      <c r="A738" t="s">
        <v>1890</v>
      </c>
      <c r="B738" s="17">
        <v>43201</v>
      </c>
      <c r="C738" s="17">
        <v>43201</v>
      </c>
      <c r="D738" t="s">
        <v>0</v>
      </c>
      <c r="E738" t="s">
        <v>1</v>
      </c>
      <c r="F738" s="18">
        <v>297182</v>
      </c>
      <c r="G738" s="18">
        <v>297182</v>
      </c>
      <c r="H738" t="s">
        <v>2</v>
      </c>
      <c r="I738" t="s">
        <v>8</v>
      </c>
      <c r="J738" s="18">
        <v>24517515.010000002</v>
      </c>
      <c r="K738" t="s">
        <v>1867</v>
      </c>
      <c r="L738" t="s">
        <v>9</v>
      </c>
      <c r="M738" t="s">
        <v>1891</v>
      </c>
      <c r="N738" t="s">
        <v>3</v>
      </c>
      <c r="O738" t="s">
        <v>3</v>
      </c>
      <c r="P738" t="s">
        <v>5</v>
      </c>
      <c r="Q738" t="s">
        <v>1892</v>
      </c>
      <c r="R738" t="s">
        <v>3</v>
      </c>
      <c r="S738" t="s">
        <v>3</v>
      </c>
      <c r="T738" t="s">
        <v>3</v>
      </c>
      <c r="U738" t="s">
        <v>3</v>
      </c>
      <c r="V738" t="s">
        <v>3</v>
      </c>
      <c r="W738" t="s">
        <v>68</v>
      </c>
      <c r="X738" s="17">
        <v>43220</v>
      </c>
      <c r="Y738" t="s">
        <v>796</v>
      </c>
      <c r="Z738" s="17">
        <v>43201</v>
      </c>
      <c r="AA738" t="s">
        <v>3</v>
      </c>
      <c r="AB738" t="s">
        <v>1890</v>
      </c>
    </row>
    <row r="739" spans="1:28" hidden="1">
      <c r="A739" t="s">
        <v>1893</v>
      </c>
      <c r="B739" s="17">
        <v>43201</v>
      </c>
      <c r="C739" s="17">
        <v>43201</v>
      </c>
      <c r="D739" t="s">
        <v>0</v>
      </c>
      <c r="E739" t="s">
        <v>1</v>
      </c>
      <c r="F739" s="18">
        <v>24916</v>
      </c>
      <c r="G739" s="18">
        <v>24916</v>
      </c>
      <c r="H739" t="s">
        <v>2</v>
      </c>
      <c r="I739" t="s">
        <v>8</v>
      </c>
      <c r="J739" s="18">
        <v>2055570</v>
      </c>
      <c r="K739" t="s">
        <v>1867</v>
      </c>
      <c r="L739" t="s">
        <v>9</v>
      </c>
      <c r="M739" t="s">
        <v>1894</v>
      </c>
      <c r="N739" t="s">
        <v>3</v>
      </c>
      <c r="O739" t="s">
        <v>3</v>
      </c>
      <c r="P739" t="s">
        <v>5</v>
      </c>
      <c r="Q739" t="s">
        <v>1895</v>
      </c>
      <c r="R739" t="s">
        <v>3</v>
      </c>
      <c r="S739" t="s">
        <v>3</v>
      </c>
      <c r="T739" t="s">
        <v>3</v>
      </c>
      <c r="U739" t="s">
        <v>3</v>
      </c>
      <c r="V739" t="s">
        <v>3</v>
      </c>
      <c r="W739" t="s">
        <v>68</v>
      </c>
      <c r="X739" s="17">
        <v>43220</v>
      </c>
      <c r="Y739" t="s">
        <v>796</v>
      </c>
      <c r="Z739" s="17">
        <v>43201</v>
      </c>
      <c r="AA739" t="s">
        <v>3</v>
      </c>
      <c r="AB739" t="s">
        <v>1893</v>
      </c>
    </row>
    <row r="740" spans="1:28" hidden="1">
      <c r="A740" t="s">
        <v>1896</v>
      </c>
      <c r="B740" s="17">
        <v>43201</v>
      </c>
      <c r="C740" s="17">
        <v>43201</v>
      </c>
      <c r="D740" t="s">
        <v>0</v>
      </c>
      <c r="E740" t="s">
        <v>1</v>
      </c>
      <c r="F740" s="18">
        <v>61289</v>
      </c>
      <c r="G740" s="18">
        <v>61289</v>
      </c>
      <c r="H740" t="s">
        <v>2</v>
      </c>
      <c r="I740" t="s">
        <v>10</v>
      </c>
      <c r="J740" s="18">
        <v>5056342.5</v>
      </c>
      <c r="K740" t="s">
        <v>1859</v>
      </c>
      <c r="L740" t="s">
        <v>9</v>
      </c>
      <c r="M740" t="s">
        <v>1897</v>
      </c>
      <c r="N740" t="s">
        <v>3</v>
      </c>
      <c r="O740" t="s">
        <v>3</v>
      </c>
      <c r="P740" t="s">
        <v>5</v>
      </c>
      <c r="Q740" t="s">
        <v>1898</v>
      </c>
      <c r="R740" t="s">
        <v>3</v>
      </c>
      <c r="S740" t="s">
        <v>3</v>
      </c>
      <c r="T740" t="s">
        <v>3</v>
      </c>
      <c r="U740" t="s">
        <v>3</v>
      </c>
      <c r="V740" t="s">
        <v>3</v>
      </c>
      <c r="W740" t="s">
        <v>68</v>
      </c>
      <c r="X740" s="17">
        <v>43220</v>
      </c>
      <c r="Y740" t="s">
        <v>802</v>
      </c>
      <c r="Z740" s="17">
        <v>43201</v>
      </c>
      <c r="AA740" t="s">
        <v>3</v>
      </c>
      <c r="AB740" t="s">
        <v>1896</v>
      </c>
    </row>
    <row r="741" spans="1:28" hidden="1">
      <c r="A741" t="s">
        <v>1899</v>
      </c>
      <c r="B741" s="17">
        <v>43201</v>
      </c>
      <c r="C741" s="17">
        <v>43201</v>
      </c>
      <c r="D741" t="s">
        <v>0</v>
      </c>
      <c r="E741" t="s">
        <v>1</v>
      </c>
      <c r="F741" s="18">
        <v>-36727</v>
      </c>
      <c r="G741" s="18">
        <v>-36727</v>
      </c>
      <c r="H741" t="s">
        <v>2</v>
      </c>
      <c r="I741" t="s">
        <v>8</v>
      </c>
      <c r="J741" s="18">
        <v>-3029977.51</v>
      </c>
      <c r="K741" t="s">
        <v>1900</v>
      </c>
      <c r="L741" t="s">
        <v>9</v>
      </c>
      <c r="M741" t="s">
        <v>1901</v>
      </c>
      <c r="N741" t="s">
        <v>3</v>
      </c>
      <c r="O741" t="s">
        <v>3</v>
      </c>
      <c r="P741" t="s">
        <v>5</v>
      </c>
      <c r="Q741" t="s">
        <v>1902</v>
      </c>
      <c r="R741" t="s">
        <v>3</v>
      </c>
      <c r="S741" t="s">
        <v>3</v>
      </c>
      <c r="T741" t="s">
        <v>3</v>
      </c>
      <c r="U741" t="s">
        <v>3</v>
      </c>
      <c r="V741" t="s">
        <v>3</v>
      </c>
      <c r="W741" t="s">
        <v>68</v>
      </c>
      <c r="X741" s="17">
        <v>43212</v>
      </c>
      <c r="Y741" t="s">
        <v>1903</v>
      </c>
      <c r="Z741" s="17">
        <v>43201</v>
      </c>
      <c r="AA741" t="s">
        <v>3</v>
      </c>
      <c r="AB741" t="s">
        <v>1899</v>
      </c>
    </row>
    <row r="742" spans="1:28" hidden="1">
      <c r="A742" t="s">
        <v>1904</v>
      </c>
      <c r="B742" s="17">
        <v>43201</v>
      </c>
      <c r="C742" s="17">
        <v>43201</v>
      </c>
      <c r="D742" t="s">
        <v>0</v>
      </c>
      <c r="E742" t="s">
        <v>1</v>
      </c>
      <c r="F742" s="18">
        <v>-7616</v>
      </c>
      <c r="G742" s="18">
        <v>-7616</v>
      </c>
      <c r="H742" t="s">
        <v>2</v>
      </c>
      <c r="I742" t="s">
        <v>10</v>
      </c>
      <c r="J742" s="18">
        <v>-628320.01</v>
      </c>
      <c r="K742" t="s">
        <v>1905</v>
      </c>
      <c r="L742" t="s">
        <v>9</v>
      </c>
      <c r="M742" t="s">
        <v>1906</v>
      </c>
      <c r="N742" t="s">
        <v>3</v>
      </c>
      <c r="O742" t="s">
        <v>3</v>
      </c>
      <c r="P742" t="s">
        <v>5</v>
      </c>
      <c r="Q742" t="s">
        <v>1907</v>
      </c>
      <c r="R742" t="s">
        <v>3</v>
      </c>
      <c r="S742" t="s">
        <v>3</v>
      </c>
      <c r="T742" t="s">
        <v>3</v>
      </c>
      <c r="U742" t="s">
        <v>3</v>
      </c>
      <c r="V742" t="s">
        <v>3</v>
      </c>
      <c r="W742" t="s">
        <v>68</v>
      </c>
      <c r="X742" s="17">
        <v>43209</v>
      </c>
      <c r="Y742" t="s">
        <v>1908</v>
      </c>
      <c r="Z742" s="17">
        <v>43201</v>
      </c>
      <c r="AA742" t="s">
        <v>3</v>
      </c>
      <c r="AB742" t="s">
        <v>1904</v>
      </c>
    </row>
    <row r="743" spans="1:28" hidden="1">
      <c r="A743" t="s">
        <v>1909</v>
      </c>
      <c r="B743" s="17">
        <v>43202</v>
      </c>
      <c r="C743" s="17">
        <v>43202</v>
      </c>
      <c r="D743" t="s">
        <v>0</v>
      </c>
      <c r="E743" t="s">
        <v>1</v>
      </c>
      <c r="F743" s="18">
        <v>6147</v>
      </c>
      <c r="G743" s="18">
        <v>6147</v>
      </c>
      <c r="H743" t="s">
        <v>2</v>
      </c>
      <c r="I743" t="s">
        <v>10</v>
      </c>
      <c r="J743" s="18">
        <v>507127.5</v>
      </c>
      <c r="K743" t="s">
        <v>1862</v>
      </c>
      <c r="L743" t="s">
        <v>9</v>
      </c>
      <c r="M743" t="s">
        <v>1910</v>
      </c>
      <c r="N743" t="s">
        <v>3</v>
      </c>
      <c r="O743" t="s">
        <v>3</v>
      </c>
      <c r="P743" t="s">
        <v>5</v>
      </c>
      <c r="Q743" t="s">
        <v>1911</v>
      </c>
      <c r="R743" t="s">
        <v>3</v>
      </c>
      <c r="S743" t="s">
        <v>3</v>
      </c>
      <c r="T743" t="s">
        <v>3</v>
      </c>
      <c r="U743" t="s">
        <v>3</v>
      </c>
      <c r="V743" t="s">
        <v>3</v>
      </c>
      <c r="W743" t="s">
        <v>68</v>
      </c>
      <c r="X743" s="17">
        <v>43220</v>
      </c>
      <c r="Y743" t="s">
        <v>804</v>
      </c>
      <c r="Z743" s="17">
        <v>43202</v>
      </c>
      <c r="AA743" t="s">
        <v>3</v>
      </c>
      <c r="AB743" t="s">
        <v>1909</v>
      </c>
    </row>
    <row r="744" spans="1:28" hidden="1">
      <c r="A744" t="s">
        <v>1912</v>
      </c>
      <c r="B744" s="17">
        <v>43202</v>
      </c>
      <c r="C744" s="17">
        <v>43202</v>
      </c>
      <c r="D744" t="s">
        <v>0</v>
      </c>
      <c r="E744" t="s">
        <v>1</v>
      </c>
      <c r="F744" s="18">
        <v>8572</v>
      </c>
      <c r="G744" s="18">
        <v>8572</v>
      </c>
      <c r="H744" t="s">
        <v>2</v>
      </c>
      <c r="I744" t="s">
        <v>8</v>
      </c>
      <c r="J744" s="18">
        <v>707190</v>
      </c>
      <c r="K744" t="s">
        <v>1867</v>
      </c>
      <c r="L744" t="s">
        <v>9</v>
      </c>
      <c r="M744" t="s">
        <v>1913</v>
      </c>
      <c r="N744" t="s">
        <v>3</v>
      </c>
      <c r="O744" t="s">
        <v>3</v>
      </c>
      <c r="P744" t="s">
        <v>5</v>
      </c>
      <c r="Q744" t="s">
        <v>1914</v>
      </c>
      <c r="R744" t="s">
        <v>3</v>
      </c>
      <c r="S744" t="s">
        <v>3</v>
      </c>
      <c r="T744" t="s">
        <v>3</v>
      </c>
      <c r="U744" t="s">
        <v>3</v>
      </c>
      <c r="V744" t="s">
        <v>3</v>
      </c>
      <c r="W744" t="s">
        <v>68</v>
      </c>
      <c r="X744" s="17">
        <v>43220</v>
      </c>
      <c r="Y744" t="s">
        <v>796</v>
      </c>
      <c r="Z744" s="17">
        <v>43202</v>
      </c>
      <c r="AA744" t="s">
        <v>3</v>
      </c>
      <c r="AB744" t="s">
        <v>1912</v>
      </c>
    </row>
    <row r="745" spans="1:28" hidden="1">
      <c r="A745" t="s">
        <v>1916</v>
      </c>
      <c r="B745" s="17">
        <v>43206</v>
      </c>
      <c r="C745" s="17">
        <v>43206</v>
      </c>
      <c r="D745" t="s">
        <v>0</v>
      </c>
      <c r="E745" t="s">
        <v>1</v>
      </c>
      <c r="F745" s="18">
        <v>104114</v>
      </c>
      <c r="G745" s="18">
        <v>104114</v>
      </c>
      <c r="H745" t="s">
        <v>2</v>
      </c>
      <c r="I745" t="s">
        <v>8</v>
      </c>
      <c r="J745" s="18">
        <v>8589405.0099999998</v>
      </c>
      <c r="K745" t="s">
        <v>1917</v>
      </c>
      <c r="L745" t="s">
        <v>9</v>
      </c>
      <c r="M745" t="s">
        <v>1918</v>
      </c>
      <c r="N745" t="s">
        <v>3</v>
      </c>
      <c r="O745" t="s">
        <v>3</v>
      </c>
      <c r="P745" t="s">
        <v>5</v>
      </c>
      <c r="Q745" t="s">
        <v>1919</v>
      </c>
      <c r="R745" t="s">
        <v>3</v>
      </c>
      <c r="S745" t="s">
        <v>3</v>
      </c>
      <c r="T745" t="s">
        <v>3</v>
      </c>
      <c r="U745" t="s">
        <v>3</v>
      </c>
      <c r="V745" t="s">
        <v>3</v>
      </c>
      <c r="W745" t="s">
        <v>68</v>
      </c>
      <c r="X745" s="17">
        <v>43223</v>
      </c>
      <c r="Y745" t="s">
        <v>823</v>
      </c>
      <c r="Z745" s="17">
        <v>43206</v>
      </c>
      <c r="AA745" t="s">
        <v>3</v>
      </c>
      <c r="AB745" t="s">
        <v>1916</v>
      </c>
    </row>
    <row r="746" spans="1:28" hidden="1">
      <c r="A746" t="s">
        <v>1920</v>
      </c>
      <c r="B746" s="17">
        <v>43206</v>
      </c>
      <c r="C746" s="17">
        <v>43206</v>
      </c>
      <c r="D746" t="s">
        <v>0</v>
      </c>
      <c r="E746" t="s">
        <v>1</v>
      </c>
      <c r="F746" s="18">
        <v>55264</v>
      </c>
      <c r="G746" s="18">
        <v>55264</v>
      </c>
      <c r="H746" t="s">
        <v>2</v>
      </c>
      <c r="I746" t="s">
        <v>8</v>
      </c>
      <c r="J746" s="18">
        <v>4559280.01</v>
      </c>
      <c r="K746" t="s">
        <v>1921</v>
      </c>
      <c r="L746" t="s">
        <v>9</v>
      </c>
      <c r="M746" t="s">
        <v>1922</v>
      </c>
      <c r="N746" t="s">
        <v>3</v>
      </c>
      <c r="O746" t="s">
        <v>3</v>
      </c>
      <c r="P746" t="s">
        <v>5</v>
      </c>
      <c r="Q746" t="s">
        <v>1923</v>
      </c>
      <c r="R746" t="s">
        <v>3</v>
      </c>
      <c r="S746" t="s">
        <v>3</v>
      </c>
      <c r="T746" t="s">
        <v>3</v>
      </c>
      <c r="U746" t="s">
        <v>3</v>
      </c>
      <c r="V746" t="s">
        <v>3</v>
      </c>
      <c r="W746" t="s">
        <v>68</v>
      </c>
      <c r="X746" s="17">
        <v>43220</v>
      </c>
      <c r="Y746" t="s">
        <v>806</v>
      </c>
      <c r="Z746" s="17">
        <v>43206</v>
      </c>
      <c r="AA746" t="s">
        <v>3</v>
      </c>
      <c r="AB746" t="s">
        <v>1920</v>
      </c>
    </row>
    <row r="747" spans="1:28" hidden="1">
      <c r="A747" t="s">
        <v>1924</v>
      </c>
      <c r="B747" s="17">
        <v>43206</v>
      </c>
      <c r="C747" s="17">
        <v>43206</v>
      </c>
      <c r="D747" t="s">
        <v>0</v>
      </c>
      <c r="E747" t="s">
        <v>1</v>
      </c>
      <c r="F747" s="18">
        <v>-134023</v>
      </c>
      <c r="G747" s="18">
        <v>-134023</v>
      </c>
      <c r="H747" t="s">
        <v>2</v>
      </c>
      <c r="I747" t="s">
        <v>8</v>
      </c>
      <c r="J747" s="18">
        <v>-11056897.51</v>
      </c>
      <c r="K747" t="s">
        <v>1925</v>
      </c>
      <c r="L747" t="s">
        <v>9</v>
      </c>
      <c r="M747" t="s">
        <v>1926</v>
      </c>
      <c r="N747" t="s">
        <v>3</v>
      </c>
      <c r="O747" t="s">
        <v>3</v>
      </c>
      <c r="P747" t="s">
        <v>5</v>
      </c>
      <c r="Q747" t="s">
        <v>1927</v>
      </c>
      <c r="R747" t="s">
        <v>3</v>
      </c>
      <c r="S747" t="s">
        <v>3</v>
      </c>
      <c r="T747" t="s">
        <v>3</v>
      </c>
      <c r="U747" t="s">
        <v>3</v>
      </c>
      <c r="V747" t="s">
        <v>3</v>
      </c>
      <c r="W747" t="s">
        <v>68</v>
      </c>
      <c r="X747" s="17">
        <v>43227</v>
      </c>
      <c r="Y747" t="s">
        <v>820</v>
      </c>
      <c r="Z747" s="17">
        <v>43206</v>
      </c>
      <c r="AA747" t="s">
        <v>3</v>
      </c>
      <c r="AB747" t="s">
        <v>1924</v>
      </c>
    </row>
    <row r="748" spans="1:28" hidden="1">
      <c r="A748" t="s">
        <v>1928</v>
      </c>
      <c r="B748" s="17">
        <v>43207</v>
      </c>
      <c r="C748" s="17">
        <v>43207</v>
      </c>
      <c r="D748" t="s">
        <v>0</v>
      </c>
      <c r="E748" t="s">
        <v>1</v>
      </c>
      <c r="F748" s="18">
        <v>17448</v>
      </c>
      <c r="G748" s="18">
        <v>17448</v>
      </c>
      <c r="H748" t="s">
        <v>2</v>
      </c>
      <c r="I748" t="s">
        <v>8</v>
      </c>
      <c r="J748" s="18">
        <v>1439460</v>
      </c>
      <c r="K748" t="s">
        <v>1921</v>
      </c>
      <c r="L748" t="s">
        <v>9</v>
      </c>
      <c r="M748" t="s">
        <v>1929</v>
      </c>
      <c r="N748" t="s">
        <v>3</v>
      </c>
      <c r="O748" t="s">
        <v>3</v>
      </c>
      <c r="P748" t="s">
        <v>5</v>
      </c>
      <c r="Q748" t="s">
        <v>1930</v>
      </c>
      <c r="R748" t="s">
        <v>3</v>
      </c>
      <c r="S748" t="s">
        <v>3</v>
      </c>
      <c r="T748" t="s">
        <v>3</v>
      </c>
      <c r="U748" t="s">
        <v>3</v>
      </c>
      <c r="V748" t="s">
        <v>3</v>
      </c>
      <c r="W748" t="s">
        <v>68</v>
      </c>
      <c r="X748" s="17">
        <v>43220</v>
      </c>
      <c r="Y748" t="s">
        <v>806</v>
      </c>
      <c r="Z748" s="17">
        <v>43207</v>
      </c>
      <c r="AA748" t="s">
        <v>3</v>
      </c>
      <c r="AB748" t="s">
        <v>1928</v>
      </c>
    </row>
    <row r="749" spans="1:28" hidden="1">
      <c r="A749" t="s">
        <v>1954</v>
      </c>
      <c r="B749" s="17">
        <v>43207</v>
      </c>
      <c r="C749" s="17">
        <v>43207</v>
      </c>
      <c r="D749" t="s">
        <v>0</v>
      </c>
      <c r="E749" t="s">
        <v>1</v>
      </c>
      <c r="F749" s="18">
        <v>40</v>
      </c>
      <c r="G749" s="18">
        <v>40</v>
      </c>
      <c r="H749" t="s">
        <v>2</v>
      </c>
      <c r="I749" t="s">
        <v>8</v>
      </c>
      <c r="J749" s="18">
        <v>3300</v>
      </c>
      <c r="K749" t="s">
        <v>1955</v>
      </c>
      <c r="L749" t="s">
        <v>9</v>
      </c>
      <c r="M749" t="s">
        <v>1929</v>
      </c>
      <c r="N749" t="s">
        <v>3</v>
      </c>
      <c r="O749" t="s">
        <v>3</v>
      </c>
      <c r="P749" t="s">
        <v>5</v>
      </c>
      <c r="Q749" t="s">
        <v>1930</v>
      </c>
      <c r="R749" t="s">
        <v>3</v>
      </c>
      <c r="S749" t="s">
        <v>3</v>
      </c>
      <c r="T749" t="s">
        <v>3</v>
      </c>
      <c r="U749" t="s">
        <v>3</v>
      </c>
      <c r="V749" t="s">
        <v>3</v>
      </c>
      <c r="W749" t="s">
        <v>68</v>
      </c>
      <c r="X749" s="17">
        <v>43220</v>
      </c>
      <c r="Y749" t="s">
        <v>806</v>
      </c>
      <c r="Z749" s="17">
        <v>43207</v>
      </c>
      <c r="AA749" t="s">
        <v>3</v>
      </c>
      <c r="AB749" t="s">
        <v>1954</v>
      </c>
    </row>
    <row r="750" spans="1:28" hidden="1">
      <c r="A750" t="s">
        <v>1977</v>
      </c>
      <c r="B750" s="17">
        <v>43207</v>
      </c>
      <c r="C750" s="17">
        <v>43207</v>
      </c>
      <c r="D750" t="s">
        <v>0</v>
      </c>
      <c r="E750" t="s">
        <v>1</v>
      </c>
      <c r="F750" s="18">
        <v>8222</v>
      </c>
      <c r="G750" s="18">
        <v>8222</v>
      </c>
      <c r="H750" t="s">
        <v>2</v>
      </c>
      <c r="I750" t="s">
        <v>8</v>
      </c>
      <c r="J750" s="18">
        <v>678315</v>
      </c>
      <c r="K750" t="s">
        <v>1943</v>
      </c>
      <c r="L750" t="s">
        <v>9</v>
      </c>
      <c r="M750" t="s">
        <v>1978</v>
      </c>
      <c r="N750" t="s">
        <v>3</v>
      </c>
      <c r="O750" t="s">
        <v>3</v>
      </c>
      <c r="P750" t="s">
        <v>5</v>
      </c>
      <c r="Q750" t="s">
        <v>1979</v>
      </c>
      <c r="R750" t="s">
        <v>3</v>
      </c>
      <c r="S750" t="s">
        <v>3</v>
      </c>
      <c r="T750" t="s">
        <v>3</v>
      </c>
      <c r="U750" t="s">
        <v>3</v>
      </c>
      <c r="V750" t="s">
        <v>3</v>
      </c>
      <c r="W750" t="s">
        <v>68</v>
      </c>
      <c r="X750" s="17">
        <v>43223</v>
      </c>
      <c r="Y750" t="s">
        <v>832</v>
      </c>
      <c r="Z750" s="17">
        <v>43207</v>
      </c>
      <c r="AA750" t="s">
        <v>3</v>
      </c>
      <c r="AB750" t="s">
        <v>1977</v>
      </c>
    </row>
    <row r="751" spans="1:28" hidden="1">
      <c r="A751" t="s">
        <v>1977</v>
      </c>
      <c r="B751" s="17">
        <v>43207</v>
      </c>
      <c r="C751" s="17">
        <v>43207</v>
      </c>
      <c r="D751" t="s">
        <v>0</v>
      </c>
      <c r="E751" t="s">
        <v>1</v>
      </c>
      <c r="F751" s="18">
        <v>4326</v>
      </c>
      <c r="G751" s="18">
        <v>4326</v>
      </c>
      <c r="H751" t="s">
        <v>2</v>
      </c>
      <c r="I751" t="s">
        <v>8</v>
      </c>
      <c r="J751" s="18">
        <v>356895</v>
      </c>
      <c r="K751" t="s">
        <v>1917</v>
      </c>
      <c r="L751" t="s">
        <v>9</v>
      </c>
      <c r="M751" t="s">
        <v>1978</v>
      </c>
      <c r="N751" t="s">
        <v>3</v>
      </c>
      <c r="O751" t="s">
        <v>3</v>
      </c>
      <c r="P751" t="s">
        <v>5</v>
      </c>
      <c r="Q751" t="s">
        <v>1979</v>
      </c>
      <c r="R751" t="s">
        <v>3</v>
      </c>
      <c r="S751" t="s">
        <v>3</v>
      </c>
      <c r="T751" t="s">
        <v>3</v>
      </c>
      <c r="U751" t="s">
        <v>3</v>
      </c>
      <c r="V751" t="s">
        <v>3</v>
      </c>
      <c r="W751" t="s">
        <v>68</v>
      </c>
      <c r="X751" s="17">
        <v>43223</v>
      </c>
      <c r="Y751" t="s">
        <v>823</v>
      </c>
      <c r="Z751" s="17">
        <v>43207</v>
      </c>
      <c r="AA751" t="s">
        <v>3</v>
      </c>
      <c r="AB751" t="s">
        <v>1977</v>
      </c>
    </row>
    <row r="752" spans="1:28" hidden="1">
      <c r="A752" t="s">
        <v>1932</v>
      </c>
      <c r="B752" s="17">
        <v>43208</v>
      </c>
      <c r="C752" s="17">
        <v>43208</v>
      </c>
      <c r="D752" t="s">
        <v>0</v>
      </c>
      <c r="E752" t="s">
        <v>1</v>
      </c>
      <c r="F752" s="18">
        <v>-107953</v>
      </c>
      <c r="G752" s="18">
        <v>-107953</v>
      </c>
      <c r="H752" t="s">
        <v>2</v>
      </c>
      <c r="I752" t="s">
        <v>10</v>
      </c>
      <c r="J752" s="18">
        <v>-8906122.5099999998</v>
      </c>
      <c r="K752" t="s">
        <v>1933</v>
      </c>
      <c r="L752" t="s">
        <v>9</v>
      </c>
      <c r="M752" t="s">
        <v>1934</v>
      </c>
      <c r="N752" t="s">
        <v>3</v>
      </c>
      <c r="O752" t="s">
        <v>3</v>
      </c>
      <c r="P752" t="s">
        <v>5</v>
      </c>
      <c r="Q752" t="s">
        <v>1935</v>
      </c>
      <c r="R752" t="s">
        <v>3</v>
      </c>
      <c r="S752" t="s">
        <v>3</v>
      </c>
      <c r="T752" t="s">
        <v>3</v>
      </c>
      <c r="U752" t="s">
        <v>3</v>
      </c>
      <c r="V752" t="s">
        <v>3</v>
      </c>
      <c r="W752" t="s">
        <v>68</v>
      </c>
      <c r="X752" s="17">
        <v>43223</v>
      </c>
      <c r="Y752" t="s">
        <v>826</v>
      </c>
      <c r="Z752" s="17">
        <v>43208</v>
      </c>
      <c r="AA752" t="s">
        <v>3</v>
      </c>
      <c r="AB752" t="s">
        <v>1932</v>
      </c>
    </row>
    <row r="753" spans="1:28" hidden="1">
      <c r="A753" t="s">
        <v>1936</v>
      </c>
      <c r="B753" s="17">
        <v>43208</v>
      </c>
      <c r="C753" s="17">
        <v>43208</v>
      </c>
      <c r="D753" t="s">
        <v>0</v>
      </c>
      <c r="E753" t="s">
        <v>1</v>
      </c>
      <c r="F753" s="18">
        <v>-55483</v>
      </c>
      <c r="G753" s="18">
        <v>-55483</v>
      </c>
      <c r="H753" t="s">
        <v>2</v>
      </c>
      <c r="I753" t="s">
        <v>8</v>
      </c>
      <c r="J753" s="18">
        <v>-4577347.51</v>
      </c>
      <c r="K753" t="s">
        <v>1937</v>
      </c>
      <c r="L753" t="s">
        <v>9</v>
      </c>
      <c r="M753" t="s">
        <v>1938</v>
      </c>
      <c r="N753" t="s">
        <v>3</v>
      </c>
      <c r="O753" t="s">
        <v>3</v>
      </c>
      <c r="P753" t="s">
        <v>5</v>
      </c>
      <c r="Q753" t="s">
        <v>1939</v>
      </c>
      <c r="R753" t="s">
        <v>3</v>
      </c>
      <c r="S753" t="s">
        <v>3</v>
      </c>
      <c r="T753" t="s">
        <v>3</v>
      </c>
      <c r="U753" t="s">
        <v>3</v>
      </c>
      <c r="V753" t="s">
        <v>3</v>
      </c>
      <c r="W753" t="s">
        <v>68</v>
      </c>
      <c r="X753" s="17">
        <v>43229</v>
      </c>
      <c r="Y753" t="s">
        <v>1940</v>
      </c>
      <c r="Z753" s="17">
        <v>43208</v>
      </c>
      <c r="AA753" t="s">
        <v>3</v>
      </c>
      <c r="AB753" t="s">
        <v>1936</v>
      </c>
    </row>
    <row r="754" spans="1:28" hidden="1">
      <c r="A754" t="s">
        <v>1908</v>
      </c>
      <c r="B754" s="17">
        <v>43209</v>
      </c>
      <c r="C754" s="17">
        <v>43209</v>
      </c>
      <c r="D754" t="s">
        <v>0</v>
      </c>
      <c r="E754" t="s">
        <v>1</v>
      </c>
      <c r="F754" s="18">
        <v>7616</v>
      </c>
      <c r="G754" s="18">
        <v>7616</v>
      </c>
      <c r="H754" t="s">
        <v>2</v>
      </c>
      <c r="I754" t="s">
        <v>10</v>
      </c>
      <c r="J754" s="18">
        <v>628320.01</v>
      </c>
      <c r="K754" t="s">
        <v>1941</v>
      </c>
      <c r="L754" t="s">
        <v>9</v>
      </c>
      <c r="M754" t="s">
        <v>1941</v>
      </c>
      <c r="N754" t="s">
        <v>3</v>
      </c>
      <c r="O754" t="s">
        <v>3</v>
      </c>
      <c r="P754" t="s">
        <v>5</v>
      </c>
      <c r="Q754" t="s">
        <v>1942</v>
      </c>
      <c r="R754" t="s">
        <v>3</v>
      </c>
      <c r="S754" t="s">
        <v>3</v>
      </c>
      <c r="T754" t="s">
        <v>3</v>
      </c>
      <c r="U754" t="s">
        <v>3</v>
      </c>
      <c r="V754" t="s">
        <v>3</v>
      </c>
      <c r="W754" t="s">
        <v>68</v>
      </c>
      <c r="X754" s="17">
        <v>43209</v>
      </c>
      <c r="Y754" t="s">
        <v>1908</v>
      </c>
      <c r="Z754" s="17">
        <v>43209</v>
      </c>
      <c r="AA754" t="s">
        <v>3</v>
      </c>
      <c r="AB754" t="s">
        <v>1908</v>
      </c>
    </row>
    <row r="755" spans="1:28" hidden="1">
      <c r="A755" t="s">
        <v>1903</v>
      </c>
      <c r="B755" s="17">
        <v>43212</v>
      </c>
      <c r="C755" s="17">
        <v>43212</v>
      </c>
      <c r="D755" t="s">
        <v>0</v>
      </c>
      <c r="E755" t="s">
        <v>1</v>
      </c>
      <c r="F755" s="18">
        <v>160074</v>
      </c>
      <c r="G755" s="18">
        <v>160074</v>
      </c>
      <c r="H755" t="s">
        <v>2</v>
      </c>
      <c r="I755" t="s">
        <v>8</v>
      </c>
      <c r="J755" s="18">
        <v>13206105.01</v>
      </c>
      <c r="K755" t="s">
        <v>1943</v>
      </c>
      <c r="L755" t="s">
        <v>9</v>
      </c>
      <c r="M755" t="s">
        <v>1944</v>
      </c>
      <c r="N755" t="s">
        <v>3</v>
      </c>
      <c r="O755" t="s">
        <v>3</v>
      </c>
      <c r="P755" t="s">
        <v>5</v>
      </c>
      <c r="Q755" t="s">
        <v>1945</v>
      </c>
      <c r="R755" t="s">
        <v>3</v>
      </c>
      <c r="S755" t="s">
        <v>3</v>
      </c>
      <c r="T755" t="s">
        <v>3</v>
      </c>
      <c r="U755" t="s">
        <v>3</v>
      </c>
      <c r="V755" t="s">
        <v>3</v>
      </c>
      <c r="W755" t="s">
        <v>68</v>
      </c>
      <c r="X755" s="17">
        <v>43223</v>
      </c>
      <c r="Y755" t="s">
        <v>832</v>
      </c>
      <c r="Z755" s="17">
        <v>43212</v>
      </c>
      <c r="AA755" t="s">
        <v>3</v>
      </c>
      <c r="AB755" t="s">
        <v>1903</v>
      </c>
    </row>
    <row r="756" spans="1:28" hidden="1">
      <c r="A756" t="s">
        <v>1903</v>
      </c>
      <c r="B756" s="17">
        <v>43212</v>
      </c>
      <c r="C756" s="17">
        <v>43212</v>
      </c>
      <c r="D756" t="s">
        <v>0</v>
      </c>
      <c r="E756" t="s">
        <v>1</v>
      </c>
      <c r="F756" s="18">
        <v>1727</v>
      </c>
      <c r="G756" s="18">
        <v>1727</v>
      </c>
      <c r="H756" t="s">
        <v>2</v>
      </c>
      <c r="I756" t="s">
        <v>8</v>
      </c>
      <c r="J756" s="18">
        <v>142477.5</v>
      </c>
      <c r="K756" t="s">
        <v>1946</v>
      </c>
      <c r="L756" t="s">
        <v>9</v>
      </c>
      <c r="M756" t="s">
        <v>1944</v>
      </c>
      <c r="N756" t="s">
        <v>3</v>
      </c>
      <c r="O756" t="s">
        <v>3</v>
      </c>
      <c r="P756" t="s">
        <v>5</v>
      </c>
      <c r="Q756" t="s">
        <v>1945</v>
      </c>
      <c r="R756" t="s">
        <v>3</v>
      </c>
      <c r="S756" t="s">
        <v>3</v>
      </c>
      <c r="T756" t="s">
        <v>3</v>
      </c>
      <c r="U756" t="s">
        <v>3</v>
      </c>
      <c r="V756" t="s">
        <v>3</v>
      </c>
      <c r="W756" t="s">
        <v>68</v>
      </c>
      <c r="X756" s="17">
        <v>43227</v>
      </c>
      <c r="Y756" t="s">
        <v>820</v>
      </c>
      <c r="Z756" s="17">
        <v>43212</v>
      </c>
      <c r="AA756" t="s">
        <v>3</v>
      </c>
      <c r="AB756" t="s">
        <v>1903</v>
      </c>
    </row>
    <row r="757" spans="1:28" hidden="1">
      <c r="A757" t="s">
        <v>1903</v>
      </c>
      <c r="B757" s="17">
        <v>43212</v>
      </c>
      <c r="C757" s="17">
        <v>43212</v>
      </c>
      <c r="D757" t="s">
        <v>0</v>
      </c>
      <c r="E757" t="s">
        <v>1</v>
      </c>
      <c r="F757" s="18">
        <v>36727</v>
      </c>
      <c r="G757" s="18">
        <v>36727</v>
      </c>
      <c r="H757" t="s">
        <v>2</v>
      </c>
      <c r="I757" t="s">
        <v>8</v>
      </c>
      <c r="J757" s="18">
        <v>3029977.51</v>
      </c>
      <c r="K757" t="s">
        <v>1944</v>
      </c>
      <c r="L757" t="s">
        <v>9</v>
      </c>
      <c r="M757" t="s">
        <v>1944</v>
      </c>
      <c r="N757" t="s">
        <v>3</v>
      </c>
      <c r="O757" t="s">
        <v>3</v>
      </c>
      <c r="P757" t="s">
        <v>5</v>
      </c>
      <c r="Q757" t="s">
        <v>1945</v>
      </c>
      <c r="R757" t="s">
        <v>3</v>
      </c>
      <c r="S757" t="s">
        <v>3</v>
      </c>
      <c r="T757" t="s">
        <v>3</v>
      </c>
      <c r="U757" t="s">
        <v>3</v>
      </c>
      <c r="V757" t="s">
        <v>3</v>
      </c>
      <c r="W757" t="s">
        <v>68</v>
      </c>
      <c r="X757" s="17">
        <v>43212</v>
      </c>
      <c r="Y757" t="s">
        <v>1903</v>
      </c>
      <c r="Z757" s="17">
        <v>43212</v>
      </c>
      <c r="AA757" t="s">
        <v>3</v>
      </c>
      <c r="AB757" t="s">
        <v>1903</v>
      </c>
    </row>
    <row r="758" spans="1:28" hidden="1">
      <c r="A758" t="s">
        <v>1947</v>
      </c>
      <c r="B758" s="17">
        <v>43212</v>
      </c>
      <c r="C758" s="17">
        <v>43212</v>
      </c>
      <c r="D758" t="s">
        <v>0</v>
      </c>
      <c r="E758" t="s">
        <v>1</v>
      </c>
      <c r="F758" s="18">
        <v>-602650</v>
      </c>
      <c r="G758" s="18">
        <v>-602650</v>
      </c>
      <c r="H758" t="s">
        <v>2</v>
      </c>
      <c r="I758" t="s">
        <v>8</v>
      </c>
      <c r="J758" s="18">
        <v>-49718625.009999998</v>
      </c>
      <c r="K758" t="s">
        <v>1948</v>
      </c>
      <c r="L758" t="s">
        <v>9</v>
      </c>
      <c r="M758" t="s">
        <v>1949</v>
      </c>
      <c r="N758" t="s">
        <v>3</v>
      </c>
      <c r="O758" t="s">
        <v>3</v>
      </c>
      <c r="P758" t="s">
        <v>5</v>
      </c>
      <c r="Q758" t="s">
        <v>1950</v>
      </c>
      <c r="R758" t="s">
        <v>3</v>
      </c>
      <c r="S758" t="s">
        <v>3</v>
      </c>
      <c r="T758" t="s">
        <v>3</v>
      </c>
      <c r="U758" t="s">
        <v>3</v>
      </c>
      <c r="V758" t="s">
        <v>3</v>
      </c>
      <c r="W758" t="s">
        <v>68</v>
      </c>
      <c r="X758" s="17">
        <v>43234</v>
      </c>
      <c r="Y758" t="s">
        <v>838</v>
      </c>
      <c r="Z758" s="17">
        <v>43212</v>
      </c>
      <c r="AA758" t="s">
        <v>3</v>
      </c>
      <c r="AB758" t="s">
        <v>1947</v>
      </c>
    </row>
    <row r="759" spans="1:28" hidden="1">
      <c r="A759" t="s">
        <v>1951</v>
      </c>
      <c r="B759" s="17">
        <v>43213</v>
      </c>
      <c r="C759" s="17">
        <v>43213</v>
      </c>
      <c r="D759" t="s">
        <v>0</v>
      </c>
      <c r="E759" t="s">
        <v>1</v>
      </c>
      <c r="F759" s="18">
        <v>6133</v>
      </c>
      <c r="G759" s="18">
        <v>6133</v>
      </c>
      <c r="H759" t="s">
        <v>2</v>
      </c>
      <c r="I759" t="s">
        <v>10</v>
      </c>
      <c r="J759" s="18">
        <v>505972.5</v>
      </c>
      <c r="K759" t="s">
        <v>1859</v>
      </c>
      <c r="L759" t="s">
        <v>9</v>
      </c>
      <c r="M759" t="s">
        <v>1952</v>
      </c>
      <c r="N759" t="s">
        <v>3</v>
      </c>
      <c r="O759" t="s">
        <v>3</v>
      </c>
      <c r="P759" t="s">
        <v>5</v>
      </c>
      <c r="Q759" t="s">
        <v>1953</v>
      </c>
      <c r="R759" t="s">
        <v>3</v>
      </c>
      <c r="S759" t="s">
        <v>3</v>
      </c>
      <c r="T759" t="s">
        <v>3</v>
      </c>
      <c r="U759" t="s">
        <v>3</v>
      </c>
      <c r="V759" t="s">
        <v>3</v>
      </c>
      <c r="W759" t="s">
        <v>68</v>
      </c>
      <c r="X759" s="17">
        <v>43220</v>
      </c>
      <c r="Y759" t="s">
        <v>802</v>
      </c>
      <c r="Z759" s="17">
        <v>43213</v>
      </c>
      <c r="AA759" t="s">
        <v>3</v>
      </c>
      <c r="AB759" t="s">
        <v>1951</v>
      </c>
    </row>
    <row r="760" spans="1:28" hidden="1">
      <c r="A760" t="s">
        <v>1980</v>
      </c>
      <c r="B760" s="17">
        <v>43213</v>
      </c>
      <c r="C760" s="17">
        <v>43213</v>
      </c>
      <c r="D760" t="s">
        <v>0</v>
      </c>
      <c r="E760" t="s">
        <v>1</v>
      </c>
      <c r="F760" s="18">
        <v>81766</v>
      </c>
      <c r="G760" s="18">
        <v>81766</v>
      </c>
      <c r="H760" t="s">
        <v>2</v>
      </c>
      <c r="I760" t="s">
        <v>8</v>
      </c>
      <c r="J760" s="18">
        <v>6745695</v>
      </c>
      <c r="K760" t="s">
        <v>1943</v>
      </c>
      <c r="L760" t="s">
        <v>9</v>
      </c>
      <c r="M760" t="s">
        <v>1981</v>
      </c>
      <c r="N760" t="s">
        <v>3</v>
      </c>
      <c r="O760" t="s">
        <v>3</v>
      </c>
      <c r="P760" t="s">
        <v>5</v>
      </c>
      <c r="Q760" t="s">
        <v>1982</v>
      </c>
      <c r="R760" t="s">
        <v>3</v>
      </c>
      <c r="S760" t="s">
        <v>3</v>
      </c>
      <c r="T760" t="s">
        <v>3</v>
      </c>
      <c r="U760" t="s">
        <v>3</v>
      </c>
      <c r="V760" t="s">
        <v>3</v>
      </c>
      <c r="W760" t="s">
        <v>68</v>
      </c>
      <c r="X760" s="17">
        <v>43223</v>
      </c>
      <c r="Y760" t="s">
        <v>832</v>
      </c>
      <c r="Z760" s="17">
        <v>43213</v>
      </c>
      <c r="AA760" t="s">
        <v>3</v>
      </c>
      <c r="AB760" t="s">
        <v>1980</v>
      </c>
    </row>
    <row r="761" spans="1:28" hidden="1">
      <c r="A761" t="s">
        <v>1956</v>
      </c>
      <c r="B761" s="17">
        <v>43216</v>
      </c>
      <c r="C761" s="17">
        <v>43216</v>
      </c>
      <c r="D761" t="s">
        <v>0</v>
      </c>
      <c r="E761" t="s">
        <v>1</v>
      </c>
      <c r="F761" s="18">
        <v>12734</v>
      </c>
      <c r="G761" s="18">
        <v>12734</v>
      </c>
      <c r="H761" t="s">
        <v>2</v>
      </c>
      <c r="I761" t="s">
        <v>8</v>
      </c>
      <c r="J761" s="18">
        <v>1050555</v>
      </c>
      <c r="K761" t="s">
        <v>1943</v>
      </c>
      <c r="L761" t="s">
        <v>9</v>
      </c>
      <c r="M761" t="s">
        <v>1957</v>
      </c>
      <c r="N761" t="s">
        <v>3</v>
      </c>
      <c r="O761" t="s">
        <v>3</v>
      </c>
      <c r="P761" t="s">
        <v>5</v>
      </c>
      <c r="Q761" t="s">
        <v>1958</v>
      </c>
      <c r="R761" t="s">
        <v>3</v>
      </c>
      <c r="S761" t="s">
        <v>3</v>
      </c>
      <c r="T761" t="s">
        <v>3</v>
      </c>
      <c r="U761" t="s">
        <v>3</v>
      </c>
      <c r="V761" t="s">
        <v>3</v>
      </c>
      <c r="W761" t="s">
        <v>68</v>
      </c>
      <c r="X761" s="17">
        <v>43223</v>
      </c>
      <c r="Y761" t="s">
        <v>832</v>
      </c>
      <c r="Z761" s="17">
        <v>43216</v>
      </c>
      <c r="AA761" t="s">
        <v>3</v>
      </c>
      <c r="AB761" t="s">
        <v>1956</v>
      </c>
    </row>
    <row r="762" spans="1:28" hidden="1">
      <c r="A762" t="s">
        <v>1959</v>
      </c>
      <c r="B762" s="17">
        <v>43216</v>
      </c>
      <c r="C762" s="17">
        <v>43216</v>
      </c>
      <c r="D762" t="s">
        <v>0</v>
      </c>
      <c r="E762" t="s">
        <v>1</v>
      </c>
      <c r="F762" s="18">
        <v>-228779</v>
      </c>
      <c r="G762" s="18">
        <v>-228779</v>
      </c>
      <c r="H762" t="s">
        <v>2</v>
      </c>
      <c r="I762" t="s">
        <v>10</v>
      </c>
      <c r="J762" s="18">
        <v>-18874267.510000002</v>
      </c>
      <c r="K762" t="s">
        <v>1960</v>
      </c>
      <c r="L762" t="s">
        <v>9</v>
      </c>
      <c r="M762" t="s">
        <v>1961</v>
      </c>
      <c r="N762" t="s">
        <v>3</v>
      </c>
      <c r="O762" t="s">
        <v>3</v>
      </c>
      <c r="P762" t="s">
        <v>5</v>
      </c>
      <c r="Q762" t="s">
        <v>1962</v>
      </c>
      <c r="R762" t="s">
        <v>3</v>
      </c>
      <c r="S762" t="s">
        <v>3</v>
      </c>
      <c r="T762" t="s">
        <v>3</v>
      </c>
      <c r="U762" t="s">
        <v>3</v>
      </c>
      <c r="V762" t="s">
        <v>3</v>
      </c>
      <c r="W762" t="s">
        <v>68</v>
      </c>
      <c r="X762" s="17">
        <v>43231</v>
      </c>
      <c r="Y762" t="s">
        <v>817</v>
      </c>
      <c r="Z762" s="17">
        <v>43216</v>
      </c>
      <c r="AA762" t="s">
        <v>3</v>
      </c>
      <c r="AB762" t="s">
        <v>1959</v>
      </c>
    </row>
    <row r="763" spans="1:28" hidden="1">
      <c r="A763" t="s">
        <v>796</v>
      </c>
      <c r="B763" s="17">
        <v>43220</v>
      </c>
      <c r="C763" s="17">
        <v>43220</v>
      </c>
      <c r="D763" t="s">
        <v>7</v>
      </c>
      <c r="E763" t="s">
        <v>1</v>
      </c>
      <c r="F763" s="18">
        <v>3</v>
      </c>
      <c r="G763" s="18">
        <v>3</v>
      </c>
      <c r="H763" t="s">
        <v>2</v>
      </c>
      <c r="I763" t="s">
        <v>8</v>
      </c>
      <c r="J763" s="18">
        <v>247.5</v>
      </c>
      <c r="K763" t="s">
        <v>797</v>
      </c>
      <c r="L763" t="s">
        <v>9</v>
      </c>
      <c r="M763" t="s">
        <v>769</v>
      </c>
      <c r="N763" t="s">
        <v>3</v>
      </c>
      <c r="O763" t="s">
        <v>3</v>
      </c>
      <c r="P763" t="s">
        <v>5</v>
      </c>
      <c r="Q763" t="s">
        <v>797</v>
      </c>
      <c r="R763" t="s">
        <v>3</v>
      </c>
      <c r="S763" t="s">
        <v>3</v>
      </c>
      <c r="T763" t="s">
        <v>3</v>
      </c>
      <c r="U763" t="s">
        <v>3</v>
      </c>
      <c r="V763" t="s">
        <v>3</v>
      </c>
      <c r="W763" t="s">
        <v>68</v>
      </c>
      <c r="X763" s="17">
        <v>43220</v>
      </c>
      <c r="Y763" t="s">
        <v>796</v>
      </c>
      <c r="Z763" s="17">
        <v>43220</v>
      </c>
      <c r="AA763" t="s">
        <v>3</v>
      </c>
      <c r="AB763" t="s">
        <v>796</v>
      </c>
    </row>
    <row r="764" spans="1:28" hidden="1">
      <c r="A764" t="s">
        <v>798</v>
      </c>
      <c r="B764" s="17">
        <v>43220</v>
      </c>
      <c r="C764" s="17">
        <v>43220</v>
      </c>
      <c r="D764" t="s">
        <v>7</v>
      </c>
      <c r="E764" t="s">
        <v>1</v>
      </c>
      <c r="F764" s="18">
        <v>-1</v>
      </c>
      <c r="G764" s="18">
        <v>-1</v>
      </c>
      <c r="H764" t="s">
        <v>2</v>
      </c>
      <c r="I764" t="s">
        <v>8</v>
      </c>
      <c r="J764" s="18">
        <v>-82.5</v>
      </c>
      <c r="K764" t="s">
        <v>797</v>
      </c>
      <c r="L764" t="s">
        <v>9</v>
      </c>
      <c r="M764" t="s">
        <v>769</v>
      </c>
      <c r="N764" t="s">
        <v>3</v>
      </c>
      <c r="O764" t="s">
        <v>3</v>
      </c>
      <c r="P764" t="s">
        <v>5</v>
      </c>
      <c r="Q764" t="s">
        <v>799</v>
      </c>
      <c r="R764" t="s">
        <v>3</v>
      </c>
      <c r="S764" t="s">
        <v>3</v>
      </c>
      <c r="T764" t="s">
        <v>3</v>
      </c>
      <c r="U764" t="s">
        <v>3</v>
      </c>
      <c r="V764" t="s">
        <v>3</v>
      </c>
      <c r="W764" t="s">
        <v>68</v>
      </c>
      <c r="X764" s="17">
        <v>43220</v>
      </c>
      <c r="Y764" t="s">
        <v>798</v>
      </c>
      <c r="Z764" s="17">
        <v>43220</v>
      </c>
      <c r="AA764" t="s">
        <v>3</v>
      </c>
      <c r="AB764" t="s">
        <v>798</v>
      </c>
    </row>
    <row r="765" spans="1:28" hidden="1">
      <c r="A765" t="s">
        <v>800</v>
      </c>
      <c r="B765" s="17">
        <v>43220</v>
      </c>
      <c r="C765" s="17">
        <v>43220</v>
      </c>
      <c r="D765" t="s">
        <v>7</v>
      </c>
      <c r="E765" t="s">
        <v>1</v>
      </c>
      <c r="F765" s="18">
        <v>108946</v>
      </c>
      <c r="G765" s="18">
        <v>108946</v>
      </c>
      <c r="H765" t="s">
        <v>2</v>
      </c>
      <c r="I765" t="s">
        <v>8</v>
      </c>
      <c r="J765" s="18">
        <v>8988045</v>
      </c>
      <c r="K765" t="s">
        <v>801</v>
      </c>
      <c r="L765" t="s">
        <v>9</v>
      </c>
      <c r="M765" t="s">
        <v>769</v>
      </c>
      <c r="N765" t="s">
        <v>3</v>
      </c>
      <c r="O765" t="s">
        <v>3</v>
      </c>
      <c r="P765" t="s">
        <v>5</v>
      </c>
      <c r="Q765" t="s">
        <v>801</v>
      </c>
      <c r="R765" t="s">
        <v>3</v>
      </c>
      <c r="S765" t="s">
        <v>3</v>
      </c>
      <c r="T765" t="s">
        <v>3</v>
      </c>
      <c r="U765" t="s">
        <v>3</v>
      </c>
      <c r="V765" t="s">
        <v>3</v>
      </c>
      <c r="W765" t="s">
        <v>68</v>
      </c>
      <c r="X765" s="17">
        <v>43220</v>
      </c>
      <c r="Y765" t="s">
        <v>800</v>
      </c>
      <c r="Z765" s="17">
        <v>43220</v>
      </c>
      <c r="AA765" t="s">
        <v>3</v>
      </c>
      <c r="AB765" t="s">
        <v>800</v>
      </c>
    </row>
    <row r="766" spans="1:28" hidden="1">
      <c r="A766" t="s">
        <v>800</v>
      </c>
      <c r="B766" s="17">
        <v>43220</v>
      </c>
      <c r="C766" s="17">
        <v>43220</v>
      </c>
      <c r="D766" t="s">
        <v>7</v>
      </c>
      <c r="E766" t="s">
        <v>1</v>
      </c>
      <c r="F766" s="18">
        <v>-108946</v>
      </c>
      <c r="G766" s="18">
        <v>-108946</v>
      </c>
      <c r="H766" t="s">
        <v>2</v>
      </c>
      <c r="I766" t="s">
        <v>8</v>
      </c>
      <c r="J766" s="18">
        <v>-8988045</v>
      </c>
      <c r="K766" t="s">
        <v>801</v>
      </c>
      <c r="L766" t="s">
        <v>9</v>
      </c>
      <c r="M766" t="s">
        <v>769</v>
      </c>
      <c r="N766" t="s">
        <v>3</v>
      </c>
      <c r="O766" t="s">
        <v>3</v>
      </c>
      <c r="P766" t="s">
        <v>5</v>
      </c>
      <c r="Q766" t="s">
        <v>801</v>
      </c>
      <c r="R766" t="s">
        <v>3</v>
      </c>
      <c r="S766" t="s">
        <v>3</v>
      </c>
      <c r="T766" t="s">
        <v>3</v>
      </c>
      <c r="U766" t="s">
        <v>3</v>
      </c>
      <c r="V766" t="s">
        <v>3</v>
      </c>
      <c r="W766" t="s">
        <v>68</v>
      </c>
      <c r="X766" s="17">
        <v>43220</v>
      </c>
      <c r="Y766" t="s">
        <v>800</v>
      </c>
      <c r="Z766" s="17">
        <v>43220</v>
      </c>
      <c r="AA766" t="s">
        <v>3</v>
      </c>
      <c r="AB766" t="s">
        <v>800</v>
      </c>
    </row>
    <row r="767" spans="1:28" hidden="1">
      <c r="A767" t="s">
        <v>802</v>
      </c>
      <c r="B767" s="17">
        <v>43220</v>
      </c>
      <c r="C767" s="17">
        <v>43220</v>
      </c>
      <c r="D767" t="s">
        <v>7</v>
      </c>
      <c r="E767" t="s">
        <v>1</v>
      </c>
      <c r="F767" s="18">
        <v>96819</v>
      </c>
      <c r="G767" s="18">
        <v>96819</v>
      </c>
      <c r="H767" t="s">
        <v>2</v>
      </c>
      <c r="I767" t="s">
        <v>10</v>
      </c>
      <c r="J767" s="18">
        <v>7987567.5</v>
      </c>
      <c r="K767" t="s">
        <v>803</v>
      </c>
      <c r="L767" t="s">
        <v>9</v>
      </c>
      <c r="M767" t="s">
        <v>769</v>
      </c>
      <c r="N767" t="s">
        <v>3</v>
      </c>
      <c r="O767" t="s">
        <v>3</v>
      </c>
      <c r="P767" t="s">
        <v>5</v>
      </c>
      <c r="Q767" t="s">
        <v>803</v>
      </c>
      <c r="R767" t="s">
        <v>3</v>
      </c>
      <c r="S767" t="s">
        <v>3</v>
      </c>
      <c r="T767" t="s">
        <v>3</v>
      </c>
      <c r="U767" t="s">
        <v>3</v>
      </c>
      <c r="V767" t="s">
        <v>3</v>
      </c>
      <c r="W767" t="s">
        <v>68</v>
      </c>
      <c r="X767" s="17">
        <v>43220</v>
      </c>
      <c r="Y767" t="s">
        <v>802</v>
      </c>
      <c r="Z767" s="17">
        <v>43220</v>
      </c>
      <c r="AA767" t="s">
        <v>3</v>
      </c>
      <c r="AB767" t="s">
        <v>802</v>
      </c>
    </row>
    <row r="768" spans="1:28" hidden="1">
      <c r="A768" t="s">
        <v>802</v>
      </c>
      <c r="B768" s="17">
        <v>43220</v>
      </c>
      <c r="C768" s="17">
        <v>43220</v>
      </c>
      <c r="D768" t="s">
        <v>7</v>
      </c>
      <c r="E768" t="s">
        <v>1</v>
      </c>
      <c r="F768" s="18">
        <v>-96819</v>
      </c>
      <c r="G768" s="18">
        <v>-96819</v>
      </c>
      <c r="H768" t="s">
        <v>2</v>
      </c>
      <c r="I768" t="s">
        <v>10</v>
      </c>
      <c r="J768" s="18">
        <v>-7987567.5</v>
      </c>
      <c r="K768" t="s">
        <v>803</v>
      </c>
      <c r="L768" t="s">
        <v>9</v>
      </c>
      <c r="M768" t="s">
        <v>769</v>
      </c>
      <c r="N768" t="s">
        <v>3</v>
      </c>
      <c r="O768" t="s">
        <v>3</v>
      </c>
      <c r="P768" t="s">
        <v>5</v>
      </c>
      <c r="Q768" t="s">
        <v>803</v>
      </c>
      <c r="R768" t="s">
        <v>3</v>
      </c>
      <c r="S768" t="s">
        <v>3</v>
      </c>
      <c r="T768" t="s">
        <v>3</v>
      </c>
      <c r="U768" t="s">
        <v>3</v>
      </c>
      <c r="V768" t="s">
        <v>3</v>
      </c>
      <c r="W768" t="s">
        <v>68</v>
      </c>
      <c r="X768" s="17">
        <v>43220</v>
      </c>
      <c r="Y768" t="s">
        <v>802</v>
      </c>
      <c r="Z768" s="17">
        <v>43220</v>
      </c>
      <c r="AA768" t="s">
        <v>3</v>
      </c>
      <c r="AB768" t="s">
        <v>802</v>
      </c>
    </row>
    <row r="769" spans="1:28" hidden="1">
      <c r="A769" t="s">
        <v>804</v>
      </c>
      <c r="B769" s="17">
        <v>43220</v>
      </c>
      <c r="C769" s="17">
        <v>43220</v>
      </c>
      <c r="D769" t="s">
        <v>7</v>
      </c>
      <c r="E769" t="s">
        <v>1</v>
      </c>
      <c r="F769" s="18">
        <v>93088</v>
      </c>
      <c r="G769" s="18">
        <v>93088</v>
      </c>
      <c r="H769" t="s">
        <v>2</v>
      </c>
      <c r="I769" t="s">
        <v>10</v>
      </c>
      <c r="J769" s="18">
        <v>7679760.0099999998</v>
      </c>
      <c r="K769" t="s">
        <v>805</v>
      </c>
      <c r="L769" t="s">
        <v>9</v>
      </c>
      <c r="M769" t="s">
        <v>769</v>
      </c>
      <c r="N769" t="s">
        <v>3</v>
      </c>
      <c r="O769" t="s">
        <v>3</v>
      </c>
      <c r="P769" t="s">
        <v>5</v>
      </c>
      <c r="Q769" t="s">
        <v>805</v>
      </c>
      <c r="R769" t="s">
        <v>3</v>
      </c>
      <c r="S769" t="s">
        <v>3</v>
      </c>
      <c r="T769" t="s">
        <v>3</v>
      </c>
      <c r="U769" t="s">
        <v>3</v>
      </c>
      <c r="V769" t="s">
        <v>3</v>
      </c>
      <c r="W769" t="s">
        <v>68</v>
      </c>
      <c r="X769" s="17">
        <v>43220</v>
      </c>
      <c r="Y769" t="s">
        <v>804</v>
      </c>
      <c r="Z769" s="17">
        <v>43220</v>
      </c>
      <c r="AA769" t="s">
        <v>3</v>
      </c>
      <c r="AB769" t="s">
        <v>804</v>
      </c>
    </row>
    <row r="770" spans="1:28" hidden="1">
      <c r="A770" t="s">
        <v>804</v>
      </c>
      <c r="B770" s="17">
        <v>43220</v>
      </c>
      <c r="C770" s="17">
        <v>43220</v>
      </c>
      <c r="D770" t="s">
        <v>7</v>
      </c>
      <c r="E770" t="s">
        <v>1</v>
      </c>
      <c r="F770" s="18">
        <v>-93088</v>
      </c>
      <c r="G770" s="18">
        <v>-93088</v>
      </c>
      <c r="H770" t="s">
        <v>2</v>
      </c>
      <c r="I770" t="s">
        <v>10</v>
      </c>
      <c r="J770" s="18">
        <v>-7679760.0099999998</v>
      </c>
      <c r="K770" t="s">
        <v>805</v>
      </c>
      <c r="L770" t="s">
        <v>9</v>
      </c>
      <c r="M770" t="s">
        <v>769</v>
      </c>
      <c r="N770" t="s">
        <v>3</v>
      </c>
      <c r="O770" t="s">
        <v>3</v>
      </c>
      <c r="P770" t="s">
        <v>5</v>
      </c>
      <c r="Q770" t="s">
        <v>805</v>
      </c>
      <c r="R770" t="s">
        <v>3</v>
      </c>
      <c r="S770" t="s">
        <v>3</v>
      </c>
      <c r="T770" t="s">
        <v>3</v>
      </c>
      <c r="U770" t="s">
        <v>3</v>
      </c>
      <c r="V770" t="s">
        <v>3</v>
      </c>
      <c r="W770" t="s">
        <v>68</v>
      </c>
      <c r="X770" s="17">
        <v>43220</v>
      </c>
      <c r="Y770" t="s">
        <v>804</v>
      </c>
      <c r="Z770" s="17">
        <v>43220</v>
      </c>
      <c r="AA770" t="s">
        <v>3</v>
      </c>
      <c r="AB770" t="s">
        <v>804</v>
      </c>
    </row>
    <row r="771" spans="1:28" hidden="1">
      <c r="A771" t="s">
        <v>806</v>
      </c>
      <c r="B771" s="17">
        <v>43220</v>
      </c>
      <c r="C771" s="17">
        <v>43220</v>
      </c>
      <c r="D771" t="s">
        <v>7</v>
      </c>
      <c r="E771" t="s">
        <v>1</v>
      </c>
      <c r="F771" s="18">
        <v>72752</v>
      </c>
      <c r="G771" s="18">
        <v>72752</v>
      </c>
      <c r="H771" t="s">
        <v>2</v>
      </c>
      <c r="I771" t="s">
        <v>8</v>
      </c>
      <c r="J771" s="18">
        <v>6002040.0099999998</v>
      </c>
      <c r="K771" t="s">
        <v>807</v>
      </c>
      <c r="L771" t="s">
        <v>9</v>
      </c>
      <c r="M771" t="s">
        <v>769</v>
      </c>
      <c r="N771" t="s">
        <v>3</v>
      </c>
      <c r="O771" t="s">
        <v>3</v>
      </c>
      <c r="P771" t="s">
        <v>5</v>
      </c>
      <c r="Q771" t="s">
        <v>807</v>
      </c>
      <c r="R771" t="s">
        <v>3</v>
      </c>
      <c r="S771" t="s">
        <v>3</v>
      </c>
      <c r="T771" t="s">
        <v>3</v>
      </c>
      <c r="U771" t="s">
        <v>3</v>
      </c>
      <c r="V771" t="s">
        <v>3</v>
      </c>
      <c r="W771" t="s">
        <v>68</v>
      </c>
      <c r="X771" s="17">
        <v>43220</v>
      </c>
      <c r="Y771" t="s">
        <v>806</v>
      </c>
      <c r="Z771" s="17">
        <v>43220</v>
      </c>
      <c r="AA771" t="s">
        <v>3</v>
      </c>
      <c r="AB771" t="s">
        <v>806</v>
      </c>
    </row>
    <row r="772" spans="1:28" hidden="1">
      <c r="A772" t="s">
        <v>806</v>
      </c>
      <c r="B772" s="17">
        <v>43220</v>
      </c>
      <c r="C772" s="17">
        <v>43220</v>
      </c>
      <c r="D772" t="s">
        <v>7</v>
      </c>
      <c r="E772" t="s">
        <v>1</v>
      </c>
      <c r="F772" s="18">
        <v>-72752</v>
      </c>
      <c r="G772" s="18">
        <v>-72752</v>
      </c>
      <c r="H772" t="s">
        <v>2</v>
      </c>
      <c r="I772" t="s">
        <v>8</v>
      </c>
      <c r="J772" s="18">
        <v>-6002040.0099999998</v>
      </c>
      <c r="K772" t="s">
        <v>807</v>
      </c>
      <c r="L772" t="s">
        <v>9</v>
      </c>
      <c r="M772" t="s">
        <v>769</v>
      </c>
      <c r="N772" t="s">
        <v>3</v>
      </c>
      <c r="O772" t="s">
        <v>3</v>
      </c>
      <c r="P772" t="s">
        <v>5</v>
      </c>
      <c r="Q772" t="s">
        <v>807</v>
      </c>
      <c r="R772" t="s">
        <v>3</v>
      </c>
      <c r="S772" t="s">
        <v>3</v>
      </c>
      <c r="T772" t="s">
        <v>3</v>
      </c>
      <c r="U772" t="s">
        <v>3</v>
      </c>
      <c r="V772" t="s">
        <v>3</v>
      </c>
      <c r="W772" t="s">
        <v>68</v>
      </c>
      <c r="X772" s="17">
        <v>43220</v>
      </c>
      <c r="Y772" t="s">
        <v>806</v>
      </c>
      <c r="Z772" s="17">
        <v>43220</v>
      </c>
      <c r="AA772" t="s">
        <v>3</v>
      </c>
      <c r="AB772" t="s">
        <v>806</v>
      </c>
    </row>
    <row r="773" spans="1:28" hidden="1">
      <c r="A773" t="s">
        <v>1963</v>
      </c>
      <c r="B773" s="17">
        <v>43220</v>
      </c>
      <c r="C773" s="17">
        <v>43220</v>
      </c>
      <c r="D773" t="s">
        <v>0</v>
      </c>
      <c r="E773" t="s">
        <v>1</v>
      </c>
      <c r="F773" s="18">
        <v>35251</v>
      </c>
      <c r="G773" s="18">
        <v>35251</v>
      </c>
      <c r="H773" t="s">
        <v>2</v>
      </c>
      <c r="I773" t="s">
        <v>10</v>
      </c>
      <c r="J773" s="18">
        <v>2908207.5</v>
      </c>
      <c r="K773" t="s">
        <v>1964</v>
      </c>
      <c r="L773" t="s">
        <v>9</v>
      </c>
      <c r="M773" t="s">
        <v>1965</v>
      </c>
      <c r="N773" t="s">
        <v>3</v>
      </c>
      <c r="O773" t="s">
        <v>3</v>
      </c>
      <c r="P773" t="s">
        <v>5</v>
      </c>
      <c r="Q773" t="s">
        <v>1966</v>
      </c>
      <c r="R773" t="s">
        <v>3</v>
      </c>
      <c r="S773" t="s">
        <v>3</v>
      </c>
      <c r="T773" t="s">
        <v>3</v>
      </c>
      <c r="U773" t="s">
        <v>3</v>
      </c>
      <c r="V773" t="s">
        <v>3</v>
      </c>
      <c r="W773" t="s">
        <v>68</v>
      </c>
      <c r="X773" s="17">
        <v>43223</v>
      </c>
      <c r="Y773" t="s">
        <v>826</v>
      </c>
      <c r="Z773" s="17">
        <v>43220</v>
      </c>
      <c r="AA773" t="s">
        <v>3</v>
      </c>
      <c r="AB773" t="s">
        <v>1963</v>
      </c>
    </row>
    <row r="774" spans="1:28" hidden="1">
      <c r="A774" t="s">
        <v>1967</v>
      </c>
      <c r="B774" s="17">
        <v>43220</v>
      </c>
      <c r="C774" s="17">
        <v>43220</v>
      </c>
      <c r="D774" t="s">
        <v>0</v>
      </c>
      <c r="E774" t="s">
        <v>1</v>
      </c>
      <c r="F774" s="18">
        <v>37203</v>
      </c>
      <c r="G774" s="18">
        <v>37203</v>
      </c>
      <c r="H774" t="s">
        <v>2</v>
      </c>
      <c r="I774" t="s">
        <v>10</v>
      </c>
      <c r="J774" s="18">
        <v>3069247.5</v>
      </c>
      <c r="K774" t="s">
        <v>1964</v>
      </c>
      <c r="L774" t="s">
        <v>9</v>
      </c>
      <c r="M774" t="s">
        <v>1968</v>
      </c>
      <c r="N774" t="s">
        <v>3</v>
      </c>
      <c r="O774" t="s">
        <v>3</v>
      </c>
      <c r="P774" t="s">
        <v>5</v>
      </c>
      <c r="Q774" t="s">
        <v>1969</v>
      </c>
      <c r="R774" t="s">
        <v>3</v>
      </c>
      <c r="S774" t="s">
        <v>3</v>
      </c>
      <c r="T774" t="s">
        <v>3</v>
      </c>
      <c r="U774" t="s">
        <v>3</v>
      </c>
      <c r="V774" t="s">
        <v>3</v>
      </c>
      <c r="W774" t="s">
        <v>68</v>
      </c>
      <c r="X774" s="17">
        <v>43223</v>
      </c>
      <c r="Y774" t="s">
        <v>826</v>
      </c>
      <c r="Z774" s="17">
        <v>43220</v>
      </c>
      <c r="AA774" t="s">
        <v>3</v>
      </c>
      <c r="AB774" t="s">
        <v>1967</v>
      </c>
    </row>
    <row r="775" spans="1:28" hidden="1">
      <c r="A775" t="s">
        <v>1970</v>
      </c>
      <c r="B775" s="17">
        <v>43220</v>
      </c>
      <c r="C775" s="17">
        <v>43220</v>
      </c>
      <c r="D775" t="s">
        <v>0</v>
      </c>
      <c r="E775" t="s">
        <v>1</v>
      </c>
      <c r="F775" s="18">
        <v>12677</v>
      </c>
      <c r="G775" s="18">
        <v>12677</v>
      </c>
      <c r="H775" t="s">
        <v>2</v>
      </c>
      <c r="I775" t="s">
        <v>8</v>
      </c>
      <c r="J775" s="18">
        <v>1045852.5</v>
      </c>
      <c r="K775" t="s">
        <v>1946</v>
      </c>
      <c r="L775" t="s">
        <v>9</v>
      </c>
      <c r="M775" t="s">
        <v>1971</v>
      </c>
      <c r="N775" t="s">
        <v>3</v>
      </c>
      <c r="O775" t="s">
        <v>3</v>
      </c>
      <c r="P775" t="s">
        <v>5</v>
      </c>
      <c r="Q775" t="s">
        <v>1972</v>
      </c>
      <c r="R775" t="s">
        <v>3</v>
      </c>
      <c r="S775" t="s">
        <v>3</v>
      </c>
      <c r="T775" t="s">
        <v>3</v>
      </c>
      <c r="U775" t="s">
        <v>3</v>
      </c>
      <c r="V775" t="s">
        <v>3</v>
      </c>
      <c r="W775" t="s">
        <v>68</v>
      </c>
      <c r="X775" s="17">
        <v>43227</v>
      </c>
      <c r="Y775" t="s">
        <v>820</v>
      </c>
      <c r="Z775" s="17">
        <v>43220</v>
      </c>
      <c r="AA775" t="s">
        <v>3</v>
      </c>
      <c r="AB775" t="s">
        <v>1970</v>
      </c>
    </row>
    <row r="776" spans="1:28" hidden="1">
      <c r="A776" t="s">
        <v>1973</v>
      </c>
      <c r="B776" s="17">
        <v>43220</v>
      </c>
      <c r="C776" s="17">
        <v>43220</v>
      </c>
      <c r="D776" t="s">
        <v>0</v>
      </c>
      <c r="E776" t="s">
        <v>1</v>
      </c>
      <c r="F776" s="18">
        <v>-354088</v>
      </c>
      <c r="G776" s="18">
        <v>-354088</v>
      </c>
      <c r="H776" t="s">
        <v>2</v>
      </c>
      <c r="I776" t="s">
        <v>8</v>
      </c>
      <c r="J776" s="18">
        <v>-29212260.010000002</v>
      </c>
      <c r="K776" t="s">
        <v>1974</v>
      </c>
      <c r="L776" t="s">
        <v>9</v>
      </c>
      <c r="M776" t="s">
        <v>1975</v>
      </c>
      <c r="N776" t="s">
        <v>3</v>
      </c>
      <c r="O776" t="s">
        <v>3</v>
      </c>
      <c r="P776" t="s">
        <v>5</v>
      </c>
      <c r="Q776" t="s">
        <v>1976</v>
      </c>
      <c r="R776" t="s">
        <v>3</v>
      </c>
      <c r="S776" t="s">
        <v>3</v>
      </c>
      <c r="T776" t="s">
        <v>3</v>
      </c>
      <c r="U776" t="s">
        <v>3</v>
      </c>
      <c r="V776" t="s">
        <v>3</v>
      </c>
      <c r="W776" t="s">
        <v>68</v>
      </c>
      <c r="X776" s="17">
        <v>43234</v>
      </c>
      <c r="Y776" t="s">
        <v>808</v>
      </c>
      <c r="Z776" s="17">
        <v>43220</v>
      </c>
      <c r="AA776" t="s">
        <v>3</v>
      </c>
      <c r="AB776" t="s">
        <v>1973</v>
      </c>
    </row>
    <row r="777" spans="1:28" hidden="1">
      <c r="A777" t="s">
        <v>2058</v>
      </c>
      <c r="B777" s="17">
        <v>43220</v>
      </c>
      <c r="C777" s="17">
        <v>43220</v>
      </c>
      <c r="D777" t="s">
        <v>0</v>
      </c>
      <c r="E777" t="s">
        <v>1</v>
      </c>
      <c r="F777" s="18">
        <v>-348430</v>
      </c>
      <c r="G777" s="18">
        <v>-348430</v>
      </c>
      <c r="H777" t="s">
        <v>2</v>
      </c>
      <c r="I777" t="s">
        <v>8</v>
      </c>
      <c r="J777" s="18">
        <v>-28745475</v>
      </c>
      <c r="K777" t="s">
        <v>644</v>
      </c>
      <c r="L777" t="s">
        <v>9</v>
      </c>
      <c r="M777" t="s">
        <v>645</v>
      </c>
      <c r="N777" t="s">
        <v>3</v>
      </c>
      <c r="O777" t="s">
        <v>3</v>
      </c>
      <c r="P777" t="s">
        <v>5</v>
      </c>
      <c r="Q777" t="s">
        <v>646</v>
      </c>
      <c r="R777" t="s">
        <v>3</v>
      </c>
      <c r="S777" t="s">
        <v>3</v>
      </c>
      <c r="T777" t="s">
        <v>3</v>
      </c>
      <c r="U777" t="s">
        <v>3</v>
      </c>
      <c r="V777" t="s">
        <v>3</v>
      </c>
      <c r="W777" t="s">
        <v>68</v>
      </c>
      <c r="X777" s="17">
        <v>43221</v>
      </c>
      <c r="Y777" t="s">
        <v>643</v>
      </c>
      <c r="Z777" s="17">
        <v>43220</v>
      </c>
      <c r="AA777" t="s">
        <v>3</v>
      </c>
      <c r="AB777" t="s">
        <v>2058</v>
      </c>
    </row>
    <row r="778" spans="1:28" hidden="1">
      <c r="A778" t="s">
        <v>2058</v>
      </c>
      <c r="B778" s="17">
        <v>43220</v>
      </c>
      <c r="C778" s="17">
        <v>43220</v>
      </c>
      <c r="D778" t="s">
        <v>0</v>
      </c>
      <c r="E778" t="s">
        <v>1</v>
      </c>
      <c r="F778" s="18">
        <v>244793</v>
      </c>
      <c r="G778" s="18">
        <v>244793</v>
      </c>
      <c r="H778" t="s">
        <v>2</v>
      </c>
      <c r="I778" t="s">
        <v>8</v>
      </c>
      <c r="J778" s="18">
        <v>20195422.5</v>
      </c>
      <c r="K778" t="s">
        <v>644</v>
      </c>
      <c r="L778" t="s">
        <v>9</v>
      </c>
      <c r="M778" t="s">
        <v>645</v>
      </c>
      <c r="N778" t="s">
        <v>3</v>
      </c>
      <c r="O778" t="s">
        <v>3</v>
      </c>
      <c r="P778" t="s">
        <v>5</v>
      </c>
      <c r="Q778" t="s">
        <v>646</v>
      </c>
      <c r="R778" t="s">
        <v>3</v>
      </c>
      <c r="S778" t="s">
        <v>3</v>
      </c>
      <c r="T778" t="s">
        <v>3</v>
      </c>
      <c r="U778" t="s">
        <v>3</v>
      </c>
      <c r="V778" t="s">
        <v>3</v>
      </c>
      <c r="W778" t="s">
        <v>68</v>
      </c>
      <c r="X778" s="17">
        <v>43221</v>
      </c>
      <c r="Y778" t="s">
        <v>643</v>
      </c>
      <c r="Z778" s="17">
        <v>43220</v>
      </c>
      <c r="AA778" t="s">
        <v>3</v>
      </c>
      <c r="AB778" t="s">
        <v>2058</v>
      </c>
    </row>
    <row r="779" spans="1:28" hidden="1">
      <c r="A779" t="s">
        <v>643</v>
      </c>
      <c r="B779" s="17">
        <v>43221</v>
      </c>
      <c r="C779" s="17">
        <v>43220</v>
      </c>
      <c r="D779" t="s">
        <v>38</v>
      </c>
      <c r="E779" t="s">
        <v>1</v>
      </c>
      <c r="F779" s="18">
        <v>348430</v>
      </c>
      <c r="G779" s="18">
        <v>348430</v>
      </c>
      <c r="H779" t="s">
        <v>2</v>
      </c>
      <c r="I779" t="s">
        <v>8</v>
      </c>
      <c r="J779" s="18">
        <v>28745475</v>
      </c>
      <c r="K779" t="s">
        <v>644</v>
      </c>
      <c r="L779" t="s">
        <v>9</v>
      </c>
      <c r="M779" t="s">
        <v>645</v>
      </c>
      <c r="N779" t="s">
        <v>3</v>
      </c>
      <c r="O779" t="s">
        <v>3</v>
      </c>
      <c r="P779" t="s">
        <v>5</v>
      </c>
      <c r="Q779" t="s">
        <v>646</v>
      </c>
      <c r="R779" t="s">
        <v>3</v>
      </c>
      <c r="S779" t="s">
        <v>3</v>
      </c>
      <c r="T779" t="s">
        <v>3</v>
      </c>
      <c r="U779" t="s">
        <v>3</v>
      </c>
      <c r="V779" t="s">
        <v>3</v>
      </c>
      <c r="W779" t="s">
        <v>68</v>
      </c>
      <c r="X779" s="17">
        <v>43221</v>
      </c>
      <c r="Y779" t="s">
        <v>643</v>
      </c>
      <c r="Z779" s="17">
        <v>43220</v>
      </c>
      <c r="AA779" t="s">
        <v>3</v>
      </c>
      <c r="AB779" t="s">
        <v>643</v>
      </c>
    </row>
    <row r="780" spans="1:28" hidden="1">
      <c r="A780" t="s">
        <v>643</v>
      </c>
      <c r="B780" s="17">
        <v>43221</v>
      </c>
      <c r="C780" s="17">
        <v>43220</v>
      </c>
      <c r="D780" t="s">
        <v>38</v>
      </c>
      <c r="E780" t="s">
        <v>1</v>
      </c>
      <c r="F780" s="18">
        <v>-244793</v>
      </c>
      <c r="G780" s="18">
        <v>-244793</v>
      </c>
      <c r="H780" t="s">
        <v>2</v>
      </c>
      <c r="I780" t="s">
        <v>8</v>
      </c>
      <c r="J780" s="18">
        <v>-20195422.5</v>
      </c>
      <c r="K780" t="s">
        <v>644</v>
      </c>
      <c r="L780" t="s">
        <v>9</v>
      </c>
      <c r="M780" t="s">
        <v>645</v>
      </c>
      <c r="N780" t="s">
        <v>3</v>
      </c>
      <c r="O780" t="s">
        <v>3</v>
      </c>
      <c r="P780" t="s">
        <v>5</v>
      </c>
      <c r="Q780" t="s">
        <v>646</v>
      </c>
      <c r="R780" t="s">
        <v>3</v>
      </c>
      <c r="S780" t="s">
        <v>3</v>
      </c>
      <c r="T780" t="s">
        <v>3</v>
      </c>
      <c r="U780" t="s">
        <v>3</v>
      </c>
      <c r="V780" t="s">
        <v>3</v>
      </c>
      <c r="W780" t="s">
        <v>68</v>
      </c>
      <c r="X780" s="17">
        <v>43221</v>
      </c>
      <c r="Y780" t="s">
        <v>643</v>
      </c>
      <c r="Z780" s="17">
        <v>43220</v>
      </c>
      <c r="AA780" t="s">
        <v>3</v>
      </c>
      <c r="AB780" t="s">
        <v>643</v>
      </c>
    </row>
    <row r="781" spans="1:28" hidden="1">
      <c r="A781" t="s">
        <v>823</v>
      </c>
      <c r="B781" s="17">
        <v>43223</v>
      </c>
      <c r="C781" s="17">
        <v>43223</v>
      </c>
      <c r="D781" t="s">
        <v>7</v>
      </c>
      <c r="E781" t="s">
        <v>1</v>
      </c>
      <c r="F781" s="18">
        <v>108440</v>
      </c>
      <c r="G781" s="18">
        <v>108440</v>
      </c>
      <c r="H781" t="s">
        <v>2</v>
      </c>
      <c r="I781" t="s">
        <v>8</v>
      </c>
      <c r="J781" s="18">
        <v>8946300.0099999998</v>
      </c>
      <c r="K781" t="s">
        <v>824</v>
      </c>
      <c r="L781" t="s">
        <v>9</v>
      </c>
      <c r="M781" t="s">
        <v>825</v>
      </c>
      <c r="N781" t="s">
        <v>3</v>
      </c>
      <c r="O781" t="s">
        <v>3</v>
      </c>
      <c r="P781" t="s">
        <v>5</v>
      </c>
      <c r="Q781" t="s">
        <v>824</v>
      </c>
      <c r="R781" t="s">
        <v>3</v>
      </c>
      <c r="S781" t="s">
        <v>3</v>
      </c>
      <c r="T781" t="s">
        <v>3</v>
      </c>
      <c r="U781" t="s">
        <v>3</v>
      </c>
      <c r="V781" t="s">
        <v>3</v>
      </c>
      <c r="W781" t="s">
        <v>68</v>
      </c>
      <c r="X781" s="17">
        <v>43223</v>
      </c>
      <c r="Y781" t="s">
        <v>823</v>
      </c>
      <c r="Z781" s="17">
        <v>43223</v>
      </c>
      <c r="AA781" t="s">
        <v>3</v>
      </c>
      <c r="AB781" t="s">
        <v>823</v>
      </c>
    </row>
    <row r="782" spans="1:28" hidden="1">
      <c r="A782" t="s">
        <v>823</v>
      </c>
      <c r="B782" s="17">
        <v>43223</v>
      </c>
      <c r="C782" s="17">
        <v>43223</v>
      </c>
      <c r="D782" t="s">
        <v>7</v>
      </c>
      <c r="E782" t="s">
        <v>1</v>
      </c>
      <c r="F782" s="18">
        <v>-108440</v>
      </c>
      <c r="G782" s="18">
        <v>-108440</v>
      </c>
      <c r="H782" t="s">
        <v>2</v>
      </c>
      <c r="I782" t="s">
        <v>8</v>
      </c>
      <c r="J782" s="18">
        <v>-8946300.0099999998</v>
      </c>
      <c r="K782" t="s">
        <v>824</v>
      </c>
      <c r="L782" t="s">
        <v>9</v>
      </c>
      <c r="M782" t="s">
        <v>825</v>
      </c>
      <c r="N782" t="s">
        <v>3</v>
      </c>
      <c r="O782" t="s">
        <v>3</v>
      </c>
      <c r="P782" t="s">
        <v>5</v>
      </c>
      <c r="Q782" t="s">
        <v>824</v>
      </c>
      <c r="R782" t="s">
        <v>3</v>
      </c>
      <c r="S782" t="s">
        <v>3</v>
      </c>
      <c r="T782" t="s">
        <v>3</v>
      </c>
      <c r="U782" t="s">
        <v>3</v>
      </c>
      <c r="V782" t="s">
        <v>3</v>
      </c>
      <c r="W782" t="s">
        <v>68</v>
      </c>
      <c r="X782" s="17">
        <v>43223</v>
      </c>
      <c r="Y782" t="s">
        <v>823</v>
      </c>
      <c r="Z782" s="17">
        <v>43223</v>
      </c>
      <c r="AA782" t="s">
        <v>3</v>
      </c>
      <c r="AB782" t="s">
        <v>823</v>
      </c>
    </row>
    <row r="783" spans="1:28" hidden="1">
      <c r="A783" t="s">
        <v>826</v>
      </c>
      <c r="B783" s="17">
        <v>43223</v>
      </c>
      <c r="C783" s="17">
        <v>43223</v>
      </c>
      <c r="D783" t="s">
        <v>7</v>
      </c>
      <c r="E783" t="s">
        <v>1</v>
      </c>
      <c r="F783" s="18">
        <v>0</v>
      </c>
      <c r="G783" s="18">
        <v>0</v>
      </c>
      <c r="H783" t="s">
        <v>2</v>
      </c>
      <c r="I783" t="s">
        <v>10</v>
      </c>
      <c r="J783" s="18">
        <v>0.01</v>
      </c>
      <c r="K783" t="s">
        <v>827</v>
      </c>
      <c r="L783" t="s">
        <v>9</v>
      </c>
      <c r="M783" t="s">
        <v>828</v>
      </c>
      <c r="N783" t="s">
        <v>3</v>
      </c>
      <c r="O783" t="s">
        <v>3</v>
      </c>
      <c r="P783" t="s">
        <v>5</v>
      </c>
      <c r="Q783" t="s">
        <v>827</v>
      </c>
      <c r="R783" t="s">
        <v>3</v>
      </c>
      <c r="S783" t="s">
        <v>3</v>
      </c>
      <c r="T783" t="s">
        <v>3</v>
      </c>
      <c r="U783" t="s">
        <v>3</v>
      </c>
      <c r="V783" t="s">
        <v>3</v>
      </c>
      <c r="W783" t="s">
        <v>68</v>
      </c>
      <c r="X783" s="17">
        <v>43223</v>
      </c>
      <c r="Y783" t="s">
        <v>826</v>
      </c>
      <c r="Z783" s="17">
        <v>43223</v>
      </c>
      <c r="AA783" t="s">
        <v>3</v>
      </c>
      <c r="AB783" t="s">
        <v>826</v>
      </c>
    </row>
    <row r="784" spans="1:28" hidden="1">
      <c r="A784" t="s">
        <v>832</v>
      </c>
      <c r="B784" s="17">
        <v>43223</v>
      </c>
      <c r="C784" s="17">
        <v>43223</v>
      </c>
      <c r="D784" t="s">
        <v>7</v>
      </c>
      <c r="E784" t="s">
        <v>1</v>
      </c>
      <c r="F784" s="18">
        <v>1</v>
      </c>
      <c r="G784" s="18">
        <v>1</v>
      </c>
      <c r="H784" t="s">
        <v>2</v>
      </c>
      <c r="I784" t="s">
        <v>8</v>
      </c>
      <c r="J784" s="18">
        <v>82.5</v>
      </c>
      <c r="K784" t="s">
        <v>833</v>
      </c>
      <c r="L784" t="s">
        <v>9</v>
      </c>
      <c r="M784" t="s">
        <v>834</v>
      </c>
      <c r="N784" t="s">
        <v>3</v>
      </c>
      <c r="O784" t="s">
        <v>3</v>
      </c>
      <c r="P784" t="s">
        <v>5</v>
      </c>
      <c r="Q784" t="s">
        <v>833</v>
      </c>
      <c r="R784" t="s">
        <v>3</v>
      </c>
      <c r="S784" t="s">
        <v>3</v>
      </c>
      <c r="T784" t="s">
        <v>3</v>
      </c>
      <c r="U784" t="s">
        <v>3</v>
      </c>
      <c r="V784" t="s">
        <v>3</v>
      </c>
      <c r="W784" t="s">
        <v>68</v>
      </c>
      <c r="X784" s="17">
        <v>43223</v>
      </c>
      <c r="Y784" t="s">
        <v>832</v>
      </c>
      <c r="Z784" s="17">
        <v>43223</v>
      </c>
      <c r="AA784" t="s">
        <v>3</v>
      </c>
      <c r="AB784" t="s">
        <v>832</v>
      </c>
    </row>
    <row r="785" spans="1:28" hidden="1">
      <c r="A785" t="s">
        <v>1983</v>
      </c>
      <c r="B785" s="17">
        <v>43223</v>
      </c>
      <c r="C785" s="17">
        <v>43223</v>
      </c>
      <c r="D785" t="s">
        <v>0</v>
      </c>
      <c r="E785" t="s">
        <v>1</v>
      </c>
      <c r="F785" s="18">
        <v>35499</v>
      </c>
      <c r="G785" s="18">
        <v>35499</v>
      </c>
      <c r="H785" t="s">
        <v>2</v>
      </c>
      <c r="I785" t="s">
        <v>10</v>
      </c>
      <c r="J785" s="18">
        <v>2928667.5</v>
      </c>
      <c r="K785" t="s">
        <v>1964</v>
      </c>
      <c r="L785" t="s">
        <v>9</v>
      </c>
      <c r="M785" t="s">
        <v>1984</v>
      </c>
      <c r="N785" t="s">
        <v>3</v>
      </c>
      <c r="O785" t="s">
        <v>3</v>
      </c>
      <c r="P785" t="s">
        <v>5</v>
      </c>
      <c r="Q785" t="s">
        <v>1985</v>
      </c>
      <c r="R785" t="s">
        <v>3</v>
      </c>
      <c r="S785" t="s">
        <v>3</v>
      </c>
      <c r="T785" t="s">
        <v>3</v>
      </c>
      <c r="U785" t="s">
        <v>3</v>
      </c>
      <c r="V785" t="s">
        <v>3</v>
      </c>
      <c r="W785" t="s">
        <v>68</v>
      </c>
      <c r="X785" s="17">
        <v>43223</v>
      </c>
      <c r="Y785" t="s">
        <v>826</v>
      </c>
      <c r="Z785" s="17">
        <v>43223</v>
      </c>
      <c r="AA785" t="s">
        <v>3</v>
      </c>
      <c r="AB785" t="s">
        <v>1983</v>
      </c>
    </row>
    <row r="786" spans="1:28" hidden="1">
      <c r="A786" t="s">
        <v>1986</v>
      </c>
      <c r="B786" s="17">
        <v>43223</v>
      </c>
      <c r="C786" s="17">
        <v>43223</v>
      </c>
      <c r="D786" t="s">
        <v>0</v>
      </c>
      <c r="E786" t="s">
        <v>1</v>
      </c>
      <c r="F786" s="18">
        <v>45739</v>
      </c>
      <c r="G786" s="18">
        <v>45739</v>
      </c>
      <c r="H786" t="s">
        <v>2</v>
      </c>
      <c r="I786" t="s">
        <v>8</v>
      </c>
      <c r="J786" s="18">
        <v>3773467.5</v>
      </c>
      <c r="K786" t="s">
        <v>1987</v>
      </c>
      <c r="L786" t="s">
        <v>9</v>
      </c>
      <c r="M786" t="s">
        <v>1988</v>
      </c>
      <c r="N786" t="s">
        <v>3</v>
      </c>
      <c r="O786" t="s">
        <v>3</v>
      </c>
      <c r="P786" t="s">
        <v>5</v>
      </c>
      <c r="Q786" t="s">
        <v>1989</v>
      </c>
      <c r="R786" t="s">
        <v>3</v>
      </c>
      <c r="S786" t="s">
        <v>3</v>
      </c>
      <c r="T786" t="s">
        <v>3</v>
      </c>
      <c r="U786" t="s">
        <v>3</v>
      </c>
      <c r="V786" t="s">
        <v>3</v>
      </c>
      <c r="W786" t="s">
        <v>68</v>
      </c>
      <c r="X786" s="17">
        <v>43234</v>
      </c>
      <c r="Y786" t="s">
        <v>838</v>
      </c>
      <c r="Z786" s="17">
        <v>43223</v>
      </c>
      <c r="AA786" t="s">
        <v>3</v>
      </c>
      <c r="AB786" t="s">
        <v>1986</v>
      </c>
    </row>
    <row r="787" spans="1:28" hidden="1">
      <c r="A787" t="s">
        <v>1986</v>
      </c>
      <c r="B787" s="17">
        <v>43223</v>
      </c>
      <c r="C787" s="17">
        <v>43223</v>
      </c>
      <c r="D787" t="s">
        <v>0</v>
      </c>
      <c r="E787" t="s">
        <v>1</v>
      </c>
      <c r="F787" s="18">
        <v>9190</v>
      </c>
      <c r="G787" s="18">
        <v>9190</v>
      </c>
      <c r="H787" t="s">
        <v>2</v>
      </c>
      <c r="I787" t="s">
        <v>8</v>
      </c>
      <c r="J787" s="18">
        <v>758175</v>
      </c>
      <c r="K787" t="s">
        <v>1946</v>
      </c>
      <c r="L787" t="s">
        <v>9</v>
      </c>
      <c r="M787" t="s">
        <v>1988</v>
      </c>
      <c r="N787" t="s">
        <v>3</v>
      </c>
      <c r="O787" t="s">
        <v>3</v>
      </c>
      <c r="P787" t="s">
        <v>5</v>
      </c>
      <c r="Q787" t="s">
        <v>1989</v>
      </c>
      <c r="R787" t="s">
        <v>3</v>
      </c>
      <c r="S787" t="s">
        <v>3</v>
      </c>
      <c r="T787" t="s">
        <v>3</v>
      </c>
      <c r="U787" t="s">
        <v>3</v>
      </c>
      <c r="V787" t="s">
        <v>3</v>
      </c>
      <c r="W787" t="s">
        <v>68</v>
      </c>
      <c r="X787" s="17">
        <v>43227</v>
      </c>
      <c r="Y787" t="s">
        <v>820</v>
      </c>
      <c r="Z787" s="17">
        <v>43223</v>
      </c>
      <c r="AA787" t="s">
        <v>3</v>
      </c>
      <c r="AB787" t="s">
        <v>1986</v>
      </c>
    </row>
    <row r="788" spans="1:28" hidden="1">
      <c r="A788" t="s">
        <v>2019</v>
      </c>
      <c r="B788" s="17">
        <v>43226</v>
      </c>
      <c r="C788" s="17">
        <v>43226</v>
      </c>
      <c r="D788" t="s">
        <v>0</v>
      </c>
      <c r="E788" t="s">
        <v>1</v>
      </c>
      <c r="F788" s="18">
        <v>-91558</v>
      </c>
      <c r="G788" s="18">
        <v>-91558</v>
      </c>
      <c r="H788" t="s">
        <v>2</v>
      </c>
      <c r="I788" t="s">
        <v>10</v>
      </c>
      <c r="J788" s="18">
        <v>-7553535.0099999998</v>
      </c>
      <c r="K788" t="s">
        <v>2020</v>
      </c>
      <c r="L788" t="s">
        <v>9</v>
      </c>
      <c r="M788" t="s">
        <v>2021</v>
      </c>
      <c r="N788" t="s">
        <v>3</v>
      </c>
      <c r="O788" t="s">
        <v>3</v>
      </c>
      <c r="P788" t="s">
        <v>5</v>
      </c>
      <c r="Q788" t="s">
        <v>2022</v>
      </c>
      <c r="R788" t="s">
        <v>3</v>
      </c>
      <c r="S788" t="s">
        <v>3</v>
      </c>
      <c r="T788" t="s">
        <v>3</v>
      </c>
      <c r="U788" t="s">
        <v>3</v>
      </c>
      <c r="V788" t="s">
        <v>3</v>
      </c>
      <c r="W788" t="s">
        <v>68</v>
      </c>
      <c r="X788" s="17">
        <v>43519</v>
      </c>
      <c r="Y788" t="s">
        <v>2023</v>
      </c>
      <c r="Z788" s="17">
        <v>43226</v>
      </c>
      <c r="AA788" t="s">
        <v>3</v>
      </c>
      <c r="AB788" t="s">
        <v>2019</v>
      </c>
    </row>
    <row r="789" spans="1:28" hidden="1">
      <c r="A789" t="s">
        <v>2029</v>
      </c>
      <c r="B789" s="17">
        <v>43226</v>
      </c>
      <c r="C789" s="17">
        <v>43226</v>
      </c>
      <c r="D789" t="s">
        <v>0</v>
      </c>
      <c r="E789" t="s">
        <v>1</v>
      </c>
      <c r="F789" s="18">
        <v>-348430</v>
      </c>
      <c r="G789" s="18">
        <v>-348430</v>
      </c>
      <c r="H789" t="s">
        <v>2</v>
      </c>
      <c r="I789" t="s">
        <v>8</v>
      </c>
      <c r="J789" s="18">
        <v>-28745475.02</v>
      </c>
      <c r="K789" t="s">
        <v>2030</v>
      </c>
      <c r="L789" t="s">
        <v>9</v>
      </c>
      <c r="M789" t="s">
        <v>2031</v>
      </c>
      <c r="N789" t="s">
        <v>3</v>
      </c>
      <c r="O789" t="s">
        <v>3</v>
      </c>
      <c r="P789" t="s">
        <v>5</v>
      </c>
      <c r="Q789" t="s">
        <v>2032</v>
      </c>
      <c r="R789" t="s">
        <v>3</v>
      </c>
      <c r="S789" t="s">
        <v>3</v>
      </c>
      <c r="T789" t="s">
        <v>3</v>
      </c>
      <c r="U789" t="s">
        <v>3</v>
      </c>
      <c r="V789" t="s">
        <v>3</v>
      </c>
      <c r="W789" t="s">
        <v>68</v>
      </c>
      <c r="X789" s="17">
        <v>43233</v>
      </c>
      <c r="Y789" t="s">
        <v>2033</v>
      </c>
      <c r="Z789" s="17">
        <v>43226</v>
      </c>
      <c r="AA789" t="s">
        <v>3</v>
      </c>
      <c r="AB789" t="s">
        <v>2029</v>
      </c>
    </row>
    <row r="790" spans="1:28" hidden="1">
      <c r="A790" t="s">
        <v>2034</v>
      </c>
      <c r="B790" s="17">
        <v>43226</v>
      </c>
      <c r="C790" s="17">
        <v>43226</v>
      </c>
      <c r="D790" t="s">
        <v>0</v>
      </c>
      <c r="E790" t="s">
        <v>1</v>
      </c>
      <c r="F790" s="18">
        <v>-237942</v>
      </c>
      <c r="G790" s="18">
        <v>-237942</v>
      </c>
      <c r="H790" t="s">
        <v>2</v>
      </c>
      <c r="I790" t="s">
        <v>8</v>
      </c>
      <c r="J790" s="18">
        <v>-19630215.010000002</v>
      </c>
      <c r="K790" t="s">
        <v>2035</v>
      </c>
      <c r="L790" t="s">
        <v>9</v>
      </c>
      <c r="M790" t="s">
        <v>2036</v>
      </c>
      <c r="N790" t="s">
        <v>3</v>
      </c>
      <c r="O790" t="s">
        <v>3</v>
      </c>
      <c r="P790" t="s">
        <v>5</v>
      </c>
      <c r="Q790" t="s">
        <v>2037</v>
      </c>
      <c r="R790" t="s">
        <v>3</v>
      </c>
      <c r="S790" t="s">
        <v>3</v>
      </c>
      <c r="T790" t="s">
        <v>3</v>
      </c>
      <c r="U790" t="s">
        <v>3</v>
      </c>
      <c r="V790" t="s">
        <v>3</v>
      </c>
      <c r="W790" t="s">
        <v>68</v>
      </c>
      <c r="X790" s="17">
        <v>43241</v>
      </c>
      <c r="Y790" t="s">
        <v>814</v>
      </c>
      <c r="Z790" s="17">
        <v>43226</v>
      </c>
      <c r="AA790" t="s">
        <v>3</v>
      </c>
      <c r="AB790" t="s">
        <v>2034</v>
      </c>
    </row>
    <row r="791" spans="1:28" hidden="1">
      <c r="A791" t="s">
        <v>2038</v>
      </c>
      <c r="B791" s="17">
        <v>43226</v>
      </c>
      <c r="C791" s="17">
        <v>43226</v>
      </c>
      <c r="D791" t="s">
        <v>0</v>
      </c>
      <c r="E791" t="s">
        <v>1</v>
      </c>
      <c r="F791" s="18">
        <v>-268446</v>
      </c>
      <c r="G791" s="18">
        <v>-268446</v>
      </c>
      <c r="H791" t="s">
        <v>2</v>
      </c>
      <c r="I791" t="s">
        <v>8</v>
      </c>
      <c r="J791" s="18">
        <v>-22146795.010000002</v>
      </c>
      <c r="K791" t="s">
        <v>2039</v>
      </c>
      <c r="L791" t="s">
        <v>9</v>
      </c>
      <c r="M791" t="s">
        <v>2040</v>
      </c>
      <c r="N791" t="s">
        <v>3</v>
      </c>
      <c r="O791" t="s">
        <v>3</v>
      </c>
      <c r="P791" t="s">
        <v>5</v>
      </c>
      <c r="Q791" t="s">
        <v>2041</v>
      </c>
      <c r="R791" t="s">
        <v>3</v>
      </c>
      <c r="S791" t="s">
        <v>3</v>
      </c>
      <c r="T791" t="s">
        <v>3</v>
      </c>
      <c r="U791" t="s">
        <v>3</v>
      </c>
      <c r="V791" t="s">
        <v>3</v>
      </c>
      <c r="W791" t="s">
        <v>68</v>
      </c>
      <c r="X791" s="17">
        <v>43245</v>
      </c>
      <c r="Y791" t="s">
        <v>811</v>
      </c>
      <c r="Z791" s="17">
        <v>43226</v>
      </c>
      <c r="AA791" t="s">
        <v>3</v>
      </c>
      <c r="AB791" t="s">
        <v>2038</v>
      </c>
    </row>
    <row r="792" spans="1:28" hidden="1">
      <c r="A792" t="s">
        <v>2049</v>
      </c>
      <c r="B792" s="17">
        <v>43226</v>
      </c>
      <c r="C792" s="17">
        <v>43226</v>
      </c>
      <c r="D792" t="s">
        <v>0</v>
      </c>
      <c r="E792" t="s">
        <v>1</v>
      </c>
      <c r="F792" s="18">
        <v>110429</v>
      </c>
      <c r="G792" s="18">
        <v>110429</v>
      </c>
      <c r="H792" t="s">
        <v>2</v>
      </c>
      <c r="I792" t="s">
        <v>8</v>
      </c>
      <c r="J792" s="18">
        <v>9110392.5099999998</v>
      </c>
      <c r="K792" t="s">
        <v>1946</v>
      </c>
      <c r="L792" t="s">
        <v>9</v>
      </c>
      <c r="M792" t="s">
        <v>2050</v>
      </c>
      <c r="N792" t="s">
        <v>3</v>
      </c>
      <c r="O792" t="s">
        <v>3</v>
      </c>
      <c r="P792" t="s">
        <v>5</v>
      </c>
      <c r="Q792" t="s">
        <v>2051</v>
      </c>
      <c r="R792" t="s">
        <v>3</v>
      </c>
      <c r="S792" t="s">
        <v>3</v>
      </c>
      <c r="T792" t="s">
        <v>3</v>
      </c>
      <c r="U792" t="s">
        <v>3</v>
      </c>
      <c r="V792" t="s">
        <v>3</v>
      </c>
      <c r="W792" t="s">
        <v>68</v>
      </c>
      <c r="X792" s="17">
        <v>43227</v>
      </c>
      <c r="Y792" t="s">
        <v>820</v>
      </c>
      <c r="Z792" s="17">
        <v>43226</v>
      </c>
      <c r="AA792" t="s">
        <v>3</v>
      </c>
      <c r="AB792" t="s">
        <v>2049</v>
      </c>
    </row>
    <row r="793" spans="1:28" hidden="1">
      <c r="A793" t="s">
        <v>2055</v>
      </c>
      <c r="B793" s="17">
        <v>43226</v>
      </c>
      <c r="C793" s="17">
        <v>43226</v>
      </c>
      <c r="D793" t="s">
        <v>0</v>
      </c>
      <c r="E793" t="s">
        <v>1</v>
      </c>
      <c r="F793" s="18">
        <v>28893</v>
      </c>
      <c r="G793" s="18">
        <v>28893</v>
      </c>
      <c r="H793" t="s">
        <v>2</v>
      </c>
      <c r="I793" t="s">
        <v>10</v>
      </c>
      <c r="J793" s="18">
        <v>2383672.5</v>
      </c>
      <c r="K793" t="s">
        <v>1995</v>
      </c>
      <c r="L793" t="s">
        <v>9</v>
      </c>
      <c r="M793" t="s">
        <v>2056</v>
      </c>
      <c r="N793" t="s">
        <v>3</v>
      </c>
      <c r="O793" t="s">
        <v>3</v>
      </c>
      <c r="P793" t="s">
        <v>5</v>
      </c>
      <c r="Q793" t="s">
        <v>2057</v>
      </c>
      <c r="R793" t="s">
        <v>3</v>
      </c>
      <c r="S793" t="s">
        <v>3</v>
      </c>
      <c r="T793" t="s">
        <v>3</v>
      </c>
      <c r="U793" t="s">
        <v>3</v>
      </c>
      <c r="V793" t="s">
        <v>3</v>
      </c>
      <c r="W793" t="s">
        <v>68</v>
      </c>
      <c r="X793" s="17">
        <v>43231</v>
      </c>
      <c r="Y793" t="s">
        <v>817</v>
      </c>
      <c r="Z793" s="17">
        <v>43226</v>
      </c>
      <c r="AA793" t="s">
        <v>3</v>
      </c>
      <c r="AB793" t="s">
        <v>2055</v>
      </c>
    </row>
    <row r="794" spans="1:28" hidden="1">
      <c r="A794" t="s">
        <v>820</v>
      </c>
      <c r="B794" s="17">
        <v>43227</v>
      </c>
      <c r="C794" s="17">
        <v>43227</v>
      </c>
      <c r="D794" t="s">
        <v>7</v>
      </c>
      <c r="E794" t="s">
        <v>1</v>
      </c>
      <c r="F794" s="18">
        <v>134023</v>
      </c>
      <c r="G794" s="18">
        <v>134023</v>
      </c>
      <c r="H794" t="s">
        <v>2</v>
      </c>
      <c r="I794" t="s">
        <v>8</v>
      </c>
      <c r="J794" s="18">
        <v>11056897.51</v>
      </c>
      <c r="K794" t="s">
        <v>821</v>
      </c>
      <c r="L794" t="s">
        <v>9</v>
      </c>
      <c r="M794" t="s">
        <v>822</v>
      </c>
      <c r="N794" t="s">
        <v>3</v>
      </c>
      <c r="O794" t="s">
        <v>3</v>
      </c>
      <c r="P794" t="s">
        <v>5</v>
      </c>
      <c r="Q794" t="s">
        <v>821</v>
      </c>
      <c r="R794" t="s">
        <v>3</v>
      </c>
      <c r="S794" t="s">
        <v>3</v>
      </c>
      <c r="T794" t="s">
        <v>3</v>
      </c>
      <c r="U794" t="s">
        <v>3</v>
      </c>
      <c r="V794" t="s">
        <v>3</v>
      </c>
      <c r="W794" t="s">
        <v>68</v>
      </c>
      <c r="X794" s="17">
        <v>43227</v>
      </c>
      <c r="Y794" t="s">
        <v>820</v>
      </c>
      <c r="Z794" s="17">
        <v>43227</v>
      </c>
      <c r="AA794" t="s">
        <v>3</v>
      </c>
      <c r="AB794" t="s">
        <v>820</v>
      </c>
    </row>
    <row r="795" spans="1:28" hidden="1">
      <c r="A795" t="s">
        <v>820</v>
      </c>
      <c r="B795" s="17">
        <v>43227</v>
      </c>
      <c r="C795" s="17">
        <v>43227</v>
      </c>
      <c r="D795" t="s">
        <v>7</v>
      </c>
      <c r="E795" t="s">
        <v>1</v>
      </c>
      <c r="F795" s="18">
        <v>-134023</v>
      </c>
      <c r="G795" s="18">
        <v>-134023</v>
      </c>
      <c r="H795" t="s">
        <v>2</v>
      </c>
      <c r="I795" t="s">
        <v>8</v>
      </c>
      <c r="J795" s="18">
        <v>-11056897.51</v>
      </c>
      <c r="K795" t="s">
        <v>821</v>
      </c>
      <c r="L795" t="s">
        <v>9</v>
      </c>
      <c r="M795" t="s">
        <v>822</v>
      </c>
      <c r="N795" t="s">
        <v>3</v>
      </c>
      <c r="O795" t="s">
        <v>3</v>
      </c>
      <c r="P795" t="s">
        <v>5</v>
      </c>
      <c r="Q795" t="s">
        <v>821</v>
      </c>
      <c r="R795" t="s">
        <v>3</v>
      </c>
      <c r="S795" t="s">
        <v>3</v>
      </c>
      <c r="T795" t="s">
        <v>3</v>
      </c>
      <c r="U795" t="s">
        <v>3</v>
      </c>
      <c r="V795" t="s">
        <v>3</v>
      </c>
      <c r="W795" t="s">
        <v>68</v>
      </c>
      <c r="X795" s="17">
        <v>43227</v>
      </c>
      <c r="Y795" t="s">
        <v>820</v>
      </c>
      <c r="Z795" s="17">
        <v>43227</v>
      </c>
      <c r="AA795" t="s">
        <v>3</v>
      </c>
      <c r="AB795" t="s">
        <v>820</v>
      </c>
    </row>
    <row r="796" spans="1:28" hidden="1">
      <c r="A796" t="s">
        <v>1990</v>
      </c>
      <c r="B796" s="17">
        <v>43228</v>
      </c>
      <c r="C796" s="17">
        <v>43228</v>
      </c>
      <c r="D796" t="s">
        <v>0</v>
      </c>
      <c r="E796" t="s">
        <v>1</v>
      </c>
      <c r="F796" s="18">
        <v>-32757</v>
      </c>
      <c r="G796" s="18">
        <v>-32757</v>
      </c>
      <c r="H796" t="s">
        <v>2</v>
      </c>
      <c r="I796" t="s">
        <v>10</v>
      </c>
      <c r="J796" s="18">
        <v>-2702452.51</v>
      </c>
      <c r="K796" t="s">
        <v>1991</v>
      </c>
      <c r="L796" t="s">
        <v>9</v>
      </c>
      <c r="M796" t="s">
        <v>1992</v>
      </c>
      <c r="N796" t="s">
        <v>3</v>
      </c>
      <c r="O796" t="s">
        <v>3</v>
      </c>
      <c r="P796" t="s">
        <v>5</v>
      </c>
      <c r="Q796" t="s">
        <v>1993</v>
      </c>
      <c r="R796" t="s">
        <v>3</v>
      </c>
      <c r="S796" t="s">
        <v>3</v>
      </c>
      <c r="T796" t="s">
        <v>3</v>
      </c>
      <c r="U796" t="s">
        <v>3</v>
      </c>
      <c r="V796" t="s">
        <v>3</v>
      </c>
      <c r="W796" t="s">
        <v>68</v>
      </c>
      <c r="X796" s="17">
        <v>43241</v>
      </c>
      <c r="Y796" t="s">
        <v>829</v>
      </c>
      <c r="Z796" s="17">
        <v>43228</v>
      </c>
      <c r="AA796" t="s">
        <v>3</v>
      </c>
      <c r="AB796" t="s">
        <v>1990</v>
      </c>
    </row>
    <row r="797" spans="1:28" hidden="1">
      <c r="A797" t="s">
        <v>2001</v>
      </c>
      <c r="B797" s="17">
        <v>43228</v>
      </c>
      <c r="C797" s="17">
        <v>43228</v>
      </c>
      <c r="D797" t="s">
        <v>0</v>
      </c>
      <c r="E797" t="s">
        <v>1</v>
      </c>
      <c r="F797" s="18">
        <v>-443313</v>
      </c>
      <c r="G797" s="18">
        <v>-443313</v>
      </c>
      <c r="H797" t="s">
        <v>2</v>
      </c>
      <c r="I797" t="s">
        <v>8</v>
      </c>
      <c r="J797" s="18">
        <v>-36573322.509999998</v>
      </c>
      <c r="K797" t="s">
        <v>2002</v>
      </c>
      <c r="L797" t="s">
        <v>9</v>
      </c>
      <c r="M797" t="s">
        <v>2003</v>
      </c>
      <c r="N797" t="s">
        <v>3</v>
      </c>
      <c r="O797" t="s">
        <v>3</v>
      </c>
      <c r="P797" t="s">
        <v>5</v>
      </c>
      <c r="Q797" t="s">
        <v>2004</v>
      </c>
      <c r="R797" t="s">
        <v>3</v>
      </c>
      <c r="S797" t="s">
        <v>3</v>
      </c>
      <c r="T797" t="s">
        <v>3</v>
      </c>
      <c r="U797" t="s">
        <v>3</v>
      </c>
      <c r="V797" t="s">
        <v>3</v>
      </c>
      <c r="W797" t="s">
        <v>68</v>
      </c>
      <c r="X797" s="17">
        <v>43245</v>
      </c>
      <c r="Y797" t="s">
        <v>835</v>
      </c>
      <c r="Z797" s="17">
        <v>43228</v>
      </c>
      <c r="AA797" t="s">
        <v>3</v>
      </c>
      <c r="AB797" t="s">
        <v>2001</v>
      </c>
    </row>
    <row r="798" spans="1:28" hidden="1">
      <c r="A798" t="s">
        <v>2005</v>
      </c>
      <c r="B798" s="17">
        <v>43228</v>
      </c>
      <c r="C798" s="17">
        <v>43228</v>
      </c>
      <c r="D798" t="s">
        <v>0</v>
      </c>
      <c r="E798" t="s">
        <v>1</v>
      </c>
      <c r="F798" s="18">
        <v>15042</v>
      </c>
      <c r="G798" s="18">
        <v>15042</v>
      </c>
      <c r="H798" t="s">
        <v>2</v>
      </c>
      <c r="I798" t="s">
        <v>8</v>
      </c>
      <c r="J798" s="18">
        <v>1240965</v>
      </c>
      <c r="K798" t="s">
        <v>1987</v>
      </c>
      <c r="L798" t="s">
        <v>9</v>
      </c>
      <c r="M798" t="s">
        <v>2006</v>
      </c>
      <c r="N798" t="s">
        <v>3</v>
      </c>
      <c r="O798" t="s">
        <v>3</v>
      </c>
      <c r="P798" t="s">
        <v>5</v>
      </c>
      <c r="Q798" t="s">
        <v>2007</v>
      </c>
      <c r="R798" t="s">
        <v>3</v>
      </c>
      <c r="S798" t="s">
        <v>3</v>
      </c>
      <c r="T798" t="s">
        <v>3</v>
      </c>
      <c r="U798" t="s">
        <v>3</v>
      </c>
      <c r="V798" t="s">
        <v>3</v>
      </c>
      <c r="W798" t="s">
        <v>68</v>
      </c>
      <c r="X798" s="17">
        <v>43234</v>
      </c>
      <c r="Y798" t="s">
        <v>838</v>
      </c>
      <c r="Z798" s="17">
        <v>43228</v>
      </c>
      <c r="AA798" t="s">
        <v>3</v>
      </c>
      <c r="AB798" t="s">
        <v>2005</v>
      </c>
    </row>
    <row r="799" spans="1:28" hidden="1">
      <c r="A799" t="s">
        <v>1857</v>
      </c>
      <c r="B799" s="17">
        <v>43228</v>
      </c>
      <c r="C799" s="17">
        <v>43228</v>
      </c>
      <c r="D799" t="s">
        <v>0</v>
      </c>
      <c r="E799" t="s">
        <v>1</v>
      </c>
      <c r="F799" s="18">
        <v>190381.44</v>
      </c>
      <c r="G799" s="18">
        <v>190381.44</v>
      </c>
      <c r="H799" t="s">
        <v>2</v>
      </c>
      <c r="I799" t="s">
        <v>8</v>
      </c>
      <c r="J799" s="18">
        <v>15706468.82</v>
      </c>
      <c r="K799" t="s">
        <v>2059</v>
      </c>
      <c r="L799" t="s">
        <v>4</v>
      </c>
      <c r="M799" t="s">
        <v>2059</v>
      </c>
      <c r="N799" t="s">
        <v>3</v>
      </c>
      <c r="O799" t="s">
        <v>3</v>
      </c>
      <c r="P799" t="s">
        <v>5</v>
      </c>
      <c r="Q799" t="s">
        <v>2060</v>
      </c>
      <c r="R799" t="s">
        <v>3</v>
      </c>
      <c r="S799" t="s">
        <v>3</v>
      </c>
      <c r="T799" t="s">
        <v>3</v>
      </c>
      <c r="U799" t="s">
        <v>3</v>
      </c>
      <c r="V799" t="s">
        <v>3</v>
      </c>
      <c r="W799" t="s">
        <v>68</v>
      </c>
      <c r="X799" s="17">
        <v>43228</v>
      </c>
      <c r="Y799" t="s">
        <v>1857</v>
      </c>
      <c r="Z799" s="17">
        <v>43228</v>
      </c>
      <c r="AA799" t="s">
        <v>3</v>
      </c>
      <c r="AB799" t="s">
        <v>1857</v>
      </c>
    </row>
    <row r="800" spans="1:28" hidden="1">
      <c r="A800" t="s">
        <v>1994</v>
      </c>
      <c r="B800" s="17">
        <v>43229</v>
      </c>
      <c r="C800" s="17">
        <v>43229</v>
      </c>
      <c r="D800" t="s">
        <v>0</v>
      </c>
      <c r="E800" t="s">
        <v>1</v>
      </c>
      <c r="F800" s="18">
        <v>192399</v>
      </c>
      <c r="G800" s="18">
        <v>192399</v>
      </c>
      <c r="H800" t="s">
        <v>2</v>
      </c>
      <c r="I800" t="s">
        <v>10</v>
      </c>
      <c r="J800" s="18">
        <v>15872917.51</v>
      </c>
      <c r="K800" t="s">
        <v>1995</v>
      </c>
      <c r="L800" t="s">
        <v>9</v>
      </c>
      <c r="M800" t="s">
        <v>1996</v>
      </c>
      <c r="N800" t="s">
        <v>3</v>
      </c>
      <c r="O800" t="s">
        <v>3</v>
      </c>
      <c r="P800" t="s">
        <v>5</v>
      </c>
      <c r="Q800" t="s">
        <v>1997</v>
      </c>
      <c r="R800" t="s">
        <v>3</v>
      </c>
      <c r="S800" t="s">
        <v>3</v>
      </c>
      <c r="T800" t="s">
        <v>3</v>
      </c>
      <c r="U800" t="s">
        <v>3</v>
      </c>
      <c r="V800" t="s">
        <v>3</v>
      </c>
      <c r="W800" t="s">
        <v>68</v>
      </c>
      <c r="X800" s="17">
        <v>43231</v>
      </c>
      <c r="Y800" t="s">
        <v>817</v>
      </c>
      <c r="Z800" s="17">
        <v>43229</v>
      </c>
      <c r="AA800" t="s">
        <v>3</v>
      </c>
      <c r="AB800" t="s">
        <v>1994</v>
      </c>
    </row>
    <row r="801" spans="1:28" hidden="1">
      <c r="A801" t="s">
        <v>1940</v>
      </c>
      <c r="B801" s="17">
        <v>43229</v>
      </c>
      <c r="C801" s="17">
        <v>43229</v>
      </c>
      <c r="D801" t="s">
        <v>0</v>
      </c>
      <c r="E801" t="s">
        <v>1</v>
      </c>
      <c r="F801" s="18">
        <v>467643</v>
      </c>
      <c r="G801" s="18">
        <v>467643</v>
      </c>
      <c r="H801" t="s">
        <v>2</v>
      </c>
      <c r="I801" t="s">
        <v>8</v>
      </c>
      <c r="J801" s="18">
        <v>38580547.509999998</v>
      </c>
      <c r="K801" t="s">
        <v>1987</v>
      </c>
      <c r="L801" t="s">
        <v>9</v>
      </c>
      <c r="M801" t="s">
        <v>2008</v>
      </c>
      <c r="N801" t="s">
        <v>3</v>
      </c>
      <c r="O801" t="s">
        <v>3</v>
      </c>
      <c r="P801" t="s">
        <v>5</v>
      </c>
      <c r="Q801" t="s">
        <v>2009</v>
      </c>
      <c r="R801" t="s">
        <v>3</v>
      </c>
      <c r="S801" t="s">
        <v>3</v>
      </c>
      <c r="T801" t="s">
        <v>3</v>
      </c>
      <c r="U801" t="s">
        <v>3</v>
      </c>
      <c r="V801" t="s">
        <v>3</v>
      </c>
      <c r="W801" t="s">
        <v>68</v>
      </c>
      <c r="X801" s="17">
        <v>43234</v>
      </c>
      <c r="Y801" t="s">
        <v>838</v>
      </c>
      <c r="Z801" s="17">
        <v>43229</v>
      </c>
      <c r="AA801" t="s">
        <v>3</v>
      </c>
      <c r="AB801" t="s">
        <v>1940</v>
      </c>
    </row>
    <row r="802" spans="1:28" hidden="1">
      <c r="A802" t="s">
        <v>1940</v>
      </c>
      <c r="B802" s="17">
        <v>43229</v>
      </c>
      <c r="C802" s="17">
        <v>43229</v>
      </c>
      <c r="D802" t="s">
        <v>0</v>
      </c>
      <c r="E802" t="s">
        <v>1</v>
      </c>
      <c r="F802" s="18">
        <v>350639</v>
      </c>
      <c r="G802" s="18">
        <v>350639</v>
      </c>
      <c r="H802" t="s">
        <v>2</v>
      </c>
      <c r="I802" t="s">
        <v>8</v>
      </c>
      <c r="J802" s="18">
        <v>28927717.510000002</v>
      </c>
      <c r="K802" t="s">
        <v>2010</v>
      </c>
      <c r="L802" t="s">
        <v>9</v>
      </c>
      <c r="M802" t="s">
        <v>2008</v>
      </c>
      <c r="N802" t="s">
        <v>3</v>
      </c>
      <c r="O802" t="s">
        <v>3</v>
      </c>
      <c r="P802" t="s">
        <v>5</v>
      </c>
      <c r="Q802" t="s">
        <v>2009</v>
      </c>
      <c r="R802" t="s">
        <v>3</v>
      </c>
      <c r="S802" t="s">
        <v>3</v>
      </c>
      <c r="T802" t="s">
        <v>3</v>
      </c>
      <c r="U802" t="s">
        <v>3</v>
      </c>
      <c r="V802" t="s">
        <v>3</v>
      </c>
      <c r="W802" t="s">
        <v>68</v>
      </c>
      <c r="X802" s="17">
        <v>43234</v>
      </c>
      <c r="Y802" t="s">
        <v>808</v>
      </c>
      <c r="Z802" s="17">
        <v>43229</v>
      </c>
      <c r="AA802" t="s">
        <v>3</v>
      </c>
      <c r="AB802" t="s">
        <v>1940</v>
      </c>
    </row>
    <row r="803" spans="1:28" hidden="1">
      <c r="A803" t="s">
        <v>1940</v>
      </c>
      <c r="B803" s="17">
        <v>43229</v>
      </c>
      <c r="C803" s="17">
        <v>43229</v>
      </c>
      <c r="D803" t="s">
        <v>0</v>
      </c>
      <c r="E803" t="s">
        <v>1</v>
      </c>
      <c r="F803" s="18">
        <v>55483</v>
      </c>
      <c r="G803" s="18">
        <v>55483</v>
      </c>
      <c r="H803" t="s">
        <v>2</v>
      </c>
      <c r="I803" t="s">
        <v>8</v>
      </c>
      <c r="J803" s="18">
        <v>4577347.51</v>
      </c>
      <c r="K803" t="s">
        <v>2011</v>
      </c>
      <c r="L803" t="s">
        <v>9</v>
      </c>
      <c r="M803" t="s">
        <v>2008</v>
      </c>
      <c r="N803" t="s">
        <v>3</v>
      </c>
      <c r="O803" t="s">
        <v>3</v>
      </c>
      <c r="P803" t="s">
        <v>5</v>
      </c>
      <c r="Q803" t="s">
        <v>2009</v>
      </c>
      <c r="R803" t="s">
        <v>3</v>
      </c>
      <c r="S803" t="s">
        <v>3</v>
      </c>
      <c r="T803" t="s">
        <v>3</v>
      </c>
      <c r="U803" t="s">
        <v>3</v>
      </c>
      <c r="V803" t="s">
        <v>3</v>
      </c>
      <c r="W803" t="s">
        <v>68</v>
      </c>
      <c r="X803" s="17">
        <v>43229</v>
      </c>
      <c r="Y803" t="s">
        <v>1940</v>
      </c>
      <c r="Z803" s="17">
        <v>43229</v>
      </c>
      <c r="AA803" t="s">
        <v>3</v>
      </c>
      <c r="AB803" t="s">
        <v>1940</v>
      </c>
    </row>
    <row r="804" spans="1:28" hidden="1">
      <c r="A804" t="s">
        <v>1998</v>
      </c>
      <c r="B804" s="17">
        <v>43230</v>
      </c>
      <c r="C804" s="17">
        <v>43230</v>
      </c>
      <c r="D804" t="s">
        <v>0</v>
      </c>
      <c r="E804" t="s">
        <v>1</v>
      </c>
      <c r="F804" s="18">
        <v>7487</v>
      </c>
      <c r="G804" s="18">
        <v>7487</v>
      </c>
      <c r="H804" t="s">
        <v>2</v>
      </c>
      <c r="I804" t="s">
        <v>10</v>
      </c>
      <c r="J804" s="18">
        <v>617677.5</v>
      </c>
      <c r="K804" t="s">
        <v>1995</v>
      </c>
      <c r="L804" t="s">
        <v>9</v>
      </c>
      <c r="M804" t="s">
        <v>1999</v>
      </c>
      <c r="N804" t="s">
        <v>3</v>
      </c>
      <c r="O804" t="s">
        <v>3</v>
      </c>
      <c r="P804" t="s">
        <v>5</v>
      </c>
      <c r="Q804" t="s">
        <v>2000</v>
      </c>
      <c r="R804" t="s">
        <v>3</v>
      </c>
      <c r="S804" t="s">
        <v>3</v>
      </c>
      <c r="T804" t="s">
        <v>3</v>
      </c>
      <c r="U804" t="s">
        <v>3</v>
      </c>
      <c r="V804" t="s">
        <v>3</v>
      </c>
      <c r="W804" t="s">
        <v>68</v>
      </c>
      <c r="X804" s="17">
        <v>43231</v>
      </c>
      <c r="Y804" t="s">
        <v>817</v>
      </c>
      <c r="Z804" s="17">
        <v>43230</v>
      </c>
      <c r="AA804" t="s">
        <v>3</v>
      </c>
      <c r="AB804" t="s">
        <v>1998</v>
      </c>
    </row>
    <row r="805" spans="1:28" hidden="1">
      <c r="A805" t="s">
        <v>2012</v>
      </c>
      <c r="B805" s="17">
        <v>43230</v>
      </c>
      <c r="C805" s="17">
        <v>43230</v>
      </c>
      <c r="D805" t="s">
        <v>0</v>
      </c>
      <c r="E805" t="s">
        <v>1</v>
      </c>
      <c r="F805" s="18">
        <v>16839</v>
      </c>
      <c r="G805" s="18">
        <v>16839</v>
      </c>
      <c r="H805" t="s">
        <v>2</v>
      </c>
      <c r="I805" t="s">
        <v>8</v>
      </c>
      <c r="J805" s="18">
        <v>1389217.5</v>
      </c>
      <c r="K805" t="s">
        <v>1987</v>
      </c>
      <c r="L805" t="s">
        <v>9</v>
      </c>
      <c r="M805" t="s">
        <v>2013</v>
      </c>
      <c r="N805" t="s">
        <v>3</v>
      </c>
      <c r="O805" t="s">
        <v>3</v>
      </c>
      <c r="P805" t="s">
        <v>5</v>
      </c>
      <c r="Q805" t="s">
        <v>2014</v>
      </c>
      <c r="R805" t="s">
        <v>3</v>
      </c>
      <c r="S805" t="s">
        <v>3</v>
      </c>
      <c r="T805" t="s">
        <v>3</v>
      </c>
      <c r="U805" t="s">
        <v>3</v>
      </c>
      <c r="V805" t="s">
        <v>3</v>
      </c>
      <c r="W805" t="s">
        <v>68</v>
      </c>
      <c r="X805" s="17">
        <v>43234</v>
      </c>
      <c r="Y805" t="s">
        <v>838</v>
      </c>
      <c r="Z805" s="17">
        <v>43230</v>
      </c>
      <c r="AA805" t="s">
        <v>3</v>
      </c>
      <c r="AB805" t="s">
        <v>2012</v>
      </c>
    </row>
    <row r="806" spans="1:28" hidden="1">
      <c r="A806" t="s">
        <v>817</v>
      </c>
      <c r="B806" s="17">
        <v>43231</v>
      </c>
      <c r="C806" s="17">
        <v>43231</v>
      </c>
      <c r="D806" t="s">
        <v>7</v>
      </c>
      <c r="E806" t="s">
        <v>1</v>
      </c>
      <c r="F806" s="18">
        <v>228779</v>
      </c>
      <c r="G806" s="18">
        <v>228779</v>
      </c>
      <c r="H806" t="s">
        <v>2</v>
      </c>
      <c r="I806" t="s">
        <v>10</v>
      </c>
      <c r="J806" s="18">
        <v>18874267.510000002</v>
      </c>
      <c r="K806" t="s">
        <v>818</v>
      </c>
      <c r="L806" t="s">
        <v>9</v>
      </c>
      <c r="M806" t="s">
        <v>819</v>
      </c>
      <c r="N806" t="s">
        <v>3</v>
      </c>
      <c r="O806" t="s">
        <v>3</v>
      </c>
      <c r="P806" t="s">
        <v>5</v>
      </c>
      <c r="Q806" t="s">
        <v>818</v>
      </c>
      <c r="R806" t="s">
        <v>3</v>
      </c>
      <c r="S806" t="s">
        <v>3</v>
      </c>
      <c r="T806" t="s">
        <v>3</v>
      </c>
      <c r="U806" t="s">
        <v>3</v>
      </c>
      <c r="V806" t="s">
        <v>3</v>
      </c>
      <c r="W806" t="s">
        <v>68</v>
      </c>
      <c r="X806" s="17">
        <v>43231</v>
      </c>
      <c r="Y806" t="s">
        <v>817</v>
      </c>
      <c r="Z806" s="17">
        <v>43231</v>
      </c>
      <c r="AA806" t="s">
        <v>3</v>
      </c>
      <c r="AB806" t="s">
        <v>817</v>
      </c>
    </row>
    <row r="807" spans="1:28" hidden="1">
      <c r="A807" t="s">
        <v>817</v>
      </c>
      <c r="B807" s="17">
        <v>43231</v>
      </c>
      <c r="C807" s="17">
        <v>43231</v>
      </c>
      <c r="D807" t="s">
        <v>7</v>
      </c>
      <c r="E807" t="s">
        <v>1</v>
      </c>
      <c r="F807" s="18">
        <v>-228779</v>
      </c>
      <c r="G807" s="18">
        <v>-228779</v>
      </c>
      <c r="H807" t="s">
        <v>2</v>
      </c>
      <c r="I807" t="s">
        <v>10</v>
      </c>
      <c r="J807" s="18">
        <v>-18874267.510000002</v>
      </c>
      <c r="K807" t="s">
        <v>818</v>
      </c>
      <c r="L807" t="s">
        <v>9</v>
      </c>
      <c r="M807" t="s">
        <v>819</v>
      </c>
      <c r="N807" t="s">
        <v>3</v>
      </c>
      <c r="O807" t="s">
        <v>3</v>
      </c>
      <c r="P807" t="s">
        <v>5</v>
      </c>
      <c r="Q807" t="s">
        <v>818</v>
      </c>
      <c r="R807" t="s">
        <v>3</v>
      </c>
      <c r="S807" t="s">
        <v>3</v>
      </c>
      <c r="T807" t="s">
        <v>3</v>
      </c>
      <c r="U807" t="s">
        <v>3</v>
      </c>
      <c r="V807" t="s">
        <v>3</v>
      </c>
      <c r="W807" t="s">
        <v>68</v>
      </c>
      <c r="X807" s="17">
        <v>43231</v>
      </c>
      <c r="Y807" t="s">
        <v>817</v>
      </c>
      <c r="Z807" s="17">
        <v>43231</v>
      </c>
      <c r="AA807" t="s">
        <v>3</v>
      </c>
      <c r="AB807" t="s">
        <v>817</v>
      </c>
    </row>
    <row r="808" spans="1:28" hidden="1">
      <c r="A808" t="s">
        <v>2015</v>
      </c>
      <c r="B808" s="17">
        <v>43233</v>
      </c>
      <c r="C808" s="17">
        <v>43233</v>
      </c>
      <c r="D808" t="s">
        <v>0</v>
      </c>
      <c r="E808" t="s">
        <v>1</v>
      </c>
      <c r="F808" s="18">
        <v>-620843</v>
      </c>
      <c r="G808" s="18">
        <v>-620843</v>
      </c>
      <c r="H808" t="s">
        <v>2</v>
      </c>
      <c r="I808" t="s">
        <v>8</v>
      </c>
      <c r="J808" s="18">
        <v>-51219547.509999998</v>
      </c>
      <c r="K808" t="s">
        <v>2016</v>
      </c>
      <c r="L808" t="s">
        <v>9</v>
      </c>
      <c r="M808" t="s">
        <v>2017</v>
      </c>
      <c r="N808" t="s">
        <v>3</v>
      </c>
      <c r="O808" t="s">
        <v>3</v>
      </c>
      <c r="P808" t="s">
        <v>5</v>
      </c>
      <c r="Q808" t="s">
        <v>2018</v>
      </c>
      <c r="R808" t="s">
        <v>3</v>
      </c>
      <c r="S808" t="s">
        <v>3</v>
      </c>
      <c r="T808" t="s">
        <v>3</v>
      </c>
      <c r="U808" t="s">
        <v>3</v>
      </c>
      <c r="V808" t="s">
        <v>3</v>
      </c>
      <c r="W808" t="s">
        <v>68</v>
      </c>
      <c r="X808" s="17">
        <v>43281</v>
      </c>
      <c r="Y808" t="s">
        <v>847</v>
      </c>
      <c r="Z808" s="17">
        <v>43233</v>
      </c>
      <c r="AA808" t="s">
        <v>3</v>
      </c>
      <c r="AB808" t="s">
        <v>2015</v>
      </c>
    </row>
    <row r="809" spans="1:28" hidden="1">
      <c r="A809" t="s">
        <v>2024</v>
      </c>
      <c r="B809" s="17">
        <v>43233</v>
      </c>
      <c r="C809" s="17">
        <v>43233</v>
      </c>
      <c r="D809" t="s">
        <v>0</v>
      </c>
      <c r="E809" t="s">
        <v>1</v>
      </c>
      <c r="F809" s="18">
        <v>84071</v>
      </c>
      <c r="G809" s="18">
        <v>84071</v>
      </c>
      <c r="H809" t="s">
        <v>2</v>
      </c>
      <c r="I809" t="s">
        <v>10</v>
      </c>
      <c r="J809" s="18">
        <v>6935857.5099999998</v>
      </c>
      <c r="K809" t="s">
        <v>2025</v>
      </c>
      <c r="L809" t="s">
        <v>9</v>
      </c>
      <c r="M809" t="s">
        <v>2026</v>
      </c>
      <c r="N809" t="s">
        <v>3</v>
      </c>
      <c r="O809" t="s">
        <v>3</v>
      </c>
      <c r="P809" t="s">
        <v>5</v>
      </c>
      <c r="Q809" t="s">
        <v>2027</v>
      </c>
      <c r="R809" t="s">
        <v>3</v>
      </c>
      <c r="S809" t="s">
        <v>3</v>
      </c>
      <c r="T809" t="s">
        <v>3</v>
      </c>
      <c r="U809" t="s">
        <v>3</v>
      </c>
      <c r="V809" t="s">
        <v>3</v>
      </c>
      <c r="W809" t="s">
        <v>68</v>
      </c>
      <c r="X809" s="17">
        <v>43519</v>
      </c>
      <c r="Y809" t="s">
        <v>2023</v>
      </c>
      <c r="Z809" s="17">
        <v>43233</v>
      </c>
      <c r="AA809" t="s">
        <v>3</v>
      </c>
      <c r="AB809" t="s">
        <v>2024</v>
      </c>
    </row>
    <row r="810" spans="1:28" hidden="1">
      <c r="A810" t="s">
        <v>2024</v>
      </c>
      <c r="B810" s="17">
        <v>43233</v>
      </c>
      <c r="C810" s="17">
        <v>43233</v>
      </c>
      <c r="D810" t="s">
        <v>0</v>
      </c>
      <c r="E810" t="s">
        <v>1</v>
      </c>
      <c r="F810" s="18">
        <v>26105</v>
      </c>
      <c r="G810" s="18">
        <v>26105</v>
      </c>
      <c r="H810" t="s">
        <v>2</v>
      </c>
      <c r="I810" t="s">
        <v>10</v>
      </c>
      <c r="J810" s="18">
        <v>2153662.5099999998</v>
      </c>
      <c r="K810" t="s">
        <v>2028</v>
      </c>
      <c r="L810" t="s">
        <v>9</v>
      </c>
      <c r="M810" t="s">
        <v>2026</v>
      </c>
      <c r="N810" t="s">
        <v>3</v>
      </c>
      <c r="O810" t="s">
        <v>3</v>
      </c>
      <c r="P810" t="s">
        <v>5</v>
      </c>
      <c r="Q810" t="s">
        <v>2027</v>
      </c>
      <c r="R810" t="s">
        <v>3</v>
      </c>
      <c r="S810" t="s">
        <v>3</v>
      </c>
      <c r="T810" t="s">
        <v>3</v>
      </c>
      <c r="U810" t="s">
        <v>3</v>
      </c>
      <c r="V810" t="s">
        <v>3</v>
      </c>
      <c r="W810" t="s">
        <v>68</v>
      </c>
      <c r="X810" s="17">
        <v>43241</v>
      </c>
      <c r="Y810" t="s">
        <v>829</v>
      </c>
      <c r="Z810" s="17">
        <v>43233</v>
      </c>
      <c r="AA810" t="s">
        <v>3</v>
      </c>
      <c r="AB810" t="s">
        <v>2024</v>
      </c>
    </row>
    <row r="811" spans="1:28" hidden="1">
      <c r="A811" t="s">
        <v>2042</v>
      </c>
      <c r="B811" s="17">
        <v>43233</v>
      </c>
      <c r="C811" s="17">
        <v>43233</v>
      </c>
      <c r="D811" t="s">
        <v>0</v>
      </c>
      <c r="E811" t="s">
        <v>1</v>
      </c>
      <c r="F811" s="18">
        <v>57390</v>
      </c>
      <c r="G811" s="18">
        <v>57390</v>
      </c>
      <c r="H811" t="s">
        <v>2</v>
      </c>
      <c r="I811" t="s">
        <v>8</v>
      </c>
      <c r="J811" s="18">
        <v>4734675</v>
      </c>
      <c r="K811" t="s">
        <v>1987</v>
      </c>
      <c r="L811" t="s">
        <v>9</v>
      </c>
      <c r="M811" t="s">
        <v>2043</v>
      </c>
      <c r="N811" t="s">
        <v>3</v>
      </c>
      <c r="O811" t="s">
        <v>3</v>
      </c>
      <c r="P811" t="s">
        <v>5</v>
      </c>
      <c r="Q811" t="s">
        <v>2044</v>
      </c>
      <c r="R811" t="s">
        <v>3</v>
      </c>
      <c r="S811" t="s">
        <v>3</v>
      </c>
      <c r="T811" t="s">
        <v>3</v>
      </c>
      <c r="U811" t="s">
        <v>3</v>
      </c>
      <c r="V811" t="s">
        <v>3</v>
      </c>
      <c r="W811" t="s">
        <v>68</v>
      </c>
      <c r="X811" s="17">
        <v>43234</v>
      </c>
      <c r="Y811" t="s">
        <v>838</v>
      </c>
      <c r="Z811" s="17">
        <v>43233</v>
      </c>
      <c r="AA811" t="s">
        <v>3</v>
      </c>
      <c r="AB811" t="s">
        <v>2042</v>
      </c>
    </row>
    <row r="812" spans="1:28" hidden="1">
      <c r="A812" t="s">
        <v>2042</v>
      </c>
      <c r="B812" s="17">
        <v>43233</v>
      </c>
      <c r="C812" s="17">
        <v>43233</v>
      </c>
      <c r="D812" t="s">
        <v>0</v>
      </c>
      <c r="E812" t="s">
        <v>1</v>
      </c>
      <c r="F812" s="18">
        <v>3449</v>
      </c>
      <c r="G812" s="18">
        <v>3449</v>
      </c>
      <c r="H812" t="s">
        <v>2</v>
      </c>
      <c r="I812" t="s">
        <v>8</v>
      </c>
      <c r="J812" s="18">
        <v>284542.5</v>
      </c>
      <c r="K812" t="s">
        <v>2010</v>
      </c>
      <c r="L812" t="s">
        <v>9</v>
      </c>
      <c r="M812" t="s">
        <v>2043</v>
      </c>
      <c r="N812" t="s">
        <v>3</v>
      </c>
      <c r="O812" t="s">
        <v>3</v>
      </c>
      <c r="P812" t="s">
        <v>5</v>
      </c>
      <c r="Q812" t="s">
        <v>2044</v>
      </c>
      <c r="R812" t="s">
        <v>3</v>
      </c>
      <c r="S812" t="s">
        <v>3</v>
      </c>
      <c r="T812" t="s">
        <v>3</v>
      </c>
      <c r="U812" t="s">
        <v>3</v>
      </c>
      <c r="V812" t="s">
        <v>3</v>
      </c>
      <c r="W812" t="s">
        <v>68</v>
      </c>
      <c r="X812" s="17">
        <v>43234</v>
      </c>
      <c r="Y812" t="s">
        <v>808</v>
      </c>
      <c r="Z812" s="17">
        <v>43233</v>
      </c>
      <c r="AA812" t="s">
        <v>3</v>
      </c>
      <c r="AB812" t="s">
        <v>2042</v>
      </c>
    </row>
    <row r="813" spans="1:28" hidden="1">
      <c r="A813" t="s">
        <v>2045</v>
      </c>
      <c r="B813" s="17">
        <v>43233</v>
      </c>
      <c r="C813" s="17">
        <v>43233</v>
      </c>
      <c r="D813" t="s">
        <v>0</v>
      </c>
      <c r="E813" t="s">
        <v>1</v>
      </c>
      <c r="F813" s="18">
        <v>145927</v>
      </c>
      <c r="G813" s="18">
        <v>145927</v>
      </c>
      <c r="H813" t="s">
        <v>2</v>
      </c>
      <c r="I813" t="s">
        <v>8</v>
      </c>
      <c r="J813" s="18">
        <v>12038977.51</v>
      </c>
      <c r="K813" t="s">
        <v>2046</v>
      </c>
      <c r="L813" t="s">
        <v>9</v>
      </c>
      <c r="M813" t="s">
        <v>2047</v>
      </c>
      <c r="N813" t="s">
        <v>3</v>
      </c>
      <c r="O813" t="s">
        <v>3</v>
      </c>
      <c r="P813" t="s">
        <v>5</v>
      </c>
      <c r="Q813" t="s">
        <v>2048</v>
      </c>
      <c r="R813" t="s">
        <v>3</v>
      </c>
      <c r="S813" t="s">
        <v>3</v>
      </c>
      <c r="T813" t="s">
        <v>3</v>
      </c>
      <c r="U813" t="s">
        <v>3</v>
      </c>
      <c r="V813" t="s">
        <v>3</v>
      </c>
      <c r="W813" t="s">
        <v>68</v>
      </c>
      <c r="X813" s="17">
        <v>43241</v>
      </c>
      <c r="Y813" t="s">
        <v>814</v>
      </c>
      <c r="Z813" s="17">
        <v>43233</v>
      </c>
      <c r="AA813" t="s">
        <v>3</v>
      </c>
      <c r="AB813" t="s">
        <v>2045</v>
      </c>
    </row>
    <row r="814" spans="1:28" hidden="1">
      <c r="A814" t="s">
        <v>2033</v>
      </c>
      <c r="B814" s="17">
        <v>43233</v>
      </c>
      <c r="C814" s="17">
        <v>43233</v>
      </c>
      <c r="D814" t="s">
        <v>0</v>
      </c>
      <c r="E814" t="s">
        <v>1</v>
      </c>
      <c r="F814" s="18">
        <v>348430</v>
      </c>
      <c r="G814" s="18">
        <v>348430</v>
      </c>
      <c r="H814" t="s">
        <v>2</v>
      </c>
      <c r="I814" t="s">
        <v>8</v>
      </c>
      <c r="J814" s="18">
        <v>28745475.02</v>
      </c>
      <c r="K814" t="s">
        <v>2052</v>
      </c>
      <c r="L814" t="s">
        <v>9</v>
      </c>
      <c r="M814" t="s">
        <v>2053</v>
      </c>
      <c r="N814" t="s">
        <v>3</v>
      </c>
      <c r="O814" t="s">
        <v>3</v>
      </c>
      <c r="P814" t="s">
        <v>5</v>
      </c>
      <c r="Q814" t="s">
        <v>2054</v>
      </c>
      <c r="R814" t="s">
        <v>3</v>
      </c>
      <c r="S814" t="s">
        <v>3</v>
      </c>
      <c r="T814" t="s">
        <v>3</v>
      </c>
      <c r="U814" t="s">
        <v>3</v>
      </c>
      <c r="V814" t="s">
        <v>3</v>
      </c>
      <c r="W814" t="s">
        <v>68</v>
      </c>
      <c r="X814" s="17">
        <v>43233</v>
      </c>
      <c r="Y814" t="s">
        <v>2033</v>
      </c>
      <c r="Z814" s="17">
        <v>43233</v>
      </c>
      <c r="AA814" t="s">
        <v>3</v>
      </c>
      <c r="AB814" t="s">
        <v>2033</v>
      </c>
    </row>
    <row r="815" spans="1:28" hidden="1">
      <c r="A815" t="s">
        <v>808</v>
      </c>
      <c r="B815" s="17">
        <v>43234</v>
      </c>
      <c r="C815" s="17">
        <v>43234</v>
      </c>
      <c r="D815" t="s">
        <v>7</v>
      </c>
      <c r="E815" t="s">
        <v>1</v>
      </c>
      <c r="F815" s="18">
        <v>354088</v>
      </c>
      <c r="G815" s="18">
        <v>354088</v>
      </c>
      <c r="H815" t="s">
        <v>2</v>
      </c>
      <c r="I815" t="s">
        <v>8</v>
      </c>
      <c r="J815" s="18">
        <v>29212260.010000002</v>
      </c>
      <c r="K815" t="s">
        <v>809</v>
      </c>
      <c r="L815" t="s">
        <v>9</v>
      </c>
      <c r="M815" t="s">
        <v>810</v>
      </c>
      <c r="N815" t="s">
        <v>3</v>
      </c>
      <c r="O815" t="s">
        <v>3</v>
      </c>
      <c r="P815" t="s">
        <v>5</v>
      </c>
      <c r="Q815" t="s">
        <v>809</v>
      </c>
      <c r="R815" t="s">
        <v>3</v>
      </c>
      <c r="S815" t="s">
        <v>3</v>
      </c>
      <c r="T815" t="s">
        <v>3</v>
      </c>
      <c r="U815" t="s">
        <v>3</v>
      </c>
      <c r="V815" t="s">
        <v>3</v>
      </c>
      <c r="W815" t="s">
        <v>68</v>
      </c>
      <c r="X815" s="17">
        <v>43234</v>
      </c>
      <c r="Y815" t="s">
        <v>808</v>
      </c>
      <c r="Z815" s="17">
        <v>43234</v>
      </c>
      <c r="AA815" t="s">
        <v>3</v>
      </c>
      <c r="AB815" t="s">
        <v>808</v>
      </c>
    </row>
    <row r="816" spans="1:28" hidden="1">
      <c r="A816" t="s">
        <v>808</v>
      </c>
      <c r="B816" s="17">
        <v>43234</v>
      </c>
      <c r="C816" s="17">
        <v>43234</v>
      </c>
      <c r="D816" t="s">
        <v>7</v>
      </c>
      <c r="E816" t="s">
        <v>1</v>
      </c>
      <c r="F816" s="18">
        <v>-354088</v>
      </c>
      <c r="G816" s="18">
        <v>-354088</v>
      </c>
      <c r="H816" t="s">
        <v>2</v>
      </c>
      <c r="I816" t="s">
        <v>8</v>
      </c>
      <c r="J816" s="18">
        <v>-29212260.010000002</v>
      </c>
      <c r="K816" t="s">
        <v>809</v>
      </c>
      <c r="L816" t="s">
        <v>9</v>
      </c>
      <c r="M816" t="s">
        <v>810</v>
      </c>
      <c r="N816" t="s">
        <v>3</v>
      </c>
      <c r="O816" t="s">
        <v>3</v>
      </c>
      <c r="P816" t="s">
        <v>5</v>
      </c>
      <c r="Q816" t="s">
        <v>809</v>
      </c>
      <c r="R816" t="s">
        <v>3</v>
      </c>
      <c r="S816" t="s">
        <v>3</v>
      </c>
      <c r="T816" t="s">
        <v>3</v>
      </c>
      <c r="U816" t="s">
        <v>3</v>
      </c>
      <c r="V816" t="s">
        <v>3</v>
      </c>
      <c r="W816" t="s">
        <v>68</v>
      </c>
      <c r="X816" s="17">
        <v>43234</v>
      </c>
      <c r="Y816" t="s">
        <v>808</v>
      </c>
      <c r="Z816" s="17">
        <v>43234</v>
      </c>
      <c r="AA816" t="s">
        <v>3</v>
      </c>
      <c r="AB816" t="s">
        <v>808</v>
      </c>
    </row>
    <row r="817" spans="1:28" hidden="1">
      <c r="A817" t="s">
        <v>838</v>
      </c>
      <c r="B817" s="17">
        <v>43234</v>
      </c>
      <c r="C817" s="17">
        <v>43234</v>
      </c>
      <c r="D817" t="s">
        <v>7</v>
      </c>
      <c r="E817" t="s">
        <v>1</v>
      </c>
      <c r="F817" s="18">
        <v>-3</v>
      </c>
      <c r="G817" s="18">
        <v>-3</v>
      </c>
      <c r="H817" t="s">
        <v>2</v>
      </c>
      <c r="I817" t="s">
        <v>8</v>
      </c>
      <c r="J817" s="18">
        <v>-247.5</v>
      </c>
      <c r="K817" t="s">
        <v>839</v>
      </c>
      <c r="L817" t="s">
        <v>9</v>
      </c>
      <c r="M817" t="s">
        <v>840</v>
      </c>
      <c r="N817" t="s">
        <v>3</v>
      </c>
      <c r="O817" t="s">
        <v>3</v>
      </c>
      <c r="P817" t="s">
        <v>5</v>
      </c>
      <c r="Q817" t="s">
        <v>839</v>
      </c>
      <c r="R817" t="s">
        <v>3</v>
      </c>
      <c r="S817" t="s">
        <v>3</v>
      </c>
      <c r="T817" t="s">
        <v>3</v>
      </c>
      <c r="U817" t="s">
        <v>3</v>
      </c>
      <c r="V817" t="s">
        <v>3</v>
      </c>
      <c r="W817" t="s">
        <v>68</v>
      </c>
      <c r="X817" s="17">
        <v>43234</v>
      </c>
      <c r="Y817" t="s">
        <v>838</v>
      </c>
      <c r="Z817" s="17">
        <v>43234</v>
      </c>
      <c r="AA817" t="s">
        <v>3</v>
      </c>
      <c r="AB817" t="s">
        <v>838</v>
      </c>
    </row>
    <row r="818" spans="1:28" hidden="1">
      <c r="A818" t="s">
        <v>2061</v>
      </c>
      <c r="B818" s="17">
        <v>43236</v>
      </c>
      <c r="C818" s="17">
        <v>43236</v>
      </c>
      <c r="D818" t="s">
        <v>0</v>
      </c>
      <c r="E818" t="s">
        <v>1</v>
      </c>
      <c r="F818" s="18">
        <v>224976</v>
      </c>
      <c r="G818" s="18">
        <v>224976</v>
      </c>
      <c r="H818" t="s">
        <v>2</v>
      </c>
      <c r="I818" t="s">
        <v>8</v>
      </c>
      <c r="J818" s="18">
        <v>18560520.010000002</v>
      </c>
      <c r="K818" t="s">
        <v>2062</v>
      </c>
      <c r="L818" t="s">
        <v>9</v>
      </c>
      <c r="M818" t="s">
        <v>2063</v>
      </c>
      <c r="N818" t="s">
        <v>3</v>
      </c>
      <c r="O818" t="s">
        <v>3</v>
      </c>
      <c r="P818" t="s">
        <v>5</v>
      </c>
      <c r="Q818" t="s">
        <v>2064</v>
      </c>
      <c r="R818" t="s">
        <v>3</v>
      </c>
      <c r="S818" t="s">
        <v>3</v>
      </c>
      <c r="T818" t="s">
        <v>3</v>
      </c>
      <c r="U818" t="s">
        <v>3</v>
      </c>
      <c r="V818" t="s">
        <v>3</v>
      </c>
      <c r="W818" t="s">
        <v>68</v>
      </c>
      <c r="X818" s="17">
        <v>43245</v>
      </c>
      <c r="Y818" t="s">
        <v>835</v>
      </c>
      <c r="Z818" s="17">
        <v>43236</v>
      </c>
      <c r="AA818" t="s">
        <v>3</v>
      </c>
      <c r="AB818" t="s">
        <v>2061</v>
      </c>
    </row>
    <row r="819" spans="1:28" hidden="1">
      <c r="A819" t="s">
        <v>2065</v>
      </c>
      <c r="B819" s="17">
        <v>43236</v>
      </c>
      <c r="C819" s="17">
        <v>43236</v>
      </c>
      <c r="D819" t="s">
        <v>0</v>
      </c>
      <c r="E819" t="s">
        <v>1</v>
      </c>
      <c r="F819" s="18">
        <v>-131912</v>
      </c>
      <c r="G819" s="18">
        <v>-131912</v>
      </c>
      <c r="H819" t="s">
        <v>2</v>
      </c>
      <c r="I819" t="s">
        <v>10</v>
      </c>
      <c r="J819" s="18">
        <v>-10882740.01</v>
      </c>
      <c r="K819" t="s">
        <v>2066</v>
      </c>
      <c r="L819" t="s">
        <v>9</v>
      </c>
      <c r="M819" t="s">
        <v>2067</v>
      </c>
      <c r="N819" t="s">
        <v>3</v>
      </c>
      <c r="O819" t="s">
        <v>3</v>
      </c>
      <c r="P819" t="s">
        <v>5</v>
      </c>
      <c r="Q819" t="s">
        <v>2068</v>
      </c>
      <c r="R819" t="s">
        <v>3</v>
      </c>
      <c r="S819" t="s">
        <v>3</v>
      </c>
      <c r="T819" t="s">
        <v>3</v>
      </c>
      <c r="U819" t="s">
        <v>3</v>
      </c>
      <c r="V819" t="s">
        <v>3</v>
      </c>
      <c r="W819" t="s">
        <v>68</v>
      </c>
      <c r="X819" s="17">
        <v>43249</v>
      </c>
      <c r="Y819" t="s">
        <v>2069</v>
      </c>
      <c r="Z819" s="17">
        <v>43236</v>
      </c>
      <c r="AA819" t="s">
        <v>3</v>
      </c>
      <c r="AB819" t="s">
        <v>2065</v>
      </c>
    </row>
    <row r="820" spans="1:28" hidden="1">
      <c r="A820" t="s">
        <v>2070</v>
      </c>
      <c r="B820" s="17">
        <v>43240</v>
      </c>
      <c r="C820" s="17">
        <v>43240</v>
      </c>
      <c r="D820" t="s">
        <v>0</v>
      </c>
      <c r="E820" t="s">
        <v>1</v>
      </c>
      <c r="F820" s="18">
        <v>-358025</v>
      </c>
      <c r="G820" s="18">
        <v>-358025</v>
      </c>
      <c r="H820" t="s">
        <v>2</v>
      </c>
      <c r="I820" t="s">
        <v>8</v>
      </c>
      <c r="J820" s="18">
        <v>-29537062.510000002</v>
      </c>
      <c r="K820" t="s">
        <v>2071</v>
      </c>
      <c r="L820" t="s">
        <v>9</v>
      </c>
      <c r="M820" t="s">
        <v>2072</v>
      </c>
      <c r="N820" t="s">
        <v>3</v>
      </c>
      <c r="O820" t="s">
        <v>3</v>
      </c>
      <c r="P820" t="s">
        <v>5</v>
      </c>
      <c r="Q820" t="s">
        <v>2073</v>
      </c>
      <c r="R820" t="s">
        <v>3</v>
      </c>
      <c r="S820" t="s">
        <v>3</v>
      </c>
      <c r="T820" t="s">
        <v>3</v>
      </c>
      <c r="U820" t="s">
        <v>3</v>
      </c>
      <c r="V820" t="s">
        <v>3</v>
      </c>
      <c r="W820" t="s">
        <v>68</v>
      </c>
      <c r="X820" s="17">
        <v>43281</v>
      </c>
      <c r="Y820" t="s">
        <v>850</v>
      </c>
      <c r="Z820" s="17">
        <v>43240</v>
      </c>
      <c r="AA820" t="s">
        <v>3</v>
      </c>
      <c r="AB820" t="s">
        <v>2070</v>
      </c>
    </row>
    <row r="821" spans="1:28" hidden="1">
      <c r="A821" t="s">
        <v>2074</v>
      </c>
      <c r="B821" s="17">
        <v>43240</v>
      </c>
      <c r="C821" s="17">
        <v>43240</v>
      </c>
      <c r="D821" t="s">
        <v>0</v>
      </c>
      <c r="E821" t="s">
        <v>1</v>
      </c>
      <c r="F821" s="18">
        <v>6652</v>
      </c>
      <c r="G821" s="18">
        <v>6652</v>
      </c>
      <c r="H821" t="s">
        <v>2</v>
      </c>
      <c r="I821" t="s">
        <v>10</v>
      </c>
      <c r="J821" s="18">
        <v>548790</v>
      </c>
      <c r="K821" t="s">
        <v>2028</v>
      </c>
      <c r="L821" t="s">
        <v>9</v>
      </c>
      <c r="M821" t="s">
        <v>2075</v>
      </c>
      <c r="N821" t="s">
        <v>3</v>
      </c>
      <c r="O821" t="s">
        <v>3</v>
      </c>
      <c r="P821" t="s">
        <v>5</v>
      </c>
      <c r="Q821" t="s">
        <v>2076</v>
      </c>
      <c r="R821" t="s">
        <v>3</v>
      </c>
      <c r="S821" t="s">
        <v>3</v>
      </c>
      <c r="T821" t="s">
        <v>3</v>
      </c>
      <c r="U821" t="s">
        <v>3</v>
      </c>
      <c r="V821" t="s">
        <v>3</v>
      </c>
      <c r="W821" t="s">
        <v>68</v>
      </c>
      <c r="X821" s="17">
        <v>43241</v>
      </c>
      <c r="Y821" t="s">
        <v>829</v>
      </c>
      <c r="Z821" s="17">
        <v>43240</v>
      </c>
      <c r="AA821" t="s">
        <v>3</v>
      </c>
      <c r="AB821" t="s">
        <v>2074</v>
      </c>
    </row>
    <row r="822" spans="1:28" hidden="1">
      <c r="A822" t="s">
        <v>2077</v>
      </c>
      <c r="B822" s="17">
        <v>43240</v>
      </c>
      <c r="C822" s="17">
        <v>43240</v>
      </c>
      <c r="D822" t="s">
        <v>0</v>
      </c>
      <c r="E822" t="s">
        <v>1</v>
      </c>
      <c r="F822" s="18">
        <v>65258</v>
      </c>
      <c r="G822" s="18">
        <v>65258</v>
      </c>
      <c r="H822" t="s">
        <v>2</v>
      </c>
      <c r="I822" t="s">
        <v>8</v>
      </c>
      <c r="J822" s="18">
        <v>5383785</v>
      </c>
      <c r="K822" t="s">
        <v>2062</v>
      </c>
      <c r="L822" t="s">
        <v>9</v>
      </c>
      <c r="M822" t="s">
        <v>2078</v>
      </c>
      <c r="N822" t="s">
        <v>3</v>
      </c>
      <c r="O822" t="s">
        <v>3</v>
      </c>
      <c r="P822" t="s">
        <v>5</v>
      </c>
      <c r="Q822" t="s">
        <v>2079</v>
      </c>
      <c r="R822" t="s">
        <v>3</v>
      </c>
      <c r="S822" t="s">
        <v>3</v>
      </c>
      <c r="T822" t="s">
        <v>3</v>
      </c>
      <c r="U822" t="s">
        <v>3</v>
      </c>
      <c r="V822" t="s">
        <v>3</v>
      </c>
      <c r="W822" t="s">
        <v>68</v>
      </c>
      <c r="X822" s="17">
        <v>43245</v>
      </c>
      <c r="Y822" t="s">
        <v>835</v>
      </c>
      <c r="Z822" s="17">
        <v>43240</v>
      </c>
      <c r="AA822" t="s">
        <v>3</v>
      </c>
      <c r="AB822" t="s">
        <v>2077</v>
      </c>
    </row>
    <row r="823" spans="1:28" hidden="1">
      <c r="A823" t="s">
        <v>2077</v>
      </c>
      <c r="B823" s="17">
        <v>43240</v>
      </c>
      <c r="C823" s="17">
        <v>43240</v>
      </c>
      <c r="D823" t="s">
        <v>0</v>
      </c>
      <c r="E823" t="s">
        <v>1</v>
      </c>
      <c r="F823" s="18">
        <v>92015</v>
      </c>
      <c r="G823" s="18">
        <v>92015</v>
      </c>
      <c r="H823" t="s">
        <v>2</v>
      </c>
      <c r="I823" t="s">
        <v>8</v>
      </c>
      <c r="J823" s="18">
        <v>7591237.5</v>
      </c>
      <c r="K823" t="s">
        <v>2046</v>
      </c>
      <c r="L823" t="s">
        <v>9</v>
      </c>
      <c r="M823" t="s">
        <v>2078</v>
      </c>
      <c r="N823" t="s">
        <v>3</v>
      </c>
      <c r="O823" t="s">
        <v>3</v>
      </c>
      <c r="P823" t="s">
        <v>5</v>
      </c>
      <c r="Q823" t="s">
        <v>2079</v>
      </c>
      <c r="R823" t="s">
        <v>3</v>
      </c>
      <c r="S823" t="s">
        <v>3</v>
      </c>
      <c r="T823" t="s">
        <v>3</v>
      </c>
      <c r="U823" t="s">
        <v>3</v>
      </c>
      <c r="V823" t="s">
        <v>3</v>
      </c>
      <c r="W823" t="s">
        <v>68</v>
      </c>
      <c r="X823" s="17">
        <v>43241</v>
      </c>
      <c r="Y823" t="s">
        <v>814</v>
      </c>
      <c r="Z823" s="17">
        <v>43240</v>
      </c>
      <c r="AA823" t="s">
        <v>3</v>
      </c>
      <c r="AB823" t="s">
        <v>2077</v>
      </c>
    </row>
    <row r="824" spans="1:28" hidden="1">
      <c r="A824" t="s">
        <v>814</v>
      </c>
      <c r="B824" s="17">
        <v>43241</v>
      </c>
      <c r="C824" s="17">
        <v>43241</v>
      </c>
      <c r="D824" t="s">
        <v>7</v>
      </c>
      <c r="E824" t="s">
        <v>1</v>
      </c>
      <c r="F824" s="18">
        <v>237942</v>
      </c>
      <c r="G824" s="18">
        <v>237942</v>
      </c>
      <c r="H824" t="s">
        <v>2</v>
      </c>
      <c r="I824" t="s">
        <v>8</v>
      </c>
      <c r="J824" s="18">
        <v>19630215.010000002</v>
      </c>
      <c r="K824" t="s">
        <v>815</v>
      </c>
      <c r="L824" t="s">
        <v>9</v>
      </c>
      <c r="M824" t="s">
        <v>816</v>
      </c>
      <c r="N824" t="s">
        <v>3</v>
      </c>
      <c r="O824" t="s">
        <v>3</v>
      </c>
      <c r="P824" t="s">
        <v>5</v>
      </c>
      <c r="Q824" t="s">
        <v>815</v>
      </c>
      <c r="R824" t="s">
        <v>3</v>
      </c>
      <c r="S824" t="s">
        <v>3</v>
      </c>
      <c r="T824" t="s">
        <v>3</v>
      </c>
      <c r="U824" t="s">
        <v>3</v>
      </c>
      <c r="V824" t="s">
        <v>3</v>
      </c>
      <c r="W824" t="s">
        <v>68</v>
      </c>
      <c r="X824" s="17">
        <v>43241</v>
      </c>
      <c r="Y824" t="s">
        <v>814</v>
      </c>
      <c r="Z824" s="17">
        <v>43241</v>
      </c>
      <c r="AA824" t="s">
        <v>3</v>
      </c>
      <c r="AB824" t="s">
        <v>814</v>
      </c>
    </row>
    <row r="825" spans="1:28" hidden="1">
      <c r="A825" t="s">
        <v>814</v>
      </c>
      <c r="B825" s="17">
        <v>43241</v>
      </c>
      <c r="C825" s="17">
        <v>43241</v>
      </c>
      <c r="D825" t="s">
        <v>7</v>
      </c>
      <c r="E825" t="s">
        <v>1</v>
      </c>
      <c r="F825" s="18">
        <v>-237942</v>
      </c>
      <c r="G825" s="18">
        <v>-237942</v>
      </c>
      <c r="H825" t="s">
        <v>2</v>
      </c>
      <c r="I825" t="s">
        <v>8</v>
      </c>
      <c r="J825" s="18">
        <v>-19630215.010000002</v>
      </c>
      <c r="K825" t="s">
        <v>815</v>
      </c>
      <c r="L825" t="s">
        <v>9</v>
      </c>
      <c r="M825" t="s">
        <v>816</v>
      </c>
      <c r="N825" t="s">
        <v>3</v>
      </c>
      <c r="O825" t="s">
        <v>3</v>
      </c>
      <c r="P825" t="s">
        <v>5</v>
      </c>
      <c r="Q825" t="s">
        <v>815</v>
      </c>
      <c r="R825" t="s">
        <v>3</v>
      </c>
      <c r="S825" t="s">
        <v>3</v>
      </c>
      <c r="T825" t="s">
        <v>3</v>
      </c>
      <c r="U825" t="s">
        <v>3</v>
      </c>
      <c r="V825" t="s">
        <v>3</v>
      </c>
      <c r="W825" t="s">
        <v>68</v>
      </c>
      <c r="X825" s="17">
        <v>43241</v>
      </c>
      <c r="Y825" t="s">
        <v>814</v>
      </c>
      <c r="Z825" s="17">
        <v>43241</v>
      </c>
      <c r="AA825" t="s">
        <v>3</v>
      </c>
      <c r="AB825" t="s">
        <v>814</v>
      </c>
    </row>
    <row r="826" spans="1:28" hidden="1">
      <c r="A826" t="s">
        <v>829</v>
      </c>
      <c r="B826" s="17">
        <v>43241</v>
      </c>
      <c r="C826" s="17">
        <v>43241</v>
      </c>
      <c r="D826" t="s">
        <v>7</v>
      </c>
      <c r="E826" t="s">
        <v>1</v>
      </c>
      <c r="F826" s="18">
        <v>32757</v>
      </c>
      <c r="G826" s="18">
        <v>32757</v>
      </c>
      <c r="H826" t="s">
        <v>2</v>
      </c>
      <c r="I826" t="s">
        <v>10</v>
      </c>
      <c r="J826" s="18">
        <v>2702452.51</v>
      </c>
      <c r="K826" t="s">
        <v>830</v>
      </c>
      <c r="L826" t="s">
        <v>9</v>
      </c>
      <c r="M826" t="s">
        <v>831</v>
      </c>
      <c r="N826" t="s">
        <v>3</v>
      </c>
      <c r="O826" t="s">
        <v>3</v>
      </c>
      <c r="P826" t="s">
        <v>5</v>
      </c>
      <c r="Q826" t="s">
        <v>830</v>
      </c>
      <c r="R826" t="s">
        <v>3</v>
      </c>
      <c r="S826" t="s">
        <v>3</v>
      </c>
      <c r="T826" t="s">
        <v>3</v>
      </c>
      <c r="U826" t="s">
        <v>3</v>
      </c>
      <c r="V826" t="s">
        <v>3</v>
      </c>
      <c r="W826" t="s">
        <v>68</v>
      </c>
      <c r="X826" s="17">
        <v>43241</v>
      </c>
      <c r="Y826" t="s">
        <v>829</v>
      </c>
      <c r="Z826" s="17">
        <v>43241</v>
      </c>
      <c r="AA826" t="s">
        <v>3</v>
      </c>
      <c r="AB826" t="s">
        <v>829</v>
      </c>
    </row>
    <row r="827" spans="1:28" hidden="1">
      <c r="A827" t="s">
        <v>829</v>
      </c>
      <c r="B827" s="17">
        <v>43241</v>
      </c>
      <c r="C827" s="17">
        <v>43241</v>
      </c>
      <c r="D827" t="s">
        <v>7</v>
      </c>
      <c r="E827" t="s">
        <v>1</v>
      </c>
      <c r="F827" s="18">
        <v>-32757</v>
      </c>
      <c r="G827" s="18">
        <v>-32757</v>
      </c>
      <c r="H827" t="s">
        <v>2</v>
      </c>
      <c r="I827" t="s">
        <v>10</v>
      </c>
      <c r="J827" s="18">
        <v>-2702452.51</v>
      </c>
      <c r="K827" t="s">
        <v>830</v>
      </c>
      <c r="L827" t="s">
        <v>9</v>
      </c>
      <c r="M827" t="s">
        <v>831</v>
      </c>
      <c r="N827" t="s">
        <v>3</v>
      </c>
      <c r="O827" t="s">
        <v>3</v>
      </c>
      <c r="P827" t="s">
        <v>5</v>
      </c>
      <c r="Q827" t="s">
        <v>830</v>
      </c>
      <c r="R827" t="s">
        <v>3</v>
      </c>
      <c r="S827" t="s">
        <v>3</v>
      </c>
      <c r="T827" t="s">
        <v>3</v>
      </c>
      <c r="U827" t="s">
        <v>3</v>
      </c>
      <c r="V827" t="s">
        <v>3</v>
      </c>
      <c r="W827" t="s">
        <v>68</v>
      </c>
      <c r="X827" s="17">
        <v>43241</v>
      </c>
      <c r="Y827" t="s">
        <v>829</v>
      </c>
      <c r="Z827" s="17">
        <v>43241</v>
      </c>
      <c r="AA827" t="s">
        <v>3</v>
      </c>
      <c r="AB827" t="s">
        <v>829</v>
      </c>
    </row>
    <row r="828" spans="1:28" hidden="1">
      <c r="A828" t="s">
        <v>2080</v>
      </c>
      <c r="B828" s="17">
        <v>43241</v>
      </c>
      <c r="C828" s="17">
        <v>43241</v>
      </c>
      <c r="D828" t="s">
        <v>0</v>
      </c>
      <c r="E828" t="s">
        <v>1</v>
      </c>
      <c r="F828" s="18">
        <v>311635</v>
      </c>
      <c r="G828" s="18">
        <v>311635</v>
      </c>
      <c r="H828" t="s">
        <v>2</v>
      </c>
      <c r="I828" t="s">
        <v>8</v>
      </c>
      <c r="J828" s="18">
        <v>25709887.510000002</v>
      </c>
      <c r="K828" t="s">
        <v>2081</v>
      </c>
      <c r="L828" t="s">
        <v>9</v>
      </c>
      <c r="M828" t="s">
        <v>2082</v>
      </c>
      <c r="N828" t="s">
        <v>3</v>
      </c>
      <c r="O828" t="s">
        <v>3</v>
      </c>
      <c r="P828" t="s">
        <v>5</v>
      </c>
      <c r="Q828" t="s">
        <v>2083</v>
      </c>
      <c r="R828" t="s">
        <v>3</v>
      </c>
      <c r="S828" t="s">
        <v>3</v>
      </c>
      <c r="T828" t="s">
        <v>3</v>
      </c>
      <c r="U828" t="s">
        <v>3</v>
      </c>
      <c r="V828" t="s">
        <v>3</v>
      </c>
      <c r="W828" t="s">
        <v>68</v>
      </c>
      <c r="X828" s="17">
        <v>43281</v>
      </c>
      <c r="Y828" t="s">
        <v>847</v>
      </c>
      <c r="Z828" s="17">
        <v>43241</v>
      </c>
      <c r="AA828" t="s">
        <v>3</v>
      </c>
      <c r="AB828" t="s">
        <v>2080</v>
      </c>
    </row>
    <row r="829" spans="1:28" hidden="1">
      <c r="A829" t="s">
        <v>2080</v>
      </c>
      <c r="B829" s="17">
        <v>43241</v>
      </c>
      <c r="C829" s="17">
        <v>43241</v>
      </c>
      <c r="D829" t="s">
        <v>0</v>
      </c>
      <c r="E829" t="s">
        <v>1</v>
      </c>
      <c r="F829" s="18">
        <v>111895</v>
      </c>
      <c r="G829" s="18">
        <v>111895</v>
      </c>
      <c r="H829" t="s">
        <v>2</v>
      </c>
      <c r="I829" t="s">
        <v>8</v>
      </c>
      <c r="J829" s="18">
        <v>9231337.5</v>
      </c>
      <c r="K829" t="s">
        <v>2062</v>
      </c>
      <c r="L829" t="s">
        <v>9</v>
      </c>
      <c r="M829" t="s">
        <v>2082</v>
      </c>
      <c r="N829" t="s">
        <v>3</v>
      </c>
      <c r="O829" t="s">
        <v>3</v>
      </c>
      <c r="P829" t="s">
        <v>5</v>
      </c>
      <c r="Q829" t="s">
        <v>2083</v>
      </c>
      <c r="R829" t="s">
        <v>3</v>
      </c>
      <c r="S829" t="s">
        <v>3</v>
      </c>
      <c r="T829" t="s">
        <v>3</v>
      </c>
      <c r="U829" t="s">
        <v>3</v>
      </c>
      <c r="V829" t="s">
        <v>3</v>
      </c>
      <c r="W829" t="s">
        <v>68</v>
      </c>
      <c r="X829" s="17">
        <v>43245</v>
      </c>
      <c r="Y829" t="s">
        <v>835</v>
      </c>
      <c r="Z829" s="17">
        <v>43241</v>
      </c>
      <c r="AA829" t="s">
        <v>3</v>
      </c>
      <c r="AB829" t="s">
        <v>2080</v>
      </c>
    </row>
    <row r="830" spans="1:28" hidden="1">
      <c r="A830" t="s">
        <v>2080</v>
      </c>
      <c r="B830" s="17">
        <v>43241</v>
      </c>
      <c r="C830" s="17">
        <v>43241</v>
      </c>
      <c r="D830" t="s">
        <v>0</v>
      </c>
      <c r="E830" t="s">
        <v>1</v>
      </c>
      <c r="F830" s="18">
        <v>194053</v>
      </c>
      <c r="G830" s="18">
        <v>194053</v>
      </c>
      <c r="H830" t="s">
        <v>2</v>
      </c>
      <c r="I830" t="s">
        <v>8</v>
      </c>
      <c r="J830" s="18">
        <v>16009372.51</v>
      </c>
      <c r="K830" t="s">
        <v>2084</v>
      </c>
      <c r="L830" t="s">
        <v>9</v>
      </c>
      <c r="M830" t="s">
        <v>2082</v>
      </c>
      <c r="N830" t="s">
        <v>3</v>
      </c>
      <c r="O830" t="s">
        <v>3</v>
      </c>
      <c r="P830" t="s">
        <v>5</v>
      </c>
      <c r="Q830" t="s">
        <v>2083</v>
      </c>
      <c r="R830" t="s">
        <v>3</v>
      </c>
      <c r="S830" t="s">
        <v>3</v>
      </c>
      <c r="T830" t="s">
        <v>3</v>
      </c>
      <c r="U830" t="s">
        <v>3</v>
      </c>
      <c r="V830" t="s">
        <v>3</v>
      </c>
      <c r="W830" t="s">
        <v>68</v>
      </c>
      <c r="X830" s="17">
        <v>43245</v>
      </c>
      <c r="Y830" t="s">
        <v>811</v>
      </c>
      <c r="Z830" s="17">
        <v>43241</v>
      </c>
      <c r="AA830" t="s">
        <v>3</v>
      </c>
      <c r="AB830" t="s">
        <v>2080</v>
      </c>
    </row>
    <row r="831" spans="1:28" hidden="1">
      <c r="A831" t="s">
        <v>2085</v>
      </c>
      <c r="B831" s="17">
        <v>43243</v>
      </c>
      <c r="C831" s="17">
        <v>43243</v>
      </c>
      <c r="D831" t="s">
        <v>0</v>
      </c>
      <c r="E831" t="s">
        <v>1</v>
      </c>
      <c r="F831" s="18">
        <v>-1289053</v>
      </c>
      <c r="G831" s="18">
        <v>-1289053</v>
      </c>
      <c r="H831" t="s">
        <v>2</v>
      </c>
      <c r="I831" t="s">
        <v>8</v>
      </c>
      <c r="J831" s="18">
        <v>-106346872.51000001</v>
      </c>
      <c r="K831" t="s">
        <v>2086</v>
      </c>
      <c r="L831" t="s">
        <v>9</v>
      </c>
      <c r="M831" t="s">
        <v>2087</v>
      </c>
      <c r="N831" t="s">
        <v>3</v>
      </c>
      <c r="O831" t="s">
        <v>3</v>
      </c>
      <c r="P831" t="s">
        <v>5</v>
      </c>
      <c r="Q831" t="s">
        <v>2088</v>
      </c>
      <c r="R831" t="s">
        <v>3</v>
      </c>
      <c r="S831" t="s">
        <v>3</v>
      </c>
      <c r="T831" t="s">
        <v>3</v>
      </c>
      <c r="U831" t="s">
        <v>3</v>
      </c>
      <c r="V831" t="s">
        <v>3</v>
      </c>
      <c r="W831" t="s">
        <v>68</v>
      </c>
      <c r="X831" s="17">
        <v>43281</v>
      </c>
      <c r="Y831" t="s">
        <v>841</v>
      </c>
      <c r="Z831" s="17">
        <v>43243</v>
      </c>
      <c r="AA831" t="s">
        <v>3</v>
      </c>
      <c r="AB831" t="s">
        <v>2085</v>
      </c>
    </row>
    <row r="832" spans="1:28" hidden="1">
      <c r="A832" t="s">
        <v>2089</v>
      </c>
      <c r="B832" s="17">
        <v>43243</v>
      </c>
      <c r="C832" s="17">
        <v>43243</v>
      </c>
      <c r="D832" t="s">
        <v>0</v>
      </c>
      <c r="E832" t="s">
        <v>1</v>
      </c>
      <c r="F832" s="18">
        <v>-81967</v>
      </c>
      <c r="G832" s="18">
        <v>-81967</v>
      </c>
      <c r="H832" t="s">
        <v>2</v>
      </c>
      <c r="I832" t="s">
        <v>10</v>
      </c>
      <c r="J832" s="18">
        <v>-6762277.5099999998</v>
      </c>
      <c r="K832" t="s">
        <v>2090</v>
      </c>
      <c r="L832" t="s">
        <v>9</v>
      </c>
      <c r="M832" t="s">
        <v>2091</v>
      </c>
      <c r="N832" t="s">
        <v>3</v>
      </c>
      <c r="O832" t="s">
        <v>3</v>
      </c>
      <c r="P832" t="s">
        <v>5</v>
      </c>
      <c r="Q832" t="s">
        <v>2092</v>
      </c>
      <c r="R832" t="s">
        <v>3</v>
      </c>
      <c r="S832" t="s">
        <v>3</v>
      </c>
      <c r="T832" t="s">
        <v>3</v>
      </c>
      <c r="U832" t="s">
        <v>3</v>
      </c>
      <c r="V832" t="s">
        <v>3</v>
      </c>
      <c r="W832" t="s">
        <v>68</v>
      </c>
      <c r="X832" s="17">
        <v>43281</v>
      </c>
      <c r="Y832" t="s">
        <v>856</v>
      </c>
      <c r="Z832" s="17">
        <v>43243</v>
      </c>
      <c r="AA832" t="s">
        <v>3</v>
      </c>
      <c r="AB832" t="s">
        <v>2089</v>
      </c>
    </row>
    <row r="833" spans="1:28" hidden="1">
      <c r="A833" t="s">
        <v>2093</v>
      </c>
      <c r="B833" s="17">
        <v>43244</v>
      </c>
      <c r="C833" s="17">
        <v>43244</v>
      </c>
      <c r="D833" t="s">
        <v>0</v>
      </c>
      <c r="E833" t="s">
        <v>1</v>
      </c>
      <c r="F833" s="18">
        <v>41185</v>
      </c>
      <c r="G833" s="18">
        <v>41185</v>
      </c>
      <c r="H833" t="s">
        <v>2</v>
      </c>
      <c r="I833" t="s">
        <v>8</v>
      </c>
      <c r="J833" s="18">
        <v>3397762.5</v>
      </c>
      <c r="K833" t="s">
        <v>2062</v>
      </c>
      <c r="L833" t="s">
        <v>9</v>
      </c>
      <c r="M833" t="s">
        <v>2094</v>
      </c>
      <c r="N833" t="s">
        <v>3</v>
      </c>
      <c r="O833" t="s">
        <v>3</v>
      </c>
      <c r="P833" t="s">
        <v>5</v>
      </c>
      <c r="Q833" t="s">
        <v>2095</v>
      </c>
      <c r="R833" t="s">
        <v>3</v>
      </c>
      <c r="S833" t="s">
        <v>3</v>
      </c>
      <c r="T833" t="s">
        <v>3</v>
      </c>
      <c r="U833" t="s">
        <v>3</v>
      </c>
      <c r="V833" t="s">
        <v>3</v>
      </c>
      <c r="W833" t="s">
        <v>68</v>
      </c>
      <c r="X833" s="17">
        <v>43245</v>
      </c>
      <c r="Y833" t="s">
        <v>835</v>
      </c>
      <c r="Z833" s="17">
        <v>43244</v>
      </c>
      <c r="AA833" t="s">
        <v>3</v>
      </c>
      <c r="AB833" t="s">
        <v>2093</v>
      </c>
    </row>
    <row r="834" spans="1:28" hidden="1">
      <c r="A834" t="s">
        <v>2093</v>
      </c>
      <c r="B834" s="17">
        <v>43244</v>
      </c>
      <c r="C834" s="17">
        <v>43244</v>
      </c>
      <c r="D834" t="s">
        <v>0</v>
      </c>
      <c r="E834" t="s">
        <v>1</v>
      </c>
      <c r="F834" s="18">
        <v>4874</v>
      </c>
      <c r="G834" s="18">
        <v>4874</v>
      </c>
      <c r="H834" t="s">
        <v>2</v>
      </c>
      <c r="I834" t="s">
        <v>8</v>
      </c>
      <c r="J834" s="18">
        <v>402105</v>
      </c>
      <c r="K834" t="s">
        <v>2096</v>
      </c>
      <c r="L834" t="s">
        <v>9</v>
      </c>
      <c r="M834" t="s">
        <v>2094</v>
      </c>
      <c r="N834" t="s">
        <v>3</v>
      </c>
      <c r="O834" t="s">
        <v>3</v>
      </c>
      <c r="P834" t="s">
        <v>5</v>
      </c>
      <c r="Q834" t="s">
        <v>2095</v>
      </c>
      <c r="R834" t="s">
        <v>3</v>
      </c>
      <c r="S834" t="s">
        <v>3</v>
      </c>
      <c r="T834" t="s">
        <v>3</v>
      </c>
      <c r="U834" t="s">
        <v>3</v>
      </c>
      <c r="V834" t="s">
        <v>3</v>
      </c>
      <c r="W834" t="s">
        <v>68</v>
      </c>
      <c r="X834" s="17">
        <v>43281</v>
      </c>
      <c r="Y834" t="s">
        <v>850</v>
      </c>
      <c r="Z834" s="17">
        <v>43244</v>
      </c>
      <c r="AA834" t="s">
        <v>3</v>
      </c>
      <c r="AB834" t="s">
        <v>2093</v>
      </c>
    </row>
    <row r="835" spans="1:28" hidden="1">
      <c r="A835" t="s">
        <v>2097</v>
      </c>
      <c r="B835" s="17">
        <v>43244</v>
      </c>
      <c r="C835" s="17">
        <v>43244</v>
      </c>
      <c r="D835" t="s">
        <v>0</v>
      </c>
      <c r="E835" t="s">
        <v>1</v>
      </c>
      <c r="F835" s="18">
        <v>26027</v>
      </c>
      <c r="G835" s="18">
        <v>26027</v>
      </c>
      <c r="H835" t="s">
        <v>2</v>
      </c>
      <c r="I835" t="s">
        <v>8</v>
      </c>
      <c r="J835" s="18">
        <v>2147227.5</v>
      </c>
      <c r="K835" t="s">
        <v>2081</v>
      </c>
      <c r="L835" t="s">
        <v>9</v>
      </c>
      <c r="M835" t="s">
        <v>2098</v>
      </c>
      <c r="N835" t="s">
        <v>3</v>
      </c>
      <c r="O835" t="s">
        <v>3</v>
      </c>
      <c r="P835" t="s">
        <v>5</v>
      </c>
      <c r="Q835" t="s">
        <v>2099</v>
      </c>
      <c r="R835" t="s">
        <v>3</v>
      </c>
      <c r="S835" t="s">
        <v>3</v>
      </c>
      <c r="T835" t="s">
        <v>3</v>
      </c>
      <c r="U835" t="s">
        <v>3</v>
      </c>
      <c r="V835" t="s">
        <v>3</v>
      </c>
      <c r="W835" t="s">
        <v>68</v>
      </c>
      <c r="X835" s="17">
        <v>43281</v>
      </c>
      <c r="Y835" t="s">
        <v>847</v>
      </c>
      <c r="Z835" s="17">
        <v>43244</v>
      </c>
      <c r="AA835" t="s">
        <v>3</v>
      </c>
      <c r="AB835" t="s">
        <v>2097</v>
      </c>
    </row>
    <row r="836" spans="1:28" hidden="1">
      <c r="A836" t="s">
        <v>2097</v>
      </c>
      <c r="B836" s="17">
        <v>43244</v>
      </c>
      <c r="C836" s="17">
        <v>43244</v>
      </c>
      <c r="D836" t="s">
        <v>0</v>
      </c>
      <c r="E836" t="s">
        <v>1</v>
      </c>
      <c r="F836" s="18">
        <v>74393</v>
      </c>
      <c r="G836" s="18">
        <v>74393</v>
      </c>
      <c r="H836" t="s">
        <v>2</v>
      </c>
      <c r="I836" t="s">
        <v>8</v>
      </c>
      <c r="J836" s="18">
        <v>6137422.5</v>
      </c>
      <c r="K836" t="s">
        <v>2084</v>
      </c>
      <c r="L836" t="s">
        <v>9</v>
      </c>
      <c r="M836" t="s">
        <v>2098</v>
      </c>
      <c r="N836" t="s">
        <v>3</v>
      </c>
      <c r="O836" t="s">
        <v>3</v>
      </c>
      <c r="P836" t="s">
        <v>5</v>
      </c>
      <c r="Q836" t="s">
        <v>2099</v>
      </c>
      <c r="R836" t="s">
        <v>3</v>
      </c>
      <c r="S836" t="s">
        <v>3</v>
      </c>
      <c r="T836" t="s">
        <v>3</v>
      </c>
      <c r="U836" t="s">
        <v>3</v>
      </c>
      <c r="V836" t="s">
        <v>3</v>
      </c>
      <c r="W836" t="s">
        <v>68</v>
      </c>
      <c r="X836" s="17">
        <v>43245</v>
      </c>
      <c r="Y836" t="s">
        <v>811</v>
      </c>
      <c r="Z836" s="17">
        <v>43244</v>
      </c>
      <c r="AA836" t="s">
        <v>3</v>
      </c>
      <c r="AB836" t="s">
        <v>2097</v>
      </c>
    </row>
    <row r="837" spans="1:28" hidden="1">
      <c r="A837" t="s">
        <v>811</v>
      </c>
      <c r="B837" s="17">
        <v>43245</v>
      </c>
      <c r="C837" s="17">
        <v>43245</v>
      </c>
      <c r="D837" t="s">
        <v>7</v>
      </c>
      <c r="E837" t="s">
        <v>1</v>
      </c>
      <c r="F837" s="18">
        <v>268446</v>
      </c>
      <c r="G837" s="18">
        <v>268446</v>
      </c>
      <c r="H837" t="s">
        <v>2</v>
      </c>
      <c r="I837" t="s">
        <v>8</v>
      </c>
      <c r="J837" s="18">
        <v>22146795.010000002</v>
      </c>
      <c r="K837" t="s">
        <v>812</v>
      </c>
      <c r="L837" t="s">
        <v>9</v>
      </c>
      <c r="M837" t="s">
        <v>813</v>
      </c>
      <c r="N837" t="s">
        <v>3</v>
      </c>
      <c r="O837" t="s">
        <v>3</v>
      </c>
      <c r="P837" t="s">
        <v>5</v>
      </c>
      <c r="Q837" t="s">
        <v>812</v>
      </c>
      <c r="R837" t="s">
        <v>3</v>
      </c>
      <c r="S837" t="s">
        <v>3</v>
      </c>
      <c r="T837" t="s">
        <v>3</v>
      </c>
      <c r="U837" t="s">
        <v>3</v>
      </c>
      <c r="V837" t="s">
        <v>3</v>
      </c>
      <c r="W837" t="s">
        <v>68</v>
      </c>
      <c r="X837" s="17">
        <v>43245</v>
      </c>
      <c r="Y837" t="s">
        <v>811</v>
      </c>
      <c r="Z837" s="17">
        <v>43245</v>
      </c>
      <c r="AA837" t="s">
        <v>3</v>
      </c>
      <c r="AB837" t="s">
        <v>811</v>
      </c>
    </row>
    <row r="838" spans="1:28" hidden="1">
      <c r="A838" t="s">
        <v>811</v>
      </c>
      <c r="B838" s="17">
        <v>43245</v>
      </c>
      <c r="C838" s="17">
        <v>43245</v>
      </c>
      <c r="D838" t="s">
        <v>7</v>
      </c>
      <c r="E838" t="s">
        <v>1</v>
      </c>
      <c r="F838" s="18">
        <v>-268446</v>
      </c>
      <c r="G838" s="18">
        <v>-268446</v>
      </c>
      <c r="H838" t="s">
        <v>2</v>
      </c>
      <c r="I838" t="s">
        <v>8</v>
      </c>
      <c r="J838" s="18">
        <v>-22146795.010000002</v>
      </c>
      <c r="K838" t="s">
        <v>812</v>
      </c>
      <c r="L838" t="s">
        <v>9</v>
      </c>
      <c r="M838" t="s">
        <v>813</v>
      </c>
      <c r="N838" t="s">
        <v>3</v>
      </c>
      <c r="O838" t="s">
        <v>3</v>
      </c>
      <c r="P838" t="s">
        <v>5</v>
      </c>
      <c r="Q838" t="s">
        <v>812</v>
      </c>
      <c r="R838" t="s">
        <v>3</v>
      </c>
      <c r="S838" t="s">
        <v>3</v>
      </c>
      <c r="T838" t="s">
        <v>3</v>
      </c>
      <c r="U838" t="s">
        <v>3</v>
      </c>
      <c r="V838" t="s">
        <v>3</v>
      </c>
      <c r="W838" t="s">
        <v>68</v>
      </c>
      <c r="X838" s="17">
        <v>43245</v>
      </c>
      <c r="Y838" t="s">
        <v>811</v>
      </c>
      <c r="Z838" s="17">
        <v>43245</v>
      </c>
      <c r="AA838" t="s">
        <v>3</v>
      </c>
      <c r="AB838" t="s">
        <v>811</v>
      </c>
    </row>
    <row r="839" spans="1:28" hidden="1">
      <c r="A839" t="s">
        <v>835</v>
      </c>
      <c r="B839" s="17">
        <v>43245</v>
      </c>
      <c r="C839" s="17">
        <v>43245</v>
      </c>
      <c r="D839" t="s">
        <v>7</v>
      </c>
      <c r="E839" t="s">
        <v>1</v>
      </c>
      <c r="F839" s="18">
        <v>-1</v>
      </c>
      <c r="G839" s="18">
        <v>-1</v>
      </c>
      <c r="H839" t="s">
        <v>2</v>
      </c>
      <c r="I839" t="s">
        <v>8</v>
      </c>
      <c r="J839" s="18">
        <v>-82.5</v>
      </c>
      <c r="K839" t="s">
        <v>836</v>
      </c>
      <c r="L839" t="s">
        <v>9</v>
      </c>
      <c r="M839" t="s">
        <v>837</v>
      </c>
      <c r="N839" t="s">
        <v>3</v>
      </c>
      <c r="O839" t="s">
        <v>3</v>
      </c>
      <c r="P839" t="s">
        <v>5</v>
      </c>
      <c r="Q839" t="s">
        <v>836</v>
      </c>
      <c r="R839" t="s">
        <v>3</v>
      </c>
      <c r="S839" t="s">
        <v>3</v>
      </c>
      <c r="T839" t="s">
        <v>3</v>
      </c>
      <c r="U839" t="s">
        <v>3</v>
      </c>
      <c r="V839" t="s">
        <v>3</v>
      </c>
      <c r="W839" t="s">
        <v>68</v>
      </c>
      <c r="X839" s="17">
        <v>43245</v>
      </c>
      <c r="Y839" t="s">
        <v>835</v>
      </c>
      <c r="Z839" s="17">
        <v>43245</v>
      </c>
      <c r="AA839" t="s">
        <v>3</v>
      </c>
      <c r="AB839" t="s">
        <v>835</v>
      </c>
    </row>
    <row r="840" spans="1:28" hidden="1">
      <c r="A840" t="s">
        <v>2100</v>
      </c>
      <c r="B840" s="17">
        <v>43247</v>
      </c>
      <c r="C840" s="17">
        <v>43247</v>
      </c>
      <c r="D840" t="s">
        <v>0</v>
      </c>
      <c r="E840" t="s">
        <v>1</v>
      </c>
      <c r="F840" s="18">
        <v>-634598</v>
      </c>
      <c r="G840" s="18">
        <v>-634598</v>
      </c>
      <c r="H840" t="s">
        <v>2</v>
      </c>
      <c r="I840" t="s">
        <v>8</v>
      </c>
      <c r="J840" s="18">
        <v>-52354335.020000003</v>
      </c>
      <c r="K840" t="s">
        <v>2101</v>
      </c>
      <c r="L840" t="s">
        <v>9</v>
      </c>
      <c r="M840" t="s">
        <v>2102</v>
      </c>
      <c r="N840" t="s">
        <v>3</v>
      </c>
      <c r="O840" t="s">
        <v>3</v>
      </c>
      <c r="P840" t="s">
        <v>5</v>
      </c>
      <c r="Q840" t="s">
        <v>2103</v>
      </c>
      <c r="R840" t="s">
        <v>3</v>
      </c>
      <c r="S840" t="s">
        <v>3</v>
      </c>
      <c r="T840" t="s">
        <v>3</v>
      </c>
      <c r="U840" t="s">
        <v>3</v>
      </c>
      <c r="V840" t="s">
        <v>3</v>
      </c>
      <c r="W840" t="s">
        <v>68</v>
      </c>
      <c r="X840" s="17">
        <v>43281</v>
      </c>
      <c r="Y840" t="s">
        <v>844</v>
      </c>
      <c r="Z840" s="17">
        <v>43247</v>
      </c>
      <c r="AA840" t="s">
        <v>3</v>
      </c>
      <c r="AB840" t="s">
        <v>2100</v>
      </c>
    </row>
    <row r="841" spans="1:28" hidden="1">
      <c r="A841" t="s">
        <v>2069</v>
      </c>
      <c r="B841" s="17">
        <v>43249</v>
      </c>
      <c r="C841" s="17">
        <v>43249</v>
      </c>
      <c r="D841" t="s">
        <v>0</v>
      </c>
      <c r="E841" t="s">
        <v>1</v>
      </c>
      <c r="F841" s="18">
        <v>131912</v>
      </c>
      <c r="G841" s="18">
        <v>131912</v>
      </c>
      <c r="H841" t="s">
        <v>2</v>
      </c>
      <c r="I841" t="s">
        <v>10</v>
      </c>
      <c r="J841" s="18">
        <v>10882740.01</v>
      </c>
      <c r="K841" t="s">
        <v>2104</v>
      </c>
      <c r="L841" t="s">
        <v>9</v>
      </c>
      <c r="M841" t="s">
        <v>2104</v>
      </c>
      <c r="N841" t="s">
        <v>3</v>
      </c>
      <c r="O841" t="s">
        <v>3</v>
      </c>
      <c r="P841" t="s">
        <v>5</v>
      </c>
      <c r="Q841" t="s">
        <v>2105</v>
      </c>
      <c r="R841" t="s">
        <v>3</v>
      </c>
      <c r="S841" t="s">
        <v>3</v>
      </c>
      <c r="T841" t="s">
        <v>3</v>
      </c>
      <c r="U841" t="s">
        <v>3</v>
      </c>
      <c r="V841" t="s">
        <v>3</v>
      </c>
      <c r="W841" t="s">
        <v>68</v>
      </c>
      <c r="X841" s="17">
        <v>43249</v>
      </c>
      <c r="Y841" t="s">
        <v>2069</v>
      </c>
      <c r="Z841" s="17">
        <v>43249</v>
      </c>
      <c r="AA841" t="s">
        <v>3</v>
      </c>
      <c r="AB841" t="s">
        <v>2069</v>
      </c>
    </row>
    <row r="842" spans="1:28" hidden="1">
      <c r="A842" t="s">
        <v>2106</v>
      </c>
      <c r="B842" s="17">
        <v>43249</v>
      </c>
      <c r="C842" s="17">
        <v>43249</v>
      </c>
      <c r="D842" t="s">
        <v>0</v>
      </c>
      <c r="E842" t="s">
        <v>1</v>
      </c>
      <c r="F842" s="18">
        <v>124622</v>
      </c>
      <c r="G842" s="18">
        <v>124622</v>
      </c>
      <c r="H842" t="s">
        <v>2</v>
      </c>
      <c r="I842" t="s">
        <v>8</v>
      </c>
      <c r="J842" s="18">
        <v>10281315</v>
      </c>
      <c r="K842" t="s">
        <v>2107</v>
      </c>
      <c r="L842" t="s">
        <v>9</v>
      </c>
      <c r="M842" t="s">
        <v>2108</v>
      </c>
      <c r="N842" t="s">
        <v>3</v>
      </c>
      <c r="O842" t="s">
        <v>3</v>
      </c>
      <c r="P842" t="s">
        <v>5</v>
      </c>
      <c r="Q842" t="s">
        <v>2109</v>
      </c>
      <c r="R842" t="s">
        <v>3</v>
      </c>
      <c r="S842" t="s">
        <v>3</v>
      </c>
      <c r="T842" t="s">
        <v>3</v>
      </c>
      <c r="U842" t="s">
        <v>3</v>
      </c>
      <c r="V842" t="s">
        <v>3</v>
      </c>
      <c r="W842" t="s">
        <v>68</v>
      </c>
      <c r="X842" s="17">
        <v>43281</v>
      </c>
      <c r="Y842" t="s">
        <v>841</v>
      </c>
      <c r="Z842" s="17">
        <v>43249</v>
      </c>
      <c r="AA842" t="s">
        <v>3</v>
      </c>
      <c r="AB842" t="s">
        <v>2106</v>
      </c>
    </row>
    <row r="843" spans="1:28" hidden="1">
      <c r="A843" t="s">
        <v>2106</v>
      </c>
      <c r="B843" s="17">
        <v>43249</v>
      </c>
      <c r="C843" s="17">
        <v>43249</v>
      </c>
      <c r="D843" t="s">
        <v>0</v>
      </c>
      <c r="E843" t="s">
        <v>1</v>
      </c>
      <c r="F843" s="18">
        <v>101483</v>
      </c>
      <c r="G843" s="18">
        <v>101483</v>
      </c>
      <c r="H843" t="s">
        <v>2</v>
      </c>
      <c r="I843" t="s">
        <v>8</v>
      </c>
      <c r="J843" s="18">
        <v>8372347.5</v>
      </c>
      <c r="K843" t="s">
        <v>2096</v>
      </c>
      <c r="L843" t="s">
        <v>9</v>
      </c>
      <c r="M843" t="s">
        <v>2108</v>
      </c>
      <c r="N843" t="s">
        <v>3</v>
      </c>
      <c r="O843" t="s">
        <v>3</v>
      </c>
      <c r="P843" t="s">
        <v>5</v>
      </c>
      <c r="Q843" t="s">
        <v>2109</v>
      </c>
      <c r="R843" t="s">
        <v>3</v>
      </c>
      <c r="S843" t="s">
        <v>3</v>
      </c>
      <c r="T843" t="s">
        <v>3</v>
      </c>
      <c r="U843" t="s">
        <v>3</v>
      </c>
      <c r="V843" t="s">
        <v>3</v>
      </c>
      <c r="W843" t="s">
        <v>68</v>
      </c>
      <c r="X843" s="17">
        <v>43281</v>
      </c>
      <c r="Y843" t="s">
        <v>850</v>
      </c>
      <c r="Z843" s="17">
        <v>43249</v>
      </c>
      <c r="AA843" t="s">
        <v>3</v>
      </c>
      <c r="AB843" t="s">
        <v>2106</v>
      </c>
    </row>
    <row r="844" spans="1:28" hidden="1">
      <c r="A844" t="s">
        <v>2110</v>
      </c>
      <c r="B844" s="17">
        <v>43251</v>
      </c>
      <c r="C844" s="17">
        <v>43251</v>
      </c>
      <c r="D844" t="s">
        <v>0</v>
      </c>
      <c r="E844" t="s">
        <v>1</v>
      </c>
      <c r="F844" s="18">
        <v>5058</v>
      </c>
      <c r="G844" s="18">
        <v>5058</v>
      </c>
      <c r="H844" t="s">
        <v>2</v>
      </c>
      <c r="I844" t="s">
        <v>8</v>
      </c>
      <c r="J844" s="18">
        <v>417285</v>
      </c>
      <c r="K844" t="s">
        <v>2107</v>
      </c>
      <c r="L844" t="s">
        <v>9</v>
      </c>
      <c r="M844" t="s">
        <v>2111</v>
      </c>
      <c r="N844" t="s">
        <v>3</v>
      </c>
      <c r="O844" t="s">
        <v>3</v>
      </c>
      <c r="P844" t="s">
        <v>5</v>
      </c>
      <c r="Q844" t="s">
        <v>2112</v>
      </c>
      <c r="R844" t="s">
        <v>3</v>
      </c>
      <c r="S844" t="s">
        <v>3</v>
      </c>
      <c r="T844" t="s">
        <v>3</v>
      </c>
      <c r="U844" t="s">
        <v>3</v>
      </c>
      <c r="V844" t="s">
        <v>3</v>
      </c>
      <c r="W844" t="s">
        <v>68</v>
      </c>
      <c r="X844" s="17">
        <v>43281</v>
      </c>
      <c r="Y844" t="s">
        <v>841</v>
      </c>
      <c r="Z844" s="17">
        <v>43251</v>
      </c>
      <c r="AA844" t="s">
        <v>3</v>
      </c>
      <c r="AB844" t="s">
        <v>2110</v>
      </c>
    </row>
    <row r="845" spans="1:28" hidden="1">
      <c r="A845" t="s">
        <v>2113</v>
      </c>
      <c r="B845" s="17">
        <v>43251</v>
      </c>
      <c r="C845" s="17">
        <v>43251</v>
      </c>
      <c r="D845" t="s">
        <v>0</v>
      </c>
      <c r="E845" t="s">
        <v>1</v>
      </c>
      <c r="F845" s="18">
        <v>35364</v>
      </c>
      <c r="G845" s="18">
        <v>35364</v>
      </c>
      <c r="H845" t="s">
        <v>2</v>
      </c>
      <c r="I845" t="s">
        <v>8</v>
      </c>
      <c r="J845" s="18">
        <v>2917530</v>
      </c>
      <c r="K845" t="s">
        <v>2107</v>
      </c>
      <c r="L845" t="s">
        <v>9</v>
      </c>
      <c r="M845" t="s">
        <v>2114</v>
      </c>
      <c r="N845" t="s">
        <v>3</v>
      </c>
      <c r="O845" t="s">
        <v>3</v>
      </c>
      <c r="P845" t="s">
        <v>5</v>
      </c>
      <c r="Q845" t="s">
        <v>2115</v>
      </c>
      <c r="R845" t="s">
        <v>3</v>
      </c>
      <c r="S845" t="s">
        <v>3</v>
      </c>
      <c r="T845" t="s">
        <v>3</v>
      </c>
      <c r="U845" t="s">
        <v>3</v>
      </c>
      <c r="V845" t="s">
        <v>3</v>
      </c>
      <c r="W845" t="s">
        <v>68</v>
      </c>
      <c r="X845" s="17">
        <v>43281</v>
      </c>
      <c r="Y845" t="s">
        <v>841</v>
      </c>
      <c r="Z845" s="17">
        <v>43251</v>
      </c>
      <c r="AA845" t="s">
        <v>3</v>
      </c>
      <c r="AB845" t="s">
        <v>2113</v>
      </c>
    </row>
    <row r="846" spans="1:28" hidden="1">
      <c r="A846" t="s">
        <v>2116</v>
      </c>
      <c r="B846" s="17">
        <v>43251</v>
      </c>
      <c r="C846" s="17">
        <v>43251</v>
      </c>
      <c r="D846" t="s">
        <v>0</v>
      </c>
      <c r="E846" t="s">
        <v>1</v>
      </c>
      <c r="F846" s="18">
        <v>72795</v>
      </c>
      <c r="G846" s="18">
        <v>72795</v>
      </c>
      <c r="H846" t="s">
        <v>2</v>
      </c>
      <c r="I846" t="s">
        <v>8</v>
      </c>
      <c r="J846" s="18">
        <v>6005587.5</v>
      </c>
      <c r="K846" t="s">
        <v>2107</v>
      </c>
      <c r="L846" t="s">
        <v>9</v>
      </c>
      <c r="M846" t="s">
        <v>2117</v>
      </c>
      <c r="N846" t="s">
        <v>3</v>
      </c>
      <c r="O846" t="s">
        <v>3</v>
      </c>
      <c r="P846" t="s">
        <v>5</v>
      </c>
      <c r="Q846" t="s">
        <v>2118</v>
      </c>
      <c r="R846" t="s">
        <v>3</v>
      </c>
      <c r="S846" t="s">
        <v>3</v>
      </c>
      <c r="T846" t="s">
        <v>3</v>
      </c>
      <c r="U846" t="s">
        <v>3</v>
      </c>
      <c r="V846" t="s">
        <v>3</v>
      </c>
      <c r="W846" t="s">
        <v>68</v>
      </c>
      <c r="X846" s="17">
        <v>43281</v>
      </c>
      <c r="Y846" t="s">
        <v>841</v>
      </c>
      <c r="Z846" s="17">
        <v>43251</v>
      </c>
      <c r="AA846" t="s">
        <v>3</v>
      </c>
      <c r="AB846" t="s">
        <v>2116</v>
      </c>
    </row>
    <row r="847" spans="1:28" hidden="1">
      <c r="A847" t="s">
        <v>2116</v>
      </c>
      <c r="B847" s="17">
        <v>43251</v>
      </c>
      <c r="C847" s="17">
        <v>43251</v>
      </c>
      <c r="D847" t="s">
        <v>0</v>
      </c>
      <c r="E847" t="s">
        <v>1</v>
      </c>
      <c r="F847" s="18">
        <v>54100</v>
      </c>
      <c r="G847" s="18">
        <v>54100</v>
      </c>
      <c r="H847" t="s">
        <v>2</v>
      </c>
      <c r="I847" t="s">
        <v>8</v>
      </c>
      <c r="J847" s="18">
        <v>4463250</v>
      </c>
      <c r="K847" t="s">
        <v>2096</v>
      </c>
      <c r="L847" t="s">
        <v>9</v>
      </c>
      <c r="M847" t="s">
        <v>2117</v>
      </c>
      <c r="N847" t="s">
        <v>3</v>
      </c>
      <c r="O847" t="s">
        <v>3</v>
      </c>
      <c r="P847" t="s">
        <v>5</v>
      </c>
      <c r="Q847" t="s">
        <v>2118</v>
      </c>
      <c r="R847" t="s">
        <v>3</v>
      </c>
      <c r="S847" t="s">
        <v>3</v>
      </c>
      <c r="T847" t="s">
        <v>3</v>
      </c>
      <c r="U847" t="s">
        <v>3</v>
      </c>
      <c r="V847" t="s">
        <v>3</v>
      </c>
      <c r="W847" t="s">
        <v>68</v>
      </c>
      <c r="X847" s="17">
        <v>43281</v>
      </c>
      <c r="Y847" t="s">
        <v>850</v>
      </c>
      <c r="Z847" s="17">
        <v>43251</v>
      </c>
      <c r="AA847" t="s">
        <v>3</v>
      </c>
      <c r="AB847" t="s">
        <v>2116</v>
      </c>
    </row>
    <row r="848" spans="1:28" hidden="1">
      <c r="A848" t="s">
        <v>2119</v>
      </c>
      <c r="B848" s="17">
        <v>43251</v>
      </c>
      <c r="C848" s="17">
        <v>43251</v>
      </c>
      <c r="D848" t="s">
        <v>0</v>
      </c>
      <c r="E848" t="s">
        <v>1</v>
      </c>
      <c r="F848" s="18">
        <v>109420</v>
      </c>
      <c r="G848" s="18">
        <v>109420</v>
      </c>
      <c r="H848" t="s">
        <v>2</v>
      </c>
      <c r="I848" t="s">
        <v>8</v>
      </c>
      <c r="J848" s="18">
        <v>9027150</v>
      </c>
      <c r="K848" t="s">
        <v>2096</v>
      </c>
      <c r="L848" t="s">
        <v>9</v>
      </c>
      <c r="M848" t="s">
        <v>2120</v>
      </c>
      <c r="N848" t="s">
        <v>3</v>
      </c>
      <c r="O848" t="s">
        <v>3</v>
      </c>
      <c r="P848" t="s">
        <v>5</v>
      </c>
      <c r="Q848" t="s">
        <v>2121</v>
      </c>
      <c r="R848" t="s">
        <v>3</v>
      </c>
      <c r="S848" t="s">
        <v>3</v>
      </c>
      <c r="T848" t="s">
        <v>3</v>
      </c>
      <c r="U848" t="s">
        <v>3</v>
      </c>
      <c r="V848" t="s">
        <v>3</v>
      </c>
      <c r="W848" t="s">
        <v>68</v>
      </c>
      <c r="X848" s="17">
        <v>43281</v>
      </c>
      <c r="Y848" t="s">
        <v>850</v>
      </c>
      <c r="Z848" s="17">
        <v>43251</v>
      </c>
      <c r="AA848" t="s">
        <v>3</v>
      </c>
      <c r="AB848" t="s">
        <v>2119</v>
      </c>
    </row>
    <row r="849" spans="1:28" hidden="1">
      <c r="A849" t="s">
        <v>2122</v>
      </c>
      <c r="B849" s="17">
        <v>43251</v>
      </c>
      <c r="C849" s="17">
        <v>43251</v>
      </c>
      <c r="D849" t="s">
        <v>0</v>
      </c>
      <c r="E849" t="s">
        <v>1</v>
      </c>
      <c r="F849" s="18">
        <v>-156697</v>
      </c>
      <c r="G849" s="18">
        <v>-156697</v>
      </c>
      <c r="H849" t="s">
        <v>2</v>
      </c>
      <c r="I849" t="s">
        <v>10</v>
      </c>
      <c r="J849" s="18">
        <v>-12927502.51</v>
      </c>
      <c r="K849" t="s">
        <v>2123</v>
      </c>
      <c r="L849" t="s">
        <v>9</v>
      </c>
      <c r="M849" t="s">
        <v>2124</v>
      </c>
      <c r="N849" t="s">
        <v>3</v>
      </c>
      <c r="O849" t="s">
        <v>3</v>
      </c>
      <c r="P849" t="s">
        <v>5</v>
      </c>
      <c r="Q849" t="s">
        <v>2125</v>
      </c>
      <c r="R849" t="s">
        <v>3</v>
      </c>
      <c r="S849" t="s">
        <v>3</v>
      </c>
      <c r="T849" t="s">
        <v>3</v>
      </c>
      <c r="U849" t="s">
        <v>3</v>
      </c>
      <c r="V849" t="s">
        <v>3</v>
      </c>
      <c r="W849" t="s">
        <v>68</v>
      </c>
      <c r="X849" s="17">
        <v>43281</v>
      </c>
      <c r="Y849" t="s">
        <v>853</v>
      </c>
      <c r="Z849" s="17">
        <v>43251</v>
      </c>
      <c r="AA849" t="s">
        <v>3</v>
      </c>
      <c r="AB849" t="s">
        <v>2122</v>
      </c>
    </row>
    <row r="850" spans="1:28" hidden="1">
      <c r="A850" t="s">
        <v>2189</v>
      </c>
      <c r="B850" s="17">
        <v>43251</v>
      </c>
      <c r="C850" s="17">
        <v>43251</v>
      </c>
      <c r="D850" t="s">
        <v>0</v>
      </c>
      <c r="E850" t="s">
        <v>1</v>
      </c>
      <c r="F850" s="18">
        <v>-211337</v>
      </c>
      <c r="G850" s="18">
        <v>-211337</v>
      </c>
      <c r="H850" t="s">
        <v>2</v>
      </c>
      <c r="I850" t="s">
        <v>8</v>
      </c>
      <c r="J850" s="18">
        <v>-17477569.899999999</v>
      </c>
      <c r="K850" t="s">
        <v>648</v>
      </c>
      <c r="L850" t="s">
        <v>9</v>
      </c>
      <c r="M850" t="s">
        <v>649</v>
      </c>
      <c r="N850" t="s">
        <v>3</v>
      </c>
      <c r="O850" t="s">
        <v>3</v>
      </c>
      <c r="P850" t="s">
        <v>5</v>
      </c>
      <c r="Q850" t="s">
        <v>650</v>
      </c>
      <c r="R850" t="s">
        <v>3</v>
      </c>
      <c r="S850" t="s">
        <v>3</v>
      </c>
      <c r="T850" t="s">
        <v>3</v>
      </c>
      <c r="U850" t="s">
        <v>3</v>
      </c>
      <c r="V850" t="s">
        <v>3</v>
      </c>
      <c r="W850" t="s">
        <v>68</v>
      </c>
      <c r="X850" s="17">
        <v>43252</v>
      </c>
      <c r="Y850" t="s">
        <v>647</v>
      </c>
      <c r="Z850" s="17">
        <v>43251</v>
      </c>
      <c r="AA850" t="s">
        <v>3</v>
      </c>
      <c r="AB850" t="s">
        <v>2189</v>
      </c>
    </row>
    <row r="851" spans="1:28" hidden="1">
      <c r="A851" t="s">
        <v>647</v>
      </c>
      <c r="B851" s="17">
        <v>43252</v>
      </c>
      <c r="C851" s="17">
        <v>43251</v>
      </c>
      <c r="D851" t="s">
        <v>38</v>
      </c>
      <c r="E851" t="s">
        <v>1</v>
      </c>
      <c r="F851" s="18">
        <v>211337</v>
      </c>
      <c r="G851" s="18">
        <v>211337</v>
      </c>
      <c r="H851" t="s">
        <v>2</v>
      </c>
      <c r="I851" t="s">
        <v>8</v>
      </c>
      <c r="J851" s="18">
        <v>17477569.899999999</v>
      </c>
      <c r="K851" t="s">
        <v>648</v>
      </c>
      <c r="L851" t="s">
        <v>9</v>
      </c>
      <c r="M851" t="s">
        <v>649</v>
      </c>
      <c r="N851" t="s">
        <v>3</v>
      </c>
      <c r="O851" t="s">
        <v>3</v>
      </c>
      <c r="P851" t="s">
        <v>5</v>
      </c>
      <c r="Q851" t="s">
        <v>650</v>
      </c>
      <c r="R851" t="s">
        <v>3</v>
      </c>
      <c r="S851" t="s">
        <v>3</v>
      </c>
      <c r="T851" t="s">
        <v>3</v>
      </c>
      <c r="U851" t="s">
        <v>3</v>
      </c>
      <c r="V851" t="s">
        <v>3</v>
      </c>
      <c r="W851" t="s">
        <v>68</v>
      </c>
      <c r="X851" s="17">
        <v>43252</v>
      </c>
      <c r="Y851" t="s">
        <v>647</v>
      </c>
      <c r="Z851" s="17">
        <v>43251</v>
      </c>
      <c r="AA851" t="s">
        <v>3</v>
      </c>
      <c r="AB851" t="s">
        <v>647</v>
      </c>
    </row>
    <row r="852" spans="1:28" hidden="1">
      <c r="A852" t="s">
        <v>2137</v>
      </c>
      <c r="B852" s="17">
        <v>43254</v>
      </c>
      <c r="C852" s="17">
        <v>43254</v>
      </c>
      <c r="D852" t="s">
        <v>0</v>
      </c>
      <c r="E852" t="s">
        <v>1</v>
      </c>
      <c r="F852" s="18">
        <v>26109</v>
      </c>
      <c r="G852" s="18">
        <v>26109</v>
      </c>
      <c r="H852" t="s">
        <v>2</v>
      </c>
      <c r="I852" t="s">
        <v>10</v>
      </c>
      <c r="J852" s="18">
        <v>2153992.5</v>
      </c>
      <c r="K852" t="s">
        <v>2138</v>
      </c>
      <c r="L852" t="s">
        <v>9</v>
      </c>
      <c r="M852" t="s">
        <v>2139</v>
      </c>
      <c r="N852" t="s">
        <v>3</v>
      </c>
      <c r="O852" t="s">
        <v>3</v>
      </c>
      <c r="P852" t="s">
        <v>5</v>
      </c>
      <c r="Q852" t="s">
        <v>2140</v>
      </c>
      <c r="R852" t="s">
        <v>3</v>
      </c>
      <c r="S852" t="s">
        <v>3</v>
      </c>
      <c r="T852" t="s">
        <v>3</v>
      </c>
      <c r="U852" t="s">
        <v>3</v>
      </c>
      <c r="V852" t="s">
        <v>3</v>
      </c>
      <c r="W852" t="s">
        <v>68</v>
      </c>
      <c r="X852" s="17">
        <v>43281</v>
      </c>
      <c r="Y852" t="s">
        <v>856</v>
      </c>
      <c r="Z852" s="17">
        <v>43254</v>
      </c>
      <c r="AA852" t="s">
        <v>3</v>
      </c>
      <c r="AB852" t="s">
        <v>2137</v>
      </c>
    </row>
    <row r="853" spans="1:28" hidden="1">
      <c r="A853" t="s">
        <v>2126</v>
      </c>
      <c r="B853" s="17">
        <v>43255</v>
      </c>
      <c r="C853" s="17">
        <v>43255</v>
      </c>
      <c r="D853" t="s">
        <v>0</v>
      </c>
      <c r="E853" t="s">
        <v>1</v>
      </c>
      <c r="F853" s="18">
        <v>-211337</v>
      </c>
      <c r="G853" s="18">
        <v>-211337</v>
      </c>
      <c r="H853" t="s">
        <v>2</v>
      </c>
      <c r="I853" t="s">
        <v>10</v>
      </c>
      <c r="J853" s="18">
        <v>-17477569.899999999</v>
      </c>
      <c r="K853" t="s">
        <v>2127</v>
      </c>
      <c r="L853" t="s">
        <v>9</v>
      </c>
      <c r="M853" t="s">
        <v>2128</v>
      </c>
      <c r="N853" t="s">
        <v>3</v>
      </c>
      <c r="O853" t="s">
        <v>3</v>
      </c>
      <c r="P853" t="s">
        <v>5</v>
      </c>
      <c r="Q853" t="s">
        <v>2129</v>
      </c>
      <c r="R853" t="s">
        <v>3</v>
      </c>
      <c r="S853" t="s">
        <v>3</v>
      </c>
      <c r="T853" t="s">
        <v>3</v>
      </c>
      <c r="U853" t="s">
        <v>3</v>
      </c>
      <c r="V853" t="s">
        <v>3</v>
      </c>
      <c r="W853" t="s">
        <v>68</v>
      </c>
      <c r="X853" s="17">
        <v>43519</v>
      </c>
      <c r="Y853" t="s">
        <v>2130</v>
      </c>
      <c r="Z853" s="17">
        <v>43255</v>
      </c>
      <c r="AA853" t="s">
        <v>3</v>
      </c>
      <c r="AB853" t="s">
        <v>2126</v>
      </c>
    </row>
    <row r="854" spans="1:28" hidden="1">
      <c r="A854" t="s">
        <v>2142</v>
      </c>
      <c r="B854" s="17">
        <v>43255</v>
      </c>
      <c r="C854" s="17">
        <v>43255</v>
      </c>
      <c r="D854" t="s">
        <v>0</v>
      </c>
      <c r="E854" t="s">
        <v>1</v>
      </c>
      <c r="F854" s="18">
        <v>4850</v>
      </c>
      <c r="G854" s="18">
        <v>4850</v>
      </c>
      <c r="H854" t="s">
        <v>2</v>
      </c>
      <c r="I854" t="s">
        <v>8</v>
      </c>
      <c r="J854" s="18">
        <v>400125</v>
      </c>
      <c r="K854" t="s">
        <v>2143</v>
      </c>
      <c r="L854" t="s">
        <v>9</v>
      </c>
      <c r="M854" t="s">
        <v>2144</v>
      </c>
      <c r="N854" t="s">
        <v>3</v>
      </c>
      <c r="O854" t="s">
        <v>3</v>
      </c>
      <c r="P854" t="s">
        <v>5</v>
      </c>
      <c r="Q854" t="s">
        <v>2145</v>
      </c>
      <c r="R854" t="s">
        <v>3</v>
      </c>
      <c r="S854" t="s">
        <v>3</v>
      </c>
      <c r="T854" t="s">
        <v>3</v>
      </c>
      <c r="U854" t="s">
        <v>3</v>
      </c>
      <c r="V854" t="s">
        <v>3</v>
      </c>
      <c r="W854" t="s">
        <v>68</v>
      </c>
      <c r="X854" s="17">
        <v>43281</v>
      </c>
      <c r="Y854" t="s">
        <v>850</v>
      </c>
      <c r="Z854" s="17">
        <v>43255</v>
      </c>
      <c r="AA854" t="s">
        <v>3</v>
      </c>
      <c r="AB854" t="s">
        <v>2142</v>
      </c>
    </row>
    <row r="855" spans="1:28" hidden="1">
      <c r="A855" t="s">
        <v>2190</v>
      </c>
      <c r="B855" s="17">
        <v>43256</v>
      </c>
      <c r="C855" s="17">
        <v>43256</v>
      </c>
      <c r="D855" t="s">
        <v>0</v>
      </c>
      <c r="E855" t="s">
        <v>1</v>
      </c>
      <c r="F855" s="18">
        <v>142469</v>
      </c>
      <c r="G855" s="18">
        <v>142469</v>
      </c>
      <c r="H855" t="s">
        <v>2</v>
      </c>
      <c r="I855" t="s">
        <v>10</v>
      </c>
      <c r="J855" s="18">
        <v>11753692.51</v>
      </c>
      <c r="K855" t="s">
        <v>640</v>
      </c>
      <c r="L855" t="s">
        <v>9</v>
      </c>
      <c r="M855" t="s">
        <v>2191</v>
      </c>
      <c r="N855" t="s">
        <v>3</v>
      </c>
      <c r="O855" t="s">
        <v>3</v>
      </c>
      <c r="P855" t="s">
        <v>5</v>
      </c>
      <c r="Q855" t="s">
        <v>2192</v>
      </c>
      <c r="R855" t="s">
        <v>3</v>
      </c>
      <c r="S855" t="s">
        <v>3</v>
      </c>
      <c r="T855" t="s">
        <v>3</v>
      </c>
      <c r="U855" t="s">
        <v>3</v>
      </c>
      <c r="V855" t="s">
        <v>3</v>
      </c>
      <c r="W855" t="s">
        <v>68</v>
      </c>
      <c r="X855" s="17">
        <v>43281</v>
      </c>
      <c r="Y855" t="s">
        <v>853</v>
      </c>
      <c r="Z855" s="17">
        <v>43256</v>
      </c>
      <c r="AA855" t="s">
        <v>3</v>
      </c>
      <c r="AB855" t="s">
        <v>2190</v>
      </c>
    </row>
    <row r="856" spans="1:28" hidden="1">
      <c r="A856" t="s">
        <v>2190</v>
      </c>
      <c r="B856" s="17">
        <v>43256</v>
      </c>
      <c r="C856" s="17">
        <v>43256</v>
      </c>
      <c r="D856" t="s">
        <v>0</v>
      </c>
      <c r="E856" t="s">
        <v>1</v>
      </c>
      <c r="F856" s="18">
        <v>38380</v>
      </c>
      <c r="G856" s="18">
        <v>38380</v>
      </c>
      <c r="H856" t="s">
        <v>2</v>
      </c>
      <c r="I856" t="s">
        <v>10</v>
      </c>
      <c r="J856" s="18">
        <v>3166350</v>
      </c>
      <c r="K856" t="s">
        <v>2138</v>
      </c>
      <c r="L856" t="s">
        <v>9</v>
      </c>
      <c r="M856" t="s">
        <v>2191</v>
      </c>
      <c r="N856" t="s">
        <v>3</v>
      </c>
      <c r="O856" t="s">
        <v>3</v>
      </c>
      <c r="P856" t="s">
        <v>5</v>
      </c>
      <c r="Q856" t="s">
        <v>2192</v>
      </c>
      <c r="R856" t="s">
        <v>3</v>
      </c>
      <c r="S856" t="s">
        <v>3</v>
      </c>
      <c r="T856" t="s">
        <v>3</v>
      </c>
      <c r="U856" t="s">
        <v>3</v>
      </c>
      <c r="V856" t="s">
        <v>3</v>
      </c>
      <c r="W856" t="s">
        <v>68</v>
      </c>
      <c r="X856" s="17">
        <v>43281</v>
      </c>
      <c r="Y856" t="s">
        <v>856</v>
      </c>
      <c r="Z856" s="17">
        <v>43256</v>
      </c>
      <c r="AA856" t="s">
        <v>3</v>
      </c>
      <c r="AB856" t="s">
        <v>2190</v>
      </c>
    </row>
    <row r="857" spans="1:28" hidden="1">
      <c r="A857" t="s">
        <v>2193</v>
      </c>
      <c r="B857" s="17">
        <v>43256</v>
      </c>
      <c r="C857" s="17">
        <v>43256</v>
      </c>
      <c r="D857" t="s">
        <v>0</v>
      </c>
      <c r="E857" t="s">
        <v>1</v>
      </c>
      <c r="F857" s="18">
        <v>-63319</v>
      </c>
      <c r="G857" s="18">
        <v>-63319</v>
      </c>
      <c r="H857" t="s">
        <v>2</v>
      </c>
      <c r="I857" t="s">
        <v>10</v>
      </c>
      <c r="J857" s="18">
        <v>-5236481.3</v>
      </c>
      <c r="K857" t="s">
        <v>2194</v>
      </c>
      <c r="L857" t="s">
        <v>9</v>
      </c>
      <c r="M857" t="s">
        <v>2195</v>
      </c>
      <c r="N857" t="s">
        <v>3</v>
      </c>
      <c r="O857" t="s">
        <v>3</v>
      </c>
      <c r="P857" t="s">
        <v>5</v>
      </c>
      <c r="Q857" t="s">
        <v>2196</v>
      </c>
      <c r="R857" t="s">
        <v>3</v>
      </c>
      <c r="S857" t="s">
        <v>3</v>
      </c>
      <c r="T857" t="s">
        <v>3</v>
      </c>
      <c r="U857" t="s">
        <v>3</v>
      </c>
      <c r="V857" t="s">
        <v>3</v>
      </c>
      <c r="W857" t="s">
        <v>68</v>
      </c>
      <c r="X857" s="17">
        <v>43519</v>
      </c>
      <c r="Y857" t="s">
        <v>2197</v>
      </c>
      <c r="Z857" s="17">
        <v>43256</v>
      </c>
      <c r="AA857" t="s">
        <v>3</v>
      </c>
      <c r="AB857" t="s">
        <v>2193</v>
      </c>
    </row>
    <row r="858" spans="1:28" hidden="1">
      <c r="A858" t="s">
        <v>639</v>
      </c>
      <c r="B858" s="17">
        <v>43258</v>
      </c>
      <c r="C858" s="17">
        <v>43258</v>
      </c>
      <c r="D858" t="s">
        <v>38</v>
      </c>
      <c r="E858" t="s">
        <v>1</v>
      </c>
      <c r="F858" s="18">
        <v>-14228</v>
      </c>
      <c r="G858" s="18">
        <v>-14228</v>
      </c>
      <c r="H858" t="s">
        <v>2</v>
      </c>
      <c r="I858" t="s">
        <v>10</v>
      </c>
      <c r="J858" s="18">
        <v>-1173810</v>
      </c>
      <c r="K858" t="s">
        <v>640</v>
      </c>
      <c r="L858" t="s">
        <v>9</v>
      </c>
      <c r="M858" t="s">
        <v>641</v>
      </c>
      <c r="N858" t="s">
        <v>3</v>
      </c>
      <c r="O858" t="s">
        <v>3</v>
      </c>
      <c r="P858" t="s">
        <v>5</v>
      </c>
      <c r="Q858" t="s">
        <v>642</v>
      </c>
      <c r="R858" t="s">
        <v>3</v>
      </c>
      <c r="S858" t="s">
        <v>3</v>
      </c>
      <c r="T858" t="s">
        <v>3</v>
      </c>
      <c r="U858" t="s">
        <v>3</v>
      </c>
      <c r="V858" t="s">
        <v>3</v>
      </c>
      <c r="W858" t="s">
        <v>68</v>
      </c>
      <c r="X858" s="17">
        <v>43258</v>
      </c>
      <c r="Y858" t="s">
        <v>639</v>
      </c>
      <c r="Z858" s="17">
        <v>43258</v>
      </c>
      <c r="AA858" t="s">
        <v>3</v>
      </c>
      <c r="AB858" t="s">
        <v>639</v>
      </c>
    </row>
    <row r="859" spans="1:28" hidden="1">
      <c r="A859" t="s">
        <v>2131</v>
      </c>
      <c r="B859" s="17">
        <v>43258</v>
      </c>
      <c r="C859" s="17">
        <v>43258</v>
      </c>
      <c r="D859" t="s">
        <v>0</v>
      </c>
      <c r="E859" t="s">
        <v>1</v>
      </c>
      <c r="F859" s="18">
        <v>-914366</v>
      </c>
      <c r="G859" s="18">
        <v>-914366</v>
      </c>
      <c r="H859" t="s">
        <v>2</v>
      </c>
      <c r="I859" t="s">
        <v>8</v>
      </c>
      <c r="J859" s="18">
        <v>-75618068.200000003</v>
      </c>
      <c r="K859" t="s">
        <v>2132</v>
      </c>
      <c r="L859" t="s">
        <v>9</v>
      </c>
      <c r="M859" t="s">
        <v>2133</v>
      </c>
      <c r="N859" t="s">
        <v>3</v>
      </c>
      <c r="O859" t="s">
        <v>3</v>
      </c>
      <c r="P859" t="s">
        <v>5</v>
      </c>
      <c r="Q859" t="s">
        <v>2134</v>
      </c>
      <c r="R859" t="s">
        <v>3</v>
      </c>
      <c r="S859" t="s">
        <v>3</v>
      </c>
      <c r="T859" t="s">
        <v>3</v>
      </c>
      <c r="U859" t="s">
        <v>3</v>
      </c>
      <c r="V859" t="s">
        <v>3</v>
      </c>
      <c r="W859" t="s">
        <v>68</v>
      </c>
      <c r="X859" s="17">
        <v>43587</v>
      </c>
      <c r="Y859" t="s">
        <v>2135</v>
      </c>
      <c r="Z859" s="17">
        <v>43258</v>
      </c>
      <c r="AA859" t="s">
        <v>3</v>
      </c>
      <c r="AB859" t="s">
        <v>2131</v>
      </c>
    </row>
    <row r="860" spans="1:28" hidden="1">
      <c r="A860" t="s">
        <v>2136</v>
      </c>
      <c r="B860" s="17">
        <v>43258</v>
      </c>
      <c r="C860" s="17">
        <v>43258</v>
      </c>
      <c r="D860" t="s">
        <v>0</v>
      </c>
      <c r="E860" t="s">
        <v>1</v>
      </c>
      <c r="F860" s="18">
        <v>14228</v>
      </c>
      <c r="G860" s="18">
        <v>14228</v>
      </c>
      <c r="H860" t="s">
        <v>2</v>
      </c>
      <c r="I860" t="s">
        <v>10</v>
      </c>
      <c r="J860" s="18">
        <v>1173810</v>
      </c>
      <c r="K860" t="s">
        <v>640</v>
      </c>
      <c r="L860" t="s">
        <v>9</v>
      </c>
      <c r="M860" t="s">
        <v>641</v>
      </c>
      <c r="N860" t="s">
        <v>3</v>
      </c>
      <c r="O860" t="s">
        <v>3</v>
      </c>
      <c r="P860" t="s">
        <v>5</v>
      </c>
      <c r="Q860" t="s">
        <v>642</v>
      </c>
      <c r="R860" t="s">
        <v>3</v>
      </c>
      <c r="S860" t="s">
        <v>3</v>
      </c>
      <c r="T860" t="s">
        <v>3</v>
      </c>
      <c r="U860" t="s">
        <v>3</v>
      </c>
      <c r="V860" t="s">
        <v>3</v>
      </c>
      <c r="W860" t="s">
        <v>68</v>
      </c>
      <c r="X860" s="17">
        <v>43258</v>
      </c>
      <c r="Y860" t="s">
        <v>639</v>
      </c>
      <c r="Z860" s="17">
        <v>43258</v>
      </c>
      <c r="AA860" t="s">
        <v>3</v>
      </c>
      <c r="AB860" t="s">
        <v>2136</v>
      </c>
    </row>
    <row r="861" spans="1:28" hidden="1">
      <c r="A861" t="s">
        <v>2141</v>
      </c>
      <c r="B861" s="17">
        <v>43258</v>
      </c>
      <c r="C861" s="17">
        <v>43258</v>
      </c>
      <c r="D861" t="s">
        <v>0</v>
      </c>
      <c r="E861" t="s">
        <v>1</v>
      </c>
      <c r="F861" s="18">
        <v>14228</v>
      </c>
      <c r="G861" s="18">
        <v>14228</v>
      </c>
      <c r="H861" t="s">
        <v>2</v>
      </c>
      <c r="I861" t="s">
        <v>10</v>
      </c>
      <c r="J861" s="18">
        <v>1173810</v>
      </c>
      <c r="K861" t="s">
        <v>640</v>
      </c>
      <c r="L861" t="s">
        <v>9</v>
      </c>
      <c r="M861" t="s">
        <v>641</v>
      </c>
      <c r="N861" t="s">
        <v>3</v>
      </c>
      <c r="O861" t="s">
        <v>3</v>
      </c>
      <c r="P861" t="s">
        <v>5</v>
      </c>
      <c r="Q861" t="s">
        <v>642</v>
      </c>
      <c r="R861" t="s">
        <v>3</v>
      </c>
      <c r="S861" t="s">
        <v>3</v>
      </c>
      <c r="T861" t="s">
        <v>3</v>
      </c>
      <c r="U861" t="s">
        <v>3</v>
      </c>
      <c r="V861" t="s">
        <v>3</v>
      </c>
      <c r="W861" t="s">
        <v>68</v>
      </c>
      <c r="X861" s="17">
        <v>43281</v>
      </c>
      <c r="Y861" t="s">
        <v>853</v>
      </c>
      <c r="Z861" s="17">
        <v>43258</v>
      </c>
      <c r="AA861" t="s">
        <v>3</v>
      </c>
      <c r="AB861" t="s">
        <v>2141</v>
      </c>
    </row>
    <row r="862" spans="1:28" hidden="1">
      <c r="A862" t="s">
        <v>2146</v>
      </c>
      <c r="B862" s="17">
        <v>43263</v>
      </c>
      <c r="C862" s="17">
        <v>43263</v>
      </c>
      <c r="D862" t="s">
        <v>0</v>
      </c>
      <c r="E862" t="s">
        <v>1</v>
      </c>
      <c r="F862" s="18">
        <v>235095</v>
      </c>
      <c r="G862" s="18">
        <v>235095</v>
      </c>
      <c r="H862" t="s">
        <v>2</v>
      </c>
      <c r="I862" t="s">
        <v>8</v>
      </c>
      <c r="J862" s="18">
        <v>19395337.5</v>
      </c>
      <c r="K862" t="s">
        <v>2147</v>
      </c>
      <c r="L862" t="s">
        <v>9</v>
      </c>
      <c r="M862" t="s">
        <v>2148</v>
      </c>
      <c r="N862" t="s">
        <v>3</v>
      </c>
      <c r="O862" t="s">
        <v>3</v>
      </c>
      <c r="P862" t="s">
        <v>5</v>
      </c>
      <c r="Q862" t="s">
        <v>2149</v>
      </c>
      <c r="R862" t="s">
        <v>3</v>
      </c>
      <c r="S862" t="s">
        <v>3</v>
      </c>
      <c r="T862" t="s">
        <v>3</v>
      </c>
      <c r="U862" t="s">
        <v>3</v>
      </c>
      <c r="V862" t="s">
        <v>3</v>
      </c>
      <c r="W862" t="s">
        <v>68</v>
      </c>
      <c r="X862" s="17">
        <v>43281</v>
      </c>
      <c r="Y862" t="s">
        <v>841</v>
      </c>
      <c r="Z862" s="17">
        <v>43263</v>
      </c>
      <c r="AA862" t="s">
        <v>3</v>
      </c>
      <c r="AB862" t="s">
        <v>2146</v>
      </c>
    </row>
    <row r="863" spans="1:28" hidden="1">
      <c r="A863" t="s">
        <v>2146</v>
      </c>
      <c r="B863" s="17">
        <v>43263</v>
      </c>
      <c r="C863" s="17">
        <v>43263</v>
      </c>
      <c r="D863" t="s">
        <v>0</v>
      </c>
      <c r="E863" t="s">
        <v>1</v>
      </c>
      <c r="F863" s="18">
        <v>283181</v>
      </c>
      <c r="G863" s="18">
        <v>283181</v>
      </c>
      <c r="H863" t="s">
        <v>2</v>
      </c>
      <c r="I863" t="s">
        <v>8</v>
      </c>
      <c r="J863" s="18">
        <v>23362432.5</v>
      </c>
      <c r="K863" t="s">
        <v>2150</v>
      </c>
      <c r="L863" t="s">
        <v>9</v>
      </c>
      <c r="M863" t="s">
        <v>2148</v>
      </c>
      <c r="N863" t="s">
        <v>3</v>
      </c>
      <c r="O863" t="s">
        <v>3</v>
      </c>
      <c r="P863" t="s">
        <v>5</v>
      </c>
      <c r="Q863" t="s">
        <v>2149</v>
      </c>
      <c r="R863" t="s">
        <v>3</v>
      </c>
      <c r="S863" t="s">
        <v>3</v>
      </c>
      <c r="T863" t="s">
        <v>3</v>
      </c>
      <c r="U863" t="s">
        <v>3</v>
      </c>
      <c r="V863" t="s">
        <v>3</v>
      </c>
      <c r="W863" t="s">
        <v>68</v>
      </c>
      <c r="X863" s="17">
        <v>43281</v>
      </c>
      <c r="Y863" t="s">
        <v>847</v>
      </c>
      <c r="Z863" s="17">
        <v>43263</v>
      </c>
      <c r="AA863" t="s">
        <v>3</v>
      </c>
      <c r="AB863" t="s">
        <v>2146</v>
      </c>
    </row>
    <row r="864" spans="1:28" hidden="1">
      <c r="A864" t="s">
        <v>2151</v>
      </c>
      <c r="B864" s="17">
        <v>43263</v>
      </c>
      <c r="C864" s="17">
        <v>43263</v>
      </c>
      <c r="D864" t="s">
        <v>0</v>
      </c>
      <c r="E864" t="s">
        <v>1</v>
      </c>
      <c r="F864" s="18">
        <v>-270448</v>
      </c>
      <c r="G864" s="18">
        <v>-270448</v>
      </c>
      <c r="H864" t="s">
        <v>2</v>
      </c>
      <c r="I864" t="s">
        <v>10</v>
      </c>
      <c r="J864" s="18">
        <v>-22366049.600000001</v>
      </c>
      <c r="K864" t="s">
        <v>2152</v>
      </c>
      <c r="L864" t="s">
        <v>9</v>
      </c>
      <c r="M864" t="s">
        <v>2153</v>
      </c>
      <c r="N864" t="s">
        <v>3</v>
      </c>
      <c r="O864" t="s">
        <v>3</v>
      </c>
      <c r="P864" t="s">
        <v>5</v>
      </c>
      <c r="Q864" t="s">
        <v>2154</v>
      </c>
      <c r="R864" t="s">
        <v>3</v>
      </c>
      <c r="S864" t="s">
        <v>3</v>
      </c>
      <c r="T864" t="s">
        <v>3</v>
      </c>
      <c r="U864" t="s">
        <v>3</v>
      </c>
      <c r="V864" t="s">
        <v>3</v>
      </c>
      <c r="W864" t="s">
        <v>68</v>
      </c>
      <c r="X864" s="17">
        <v>43519</v>
      </c>
      <c r="Y864" t="s">
        <v>2155</v>
      </c>
      <c r="Z864" s="17">
        <v>43263</v>
      </c>
      <c r="AA864" t="s">
        <v>3</v>
      </c>
      <c r="AB864" t="s">
        <v>2151</v>
      </c>
    </row>
    <row r="865" spans="1:28" hidden="1">
      <c r="A865" t="s">
        <v>2156</v>
      </c>
      <c r="B865" s="17">
        <v>43265</v>
      </c>
      <c r="C865" s="17">
        <v>43265</v>
      </c>
      <c r="D865" t="s">
        <v>0</v>
      </c>
      <c r="E865" t="s">
        <v>1</v>
      </c>
      <c r="F865" s="18">
        <v>-694950</v>
      </c>
      <c r="G865" s="18">
        <v>-694950</v>
      </c>
      <c r="H865" t="s">
        <v>2</v>
      </c>
      <c r="I865" t="s">
        <v>8</v>
      </c>
      <c r="J865" s="18">
        <v>-57472365</v>
      </c>
      <c r="K865" t="s">
        <v>2157</v>
      </c>
      <c r="L865" t="s">
        <v>9</v>
      </c>
      <c r="M865" t="s">
        <v>2158</v>
      </c>
      <c r="N865" t="s">
        <v>3</v>
      </c>
      <c r="O865" t="s">
        <v>3</v>
      </c>
      <c r="P865" t="s">
        <v>5</v>
      </c>
      <c r="Q865" t="s">
        <v>2159</v>
      </c>
      <c r="R865" t="s">
        <v>3</v>
      </c>
      <c r="S865" t="s">
        <v>3</v>
      </c>
      <c r="T865" t="s">
        <v>3</v>
      </c>
      <c r="U865" t="s">
        <v>3</v>
      </c>
      <c r="V865" t="s">
        <v>3</v>
      </c>
      <c r="W865" t="s">
        <v>68</v>
      </c>
      <c r="X865" s="17">
        <v>43587</v>
      </c>
      <c r="Y865" t="s">
        <v>2160</v>
      </c>
      <c r="Z865" s="17">
        <v>43265</v>
      </c>
      <c r="AA865" t="s">
        <v>3</v>
      </c>
      <c r="AB865" t="s">
        <v>2156</v>
      </c>
    </row>
    <row r="866" spans="1:28" hidden="1">
      <c r="A866" t="s">
        <v>2161</v>
      </c>
      <c r="B866" s="17">
        <v>43270</v>
      </c>
      <c r="C866" s="17">
        <v>43270</v>
      </c>
      <c r="D866" t="s">
        <v>0</v>
      </c>
      <c r="E866" t="s">
        <v>1</v>
      </c>
      <c r="F866" s="18">
        <v>8634</v>
      </c>
      <c r="G866" s="18">
        <v>8634</v>
      </c>
      <c r="H866" t="s">
        <v>2</v>
      </c>
      <c r="I866" t="s">
        <v>10</v>
      </c>
      <c r="J866" s="18">
        <v>714031.8</v>
      </c>
      <c r="K866" t="s">
        <v>2162</v>
      </c>
      <c r="L866" t="s">
        <v>9</v>
      </c>
      <c r="M866" t="s">
        <v>2163</v>
      </c>
      <c r="N866" t="s">
        <v>3</v>
      </c>
      <c r="O866" t="s">
        <v>3</v>
      </c>
      <c r="P866" t="s">
        <v>5</v>
      </c>
      <c r="Q866" t="s">
        <v>2164</v>
      </c>
      <c r="R866" t="s">
        <v>3</v>
      </c>
      <c r="S866" t="s">
        <v>3</v>
      </c>
      <c r="T866" t="s">
        <v>3</v>
      </c>
      <c r="U866" t="s">
        <v>3</v>
      </c>
      <c r="V866" t="s">
        <v>3</v>
      </c>
      <c r="W866" t="s">
        <v>68</v>
      </c>
      <c r="X866" s="17">
        <v>43519</v>
      </c>
      <c r="Y866" t="s">
        <v>2130</v>
      </c>
      <c r="Z866" s="17">
        <v>43270</v>
      </c>
      <c r="AA866" t="s">
        <v>3</v>
      </c>
      <c r="AB866" t="s">
        <v>2161</v>
      </c>
    </row>
    <row r="867" spans="1:28" hidden="1">
      <c r="A867" t="s">
        <v>2161</v>
      </c>
      <c r="B867" s="17">
        <v>43270</v>
      </c>
      <c r="C867" s="17">
        <v>43270</v>
      </c>
      <c r="D867" t="s">
        <v>0</v>
      </c>
      <c r="E867" t="s">
        <v>1</v>
      </c>
      <c r="F867" s="18">
        <v>17478</v>
      </c>
      <c r="G867" s="18">
        <v>17478</v>
      </c>
      <c r="H867" t="s">
        <v>2</v>
      </c>
      <c r="I867" t="s">
        <v>10</v>
      </c>
      <c r="J867" s="18">
        <v>1441935</v>
      </c>
      <c r="K867" t="s">
        <v>2138</v>
      </c>
      <c r="L867" t="s">
        <v>9</v>
      </c>
      <c r="M867" t="s">
        <v>2163</v>
      </c>
      <c r="N867" t="s">
        <v>3</v>
      </c>
      <c r="O867" t="s">
        <v>3</v>
      </c>
      <c r="P867" t="s">
        <v>5</v>
      </c>
      <c r="Q867" t="s">
        <v>2164</v>
      </c>
      <c r="R867" t="s">
        <v>3</v>
      </c>
      <c r="S867" t="s">
        <v>3</v>
      </c>
      <c r="T867" t="s">
        <v>3</v>
      </c>
      <c r="U867" t="s">
        <v>3</v>
      </c>
      <c r="V867" t="s">
        <v>3</v>
      </c>
      <c r="W867" t="s">
        <v>68</v>
      </c>
      <c r="X867" s="17">
        <v>43281</v>
      </c>
      <c r="Y867" t="s">
        <v>856</v>
      </c>
      <c r="Z867" s="17">
        <v>43270</v>
      </c>
      <c r="AA867" t="s">
        <v>3</v>
      </c>
      <c r="AB867" t="s">
        <v>2161</v>
      </c>
    </row>
    <row r="868" spans="1:28" hidden="1">
      <c r="A868" t="s">
        <v>2165</v>
      </c>
      <c r="B868" s="17">
        <v>43270</v>
      </c>
      <c r="C868" s="17">
        <v>43270</v>
      </c>
      <c r="D868" t="s">
        <v>0</v>
      </c>
      <c r="E868" t="s">
        <v>1</v>
      </c>
      <c r="F868" s="18">
        <v>73960</v>
      </c>
      <c r="G868" s="18">
        <v>73960</v>
      </c>
      <c r="H868" t="s">
        <v>2</v>
      </c>
      <c r="I868" t="s">
        <v>10</v>
      </c>
      <c r="J868" s="18">
        <v>6116492</v>
      </c>
      <c r="K868" t="s">
        <v>2166</v>
      </c>
      <c r="L868" t="s">
        <v>9</v>
      </c>
      <c r="M868" t="s">
        <v>2167</v>
      </c>
      <c r="N868" t="s">
        <v>3</v>
      </c>
      <c r="O868" t="s">
        <v>3</v>
      </c>
      <c r="P868" t="s">
        <v>5</v>
      </c>
      <c r="Q868" t="s">
        <v>2168</v>
      </c>
      <c r="R868" t="s">
        <v>3</v>
      </c>
      <c r="S868" t="s">
        <v>3</v>
      </c>
      <c r="T868" t="s">
        <v>3</v>
      </c>
      <c r="U868" t="s">
        <v>3</v>
      </c>
      <c r="V868" t="s">
        <v>3</v>
      </c>
      <c r="W868" t="s">
        <v>68</v>
      </c>
      <c r="X868" s="17">
        <v>43519</v>
      </c>
      <c r="Y868" t="s">
        <v>2155</v>
      </c>
      <c r="Z868" s="17">
        <v>43270</v>
      </c>
      <c r="AA868" t="s">
        <v>3</v>
      </c>
      <c r="AB868" t="s">
        <v>2165</v>
      </c>
    </row>
    <row r="869" spans="1:28" hidden="1">
      <c r="A869" t="s">
        <v>2169</v>
      </c>
      <c r="B869" s="17">
        <v>43270</v>
      </c>
      <c r="C869" s="17">
        <v>43270</v>
      </c>
      <c r="D869" t="s">
        <v>0</v>
      </c>
      <c r="E869" t="s">
        <v>1</v>
      </c>
      <c r="F869" s="18">
        <v>561598</v>
      </c>
      <c r="G869" s="18">
        <v>561598</v>
      </c>
      <c r="H869" t="s">
        <v>2</v>
      </c>
      <c r="I869" t="s">
        <v>8</v>
      </c>
      <c r="J869" s="18">
        <v>46331835</v>
      </c>
      <c r="K869" t="s">
        <v>2147</v>
      </c>
      <c r="L869" t="s">
        <v>9</v>
      </c>
      <c r="M869" t="s">
        <v>2170</v>
      </c>
      <c r="N869" t="s">
        <v>3</v>
      </c>
      <c r="O869" t="s">
        <v>3</v>
      </c>
      <c r="P869" t="s">
        <v>5</v>
      </c>
      <c r="Q869" t="s">
        <v>2171</v>
      </c>
      <c r="R869" t="s">
        <v>3</v>
      </c>
      <c r="S869" t="s">
        <v>3</v>
      </c>
      <c r="T869" t="s">
        <v>3</v>
      </c>
      <c r="U869" t="s">
        <v>3</v>
      </c>
      <c r="V869" t="s">
        <v>3</v>
      </c>
      <c r="W869" t="s">
        <v>68</v>
      </c>
      <c r="X869" s="17">
        <v>43281</v>
      </c>
      <c r="Y869" t="s">
        <v>841</v>
      </c>
      <c r="Z869" s="17">
        <v>43270</v>
      </c>
      <c r="AA869" t="s">
        <v>3</v>
      </c>
      <c r="AB869" t="s">
        <v>2169</v>
      </c>
    </row>
    <row r="870" spans="1:28" hidden="1">
      <c r="A870" t="s">
        <v>2169</v>
      </c>
      <c r="B870" s="17">
        <v>43270</v>
      </c>
      <c r="C870" s="17">
        <v>43270</v>
      </c>
      <c r="D870" t="s">
        <v>0</v>
      </c>
      <c r="E870" t="s">
        <v>1</v>
      </c>
      <c r="F870" s="18">
        <v>13012</v>
      </c>
      <c r="G870" s="18">
        <v>13012</v>
      </c>
      <c r="H870" t="s">
        <v>2</v>
      </c>
      <c r="I870" t="s">
        <v>8</v>
      </c>
      <c r="J870" s="18">
        <v>1073490</v>
      </c>
      <c r="K870" t="s">
        <v>2172</v>
      </c>
      <c r="L870" t="s">
        <v>9</v>
      </c>
      <c r="M870" t="s">
        <v>2170</v>
      </c>
      <c r="N870" t="s">
        <v>3</v>
      </c>
      <c r="O870" t="s">
        <v>3</v>
      </c>
      <c r="P870" t="s">
        <v>5</v>
      </c>
      <c r="Q870" t="s">
        <v>2171</v>
      </c>
      <c r="R870" t="s">
        <v>3</v>
      </c>
      <c r="S870" t="s">
        <v>3</v>
      </c>
      <c r="T870" t="s">
        <v>3</v>
      </c>
      <c r="U870" t="s">
        <v>3</v>
      </c>
      <c r="V870" t="s">
        <v>3</v>
      </c>
      <c r="W870" t="s">
        <v>68</v>
      </c>
      <c r="X870" s="17">
        <v>43281</v>
      </c>
      <c r="Y870" t="s">
        <v>844</v>
      </c>
      <c r="Z870" s="17">
        <v>43270</v>
      </c>
      <c r="AA870" t="s">
        <v>3</v>
      </c>
      <c r="AB870" t="s">
        <v>2169</v>
      </c>
    </row>
    <row r="871" spans="1:28" hidden="1">
      <c r="A871" t="s">
        <v>2169</v>
      </c>
      <c r="B871" s="17">
        <v>43270</v>
      </c>
      <c r="C871" s="17">
        <v>43270</v>
      </c>
      <c r="D871" t="s">
        <v>0</v>
      </c>
      <c r="E871" t="s">
        <v>1</v>
      </c>
      <c r="F871" s="18">
        <v>83298</v>
      </c>
      <c r="G871" s="18">
        <v>83298</v>
      </c>
      <c r="H871" t="s">
        <v>2</v>
      </c>
      <c r="I871" t="s">
        <v>8</v>
      </c>
      <c r="J871" s="18">
        <v>6872085</v>
      </c>
      <c r="K871" t="s">
        <v>2143</v>
      </c>
      <c r="L871" t="s">
        <v>9</v>
      </c>
      <c r="M871" t="s">
        <v>2170</v>
      </c>
      <c r="N871" t="s">
        <v>3</v>
      </c>
      <c r="O871" t="s">
        <v>3</v>
      </c>
      <c r="P871" t="s">
        <v>5</v>
      </c>
      <c r="Q871" t="s">
        <v>2171</v>
      </c>
      <c r="R871" t="s">
        <v>3</v>
      </c>
      <c r="S871" t="s">
        <v>3</v>
      </c>
      <c r="T871" t="s">
        <v>3</v>
      </c>
      <c r="U871" t="s">
        <v>3</v>
      </c>
      <c r="V871" t="s">
        <v>3</v>
      </c>
      <c r="W871" t="s">
        <v>68</v>
      </c>
      <c r="X871" s="17">
        <v>43281</v>
      </c>
      <c r="Y871" t="s">
        <v>850</v>
      </c>
      <c r="Z871" s="17">
        <v>43270</v>
      </c>
      <c r="AA871" t="s">
        <v>3</v>
      </c>
      <c r="AB871" t="s">
        <v>2169</v>
      </c>
    </row>
    <row r="872" spans="1:28" hidden="1">
      <c r="A872" t="s">
        <v>2173</v>
      </c>
      <c r="B872" s="17">
        <v>43270</v>
      </c>
      <c r="C872" s="17">
        <v>43270</v>
      </c>
      <c r="D872" t="s">
        <v>0</v>
      </c>
      <c r="E872" t="s">
        <v>1</v>
      </c>
      <c r="F872" s="18">
        <v>254521</v>
      </c>
      <c r="G872" s="18">
        <v>254521</v>
      </c>
      <c r="H872" t="s">
        <v>2</v>
      </c>
      <c r="I872" t="s">
        <v>8</v>
      </c>
      <c r="J872" s="18">
        <v>20997982.5</v>
      </c>
      <c r="K872" t="s">
        <v>2147</v>
      </c>
      <c r="L872" t="s">
        <v>9</v>
      </c>
      <c r="M872" t="s">
        <v>2174</v>
      </c>
      <c r="N872" t="s">
        <v>3</v>
      </c>
      <c r="O872" t="s">
        <v>3</v>
      </c>
      <c r="P872" t="s">
        <v>5</v>
      </c>
      <c r="Q872" t="s">
        <v>2175</v>
      </c>
      <c r="R872" t="s">
        <v>3</v>
      </c>
      <c r="S872" t="s">
        <v>3</v>
      </c>
      <c r="T872" t="s">
        <v>3</v>
      </c>
      <c r="U872" t="s">
        <v>3</v>
      </c>
      <c r="V872" t="s">
        <v>3</v>
      </c>
      <c r="W872" t="s">
        <v>68</v>
      </c>
      <c r="X872" s="17">
        <v>43281</v>
      </c>
      <c r="Y872" t="s">
        <v>841</v>
      </c>
      <c r="Z872" s="17">
        <v>43270</v>
      </c>
      <c r="AA872" t="s">
        <v>3</v>
      </c>
      <c r="AB872" t="s">
        <v>2173</v>
      </c>
    </row>
    <row r="873" spans="1:28" hidden="1">
      <c r="A873" t="s">
        <v>2173</v>
      </c>
      <c r="B873" s="17">
        <v>43270</v>
      </c>
      <c r="C873" s="17">
        <v>43270</v>
      </c>
      <c r="D873" t="s">
        <v>0</v>
      </c>
      <c r="E873" t="s">
        <v>1</v>
      </c>
      <c r="F873" s="18">
        <v>621586</v>
      </c>
      <c r="G873" s="18">
        <v>621586</v>
      </c>
      <c r="H873" t="s">
        <v>2</v>
      </c>
      <c r="I873" t="s">
        <v>8</v>
      </c>
      <c r="J873" s="18">
        <v>51280845.020000003</v>
      </c>
      <c r="K873" t="s">
        <v>2172</v>
      </c>
      <c r="L873" t="s">
        <v>9</v>
      </c>
      <c r="M873" t="s">
        <v>2174</v>
      </c>
      <c r="N873" t="s">
        <v>3</v>
      </c>
      <c r="O873" t="s">
        <v>3</v>
      </c>
      <c r="P873" t="s">
        <v>5</v>
      </c>
      <c r="Q873" t="s">
        <v>2175</v>
      </c>
      <c r="R873" t="s">
        <v>3</v>
      </c>
      <c r="S873" t="s">
        <v>3</v>
      </c>
      <c r="T873" t="s">
        <v>3</v>
      </c>
      <c r="U873" t="s">
        <v>3</v>
      </c>
      <c r="V873" t="s">
        <v>3</v>
      </c>
      <c r="W873" t="s">
        <v>68</v>
      </c>
      <c r="X873" s="17">
        <v>43281</v>
      </c>
      <c r="Y873" t="s">
        <v>844</v>
      </c>
      <c r="Z873" s="17">
        <v>43270</v>
      </c>
      <c r="AA873" t="s">
        <v>3</v>
      </c>
      <c r="AB873" t="s">
        <v>2173</v>
      </c>
    </row>
    <row r="874" spans="1:28" hidden="1">
      <c r="A874" t="s">
        <v>2176</v>
      </c>
      <c r="B874" s="17">
        <v>43270</v>
      </c>
      <c r="C874" s="17">
        <v>43270</v>
      </c>
      <c r="D874" t="s">
        <v>0</v>
      </c>
      <c r="E874" t="s">
        <v>1</v>
      </c>
      <c r="F874" s="18">
        <v>851680</v>
      </c>
      <c r="G874" s="18">
        <v>851680</v>
      </c>
      <c r="H874" t="s">
        <v>2</v>
      </c>
      <c r="I874" t="s">
        <v>8</v>
      </c>
      <c r="J874" s="18">
        <v>70433936</v>
      </c>
      <c r="K874" t="s">
        <v>2177</v>
      </c>
      <c r="L874" t="s">
        <v>9</v>
      </c>
      <c r="M874" t="s">
        <v>2178</v>
      </c>
      <c r="N874" t="s">
        <v>3</v>
      </c>
      <c r="O874" t="s">
        <v>3</v>
      </c>
      <c r="P874" t="s">
        <v>5</v>
      </c>
      <c r="Q874" t="s">
        <v>2179</v>
      </c>
      <c r="R874" t="s">
        <v>3</v>
      </c>
      <c r="S874" t="s">
        <v>3</v>
      </c>
      <c r="T874" t="s">
        <v>3</v>
      </c>
      <c r="U874" t="s">
        <v>3</v>
      </c>
      <c r="V874" t="s">
        <v>3</v>
      </c>
      <c r="W874" t="s">
        <v>68</v>
      </c>
      <c r="X874" s="17">
        <v>43587</v>
      </c>
      <c r="Y874" t="s">
        <v>2135</v>
      </c>
      <c r="Z874" s="17">
        <v>43270</v>
      </c>
      <c r="AA874" t="s">
        <v>3</v>
      </c>
      <c r="AB874" t="s">
        <v>2176</v>
      </c>
    </row>
    <row r="875" spans="1:28" hidden="1">
      <c r="A875" t="s">
        <v>2180</v>
      </c>
      <c r="B875" s="17">
        <v>43277</v>
      </c>
      <c r="C875" s="17">
        <v>43277</v>
      </c>
      <c r="D875" t="s">
        <v>0</v>
      </c>
      <c r="E875" t="s">
        <v>1</v>
      </c>
      <c r="F875" s="18">
        <v>-330733</v>
      </c>
      <c r="G875" s="18">
        <v>-330733</v>
      </c>
      <c r="H875" t="s">
        <v>2</v>
      </c>
      <c r="I875" t="s">
        <v>8</v>
      </c>
      <c r="J875" s="18">
        <v>-27351619.109999999</v>
      </c>
      <c r="K875" t="s">
        <v>2181</v>
      </c>
      <c r="L875" t="s">
        <v>9</v>
      </c>
      <c r="M875" t="s">
        <v>2182</v>
      </c>
      <c r="N875" t="s">
        <v>3</v>
      </c>
      <c r="O875" t="s">
        <v>3</v>
      </c>
      <c r="P875" t="s">
        <v>5</v>
      </c>
      <c r="Q875" t="s">
        <v>2183</v>
      </c>
      <c r="R875" t="s">
        <v>3</v>
      </c>
      <c r="S875" t="s">
        <v>3</v>
      </c>
      <c r="T875" t="s">
        <v>3</v>
      </c>
      <c r="U875" t="s">
        <v>3</v>
      </c>
      <c r="V875" t="s">
        <v>3</v>
      </c>
      <c r="W875" t="s">
        <v>68</v>
      </c>
      <c r="X875" s="17">
        <v>43587</v>
      </c>
      <c r="Y875" t="s">
        <v>2184</v>
      </c>
      <c r="Z875" s="17">
        <v>43277</v>
      </c>
      <c r="AA875" t="s">
        <v>3</v>
      </c>
      <c r="AB875" t="s">
        <v>2180</v>
      </c>
    </row>
    <row r="876" spans="1:28" hidden="1">
      <c r="A876" t="s">
        <v>2185</v>
      </c>
      <c r="B876" s="17">
        <v>43277</v>
      </c>
      <c r="C876" s="17">
        <v>43277</v>
      </c>
      <c r="D876" t="s">
        <v>0</v>
      </c>
      <c r="E876" t="s">
        <v>1</v>
      </c>
      <c r="F876" s="18">
        <v>56240</v>
      </c>
      <c r="G876" s="18">
        <v>56240</v>
      </c>
      <c r="H876" t="s">
        <v>2</v>
      </c>
      <c r="I876" t="s">
        <v>8</v>
      </c>
      <c r="J876" s="18">
        <v>4651048</v>
      </c>
      <c r="K876" t="s">
        <v>2186</v>
      </c>
      <c r="L876" t="s">
        <v>9</v>
      </c>
      <c r="M876" t="s">
        <v>2187</v>
      </c>
      <c r="N876" t="s">
        <v>3</v>
      </c>
      <c r="O876" t="s">
        <v>3</v>
      </c>
      <c r="P876" t="s">
        <v>5</v>
      </c>
      <c r="Q876" t="s">
        <v>2188</v>
      </c>
      <c r="R876" t="s">
        <v>3</v>
      </c>
      <c r="S876" t="s">
        <v>3</v>
      </c>
      <c r="T876" t="s">
        <v>3</v>
      </c>
      <c r="U876" t="s">
        <v>3</v>
      </c>
      <c r="V876" t="s">
        <v>3</v>
      </c>
      <c r="W876" t="s">
        <v>68</v>
      </c>
      <c r="X876" s="17">
        <v>43587</v>
      </c>
      <c r="Y876" t="s">
        <v>2160</v>
      </c>
      <c r="Z876" s="17">
        <v>43277</v>
      </c>
      <c r="AA876" t="s">
        <v>3</v>
      </c>
      <c r="AB876" t="s">
        <v>2185</v>
      </c>
    </row>
    <row r="877" spans="1:28" hidden="1">
      <c r="A877" t="s">
        <v>841</v>
      </c>
      <c r="B877" s="17">
        <v>43281</v>
      </c>
      <c r="C877" s="17">
        <v>43281</v>
      </c>
      <c r="D877" t="s">
        <v>7</v>
      </c>
      <c r="E877" t="s">
        <v>1</v>
      </c>
      <c r="F877" s="18">
        <v>0</v>
      </c>
      <c r="G877" s="18">
        <v>0</v>
      </c>
      <c r="H877" t="s">
        <v>2</v>
      </c>
      <c r="I877" t="s">
        <v>8</v>
      </c>
      <c r="J877" s="18">
        <v>0.01</v>
      </c>
      <c r="K877" t="s">
        <v>3</v>
      </c>
      <c r="L877" t="s">
        <v>9</v>
      </c>
      <c r="M877" t="s">
        <v>842</v>
      </c>
      <c r="N877" t="s">
        <v>3</v>
      </c>
      <c r="O877" t="s">
        <v>3</v>
      </c>
      <c r="P877" t="s">
        <v>5</v>
      </c>
      <c r="Q877" t="s">
        <v>843</v>
      </c>
      <c r="R877" t="s">
        <v>3</v>
      </c>
      <c r="S877" t="s">
        <v>3</v>
      </c>
      <c r="T877" t="s">
        <v>3</v>
      </c>
      <c r="U877" t="s">
        <v>3</v>
      </c>
      <c r="V877" t="s">
        <v>3</v>
      </c>
      <c r="W877" t="s">
        <v>68</v>
      </c>
      <c r="X877" s="17">
        <v>43281</v>
      </c>
      <c r="Y877" t="s">
        <v>841</v>
      </c>
      <c r="Z877" s="17">
        <v>43281</v>
      </c>
      <c r="AA877" t="s">
        <v>3</v>
      </c>
      <c r="AB877" t="s">
        <v>841</v>
      </c>
    </row>
    <row r="878" spans="1:28" hidden="1">
      <c r="A878" t="s">
        <v>844</v>
      </c>
      <c r="B878" s="17">
        <v>43281</v>
      </c>
      <c r="C878" s="17">
        <v>43281</v>
      </c>
      <c r="D878" t="s">
        <v>7</v>
      </c>
      <c r="E878" t="s">
        <v>1</v>
      </c>
      <c r="F878" s="18">
        <v>634598</v>
      </c>
      <c r="G878" s="18">
        <v>634598</v>
      </c>
      <c r="H878" t="s">
        <v>2</v>
      </c>
      <c r="I878" t="s">
        <v>8</v>
      </c>
      <c r="J878" s="18">
        <v>52354335.020000003</v>
      </c>
      <c r="K878" t="s">
        <v>3</v>
      </c>
      <c r="L878" t="s">
        <v>9</v>
      </c>
      <c r="M878" t="s">
        <v>845</v>
      </c>
      <c r="N878" t="s">
        <v>3</v>
      </c>
      <c r="O878" t="s">
        <v>3</v>
      </c>
      <c r="P878" t="s">
        <v>5</v>
      </c>
      <c r="Q878" t="s">
        <v>846</v>
      </c>
      <c r="R878" t="s">
        <v>3</v>
      </c>
      <c r="S878" t="s">
        <v>3</v>
      </c>
      <c r="T878" t="s">
        <v>3</v>
      </c>
      <c r="U878" t="s">
        <v>3</v>
      </c>
      <c r="V878" t="s">
        <v>3</v>
      </c>
      <c r="W878" t="s">
        <v>68</v>
      </c>
      <c r="X878" s="17">
        <v>43281</v>
      </c>
      <c r="Y878" t="s">
        <v>844</v>
      </c>
      <c r="Z878" s="17">
        <v>43281</v>
      </c>
      <c r="AA878" t="s">
        <v>3</v>
      </c>
      <c r="AB878" t="s">
        <v>844</v>
      </c>
    </row>
    <row r="879" spans="1:28" hidden="1">
      <c r="A879" t="s">
        <v>844</v>
      </c>
      <c r="B879" s="17">
        <v>43281</v>
      </c>
      <c r="C879" s="17">
        <v>43281</v>
      </c>
      <c r="D879" t="s">
        <v>7</v>
      </c>
      <c r="E879" t="s">
        <v>1</v>
      </c>
      <c r="F879" s="18">
        <v>-634598</v>
      </c>
      <c r="G879" s="18">
        <v>-634598</v>
      </c>
      <c r="H879" t="s">
        <v>2</v>
      </c>
      <c r="I879" t="s">
        <v>8</v>
      </c>
      <c r="J879" s="18">
        <v>-52354335.020000003</v>
      </c>
      <c r="K879" t="s">
        <v>3</v>
      </c>
      <c r="L879" t="s">
        <v>9</v>
      </c>
      <c r="M879" t="s">
        <v>845</v>
      </c>
      <c r="N879" t="s">
        <v>3</v>
      </c>
      <c r="O879" t="s">
        <v>3</v>
      </c>
      <c r="P879" t="s">
        <v>5</v>
      </c>
      <c r="Q879" t="s">
        <v>846</v>
      </c>
      <c r="R879" t="s">
        <v>3</v>
      </c>
      <c r="S879" t="s">
        <v>3</v>
      </c>
      <c r="T879" t="s">
        <v>3</v>
      </c>
      <c r="U879" t="s">
        <v>3</v>
      </c>
      <c r="V879" t="s">
        <v>3</v>
      </c>
      <c r="W879" t="s">
        <v>68</v>
      </c>
      <c r="X879" s="17">
        <v>43281</v>
      </c>
      <c r="Y879" t="s">
        <v>844</v>
      </c>
      <c r="Z879" s="17">
        <v>43281</v>
      </c>
      <c r="AA879" t="s">
        <v>3</v>
      </c>
      <c r="AB879" t="s">
        <v>844</v>
      </c>
    </row>
    <row r="880" spans="1:28" hidden="1">
      <c r="A880" t="s">
        <v>847</v>
      </c>
      <c r="B880" s="17">
        <v>43281</v>
      </c>
      <c r="C880" s="17">
        <v>43281</v>
      </c>
      <c r="D880" t="s">
        <v>7</v>
      </c>
      <c r="E880" t="s">
        <v>1</v>
      </c>
      <c r="F880" s="18">
        <v>620843</v>
      </c>
      <c r="G880" s="18">
        <v>620843</v>
      </c>
      <c r="H880" t="s">
        <v>2</v>
      </c>
      <c r="I880" t="s">
        <v>8</v>
      </c>
      <c r="J880" s="18">
        <v>51219547.509999998</v>
      </c>
      <c r="K880" t="s">
        <v>3</v>
      </c>
      <c r="L880" t="s">
        <v>9</v>
      </c>
      <c r="M880" t="s">
        <v>848</v>
      </c>
      <c r="N880" t="s">
        <v>3</v>
      </c>
      <c r="O880" t="s">
        <v>3</v>
      </c>
      <c r="P880" t="s">
        <v>5</v>
      </c>
      <c r="Q880" t="s">
        <v>849</v>
      </c>
      <c r="R880" t="s">
        <v>3</v>
      </c>
      <c r="S880" t="s">
        <v>3</v>
      </c>
      <c r="T880" t="s">
        <v>3</v>
      </c>
      <c r="U880" t="s">
        <v>3</v>
      </c>
      <c r="V880" t="s">
        <v>3</v>
      </c>
      <c r="W880" t="s">
        <v>68</v>
      </c>
      <c r="X880" s="17">
        <v>43281</v>
      </c>
      <c r="Y880" t="s">
        <v>847</v>
      </c>
      <c r="Z880" s="17">
        <v>43281</v>
      </c>
      <c r="AA880" t="s">
        <v>3</v>
      </c>
      <c r="AB880" t="s">
        <v>847</v>
      </c>
    </row>
    <row r="881" spans="1:28" hidden="1">
      <c r="A881" t="s">
        <v>847</v>
      </c>
      <c r="B881" s="17">
        <v>43281</v>
      </c>
      <c r="C881" s="17">
        <v>43281</v>
      </c>
      <c r="D881" t="s">
        <v>7</v>
      </c>
      <c r="E881" t="s">
        <v>1</v>
      </c>
      <c r="F881" s="18">
        <v>-620843</v>
      </c>
      <c r="G881" s="18">
        <v>-620843</v>
      </c>
      <c r="H881" t="s">
        <v>2</v>
      </c>
      <c r="I881" t="s">
        <v>8</v>
      </c>
      <c r="J881" s="18">
        <v>-51219547.509999998</v>
      </c>
      <c r="K881" t="s">
        <v>3</v>
      </c>
      <c r="L881" t="s">
        <v>9</v>
      </c>
      <c r="M881" t="s">
        <v>848</v>
      </c>
      <c r="N881" t="s">
        <v>3</v>
      </c>
      <c r="O881" t="s">
        <v>3</v>
      </c>
      <c r="P881" t="s">
        <v>5</v>
      </c>
      <c r="Q881" t="s">
        <v>849</v>
      </c>
      <c r="R881" t="s">
        <v>3</v>
      </c>
      <c r="S881" t="s">
        <v>3</v>
      </c>
      <c r="T881" t="s">
        <v>3</v>
      </c>
      <c r="U881" t="s">
        <v>3</v>
      </c>
      <c r="V881" t="s">
        <v>3</v>
      </c>
      <c r="W881" t="s">
        <v>68</v>
      </c>
      <c r="X881" s="17">
        <v>43281</v>
      </c>
      <c r="Y881" t="s">
        <v>847</v>
      </c>
      <c r="Z881" s="17">
        <v>43281</v>
      </c>
      <c r="AA881" t="s">
        <v>3</v>
      </c>
      <c r="AB881" t="s">
        <v>847</v>
      </c>
    </row>
    <row r="882" spans="1:28" hidden="1">
      <c r="A882" t="s">
        <v>850</v>
      </c>
      <c r="B882" s="17">
        <v>43281</v>
      </c>
      <c r="C882" s="17">
        <v>43281</v>
      </c>
      <c r="D882" t="s">
        <v>7</v>
      </c>
      <c r="E882" t="s">
        <v>1</v>
      </c>
      <c r="F882" s="18">
        <v>0</v>
      </c>
      <c r="G882" s="18">
        <v>0</v>
      </c>
      <c r="H882" t="s">
        <v>2</v>
      </c>
      <c r="I882" t="s">
        <v>8</v>
      </c>
      <c r="J882" s="18">
        <v>0.01</v>
      </c>
      <c r="K882" t="s">
        <v>3</v>
      </c>
      <c r="L882" t="s">
        <v>9</v>
      </c>
      <c r="M882" t="s">
        <v>851</v>
      </c>
      <c r="N882" t="s">
        <v>3</v>
      </c>
      <c r="O882" t="s">
        <v>3</v>
      </c>
      <c r="P882" t="s">
        <v>5</v>
      </c>
      <c r="Q882" t="s">
        <v>852</v>
      </c>
      <c r="R882" t="s">
        <v>3</v>
      </c>
      <c r="S882" t="s">
        <v>3</v>
      </c>
      <c r="T882" t="s">
        <v>3</v>
      </c>
      <c r="U882" t="s">
        <v>3</v>
      </c>
      <c r="V882" t="s">
        <v>3</v>
      </c>
      <c r="W882" t="s">
        <v>68</v>
      </c>
      <c r="X882" s="17">
        <v>43281</v>
      </c>
      <c r="Y882" t="s">
        <v>850</v>
      </c>
      <c r="Z882" s="17">
        <v>43281</v>
      </c>
      <c r="AA882" t="s">
        <v>3</v>
      </c>
      <c r="AB882" t="s">
        <v>850</v>
      </c>
    </row>
    <row r="883" spans="1:28" hidden="1">
      <c r="A883" t="s">
        <v>853</v>
      </c>
      <c r="B883" s="17">
        <v>43281</v>
      </c>
      <c r="C883" s="17">
        <v>43281</v>
      </c>
      <c r="D883" t="s">
        <v>7</v>
      </c>
      <c r="E883" t="s">
        <v>1</v>
      </c>
      <c r="F883" s="18">
        <v>156697</v>
      </c>
      <c r="G883" s="18">
        <v>156697</v>
      </c>
      <c r="H883" t="s">
        <v>2</v>
      </c>
      <c r="I883" t="s">
        <v>10</v>
      </c>
      <c r="J883" s="18">
        <v>12927502.51</v>
      </c>
      <c r="K883" t="s">
        <v>3</v>
      </c>
      <c r="L883" t="s">
        <v>9</v>
      </c>
      <c r="M883" t="s">
        <v>854</v>
      </c>
      <c r="N883" t="s">
        <v>3</v>
      </c>
      <c r="O883" t="s">
        <v>3</v>
      </c>
      <c r="P883" t="s">
        <v>5</v>
      </c>
      <c r="Q883" t="s">
        <v>855</v>
      </c>
      <c r="R883" t="s">
        <v>3</v>
      </c>
      <c r="S883" t="s">
        <v>3</v>
      </c>
      <c r="T883" t="s">
        <v>3</v>
      </c>
      <c r="U883" t="s">
        <v>3</v>
      </c>
      <c r="V883" t="s">
        <v>3</v>
      </c>
      <c r="W883" t="s">
        <v>68</v>
      </c>
      <c r="X883" s="17">
        <v>43281</v>
      </c>
      <c r="Y883" t="s">
        <v>853</v>
      </c>
      <c r="Z883" s="17">
        <v>43281</v>
      </c>
      <c r="AA883" t="s">
        <v>3</v>
      </c>
      <c r="AB883" t="s">
        <v>853</v>
      </c>
    </row>
    <row r="884" spans="1:28" hidden="1">
      <c r="A884" t="s">
        <v>853</v>
      </c>
      <c r="B884" s="17">
        <v>43281</v>
      </c>
      <c r="C884" s="17">
        <v>43281</v>
      </c>
      <c r="D884" t="s">
        <v>7</v>
      </c>
      <c r="E884" t="s">
        <v>1</v>
      </c>
      <c r="F884" s="18">
        <v>-156697</v>
      </c>
      <c r="G884" s="18">
        <v>-156697</v>
      </c>
      <c r="H884" t="s">
        <v>2</v>
      </c>
      <c r="I884" t="s">
        <v>10</v>
      </c>
      <c r="J884" s="18">
        <v>-12927502.51</v>
      </c>
      <c r="K884" t="s">
        <v>3</v>
      </c>
      <c r="L884" t="s">
        <v>9</v>
      </c>
      <c r="M884" t="s">
        <v>854</v>
      </c>
      <c r="N884" t="s">
        <v>3</v>
      </c>
      <c r="O884" t="s">
        <v>3</v>
      </c>
      <c r="P884" t="s">
        <v>5</v>
      </c>
      <c r="Q884" t="s">
        <v>855</v>
      </c>
      <c r="R884" t="s">
        <v>3</v>
      </c>
      <c r="S884" t="s">
        <v>3</v>
      </c>
      <c r="T884" t="s">
        <v>3</v>
      </c>
      <c r="U884" t="s">
        <v>3</v>
      </c>
      <c r="V884" t="s">
        <v>3</v>
      </c>
      <c r="W884" t="s">
        <v>68</v>
      </c>
      <c r="X884" s="17">
        <v>43281</v>
      </c>
      <c r="Y884" t="s">
        <v>853</v>
      </c>
      <c r="Z884" s="17">
        <v>43281</v>
      </c>
      <c r="AA884" t="s">
        <v>3</v>
      </c>
      <c r="AB884" t="s">
        <v>853</v>
      </c>
    </row>
    <row r="885" spans="1:28" hidden="1">
      <c r="A885" t="s">
        <v>856</v>
      </c>
      <c r="B885" s="17">
        <v>43281</v>
      </c>
      <c r="C885" s="17">
        <v>43281</v>
      </c>
      <c r="D885" t="s">
        <v>7</v>
      </c>
      <c r="E885" t="s">
        <v>1</v>
      </c>
      <c r="F885" s="18">
        <v>0</v>
      </c>
      <c r="G885" s="18">
        <v>0</v>
      </c>
      <c r="H885" t="s">
        <v>2</v>
      </c>
      <c r="I885" t="s">
        <v>10</v>
      </c>
      <c r="J885" s="18">
        <v>0.01</v>
      </c>
      <c r="K885" t="s">
        <v>3</v>
      </c>
      <c r="L885" t="s">
        <v>9</v>
      </c>
      <c r="M885" t="s">
        <v>857</v>
      </c>
      <c r="N885" t="s">
        <v>3</v>
      </c>
      <c r="O885" t="s">
        <v>3</v>
      </c>
      <c r="P885" t="s">
        <v>5</v>
      </c>
      <c r="Q885" t="s">
        <v>858</v>
      </c>
      <c r="R885" t="s">
        <v>3</v>
      </c>
      <c r="S885" t="s">
        <v>3</v>
      </c>
      <c r="T885" t="s">
        <v>3</v>
      </c>
      <c r="U885" t="s">
        <v>3</v>
      </c>
      <c r="V885" t="s">
        <v>3</v>
      </c>
      <c r="W885" t="s">
        <v>68</v>
      </c>
      <c r="X885" s="17">
        <v>43281</v>
      </c>
      <c r="Y885" t="s">
        <v>856</v>
      </c>
      <c r="Z885" s="17">
        <v>43281</v>
      </c>
      <c r="AA885" t="s">
        <v>3</v>
      </c>
      <c r="AB885" t="s">
        <v>856</v>
      </c>
    </row>
    <row r="886" spans="1:28" hidden="1">
      <c r="A886" t="s">
        <v>2198</v>
      </c>
      <c r="B886" s="17">
        <v>43281</v>
      </c>
      <c r="C886" s="17">
        <v>43281</v>
      </c>
      <c r="D886" t="s">
        <v>0</v>
      </c>
      <c r="E886" t="s">
        <v>1</v>
      </c>
      <c r="F886" s="18">
        <v>197698</v>
      </c>
      <c r="G886" s="18">
        <v>197698</v>
      </c>
      <c r="H886" t="s">
        <v>2</v>
      </c>
      <c r="I886" t="s">
        <v>8</v>
      </c>
      <c r="J886" s="18">
        <v>16359509.5</v>
      </c>
      <c r="K886" t="s">
        <v>2199</v>
      </c>
      <c r="L886" t="s">
        <v>9</v>
      </c>
      <c r="M886" t="s">
        <v>2200</v>
      </c>
      <c r="N886" t="s">
        <v>3</v>
      </c>
      <c r="O886" t="s">
        <v>3</v>
      </c>
      <c r="P886" t="s">
        <v>5</v>
      </c>
      <c r="Q886" t="s">
        <v>2201</v>
      </c>
      <c r="R886" t="s">
        <v>3</v>
      </c>
      <c r="S886" t="s">
        <v>3</v>
      </c>
      <c r="T886" t="s">
        <v>3</v>
      </c>
      <c r="U886" t="s">
        <v>3</v>
      </c>
      <c r="V886" t="s">
        <v>3</v>
      </c>
      <c r="W886" t="s">
        <v>68</v>
      </c>
      <c r="X886" s="17">
        <v>43282</v>
      </c>
      <c r="Y886" t="s">
        <v>2202</v>
      </c>
      <c r="Z886" s="17">
        <v>43281</v>
      </c>
      <c r="AA886" t="s">
        <v>3</v>
      </c>
      <c r="AB886" t="s">
        <v>2198</v>
      </c>
    </row>
    <row r="887" spans="1:28" hidden="1">
      <c r="A887" t="s">
        <v>2202</v>
      </c>
      <c r="B887" s="17">
        <v>43282</v>
      </c>
      <c r="C887" s="17">
        <v>43281</v>
      </c>
      <c r="D887" t="s">
        <v>38</v>
      </c>
      <c r="E887" t="s">
        <v>1</v>
      </c>
      <c r="F887" s="18">
        <v>-197698</v>
      </c>
      <c r="G887" s="18">
        <v>-197698</v>
      </c>
      <c r="H887" t="s">
        <v>2</v>
      </c>
      <c r="I887" t="s">
        <v>8</v>
      </c>
      <c r="J887" s="18">
        <v>-16359509.5</v>
      </c>
      <c r="K887" t="s">
        <v>2199</v>
      </c>
      <c r="L887" t="s">
        <v>9</v>
      </c>
      <c r="M887" t="s">
        <v>2200</v>
      </c>
      <c r="N887" t="s">
        <v>3</v>
      </c>
      <c r="O887" t="s">
        <v>3</v>
      </c>
      <c r="P887" t="s">
        <v>5</v>
      </c>
      <c r="Q887" t="s">
        <v>2201</v>
      </c>
      <c r="R887" t="s">
        <v>3</v>
      </c>
      <c r="S887" t="s">
        <v>3</v>
      </c>
      <c r="T887" t="s">
        <v>3</v>
      </c>
      <c r="U887" t="s">
        <v>3</v>
      </c>
      <c r="V887" t="s">
        <v>3</v>
      </c>
      <c r="W887" t="s">
        <v>68</v>
      </c>
      <c r="X887" s="17">
        <v>43282</v>
      </c>
      <c r="Y887" t="s">
        <v>2202</v>
      </c>
      <c r="Z887" s="17">
        <v>43281</v>
      </c>
      <c r="AA887" t="s">
        <v>3</v>
      </c>
      <c r="AB887" t="s">
        <v>2202</v>
      </c>
    </row>
    <row r="888" spans="1:28" hidden="1">
      <c r="A888" t="s">
        <v>2524</v>
      </c>
      <c r="B888" s="17">
        <v>43284</v>
      </c>
      <c r="C888" s="17">
        <v>43284</v>
      </c>
      <c r="D888" t="s">
        <v>0</v>
      </c>
      <c r="E888" t="s">
        <v>1</v>
      </c>
      <c r="F888" s="18">
        <v>125484</v>
      </c>
      <c r="G888" s="18">
        <v>125484</v>
      </c>
      <c r="H888" t="s">
        <v>2</v>
      </c>
      <c r="I888" t="s">
        <v>10</v>
      </c>
      <c r="J888" s="18">
        <v>10377526.800000001</v>
      </c>
      <c r="K888" t="s">
        <v>2166</v>
      </c>
      <c r="L888" t="s">
        <v>9</v>
      </c>
      <c r="M888" t="s">
        <v>2525</v>
      </c>
      <c r="N888" t="s">
        <v>3</v>
      </c>
      <c r="O888" t="s">
        <v>3</v>
      </c>
      <c r="P888" t="s">
        <v>5</v>
      </c>
      <c r="Q888" t="s">
        <v>2526</v>
      </c>
      <c r="R888" t="s">
        <v>3</v>
      </c>
      <c r="S888" t="s">
        <v>3</v>
      </c>
      <c r="T888" t="s">
        <v>3</v>
      </c>
      <c r="U888" t="s">
        <v>3</v>
      </c>
      <c r="V888" t="s">
        <v>3</v>
      </c>
      <c r="W888" t="s">
        <v>68</v>
      </c>
      <c r="X888" s="17">
        <v>43519</v>
      </c>
      <c r="Y888" t="s">
        <v>2155</v>
      </c>
      <c r="Z888" s="17">
        <v>43284</v>
      </c>
      <c r="AA888" t="s">
        <v>3</v>
      </c>
      <c r="AB888" t="s">
        <v>2524</v>
      </c>
    </row>
    <row r="889" spans="1:28" hidden="1">
      <c r="A889" t="s">
        <v>2534</v>
      </c>
      <c r="B889" s="17">
        <v>43284</v>
      </c>
      <c r="C889" s="17">
        <v>43284</v>
      </c>
      <c r="D889" t="s">
        <v>0</v>
      </c>
      <c r="E889" t="s">
        <v>1</v>
      </c>
      <c r="F889" s="18">
        <v>38568</v>
      </c>
      <c r="G889" s="18">
        <v>38568</v>
      </c>
      <c r="H889" t="s">
        <v>2</v>
      </c>
      <c r="I889" t="s">
        <v>8</v>
      </c>
      <c r="J889" s="18">
        <v>3189573.6</v>
      </c>
      <c r="K889" t="s">
        <v>2177</v>
      </c>
      <c r="L889" t="s">
        <v>9</v>
      </c>
      <c r="M889" t="s">
        <v>2535</v>
      </c>
      <c r="N889" t="s">
        <v>3</v>
      </c>
      <c r="O889" t="s">
        <v>3</v>
      </c>
      <c r="P889" t="s">
        <v>5</v>
      </c>
      <c r="Q889" t="s">
        <v>2536</v>
      </c>
      <c r="R889" t="s">
        <v>3</v>
      </c>
      <c r="S889" t="s">
        <v>3</v>
      </c>
      <c r="T889" t="s">
        <v>3</v>
      </c>
      <c r="U889" t="s">
        <v>3</v>
      </c>
      <c r="V889" t="s">
        <v>3</v>
      </c>
      <c r="W889" t="s">
        <v>68</v>
      </c>
      <c r="X889" s="17">
        <v>43587</v>
      </c>
      <c r="Y889" t="s">
        <v>2135</v>
      </c>
      <c r="Z889" s="17">
        <v>43284</v>
      </c>
      <c r="AA889" t="s">
        <v>3</v>
      </c>
      <c r="AB889" t="s">
        <v>2534</v>
      </c>
    </row>
    <row r="890" spans="1:28" hidden="1">
      <c r="A890" t="s">
        <v>2682</v>
      </c>
      <c r="B890" s="17">
        <v>43284</v>
      </c>
      <c r="C890" s="17">
        <v>43284</v>
      </c>
      <c r="D890" t="s">
        <v>0</v>
      </c>
      <c r="E890" t="s">
        <v>1</v>
      </c>
      <c r="F890" s="18">
        <v>24118</v>
      </c>
      <c r="G890" s="18">
        <v>24118</v>
      </c>
      <c r="H890" t="s">
        <v>2</v>
      </c>
      <c r="I890" t="s">
        <v>8</v>
      </c>
      <c r="J890" s="18">
        <v>1994558.6</v>
      </c>
      <c r="K890" t="s">
        <v>2177</v>
      </c>
      <c r="L890" t="s">
        <v>9</v>
      </c>
      <c r="M890" t="s">
        <v>2683</v>
      </c>
      <c r="N890" t="s">
        <v>3</v>
      </c>
      <c r="O890" t="s">
        <v>3</v>
      </c>
      <c r="P890" t="s">
        <v>5</v>
      </c>
      <c r="Q890" t="s">
        <v>2684</v>
      </c>
      <c r="R890" t="s">
        <v>3</v>
      </c>
      <c r="S890" t="s">
        <v>3</v>
      </c>
      <c r="T890" t="s">
        <v>3</v>
      </c>
      <c r="U890" t="s">
        <v>3</v>
      </c>
      <c r="V890" t="s">
        <v>3</v>
      </c>
      <c r="W890" t="s">
        <v>68</v>
      </c>
      <c r="X890" s="17">
        <v>43587</v>
      </c>
      <c r="Y890" t="s">
        <v>2135</v>
      </c>
      <c r="Z890" s="17">
        <v>43284</v>
      </c>
      <c r="AA890" t="s">
        <v>3</v>
      </c>
      <c r="AB890" t="s">
        <v>2682</v>
      </c>
    </row>
    <row r="891" spans="1:28" hidden="1">
      <c r="A891" t="s">
        <v>2682</v>
      </c>
      <c r="B891" s="17">
        <v>43284</v>
      </c>
      <c r="C891" s="17">
        <v>43284</v>
      </c>
      <c r="D891" t="s">
        <v>0</v>
      </c>
      <c r="E891" t="s">
        <v>1</v>
      </c>
      <c r="F891" s="18">
        <v>3750</v>
      </c>
      <c r="G891" s="18">
        <v>3750</v>
      </c>
      <c r="H891" t="s">
        <v>2</v>
      </c>
      <c r="I891" t="s">
        <v>8</v>
      </c>
      <c r="J891" s="18">
        <v>310125</v>
      </c>
      <c r="K891" t="s">
        <v>2186</v>
      </c>
      <c r="L891" t="s">
        <v>9</v>
      </c>
      <c r="M891" t="s">
        <v>2683</v>
      </c>
      <c r="N891" t="s">
        <v>3</v>
      </c>
      <c r="O891" t="s">
        <v>3</v>
      </c>
      <c r="P891" t="s">
        <v>5</v>
      </c>
      <c r="Q891" t="s">
        <v>2684</v>
      </c>
      <c r="R891" t="s">
        <v>3</v>
      </c>
      <c r="S891" t="s">
        <v>3</v>
      </c>
      <c r="T891" t="s">
        <v>3</v>
      </c>
      <c r="U891" t="s">
        <v>3</v>
      </c>
      <c r="V891" t="s">
        <v>3</v>
      </c>
      <c r="W891" t="s">
        <v>68</v>
      </c>
      <c r="X891" s="17">
        <v>43587</v>
      </c>
      <c r="Y891" t="s">
        <v>2160</v>
      </c>
      <c r="Z891" s="17">
        <v>43284</v>
      </c>
      <c r="AA891" t="s">
        <v>3</v>
      </c>
      <c r="AB891" t="s">
        <v>2682</v>
      </c>
    </row>
    <row r="892" spans="1:28" hidden="1">
      <c r="A892" t="s">
        <v>2527</v>
      </c>
      <c r="B892" s="17">
        <v>43286</v>
      </c>
      <c r="C892" s="17">
        <v>43286</v>
      </c>
      <c r="D892" t="s">
        <v>0</v>
      </c>
      <c r="E892" t="s">
        <v>1</v>
      </c>
      <c r="F892" s="18">
        <v>11024</v>
      </c>
      <c r="G892" s="18">
        <v>11024</v>
      </c>
      <c r="H892" t="s">
        <v>2</v>
      </c>
      <c r="I892" t="s">
        <v>10</v>
      </c>
      <c r="J892" s="18">
        <v>911684.8</v>
      </c>
      <c r="K892" t="s">
        <v>2162</v>
      </c>
      <c r="L892" t="s">
        <v>9</v>
      </c>
      <c r="M892" t="s">
        <v>2528</v>
      </c>
      <c r="N892" t="s">
        <v>3</v>
      </c>
      <c r="O892" t="s">
        <v>3</v>
      </c>
      <c r="P892" t="s">
        <v>5</v>
      </c>
      <c r="Q892" t="s">
        <v>2529</v>
      </c>
      <c r="R892" t="s">
        <v>3</v>
      </c>
      <c r="S892" t="s">
        <v>3</v>
      </c>
      <c r="T892" t="s">
        <v>3</v>
      </c>
      <c r="U892" t="s">
        <v>3</v>
      </c>
      <c r="V892" t="s">
        <v>3</v>
      </c>
      <c r="W892" t="s">
        <v>68</v>
      </c>
      <c r="X892" s="17">
        <v>43519</v>
      </c>
      <c r="Y892" t="s">
        <v>2130</v>
      </c>
      <c r="Z892" s="17">
        <v>43286</v>
      </c>
      <c r="AA892" t="s">
        <v>3</v>
      </c>
      <c r="AB892" t="s">
        <v>2527</v>
      </c>
    </row>
    <row r="893" spans="1:28" hidden="1">
      <c r="A893" t="s">
        <v>2530</v>
      </c>
      <c r="B893" s="17">
        <v>43286</v>
      </c>
      <c r="C893" s="17">
        <v>43286</v>
      </c>
      <c r="D893" t="s">
        <v>0</v>
      </c>
      <c r="E893" t="s">
        <v>1</v>
      </c>
      <c r="F893" s="18">
        <v>-234204</v>
      </c>
      <c r="G893" s="18">
        <v>-234204</v>
      </c>
      <c r="H893" t="s">
        <v>2</v>
      </c>
      <c r="I893" t="s">
        <v>10</v>
      </c>
      <c r="J893" s="18">
        <v>-19380381</v>
      </c>
      <c r="K893" t="s">
        <v>2531</v>
      </c>
      <c r="L893" t="s">
        <v>9</v>
      </c>
      <c r="M893" t="s">
        <v>2532</v>
      </c>
      <c r="N893" t="s">
        <v>3</v>
      </c>
      <c r="O893" t="s">
        <v>3</v>
      </c>
      <c r="P893" t="s">
        <v>5</v>
      </c>
      <c r="Q893" t="s">
        <v>2533</v>
      </c>
      <c r="R893" t="s">
        <v>3</v>
      </c>
      <c r="S893" t="s">
        <v>3</v>
      </c>
      <c r="T893" t="s">
        <v>3</v>
      </c>
      <c r="U893" t="s">
        <v>3</v>
      </c>
      <c r="V893" t="s">
        <v>3</v>
      </c>
      <c r="W893" t="s">
        <v>68</v>
      </c>
      <c r="X893" s="17">
        <v>43519</v>
      </c>
      <c r="Y893" t="s">
        <v>2356</v>
      </c>
      <c r="Z893" s="17">
        <v>43286</v>
      </c>
      <c r="AA893" t="s">
        <v>3</v>
      </c>
      <c r="AB893" t="s">
        <v>2530</v>
      </c>
    </row>
    <row r="894" spans="1:28" hidden="1">
      <c r="A894" t="s">
        <v>2537</v>
      </c>
      <c r="B894" s="17">
        <v>43289</v>
      </c>
      <c r="C894" s="17">
        <v>43289</v>
      </c>
      <c r="D894" t="s">
        <v>0</v>
      </c>
      <c r="E894" t="s">
        <v>1</v>
      </c>
      <c r="F894" s="18">
        <v>-574279</v>
      </c>
      <c r="G894" s="18">
        <v>-574279</v>
      </c>
      <c r="H894" t="s">
        <v>2</v>
      </c>
      <c r="I894" t="s">
        <v>8</v>
      </c>
      <c r="J894" s="18">
        <v>-47521587.259999998</v>
      </c>
      <c r="K894" t="s">
        <v>2538</v>
      </c>
      <c r="L894" t="s">
        <v>9</v>
      </c>
      <c r="M894" t="s">
        <v>2539</v>
      </c>
      <c r="N894" t="s">
        <v>3</v>
      </c>
      <c r="O894" t="s">
        <v>3</v>
      </c>
      <c r="P894" t="s">
        <v>5</v>
      </c>
      <c r="Q894" t="s">
        <v>2540</v>
      </c>
      <c r="R894" t="s">
        <v>3</v>
      </c>
      <c r="S894" t="s">
        <v>3</v>
      </c>
      <c r="T894" t="s">
        <v>3</v>
      </c>
      <c r="U894" t="s">
        <v>3</v>
      </c>
      <c r="V894" t="s">
        <v>3</v>
      </c>
      <c r="W894" t="s">
        <v>68</v>
      </c>
      <c r="X894" s="17">
        <v>43587</v>
      </c>
      <c r="Y894" t="s">
        <v>2424</v>
      </c>
      <c r="Z894" s="17">
        <v>43289</v>
      </c>
      <c r="AA894" t="s">
        <v>3</v>
      </c>
      <c r="AB894" t="s">
        <v>2537</v>
      </c>
    </row>
    <row r="895" spans="1:28" hidden="1">
      <c r="A895" t="s">
        <v>2541</v>
      </c>
      <c r="B895" s="17">
        <v>43289</v>
      </c>
      <c r="C895" s="17">
        <v>43289</v>
      </c>
      <c r="D895" t="s">
        <v>0</v>
      </c>
      <c r="E895" t="s">
        <v>1</v>
      </c>
      <c r="F895" s="18">
        <v>464575</v>
      </c>
      <c r="G895" s="18">
        <v>464575</v>
      </c>
      <c r="H895" t="s">
        <v>2</v>
      </c>
      <c r="I895" t="s">
        <v>8</v>
      </c>
      <c r="J895" s="18">
        <v>38420352.5</v>
      </c>
      <c r="K895" t="s">
        <v>2186</v>
      </c>
      <c r="L895" t="s">
        <v>9</v>
      </c>
      <c r="M895" t="s">
        <v>2542</v>
      </c>
      <c r="N895" t="s">
        <v>3</v>
      </c>
      <c r="O895" t="s">
        <v>3</v>
      </c>
      <c r="P895" t="s">
        <v>5</v>
      </c>
      <c r="Q895" t="s">
        <v>2543</v>
      </c>
      <c r="R895" t="s">
        <v>3</v>
      </c>
      <c r="S895" t="s">
        <v>3</v>
      </c>
      <c r="T895" t="s">
        <v>3</v>
      </c>
      <c r="U895" t="s">
        <v>3</v>
      </c>
      <c r="V895" t="s">
        <v>3</v>
      </c>
      <c r="W895" t="s">
        <v>68</v>
      </c>
      <c r="X895" s="17">
        <v>43587</v>
      </c>
      <c r="Y895" t="s">
        <v>2160</v>
      </c>
      <c r="Z895" s="17">
        <v>43289</v>
      </c>
      <c r="AA895" t="s">
        <v>3</v>
      </c>
      <c r="AB895" t="s">
        <v>2541</v>
      </c>
    </row>
    <row r="896" spans="1:28" hidden="1">
      <c r="A896" t="s">
        <v>2544</v>
      </c>
      <c r="B896" s="17">
        <v>43289</v>
      </c>
      <c r="C896" s="17">
        <v>43289</v>
      </c>
      <c r="D896" t="s">
        <v>0</v>
      </c>
      <c r="E896" t="s">
        <v>1</v>
      </c>
      <c r="F896" s="18">
        <v>17921</v>
      </c>
      <c r="G896" s="18">
        <v>17921</v>
      </c>
      <c r="H896" t="s">
        <v>2</v>
      </c>
      <c r="I896" t="s">
        <v>8</v>
      </c>
      <c r="J896" s="18">
        <v>1482066.7</v>
      </c>
      <c r="K896" t="s">
        <v>2186</v>
      </c>
      <c r="L896" t="s">
        <v>9</v>
      </c>
      <c r="M896" t="s">
        <v>2545</v>
      </c>
      <c r="N896" t="s">
        <v>3</v>
      </c>
      <c r="O896" t="s">
        <v>3</v>
      </c>
      <c r="P896" t="s">
        <v>5</v>
      </c>
      <c r="Q896" t="s">
        <v>2546</v>
      </c>
      <c r="R896" t="s">
        <v>3</v>
      </c>
      <c r="S896" t="s">
        <v>3</v>
      </c>
      <c r="T896" t="s">
        <v>3</v>
      </c>
      <c r="U896" t="s">
        <v>3</v>
      </c>
      <c r="V896" t="s">
        <v>3</v>
      </c>
      <c r="W896" t="s">
        <v>68</v>
      </c>
      <c r="X896" s="17">
        <v>43587</v>
      </c>
      <c r="Y896" t="s">
        <v>2160</v>
      </c>
      <c r="Z896" s="17">
        <v>43289</v>
      </c>
      <c r="AA896" t="s">
        <v>3</v>
      </c>
      <c r="AB896" t="s">
        <v>2544</v>
      </c>
    </row>
    <row r="897" spans="1:28" hidden="1">
      <c r="A897" t="s">
        <v>2544</v>
      </c>
      <c r="B897" s="17">
        <v>43289</v>
      </c>
      <c r="C897" s="17">
        <v>43289</v>
      </c>
      <c r="D897" t="s">
        <v>0</v>
      </c>
      <c r="E897" t="s">
        <v>1</v>
      </c>
      <c r="F897" s="18">
        <v>220254</v>
      </c>
      <c r="G897" s="18">
        <v>220254</v>
      </c>
      <c r="H897" t="s">
        <v>2</v>
      </c>
      <c r="I897" t="s">
        <v>8</v>
      </c>
      <c r="J897" s="18">
        <v>18215005.809999999</v>
      </c>
      <c r="K897" t="s">
        <v>2547</v>
      </c>
      <c r="L897" t="s">
        <v>9</v>
      </c>
      <c r="M897" t="s">
        <v>2545</v>
      </c>
      <c r="N897" t="s">
        <v>3</v>
      </c>
      <c r="O897" t="s">
        <v>3</v>
      </c>
      <c r="P897" t="s">
        <v>5</v>
      </c>
      <c r="Q897" t="s">
        <v>2546</v>
      </c>
      <c r="R897" t="s">
        <v>3</v>
      </c>
      <c r="S897" t="s">
        <v>3</v>
      </c>
      <c r="T897" t="s">
        <v>3</v>
      </c>
      <c r="U897" t="s">
        <v>3</v>
      </c>
      <c r="V897" t="s">
        <v>3</v>
      </c>
      <c r="W897" t="s">
        <v>68</v>
      </c>
      <c r="X897" s="17">
        <v>43587</v>
      </c>
      <c r="Y897" t="s">
        <v>2184</v>
      </c>
      <c r="Z897" s="17">
        <v>43289</v>
      </c>
      <c r="AA897" t="s">
        <v>3</v>
      </c>
      <c r="AB897" t="s">
        <v>2544</v>
      </c>
    </row>
    <row r="898" spans="1:28" hidden="1">
      <c r="A898" t="s">
        <v>2548</v>
      </c>
      <c r="B898" s="17">
        <v>43291</v>
      </c>
      <c r="C898" s="17">
        <v>43291</v>
      </c>
      <c r="D898" t="s">
        <v>0</v>
      </c>
      <c r="E898" t="s">
        <v>1</v>
      </c>
      <c r="F898" s="18">
        <v>136420</v>
      </c>
      <c r="G898" s="18">
        <v>136420</v>
      </c>
      <c r="H898" t="s">
        <v>2</v>
      </c>
      <c r="I898" t="s">
        <v>8</v>
      </c>
      <c r="J898" s="18">
        <v>11281934</v>
      </c>
      <c r="K898" t="s">
        <v>2186</v>
      </c>
      <c r="L898" t="s">
        <v>9</v>
      </c>
      <c r="M898" t="s">
        <v>2549</v>
      </c>
      <c r="N898" t="s">
        <v>3</v>
      </c>
      <c r="O898" t="s">
        <v>3</v>
      </c>
      <c r="P898" t="s">
        <v>5</v>
      </c>
      <c r="Q898" t="s">
        <v>2550</v>
      </c>
      <c r="R898" t="s">
        <v>3</v>
      </c>
      <c r="S898" t="s">
        <v>3</v>
      </c>
      <c r="T898" t="s">
        <v>3</v>
      </c>
      <c r="U898" t="s">
        <v>3</v>
      </c>
      <c r="V898" t="s">
        <v>3</v>
      </c>
      <c r="W898" t="s">
        <v>68</v>
      </c>
      <c r="X898" s="17">
        <v>43587</v>
      </c>
      <c r="Y898" t="s">
        <v>2160</v>
      </c>
      <c r="Z898" s="17">
        <v>43291</v>
      </c>
      <c r="AA898" t="s">
        <v>3</v>
      </c>
      <c r="AB898" t="s">
        <v>2548</v>
      </c>
    </row>
    <row r="899" spans="1:28" hidden="1">
      <c r="A899" t="s">
        <v>2548</v>
      </c>
      <c r="B899" s="17">
        <v>43291</v>
      </c>
      <c r="C899" s="17">
        <v>43291</v>
      </c>
      <c r="D899" t="s">
        <v>0</v>
      </c>
      <c r="E899" t="s">
        <v>1</v>
      </c>
      <c r="F899" s="18">
        <v>16621</v>
      </c>
      <c r="G899" s="18">
        <v>16621</v>
      </c>
      <c r="H899" t="s">
        <v>2</v>
      </c>
      <c r="I899" t="s">
        <v>10</v>
      </c>
      <c r="J899" s="18">
        <v>1374556.7</v>
      </c>
      <c r="K899" t="s">
        <v>2166</v>
      </c>
      <c r="L899" t="s">
        <v>9</v>
      </c>
      <c r="M899" t="s">
        <v>2549</v>
      </c>
      <c r="N899" t="s">
        <v>3</v>
      </c>
      <c r="O899" t="s">
        <v>3</v>
      </c>
      <c r="P899" t="s">
        <v>5</v>
      </c>
      <c r="Q899" t="s">
        <v>2550</v>
      </c>
      <c r="R899" t="s">
        <v>3</v>
      </c>
      <c r="S899" t="s">
        <v>3</v>
      </c>
      <c r="T899" t="s">
        <v>3</v>
      </c>
      <c r="U899" t="s">
        <v>3</v>
      </c>
      <c r="V899" t="s">
        <v>3</v>
      </c>
      <c r="W899" t="s">
        <v>68</v>
      </c>
      <c r="X899" s="17">
        <v>43519</v>
      </c>
      <c r="Y899" t="s">
        <v>2155</v>
      </c>
      <c r="Z899" s="17">
        <v>43291</v>
      </c>
      <c r="AA899" t="s">
        <v>3</v>
      </c>
      <c r="AB899" t="s">
        <v>2548</v>
      </c>
    </row>
    <row r="900" spans="1:28" hidden="1">
      <c r="A900" t="s">
        <v>2631</v>
      </c>
      <c r="B900" s="17">
        <v>43291</v>
      </c>
      <c r="C900" s="17">
        <v>43291</v>
      </c>
      <c r="D900" t="s">
        <v>0</v>
      </c>
      <c r="E900" t="s">
        <v>1</v>
      </c>
      <c r="F900" s="18">
        <v>16044</v>
      </c>
      <c r="G900" s="18">
        <v>16044</v>
      </c>
      <c r="H900" t="s">
        <v>2</v>
      </c>
      <c r="I900" t="s">
        <v>8</v>
      </c>
      <c r="J900" s="18">
        <v>1326838.8</v>
      </c>
      <c r="K900" t="s">
        <v>2186</v>
      </c>
      <c r="L900" t="s">
        <v>9</v>
      </c>
      <c r="M900" t="s">
        <v>2632</v>
      </c>
      <c r="N900" t="s">
        <v>3</v>
      </c>
      <c r="O900" t="s">
        <v>3</v>
      </c>
      <c r="P900" t="s">
        <v>5</v>
      </c>
      <c r="Q900" t="s">
        <v>2633</v>
      </c>
      <c r="R900" t="s">
        <v>3</v>
      </c>
      <c r="S900" t="s">
        <v>3</v>
      </c>
      <c r="T900" t="s">
        <v>3</v>
      </c>
      <c r="U900" t="s">
        <v>3</v>
      </c>
      <c r="V900" t="s">
        <v>3</v>
      </c>
      <c r="W900" t="s">
        <v>68</v>
      </c>
      <c r="X900" s="17">
        <v>43587</v>
      </c>
      <c r="Y900" t="s">
        <v>2160</v>
      </c>
      <c r="Z900" s="17">
        <v>43291</v>
      </c>
      <c r="AA900" t="s">
        <v>3</v>
      </c>
      <c r="AB900" t="s">
        <v>2631</v>
      </c>
    </row>
    <row r="901" spans="1:28" hidden="1">
      <c r="A901" t="s">
        <v>2551</v>
      </c>
      <c r="B901" s="17">
        <v>43292</v>
      </c>
      <c r="C901" s="17">
        <v>43292</v>
      </c>
      <c r="D901" t="s">
        <v>0</v>
      </c>
      <c r="E901" t="s">
        <v>1</v>
      </c>
      <c r="F901" s="18">
        <v>134887</v>
      </c>
      <c r="G901" s="18">
        <v>134887</v>
      </c>
      <c r="H901" t="s">
        <v>2</v>
      </c>
      <c r="I901" t="s">
        <v>10</v>
      </c>
      <c r="J901" s="18">
        <v>11155154.9</v>
      </c>
      <c r="K901" t="s">
        <v>2162</v>
      </c>
      <c r="L901" t="s">
        <v>9</v>
      </c>
      <c r="M901" t="s">
        <v>2552</v>
      </c>
      <c r="N901" t="s">
        <v>3</v>
      </c>
      <c r="O901" t="s">
        <v>3</v>
      </c>
      <c r="P901" t="s">
        <v>5</v>
      </c>
      <c r="Q901" t="s">
        <v>2553</v>
      </c>
      <c r="R901" t="s">
        <v>3</v>
      </c>
      <c r="S901" t="s">
        <v>3</v>
      </c>
      <c r="T901" t="s">
        <v>3</v>
      </c>
      <c r="U901" t="s">
        <v>3</v>
      </c>
      <c r="V901" t="s">
        <v>3</v>
      </c>
      <c r="W901" t="s">
        <v>68</v>
      </c>
      <c r="X901" s="17">
        <v>43519</v>
      </c>
      <c r="Y901" t="s">
        <v>2130</v>
      </c>
      <c r="Z901" s="17">
        <v>43292</v>
      </c>
      <c r="AA901" t="s">
        <v>3</v>
      </c>
      <c r="AB901" t="s">
        <v>2551</v>
      </c>
    </row>
    <row r="902" spans="1:28" hidden="1">
      <c r="A902" t="s">
        <v>2554</v>
      </c>
      <c r="B902" s="17">
        <v>43292</v>
      </c>
      <c r="C902" s="17">
        <v>43292</v>
      </c>
      <c r="D902" t="s">
        <v>0</v>
      </c>
      <c r="E902" t="s">
        <v>1</v>
      </c>
      <c r="F902" s="18">
        <v>178270</v>
      </c>
      <c r="G902" s="18">
        <v>178270</v>
      </c>
      <c r="H902" t="s">
        <v>2</v>
      </c>
      <c r="I902" t="s">
        <v>10</v>
      </c>
      <c r="J902" s="18">
        <v>14751842.5</v>
      </c>
      <c r="K902" t="s">
        <v>2555</v>
      </c>
      <c r="L902" t="s">
        <v>9</v>
      </c>
      <c r="M902" t="s">
        <v>2556</v>
      </c>
      <c r="N902" t="s">
        <v>3</v>
      </c>
      <c r="O902" t="s">
        <v>3</v>
      </c>
      <c r="P902" t="s">
        <v>5</v>
      </c>
      <c r="Q902" t="s">
        <v>2557</v>
      </c>
      <c r="R902" t="s">
        <v>3</v>
      </c>
      <c r="S902" t="s">
        <v>3</v>
      </c>
      <c r="T902" t="s">
        <v>3</v>
      </c>
      <c r="U902" t="s">
        <v>3</v>
      </c>
      <c r="V902" t="s">
        <v>3</v>
      </c>
      <c r="W902" t="s">
        <v>68</v>
      </c>
      <c r="X902" s="17">
        <v>43519</v>
      </c>
      <c r="Y902" t="s">
        <v>2356</v>
      </c>
      <c r="Z902" s="17">
        <v>43292</v>
      </c>
      <c r="AA902" t="s">
        <v>3</v>
      </c>
      <c r="AB902" t="s">
        <v>2554</v>
      </c>
    </row>
    <row r="903" spans="1:28" hidden="1">
      <c r="A903" t="s">
        <v>2558</v>
      </c>
      <c r="B903" s="17">
        <v>43292</v>
      </c>
      <c r="C903" s="17">
        <v>43292</v>
      </c>
      <c r="D903" t="s">
        <v>0</v>
      </c>
      <c r="E903" t="s">
        <v>1</v>
      </c>
      <c r="F903" s="18">
        <v>46079</v>
      </c>
      <c r="G903" s="18">
        <v>46079</v>
      </c>
      <c r="H903" t="s">
        <v>2</v>
      </c>
      <c r="I903" t="s">
        <v>8</v>
      </c>
      <c r="J903" s="18">
        <v>3810733.3</v>
      </c>
      <c r="K903" t="s">
        <v>2547</v>
      </c>
      <c r="L903" t="s">
        <v>9</v>
      </c>
      <c r="M903" t="s">
        <v>2559</v>
      </c>
      <c r="N903" t="s">
        <v>3</v>
      </c>
      <c r="O903" t="s">
        <v>3</v>
      </c>
      <c r="P903" t="s">
        <v>5</v>
      </c>
      <c r="Q903" t="s">
        <v>2560</v>
      </c>
      <c r="R903" t="s">
        <v>3</v>
      </c>
      <c r="S903" t="s">
        <v>3</v>
      </c>
      <c r="T903" t="s">
        <v>3</v>
      </c>
      <c r="U903" t="s">
        <v>3</v>
      </c>
      <c r="V903" t="s">
        <v>3</v>
      </c>
      <c r="W903" t="s">
        <v>68</v>
      </c>
      <c r="X903" s="17">
        <v>43587</v>
      </c>
      <c r="Y903" t="s">
        <v>2184</v>
      </c>
      <c r="Z903" s="17">
        <v>43292</v>
      </c>
      <c r="AA903" t="s">
        <v>3</v>
      </c>
      <c r="AB903" t="s">
        <v>2558</v>
      </c>
    </row>
    <row r="904" spans="1:28" hidden="1">
      <c r="A904" t="s">
        <v>2561</v>
      </c>
      <c r="B904" s="17">
        <v>43293</v>
      </c>
      <c r="C904" s="17">
        <v>43293</v>
      </c>
      <c r="D904" t="s">
        <v>0</v>
      </c>
      <c r="E904" t="s">
        <v>1</v>
      </c>
      <c r="F904" s="18">
        <v>69645</v>
      </c>
      <c r="G904" s="18">
        <v>69645</v>
      </c>
      <c r="H904" t="s">
        <v>2</v>
      </c>
      <c r="I904" t="s">
        <v>8</v>
      </c>
      <c r="J904" s="18">
        <v>5763123.75</v>
      </c>
      <c r="K904" t="s">
        <v>2562</v>
      </c>
      <c r="L904" t="s">
        <v>9</v>
      </c>
      <c r="M904" t="s">
        <v>2563</v>
      </c>
      <c r="N904" t="s">
        <v>3</v>
      </c>
      <c r="O904" t="s">
        <v>3</v>
      </c>
      <c r="P904" t="s">
        <v>5</v>
      </c>
      <c r="Q904" t="s">
        <v>2564</v>
      </c>
      <c r="R904" t="s">
        <v>3</v>
      </c>
      <c r="S904" t="s">
        <v>3</v>
      </c>
      <c r="T904" t="s">
        <v>3</v>
      </c>
      <c r="U904" t="s">
        <v>3</v>
      </c>
      <c r="V904" t="s">
        <v>3</v>
      </c>
      <c r="W904" t="s">
        <v>68</v>
      </c>
      <c r="X904" s="17">
        <v>43587</v>
      </c>
      <c r="Y904" t="s">
        <v>2424</v>
      </c>
      <c r="Z904" s="17">
        <v>43293</v>
      </c>
      <c r="AA904" t="s">
        <v>3</v>
      </c>
      <c r="AB904" t="s">
        <v>2561</v>
      </c>
    </row>
    <row r="905" spans="1:28" hidden="1">
      <c r="A905" t="s">
        <v>2565</v>
      </c>
      <c r="B905" s="17">
        <v>43293</v>
      </c>
      <c r="C905" s="17">
        <v>43293</v>
      </c>
      <c r="D905" t="s">
        <v>0</v>
      </c>
      <c r="E905" t="s">
        <v>1</v>
      </c>
      <c r="F905" s="18">
        <v>-149942</v>
      </c>
      <c r="G905" s="18">
        <v>-149942</v>
      </c>
      <c r="H905" t="s">
        <v>2</v>
      </c>
      <c r="I905" t="s">
        <v>8</v>
      </c>
      <c r="J905" s="18">
        <v>-12407700.51</v>
      </c>
      <c r="K905" t="s">
        <v>2566</v>
      </c>
      <c r="L905" t="s">
        <v>9</v>
      </c>
      <c r="M905" t="s">
        <v>2567</v>
      </c>
      <c r="N905" t="s">
        <v>3</v>
      </c>
      <c r="O905" t="s">
        <v>3</v>
      </c>
      <c r="P905" t="s">
        <v>5</v>
      </c>
      <c r="Q905" t="s">
        <v>2568</v>
      </c>
      <c r="R905" t="s">
        <v>3</v>
      </c>
      <c r="S905" t="s">
        <v>3</v>
      </c>
      <c r="T905" t="s">
        <v>3</v>
      </c>
      <c r="U905" t="s">
        <v>3</v>
      </c>
      <c r="V905" t="s">
        <v>3</v>
      </c>
      <c r="W905" t="s">
        <v>68</v>
      </c>
      <c r="X905" s="17">
        <v>43587</v>
      </c>
      <c r="Y905" t="s">
        <v>2456</v>
      </c>
      <c r="Z905" s="17">
        <v>43293</v>
      </c>
      <c r="AA905" t="s">
        <v>3</v>
      </c>
      <c r="AB905" t="s">
        <v>2565</v>
      </c>
    </row>
    <row r="906" spans="1:28" hidden="1">
      <c r="A906" t="s">
        <v>2569</v>
      </c>
      <c r="B906" s="17">
        <v>43293</v>
      </c>
      <c r="C906" s="17">
        <v>43293</v>
      </c>
      <c r="D906" t="s">
        <v>0</v>
      </c>
      <c r="E906" t="s">
        <v>1</v>
      </c>
      <c r="F906" s="18">
        <v>-87537</v>
      </c>
      <c r="G906" s="18">
        <v>-87537</v>
      </c>
      <c r="H906" t="s">
        <v>2</v>
      </c>
      <c r="I906" t="s">
        <v>10</v>
      </c>
      <c r="J906" s="18">
        <v>-7243686.75</v>
      </c>
      <c r="K906" t="s">
        <v>2570</v>
      </c>
      <c r="L906" t="s">
        <v>9</v>
      </c>
      <c r="M906" t="s">
        <v>2571</v>
      </c>
      <c r="N906" t="s">
        <v>3</v>
      </c>
      <c r="O906" t="s">
        <v>3</v>
      </c>
      <c r="P906" t="s">
        <v>5</v>
      </c>
      <c r="Q906" t="s">
        <v>2572</v>
      </c>
      <c r="R906" t="s">
        <v>3</v>
      </c>
      <c r="S906" t="s">
        <v>3</v>
      </c>
      <c r="T906" t="s">
        <v>3</v>
      </c>
      <c r="U906" t="s">
        <v>3</v>
      </c>
      <c r="V906" t="s">
        <v>3</v>
      </c>
      <c r="W906" t="s">
        <v>68</v>
      </c>
      <c r="X906" s="17">
        <v>43519</v>
      </c>
      <c r="Y906" t="s">
        <v>2366</v>
      </c>
      <c r="Z906" s="17">
        <v>43293</v>
      </c>
      <c r="AA906" t="s">
        <v>3</v>
      </c>
      <c r="AB906" t="s">
        <v>2569</v>
      </c>
    </row>
    <row r="907" spans="1:28" hidden="1">
      <c r="A907" t="s">
        <v>2573</v>
      </c>
      <c r="B907" s="17">
        <v>43297</v>
      </c>
      <c r="C907" s="17">
        <v>43297</v>
      </c>
      <c r="D907" t="s">
        <v>0</v>
      </c>
      <c r="E907" t="s">
        <v>1</v>
      </c>
      <c r="F907" s="18">
        <v>46773</v>
      </c>
      <c r="G907" s="18">
        <v>46773</v>
      </c>
      <c r="H907" t="s">
        <v>2</v>
      </c>
      <c r="I907" t="s">
        <v>10</v>
      </c>
      <c r="J907" s="18">
        <v>3870465.75</v>
      </c>
      <c r="K907" t="s">
        <v>2555</v>
      </c>
      <c r="L907" t="s">
        <v>9</v>
      </c>
      <c r="M907" t="s">
        <v>2574</v>
      </c>
      <c r="N907" t="s">
        <v>3</v>
      </c>
      <c r="O907" t="s">
        <v>3</v>
      </c>
      <c r="P907" t="s">
        <v>5</v>
      </c>
      <c r="Q907" t="s">
        <v>2575</v>
      </c>
      <c r="R907" t="s">
        <v>3</v>
      </c>
      <c r="S907" t="s">
        <v>3</v>
      </c>
      <c r="T907" t="s">
        <v>3</v>
      </c>
      <c r="U907" t="s">
        <v>3</v>
      </c>
      <c r="V907" t="s">
        <v>3</v>
      </c>
      <c r="W907" t="s">
        <v>68</v>
      </c>
      <c r="X907" s="17">
        <v>43519</v>
      </c>
      <c r="Y907" t="s">
        <v>2356</v>
      </c>
      <c r="Z907" s="17">
        <v>43297</v>
      </c>
      <c r="AA907" t="s">
        <v>3</v>
      </c>
      <c r="AB907" t="s">
        <v>2573</v>
      </c>
    </row>
    <row r="908" spans="1:28" hidden="1">
      <c r="A908" t="s">
        <v>2576</v>
      </c>
      <c r="B908" s="17">
        <v>43297</v>
      </c>
      <c r="C908" s="17">
        <v>43297</v>
      </c>
      <c r="D908" t="s">
        <v>0</v>
      </c>
      <c r="E908" t="s">
        <v>1</v>
      </c>
      <c r="F908" s="18">
        <v>1524</v>
      </c>
      <c r="G908" s="18">
        <v>1524</v>
      </c>
      <c r="H908" t="s">
        <v>2</v>
      </c>
      <c r="I908" t="s">
        <v>10</v>
      </c>
      <c r="J908" s="18">
        <v>126034.8</v>
      </c>
      <c r="K908" t="s">
        <v>2162</v>
      </c>
      <c r="L908" t="s">
        <v>9</v>
      </c>
      <c r="M908" t="s">
        <v>2577</v>
      </c>
      <c r="N908" t="s">
        <v>3</v>
      </c>
      <c r="O908" t="s">
        <v>3</v>
      </c>
      <c r="P908" t="s">
        <v>5</v>
      </c>
      <c r="Q908" t="s">
        <v>2578</v>
      </c>
      <c r="R908" t="s">
        <v>3</v>
      </c>
      <c r="S908" t="s">
        <v>3</v>
      </c>
      <c r="T908" t="s">
        <v>3</v>
      </c>
      <c r="U908" t="s">
        <v>3</v>
      </c>
      <c r="V908" t="s">
        <v>3</v>
      </c>
      <c r="W908" t="s">
        <v>68</v>
      </c>
      <c r="X908" s="17">
        <v>43519</v>
      </c>
      <c r="Y908" t="s">
        <v>2130</v>
      </c>
      <c r="Z908" s="17">
        <v>43297</v>
      </c>
      <c r="AA908" t="s">
        <v>3</v>
      </c>
      <c r="AB908" t="s">
        <v>2576</v>
      </c>
    </row>
    <row r="909" spans="1:28" hidden="1">
      <c r="A909" t="s">
        <v>2579</v>
      </c>
      <c r="B909" s="17">
        <v>43297</v>
      </c>
      <c r="C909" s="17">
        <v>43297</v>
      </c>
      <c r="D909" t="s">
        <v>0</v>
      </c>
      <c r="E909" t="s">
        <v>1</v>
      </c>
      <c r="F909" s="18">
        <v>17001</v>
      </c>
      <c r="G909" s="18">
        <v>17001</v>
      </c>
      <c r="H909" t="s">
        <v>2</v>
      </c>
      <c r="I909" t="s">
        <v>8</v>
      </c>
      <c r="J909" s="18">
        <v>1406832.75</v>
      </c>
      <c r="K909" t="s">
        <v>2562</v>
      </c>
      <c r="L909" t="s">
        <v>9</v>
      </c>
      <c r="M909" t="s">
        <v>2580</v>
      </c>
      <c r="N909" t="s">
        <v>3</v>
      </c>
      <c r="O909" t="s">
        <v>3</v>
      </c>
      <c r="P909" t="s">
        <v>5</v>
      </c>
      <c r="Q909" t="s">
        <v>2581</v>
      </c>
      <c r="R909" t="s">
        <v>3</v>
      </c>
      <c r="S909" t="s">
        <v>3</v>
      </c>
      <c r="T909" t="s">
        <v>3</v>
      </c>
      <c r="U909" t="s">
        <v>3</v>
      </c>
      <c r="V909" t="s">
        <v>3</v>
      </c>
      <c r="W909" t="s">
        <v>68</v>
      </c>
      <c r="X909" s="17">
        <v>43587</v>
      </c>
      <c r="Y909" t="s">
        <v>2424</v>
      </c>
      <c r="Z909" s="17">
        <v>43297</v>
      </c>
      <c r="AA909" t="s">
        <v>3</v>
      </c>
      <c r="AB909" t="s">
        <v>2579</v>
      </c>
    </row>
    <row r="910" spans="1:28" hidden="1">
      <c r="A910" t="s">
        <v>2579</v>
      </c>
      <c r="B910" s="17">
        <v>43297</v>
      </c>
      <c r="C910" s="17">
        <v>43297</v>
      </c>
      <c r="D910" t="s">
        <v>0</v>
      </c>
      <c r="E910" t="s">
        <v>1</v>
      </c>
      <c r="F910" s="18">
        <v>64400</v>
      </c>
      <c r="G910" s="18">
        <v>64400</v>
      </c>
      <c r="H910" t="s">
        <v>2</v>
      </c>
      <c r="I910" t="s">
        <v>8</v>
      </c>
      <c r="J910" s="18">
        <v>5325880</v>
      </c>
      <c r="K910" t="s">
        <v>2547</v>
      </c>
      <c r="L910" t="s">
        <v>9</v>
      </c>
      <c r="M910" t="s">
        <v>2580</v>
      </c>
      <c r="N910" t="s">
        <v>3</v>
      </c>
      <c r="O910" t="s">
        <v>3</v>
      </c>
      <c r="P910" t="s">
        <v>5</v>
      </c>
      <c r="Q910" t="s">
        <v>2581</v>
      </c>
      <c r="R910" t="s">
        <v>3</v>
      </c>
      <c r="S910" t="s">
        <v>3</v>
      </c>
      <c r="T910" t="s">
        <v>3</v>
      </c>
      <c r="U910" t="s">
        <v>3</v>
      </c>
      <c r="V910" t="s">
        <v>3</v>
      </c>
      <c r="W910" t="s">
        <v>68</v>
      </c>
      <c r="X910" s="17">
        <v>43587</v>
      </c>
      <c r="Y910" t="s">
        <v>2184</v>
      </c>
      <c r="Z910" s="17">
        <v>43297</v>
      </c>
      <c r="AA910" t="s">
        <v>3</v>
      </c>
      <c r="AB910" t="s">
        <v>2579</v>
      </c>
    </row>
    <row r="911" spans="1:28" hidden="1">
      <c r="A911" t="s">
        <v>2582</v>
      </c>
      <c r="B911" s="17">
        <v>43297</v>
      </c>
      <c r="C911" s="17">
        <v>43297</v>
      </c>
      <c r="D911" t="s">
        <v>0</v>
      </c>
      <c r="E911" t="s">
        <v>1</v>
      </c>
      <c r="F911" s="18">
        <v>426214</v>
      </c>
      <c r="G911" s="18">
        <v>426214</v>
      </c>
      <c r="H911" t="s">
        <v>2</v>
      </c>
      <c r="I911" t="s">
        <v>8</v>
      </c>
      <c r="J911" s="18">
        <v>35269208.509999998</v>
      </c>
      <c r="K911" t="s">
        <v>2562</v>
      </c>
      <c r="L911" t="s">
        <v>9</v>
      </c>
      <c r="M911" t="s">
        <v>2583</v>
      </c>
      <c r="N911" t="s">
        <v>3</v>
      </c>
      <c r="O911" t="s">
        <v>3</v>
      </c>
      <c r="P911" t="s">
        <v>5</v>
      </c>
      <c r="Q911" t="s">
        <v>2584</v>
      </c>
      <c r="R911" t="s">
        <v>3</v>
      </c>
      <c r="S911" t="s">
        <v>3</v>
      </c>
      <c r="T911" t="s">
        <v>3</v>
      </c>
      <c r="U911" t="s">
        <v>3</v>
      </c>
      <c r="V911" t="s">
        <v>3</v>
      </c>
      <c r="W911" t="s">
        <v>68</v>
      </c>
      <c r="X911" s="17">
        <v>43587</v>
      </c>
      <c r="Y911" t="s">
        <v>2424</v>
      </c>
      <c r="Z911" s="17">
        <v>43297</v>
      </c>
      <c r="AA911" t="s">
        <v>3</v>
      </c>
      <c r="AB911" t="s">
        <v>2582</v>
      </c>
    </row>
    <row r="912" spans="1:28" hidden="1">
      <c r="A912" t="s">
        <v>2634</v>
      </c>
      <c r="B912" s="17">
        <v>43298</v>
      </c>
      <c r="C912" s="17">
        <v>43298</v>
      </c>
      <c r="D912" t="s">
        <v>0</v>
      </c>
      <c r="E912" t="s">
        <v>1</v>
      </c>
      <c r="F912" s="18">
        <v>46245</v>
      </c>
      <c r="G912" s="18">
        <v>46245</v>
      </c>
      <c r="H912" t="s">
        <v>2</v>
      </c>
      <c r="I912" t="s">
        <v>8</v>
      </c>
      <c r="J912" s="18">
        <v>3826773.75</v>
      </c>
      <c r="K912" t="s">
        <v>2562</v>
      </c>
      <c r="L912" t="s">
        <v>9</v>
      </c>
      <c r="M912" t="s">
        <v>2635</v>
      </c>
      <c r="N912" t="s">
        <v>3</v>
      </c>
      <c r="O912" t="s">
        <v>3</v>
      </c>
      <c r="P912" t="s">
        <v>5</v>
      </c>
      <c r="Q912" t="s">
        <v>2636</v>
      </c>
      <c r="R912" t="s">
        <v>3</v>
      </c>
      <c r="S912" t="s">
        <v>3</v>
      </c>
      <c r="T912" t="s">
        <v>3</v>
      </c>
      <c r="U912" t="s">
        <v>3</v>
      </c>
      <c r="V912" t="s">
        <v>3</v>
      </c>
      <c r="W912" t="s">
        <v>68</v>
      </c>
      <c r="X912" s="17">
        <v>43587</v>
      </c>
      <c r="Y912" t="s">
        <v>2424</v>
      </c>
      <c r="Z912" s="17">
        <v>43298</v>
      </c>
      <c r="AA912" t="s">
        <v>3</v>
      </c>
      <c r="AB912" t="s">
        <v>2634</v>
      </c>
    </row>
    <row r="913" spans="1:28" hidden="1">
      <c r="A913" t="s">
        <v>2585</v>
      </c>
      <c r="B913" s="17">
        <v>43299</v>
      </c>
      <c r="C913" s="17">
        <v>43299</v>
      </c>
      <c r="D913" t="s">
        <v>0</v>
      </c>
      <c r="E913" t="s">
        <v>1</v>
      </c>
      <c r="F913" s="18">
        <v>47042</v>
      </c>
      <c r="G913" s="18">
        <v>47042</v>
      </c>
      <c r="H913" t="s">
        <v>2</v>
      </c>
      <c r="I913" t="s">
        <v>10</v>
      </c>
      <c r="J913" s="18">
        <v>3890373.4</v>
      </c>
      <c r="K913" t="s">
        <v>2162</v>
      </c>
      <c r="L913" t="s">
        <v>9</v>
      </c>
      <c r="M913" t="s">
        <v>2586</v>
      </c>
      <c r="N913" t="s">
        <v>3</v>
      </c>
      <c r="O913" t="s">
        <v>3</v>
      </c>
      <c r="P913" t="s">
        <v>5</v>
      </c>
      <c r="Q913" t="s">
        <v>2587</v>
      </c>
      <c r="R913" t="s">
        <v>3</v>
      </c>
      <c r="S913" t="s">
        <v>3</v>
      </c>
      <c r="T913" t="s">
        <v>3</v>
      </c>
      <c r="U913" t="s">
        <v>3</v>
      </c>
      <c r="V913" t="s">
        <v>3</v>
      </c>
      <c r="W913" t="s">
        <v>68</v>
      </c>
      <c r="X913" s="17">
        <v>43519</v>
      </c>
      <c r="Y913" t="s">
        <v>2130</v>
      </c>
      <c r="Z913" s="17">
        <v>43299</v>
      </c>
      <c r="AA913" t="s">
        <v>3</v>
      </c>
      <c r="AB913" t="s">
        <v>2585</v>
      </c>
    </row>
    <row r="914" spans="1:28" hidden="1">
      <c r="A914" t="s">
        <v>2585</v>
      </c>
      <c r="B914" s="17">
        <v>43299</v>
      </c>
      <c r="C914" s="17">
        <v>43299</v>
      </c>
      <c r="D914" t="s">
        <v>0</v>
      </c>
      <c r="E914" t="s">
        <v>1</v>
      </c>
      <c r="F914" s="18">
        <v>53705</v>
      </c>
      <c r="G914" s="18">
        <v>53705</v>
      </c>
      <c r="H914" t="s">
        <v>2</v>
      </c>
      <c r="I914" t="s">
        <v>10</v>
      </c>
      <c r="J914" s="18">
        <v>4441403.5</v>
      </c>
      <c r="K914" t="s">
        <v>2588</v>
      </c>
      <c r="L914" t="s">
        <v>9</v>
      </c>
      <c r="M914" t="s">
        <v>2586</v>
      </c>
      <c r="N914" t="s">
        <v>3</v>
      </c>
      <c r="O914" t="s">
        <v>3</v>
      </c>
      <c r="P914" t="s">
        <v>5</v>
      </c>
      <c r="Q914" t="s">
        <v>2587</v>
      </c>
      <c r="R914" t="s">
        <v>3</v>
      </c>
      <c r="S914" t="s">
        <v>3</v>
      </c>
      <c r="T914" t="s">
        <v>3</v>
      </c>
      <c r="U914" t="s">
        <v>3</v>
      </c>
      <c r="V914" t="s">
        <v>3</v>
      </c>
      <c r="W914" t="s">
        <v>68</v>
      </c>
      <c r="X914" s="17">
        <v>43519</v>
      </c>
      <c r="Y914" t="s">
        <v>2197</v>
      </c>
      <c r="Z914" s="17">
        <v>43299</v>
      </c>
      <c r="AA914" t="s">
        <v>3</v>
      </c>
      <c r="AB914" t="s">
        <v>2585</v>
      </c>
    </row>
    <row r="915" spans="1:28" hidden="1">
      <c r="A915" t="s">
        <v>2589</v>
      </c>
      <c r="B915" s="17">
        <v>43303</v>
      </c>
      <c r="C915" s="17">
        <v>43303</v>
      </c>
      <c r="D915" t="s">
        <v>0</v>
      </c>
      <c r="E915" t="s">
        <v>1</v>
      </c>
      <c r="F915" s="18">
        <v>37788</v>
      </c>
      <c r="G915" s="18">
        <v>37788</v>
      </c>
      <c r="H915" t="s">
        <v>2</v>
      </c>
      <c r="I915" t="s">
        <v>8</v>
      </c>
      <c r="J915" s="18">
        <v>3126957</v>
      </c>
      <c r="K915" t="s">
        <v>2590</v>
      </c>
      <c r="L915" t="s">
        <v>9</v>
      </c>
      <c r="M915" t="s">
        <v>2591</v>
      </c>
      <c r="N915" t="s">
        <v>3</v>
      </c>
      <c r="O915" t="s">
        <v>3</v>
      </c>
      <c r="P915" t="s">
        <v>5</v>
      </c>
      <c r="Q915" t="s">
        <v>2592</v>
      </c>
      <c r="R915" t="s">
        <v>3</v>
      </c>
      <c r="S915" t="s">
        <v>3</v>
      </c>
      <c r="T915" t="s">
        <v>3</v>
      </c>
      <c r="U915" t="s">
        <v>3</v>
      </c>
      <c r="V915" t="s">
        <v>3</v>
      </c>
      <c r="W915" t="s">
        <v>68</v>
      </c>
      <c r="X915" s="17">
        <v>43587</v>
      </c>
      <c r="Y915" t="s">
        <v>2456</v>
      </c>
      <c r="Z915" s="17">
        <v>43303</v>
      </c>
      <c r="AA915" t="s">
        <v>3</v>
      </c>
      <c r="AB915" t="s">
        <v>2589</v>
      </c>
    </row>
    <row r="916" spans="1:28" hidden="1">
      <c r="A916" t="s">
        <v>2593</v>
      </c>
      <c r="B916" s="17">
        <v>43304</v>
      </c>
      <c r="C916" s="17">
        <v>43304</v>
      </c>
      <c r="D916" t="s">
        <v>0</v>
      </c>
      <c r="E916" t="s">
        <v>1</v>
      </c>
      <c r="F916" s="18">
        <v>88075</v>
      </c>
      <c r="G916" s="18">
        <v>88075</v>
      </c>
      <c r="H916" t="s">
        <v>2</v>
      </c>
      <c r="I916" t="s">
        <v>8</v>
      </c>
      <c r="J916" s="18">
        <v>7288206.2599999998</v>
      </c>
      <c r="K916" t="s">
        <v>2590</v>
      </c>
      <c r="L916" t="s">
        <v>9</v>
      </c>
      <c r="M916" t="s">
        <v>2594</v>
      </c>
      <c r="N916" t="s">
        <v>3</v>
      </c>
      <c r="O916" t="s">
        <v>3</v>
      </c>
      <c r="P916" t="s">
        <v>5</v>
      </c>
      <c r="Q916" t="s">
        <v>2595</v>
      </c>
      <c r="R916" t="s">
        <v>3</v>
      </c>
      <c r="S916" t="s">
        <v>3</v>
      </c>
      <c r="T916" t="s">
        <v>3</v>
      </c>
      <c r="U916" t="s">
        <v>3</v>
      </c>
      <c r="V916" t="s">
        <v>3</v>
      </c>
      <c r="W916" t="s">
        <v>68</v>
      </c>
      <c r="X916" s="17">
        <v>43587</v>
      </c>
      <c r="Y916" t="s">
        <v>2456</v>
      </c>
      <c r="Z916" s="17">
        <v>43304</v>
      </c>
      <c r="AA916" t="s">
        <v>3</v>
      </c>
      <c r="AB916" t="s">
        <v>2593</v>
      </c>
    </row>
    <row r="917" spans="1:28" hidden="1">
      <c r="A917" t="s">
        <v>2596</v>
      </c>
      <c r="B917" s="17">
        <v>43304</v>
      </c>
      <c r="C917" s="17">
        <v>43304</v>
      </c>
      <c r="D917" t="s">
        <v>0</v>
      </c>
      <c r="E917" t="s">
        <v>1</v>
      </c>
      <c r="F917" s="18">
        <v>15174</v>
      </c>
      <c r="G917" s="18">
        <v>15174</v>
      </c>
      <c r="H917" t="s">
        <v>2</v>
      </c>
      <c r="I917" t="s">
        <v>8</v>
      </c>
      <c r="J917" s="18">
        <v>1255648.5</v>
      </c>
      <c r="K917" t="s">
        <v>2562</v>
      </c>
      <c r="L917" t="s">
        <v>9</v>
      </c>
      <c r="M917" t="s">
        <v>2597</v>
      </c>
      <c r="N917" t="s">
        <v>3</v>
      </c>
      <c r="O917" t="s">
        <v>3</v>
      </c>
      <c r="P917" t="s">
        <v>5</v>
      </c>
      <c r="Q917" t="s">
        <v>2598</v>
      </c>
      <c r="R917" t="s">
        <v>3</v>
      </c>
      <c r="S917" t="s">
        <v>3</v>
      </c>
      <c r="T917" t="s">
        <v>3</v>
      </c>
      <c r="U917" t="s">
        <v>3</v>
      </c>
      <c r="V917" t="s">
        <v>3</v>
      </c>
      <c r="W917" t="s">
        <v>68</v>
      </c>
      <c r="X917" s="17">
        <v>43587</v>
      </c>
      <c r="Y917" t="s">
        <v>2424</v>
      </c>
      <c r="Z917" s="17">
        <v>43304</v>
      </c>
      <c r="AA917" t="s">
        <v>3</v>
      </c>
      <c r="AB917" t="s">
        <v>2596</v>
      </c>
    </row>
    <row r="918" spans="1:28" hidden="1">
      <c r="A918" t="s">
        <v>2599</v>
      </c>
      <c r="B918" s="17">
        <v>43307</v>
      </c>
      <c r="C918" s="17">
        <v>43307</v>
      </c>
      <c r="D918" t="s">
        <v>0</v>
      </c>
      <c r="E918" t="s">
        <v>1</v>
      </c>
      <c r="F918" s="18">
        <v>5957</v>
      </c>
      <c r="G918" s="18">
        <v>5957</v>
      </c>
      <c r="H918" t="s">
        <v>2</v>
      </c>
      <c r="I918" t="s">
        <v>10</v>
      </c>
      <c r="J918" s="18">
        <v>492941.75</v>
      </c>
      <c r="K918" t="s">
        <v>2555</v>
      </c>
      <c r="L918" t="s">
        <v>9</v>
      </c>
      <c r="M918" t="s">
        <v>2600</v>
      </c>
      <c r="N918" t="s">
        <v>3</v>
      </c>
      <c r="O918" t="s">
        <v>3</v>
      </c>
      <c r="P918" t="s">
        <v>5</v>
      </c>
      <c r="Q918" t="s">
        <v>2601</v>
      </c>
      <c r="R918" t="s">
        <v>3</v>
      </c>
      <c r="S918" t="s">
        <v>3</v>
      </c>
      <c r="T918" t="s">
        <v>3</v>
      </c>
      <c r="U918" t="s">
        <v>3</v>
      </c>
      <c r="V918" t="s">
        <v>3</v>
      </c>
      <c r="W918" t="s">
        <v>68</v>
      </c>
      <c r="X918" s="17">
        <v>43519</v>
      </c>
      <c r="Y918" t="s">
        <v>2356</v>
      </c>
      <c r="Z918" s="17">
        <v>43307</v>
      </c>
      <c r="AA918" t="s">
        <v>3</v>
      </c>
      <c r="AB918" t="s">
        <v>2599</v>
      </c>
    </row>
    <row r="919" spans="1:28" hidden="1">
      <c r="A919" t="s">
        <v>2599</v>
      </c>
      <c r="B919" s="17">
        <v>43307</v>
      </c>
      <c r="C919" s="17">
        <v>43307</v>
      </c>
      <c r="D919" t="s">
        <v>0</v>
      </c>
      <c r="E919" t="s">
        <v>1</v>
      </c>
      <c r="F919" s="18">
        <v>5077</v>
      </c>
      <c r="G919" s="18">
        <v>5077</v>
      </c>
      <c r="H919" t="s">
        <v>2</v>
      </c>
      <c r="I919" t="s">
        <v>10</v>
      </c>
      <c r="J919" s="18">
        <v>419867.9</v>
      </c>
      <c r="K919" t="s">
        <v>2162</v>
      </c>
      <c r="L919" t="s">
        <v>9</v>
      </c>
      <c r="M919" t="s">
        <v>2600</v>
      </c>
      <c r="N919" t="s">
        <v>3</v>
      </c>
      <c r="O919" t="s">
        <v>3</v>
      </c>
      <c r="P919" t="s">
        <v>5</v>
      </c>
      <c r="Q919" t="s">
        <v>2601</v>
      </c>
      <c r="R919" t="s">
        <v>3</v>
      </c>
      <c r="S919" t="s">
        <v>3</v>
      </c>
      <c r="T919" t="s">
        <v>3</v>
      </c>
      <c r="U919" t="s">
        <v>3</v>
      </c>
      <c r="V919" t="s">
        <v>3</v>
      </c>
      <c r="W919" t="s">
        <v>68</v>
      </c>
      <c r="X919" s="17">
        <v>43519</v>
      </c>
      <c r="Y919" t="s">
        <v>2130</v>
      </c>
      <c r="Z919" s="17">
        <v>43307</v>
      </c>
      <c r="AA919" t="s">
        <v>3</v>
      </c>
      <c r="AB919" t="s">
        <v>2599</v>
      </c>
    </row>
    <row r="920" spans="1:28" hidden="1">
      <c r="A920" t="s">
        <v>2599</v>
      </c>
      <c r="B920" s="17">
        <v>43307</v>
      </c>
      <c r="C920" s="17">
        <v>43307</v>
      </c>
      <c r="D920" t="s">
        <v>0</v>
      </c>
      <c r="E920" t="s">
        <v>1</v>
      </c>
      <c r="F920" s="18">
        <v>16640</v>
      </c>
      <c r="G920" s="18">
        <v>16640</v>
      </c>
      <c r="H920" t="s">
        <v>2</v>
      </c>
      <c r="I920" t="s">
        <v>10</v>
      </c>
      <c r="J920" s="18">
        <v>1376960</v>
      </c>
      <c r="K920" t="s">
        <v>2602</v>
      </c>
      <c r="L920" t="s">
        <v>9</v>
      </c>
      <c r="M920" t="s">
        <v>2600</v>
      </c>
      <c r="N920" t="s">
        <v>3</v>
      </c>
      <c r="O920" t="s">
        <v>3</v>
      </c>
      <c r="P920" t="s">
        <v>5</v>
      </c>
      <c r="Q920" t="s">
        <v>2601</v>
      </c>
      <c r="R920" t="s">
        <v>3</v>
      </c>
      <c r="S920" t="s">
        <v>3</v>
      </c>
      <c r="T920" t="s">
        <v>3</v>
      </c>
      <c r="U920" t="s">
        <v>3</v>
      </c>
      <c r="V920" t="s">
        <v>3</v>
      </c>
      <c r="W920" t="s">
        <v>68</v>
      </c>
      <c r="X920" s="17">
        <v>43519</v>
      </c>
      <c r="Y920" t="s">
        <v>2366</v>
      </c>
      <c r="Z920" s="17">
        <v>43307</v>
      </c>
      <c r="AA920" t="s">
        <v>3</v>
      </c>
      <c r="AB920" t="s">
        <v>2599</v>
      </c>
    </row>
    <row r="921" spans="1:28" hidden="1">
      <c r="A921" t="s">
        <v>2603</v>
      </c>
      <c r="B921" s="17">
        <v>43307</v>
      </c>
      <c r="C921" s="17">
        <v>43307</v>
      </c>
      <c r="D921" t="s">
        <v>0</v>
      </c>
      <c r="E921" t="s">
        <v>1</v>
      </c>
      <c r="F921" s="18">
        <v>54383</v>
      </c>
      <c r="G921" s="18">
        <v>54383</v>
      </c>
      <c r="H921" t="s">
        <v>2</v>
      </c>
      <c r="I921" t="s">
        <v>10</v>
      </c>
      <c r="J921" s="18">
        <v>4497474.0999999996</v>
      </c>
      <c r="K921" t="s">
        <v>2166</v>
      </c>
      <c r="L921" t="s">
        <v>9</v>
      </c>
      <c r="M921" t="s">
        <v>2604</v>
      </c>
      <c r="N921" t="s">
        <v>3</v>
      </c>
      <c r="O921" t="s">
        <v>3</v>
      </c>
      <c r="P921" t="s">
        <v>5</v>
      </c>
      <c r="Q921" t="s">
        <v>2605</v>
      </c>
      <c r="R921" t="s">
        <v>3</v>
      </c>
      <c r="S921" t="s">
        <v>3</v>
      </c>
      <c r="T921" t="s">
        <v>3</v>
      </c>
      <c r="U921" t="s">
        <v>3</v>
      </c>
      <c r="V921" t="s">
        <v>3</v>
      </c>
      <c r="W921" t="s">
        <v>68</v>
      </c>
      <c r="X921" s="17">
        <v>43519</v>
      </c>
      <c r="Y921" t="s">
        <v>2155</v>
      </c>
      <c r="Z921" s="17">
        <v>43307</v>
      </c>
      <c r="AA921" t="s">
        <v>3</v>
      </c>
      <c r="AB921" t="s">
        <v>2603</v>
      </c>
    </row>
    <row r="922" spans="1:28" hidden="1">
      <c r="A922" t="s">
        <v>2603</v>
      </c>
      <c r="B922" s="17">
        <v>43307</v>
      </c>
      <c r="C922" s="17">
        <v>43307</v>
      </c>
      <c r="D922" t="s">
        <v>0</v>
      </c>
      <c r="E922" t="s">
        <v>1</v>
      </c>
      <c r="F922" s="18">
        <v>3149</v>
      </c>
      <c r="G922" s="18">
        <v>3149</v>
      </c>
      <c r="H922" t="s">
        <v>2</v>
      </c>
      <c r="I922" t="s">
        <v>10</v>
      </c>
      <c r="J922" s="18">
        <v>260422.3</v>
      </c>
      <c r="K922" t="s">
        <v>2162</v>
      </c>
      <c r="L922" t="s">
        <v>9</v>
      </c>
      <c r="M922" t="s">
        <v>2604</v>
      </c>
      <c r="N922" t="s">
        <v>3</v>
      </c>
      <c r="O922" t="s">
        <v>3</v>
      </c>
      <c r="P922" t="s">
        <v>5</v>
      </c>
      <c r="Q922" t="s">
        <v>2605</v>
      </c>
      <c r="R922" t="s">
        <v>3</v>
      </c>
      <c r="S922" t="s">
        <v>3</v>
      </c>
      <c r="T922" t="s">
        <v>3</v>
      </c>
      <c r="U922" t="s">
        <v>3</v>
      </c>
      <c r="V922" t="s">
        <v>3</v>
      </c>
      <c r="W922" t="s">
        <v>68</v>
      </c>
      <c r="X922" s="17">
        <v>43519</v>
      </c>
      <c r="Y922" t="s">
        <v>2130</v>
      </c>
      <c r="Z922" s="17">
        <v>43307</v>
      </c>
      <c r="AA922" t="s">
        <v>3</v>
      </c>
      <c r="AB922" t="s">
        <v>2603</v>
      </c>
    </row>
    <row r="923" spans="1:28" hidden="1">
      <c r="A923" t="s">
        <v>2603</v>
      </c>
      <c r="B923" s="17">
        <v>43307</v>
      </c>
      <c r="C923" s="17">
        <v>43307</v>
      </c>
      <c r="D923" t="s">
        <v>0</v>
      </c>
      <c r="E923" t="s">
        <v>1</v>
      </c>
      <c r="F923" s="18">
        <v>32808</v>
      </c>
      <c r="G923" s="18">
        <v>32808</v>
      </c>
      <c r="H923" t="s">
        <v>2</v>
      </c>
      <c r="I923" t="s">
        <v>10</v>
      </c>
      <c r="J923" s="18">
        <v>2714862</v>
      </c>
      <c r="K923" t="s">
        <v>2602</v>
      </c>
      <c r="L923" t="s">
        <v>9</v>
      </c>
      <c r="M923" t="s">
        <v>2604</v>
      </c>
      <c r="N923" t="s">
        <v>3</v>
      </c>
      <c r="O923" t="s">
        <v>3</v>
      </c>
      <c r="P923" t="s">
        <v>5</v>
      </c>
      <c r="Q923" t="s">
        <v>2605</v>
      </c>
      <c r="R923" t="s">
        <v>3</v>
      </c>
      <c r="S923" t="s">
        <v>3</v>
      </c>
      <c r="T923" t="s">
        <v>3</v>
      </c>
      <c r="U923" t="s">
        <v>3</v>
      </c>
      <c r="V923" t="s">
        <v>3</v>
      </c>
      <c r="W923" t="s">
        <v>68</v>
      </c>
      <c r="X923" s="17">
        <v>43519</v>
      </c>
      <c r="Y923" t="s">
        <v>2366</v>
      </c>
      <c r="Z923" s="17">
        <v>43307</v>
      </c>
      <c r="AA923" t="s">
        <v>3</v>
      </c>
      <c r="AB923" t="s">
        <v>2603</v>
      </c>
    </row>
    <row r="924" spans="1:28" hidden="1">
      <c r="A924" t="s">
        <v>2603</v>
      </c>
      <c r="B924" s="17">
        <v>43307</v>
      </c>
      <c r="C924" s="17">
        <v>43307</v>
      </c>
      <c r="D924" t="s">
        <v>0</v>
      </c>
      <c r="E924" t="s">
        <v>1</v>
      </c>
      <c r="F924" s="18">
        <v>3836</v>
      </c>
      <c r="G924" s="18">
        <v>3836</v>
      </c>
      <c r="H924" t="s">
        <v>2</v>
      </c>
      <c r="I924" t="s">
        <v>10</v>
      </c>
      <c r="J924" s="18">
        <v>317237.2</v>
      </c>
      <c r="K924" t="s">
        <v>2588</v>
      </c>
      <c r="L924" t="s">
        <v>9</v>
      </c>
      <c r="M924" t="s">
        <v>2604</v>
      </c>
      <c r="N924" t="s">
        <v>3</v>
      </c>
      <c r="O924" t="s">
        <v>3</v>
      </c>
      <c r="P924" t="s">
        <v>5</v>
      </c>
      <c r="Q924" t="s">
        <v>2605</v>
      </c>
      <c r="R924" t="s">
        <v>3</v>
      </c>
      <c r="S924" t="s">
        <v>3</v>
      </c>
      <c r="T924" t="s">
        <v>3</v>
      </c>
      <c r="U924" t="s">
        <v>3</v>
      </c>
      <c r="V924" t="s">
        <v>3</v>
      </c>
      <c r="W924" t="s">
        <v>68</v>
      </c>
      <c r="X924" s="17">
        <v>43519</v>
      </c>
      <c r="Y924" t="s">
        <v>2197</v>
      </c>
      <c r="Z924" s="17">
        <v>43307</v>
      </c>
      <c r="AA924" t="s">
        <v>3</v>
      </c>
      <c r="AB924" t="s">
        <v>2603</v>
      </c>
    </row>
    <row r="925" spans="1:28" hidden="1">
      <c r="A925" t="s">
        <v>2606</v>
      </c>
      <c r="B925" s="17">
        <v>43307</v>
      </c>
      <c r="C925" s="17">
        <v>43307</v>
      </c>
      <c r="D925" t="s">
        <v>0</v>
      </c>
      <c r="E925" t="s">
        <v>1</v>
      </c>
      <c r="F925" s="18">
        <v>38089</v>
      </c>
      <c r="G925" s="18">
        <v>38089</v>
      </c>
      <c r="H925" t="s">
        <v>2</v>
      </c>
      <c r="I925" t="s">
        <v>10</v>
      </c>
      <c r="J925" s="18">
        <v>3151864.75</v>
      </c>
      <c r="K925" t="s">
        <v>2602</v>
      </c>
      <c r="L925" t="s">
        <v>9</v>
      </c>
      <c r="M925" t="s">
        <v>2607</v>
      </c>
      <c r="N925" t="s">
        <v>3</v>
      </c>
      <c r="O925" t="s">
        <v>3</v>
      </c>
      <c r="P925" t="s">
        <v>5</v>
      </c>
      <c r="Q925" t="s">
        <v>2608</v>
      </c>
      <c r="R925" t="s">
        <v>3</v>
      </c>
      <c r="S925" t="s">
        <v>3</v>
      </c>
      <c r="T925" t="s">
        <v>3</v>
      </c>
      <c r="U925" t="s">
        <v>3</v>
      </c>
      <c r="V925" t="s">
        <v>3</v>
      </c>
      <c r="W925" t="s">
        <v>68</v>
      </c>
      <c r="X925" s="17">
        <v>43519</v>
      </c>
      <c r="Y925" t="s">
        <v>2366</v>
      </c>
      <c r="Z925" s="17">
        <v>43307</v>
      </c>
      <c r="AA925" t="s">
        <v>3</v>
      </c>
      <c r="AB925" t="s">
        <v>2606</v>
      </c>
    </row>
    <row r="926" spans="1:28" hidden="1">
      <c r="A926" t="s">
        <v>2609</v>
      </c>
      <c r="B926" s="17">
        <v>43307</v>
      </c>
      <c r="C926" s="17">
        <v>43307</v>
      </c>
      <c r="D926" t="s">
        <v>0</v>
      </c>
      <c r="E926" t="s">
        <v>1</v>
      </c>
      <c r="F926" s="18">
        <v>-80429</v>
      </c>
      <c r="G926" s="18">
        <v>-80429</v>
      </c>
      <c r="H926" t="s">
        <v>2</v>
      </c>
      <c r="I926" t="s">
        <v>10</v>
      </c>
      <c r="J926" s="18">
        <v>-6655499.75</v>
      </c>
      <c r="K926" t="s">
        <v>2610</v>
      </c>
      <c r="L926" t="s">
        <v>9</v>
      </c>
      <c r="M926" t="s">
        <v>2611</v>
      </c>
      <c r="N926" t="s">
        <v>3</v>
      </c>
      <c r="O926" t="s">
        <v>3</v>
      </c>
      <c r="P926" t="s">
        <v>5</v>
      </c>
      <c r="Q926" t="s">
        <v>2612</v>
      </c>
      <c r="R926" t="s">
        <v>3</v>
      </c>
      <c r="S926" t="s">
        <v>3</v>
      </c>
      <c r="T926" t="s">
        <v>3</v>
      </c>
      <c r="U926" t="s">
        <v>3</v>
      </c>
      <c r="V926" t="s">
        <v>3</v>
      </c>
      <c r="W926" t="s">
        <v>68</v>
      </c>
      <c r="X926" s="17">
        <v>43519</v>
      </c>
      <c r="Y926" t="s">
        <v>2372</v>
      </c>
      <c r="Z926" s="17">
        <v>43307</v>
      </c>
      <c r="AA926" t="s">
        <v>3</v>
      </c>
      <c r="AB926" t="s">
        <v>2609</v>
      </c>
    </row>
    <row r="927" spans="1:28" hidden="1">
      <c r="A927" t="s">
        <v>2613</v>
      </c>
      <c r="B927" s="17">
        <v>43307</v>
      </c>
      <c r="C927" s="17">
        <v>43307</v>
      </c>
      <c r="D927" t="s">
        <v>0</v>
      </c>
      <c r="E927" t="s">
        <v>1</v>
      </c>
      <c r="F927" s="18">
        <v>-611281</v>
      </c>
      <c r="G927" s="18">
        <v>-611281</v>
      </c>
      <c r="H927" t="s">
        <v>2</v>
      </c>
      <c r="I927" t="s">
        <v>8</v>
      </c>
      <c r="J927" s="18">
        <v>-50583502.759999998</v>
      </c>
      <c r="K927" t="s">
        <v>2614</v>
      </c>
      <c r="L927" t="s">
        <v>9</v>
      </c>
      <c r="M927" t="s">
        <v>2615</v>
      </c>
      <c r="N927" t="s">
        <v>3</v>
      </c>
      <c r="O927" t="s">
        <v>3</v>
      </c>
      <c r="P927" t="s">
        <v>5</v>
      </c>
      <c r="Q927" t="s">
        <v>2616</v>
      </c>
      <c r="R927" t="s">
        <v>3</v>
      </c>
      <c r="S927" t="s">
        <v>3</v>
      </c>
      <c r="T927" t="s">
        <v>3</v>
      </c>
      <c r="U927" t="s">
        <v>3</v>
      </c>
      <c r="V927" t="s">
        <v>3</v>
      </c>
      <c r="W927" t="s">
        <v>68</v>
      </c>
      <c r="X927" s="17">
        <v>43646</v>
      </c>
      <c r="Y927" t="s">
        <v>2487</v>
      </c>
      <c r="Z927" s="17">
        <v>43307</v>
      </c>
      <c r="AA927" t="s">
        <v>3</v>
      </c>
      <c r="AB927" t="s">
        <v>2613</v>
      </c>
    </row>
    <row r="928" spans="1:28" hidden="1">
      <c r="A928" t="s">
        <v>2617</v>
      </c>
      <c r="B928" s="17">
        <v>43310</v>
      </c>
      <c r="C928" s="17">
        <v>43310</v>
      </c>
      <c r="D928" t="s">
        <v>0</v>
      </c>
      <c r="E928" t="s">
        <v>1</v>
      </c>
      <c r="F928" s="18">
        <v>41530</v>
      </c>
      <c r="G928" s="18">
        <v>41530</v>
      </c>
      <c r="H928" t="s">
        <v>2</v>
      </c>
      <c r="I928" t="s">
        <v>10</v>
      </c>
      <c r="J928" s="18">
        <v>3436607.5</v>
      </c>
      <c r="K928" t="s">
        <v>2610</v>
      </c>
      <c r="L928" t="s">
        <v>9</v>
      </c>
      <c r="M928" t="s">
        <v>2618</v>
      </c>
      <c r="N928" t="s">
        <v>3</v>
      </c>
      <c r="O928" t="s">
        <v>3</v>
      </c>
      <c r="P928" t="s">
        <v>5</v>
      </c>
      <c r="Q928" t="s">
        <v>2619</v>
      </c>
      <c r="R928" t="s">
        <v>3</v>
      </c>
      <c r="S928" t="s">
        <v>3</v>
      </c>
      <c r="T928" t="s">
        <v>3</v>
      </c>
      <c r="U928" t="s">
        <v>3</v>
      </c>
      <c r="V928" t="s">
        <v>3</v>
      </c>
      <c r="W928" t="s">
        <v>68</v>
      </c>
      <c r="X928" s="17">
        <v>43519</v>
      </c>
      <c r="Y928" t="s">
        <v>2372</v>
      </c>
      <c r="Z928" s="17">
        <v>43310</v>
      </c>
      <c r="AA928" t="s">
        <v>3</v>
      </c>
      <c r="AB928" t="s">
        <v>2617</v>
      </c>
    </row>
    <row r="929" spans="1:28" hidden="1">
      <c r="A929" t="s">
        <v>2620</v>
      </c>
      <c r="B929" s="17">
        <v>43311</v>
      </c>
      <c r="C929" s="17">
        <v>43311</v>
      </c>
      <c r="D929" t="s">
        <v>0</v>
      </c>
      <c r="E929" t="s">
        <v>1</v>
      </c>
      <c r="F929" s="18">
        <v>38899</v>
      </c>
      <c r="G929" s="18">
        <v>38899</v>
      </c>
      <c r="H929" t="s">
        <v>2</v>
      </c>
      <c r="I929" t="s">
        <v>10</v>
      </c>
      <c r="J929" s="18">
        <v>3218892.25</v>
      </c>
      <c r="K929" t="s">
        <v>2621</v>
      </c>
      <c r="L929" t="s">
        <v>9</v>
      </c>
      <c r="M929" t="s">
        <v>2622</v>
      </c>
      <c r="N929" t="s">
        <v>3</v>
      </c>
      <c r="O929" t="s">
        <v>3</v>
      </c>
      <c r="P929" t="s">
        <v>5</v>
      </c>
      <c r="Q929" t="s">
        <v>2623</v>
      </c>
      <c r="R929" t="s">
        <v>3</v>
      </c>
      <c r="S929" t="s">
        <v>3</v>
      </c>
      <c r="T929" t="s">
        <v>3</v>
      </c>
      <c r="U929" t="s">
        <v>3</v>
      </c>
      <c r="V929" t="s">
        <v>3</v>
      </c>
      <c r="W929" t="s">
        <v>68</v>
      </c>
      <c r="X929" s="17">
        <v>43519</v>
      </c>
      <c r="Y929" t="s">
        <v>2372</v>
      </c>
      <c r="Z929" s="17">
        <v>43311</v>
      </c>
      <c r="AA929" t="s">
        <v>3</v>
      </c>
      <c r="AB929" t="s">
        <v>2620</v>
      </c>
    </row>
    <row r="930" spans="1:28" hidden="1">
      <c r="A930" t="s">
        <v>2624</v>
      </c>
      <c r="B930" s="17">
        <v>43311</v>
      </c>
      <c r="C930" s="17">
        <v>43311</v>
      </c>
      <c r="D930" t="s">
        <v>0</v>
      </c>
      <c r="E930" t="s">
        <v>1</v>
      </c>
      <c r="F930" s="18">
        <v>24079</v>
      </c>
      <c r="G930" s="18">
        <v>24079</v>
      </c>
      <c r="H930" t="s">
        <v>2</v>
      </c>
      <c r="I930" t="s">
        <v>8</v>
      </c>
      <c r="J930" s="18">
        <v>1992537.25</v>
      </c>
      <c r="K930" t="s">
        <v>2590</v>
      </c>
      <c r="L930" t="s">
        <v>9</v>
      </c>
      <c r="M930" t="s">
        <v>2625</v>
      </c>
      <c r="N930" t="s">
        <v>3</v>
      </c>
      <c r="O930" t="s">
        <v>3</v>
      </c>
      <c r="P930" t="s">
        <v>5</v>
      </c>
      <c r="Q930" t="s">
        <v>2626</v>
      </c>
      <c r="R930" t="s">
        <v>3</v>
      </c>
      <c r="S930" t="s">
        <v>3</v>
      </c>
      <c r="T930" t="s">
        <v>3</v>
      </c>
      <c r="U930" t="s">
        <v>3</v>
      </c>
      <c r="V930" t="s">
        <v>3</v>
      </c>
      <c r="W930" t="s">
        <v>68</v>
      </c>
      <c r="X930" s="17">
        <v>43587</v>
      </c>
      <c r="Y930" t="s">
        <v>2456</v>
      </c>
      <c r="Z930" s="17">
        <v>43311</v>
      </c>
      <c r="AA930" t="s">
        <v>3</v>
      </c>
      <c r="AB930" t="s">
        <v>2624</v>
      </c>
    </row>
    <row r="931" spans="1:28" hidden="1">
      <c r="A931" t="s">
        <v>2627</v>
      </c>
      <c r="B931" s="17">
        <v>43311</v>
      </c>
      <c r="C931" s="17">
        <v>43311</v>
      </c>
      <c r="D931" t="s">
        <v>0</v>
      </c>
      <c r="E931" t="s">
        <v>1</v>
      </c>
      <c r="F931" s="18">
        <v>-192397</v>
      </c>
      <c r="G931" s="18">
        <v>-192397</v>
      </c>
      <c r="H931" t="s">
        <v>2</v>
      </c>
      <c r="I931" t="s">
        <v>10</v>
      </c>
      <c r="J931" s="18">
        <v>-15920851.76</v>
      </c>
      <c r="K931" t="s">
        <v>2628</v>
      </c>
      <c r="L931" t="s">
        <v>9</v>
      </c>
      <c r="M931" t="s">
        <v>2629</v>
      </c>
      <c r="N931" t="s">
        <v>3</v>
      </c>
      <c r="O931" t="s">
        <v>3</v>
      </c>
      <c r="P931" t="s">
        <v>5</v>
      </c>
      <c r="Q931" t="s">
        <v>2630</v>
      </c>
      <c r="R931" t="s">
        <v>3</v>
      </c>
      <c r="S931" t="s">
        <v>3</v>
      </c>
      <c r="T931" t="s">
        <v>3</v>
      </c>
      <c r="U931" t="s">
        <v>3</v>
      </c>
      <c r="V931" t="s">
        <v>3</v>
      </c>
      <c r="W931" t="s">
        <v>68</v>
      </c>
      <c r="X931" s="17">
        <v>43519</v>
      </c>
      <c r="Y931" t="s">
        <v>2361</v>
      </c>
      <c r="Z931" s="17">
        <v>43311</v>
      </c>
      <c r="AA931" t="s">
        <v>3</v>
      </c>
      <c r="AB931" t="s">
        <v>2627</v>
      </c>
    </row>
    <row r="932" spans="1:28" hidden="1">
      <c r="A932" t="s">
        <v>2715</v>
      </c>
      <c r="B932" s="17">
        <v>43312</v>
      </c>
      <c r="C932" s="17">
        <v>43312</v>
      </c>
      <c r="D932" t="s">
        <v>0</v>
      </c>
      <c r="E932" t="s">
        <v>1</v>
      </c>
      <c r="F932" s="18">
        <v>149244</v>
      </c>
      <c r="G932" s="18">
        <v>149244</v>
      </c>
      <c r="H932" t="s">
        <v>2</v>
      </c>
      <c r="I932" t="s">
        <v>8</v>
      </c>
      <c r="J932" s="18">
        <v>12349941</v>
      </c>
      <c r="K932" t="s">
        <v>2208</v>
      </c>
      <c r="L932" t="s">
        <v>9</v>
      </c>
      <c r="M932" t="s">
        <v>2209</v>
      </c>
      <c r="N932" t="s">
        <v>3</v>
      </c>
      <c r="O932" t="s">
        <v>3</v>
      </c>
      <c r="P932" t="s">
        <v>5</v>
      </c>
      <c r="Q932" t="s">
        <v>2210</v>
      </c>
      <c r="R932" t="s">
        <v>3</v>
      </c>
      <c r="S932" t="s">
        <v>3</v>
      </c>
      <c r="T932" t="s">
        <v>3</v>
      </c>
      <c r="U932" t="s">
        <v>3</v>
      </c>
      <c r="V932" t="s">
        <v>3</v>
      </c>
      <c r="W932" t="s">
        <v>68</v>
      </c>
      <c r="X932" s="17">
        <v>43313</v>
      </c>
      <c r="Y932" t="s">
        <v>2207</v>
      </c>
      <c r="Z932" s="17">
        <v>43312</v>
      </c>
      <c r="AA932" t="s">
        <v>3</v>
      </c>
      <c r="AB932" t="s">
        <v>2715</v>
      </c>
    </row>
    <row r="933" spans="1:28" hidden="1">
      <c r="A933" t="s">
        <v>2715</v>
      </c>
      <c r="B933" s="17">
        <v>43312</v>
      </c>
      <c r="C933" s="17">
        <v>43312</v>
      </c>
      <c r="D933" t="s">
        <v>0</v>
      </c>
      <c r="E933" t="s">
        <v>1</v>
      </c>
      <c r="F933" s="18">
        <v>-394998</v>
      </c>
      <c r="G933" s="18">
        <v>-394998</v>
      </c>
      <c r="H933" t="s">
        <v>2</v>
      </c>
      <c r="I933" t="s">
        <v>8</v>
      </c>
      <c r="J933" s="18">
        <v>-32686084.5</v>
      </c>
      <c r="K933" t="s">
        <v>2208</v>
      </c>
      <c r="L933" t="s">
        <v>9</v>
      </c>
      <c r="M933" t="s">
        <v>2209</v>
      </c>
      <c r="N933" t="s">
        <v>3</v>
      </c>
      <c r="O933" t="s">
        <v>3</v>
      </c>
      <c r="P933" t="s">
        <v>5</v>
      </c>
      <c r="Q933" t="s">
        <v>2210</v>
      </c>
      <c r="R933" t="s">
        <v>3</v>
      </c>
      <c r="S933" t="s">
        <v>3</v>
      </c>
      <c r="T933" t="s">
        <v>3</v>
      </c>
      <c r="U933" t="s">
        <v>3</v>
      </c>
      <c r="V933" t="s">
        <v>3</v>
      </c>
      <c r="W933" t="s">
        <v>68</v>
      </c>
      <c r="X933" s="17">
        <v>43313</v>
      </c>
      <c r="Y933" t="s">
        <v>2207</v>
      </c>
      <c r="Z933" s="17">
        <v>43312</v>
      </c>
      <c r="AA933" t="s">
        <v>3</v>
      </c>
      <c r="AB933" t="s">
        <v>2715</v>
      </c>
    </row>
    <row r="934" spans="1:28" hidden="1">
      <c r="A934" t="s">
        <v>2207</v>
      </c>
      <c r="B934" s="17">
        <v>43313</v>
      </c>
      <c r="C934" s="17">
        <v>43312</v>
      </c>
      <c r="D934" t="s">
        <v>38</v>
      </c>
      <c r="E934" t="s">
        <v>1</v>
      </c>
      <c r="F934" s="18">
        <v>-149244</v>
      </c>
      <c r="G934" s="18">
        <v>-149244</v>
      </c>
      <c r="H934" t="s">
        <v>2</v>
      </c>
      <c r="I934" t="s">
        <v>8</v>
      </c>
      <c r="J934" s="18">
        <v>-12349941</v>
      </c>
      <c r="K934" t="s">
        <v>2208</v>
      </c>
      <c r="L934" t="s">
        <v>9</v>
      </c>
      <c r="M934" t="s">
        <v>2209</v>
      </c>
      <c r="N934" t="s">
        <v>3</v>
      </c>
      <c r="O934" t="s">
        <v>3</v>
      </c>
      <c r="P934" t="s">
        <v>5</v>
      </c>
      <c r="Q934" t="s">
        <v>2210</v>
      </c>
      <c r="R934" t="s">
        <v>3</v>
      </c>
      <c r="S934" t="s">
        <v>3</v>
      </c>
      <c r="T934" t="s">
        <v>3</v>
      </c>
      <c r="U934" t="s">
        <v>3</v>
      </c>
      <c r="V934" t="s">
        <v>3</v>
      </c>
      <c r="W934" t="s">
        <v>68</v>
      </c>
      <c r="X934" s="17">
        <v>43313</v>
      </c>
      <c r="Y934" t="s">
        <v>2207</v>
      </c>
      <c r="Z934" s="17">
        <v>43312</v>
      </c>
      <c r="AA934" t="s">
        <v>3</v>
      </c>
      <c r="AB934" t="s">
        <v>2207</v>
      </c>
    </row>
    <row r="935" spans="1:28" hidden="1">
      <c r="A935" t="s">
        <v>2207</v>
      </c>
      <c r="B935" s="17">
        <v>43313</v>
      </c>
      <c r="C935" s="17">
        <v>43312</v>
      </c>
      <c r="D935" t="s">
        <v>38</v>
      </c>
      <c r="E935" t="s">
        <v>1</v>
      </c>
      <c r="F935" s="18">
        <v>394998</v>
      </c>
      <c r="G935" s="18">
        <v>394998</v>
      </c>
      <c r="H935" t="s">
        <v>2</v>
      </c>
      <c r="I935" t="s">
        <v>8</v>
      </c>
      <c r="J935" s="18">
        <v>32686084.5</v>
      </c>
      <c r="K935" t="s">
        <v>2208</v>
      </c>
      <c r="L935" t="s">
        <v>9</v>
      </c>
      <c r="M935" t="s">
        <v>2209</v>
      </c>
      <c r="N935" t="s">
        <v>3</v>
      </c>
      <c r="O935" t="s">
        <v>3</v>
      </c>
      <c r="P935" t="s">
        <v>5</v>
      </c>
      <c r="Q935" t="s">
        <v>2210</v>
      </c>
      <c r="R935" t="s">
        <v>3</v>
      </c>
      <c r="S935" t="s">
        <v>3</v>
      </c>
      <c r="T935" t="s">
        <v>3</v>
      </c>
      <c r="U935" t="s">
        <v>3</v>
      </c>
      <c r="V935" t="s">
        <v>3</v>
      </c>
      <c r="W935" t="s">
        <v>68</v>
      </c>
      <c r="X935" s="17">
        <v>43313</v>
      </c>
      <c r="Y935" t="s">
        <v>2207</v>
      </c>
      <c r="Z935" s="17">
        <v>43312</v>
      </c>
      <c r="AA935" t="s">
        <v>3</v>
      </c>
      <c r="AB935" t="s">
        <v>2207</v>
      </c>
    </row>
    <row r="936" spans="1:28" hidden="1">
      <c r="A936" t="s">
        <v>2637</v>
      </c>
      <c r="B936" s="17">
        <v>43313</v>
      </c>
      <c r="C936" s="17">
        <v>43313</v>
      </c>
      <c r="D936" t="s">
        <v>0</v>
      </c>
      <c r="E936" t="s">
        <v>1</v>
      </c>
      <c r="F936" s="18">
        <v>-74319</v>
      </c>
      <c r="G936" s="18">
        <v>-74319</v>
      </c>
      <c r="H936" t="s">
        <v>2</v>
      </c>
      <c r="I936" t="s">
        <v>10</v>
      </c>
      <c r="J936" s="18">
        <v>-6149897.2599999998</v>
      </c>
      <c r="K936" t="s">
        <v>2638</v>
      </c>
      <c r="L936" t="s">
        <v>9</v>
      </c>
      <c r="M936" t="s">
        <v>2639</v>
      </c>
      <c r="N936" t="s">
        <v>3</v>
      </c>
      <c r="O936" t="s">
        <v>3</v>
      </c>
      <c r="P936" t="s">
        <v>5</v>
      </c>
      <c r="Q936" t="s">
        <v>2640</v>
      </c>
      <c r="R936" t="s">
        <v>3</v>
      </c>
      <c r="S936" t="s">
        <v>3</v>
      </c>
      <c r="T936" t="s">
        <v>3</v>
      </c>
      <c r="U936" t="s">
        <v>3</v>
      </c>
      <c r="V936" t="s">
        <v>3</v>
      </c>
      <c r="W936" t="s">
        <v>68</v>
      </c>
      <c r="X936" s="17">
        <v>43519</v>
      </c>
      <c r="Y936" t="s">
        <v>2376</v>
      </c>
      <c r="Z936" s="17">
        <v>43313</v>
      </c>
      <c r="AA936" t="s">
        <v>3</v>
      </c>
      <c r="AB936" t="s">
        <v>2637</v>
      </c>
    </row>
    <row r="937" spans="1:28" hidden="1">
      <c r="A937" t="s">
        <v>2641</v>
      </c>
      <c r="B937" s="17">
        <v>43313</v>
      </c>
      <c r="C937" s="17">
        <v>43313</v>
      </c>
      <c r="D937" t="s">
        <v>0</v>
      </c>
      <c r="E937" t="s">
        <v>1</v>
      </c>
      <c r="F937" s="18">
        <v>-50046</v>
      </c>
      <c r="G937" s="18">
        <v>-50046</v>
      </c>
      <c r="H937" t="s">
        <v>2</v>
      </c>
      <c r="I937" t="s">
        <v>10</v>
      </c>
      <c r="J937" s="18">
        <v>-4141306.5</v>
      </c>
      <c r="K937" t="s">
        <v>2642</v>
      </c>
      <c r="L937" t="s">
        <v>9</v>
      </c>
      <c r="M937" t="s">
        <v>2643</v>
      </c>
      <c r="N937" t="s">
        <v>3</v>
      </c>
      <c r="O937" t="s">
        <v>3</v>
      </c>
      <c r="P937" t="s">
        <v>5</v>
      </c>
      <c r="Q937" t="s">
        <v>2644</v>
      </c>
      <c r="R937" t="s">
        <v>3</v>
      </c>
      <c r="S937" t="s">
        <v>3</v>
      </c>
      <c r="T937" t="s">
        <v>3</v>
      </c>
      <c r="U937" t="s">
        <v>3</v>
      </c>
      <c r="V937" t="s">
        <v>3</v>
      </c>
      <c r="W937" t="s">
        <v>68</v>
      </c>
      <c r="X937" s="17">
        <v>43519</v>
      </c>
      <c r="Y937" t="s">
        <v>2390</v>
      </c>
      <c r="Z937" s="17">
        <v>43313</v>
      </c>
      <c r="AA937" t="s">
        <v>3</v>
      </c>
      <c r="AB937" t="s">
        <v>2641</v>
      </c>
    </row>
    <row r="938" spans="1:28" hidden="1">
      <c r="A938" t="s">
        <v>2645</v>
      </c>
      <c r="B938" s="17">
        <v>43313</v>
      </c>
      <c r="C938" s="17">
        <v>43313</v>
      </c>
      <c r="D938" t="s">
        <v>0</v>
      </c>
      <c r="E938" t="s">
        <v>1</v>
      </c>
      <c r="F938" s="18">
        <v>-270633</v>
      </c>
      <c r="G938" s="18">
        <v>-270633</v>
      </c>
      <c r="H938" t="s">
        <v>2</v>
      </c>
      <c r="I938" t="s">
        <v>8</v>
      </c>
      <c r="J938" s="18">
        <v>-22394880.760000002</v>
      </c>
      <c r="K938" t="s">
        <v>2646</v>
      </c>
      <c r="L938" t="s">
        <v>9</v>
      </c>
      <c r="M938" t="s">
        <v>2639</v>
      </c>
      <c r="N938" t="s">
        <v>3</v>
      </c>
      <c r="O938" t="s">
        <v>3</v>
      </c>
      <c r="P938" t="s">
        <v>5</v>
      </c>
      <c r="Q938" t="s">
        <v>2647</v>
      </c>
      <c r="R938" t="s">
        <v>3</v>
      </c>
      <c r="S938" t="s">
        <v>3</v>
      </c>
      <c r="T938" t="s">
        <v>3</v>
      </c>
      <c r="U938" t="s">
        <v>3</v>
      </c>
      <c r="V938" t="s">
        <v>3</v>
      </c>
      <c r="W938" t="s">
        <v>68</v>
      </c>
      <c r="X938" s="17">
        <v>43587</v>
      </c>
      <c r="Y938" t="s">
        <v>2439</v>
      </c>
      <c r="Z938" s="17">
        <v>43313</v>
      </c>
      <c r="AA938" t="s">
        <v>3</v>
      </c>
      <c r="AB938" t="s">
        <v>2645</v>
      </c>
    </row>
    <row r="939" spans="1:28" hidden="1">
      <c r="A939" t="s">
        <v>2648</v>
      </c>
      <c r="B939" s="17">
        <v>43318</v>
      </c>
      <c r="C939" s="17">
        <v>43318</v>
      </c>
      <c r="D939" t="s">
        <v>0</v>
      </c>
      <c r="E939" t="s">
        <v>1</v>
      </c>
      <c r="F939" s="18">
        <v>-82312</v>
      </c>
      <c r="G939" s="18">
        <v>-82312</v>
      </c>
      <c r="H939" t="s">
        <v>2</v>
      </c>
      <c r="I939" t="s">
        <v>10</v>
      </c>
      <c r="J939" s="18">
        <v>-6811318</v>
      </c>
      <c r="K939" t="s">
        <v>2649</v>
      </c>
      <c r="L939" t="s">
        <v>9</v>
      </c>
      <c r="M939" t="s">
        <v>2650</v>
      </c>
      <c r="N939" t="s">
        <v>3</v>
      </c>
      <c r="O939" t="s">
        <v>3</v>
      </c>
      <c r="P939" t="s">
        <v>5</v>
      </c>
      <c r="Q939" t="s">
        <v>2651</v>
      </c>
      <c r="R939" t="s">
        <v>3</v>
      </c>
      <c r="S939" t="s">
        <v>3</v>
      </c>
      <c r="T939" t="s">
        <v>3</v>
      </c>
      <c r="U939" t="s">
        <v>3</v>
      </c>
      <c r="V939" t="s">
        <v>3</v>
      </c>
      <c r="W939" t="s">
        <v>68</v>
      </c>
      <c r="X939" s="17">
        <v>43352</v>
      </c>
      <c r="Y939" t="s">
        <v>2652</v>
      </c>
      <c r="Z939" s="17">
        <v>43318</v>
      </c>
      <c r="AA939" t="s">
        <v>3</v>
      </c>
      <c r="AB939" t="s">
        <v>2648</v>
      </c>
    </row>
    <row r="940" spans="1:28" hidden="1">
      <c r="A940" t="s">
        <v>2653</v>
      </c>
      <c r="B940" s="17">
        <v>43318</v>
      </c>
      <c r="C940" s="17">
        <v>43318</v>
      </c>
      <c r="D940" t="s">
        <v>0</v>
      </c>
      <c r="E940" t="s">
        <v>1</v>
      </c>
      <c r="F940" s="18">
        <v>143465</v>
      </c>
      <c r="G940" s="18">
        <v>143465</v>
      </c>
      <c r="H940" t="s">
        <v>2</v>
      </c>
      <c r="I940" t="s">
        <v>8</v>
      </c>
      <c r="J940" s="18">
        <v>11871728.75</v>
      </c>
      <c r="K940" t="s">
        <v>2654</v>
      </c>
      <c r="L940" t="s">
        <v>9</v>
      </c>
      <c r="M940" t="s">
        <v>2655</v>
      </c>
      <c r="N940" t="s">
        <v>3</v>
      </c>
      <c r="O940" t="s">
        <v>3</v>
      </c>
      <c r="P940" t="s">
        <v>5</v>
      </c>
      <c r="Q940" t="s">
        <v>2656</v>
      </c>
      <c r="R940" t="s">
        <v>3</v>
      </c>
      <c r="S940" t="s">
        <v>3</v>
      </c>
      <c r="T940" t="s">
        <v>3</v>
      </c>
      <c r="U940" t="s">
        <v>3</v>
      </c>
      <c r="V940" t="s">
        <v>3</v>
      </c>
      <c r="W940" t="s">
        <v>68</v>
      </c>
      <c r="X940" s="17">
        <v>43646</v>
      </c>
      <c r="Y940" t="s">
        <v>2487</v>
      </c>
      <c r="Z940" s="17">
        <v>43318</v>
      </c>
      <c r="AA940" t="s">
        <v>3</v>
      </c>
      <c r="AB940" t="s">
        <v>2653</v>
      </c>
    </row>
    <row r="941" spans="1:28" hidden="1">
      <c r="A941" t="s">
        <v>2657</v>
      </c>
      <c r="B941" s="17">
        <v>43318</v>
      </c>
      <c r="C941" s="17">
        <v>43318</v>
      </c>
      <c r="D941" t="s">
        <v>0</v>
      </c>
      <c r="E941" t="s">
        <v>1</v>
      </c>
      <c r="F941" s="18">
        <v>11708</v>
      </c>
      <c r="G941" s="18">
        <v>11708</v>
      </c>
      <c r="H941" t="s">
        <v>2</v>
      </c>
      <c r="I941" t="s">
        <v>8</v>
      </c>
      <c r="J941" s="18">
        <v>968837</v>
      </c>
      <c r="K941" t="s">
        <v>2658</v>
      </c>
      <c r="L941" t="s">
        <v>9</v>
      </c>
      <c r="M941" t="s">
        <v>2659</v>
      </c>
      <c r="N941" t="s">
        <v>3</v>
      </c>
      <c r="O941" t="s">
        <v>3</v>
      </c>
      <c r="P941" t="s">
        <v>5</v>
      </c>
      <c r="Q941" t="s">
        <v>2660</v>
      </c>
      <c r="R941" t="s">
        <v>3</v>
      </c>
      <c r="S941" t="s">
        <v>3</v>
      </c>
      <c r="T941" t="s">
        <v>3</v>
      </c>
      <c r="U941" t="s">
        <v>3</v>
      </c>
      <c r="V941" t="s">
        <v>3</v>
      </c>
      <c r="W941" t="s">
        <v>68</v>
      </c>
      <c r="X941" s="17">
        <v>43646</v>
      </c>
      <c r="Y941" t="s">
        <v>2487</v>
      </c>
      <c r="Z941" s="17">
        <v>43318</v>
      </c>
      <c r="AA941" t="s">
        <v>3</v>
      </c>
      <c r="AB941" t="s">
        <v>2657</v>
      </c>
    </row>
    <row r="942" spans="1:28" hidden="1">
      <c r="A942" t="s">
        <v>2661</v>
      </c>
      <c r="B942" s="17">
        <v>43318</v>
      </c>
      <c r="C942" s="17">
        <v>43318</v>
      </c>
      <c r="D942" t="s">
        <v>0</v>
      </c>
      <c r="E942" t="s">
        <v>1</v>
      </c>
      <c r="F942" s="18">
        <v>32324</v>
      </c>
      <c r="G942" s="18">
        <v>32324</v>
      </c>
      <c r="H942" t="s">
        <v>2</v>
      </c>
      <c r="I942" t="s">
        <v>8</v>
      </c>
      <c r="J942" s="18">
        <v>2674811</v>
      </c>
      <c r="K942" t="s">
        <v>2658</v>
      </c>
      <c r="L942" t="s">
        <v>9</v>
      </c>
      <c r="M942" t="s">
        <v>2662</v>
      </c>
      <c r="N942" t="s">
        <v>3</v>
      </c>
      <c r="O942" t="s">
        <v>3</v>
      </c>
      <c r="P942" t="s">
        <v>5</v>
      </c>
      <c r="Q942" t="s">
        <v>2663</v>
      </c>
      <c r="R942" t="s">
        <v>3</v>
      </c>
      <c r="S942" t="s">
        <v>3</v>
      </c>
      <c r="T942" t="s">
        <v>3</v>
      </c>
      <c r="U942" t="s">
        <v>3</v>
      </c>
      <c r="V942" t="s">
        <v>3</v>
      </c>
      <c r="W942" t="s">
        <v>68</v>
      </c>
      <c r="X942" s="17">
        <v>43646</v>
      </c>
      <c r="Y942" t="s">
        <v>2487</v>
      </c>
      <c r="Z942" s="17">
        <v>43318</v>
      </c>
      <c r="AA942" t="s">
        <v>3</v>
      </c>
      <c r="AB942" t="s">
        <v>2661</v>
      </c>
    </row>
    <row r="943" spans="1:28" hidden="1">
      <c r="A943" t="s">
        <v>2664</v>
      </c>
      <c r="B943" s="17">
        <v>43318</v>
      </c>
      <c r="C943" s="17">
        <v>43318</v>
      </c>
      <c r="D943" t="s">
        <v>0</v>
      </c>
      <c r="E943" t="s">
        <v>1</v>
      </c>
      <c r="F943" s="18">
        <v>3204</v>
      </c>
      <c r="G943" s="18">
        <v>3204</v>
      </c>
      <c r="H943" t="s">
        <v>2</v>
      </c>
      <c r="I943" t="s">
        <v>10</v>
      </c>
      <c r="J943" s="18">
        <v>265131</v>
      </c>
      <c r="K943" t="s">
        <v>2555</v>
      </c>
      <c r="L943" t="s">
        <v>9</v>
      </c>
      <c r="M943" t="s">
        <v>2665</v>
      </c>
      <c r="N943" t="s">
        <v>3</v>
      </c>
      <c r="O943" t="s">
        <v>3</v>
      </c>
      <c r="P943" t="s">
        <v>5</v>
      </c>
      <c r="Q943" t="s">
        <v>2666</v>
      </c>
      <c r="R943" t="s">
        <v>3</v>
      </c>
      <c r="S943" t="s">
        <v>3</v>
      </c>
      <c r="T943" t="s">
        <v>3</v>
      </c>
      <c r="U943" t="s">
        <v>3</v>
      </c>
      <c r="V943" t="s">
        <v>3</v>
      </c>
      <c r="W943" t="s">
        <v>68</v>
      </c>
      <c r="X943" s="17">
        <v>43519</v>
      </c>
      <c r="Y943" t="s">
        <v>2356</v>
      </c>
      <c r="Z943" s="17">
        <v>43318</v>
      </c>
      <c r="AA943" t="s">
        <v>3</v>
      </c>
      <c r="AB943" t="s">
        <v>2664</v>
      </c>
    </row>
    <row r="944" spans="1:28" hidden="1">
      <c r="A944" t="s">
        <v>2764</v>
      </c>
      <c r="B944" s="17">
        <v>43318</v>
      </c>
      <c r="C944" s="17">
        <v>43318</v>
      </c>
      <c r="D944" t="s">
        <v>0</v>
      </c>
      <c r="E944" t="s">
        <v>1</v>
      </c>
      <c r="F944" s="18">
        <v>43019</v>
      </c>
      <c r="G944" s="18">
        <v>43019</v>
      </c>
      <c r="H944" t="s">
        <v>2</v>
      </c>
      <c r="I944" t="s">
        <v>8</v>
      </c>
      <c r="J944" s="18">
        <v>3559822.25</v>
      </c>
      <c r="K944" t="s">
        <v>2658</v>
      </c>
      <c r="L944" t="s">
        <v>9</v>
      </c>
      <c r="M944" t="s">
        <v>2765</v>
      </c>
      <c r="N944" t="s">
        <v>3</v>
      </c>
      <c r="O944" t="s">
        <v>3</v>
      </c>
      <c r="P944" t="s">
        <v>5</v>
      </c>
      <c r="Q944" t="s">
        <v>2766</v>
      </c>
      <c r="R944" t="s">
        <v>3</v>
      </c>
      <c r="S944" t="s">
        <v>3</v>
      </c>
      <c r="T944" t="s">
        <v>3</v>
      </c>
      <c r="U944" t="s">
        <v>3</v>
      </c>
      <c r="V944" t="s">
        <v>3</v>
      </c>
      <c r="W944" t="s">
        <v>68</v>
      </c>
      <c r="X944" s="17">
        <v>43646</v>
      </c>
      <c r="Y944" t="s">
        <v>2487</v>
      </c>
      <c r="Z944" s="17">
        <v>43318</v>
      </c>
      <c r="AA944" t="s">
        <v>3</v>
      </c>
      <c r="AB944" t="s">
        <v>2764</v>
      </c>
    </row>
    <row r="945" spans="1:28" hidden="1">
      <c r="A945" t="s">
        <v>2667</v>
      </c>
      <c r="B945" s="17">
        <v>43319</v>
      </c>
      <c r="C945" s="17">
        <v>43319</v>
      </c>
      <c r="D945" t="s">
        <v>0</v>
      </c>
      <c r="E945" t="s">
        <v>1</v>
      </c>
      <c r="F945" s="18">
        <v>86372</v>
      </c>
      <c r="G945" s="18">
        <v>86372</v>
      </c>
      <c r="H945" t="s">
        <v>2</v>
      </c>
      <c r="I945" t="s">
        <v>10</v>
      </c>
      <c r="J945" s="18">
        <v>7147283</v>
      </c>
      <c r="K945" t="s">
        <v>2668</v>
      </c>
      <c r="L945" t="s">
        <v>9</v>
      </c>
      <c r="M945" t="s">
        <v>2669</v>
      </c>
      <c r="N945" t="s">
        <v>3</v>
      </c>
      <c r="O945" t="s">
        <v>3</v>
      </c>
      <c r="P945" t="s">
        <v>5</v>
      </c>
      <c r="Q945" t="s">
        <v>2670</v>
      </c>
      <c r="R945" t="s">
        <v>3</v>
      </c>
      <c r="S945" t="s">
        <v>3</v>
      </c>
      <c r="T945" t="s">
        <v>3</v>
      </c>
      <c r="U945" t="s">
        <v>3</v>
      </c>
      <c r="V945" t="s">
        <v>3</v>
      </c>
      <c r="W945" t="s">
        <v>68</v>
      </c>
      <c r="X945" s="17">
        <v>43519</v>
      </c>
      <c r="Y945" t="s">
        <v>2361</v>
      </c>
      <c r="Z945" s="17">
        <v>43319</v>
      </c>
      <c r="AA945" t="s">
        <v>3</v>
      </c>
      <c r="AB945" t="s">
        <v>2667</v>
      </c>
    </row>
    <row r="946" spans="1:28" hidden="1">
      <c r="A946" t="s">
        <v>2667</v>
      </c>
      <c r="B946" s="17">
        <v>43319</v>
      </c>
      <c r="C946" s="17">
        <v>43319</v>
      </c>
      <c r="D946" t="s">
        <v>0</v>
      </c>
      <c r="E946" t="s">
        <v>1</v>
      </c>
      <c r="F946" s="18">
        <v>5318</v>
      </c>
      <c r="G946" s="18">
        <v>5318</v>
      </c>
      <c r="H946" t="s">
        <v>2</v>
      </c>
      <c r="I946" t="s">
        <v>10</v>
      </c>
      <c r="J946" s="18">
        <v>440064.5</v>
      </c>
      <c r="K946" t="s">
        <v>2671</v>
      </c>
      <c r="L946" t="s">
        <v>9</v>
      </c>
      <c r="M946" t="s">
        <v>2669</v>
      </c>
      <c r="N946" t="s">
        <v>3</v>
      </c>
      <c r="O946" t="s">
        <v>3</v>
      </c>
      <c r="P946" t="s">
        <v>5</v>
      </c>
      <c r="Q946" t="s">
        <v>2670</v>
      </c>
      <c r="R946" t="s">
        <v>3</v>
      </c>
      <c r="S946" t="s">
        <v>3</v>
      </c>
      <c r="T946" t="s">
        <v>3</v>
      </c>
      <c r="U946" t="s">
        <v>3</v>
      </c>
      <c r="V946" t="s">
        <v>3</v>
      </c>
      <c r="W946" t="s">
        <v>68</v>
      </c>
      <c r="X946" s="17">
        <v>43519</v>
      </c>
      <c r="Y946" t="s">
        <v>2376</v>
      </c>
      <c r="Z946" s="17">
        <v>43319</v>
      </c>
      <c r="AA946" t="s">
        <v>3</v>
      </c>
      <c r="AB946" t="s">
        <v>2667</v>
      </c>
    </row>
    <row r="947" spans="1:28" hidden="1">
      <c r="A947" t="s">
        <v>2672</v>
      </c>
      <c r="B947" s="17">
        <v>43320</v>
      </c>
      <c r="C947" s="17">
        <v>43320</v>
      </c>
      <c r="D947" t="s">
        <v>0</v>
      </c>
      <c r="E947" t="s">
        <v>1</v>
      </c>
      <c r="F947" s="18">
        <v>38273</v>
      </c>
      <c r="G947" s="18">
        <v>38273</v>
      </c>
      <c r="H947" t="s">
        <v>2</v>
      </c>
      <c r="I947" t="s">
        <v>10</v>
      </c>
      <c r="J947" s="18">
        <v>3167090.75</v>
      </c>
      <c r="K947" t="s">
        <v>2668</v>
      </c>
      <c r="L947" t="s">
        <v>9</v>
      </c>
      <c r="M947" t="s">
        <v>2673</v>
      </c>
      <c r="N947" t="s">
        <v>3</v>
      </c>
      <c r="O947" t="s">
        <v>3</v>
      </c>
      <c r="P947" t="s">
        <v>5</v>
      </c>
      <c r="Q947" t="s">
        <v>2674</v>
      </c>
      <c r="R947" t="s">
        <v>3</v>
      </c>
      <c r="S947" t="s">
        <v>3</v>
      </c>
      <c r="T947" t="s">
        <v>3</v>
      </c>
      <c r="U947" t="s">
        <v>3</v>
      </c>
      <c r="V947" t="s">
        <v>3</v>
      </c>
      <c r="W947" t="s">
        <v>68</v>
      </c>
      <c r="X947" s="17">
        <v>43519</v>
      </c>
      <c r="Y947" t="s">
        <v>2361</v>
      </c>
      <c r="Z947" s="17">
        <v>43320</v>
      </c>
      <c r="AA947" t="s">
        <v>3</v>
      </c>
      <c r="AB947" t="s">
        <v>2672</v>
      </c>
    </row>
    <row r="948" spans="1:28" hidden="1">
      <c r="A948" t="s">
        <v>2675</v>
      </c>
      <c r="B948" s="17">
        <v>43321</v>
      </c>
      <c r="C948" s="17">
        <v>43321</v>
      </c>
      <c r="D948" t="s">
        <v>0</v>
      </c>
      <c r="E948" t="s">
        <v>1</v>
      </c>
      <c r="F948" s="18">
        <v>12519</v>
      </c>
      <c r="G948" s="18">
        <v>12519</v>
      </c>
      <c r="H948" t="s">
        <v>2</v>
      </c>
      <c r="I948" t="s">
        <v>8</v>
      </c>
      <c r="J948" s="18">
        <v>1035947.25</v>
      </c>
      <c r="K948" t="s">
        <v>2658</v>
      </c>
      <c r="L948" t="s">
        <v>9</v>
      </c>
      <c r="M948" t="s">
        <v>2676</v>
      </c>
      <c r="N948" t="s">
        <v>3</v>
      </c>
      <c r="O948" t="s">
        <v>3</v>
      </c>
      <c r="P948" t="s">
        <v>5</v>
      </c>
      <c r="Q948" t="s">
        <v>2677</v>
      </c>
      <c r="R948" t="s">
        <v>3</v>
      </c>
      <c r="S948" t="s">
        <v>3</v>
      </c>
      <c r="T948" t="s">
        <v>3</v>
      </c>
      <c r="U948" t="s">
        <v>3</v>
      </c>
      <c r="V948" t="s">
        <v>3</v>
      </c>
      <c r="W948" t="s">
        <v>68</v>
      </c>
      <c r="X948" s="17">
        <v>43646</v>
      </c>
      <c r="Y948" t="s">
        <v>2487</v>
      </c>
      <c r="Z948" s="17">
        <v>43321</v>
      </c>
      <c r="AA948" t="s">
        <v>3</v>
      </c>
      <c r="AB948" t="s">
        <v>2675</v>
      </c>
    </row>
    <row r="949" spans="1:28" hidden="1">
      <c r="A949" t="s">
        <v>2675</v>
      </c>
      <c r="B949" s="17">
        <v>43321</v>
      </c>
      <c r="C949" s="17">
        <v>43321</v>
      </c>
      <c r="D949" t="s">
        <v>0</v>
      </c>
      <c r="E949" t="s">
        <v>1</v>
      </c>
      <c r="F949" s="18">
        <v>4339</v>
      </c>
      <c r="G949" s="18">
        <v>4339</v>
      </c>
      <c r="H949" t="s">
        <v>2</v>
      </c>
      <c r="I949" t="s">
        <v>8</v>
      </c>
      <c r="J949" s="18">
        <v>359052.25</v>
      </c>
      <c r="K949" t="s">
        <v>2678</v>
      </c>
      <c r="L949" t="s">
        <v>9</v>
      </c>
      <c r="M949" t="s">
        <v>2676</v>
      </c>
      <c r="N949" t="s">
        <v>3</v>
      </c>
      <c r="O949" t="s">
        <v>3</v>
      </c>
      <c r="P949" t="s">
        <v>5</v>
      </c>
      <c r="Q949" t="s">
        <v>2677</v>
      </c>
      <c r="R949" t="s">
        <v>3</v>
      </c>
      <c r="S949" t="s">
        <v>3</v>
      </c>
      <c r="T949" t="s">
        <v>3</v>
      </c>
      <c r="U949" t="s">
        <v>3</v>
      </c>
      <c r="V949" t="s">
        <v>3</v>
      </c>
      <c r="W949" t="s">
        <v>68</v>
      </c>
      <c r="X949" s="17">
        <v>43587</v>
      </c>
      <c r="Y949" t="s">
        <v>2439</v>
      </c>
      <c r="Z949" s="17">
        <v>43321</v>
      </c>
      <c r="AA949" t="s">
        <v>3</v>
      </c>
      <c r="AB949" t="s">
        <v>2675</v>
      </c>
    </row>
    <row r="950" spans="1:28" hidden="1">
      <c r="A950" t="s">
        <v>2679</v>
      </c>
      <c r="B950" s="17">
        <v>43321</v>
      </c>
      <c r="C950" s="17">
        <v>43321</v>
      </c>
      <c r="D950" t="s">
        <v>0</v>
      </c>
      <c r="E950" t="s">
        <v>1</v>
      </c>
      <c r="F950" s="18">
        <v>296514</v>
      </c>
      <c r="G950" s="18">
        <v>296514</v>
      </c>
      <c r="H950" t="s">
        <v>2</v>
      </c>
      <c r="I950" t="s">
        <v>8</v>
      </c>
      <c r="J950" s="18">
        <v>24536533.5</v>
      </c>
      <c r="K950" t="s">
        <v>2658</v>
      </c>
      <c r="L950" t="s">
        <v>9</v>
      </c>
      <c r="M950" t="s">
        <v>2680</v>
      </c>
      <c r="N950" t="s">
        <v>3</v>
      </c>
      <c r="O950" t="s">
        <v>3</v>
      </c>
      <c r="P950" t="s">
        <v>5</v>
      </c>
      <c r="Q950" t="s">
        <v>2681</v>
      </c>
      <c r="R950" t="s">
        <v>3</v>
      </c>
      <c r="S950" t="s">
        <v>3</v>
      </c>
      <c r="T950" t="s">
        <v>3</v>
      </c>
      <c r="U950" t="s">
        <v>3</v>
      </c>
      <c r="V950" t="s">
        <v>3</v>
      </c>
      <c r="W950" t="s">
        <v>68</v>
      </c>
      <c r="X950" s="17">
        <v>43646</v>
      </c>
      <c r="Y950" t="s">
        <v>2487</v>
      </c>
      <c r="Z950" s="17">
        <v>43321</v>
      </c>
      <c r="AA950" t="s">
        <v>3</v>
      </c>
      <c r="AB950" t="s">
        <v>2679</v>
      </c>
    </row>
    <row r="951" spans="1:28" hidden="1">
      <c r="A951" t="s">
        <v>2679</v>
      </c>
      <c r="B951" s="17">
        <v>43321</v>
      </c>
      <c r="C951" s="17">
        <v>43321</v>
      </c>
      <c r="D951" t="s">
        <v>0</v>
      </c>
      <c r="E951" t="s">
        <v>1</v>
      </c>
      <c r="F951" s="18">
        <v>242358</v>
      </c>
      <c r="G951" s="18">
        <v>242358</v>
      </c>
      <c r="H951" t="s">
        <v>2</v>
      </c>
      <c r="I951" t="s">
        <v>8</v>
      </c>
      <c r="J951" s="18">
        <v>20055124.510000002</v>
      </c>
      <c r="K951" t="s">
        <v>2678</v>
      </c>
      <c r="L951" t="s">
        <v>9</v>
      </c>
      <c r="M951" t="s">
        <v>2680</v>
      </c>
      <c r="N951" t="s">
        <v>3</v>
      </c>
      <c r="O951" t="s">
        <v>3</v>
      </c>
      <c r="P951" t="s">
        <v>5</v>
      </c>
      <c r="Q951" t="s">
        <v>2681</v>
      </c>
      <c r="R951" t="s">
        <v>3</v>
      </c>
      <c r="S951" t="s">
        <v>3</v>
      </c>
      <c r="T951" t="s">
        <v>3</v>
      </c>
      <c r="U951" t="s">
        <v>3</v>
      </c>
      <c r="V951" t="s">
        <v>3</v>
      </c>
      <c r="W951" t="s">
        <v>68</v>
      </c>
      <c r="X951" s="17">
        <v>43587</v>
      </c>
      <c r="Y951" t="s">
        <v>2439</v>
      </c>
      <c r="Z951" s="17">
        <v>43321</v>
      </c>
      <c r="AA951" t="s">
        <v>3</v>
      </c>
      <c r="AB951" t="s">
        <v>2679</v>
      </c>
    </row>
    <row r="952" spans="1:28" hidden="1">
      <c r="A952" t="s">
        <v>2707</v>
      </c>
      <c r="B952" s="17">
        <v>43324</v>
      </c>
      <c r="C952" s="17">
        <v>43324</v>
      </c>
      <c r="D952" t="s">
        <v>0</v>
      </c>
      <c r="E952" t="s">
        <v>1</v>
      </c>
      <c r="F952" s="18">
        <v>-62991</v>
      </c>
      <c r="G952" s="18">
        <v>-62991</v>
      </c>
      <c r="H952" t="s">
        <v>2</v>
      </c>
      <c r="I952" t="s">
        <v>10</v>
      </c>
      <c r="J952" s="18">
        <v>-5212505.25</v>
      </c>
      <c r="K952" t="s">
        <v>2708</v>
      </c>
      <c r="L952" t="s">
        <v>9</v>
      </c>
      <c r="M952" t="s">
        <v>2709</v>
      </c>
      <c r="N952" t="s">
        <v>3</v>
      </c>
      <c r="O952" t="s">
        <v>3</v>
      </c>
      <c r="P952" t="s">
        <v>5</v>
      </c>
      <c r="Q952" t="s">
        <v>2710</v>
      </c>
      <c r="R952" t="s">
        <v>3</v>
      </c>
      <c r="S952" t="s">
        <v>3</v>
      </c>
      <c r="T952" t="s">
        <v>3</v>
      </c>
      <c r="U952" t="s">
        <v>3</v>
      </c>
      <c r="V952" t="s">
        <v>3</v>
      </c>
      <c r="W952" t="s">
        <v>68</v>
      </c>
      <c r="X952" s="17">
        <v>43519</v>
      </c>
      <c r="Y952" t="s">
        <v>2387</v>
      </c>
      <c r="Z952" s="17">
        <v>43324</v>
      </c>
      <c r="AA952" t="s">
        <v>3</v>
      </c>
      <c r="AB952" t="s">
        <v>2707</v>
      </c>
    </row>
    <row r="953" spans="1:28" hidden="1">
      <c r="A953" t="s">
        <v>2711</v>
      </c>
      <c r="B953" s="17">
        <v>43324</v>
      </c>
      <c r="C953" s="17">
        <v>43324</v>
      </c>
      <c r="D953" t="s">
        <v>0</v>
      </c>
      <c r="E953" t="s">
        <v>1</v>
      </c>
      <c r="F953" s="18">
        <v>-641205</v>
      </c>
      <c r="G953" s="18">
        <v>-641205</v>
      </c>
      <c r="H953" t="s">
        <v>2</v>
      </c>
      <c r="I953" t="s">
        <v>8</v>
      </c>
      <c r="J953" s="18">
        <v>-53059713.759999998</v>
      </c>
      <c r="K953" t="s">
        <v>2712</v>
      </c>
      <c r="L953" t="s">
        <v>9</v>
      </c>
      <c r="M953" t="s">
        <v>2713</v>
      </c>
      <c r="N953" t="s">
        <v>3</v>
      </c>
      <c r="O953" t="s">
        <v>3</v>
      </c>
      <c r="P953" t="s">
        <v>5</v>
      </c>
      <c r="Q953" t="s">
        <v>2714</v>
      </c>
      <c r="R953" t="s">
        <v>3</v>
      </c>
      <c r="S953" t="s">
        <v>3</v>
      </c>
      <c r="T953" t="s">
        <v>3</v>
      </c>
      <c r="U953" t="s">
        <v>3</v>
      </c>
      <c r="V953" t="s">
        <v>3</v>
      </c>
      <c r="W953" t="s">
        <v>68</v>
      </c>
      <c r="X953" s="17">
        <v>43587</v>
      </c>
      <c r="Y953" t="s">
        <v>2420</v>
      </c>
      <c r="Z953" s="17">
        <v>43324</v>
      </c>
      <c r="AA953" t="s">
        <v>3</v>
      </c>
      <c r="AB953" t="s">
        <v>2711</v>
      </c>
    </row>
    <row r="954" spans="1:28" hidden="1">
      <c r="A954" t="s">
        <v>2703</v>
      </c>
      <c r="B954" s="17">
        <v>43326</v>
      </c>
      <c r="C954" s="17">
        <v>43326</v>
      </c>
      <c r="D954" t="s">
        <v>0</v>
      </c>
      <c r="E954" t="s">
        <v>1</v>
      </c>
      <c r="F954" s="18">
        <v>-50268</v>
      </c>
      <c r="G954" s="18">
        <v>-50268</v>
      </c>
      <c r="H954" t="s">
        <v>2</v>
      </c>
      <c r="I954" t="s">
        <v>8</v>
      </c>
      <c r="J954" s="18">
        <v>-4159677</v>
      </c>
      <c r="K954" t="s">
        <v>2704</v>
      </c>
      <c r="L954" t="s">
        <v>9</v>
      </c>
      <c r="M954" t="s">
        <v>2705</v>
      </c>
      <c r="N954" t="s">
        <v>3</v>
      </c>
      <c r="O954" t="s">
        <v>3</v>
      </c>
      <c r="P954" t="s">
        <v>5</v>
      </c>
      <c r="Q954" t="s">
        <v>2706</v>
      </c>
      <c r="R954" t="s">
        <v>3</v>
      </c>
      <c r="S954" t="s">
        <v>3</v>
      </c>
      <c r="T954" t="s">
        <v>3</v>
      </c>
      <c r="U954" t="s">
        <v>3</v>
      </c>
      <c r="V954" t="s">
        <v>3</v>
      </c>
      <c r="W954" t="s">
        <v>68</v>
      </c>
      <c r="X954" s="17">
        <v>43587</v>
      </c>
      <c r="Y954" t="s">
        <v>2470</v>
      </c>
      <c r="Z954" s="17">
        <v>43326</v>
      </c>
      <c r="AA954" t="s">
        <v>3</v>
      </c>
      <c r="AB954" t="s">
        <v>2703</v>
      </c>
    </row>
    <row r="955" spans="1:28" hidden="1">
      <c r="A955" t="s">
        <v>2767</v>
      </c>
      <c r="B955" s="17">
        <v>43326</v>
      </c>
      <c r="C955" s="17">
        <v>43326</v>
      </c>
      <c r="D955" t="s">
        <v>0</v>
      </c>
      <c r="E955" t="s">
        <v>1</v>
      </c>
      <c r="F955" s="18">
        <v>13063</v>
      </c>
      <c r="G955" s="18">
        <v>13063</v>
      </c>
      <c r="H955" t="s">
        <v>2</v>
      </c>
      <c r="I955" t="s">
        <v>8</v>
      </c>
      <c r="J955" s="18">
        <v>1080963.25</v>
      </c>
      <c r="K955" t="s">
        <v>2658</v>
      </c>
      <c r="L955" t="s">
        <v>9</v>
      </c>
      <c r="M955" t="s">
        <v>2768</v>
      </c>
      <c r="N955" t="s">
        <v>3</v>
      </c>
      <c r="O955" t="s">
        <v>3</v>
      </c>
      <c r="P955" t="s">
        <v>5</v>
      </c>
      <c r="Q955" t="s">
        <v>2769</v>
      </c>
      <c r="R955" t="s">
        <v>3</v>
      </c>
      <c r="S955" t="s">
        <v>3</v>
      </c>
      <c r="T955" t="s">
        <v>3</v>
      </c>
      <c r="U955" t="s">
        <v>3</v>
      </c>
      <c r="V955" t="s">
        <v>3</v>
      </c>
      <c r="W955" t="s">
        <v>68</v>
      </c>
      <c r="X955" s="17">
        <v>43646</v>
      </c>
      <c r="Y955" t="s">
        <v>2487</v>
      </c>
      <c r="Z955" s="17">
        <v>43326</v>
      </c>
      <c r="AA955" t="s">
        <v>3</v>
      </c>
      <c r="AB955" t="s">
        <v>2767</v>
      </c>
    </row>
    <row r="956" spans="1:28" hidden="1">
      <c r="A956" t="s">
        <v>2770</v>
      </c>
      <c r="B956" s="17">
        <v>43326</v>
      </c>
      <c r="C956" s="17">
        <v>43326</v>
      </c>
      <c r="D956" t="s">
        <v>0</v>
      </c>
      <c r="E956" t="s">
        <v>1</v>
      </c>
      <c r="F956" s="18">
        <v>58671</v>
      </c>
      <c r="G956" s="18">
        <v>58671</v>
      </c>
      <c r="H956" t="s">
        <v>2</v>
      </c>
      <c r="I956" t="s">
        <v>8</v>
      </c>
      <c r="J956" s="18">
        <v>4855025.25</v>
      </c>
      <c r="K956" t="s">
        <v>2658</v>
      </c>
      <c r="L956" t="s">
        <v>9</v>
      </c>
      <c r="M956" t="s">
        <v>2771</v>
      </c>
      <c r="N956" t="s">
        <v>3</v>
      </c>
      <c r="O956" t="s">
        <v>3</v>
      </c>
      <c r="P956" t="s">
        <v>5</v>
      </c>
      <c r="Q956" t="s">
        <v>2772</v>
      </c>
      <c r="R956" t="s">
        <v>3</v>
      </c>
      <c r="S956" t="s">
        <v>3</v>
      </c>
      <c r="T956" t="s">
        <v>3</v>
      </c>
      <c r="U956" t="s">
        <v>3</v>
      </c>
      <c r="V956" t="s">
        <v>3</v>
      </c>
      <c r="W956" t="s">
        <v>68</v>
      </c>
      <c r="X956" s="17">
        <v>43646</v>
      </c>
      <c r="Y956" t="s">
        <v>2487</v>
      </c>
      <c r="Z956" s="17">
        <v>43326</v>
      </c>
      <c r="AA956" t="s">
        <v>3</v>
      </c>
      <c r="AB956" t="s">
        <v>2770</v>
      </c>
    </row>
    <row r="957" spans="1:28" hidden="1">
      <c r="A957" t="s">
        <v>2685</v>
      </c>
      <c r="B957" s="17">
        <v>43328</v>
      </c>
      <c r="C957" s="17">
        <v>43328</v>
      </c>
      <c r="D957" t="s">
        <v>0</v>
      </c>
      <c r="E957" t="s">
        <v>1</v>
      </c>
      <c r="F957" s="18">
        <v>-76806</v>
      </c>
      <c r="G957" s="18">
        <v>-76806</v>
      </c>
      <c r="H957" t="s">
        <v>2</v>
      </c>
      <c r="I957" t="s">
        <v>10</v>
      </c>
      <c r="J957" s="18">
        <v>-6355696.5099999998</v>
      </c>
      <c r="K957" t="s">
        <v>2686</v>
      </c>
      <c r="L957" t="s">
        <v>9</v>
      </c>
      <c r="M957" t="s">
        <v>2687</v>
      </c>
      <c r="N957" t="s">
        <v>3</v>
      </c>
      <c r="O957" t="s">
        <v>3</v>
      </c>
      <c r="P957" t="s">
        <v>5</v>
      </c>
      <c r="Q957" t="s">
        <v>2688</v>
      </c>
      <c r="R957" t="s">
        <v>3</v>
      </c>
      <c r="S957" t="s">
        <v>3</v>
      </c>
      <c r="T957" t="s">
        <v>3</v>
      </c>
      <c r="U957" t="s">
        <v>3</v>
      </c>
      <c r="V957" t="s">
        <v>3</v>
      </c>
      <c r="W957" t="s">
        <v>68</v>
      </c>
      <c r="X957" s="17">
        <v>43519</v>
      </c>
      <c r="Y957" t="s">
        <v>2348</v>
      </c>
      <c r="Z957" s="17">
        <v>43328</v>
      </c>
      <c r="AA957" t="s">
        <v>3</v>
      </c>
      <c r="AB957" t="s">
        <v>2685</v>
      </c>
    </row>
    <row r="958" spans="1:28" hidden="1">
      <c r="A958" t="s">
        <v>2689</v>
      </c>
      <c r="B958" s="17">
        <v>43328</v>
      </c>
      <c r="C958" s="17">
        <v>43328</v>
      </c>
      <c r="D958" t="s">
        <v>0</v>
      </c>
      <c r="E958" t="s">
        <v>1</v>
      </c>
      <c r="F958" s="18">
        <v>-128442</v>
      </c>
      <c r="G958" s="18">
        <v>-128442</v>
      </c>
      <c r="H958" t="s">
        <v>2</v>
      </c>
      <c r="I958" t="s">
        <v>10</v>
      </c>
      <c r="J958" s="18">
        <v>-10628575.5</v>
      </c>
      <c r="K958" t="s">
        <v>2690</v>
      </c>
      <c r="L958" t="s">
        <v>9</v>
      </c>
      <c r="M958" t="s">
        <v>2691</v>
      </c>
      <c r="N958" t="s">
        <v>3</v>
      </c>
      <c r="O958" t="s">
        <v>3</v>
      </c>
      <c r="P958" t="s">
        <v>5</v>
      </c>
      <c r="Q958" t="s">
        <v>2692</v>
      </c>
      <c r="R958" t="s">
        <v>3</v>
      </c>
      <c r="S958" t="s">
        <v>3</v>
      </c>
      <c r="T958" t="s">
        <v>3</v>
      </c>
      <c r="U958" t="s">
        <v>3</v>
      </c>
      <c r="V958" t="s">
        <v>3</v>
      </c>
      <c r="W958" t="s">
        <v>68</v>
      </c>
      <c r="X958" s="17">
        <v>43359</v>
      </c>
      <c r="Y958" t="s">
        <v>2693</v>
      </c>
      <c r="Z958" s="17">
        <v>43328</v>
      </c>
      <c r="AA958" t="s">
        <v>3</v>
      </c>
      <c r="AB958" t="s">
        <v>2689</v>
      </c>
    </row>
    <row r="959" spans="1:28" hidden="1">
      <c r="A959" t="s">
        <v>2694</v>
      </c>
      <c r="B959" s="17">
        <v>43328</v>
      </c>
      <c r="C959" s="17">
        <v>43328</v>
      </c>
      <c r="D959" t="s">
        <v>0</v>
      </c>
      <c r="E959" t="s">
        <v>1</v>
      </c>
      <c r="F959" s="18">
        <v>-15945</v>
      </c>
      <c r="G959" s="18">
        <v>-15945</v>
      </c>
      <c r="H959" t="s">
        <v>2</v>
      </c>
      <c r="I959" t="s">
        <v>10</v>
      </c>
      <c r="J959" s="18">
        <v>-1319448.75</v>
      </c>
      <c r="K959" t="s">
        <v>2695</v>
      </c>
      <c r="L959" t="s">
        <v>9</v>
      </c>
      <c r="M959" t="s">
        <v>2696</v>
      </c>
      <c r="N959" t="s">
        <v>3</v>
      </c>
      <c r="O959" t="s">
        <v>3</v>
      </c>
      <c r="P959" t="s">
        <v>5</v>
      </c>
      <c r="Q959" t="s">
        <v>2697</v>
      </c>
      <c r="R959" t="s">
        <v>3</v>
      </c>
      <c r="S959" t="s">
        <v>3</v>
      </c>
      <c r="T959" t="s">
        <v>3</v>
      </c>
      <c r="U959" t="s">
        <v>3</v>
      </c>
      <c r="V959" t="s">
        <v>3</v>
      </c>
      <c r="W959" t="s">
        <v>68</v>
      </c>
      <c r="X959" s="17">
        <v>43346</v>
      </c>
      <c r="Y959" t="s">
        <v>2698</v>
      </c>
      <c r="Z959" s="17">
        <v>43328</v>
      </c>
      <c r="AA959" t="s">
        <v>3</v>
      </c>
      <c r="AB959" t="s">
        <v>2694</v>
      </c>
    </row>
    <row r="960" spans="1:28" hidden="1">
      <c r="A960" t="s">
        <v>2699</v>
      </c>
      <c r="B960" s="17">
        <v>43328</v>
      </c>
      <c r="C960" s="17">
        <v>43328</v>
      </c>
      <c r="D960" t="s">
        <v>0</v>
      </c>
      <c r="E960" t="s">
        <v>1</v>
      </c>
      <c r="F960" s="18">
        <v>-423512</v>
      </c>
      <c r="G960" s="18">
        <v>-423512</v>
      </c>
      <c r="H960" t="s">
        <v>2</v>
      </c>
      <c r="I960" t="s">
        <v>8</v>
      </c>
      <c r="J960" s="18">
        <v>-35045618</v>
      </c>
      <c r="K960" t="s">
        <v>2700</v>
      </c>
      <c r="L960" t="s">
        <v>9</v>
      </c>
      <c r="M960" t="s">
        <v>2701</v>
      </c>
      <c r="N960" t="s">
        <v>3</v>
      </c>
      <c r="O960" t="s">
        <v>3</v>
      </c>
      <c r="P960" t="s">
        <v>5</v>
      </c>
      <c r="Q960" t="s">
        <v>2702</v>
      </c>
      <c r="R960" t="s">
        <v>3</v>
      </c>
      <c r="S960" t="s">
        <v>3</v>
      </c>
      <c r="T960" t="s">
        <v>3</v>
      </c>
      <c r="U960" t="s">
        <v>3</v>
      </c>
      <c r="V960" t="s">
        <v>3</v>
      </c>
      <c r="W960" t="s">
        <v>68</v>
      </c>
      <c r="X960" s="17">
        <v>43587</v>
      </c>
      <c r="Y960" t="s">
        <v>2430</v>
      </c>
      <c r="Z960" s="17">
        <v>43328</v>
      </c>
      <c r="AA960" t="s">
        <v>3</v>
      </c>
      <c r="AB960" t="s">
        <v>2699</v>
      </c>
    </row>
    <row r="961" spans="1:28" hidden="1">
      <c r="A961" t="s">
        <v>2716</v>
      </c>
      <c r="B961" s="17">
        <v>43332</v>
      </c>
      <c r="C961" s="17">
        <v>43332</v>
      </c>
      <c r="D961" t="s">
        <v>0</v>
      </c>
      <c r="E961" t="s">
        <v>1</v>
      </c>
      <c r="F961" s="18">
        <v>23935</v>
      </c>
      <c r="G961" s="18">
        <v>23935</v>
      </c>
      <c r="H961" t="s">
        <v>2</v>
      </c>
      <c r="I961" t="s">
        <v>8</v>
      </c>
      <c r="J961" s="18">
        <v>1980621.25</v>
      </c>
      <c r="K961" t="s">
        <v>2678</v>
      </c>
      <c r="L961" t="s">
        <v>9</v>
      </c>
      <c r="M961" t="s">
        <v>2717</v>
      </c>
      <c r="N961" t="s">
        <v>3</v>
      </c>
      <c r="O961" t="s">
        <v>3</v>
      </c>
      <c r="P961" t="s">
        <v>5</v>
      </c>
      <c r="Q961" t="s">
        <v>2718</v>
      </c>
      <c r="R961" t="s">
        <v>3</v>
      </c>
      <c r="S961" t="s">
        <v>3</v>
      </c>
      <c r="T961" t="s">
        <v>3</v>
      </c>
      <c r="U961" t="s">
        <v>3</v>
      </c>
      <c r="V961" t="s">
        <v>3</v>
      </c>
      <c r="W961" t="s">
        <v>68</v>
      </c>
      <c r="X961" s="17">
        <v>43587</v>
      </c>
      <c r="Y961" t="s">
        <v>2439</v>
      </c>
      <c r="Z961" s="17">
        <v>43332</v>
      </c>
      <c r="AA961" t="s">
        <v>3</v>
      </c>
      <c r="AB961" t="s">
        <v>2716</v>
      </c>
    </row>
    <row r="962" spans="1:28" hidden="1">
      <c r="A962" t="s">
        <v>2745</v>
      </c>
      <c r="B962" s="17">
        <v>43332</v>
      </c>
      <c r="C962" s="17">
        <v>43332</v>
      </c>
      <c r="D962" t="s">
        <v>0</v>
      </c>
      <c r="E962" t="s">
        <v>1</v>
      </c>
      <c r="F962" s="18">
        <v>21235</v>
      </c>
      <c r="G962" s="18">
        <v>21235</v>
      </c>
      <c r="H962" t="s">
        <v>2</v>
      </c>
      <c r="I962" t="s">
        <v>10</v>
      </c>
      <c r="J962" s="18">
        <v>1757196.25</v>
      </c>
      <c r="K962" t="s">
        <v>2724</v>
      </c>
      <c r="L962" t="s">
        <v>9</v>
      </c>
      <c r="M962" t="s">
        <v>2746</v>
      </c>
      <c r="N962" t="s">
        <v>3</v>
      </c>
      <c r="O962" t="s">
        <v>3</v>
      </c>
      <c r="P962" t="s">
        <v>5</v>
      </c>
      <c r="Q962" t="s">
        <v>2747</v>
      </c>
      <c r="R962" t="s">
        <v>3</v>
      </c>
      <c r="S962" t="s">
        <v>3</v>
      </c>
      <c r="T962" t="s">
        <v>3</v>
      </c>
      <c r="U962" t="s">
        <v>3</v>
      </c>
      <c r="V962" t="s">
        <v>3</v>
      </c>
      <c r="W962" t="s">
        <v>68</v>
      </c>
      <c r="X962" s="17">
        <v>43519</v>
      </c>
      <c r="Y962" t="s">
        <v>2390</v>
      </c>
      <c r="Z962" s="17">
        <v>43332</v>
      </c>
      <c r="AA962" t="s">
        <v>3</v>
      </c>
      <c r="AB962" t="s">
        <v>2745</v>
      </c>
    </row>
    <row r="963" spans="1:28" hidden="1">
      <c r="A963" t="s">
        <v>2748</v>
      </c>
      <c r="B963" s="17">
        <v>43332</v>
      </c>
      <c r="C963" s="17">
        <v>43332</v>
      </c>
      <c r="D963" t="s">
        <v>0</v>
      </c>
      <c r="E963" t="s">
        <v>1</v>
      </c>
      <c r="F963" s="18">
        <v>47571</v>
      </c>
      <c r="G963" s="18">
        <v>47571</v>
      </c>
      <c r="H963" t="s">
        <v>2</v>
      </c>
      <c r="I963" t="s">
        <v>8</v>
      </c>
      <c r="J963" s="18">
        <v>3936500.25</v>
      </c>
      <c r="K963" t="s">
        <v>2732</v>
      </c>
      <c r="L963" t="s">
        <v>9</v>
      </c>
      <c r="M963" t="s">
        <v>2749</v>
      </c>
      <c r="N963" t="s">
        <v>3</v>
      </c>
      <c r="O963" t="s">
        <v>3</v>
      </c>
      <c r="P963" t="s">
        <v>5</v>
      </c>
      <c r="Q963" t="s">
        <v>2750</v>
      </c>
      <c r="R963" t="s">
        <v>3</v>
      </c>
      <c r="S963" t="s">
        <v>3</v>
      </c>
      <c r="T963" t="s">
        <v>3</v>
      </c>
      <c r="U963" t="s">
        <v>3</v>
      </c>
      <c r="V963" t="s">
        <v>3</v>
      </c>
      <c r="W963" t="s">
        <v>68</v>
      </c>
      <c r="X963" s="17">
        <v>43587</v>
      </c>
      <c r="Y963" t="s">
        <v>2420</v>
      </c>
      <c r="Z963" s="17">
        <v>43332</v>
      </c>
      <c r="AA963" t="s">
        <v>3</v>
      </c>
      <c r="AB963" t="s">
        <v>2748</v>
      </c>
    </row>
    <row r="964" spans="1:28" hidden="1">
      <c r="A964" t="s">
        <v>2751</v>
      </c>
      <c r="B964" s="17">
        <v>43332</v>
      </c>
      <c r="C964" s="17">
        <v>43332</v>
      </c>
      <c r="D964" t="s">
        <v>0</v>
      </c>
      <c r="E964" t="s">
        <v>1</v>
      </c>
      <c r="F964" s="18">
        <v>17128</v>
      </c>
      <c r="G964" s="18">
        <v>17128</v>
      </c>
      <c r="H964" t="s">
        <v>2</v>
      </c>
      <c r="I964" t="s">
        <v>8</v>
      </c>
      <c r="J964" s="18">
        <v>1417342</v>
      </c>
      <c r="K964" t="s">
        <v>2732</v>
      </c>
      <c r="L964" t="s">
        <v>9</v>
      </c>
      <c r="M964" t="s">
        <v>2752</v>
      </c>
      <c r="N964" t="s">
        <v>3</v>
      </c>
      <c r="O964" t="s">
        <v>3</v>
      </c>
      <c r="P964" t="s">
        <v>5</v>
      </c>
      <c r="Q964" t="s">
        <v>2753</v>
      </c>
      <c r="R964" t="s">
        <v>3</v>
      </c>
      <c r="S964" t="s">
        <v>3</v>
      </c>
      <c r="T964" t="s">
        <v>3</v>
      </c>
      <c r="U964" t="s">
        <v>3</v>
      </c>
      <c r="V964" t="s">
        <v>3</v>
      </c>
      <c r="W964" t="s">
        <v>68</v>
      </c>
      <c r="X964" s="17">
        <v>43587</v>
      </c>
      <c r="Y964" t="s">
        <v>2420</v>
      </c>
      <c r="Z964" s="17">
        <v>43332</v>
      </c>
      <c r="AA964" t="s">
        <v>3</v>
      </c>
      <c r="AB964" t="s">
        <v>2751</v>
      </c>
    </row>
    <row r="965" spans="1:28" hidden="1">
      <c r="A965" t="s">
        <v>2754</v>
      </c>
      <c r="B965" s="17">
        <v>43332</v>
      </c>
      <c r="C965" s="17">
        <v>43332</v>
      </c>
      <c r="D965" t="s">
        <v>0</v>
      </c>
      <c r="E965" t="s">
        <v>1</v>
      </c>
      <c r="F965" s="18">
        <v>20018</v>
      </c>
      <c r="G965" s="18">
        <v>20018</v>
      </c>
      <c r="H965" t="s">
        <v>2</v>
      </c>
      <c r="I965" t="s">
        <v>8</v>
      </c>
      <c r="J965" s="18">
        <v>1656489.5</v>
      </c>
      <c r="K965" t="s">
        <v>2732</v>
      </c>
      <c r="L965" t="s">
        <v>9</v>
      </c>
      <c r="M965" t="s">
        <v>2755</v>
      </c>
      <c r="N965" t="s">
        <v>3</v>
      </c>
      <c r="O965" t="s">
        <v>3</v>
      </c>
      <c r="P965" t="s">
        <v>5</v>
      </c>
      <c r="Q965" t="s">
        <v>2756</v>
      </c>
      <c r="R965" t="s">
        <v>3</v>
      </c>
      <c r="S965" t="s">
        <v>3</v>
      </c>
      <c r="T965" t="s">
        <v>3</v>
      </c>
      <c r="U965" t="s">
        <v>3</v>
      </c>
      <c r="V965" t="s">
        <v>3</v>
      </c>
      <c r="W965" t="s">
        <v>68</v>
      </c>
      <c r="X965" s="17">
        <v>43587</v>
      </c>
      <c r="Y965" t="s">
        <v>2420</v>
      </c>
      <c r="Z965" s="17">
        <v>43332</v>
      </c>
      <c r="AA965" t="s">
        <v>3</v>
      </c>
      <c r="AB965" t="s">
        <v>2754</v>
      </c>
    </row>
    <row r="966" spans="1:28" hidden="1">
      <c r="A966" t="s">
        <v>2754</v>
      </c>
      <c r="B966" s="17">
        <v>43332</v>
      </c>
      <c r="C966" s="17">
        <v>43332</v>
      </c>
      <c r="D966" t="s">
        <v>0</v>
      </c>
      <c r="E966" t="s">
        <v>1</v>
      </c>
      <c r="F966" s="18">
        <v>2330</v>
      </c>
      <c r="G966" s="18">
        <v>2330</v>
      </c>
      <c r="H966" t="s">
        <v>2</v>
      </c>
      <c r="I966" t="s">
        <v>8</v>
      </c>
      <c r="J966" s="18">
        <v>192807.5</v>
      </c>
      <c r="K966" t="s">
        <v>2736</v>
      </c>
      <c r="L966" t="s">
        <v>9</v>
      </c>
      <c r="M966" t="s">
        <v>2755</v>
      </c>
      <c r="N966" t="s">
        <v>3</v>
      </c>
      <c r="O966" t="s">
        <v>3</v>
      </c>
      <c r="P966" t="s">
        <v>5</v>
      </c>
      <c r="Q966" t="s">
        <v>2756</v>
      </c>
      <c r="R966" t="s">
        <v>3</v>
      </c>
      <c r="S966" t="s">
        <v>3</v>
      </c>
      <c r="T966" t="s">
        <v>3</v>
      </c>
      <c r="U966" t="s">
        <v>3</v>
      </c>
      <c r="V966" t="s">
        <v>3</v>
      </c>
      <c r="W966" t="s">
        <v>68</v>
      </c>
      <c r="X966" s="17">
        <v>43587</v>
      </c>
      <c r="Y966" t="s">
        <v>2430</v>
      </c>
      <c r="Z966" s="17">
        <v>43332</v>
      </c>
      <c r="AA966" t="s">
        <v>3</v>
      </c>
      <c r="AB966" t="s">
        <v>2754</v>
      </c>
    </row>
    <row r="967" spans="1:28" hidden="1">
      <c r="A967" t="s">
        <v>2760</v>
      </c>
      <c r="B967" s="17">
        <v>43332</v>
      </c>
      <c r="C967" s="17">
        <v>43332</v>
      </c>
      <c r="D967" t="s">
        <v>0</v>
      </c>
      <c r="E967" t="s">
        <v>1</v>
      </c>
      <c r="F967" s="18">
        <v>7487</v>
      </c>
      <c r="G967" s="18">
        <v>7487</v>
      </c>
      <c r="H967" t="s">
        <v>2</v>
      </c>
      <c r="I967" t="s">
        <v>10</v>
      </c>
      <c r="J967" s="18">
        <v>617677.5</v>
      </c>
      <c r="K967" t="s">
        <v>2761</v>
      </c>
      <c r="L967" t="s">
        <v>9</v>
      </c>
      <c r="M967" t="s">
        <v>2762</v>
      </c>
      <c r="N967" t="s">
        <v>3</v>
      </c>
      <c r="O967" t="s">
        <v>3</v>
      </c>
      <c r="P967" t="s">
        <v>5</v>
      </c>
      <c r="Q967" t="s">
        <v>2763</v>
      </c>
      <c r="R967" t="s">
        <v>3</v>
      </c>
      <c r="S967" t="s">
        <v>3</v>
      </c>
      <c r="T967" t="s">
        <v>3</v>
      </c>
      <c r="U967" t="s">
        <v>3</v>
      </c>
      <c r="V967" t="s">
        <v>3</v>
      </c>
      <c r="W967" t="s">
        <v>68</v>
      </c>
      <c r="X967" s="17">
        <v>43519</v>
      </c>
      <c r="Y967" t="s">
        <v>2023</v>
      </c>
      <c r="Z967" s="17">
        <v>43332</v>
      </c>
      <c r="AA967" t="s">
        <v>3</v>
      </c>
      <c r="AB967" t="s">
        <v>2760</v>
      </c>
    </row>
    <row r="968" spans="1:28" hidden="1">
      <c r="A968" t="s">
        <v>2760</v>
      </c>
      <c r="B968" s="17">
        <v>43332</v>
      </c>
      <c r="C968" s="17">
        <v>43332</v>
      </c>
      <c r="D968" t="s">
        <v>0</v>
      </c>
      <c r="E968" t="s">
        <v>1</v>
      </c>
      <c r="F968" s="18">
        <v>5778</v>
      </c>
      <c r="G968" s="18">
        <v>5778</v>
      </c>
      <c r="H968" t="s">
        <v>2</v>
      </c>
      <c r="I968" t="s">
        <v>10</v>
      </c>
      <c r="J968" s="18">
        <v>477840.6</v>
      </c>
      <c r="K968" t="s">
        <v>2588</v>
      </c>
      <c r="L968" t="s">
        <v>9</v>
      </c>
      <c r="M968" t="s">
        <v>2762</v>
      </c>
      <c r="N968" t="s">
        <v>3</v>
      </c>
      <c r="O968" t="s">
        <v>3</v>
      </c>
      <c r="P968" t="s">
        <v>5</v>
      </c>
      <c r="Q968" t="s">
        <v>2763</v>
      </c>
      <c r="R968" t="s">
        <v>3</v>
      </c>
      <c r="S968" t="s">
        <v>3</v>
      </c>
      <c r="T968" t="s">
        <v>3</v>
      </c>
      <c r="U968" t="s">
        <v>3</v>
      </c>
      <c r="V968" t="s">
        <v>3</v>
      </c>
      <c r="W968" t="s">
        <v>68</v>
      </c>
      <c r="X968" s="17">
        <v>43519</v>
      </c>
      <c r="Y968" t="s">
        <v>2197</v>
      </c>
      <c r="Z968" s="17">
        <v>43332</v>
      </c>
      <c r="AA968" t="s">
        <v>3</v>
      </c>
      <c r="AB968" t="s">
        <v>2760</v>
      </c>
    </row>
    <row r="969" spans="1:28" hidden="1">
      <c r="A969" t="s">
        <v>2760</v>
      </c>
      <c r="B969" s="17">
        <v>43332</v>
      </c>
      <c r="C969" s="17">
        <v>43332</v>
      </c>
      <c r="D969" t="s">
        <v>0</v>
      </c>
      <c r="E969" t="s">
        <v>1</v>
      </c>
      <c r="F969" s="18">
        <v>12346</v>
      </c>
      <c r="G969" s="18">
        <v>12346</v>
      </c>
      <c r="H969" t="s">
        <v>2</v>
      </c>
      <c r="I969" t="s">
        <v>10</v>
      </c>
      <c r="J969" s="18">
        <v>1021631.5</v>
      </c>
      <c r="K969" t="s">
        <v>2720</v>
      </c>
      <c r="L969" t="s">
        <v>9</v>
      </c>
      <c r="M969" t="s">
        <v>2762</v>
      </c>
      <c r="N969" t="s">
        <v>3</v>
      </c>
      <c r="O969" t="s">
        <v>3</v>
      </c>
      <c r="P969" t="s">
        <v>5</v>
      </c>
      <c r="Q969" t="s">
        <v>2763</v>
      </c>
      <c r="R969" t="s">
        <v>3</v>
      </c>
      <c r="S969" t="s">
        <v>3</v>
      </c>
      <c r="T969" t="s">
        <v>3</v>
      </c>
      <c r="U969" t="s">
        <v>3</v>
      </c>
      <c r="V969" t="s">
        <v>3</v>
      </c>
      <c r="W969" t="s">
        <v>68</v>
      </c>
      <c r="X969" s="17">
        <v>43519</v>
      </c>
      <c r="Y969" t="s">
        <v>2387</v>
      </c>
      <c r="Z969" s="17">
        <v>43332</v>
      </c>
      <c r="AA969" t="s">
        <v>3</v>
      </c>
      <c r="AB969" t="s">
        <v>2760</v>
      </c>
    </row>
    <row r="970" spans="1:28" hidden="1">
      <c r="A970" t="s">
        <v>2728</v>
      </c>
      <c r="B970" s="17">
        <v>43341</v>
      </c>
      <c r="C970" s="17">
        <v>43341</v>
      </c>
      <c r="D970" t="s">
        <v>0</v>
      </c>
      <c r="E970" t="s">
        <v>1</v>
      </c>
      <c r="F970" s="18">
        <v>69002</v>
      </c>
      <c r="G970" s="18">
        <v>69002</v>
      </c>
      <c r="H970" t="s">
        <v>2</v>
      </c>
      <c r="I970" t="s">
        <v>10</v>
      </c>
      <c r="J970" s="18">
        <v>5709915.5099999998</v>
      </c>
      <c r="K970" t="s">
        <v>2671</v>
      </c>
      <c r="L970" t="s">
        <v>9</v>
      </c>
      <c r="M970" t="s">
        <v>2729</v>
      </c>
      <c r="N970" t="s">
        <v>3</v>
      </c>
      <c r="O970" t="s">
        <v>3</v>
      </c>
      <c r="P970" t="s">
        <v>5</v>
      </c>
      <c r="Q970" t="s">
        <v>2730</v>
      </c>
      <c r="R970" t="s">
        <v>3</v>
      </c>
      <c r="S970" t="s">
        <v>3</v>
      </c>
      <c r="T970" t="s">
        <v>3</v>
      </c>
      <c r="U970" t="s">
        <v>3</v>
      </c>
      <c r="V970" t="s">
        <v>3</v>
      </c>
      <c r="W970" t="s">
        <v>68</v>
      </c>
      <c r="X970" s="17">
        <v>43519</v>
      </c>
      <c r="Y970" t="s">
        <v>2376</v>
      </c>
      <c r="Z970" s="17">
        <v>43341</v>
      </c>
      <c r="AA970" t="s">
        <v>3</v>
      </c>
      <c r="AB970" t="s">
        <v>2728</v>
      </c>
    </row>
    <row r="971" spans="1:28" hidden="1">
      <c r="A971" t="s">
        <v>2731</v>
      </c>
      <c r="B971" s="17">
        <v>43341</v>
      </c>
      <c r="C971" s="17">
        <v>43341</v>
      </c>
      <c r="D971" t="s">
        <v>0</v>
      </c>
      <c r="E971" t="s">
        <v>1</v>
      </c>
      <c r="F971" s="18">
        <v>17244</v>
      </c>
      <c r="G971" s="18">
        <v>17244</v>
      </c>
      <c r="H971" t="s">
        <v>2</v>
      </c>
      <c r="I971" t="s">
        <v>8</v>
      </c>
      <c r="J971" s="18">
        <v>1426941</v>
      </c>
      <c r="K971" t="s">
        <v>2732</v>
      </c>
      <c r="L971" t="s">
        <v>9</v>
      </c>
      <c r="M971" t="s">
        <v>2733</v>
      </c>
      <c r="N971" t="s">
        <v>3</v>
      </c>
      <c r="O971" t="s">
        <v>3</v>
      </c>
      <c r="P971" t="s">
        <v>5</v>
      </c>
      <c r="Q971" t="s">
        <v>2734</v>
      </c>
      <c r="R971" t="s">
        <v>3</v>
      </c>
      <c r="S971" t="s">
        <v>3</v>
      </c>
      <c r="T971" t="s">
        <v>3</v>
      </c>
      <c r="U971" t="s">
        <v>3</v>
      </c>
      <c r="V971" t="s">
        <v>3</v>
      </c>
      <c r="W971" t="s">
        <v>68</v>
      </c>
      <c r="X971" s="17">
        <v>43587</v>
      </c>
      <c r="Y971" t="s">
        <v>2420</v>
      </c>
      <c r="Z971" s="17">
        <v>43341</v>
      </c>
      <c r="AA971" t="s">
        <v>3</v>
      </c>
      <c r="AB971" t="s">
        <v>2731</v>
      </c>
    </row>
    <row r="972" spans="1:28" hidden="1">
      <c r="A972" t="s">
        <v>2735</v>
      </c>
      <c r="B972" s="17">
        <v>43341</v>
      </c>
      <c r="C972" s="17">
        <v>43341</v>
      </c>
      <c r="D972" t="s">
        <v>0</v>
      </c>
      <c r="E972" t="s">
        <v>1</v>
      </c>
      <c r="F972" s="18">
        <v>19389</v>
      </c>
      <c r="G972" s="18">
        <v>19389</v>
      </c>
      <c r="H972" t="s">
        <v>2</v>
      </c>
      <c r="I972" t="s">
        <v>8</v>
      </c>
      <c r="J972" s="18">
        <v>1604439.75</v>
      </c>
      <c r="K972" t="s">
        <v>2736</v>
      </c>
      <c r="L972" t="s">
        <v>9</v>
      </c>
      <c r="M972" t="s">
        <v>2737</v>
      </c>
      <c r="N972" t="s">
        <v>3</v>
      </c>
      <c r="O972" t="s">
        <v>3</v>
      </c>
      <c r="P972" t="s">
        <v>5</v>
      </c>
      <c r="Q972" t="s">
        <v>2738</v>
      </c>
      <c r="R972" t="s">
        <v>3</v>
      </c>
      <c r="S972" t="s">
        <v>3</v>
      </c>
      <c r="T972" t="s">
        <v>3</v>
      </c>
      <c r="U972" t="s">
        <v>3</v>
      </c>
      <c r="V972" t="s">
        <v>3</v>
      </c>
      <c r="W972" t="s">
        <v>68</v>
      </c>
      <c r="X972" s="17">
        <v>43587</v>
      </c>
      <c r="Y972" t="s">
        <v>2430</v>
      </c>
      <c r="Z972" s="17">
        <v>43341</v>
      </c>
      <c r="AA972" t="s">
        <v>3</v>
      </c>
      <c r="AB972" t="s">
        <v>2735</v>
      </c>
    </row>
    <row r="973" spans="1:28" hidden="1">
      <c r="A973" t="s">
        <v>2739</v>
      </c>
      <c r="B973" s="17">
        <v>43341</v>
      </c>
      <c r="C973" s="17">
        <v>43341</v>
      </c>
      <c r="D973" t="s">
        <v>0</v>
      </c>
      <c r="E973" t="s">
        <v>1</v>
      </c>
      <c r="F973" s="18">
        <v>42502</v>
      </c>
      <c r="G973" s="18">
        <v>42502</v>
      </c>
      <c r="H973" t="s">
        <v>2</v>
      </c>
      <c r="I973" t="s">
        <v>8</v>
      </c>
      <c r="J973" s="18">
        <v>3517040.5</v>
      </c>
      <c r="K973" t="s">
        <v>2736</v>
      </c>
      <c r="L973" t="s">
        <v>9</v>
      </c>
      <c r="M973" t="s">
        <v>2740</v>
      </c>
      <c r="N973" t="s">
        <v>3</v>
      </c>
      <c r="O973" t="s">
        <v>3</v>
      </c>
      <c r="P973" t="s">
        <v>5</v>
      </c>
      <c r="Q973" t="s">
        <v>2741</v>
      </c>
      <c r="R973" t="s">
        <v>3</v>
      </c>
      <c r="S973" t="s">
        <v>3</v>
      </c>
      <c r="T973" t="s">
        <v>3</v>
      </c>
      <c r="U973" t="s">
        <v>3</v>
      </c>
      <c r="V973" t="s">
        <v>3</v>
      </c>
      <c r="W973" t="s">
        <v>68</v>
      </c>
      <c r="X973" s="17">
        <v>43587</v>
      </c>
      <c r="Y973" t="s">
        <v>2430</v>
      </c>
      <c r="Z973" s="17">
        <v>43341</v>
      </c>
      <c r="AA973" t="s">
        <v>3</v>
      </c>
      <c r="AB973" t="s">
        <v>2739</v>
      </c>
    </row>
    <row r="974" spans="1:28" hidden="1">
      <c r="A974" t="s">
        <v>2742</v>
      </c>
      <c r="B974" s="17">
        <v>43341</v>
      </c>
      <c r="C974" s="17">
        <v>43341</v>
      </c>
      <c r="D974" t="s">
        <v>0</v>
      </c>
      <c r="E974" t="s">
        <v>1</v>
      </c>
      <c r="F974" s="18">
        <v>38610</v>
      </c>
      <c r="G974" s="18">
        <v>38610</v>
      </c>
      <c r="H974" t="s">
        <v>2</v>
      </c>
      <c r="I974" t="s">
        <v>8</v>
      </c>
      <c r="J974" s="18">
        <v>3194977.5</v>
      </c>
      <c r="K974" t="s">
        <v>2732</v>
      </c>
      <c r="L974" t="s">
        <v>9</v>
      </c>
      <c r="M974" t="s">
        <v>2743</v>
      </c>
      <c r="N974" t="s">
        <v>3</v>
      </c>
      <c r="O974" t="s">
        <v>3</v>
      </c>
      <c r="P974" t="s">
        <v>5</v>
      </c>
      <c r="Q974" t="s">
        <v>2744</v>
      </c>
      <c r="R974" t="s">
        <v>3</v>
      </c>
      <c r="S974" t="s">
        <v>3</v>
      </c>
      <c r="T974" t="s">
        <v>3</v>
      </c>
      <c r="U974" t="s">
        <v>3</v>
      </c>
      <c r="V974" t="s">
        <v>3</v>
      </c>
      <c r="W974" t="s">
        <v>68</v>
      </c>
      <c r="X974" s="17">
        <v>43587</v>
      </c>
      <c r="Y974" t="s">
        <v>2420</v>
      </c>
      <c r="Z974" s="17">
        <v>43341</v>
      </c>
      <c r="AA974" t="s">
        <v>3</v>
      </c>
      <c r="AB974" t="s">
        <v>2742</v>
      </c>
    </row>
    <row r="975" spans="1:28" hidden="1">
      <c r="A975" t="s">
        <v>2757</v>
      </c>
      <c r="B975" s="17">
        <v>43341</v>
      </c>
      <c r="C975" s="17">
        <v>43341</v>
      </c>
      <c r="D975" t="s">
        <v>0</v>
      </c>
      <c r="E975" t="s">
        <v>1</v>
      </c>
      <c r="F975" s="18">
        <v>67752</v>
      </c>
      <c r="G975" s="18">
        <v>67752</v>
      </c>
      <c r="H975" t="s">
        <v>2</v>
      </c>
      <c r="I975" t="s">
        <v>10</v>
      </c>
      <c r="J975" s="18">
        <v>5606478</v>
      </c>
      <c r="K975" t="s">
        <v>2668</v>
      </c>
      <c r="L975" t="s">
        <v>9</v>
      </c>
      <c r="M975" t="s">
        <v>2758</v>
      </c>
      <c r="N975" t="s">
        <v>3</v>
      </c>
      <c r="O975" t="s">
        <v>3</v>
      </c>
      <c r="P975" t="s">
        <v>5</v>
      </c>
      <c r="Q975" t="s">
        <v>2759</v>
      </c>
      <c r="R975" t="s">
        <v>3</v>
      </c>
      <c r="S975" t="s">
        <v>3</v>
      </c>
      <c r="T975" t="s">
        <v>3</v>
      </c>
      <c r="U975" t="s">
        <v>3</v>
      </c>
      <c r="V975" t="s">
        <v>3</v>
      </c>
      <c r="W975" t="s">
        <v>68</v>
      </c>
      <c r="X975" s="17">
        <v>43519</v>
      </c>
      <c r="Y975" t="s">
        <v>2361</v>
      </c>
      <c r="Z975" s="17">
        <v>43341</v>
      </c>
      <c r="AA975" t="s">
        <v>3</v>
      </c>
      <c r="AB975" t="s">
        <v>2757</v>
      </c>
    </row>
    <row r="976" spans="1:28" hidden="1">
      <c r="A976" t="s">
        <v>2719</v>
      </c>
      <c r="B976" s="17">
        <v>43342</v>
      </c>
      <c r="C976" s="17">
        <v>43342</v>
      </c>
      <c r="D976" t="s">
        <v>0</v>
      </c>
      <c r="E976" t="s">
        <v>1</v>
      </c>
      <c r="F976" s="18">
        <v>21786</v>
      </c>
      <c r="G976" s="18">
        <v>21786</v>
      </c>
      <c r="H976" t="s">
        <v>2</v>
      </c>
      <c r="I976" t="s">
        <v>10</v>
      </c>
      <c r="J976" s="18">
        <v>1802791.5</v>
      </c>
      <c r="K976" t="s">
        <v>2720</v>
      </c>
      <c r="L976" t="s">
        <v>9</v>
      </c>
      <c r="M976" t="s">
        <v>2721</v>
      </c>
      <c r="N976" t="s">
        <v>3</v>
      </c>
      <c r="O976" t="s">
        <v>3</v>
      </c>
      <c r="P976" t="s">
        <v>5</v>
      </c>
      <c r="Q976" t="s">
        <v>2722</v>
      </c>
      <c r="R976" t="s">
        <v>3</v>
      </c>
      <c r="S976" t="s">
        <v>3</v>
      </c>
      <c r="T976" t="s">
        <v>3</v>
      </c>
      <c r="U976" t="s">
        <v>3</v>
      </c>
      <c r="V976" t="s">
        <v>3</v>
      </c>
      <c r="W976" t="s">
        <v>68</v>
      </c>
      <c r="X976" s="17">
        <v>43519</v>
      </c>
      <c r="Y976" t="s">
        <v>2387</v>
      </c>
      <c r="Z976" s="17">
        <v>43342</v>
      </c>
      <c r="AA976" t="s">
        <v>3</v>
      </c>
      <c r="AB976" t="s">
        <v>2719</v>
      </c>
    </row>
    <row r="977" spans="1:28" hidden="1">
      <c r="A977" t="s">
        <v>2719</v>
      </c>
      <c r="B977" s="17">
        <v>43342</v>
      </c>
      <c r="C977" s="17">
        <v>43342</v>
      </c>
      <c r="D977" t="s">
        <v>0</v>
      </c>
      <c r="E977" t="s">
        <v>1</v>
      </c>
      <c r="F977" s="18">
        <v>41674</v>
      </c>
      <c r="G977" s="18">
        <v>41674</v>
      </c>
      <c r="H977" t="s">
        <v>2</v>
      </c>
      <c r="I977" t="s">
        <v>8</v>
      </c>
      <c r="J977" s="18">
        <v>3448523.5</v>
      </c>
      <c r="K977" t="s">
        <v>2723</v>
      </c>
      <c r="L977" t="s">
        <v>9</v>
      </c>
      <c r="M977" t="s">
        <v>2721</v>
      </c>
      <c r="N977" t="s">
        <v>3</v>
      </c>
      <c r="O977" t="s">
        <v>3</v>
      </c>
      <c r="P977" t="s">
        <v>5</v>
      </c>
      <c r="Q977" t="s">
        <v>2722</v>
      </c>
      <c r="R977" t="s">
        <v>3</v>
      </c>
      <c r="S977" t="s">
        <v>3</v>
      </c>
      <c r="T977" t="s">
        <v>3</v>
      </c>
      <c r="U977" t="s">
        <v>3</v>
      </c>
      <c r="V977" t="s">
        <v>3</v>
      </c>
      <c r="W977" t="s">
        <v>68</v>
      </c>
      <c r="X977" s="17">
        <v>43587</v>
      </c>
      <c r="Y977" t="s">
        <v>2470</v>
      </c>
      <c r="Z977" s="17">
        <v>43342</v>
      </c>
      <c r="AA977" t="s">
        <v>3</v>
      </c>
      <c r="AB977" t="s">
        <v>2719</v>
      </c>
    </row>
    <row r="978" spans="1:28" hidden="1">
      <c r="A978" t="s">
        <v>2719</v>
      </c>
      <c r="B978" s="17">
        <v>43342</v>
      </c>
      <c r="C978" s="17">
        <v>43342</v>
      </c>
      <c r="D978" t="s">
        <v>0</v>
      </c>
      <c r="E978" t="s">
        <v>1</v>
      </c>
      <c r="F978" s="18">
        <v>17210</v>
      </c>
      <c r="G978" s="18">
        <v>17210</v>
      </c>
      <c r="H978" t="s">
        <v>2</v>
      </c>
      <c r="I978" t="s">
        <v>10</v>
      </c>
      <c r="J978" s="18">
        <v>1424127.5</v>
      </c>
      <c r="K978" t="s">
        <v>2724</v>
      </c>
      <c r="L978" t="s">
        <v>9</v>
      </c>
      <c r="M978" t="s">
        <v>2721</v>
      </c>
      <c r="N978" t="s">
        <v>3</v>
      </c>
      <c r="O978" t="s">
        <v>3</v>
      </c>
      <c r="P978" t="s">
        <v>5</v>
      </c>
      <c r="Q978" t="s">
        <v>2722</v>
      </c>
      <c r="R978" t="s">
        <v>3</v>
      </c>
      <c r="S978" t="s">
        <v>3</v>
      </c>
      <c r="T978" t="s">
        <v>3</v>
      </c>
      <c r="U978" t="s">
        <v>3</v>
      </c>
      <c r="V978" t="s">
        <v>3</v>
      </c>
      <c r="W978" t="s">
        <v>68</v>
      </c>
      <c r="X978" s="17">
        <v>43519</v>
      </c>
      <c r="Y978" t="s">
        <v>2390</v>
      </c>
      <c r="Z978" s="17">
        <v>43342</v>
      </c>
      <c r="AA978" t="s">
        <v>3</v>
      </c>
      <c r="AB978" t="s">
        <v>2719</v>
      </c>
    </row>
    <row r="979" spans="1:28" hidden="1">
      <c r="A979" t="s">
        <v>2725</v>
      </c>
      <c r="B979" s="17">
        <v>43342</v>
      </c>
      <c r="C979" s="17">
        <v>43342</v>
      </c>
      <c r="D979" t="s">
        <v>0</v>
      </c>
      <c r="E979" t="s">
        <v>1</v>
      </c>
      <c r="F979" s="18">
        <v>28859</v>
      </c>
      <c r="G979" s="18">
        <v>28859</v>
      </c>
      <c r="H979" t="s">
        <v>2</v>
      </c>
      <c r="I979" t="s">
        <v>10</v>
      </c>
      <c r="J979" s="18">
        <v>2388082.25</v>
      </c>
      <c r="K979" t="s">
        <v>2720</v>
      </c>
      <c r="L979" t="s">
        <v>9</v>
      </c>
      <c r="M979" t="s">
        <v>2726</v>
      </c>
      <c r="N979" t="s">
        <v>3</v>
      </c>
      <c r="O979" t="s">
        <v>3</v>
      </c>
      <c r="P979" t="s">
        <v>5</v>
      </c>
      <c r="Q979" t="s">
        <v>2727</v>
      </c>
      <c r="R979" t="s">
        <v>3</v>
      </c>
      <c r="S979" t="s">
        <v>3</v>
      </c>
      <c r="T979" t="s">
        <v>3</v>
      </c>
      <c r="U979" t="s">
        <v>3</v>
      </c>
      <c r="V979" t="s">
        <v>3</v>
      </c>
      <c r="W979" t="s">
        <v>68</v>
      </c>
      <c r="X979" s="17">
        <v>43519</v>
      </c>
      <c r="Y979" t="s">
        <v>2387</v>
      </c>
      <c r="Z979" s="17">
        <v>43342</v>
      </c>
      <c r="AA979" t="s">
        <v>3</v>
      </c>
      <c r="AB979" t="s">
        <v>2725</v>
      </c>
    </row>
    <row r="980" spans="1:28" hidden="1">
      <c r="A980" t="s">
        <v>2807</v>
      </c>
      <c r="B980" s="17">
        <v>43343</v>
      </c>
      <c r="C980" s="17">
        <v>43343</v>
      </c>
      <c r="D980" t="s">
        <v>0</v>
      </c>
      <c r="E980" t="s">
        <v>1</v>
      </c>
      <c r="F980" s="18">
        <v>393746</v>
      </c>
      <c r="G980" s="18">
        <v>393746</v>
      </c>
      <c r="H980" t="s">
        <v>2</v>
      </c>
      <c r="I980" t="s">
        <v>8</v>
      </c>
      <c r="J980" s="18">
        <v>32582481.5</v>
      </c>
      <c r="K980" t="s">
        <v>2212</v>
      </c>
      <c r="L980" t="s">
        <v>9</v>
      </c>
      <c r="M980" t="s">
        <v>2213</v>
      </c>
      <c r="N980" t="s">
        <v>3</v>
      </c>
      <c r="O980" t="s">
        <v>3</v>
      </c>
      <c r="P980" t="s">
        <v>5</v>
      </c>
      <c r="Q980" t="s">
        <v>2214</v>
      </c>
      <c r="R980" t="s">
        <v>3</v>
      </c>
      <c r="S980" t="s">
        <v>3</v>
      </c>
      <c r="T980" t="s">
        <v>3</v>
      </c>
      <c r="U980" t="s">
        <v>3</v>
      </c>
      <c r="V980" t="s">
        <v>3</v>
      </c>
      <c r="W980" t="s">
        <v>68</v>
      </c>
      <c r="X980" s="17">
        <v>43344</v>
      </c>
      <c r="Y980" t="s">
        <v>2211</v>
      </c>
      <c r="Z980" s="17">
        <v>43312</v>
      </c>
      <c r="AA980" t="s">
        <v>3</v>
      </c>
      <c r="AB980" t="s">
        <v>2807</v>
      </c>
    </row>
    <row r="981" spans="1:28" hidden="1">
      <c r="A981" t="s">
        <v>2807</v>
      </c>
      <c r="B981" s="17">
        <v>43343</v>
      </c>
      <c r="C981" s="17">
        <v>43343</v>
      </c>
      <c r="D981" t="s">
        <v>0</v>
      </c>
      <c r="E981" t="s">
        <v>1</v>
      </c>
      <c r="F981" s="18">
        <v>-565974</v>
      </c>
      <c r="G981" s="18">
        <v>-565974</v>
      </c>
      <c r="H981" t="s">
        <v>2</v>
      </c>
      <c r="I981" t="s">
        <v>8</v>
      </c>
      <c r="J981" s="18">
        <v>-46834348.5</v>
      </c>
      <c r="K981" t="s">
        <v>2212</v>
      </c>
      <c r="L981" t="s">
        <v>9</v>
      </c>
      <c r="M981" t="s">
        <v>2213</v>
      </c>
      <c r="N981" t="s">
        <v>3</v>
      </c>
      <c r="O981" t="s">
        <v>3</v>
      </c>
      <c r="P981" t="s">
        <v>5</v>
      </c>
      <c r="Q981" t="s">
        <v>2214</v>
      </c>
      <c r="R981" t="s">
        <v>3</v>
      </c>
      <c r="S981" t="s">
        <v>3</v>
      </c>
      <c r="T981" t="s">
        <v>3</v>
      </c>
      <c r="U981" t="s">
        <v>3</v>
      </c>
      <c r="V981" t="s">
        <v>3</v>
      </c>
      <c r="W981" t="s">
        <v>68</v>
      </c>
      <c r="X981" s="17">
        <v>43344</v>
      </c>
      <c r="Y981" t="s">
        <v>2211</v>
      </c>
      <c r="Z981" s="17">
        <v>43343</v>
      </c>
      <c r="AA981" t="s">
        <v>3</v>
      </c>
      <c r="AB981" t="s">
        <v>2807</v>
      </c>
    </row>
    <row r="982" spans="1:28" hidden="1">
      <c r="A982" t="s">
        <v>2211</v>
      </c>
      <c r="B982" s="17">
        <v>43344</v>
      </c>
      <c r="C982" s="17">
        <v>43343</v>
      </c>
      <c r="D982" t="s">
        <v>38</v>
      </c>
      <c r="E982" t="s">
        <v>1</v>
      </c>
      <c r="F982" s="18">
        <v>-393746</v>
      </c>
      <c r="G982" s="18">
        <v>-393746</v>
      </c>
      <c r="H982" t="s">
        <v>2</v>
      </c>
      <c r="I982" t="s">
        <v>8</v>
      </c>
      <c r="J982" s="18">
        <v>-32582481.5</v>
      </c>
      <c r="K982" t="s">
        <v>2212</v>
      </c>
      <c r="L982" t="s">
        <v>9</v>
      </c>
      <c r="M982" t="s">
        <v>2213</v>
      </c>
      <c r="N982" t="s">
        <v>3</v>
      </c>
      <c r="O982" t="s">
        <v>3</v>
      </c>
      <c r="P982" t="s">
        <v>5</v>
      </c>
      <c r="Q982" t="s">
        <v>2214</v>
      </c>
      <c r="R982" t="s">
        <v>3</v>
      </c>
      <c r="S982" t="s">
        <v>3</v>
      </c>
      <c r="T982" t="s">
        <v>3</v>
      </c>
      <c r="U982" t="s">
        <v>3</v>
      </c>
      <c r="V982" t="s">
        <v>3</v>
      </c>
      <c r="W982" t="s">
        <v>68</v>
      </c>
      <c r="X982" s="17">
        <v>43344</v>
      </c>
      <c r="Y982" t="s">
        <v>2211</v>
      </c>
      <c r="Z982" s="17">
        <v>43312</v>
      </c>
      <c r="AA982" t="s">
        <v>3</v>
      </c>
      <c r="AB982" t="s">
        <v>2211</v>
      </c>
    </row>
    <row r="983" spans="1:28" hidden="1">
      <c r="A983" t="s">
        <v>2211</v>
      </c>
      <c r="B983" s="17">
        <v>43344</v>
      </c>
      <c r="C983" s="17">
        <v>43343</v>
      </c>
      <c r="D983" t="s">
        <v>38</v>
      </c>
      <c r="E983" t="s">
        <v>1</v>
      </c>
      <c r="F983" s="18">
        <v>565974</v>
      </c>
      <c r="G983" s="18">
        <v>565974</v>
      </c>
      <c r="H983" t="s">
        <v>2</v>
      </c>
      <c r="I983" t="s">
        <v>8</v>
      </c>
      <c r="J983" s="18">
        <v>46834348.5</v>
      </c>
      <c r="K983" t="s">
        <v>2212</v>
      </c>
      <c r="L983" t="s">
        <v>9</v>
      </c>
      <c r="M983" t="s">
        <v>2213</v>
      </c>
      <c r="N983" t="s">
        <v>3</v>
      </c>
      <c r="O983" t="s">
        <v>3</v>
      </c>
      <c r="P983" t="s">
        <v>5</v>
      </c>
      <c r="Q983" t="s">
        <v>2214</v>
      </c>
      <c r="R983" t="s">
        <v>3</v>
      </c>
      <c r="S983" t="s">
        <v>3</v>
      </c>
      <c r="T983" t="s">
        <v>3</v>
      </c>
      <c r="U983" t="s">
        <v>3</v>
      </c>
      <c r="V983" t="s">
        <v>3</v>
      </c>
      <c r="W983" t="s">
        <v>68</v>
      </c>
      <c r="X983" s="17">
        <v>43344</v>
      </c>
      <c r="Y983" t="s">
        <v>2211</v>
      </c>
      <c r="Z983" s="17">
        <v>43343</v>
      </c>
      <c r="AA983" t="s">
        <v>3</v>
      </c>
      <c r="AB983" t="s">
        <v>2211</v>
      </c>
    </row>
    <row r="984" spans="1:28" hidden="1">
      <c r="A984" t="s">
        <v>2773</v>
      </c>
      <c r="B984" s="17">
        <v>43346</v>
      </c>
      <c r="C984" s="17">
        <v>43346</v>
      </c>
      <c r="D984" t="s">
        <v>0</v>
      </c>
      <c r="E984" t="s">
        <v>1</v>
      </c>
      <c r="F984" s="18">
        <v>188326</v>
      </c>
      <c r="G984" s="18">
        <v>188326</v>
      </c>
      <c r="H984" t="s">
        <v>2</v>
      </c>
      <c r="I984" t="s">
        <v>8</v>
      </c>
      <c r="J984" s="18">
        <v>15583976.5</v>
      </c>
      <c r="K984" t="s">
        <v>2732</v>
      </c>
      <c r="L984" t="s">
        <v>9</v>
      </c>
      <c r="M984" t="s">
        <v>2774</v>
      </c>
      <c r="N984" t="s">
        <v>3</v>
      </c>
      <c r="O984" t="s">
        <v>3</v>
      </c>
      <c r="P984" t="s">
        <v>5</v>
      </c>
      <c r="Q984" t="s">
        <v>2775</v>
      </c>
      <c r="R984" t="s">
        <v>3</v>
      </c>
      <c r="S984" t="s">
        <v>3</v>
      </c>
      <c r="T984" t="s">
        <v>3</v>
      </c>
      <c r="U984" t="s">
        <v>3</v>
      </c>
      <c r="V984" t="s">
        <v>3</v>
      </c>
      <c r="W984" t="s">
        <v>68</v>
      </c>
      <c r="X984" s="17">
        <v>43587</v>
      </c>
      <c r="Y984" t="s">
        <v>2420</v>
      </c>
      <c r="Z984" s="17">
        <v>43346</v>
      </c>
      <c r="AA984" t="s">
        <v>3</v>
      </c>
      <c r="AB984" t="s">
        <v>2773</v>
      </c>
    </row>
    <row r="985" spans="1:28" hidden="1">
      <c r="A985" t="s">
        <v>2773</v>
      </c>
      <c r="B985" s="17">
        <v>43346</v>
      </c>
      <c r="C985" s="17">
        <v>43346</v>
      </c>
      <c r="D985" t="s">
        <v>0</v>
      </c>
      <c r="E985" t="s">
        <v>1</v>
      </c>
      <c r="F985" s="18">
        <v>176707</v>
      </c>
      <c r="G985" s="18">
        <v>176707</v>
      </c>
      <c r="H985" t="s">
        <v>2</v>
      </c>
      <c r="I985" t="s">
        <v>8</v>
      </c>
      <c r="J985" s="18">
        <v>14622504.25</v>
      </c>
      <c r="K985" t="s">
        <v>2736</v>
      </c>
      <c r="L985" t="s">
        <v>9</v>
      </c>
      <c r="M985" t="s">
        <v>2774</v>
      </c>
      <c r="N985" t="s">
        <v>3</v>
      </c>
      <c r="O985" t="s">
        <v>3</v>
      </c>
      <c r="P985" t="s">
        <v>5</v>
      </c>
      <c r="Q985" t="s">
        <v>2775</v>
      </c>
      <c r="R985" t="s">
        <v>3</v>
      </c>
      <c r="S985" t="s">
        <v>3</v>
      </c>
      <c r="T985" t="s">
        <v>3</v>
      </c>
      <c r="U985" t="s">
        <v>3</v>
      </c>
      <c r="V985" t="s">
        <v>3</v>
      </c>
      <c r="W985" t="s">
        <v>68</v>
      </c>
      <c r="X985" s="17">
        <v>43587</v>
      </c>
      <c r="Y985" t="s">
        <v>2430</v>
      </c>
      <c r="Z985" s="17">
        <v>43346</v>
      </c>
      <c r="AA985" t="s">
        <v>3</v>
      </c>
      <c r="AB985" t="s">
        <v>2773</v>
      </c>
    </row>
    <row r="986" spans="1:28" hidden="1">
      <c r="A986" t="s">
        <v>2698</v>
      </c>
      <c r="B986" s="17">
        <v>43346</v>
      </c>
      <c r="C986" s="17">
        <v>43346</v>
      </c>
      <c r="D986" t="s">
        <v>0</v>
      </c>
      <c r="E986" t="s">
        <v>1</v>
      </c>
      <c r="F986" s="18">
        <v>15945</v>
      </c>
      <c r="G986" s="18">
        <v>15945</v>
      </c>
      <c r="H986" t="s">
        <v>2</v>
      </c>
      <c r="I986" t="s">
        <v>10</v>
      </c>
      <c r="J986" s="18">
        <v>1319448.75</v>
      </c>
      <c r="K986" t="s">
        <v>2776</v>
      </c>
      <c r="L986" t="s">
        <v>9</v>
      </c>
      <c r="M986" t="s">
        <v>2777</v>
      </c>
      <c r="N986" t="s">
        <v>3</v>
      </c>
      <c r="O986" t="s">
        <v>3</v>
      </c>
      <c r="P986" t="s">
        <v>5</v>
      </c>
      <c r="Q986" t="s">
        <v>2778</v>
      </c>
      <c r="R986" t="s">
        <v>3</v>
      </c>
      <c r="S986" t="s">
        <v>3</v>
      </c>
      <c r="T986" t="s">
        <v>3</v>
      </c>
      <c r="U986" t="s">
        <v>3</v>
      </c>
      <c r="V986" t="s">
        <v>3</v>
      </c>
      <c r="W986" t="s">
        <v>68</v>
      </c>
      <c r="X986" s="17">
        <v>43346</v>
      </c>
      <c r="Y986" t="s">
        <v>2698</v>
      </c>
      <c r="Z986" s="17">
        <v>43346</v>
      </c>
      <c r="AA986" t="s">
        <v>3</v>
      </c>
      <c r="AB986" t="s">
        <v>2698</v>
      </c>
    </row>
    <row r="987" spans="1:28" hidden="1">
      <c r="A987" t="s">
        <v>2779</v>
      </c>
      <c r="B987" s="17">
        <v>43346</v>
      </c>
      <c r="C987" s="17">
        <v>43346</v>
      </c>
      <c r="D987" t="s">
        <v>0</v>
      </c>
      <c r="E987" t="s">
        <v>1</v>
      </c>
      <c r="F987" s="18">
        <v>-565974</v>
      </c>
      <c r="G987" s="18">
        <v>-565974</v>
      </c>
      <c r="H987" t="s">
        <v>2</v>
      </c>
      <c r="I987" t="s">
        <v>8</v>
      </c>
      <c r="J987" s="18">
        <v>-46834348.509999998</v>
      </c>
      <c r="K987" t="s">
        <v>2780</v>
      </c>
      <c r="L987" t="s">
        <v>9</v>
      </c>
      <c r="M987" t="s">
        <v>2781</v>
      </c>
      <c r="N987" t="s">
        <v>3</v>
      </c>
      <c r="O987" t="s">
        <v>3</v>
      </c>
      <c r="P987" t="s">
        <v>5</v>
      </c>
      <c r="Q987" t="s">
        <v>2782</v>
      </c>
      <c r="R987" t="s">
        <v>3</v>
      </c>
      <c r="S987" t="s">
        <v>3</v>
      </c>
      <c r="T987" t="s">
        <v>3</v>
      </c>
      <c r="U987" t="s">
        <v>3</v>
      </c>
      <c r="V987" t="s">
        <v>3</v>
      </c>
      <c r="W987" t="s">
        <v>68</v>
      </c>
      <c r="X987" s="17">
        <v>43646</v>
      </c>
      <c r="Y987" t="s">
        <v>2489</v>
      </c>
      <c r="Z987" s="17">
        <v>43346</v>
      </c>
      <c r="AA987" t="s">
        <v>3</v>
      </c>
      <c r="AB987" t="s">
        <v>2779</v>
      </c>
    </row>
    <row r="988" spans="1:28" hidden="1">
      <c r="A988" t="s">
        <v>2783</v>
      </c>
      <c r="B988" s="17">
        <v>43347</v>
      </c>
      <c r="C988" s="17">
        <v>43347</v>
      </c>
      <c r="D988" t="s">
        <v>0</v>
      </c>
      <c r="E988" t="s">
        <v>1</v>
      </c>
      <c r="F988" s="18">
        <v>12769</v>
      </c>
      <c r="G988" s="18">
        <v>12769</v>
      </c>
      <c r="H988" t="s">
        <v>2</v>
      </c>
      <c r="I988" t="s">
        <v>8</v>
      </c>
      <c r="J988" s="18">
        <v>1056634.75</v>
      </c>
      <c r="K988" t="s">
        <v>2736</v>
      </c>
      <c r="L988" t="s">
        <v>9</v>
      </c>
      <c r="M988" t="s">
        <v>2784</v>
      </c>
      <c r="N988" t="s">
        <v>3</v>
      </c>
      <c r="O988" t="s">
        <v>3</v>
      </c>
      <c r="P988" t="s">
        <v>5</v>
      </c>
      <c r="Q988" t="s">
        <v>2785</v>
      </c>
      <c r="R988" t="s">
        <v>3</v>
      </c>
      <c r="S988" t="s">
        <v>3</v>
      </c>
      <c r="T988" t="s">
        <v>3</v>
      </c>
      <c r="U988" t="s">
        <v>3</v>
      </c>
      <c r="V988" t="s">
        <v>3</v>
      </c>
      <c r="W988" t="s">
        <v>68</v>
      </c>
      <c r="X988" s="17">
        <v>43587</v>
      </c>
      <c r="Y988" t="s">
        <v>2430</v>
      </c>
      <c r="Z988" s="17">
        <v>43347</v>
      </c>
      <c r="AA988" t="s">
        <v>3</v>
      </c>
      <c r="AB988" t="s">
        <v>2783</v>
      </c>
    </row>
    <row r="989" spans="1:28" hidden="1">
      <c r="A989" t="s">
        <v>2786</v>
      </c>
      <c r="B989" s="17">
        <v>43347</v>
      </c>
      <c r="C989" s="17">
        <v>43347</v>
      </c>
      <c r="D989" t="s">
        <v>0</v>
      </c>
      <c r="E989" t="s">
        <v>1</v>
      </c>
      <c r="F989" s="18">
        <v>-28952</v>
      </c>
      <c r="G989" s="18">
        <v>-28952</v>
      </c>
      <c r="H989" t="s">
        <v>2</v>
      </c>
      <c r="I989" t="s">
        <v>10</v>
      </c>
      <c r="J989" s="18">
        <v>-2395778</v>
      </c>
      <c r="K989" t="s">
        <v>2787</v>
      </c>
      <c r="L989" t="s">
        <v>9</v>
      </c>
      <c r="M989" t="s">
        <v>2788</v>
      </c>
      <c r="N989" t="s">
        <v>3</v>
      </c>
      <c r="O989" t="s">
        <v>3</v>
      </c>
      <c r="P989" t="s">
        <v>5</v>
      </c>
      <c r="Q989" t="s">
        <v>2789</v>
      </c>
      <c r="R989" t="s">
        <v>3</v>
      </c>
      <c r="S989" t="s">
        <v>3</v>
      </c>
      <c r="T989" t="s">
        <v>3</v>
      </c>
      <c r="U989" t="s">
        <v>3</v>
      </c>
      <c r="V989" t="s">
        <v>3</v>
      </c>
      <c r="W989" t="s">
        <v>68</v>
      </c>
      <c r="X989" s="17">
        <v>43363</v>
      </c>
      <c r="Y989" t="s">
        <v>2790</v>
      </c>
      <c r="Z989" s="17">
        <v>43347</v>
      </c>
      <c r="AA989" t="s">
        <v>3</v>
      </c>
      <c r="AB989" t="s">
        <v>2786</v>
      </c>
    </row>
    <row r="990" spans="1:28" hidden="1">
      <c r="A990" t="s">
        <v>2791</v>
      </c>
      <c r="B990" s="17">
        <v>43347</v>
      </c>
      <c r="C990" s="17">
        <v>43347</v>
      </c>
      <c r="D990" t="s">
        <v>0</v>
      </c>
      <c r="E990" t="s">
        <v>1</v>
      </c>
      <c r="F990" s="18">
        <v>-269879</v>
      </c>
      <c r="G990" s="18">
        <v>-269879</v>
      </c>
      <c r="H990" t="s">
        <v>2</v>
      </c>
      <c r="I990" t="s">
        <v>8</v>
      </c>
      <c r="J990" s="18">
        <v>-22332487.260000002</v>
      </c>
      <c r="K990" t="s">
        <v>2792</v>
      </c>
      <c r="L990" t="s">
        <v>9</v>
      </c>
      <c r="M990" t="s">
        <v>2793</v>
      </c>
      <c r="N990" t="s">
        <v>3</v>
      </c>
      <c r="O990" t="s">
        <v>3</v>
      </c>
      <c r="P990" t="s">
        <v>5</v>
      </c>
      <c r="Q990" t="s">
        <v>2794</v>
      </c>
      <c r="R990" t="s">
        <v>3</v>
      </c>
      <c r="S990" t="s">
        <v>3</v>
      </c>
      <c r="T990" t="s">
        <v>3</v>
      </c>
      <c r="U990" t="s">
        <v>3</v>
      </c>
      <c r="V990" t="s">
        <v>3</v>
      </c>
      <c r="W990" t="s">
        <v>68</v>
      </c>
      <c r="X990" s="17">
        <v>43587</v>
      </c>
      <c r="Y990" t="s">
        <v>2441</v>
      </c>
      <c r="Z990" s="17">
        <v>43347</v>
      </c>
      <c r="AA990" t="s">
        <v>3</v>
      </c>
      <c r="AB990" t="s">
        <v>2791</v>
      </c>
    </row>
    <row r="991" spans="1:28" hidden="1">
      <c r="A991" t="s">
        <v>2795</v>
      </c>
      <c r="B991" s="17">
        <v>43347</v>
      </c>
      <c r="C991" s="17">
        <v>43347</v>
      </c>
      <c r="D991" t="s">
        <v>0</v>
      </c>
      <c r="E991" t="s">
        <v>1</v>
      </c>
      <c r="F991" s="18">
        <v>-91043</v>
      </c>
      <c r="G991" s="18">
        <v>-91043</v>
      </c>
      <c r="H991" t="s">
        <v>2</v>
      </c>
      <c r="I991" t="s">
        <v>8</v>
      </c>
      <c r="J991" s="18">
        <v>-7533808.2599999998</v>
      </c>
      <c r="K991" t="s">
        <v>2796</v>
      </c>
      <c r="L991" t="s">
        <v>9</v>
      </c>
      <c r="M991" t="s">
        <v>2797</v>
      </c>
      <c r="N991" t="s">
        <v>3</v>
      </c>
      <c r="O991" t="s">
        <v>3</v>
      </c>
      <c r="P991" t="s">
        <v>5</v>
      </c>
      <c r="Q991" t="s">
        <v>2798</v>
      </c>
      <c r="R991" t="s">
        <v>3</v>
      </c>
      <c r="S991" t="s">
        <v>3</v>
      </c>
      <c r="T991" t="s">
        <v>3</v>
      </c>
      <c r="U991" t="s">
        <v>3</v>
      </c>
      <c r="V991" t="s">
        <v>3</v>
      </c>
      <c r="W991" t="s">
        <v>68</v>
      </c>
      <c r="X991" s="17">
        <v>43646</v>
      </c>
      <c r="Y991" t="s">
        <v>2501</v>
      </c>
      <c r="Z991" s="17">
        <v>43347</v>
      </c>
      <c r="AA991" t="s">
        <v>3</v>
      </c>
      <c r="AB991" t="s">
        <v>2795</v>
      </c>
    </row>
    <row r="992" spans="1:28" hidden="1">
      <c r="A992" t="s">
        <v>2203</v>
      </c>
      <c r="B992" s="17">
        <v>43348</v>
      </c>
      <c r="C992" s="17">
        <v>43348</v>
      </c>
      <c r="D992" t="s">
        <v>38</v>
      </c>
      <c r="E992" t="s">
        <v>1</v>
      </c>
      <c r="F992" s="18">
        <v>314404</v>
      </c>
      <c r="G992" s="18">
        <v>314404</v>
      </c>
      <c r="H992" t="s">
        <v>2</v>
      </c>
      <c r="I992" t="s">
        <v>10</v>
      </c>
      <c r="J992" s="18">
        <v>26016931</v>
      </c>
      <c r="K992" t="s">
        <v>2204</v>
      </c>
      <c r="L992" t="s">
        <v>9</v>
      </c>
      <c r="M992" t="s">
        <v>2205</v>
      </c>
      <c r="N992" t="s">
        <v>3</v>
      </c>
      <c r="O992" t="s">
        <v>3</v>
      </c>
      <c r="P992" t="s">
        <v>5</v>
      </c>
      <c r="Q992" t="s">
        <v>2206</v>
      </c>
      <c r="R992" t="s">
        <v>3</v>
      </c>
      <c r="S992" t="s">
        <v>3</v>
      </c>
      <c r="T992" t="s">
        <v>3</v>
      </c>
      <c r="U992" t="s">
        <v>3</v>
      </c>
      <c r="V992" t="s">
        <v>3</v>
      </c>
      <c r="W992" t="s">
        <v>68</v>
      </c>
      <c r="X992" s="17">
        <v>43348</v>
      </c>
      <c r="Y992" t="s">
        <v>2203</v>
      </c>
      <c r="Z992" s="17">
        <v>43348</v>
      </c>
      <c r="AA992" t="s">
        <v>3</v>
      </c>
      <c r="AB992" t="s">
        <v>2203</v>
      </c>
    </row>
    <row r="993" spans="1:28" hidden="1">
      <c r="A993" t="s">
        <v>2799</v>
      </c>
      <c r="B993" s="17">
        <v>43348</v>
      </c>
      <c r="C993" s="17">
        <v>43348</v>
      </c>
      <c r="D993" t="s">
        <v>0</v>
      </c>
      <c r="E993" t="s">
        <v>1</v>
      </c>
      <c r="F993" s="18">
        <v>-314404</v>
      </c>
      <c r="G993" s="18">
        <v>-314404</v>
      </c>
      <c r="H993" t="s">
        <v>2</v>
      </c>
      <c r="I993" t="s">
        <v>10</v>
      </c>
      <c r="J993" s="18">
        <v>-26016931</v>
      </c>
      <c r="K993" t="s">
        <v>2204</v>
      </c>
      <c r="L993" t="s">
        <v>9</v>
      </c>
      <c r="M993" t="s">
        <v>2205</v>
      </c>
      <c r="N993" t="s">
        <v>3</v>
      </c>
      <c r="O993" t="s">
        <v>3</v>
      </c>
      <c r="P993" t="s">
        <v>5</v>
      </c>
      <c r="Q993" t="s">
        <v>2206</v>
      </c>
      <c r="R993" t="s">
        <v>3</v>
      </c>
      <c r="S993" t="s">
        <v>3</v>
      </c>
      <c r="T993" t="s">
        <v>3</v>
      </c>
      <c r="U993" t="s">
        <v>3</v>
      </c>
      <c r="V993" t="s">
        <v>3</v>
      </c>
      <c r="W993" t="s">
        <v>68</v>
      </c>
      <c r="X993" s="17">
        <v>43348</v>
      </c>
      <c r="Y993" t="s">
        <v>2203</v>
      </c>
      <c r="Z993" s="17">
        <v>43348</v>
      </c>
      <c r="AA993" t="s">
        <v>3</v>
      </c>
      <c r="AB993" t="s">
        <v>2799</v>
      </c>
    </row>
    <row r="994" spans="1:28" hidden="1">
      <c r="A994" t="s">
        <v>2800</v>
      </c>
      <c r="B994" s="17">
        <v>43348</v>
      </c>
      <c r="C994" s="17">
        <v>43348</v>
      </c>
      <c r="D994" t="s">
        <v>0</v>
      </c>
      <c r="E994" t="s">
        <v>1</v>
      </c>
      <c r="F994" s="18">
        <v>-314404</v>
      </c>
      <c r="G994" s="18">
        <v>-314404</v>
      </c>
      <c r="H994" t="s">
        <v>2</v>
      </c>
      <c r="I994" t="s">
        <v>10</v>
      </c>
      <c r="J994" s="18">
        <v>-26016931</v>
      </c>
      <c r="K994" t="s">
        <v>2204</v>
      </c>
      <c r="L994" t="s">
        <v>9</v>
      </c>
      <c r="M994" t="s">
        <v>2205</v>
      </c>
      <c r="N994" t="s">
        <v>3</v>
      </c>
      <c r="O994" t="s">
        <v>3</v>
      </c>
      <c r="P994" t="s">
        <v>5</v>
      </c>
      <c r="Q994" t="s">
        <v>2206</v>
      </c>
      <c r="R994" t="s">
        <v>3</v>
      </c>
      <c r="S994" t="s">
        <v>3</v>
      </c>
      <c r="T994" t="s">
        <v>3</v>
      </c>
      <c r="U994" t="s">
        <v>3</v>
      </c>
      <c r="V994" t="s">
        <v>3</v>
      </c>
      <c r="W994" t="s">
        <v>68</v>
      </c>
      <c r="X994" s="17">
        <v>43519</v>
      </c>
      <c r="Y994" t="s">
        <v>2345</v>
      </c>
      <c r="Z994" s="17">
        <v>43348</v>
      </c>
      <c r="AA994" t="s">
        <v>3</v>
      </c>
      <c r="AB994" t="s">
        <v>2800</v>
      </c>
    </row>
    <row r="995" spans="1:28" hidden="1">
      <c r="A995" t="s">
        <v>2801</v>
      </c>
      <c r="B995" s="17">
        <v>43349</v>
      </c>
      <c r="C995" s="17">
        <v>43349</v>
      </c>
      <c r="D995" t="s">
        <v>0</v>
      </c>
      <c r="E995" t="s">
        <v>1</v>
      </c>
      <c r="F995" s="18">
        <v>1772</v>
      </c>
      <c r="G995" s="18">
        <v>1772</v>
      </c>
      <c r="H995" t="s">
        <v>2</v>
      </c>
      <c r="I995" t="s">
        <v>8</v>
      </c>
      <c r="J995" s="18">
        <v>146633</v>
      </c>
      <c r="K995" t="s">
        <v>2736</v>
      </c>
      <c r="L995" t="s">
        <v>9</v>
      </c>
      <c r="M995" t="s">
        <v>2802</v>
      </c>
      <c r="N995" t="s">
        <v>3</v>
      </c>
      <c r="O995" t="s">
        <v>3</v>
      </c>
      <c r="P995" t="s">
        <v>5</v>
      </c>
      <c r="Q995" t="s">
        <v>2803</v>
      </c>
      <c r="R995" t="s">
        <v>3</v>
      </c>
      <c r="S995" t="s">
        <v>3</v>
      </c>
      <c r="T995" t="s">
        <v>3</v>
      </c>
      <c r="U995" t="s">
        <v>3</v>
      </c>
      <c r="V995" t="s">
        <v>3</v>
      </c>
      <c r="W995" t="s">
        <v>68</v>
      </c>
      <c r="X995" s="17">
        <v>43587</v>
      </c>
      <c r="Y995" t="s">
        <v>2430</v>
      </c>
      <c r="Z995" s="17">
        <v>43349</v>
      </c>
      <c r="AA995" t="s">
        <v>3</v>
      </c>
      <c r="AB995" t="s">
        <v>2801</v>
      </c>
    </row>
    <row r="996" spans="1:28" hidden="1">
      <c r="A996" t="s">
        <v>2804</v>
      </c>
      <c r="B996" s="17">
        <v>43349</v>
      </c>
      <c r="C996" s="17">
        <v>43349</v>
      </c>
      <c r="D996" t="s">
        <v>0</v>
      </c>
      <c r="E996" t="s">
        <v>1</v>
      </c>
      <c r="F996" s="18">
        <v>232868</v>
      </c>
      <c r="G996" s="18">
        <v>232868</v>
      </c>
      <c r="H996" t="s">
        <v>2</v>
      </c>
      <c r="I996" t="s">
        <v>8</v>
      </c>
      <c r="J996" s="18">
        <v>19269827</v>
      </c>
      <c r="K996" t="s">
        <v>2732</v>
      </c>
      <c r="L996" t="s">
        <v>9</v>
      </c>
      <c r="M996" t="s">
        <v>2805</v>
      </c>
      <c r="N996" t="s">
        <v>3</v>
      </c>
      <c r="O996" t="s">
        <v>3</v>
      </c>
      <c r="P996" t="s">
        <v>5</v>
      </c>
      <c r="Q996" t="s">
        <v>2806</v>
      </c>
      <c r="R996" t="s">
        <v>3</v>
      </c>
      <c r="S996" t="s">
        <v>3</v>
      </c>
      <c r="T996" t="s">
        <v>3</v>
      </c>
      <c r="U996" t="s">
        <v>3</v>
      </c>
      <c r="V996" t="s">
        <v>3</v>
      </c>
      <c r="W996" t="s">
        <v>68</v>
      </c>
      <c r="X996" s="17">
        <v>43587</v>
      </c>
      <c r="Y996" t="s">
        <v>2420</v>
      </c>
      <c r="Z996" s="17">
        <v>43349</v>
      </c>
      <c r="AA996" t="s">
        <v>3</v>
      </c>
      <c r="AB996" t="s">
        <v>2804</v>
      </c>
    </row>
    <row r="997" spans="1:28" hidden="1">
      <c r="A997" t="s">
        <v>2804</v>
      </c>
      <c r="B997" s="17">
        <v>43349</v>
      </c>
      <c r="C997" s="17">
        <v>43349</v>
      </c>
      <c r="D997" t="s">
        <v>0</v>
      </c>
      <c r="E997" t="s">
        <v>1</v>
      </c>
      <c r="F997" s="18">
        <v>69961</v>
      </c>
      <c r="G997" s="18">
        <v>69961</v>
      </c>
      <c r="H997" t="s">
        <v>2</v>
      </c>
      <c r="I997" t="s">
        <v>8</v>
      </c>
      <c r="J997" s="18">
        <v>5789272.75</v>
      </c>
      <c r="K997" t="s">
        <v>2736</v>
      </c>
      <c r="L997" t="s">
        <v>9</v>
      </c>
      <c r="M997" t="s">
        <v>2805</v>
      </c>
      <c r="N997" t="s">
        <v>3</v>
      </c>
      <c r="O997" t="s">
        <v>3</v>
      </c>
      <c r="P997" t="s">
        <v>5</v>
      </c>
      <c r="Q997" t="s">
        <v>2806</v>
      </c>
      <c r="R997" t="s">
        <v>3</v>
      </c>
      <c r="S997" t="s">
        <v>3</v>
      </c>
      <c r="T997" t="s">
        <v>3</v>
      </c>
      <c r="U997" t="s">
        <v>3</v>
      </c>
      <c r="V997" t="s">
        <v>3</v>
      </c>
      <c r="W997" t="s">
        <v>68</v>
      </c>
      <c r="X997" s="17">
        <v>43587</v>
      </c>
      <c r="Y997" t="s">
        <v>2430</v>
      </c>
      <c r="Z997" s="17">
        <v>43349</v>
      </c>
      <c r="AA997" t="s">
        <v>3</v>
      </c>
      <c r="AB997" t="s">
        <v>2804</v>
      </c>
    </row>
    <row r="998" spans="1:28" hidden="1">
      <c r="A998" t="s">
        <v>2808</v>
      </c>
      <c r="B998" s="17">
        <v>43352</v>
      </c>
      <c r="C998" s="17">
        <v>43352</v>
      </c>
      <c r="D998" t="s">
        <v>0</v>
      </c>
      <c r="E998" t="s">
        <v>1</v>
      </c>
      <c r="F998" s="18">
        <v>96985</v>
      </c>
      <c r="G998" s="18">
        <v>96985</v>
      </c>
      <c r="H998" t="s">
        <v>2</v>
      </c>
      <c r="I998" t="s">
        <v>8</v>
      </c>
      <c r="J998" s="18">
        <v>8025508.75</v>
      </c>
      <c r="K998" t="s">
        <v>2736</v>
      </c>
      <c r="L998" t="s">
        <v>9</v>
      </c>
      <c r="M998" t="s">
        <v>2809</v>
      </c>
      <c r="N998" t="s">
        <v>3</v>
      </c>
      <c r="O998" t="s">
        <v>3</v>
      </c>
      <c r="P998" t="s">
        <v>5</v>
      </c>
      <c r="Q998" t="s">
        <v>2810</v>
      </c>
      <c r="R998" t="s">
        <v>3</v>
      </c>
      <c r="S998" t="s">
        <v>3</v>
      </c>
      <c r="T998" t="s">
        <v>3</v>
      </c>
      <c r="U998" t="s">
        <v>3</v>
      </c>
      <c r="V998" t="s">
        <v>3</v>
      </c>
      <c r="W998" t="s">
        <v>68</v>
      </c>
      <c r="X998" s="17">
        <v>43587</v>
      </c>
      <c r="Y998" t="s">
        <v>2430</v>
      </c>
      <c r="Z998" s="17">
        <v>43352</v>
      </c>
      <c r="AA998" t="s">
        <v>3</v>
      </c>
      <c r="AB998" t="s">
        <v>2808</v>
      </c>
    </row>
    <row r="999" spans="1:28" hidden="1">
      <c r="A999" t="s">
        <v>2852</v>
      </c>
      <c r="B999" s="17">
        <v>43352</v>
      </c>
      <c r="C999" s="17">
        <v>43352</v>
      </c>
      <c r="D999" t="s">
        <v>0</v>
      </c>
      <c r="E999" t="s">
        <v>1</v>
      </c>
      <c r="F999" s="18">
        <v>8594</v>
      </c>
      <c r="G999" s="18">
        <v>8594</v>
      </c>
      <c r="H999" t="s">
        <v>2</v>
      </c>
      <c r="I999" t="s">
        <v>8</v>
      </c>
      <c r="J999" s="18">
        <v>711153.5</v>
      </c>
      <c r="K999" t="s">
        <v>2853</v>
      </c>
      <c r="L999" t="s">
        <v>9</v>
      </c>
      <c r="M999" t="s">
        <v>2854</v>
      </c>
      <c r="N999" t="s">
        <v>3</v>
      </c>
      <c r="O999" t="s">
        <v>3</v>
      </c>
      <c r="P999" t="s">
        <v>5</v>
      </c>
      <c r="Q999" t="s">
        <v>2855</v>
      </c>
      <c r="R999" t="s">
        <v>3</v>
      </c>
      <c r="S999" t="s">
        <v>3</v>
      </c>
      <c r="T999" t="s">
        <v>3</v>
      </c>
      <c r="U999" t="s">
        <v>3</v>
      </c>
      <c r="V999" t="s">
        <v>3</v>
      </c>
      <c r="W999" t="s">
        <v>68</v>
      </c>
      <c r="X999" s="17">
        <v>43587</v>
      </c>
      <c r="Y999" t="s">
        <v>2470</v>
      </c>
      <c r="Z999" s="17">
        <v>43352</v>
      </c>
      <c r="AA999" t="s">
        <v>3</v>
      </c>
      <c r="AB999" t="s">
        <v>2852</v>
      </c>
    </row>
    <row r="1000" spans="1:28" hidden="1">
      <c r="A1000" t="s">
        <v>2852</v>
      </c>
      <c r="B1000" s="17">
        <v>43352</v>
      </c>
      <c r="C1000" s="17">
        <v>43352</v>
      </c>
      <c r="D1000" t="s">
        <v>0</v>
      </c>
      <c r="E1000" t="s">
        <v>1</v>
      </c>
      <c r="F1000" s="18">
        <v>11601</v>
      </c>
      <c r="G1000" s="18">
        <v>11601</v>
      </c>
      <c r="H1000" t="s">
        <v>2</v>
      </c>
      <c r="I1000" t="s">
        <v>10</v>
      </c>
      <c r="J1000" s="18">
        <v>959982.75</v>
      </c>
      <c r="K1000" t="s">
        <v>2856</v>
      </c>
      <c r="L1000" t="s">
        <v>9</v>
      </c>
      <c r="M1000" t="s">
        <v>2854</v>
      </c>
      <c r="N1000" t="s">
        <v>3</v>
      </c>
      <c r="O1000" t="s">
        <v>3</v>
      </c>
      <c r="P1000" t="s">
        <v>5</v>
      </c>
      <c r="Q1000" t="s">
        <v>2855</v>
      </c>
      <c r="R1000" t="s">
        <v>3</v>
      </c>
      <c r="S1000" t="s">
        <v>3</v>
      </c>
      <c r="T1000" t="s">
        <v>3</v>
      </c>
      <c r="U1000" t="s">
        <v>3</v>
      </c>
      <c r="V1000" t="s">
        <v>3</v>
      </c>
      <c r="W1000" t="s">
        <v>68</v>
      </c>
      <c r="X1000" s="17">
        <v>43519</v>
      </c>
      <c r="Y1000" t="s">
        <v>2390</v>
      </c>
      <c r="Z1000" s="17">
        <v>43352</v>
      </c>
      <c r="AA1000" t="s">
        <v>3</v>
      </c>
      <c r="AB1000" t="s">
        <v>2852</v>
      </c>
    </row>
    <row r="1001" spans="1:28" hidden="1">
      <c r="A1001" t="s">
        <v>2652</v>
      </c>
      <c r="B1001" s="17">
        <v>43352</v>
      </c>
      <c r="C1001" s="17">
        <v>43352</v>
      </c>
      <c r="D1001" t="s">
        <v>0</v>
      </c>
      <c r="E1001" t="s">
        <v>1</v>
      </c>
      <c r="F1001" s="18">
        <v>82312</v>
      </c>
      <c r="G1001" s="18">
        <v>82312</v>
      </c>
      <c r="H1001" t="s">
        <v>2</v>
      </c>
      <c r="I1001" t="s">
        <v>10</v>
      </c>
      <c r="J1001" s="18">
        <v>6811318</v>
      </c>
      <c r="K1001" t="s">
        <v>2857</v>
      </c>
      <c r="L1001" t="s">
        <v>9</v>
      </c>
      <c r="M1001" t="s">
        <v>2858</v>
      </c>
      <c r="N1001" t="s">
        <v>3</v>
      </c>
      <c r="O1001" t="s">
        <v>3</v>
      </c>
      <c r="P1001" t="s">
        <v>5</v>
      </c>
      <c r="Q1001" t="s">
        <v>2859</v>
      </c>
      <c r="R1001" t="s">
        <v>3</v>
      </c>
      <c r="S1001" t="s">
        <v>3</v>
      </c>
      <c r="T1001" t="s">
        <v>3</v>
      </c>
      <c r="U1001" t="s">
        <v>3</v>
      </c>
      <c r="V1001" t="s">
        <v>3</v>
      </c>
      <c r="W1001" t="s">
        <v>68</v>
      </c>
      <c r="X1001" s="17">
        <v>43352</v>
      </c>
      <c r="Y1001" t="s">
        <v>2652</v>
      </c>
      <c r="Z1001" s="17">
        <v>43352</v>
      </c>
      <c r="AA1001" t="s">
        <v>3</v>
      </c>
      <c r="AB1001" t="s">
        <v>2652</v>
      </c>
    </row>
    <row r="1002" spans="1:28" hidden="1">
      <c r="A1002" t="s">
        <v>2879</v>
      </c>
      <c r="B1002" s="17">
        <v>43352</v>
      </c>
      <c r="C1002" s="17">
        <v>43352</v>
      </c>
      <c r="D1002" t="s">
        <v>0</v>
      </c>
      <c r="E1002" t="s">
        <v>1</v>
      </c>
      <c r="F1002" s="18">
        <v>471886</v>
      </c>
      <c r="G1002" s="18">
        <v>471886</v>
      </c>
      <c r="H1002" t="s">
        <v>2</v>
      </c>
      <c r="I1002" t="s">
        <v>8</v>
      </c>
      <c r="J1002" s="18">
        <v>39048566.509999998</v>
      </c>
      <c r="K1002" t="s">
        <v>3</v>
      </c>
      <c r="L1002" t="s">
        <v>9</v>
      </c>
      <c r="M1002" t="s">
        <v>2880</v>
      </c>
      <c r="N1002" t="s">
        <v>3</v>
      </c>
      <c r="O1002" t="s">
        <v>3</v>
      </c>
      <c r="P1002" t="s">
        <v>5</v>
      </c>
      <c r="Q1002" t="s">
        <v>2881</v>
      </c>
      <c r="R1002" t="s">
        <v>3</v>
      </c>
      <c r="S1002" t="s">
        <v>3</v>
      </c>
      <c r="T1002" t="s">
        <v>3</v>
      </c>
      <c r="U1002" t="s">
        <v>3</v>
      </c>
      <c r="V1002" t="s">
        <v>3</v>
      </c>
      <c r="W1002" t="s">
        <v>68</v>
      </c>
      <c r="X1002" s="17">
        <v>43646</v>
      </c>
      <c r="Y1002" t="s">
        <v>2489</v>
      </c>
      <c r="Z1002" s="17">
        <v>43352</v>
      </c>
      <c r="AA1002" t="s">
        <v>3</v>
      </c>
      <c r="AB1002" t="s">
        <v>2879</v>
      </c>
    </row>
    <row r="1003" spans="1:28" hidden="1">
      <c r="A1003" t="s">
        <v>2879</v>
      </c>
      <c r="B1003" s="17">
        <v>43352</v>
      </c>
      <c r="C1003" s="17">
        <v>43352</v>
      </c>
      <c r="D1003" t="s">
        <v>0</v>
      </c>
      <c r="E1003" t="s">
        <v>1</v>
      </c>
      <c r="F1003" s="18">
        <v>10815</v>
      </c>
      <c r="G1003" s="18">
        <v>10815</v>
      </c>
      <c r="H1003" t="s">
        <v>2</v>
      </c>
      <c r="I1003" t="s">
        <v>8</v>
      </c>
      <c r="J1003" s="18">
        <v>894941.25</v>
      </c>
      <c r="K1003" t="s">
        <v>3</v>
      </c>
      <c r="L1003" t="s">
        <v>9</v>
      </c>
      <c r="M1003" t="s">
        <v>2880</v>
      </c>
      <c r="N1003" t="s">
        <v>3</v>
      </c>
      <c r="O1003" t="s">
        <v>3</v>
      </c>
      <c r="P1003" t="s">
        <v>5</v>
      </c>
      <c r="Q1003" t="s">
        <v>2881</v>
      </c>
      <c r="R1003" t="s">
        <v>3</v>
      </c>
      <c r="S1003" t="s">
        <v>3</v>
      </c>
      <c r="T1003" t="s">
        <v>3</v>
      </c>
      <c r="U1003" t="s">
        <v>3</v>
      </c>
      <c r="V1003" t="s">
        <v>3</v>
      </c>
      <c r="W1003" t="s">
        <v>68</v>
      </c>
      <c r="X1003" s="17">
        <v>43646</v>
      </c>
      <c r="Y1003" t="s">
        <v>2501</v>
      </c>
      <c r="Z1003" s="17">
        <v>43352</v>
      </c>
      <c r="AA1003" t="s">
        <v>3</v>
      </c>
      <c r="AB1003" t="s">
        <v>2879</v>
      </c>
    </row>
    <row r="1004" spans="1:28" hidden="1">
      <c r="A1004" t="s">
        <v>2811</v>
      </c>
      <c r="B1004" s="17">
        <v>43354</v>
      </c>
      <c r="C1004" s="17">
        <v>43354</v>
      </c>
      <c r="D1004" t="s">
        <v>0</v>
      </c>
      <c r="E1004" t="s">
        <v>1</v>
      </c>
      <c r="F1004" s="18">
        <v>-29214</v>
      </c>
      <c r="G1004" s="18">
        <v>-29214</v>
      </c>
      <c r="H1004" t="s">
        <v>2</v>
      </c>
      <c r="I1004" t="s">
        <v>10</v>
      </c>
      <c r="J1004" s="18">
        <v>-2417458.5099999998</v>
      </c>
      <c r="K1004" t="s">
        <v>2812</v>
      </c>
      <c r="L1004" t="s">
        <v>9</v>
      </c>
      <c r="M1004" t="s">
        <v>2813</v>
      </c>
      <c r="N1004" t="s">
        <v>3</v>
      </c>
      <c r="O1004" t="s">
        <v>3</v>
      </c>
      <c r="P1004" t="s">
        <v>5</v>
      </c>
      <c r="Q1004" t="s">
        <v>2814</v>
      </c>
      <c r="R1004" t="s">
        <v>3</v>
      </c>
      <c r="S1004" t="s">
        <v>3</v>
      </c>
      <c r="T1004" t="s">
        <v>3</v>
      </c>
      <c r="U1004" t="s">
        <v>3</v>
      </c>
      <c r="V1004" t="s">
        <v>3</v>
      </c>
      <c r="W1004" t="s">
        <v>68</v>
      </c>
      <c r="X1004" s="17">
        <v>43363</v>
      </c>
      <c r="Y1004" t="s">
        <v>2790</v>
      </c>
      <c r="Z1004" s="17">
        <v>43354</v>
      </c>
      <c r="AA1004" t="s">
        <v>3</v>
      </c>
      <c r="AB1004" t="s">
        <v>2811</v>
      </c>
    </row>
    <row r="1005" spans="1:28" hidden="1">
      <c r="A1005" t="s">
        <v>2815</v>
      </c>
      <c r="B1005" s="17">
        <v>43355</v>
      </c>
      <c r="C1005" s="17">
        <v>43355</v>
      </c>
      <c r="D1005" t="s">
        <v>0</v>
      </c>
      <c r="E1005" t="s">
        <v>1</v>
      </c>
      <c r="F1005" s="18">
        <v>-165763</v>
      </c>
      <c r="G1005" s="18">
        <v>-165763</v>
      </c>
      <c r="H1005" t="s">
        <v>2</v>
      </c>
      <c r="I1005" t="s">
        <v>8</v>
      </c>
      <c r="J1005" s="18">
        <v>-13716888.25</v>
      </c>
      <c r="K1005" t="s">
        <v>2816</v>
      </c>
      <c r="L1005" t="s">
        <v>9</v>
      </c>
      <c r="M1005" t="s">
        <v>2817</v>
      </c>
      <c r="N1005" t="s">
        <v>3</v>
      </c>
      <c r="O1005" t="s">
        <v>3</v>
      </c>
      <c r="P1005" t="s">
        <v>5</v>
      </c>
      <c r="Q1005" t="s">
        <v>2818</v>
      </c>
      <c r="R1005" t="s">
        <v>3</v>
      </c>
      <c r="S1005" t="s">
        <v>3</v>
      </c>
      <c r="T1005" t="s">
        <v>3</v>
      </c>
      <c r="U1005" t="s">
        <v>3</v>
      </c>
      <c r="V1005" t="s">
        <v>3</v>
      </c>
      <c r="W1005" t="s">
        <v>68</v>
      </c>
      <c r="X1005" s="17">
        <v>43646</v>
      </c>
      <c r="Y1005" t="s">
        <v>2493</v>
      </c>
      <c r="Z1005" s="17">
        <v>43355</v>
      </c>
      <c r="AA1005" t="s">
        <v>3</v>
      </c>
      <c r="AB1005" t="s">
        <v>2815</v>
      </c>
    </row>
    <row r="1006" spans="1:28" hidden="1">
      <c r="A1006" t="s">
        <v>2819</v>
      </c>
      <c r="B1006" s="17">
        <v>43355</v>
      </c>
      <c r="C1006" s="17">
        <v>43355</v>
      </c>
      <c r="D1006" t="s">
        <v>0</v>
      </c>
      <c r="E1006" t="s">
        <v>1</v>
      </c>
      <c r="F1006" s="18">
        <v>79439</v>
      </c>
      <c r="G1006" s="18">
        <v>79439</v>
      </c>
      <c r="H1006" t="s">
        <v>2</v>
      </c>
      <c r="I1006" t="s">
        <v>8</v>
      </c>
      <c r="J1006" s="18">
        <v>6573577.25</v>
      </c>
      <c r="K1006" t="s">
        <v>2732</v>
      </c>
      <c r="L1006" t="s">
        <v>9</v>
      </c>
      <c r="M1006" t="s">
        <v>2820</v>
      </c>
      <c r="N1006" t="s">
        <v>3</v>
      </c>
      <c r="O1006" t="s">
        <v>3</v>
      </c>
      <c r="P1006" t="s">
        <v>5</v>
      </c>
      <c r="Q1006" t="s">
        <v>2821</v>
      </c>
      <c r="R1006" t="s">
        <v>3</v>
      </c>
      <c r="S1006" t="s">
        <v>3</v>
      </c>
      <c r="T1006" t="s">
        <v>3</v>
      </c>
      <c r="U1006" t="s">
        <v>3</v>
      </c>
      <c r="V1006" t="s">
        <v>3</v>
      </c>
      <c r="W1006" t="s">
        <v>68</v>
      </c>
      <c r="X1006" s="17">
        <v>43587</v>
      </c>
      <c r="Y1006" t="s">
        <v>2420</v>
      </c>
      <c r="Z1006" s="17">
        <v>43355</v>
      </c>
      <c r="AA1006" t="s">
        <v>3</v>
      </c>
      <c r="AB1006" t="s">
        <v>2819</v>
      </c>
    </row>
    <row r="1007" spans="1:28" hidden="1">
      <c r="A1007" t="s">
        <v>2819</v>
      </c>
      <c r="B1007" s="17">
        <v>43355</v>
      </c>
      <c r="C1007" s="17">
        <v>43355</v>
      </c>
      <c r="D1007" t="s">
        <v>0</v>
      </c>
      <c r="E1007" t="s">
        <v>1</v>
      </c>
      <c r="F1007" s="18">
        <v>68957</v>
      </c>
      <c r="G1007" s="18">
        <v>68957</v>
      </c>
      <c r="H1007" t="s">
        <v>2</v>
      </c>
      <c r="I1007" t="s">
        <v>8</v>
      </c>
      <c r="J1007" s="18">
        <v>5706191.75</v>
      </c>
      <c r="K1007" t="s">
        <v>2822</v>
      </c>
      <c r="L1007" t="s">
        <v>9</v>
      </c>
      <c r="M1007" t="s">
        <v>2820</v>
      </c>
      <c r="N1007" t="s">
        <v>3</v>
      </c>
      <c r="O1007" t="s">
        <v>3</v>
      </c>
      <c r="P1007" t="s">
        <v>5</v>
      </c>
      <c r="Q1007" t="s">
        <v>2821</v>
      </c>
      <c r="R1007" t="s">
        <v>3</v>
      </c>
      <c r="S1007" t="s">
        <v>3</v>
      </c>
      <c r="T1007" t="s">
        <v>3</v>
      </c>
      <c r="U1007" t="s">
        <v>3</v>
      </c>
      <c r="V1007" t="s">
        <v>3</v>
      </c>
      <c r="W1007" t="s">
        <v>68</v>
      </c>
      <c r="X1007" s="17">
        <v>43646</v>
      </c>
      <c r="Y1007" t="s">
        <v>2489</v>
      </c>
      <c r="Z1007" s="17">
        <v>43355</v>
      </c>
      <c r="AA1007" t="s">
        <v>3</v>
      </c>
      <c r="AB1007" t="s">
        <v>2819</v>
      </c>
    </row>
    <row r="1008" spans="1:28" hidden="1">
      <c r="A1008" t="s">
        <v>2819</v>
      </c>
      <c r="B1008" s="17">
        <v>43355</v>
      </c>
      <c r="C1008" s="17">
        <v>43355</v>
      </c>
      <c r="D1008" t="s">
        <v>0</v>
      </c>
      <c r="E1008" t="s">
        <v>1</v>
      </c>
      <c r="F1008" s="18">
        <v>1097</v>
      </c>
      <c r="G1008" s="18">
        <v>1097</v>
      </c>
      <c r="H1008" t="s">
        <v>2</v>
      </c>
      <c r="I1008" t="s">
        <v>8</v>
      </c>
      <c r="J1008" s="18">
        <v>90776.75</v>
      </c>
      <c r="K1008" t="s">
        <v>2736</v>
      </c>
      <c r="L1008" t="s">
        <v>9</v>
      </c>
      <c r="M1008" t="s">
        <v>2820</v>
      </c>
      <c r="N1008" t="s">
        <v>3</v>
      </c>
      <c r="O1008" t="s">
        <v>3</v>
      </c>
      <c r="P1008" t="s">
        <v>5</v>
      </c>
      <c r="Q1008" t="s">
        <v>2821</v>
      </c>
      <c r="R1008" t="s">
        <v>3</v>
      </c>
      <c r="S1008" t="s">
        <v>3</v>
      </c>
      <c r="T1008" t="s">
        <v>3</v>
      </c>
      <c r="U1008" t="s">
        <v>3</v>
      </c>
      <c r="V1008" t="s">
        <v>3</v>
      </c>
      <c r="W1008" t="s">
        <v>68</v>
      </c>
      <c r="X1008" s="17">
        <v>43587</v>
      </c>
      <c r="Y1008" t="s">
        <v>2430</v>
      </c>
      <c r="Z1008" s="17">
        <v>43355</v>
      </c>
      <c r="AA1008" t="s">
        <v>3</v>
      </c>
      <c r="AB1008" t="s">
        <v>2819</v>
      </c>
    </row>
    <row r="1009" spans="1:28" hidden="1">
      <c r="A1009" t="s">
        <v>2819</v>
      </c>
      <c r="B1009" s="17">
        <v>43355</v>
      </c>
      <c r="C1009" s="17">
        <v>43355</v>
      </c>
      <c r="D1009" t="s">
        <v>0</v>
      </c>
      <c r="E1009" t="s">
        <v>1</v>
      </c>
      <c r="F1009" s="18">
        <v>2843</v>
      </c>
      <c r="G1009" s="18">
        <v>2843</v>
      </c>
      <c r="H1009" t="s">
        <v>2</v>
      </c>
      <c r="I1009" t="s">
        <v>8</v>
      </c>
      <c r="J1009" s="18">
        <v>235258.25</v>
      </c>
      <c r="K1009" t="s">
        <v>2823</v>
      </c>
      <c r="L1009" t="s">
        <v>9</v>
      </c>
      <c r="M1009" t="s">
        <v>2820</v>
      </c>
      <c r="N1009" t="s">
        <v>3</v>
      </c>
      <c r="O1009" t="s">
        <v>3</v>
      </c>
      <c r="P1009" t="s">
        <v>5</v>
      </c>
      <c r="Q1009" t="s">
        <v>2821</v>
      </c>
      <c r="R1009" t="s">
        <v>3</v>
      </c>
      <c r="S1009" t="s">
        <v>3</v>
      </c>
      <c r="T1009" t="s">
        <v>3</v>
      </c>
      <c r="U1009" t="s">
        <v>3</v>
      </c>
      <c r="V1009" t="s">
        <v>3</v>
      </c>
      <c r="W1009" t="s">
        <v>68</v>
      </c>
      <c r="X1009" s="17">
        <v>43646</v>
      </c>
      <c r="Y1009" t="s">
        <v>2501</v>
      </c>
      <c r="Z1009" s="17">
        <v>43355</v>
      </c>
      <c r="AA1009" t="s">
        <v>3</v>
      </c>
      <c r="AB1009" t="s">
        <v>2819</v>
      </c>
    </row>
    <row r="1010" spans="1:28" hidden="1">
      <c r="A1010" t="s">
        <v>2824</v>
      </c>
      <c r="B1010" s="17">
        <v>43355</v>
      </c>
      <c r="C1010" s="17">
        <v>43355</v>
      </c>
      <c r="D1010" t="s">
        <v>0</v>
      </c>
      <c r="E1010" t="s">
        <v>1</v>
      </c>
      <c r="F1010" s="18">
        <v>20204</v>
      </c>
      <c r="G1010" s="18">
        <v>20204</v>
      </c>
      <c r="H1010" t="s">
        <v>2</v>
      </c>
      <c r="I1010" t="s">
        <v>8</v>
      </c>
      <c r="J1010" s="18">
        <v>1671881</v>
      </c>
      <c r="K1010" t="s">
        <v>2822</v>
      </c>
      <c r="L1010" t="s">
        <v>9</v>
      </c>
      <c r="M1010" t="s">
        <v>2825</v>
      </c>
      <c r="N1010" t="s">
        <v>3</v>
      </c>
      <c r="O1010" t="s">
        <v>3</v>
      </c>
      <c r="P1010" t="s">
        <v>5</v>
      </c>
      <c r="Q1010" t="s">
        <v>2826</v>
      </c>
      <c r="R1010" t="s">
        <v>3</v>
      </c>
      <c r="S1010" t="s">
        <v>3</v>
      </c>
      <c r="T1010" t="s">
        <v>3</v>
      </c>
      <c r="U1010" t="s">
        <v>3</v>
      </c>
      <c r="V1010" t="s">
        <v>3</v>
      </c>
      <c r="W1010" t="s">
        <v>68</v>
      </c>
      <c r="X1010" s="17">
        <v>43646</v>
      </c>
      <c r="Y1010" t="s">
        <v>2489</v>
      </c>
      <c r="Z1010" s="17">
        <v>43355</v>
      </c>
      <c r="AA1010" t="s">
        <v>3</v>
      </c>
      <c r="AB1010" t="s">
        <v>2824</v>
      </c>
    </row>
    <row r="1011" spans="1:28" hidden="1">
      <c r="A1011" t="s">
        <v>2827</v>
      </c>
      <c r="B1011" s="17">
        <v>43359</v>
      </c>
      <c r="C1011" s="17">
        <v>43359</v>
      </c>
      <c r="D1011" t="s">
        <v>0</v>
      </c>
      <c r="E1011" t="s">
        <v>1</v>
      </c>
      <c r="F1011" s="18">
        <v>16064</v>
      </c>
      <c r="G1011" s="18">
        <v>16064</v>
      </c>
      <c r="H1011" t="s">
        <v>2</v>
      </c>
      <c r="I1011" t="s">
        <v>8</v>
      </c>
      <c r="J1011" s="18">
        <v>1329296</v>
      </c>
      <c r="K1011" t="s">
        <v>3</v>
      </c>
      <c r="L1011" t="s">
        <v>9</v>
      </c>
      <c r="M1011" t="s">
        <v>2828</v>
      </c>
      <c r="N1011" t="s">
        <v>3</v>
      </c>
      <c r="O1011" t="s">
        <v>3</v>
      </c>
      <c r="P1011" t="s">
        <v>5</v>
      </c>
      <c r="Q1011" t="s">
        <v>2829</v>
      </c>
      <c r="R1011" t="s">
        <v>3</v>
      </c>
      <c r="S1011" t="s">
        <v>3</v>
      </c>
      <c r="T1011" t="s">
        <v>3</v>
      </c>
      <c r="U1011" t="s">
        <v>3</v>
      </c>
      <c r="V1011" t="s">
        <v>3</v>
      </c>
      <c r="W1011" t="s">
        <v>68</v>
      </c>
      <c r="X1011" s="17">
        <v>43646</v>
      </c>
      <c r="Y1011" t="s">
        <v>2501</v>
      </c>
      <c r="Z1011" s="17">
        <v>43359</v>
      </c>
      <c r="AA1011" t="s">
        <v>3</v>
      </c>
      <c r="AB1011" t="s">
        <v>2827</v>
      </c>
    </row>
    <row r="1012" spans="1:28" hidden="1">
      <c r="A1012" t="s">
        <v>2830</v>
      </c>
      <c r="B1012" s="17">
        <v>43359</v>
      </c>
      <c r="C1012" s="17">
        <v>43359</v>
      </c>
      <c r="D1012" t="s">
        <v>0</v>
      </c>
      <c r="E1012" t="s">
        <v>1</v>
      </c>
      <c r="F1012" s="18">
        <v>4927</v>
      </c>
      <c r="G1012" s="18">
        <v>4927</v>
      </c>
      <c r="H1012" t="s">
        <v>2</v>
      </c>
      <c r="I1012" t="s">
        <v>8</v>
      </c>
      <c r="J1012" s="18">
        <v>407709.25</v>
      </c>
      <c r="K1012" t="s">
        <v>2831</v>
      </c>
      <c r="L1012" t="s">
        <v>9</v>
      </c>
      <c r="M1012" t="s">
        <v>2832</v>
      </c>
      <c r="N1012" t="s">
        <v>3</v>
      </c>
      <c r="O1012" t="s">
        <v>3</v>
      </c>
      <c r="P1012" t="s">
        <v>5</v>
      </c>
      <c r="Q1012" t="s">
        <v>2833</v>
      </c>
      <c r="R1012" t="s">
        <v>3</v>
      </c>
      <c r="S1012" t="s">
        <v>3</v>
      </c>
      <c r="T1012" t="s">
        <v>3</v>
      </c>
      <c r="U1012" t="s">
        <v>3</v>
      </c>
      <c r="V1012" t="s">
        <v>3</v>
      </c>
      <c r="W1012" t="s">
        <v>68</v>
      </c>
      <c r="X1012" s="17">
        <v>43646</v>
      </c>
      <c r="Y1012" t="s">
        <v>2489</v>
      </c>
      <c r="Z1012" s="17">
        <v>43359</v>
      </c>
      <c r="AA1012" t="s">
        <v>3</v>
      </c>
      <c r="AB1012" t="s">
        <v>2830</v>
      </c>
    </row>
    <row r="1013" spans="1:28" hidden="1">
      <c r="A1013" t="s">
        <v>2693</v>
      </c>
      <c r="B1013" s="17">
        <v>43359</v>
      </c>
      <c r="C1013" s="17">
        <v>43359</v>
      </c>
      <c r="D1013" t="s">
        <v>0</v>
      </c>
      <c r="E1013" t="s">
        <v>1</v>
      </c>
      <c r="F1013" s="18">
        <v>128442</v>
      </c>
      <c r="G1013" s="18">
        <v>128442</v>
      </c>
      <c r="H1013" t="s">
        <v>2</v>
      </c>
      <c r="I1013" t="s">
        <v>10</v>
      </c>
      <c r="J1013" s="18">
        <v>10628575.5</v>
      </c>
      <c r="K1013" t="s">
        <v>2860</v>
      </c>
      <c r="L1013" t="s">
        <v>9</v>
      </c>
      <c r="M1013" t="s">
        <v>2861</v>
      </c>
      <c r="N1013" t="s">
        <v>3</v>
      </c>
      <c r="O1013" t="s">
        <v>3</v>
      </c>
      <c r="P1013" t="s">
        <v>5</v>
      </c>
      <c r="Q1013" t="s">
        <v>2862</v>
      </c>
      <c r="R1013" t="s">
        <v>3</v>
      </c>
      <c r="S1013" t="s">
        <v>3</v>
      </c>
      <c r="T1013" t="s">
        <v>3</v>
      </c>
      <c r="U1013" t="s">
        <v>3</v>
      </c>
      <c r="V1013" t="s">
        <v>3</v>
      </c>
      <c r="W1013" t="s">
        <v>68</v>
      </c>
      <c r="X1013" s="17">
        <v>43359</v>
      </c>
      <c r="Y1013" t="s">
        <v>2693</v>
      </c>
      <c r="Z1013" s="17">
        <v>43359</v>
      </c>
      <c r="AA1013" t="s">
        <v>3</v>
      </c>
      <c r="AB1013" t="s">
        <v>2693</v>
      </c>
    </row>
    <row r="1014" spans="1:28" hidden="1">
      <c r="A1014" t="s">
        <v>2834</v>
      </c>
      <c r="B1014" s="17">
        <v>43360</v>
      </c>
      <c r="C1014" s="17">
        <v>43360</v>
      </c>
      <c r="D1014" t="s">
        <v>0</v>
      </c>
      <c r="E1014" t="s">
        <v>1</v>
      </c>
      <c r="F1014" s="18">
        <v>61321</v>
      </c>
      <c r="G1014" s="18">
        <v>61321</v>
      </c>
      <c r="H1014" t="s">
        <v>2</v>
      </c>
      <c r="I1014" t="s">
        <v>8</v>
      </c>
      <c r="J1014" s="18">
        <v>5074312.76</v>
      </c>
      <c r="K1014" t="s">
        <v>2835</v>
      </c>
      <c r="L1014" t="s">
        <v>9</v>
      </c>
      <c r="M1014" t="s">
        <v>2836</v>
      </c>
      <c r="N1014" t="s">
        <v>3</v>
      </c>
      <c r="O1014" t="s">
        <v>3</v>
      </c>
      <c r="P1014" t="s">
        <v>5</v>
      </c>
      <c r="Q1014" t="s">
        <v>2837</v>
      </c>
      <c r="R1014" t="s">
        <v>3</v>
      </c>
      <c r="S1014" t="s">
        <v>3</v>
      </c>
      <c r="T1014" t="s">
        <v>3</v>
      </c>
      <c r="U1014" t="s">
        <v>3</v>
      </c>
      <c r="V1014" t="s">
        <v>3</v>
      </c>
      <c r="W1014" t="s">
        <v>68</v>
      </c>
      <c r="X1014" s="17">
        <v>43646</v>
      </c>
      <c r="Y1014" t="s">
        <v>2501</v>
      </c>
      <c r="Z1014" s="17">
        <v>43360</v>
      </c>
      <c r="AA1014" t="s">
        <v>3</v>
      </c>
      <c r="AB1014" t="s">
        <v>2834</v>
      </c>
    </row>
    <row r="1015" spans="1:28" hidden="1">
      <c r="A1015" t="s">
        <v>2838</v>
      </c>
      <c r="B1015" s="17">
        <v>43362</v>
      </c>
      <c r="C1015" s="17">
        <v>43362</v>
      </c>
      <c r="D1015" t="s">
        <v>0</v>
      </c>
      <c r="E1015" t="s">
        <v>1</v>
      </c>
      <c r="F1015" s="18">
        <v>9931</v>
      </c>
      <c r="G1015" s="18">
        <v>9931</v>
      </c>
      <c r="H1015" t="s">
        <v>2</v>
      </c>
      <c r="I1015" t="s">
        <v>8</v>
      </c>
      <c r="J1015" s="18">
        <v>821790.25</v>
      </c>
      <c r="K1015" t="s">
        <v>2839</v>
      </c>
      <c r="L1015" t="s">
        <v>9</v>
      </c>
      <c r="M1015" t="s">
        <v>2840</v>
      </c>
      <c r="N1015" t="s">
        <v>3</v>
      </c>
      <c r="O1015" t="s">
        <v>3</v>
      </c>
      <c r="P1015" t="s">
        <v>5</v>
      </c>
      <c r="Q1015" t="s">
        <v>2841</v>
      </c>
      <c r="R1015" t="s">
        <v>3</v>
      </c>
      <c r="S1015" t="s">
        <v>3</v>
      </c>
      <c r="T1015" t="s">
        <v>3</v>
      </c>
      <c r="U1015" t="s">
        <v>3</v>
      </c>
      <c r="V1015" t="s">
        <v>3</v>
      </c>
      <c r="W1015" t="s">
        <v>68</v>
      </c>
      <c r="X1015" s="17">
        <v>43587</v>
      </c>
      <c r="Y1015" t="s">
        <v>2441</v>
      </c>
      <c r="Z1015" s="17">
        <v>43362</v>
      </c>
      <c r="AA1015" t="s">
        <v>3</v>
      </c>
      <c r="AB1015" t="s">
        <v>2838</v>
      </c>
    </row>
    <row r="1016" spans="1:28" hidden="1">
      <c r="A1016" t="s">
        <v>2790</v>
      </c>
      <c r="B1016" s="17">
        <v>43363</v>
      </c>
      <c r="C1016" s="17">
        <v>43363</v>
      </c>
      <c r="D1016" t="s">
        <v>0</v>
      </c>
      <c r="E1016" t="s">
        <v>1</v>
      </c>
      <c r="F1016" s="18">
        <v>18559</v>
      </c>
      <c r="G1016" s="18">
        <v>18559</v>
      </c>
      <c r="H1016" t="s">
        <v>2</v>
      </c>
      <c r="I1016" t="s">
        <v>10</v>
      </c>
      <c r="J1016" s="18">
        <v>1535757.25</v>
      </c>
      <c r="K1016" t="s">
        <v>3</v>
      </c>
      <c r="L1016" t="s">
        <v>9</v>
      </c>
      <c r="M1016" t="s">
        <v>2863</v>
      </c>
      <c r="N1016" t="s">
        <v>3</v>
      </c>
      <c r="O1016" t="s">
        <v>3</v>
      </c>
      <c r="P1016" t="s">
        <v>5</v>
      </c>
      <c r="Q1016" t="s">
        <v>2864</v>
      </c>
      <c r="R1016" t="s">
        <v>3</v>
      </c>
      <c r="S1016" t="s">
        <v>3</v>
      </c>
      <c r="T1016" t="s">
        <v>3</v>
      </c>
      <c r="U1016" t="s">
        <v>3</v>
      </c>
      <c r="V1016" t="s">
        <v>3</v>
      </c>
      <c r="W1016" t="s">
        <v>68</v>
      </c>
      <c r="X1016" s="17">
        <v>43519</v>
      </c>
      <c r="Y1016" t="s">
        <v>2345</v>
      </c>
      <c r="Z1016" s="17">
        <v>43363</v>
      </c>
      <c r="AA1016" t="s">
        <v>3</v>
      </c>
      <c r="AB1016" t="s">
        <v>2790</v>
      </c>
    </row>
    <row r="1017" spans="1:28" hidden="1">
      <c r="A1017" t="s">
        <v>2790</v>
      </c>
      <c r="B1017" s="17">
        <v>43363</v>
      </c>
      <c r="C1017" s="17">
        <v>43363</v>
      </c>
      <c r="D1017" t="s">
        <v>0</v>
      </c>
      <c r="E1017" t="s">
        <v>1</v>
      </c>
      <c r="F1017" s="18">
        <v>2024</v>
      </c>
      <c r="G1017" s="18">
        <v>2024</v>
      </c>
      <c r="H1017" t="s">
        <v>2</v>
      </c>
      <c r="I1017" t="s">
        <v>10</v>
      </c>
      <c r="J1017" s="18">
        <v>167486</v>
      </c>
      <c r="K1017" t="s">
        <v>3</v>
      </c>
      <c r="L1017" t="s">
        <v>9</v>
      </c>
      <c r="M1017" t="s">
        <v>2863</v>
      </c>
      <c r="N1017" t="s">
        <v>3</v>
      </c>
      <c r="O1017" t="s">
        <v>3</v>
      </c>
      <c r="P1017" t="s">
        <v>5</v>
      </c>
      <c r="Q1017" t="s">
        <v>2864</v>
      </c>
      <c r="R1017" t="s">
        <v>3</v>
      </c>
      <c r="S1017" t="s">
        <v>3</v>
      </c>
      <c r="T1017" t="s">
        <v>3</v>
      </c>
      <c r="U1017" t="s">
        <v>3</v>
      </c>
      <c r="V1017" t="s">
        <v>3</v>
      </c>
      <c r="W1017" t="s">
        <v>68</v>
      </c>
      <c r="X1017" s="17">
        <v>43519</v>
      </c>
      <c r="Y1017" t="s">
        <v>2348</v>
      </c>
      <c r="Z1017" s="17">
        <v>43363</v>
      </c>
      <c r="AA1017" t="s">
        <v>3</v>
      </c>
      <c r="AB1017" t="s">
        <v>2790</v>
      </c>
    </row>
    <row r="1018" spans="1:28" hidden="1">
      <c r="A1018" t="s">
        <v>2790</v>
      </c>
      <c r="B1018" s="17">
        <v>43363</v>
      </c>
      <c r="C1018" s="17">
        <v>43363</v>
      </c>
      <c r="D1018" t="s">
        <v>0</v>
      </c>
      <c r="E1018" t="s">
        <v>1</v>
      </c>
      <c r="F1018" s="18">
        <v>58166</v>
      </c>
      <c r="G1018" s="18">
        <v>58166</v>
      </c>
      <c r="H1018" t="s">
        <v>2</v>
      </c>
      <c r="I1018" t="s">
        <v>10</v>
      </c>
      <c r="J1018" s="18">
        <v>4813236.51</v>
      </c>
      <c r="K1018" t="s">
        <v>2865</v>
      </c>
      <c r="L1018" t="s">
        <v>9</v>
      </c>
      <c r="M1018" t="s">
        <v>2863</v>
      </c>
      <c r="N1018" t="s">
        <v>3</v>
      </c>
      <c r="O1018" t="s">
        <v>3</v>
      </c>
      <c r="P1018" t="s">
        <v>5</v>
      </c>
      <c r="Q1018" t="s">
        <v>2864</v>
      </c>
      <c r="R1018" t="s">
        <v>3</v>
      </c>
      <c r="S1018" t="s">
        <v>3</v>
      </c>
      <c r="T1018" t="s">
        <v>3</v>
      </c>
      <c r="U1018" t="s">
        <v>3</v>
      </c>
      <c r="V1018" t="s">
        <v>3</v>
      </c>
      <c r="W1018" t="s">
        <v>68</v>
      </c>
      <c r="X1018" s="17">
        <v>43363</v>
      </c>
      <c r="Y1018" t="s">
        <v>2790</v>
      </c>
      <c r="Z1018" s="17">
        <v>43363</v>
      </c>
      <c r="AA1018" t="s">
        <v>3</v>
      </c>
      <c r="AB1018" t="s">
        <v>2790</v>
      </c>
    </row>
    <row r="1019" spans="1:28" hidden="1">
      <c r="A1019" t="s">
        <v>2871</v>
      </c>
      <c r="B1019" s="17">
        <v>43363</v>
      </c>
      <c r="C1019" s="17">
        <v>43363</v>
      </c>
      <c r="D1019" t="s">
        <v>0</v>
      </c>
      <c r="E1019" t="s">
        <v>1</v>
      </c>
      <c r="F1019" s="18">
        <v>-27893</v>
      </c>
      <c r="G1019" s="18">
        <v>-27893</v>
      </c>
      <c r="H1019" t="s">
        <v>2</v>
      </c>
      <c r="I1019" t="s">
        <v>10</v>
      </c>
      <c r="J1019" s="18">
        <v>-2308145.7599999998</v>
      </c>
      <c r="K1019" t="s">
        <v>2872</v>
      </c>
      <c r="L1019" t="s">
        <v>9</v>
      </c>
      <c r="M1019" t="s">
        <v>2873</v>
      </c>
      <c r="N1019" t="s">
        <v>3</v>
      </c>
      <c r="O1019" t="s">
        <v>3</v>
      </c>
      <c r="P1019" t="s">
        <v>5</v>
      </c>
      <c r="Q1019" t="s">
        <v>2874</v>
      </c>
      <c r="R1019" t="s">
        <v>3</v>
      </c>
      <c r="S1019" t="s">
        <v>3</v>
      </c>
      <c r="T1019" t="s">
        <v>3</v>
      </c>
      <c r="U1019" t="s">
        <v>3</v>
      </c>
      <c r="V1019" t="s">
        <v>3</v>
      </c>
      <c r="W1019" t="s">
        <v>68</v>
      </c>
      <c r="X1019" s="17">
        <v>43522</v>
      </c>
      <c r="Y1019" t="s">
        <v>2402</v>
      </c>
      <c r="Z1019" s="17">
        <v>43363</v>
      </c>
      <c r="AA1019" t="s">
        <v>3</v>
      </c>
      <c r="AB1019" t="s">
        <v>2871</v>
      </c>
    </row>
    <row r="1020" spans="1:28" hidden="1">
      <c r="A1020" t="s">
        <v>2842</v>
      </c>
      <c r="B1020" s="17">
        <v>43366</v>
      </c>
      <c r="C1020" s="17">
        <v>43366</v>
      </c>
      <c r="D1020" t="s">
        <v>0</v>
      </c>
      <c r="E1020" t="s">
        <v>1</v>
      </c>
      <c r="F1020" s="18">
        <v>3450</v>
      </c>
      <c r="G1020" s="18">
        <v>3450</v>
      </c>
      <c r="H1020" t="s">
        <v>2</v>
      </c>
      <c r="I1020" t="s">
        <v>8</v>
      </c>
      <c r="J1020" s="18">
        <v>285487.5</v>
      </c>
      <c r="K1020" t="s">
        <v>3</v>
      </c>
      <c r="L1020" t="s">
        <v>9</v>
      </c>
      <c r="M1020" t="s">
        <v>2843</v>
      </c>
      <c r="N1020" t="s">
        <v>3</v>
      </c>
      <c r="O1020" t="s">
        <v>3</v>
      </c>
      <c r="P1020" t="s">
        <v>5</v>
      </c>
      <c r="Q1020" t="s">
        <v>2844</v>
      </c>
      <c r="R1020" t="s">
        <v>3</v>
      </c>
      <c r="S1020" t="s">
        <v>3</v>
      </c>
      <c r="T1020" t="s">
        <v>3</v>
      </c>
      <c r="U1020" t="s">
        <v>3</v>
      </c>
      <c r="V1020" t="s">
        <v>3</v>
      </c>
      <c r="W1020" t="s">
        <v>68</v>
      </c>
      <c r="X1020" s="17">
        <v>43646</v>
      </c>
      <c r="Y1020" t="s">
        <v>2493</v>
      </c>
      <c r="Z1020" s="17">
        <v>43366</v>
      </c>
      <c r="AA1020" t="s">
        <v>3</v>
      </c>
      <c r="AB1020" t="s">
        <v>2842</v>
      </c>
    </row>
    <row r="1021" spans="1:28" hidden="1">
      <c r="A1021" t="s">
        <v>2845</v>
      </c>
      <c r="B1021" s="17">
        <v>43366</v>
      </c>
      <c r="C1021" s="17">
        <v>43366</v>
      </c>
      <c r="D1021" t="s">
        <v>0</v>
      </c>
      <c r="E1021" t="s">
        <v>1</v>
      </c>
      <c r="F1021" s="18">
        <v>129565</v>
      </c>
      <c r="G1021" s="18">
        <v>129565</v>
      </c>
      <c r="H1021" t="s">
        <v>2</v>
      </c>
      <c r="I1021" t="s">
        <v>8</v>
      </c>
      <c r="J1021" s="18">
        <v>10721503.75</v>
      </c>
      <c r="K1021" t="s">
        <v>2839</v>
      </c>
      <c r="L1021" t="s">
        <v>9</v>
      </c>
      <c r="M1021" t="s">
        <v>2846</v>
      </c>
      <c r="N1021" t="s">
        <v>3</v>
      </c>
      <c r="O1021" t="s">
        <v>3</v>
      </c>
      <c r="P1021" t="s">
        <v>5</v>
      </c>
      <c r="Q1021" t="s">
        <v>2847</v>
      </c>
      <c r="R1021" t="s">
        <v>3</v>
      </c>
      <c r="S1021" t="s">
        <v>3</v>
      </c>
      <c r="T1021" t="s">
        <v>3</v>
      </c>
      <c r="U1021" t="s">
        <v>3</v>
      </c>
      <c r="V1021" t="s">
        <v>3</v>
      </c>
      <c r="W1021" t="s">
        <v>68</v>
      </c>
      <c r="X1021" s="17">
        <v>43587</v>
      </c>
      <c r="Y1021" t="s">
        <v>2441</v>
      </c>
      <c r="Z1021" s="17">
        <v>43366</v>
      </c>
      <c r="AA1021" t="s">
        <v>3</v>
      </c>
      <c r="AB1021" t="s">
        <v>2845</v>
      </c>
    </row>
    <row r="1022" spans="1:28" hidden="1">
      <c r="A1022" t="s">
        <v>2845</v>
      </c>
      <c r="B1022" s="17">
        <v>43366</v>
      </c>
      <c r="C1022" s="17">
        <v>43366</v>
      </c>
      <c r="D1022" t="s">
        <v>0</v>
      </c>
      <c r="E1022" t="s">
        <v>1</v>
      </c>
      <c r="F1022" s="18">
        <v>65428</v>
      </c>
      <c r="G1022" s="18">
        <v>65428</v>
      </c>
      <c r="H1022" t="s">
        <v>2</v>
      </c>
      <c r="I1022" t="s">
        <v>8</v>
      </c>
      <c r="J1022" s="18">
        <v>5414167</v>
      </c>
      <c r="K1022" t="s">
        <v>2848</v>
      </c>
      <c r="L1022" t="s">
        <v>9</v>
      </c>
      <c r="M1022" t="s">
        <v>2846</v>
      </c>
      <c r="N1022" t="s">
        <v>3</v>
      </c>
      <c r="O1022" t="s">
        <v>3</v>
      </c>
      <c r="P1022" t="s">
        <v>5</v>
      </c>
      <c r="Q1022" t="s">
        <v>2847</v>
      </c>
      <c r="R1022" t="s">
        <v>3</v>
      </c>
      <c r="S1022" t="s">
        <v>3</v>
      </c>
      <c r="T1022" t="s">
        <v>3</v>
      </c>
      <c r="U1022" t="s">
        <v>3</v>
      </c>
      <c r="V1022" t="s">
        <v>3</v>
      </c>
      <c r="W1022" t="s">
        <v>68</v>
      </c>
      <c r="X1022" s="17">
        <v>43646</v>
      </c>
      <c r="Y1022" t="s">
        <v>2493</v>
      </c>
      <c r="Z1022" s="17">
        <v>43366</v>
      </c>
      <c r="AA1022" t="s">
        <v>3</v>
      </c>
      <c r="AB1022" t="s">
        <v>2845</v>
      </c>
    </row>
    <row r="1023" spans="1:28" hidden="1">
      <c r="A1023" t="s">
        <v>2875</v>
      </c>
      <c r="B1023" s="17">
        <v>43368</v>
      </c>
      <c r="C1023" s="17">
        <v>43368</v>
      </c>
      <c r="D1023" t="s">
        <v>0</v>
      </c>
      <c r="E1023" t="s">
        <v>1</v>
      </c>
      <c r="F1023" s="18">
        <v>-316719</v>
      </c>
      <c r="G1023" s="18">
        <v>-316719</v>
      </c>
      <c r="H1023" t="s">
        <v>2</v>
      </c>
      <c r="I1023" t="s">
        <v>8</v>
      </c>
      <c r="J1023" s="18">
        <v>-26208497.25</v>
      </c>
      <c r="K1023" t="s">
        <v>2876</v>
      </c>
      <c r="L1023" t="s">
        <v>9</v>
      </c>
      <c r="M1023" t="s">
        <v>2877</v>
      </c>
      <c r="N1023" t="s">
        <v>3</v>
      </c>
      <c r="O1023" t="s">
        <v>3</v>
      </c>
      <c r="P1023" t="s">
        <v>5</v>
      </c>
      <c r="Q1023" t="s">
        <v>2878</v>
      </c>
      <c r="R1023" t="s">
        <v>3</v>
      </c>
      <c r="S1023" t="s">
        <v>3</v>
      </c>
      <c r="T1023" t="s">
        <v>3</v>
      </c>
      <c r="U1023" t="s">
        <v>3</v>
      </c>
      <c r="V1023" t="s">
        <v>3</v>
      </c>
      <c r="W1023" t="s">
        <v>68</v>
      </c>
      <c r="X1023" s="17">
        <v>43646</v>
      </c>
      <c r="Y1023" t="s">
        <v>2491</v>
      </c>
      <c r="Z1023" s="17">
        <v>43368</v>
      </c>
      <c r="AA1023" t="s">
        <v>3</v>
      </c>
      <c r="AB1023" t="s">
        <v>2875</v>
      </c>
    </row>
    <row r="1024" spans="1:28" hidden="1">
      <c r="A1024" t="s">
        <v>2849</v>
      </c>
      <c r="B1024" s="17">
        <v>43370</v>
      </c>
      <c r="C1024" s="17">
        <v>43370</v>
      </c>
      <c r="D1024" t="s">
        <v>0</v>
      </c>
      <c r="E1024" t="s">
        <v>1</v>
      </c>
      <c r="F1024" s="18">
        <v>18126</v>
      </c>
      <c r="G1024" s="18">
        <v>18126</v>
      </c>
      <c r="H1024" t="s">
        <v>2</v>
      </c>
      <c r="I1024" t="s">
        <v>8</v>
      </c>
      <c r="J1024" s="18">
        <v>1499926.5</v>
      </c>
      <c r="K1024" t="s">
        <v>2839</v>
      </c>
      <c r="L1024" t="s">
        <v>9</v>
      </c>
      <c r="M1024" t="s">
        <v>2850</v>
      </c>
      <c r="N1024" t="s">
        <v>3</v>
      </c>
      <c r="O1024" t="s">
        <v>3</v>
      </c>
      <c r="P1024" t="s">
        <v>5</v>
      </c>
      <c r="Q1024" t="s">
        <v>2851</v>
      </c>
      <c r="R1024" t="s">
        <v>3</v>
      </c>
      <c r="S1024" t="s">
        <v>3</v>
      </c>
      <c r="T1024" t="s">
        <v>3</v>
      </c>
      <c r="U1024" t="s">
        <v>3</v>
      </c>
      <c r="V1024" t="s">
        <v>3</v>
      </c>
      <c r="W1024" t="s">
        <v>68</v>
      </c>
      <c r="X1024" s="17">
        <v>43587</v>
      </c>
      <c r="Y1024" t="s">
        <v>2441</v>
      </c>
      <c r="Z1024" s="17">
        <v>43370</v>
      </c>
      <c r="AA1024" t="s">
        <v>3</v>
      </c>
      <c r="AB1024" t="s">
        <v>2849</v>
      </c>
    </row>
    <row r="1025" spans="1:28" hidden="1">
      <c r="A1025" t="s">
        <v>2849</v>
      </c>
      <c r="B1025" s="17">
        <v>43370</v>
      </c>
      <c r="C1025" s="17">
        <v>43370</v>
      </c>
      <c r="D1025" t="s">
        <v>0</v>
      </c>
      <c r="E1025" t="s">
        <v>1</v>
      </c>
      <c r="F1025" s="18">
        <v>78853</v>
      </c>
      <c r="G1025" s="18">
        <v>78853</v>
      </c>
      <c r="H1025" t="s">
        <v>2</v>
      </c>
      <c r="I1025" t="s">
        <v>8</v>
      </c>
      <c r="J1025" s="18">
        <v>6525085.75</v>
      </c>
      <c r="K1025" t="s">
        <v>2848</v>
      </c>
      <c r="L1025" t="s">
        <v>9</v>
      </c>
      <c r="M1025" t="s">
        <v>2850</v>
      </c>
      <c r="N1025" t="s">
        <v>3</v>
      </c>
      <c r="O1025" t="s">
        <v>3</v>
      </c>
      <c r="P1025" t="s">
        <v>5</v>
      </c>
      <c r="Q1025" t="s">
        <v>2851</v>
      </c>
      <c r="R1025" t="s">
        <v>3</v>
      </c>
      <c r="S1025" t="s">
        <v>3</v>
      </c>
      <c r="T1025" t="s">
        <v>3</v>
      </c>
      <c r="U1025" t="s">
        <v>3</v>
      </c>
      <c r="V1025" t="s">
        <v>3</v>
      </c>
      <c r="W1025" t="s">
        <v>68</v>
      </c>
      <c r="X1025" s="17">
        <v>43646</v>
      </c>
      <c r="Y1025" t="s">
        <v>2493</v>
      </c>
      <c r="Z1025" s="17">
        <v>43370</v>
      </c>
      <c r="AA1025" t="s">
        <v>3</v>
      </c>
      <c r="AB1025" t="s">
        <v>2849</v>
      </c>
    </row>
    <row r="1026" spans="1:28" hidden="1">
      <c r="A1026" t="s">
        <v>2866</v>
      </c>
      <c r="B1026" s="17">
        <v>43373</v>
      </c>
      <c r="C1026" s="17">
        <v>43373</v>
      </c>
      <c r="D1026" t="s">
        <v>0</v>
      </c>
      <c r="E1026" t="s">
        <v>1</v>
      </c>
      <c r="F1026" s="18">
        <v>12686</v>
      </c>
      <c r="G1026" s="18">
        <v>12686</v>
      </c>
      <c r="H1026" t="s">
        <v>2</v>
      </c>
      <c r="I1026" t="s">
        <v>10</v>
      </c>
      <c r="J1026" s="18">
        <v>1049766.5</v>
      </c>
      <c r="K1026" t="s">
        <v>2867</v>
      </c>
      <c r="L1026" t="s">
        <v>9</v>
      </c>
      <c r="M1026" t="s">
        <v>2868</v>
      </c>
      <c r="N1026" t="s">
        <v>3</v>
      </c>
      <c r="O1026" t="s">
        <v>3</v>
      </c>
      <c r="P1026" t="s">
        <v>5</v>
      </c>
      <c r="Q1026" t="s">
        <v>2869</v>
      </c>
      <c r="R1026" t="s">
        <v>3</v>
      </c>
      <c r="S1026" t="s">
        <v>3</v>
      </c>
      <c r="T1026" t="s">
        <v>3</v>
      </c>
      <c r="U1026" t="s">
        <v>3</v>
      </c>
      <c r="V1026" t="s">
        <v>3</v>
      </c>
      <c r="W1026" t="s">
        <v>68</v>
      </c>
      <c r="X1026" s="17">
        <v>43519</v>
      </c>
      <c r="Y1026" t="s">
        <v>2345</v>
      </c>
      <c r="Z1026" s="17">
        <v>43373</v>
      </c>
      <c r="AA1026" t="s">
        <v>3</v>
      </c>
      <c r="AB1026" t="s">
        <v>2866</v>
      </c>
    </row>
    <row r="1027" spans="1:28" hidden="1">
      <c r="A1027" t="s">
        <v>2866</v>
      </c>
      <c r="B1027" s="17">
        <v>43373</v>
      </c>
      <c r="C1027" s="17">
        <v>43373</v>
      </c>
      <c r="D1027" t="s">
        <v>0</v>
      </c>
      <c r="E1027" t="s">
        <v>1</v>
      </c>
      <c r="F1027" s="18">
        <v>11585</v>
      </c>
      <c r="G1027" s="18">
        <v>11585</v>
      </c>
      <c r="H1027" t="s">
        <v>2</v>
      </c>
      <c r="I1027" t="s">
        <v>10</v>
      </c>
      <c r="J1027" s="18">
        <v>958658.75</v>
      </c>
      <c r="K1027" t="s">
        <v>2870</v>
      </c>
      <c r="L1027" t="s">
        <v>9</v>
      </c>
      <c r="M1027" t="s">
        <v>2868</v>
      </c>
      <c r="N1027" t="s">
        <v>3</v>
      </c>
      <c r="O1027" t="s">
        <v>3</v>
      </c>
      <c r="P1027" t="s">
        <v>5</v>
      </c>
      <c r="Q1027" t="s">
        <v>2869</v>
      </c>
      <c r="R1027" t="s">
        <v>3</v>
      </c>
      <c r="S1027" t="s">
        <v>3</v>
      </c>
      <c r="T1027" t="s">
        <v>3</v>
      </c>
      <c r="U1027" t="s">
        <v>3</v>
      </c>
      <c r="V1027" t="s">
        <v>3</v>
      </c>
      <c r="W1027" t="s">
        <v>68</v>
      </c>
      <c r="X1027" s="17">
        <v>43519</v>
      </c>
      <c r="Y1027" t="s">
        <v>2348</v>
      </c>
      <c r="Z1027" s="17">
        <v>43373</v>
      </c>
      <c r="AA1027" t="s">
        <v>3</v>
      </c>
      <c r="AB1027" t="s">
        <v>2866</v>
      </c>
    </row>
    <row r="1028" spans="1:28" hidden="1">
      <c r="A1028" t="s">
        <v>2882</v>
      </c>
      <c r="B1028" s="17">
        <v>43373</v>
      </c>
      <c r="C1028" s="17">
        <v>43373</v>
      </c>
      <c r="D1028" t="s">
        <v>0</v>
      </c>
      <c r="E1028" t="s">
        <v>1</v>
      </c>
      <c r="F1028" s="18">
        <v>192835</v>
      </c>
      <c r="G1028" s="18">
        <v>192835</v>
      </c>
      <c r="H1028" t="s">
        <v>2</v>
      </c>
      <c r="I1028" t="s">
        <v>8</v>
      </c>
      <c r="J1028" s="18">
        <v>15957096.25</v>
      </c>
      <c r="K1028" t="s">
        <v>2216</v>
      </c>
      <c r="L1028" t="s">
        <v>9</v>
      </c>
      <c r="M1028" t="s">
        <v>2217</v>
      </c>
      <c r="N1028" t="s">
        <v>3</v>
      </c>
      <c r="O1028" t="s">
        <v>3</v>
      </c>
      <c r="P1028" t="s">
        <v>5</v>
      </c>
      <c r="Q1028" t="s">
        <v>2218</v>
      </c>
      <c r="R1028" t="s">
        <v>3</v>
      </c>
      <c r="S1028" t="s">
        <v>3</v>
      </c>
      <c r="T1028" t="s">
        <v>3</v>
      </c>
      <c r="U1028" t="s">
        <v>3</v>
      </c>
      <c r="V1028" t="s">
        <v>3</v>
      </c>
      <c r="W1028" t="s">
        <v>68</v>
      </c>
      <c r="X1028" s="17">
        <v>43374</v>
      </c>
      <c r="Y1028" t="s">
        <v>2215</v>
      </c>
      <c r="Z1028" s="17">
        <v>43373</v>
      </c>
      <c r="AA1028" t="s">
        <v>3</v>
      </c>
      <c r="AB1028" t="s">
        <v>2882</v>
      </c>
    </row>
    <row r="1029" spans="1:28" hidden="1">
      <c r="A1029" t="s">
        <v>2215</v>
      </c>
      <c r="B1029" s="17">
        <v>43374</v>
      </c>
      <c r="C1029" s="17">
        <v>43373</v>
      </c>
      <c r="D1029" t="s">
        <v>38</v>
      </c>
      <c r="E1029" t="s">
        <v>1</v>
      </c>
      <c r="F1029" s="18">
        <v>-192835</v>
      </c>
      <c r="G1029" s="18">
        <v>-192835</v>
      </c>
      <c r="H1029" t="s">
        <v>2</v>
      </c>
      <c r="I1029" t="s">
        <v>8</v>
      </c>
      <c r="J1029" s="18">
        <v>-15957096.25</v>
      </c>
      <c r="K1029" t="s">
        <v>2216</v>
      </c>
      <c r="L1029" t="s">
        <v>9</v>
      </c>
      <c r="M1029" t="s">
        <v>2217</v>
      </c>
      <c r="N1029" t="s">
        <v>3</v>
      </c>
      <c r="O1029" t="s">
        <v>3</v>
      </c>
      <c r="P1029" t="s">
        <v>5</v>
      </c>
      <c r="Q1029" t="s">
        <v>2218</v>
      </c>
      <c r="R1029" t="s">
        <v>3</v>
      </c>
      <c r="S1029" t="s">
        <v>3</v>
      </c>
      <c r="T1029" t="s">
        <v>3</v>
      </c>
      <c r="U1029" t="s">
        <v>3</v>
      </c>
      <c r="V1029" t="s">
        <v>3</v>
      </c>
      <c r="W1029" t="s">
        <v>68</v>
      </c>
      <c r="X1029" s="17">
        <v>43374</v>
      </c>
      <c r="Y1029" t="s">
        <v>2215</v>
      </c>
      <c r="Z1029" s="17">
        <v>43373</v>
      </c>
      <c r="AA1029" t="s">
        <v>3</v>
      </c>
      <c r="AB1029" t="s">
        <v>2215</v>
      </c>
    </row>
    <row r="1030" spans="1:28" hidden="1">
      <c r="A1030" t="s">
        <v>2910</v>
      </c>
      <c r="B1030" s="17">
        <v>43374</v>
      </c>
      <c r="C1030" s="17">
        <v>43374</v>
      </c>
      <c r="D1030" t="s">
        <v>0</v>
      </c>
      <c r="E1030" t="s">
        <v>1</v>
      </c>
      <c r="F1030" s="18">
        <v>18032</v>
      </c>
      <c r="G1030" s="18">
        <v>18032</v>
      </c>
      <c r="H1030" t="s">
        <v>2</v>
      </c>
      <c r="I1030" t="s">
        <v>8</v>
      </c>
      <c r="J1030" s="18">
        <v>1492148</v>
      </c>
      <c r="K1030" t="s">
        <v>2911</v>
      </c>
      <c r="L1030" t="s">
        <v>9</v>
      </c>
      <c r="M1030" t="s">
        <v>2912</v>
      </c>
      <c r="N1030" t="s">
        <v>3</v>
      </c>
      <c r="O1030" t="s">
        <v>3</v>
      </c>
      <c r="P1030" t="s">
        <v>5</v>
      </c>
      <c r="Q1030" t="s">
        <v>2913</v>
      </c>
      <c r="R1030" t="s">
        <v>3</v>
      </c>
      <c r="S1030" t="s">
        <v>3</v>
      </c>
      <c r="T1030" t="s">
        <v>3</v>
      </c>
      <c r="U1030" t="s">
        <v>3</v>
      </c>
      <c r="V1030" t="s">
        <v>3</v>
      </c>
      <c r="W1030" t="s">
        <v>68</v>
      </c>
      <c r="X1030" s="17">
        <v>43646</v>
      </c>
      <c r="Y1030" t="s">
        <v>2493</v>
      </c>
      <c r="Z1030" s="17">
        <v>43374</v>
      </c>
      <c r="AA1030" t="s">
        <v>3</v>
      </c>
      <c r="AB1030" t="s">
        <v>2910</v>
      </c>
    </row>
    <row r="1031" spans="1:28" hidden="1">
      <c r="A1031" t="s">
        <v>2914</v>
      </c>
      <c r="B1031" s="17">
        <v>43374</v>
      </c>
      <c r="C1031" s="17">
        <v>43374</v>
      </c>
      <c r="D1031" t="s">
        <v>0</v>
      </c>
      <c r="E1031" t="s">
        <v>1</v>
      </c>
      <c r="F1031" s="18">
        <v>47561</v>
      </c>
      <c r="G1031" s="18">
        <v>47561</v>
      </c>
      <c r="H1031" t="s">
        <v>2</v>
      </c>
      <c r="I1031" t="s">
        <v>10</v>
      </c>
      <c r="J1031" s="18">
        <v>3935672.75</v>
      </c>
      <c r="K1031" t="s">
        <v>2915</v>
      </c>
      <c r="L1031" t="s">
        <v>9</v>
      </c>
      <c r="M1031" t="s">
        <v>2916</v>
      </c>
      <c r="N1031" t="s">
        <v>3</v>
      </c>
      <c r="O1031" t="s">
        <v>3</v>
      </c>
      <c r="P1031" t="s">
        <v>5</v>
      </c>
      <c r="Q1031" t="s">
        <v>2917</v>
      </c>
      <c r="R1031" t="s">
        <v>3</v>
      </c>
      <c r="S1031" t="s">
        <v>3</v>
      </c>
      <c r="T1031" t="s">
        <v>3</v>
      </c>
      <c r="U1031" t="s">
        <v>3</v>
      </c>
      <c r="V1031" t="s">
        <v>3</v>
      </c>
      <c r="W1031" t="s">
        <v>68</v>
      </c>
      <c r="X1031" s="17">
        <v>43519</v>
      </c>
      <c r="Y1031" t="s">
        <v>2345</v>
      </c>
      <c r="Z1031" s="17">
        <v>43374</v>
      </c>
      <c r="AA1031" t="s">
        <v>3</v>
      </c>
      <c r="AB1031" t="s">
        <v>2914</v>
      </c>
    </row>
    <row r="1032" spans="1:28" hidden="1">
      <c r="A1032" t="s">
        <v>2921</v>
      </c>
      <c r="B1032" s="17">
        <v>43374</v>
      </c>
      <c r="C1032" s="17">
        <v>43374</v>
      </c>
      <c r="D1032" t="s">
        <v>0</v>
      </c>
      <c r="E1032" t="s">
        <v>1</v>
      </c>
      <c r="F1032" s="18">
        <v>64046</v>
      </c>
      <c r="G1032" s="18">
        <v>64046</v>
      </c>
      <c r="H1032" t="s">
        <v>2</v>
      </c>
      <c r="I1032" t="s">
        <v>10</v>
      </c>
      <c r="J1032" s="18">
        <v>5299806.5</v>
      </c>
      <c r="K1032" t="s">
        <v>2915</v>
      </c>
      <c r="L1032" t="s">
        <v>9</v>
      </c>
      <c r="M1032" t="s">
        <v>2922</v>
      </c>
      <c r="N1032" t="s">
        <v>3</v>
      </c>
      <c r="O1032" t="s">
        <v>3</v>
      </c>
      <c r="P1032" t="s">
        <v>5</v>
      </c>
      <c r="Q1032" t="s">
        <v>2923</v>
      </c>
      <c r="R1032" t="s">
        <v>3</v>
      </c>
      <c r="S1032" t="s">
        <v>3</v>
      </c>
      <c r="T1032" t="s">
        <v>3</v>
      </c>
      <c r="U1032" t="s">
        <v>3</v>
      </c>
      <c r="V1032" t="s">
        <v>3</v>
      </c>
      <c r="W1032" t="s">
        <v>68</v>
      </c>
      <c r="X1032" s="17">
        <v>43519</v>
      </c>
      <c r="Y1032" t="s">
        <v>2345</v>
      </c>
      <c r="Z1032" s="17">
        <v>43374</v>
      </c>
      <c r="AA1032" t="s">
        <v>3</v>
      </c>
      <c r="AB1032" t="s">
        <v>2921</v>
      </c>
    </row>
    <row r="1033" spans="1:28" hidden="1">
      <c r="A1033" t="s">
        <v>2921</v>
      </c>
      <c r="B1033" s="17">
        <v>43374</v>
      </c>
      <c r="C1033" s="17">
        <v>43374</v>
      </c>
      <c r="D1033" t="s">
        <v>0</v>
      </c>
      <c r="E1033" t="s">
        <v>1</v>
      </c>
      <c r="F1033" s="18">
        <v>63197</v>
      </c>
      <c r="G1033" s="18">
        <v>63197</v>
      </c>
      <c r="H1033" t="s">
        <v>2</v>
      </c>
      <c r="I1033" t="s">
        <v>10</v>
      </c>
      <c r="J1033" s="18">
        <v>5229551.76</v>
      </c>
      <c r="K1033" t="s">
        <v>2924</v>
      </c>
      <c r="L1033" t="s">
        <v>9</v>
      </c>
      <c r="M1033" t="s">
        <v>2922</v>
      </c>
      <c r="N1033" t="s">
        <v>3</v>
      </c>
      <c r="O1033" t="s">
        <v>3</v>
      </c>
      <c r="P1033" t="s">
        <v>5</v>
      </c>
      <c r="Q1033" t="s">
        <v>2923</v>
      </c>
      <c r="R1033" t="s">
        <v>3</v>
      </c>
      <c r="S1033" t="s">
        <v>3</v>
      </c>
      <c r="T1033" t="s">
        <v>3</v>
      </c>
      <c r="U1033" t="s">
        <v>3</v>
      </c>
      <c r="V1033" t="s">
        <v>3</v>
      </c>
      <c r="W1033" t="s">
        <v>68</v>
      </c>
      <c r="X1033" s="17">
        <v>43519</v>
      </c>
      <c r="Y1033" t="s">
        <v>2348</v>
      </c>
      <c r="Z1033" s="17">
        <v>43374</v>
      </c>
      <c r="AA1033" t="s">
        <v>3</v>
      </c>
      <c r="AB1033" t="s">
        <v>2921</v>
      </c>
    </row>
    <row r="1034" spans="1:28" hidden="1">
      <c r="A1034" t="s">
        <v>2883</v>
      </c>
      <c r="B1034" s="17">
        <v>43377</v>
      </c>
      <c r="C1034" s="17">
        <v>43377</v>
      </c>
      <c r="D1034" t="s">
        <v>0</v>
      </c>
      <c r="E1034" t="s">
        <v>1</v>
      </c>
      <c r="F1034" s="18">
        <v>20989</v>
      </c>
      <c r="G1034" s="18">
        <v>20989</v>
      </c>
      <c r="H1034" t="s">
        <v>2</v>
      </c>
      <c r="I1034" t="s">
        <v>8</v>
      </c>
      <c r="J1034" s="18">
        <v>1736839.75</v>
      </c>
      <c r="K1034" t="s">
        <v>3</v>
      </c>
      <c r="L1034" t="s">
        <v>9</v>
      </c>
      <c r="M1034" t="s">
        <v>2884</v>
      </c>
      <c r="N1034" t="s">
        <v>3</v>
      </c>
      <c r="O1034" t="s">
        <v>3</v>
      </c>
      <c r="P1034" t="s">
        <v>5</v>
      </c>
      <c r="Q1034" t="s">
        <v>2885</v>
      </c>
      <c r="R1034" t="s">
        <v>3</v>
      </c>
      <c r="S1034" t="s">
        <v>3</v>
      </c>
      <c r="T1034" t="s">
        <v>3</v>
      </c>
      <c r="U1034" t="s">
        <v>3</v>
      </c>
      <c r="V1034" t="s">
        <v>3</v>
      </c>
      <c r="W1034" t="s">
        <v>68</v>
      </c>
      <c r="X1034" s="17">
        <v>43646</v>
      </c>
      <c r="Y1034" t="s">
        <v>2491</v>
      </c>
      <c r="Z1034" s="17">
        <v>43377</v>
      </c>
      <c r="AA1034" t="s">
        <v>3</v>
      </c>
      <c r="AB1034" t="s">
        <v>2883</v>
      </c>
    </row>
    <row r="1035" spans="1:28" hidden="1">
      <c r="A1035" t="s">
        <v>2886</v>
      </c>
      <c r="B1035" s="17">
        <v>43377</v>
      </c>
      <c r="C1035" s="17">
        <v>43377</v>
      </c>
      <c r="D1035" t="s">
        <v>0</v>
      </c>
      <c r="E1035" t="s">
        <v>1</v>
      </c>
      <c r="F1035" s="18">
        <v>195654</v>
      </c>
      <c r="G1035" s="18">
        <v>195654</v>
      </c>
      <c r="H1035" t="s">
        <v>2</v>
      </c>
      <c r="I1035" t="s">
        <v>8</v>
      </c>
      <c r="J1035" s="18">
        <v>16190368.5</v>
      </c>
      <c r="K1035" t="s">
        <v>2887</v>
      </c>
      <c r="L1035" t="s">
        <v>9</v>
      </c>
      <c r="M1035" t="s">
        <v>2888</v>
      </c>
      <c r="N1035" t="s">
        <v>3</v>
      </c>
      <c r="O1035" t="s">
        <v>3</v>
      </c>
      <c r="P1035" t="s">
        <v>5</v>
      </c>
      <c r="Q1035" t="s">
        <v>2889</v>
      </c>
      <c r="R1035" t="s">
        <v>3</v>
      </c>
      <c r="S1035" t="s">
        <v>3</v>
      </c>
      <c r="T1035" t="s">
        <v>3</v>
      </c>
      <c r="U1035" t="s">
        <v>3</v>
      </c>
      <c r="V1035" t="s">
        <v>3</v>
      </c>
      <c r="W1035" t="s">
        <v>68</v>
      </c>
      <c r="X1035" s="17">
        <v>43646</v>
      </c>
      <c r="Y1035" t="s">
        <v>2491</v>
      </c>
      <c r="Z1035" s="17">
        <v>43377</v>
      </c>
      <c r="AA1035" t="s">
        <v>3</v>
      </c>
      <c r="AB1035" t="s">
        <v>2886</v>
      </c>
    </row>
    <row r="1036" spans="1:28" hidden="1">
      <c r="A1036" t="s">
        <v>2886</v>
      </c>
      <c r="B1036" s="17">
        <v>43377</v>
      </c>
      <c r="C1036" s="17">
        <v>43377</v>
      </c>
      <c r="D1036" t="s">
        <v>0</v>
      </c>
      <c r="E1036" t="s">
        <v>1</v>
      </c>
      <c r="F1036" s="18">
        <v>33947</v>
      </c>
      <c r="G1036" s="18">
        <v>33947</v>
      </c>
      <c r="H1036" t="s">
        <v>2</v>
      </c>
      <c r="I1036" t="s">
        <v>8</v>
      </c>
      <c r="J1036" s="18">
        <v>2809114.25</v>
      </c>
      <c r="K1036" t="s">
        <v>2839</v>
      </c>
      <c r="L1036" t="s">
        <v>9</v>
      </c>
      <c r="M1036" t="s">
        <v>2888</v>
      </c>
      <c r="N1036" t="s">
        <v>3</v>
      </c>
      <c r="O1036" t="s">
        <v>3</v>
      </c>
      <c r="P1036" t="s">
        <v>5</v>
      </c>
      <c r="Q1036" t="s">
        <v>2889</v>
      </c>
      <c r="R1036" t="s">
        <v>3</v>
      </c>
      <c r="S1036" t="s">
        <v>3</v>
      </c>
      <c r="T1036" t="s">
        <v>3</v>
      </c>
      <c r="U1036" t="s">
        <v>3</v>
      </c>
      <c r="V1036" t="s">
        <v>3</v>
      </c>
      <c r="W1036" t="s">
        <v>68</v>
      </c>
      <c r="X1036" s="17">
        <v>43587</v>
      </c>
      <c r="Y1036" t="s">
        <v>2441</v>
      </c>
      <c r="Z1036" s="17">
        <v>43377</v>
      </c>
      <c r="AA1036" t="s">
        <v>3</v>
      </c>
      <c r="AB1036" t="s">
        <v>2886</v>
      </c>
    </row>
    <row r="1037" spans="1:28" hidden="1">
      <c r="A1037" t="s">
        <v>2893</v>
      </c>
      <c r="B1037" s="17">
        <v>43377</v>
      </c>
      <c r="C1037" s="17">
        <v>43377</v>
      </c>
      <c r="D1037" t="s">
        <v>0</v>
      </c>
      <c r="E1037" t="s">
        <v>1</v>
      </c>
      <c r="F1037" s="18">
        <v>-191459</v>
      </c>
      <c r="G1037" s="18">
        <v>-191459</v>
      </c>
      <c r="H1037" t="s">
        <v>2</v>
      </c>
      <c r="I1037" t="s">
        <v>8</v>
      </c>
      <c r="J1037" s="18">
        <v>-15852805.199999999</v>
      </c>
      <c r="K1037" t="s">
        <v>2894</v>
      </c>
      <c r="L1037" t="s">
        <v>9</v>
      </c>
      <c r="M1037" t="s">
        <v>2895</v>
      </c>
      <c r="N1037" t="s">
        <v>3</v>
      </c>
      <c r="O1037" t="s">
        <v>3</v>
      </c>
      <c r="P1037" t="s">
        <v>5</v>
      </c>
      <c r="Q1037" t="s">
        <v>2896</v>
      </c>
      <c r="R1037" t="s">
        <v>3</v>
      </c>
      <c r="S1037" t="s">
        <v>3</v>
      </c>
      <c r="T1037" t="s">
        <v>3</v>
      </c>
      <c r="U1037" t="s">
        <v>3</v>
      </c>
      <c r="V1037" t="s">
        <v>3</v>
      </c>
      <c r="W1037" t="s">
        <v>68</v>
      </c>
      <c r="X1037" s="17">
        <v>43646</v>
      </c>
      <c r="Y1037" t="s">
        <v>2516</v>
      </c>
      <c r="Z1037" s="17">
        <v>43377</v>
      </c>
      <c r="AA1037" t="s">
        <v>3</v>
      </c>
      <c r="AB1037" t="s">
        <v>2893</v>
      </c>
    </row>
    <row r="1038" spans="1:28" hidden="1">
      <c r="A1038" t="s">
        <v>2897</v>
      </c>
      <c r="B1038" s="17">
        <v>43377</v>
      </c>
      <c r="C1038" s="17">
        <v>43377</v>
      </c>
      <c r="D1038" t="s">
        <v>0</v>
      </c>
      <c r="E1038" t="s">
        <v>1</v>
      </c>
      <c r="F1038" s="18">
        <v>-414344</v>
      </c>
      <c r="G1038" s="18">
        <v>-414344</v>
      </c>
      <c r="H1038" t="s">
        <v>2</v>
      </c>
      <c r="I1038" t="s">
        <v>8</v>
      </c>
      <c r="J1038" s="18">
        <v>-34307683.200000003</v>
      </c>
      <c r="K1038" t="s">
        <v>2898</v>
      </c>
      <c r="L1038" t="s">
        <v>9</v>
      </c>
      <c r="M1038" t="s">
        <v>1112</v>
      </c>
      <c r="N1038" t="s">
        <v>3</v>
      </c>
      <c r="O1038" t="s">
        <v>3</v>
      </c>
      <c r="P1038" t="s">
        <v>5</v>
      </c>
      <c r="Q1038" t="s">
        <v>2899</v>
      </c>
      <c r="R1038" t="s">
        <v>3</v>
      </c>
      <c r="S1038" t="s">
        <v>3</v>
      </c>
      <c r="T1038" t="s">
        <v>3</v>
      </c>
      <c r="U1038" t="s">
        <v>3</v>
      </c>
      <c r="V1038" t="s">
        <v>3</v>
      </c>
      <c r="W1038" t="s">
        <v>68</v>
      </c>
      <c r="X1038" s="17">
        <v>43587</v>
      </c>
      <c r="Y1038" t="s">
        <v>2432</v>
      </c>
      <c r="Z1038" s="17">
        <v>43377</v>
      </c>
      <c r="AA1038" t="s">
        <v>3</v>
      </c>
      <c r="AB1038" t="s">
        <v>2897</v>
      </c>
    </row>
    <row r="1039" spans="1:28" hidden="1">
      <c r="A1039" t="s">
        <v>2925</v>
      </c>
      <c r="B1039" s="17">
        <v>43377</v>
      </c>
      <c r="C1039" s="17">
        <v>43377</v>
      </c>
      <c r="D1039" t="s">
        <v>0</v>
      </c>
      <c r="E1039" t="s">
        <v>1</v>
      </c>
      <c r="F1039" s="18">
        <v>-31752</v>
      </c>
      <c r="G1039" s="18">
        <v>-31752</v>
      </c>
      <c r="H1039" t="s">
        <v>2</v>
      </c>
      <c r="I1039" t="s">
        <v>10</v>
      </c>
      <c r="J1039" s="18">
        <v>-2629065.6</v>
      </c>
      <c r="K1039" t="s">
        <v>2926</v>
      </c>
      <c r="L1039" t="s">
        <v>9</v>
      </c>
      <c r="M1039" t="s">
        <v>1112</v>
      </c>
      <c r="N1039" t="s">
        <v>3</v>
      </c>
      <c r="O1039" t="s">
        <v>3</v>
      </c>
      <c r="P1039" t="s">
        <v>5</v>
      </c>
      <c r="Q1039" t="s">
        <v>2927</v>
      </c>
      <c r="R1039" t="s">
        <v>3</v>
      </c>
      <c r="S1039" t="s">
        <v>3</v>
      </c>
      <c r="T1039" t="s">
        <v>3</v>
      </c>
      <c r="U1039" t="s">
        <v>3</v>
      </c>
      <c r="V1039" t="s">
        <v>3</v>
      </c>
      <c r="W1039" t="s">
        <v>68</v>
      </c>
      <c r="X1039" s="17">
        <v>43522</v>
      </c>
      <c r="Y1039" t="s">
        <v>2399</v>
      </c>
      <c r="Z1039" s="17">
        <v>43377</v>
      </c>
      <c r="AA1039" t="s">
        <v>3</v>
      </c>
      <c r="AB1039" t="s">
        <v>2925</v>
      </c>
    </row>
    <row r="1040" spans="1:28" hidden="1">
      <c r="A1040" t="s">
        <v>2907</v>
      </c>
      <c r="B1040" s="17">
        <v>43380</v>
      </c>
      <c r="C1040" s="17">
        <v>43380</v>
      </c>
      <c r="D1040" t="s">
        <v>0</v>
      </c>
      <c r="E1040" t="s">
        <v>1</v>
      </c>
      <c r="F1040" s="18">
        <v>-182162</v>
      </c>
      <c r="G1040" s="18">
        <v>-182162</v>
      </c>
      <c r="H1040" t="s">
        <v>2</v>
      </c>
      <c r="I1040" t="s">
        <v>8</v>
      </c>
      <c r="J1040" s="18">
        <v>-15083013.6</v>
      </c>
      <c r="K1040" t="s">
        <v>2908</v>
      </c>
      <c r="L1040" t="s">
        <v>9</v>
      </c>
      <c r="M1040" t="s">
        <v>1112</v>
      </c>
      <c r="N1040" t="s">
        <v>3</v>
      </c>
      <c r="O1040" t="s">
        <v>3</v>
      </c>
      <c r="P1040" t="s">
        <v>5</v>
      </c>
      <c r="Q1040" t="s">
        <v>2909</v>
      </c>
      <c r="R1040" t="s">
        <v>3</v>
      </c>
      <c r="S1040" t="s">
        <v>3</v>
      </c>
      <c r="T1040" t="s">
        <v>3</v>
      </c>
      <c r="U1040" t="s">
        <v>3</v>
      </c>
      <c r="V1040" t="s">
        <v>3</v>
      </c>
      <c r="W1040" t="s">
        <v>68</v>
      </c>
      <c r="X1040" s="17">
        <v>43587</v>
      </c>
      <c r="Y1040" t="s">
        <v>2448</v>
      </c>
      <c r="Z1040" s="17">
        <v>43380</v>
      </c>
      <c r="AA1040" t="s">
        <v>3</v>
      </c>
      <c r="AB1040" t="s">
        <v>2907</v>
      </c>
    </row>
    <row r="1041" spans="1:28" hidden="1">
      <c r="A1041" t="s">
        <v>2918</v>
      </c>
      <c r="B1041" s="17">
        <v>43380</v>
      </c>
      <c r="C1041" s="17">
        <v>43380</v>
      </c>
      <c r="D1041" t="s">
        <v>0</v>
      </c>
      <c r="E1041" t="s">
        <v>1</v>
      </c>
      <c r="F1041" s="18">
        <v>106081</v>
      </c>
      <c r="G1041" s="18">
        <v>106081</v>
      </c>
      <c r="H1041" t="s">
        <v>2</v>
      </c>
      <c r="I1041" t="s">
        <v>10</v>
      </c>
      <c r="J1041" s="18">
        <v>8778202.75</v>
      </c>
      <c r="K1041" t="s">
        <v>2915</v>
      </c>
      <c r="L1041" t="s">
        <v>9</v>
      </c>
      <c r="M1041" t="s">
        <v>2919</v>
      </c>
      <c r="N1041" t="s">
        <v>3</v>
      </c>
      <c r="O1041" t="s">
        <v>3</v>
      </c>
      <c r="P1041" t="s">
        <v>5</v>
      </c>
      <c r="Q1041" t="s">
        <v>2920</v>
      </c>
      <c r="R1041" t="s">
        <v>3</v>
      </c>
      <c r="S1041" t="s">
        <v>3</v>
      </c>
      <c r="T1041" t="s">
        <v>3</v>
      </c>
      <c r="U1041" t="s">
        <v>3</v>
      </c>
      <c r="V1041" t="s">
        <v>3</v>
      </c>
      <c r="W1041" t="s">
        <v>68</v>
      </c>
      <c r="X1041" s="17">
        <v>43519</v>
      </c>
      <c r="Y1041" t="s">
        <v>2345</v>
      </c>
      <c r="Z1041" s="17">
        <v>43380</v>
      </c>
      <c r="AA1041" t="s">
        <v>3</v>
      </c>
      <c r="AB1041" t="s">
        <v>2918</v>
      </c>
    </row>
    <row r="1042" spans="1:28" hidden="1">
      <c r="A1042" t="s">
        <v>2890</v>
      </c>
      <c r="B1042" s="17">
        <v>43383</v>
      </c>
      <c r="C1042" s="17">
        <v>43383</v>
      </c>
      <c r="D1042" t="s">
        <v>0</v>
      </c>
      <c r="E1042" t="s">
        <v>1</v>
      </c>
      <c r="F1042" s="18">
        <v>16791</v>
      </c>
      <c r="G1042" s="18">
        <v>16791</v>
      </c>
      <c r="H1042" t="s">
        <v>2</v>
      </c>
      <c r="I1042" t="s">
        <v>8</v>
      </c>
      <c r="J1042" s="18">
        <v>1389455.25</v>
      </c>
      <c r="K1042" t="s">
        <v>2887</v>
      </c>
      <c r="L1042" t="s">
        <v>9</v>
      </c>
      <c r="M1042" t="s">
        <v>2891</v>
      </c>
      <c r="N1042" t="s">
        <v>3</v>
      </c>
      <c r="O1042" t="s">
        <v>3</v>
      </c>
      <c r="P1042" t="s">
        <v>5</v>
      </c>
      <c r="Q1042" t="s">
        <v>2892</v>
      </c>
      <c r="R1042" t="s">
        <v>3</v>
      </c>
      <c r="S1042" t="s">
        <v>3</v>
      </c>
      <c r="T1042" t="s">
        <v>3</v>
      </c>
      <c r="U1042" t="s">
        <v>3</v>
      </c>
      <c r="V1042" t="s">
        <v>3</v>
      </c>
      <c r="W1042" t="s">
        <v>68</v>
      </c>
      <c r="X1042" s="17">
        <v>43646</v>
      </c>
      <c r="Y1042" t="s">
        <v>2491</v>
      </c>
      <c r="Z1042" s="17">
        <v>43383</v>
      </c>
      <c r="AA1042" t="s">
        <v>3</v>
      </c>
      <c r="AB1042" t="s">
        <v>2890</v>
      </c>
    </row>
    <row r="1043" spans="1:28" hidden="1">
      <c r="A1043" t="s">
        <v>2900</v>
      </c>
      <c r="B1043" s="17">
        <v>43384</v>
      </c>
      <c r="C1043" s="17">
        <v>43384</v>
      </c>
      <c r="D1043" t="s">
        <v>0</v>
      </c>
      <c r="E1043" t="s">
        <v>1</v>
      </c>
      <c r="F1043" s="18">
        <v>-47700</v>
      </c>
      <c r="G1043" s="18">
        <v>-47700</v>
      </c>
      <c r="H1043" t="s">
        <v>2</v>
      </c>
      <c r="I1043" t="s">
        <v>8</v>
      </c>
      <c r="J1043" s="18">
        <v>-3949560</v>
      </c>
      <c r="K1043" t="s">
        <v>2901</v>
      </c>
      <c r="L1043" t="s">
        <v>9</v>
      </c>
      <c r="M1043" t="s">
        <v>1112</v>
      </c>
      <c r="N1043" t="s">
        <v>3</v>
      </c>
      <c r="O1043" t="s">
        <v>3</v>
      </c>
      <c r="P1043" t="s">
        <v>5</v>
      </c>
      <c r="Q1043" t="s">
        <v>2902</v>
      </c>
      <c r="R1043" t="s">
        <v>3</v>
      </c>
      <c r="S1043" t="s">
        <v>3</v>
      </c>
      <c r="T1043" t="s">
        <v>3</v>
      </c>
      <c r="U1043" t="s">
        <v>3</v>
      </c>
      <c r="V1043" t="s">
        <v>3</v>
      </c>
      <c r="W1043" t="s">
        <v>68</v>
      </c>
      <c r="X1043" s="17">
        <v>43646</v>
      </c>
      <c r="Y1043" t="s">
        <v>2516</v>
      </c>
      <c r="Z1043" s="17">
        <v>43384</v>
      </c>
      <c r="AA1043" t="s">
        <v>3</v>
      </c>
      <c r="AB1043" t="s">
        <v>2900</v>
      </c>
    </row>
    <row r="1044" spans="1:28" hidden="1">
      <c r="A1044" t="s">
        <v>2903</v>
      </c>
      <c r="B1044" s="17">
        <v>43384</v>
      </c>
      <c r="C1044" s="17">
        <v>43384</v>
      </c>
      <c r="D1044" t="s">
        <v>0</v>
      </c>
      <c r="E1044" t="s">
        <v>1</v>
      </c>
      <c r="F1044" s="18">
        <v>-127681</v>
      </c>
      <c r="G1044" s="18">
        <v>-127681</v>
      </c>
      <c r="H1044" t="s">
        <v>2</v>
      </c>
      <c r="I1044" t="s">
        <v>8</v>
      </c>
      <c r="J1044" s="18">
        <v>-10571986.810000001</v>
      </c>
      <c r="K1044" t="s">
        <v>2904</v>
      </c>
      <c r="L1044" t="s">
        <v>9</v>
      </c>
      <c r="M1044" t="s">
        <v>1112</v>
      </c>
      <c r="N1044" t="s">
        <v>3</v>
      </c>
      <c r="O1044" t="s">
        <v>3</v>
      </c>
      <c r="P1044" t="s">
        <v>5</v>
      </c>
      <c r="Q1044" t="s">
        <v>2905</v>
      </c>
      <c r="R1044" t="s">
        <v>3</v>
      </c>
      <c r="S1044" t="s">
        <v>3</v>
      </c>
      <c r="T1044" t="s">
        <v>3</v>
      </c>
      <c r="U1044" t="s">
        <v>3</v>
      </c>
      <c r="V1044" t="s">
        <v>3</v>
      </c>
      <c r="W1044" t="s">
        <v>68</v>
      </c>
      <c r="X1044" s="17">
        <v>43486</v>
      </c>
      <c r="Y1044" t="s">
        <v>2906</v>
      </c>
      <c r="Z1044" s="17">
        <v>43384</v>
      </c>
      <c r="AA1044" t="s">
        <v>3</v>
      </c>
      <c r="AB1044" t="s">
        <v>2903</v>
      </c>
    </row>
    <row r="1045" spans="1:28" hidden="1">
      <c r="A1045" t="s">
        <v>2931</v>
      </c>
      <c r="B1045" s="17">
        <v>43384</v>
      </c>
      <c r="C1045" s="17">
        <v>43384</v>
      </c>
      <c r="D1045" t="s">
        <v>0</v>
      </c>
      <c r="E1045" t="s">
        <v>1</v>
      </c>
      <c r="F1045" s="18">
        <v>83285</v>
      </c>
      <c r="G1045" s="18">
        <v>83285</v>
      </c>
      <c r="H1045" t="s">
        <v>2</v>
      </c>
      <c r="I1045" t="s">
        <v>8</v>
      </c>
      <c r="J1045" s="18">
        <v>6891833.75</v>
      </c>
      <c r="K1045" t="s">
        <v>2932</v>
      </c>
      <c r="L1045" t="s">
        <v>9</v>
      </c>
      <c r="M1045" t="s">
        <v>2933</v>
      </c>
      <c r="N1045" t="s">
        <v>3</v>
      </c>
      <c r="O1045" t="s">
        <v>3</v>
      </c>
      <c r="P1045" t="s">
        <v>5</v>
      </c>
      <c r="Q1045" t="s">
        <v>2934</v>
      </c>
      <c r="R1045" t="s">
        <v>3</v>
      </c>
      <c r="S1045" t="s">
        <v>3</v>
      </c>
      <c r="T1045" t="s">
        <v>3</v>
      </c>
      <c r="U1045" t="s">
        <v>3</v>
      </c>
      <c r="V1045" t="s">
        <v>3</v>
      </c>
      <c r="W1045" t="s">
        <v>68</v>
      </c>
      <c r="X1045" s="17">
        <v>43646</v>
      </c>
      <c r="Y1045" t="s">
        <v>2491</v>
      </c>
      <c r="Z1045" s="17">
        <v>43384</v>
      </c>
      <c r="AA1045" t="s">
        <v>3</v>
      </c>
      <c r="AB1045" t="s">
        <v>2931</v>
      </c>
    </row>
    <row r="1046" spans="1:28" hidden="1">
      <c r="A1046" t="s">
        <v>2931</v>
      </c>
      <c r="B1046" s="17">
        <v>43384</v>
      </c>
      <c r="C1046" s="17">
        <v>43384</v>
      </c>
      <c r="D1046" t="s">
        <v>0</v>
      </c>
      <c r="E1046" t="s">
        <v>1</v>
      </c>
      <c r="F1046" s="18">
        <v>78310</v>
      </c>
      <c r="G1046" s="18">
        <v>78310</v>
      </c>
      <c r="H1046" t="s">
        <v>2</v>
      </c>
      <c r="I1046" t="s">
        <v>8</v>
      </c>
      <c r="J1046" s="18">
        <v>6480152.5</v>
      </c>
      <c r="K1046" t="s">
        <v>2935</v>
      </c>
      <c r="L1046" t="s">
        <v>9</v>
      </c>
      <c r="M1046" t="s">
        <v>2933</v>
      </c>
      <c r="N1046" t="s">
        <v>3</v>
      </c>
      <c r="O1046" t="s">
        <v>3</v>
      </c>
      <c r="P1046" t="s">
        <v>5</v>
      </c>
      <c r="Q1046" t="s">
        <v>2934</v>
      </c>
      <c r="R1046" t="s">
        <v>3</v>
      </c>
      <c r="S1046" t="s">
        <v>3</v>
      </c>
      <c r="T1046" t="s">
        <v>3</v>
      </c>
      <c r="U1046" t="s">
        <v>3</v>
      </c>
      <c r="V1046" t="s">
        <v>3</v>
      </c>
      <c r="W1046" t="s">
        <v>68</v>
      </c>
      <c r="X1046" s="17">
        <v>43587</v>
      </c>
      <c r="Y1046" t="s">
        <v>2441</v>
      </c>
      <c r="Z1046" s="17">
        <v>43384</v>
      </c>
      <c r="AA1046" t="s">
        <v>3</v>
      </c>
      <c r="AB1046" t="s">
        <v>2931</v>
      </c>
    </row>
    <row r="1047" spans="1:28" hidden="1">
      <c r="A1047" t="s">
        <v>2931</v>
      </c>
      <c r="B1047" s="17">
        <v>43384</v>
      </c>
      <c r="C1047" s="17">
        <v>43384</v>
      </c>
      <c r="D1047" t="s">
        <v>0</v>
      </c>
      <c r="E1047" t="s">
        <v>1</v>
      </c>
      <c r="F1047" s="18">
        <v>104869</v>
      </c>
      <c r="G1047" s="18">
        <v>104869</v>
      </c>
      <c r="H1047" t="s">
        <v>2</v>
      </c>
      <c r="I1047" t="s">
        <v>8</v>
      </c>
      <c r="J1047" s="18">
        <v>8683153.1999999993</v>
      </c>
      <c r="K1047" t="s">
        <v>2936</v>
      </c>
      <c r="L1047" t="s">
        <v>9</v>
      </c>
      <c r="M1047" t="s">
        <v>2933</v>
      </c>
      <c r="N1047" t="s">
        <v>3</v>
      </c>
      <c r="O1047" t="s">
        <v>3</v>
      </c>
      <c r="P1047" t="s">
        <v>5</v>
      </c>
      <c r="Q1047" t="s">
        <v>2934</v>
      </c>
      <c r="R1047" t="s">
        <v>3</v>
      </c>
      <c r="S1047" t="s">
        <v>3</v>
      </c>
      <c r="T1047" t="s">
        <v>3</v>
      </c>
      <c r="U1047" t="s">
        <v>3</v>
      </c>
      <c r="V1047" t="s">
        <v>3</v>
      </c>
      <c r="W1047" t="s">
        <v>68</v>
      </c>
      <c r="X1047" s="17">
        <v>43646</v>
      </c>
      <c r="Y1047" t="s">
        <v>2516</v>
      </c>
      <c r="Z1047" s="17">
        <v>43384</v>
      </c>
      <c r="AA1047" t="s">
        <v>3</v>
      </c>
      <c r="AB1047" t="s">
        <v>2931</v>
      </c>
    </row>
    <row r="1048" spans="1:28" hidden="1">
      <c r="A1048" t="s">
        <v>2928</v>
      </c>
      <c r="B1048" s="17">
        <v>43387</v>
      </c>
      <c r="C1048" s="17">
        <v>43387</v>
      </c>
      <c r="D1048" t="s">
        <v>0</v>
      </c>
      <c r="E1048" t="s">
        <v>1</v>
      </c>
      <c r="F1048" s="18">
        <v>-67272</v>
      </c>
      <c r="G1048" s="18">
        <v>-67272</v>
      </c>
      <c r="H1048" t="s">
        <v>2</v>
      </c>
      <c r="I1048" t="s">
        <v>10</v>
      </c>
      <c r="J1048" s="18">
        <v>-5570121.6100000003</v>
      </c>
      <c r="K1048" t="s">
        <v>2929</v>
      </c>
      <c r="L1048" t="s">
        <v>9</v>
      </c>
      <c r="M1048" t="s">
        <v>1112</v>
      </c>
      <c r="N1048" t="s">
        <v>3</v>
      </c>
      <c r="O1048" t="s">
        <v>3</v>
      </c>
      <c r="P1048" t="s">
        <v>5</v>
      </c>
      <c r="Q1048" t="s">
        <v>2930</v>
      </c>
      <c r="R1048" t="s">
        <v>3</v>
      </c>
      <c r="S1048" t="s">
        <v>3</v>
      </c>
      <c r="T1048" t="s">
        <v>3</v>
      </c>
      <c r="U1048" t="s">
        <v>3</v>
      </c>
      <c r="V1048" t="s">
        <v>3</v>
      </c>
      <c r="W1048" t="s">
        <v>68</v>
      </c>
      <c r="X1048" s="17">
        <v>43646</v>
      </c>
      <c r="Y1048" t="s">
        <v>2502</v>
      </c>
      <c r="Z1048" s="17">
        <v>43387</v>
      </c>
      <c r="AA1048" t="s">
        <v>3</v>
      </c>
      <c r="AB1048" t="s">
        <v>2928</v>
      </c>
    </row>
    <row r="1049" spans="1:28" hidden="1">
      <c r="A1049" t="s">
        <v>2937</v>
      </c>
      <c r="B1049" s="17">
        <v>43388</v>
      </c>
      <c r="C1049" s="17">
        <v>43388</v>
      </c>
      <c r="D1049" t="s">
        <v>0</v>
      </c>
      <c r="E1049" t="s">
        <v>1</v>
      </c>
      <c r="F1049" s="18">
        <v>1156</v>
      </c>
      <c r="G1049" s="18">
        <v>1156</v>
      </c>
      <c r="H1049" t="s">
        <v>2</v>
      </c>
      <c r="I1049" t="s">
        <v>8</v>
      </c>
      <c r="J1049" s="18">
        <v>95716.800000000003</v>
      </c>
      <c r="K1049" t="s">
        <v>2938</v>
      </c>
      <c r="L1049" t="s">
        <v>9</v>
      </c>
      <c r="M1049" t="s">
        <v>2939</v>
      </c>
      <c r="N1049" t="s">
        <v>3</v>
      </c>
      <c r="O1049" t="s">
        <v>3</v>
      </c>
      <c r="P1049" t="s">
        <v>5</v>
      </c>
      <c r="Q1049" t="s">
        <v>3</v>
      </c>
      <c r="R1049" t="s">
        <v>3</v>
      </c>
      <c r="S1049" t="s">
        <v>3</v>
      </c>
      <c r="T1049" t="s">
        <v>3</v>
      </c>
      <c r="U1049" t="s">
        <v>3</v>
      </c>
      <c r="V1049" t="s">
        <v>3</v>
      </c>
      <c r="W1049" t="s">
        <v>68</v>
      </c>
      <c r="X1049" s="17">
        <v>43646</v>
      </c>
      <c r="Y1049" t="s">
        <v>2516</v>
      </c>
      <c r="Z1049" s="17">
        <v>43388</v>
      </c>
      <c r="AA1049" t="s">
        <v>3</v>
      </c>
      <c r="AB1049" t="s">
        <v>2937</v>
      </c>
    </row>
    <row r="1050" spans="1:28" hidden="1">
      <c r="A1050" t="s">
        <v>2940</v>
      </c>
      <c r="B1050" s="17">
        <v>43388</v>
      </c>
      <c r="C1050" s="17">
        <v>43388</v>
      </c>
      <c r="D1050" t="s">
        <v>0</v>
      </c>
      <c r="E1050" t="s">
        <v>1</v>
      </c>
      <c r="F1050" s="18">
        <v>15692</v>
      </c>
      <c r="G1050" s="18">
        <v>15692</v>
      </c>
      <c r="H1050" t="s">
        <v>2</v>
      </c>
      <c r="I1050" t="s">
        <v>8</v>
      </c>
      <c r="J1050" s="18">
        <v>1299297.6000000001</v>
      </c>
      <c r="K1050" t="s">
        <v>2936</v>
      </c>
      <c r="L1050" t="s">
        <v>9</v>
      </c>
      <c r="M1050" t="s">
        <v>2941</v>
      </c>
      <c r="N1050" t="s">
        <v>3</v>
      </c>
      <c r="O1050" t="s">
        <v>3</v>
      </c>
      <c r="P1050" t="s">
        <v>5</v>
      </c>
      <c r="Q1050" t="s">
        <v>2942</v>
      </c>
      <c r="R1050" t="s">
        <v>3</v>
      </c>
      <c r="S1050" t="s">
        <v>3</v>
      </c>
      <c r="T1050" t="s">
        <v>3</v>
      </c>
      <c r="U1050" t="s">
        <v>3</v>
      </c>
      <c r="V1050" t="s">
        <v>3</v>
      </c>
      <c r="W1050" t="s">
        <v>68</v>
      </c>
      <c r="X1050" s="17">
        <v>43646</v>
      </c>
      <c r="Y1050" t="s">
        <v>2516</v>
      </c>
      <c r="Z1050" s="17">
        <v>43388</v>
      </c>
      <c r="AA1050" t="s">
        <v>3</v>
      </c>
      <c r="AB1050" t="s">
        <v>2940</v>
      </c>
    </row>
    <row r="1051" spans="1:28" hidden="1">
      <c r="A1051" t="s">
        <v>2943</v>
      </c>
      <c r="B1051" s="17">
        <v>43388</v>
      </c>
      <c r="C1051" s="17">
        <v>43388</v>
      </c>
      <c r="D1051" t="s">
        <v>0</v>
      </c>
      <c r="E1051" t="s">
        <v>1</v>
      </c>
      <c r="F1051" s="18">
        <v>6270</v>
      </c>
      <c r="G1051" s="18">
        <v>6270</v>
      </c>
      <c r="H1051" t="s">
        <v>2</v>
      </c>
      <c r="I1051" t="s">
        <v>10</v>
      </c>
      <c r="J1051" s="18">
        <v>518842.5</v>
      </c>
      <c r="K1051" t="s">
        <v>2915</v>
      </c>
      <c r="L1051" t="s">
        <v>9</v>
      </c>
      <c r="M1051" t="s">
        <v>2944</v>
      </c>
      <c r="N1051" t="s">
        <v>3</v>
      </c>
      <c r="O1051" t="s">
        <v>3</v>
      </c>
      <c r="P1051" t="s">
        <v>5</v>
      </c>
      <c r="Q1051" t="s">
        <v>2945</v>
      </c>
      <c r="R1051" t="s">
        <v>3</v>
      </c>
      <c r="S1051" t="s">
        <v>3</v>
      </c>
      <c r="T1051" t="s">
        <v>3</v>
      </c>
      <c r="U1051" t="s">
        <v>3</v>
      </c>
      <c r="V1051" t="s">
        <v>3</v>
      </c>
      <c r="W1051" t="s">
        <v>68</v>
      </c>
      <c r="X1051" s="17">
        <v>43519</v>
      </c>
      <c r="Y1051" t="s">
        <v>2345</v>
      </c>
      <c r="Z1051" s="17">
        <v>43388</v>
      </c>
      <c r="AA1051" t="s">
        <v>3</v>
      </c>
      <c r="AB1051" t="s">
        <v>2943</v>
      </c>
    </row>
    <row r="1052" spans="1:28" hidden="1">
      <c r="A1052" t="s">
        <v>2943</v>
      </c>
      <c r="B1052" s="17">
        <v>43388</v>
      </c>
      <c r="C1052" s="17">
        <v>43388</v>
      </c>
      <c r="D1052" t="s">
        <v>0</v>
      </c>
      <c r="E1052" t="s">
        <v>1</v>
      </c>
      <c r="F1052" s="18">
        <v>4176</v>
      </c>
      <c r="G1052" s="18">
        <v>4176</v>
      </c>
      <c r="H1052" t="s">
        <v>2</v>
      </c>
      <c r="I1052" t="s">
        <v>10</v>
      </c>
      <c r="J1052" s="18">
        <v>345564</v>
      </c>
      <c r="K1052" t="s">
        <v>2946</v>
      </c>
      <c r="L1052" t="s">
        <v>9</v>
      </c>
      <c r="M1052" t="s">
        <v>2944</v>
      </c>
      <c r="N1052" t="s">
        <v>3</v>
      </c>
      <c r="O1052" t="s">
        <v>3</v>
      </c>
      <c r="P1052" t="s">
        <v>5</v>
      </c>
      <c r="Q1052" t="s">
        <v>2945</v>
      </c>
      <c r="R1052" t="s">
        <v>3</v>
      </c>
      <c r="S1052" t="s">
        <v>3</v>
      </c>
      <c r="T1052" t="s">
        <v>3</v>
      </c>
      <c r="U1052" t="s">
        <v>3</v>
      </c>
      <c r="V1052" t="s">
        <v>3</v>
      </c>
      <c r="W1052" t="s">
        <v>68</v>
      </c>
      <c r="X1052" s="17">
        <v>43522</v>
      </c>
      <c r="Y1052" t="s">
        <v>2402</v>
      </c>
      <c r="Z1052" s="17">
        <v>43388</v>
      </c>
      <c r="AA1052" t="s">
        <v>3</v>
      </c>
      <c r="AB1052" t="s">
        <v>2943</v>
      </c>
    </row>
    <row r="1053" spans="1:28" hidden="1">
      <c r="A1053" t="s">
        <v>2947</v>
      </c>
      <c r="B1053" s="17">
        <v>43390</v>
      </c>
      <c r="C1053" s="17">
        <v>43390</v>
      </c>
      <c r="D1053" t="s">
        <v>0</v>
      </c>
      <c r="E1053" t="s">
        <v>1</v>
      </c>
      <c r="F1053" s="18">
        <v>-85409</v>
      </c>
      <c r="G1053" s="18">
        <v>-85409</v>
      </c>
      <c r="H1053" t="s">
        <v>2</v>
      </c>
      <c r="I1053" t="s">
        <v>10</v>
      </c>
      <c r="J1053" s="18">
        <v>-7071865.2000000002</v>
      </c>
      <c r="K1053" t="s">
        <v>2948</v>
      </c>
      <c r="L1053" t="s">
        <v>9</v>
      </c>
      <c r="M1053" t="s">
        <v>1112</v>
      </c>
      <c r="N1053" t="s">
        <v>3</v>
      </c>
      <c r="O1053" t="s">
        <v>3</v>
      </c>
      <c r="P1053" t="s">
        <v>5</v>
      </c>
      <c r="Q1053" t="s">
        <v>2949</v>
      </c>
      <c r="R1053" t="s">
        <v>3</v>
      </c>
      <c r="S1053" t="s">
        <v>3</v>
      </c>
      <c r="T1053" t="s">
        <v>3</v>
      </c>
      <c r="U1053" t="s">
        <v>3</v>
      </c>
      <c r="V1053" t="s">
        <v>3</v>
      </c>
      <c r="W1053" t="s">
        <v>68</v>
      </c>
      <c r="X1053" s="17">
        <v>43519</v>
      </c>
      <c r="Y1053" t="s">
        <v>2369</v>
      </c>
      <c r="Z1053" s="17">
        <v>43390</v>
      </c>
      <c r="AA1053" t="s">
        <v>3</v>
      </c>
      <c r="AB1053" t="s">
        <v>2947</v>
      </c>
    </row>
    <row r="1054" spans="1:28" hidden="1">
      <c r="A1054" t="s">
        <v>2950</v>
      </c>
      <c r="B1054" s="17">
        <v>43391</v>
      </c>
      <c r="C1054" s="17">
        <v>43391</v>
      </c>
      <c r="D1054" t="s">
        <v>0</v>
      </c>
      <c r="E1054" t="s">
        <v>1</v>
      </c>
      <c r="F1054" s="18">
        <v>-252521</v>
      </c>
      <c r="G1054" s="18">
        <v>-252521</v>
      </c>
      <c r="H1054" t="s">
        <v>2</v>
      </c>
      <c r="I1054" t="s">
        <v>8</v>
      </c>
      <c r="J1054" s="18">
        <v>-20908738.800000001</v>
      </c>
      <c r="K1054" t="s">
        <v>2951</v>
      </c>
      <c r="L1054" t="s">
        <v>9</v>
      </c>
      <c r="M1054" t="s">
        <v>1112</v>
      </c>
      <c r="N1054" t="s">
        <v>3</v>
      </c>
      <c r="O1054" t="s">
        <v>3</v>
      </c>
      <c r="P1054" t="s">
        <v>5</v>
      </c>
      <c r="Q1054" t="s">
        <v>2952</v>
      </c>
      <c r="R1054" t="s">
        <v>3</v>
      </c>
      <c r="S1054" t="s">
        <v>3</v>
      </c>
      <c r="T1054" t="s">
        <v>3</v>
      </c>
      <c r="U1054" t="s">
        <v>3</v>
      </c>
      <c r="V1054" t="s">
        <v>3</v>
      </c>
      <c r="W1054" t="s">
        <v>68</v>
      </c>
      <c r="X1054" s="17">
        <v>43587</v>
      </c>
      <c r="Y1054" t="s">
        <v>2446</v>
      </c>
      <c r="Z1054" s="17">
        <v>43391</v>
      </c>
      <c r="AA1054" t="s">
        <v>3</v>
      </c>
      <c r="AB1054" t="s">
        <v>2950</v>
      </c>
    </row>
    <row r="1055" spans="1:28" hidden="1">
      <c r="A1055" t="s">
        <v>2953</v>
      </c>
      <c r="B1055" s="17">
        <v>43394</v>
      </c>
      <c r="C1055" s="17">
        <v>43394</v>
      </c>
      <c r="D1055" t="s">
        <v>0</v>
      </c>
      <c r="E1055" t="s">
        <v>1</v>
      </c>
      <c r="F1055" s="18">
        <v>-54245</v>
      </c>
      <c r="G1055" s="18">
        <v>-54245</v>
      </c>
      <c r="H1055" t="s">
        <v>2</v>
      </c>
      <c r="I1055" t="s">
        <v>8</v>
      </c>
      <c r="J1055" s="18">
        <v>-4491486</v>
      </c>
      <c r="K1055" t="s">
        <v>2954</v>
      </c>
      <c r="L1055" t="s">
        <v>9</v>
      </c>
      <c r="M1055" t="s">
        <v>1112</v>
      </c>
      <c r="N1055" t="s">
        <v>3</v>
      </c>
      <c r="O1055" t="s">
        <v>3</v>
      </c>
      <c r="P1055" t="s">
        <v>5</v>
      </c>
      <c r="Q1055" t="s">
        <v>2955</v>
      </c>
      <c r="R1055" t="s">
        <v>3</v>
      </c>
      <c r="S1055" t="s">
        <v>3</v>
      </c>
      <c r="T1055" t="s">
        <v>3</v>
      </c>
      <c r="U1055" t="s">
        <v>3</v>
      </c>
      <c r="V1055" t="s">
        <v>3</v>
      </c>
      <c r="W1055" t="s">
        <v>68</v>
      </c>
      <c r="X1055" s="17">
        <v>43587</v>
      </c>
      <c r="Y1055" t="s">
        <v>2468</v>
      </c>
      <c r="Z1055" s="17">
        <v>43394</v>
      </c>
      <c r="AA1055" t="s">
        <v>3</v>
      </c>
      <c r="AB1055" t="s">
        <v>2953</v>
      </c>
    </row>
    <row r="1056" spans="1:28" hidden="1">
      <c r="A1056" t="s">
        <v>2956</v>
      </c>
      <c r="B1056" s="17">
        <v>43396</v>
      </c>
      <c r="C1056" s="17">
        <v>43396</v>
      </c>
      <c r="D1056" t="s">
        <v>0</v>
      </c>
      <c r="E1056" t="s">
        <v>1</v>
      </c>
      <c r="F1056" s="18">
        <v>139325</v>
      </c>
      <c r="G1056" s="18">
        <v>139325</v>
      </c>
      <c r="H1056" t="s">
        <v>2</v>
      </c>
      <c r="I1056" t="s">
        <v>8</v>
      </c>
      <c r="J1056" s="18">
        <v>11536110</v>
      </c>
      <c r="K1056" t="s">
        <v>2957</v>
      </c>
      <c r="L1056" t="s">
        <v>9</v>
      </c>
      <c r="M1056" t="s">
        <v>2958</v>
      </c>
      <c r="N1056" t="s">
        <v>3</v>
      </c>
      <c r="O1056" t="s">
        <v>3</v>
      </c>
      <c r="P1056" t="s">
        <v>5</v>
      </c>
      <c r="Q1056" t="s">
        <v>2959</v>
      </c>
      <c r="R1056" t="s">
        <v>3</v>
      </c>
      <c r="S1056" t="s">
        <v>3</v>
      </c>
      <c r="T1056" t="s">
        <v>3</v>
      </c>
      <c r="U1056" t="s">
        <v>3</v>
      </c>
      <c r="V1056" t="s">
        <v>3</v>
      </c>
      <c r="W1056" t="s">
        <v>68</v>
      </c>
      <c r="X1056" s="17">
        <v>43587</v>
      </c>
      <c r="Y1056" t="s">
        <v>2448</v>
      </c>
      <c r="Z1056" s="17">
        <v>43396</v>
      </c>
      <c r="AA1056" t="s">
        <v>3</v>
      </c>
      <c r="AB1056" t="s">
        <v>2956</v>
      </c>
    </row>
    <row r="1057" spans="1:28" hidden="1">
      <c r="A1057" t="s">
        <v>3014</v>
      </c>
      <c r="B1057" s="17">
        <v>43396</v>
      </c>
      <c r="C1057" s="17">
        <v>43396</v>
      </c>
      <c r="D1057" t="s">
        <v>0</v>
      </c>
      <c r="E1057" t="s">
        <v>1</v>
      </c>
      <c r="F1057" s="18">
        <v>93373</v>
      </c>
      <c r="G1057" s="18">
        <v>93373</v>
      </c>
      <c r="H1057" t="s">
        <v>2</v>
      </c>
      <c r="I1057" t="s">
        <v>8</v>
      </c>
      <c r="J1057" s="18">
        <v>7731284.4000000004</v>
      </c>
      <c r="K1057" t="s">
        <v>3015</v>
      </c>
      <c r="L1057" t="s">
        <v>9</v>
      </c>
      <c r="M1057" t="s">
        <v>3016</v>
      </c>
      <c r="N1057" t="s">
        <v>3</v>
      </c>
      <c r="O1057" t="s">
        <v>3</v>
      </c>
      <c r="P1057" t="s">
        <v>5</v>
      </c>
      <c r="Q1057" t="s">
        <v>3017</v>
      </c>
      <c r="R1057" t="s">
        <v>3</v>
      </c>
      <c r="S1057" t="s">
        <v>3</v>
      </c>
      <c r="T1057" t="s">
        <v>3</v>
      </c>
      <c r="U1057" t="s">
        <v>3</v>
      </c>
      <c r="V1057" t="s">
        <v>3</v>
      </c>
      <c r="W1057" t="s">
        <v>68</v>
      </c>
      <c r="X1057" s="17">
        <v>43646</v>
      </c>
      <c r="Y1057" t="s">
        <v>2516</v>
      </c>
      <c r="Z1057" s="17">
        <v>43396</v>
      </c>
      <c r="AA1057" t="s">
        <v>3</v>
      </c>
      <c r="AB1057" t="s">
        <v>3014</v>
      </c>
    </row>
    <row r="1058" spans="1:28" hidden="1">
      <c r="A1058" t="s">
        <v>2960</v>
      </c>
      <c r="B1058" s="17">
        <v>43397</v>
      </c>
      <c r="C1058" s="17">
        <v>43397</v>
      </c>
      <c r="D1058" t="s">
        <v>0</v>
      </c>
      <c r="E1058" t="s">
        <v>1</v>
      </c>
      <c r="F1058" s="18">
        <v>-245838</v>
      </c>
      <c r="G1058" s="18">
        <v>-245838</v>
      </c>
      <c r="H1058" t="s">
        <v>2</v>
      </c>
      <c r="I1058" t="s">
        <v>8</v>
      </c>
      <c r="J1058" s="18">
        <v>-20355386.399999999</v>
      </c>
      <c r="K1058" t="s">
        <v>2961</v>
      </c>
      <c r="L1058" t="s">
        <v>9</v>
      </c>
      <c r="M1058" t="s">
        <v>2962</v>
      </c>
      <c r="N1058" t="s">
        <v>3</v>
      </c>
      <c r="O1058" t="s">
        <v>3</v>
      </c>
      <c r="P1058" t="s">
        <v>5</v>
      </c>
      <c r="Q1058" t="s">
        <v>2963</v>
      </c>
      <c r="R1058" t="s">
        <v>3</v>
      </c>
      <c r="S1058" t="s">
        <v>3</v>
      </c>
      <c r="T1058" t="s">
        <v>3</v>
      </c>
      <c r="U1058" t="s">
        <v>3</v>
      </c>
      <c r="V1058" t="s">
        <v>3</v>
      </c>
      <c r="W1058" t="s">
        <v>68</v>
      </c>
      <c r="X1058" s="17">
        <v>43677</v>
      </c>
      <c r="Y1058" t="s">
        <v>2964</v>
      </c>
      <c r="Z1058" s="17">
        <v>43397</v>
      </c>
      <c r="AA1058" t="s">
        <v>3</v>
      </c>
      <c r="AB1058" t="s">
        <v>2960</v>
      </c>
    </row>
    <row r="1059" spans="1:28" hidden="1">
      <c r="A1059" t="s">
        <v>2965</v>
      </c>
      <c r="B1059" s="17">
        <v>43397</v>
      </c>
      <c r="C1059" s="17">
        <v>43397</v>
      </c>
      <c r="D1059" t="s">
        <v>0</v>
      </c>
      <c r="E1059" t="s">
        <v>1</v>
      </c>
      <c r="F1059" s="18">
        <v>7992</v>
      </c>
      <c r="G1059" s="18">
        <v>7992</v>
      </c>
      <c r="H1059" t="s">
        <v>2</v>
      </c>
      <c r="I1059" t="s">
        <v>8</v>
      </c>
      <c r="J1059" s="18">
        <v>661737.6</v>
      </c>
      <c r="K1059" t="s">
        <v>2966</v>
      </c>
      <c r="L1059" t="s">
        <v>9</v>
      </c>
      <c r="M1059" t="s">
        <v>2967</v>
      </c>
      <c r="N1059" t="s">
        <v>3</v>
      </c>
      <c r="O1059" t="s">
        <v>3</v>
      </c>
      <c r="P1059" t="s">
        <v>5</v>
      </c>
      <c r="Q1059" t="s">
        <v>2968</v>
      </c>
      <c r="R1059" t="s">
        <v>3</v>
      </c>
      <c r="S1059" t="s">
        <v>3</v>
      </c>
      <c r="T1059" t="s">
        <v>3</v>
      </c>
      <c r="U1059" t="s">
        <v>3</v>
      </c>
      <c r="V1059" t="s">
        <v>3</v>
      </c>
      <c r="W1059" t="s">
        <v>68</v>
      </c>
      <c r="X1059" s="17">
        <v>43646</v>
      </c>
      <c r="Y1059" t="s">
        <v>2516</v>
      </c>
      <c r="Z1059" s="17">
        <v>43397</v>
      </c>
      <c r="AA1059" t="s">
        <v>3</v>
      </c>
      <c r="AB1059" t="s">
        <v>2965</v>
      </c>
    </row>
    <row r="1060" spans="1:28" hidden="1">
      <c r="A1060" t="s">
        <v>2988</v>
      </c>
      <c r="B1060" s="17">
        <v>43397</v>
      </c>
      <c r="C1060" s="17">
        <v>43397</v>
      </c>
      <c r="D1060" t="s">
        <v>0</v>
      </c>
      <c r="E1060" t="s">
        <v>1</v>
      </c>
      <c r="F1060" s="18">
        <v>-63312</v>
      </c>
      <c r="G1060" s="18">
        <v>-63312</v>
      </c>
      <c r="H1060" t="s">
        <v>2</v>
      </c>
      <c r="I1060" t="s">
        <v>10</v>
      </c>
      <c r="J1060" s="18">
        <v>-5242233.5999999996</v>
      </c>
      <c r="K1060" t="s">
        <v>2989</v>
      </c>
      <c r="L1060" t="s">
        <v>9</v>
      </c>
      <c r="M1060" t="s">
        <v>2990</v>
      </c>
      <c r="N1060" t="s">
        <v>3</v>
      </c>
      <c r="O1060" t="s">
        <v>3</v>
      </c>
      <c r="P1060" t="s">
        <v>5</v>
      </c>
      <c r="Q1060" t="s">
        <v>2991</v>
      </c>
      <c r="R1060" t="s">
        <v>3</v>
      </c>
      <c r="S1060" t="s">
        <v>3</v>
      </c>
      <c r="T1060" t="s">
        <v>3</v>
      </c>
      <c r="U1060" t="s">
        <v>3</v>
      </c>
      <c r="V1060" t="s">
        <v>3</v>
      </c>
      <c r="W1060" t="s">
        <v>68</v>
      </c>
      <c r="X1060" s="17">
        <v>43401</v>
      </c>
      <c r="Y1060" t="s">
        <v>2992</v>
      </c>
      <c r="Z1060" s="17">
        <v>43397</v>
      </c>
      <c r="AA1060" t="s">
        <v>3</v>
      </c>
      <c r="AB1060" t="s">
        <v>2988</v>
      </c>
    </row>
    <row r="1061" spans="1:28" hidden="1">
      <c r="A1061" t="s">
        <v>2969</v>
      </c>
      <c r="B1061" s="17">
        <v>43398</v>
      </c>
      <c r="C1061" s="17">
        <v>43398</v>
      </c>
      <c r="D1061" t="s">
        <v>0</v>
      </c>
      <c r="E1061" t="s">
        <v>1</v>
      </c>
      <c r="F1061" s="18">
        <v>16079</v>
      </c>
      <c r="G1061" s="18">
        <v>16079</v>
      </c>
      <c r="H1061" t="s">
        <v>2</v>
      </c>
      <c r="I1061" t="s">
        <v>8</v>
      </c>
      <c r="J1061" s="18">
        <v>1331341.2</v>
      </c>
      <c r="K1061" t="s">
        <v>2970</v>
      </c>
      <c r="L1061" t="s">
        <v>9</v>
      </c>
      <c r="M1061" t="s">
        <v>2971</v>
      </c>
      <c r="N1061" t="s">
        <v>3</v>
      </c>
      <c r="O1061" t="s">
        <v>3</v>
      </c>
      <c r="P1061" t="s">
        <v>5</v>
      </c>
      <c r="Q1061" t="s">
        <v>2972</v>
      </c>
      <c r="R1061" t="s">
        <v>3</v>
      </c>
      <c r="S1061" t="s">
        <v>3</v>
      </c>
      <c r="T1061" t="s">
        <v>3</v>
      </c>
      <c r="U1061" t="s">
        <v>3</v>
      </c>
      <c r="V1061" t="s">
        <v>3</v>
      </c>
      <c r="W1061" t="s">
        <v>68</v>
      </c>
      <c r="X1061" s="17">
        <v>43646</v>
      </c>
      <c r="Y1061" t="s">
        <v>2516</v>
      </c>
      <c r="Z1061" s="17">
        <v>43398</v>
      </c>
      <c r="AA1061" t="s">
        <v>3</v>
      </c>
      <c r="AB1061" t="s">
        <v>2969</v>
      </c>
    </row>
    <row r="1062" spans="1:28" hidden="1">
      <c r="A1062" t="s">
        <v>3008</v>
      </c>
      <c r="B1062" s="17">
        <v>43398</v>
      </c>
      <c r="C1062" s="17">
        <v>43398</v>
      </c>
      <c r="D1062" t="s">
        <v>0</v>
      </c>
      <c r="E1062" t="s">
        <v>1</v>
      </c>
      <c r="F1062" s="18">
        <v>59201</v>
      </c>
      <c r="G1062" s="18">
        <v>59201</v>
      </c>
      <c r="H1062" t="s">
        <v>2</v>
      </c>
      <c r="I1062" t="s">
        <v>10</v>
      </c>
      <c r="J1062" s="18">
        <v>4898882.75</v>
      </c>
      <c r="K1062" t="s">
        <v>3009</v>
      </c>
      <c r="L1062" t="s">
        <v>9</v>
      </c>
      <c r="M1062" t="s">
        <v>3010</v>
      </c>
      <c r="N1062" t="s">
        <v>3</v>
      </c>
      <c r="O1062" t="s">
        <v>3</v>
      </c>
      <c r="P1062" t="s">
        <v>5</v>
      </c>
      <c r="Q1062" t="s">
        <v>3011</v>
      </c>
      <c r="R1062" t="s">
        <v>3</v>
      </c>
      <c r="S1062" t="s">
        <v>3</v>
      </c>
      <c r="T1062" t="s">
        <v>3</v>
      </c>
      <c r="U1062" t="s">
        <v>3</v>
      </c>
      <c r="V1062" t="s">
        <v>3</v>
      </c>
      <c r="W1062" t="s">
        <v>68</v>
      </c>
      <c r="X1062" s="17">
        <v>43519</v>
      </c>
      <c r="Y1062" t="s">
        <v>2345</v>
      </c>
      <c r="Z1062" s="17">
        <v>43398</v>
      </c>
      <c r="AA1062" t="s">
        <v>3</v>
      </c>
      <c r="AB1062" t="s">
        <v>3008</v>
      </c>
    </row>
    <row r="1063" spans="1:28" hidden="1">
      <c r="A1063" t="s">
        <v>3008</v>
      </c>
      <c r="B1063" s="17">
        <v>43398</v>
      </c>
      <c r="C1063" s="17">
        <v>43398</v>
      </c>
      <c r="D1063" t="s">
        <v>0</v>
      </c>
      <c r="E1063" t="s">
        <v>1</v>
      </c>
      <c r="F1063" s="18">
        <v>43066</v>
      </c>
      <c r="G1063" s="18">
        <v>43066</v>
      </c>
      <c r="H1063" t="s">
        <v>2</v>
      </c>
      <c r="I1063" t="s">
        <v>10</v>
      </c>
      <c r="J1063" s="18">
        <v>3565864.8</v>
      </c>
      <c r="K1063" t="s">
        <v>2998</v>
      </c>
      <c r="L1063" t="s">
        <v>9</v>
      </c>
      <c r="M1063" t="s">
        <v>3010</v>
      </c>
      <c r="N1063" t="s">
        <v>3</v>
      </c>
      <c r="O1063" t="s">
        <v>3</v>
      </c>
      <c r="P1063" t="s">
        <v>5</v>
      </c>
      <c r="Q1063" t="s">
        <v>3011</v>
      </c>
      <c r="R1063" t="s">
        <v>3</v>
      </c>
      <c r="S1063" t="s">
        <v>3</v>
      </c>
      <c r="T1063" t="s">
        <v>3</v>
      </c>
      <c r="U1063" t="s">
        <v>3</v>
      </c>
      <c r="V1063" t="s">
        <v>3</v>
      </c>
      <c r="W1063" t="s">
        <v>68</v>
      </c>
      <c r="X1063" s="17">
        <v>43519</v>
      </c>
      <c r="Y1063" t="s">
        <v>2369</v>
      </c>
      <c r="Z1063" s="17">
        <v>43398</v>
      </c>
      <c r="AA1063" t="s">
        <v>3</v>
      </c>
      <c r="AB1063" t="s">
        <v>3008</v>
      </c>
    </row>
    <row r="1064" spans="1:28" hidden="1">
      <c r="A1064" t="s">
        <v>3008</v>
      </c>
      <c r="B1064" s="17">
        <v>43398</v>
      </c>
      <c r="C1064" s="17">
        <v>43398</v>
      </c>
      <c r="D1064" t="s">
        <v>0</v>
      </c>
      <c r="E1064" t="s">
        <v>1</v>
      </c>
      <c r="F1064" s="18">
        <v>7577</v>
      </c>
      <c r="G1064" s="18">
        <v>7577</v>
      </c>
      <c r="H1064" t="s">
        <v>2</v>
      </c>
      <c r="I1064" t="s">
        <v>10</v>
      </c>
      <c r="J1064" s="18">
        <v>627375.6</v>
      </c>
      <c r="K1064" t="s">
        <v>3012</v>
      </c>
      <c r="L1064" t="s">
        <v>9</v>
      </c>
      <c r="M1064" t="s">
        <v>3010</v>
      </c>
      <c r="N1064" t="s">
        <v>3</v>
      </c>
      <c r="O1064" t="s">
        <v>3</v>
      </c>
      <c r="P1064" t="s">
        <v>5</v>
      </c>
      <c r="Q1064" t="s">
        <v>3011</v>
      </c>
      <c r="R1064" t="s">
        <v>3</v>
      </c>
      <c r="S1064" t="s">
        <v>3</v>
      </c>
      <c r="T1064" t="s">
        <v>3</v>
      </c>
      <c r="U1064" t="s">
        <v>3</v>
      </c>
      <c r="V1064" t="s">
        <v>3</v>
      </c>
      <c r="W1064" t="s">
        <v>68</v>
      </c>
      <c r="X1064" s="17">
        <v>43646</v>
      </c>
      <c r="Y1064" t="s">
        <v>2502</v>
      </c>
      <c r="Z1064" s="17">
        <v>43398</v>
      </c>
      <c r="AA1064" t="s">
        <v>3</v>
      </c>
      <c r="AB1064" t="s">
        <v>3008</v>
      </c>
    </row>
    <row r="1065" spans="1:28" hidden="1">
      <c r="A1065" t="s">
        <v>3008</v>
      </c>
      <c r="B1065" s="17">
        <v>43398</v>
      </c>
      <c r="C1065" s="17">
        <v>43398</v>
      </c>
      <c r="D1065" t="s">
        <v>0</v>
      </c>
      <c r="E1065" t="s">
        <v>1</v>
      </c>
      <c r="F1065" s="18">
        <v>14116</v>
      </c>
      <c r="G1065" s="18">
        <v>14116</v>
      </c>
      <c r="H1065" t="s">
        <v>2</v>
      </c>
      <c r="I1065" t="s">
        <v>10</v>
      </c>
      <c r="J1065" s="18">
        <v>1168804.8</v>
      </c>
      <c r="K1065" t="s">
        <v>3001</v>
      </c>
      <c r="L1065" t="s">
        <v>9</v>
      </c>
      <c r="M1065" t="s">
        <v>3010</v>
      </c>
      <c r="N1065" t="s">
        <v>3</v>
      </c>
      <c r="O1065" t="s">
        <v>3</v>
      </c>
      <c r="P1065" t="s">
        <v>5</v>
      </c>
      <c r="Q1065" t="s">
        <v>3011</v>
      </c>
      <c r="R1065" t="s">
        <v>3</v>
      </c>
      <c r="S1065" t="s">
        <v>3</v>
      </c>
      <c r="T1065" t="s">
        <v>3</v>
      </c>
      <c r="U1065" t="s">
        <v>3</v>
      </c>
      <c r="V1065" t="s">
        <v>3</v>
      </c>
      <c r="W1065" t="s">
        <v>68</v>
      </c>
      <c r="X1065" s="17">
        <v>43522</v>
      </c>
      <c r="Y1065" t="s">
        <v>2399</v>
      </c>
      <c r="Z1065" s="17">
        <v>43398</v>
      </c>
      <c r="AA1065" t="s">
        <v>3</v>
      </c>
      <c r="AB1065" t="s">
        <v>3008</v>
      </c>
    </row>
    <row r="1066" spans="1:28" hidden="1">
      <c r="A1066" t="s">
        <v>3008</v>
      </c>
      <c r="B1066" s="17">
        <v>43398</v>
      </c>
      <c r="C1066" s="17">
        <v>43398</v>
      </c>
      <c r="D1066" t="s">
        <v>0</v>
      </c>
      <c r="E1066" t="s">
        <v>1</v>
      </c>
      <c r="F1066" s="18">
        <v>23717</v>
      </c>
      <c r="G1066" s="18">
        <v>23717</v>
      </c>
      <c r="H1066" t="s">
        <v>2</v>
      </c>
      <c r="I1066" t="s">
        <v>10</v>
      </c>
      <c r="J1066" s="18">
        <v>1962581.76</v>
      </c>
      <c r="K1066" t="s">
        <v>3013</v>
      </c>
      <c r="L1066" t="s">
        <v>9</v>
      </c>
      <c r="M1066" t="s">
        <v>3010</v>
      </c>
      <c r="N1066" t="s">
        <v>3</v>
      </c>
      <c r="O1066" t="s">
        <v>3</v>
      </c>
      <c r="P1066" t="s">
        <v>5</v>
      </c>
      <c r="Q1066" t="s">
        <v>3011</v>
      </c>
      <c r="R1066" t="s">
        <v>3</v>
      </c>
      <c r="S1066" t="s">
        <v>3</v>
      </c>
      <c r="T1066" t="s">
        <v>3</v>
      </c>
      <c r="U1066" t="s">
        <v>3</v>
      </c>
      <c r="V1066" t="s">
        <v>3</v>
      </c>
      <c r="W1066" t="s">
        <v>68</v>
      </c>
      <c r="X1066" s="17">
        <v>43522</v>
      </c>
      <c r="Y1066" t="s">
        <v>2402</v>
      </c>
      <c r="Z1066" s="17">
        <v>43398</v>
      </c>
      <c r="AA1066" t="s">
        <v>3</v>
      </c>
      <c r="AB1066" t="s">
        <v>3008</v>
      </c>
    </row>
    <row r="1067" spans="1:28" hidden="1">
      <c r="A1067" t="s">
        <v>2973</v>
      </c>
      <c r="B1067" s="17">
        <v>43401</v>
      </c>
      <c r="C1067" s="17">
        <v>43401</v>
      </c>
      <c r="D1067" t="s">
        <v>0</v>
      </c>
      <c r="E1067" t="s">
        <v>1</v>
      </c>
      <c r="F1067" s="18">
        <v>10245</v>
      </c>
      <c r="G1067" s="18">
        <v>10245</v>
      </c>
      <c r="H1067" t="s">
        <v>2</v>
      </c>
      <c r="I1067" t="s">
        <v>8</v>
      </c>
      <c r="J1067" s="18">
        <v>848286</v>
      </c>
      <c r="K1067" t="s">
        <v>2974</v>
      </c>
      <c r="L1067" t="s">
        <v>9</v>
      </c>
      <c r="M1067" t="s">
        <v>2975</v>
      </c>
      <c r="N1067" t="s">
        <v>3</v>
      </c>
      <c r="O1067" t="s">
        <v>3</v>
      </c>
      <c r="P1067" t="s">
        <v>5</v>
      </c>
      <c r="Q1067" t="s">
        <v>2976</v>
      </c>
      <c r="R1067" t="s">
        <v>3</v>
      </c>
      <c r="S1067" t="s">
        <v>3</v>
      </c>
      <c r="T1067" t="s">
        <v>3</v>
      </c>
      <c r="U1067" t="s">
        <v>3</v>
      </c>
      <c r="V1067" t="s">
        <v>3</v>
      </c>
      <c r="W1067" t="s">
        <v>68</v>
      </c>
      <c r="X1067" s="17">
        <v>43587</v>
      </c>
      <c r="Y1067" t="s">
        <v>2468</v>
      </c>
      <c r="Z1067" s="17">
        <v>43401</v>
      </c>
      <c r="AA1067" t="s">
        <v>3</v>
      </c>
      <c r="AB1067" t="s">
        <v>2973</v>
      </c>
    </row>
    <row r="1068" spans="1:28" hidden="1">
      <c r="A1068" t="s">
        <v>2977</v>
      </c>
      <c r="B1068" s="17">
        <v>43401</v>
      </c>
      <c r="C1068" s="17">
        <v>43401</v>
      </c>
      <c r="D1068" t="s">
        <v>0</v>
      </c>
      <c r="E1068" t="s">
        <v>1</v>
      </c>
      <c r="F1068" s="18">
        <v>20893</v>
      </c>
      <c r="G1068" s="18">
        <v>20893</v>
      </c>
      <c r="H1068" t="s">
        <v>2</v>
      </c>
      <c r="I1068" t="s">
        <v>8</v>
      </c>
      <c r="J1068" s="18">
        <v>1729940.4</v>
      </c>
      <c r="K1068" t="s">
        <v>2978</v>
      </c>
      <c r="L1068" t="s">
        <v>9</v>
      </c>
      <c r="M1068" t="s">
        <v>2979</v>
      </c>
      <c r="N1068" t="s">
        <v>3</v>
      </c>
      <c r="O1068" t="s">
        <v>3</v>
      </c>
      <c r="P1068" t="s">
        <v>5</v>
      </c>
      <c r="Q1068" t="s">
        <v>2980</v>
      </c>
      <c r="R1068" t="s">
        <v>3</v>
      </c>
      <c r="S1068" t="s">
        <v>3</v>
      </c>
      <c r="T1068" t="s">
        <v>3</v>
      </c>
      <c r="U1068" t="s">
        <v>3</v>
      </c>
      <c r="V1068" t="s">
        <v>3</v>
      </c>
      <c r="W1068" t="s">
        <v>68</v>
      </c>
      <c r="X1068" s="17">
        <v>43587</v>
      </c>
      <c r="Y1068" t="s">
        <v>2432</v>
      </c>
      <c r="Z1068" s="17">
        <v>43401</v>
      </c>
      <c r="AA1068" t="s">
        <v>3</v>
      </c>
      <c r="AB1068" t="s">
        <v>2977</v>
      </c>
    </row>
    <row r="1069" spans="1:28" hidden="1">
      <c r="A1069" t="s">
        <v>2993</v>
      </c>
      <c r="B1069" s="17">
        <v>43401</v>
      </c>
      <c r="C1069" s="17">
        <v>43401</v>
      </c>
      <c r="D1069" t="s">
        <v>0</v>
      </c>
      <c r="E1069" t="s">
        <v>1</v>
      </c>
      <c r="F1069" s="18">
        <v>-106655</v>
      </c>
      <c r="G1069" s="18">
        <v>-106655</v>
      </c>
      <c r="H1069" t="s">
        <v>2</v>
      </c>
      <c r="I1069" t="s">
        <v>10</v>
      </c>
      <c r="J1069" s="18">
        <v>-8831034.0099999998</v>
      </c>
      <c r="K1069" t="s">
        <v>2994</v>
      </c>
      <c r="L1069" t="s">
        <v>9</v>
      </c>
      <c r="M1069" t="s">
        <v>2995</v>
      </c>
      <c r="N1069" t="s">
        <v>3</v>
      </c>
      <c r="O1069" t="s">
        <v>3</v>
      </c>
      <c r="P1069" t="s">
        <v>5</v>
      </c>
      <c r="Q1069" t="s">
        <v>2996</v>
      </c>
      <c r="R1069" t="s">
        <v>3</v>
      </c>
      <c r="S1069" t="s">
        <v>3</v>
      </c>
      <c r="T1069" t="s">
        <v>3</v>
      </c>
      <c r="U1069" t="s">
        <v>3</v>
      </c>
      <c r="V1069" t="s">
        <v>3</v>
      </c>
      <c r="W1069" t="s">
        <v>68</v>
      </c>
      <c r="X1069" s="17">
        <v>43646</v>
      </c>
      <c r="Y1069" t="s">
        <v>2499</v>
      </c>
      <c r="Z1069" s="17">
        <v>43401</v>
      </c>
      <c r="AA1069" t="s">
        <v>3</v>
      </c>
      <c r="AB1069" t="s">
        <v>2993</v>
      </c>
    </row>
    <row r="1070" spans="1:28" hidden="1">
      <c r="A1070" t="s">
        <v>2992</v>
      </c>
      <c r="B1070" s="17">
        <v>43401</v>
      </c>
      <c r="C1070" s="17">
        <v>43401</v>
      </c>
      <c r="D1070" t="s">
        <v>0</v>
      </c>
      <c r="E1070" t="s">
        <v>1</v>
      </c>
      <c r="F1070" s="18">
        <v>63312</v>
      </c>
      <c r="G1070" s="18">
        <v>63312</v>
      </c>
      <c r="H1070" t="s">
        <v>2</v>
      </c>
      <c r="I1070" t="s">
        <v>10</v>
      </c>
      <c r="J1070" s="18">
        <v>5242233.5999999996</v>
      </c>
      <c r="K1070" t="s">
        <v>3006</v>
      </c>
      <c r="L1070" t="s">
        <v>9</v>
      </c>
      <c r="M1070" t="s">
        <v>2975</v>
      </c>
      <c r="N1070" t="s">
        <v>3</v>
      </c>
      <c r="O1070" t="s">
        <v>3</v>
      </c>
      <c r="P1070" t="s">
        <v>5</v>
      </c>
      <c r="Q1070" t="s">
        <v>3007</v>
      </c>
      <c r="R1070" t="s">
        <v>3</v>
      </c>
      <c r="S1070" t="s">
        <v>3</v>
      </c>
      <c r="T1070" t="s">
        <v>3</v>
      </c>
      <c r="U1070" t="s">
        <v>3</v>
      </c>
      <c r="V1070" t="s">
        <v>3</v>
      </c>
      <c r="W1070" t="s">
        <v>68</v>
      </c>
      <c r="X1070" s="17">
        <v>43401</v>
      </c>
      <c r="Y1070" t="s">
        <v>2992</v>
      </c>
      <c r="Z1070" s="17">
        <v>43401</v>
      </c>
      <c r="AA1070" t="s">
        <v>3</v>
      </c>
      <c r="AB1070" t="s">
        <v>2992</v>
      </c>
    </row>
    <row r="1071" spans="1:28" hidden="1">
      <c r="A1071" t="s">
        <v>2981</v>
      </c>
      <c r="B1071" s="17">
        <v>43403</v>
      </c>
      <c r="C1071" s="17">
        <v>43403</v>
      </c>
      <c r="D1071" t="s">
        <v>0</v>
      </c>
      <c r="E1071" t="s">
        <v>1</v>
      </c>
      <c r="F1071" s="18">
        <v>-433053</v>
      </c>
      <c r="G1071" s="18">
        <v>-433053</v>
      </c>
      <c r="H1071" t="s">
        <v>2</v>
      </c>
      <c r="I1071" t="s">
        <v>8</v>
      </c>
      <c r="J1071" s="18">
        <v>-35856788.399999999</v>
      </c>
      <c r="K1071" t="s">
        <v>2982</v>
      </c>
      <c r="L1071" t="s">
        <v>9</v>
      </c>
      <c r="M1071" t="s">
        <v>2983</v>
      </c>
      <c r="N1071" t="s">
        <v>3</v>
      </c>
      <c r="O1071" t="s">
        <v>3</v>
      </c>
      <c r="P1071" t="s">
        <v>5</v>
      </c>
      <c r="Q1071" t="s">
        <v>2984</v>
      </c>
      <c r="R1071" t="s">
        <v>3</v>
      </c>
      <c r="S1071" t="s">
        <v>3</v>
      </c>
      <c r="T1071" t="s">
        <v>3</v>
      </c>
      <c r="U1071" t="s">
        <v>3</v>
      </c>
      <c r="V1071" t="s">
        <v>3</v>
      </c>
      <c r="W1071" t="s">
        <v>68</v>
      </c>
      <c r="X1071" s="17">
        <v>43587</v>
      </c>
      <c r="Y1071" t="s">
        <v>2428</v>
      </c>
      <c r="Z1071" s="17">
        <v>43403</v>
      </c>
      <c r="AA1071" t="s">
        <v>3</v>
      </c>
      <c r="AB1071" t="s">
        <v>2981</v>
      </c>
    </row>
    <row r="1072" spans="1:28" hidden="1">
      <c r="A1072" t="s">
        <v>2997</v>
      </c>
      <c r="B1072" s="17">
        <v>43403</v>
      </c>
      <c r="C1072" s="17">
        <v>43403</v>
      </c>
      <c r="D1072" t="s">
        <v>0</v>
      </c>
      <c r="E1072" t="s">
        <v>1</v>
      </c>
      <c r="F1072" s="18">
        <v>42343</v>
      </c>
      <c r="G1072" s="18">
        <v>42343</v>
      </c>
      <c r="H1072" t="s">
        <v>2</v>
      </c>
      <c r="I1072" t="s">
        <v>10</v>
      </c>
      <c r="J1072" s="18">
        <v>3506000.4</v>
      </c>
      <c r="K1072" t="s">
        <v>2998</v>
      </c>
      <c r="L1072" t="s">
        <v>9</v>
      </c>
      <c r="M1072" t="s">
        <v>2999</v>
      </c>
      <c r="N1072" t="s">
        <v>3</v>
      </c>
      <c r="O1072" t="s">
        <v>3</v>
      </c>
      <c r="P1072" t="s">
        <v>5</v>
      </c>
      <c r="Q1072" t="s">
        <v>3000</v>
      </c>
      <c r="R1072" t="s">
        <v>3</v>
      </c>
      <c r="S1072" t="s">
        <v>3</v>
      </c>
      <c r="T1072" t="s">
        <v>3</v>
      </c>
      <c r="U1072" t="s">
        <v>3</v>
      </c>
      <c r="V1072" t="s">
        <v>3</v>
      </c>
      <c r="W1072" t="s">
        <v>68</v>
      </c>
      <c r="X1072" s="17">
        <v>43519</v>
      </c>
      <c r="Y1072" t="s">
        <v>2369</v>
      </c>
      <c r="Z1072" s="17">
        <v>43403</v>
      </c>
      <c r="AA1072" t="s">
        <v>3</v>
      </c>
      <c r="AB1072" t="s">
        <v>2997</v>
      </c>
    </row>
    <row r="1073" spans="1:28" hidden="1">
      <c r="A1073" t="s">
        <v>2997</v>
      </c>
      <c r="B1073" s="17">
        <v>43403</v>
      </c>
      <c r="C1073" s="17">
        <v>43403</v>
      </c>
      <c r="D1073" t="s">
        <v>0</v>
      </c>
      <c r="E1073" t="s">
        <v>1</v>
      </c>
      <c r="F1073" s="18">
        <v>9701</v>
      </c>
      <c r="G1073" s="18">
        <v>9701</v>
      </c>
      <c r="H1073" t="s">
        <v>2</v>
      </c>
      <c r="I1073" t="s">
        <v>10</v>
      </c>
      <c r="J1073" s="18">
        <v>803242.8</v>
      </c>
      <c r="K1073" t="s">
        <v>3001</v>
      </c>
      <c r="L1073" t="s">
        <v>9</v>
      </c>
      <c r="M1073" t="s">
        <v>2999</v>
      </c>
      <c r="N1073" t="s">
        <v>3</v>
      </c>
      <c r="O1073" t="s">
        <v>3</v>
      </c>
      <c r="P1073" t="s">
        <v>5</v>
      </c>
      <c r="Q1073" t="s">
        <v>3000</v>
      </c>
      <c r="R1073" t="s">
        <v>3</v>
      </c>
      <c r="S1073" t="s">
        <v>3</v>
      </c>
      <c r="T1073" t="s">
        <v>3</v>
      </c>
      <c r="U1073" t="s">
        <v>3</v>
      </c>
      <c r="V1073" t="s">
        <v>3</v>
      </c>
      <c r="W1073" t="s">
        <v>68</v>
      </c>
      <c r="X1073" s="17">
        <v>43522</v>
      </c>
      <c r="Y1073" t="s">
        <v>2399</v>
      </c>
      <c r="Z1073" s="17">
        <v>43403</v>
      </c>
      <c r="AA1073" t="s">
        <v>3</v>
      </c>
      <c r="AB1073" t="s">
        <v>2997</v>
      </c>
    </row>
    <row r="1074" spans="1:28" hidden="1">
      <c r="A1074" t="s">
        <v>3018</v>
      </c>
      <c r="B1074" s="17">
        <v>43403</v>
      </c>
      <c r="C1074" s="17">
        <v>43403</v>
      </c>
      <c r="D1074" t="s">
        <v>0</v>
      </c>
      <c r="E1074" t="s">
        <v>1</v>
      </c>
      <c r="F1074" s="18">
        <v>32400</v>
      </c>
      <c r="G1074" s="18">
        <v>32400</v>
      </c>
      <c r="H1074" t="s">
        <v>2</v>
      </c>
      <c r="I1074" t="s">
        <v>8</v>
      </c>
      <c r="J1074" s="18">
        <v>2682720</v>
      </c>
      <c r="K1074" t="s">
        <v>2978</v>
      </c>
      <c r="L1074" t="s">
        <v>9</v>
      </c>
      <c r="M1074" t="s">
        <v>3019</v>
      </c>
      <c r="N1074" t="s">
        <v>3</v>
      </c>
      <c r="O1074" t="s">
        <v>3</v>
      </c>
      <c r="P1074" t="s">
        <v>5</v>
      </c>
      <c r="Q1074" t="s">
        <v>3020</v>
      </c>
      <c r="R1074" t="s">
        <v>3</v>
      </c>
      <c r="S1074" t="s">
        <v>3</v>
      </c>
      <c r="T1074" t="s">
        <v>3</v>
      </c>
      <c r="U1074" t="s">
        <v>3</v>
      </c>
      <c r="V1074" t="s">
        <v>3</v>
      </c>
      <c r="W1074" t="s">
        <v>68</v>
      </c>
      <c r="X1074" s="17">
        <v>43587</v>
      </c>
      <c r="Y1074" t="s">
        <v>2432</v>
      </c>
      <c r="Z1074" s="17">
        <v>43403</v>
      </c>
      <c r="AA1074" t="s">
        <v>3</v>
      </c>
      <c r="AB1074" t="s">
        <v>3018</v>
      </c>
    </row>
    <row r="1075" spans="1:28" hidden="1">
      <c r="A1075" t="s">
        <v>3018</v>
      </c>
      <c r="B1075" s="17">
        <v>43403</v>
      </c>
      <c r="C1075" s="17">
        <v>43403</v>
      </c>
      <c r="D1075" t="s">
        <v>0</v>
      </c>
      <c r="E1075" t="s">
        <v>1</v>
      </c>
      <c r="F1075" s="18">
        <v>44138</v>
      </c>
      <c r="G1075" s="18">
        <v>44138</v>
      </c>
      <c r="H1075" t="s">
        <v>2</v>
      </c>
      <c r="I1075" t="s">
        <v>8</v>
      </c>
      <c r="J1075" s="18">
        <v>3654626.4</v>
      </c>
      <c r="K1075" t="s">
        <v>3021</v>
      </c>
      <c r="L1075" t="s">
        <v>9</v>
      </c>
      <c r="M1075" t="s">
        <v>3019</v>
      </c>
      <c r="N1075" t="s">
        <v>3</v>
      </c>
      <c r="O1075" t="s">
        <v>3</v>
      </c>
      <c r="P1075" t="s">
        <v>5</v>
      </c>
      <c r="Q1075" t="s">
        <v>3020</v>
      </c>
      <c r="R1075" t="s">
        <v>3</v>
      </c>
      <c r="S1075" t="s">
        <v>3</v>
      </c>
      <c r="T1075" t="s">
        <v>3</v>
      </c>
      <c r="U1075" t="s">
        <v>3</v>
      </c>
      <c r="V1075" t="s">
        <v>3</v>
      </c>
      <c r="W1075" t="s">
        <v>68</v>
      </c>
      <c r="X1075" s="17">
        <v>43587</v>
      </c>
      <c r="Y1075" t="s">
        <v>2446</v>
      </c>
      <c r="Z1075" s="17">
        <v>43403</v>
      </c>
      <c r="AA1075" t="s">
        <v>3</v>
      </c>
      <c r="AB1075" t="s">
        <v>3018</v>
      </c>
    </row>
    <row r="1076" spans="1:28" hidden="1">
      <c r="A1076" t="s">
        <v>3018</v>
      </c>
      <c r="B1076" s="17">
        <v>43403</v>
      </c>
      <c r="C1076" s="17">
        <v>43403</v>
      </c>
      <c r="D1076" t="s">
        <v>0</v>
      </c>
      <c r="E1076" t="s">
        <v>1</v>
      </c>
      <c r="F1076" s="18">
        <v>42837</v>
      </c>
      <c r="G1076" s="18">
        <v>42837</v>
      </c>
      <c r="H1076" t="s">
        <v>2</v>
      </c>
      <c r="I1076" t="s">
        <v>8</v>
      </c>
      <c r="J1076" s="18">
        <v>3546903.6</v>
      </c>
      <c r="K1076" t="s">
        <v>3022</v>
      </c>
      <c r="L1076" t="s">
        <v>9</v>
      </c>
      <c r="M1076" t="s">
        <v>3019</v>
      </c>
      <c r="N1076" t="s">
        <v>3</v>
      </c>
      <c r="O1076" t="s">
        <v>3</v>
      </c>
      <c r="P1076" t="s">
        <v>5</v>
      </c>
      <c r="Q1076" t="s">
        <v>3020</v>
      </c>
      <c r="R1076" t="s">
        <v>3</v>
      </c>
      <c r="S1076" t="s">
        <v>3</v>
      </c>
      <c r="T1076" t="s">
        <v>3</v>
      </c>
      <c r="U1076" t="s">
        <v>3</v>
      </c>
      <c r="V1076" t="s">
        <v>3</v>
      </c>
      <c r="W1076" t="s">
        <v>68</v>
      </c>
      <c r="X1076" s="17">
        <v>43587</v>
      </c>
      <c r="Y1076" t="s">
        <v>2448</v>
      </c>
      <c r="Z1076" s="17">
        <v>43403</v>
      </c>
      <c r="AA1076" t="s">
        <v>3</v>
      </c>
      <c r="AB1076" t="s">
        <v>3018</v>
      </c>
    </row>
    <row r="1077" spans="1:28" hidden="1">
      <c r="A1077" t="s">
        <v>2985</v>
      </c>
      <c r="B1077" s="17">
        <v>43404</v>
      </c>
      <c r="C1077" s="17">
        <v>43404</v>
      </c>
      <c r="D1077" t="s">
        <v>0</v>
      </c>
      <c r="E1077" t="s">
        <v>1</v>
      </c>
      <c r="F1077" s="18">
        <v>12420</v>
      </c>
      <c r="G1077" s="18">
        <v>12420</v>
      </c>
      <c r="H1077" t="s">
        <v>2</v>
      </c>
      <c r="I1077" t="s">
        <v>8</v>
      </c>
      <c r="J1077" s="18">
        <v>1028376</v>
      </c>
      <c r="K1077" t="s">
        <v>2974</v>
      </c>
      <c r="L1077" t="s">
        <v>9</v>
      </c>
      <c r="M1077" t="s">
        <v>2986</v>
      </c>
      <c r="N1077" t="s">
        <v>3</v>
      </c>
      <c r="O1077" t="s">
        <v>3</v>
      </c>
      <c r="P1077" t="s">
        <v>5</v>
      </c>
      <c r="Q1077" t="s">
        <v>2987</v>
      </c>
      <c r="R1077" t="s">
        <v>3</v>
      </c>
      <c r="S1077" t="s">
        <v>3</v>
      </c>
      <c r="T1077" t="s">
        <v>3</v>
      </c>
      <c r="U1077" t="s">
        <v>3</v>
      </c>
      <c r="V1077" t="s">
        <v>3</v>
      </c>
      <c r="W1077" t="s">
        <v>68</v>
      </c>
      <c r="X1077" s="17">
        <v>43587</v>
      </c>
      <c r="Y1077" t="s">
        <v>2468</v>
      </c>
      <c r="Z1077" s="17">
        <v>43404</v>
      </c>
      <c r="AA1077" t="s">
        <v>3</v>
      </c>
      <c r="AB1077" t="s">
        <v>2985</v>
      </c>
    </row>
    <row r="1078" spans="1:28" hidden="1">
      <c r="A1078" t="s">
        <v>3002</v>
      </c>
      <c r="B1078" s="17">
        <v>43404</v>
      </c>
      <c r="C1078" s="17">
        <v>43404</v>
      </c>
      <c r="D1078" t="s">
        <v>0</v>
      </c>
      <c r="E1078" t="s">
        <v>1</v>
      </c>
      <c r="F1078" s="18">
        <v>-49967</v>
      </c>
      <c r="G1078" s="18">
        <v>-49967</v>
      </c>
      <c r="H1078" t="s">
        <v>2</v>
      </c>
      <c r="I1078" t="s">
        <v>10</v>
      </c>
      <c r="J1078" s="18">
        <v>-4142264.3</v>
      </c>
      <c r="K1078" t="s">
        <v>3003</v>
      </c>
      <c r="L1078" t="s">
        <v>9</v>
      </c>
      <c r="M1078" t="s">
        <v>3004</v>
      </c>
      <c r="N1078" t="s">
        <v>3</v>
      </c>
      <c r="O1078" t="s">
        <v>3</v>
      </c>
      <c r="P1078" t="s">
        <v>5</v>
      </c>
      <c r="Q1078" t="s">
        <v>3005</v>
      </c>
      <c r="R1078" t="s">
        <v>3</v>
      </c>
      <c r="S1078" t="s">
        <v>3</v>
      </c>
      <c r="T1078" t="s">
        <v>3</v>
      </c>
      <c r="U1078" t="s">
        <v>3</v>
      </c>
      <c r="V1078" t="s">
        <v>3</v>
      </c>
      <c r="W1078" t="s">
        <v>68</v>
      </c>
      <c r="X1078" s="17">
        <v>43519</v>
      </c>
      <c r="Y1078" t="s">
        <v>2393</v>
      </c>
      <c r="Z1078" s="17">
        <v>43404</v>
      </c>
      <c r="AA1078" t="s">
        <v>3</v>
      </c>
      <c r="AB1078" t="s">
        <v>3002</v>
      </c>
    </row>
    <row r="1079" spans="1:28" hidden="1">
      <c r="A1079" t="s">
        <v>3034</v>
      </c>
      <c r="B1079" s="17">
        <v>43404</v>
      </c>
      <c r="C1079" s="17">
        <v>43404</v>
      </c>
      <c r="D1079" t="s">
        <v>0</v>
      </c>
      <c r="E1079" t="s">
        <v>1</v>
      </c>
      <c r="F1079" s="18">
        <v>90225</v>
      </c>
      <c r="G1079" s="18">
        <v>90225</v>
      </c>
      <c r="H1079" t="s">
        <v>2</v>
      </c>
      <c r="I1079" t="s">
        <v>8</v>
      </c>
      <c r="J1079" s="18">
        <v>7479652.5</v>
      </c>
      <c r="K1079" t="s">
        <v>2220</v>
      </c>
      <c r="L1079" t="s">
        <v>9</v>
      </c>
      <c r="M1079" t="s">
        <v>2221</v>
      </c>
      <c r="N1079" t="s">
        <v>3</v>
      </c>
      <c r="O1079" t="s">
        <v>3</v>
      </c>
      <c r="P1079" t="s">
        <v>5</v>
      </c>
      <c r="Q1079" t="s">
        <v>2222</v>
      </c>
      <c r="R1079" t="s">
        <v>3</v>
      </c>
      <c r="S1079" t="s">
        <v>3</v>
      </c>
      <c r="T1079" t="s">
        <v>3</v>
      </c>
      <c r="U1079" t="s">
        <v>3</v>
      </c>
      <c r="V1079" t="s">
        <v>3</v>
      </c>
      <c r="W1079" t="s">
        <v>68</v>
      </c>
      <c r="X1079" s="17">
        <v>43405</v>
      </c>
      <c r="Y1079" t="s">
        <v>2219</v>
      </c>
      <c r="Z1079" s="17">
        <v>43404</v>
      </c>
      <c r="AA1079" t="s">
        <v>3</v>
      </c>
      <c r="AB1079" t="s">
        <v>3034</v>
      </c>
    </row>
    <row r="1080" spans="1:28" hidden="1">
      <c r="A1080" t="s">
        <v>3034</v>
      </c>
      <c r="B1080" s="17">
        <v>43404</v>
      </c>
      <c r="C1080" s="17">
        <v>43404</v>
      </c>
      <c r="D1080" t="s">
        <v>0</v>
      </c>
      <c r="E1080" t="s">
        <v>1</v>
      </c>
      <c r="F1080" s="18">
        <v>-282231</v>
      </c>
      <c r="G1080" s="18">
        <v>-282231</v>
      </c>
      <c r="H1080" t="s">
        <v>2</v>
      </c>
      <c r="I1080" t="s">
        <v>8</v>
      </c>
      <c r="J1080" s="18">
        <v>-23396949.899999999</v>
      </c>
      <c r="K1080" t="s">
        <v>2220</v>
      </c>
      <c r="L1080" t="s">
        <v>9</v>
      </c>
      <c r="M1080" t="s">
        <v>2221</v>
      </c>
      <c r="N1080" t="s">
        <v>3</v>
      </c>
      <c r="O1080" t="s">
        <v>3</v>
      </c>
      <c r="P1080" t="s">
        <v>5</v>
      </c>
      <c r="Q1080" t="s">
        <v>2222</v>
      </c>
      <c r="R1080" t="s">
        <v>3</v>
      </c>
      <c r="S1080" t="s">
        <v>3</v>
      </c>
      <c r="T1080" t="s">
        <v>3</v>
      </c>
      <c r="U1080" t="s">
        <v>3</v>
      </c>
      <c r="V1080" t="s">
        <v>3</v>
      </c>
      <c r="W1080" t="s">
        <v>68</v>
      </c>
      <c r="X1080" s="17">
        <v>43405</v>
      </c>
      <c r="Y1080" t="s">
        <v>2219</v>
      </c>
      <c r="Z1080" s="17">
        <v>43404</v>
      </c>
      <c r="AA1080" t="s">
        <v>3</v>
      </c>
      <c r="AB1080" t="s">
        <v>3034</v>
      </c>
    </row>
    <row r="1081" spans="1:28" hidden="1">
      <c r="A1081" t="s">
        <v>2219</v>
      </c>
      <c r="B1081" s="17">
        <v>43405</v>
      </c>
      <c r="C1081" s="17">
        <v>43404</v>
      </c>
      <c r="D1081" t="s">
        <v>38</v>
      </c>
      <c r="E1081" t="s">
        <v>1</v>
      </c>
      <c r="F1081" s="18">
        <v>-90225</v>
      </c>
      <c r="G1081" s="18">
        <v>-90225</v>
      </c>
      <c r="H1081" t="s">
        <v>2</v>
      </c>
      <c r="I1081" t="s">
        <v>8</v>
      </c>
      <c r="J1081" s="18">
        <v>-7479652.5</v>
      </c>
      <c r="K1081" t="s">
        <v>2220</v>
      </c>
      <c r="L1081" t="s">
        <v>9</v>
      </c>
      <c r="M1081" t="s">
        <v>2221</v>
      </c>
      <c r="N1081" t="s">
        <v>3</v>
      </c>
      <c r="O1081" t="s">
        <v>3</v>
      </c>
      <c r="P1081" t="s">
        <v>5</v>
      </c>
      <c r="Q1081" t="s">
        <v>2222</v>
      </c>
      <c r="R1081" t="s">
        <v>3</v>
      </c>
      <c r="S1081" t="s">
        <v>3</v>
      </c>
      <c r="T1081" t="s">
        <v>3</v>
      </c>
      <c r="U1081" t="s">
        <v>3</v>
      </c>
      <c r="V1081" t="s">
        <v>3</v>
      </c>
      <c r="W1081" t="s">
        <v>68</v>
      </c>
      <c r="X1081" s="17">
        <v>43405</v>
      </c>
      <c r="Y1081" t="s">
        <v>2219</v>
      </c>
      <c r="Z1081" s="17">
        <v>43404</v>
      </c>
      <c r="AA1081" t="s">
        <v>3</v>
      </c>
      <c r="AB1081" t="s">
        <v>2219</v>
      </c>
    </row>
    <row r="1082" spans="1:28" hidden="1">
      <c r="A1082" t="s">
        <v>2219</v>
      </c>
      <c r="B1082" s="17">
        <v>43405</v>
      </c>
      <c r="C1082" s="17">
        <v>43404</v>
      </c>
      <c r="D1082" t="s">
        <v>38</v>
      </c>
      <c r="E1082" t="s">
        <v>1</v>
      </c>
      <c r="F1082" s="18">
        <v>282231</v>
      </c>
      <c r="G1082" s="18">
        <v>282231</v>
      </c>
      <c r="H1082" t="s">
        <v>2</v>
      </c>
      <c r="I1082" t="s">
        <v>8</v>
      </c>
      <c r="J1082" s="18">
        <v>23396949.899999999</v>
      </c>
      <c r="K1082" t="s">
        <v>2220</v>
      </c>
      <c r="L1082" t="s">
        <v>9</v>
      </c>
      <c r="M1082" t="s">
        <v>2221</v>
      </c>
      <c r="N1082" t="s">
        <v>3</v>
      </c>
      <c r="O1082" t="s">
        <v>3</v>
      </c>
      <c r="P1082" t="s">
        <v>5</v>
      </c>
      <c r="Q1082" t="s">
        <v>2222</v>
      </c>
      <c r="R1082" t="s">
        <v>3</v>
      </c>
      <c r="S1082" t="s">
        <v>3</v>
      </c>
      <c r="T1082" t="s">
        <v>3</v>
      </c>
      <c r="U1082" t="s">
        <v>3</v>
      </c>
      <c r="V1082" t="s">
        <v>3</v>
      </c>
      <c r="W1082" t="s">
        <v>68</v>
      </c>
      <c r="X1082" s="17">
        <v>43405</v>
      </c>
      <c r="Y1082" t="s">
        <v>2219</v>
      </c>
      <c r="Z1082" s="17">
        <v>43404</v>
      </c>
      <c r="AA1082" t="s">
        <v>3</v>
      </c>
      <c r="AB1082" t="s">
        <v>2219</v>
      </c>
    </row>
    <row r="1083" spans="1:28" hidden="1">
      <c r="A1083" t="s">
        <v>3023</v>
      </c>
      <c r="B1083" s="17">
        <v>43405</v>
      </c>
      <c r="C1083" s="17">
        <v>43405</v>
      </c>
      <c r="D1083" t="s">
        <v>0</v>
      </c>
      <c r="E1083" t="s">
        <v>1</v>
      </c>
      <c r="F1083" s="18">
        <v>-282231</v>
      </c>
      <c r="G1083" s="18">
        <v>-282231</v>
      </c>
      <c r="H1083" t="s">
        <v>2</v>
      </c>
      <c r="I1083" t="s">
        <v>8</v>
      </c>
      <c r="J1083" s="18">
        <v>-23396949.899999999</v>
      </c>
      <c r="K1083" t="s">
        <v>3024</v>
      </c>
      <c r="L1083" t="s">
        <v>9</v>
      </c>
      <c r="M1083" t="s">
        <v>3025</v>
      </c>
      <c r="N1083" t="s">
        <v>3</v>
      </c>
      <c r="O1083" t="s">
        <v>3</v>
      </c>
      <c r="P1083" t="s">
        <v>5</v>
      </c>
      <c r="Q1083" t="s">
        <v>3026</v>
      </c>
      <c r="R1083" t="s">
        <v>3</v>
      </c>
      <c r="S1083" t="s">
        <v>3</v>
      </c>
      <c r="T1083" t="s">
        <v>3</v>
      </c>
      <c r="U1083" t="s">
        <v>3</v>
      </c>
      <c r="V1083" t="s">
        <v>3</v>
      </c>
      <c r="W1083" t="s">
        <v>68</v>
      </c>
      <c r="X1083" s="17">
        <v>43677</v>
      </c>
      <c r="Y1083" t="s">
        <v>3027</v>
      </c>
      <c r="Z1083" s="17">
        <v>43405</v>
      </c>
      <c r="AA1083" t="s">
        <v>3</v>
      </c>
      <c r="AB1083" t="s">
        <v>3023</v>
      </c>
    </row>
    <row r="1084" spans="1:28" hidden="1">
      <c r="A1084" t="s">
        <v>3028</v>
      </c>
      <c r="B1084" s="17">
        <v>43405</v>
      </c>
      <c r="C1084" s="17">
        <v>43405</v>
      </c>
      <c r="D1084" t="s">
        <v>0</v>
      </c>
      <c r="E1084" t="s">
        <v>1</v>
      </c>
      <c r="F1084" s="18">
        <v>90228</v>
      </c>
      <c r="G1084" s="18">
        <v>90228</v>
      </c>
      <c r="H1084" t="s">
        <v>2</v>
      </c>
      <c r="I1084" t="s">
        <v>8</v>
      </c>
      <c r="J1084" s="18">
        <v>7470878.4000000004</v>
      </c>
      <c r="K1084" t="s">
        <v>3021</v>
      </c>
      <c r="L1084" t="s">
        <v>9</v>
      </c>
      <c r="M1084" t="s">
        <v>3029</v>
      </c>
      <c r="N1084" t="s">
        <v>3</v>
      </c>
      <c r="O1084" t="s">
        <v>3</v>
      </c>
      <c r="P1084" t="s">
        <v>5</v>
      </c>
      <c r="Q1084" t="s">
        <v>3030</v>
      </c>
      <c r="R1084" t="s">
        <v>3</v>
      </c>
      <c r="S1084" t="s">
        <v>3</v>
      </c>
      <c r="T1084" t="s">
        <v>3</v>
      </c>
      <c r="U1084" t="s">
        <v>3</v>
      </c>
      <c r="V1084" t="s">
        <v>3</v>
      </c>
      <c r="W1084" t="s">
        <v>68</v>
      </c>
      <c r="X1084" s="17">
        <v>43587</v>
      </c>
      <c r="Y1084" t="s">
        <v>2446</v>
      </c>
      <c r="Z1084" s="17">
        <v>43405</v>
      </c>
      <c r="AA1084" t="s">
        <v>3</v>
      </c>
      <c r="AB1084" t="s">
        <v>3028</v>
      </c>
    </row>
    <row r="1085" spans="1:28" hidden="1">
      <c r="A1085" t="s">
        <v>3031</v>
      </c>
      <c r="B1085" s="17">
        <v>43408</v>
      </c>
      <c r="C1085" s="17">
        <v>43408</v>
      </c>
      <c r="D1085" t="s">
        <v>0</v>
      </c>
      <c r="E1085" t="s">
        <v>1</v>
      </c>
      <c r="F1085" s="18">
        <v>140929</v>
      </c>
      <c r="G1085" s="18">
        <v>140929</v>
      </c>
      <c r="H1085" t="s">
        <v>2</v>
      </c>
      <c r="I1085" t="s">
        <v>8</v>
      </c>
      <c r="J1085" s="18">
        <v>11668921.199999999</v>
      </c>
      <c r="K1085" t="s">
        <v>2978</v>
      </c>
      <c r="L1085" t="s">
        <v>9</v>
      </c>
      <c r="M1085" t="s">
        <v>3032</v>
      </c>
      <c r="N1085" t="s">
        <v>3</v>
      </c>
      <c r="O1085" t="s">
        <v>3</v>
      </c>
      <c r="P1085" t="s">
        <v>5</v>
      </c>
      <c r="Q1085" t="s">
        <v>3033</v>
      </c>
      <c r="R1085" t="s">
        <v>3</v>
      </c>
      <c r="S1085" t="s">
        <v>3</v>
      </c>
      <c r="T1085" t="s">
        <v>3</v>
      </c>
      <c r="U1085" t="s">
        <v>3</v>
      </c>
      <c r="V1085" t="s">
        <v>3</v>
      </c>
      <c r="W1085" t="s">
        <v>68</v>
      </c>
      <c r="X1085" s="17">
        <v>43587</v>
      </c>
      <c r="Y1085" t="s">
        <v>2432</v>
      </c>
      <c r="Z1085" s="17">
        <v>43408</v>
      </c>
      <c r="AA1085" t="s">
        <v>3</v>
      </c>
      <c r="AB1085" t="s">
        <v>3031</v>
      </c>
    </row>
    <row r="1086" spans="1:28" hidden="1">
      <c r="A1086" t="s">
        <v>3035</v>
      </c>
      <c r="B1086" s="17">
        <v>43412</v>
      </c>
      <c r="C1086" s="17">
        <v>43412</v>
      </c>
      <c r="D1086" t="s">
        <v>0</v>
      </c>
      <c r="E1086" t="s">
        <v>1</v>
      </c>
      <c r="F1086" s="18">
        <v>-11437</v>
      </c>
      <c r="G1086" s="18">
        <v>-11437</v>
      </c>
      <c r="H1086" t="s">
        <v>2</v>
      </c>
      <c r="I1086" t="s">
        <v>10</v>
      </c>
      <c r="J1086" s="18">
        <v>-948127.3</v>
      </c>
      <c r="K1086" t="s">
        <v>3036</v>
      </c>
      <c r="L1086" t="s">
        <v>9</v>
      </c>
      <c r="M1086" t="s">
        <v>3037</v>
      </c>
      <c r="N1086" t="s">
        <v>3</v>
      </c>
      <c r="O1086" t="s">
        <v>3</v>
      </c>
      <c r="P1086" t="s">
        <v>5</v>
      </c>
      <c r="Q1086" t="s">
        <v>3038</v>
      </c>
      <c r="R1086" t="s">
        <v>3</v>
      </c>
      <c r="S1086" t="s">
        <v>3</v>
      </c>
      <c r="T1086" t="s">
        <v>3</v>
      </c>
      <c r="U1086" t="s">
        <v>3</v>
      </c>
      <c r="V1086" t="s">
        <v>3</v>
      </c>
      <c r="W1086" t="s">
        <v>68</v>
      </c>
      <c r="X1086" s="17">
        <v>43440</v>
      </c>
      <c r="Y1086" t="s">
        <v>3039</v>
      </c>
      <c r="Z1086" s="17">
        <v>43412</v>
      </c>
      <c r="AA1086" t="s">
        <v>3</v>
      </c>
      <c r="AB1086" t="s">
        <v>3035</v>
      </c>
    </row>
    <row r="1087" spans="1:28" hidden="1">
      <c r="A1087" t="s">
        <v>3040</v>
      </c>
      <c r="B1087" s="17">
        <v>43412</v>
      </c>
      <c r="C1087" s="17">
        <v>43412</v>
      </c>
      <c r="D1087" t="s">
        <v>0</v>
      </c>
      <c r="E1087" t="s">
        <v>1</v>
      </c>
      <c r="F1087" s="18">
        <v>2866</v>
      </c>
      <c r="G1087" s="18">
        <v>2866</v>
      </c>
      <c r="H1087" t="s">
        <v>2</v>
      </c>
      <c r="I1087" t="s">
        <v>10</v>
      </c>
      <c r="J1087" s="18">
        <v>237304.8</v>
      </c>
      <c r="K1087" t="s">
        <v>3041</v>
      </c>
      <c r="L1087" t="s">
        <v>9</v>
      </c>
      <c r="M1087" t="s">
        <v>3042</v>
      </c>
      <c r="N1087" t="s">
        <v>3</v>
      </c>
      <c r="O1087" t="s">
        <v>3</v>
      </c>
      <c r="P1087" t="s">
        <v>5</v>
      </c>
      <c r="Q1087" t="s">
        <v>3043</v>
      </c>
      <c r="R1087" t="s">
        <v>3</v>
      </c>
      <c r="S1087" t="s">
        <v>3</v>
      </c>
      <c r="T1087" t="s">
        <v>3</v>
      </c>
      <c r="U1087" t="s">
        <v>3</v>
      </c>
      <c r="V1087" t="s">
        <v>3</v>
      </c>
      <c r="W1087" t="s">
        <v>68</v>
      </c>
      <c r="X1087" s="17">
        <v>43646</v>
      </c>
      <c r="Y1087" t="s">
        <v>2499</v>
      </c>
      <c r="Z1087" s="17">
        <v>43412</v>
      </c>
      <c r="AA1087" t="s">
        <v>3</v>
      </c>
      <c r="AB1087" t="s">
        <v>3040</v>
      </c>
    </row>
    <row r="1088" spans="1:28" hidden="1">
      <c r="A1088" t="s">
        <v>3040</v>
      </c>
      <c r="B1088" s="17">
        <v>43412</v>
      </c>
      <c r="C1088" s="17">
        <v>43412</v>
      </c>
      <c r="D1088" t="s">
        <v>0</v>
      </c>
      <c r="E1088" t="s">
        <v>1</v>
      </c>
      <c r="F1088" s="18">
        <v>278</v>
      </c>
      <c r="G1088" s="18">
        <v>278</v>
      </c>
      <c r="H1088" t="s">
        <v>2</v>
      </c>
      <c r="I1088" t="s">
        <v>10</v>
      </c>
      <c r="J1088" s="18">
        <v>23018.400000000001</v>
      </c>
      <c r="K1088" t="s">
        <v>3044</v>
      </c>
      <c r="L1088" t="s">
        <v>9</v>
      </c>
      <c r="M1088" t="s">
        <v>3042</v>
      </c>
      <c r="N1088" t="s">
        <v>3</v>
      </c>
      <c r="O1088" t="s">
        <v>3</v>
      </c>
      <c r="P1088" t="s">
        <v>5</v>
      </c>
      <c r="Q1088" t="s">
        <v>3043</v>
      </c>
      <c r="R1088" t="s">
        <v>3</v>
      </c>
      <c r="S1088" t="s">
        <v>3</v>
      </c>
      <c r="T1088" t="s">
        <v>3</v>
      </c>
      <c r="U1088" t="s">
        <v>3</v>
      </c>
      <c r="V1088" t="s">
        <v>3</v>
      </c>
      <c r="W1088" t="s">
        <v>68</v>
      </c>
      <c r="X1088" s="17">
        <v>43646</v>
      </c>
      <c r="Y1088" t="s">
        <v>2502</v>
      </c>
      <c r="Z1088" s="17">
        <v>43412</v>
      </c>
      <c r="AA1088" t="s">
        <v>3</v>
      </c>
      <c r="AB1088" t="s">
        <v>3040</v>
      </c>
    </row>
    <row r="1089" spans="1:28" hidden="1">
      <c r="A1089" t="s">
        <v>3040</v>
      </c>
      <c r="B1089" s="17">
        <v>43412</v>
      </c>
      <c r="C1089" s="17">
        <v>43412</v>
      </c>
      <c r="D1089" t="s">
        <v>0</v>
      </c>
      <c r="E1089" t="s">
        <v>1</v>
      </c>
      <c r="F1089" s="18">
        <v>22314</v>
      </c>
      <c r="G1089" s="18">
        <v>22314</v>
      </c>
      <c r="H1089" t="s">
        <v>2</v>
      </c>
      <c r="I1089" t="s">
        <v>10</v>
      </c>
      <c r="J1089" s="18">
        <v>1849830.6</v>
      </c>
      <c r="K1089" t="s">
        <v>3045</v>
      </c>
      <c r="L1089" t="s">
        <v>9</v>
      </c>
      <c r="M1089" t="s">
        <v>3042</v>
      </c>
      <c r="N1089" t="s">
        <v>3</v>
      </c>
      <c r="O1089" t="s">
        <v>3</v>
      </c>
      <c r="P1089" t="s">
        <v>5</v>
      </c>
      <c r="Q1089" t="s">
        <v>3043</v>
      </c>
      <c r="R1089" t="s">
        <v>3</v>
      </c>
      <c r="S1089" t="s">
        <v>3</v>
      </c>
      <c r="T1089" t="s">
        <v>3</v>
      </c>
      <c r="U1089" t="s">
        <v>3</v>
      </c>
      <c r="V1089" t="s">
        <v>3</v>
      </c>
      <c r="W1089" t="s">
        <v>68</v>
      </c>
      <c r="X1089" s="17">
        <v>43519</v>
      </c>
      <c r="Y1089" t="s">
        <v>2393</v>
      </c>
      <c r="Z1089" s="17">
        <v>43412</v>
      </c>
      <c r="AA1089" t="s">
        <v>3</v>
      </c>
      <c r="AB1089" t="s">
        <v>3040</v>
      </c>
    </row>
    <row r="1090" spans="1:28" hidden="1">
      <c r="A1090" t="s">
        <v>3046</v>
      </c>
      <c r="B1090" s="17">
        <v>43415</v>
      </c>
      <c r="C1090" s="17">
        <v>43415</v>
      </c>
      <c r="D1090" t="s">
        <v>0</v>
      </c>
      <c r="E1090" t="s">
        <v>1</v>
      </c>
      <c r="F1090" s="18">
        <v>-133270</v>
      </c>
      <c r="G1090" s="18">
        <v>-133270</v>
      </c>
      <c r="H1090" t="s">
        <v>2</v>
      </c>
      <c r="I1090" t="s">
        <v>10</v>
      </c>
      <c r="J1090" s="18">
        <v>-11048083</v>
      </c>
      <c r="K1090" t="s">
        <v>3047</v>
      </c>
      <c r="L1090" t="s">
        <v>9</v>
      </c>
      <c r="M1090" t="s">
        <v>3048</v>
      </c>
      <c r="N1090" t="s">
        <v>3</v>
      </c>
      <c r="O1090" t="s">
        <v>3</v>
      </c>
      <c r="P1090" t="s">
        <v>5</v>
      </c>
      <c r="Q1090" t="s">
        <v>3049</v>
      </c>
      <c r="R1090" t="s">
        <v>3</v>
      </c>
      <c r="S1090" t="s">
        <v>3</v>
      </c>
      <c r="T1090" t="s">
        <v>3</v>
      </c>
      <c r="U1090" t="s">
        <v>3</v>
      </c>
      <c r="V1090" t="s">
        <v>3</v>
      </c>
      <c r="W1090" t="s">
        <v>68</v>
      </c>
      <c r="X1090" s="17">
        <v>43646</v>
      </c>
      <c r="Y1090" t="s">
        <v>2495</v>
      </c>
      <c r="Z1090" s="17">
        <v>43415</v>
      </c>
      <c r="AA1090" t="s">
        <v>3</v>
      </c>
      <c r="AB1090" t="s">
        <v>3046</v>
      </c>
    </row>
    <row r="1091" spans="1:28" hidden="1">
      <c r="A1091" t="s">
        <v>3050</v>
      </c>
      <c r="B1091" s="17">
        <v>43415</v>
      </c>
      <c r="C1091" s="17">
        <v>43415</v>
      </c>
      <c r="D1091" t="s">
        <v>0</v>
      </c>
      <c r="E1091" t="s">
        <v>1</v>
      </c>
      <c r="F1091" s="18">
        <v>-68390</v>
      </c>
      <c r="G1091" s="18">
        <v>-68390</v>
      </c>
      <c r="H1091" t="s">
        <v>2</v>
      </c>
      <c r="I1091" t="s">
        <v>10</v>
      </c>
      <c r="J1091" s="18">
        <v>-5669531</v>
      </c>
      <c r="K1091" t="s">
        <v>3051</v>
      </c>
      <c r="L1091" t="s">
        <v>9</v>
      </c>
      <c r="M1091" t="s">
        <v>3037</v>
      </c>
      <c r="N1091" t="s">
        <v>3</v>
      </c>
      <c r="O1091" t="s">
        <v>3</v>
      </c>
      <c r="P1091" t="s">
        <v>5</v>
      </c>
      <c r="Q1091" t="s">
        <v>3052</v>
      </c>
      <c r="R1091" t="s">
        <v>3</v>
      </c>
      <c r="S1091" t="s">
        <v>3</v>
      </c>
      <c r="T1091" t="s">
        <v>3</v>
      </c>
      <c r="U1091" t="s">
        <v>3</v>
      </c>
      <c r="V1091" t="s">
        <v>3</v>
      </c>
      <c r="W1091" t="s">
        <v>68</v>
      </c>
      <c r="X1091" s="17">
        <v>43519</v>
      </c>
      <c r="Y1091" t="s">
        <v>2378</v>
      </c>
      <c r="Z1091" s="17">
        <v>43415</v>
      </c>
      <c r="AA1091" t="s">
        <v>3</v>
      </c>
      <c r="AB1091" t="s">
        <v>3050</v>
      </c>
    </row>
    <row r="1092" spans="1:28" hidden="1">
      <c r="A1092" t="s">
        <v>3064</v>
      </c>
      <c r="B1092" s="17">
        <v>43415</v>
      </c>
      <c r="C1092" s="17">
        <v>43415</v>
      </c>
      <c r="D1092" t="s">
        <v>0</v>
      </c>
      <c r="E1092" t="s">
        <v>1</v>
      </c>
      <c r="F1092" s="18">
        <v>-294764</v>
      </c>
      <c r="G1092" s="18">
        <v>-294764</v>
      </c>
      <c r="H1092" t="s">
        <v>2</v>
      </c>
      <c r="I1092" t="s">
        <v>8</v>
      </c>
      <c r="J1092" s="18">
        <v>-24435935.600000001</v>
      </c>
      <c r="K1092" t="s">
        <v>3065</v>
      </c>
      <c r="L1092" t="s">
        <v>9</v>
      </c>
      <c r="M1092" t="s">
        <v>3066</v>
      </c>
      <c r="N1092" t="s">
        <v>3</v>
      </c>
      <c r="O1092" t="s">
        <v>3</v>
      </c>
      <c r="P1092" t="s">
        <v>5</v>
      </c>
      <c r="Q1092" t="s">
        <v>3067</v>
      </c>
      <c r="R1092" t="s">
        <v>3</v>
      </c>
      <c r="S1092" t="s">
        <v>3</v>
      </c>
      <c r="T1092" t="s">
        <v>3</v>
      </c>
      <c r="U1092" t="s">
        <v>3</v>
      </c>
      <c r="V1092" t="s">
        <v>3</v>
      </c>
      <c r="W1092" t="s">
        <v>68</v>
      </c>
      <c r="X1092" s="17">
        <v>43587</v>
      </c>
      <c r="Y1092" t="s">
        <v>2437</v>
      </c>
      <c r="Z1092" s="17">
        <v>43415</v>
      </c>
      <c r="AA1092" t="s">
        <v>3</v>
      </c>
      <c r="AB1092" t="s">
        <v>3064</v>
      </c>
    </row>
    <row r="1093" spans="1:28" hidden="1">
      <c r="A1093" t="s">
        <v>3053</v>
      </c>
      <c r="B1093" s="17">
        <v>43418</v>
      </c>
      <c r="C1093" s="17">
        <v>43418</v>
      </c>
      <c r="D1093" t="s">
        <v>0</v>
      </c>
      <c r="E1093" t="s">
        <v>1</v>
      </c>
      <c r="F1093" s="18">
        <v>10035</v>
      </c>
      <c r="G1093" s="18">
        <v>10035</v>
      </c>
      <c r="H1093" t="s">
        <v>2</v>
      </c>
      <c r="I1093" t="s">
        <v>10</v>
      </c>
      <c r="J1093" s="18">
        <v>830898</v>
      </c>
      <c r="K1093" t="s">
        <v>3041</v>
      </c>
      <c r="L1093" t="s">
        <v>9</v>
      </c>
      <c r="M1093" t="s">
        <v>3054</v>
      </c>
      <c r="N1093" t="s">
        <v>3</v>
      </c>
      <c r="O1093" t="s">
        <v>3</v>
      </c>
      <c r="P1093" t="s">
        <v>5</v>
      </c>
      <c r="Q1093" t="s">
        <v>3055</v>
      </c>
      <c r="R1093" t="s">
        <v>3</v>
      </c>
      <c r="S1093" t="s">
        <v>3</v>
      </c>
      <c r="T1093" t="s">
        <v>3</v>
      </c>
      <c r="U1093" t="s">
        <v>3</v>
      </c>
      <c r="V1093" t="s">
        <v>3</v>
      </c>
      <c r="W1093" t="s">
        <v>68</v>
      </c>
      <c r="X1093" s="17">
        <v>43646</v>
      </c>
      <c r="Y1093" t="s">
        <v>2499</v>
      </c>
      <c r="Z1093" s="17">
        <v>43418</v>
      </c>
      <c r="AA1093" t="s">
        <v>3</v>
      </c>
      <c r="AB1093" t="s">
        <v>3053</v>
      </c>
    </row>
    <row r="1094" spans="1:28" hidden="1">
      <c r="A1094" t="s">
        <v>3053</v>
      </c>
      <c r="B1094" s="17">
        <v>43418</v>
      </c>
      <c r="C1094" s="17">
        <v>43418</v>
      </c>
      <c r="D1094" t="s">
        <v>0</v>
      </c>
      <c r="E1094" t="s">
        <v>1</v>
      </c>
      <c r="F1094" s="18">
        <v>3046</v>
      </c>
      <c r="G1094" s="18">
        <v>3046</v>
      </c>
      <c r="H1094" t="s">
        <v>2</v>
      </c>
      <c r="I1094" t="s">
        <v>10</v>
      </c>
      <c r="J1094" s="18">
        <v>252513.4</v>
      </c>
      <c r="K1094" t="s">
        <v>3056</v>
      </c>
      <c r="L1094" t="s">
        <v>9</v>
      </c>
      <c r="M1094" t="s">
        <v>3054</v>
      </c>
      <c r="N1094" t="s">
        <v>3</v>
      </c>
      <c r="O1094" t="s">
        <v>3</v>
      </c>
      <c r="P1094" t="s">
        <v>5</v>
      </c>
      <c r="Q1094" t="s">
        <v>3055</v>
      </c>
      <c r="R1094" t="s">
        <v>3</v>
      </c>
      <c r="S1094" t="s">
        <v>3</v>
      </c>
      <c r="T1094" t="s">
        <v>3</v>
      </c>
      <c r="U1094" t="s">
        <v>3</v>
      </c>
      <c r="V1094" t="s">
        <v>3</v>
      </c>
      <c r="W1094" t="s">
        <v>68</v>
      </c>
      <c r="X1094" s="17">
        <v>43519</v>
      </c>
      <c r="Y1094" t="s">
        <v>2378</v>
      </c>
      <c r="Z1094" s="17">
        <v>43418</v>
      </c>
      <c r="AA1094" t="s">
        <v>3</v>
      </c>
      <c r="AB1094" t="s">
        <v>3053</v>
      </c>
    </row>
    <row r="1095" spans="1:28" hidden="1">
      <c r="A1095" t="s">
        <v>3053</v>
      </c>
      <c r="B1095" s="17">
        <v>43418</v>
      </c>
      <c r="C1095" s="17">
        <v>43418</v>
      </c>
      <c r="D1095" t="s">
        <v>0</v>
      </c>
      <c r="E1095" t="s">
        <v>1</v>
      </c>
      <c r="F1095" s="18">
        <v>3634</v>
      </c>
      <c r="G1095" s="18">
        <v>3634</v>
      </c>
      <c r="H1095" t="s">
        <v>2</v>
      </c>
      <c r="I1095" t="s">
        <v>10</v>
      </c>
      <c r="J1095" s="18">
        <v>300895.2</v>
      </c>
      <c r="K1095" t="s">
        <v>3044</v>
      </c>
      <c r="L1095" t="s">
        <v>9</v>
      </c>
      <c r="M1095" t="s">
        <v>3054</v>
      </c>
      <c r="N1095" t="s">
        <v>3</v>
      </c>
      <c r="O1095" t="s">
        <v>3</v>
      </c>
      <c r="P1095" t="s">
        <v>5</v>
      </c>
      <c r="Q1095" t="s">
        <v>3055</v>
      </c>
      <c r="R1095" t="s">
        <v>3</v>
      </c>
      <c r="S1095" t="s">
        <v>3</v>
      </c>
      <c r="T1095" t="s">
        <v>3</v>
      </c>
      <c r="U1095" t="s">
        <v>3</v>
      </c>
      <c r="V1095" t="s">
        <v>3</v>
      </c>
      <c r="W1095" t="s">
        <v>68</v>
      </c>
      <c r="X1095" s="17">
        <v>43646</v>
      </c>
      <c r="Y1095" t="s">
        <v>2502</v>
      </c>
      <c r="Z1095" s="17">
        <v>43418</v>
      </c>
      <c r="AA1095" t="s">
        <v>3</v>
      </c>
      <c r="AB1095" t="s">
        <v>3053</v>
      </c>
    </row>
    <row r="1096" spans="1:28" hidden="1">
      <c r="A1096" t="s">
        <v>3068</v>
      </c>
      <c r="B1096" s="17">
        <v>43418</v>
      </c>
      <c r="C1096" s="17">
        <v>43418</v>
      </c>
      <c r="D1096" t="s">
        <v>0</v>
      </c>
      <c r="E1096" t="s">
        <v>1</v>
      </c>
      <c r="F1096" s="18">
        <v>87776</v>
      </c>
      <c r="G1096" s="18">
        <v>87776</v>
      </c>
      <c r="H1096" t="s">
        <v>2</v>
      </c>
      <c r="I1096" t="s">
        <v>8</v>
      </c>
      <c r="J1096" s="18">
        <v>7276630.4000000004</v>
      </c>
      <c r="K1096" t="s">
        <v>3069</v>
      </c>
      <c r="L1096" t="s">
        <v>9</v>
      </c>
      <c r="M1096" t="s">
        <v>3070</v>
      </c>
      <c r="N1096" t="s">
        <v>3</v>
      </c>
      <c r="O1096" t="s">
        <v>3</v>
      </c>
      <c r="P1096" t="s">
        <v>5</v>
      </c>
      <c r="Q1096" t="s">
        <v>3071</v>
      </c>
      <c r="R1096" t="s">
        <v>3</v>
      </c>
      <c r="S1096" t="s">
        <v>3</v>
      </c>
      <c r="T1096" t="s">
        <v>3</v>
      </c>
      <c r="U1096" t="s">
        <v>3</v>
      </c>
      <c r="V1096" t="s">
        <v>3</v>
      </c>
      <c r="W1096" t="s">
        <v>68</v>
      </c>
      <c r="X1096" s="17">
        <v>43587</v>
      </c>
      <c r="Y1096" t="s">
        <v>2437</v>
      </c>
      <c r="Z1096" s="17">
        <v>43418</v>
      </c>
      <c r="AA1096" t="s">
        <v>3</v>
      </c>
      <c r="AB1096" t="s">
        <v>3068</v>
      </c>
    </row>
    <row r="1097" spans="1:28" hidden="1">
      <c r="A1097" t="s">
        <v>3068</v>
      </c>
      <c r="B1097" s="17">
        <v>43418</v>
      </c>
      <c r="C1097" s="17">
        <v>43418</v>
      </c>
      <c r="D1097" t="s">
        <v>0</v>
      </c>
      <c r="E1097" t="s">
        <v>1</v>
      </c>
      <c r="F1097" s="18">
        <v>67025</v>
      </c>
      <c r="G1097" s="18">
        <v>67025</v>
      </c>
      <c r="H1097" t="s">
        <v>2</v>
      </c>
      <c r="I1097" t="s">
        <v>8</v>
      </c>
      <c r="J1097" s="18">
        <v>5549670</v>
      </c>
      <c r="K1097" t="s">
        <v>3072</v>
      </c>
      <c r="L1097" t="s">
        <v>9</v>
      </c>
      <c r="M1097" t="s">
        <v>3070</v>
      </c>
      <c r="N1097" t="s">
        <v>3</v>
      </c>
      <c r="O1097" t="s">
        <v>3</v>
      </c>
      <c r="P1097" t="s">
        <v>5</v>
      </c>
      <c r="Q1097" t="s">
        <v>3071</v>
      </c>
      <c r="R1097" t="s">
        <v>3</v>
      </c>
      <c r="S1097" t="s">
        <v>3</v>
      </c>
      <c r="T1097" t="s">
        <v>3</v>
      </c>
      <c r="U1097" t="s">
        <v>3</v>
      </c>
      <c r="V1097" t="s">
        <v>3</v>
      </c>
      <c r="W1097" t="s">
        <v>68</v>
      </c>
      <c r="X1097" s="17">
        <v>43677</v>
      </c>
      <c r="Y1097" t="s">
        <v>2964</v>
      </c>
      <c r="Z1097" s="17">
        <v>43418</v>
      </c>
      <c r="AA1097" t="s">
        <v>3</v>
      </c>
      <c r="AB1097" t="s">
        <v>3068</v>
      </c>
    </row>
    <row r="1098" spans="1:28" hidden="1">
      <c r="A1098" t="s">
        <v>3073</v>
      </c>
      <c r="B1098" s="17">
        <v>43422</v>
      </c>
      <c r="C1098" s="17">
        <v>43422</v>
      </c>
      <c r="D1098" t="s">
        <v>0</v>
      </c>
      <c r="E1098" t="s">
        <v>1</v>
      </c>
      <c r="F1098" s="18">
        <v>-97588</v>
      </c>
      <c r="G1098" s="18">
        <v>-97588</v>
      </c>
      <c r="H1098" t="s">
        <v>2</v>
      </c>
      <c r="I1098" t="s">
        <v>8</v>
      </c>
      <c r="J1098" s="18">
        <v>-8090045.2000000002</v>
      </c>
      <c r="K1098" t="s">
        <v>3074</v>
      </c>
      <c r="L1098" t="s">
        <v>9</v>
      </c>
      <c r="M1098" t="s">
        <v>3075</v>
      </c>
      <c r="N1098" t="s">
        <v>3</v>
      </c>
      <c r="O1098" t="s">
        <v>3</v>
      </c>
      <c r="P1098" t="s">
        <v>5</v>
      </c>
      <c r="Q1098" t="s">
        <v>3076</v>
      </c>
      <c r="R1098" t="s">
        <v>3</v>
      </c>
      <c r="S1098" t="s">
        <v>3</v>
      </c>
      <c r="T1098" t="s">
        <v>3</v>
      </c>
      <c r="U1098" t="s">
        <v>3</v>
      </c>
      <c r="V1098" t="s">
        <v>3</v>
      </c>
      <c r="W1098" t="s">
        <v>68</v>
      </c>
      <c r="X1098" s="17">
        <v>43587</v>
      </c>
      <c r="Y1098" t="s">
        <v>2462</v>
      </c>
      <c r="Z1098" s="17">
        <v>43422</v>
      </c>
      <c r="AA1098" t="s">
        <v>3</v>
      </c>
      <c r="AB1098" t="s">
        <v>3073</v>
      </c>
    </row>
    <row r="1099" spans="1:28" hidden="1">
      <c r="A1099" t="s">
        <v>3057</v>
      </c>
      <c r="B1099" s="17">
        <v>43423</v>
      </c>
      <c r="C1099" s="17">
        <v>43423</v>
      </c>
      <c r="D1099" t="s">
        <v>0</v>
      </c>
      <c r="E1099" t="s">
        <v>1</v>
      </c>
      <c r="F1099" s="18">
        <v>16721</v>
      </c>
      <c r="G1099" s="18">
        <v>16721</v>
      </c>
      <c r="H1099" t="s">
        <v>2</v>
      </c>
      <c r="I1099" t="s">
        <v>10</v>
      </c>
      <c r="J1099" s="18">
        <v>1384498.8</v>
      </c>
      <c r="K1099" t="s">
        <v>3041</v>
      </c>
      <c r="L1099" t="s">
        <v>9</v>
      </c>
      <c r="M1099" t="s">
        <v>3058</v>
      </c>
      <c r="N1099" t="s">
        <v>3</v>
      </c>
      <c r="O1099" t="s">
        <v>3</v>
      </c>
      <c r="P1099" t="s">
        <v>5</v>
      </c>
      <c r="Q1099" t="s">
        <v>3059</v>
      </c>
      <c r="R1099" t="s">
        <v>3</v>
      </c>
      <c r="S1099" t="s">
        <v>3</v>
      </c>
      <c r="T1099" t="s">
        <v>3</v>
      </c>
      <c r="U1099" t="s">
        <v>3</v>
      </c>
      <c r="V1099" t="s">
        <v>3</v>
      </c>
      <c r="W1099" t="s">
        <v>68</v>
      </c>
      <c r="X1099" s="17">
        <v>43646</v>
      </c>
      <c r="Y1099" t="s">
        <v>2499</v>
      </c>
      <c r="Z1099" s="17">
        <v>43423</v>
      </c>
      <c r="AA1099" t="s">
        <v>3</v>
      </c>
      <c r="AB1099" t="s">
        <v>3057</v>
      </c>
    </row>
    <row r="1100" spans="1:28" hidden="1">
      <c r="A1100" t="s">
        <v>3057</v>
      </c>
      <c r="B1100" s="17">
        <v>43423</v>
      </c>
      <c r="C1100" s="17">
        <v>43423</v>
      </c>
      <c r="D1100" t="s">
        <v>0</v>
      </c>
      <c r="E1100" t="s">
        <v>1</v>
      </c>
      <c r="F1100" s="18">
        <v>65344</v>
      </c>
      <c r="G1100" s="18">
        <v>65344</v>
      </c>
      <c r="H1100" t="s">
        <v>2</v>
      </c>
      <c r="I1100" t="s">
        <v>10</v>
      </c>
      <c r="J1100" s="18">
        <v>5417017.5999999996</v>
      </c>
      <c r="K1100" t="s">
        <v>3056</v>
      </c>
      <c r="L1100" t="s">
        <v>9</v>
      </c>
      <c r="M1100" t="s">
        <v>3058</v>
      </c>
      <c r="N1100" t="s">
        <v>3</v>
      </c>
      <c r="O1100" t="s">
        <v>3</v>
      </c>
      <c r="P1100" t="s">
        <v>5</v>
      </c>
      <c r="Q1100" t="s">
        <v>3059</v>
      </c>
      <c r="R1100" t="s">
        <v>3</v>
      </c>
      <c r="S1100" t="s">
        <v>3</v>
      </c>
      <c r="T1100" t="s">
        <v>3</v>
      </c>
      <c r="U1100" t="s">
        <v>3</v>
      </c>
      <c r="V1100" t="s">
        <v>3</v>
      </c>
      <c r="W1100" t="s">
        <v>68</v>
      </c>
      <c r="X1100" s="17">
        <v>43519</v>
      </c>
      <c r="Y1100" t="s">
        <v>2378</v>
      </c>
      <c r="Z1100" s="17">
        <v>43423</v>
      </c>
      <c r="AA1100" t="s">
        <v>3</v>
      </c>
      <c r="AB1100" t="s">
        <v>3057</v>
      </c>
    </row>
    <row r="1101" spans="1:28" hidden="1">
      <c r="A1101" t="s">
        <v>3057</v>
      </c>
      <c r="B1101" s="17">
        <v>43423</v>
      </c>
      <c r="C1101" s="17">
        <v>43423</v>
      </c>
      <c r="D1101" t="s">
        <v>0</v>
      </c>
      <c r="E1101" t="s">
        <v>1</v>
      </c>
      <c r="F1101" s="18">
        <v>2563</v>
      </c>
      <c r="G1101" s="18">
        <v>2563</v>
      </c>
      <c r="H1101" t="s">
        <v>2</v>
      </c>
      <c r="I1101" t="s">
        <v>10</v>
      </c>
      <c r="J1101" s="18">
        <v>212216.4</v>
      </c>
      <c r="K1101" t="s">
        <v>3044</v>
      </c>
      <c r="L1101" t="s">
        <v>9</v>
      </c>
      <c r="M1101" t="s">
        <v>3058</v>
      </c>
      <c r="N1101" t="s">
        <v>3</v>
      </c>
      <c r="O1101" t="s">
        <v>3</v>
      </c>
      <c r="P1101" t="s">
        <v>5</v>
      </c>
      <c r="Q1101" t="s">
        <v>3059</v>
      </c>
      <c r="R1101" t="s">
        <v>3</v>
      </c>
      <c r="S1101" t="s">
        <v>3</v>
      </c>
      <c r="T1101" t="s">
        <v>3</v>
      </c>
      <c r="U1101" t="s">
        <v>3</v>
      </c>
      <c r="V1101" t="s">
        <v>3</v>
      </c>
      <c r="W1101" t="s">
        <v>68</v>
      </c>
      <c r="X1101" s="17">
        <v>43646</v>
      </c>
      <c r="Y1101" t="s">
        <v>2502</v>
      </c>
      <c r="Z1101" s="17">
        <v>43423</v>
      </c>
      <c r="AA1101" t="s">
        <v>3</v>
      </c>
      <c r="AB1101" t="s">
        <v>3057</v>
      </c>
    </row>
    <row r="1102" spans="1:28" hidden="1">
      <c r="A1102" t="s">
        <v>3057</v>
      </c>
      <c r="B1102" s="17">
        <v>43423</v>
      </c>
      <c r="C1102" s="17">
        <v>43423</v>
      </c>
      <c r="D1102" t="s">
        <v>0</v>
      </c>
      <c r="E1102" t="s">
        <v>1</v>
      </c>
      <c r="F1102" s="18">
        <v>27653</v>
      </c>
      <c r="G1102" s="18">
        <v>27653</v>
      </c>
      <c r="H1102" t="s">
        <v>2</v>
      </c>
      <c r="I1102" t="s">
        <v>10</v>
      </c>
      <c r="J1102" s="18">
        <v>2292433.7000000002</v>
      </c>
      <c r="K1102" t="s">
        <v>3045</v>
      </c>
      <c r="L1102" t="s">
        <v>9</v>
      </c>
      <c r="M1102" t="s">
        <v>3058</v>
      </c>
      <c r="N1102" t="s">
        <v>3</v>
      </c>
      <c r="O1102" t="s">
        <v>3</v>
      </c>
      <c r="P1102" t="s">
        <v>5</v>
      </c>
      <c r="Q1102" t="s">
        <v>3059</v>
      </c>
      <c r="R1102" t="s">
        <v>3</v>
      </c>
      <c r="S1102" t="s">
        <v>3</v>
      </c>
      <c r="T1102" t="s">
        <v>3</v>
      </c>
      <c r="U1102" t="s">
        <v>3</v>
      </c>
      <c r="V1102" t="s">
        <v>3</v>
      </c>
      <c r="W1102" t="s">
        <v>68</v>
      </c>
      <c r="X1102" s="17">
        <v>43519</v>
      </c>
      <c r="Y1102" t="s">
        <v>2393</v>
      </c>
      <c r="Z1102" s="17">
        <v>43423</v>
      </c>
      <c r="AA1102" t="s">
        <v>3</v>
      </c>
      <c r="AB1102" t="s">
        <v>3057</v>
      </c>
    </row>
    <row r="1103" spans="1:28" hidden="1">
      <c r="A1103" t="s">
        <v>3077</v>
      </c>
      <c r="B1103" s="17">
        <v>43424</v>
      </c>
      <c r="C1103" s="17">
        <v>43424</v>
      </c>
      <c r="D1103" t="s">
        <v>0</v>
      </c>
      <c r="E1103" t="s">
        <v>1</v>
      </c>
      <c r="F1103" s="18">
        <v>8474</v>
      </c>
      <c r="G1103" s="18">
        <v>8474</v>
      </c>
      <c r="H1103" t="s">
        <v>2</v>
      </c>
      <c r="I1103" t="s">
        <v>8</v>
      </c>
      <c r="J1103" s="18">
        <v>702494.6</v>
      </c>
      <c r="K1103" t="s">
        <v>3078</v>
      </c>
      <c r="L1103" t="s">
        <v>9</v>
      </c>
      <c r="M1103" t="s">
        <v>3079</v>
      </c>
      <c r="N1103" t="s">
        <v>3</v>
      </c>
      <c r="O1103" t="s">
        <v>3</v>
      </c>
      <c r="P1103" t="s">
        <v>5</v>
      </c>
      <c r="Q1103" t="s">
        <v>3080</v>
      </c>
      <c r="R1103" t="s">
        <v>3</v>
      </c>
      <c r="S1103" t="s">
        <v>3</v>
      </c>
      <c r="T1103" t="s">
        <v>3</v>
      </c>
      <c r="U1103" t="s">
        <v>3</v>
      </c>
      <c r="V1103" t="s">
        <v>3</v>
      </c>
      <c r="W1103" t="s">
        <v>68</v>
      </c>
      <c r="X1103" s="17">
        <v>43587</v>
      </c>
      <c r="Y1103" t="s">
        <v>2462</v>
      </c>
      <c r="Z1103" s="17">
        <v>43424</v>
      </c>
      <c r="AA1103" t="s">
        <v>3</v>
      </c>
      <c r="AB1103" t="s">
        <v>3077</v>
      </c>
    </row>
    <row r="1104" spans="1:28" hidden="1">
      <c r="A1104" t="s">
        <v>3092</v>
      </c>
      <c r="B1104" s="17">
        <v>43424</v>
      </c>
      <c r="C1104" s="17">
        <v>43424</v>
      </c>
      <c r="D1104" t="s">
        <v>0</v>
      </c>
      <c r="E1104" t="s">
        <v>1</v>
      </c>
      <c r="F1104" s="18">
        <v>25965</v>
      </c>
      <c r="G1104" s="18">
        <v>25965</v>
      </c>
      <c r="H1104" t="s">
        <v>2</v>
      </c>
      <c r="I1104" t="s">
        <v>8</v>
      </c>
      <c r="J1104" s="18">
        <v>2149902</v>
      </c>
      <c r="K1104" t="s">
        <v>3086</v>
      </c>
      <c r="L1104" t="s">
        <v>9</v>
      </c>
      <c r="M1104" t="s">
        <v>3093</v>
      </c>
      <c r="N1104" t="s">
        <v>3</v>
      </c>
      <c r="O1104" t="s">
        <v>3</v>
      </c>
      <c r="P1104" t="s">
        <v>5</v>
      </c>
      <c r="Q1104" t="s">
        <v>3094</v>
      </c>
      <c r="R1104" t="s">
        <v>3</v>
      </c>
      <c r="S1104" t="s">
        <v>3</v>
      </c>
      <c r="T1104" t="s">
        <v>3</v>
      </c>
      <c r="U1104" t="s">
        <v>3</v>
      </c>
      <c r="V1104" t="s">
        <v>3</v>
      </c>
      <c r="W1104" t="s">
        <v>68</v>
      </c>
      <c r="X1104" s="17">
        <v>43587</v>
      </c>
      <c r="Y1104" t="s">
        <v>2428</v>
      </c>
      <c r="Z1104" s="17">
        <v>43424</v>
      </c>
      <c r="AA1104" t="s">
        <v>3</v>
      </c>
      <c r="AB1104" t="s">
        <v>3092</v>
      </c>
    </row>
    <row r="1105" spans="1:28" hidden="1">
      <c r="A1105" t="s">
        <v>3095</v>
      </c>
      <c r="B1105" s="17">
        <v>43424</v>
      </c>
      <c r="C1105" s="17">
        <v>43424</v>
      </c>
      <c r="D1105" t="s">
        <v>0</v>
      </c>
      <c r="E1105" t="s">
        <v>1</v>
      </c>
      <c r="F1105" s="18">
        <v>31815</v>
      </c>
      <c r="G1105" s="18">
        <v>31815</v>
      </c>
      <c r="H1105" t="s">
        <v>2</v>
      </c>
      <c r="I1105" t="s">
        <v>8</v>
      </c>
      <c r="J1105" s="18">
        <v>2637463.5</v>
      </c>
      <c r="K1105" t="s">
        <v>3089</v>
      </c>
      <c r="L1105" t="s">
        <v>9</v>
      </c>
      <c r="M1105" t="s">
        <v>3096</v>
      </c>
      <c r="N1105" t="s">
        <v>3</v>
      </c>
      <c r="O1105" t="s">
        <v>3</v>
      </c>
      <c r="P1105" t="s">
        <v>5</v>
      </c>
      <c r="Q1105" t="s">
        <v>3097</v>
      </c>
      <c r="R1105" t="s">
        <v>3</v>
      </c>
      <c r="S1105" t="s">
        <v>3</v>
      </c>
      <c r="T1105" t="s">
        <v>3</v>
      </c>
      <c r="U1105" t="s">
        <v>3</v>
      </c>
      <c r="V1105" t="s">
        <v>3</v>
      </c>
      <c r="W1105" t="s">
        <v>68</v>
      </c>
      <c r="X1105" s="17">
        <v>43587</v>
      </c>
      <c r="Y1105" t="s">
        <v>2437</v>
      </c>
      <c r="Z1105" s="17">
        <v>43424</v>
      </c>
      <c r="AA1105" t="s">
        <v>3</v>
      </c>
      <c r="AB1105" t="s">
        <v>3095</v>
      </c>
    </row>
    <row r="1106" spans="1:28" hidden="1">
      <c r="A1106" t="s">
        <v>3060</v>
      </c>
      <c r="B1106" s="17">
        <v>43426</v>
      </c>
      <c r="C1106" s="17">
        <v>43426</v>
      </c>
      <c r="D1106" t="s">
        <v>0</v>
      </c>
      <c r="E1106" t="s">
        <v>1</v>
      </c>
      <c r="F1106" s="18">
        <v>-13887</v>
      </c>
      <c r="G1106" s="18">
        <v>-13887</v>
      </c>
      <c r="H1106" t="s">
        <v>2</v>
      </c>
      <c r="I1106" t="s">
        <v>10</v>
      </c>
      <c r="J1106" s="18">
        <v>-1151232.3</v>
      </c>
      <c r="K1106" t="s">
        <v>3061</v>
      </c>
      <c r="L1106" t="s">
        <v>9</v>
      </c>
      <c r="M1106" t="s">
        <v>3062</v>
      </c>
      <c r="N1106" t="s">
        <v>3</v>
      </c>
      <c r="O1106" t="s">
        <v>3</v>
      </c>
      <c r="P1106" t="s">
        <v>5</v>
      </c>
      <c r="Q1106" t="s">
        <v>3063</v>
      </c>
      <c r="R1106" t="s">
        <v>3</v>
      </c>
      <c r="S1106" t="s">
        <v>3</v>
      </c>
      <c r="T1106" t="s">
        <v>3</v>
      </c>
      <c r="U1106" t="s">
        <v>3</v>
      </c>
      <c r="V1106" t="s">
        <v>3</v>
      </c>
      <c r="W1106" t="s">
        <v>68</v>
      </c>
      <c r="X1106" s="17">
        <v>43522</v>
      </c>
      <c r="Y1106" t="s">
        <v>2411</v>
      </c>
      <c r="Z1106" s="17">
        <v>43426</v>
      </c>
      <c r="AA1106" t="s">
        <v>3</v>
      </c>
      <c r="AB1106" t="s">
        <v>3060</v>
      </c>
    </row>
    <row r="1107" spans="1:28" hidden="1">
      <c r="A1107" t="s">
        <v>3081</v>
      </c>
      <c r="B1107" s="17">
        <v>43426</v>
      </c>
      <c r="C1107" s="17">
        <v>43426</v>
      </c>
      <c r="D1107" t="s">
        <v>0</v>
      </c>
      <c r="E1107" t="s">
        <v>1</v>
      </c>
      <c r="F1107" s="18">
        <v>6587</v>
      </c>
      <c r="G1107" s="18">
        <v>6587</v>
      </c>
      <c r="H1107" t="s">
        <v>2</v>
      </c>
      <c r="I1107" t="s">
        <v>8</v>
      </c>
      <c r="J1107" s="18">
        <v>546062.30000000005</v>
      </c>
      <c r="K1107" t="s">
        <v>3082</v>
      </c>
      <c r="L1107" t="s">
        <v>9</v>
      </c>
      <c r="M1107" t="s">
        <v>3083</v>
      </c>
      <c r="N1107" t="s">
        <v>3</v>
      </c>
      <c r="O1107" t="s">
        <v>3</v>
      </c>
      <c r="P1107" t="s">
        <v>5</v>
      </c>
      <c r="Q1107" t="s">
        <v>3084</v>
      </c>
      <c r="R1107" t="s">
        <v>3</v>
      </c>
      <c r="S1107" t="s">
        <v>3</v>
      </c>
      <c r="T1107" t="s">
        <v>3</v>
      </c>
      <c r="U1107" t="s">
        <v>3</v>
      </c>
      <c r="V1107" t="s">
        <v>3</v>
      </c>
      <c r="W1107" t="s">
        <v>68</v>
      </c>
      <c r="X1107" s="17">
        <v>43587</v>
      </c>
      <c r="Y1107" t="s">
        <v>2462</v>
      </c>
      <c r="Z1107" s="17">
        <v>43426</v>
      </c>
      <c r="AA1107" t="s">
        <v>3</v>
      </c>
      <c r="AB1107" t="s">
        <v>3081</v>
      </c>
    </row>
    <row r="1108" spans="1:28" hidden="1">
      <c r="A1108" t="s">
        <v>3085</v>
      </c>
      <c r="B1108" s="17">
        <v>43429</v>
      </c>
      <c r="C1108" s="17">
        <v>43429</v>
      </c>
      <c r="D1108" t="s">
        <v>0</v>
      </c>
      <c r="E1108" t="s">
        <v>1</v>
      </c>
      <c r="F1108" s="18">
        <v>407088</v>
      </c>
      <c r="G1108" s="18">
        <v>407088</v>
      </c>
      <c r="H1108" t="s">
        <v>2</v>
      </c>
      <c r="I1108" t="s">
        <v>8</v>
      </c>
      <c r="J1108" s="18">
        <v>33706886.399999999</v>
      </c>
      <c r="K1108" t="s">
        <v>3086</v>
      </c>
      <c r="L1108" t="s">
        <v>9</v>
      </c>
      <c r="M1108" t="s">
        <v>3087</v>
      </c>
      <c r="N1108" t="s">
        <v>3</v>
      </c>
      <c r="O1108" t="s">
        <v>3</v>
      </c>
      <c r="P1108" t="s">
        <v>5</v>
      </c>
      <c r="Q1108" t="s">
        <v>3088</v>
      </c>
      <c r="R1108" t="s">
        <v>3</v>
      </c>
      <c r="S1108" t="s">
        <v>3</v>
      </c>
      <c r="T1108" t="s">
        <v>3</v>
      </c>
      <c r="U1108" t="s">
        <v>3</v>
      </c>
      <c r="V1108" t="s">
        <v>3</v>
      </c>
      <c r="W1108" t="s">
        <v>68</v>
      </c>
      <c r="X1108" s="17">
        <v>43587</v>
      </c>
      <c r="Y1108" t="s">
        <v>2428</v>
      </c>
      <c r="Z1108" s="17">
        <v>43429</v>
      </c>
      <c r="AA1108" t="s">
        <v>3</v>
      </c>
      <c r="AB1108" t="s">
        <v>3085</v>
      </c>
    </row>
    <row r="1109" spans="1:28" hidden="1">
      <c r="A1109" t="s">
        <v>3085</v>
      </c>
      <c r="B1109" s="17">
        <v>43429</v>
      </c>
      <c r="C1109" s="17">
        <v>43429</v>
      </c>
      <c r="D1109" t="s">
        <v>0</v>
      </c>
      <c r="E1109" t="s">
        <v>1</v>
      </c>
      <c r="F1109" s="18">
        <v>172894</v>
      </c>
      <c r="G1109" s="18">
        <v>172894</v>
      </c>
      <c r="H1109" t="s">
        <v>2</v>
      </c>
      <c r="I1109" t="s">
        <v>8</v>
      </c>
      <c r="J1109" s="18">
        <v>14332912.6</v>
      </c>
      <c r="K1109" t="s">
        <v>3089</v>
      </c>
      <c r="L1109" t="s">
        <v>9</v>
      </c>
      <c r="M1109" t="s">
        <v>3087</v>
      </c>
      <c r="N1109" t="s">
        <v>3</v>
      </c>
      <c r="O1109" t="s">
        <v>3</v>
      </c>
      <c r="P1109" t="s">
        <v>5</v>
      </c>
      <c r="Q1109" t="s">
        <v>3088</v>
      </c>
      <c r="R1109" t="s">
        <v>3</v>
      </c>
      <c r="S1109" t="s">
        <v>3</v>
      </c>
      <c r="T1109" t="s">
        <v>3</v>
      </c>
      <c r="U1109" t="s">
        <v>3</v>
      </c>
      <c r="V1109" t="s">
        <v>3</v>
      </c>
      <c r="W1109" t="s">
        <v>68</v>
      </c>
      <c r="X1109" s="17">
        <v>43587</v>
      </c>
      <c r="Y1109" t="s">
        <v>2437</v>
      </c>
      <c r="Z1109" s="17">
        <v>43429</v>
      </c>
      <c r="AA1109" t="s">
        <v>3</v>
      </c>
      <c r="AB1109" t="s">
        <v>3085</v>
      </c>
    </row>
    <row r="1110" spans="1:28" hidden="1">
      <c r="A1110" t="s">
        <v>3085</v>
      </c>
      <c r="B1110" s="17">
        <v>43429</v>
      </c>
      <c r="C1110" s="17">
        <v>43429</v>
      </c>
      <c r="D1110" t="s">
        <v>0</v>
      </c>
      <c r="E1110" t="s">
        <v>1</v>
      </c>
      <c r="F1110" s="18">
        <v>90487</v>
      </c>
      <c r="G1110" s="18">
        <v>90487</v>
      </c>
      <c r="H1110" t="s">
        <v>2</v>
      </c>
      <c r="I1110" t="s">
        <v>8</v>
      </c>
      <c r="J1110" s="18">
        <v>7492323.5999999996</v>
      </c>
      <c r="K1110" t="s">
        <v>3090</v>
      </c>
      <c r="L1110" t="s">
        <v>9</v>
      </c>
      <c r="M1110" t="s">
        <v>3087</v>
      </c>
      <c r="N1110" t="s">
        <v>3</v>
      </c>
      <c r="O1110" t="s">
        <v>3</v>
      </c>
      <c r="P1110" t="s">
        <v>5</v>
      </c>
      <c r="Q1110" t="s">
        <v>3088</v>
      </c>
      <c r="R1110" t="s">
        <v>3</v>
      </c>
      <c r="S1110" t="s">
        <v>3</v>
      </c>
      <c r="T1110" t="s">
        <v>3</v>
      </c>
      <c r="U1110" t="s">
        <v>3</v>
      </c>
      <c r="V1110" t="s">
        <v>3</v>
      </c>
      <c r="W1110" t="s">
        <v>68</v>
      </c>
      <c r="X1110" s="17">
        <v>43587</v>
      </c>
      <c r="Y1110" t="s">
        <v>2446</v>
      </c>
      <c r="Z1110" s="17">
        <v>43429</v>
      </c>
      <c r="AA1110" t="s">
        <v>3</v>
      </c>
      <c r="AB1110" t="s">
        <v>3085</v>
      </c>
    </row>
    <row r="1111" spans="1:28" hidden="1">
      <c r="A1111" t="s">
        <v>3085</v>
      </c>
      <c r="B1111" s="17">
        <v>43429</v>
      </c>
      <c r="C1111" s="17">
        <v>43429</v>
      </c>
      <c r="D1111" t="s">
        <v>0</v>
      </c>
      <c r="E1111" t="s">
        <v>1</v>
      </c>
      <c r="F1111" s="18">
        <v>31580</v>
      </c>
      <c r="G1111" s="18">
        <v>31580</v>
      </c>
      <c r="H1111" t="s">
        <v>2</v>
      </c>
      <c r="I1111" t="s">
        <v>8</v>
      </c>
      <c r="J1111" s="18">
        <v>2614824</v>
      </c>
      <c r="K1111" t="s">
        <v>3091</v>
      </c>
      <c r="L1111" t="s">
        <v>9</v>
      </c>
      <c r="M1111" t="s">
        <v>3087</v>
      </c>
      <c r="N1111" t="s">
        <v>3</v>
      </c>
      <c r="O1111" t="s">
        <v>3</v>
      </c>
      <c r="P1111" t="s">
        <v>5</v>
      </c>
      <c r="Q1111" t="s">
        <v>3088</v>
      </c>
      <c r="R1111" t="s">
        <v>3</v>
      </c>
      <c r="S1111" t="s">
        <v>3</v>
      </c>
      <c r="T1111" t="s">
        <v>3</v>
      </c>
      <c r="U1111" t="s">
        <v>3</v>
      </c>
      <c r="V1111" t="s">
        <v>3</v>
      </c>
      <c r="W1111" t="s">
        <v>68</v>
      </c>
      <c r="X1111" s="17">
        <v>43587</v>
      </c>
      <c r="Y1111" t="s">
        <v>2468</v>
      </c>
      <c r="Z1111" s="17">
        <v>43429</v>
      </c>
      <c r="AA1111" t="s">
        <v>3</v>
      </c>
      <c r="AB1111" t="s">
        <v>3085</v>
      </c>
    </row>
    <row r="1112" spans="1:28" hidden="1">
      <c r="A1112" t="s">
        <v>3098</v>
      </c>
      <c r="B1112" s="17">
        <v>43429</v>
      </c>
      <c r="C1112" s="17">
        <v>43429</v>
      </c>
      <c r="D1112" t="s">
        <v>0</v>
      </c>
      <c r="E1112" t="s">
        <v>1</v>
      </c>
      <c r="F1112" s="18">
        <v>-21127</v>
      </c>
      <c r="G1112" s="18">
        <v>-21127</v>
      </c>
      <c r="H1112" t="s">
        <v>2</v>
      </c>
      <c r="I1112" t="s">
        <v>10</v>
      </c>
      <c r="J1112" s="18">
        <v>-1751428.3</v>
      </c>
      <c r="K1112" t="s">
        <v>3099</v>
      </c>
      <c r="L1112" t="s">
        <v>9</v>
      </c>
      <c r="M1112" t="s">
        <v>3100</v>
      </c>
      <c r="N1112" t="s">
        <v>3</v>
      </c>
      <c r="O1112" t="s">
        <v>3</v>
      </c>
      <c r="P1112" t="s">
        <v>5</v>
      </c>
      <c r="Q1112" t="s">
        <v>3101</v>
      </c>
      <c r="R1112" t="s">
        <v>3</v>
      </c>
      <c r="S1112" t="s">
        <v>3</v>
      </c>
      <c r="T1112" t="s">
        <v>3</v>
      </c>
      <c r="U1112" t="s">
        <v>3</v>
      </c>
      <c r="V1112" t="s">
        <v>3</v>
      </c>
      <c r="W1112" t="s">
        <v>68</v>
      </c>
      <c r="X1112" s="17">
        <v>43522</v>
      </c>
      <c r="Y1112" t="s">
        <v>2408</v>
      </c>
      <c r="Z1112" s="17">
        <v>43429</v>
      </c>
      <c r="AA1112" t="s">
        <v>3</v>
      </c>
      <c r="AB1112" t="s">
        <v>3098</v>
      </c>
    </row>
    <row r="1113" spans="1:28" hidden="1">
      <c r="A1113" t="s">
        <v>3102</v>
      </c>
      <c r="B1113" s="17">
        <v>43432</v>
      </c>
      <c r="C1113" s="17">
        <v>43432</v>
      </c>
      <c r="D1113" t="s">
        <v>0</v>
      </c>
      <c r="E1113" t="s">
        <v>1</v>
      </c>
      <c r="F1113" s="18">
        <v>7260</v>
      </c>
      <c r="G1113" s="18">
        <v>7260</v>
      </c>
      <c r="H1113" t="s">
        <v>2</v>
      </c>
      <c r="I1113" t="s">
        <v>10</v>
      </c>
      <c r="J1113" s="18">
        <v>601854</v>
      </c>
      <c r="K1113" t="s">
        <v>3103</v>
      </c>
      <c r="L1113" t="s">
        <v>9</v>
      </c>
      <c r="M1113" t="s">
        <v>3104</v>
      </c>
      <c r="N1113" t="s">
        <v>3</v>
      </c>
      <c r="O1113" t="s">
        <v>3</v>
      </c>
      <c r="P1113" t="s">
        <v>5</v>
      </c>
      <c r="Q1113" t="s">
        <v>3105</v>
      </c>
      <c r="R1113" t="s">
        <v>3</v>
      </c>
      <c r="S1113" t="s">
        <v>3</v>
      </c>
      <c r="T1113" t="s">
        <v>3</v>
      </c>
      <c r="U1113" t="s">
        <v>3</v>
      </c>
      <c r="V1113" t="s">
        <v>3</v>
      </c>
      <c r="W1113" t="s">
        <v>68</v>
      </c>
      <c r="X1113" s="17">
        <v>43646</v>
      </c>
      <c r="Y1113" t="s">
        <v>2495</v>
      </c>
      <c r="Z1113" s="17">
        <v>43432</v>
      </c>
      <c r="AA1113" t="s">
        <v>3</v>
      </c>
      <c r="AB1113" t="s">
        <v>3102</v>
      </c>
    </row>
    <row r="1114" spans="1:28" hidden="1">
      <c r="A1114" t="s">
        <v>3102</v>
      </c>
      <c r="B1114" s="17">
        <v>43432</v>
      </c>
      <c r="C1114" s="17">
        <v>43432</v>
      </c>
      <c r="D1114" t="s">
        <v>0</v>
      </c>
      <c r="E1114" t="s">
        <v>1</v>
      </c>
      <c r="F1114" s="18">
        <v>10560</v>
      </c>
      <c r="G1114" s="18">
        <v>10560</v>
      </c>
      <c r="H1114" t="s">
        <v>2</v>
      </c>
      <c r="I1114" t="s">
        <v>10</v>
      </c>
      <c r="J1114" s="18">
        <v>874368</v>
      </c>
      <c r="K1114" t="s">
        <v>3106</v>
      </c>
      <c r="L1114" t="s">
        <v>9</v>
      </c>
      <c r="M1114" t="s">
        <v>3104</v>
      </c>
      <c r="N1114" t="s">
        <v>3</v>
      </c>
      <c r="O1114" t="s">
        <v>3</v>
      </c>
      <c r="P1114" t="s">
        <v>5</v>
      </c>
      <c r="Q1114" t="s">
        <v>3105</v>
      </c>
      <c r="R1114" t="s">
        <v>3</v>
      </c>
      <c r="S1114" t="s">
        <v>3</v>
      </c>
      <c r="T1114" t="s">
        <v>3</v>
      </c>
      <c r="U1114" t="s">
        <v>3</v>
      </c>
      <c r="V1114" t="s">
        <v>3</v>
      </c>
      <c r="W1114" t="s">
        <v>68</v>
      </c>
      <c r="X1114" s="17">
        <v>43646</v>
      </c>
      <c r="Y1114" t="s">
        <v>2499</v>
      </c>
      <c r="Z1114" s="17">
        <v>43432</v>
      </c>
      <c r="AA1114" t="s">
        <v>3</v>
      </c>
      <c r="AB1114" t="s">
        <v>3102</v>
      </c>
    </row>
    <row r="1115" spans="1:28" hidden="1">
      <c r="A1115" t="s">
        <v>3102</v>
      </c>
      <c r="B1115" s="17">
        <v>43432</v>
      </c>
      <c r="C1115" s="17">
        <v>43432</v>
      </c>
      <c r="D1115" t="s">
        <v>0</v>
      </c>
      <c r="E1115" t="s">
        <v>1</v>
      </c>
      <c r="F1115" s="18">
        <v>17269</v>
      </c>
      <c r="G1115" s="18">
        <v>17269</v>
      </c>
      <c r="H1115" t="s">
        <v>2</v>
      </c>
      <c r="I1115" t="s">
        <v>10</v>
      </c>
      <c r="J1115" s="18">
        <v>1429873.2</v>
      </c>
      <c r="K1115" t="s">
        <v>3107</v>
      </c>
      <c r="L1115" t="s">
        <v>9</v>
      </c>
      <c r="M1115" t="s">
        <v>3104</v>
      </c>
      <c r="N1115" t="s">
        <v>3</v>
      </c>
      <c r="O1115" t="s">
        <v>3</v>
      </c>
      <c r="P1115" t="s">
        <v>5</v>
      </c>
      <c r="Q1115" t="s">
        <v>3105</v>
      </c>
      <c r="R1115" t="s">
        <v>3</v>
      </c>
      <c r="S1115" t="s">
        <v>3</v>
      </c>
      <c r="T1115" t="s">
        <v>3</v>
      </c>
      <c r="U1115" t="s">
        <v>3</v>
      </c>
      <c r="V1115" t="s">
        <v>3</v>
      </c>
      <c r="W1115" t="s">
        <v>68</v>
      </c>
      <c r="X1115" s="17">
        <v>43646</v>
      </c>
      <c r="Y1115" t="s">
        <v>2502</v>
      </c>
      <c r="Z1115" s="17">
        <v>43432</v>
      </c>
      <c r="AA1115" t="s">
        <v>3</v>
      </c>
      <c r="AB1115" t="s">
        <v>3102</v>
      </c>
    </row>
    <row r="1116" spans="1:28" hidden="1">
      <c r="A1116" t="s">
        <v>3108</v>
      </c>
      <c r="B1116" s="17">
        <v>43434</v>
      </c>
      <c r="C1116" s="17">
        <v>43434</v>
      </c>
      <c r="D1116" t="s">
        <v>0</v>
      </c>
      <c r="E1116" t="s">
        <v>1</v>
      </c>
      <c r="F1116" s="18">
        <v>176784</v>
      </c>
      <c r="G1116" s="18">
        <v>176784</v>
      </c>
      <c r="H1116" t="s">
        <v>2</v>
      </c>
      <c r="I1116" t="s">
        <v>8</v>
      </c>
      <c r="J1116" s="18">
        <v>14655393.6</v>
      </c>
      <c r="K1116" t="s">
        <v>2224</v>
      </c>
      <c r="L1116" t="s">
        <v>9</v>
      </c>
      <c r="M1116" t="s">
        <v>2225</v>
      </c>
      <c r="N1116" t="s">
        <v>3</v>
      </c>
      <c r="O1116" t="s">
        <v>3</v>
      </c>
      <c r="P1116" t="s">
        <v>5</v>
      </c>
      <c r="Q1116" t="s">
        <v>2226</v>
      </c>
      <c r="R1116" t="s">
        <v>3</v>
      </c>
      <c r="S1116" t="s">
        <v>3</v>
      </c>
      <c r="T1116" t="s">
        <v>3</v>
      </c>
      <c r="U1116" t="s">
        <v>3</v>
      </c>
      <c r="V1116" t="s">
        <v>3</v>
      </c>
      <c r="W1116" t="s">
        <v>68</v>
      </c>
      <c r="X1116" s="17">
        <v>43435</v>
      </c>
      <c r="Y1116" t="s">
        <v>2223</v>
      </c>
      <c r="Z1116" s="17">
        <v>43434</v>
      </c>
      <c r="AA1116" t="s">
        <v>3</v>
      </c>
      <c r="AB1116" t="s">
        <v>3108</v>
      </c>
    </row>
    <row r="1117" spans="1:28" hidden="1">
      <c r="A1117" t="s">
        <v>3108</v>
      </c>
      <c r="B1117" s="17">
        <v>43434</v>
      </c>
      <c r="C1117" s="17">
        <v>43434</v>
      </c>
      <c r="D1117" t="s">
        <v>0</v>
      </c>
      <c r="E1117" t="s">
        <v>1</v>
      </c>
      <c r="F1117" s="18">
        <v>-1144527</v>
      </c>
      <c r="G1117" s="18">
        <v>-1144527</v>
      </c>
      <c r="H1117" t="s">
        <v>2</v>
      </c>
      <c r="I1117" t="s">
        <v>8</v>
      </c>
      <c r="J1117" s="18">
        <v>-94881288.299999997</v>
      </c>
      <c r="K1117" t="s">
        <v>2224</v>
      </c>
      <c r="L1117" t="s">
        <v>9</v>
      </c>
      <c r="M1117" t="s">
        <v>2225</v>
      </c>
      <c r="N1117" t="s">
        <v>3</v>
      </c>
      <c r="O1117" t="s">
        <v>3</v>
      </c>
      <c r="P1117" t="s">
        <v>5</v>
      </c>
      <c r="Q1117" t="s">
        <v>2226</v>
      </c>
      <c r="R1117" t="s">
        <v>3</v>
      </c>
      <c r="S1117" t="s">
        <v>3</v>
      </c>
      <c r="T1117" t="s">
        <v>3</v>
      </c>
      <c r="U1117" t="s">
        <v>3</v>
      </c>
      <c r="V1117" t="s">
        <v>3</v>
      </c>
      <c r="W1117" t="s">
        <v>68</v>
      </c>
      <c r="X1117" s="17">
        <v>43435</v>
      </c>
      <c r="Y1117" t="s">
        <v>2223</v>
      </c>
      <c r="Z1117" s="17">
        <v>43434</v>
      </c>
      <c r="AA1117" t="s">
        <v>3</v>
      </c>
      <c r="AB1117" t="s">
        <v>3108</v>
      </c>
    </row>
    <row r="1118" spans="1:28" hidden="1">
      <c r="A1118" t="s">
        <v>3109</v>
      </c>
      <c r="B1118" s="17">
        <v>43434</v>
      </c>
      <c r="C1118" s="17">
        <v>43434</v>
      </c>
      <c r="D1118" t="s">
        <v>0</v>
      </c>
      <c r="E1118" t="s">
        <v>1</v>
      </c>
      <c r="F1118" s="18">
        <v>-67213.34</v>
      </c>
      <c r="G1118" s="18">
        <v>-67213.34</v>
      </c>
      <c r="H1118" t="s">
        <v>2</v>
      </c>
      <c r="I1118" t="s">
        <v>8</v>
      </c>
      <c r="J1118" s="18">
        <v>-5571985.8899999997</v>
      </c>
      <c r="K1118" t="s">
        <v>2228</v>
      </c>
      <c r="L1118" t="s">
        <v>4</v>
      </c>
      <c r="M1118" t="s">
        <v>2229</v>
      </c>
      <c r="N1118" t="s">
        <v>3</v>
      </c>
      <c r="O1118" t="s">
        <v>3</v>
      </c>
      <c r="P1118" t="s">
        <v>5</v>
      </c>
      <c r="Q1118" t="s">
        <v>2230</v>
      </c>
      <c r="R1118" t="s">
        <v>3</v>
      </c>
      <c r="S1118" t="s">
        <v>3</v>
      </c>
      <c r="T1118" t="s">
        <v>3</v>
      </c>
      <c r="U1118" t="s">
        <v>3</v>
      </c>
      <c r="V1118" t="s">
        <v>3</v>
      </c>
      <c r="W1118" t="s">
        <v>68</v>
      </c>
      <c r="X1118" s="17">
        <v>43435</v>
      </c>
      <c r="Y1118" t="s">
        <v>2227</v>
      </c>
      <c r="Z1118" s="17">
        <v>43434</v>
      </c>
      <c r="AA1118" t="s">
        <v>3</v>
      </c>
      <c r="AB1118" t="s">
        <v>3109</v>
      </c>
    </row>
    <row r="1119" spans="1:28" hidden="1">
      <c r="A1119" t="s">
        <v>2223</v>
      </c>
      <c r="B1119" s="17">
        <v>43435</v>
      </c>
      <c r="C1119" s="17">
        <v>43434</v>
      </c>
      <c r="D1119" t="s">
        <v>38</v>
      </c>
      <c r="E1119" t="s">
        <v>1</v>
      </c>
      <c r="F1119" s="18">
        <v>-176784</v>
      </c>
      <c r="G1119" s="18">
        <v>-176784</v>
      </c>
      <c r="H1119" t="s">
        <v>2</v>
      </c>
      <c r="I1119" t="s">
        <v>8</v>
      </c>
      <c r="J1119" s="18">
        <v>-14655393.6</v>
      </c>
      <c r="K1119" t="s">
        <v>2224</v>
      </c>
      <c r="L1119" t="s">
        <v>9</v>
      </c>
      <c r="M1119" t="s">
        <v>2225</v>
      </c>
      <c r="N1119" t="s">
        <v>3</v>
      </c>
      <c r="O1119" t="s">
        <v>3</v>
      </c>
      <c r="P1119" t="s">
        <v>5</v>
      </c>
      <c r="Q1119" t="s">
        <v>2226</v>
      </c>
      <c r="R1119" t="s">
        <v>3</v>
      </c>
      <c r="S1119" t="s">
        <v>3</v>
      </c>
      <c r="T1119" t="s">
        <v>3</v>
      </c>
      <c r="U1119" t="s">
        <v>3</v>
      </c>
      <c r="V1119" t="s">
        <v>3</v>
      </c>
      <c r="W1119" t="s">
        <v>68</v>
      </c>
      <c r="X1119" s="17">
        <v>43435</v>
      </c>
      <c r="Y1119" t="s">
        <v>2223</v>
      </c>
      <c r="Z1119" s="17">
        <v>43434</v>
      </c>
      <c r="AA1119" t="s">
        <v>3</v>
      </c>
      <c r="AB1119" t="s">
        <v>2223</v>
      </c>
    </row>
    <row r="1120" spans="1:28" hidden="1">
      <c r="A1120" t="s">
        <v>2223</v>
      </c>
      <c r="B1120" s="17">
        <v>43435</v>
      </c>
      <c r="C1120" s="17">
        <v>43434</v>
      </c>
      <c r="D1120" t="s">
        <v>38</v>
      </c>
      <c r="E1120" t="s">
        <v>1</v>
      </c>
      <c r="F1120" s="18">
        <v>1144527</v>
      </c>
      <c r="G1120" s="18">
        <v>1144527</v>
      </c>
      <c r="H1120" t="s">
        <v>2</v>
      </c>
      <c r="I1120" t="s">
        <v>8</v>
      </c>
      <c r="J1120" s="18">
        <v>94881288.299999997</v>
      </c>
      <c r="K1120" t="s">
        <v>2224</v>
      </c>
      <c r="L1120" t="s">
        <v>9</v>
      </c>
      <c r="M1120" t="s">
        <v>2225</v>
      </c>
      <c r="N1120" t="s">
        <v>3</v>
      </c>
      <c r="O1120" t="s">
        <v>3</v>
      </c>
      <c r="P1120" t="s">
        <v>5</v>
      </c>
      <c r="Q1120" t="s">
        <v>2226</v>
      </c>
      <c r="R1120" t="s">
        <v>3</v>
      </c>
      <c r="S1120" t="s">
        <v>3</v>
      </c>
      <c r="T1120" t="s">
        <v>3</v>
      </c>
      <c r="U1120" t="s">
        <v>3</v>
      </c>
      <c r="V1120" t="s">
        <v>3</v>
      </c>
      <c r="W1120" t="s">
        <v>68</v>
      </c>
      <c r="X1120" s="17">
        <v>43435</v>
      </c>
      <c r="Y1120" t="s">
        <v>2223</v>
      </c>
      <c r="Z1120" s="17">
        <v>43434</v>
      </c>
      <c r="AA1120" t="s">
        <v>3</v>
      </c>
      <c r="AB1120" t="s">
        <v>2223</v>
      </c>
    </row>
    <row r="1121" spans="1:28" hidden="1">
      <c r="A1121" t="s">
        <v>2227</v>
      </c>
      <c r="B1121" s="17">
        <v>43435</v>
      </c>
      <c r="C1121" s="17">
        <v>43434</v>
      </c>
      <c r="D1121" t="s">
        <v>38</v>
      </c>
      <c r="E1121" t="s">
        <v>1</v>
      </c>
      <c r="F1121" s="18">
        <v>67213.34</v>
      </c>
      <c r="G1121" s="18">
        <v>67213.34</v>
      </c>
      <c r="H1121" t="s">
        <v>2</v>
      </c>
      <c r="I1121" t="s">
        <v>8</v>
      </c>
      <c r="J1121" s="18">
        <v>5571985.8899999997</v>
      </c>
      <c r="K1121" t="s">
        <v>2228</v>
      </c>
      <c r="L1121" t="s">
        <v>4</v>
      </c>
      <c r="M1121" t="s">
        <v>2229</v>
      </c>
      <c r="N1121" t="s">
        <v>3</v>
      </c>
      <c r="O1121" t="s">
        <v>3</v>
      </c>
      <c r="P1121" t="s">
        <v>5</v>
      </c>
      <c r="Q1121" t="s">
        <v>2230</v>
      </c>
      <c r="R1121" t="s">
        <v>3</v>
      </c>
      <c r="S1121" t="s">
        <v>3</v>
      </c>
      <c r="T1121" t="s">
        <v>3</v>
      </c>
      <c r="U1121" t="s">
        <v>3</v>
      </c>
      <c r="V1121" t="s">
        <v>3</v>
      </c>
      <c r="W1121" t="s">
        <v>68</v>
      </c>
      <c r="X1121" s="17">
        <v>43435</v>
      </c>
      <c r="Y1121" t="s">
        <v>2227</v>
      </c>
      <c r="Z1121" s="17">
        <v>43434</v>
      </c>
      <c r="AA1121" t="s">
        <v>3</v>
      </c>
      <c r="AB1121" t="s">
        <v>2227</v>
      </c>
    </row>
    <row r="1122" spans="1:28" hidden="1">
      <c r="A1122" t="s">
        <v>3110</v>
      </c>
      <c r="B1122" s="17">
        <v>43436</v>
      </c>
      <c r="C1122" s="17">
        <v>43436</v>
      </c>
      <c r="D1122" t="s">
        <v>0</v>
      </c>
      <c r="E1122" t="s">
        <v>1</v>
      </c>
      <c r="F1122" s="18">
        <v>-444779</v>
      </c>
      <c r="G1122" s="18">
        <v>-444779</v>
      </c>
      <c r="H1122" t="s">
        <v>2</v>
      </c>
      <c r="I1122" t="s">
        <v>8</v>
      </c>
      <c r="J1122" s="18">
        <v>-36894418.049999997</v>
      </c>
      <c r="K1122" t="s">
        <v>3111</v>
      </c>
      <c r="L1122" t="s">
        <v>9</v>
      </c>
      <c r="M1122" t="s">
        <v>3112</v>
      </c>
      <c r="N1122" t="s">
        <v>3</v>
      </c>
      <c r="O1122" t="s">
        <v>3</v>
      </c>
      <c r="P1122" t="s">
        <v>5</v>
      </c>
      <c r="Q1122" t="s">
        <v>3113</v>
      </c>
      <c r="R1122" t="s">
        <v>3</v>
      </c>
      <c r="S1122" t="s">
        <v>3</v>
      </c>
      <c r="T1122" t="s">
        <v>3</v>
      </c>
      <c r="U1122" t="s">
        <v>3</v>
      </c>
      <c r="V1122" t="s">
        <v>3</v>
      </c>
      <c r="W1122" t="s">
        <v>68</v>
      </c>
      <c r="X1122" s="17">
        <v>43587</v>
      </c>
      <c r="Y1122" t="s">
        <v>2426</v>
      </c>
      <c r="Z1122" s="17">
        <v>43436</v>
      </c>
      <c r="AA1122" t="s">
        <v>3</v>
      </c>
      <c r="AB1122" t="s">
        <v>3110</v>
      </c>
    </row>
    <row r="1123" spans="1:28" hidden="1">
      <c r="A1123" t="s">
        <v>3114</v>
      </c>
      <c r="B1123" s="17">
        <v>43436</v>
      </c>
      <c r="C1123" s="17">
        <v>43436</v>
      </c>
      <c r="D1123" t="s">
        <v>0</v>
      </c>
      <c r="E1123" t="s">
        <v>1</v>
      </c>
      <c r="F1123" s="18">
        <v>-638206</v>
      </c>
      <c r="G1123" s="18">
        <v>-638206</v>
      </c>
      <c r="H1123" t="s">
        <v>2</v>
      </c>
      <c r="I1123" t="s">
        <v>8</v>
      </c>
      <c r="J1123" s="18">
        <v>-52939187.700000003</v>
      </c>
      <c r="K1123" t="s">
        <v>3115</v>
      </c>
      <c r="L1123" t="s">
        <v>9</v>
      </c>
      <c r="M1123" t="s">
        <v>3116</v>
      </c>
      <c r="N1123" t="s">
        <v>3</v>
      </c>
      <c r="O1123" t="s">
        <v>3</v>
      </c>
      <c r="P1123" t="s">
        <v>5</v>
      </c>
      <c r="Q1123" t="s">
        <v>3117</v>
      </c>
      <c r="R1123" t="s">
        <v>3</v>
      </c>
      <c r="S1123" t="s">
        <v>3</v>
      </c>
      <c r="T1123" t="s">
        <v>3</v>
      </c>
      <c r="U1123" t="s">
        <v>3</v>
      </c>
      <c r="V1123" t="s">
        <v>3</v>
      </c>
      <c r="W1123" t="s">
        <v>68</v>
      </c>
      <c r="X1123" s="17">
        <v>43587</v>
      </c>
      <c r="Y1123" t="s">
        <v>2422</v>
      </c>
      <c r="Z1123" s="17">
        <v>43436</v>
      </c>
      <c r="AA1123" t="s">
        <v>3</v>
      </c>
      <c r="AB1123" t="s">
        <v>3114</v>
      </c>
    </row>
    <row r="1124" spans="1:28" hidden="1">
      <c r="A1124" t="s">
        <v>3118</v>
      </c>
      <c r="B1124" s="17">
        <v>43436</v>
      </c>
      <c r="C1124" s="17">
        <v>43436</v>
      </c>
      <c r="D1124" t="s">
        <v>0</v>
      </c>
      <c r="E1124" t="s">
        <v>1</v>
      </c>
      <c r="F1124" s="18">
        <v>97467</v>
      </c>
      <c r="G1124" s="18">
        <v>97467</v>
      </c>
      <c r="H1124" t="s">
        <v>2</v>
      </c>
      <c r="I1124" t="s">
        <v>8</v>
      </c>
      <c r="J1124" s="18">
        <v>8080014.2999999998</v>
      </c>
      <c r="K1124" t="s">
        <v>3119</v>
      </c>
      <c r="L1124" t="s">
        <v>9</v>
      </c>
      <c r="M1124" t="s">
        <v>3120</v>
      </c>
      <c r="N1124" t="s">
        <v>3</v>
      </c>
      <c r="O1124" t="s">
        <v>3</v>
      </c>
      <c r="P1124" t="s">
        <v>5</v>
      </c>
      <c r="Q1124" t="s">
        <v>3121</v>
      </c>
      <c r="R1124" t="s">
        <v>3</v>
      </c>
      <c r="S1124" t="s">
        <v>3</v>
      </c>
      <c r="T1124" t="s">
        <v>3</v>
      </c>
      <c r="U1124" t="s">
        <v>3</v>
      </c>
      <c r="V1124" t="s">
        <v>3</v>
      </c>
      <c r="W1124" t="s">
        <v>68</v>
      </c>
      <c r="X1124" s="17">
        <v>43677</v>
      </c>
      <c r="Y1124" t="s">
        <v>3027</v>
      </c>
      <c r="Z1124" s="17">
        <v>43436</v>
      </c>
      <c r="AA1124" t="s">
        <v>3</v>
      </c>
      <c r="AB1124" t="s">
        <v>3118</v>
      </c>
    </row>
    <row r="1125" spans="1:28" hidden="1">
      <c r="A1125" t="s">
        <v>3211</v>
      </c>
      <c r="B1125" s="17">
        <v>43436</v>
      </c>
      <c r="C1125" s="17">
        <v>43436</v>
      </c>
      <c r="D1125" t="s">
        <v>0</v>
      </c>
      <c r="E1125" t="s">
        <v>1</v>
      </c>
      <c r="F1125" s="18">
        <v>-26058</v>
      </c>
      <c r="G1125" s="18">
        <v>-26058</v>
      </c>
      <c r="H1125" t="s">
        <v>2</v>
      </c>
      <c r="I1125" t="s">
        <v>10</v>
      </c>
      <c r="J1125" s="18">
        <v>-2161511.1</v>
      </c>
      <c r="K1125" t="s">
        <v>3212</v>
      </c>
      <c r="L1125" t="s">
        <v>9</v>
      </c>
      <c r="M1125" t="s">
        <v>3213</v>
      </c>
      <c r="N1125" t="s">
        <v>3</v>
      </c>
      <c r="O1125" t="s">
        <v>3</v>
      </c>
      <c r="P1125" t="s">
        <v>5</v>
      </c>
      <c r="Q1125" t="s">
        <v>3214</v>
      </c>
      <c r="R1125" t="s">
        <v>3</v>
      </c>
      <c r="S1125" t="s">
        <v>3</v>
      </c>
      <c r="T1125" t="s">
        <v>3</v>
      </c>
      <c r="U1125" t="s">
        <v>3</v>
      </c>
      <c r="V1125" t="s">
        <v>3</v>
      </c>
      <c r="W1125" t="s">
        <v>68</v>
      </c>
      <c r="X1125" s="17">
        <v>43454</v>
      </c>
      <c r="Y1125" t="s">
        <v>3215</v>
      </c>
      <c r="Z1125" s="17">
        <v>43436</v>
      </c>
      <c r="AA1125" t="s">
        <v>3</v>
      </c>
      <c r="AB1125" t="s">
        <v>3211</v>
      </c>
    </row>
    <row r="1126" spans="1:28" hidden="1">
      <c r="A1126" t="s">
        <v>3216</v>
      </c>
      <c r="B1126" s="17">
        <v>43436</v>
      </c>
      <c r="C1126" s="17">
        <v>43436</v>
      </c>
      <c r="D1126" t="s">
        <v>0</v>
      </c>
      <c r="E1126" t="s">
        <v>1</v>
      </c>
      <c r="F1126" s="18">
        <v>-35484</v>
      </c>
      <c r="G1126" s="18">
        <v>-35484</v>
      </c>
      <c r="H1126" t="s">
        <v>2</v>
      </c>
      <c r="I1126" t="s">
        <v>10</v>
      </c>
      <c r="J1126" s="18">
        <v>-2943397.8</v>
      </c>
      <c r="K1126" t="s">
        <v>3217</v>
      </c>
      <c r="L1126" t="s">
        <v>9</v>
      </c>
      <c r="M1126" t="s">
        <v>3218</v>
      </c>
      <c r="N1126" t="s">
        <v>3</v>
      </c>
      <c r="O1126" t="s">
        <v>3</v>
      </c>
      <c r="P1126" t="s">
        <v>5</v>
      </c>
      <c r="Q1126" t="s">
        <v>3219</v>
      </c>
      <c r="R1126" t="s">
        <v>3</v>
      </c>
      <c r="S1126" t="s">
        <v>3</v>
      </c>
      <c r="T1126" t="s">
        <v>3</v>
      </c>
      <c r="U1126" t="s">
        <v>3</v>
      </c>
      <c r="V1126" t="s">
        <v>3</v>
      </c>
      <c r="W1126" t="s">
        <v>68</v>
      </c>
      <c r="X1126" s="17">
        <v>43519</v>
      </c>
      <c r="Y1126" t="s">
        <v>2396</v>
      </c>
      <c r="Z1126" s="17">
        <v>43436</v>
      </c>
      <c r="AA1126" t="s">
        <v>3</v>
      </c>
      <c r="AB1126" t="s">
        <v>3216</v>
      </c>
    </row>
    <row r="1127" spans="1:28" hidden="1">
      <c r="A1127" t="s">
        <v>3220</v>
      </c>
      <c r="B1127" s="17">
        <v>43436</v>
      </c>
      <c r="C1127" s="17">
        <v>43436</v>
      </c>
      <c r="D1127" t="s">
        <v>0</v>
      </c>
      <c r="E1127" t="s">
        <v>1</v>
      </c>
      <c r="F1127" s="18">
        <v>39065</v>
      </c>
      <c r="G1127" s="18">
        <v>39065</v>
      </c>
      <c r="H1127" t="s">
        <v>2</v>
      </c>
      <c r="I1127" t="s">
        <v>10</v>
      </c>
      <c r="J1127" s="18">
        <v>3238488.5</v>
      </c>
      <c r="K1127" t="s">
        <v>3221</v>
      </c>
      <c r="L1127" t="s">
        <v>9</v>
      </c>
      <c r="M1127" t="s">
        <v>3222</v>
      </c>
      <c r="N1127" t="s">
        <v>3</v>
      </c>
      <c r="O1127" t="s">
        <v>3</v>
      </c>
      <c r="P1127" t="s">
        <v>5</v>
      </c>
      <c r="Q1127" t="s">
        <v>3223</v>
      </c>
      <c r="R1127" t="s">
        <v>3</v>
      </c>
      <c r="S1127" t="s">
        <v>3</v>
      </c>
      <c r="T1127" t="s">
        <v>3</v>
      </c>
      <c r="U1127" t="s">
        <v>3</v>
      </c>
      <c r="V1127" t="s">
        <v>3</v>
      </c>
      <c r="W1127" t="s">
        <v>68</v>
      </c>
      <c r="X1127" s="17">
        <v>43646</v>
      </c>
      <c r="Y1127" t="s">
        <v>2495</v>
      </c>
      <c r="Z1127" s="17">
        <v>43436</v>
      </c>
      <c r="AA1127" t="s">
        <v>3</v>
      </c>
      <c r="AB1127" t="s">
        <v>3220</v>
      </c>
    </row>
    <row r="1128" spans="1:28" hidden="1">
      <c r="A1128" t="s">
        <v>3220</v>
      </c>
      <c r="B1128" s="17">
        <v>43436</v>
      </c>
      <c r="C1128" s="17">
        <v>43436</v>
      </c>
      <c r="D1128" t="s">
        <v>0</v>
      </c>
      <c r="E1128" t="s">
        <v>1</v>
      </c>
      <c r="F1128" s="18">
        <v>4343</v>
      </c>
      <c r="G1128" s="18">
        <v>4343</v>
      </c>
      <c r="H1128" t="s">
        <v>2</v>
      </c>
      <c r="I1128" t="s">
        <v>10</v>
      </c>
      <c r="J1128" s="18">
        <v>359600.4</v>
      </c>
      <c r="K1128" t="s">
        <v>3224</v>
      </c>
      <c r="L1128" t="s">
        <v>9</v>
      </c>
      <c r="M1128" t="s">
        <v>3222</v>
      </c>
      <c r="N1128" t="s">
        <v>3</v>
      </c>
      <c r="O1128" t="s">
        <v>3</v>
      </c>
      <c r="P1128" t="s">
        <v>5</v>
      </c>
      <c r="Q1128" t="s">
        <v>3223</v>
      </c>
      <c r="R1128" t="s">
        <v>3</v>
      </c>
      <c r="S1128" t="s">
        <v>3</v>
      </c>
      <c r="T1128" t="s">
        <v>3</v>
      </c>
      <c r="U1128" t="s">
        <v>3</v>
      </c>
      <c r="V1128" t="s">
        <v>3</v>
      </c>
      <c r="W1128" t="s">
        <v>68</v>
      </c>
      <c r="X1128" s="17">
        <v>43646</v>
      </c>
      <c r="Y1128" t="s">
        <v>2499</v>
      </c>
      <c r="Z1128" s="17">
        <v>43436</v>
      </c>
      <c r="AA1128" t="s">
        <v>3</v>
      </c>
      <c r="AB1128" t="s">
        <v>3220</v>
      </c>
    </row>
    <row r="1129" spans="1:28" hidden="1">
      <c r="A1129" t="s">
        <v>3220</v>
      </c>
      <c r="B1129" s="17">
        <v>43436</v>
      </c>
      <c r="C1129" s="17">
        <v>43436</v>
      </c>
      <c r="D1129" t="s">
        <v>0</v>
      </c>
      <c r="E1129" t="s">
        <v>1</v>
      </c>
      <c r="F1129" s="18">
        <v>16271</v>
      </c>
      <c r="G1129" s="18">
        <v>16271</v>
      </c>
      <c r="H1129" t="s">
        <v>2</v>
      </c>
      <c r="I1129" t="s">
        <v>10</v>
      </c>
      <c r="J1129" s="18">
        <v>1347238.8</v>
      </c>
      <c r="K1129" t="s">
        <v>3225</v>
      </c>
      <c r="L1129" t="s">
        <v>9</v>
      </c>
      <c r="M1129" t="s">
        <v>3222</v>
      </c>
      <c r="N1129" t="s">
        <v>3</v>
      </c>
      <c r="O1129" t="s">
        <v>3</v>
      </c>
      <c r="P1129" t="s">
        <v>5</v>
      </c>
      <c r="Q1129" t="s">
        <v>3223</v>
      </c>
      <c r="R1129" t="s">
        <v>3</v>
      </c>
      <c r="S1129" t="s">
        <v>3</v>
      </c>
      <c r="T1129" t="s">
        <v>3</v>
      </c>
      <c r="U1129" t="s">
        <v>3</v>
      </c>
      <c r="V1129" t="s">
        <v>3</v>
      </c>
      <c r="W1129" t="s">
        <v>68</v>
      </c>
      <c r="X1129" s="17">
        <v>43646</v>
      </c>
      <c r="Y1129" t="s">
        <v>2502</v>
      </c>
      <c r="Z1129" s="17">
        <v>43436</v>
      </c>
      <c r="AA1129" t="s">
        <v>3</v>
      </c>
      <c r="AB1129" t="s">
        <v>3220</v>
      </c>
    </row>
    <row r="1130" spans="1:28" hidden="1">
      <c r="A1130" t="s">
        <v>3226</v>
      </c>
      <c r="B1130" s="17">
        <v>43436</v>
      </c>
      <c r="C1130" s="17">
        <v>43436</v>
      </c>
      <c r="D1130" t="s">
        <v>0</v>
      </c>
      <c r="E1130" t="s">
        <v>1</v>
      </c>
      <c r="F1130" s="18">
        <v>3844</v>
      </c>
      <c r="G1130" s="18">
        <v>3844</v>
      </c>
      <c r="H1130" t="s">
        <v>2</v>
      </c>
      <c r="I1130" t="s">
        <v>10</v>
      </c>
      <c r="J1130" s="18">
        <v>318667.59999999998</v>
      </c>
      <c r="K1130" t="s">
        <v>3221</v>
      </c>
      <c r="L1130" t="s">
        <v>9</v>
      </c>
      <c r="M1130" t="s">
        <v>3227</v>
      </c>
      <c r="N1130" t="s">
        <v>3</v>
      </c>
      <c r="O1130" t="s">
        <v>3</v>
      </c>
      <c r="P1130" t="s">
        <v>5</v>
      </c>
      <c r="Q1130" t="s">
        <v>3228</v>
      </c>
      <c r="R1130" t="s">
        <v>3</v>
      </c>
      <c r="S1130" t="s">
        <v>3</v>
      </c>
      <c r="T1130" t="s">
        <v>3</v>
      </c>
      <c r="U1130" t="s">
        <v>3</v>
      </c>
      <c r="V1130" t="s">
        <v>3</v>
      </c>
      <c r="W1130" t="s">
        <v>68</v>
      </c>
      <c r="X1130" s="17">
        <v>43646</v>
      </c>
      <c r="Y1130" t="s">
        <v>2495</v>
      </c>
      <c r="Z1130" s="17">
        <v>43436</v>
      </c>
      <c r="AA1130" t="s">
        <v>3</v>
      </c>
      <c r="AB1130" t="s">
        <v>3226</v>
      </c>
    </row>
    <row r="1131" spans="1:28" hidden="1">
      <c r="A1131" t="s">
        <v>3280</v>
      </c>
      <c r="B1131" s="17">
        <v>43436</v>
      </c>
      <c r="C1131" s="17">
        <v>43436</v>
      </c>
      <c r="D1131" t="s">
        <v>0</v>
      </c>
      <c r="E1131" t="s">
        <v>1</v>
      </c>
      <c r="F1131" s="18">
        <v>69009</v>
      </c>
      <c r="G1131" s="18">
        <v>69009</v>
      </c>
      <c r="H1131" t="s">
        <v>2</v>
      </c>
      <c r="I1131" t="s">
        <v>8</v>
      </c>
      <c r="J1131" s="18">
        <v>5720846.0999999996</v>
      </c>
      <c r="K1131" t="s">
        <v>3281</v>
      </c>
      <c r="L1131" t="s">
        <v>9</v>
      </c>
      <c r="M1131" t="s">
        <v>3282</v>
      </c>
      <c r="N1131" t="s">
        <v>3</v>
      </c>
      <c r="O1131" t="s">
        <v>3</v>
      </c>
      <c r="P1131" t="s">
        <v>5</v>
      </c>
      <c r="Q1131" t="s">
        <v>3283</v>
      </c>
      <c r="R1131" t="s">
        <v>3</v>
      </c>
      <c r="S1131" t="s">
        <v>3</v>
      </c>
      <c r="T1131" t="s">
        <v>3</v>
      </c>
      <c r="U1131" t="s">
        <v>3</v>
      </c>
      <c r="V1131" t="s">
        <v>3</v>
      </c>
      <c r="W1131" t="s">
        <v>68</v>
      </c>
      <c r="X1131" s="17">
        <v>43587</v>
      </c>
      <c r="Y1131" t="s">
        <v>2462</v>
      </c>
      <c r="Z1131" s="17">
        <v>43436</v>
      </c>
      <c r="AA1131" t="s">
        <v>3</v>
      </c>
      <c r="AB1131" t="s">
        <v>3280</v>
      </c>
    </row>
    <row r="1132" spans="1:28" hidden="1">
      <c r="A1132" t="s">
        <v>3284</v>
      </c>
      <c r="B1132" s="17">
        <v>43436</v>
      </c>
      <c r="C1132" s="17">
        <v>43436</v>
      </c>
      <c r="D1132" t="s">
        <v>0</v>
      </c>
      <c r="E1132" t="s">
        <v>1</v>
      </c>
      <c r="F1132" s="18">
        <v>2279</v>
      </c>
      <c r="G1132" s="18">
        <v>2279</v>
      </c>
      <c r="H1132" t="s">
        <v>2</v>
      </c>
      <c r="I1132" t="s">
        <v>8</v>
      </c>
      <c r="J1132" s="18">
        <v>188929.1</v>
      </c>
      <c r="K1132" t="s">
        <v>3285</v>
      </c>
      <c r="L1132" t="s">
        <v>9</v>
      </c>
      <c r="M1132" t="s">
        <v>3286</v>
      </c>
      <c r="N1132" t="s">
        <v>3</v>
      </c>
      <c r="O1132" t="s">
        <v>3</v>
      </c>
      <c r="P1132" t="s">
        <v>5</v>
      </c>
      <c r="Q1132" t="s">
        <v>3287</v>
      </c>
      <c r="R1132" t="s">
        <v>3</v>
      </c>
      <c r="S1132" t="s">
        <v>3</v>
      </c>
      <c r="T1132" t="s">
        <v>3</v>
      </c>
      <c r="U1132" t="s">
        <v>3</v>
      </c>
      <c r="V1132" t="s">
        <v>3</v>
      </c>
      <c r="W1132" t="s">
        <v>68</v>
      </c>
      <c r="X1132" s="17">
        <v>43587</v>
      </c>
      <c r="Y1132" t="s">
        <v>2437</v>
      </c>
      <c r="Z1132" s="17">
        <v>43436</v>
      </c>
      <c r="AA1132" t="s">
        <v>3</v>
      </c>
      <c r="AB1132" t="s">
        <v>3284</v>
      </c>
    </row>
    <row r="1133" spans="1:28" hidden="1">
      <c r="A1133" t="s">
        <v>3288</v>
      </c>
      <c r="B1133" s="17">
        <v>43436</v>
      </c>
      <c r="C1133" s="17">
        <v>43436</v>
      </c>
      <c r="D1133" t="s">
        <v>0</v>
      </c>
      <c r="E1133" t="s">
        <v>1</v>
      </c>
      <c r="F1133" s="18">
        <v>13518</v>
      </c>
      <c r="G1133" s="18">
        <v>13518</v>
      </c>
      <c r="H1133" t="s">
        <v>2</v>
      </c>
      <c r="I1133" t="s">
        <v>8</v>
      </c>
      <c r="J1133" s="18">
        <v>1120642.2</v>
      </c>
      <c r="K1133" t="s">
        <v>3281</v>
      </c>
      <c r="L1133" t="s">
        <v>9</v>
      </c>
      <c r="M1133" t="s">
        <v>3289</v>
      </c>
      <c r="N1133" t="s">
        <v>3</v>
      </c>
      <c r="O1133" t="s">
        <v>3</v>
      </c>
      <c r="P1133" t="s">
        <v>5</v>
      </c>
      <c r="Q1133" t="s">
        <v>3290</v>
      </c>
      <c r="R1133" t="s">
        <v>3</v>
      </c>
      <c r="S1133" t="s">
        <v>3</v>
      </c>
      <c r="T1133" t="s">
        <v>3</v>
      </c>
      <c r="U1133" t="s">
        <v>3</v>
      </c>
      <c r="V1133" t="s">
        <v>3</v>
      </c>
      <c r="W1133" t="s">
        <v>68</v>
      </c>
      <c r="X1133" s="17">
        <v>43587</v>
      </c>
      <c r="Y1133" t="s">
        <v>2462</v>
      </c>
      <c r="Z1133" s="17">
        <v>43436</v>
      </c>
      <c r="AA1133" t="s">
        <v>3</v>
      </c>
      <c r="AB1133" t="s">
        <v>3288</v>
      </c>
    </row>
    <row r="1134" spans="1:28" hidden="1">
      <c r="A1134" t="s">
        <v>3122</v>
      </c>
      <c r="B1134" s="17">
        <v>43439</v>
      </c>
      <c r="C1134" s="17">
        <v>43439</v>
      </c>
      <c r="D1134" t="s">
        <v>0</v>
      </c>
      <c r="E1134" t="s">
        <v>1</v>
      </c>
      <c r="F1134" s="18">
        <v>-295393</v>
      </c>
      <c r="G1134" s="18">
        <v>-295393</v>
      </c>
      <c r="H1134" t="s">
        <v>2</v>
      </c>
      <c r="I1134" t="s">
        <v>8</v>
      </c>
      <c r="J1134" s="18">
        <v>-24502849.359999999</v>
      </c>
      <c r="K1134" t="s">
        <v>3123</v>
      </c>
      <c r="L1134" t="s">
        <v>9</v>
      </c>
      <c r="M1134" t="s">
        <v>3124</v>
      </c>
      <c r="N1134" t="s">
        <v>3</v>
      </c>
      <c r="O1134" t="s">
        <v>3</v>
      </c>
      <c r="P1134" t="s">
        <v>5</v>
      </c>
      <c r="Q1134" t="s">
        <v>3125</v>
      </c>
      <c r="R1134" t="s">
        <v>3</v>
      </c>
      <c r="S1134" t="s">
        <v>3</v>
      </c>
      <c r="T1134" t="s">
        <v>3</v>
      </c>
      <c r="U1134" t="s">
        <v>3</v>
      </c>
      <c r="V1134" t="s">
        <v>3</v>
      </c>
      <c r="W1134" t="s">
        <v>68</v>
      </c>
      <c r="X1134" s="17">
        <v>43677</v>
      </c>
      <c r="Y1134" t="s">
        <v>3126</v>
      </c>
      <c r="Z1134" s="17">
        <v>43439</v>
      </c>
      <c r="AA1134" t="s">
        <v>3</v>
      </c>
      <c r="AB1134" t="s">
        <v>3122</v>
      </c>
    </row>
    <row r="1135" spans="1:28" hidden="1">
      <c r="A1135" t="s">
        <v>3127</v>
      </c>
      <c r="B1135" s="17">
        <v>43439</v>
      </c>
      <c r="C1135" s="17">
        <v>43439</v>
      </c>
      <c r="D1135" t="s">
        <v>0</v>
      </c>
      <c r="E1135" t="s">
        <v>1</v>
      </c>
      <c r="F1135" s="18">
        <v>-149423.76</v>
      </c>
      <c r="G1135" s="18">
        <v>-149423.76</v>
      </c>
      <c r="H1135" t="s">
        <v>2</v>
      </c>
      <c r="I1135" t="s">
        <v>8</v>
      </c>
      <c r="J1135" s="18">
        <v>-12394700.9</v>
      </c>
      <c r="K1135" t="s">
        <v>3128</v>
      </c>
      <c r="L1135" t="s">
        <v>9</v>
      </c>
      <c r="M1135" t="s">
        <v>3129</v>
      </c>
      <c r="N1135" t="s">
        <v>3</v>
      </c>
      <c r="O1135" t="s">
        <v>3</v>
      </c>
      <c r="P1135" t="s">
        <v>5</v>
      </c>
      <c r="Q1135" t="s">
        <v>3130</v>
      </c>
      <c r="R1135" t="s">
        <v>3</v>
      </c>
      <c r="S1135" t="s">
        <v>3</v>
      </c>
      <c r="T1135" t="s">
        <v>3</v>
      </c>
      <c r="U1135" t="s">
        <v>3</v>
      </c>
      <c r="V1135" t="s">
        <v>3</v>
      </c>
      <c r="W1135" t="s">
        <v>68</v>
      </c>
      <c r="X1135" s="17">
        <v>43587</v>
      </c>
      <c r="Y1135" t="s">
        <v>2458</v>
      </c>
      <c r="Z1135" s="17">
        <v>43439</v>
      </c>
      <c r="AA1135" t="s">
        <v>3</v>
      </c>
      <c r="AB1135" t="s">
        <v>3127</v>
      </c>
    </row>
    <row r="1136" spans="1:28" hidden="1">
      <c r="A1136" t="s">
        <v>3131</v>
      </c>
      <c r="B1136" s="17">
        <v>43439</v>
      </c>
      <c r="C1136" s="17">
        <v>43439</v>
      </c>
      <c r="D1136" t="s">
        <v>0</v>
      </c>
      <c r="E1136" t="s">
        <v>1</v>
      </c>
      <c r="F1136" s="18">
        <v>32754</v>
      </c>
      <c r="G1136" s="18">
        <v>32754</v>
      </c>
      <c r="H1136" t="s">
        <v>2</v>
      </c>
      <c r="I1136" t="s">
        <v>8</v>
      </c>
      <c r="J1136" s="18">
        <v>2716944.3</v>
      </c>
      <c r="K1136" t="s">
        <v>3132</v>
      </c>
      <c r="L1136" t="s">
        <v>9</v>
      </c>
      <c r="M1136" t="s">
        <v>3133</v>
      </c>
      <c r="N1136" t="s">
        <v>3</v>
      </c>
      <c r="O1136" t="s">
        <v>3</v>
      </c>
      <c r="P1136" t="s">
        <v>5</v>
      </c>
      <c r="Q1136" t="s">
        <v>3134</v>
      </c>
      <c r="R1136" t="s">
        <v>3</v>
      </c>
      <c r="S1136" t="s">
        <v>3</v>
      </c>
      <c r="T1136" t="s">
        <v>3</v>
      </c>
      <c r="U1136" t="s">
        <v>3</v>
      </c>
      <c r="V1136" t="s">
        <v>3</v>
      </c>
      <c r="W1136" t="s">
        <v>68</v>
      </c>
      <c r="X1136" s="17">
        <v>43587</v>
      </c>
      <c r="Y1136" t="s">
        <v>2426</v>
      </c>
      <c r="Z1136" s="17">
        <v>43439</v>
      </c>
      <c r="AA1136" t="s">
        <v>3</v>
      </c>
      <c r="AB1136" t="s">
        <v>3131</v>
      </c>
    </row>
    <row r="1137" spans="1:28" hidden="1">
      <c r="A1137" t="s">
        <v>3135</v>
      </c>
      <c r="B1137" s="17">
        <v>43439</v>
      </c>
      <c r="C1137" s="17">
        <v>43439</v>
      </c>
      <c r="D1137" t="s">
        <v>0</v>
      </c>
      <c r="E1137" t="s">
        <v>1</v>
      </c>
      <c r="F1137" s="18">
        <v>45010</v>
      </c>
      <c r="G1137" s="18">
        <v>45010</v>
      </c>
      <c r="H1137" t="s">
        <v>2</v>
      </c>
      <c r="I1137" t="s">
        <v>8</v>
      </c>
      <c r="J1137" s="18">
        <v>3733579.5</v>
      </c>
      <c r="K1137" t="s">
        <v>3132</v>
      </c>
      <c r="L1137" t="s">
        <v>9</v>
      </c>
      <c r="M1137" t="s">
        <v>3136</v>
      </c>
      <c r="N1137" t="s">
        <v>3</v>
      </c>
      <c r="O1137" t="s">
        <v>3</v>
      </c>
      <c r="P1137" t="s">
        <v>5</v>
      </c>
      <c r="Q1137" t="s">
        <v>3137</v>
      </c>
      <c r="R1137" t="s">
        <v>3</v>
      </c>
      <c r="S1137" t="s">
        <v>3</v>
      </c>
      <c r="T1137" t="s">
        <v>3</v>
      </c>
      <c r="U1137" t="s">
        <v>3</v>
      </c>
      <c r="V1137" t="s">
        <v>3</v>
      </c>
      <c r="W1137" t="s">
        <v>68</v>
      </c>
      <c r="X1137" s="17">
        <v>43587</v>
      </c>
      <c r="Y1137" t="s">
        <v>2426</v>
      </c>
      <c r="Z1137" s="17">
        <v>43439</v>
      </c>
      <c r="AA1137" t="s">
        <v>3</v>
      </c>
      <c r="AB1137" t="s">
        <v>3135</v>
      </c>
    </row>
    <row r="1138" spans="1:28" hidden="1">
      <c r="A1138" t="s">
        <v>3138</v>
      </c>
      <c r="B1138" s="17">
        <v>43439</v>
      </c>
      <c r="C1138" s="17">
        <v>43439</v>
      </c>
      <c r="D1138" t="s">
        <v>0</v>
      </c>
      <c r="E1138" t="s">
        <v>1</v>
      </c>
      <c r="F1138" s="18">
        <v>25407</v>
      </c>
      <c r="G1138" s="18">
        <v>25407</v>
      </c>
      <c r="H1138" t="s">
        <v>2</v>
      </c>
      <c r="I1138" t="s">
        <v>8</v>
      </c>
      <c r="J1138" s="18">
        <v>2107510.65</v>
      </c>
      <c r="K1138" t="s">
        <v>3132</v>
      </c>
      <c r="L1138" t="s">
        <v>9</v>
      </c>
      <c r="M1138" t="s">
        <v>3139</v>
      </c>
      <c r="N1138" t="s">
        <v>3</v>
      </c>
      <c r="O1138" t="s">
        <v>3</v>
      </c>
      <c r="P1138" t="s">
        <v>5</v>
      </c>
      <c r="Q1138" t="s">
        <v>3140</v>
      </c>
      <c r="R1138" t="s">
        <v>3</v>
      </c>
      <c r="S1138" t="s">
        <v>3</v>
      </c>
      <c r="T1138" t="s">
        <v>3</v>
      </c>
      <c r="U1138" t="s">
        <v>3</v>
      </c>
      <c r="V1138" t="s">
        <v>3</v>
      </c>
      <c r="W1138" t="s">
        <v>68</v>
      </c>
      <c r="X1138" s="17">
        <v>43587</v>
      </c>
      <c r="Y1138" t="s">
        <v>2426</v>
      </c>
      <c r="Z1138" s="17">
        <v>43439</v>
      </c>
      <c r="AA1138" t="s">
        <v>3</v>
      </c>
      <c r="AB1138" t="s">
        <v>3138</v>
      </c>
    </row>
    <row r="1139" spans="1:28" hidden="1">
      <c r="A1139" t="s">
        <v>3141</v>
      </c>
      <c r="B1139" s="17">
        <v>43439</v>
      </c>
      <c r="C1139" s="17">
        <v>43439</v>
      </c>
      <c r="D1139" t="s">
        <v>0</v>
      </c>
      <c r="E1139" t="s">
        <v>1</v>
      </c>
      <c r="F1139" s="18">
        <v>149332</v>
      </c>
      <c r="G1139" s="18">
        <v>149332</v>
      </c>
      <c r="H1139" t="s">
        <v>2</v>
      </c>
      <c r="I1139" t="s">
        <v>8</v>
      </c>
      <c r="J1139" s="18">
        <v>12387089.4</v>
      </c>
      <c r="K1139" t="s">
        <v>3132</v>
      </c>
      <c r="L1139" t="s">
        <v>9</v>
      </c>
      <c r="M1139" t="s">
        <v>3142</v>
      </c>
      <c r="N1139" t="s">
        <v>3</v>
      </c>
      <c r="O1139" t="s">
        <v>3</v>
      </c>
      <c r="P1139" t="s">
        <v>5</v>
      </c>
      <c r="Q1139" t="s">
        <v>3143</v>
      </c>
      <c r="R1139" t="s">
        <v>3</v>
      </c>
      <c r="S1139" t="s">
        <v>3</v>
      </c>
      <c r="T1139" t="s">
        <v>3</v>
      </c>
      <c r="U1139" t="s">
        <v>3</v>
      </c>
      <c r="V1139" t="s">
        <v>3</v>
      </c>
      <c r="W1139" t="s">
        <v>68</v>
      </c>
      <c r="X1139" s="17">
        <v>43587</v>
      </c>
      <c r="Y1139" t="s">
        <v>2426</v>
      </c>
      <c r="Z1139" s="17">
        <v>43439</v>
      </c>
      <c r="AA1139" t="s">
        <v>3</v>
      </c>
      <c r="AB1139" t="s">
        <v>3141</v>
      </c>
    </row>
    <row r="1140" spans="1:28" hidden="1">
      <c r="A1140" t="s">
        <v>3229</v>
      </c>
      <c r="B1140" s="17">
        <v>43439</v>
      </c>
      <c r="C1140" s="17">
        <v>43439</v>
      </c>
      <c r="D1140" t="s">
        <v>0</v>
      </c>
      <c r="E1140" t="s">
        <v>1</v>
      </c>
      <c r="F1140" s="18">
        <v>-64060.7</v>
      </c>
      <c r="G1140" s="18">
        <v>-64060.7</v>
      </c>
      <c r="H1140" t="s">
        <v>2</v>
      </c>
      <c r="I1140" t="s">
        <v>10</v>
      </c>
      <c r="J1140" s="18">
        <v>-5313835.07</v>
      </c>
      <c r="K1140" t="s">
        <v>3230</v>
      </c>
      <c r="L1140" t="s">
        <v>9</v>
      </c>
      <c r="M1140" t="s">
        <v>3231</v>
      </c>
      <c r="N1140" t="s">
        <v>3</v>
      </c>
      <c r="O1140" t="s">
        <v>3</v>
      </c>
      <c r="P1140" t="s">
        <v>5</v>
      </c>
      <c r="Q1140" t="s">
        <v>3232</v>
      </c>
      <c r="R1140" t="s">
        <v>3</v>
      </c>
      <c r="S1140" t="s">
        <v>3</v>
      </c>
      <c r="T1140" t="s">
        <v>3</v>
      </c>
      <c r="U1140" t="s">
        <v>3</v>
      </c>
      <c r="V1140" t="s">
        <v>3</v>
      </c>
      <c r="W1140" t="s">
        <v>68</v>
      </c>
      <c r="X1140" s="17">
        <v>43519</v>
      </c>
      <c r="Y1140" t="s">
        <v>2384</v>
      </c>
      <c r="Z1140" s="17">
        <v>43439</v>
      </c>
      <c r="AA1140" t="s">
        <v>3</v>
      </c>
      <c r="AB1140" t="s">
        <v>3229</v>
      </c>
    </row>
    <row r="1141" spans="1:28" hidden="1">
      <c r="A1141" t="s">
        <v>3233</v>
      </c>
      <c r="B1141" s="17">
        <v>43439</v>
      </c>
      <c r="C1141" s="17">
        <v>43439</v>
      </c>
      <c r="D1141" t="s">
        <v>0</v>
      </c>
      <c r="E1141" t="s">
        <v>1</v>
      </c>
      <c r="F1141" s="18">
        <v>-64894</v>
      </c>
      <c r="G1141" s="18">
        <v>-64894</v>
      </c>
      <c r="H1141" t="s">
        <v>2</v>
      </c>
      <c r="I1141" t="s">
        <v>10</v>
      </c>
      <c r="J1141" s="18">
        <v>-5382957.2999999998</v>
      </c>
      <c r="K1141" t="s">
        <v>3234</v>
      </c>
      <c r="L1141" t="s">
        <v>9</v>
      </c>
      <c r="M1141" t="s">
        <v>3235</v>
      </c>
      <c r="N1141" t="s">
        <v>3</v>
      </c>
      <c r="O1141" t="s">
        <v>3</v>
      </c>
      <c r="P1141" t="s">
        <v>5</v>
      </c>
      <c r="Q1141" t="s">
        <v>3236</v>
      </c>
      <c r="R1141" t="s">
        <v>3</v>
      </c>
      <c r="S1141" t="s">
        <v>3</v>
      </c>
      <c r="T1141" t="s">
        <v>3</v>
      </c>
      <c r="U1141" t="s">
        <v>3</v>
      </c>
      <c r="V1141" t="s">
        <v>3</v>
      </c>
      <c r="W1141" t="s">
        <v>68</v>
      </c>
      <c r="X1141" s="17">
        <v>43519</v>
      </c>
      <c r="Y1141" t="s">
        <v>2381</v>
      </c>
      <c r="Z1141" s="17">
        <v>43439</v>
      </c>
      <c r="AA1141" t="s">
        <v>3</v>
      </c>
      <c r="AB1141" t="s">
        <v>3233</v>
      </c>
    </row>
    <row r="1142" spans="1:28" hidden="1">
      <c r="A1142" t="s">
        <v>3237</v>
      </c>
      <c r="B1142" s="17">
        <v>43439</v>
      </c>
      <c r="C1142" s="17">
        <v>43439</v>
      </c>
      <c r="D1142" t="s">
        <v>0</v>
      </c>
      <c r="E1142" t="s">
        <v>1</v>
      </c>
      <c r="F1142" s="18">
        <v>-110230</v>
      </c>
      <c r="G1142" s="18">
        <v>-110230</v>
      </c>
      <c r="H1142" t="s">
        <v>2</v>
      </c>
      <c r="I1142" t="s">
        <v>10</v>
      </c>
      <c r="J1142" s="18">
        <v>-9143578.5</v>
      </c>
      <c r="K1142" t="s">
        <v>3238</v>
      </c>
      <c r="L1142" t="s">
        <v>9</v>
      </c>
      <c r="M1142" t="s">
        <v>3239</v>
      </c>
      <c r="N1142" t="s">
        <v>3</v>
      </c>
      <c r="O1142" t="s">
        <v>3</v>
      </c>
      <c r="P1142" t="s">
        <v>5</v>
      </c>
      <c r="Q1142" t="s">
        <v>3240</v>
      </c>
      <c r="R1142" t="s">
        <v>3</v>
      </c>
      <c r="S1142" t="s">
        <v>3</v>
      </c>
      <c r="T1142" t="s">
        <v>3</v>
      </c>
      <c r="U1142" t="s">
        <v>3</v>
      </c>
      <c r="V1142" t="s">
        <v>3</v>
      </c>
      <c r="W1142" t="s">
        <v>68</v>
      </c>
      <c r="X1142" s="17">
        <v>43646</v>
      </c>
      <c r="Y1142" t="s">
        <v>2497</v>
      </c>
      <c r="Z1142" s="17">
        <v>43439</v>
      </c>
      <c r="AA1142" t="s">
        <v>3</v>
      </c>
      <c r="AB1142" t="s">
        <v>3237</v>
      </c>
    </row>
    <row r="1143" spans="1:28" hidden="1">
      <c r="A1143" t="s">
        <v>3144</v>
      </c>
      <c r="B1143" s="17">
        <v>43440</v>
      </c>
      <c r="C1143" s="17">
        <v>43440</v>
      </c>
      <c r="D1143" t="s">
        <v>0</v>
      </c>
      <c r="E1143" t="s">
        <v>1</v>
      </c>
      <c r="F1143" s="18">
        <v>-87851.85</v>
      </c>
      <c r="G1143" s="18">
        <v>-87851.85</v>
      </c>
      <c r="H1143" t="s">
        <v>2</v>
      </c>
      <c r="I1143" t="s">
        <v>8</v>
      </c>
      <c r="J1143" s="18">
        <v>-7287310.96</v>
      </c>
      <c r="K1143" t="s">
        <v>3145</v>
      </c>
      <c r="L1143" t="s">
        <v>4</v>
      </c>
      <c r="M1143" t="s">
        <v>3146</v>
      </c>
      <c r="N1143" t="s">
        <v>3</v>
      </c>
      <c r="O1143" t="s">
        <v>3</v>
      </c>
      <c r="P1143" t="s">
        <v>5</v>
      </c>
      <c r="Q1143" t="s">
        <v>3147</v>
      </c>
      <c r="R1143" t="s">
        <v>3</v>
      </c>
      <c r="S1143" t="s">
        <v>3</v>
      </c>
      <c r="T1143" t="s">
        <v>3</v>
      </c>
      <c r="U1143" t="s">
        <v>3</v>
      </c>
      <c r="V1143" t="s">
        <v>3</v>
      </c>
      <c r="W1143" t="s">
        <v>68</v>
      </c>
      <c r="X1143" s="17">
        <v>43587</v>
      </c>
      <c r="Y1143" t="s">
        <v>2464</v>
      </c>
      <c r="Z1143" s="17">
        <v>43440</v>
      </c>
      <c r="AA1143" t="s">
        <v>3</v>
      </c>
      <c r="AB1143" t="s">
        <v>3144</v>
      </c>
    </row>
    <row r="1144" spans="1:28" hidden="1">
      <c r="A1144" t="s">
        <v>3039</v>
      </c>
      <c r="B1144" s="17">
        <v>43440</v>
      </c>
      <c r="C1144" s="17">
        <v>43440</v>
      </c>
      <c r="D1144" t="s">
        <v>0</v>
      </c>
      <c r="E1144" t="s">
        <v>1</v>
      </c>
      <c r="F1144" s="18">
        <v>37953</v>
      </c>
      <c r="G1144" s="18">
        <v>37953</v>
      </c>
      <c r="H1144" t="s">
        <v>2</v>
      </c>
      <c r="I1144" t="s">
        <v>10</v>
      </c>
      <c r="J1144" s="18">
        <v>3146303.7</v>
      </c>
      <c r="K1144" t="s">
        <v>3221</v>
      </c>
      <c r="L1144" t="s">
        <v>9</v>
      </c>
      <c r="M1144" t="s">
        <v>3241</v>
      </c>
      <c r="N1144" t="s">
        <v>3</v>
      </c>
      <c r="O1144" t="s">
        <v>3</v>
      </c>
      <c r="P1144" t="s">
        <v>5</v>
      </c>
      <c r="Q1144" t="s">
        <v>3242</v>
      </c>
      <c r="R1144" t="s">
        <v>3</v>
      </c>
      <c r="S1144" t="s">
        <v>3</v>
      </c>
      <c r="T1144" t="s">
        <v>3</v>
      </c>
      <c r="U1144" t="s">
        <v>3</v>
      </c>
      <c r="V1144" t="s">
        <v>3</v>
      </c>
      <c r="W1144" t="s">
        <v>68</v>
      </c>
      <c r="X1144" s="17">
        <v>43646</v>
      </c>
      <c r="Y1144" t="s">
        <v>2495</v>
      </c>
      <c r="Z1144" s="17">
        <v>43440</v>
      </c>
      <c r="AA1144" t="s">
        <v>3</v>
      </c>
      <c r="AB1144" t="s">
        <v>3039</v>
      </c>
    </row>
    <row r="1145" spans="1:28" hidden="1">
      <c r="A1145" t="s">
        <v>3039</v>
      </c>
      <c r="B1145" s="17">
        <v>43440</v>
      </c>
      <c r="C1145" s="17">
        <v>43440</v>
      </c>
      <c r="D1145" t="s">
        <v>0</v>
      </c>
      <c r="E1145" t="s">
        <v>1</v>
      </c>
      <c r="F1145" s="18">
        <v>1810</v>
      </c>
      <c r="G1145" s="18">
        <v>1810</v>
      </c>
      <c r="H1145" t="s">
        <v>2</v>
      </c>
      <c r="I1145" t="s">
        <v>10</v>
      </c>
      <c r="J1145" s="18">
        <v>149868</v>
      </c>
      <c r="K1145" t="s">
        <v>3224</v>
      </c>
      <c r="L1145" t="s">
        <v>9</v>
      </c>
      <c r="M1145" t="s">
        <v>3241</v>
      </c>
      <c r="N1145" t="s">
        <v>3</v>
      </c>
      <c r="O1145" t="s">
        <v>3</v>
      </c>
      <c r="P1145" t="s">
        <v>5</v>
      </c>
      <c r="Q1145" t="s">
        <v>3242</v>
      </c>
      <c r="R1145" t="s">
        <v>3</v>
      </c>
      <c r="S1145" t="s">
        <v>3</v>
      </c>
      <c r="T1145" t="s">
        <v>3</v>
      </c>
      <c r="U1145" t="s">
        <v>3</v>
      </c>
      <c r="V1145" t="s">
        <v>3</v>
      </c>
      <c r="W1145" t="s">
        <v>68</v>
      </c>
      <c r="X1145" s="17">
        <v>43646</v>
      </c>
      <c r="Y1145" t="s">
        <v>2499</v>
      </c>
      <c r="Z1145" s="17">
        <v>43440</v>
      </c>
      <c r="AA1145" t="s">
        <v>3</v>
      </c>
      <c r="AB1145" t="s">
        <v>3039</v>
      </c>
    </row>
    <row r="1146" spans="1:28" hidden="1">
      <c r="A1146" t="s">
        <v>3039</v>
      </c>
      <c r="B1146" s="17">
        <v>43440</v>
      </c>
      <c r="C1146" s="17">
        <v>43440</v>
      </c>
      <c r="D1146" t="s">
        <v>0</v>
      </c>
      <c r="E1146" t="s">
        <v>1</v>
      </c>
      <c r="F1146" s="18">
        <v>17397</v>
      </c>
      <c r="G1146" s="18">
        <v>17397</v>
      </c>
      <c r="H1146" t="s">
        <v>2</v>
      </c>
      <c r="I1146" t="s">
        <v>10</v>
      </c>
      <c r="J1146" s="18">
        <v>1440471.6</v>
      </c>
      <c r="K1146" t="s">
        <v>3225</v>
      </c>
      <c r="L1146" t="s">
        <v>9</v>
      </c>
      <c r="M1146" t="s">
        <v>3241</v>
      </c>
      <c r="N1146" t="s">
        <v>3</v>
      </c>
      <c r="O1146" t="s">
        <v>3</v>
      </c>
      <c r="P1146" t="s">
        <v>5</v>
      </c>
      <c r="Q1146" t="s">
        <v>3242</v>
      </c>
      <c r="R1146" t="s">
        <v>3</v>
      </c>
      <c r="S1146" t="s">
        <v>3</v>
      </c>
      <c r="T1146" t="s">
        <v>3</v>
      </c>
      <c r="U1146" t="s">
        <v>3</v>
      </c>
      <c r="V1146" t="s">
        <v>3</v>
      </c>
      <c r="W1146" t="s">
        <v>68</v>
      </c>
      <c r="X1146" s="17">
        <v>43646</v>
      </c>
      <c r="Y1146" t="s">
        <v>2502</v>
      </c>
      <c r="Z1146" s="17">
        <v>43440</v>
      </c>
      <c r="AA1146" t="s">
        <v>3</v>
      </c>
      <c r="AB1146" t="s">
        <v>3039</v>
      </c>
    </row>
    <row r="1147" spans="1:28" hidden="1">
      <c r="A1147" t="s">
        <v>3039</v>
      </c>
      <c r="B1147" s="17">
        <v>43440</v>
      </c>
      <c r="C1147" s="17">
        <v>43440</v>
      </c>
      <c r="D1147" t="s">
        <v>0</v>
      </c>
      <c r="E1147" t="s">
        <v>1</v>
      </c>
      <c r="F1147" s="18">
        <v>7052</v>
      </c>
      <c r="G1147" s="18">
        <v>7052</v>
      </c>
      <c r="H1147" t="s">
        <v>2</v>
      </c>
      <c r="I1147" t="s">
        <v>10</v>
      </c>
      <c r="J1147" s="18">
        <v>583905.6</v>
      </c>
      <c r="K1147" t="s">
        <v>3243</v>
      </c>
      <c r="L1147" t="s">
        <v>9</v>
      </c>
      <c r="M1147" t="s">
        <v>3241</v>
      </c>
      <c r="N1147" t="s">
        <v>3</v>
      </c>
      <c r="O1147" t="s">
        <v>3</v>
      </c>
      <c r="P1147" t="s">
        <v>5</v>
      </c>
      <c r="Q1147" t="s">
        <v>3242</v>
      </c>
      <c r="R1147" t="s">
        <v>3</v>
      </c>
      <c r="S1147" t="s">
        <v>3</v>
      </c>
      <c r="T1147" t="s">
        <v>3</v>
      </c>
      <c r="U1147" t="s">
        <v>3</v>
      </c>
      <c r="V1147" t="s">
        <v>3</v>
      </c>
      <c r="W1147" t="s">
        <v>68</v>
      </c>
      <c r="X1147" s="17">
        <v>43522</v>
      </c>
      <c r="Y1147" t="s">
        <v>2399</v>
      </c>
      <c r="Z1147" s="17">
        <v>43440</v>
      </c>
      <c r="AA1147" t="s">
        <v>3</v>
      </c>
      <c r="AB1147" t="s">
        <v>3039</v>
      </c>
    </row>
    <row r="1148" spans="1:28" hidden="1">
      <c r="A1148" t="s">
        <v>3039</v>
      </c>
      <c r="B1148" s="17">
        <v>43440</v>
      </c>
      <c r="C1148" s="17">
        <v>43440</v>
      </c>
      <c r="D1148" t="s">
        <v>0</v>
      </c>
      <c r="E1148" t="s">
        <v>1</v>
      </c>
      <c r="F1148" s="18">
        <v>11437</v>
      </c>
      <c r="G1148" s="18">
        <v>11437</v>
      </c>
      <c r="H1148" t="s">
        <v>2</v>
      </c>
      <c r="I1148" t="s">
        <v>10</v>
      </c>
      <c r="J1148" s="18">
        <v>948127.3</v>
      </c>
      <c r="K1148" t="s">
        <v>3244</v>
      </c>
      <c r="L1148" t="s">
        <v>9</v>
      </c>
      <c r="M1148" t="s">
        <v>3241</v>
      </c>
      <c r="N1148" t="s">
        <v>3</v>
      </c>
      <c r="O1148" t="s">
        <v>3</v>
      </c>
      <c r="P1148" t="s">
        <v>5</v>
      </c>
      <c r="Q1148" t="s">
        <v>3242</v>
      </c>
      <c r="R1148" t="s">
        <v>3</v>
      </c>
      <c r="S1148" t="s">
        <v>3</v>
      </c>
      <c r="T1148" t="s">
        <v>3</v>
      </c>
      <c r="U1148" t="s">
        <v>3</v>
      </c>
      <c r="V1148" t="s">
        <v>3</v>
      </c>
      <c r="W1148" t="s">
        <v>68</v>
      </c>
      <c r="X1148" s="17">
        <v>43440</v>
      </c>
      <c r="Y1148" t="s">
        <v>3039</v>
      </c>
      <c r="Z1148" s="17">
        <v>43440</v>
      </c>
      <c r="AA1148" t="s">
        <v>3</v>
      </c>
      <c r="AB1148" t="s">
        <v>3039</v>
      </c>
    </row>
    <row r="1149" spans="1:28" hidden="1">
      <c r="A1149" t="s">
        <v>3148</v>
      </c>
      <c r="B1149" s="17">
        <v>43444</v>
      </c>
      <c r="C1149" s="17">
        <v>43444</v>
      </c>
      <c r="D1149" t="s">
        <v>0</v>
      </c>
      <c r="E1149" t="s">
        <v>1</v>
      </c>
      <c r="F1149" s="18">
        <v>11324.95</v>
      </c>
      <c r="G1149" s="18">
        <v>11324.95</v>
      </c>
      <c r="H1149" t="s">
        <v>2</v>
      </c>
      <c r="I1149" t="s">
        <v>8</v>
      </c>
      <c r="J1149" s="18">
        <v>939404.6</v>
      </c>
      <c r="K1149" t="s">
        <v>3149</v>
      </c>
      <c r="L1149" t="s">
        <v>4</v>
      </c>
      <c r="M1149" t="s">
        <v>3150</v>
      </c>
      <c r="N1149" t="s">
        <v>3</v>
      </c>
      <c r="O1149" t="s">
        <v>3</v>
      </c>
      <c r="P1149" t="s">
        <v>5</v>
      </c>
      <c r="Q1149" t="s">
        <v>3151</v>
      </c>
      <c r="R1149" t="s">
        <v>3</v>
      </c>
      <c r="S1149" t="s">
        <v>3</v>
      </c>
      <c r="T1149" t="s">
        <v>3</v>
      </c>
      <c r="U1149" t="s">
        <v>3</v>
      </c>
      <c r="V1149" t="s">
        <v>3</v>
      </c>
      <c r="W1149" t="s">
        <v>68</v>
      </c>
      <c r="X1149" s="17">
        <v>43587</v>
      </c>
      <c r="Y1149" t="s">
        <v>2464</v>
      </c>
      <c r="Z1149" s="17">
        <v>43444</v>
      </c>
      <c r="AA1149" t="s">
        <v>3</v>
      </c>
      <c r="AB1149" t="s">
        <v>3148</v>
      </c>
    </row>
    <row r="1150" spans="1:28" hidden="1">
      <c r="A1150" t="s">
        <v>3152</v>
      </c>
      <c r="B1150" s="17">
        <v>43444</v>
      </c>
      <c r="C1150" s="17">
        <v>43444</v>
      </c>
      <c r="D1150" t="s">
        <v>0</v>
      </c>
      <c r="E1150" t="s">
        <v>1</v>
      </c>
      <c r="F1150" s="18">
        <v>7202.86</v>
      </c>
      <c r="G1150" s="18">
        <v>7202.86</v>
      </c>
      <c r="H1150" t="s">
        <v>2</v>
      </c>
      <c r="I1150" t="s">
        <v>8</v>
      </c>
      <c r="J1150" s="18">
        <v>597477.24</v>
      </c>
      <c r="K1150" t="s">
        <v>3149</v>
      </c>
      <c r="L1150" t="s">
        <v>4</v>
      </c>
      <c r="M1150" t="s">
        <v>3153</v>
      </c>
      <c r="N1150" t="s">
        <v>3</v>
      </c>
      <c r="O1150" t="s">
        <v>3</v>
      </c>
      <c r="P1150" t="s">
        <v>5</v>
      </c>
      <c r="Q1150" t="s">
        <v>3154</v>
      </c>
      <c r="R1150" t="s">
        <v>3</v>
      </c>
      <c r="S1150" t="s">
        <v>3</v>
      </c>
      <c r="T1150" t="s">
        <v>3</v>
      </c>
      <c r="U1150" t="s">
        <v>3</v>
      </c>
      <c r="V1150" t="s">
        <v>3</v>
      </c>
      <c r="W1150" t="s">
        <v>68</v>
      </c>
      <c r="X1150" s="17">
        <v>43587</v>
      </c>
      <c r="Y1150" t="s">
        <v>2464</v>
      </c>
      <c r="Z1150" s="17">
        <v>43444</v>
      </c>
      <c r="AA1150" t="s">
        <v>3</v>
      </c>
      <c r="AB1150" t="s">
        <v>3152</v>
      </c>
    </row>
    <row r="1151" spans="1:28" hidden="1">
      <c r="A1151" t="s">
        <v>3155</v>
      </c>
      <c r="B1151" s="17">
        <v>43445</v>
      </c>
      <c r="C1151" s="17">
        <v>43445</v>
      </c>
      <c r="D1151" t="s">
        <v>0</v>
      </c>
      <c r="E1151" t="s">
        <v>1</v>
      </c>
      <c r="F1151" s="18">
        <v>449139</v>
      </c>
      <c r="G1151" s="18">
        <v>449139</v>
      </c>
      <c r="H1151" t="s">
        <v>2</v>
      </c>
      <c r="I1151" t="s">
        <v>8</v>
      </c>
      <c r="J1151" s="18">
        <v>37256080.049999997</v>
      </c>
      <c r="K1151" t="s">
        <v>3156</v>
      </c>
      <c r="L1151" t="s">
        <v>9</v>
      </c>
      <c r="M1151" t="s">
        <v>3157</v>
      </c>
      <c r="N1151" t="s">
        <v>3</v>
      </c>
      <c r="O1151" t="s">
        <v>3</v>
      </c>
      <c r="P1151" t="s">
        <v>5</v>
      </c>
      <c r="Q1151" t="s">
        <v>3158</v>
      </c>
      <c r="R1151" t="s">
        <v>3</v>
      </c>
      <c r="S1151" t="s">
        <v>3</v>
      </c>
      <c r="T1151" t="s">
        <v>3</v>
      </c>
      <c r="U1151" t="s">
        <v>3</v>
      </c>
      <c r="V1151" t="s">
        <v>3</v>
      </c>
      <c r="W1151" t="s">
        <v>68</v>
      </c>
      <c r="X1151" s="17">
        <v>43587</v>
      </c>
      <c r="Y1151" t="s">
        <v>2422</v>
      </c>
      <c r="Z1151" s="17">
        <v>43445</v>
      </c>
      <c r="AA1151" t="s">
        <v>3</v>
      </c>
      <c r="AB1151" t="s">
        <v>3155</v>
      </c>
    </row>
    <row r="1152" spans="1:28" hidden="1">
      <c r="A1152" t="s">
        <v>3155</v>
      </c>
      <c r="B1152" s="17">
        <v>43445</v>
      </c>
      <c r="C1152" s="17">
        <v>43445</v>
      </c>
      <c r="D1152" t="s">
        <v>0</v>
      </c>
      <c r="E1152" t="s">
        <v>1</v>
      </c>
      <c r="F1152" s="18">
        <v>192276</v>
      </c>
      <c r="G1152" s="18">
        <v>192276</v>
      </c>
      <c r="H1152" t="s">
        <v>2</v>
      </c>
      <c r="I1152" t="s">
        <v>8</v>
      </c>
      <c r="J1152" s="18">
        <v>15949294.199999999</v>
      </c>
      <c r="K1152" t="s">
        <v>3132</v>
      </c>
      <c r="L1152" t="s">
        <v>9</v>
      </c>
      <c r="M1152" t="s">
        <v>3157</v>
      </c>
      <c r="N1152" t="s">
        <v>3</v>
      </c>
      <c r="O1152" t="s">
        <v>3</v>
      </c>
      <c r="P1152" t="s">
        <v>5</v>
      </c>
      <c r="Q1152" t="s">
        <v>3158</v>
      </c>
      <c r="R1152" t="s">
        <v>3</v>
      </c>
      <c r="S1152" t="s">
        <v>3</v>
      </c>
      <c r="T1152" t="s">
        <v>3</v>
      </c>
      <c r="U1152" t="s">
        <v>3</v>
      </c>
      <c r="V1152" t="s">
        <v>3</v>
      </c>
      <c r="W1152" t="s">
        <v>68</v>
      </c>
      <c r="X1152" s="17">
        <v>43587</v>
      </c>
      <c r="Y1152" t="s">
        <v>2426</v>
      </c>
      <c r="Z1152" s="17">
        <v>43445</v>
      </c>
      <c r="AA1152" t="s">
        <v>3</v>
      </c>
      <c r="AB1152" t="s">
        <v>3155</v>
      </c>
    </row>
    <row r="1153" spans="1:28" hidden="1">
      <c r="A1153" t="s">
        <v>3245</v>
      </c>
      <c r="B1153" s="17">
        <v>43445</v>
      </c>
      <c r="C1153" s="17">
        <v>43445</v>
      </c>
      <c r="D1153" t="s">
        <v>0</v>
      </c>
      <c r="E1153" t="s">
        <v>1</v>
      </c>
      <c r="F1153" s="18">
        <v>-76439</v>
      </c>
      <c r="G1153" s="18">
        <v>-76439</v>
      </c>
      <c r="H1153" t="s">
        <v>2</v>
      </c>
      <c r="I1153" t="s">
        <v>10</v>
      </c>
      <c r="J1153" s="18">
        <v>-6340615.0499999998</v>
      </c>
      <c r="K1153" t="s">
        <v>3246</v>
      </c>
      <c r="L1153" t="s">
        <v>9</v>
      </c>
      <c r="M1153" t="s">
        <v>3247</v>
      </c>
      <c r="N1153" t="s">
        <v>3</v>
      </c>
      <c r="O1153" t="s">
        <v>3</v>
      </c>
      <c r="P1153" t="s">
        <v>5</v>
      </c>
      <c r="Q1153" t="s">
        <v>3248</v>
      </c>
      <c r="R1153" t="s">
        <v>3</v>
      </c>
      <c r="S1153" t="s">
        <v>3</v>
      </c>
      <c r="T1153" t="s">
        <v>3</v>
      </c>
      <c r="U1153" t="s">
        <v>3</v>
      </c>
      <c r="V1153" t="s">
        <v>3</v>
      </c>
      <c r="W1153" t="s">
        <v>68</v>
      </c>
      <c r="X1153" s="17">
        <v>43519</v>
      </c>
      <c r="Y1153" t="s">
        <v>2375</v>
      </c>
      <c r="Z1153" s="17">
        <v>43445</v>
      </c>
      <c r="AA1153" t="s">
        <v>3</v>
      </c>
      <c r="AB1153" t="s">
        <v>3245</v>
      </c>
    </row>
    <row r="1154" spans="1:28" hidden="1">
      <c r="A1154" t="s">
        <v>3159</v>
      </c>
      <c r="B1154" s="17">
        <v>43446</v>
      </c>
      <c r="C1154" s="17">
        <v>43446</v>
      </c>
      <c r="D1154" t="s">
        <v>0</v>
      </c>
      <c r="E1154" t="s">
        <v>1</v>
      </c>
      <c r="F1154" s="18">
        <v>-100338</v>
      </c>
      <c r="G1154" s="18">
        <v>-100338</v>
      </c>
      <c r="H1154" t="s">
        <v>2</v>
      </c>
      <c r="I1154" t="s">
        <v>8</v>
      </c>
      <c r="J1154" s="18">
        <v>-8323037.0999999996</v>
      </c>
      <c r="K1154" t="s">
        <v>3160</v>
      </c>
      <c r="L1154" t="s">
        <v>9</v>
      </c>
      <c r="M1154" t="s">
        <v>3161</v>
      </c>
      <c r="N1154" t="s">
        <v>3</v>
      </c>
      <c r="O1154" t="s">
        <v>3</v>
      </c>
      <c r="P1154" t="s">
        <v>5</v>
      </c>
      <c r="Q1154" t="s">
        <v>3162</v>
      </c>
      <c r="R1154" t="s">
        <v>3</v>
      </c>
      <c r="S1154" t="s">
        <v>3</v>
      </c>
      <c r="T1154" t="s">
        <v>3</v>
      </c>
      <c r="U1154" t="s">
        <v>3</v>
      </c>
      <c r="V1154" t="s">
        <v>3</v>
      </c>
      <c r="W1154" t="s">
        <v>68</v>
      </c>
      <c r="X1154" s="17">
        <v>43587</v>
      </c>
      <c r="Y1154" t="s">
        <v>2460</v>
      </c>
      <c r="Z1154" s="17">
        <v>43446</v>
      </c>
      <c r="AA1154" t="s">
        <v>3</v>
      </c>
      <c r="AB1154" t="s">
        <v>3159</v>
      </c>
    </row>
    <row r="1155" spans="1:28" hidden="1">
      <c r="A1155" t="s">
        <v>3163</v>
      </c>
      <c r="B1155" s="17">
        <v>43447</v>
      </c>
      <c r="C1155" s="17">
        <v>43447</v>
      </c>
      <c r="D1155" t="s">
        <v>0</v>
      </c>
      <c r="E1155" t="s">
        <v>1</v>
      </c>
      <c r="F1155" s="18">
        <v>18628.580000000002</v>
      </c>
      <c r="G1155" s="18">
        <v>18628.580000000002</v>
      </c>
      <c r="H1155" t="s">
        <v>2</v>
      </c>
      <c r="I1155" t="s">
        <v>8</v>
      </c>
      <c r="J1155" s="18">
        <v>1545240.71</v>
      </c>
      <c r="K1155" t="s">
        <v>3149</v>
      </c>
      <c r="L1155" t="s">
        <v>4</v>
      </c>
      <c r="M1155" t="s">
        <v>3164</v>
      </c>
      <c r="N1155" t="s">
        <v>3</v>
      </c>
      <c r="O1155" t="s">
        <v>3</v>
      </c>
      <c r="P1155" t="s">
        <v>5</v>
      </c>
      <c r="Q1155" t="s">
        <v>3165</v>
      </c>
      <c r="R1155" t="s">
        <v>3</v>
      </c>
      <c r="S1155" t="s">
        <v>3</v>
      </c>
      <c r="T1155" t="s">
        <v>3</v>
      </c>
      <c r="U1155" t="s">
        <v>3</v>
      </c>
      <c r="V1155" t="s">
        <v>3</v>
      </c>
      <c r="W1155" t="s">
        <v>68</v>
      </c>
      <c r="X1155" s="17">
        <v>43587</v>
      </c>
      <c r="Y1155" t="s">
        <v>2464</v>
      </c>
      <c r="Z1155" s="17">
        <v>43447</v>
      </c>
      <c r="AA1155" t="s">
        <v>3</v>
      </c>
      <c r="AB1155" t="s">
        <v>3163</v>
      </c>
    </row>
    <row r="1156" spans="1:28" hidden="1">
      <c r="A1156" t="s">
        <v>3249</v>
      </c>
      <c r="B1156" s="17">
        <v>43447</v>
      </c>
      <c r="C1156" s="17">
        <v>43447</v>
      </c>
      <c r="D1156" t="s">
        <v>0</v>
      </c>
      <c r="E1156" t="s">
        <v>1</v>
      </c>
      <c r="F1156" s="18">
        <v>553</v>
      </c>
      <c r="G1156" s="18">
        <v>553</v>
      </c>
      <c r="H1156" t="s">
        <v>2</v>
      </c>
      <c r="I1156" t="s">
        <v>10</v>
      </c>
      <c r="J1156" s="18">
        <v>45871.35</v>
      </c>
      <c r="K1156" t="s">
        <v>3250</v>
      </c>
      <c r="L1156" t="s">
        <v>9</v>
      </c>
      <c r="M1156" t="s">
        <v>3251</v>
      </c>
      <c r="N1156" t="s">
        <v>3</v>
      </c>
      <c r="O1156" t="s">
        <v>3</v>
      </c>
      <c r="P1156" t="s">
        <v>5</v>
      </c>
      <c r="Q1156" t="s">
        <v>3252</v>
      </c>
      <c r="R1156" t="s">
        <v>3</v>
      </c>
      <c r="S1156" t="s">
        <v>3</v>
      </c>
      <c r="T1156" t="s">
        <v>3</v>
      </c>
      <c r="U1156" t="s">
        <v>3</v>
      </c>
      <c r="V1156" t="s">
        <v>3</v>
      </c>
      <c r="W1156" t="s">
        <v>68</v>
      </c>
      <c r="X1156" s="17">
        <v>43519</v>
      </c>
      <c r="Y1156" t="s">
        <v>2396</v>
      </c>
      <c r="Z1156" s="17">
        <v>43447</v>
      </c>
      <c r="AA1156" t="s">
        <v>3</v>
      </c>
      <c r="AB1156" t="s">
        <v>3249</v>
      </c>
    </row>
    <row r="1157" spans="1:28" hidden="1">
      <c r="A1157" t="s">
        <v>3253</v>
      </c>
      <c r="B1157" s="17">
        <v>43447</v>
      </c>
      <c r="C1157" s="17">
        <v>43447</v>
      </c>
      <c r="D1157" t="s">
        <v>0</v>
      </c>
      <c r="E1157" t="s">
        <v>1</v>
      </c>
      <c r="F1157" s="18">
        <v>11676</v>
      </c>
      <c r="G1157" s="18">
        <v>11676</v>
      </c>
      <c r="H1157" t="s">
        <v>2</v>
      </c>
      <c r="I1157" t="s">
        <v>10</v>
      </c>
      <c r="J1157" s="18">
        <v>968524.2</v>
      </c>
      <c r="K1157" t="s">
        <v>3250</v>
      </c>
      <c r="L1157" t="s">
        <v>9</v>
      </c>
      <c r="M1157" t="s">
        <v>3254</v>
      </c>
      <c r="N1157" t="s">
        <v>3</v>
      </c>
      <c r="O1157" t="s">
        <v>3</v>
      </c>
      <c r="P1157" t="s">
        <v>5</v>
      </c>
      <c r="Q1157" t="s">
        <v>3255</v>
      </c>
      <c r="R1157" t="s">
        <v>3</v>
      </c>
      <c r="S1157" t="s">
        <v>3</v>
      </c>
      <c r="T1157" t="s">
        <v>3</v>
      </c>
      <c r="U1157" t="s">
        <v>3</v>
      </c>
      <c r="V1157" t="s">
        <v>3</v>
      </c>
      <c r="W1157" t="s">
        <v>68</v>
      </c>
      <c r="X1157" s="17">
        <v>43519</v>
      </c>
      <c r="Y1157" t="s">
        <v>2396</v>
      </c>
      <c r="Z1157" s="17">
        <v>43447</v>
      </c>
      <c r="AA1157" t="s">
        <v>3</v>
      </c>
      <c r="AB1157" t="s">
        <v>3253</v>
      </c>
    </row>
    <row r="1158" spans="1:28" hidden="1">
      <c r="A1158" t="s">
        <v>3166</v>
      </c>
      <c r="B1158" s="17">
        <v>43451</v>
      </c>
      <c r="C1158" s="17">
        <v>43451</v>
      </c>
      <c r="D1158" t="s">
        <v>0</v>
      </c>
      <c r="E1158" t="s">
        <v>1</v>
      </c>
      <c r="F1158" s="18">
        <v>-312000</v>
      </c>
      <c r="G1158" s="18">
        <v>-312000</v>
      </c>
      <c r="H1158" t="s">
        <v>2</v>
      </c>
      <c r="I1158" t="s">
        <v>8</v>
      </c>
      <c r="J1158" s="18">
        <v>-25880400</v>
      </c>
      <c r="K1158" t="s">
        <v>3167</v>
      </c>
      <c r="L1158" t="s">
        <v>9</v>
      </c>
      <c r="M1158" t="s">
        <v>3168</v>
      </c>
      <c r="N1158" t="s">
        <v>3</v>
      </c>
      <c r="O1158" t="s">
        <v>3</v>
      </c>
      <c r="P1158" t="s">
        <v>5</v>
      </c>
      <c r="Q1158" t="s">
        <v>3169</v>
      </c>
      <c r="R1158" t="s">
        <v>3</v>
      </c>
      <c r="S1158" t="s">
        <v>3</v>
      </c>
      <c r="T1158" t="s">
        <v>3</v>
      </c>
      <c r="U1158" t="s">
        <v>3</v>
      </c>
      <c r="V1158" t="s">
        <v>3</v>
      </c>
      <c r="W1158" t="s">
        <v>68</v>
      </c>
      <c r="X1158" s="17">
        <v>43587</v>
      </c>
      <c r="Y1158" t="s">
        <v>2435</v>
      </c>
      <c r="Z1158" s="17">
        <v>43451</v>
      </c>
      <c r="AA1158" t="s">
        <v>3</v>
      </c>
      <c r="AB1158" t="s">
        <v>3166</v>
      </c>
    </row>
    <row r="1159" spans="1:28" hidden="1">
      <c r="A1159" t="s">
        <v>3170</v>
      </c>
      <c r="B1159" s="17">
        <v>43451</v>
      </c>
      <c r="C1159" s="17">
        <v>43451</v>
      </c>
      <c r="D1159" t="s">
        <v>0</v>
      </c>
      <c r="E1159" t="s">
        <v>1</v>
      </c>
      <c r="F1159" s="18">
        <v>-180148</v>
      </c>
      <c r="G1159" s="18">
        <v>-180148</v>
      </c>
      <c r="H1159" t="s">
        <v>2</v>
      </c>
      <c r="I1159" t="s">
        <v>8</v>
      </c>
      <c r="J1159" s="18">
        <v>-14943276.6</v>
      </c>
      <c r="K1159" t="s">
        <v>3171</v>
      </c>
      <c r="L1159" t="s">
        <v>9</v>
      </c>
      <c r="M1159" t="s">
        <v>3172</v>
      </c>
      <c r="N1159" t="s">
        <v>3</v>
      </c>
      <c r="O1159" t="s">
        <v>3</v>
      </c>
      <c r="P1159" t="s">
        <v>5</v>
      </c>
      <c r="Q1159" t="s">
        <v>3173</v>
      </c>
      <c r="R1159" t="s">
        <v>3</v>
      </c>
      <c r="S1159" t="s">
        <v>3</v>
      </c>
      <c r="T1159" t="s">
        <v>3</v>
      </c>
      <c r="U1159" t="s">
        <v>3</v>
      </c>
      <c r="V1159" t="s">
        <v>3</v>
      </c>
      <c r="W1159" t="s">
        <v>68</v>
      </c>
      <c r="X1159" s="17">
        <v>43587</v>
      </c>
      <c r="Y1159" t="s">
        <v>2450</v>
      </c>
      <c r="Z1159" s="17">
        <v>43451</v>
      </c>
      <c r="AA1159" t="s">
        <v>3</v>
      </c>
      <c r="AB1159" t="s">
        <v>3170</v>
      </c>
    </row>
    <row r="1160" spans="1:28" hidden="1">
      <c r="A1160" t="s">
        <v>3174</v>
      </c>
      <c r="B1160" s="17">
        <v>43453</v>
      </c>
      <c r="C1160" s="17">
        <v>43453</v>
      </c>
      <c r="D1160" t="s">
        <v>0</v>
      </c>
      <c r="E1160" t="s">
        <v>1</v>
      </c>
      <c r="F1160" s="18">
        <v>16338.82</v>
      </c>
      <c r="G1160" s="18">
        <v>16338.82</v>
      </c>
      <c r="H1160" t="s">
        <v>2</v>
      </c>
      <c r="I1160" t="s">
        <v>8</v>
      </c>
      <c r="J1160" s="18">
        <v>1355305.12</v>
      </c>
      <c r="K1160" t="s">
        <v>3145</v>
      </c>
      <c r="L1160" t="s">
        <v>4</v>
      </c>
      <c r="M1160" t="s">
        <v>3175</v>
      </c>
      <c r="N1160" t="s">
        <v>3</v>
      </c>
      <c r="O1160" t="s">
        <v>3</v>
      </c>
      <c r="P1160" t="s">
        <v>5</v>
      </c>
      <c r="Q1160" t="s">
        <v>3176</v>
      </c>
      <c r="R1160" t="s">
        <v>3</v>
      </c>
      <c r="S1160" t="s">
        <v>3</v>
      </c>
      <c r="T1160" t="s">
        <v>3</v>
      </c>
      <c r="U1160" t="s">
        <v>3</v>
      </c>
      <c r="V1160" t="s">
        <v>3</v>
      </c>
      <c r="W1160" t="s">
        <v>68</v>
      </c>
      <c r="X1160" s="17">
        <v>43587</v>
      </c>
      <c r="Y1160" t="s">
        <v>2464</v>
      </c>
      <c r="Z1160" s="17">
        <v>43453</v>
      </c>
      <c r="AA1160" t="s">
        <v>3</v>
      </c>
      <c r="AB1160" t="s">
        <v>3174</v>
      </c>
    </row>
    <row r="1161" spans="1:28" hidden="1">
      <c r="A1161" t="s">
        <v>3256</v>
      </c>
      <c r="B1161" s="17">
        <v>43453</v>
      </c>
      <c r="C1161" s="17">
        <v>43453</v>
      </c>
      <c r="D1161" t="s">
        <v>0</v>
      </c>
      <c r="E1161" t="s">
        <v>1</v>
      </c>
      <c r="F1161" s="18">
        <v>6290</v>
      </c>
      <c r="G1161" s="18">
        <v>6290</v>
      </c>
      <c r="H1161" t="s">
        <v>2</v>
      </c>
      <c r="I1161" t="s">
        <v>10</v>
      </c>
      <c r="J1161" s="18">
        <v>521441</v>
      </c>
      <c r="K1161" t="s">
        <v>3221</v>
      </c>
      <c r="L1161" t="s">
        <v>9</v>
      </c>
      <c r="M1161" t="s">
        <v>3257</v>
      </c>
      <c r="N1161" t="s">
        <v>3</v>
      </c>
      <c r="O1161" t="s">
        <v>3</v>
      </c>
      <c r="P1161" t="s">
        <v>5</v>
      </c>
      <c r="Q1161" t="s">
        <v>3258</v>
      </c>
      <c r="R1161" t="s">
        <v>3</v>
      </c>
      <c r="S1161" t="s">
        <v>3</v>
      </c>
      <c r="T1161" t="s">
        <v>3</v>
      </c>
      <c r="U1161" t="s">
        <v>3</v>
      </c>
      <c r="V1161" t="s">
        <v>3</v>
      </c>
      <c r="W1161" t="s">
        <v>68</v>
      </c>
      <c r="X1161" s="17">
        <v>43646</v>
      </c>
      <c r="Y1161" t="s">
        <v>2495</v>
      </c>
      <c r="Z1161" s="17">
        <v>43453</v>
      </c>
      <c r="AA1161" t="s">
        <v>3</v>
      </c>
      <c r="AB1161" t="s">
        <v>3256</v>
      </c>
    </row>
    <row r="1162" spans="1:28" hidden="1">
      <c r="A1162" t="s">
        <v>3256</v>
      </c>
      <c r="B1162" s="17">
        <v>43453</v>
      </c>
      <c r="C1162" s="17">
        <v>43453</v>
      </c>
      <c r="D1162" t="s">
        <v>0</v>
      </c>
      <c r="E1162" t="s">
        <v>1</v>
      </c>
      <c r="F1162" s="18">
        <v>25227</v>
      </c>
      <c r="G1162" s="18">
        <v>25227</v>
      </c>
      <c r="H1162" t="s">
        <v>2</v>
      </c>
      <c r="I1162" t="s">
        <v>10</v>
      </c>
      <c r="J1162" s="18">
        <v>2092579.65</v>
      </c>
      <c r="K1162" t="s">
        <v>3259</v>
      </c>
      <c r="L1162" t="s">
        <v>9</v>
      </c>
      <c r="M1162" t="s">
        <v>3257</v>
      </c>
      <c r="N1162" t="s">
        <v>3</v>
      </c>
      <c r="O1162" t="s">
        <v>3</v>
      </c>
      <c r="P1162" t="s">
        <v>5</v>
      </c>
      <c r="Q1162" t="s">
        <v>3258</v>
      </c>
      <c r="R1162" t="s">
        <v>3</v>
      </c>
      <c r="S1162" t="s">
        <v>3</v>
      </c>
      <c r="T1162" t="s">
        <v>3</v>
      </c>
      <c r="U1162" t="s">
        <v>3</v>
      </c>
      <c r="V1162" t="s">
        <v>3</v>
      </c>
      <c r="W1162" t="s">
        <v>68</v>
      </c>
      <c r="X1162" s="17">
        <v>43519</v>
      </c>
      <c r="Y1162" t="s">
        <v>2381</v>
      </c>
      <c r="Z1162" s="17">
        <v>43453</v>
      </c>
      <c r="AA1162" t="s">
        <v>3</v>
      </c>
      <c r="AB1162" t="s">
        <v>3256</v>
      </c>
    </row>
    <row r="1163" spans="1:28" hidden="1">
      <c r="A1163" t="s">
        <v>3256</v>
      </c>
      <c r="B1163" s="17">
        <v>43453</v>
      </c>
      <c r="C1163" s="17">
        <v>43453</v>
      </c>
      <c r="D1163" t="s">
        <v>0</v>
      </c>
      <c r="E1163" t="s">
        <v>1</v>
      </c>
      <c r="F1163" s="18">
        <v>38244.68</v>
      </c>
      <c r="G1163" s="18">
        <v>38244.68</v>
      </c>
      <c r="H1163" t="s">
        <v>2</v>
      </c>
      <c r="I1163" t="s">
        <v>10</v>
      </c>
      <c r="J1163" s="18">
        <v>3172396.21</v>
      </c>
      <c r="K1163" t="s">
        <v>3260</v>
      </c>
      <c r="L1163" t="s">
        <v>9</v>
      </c>
      <c r="M1163" t="s">
        <v>3257</v>
      </c>
      <c r="N1163" t="s">
        <v>3</v>
      </c>
      <c r="O1163" t="s">
        <v>3</v>
      </c>
      <c r="P1163" t="s">
        <v>5</v>
      </c>
      <c r="Q1163" t="s">
        <v>3258</v>
      </c>
      <c r="R1163" t="s">
        <v>3</v>
      </c>
      <c r="S1163" t="s">
        <v>3</v>
      </c>
      <c r="T1163" t="s">
        <v>3</v>
      </c>
      <c r="U1163" t="s">
        <v>3</v>
      </c>
      <c r="V1163" t="s">
        <v>3</v>
      </c>
      <c r="W1163" t="s">
        <v>68</v>
      </c>
      <c r="X1163" s="17">
        <v>43519</v>
      </c>
      <c r="Y1163" t="s">
        <v>2384</v>
      </c>
      <c r="Z1163" s="17">
        <v>43453</v>
      </c>
      <c r="AA1163" t="s">
        <v>3</v>
      </c>
      <c r="AB1163" t="s">
        <v>3256</v>
      </c>
    </row>
    <row r="1164" spans="1:28" hidden="1">
      <c r="A1164" t="s">
        <v>3256</v>
      </c>
      <c r="B1164" s="17">
        <v>43453</v>
      </c>
      <c r="C1164" s="17">
        <v>43453</v>
      </c>
      <c r="D1164" t="s">
        <v>0</v>
      </c>
      <c r="E1164" t="s">
        <v>1</v>
      </c>
      <c r="F1164" s="18">
        <v>1840</v>
      </c>
      <c r="G1164" s="18">
        <v>1840</v>
      </c>
      <c r="H1164" t="s">
        <v>2</v>
      </c>
      <c r="I1164" t="s">
        <v>10</v>
      </c>
      <c r="J1164" s="18">
        <v>152536</v>
      </c>
      <c r="K1164" t="s">
        <v>3261</v>
      </c>
      <c r="L1164" t="s">
        <v>9</v>
      </c>
      <c r="M1164" t="s">
        <v>3257</v>
      </c>
      <c r="N1164" t="s">
        <v>3</v>
      </c>
      <c r="O1164" t="s">
        <v>3</v>
      </c>
      <c r="P1164" t="s">
        <v>5</v>
      </c>
      <c r="Q1164" t="s">
        <v>3258</v>
      </c>
      <c r="R1164" t="s">
        <v>3</v>
      </c>
      <c r="S1164" t="s">
        <v>3</v>
      </c>
      <c r="T1164" t="s">
        <v>3</v>
      </c>
      <c r="U1164" t="s">
        <v>3</v>
      </c>
      <c r="V1164" t="s">
        <v>3</v>
      </c>
      <c r="W1164" t="s">
        <v>68</v>
      </c>
      <c r="X1164" s="17">
        <v>43522</v>
      </c>
      <c r="Y1164" t="s">
        <v>2408</v>
      </c>
      <c r="Z1164" s="17">
        <v>43453</v>
      </c>
      <c r="AA1164" t="s">
        <v>3</v>
      </c>
      <c r="AB1164" t="s">
        <v>3256</v>
      </c>
    </row>
    <row r="1165" spans="1:28" hidden="1">
      <c r="A1165" t="s">
        <v>3177</v>
      </c>
      <c r="B1165" s="17">
        <v>43454</v>
      </c>
      <c r="C1165" s="17">
        <v>43454</v>
      </c>
      <c r="D1165" t="s">
        <v>0</v>
      </c>
      <c r="E1165" t="s">
        <v>1</v>
      </c>
      <c r="F1165" s="18">
        <v>23568</v>
      </c>
      <c r="G1165" s="18">
        <v>23568</v>
      </c>
      <c r="H1165" t="s">
        <v>2</v>
      </c>
      <c r="I1165" t="s">
        <v>8</v>
      </c>
      <c r="J1165" s="18">
        <v>1954965.6</v>
      </c>
      <c r="K1165" t="s">
        <v>3115</v>
      </c>
      <c r="L1165" t="s">
        <v>9</v>
      </c>
      <c r="M1165" t="s">
        <v>3178</v>
      </c>
      <c r="N1165" t="s">
        <v>3</v>
      </c>
      <c r="O1165" t="s">
        <v>3</v>
      </c>
      <c r="P1165" t="s">
        <v>5</v>
      </c>
      <c r="Q1165" t="s">
        <v>3179</v>
      </c>
      <c r="R1165" t="s">
        <v>3</v>
      </c>
      <c r="S1165" t="s">
        <v>3</v>
      </c>
      <c r="T1165" t="s">
        <v>3</v>
      </c>
      <c r="U1165" t="s">
        <v>3</v>
      </c>
      <c r="V1165" t="s">
        <v>3</v>
      </c>
      <c r="W1165" t="s">
        <v>68</v>
      </c>
      <c r="X1165" s="17">
        <v>43587</v>
      </c>
      <c r="Y1165" t="s">
        <v>2422</v>
      </c>
      <c r="Z1165" s="17">
        <v>43454</v>
      </c>
      <c r="AA1165" t="s">
        <v>3</v>
      </c>
      <c r="AB1165" t="s">
        <v>3177</v>
      </c>
    </row>
    <row r="1166" spans="1:28" hidden="1">
      <c r="A1166" t="s">
        <v>3180</v>
      </c>
      <c r="B1166" s="17">
        <v>43454</v>
      </c>
      <c r="C1166" s="17">
        <v>43454</v>
      </c>
      <c r="D1166" t="s">
        <v>0</v>
      </c>
      <c r="E1166" t="s">
        <v>1</v>
      </c>
      <c r="F1166" s="18">
        <v>48483</v>
      </c>
      <c r="G1166" s="18">
        <v>48483</v>
      </c>
      <c r="H1166" t="s">
        <v>2</v>
      </c>
      <c r="I1166" t="s">
        <v>8</v>
      </c>
      <c r="J1166" s="18">
        <v>4021664.85</v>
      </c>
      <c r="K1166" t="s">
        <v>3115</v>
      </c>
      <c r="L1166" t="s">
        <v>9</v>
      </c>
      <c r="M1166" t="s">
        <v>3181</v>
      </c>
      <c r="N1166" t="s">
        <v>3</v>
      </c>
      <c r="O1166" t="s">
        <v>3</v>
      </c>
      <c r="P1166" t="s">
        <v>5</v>
      </c>
      <c r="Q1166" t="s">
        <v>3182</v>
      </c>
      <c r="R1166" t="s">
        <v>3</v>
      </c>
      <c r="S1166" t="s">
        <v>3</v>
      </c>
      <c r="T1166" t="s">
        <v>3</v>
      </c>
      <c r="U1166" t="s">
        <v>3</v>
      </c>
      <c r="V1166" t="s">
        <v>3</v>
      </c>
      <c r="W1166" t="s">
        <v>68</v>
      </c>
      <c r="X1166" s="17">
        <v>43587</v>
      </c>
      <c r="Y1166" t="s">
        <v>2422</v>
      </c>
      <c r="Z1166" s="17">
        <v>43454</v>
      </c>
      <c r="AA1166" t="s">
        <v>3</v>
      </c>
      <c r="AB1166" t="s">
        <v>3180</v>
      </c>
    </row>
    <row r="1167" spans="1:28" hidden="1">
      <c r="A1167" t="s">
        <v>3183</v>
      </c>
      <c r="B1167" s="17">
        <v>43454</v>
      </c>
      <c r="C1167" s="17">
        <v>43454</v>
      </c>
      <c r="D1167" t="s">
        <v>0</v>
      </c>
      <c r="E1167" t="s">
        <v>1</v>
      </c>
      <c r="F1167" s="18">
        <v>53859</v>
      </c>
      <c r="G1167" s="18">
        <v>53859</v>
      </c>
      <c r="H1167" t="s">
        <v>2</v>
      </c>
      <c r="I1167" t="s">
        <v>8</v>
      </c>
      <c r="J1167" s="18">
        <v>4467604.05</v>
      </c>
      <c r="K1167" t="s">
        <v>3156</v>
      </c>
      <c r="L1167" t="s">
        <v>9</v>
      </c>
      <c r="M1167" t="s">
        <v>3184</v>
      </c>
      <c r="N1167" t="s">
        <v>3</v>
      </c>
      <c r="O1167" t="s">
        <v>3</v>
      </c>
      <c r="P1167" t="s">
        <v>5</v>
      </c>
      <c r="Q1167" t="s">
        <v>3185</v>
      </c>
      <c r="R1167" t="s">
        <v>3</v>
      </c>
      <c r="S1167" t="s">
        <v>3</v>
      </c>
      <c r="T1167" t="s">
        <v>3</v>
      </c>
      <c r="U1167" t="s">
        <v>3</v>
      </c>
      <c r="V1167" t="s">
        <v>3</v>
      </c>
      <c r="W1167" t="s">
        <v>68</v>
      </c>
      <c r="X1167" s="17">
        <v>43587</v>
      </c>
      <c r="Y1167" t="s">
        <v>2422</v>
      </c>
      <c r="Z1167" s="17">
        <v>43454</v>
      </c>
      <c r="AA1167" t="s">
        <v>3</v>
      </c>
      <c r="AB1167" t="s">
        <v>3183</v>
      </c>
    </row>
    <row r="1168" spans="1:28" hidden="1">
      <c r="A1168" t="s">
        <v>3183</v>
      </c>
      <c r="B1168" s="17">
        <v>43454</v>
      </c>
      <c r="C1168" s="17">
        <v>43454</v>
      </c>
      <c r="D1168" t="s">
        <v>0</v>
      </c>
      <c r="E1168" t="s">
        <v>1</v>
      </c>
      <c r="F1168" s="18">
        <v>27668</v>
      </c>
      <c r="G1168" s="18">
        <v>27668</v>
      </c>
      <c r="H1168" t="s">
        <v>2</v>
      </c>
      <c r="I1168" t="s">
        <v>8</v>
      </c>
      <c r="J1168" s="18">
        <v>2290910.4</v>
      </c>
      <c r="K1168" t="s">
        <v>3186</v>
      </c>
      <c r="L1168" t="s">
        <v>9</v>
      </c>
      <c r="M1168" t="s">
        <v>3184</v>
      </c>
      <c r="N1168" t="s">
        <v>3</v>
      </c>
      <c r="O1168" t="s">
        <v>3</v>
      </c>
      <c r="P1168" t="s">
        <v>5</v>
      </c>
      <c r="Q1168" t="s">
        <v>3185</v>
      </c>
      <c r="R1168" t="s">
        <v>3</v>
      </c>
      <c r="S1168" t="s">
        <v>3</v>
      </c>
      <c r="T1168" t="s">
        <v>3</v>
      </c>
      <c r="U1168" t="s">
        <v>3</v>
      </c>
      <c r="V1168" t="s">
        <v>3</v>
      </c>
      <c r="W1168" t="s">
        <v>68</v>
      </c>
      <c r="X1168" s="17">
        <v>43587</v>
      </c>
      <c r="Y1168" t="s">
        <v>2446</v>
      </c>
      <c r="Z1168" s="17">
        <v>43454</v>
      </c>
      <c r="AA1168" t="s">
        <v>3</v>
      </c>
      <c r="AB1168" t="s">
        <v>3183</v>
      </c>
    </row>
    <row r="1169" spans="1:28" hidden="1">
      <c r="A1169" t="s">
        <v>3215</v>
      </c>
      <c r="B1169" s="17">
        <v>43454</v>
      </c>
      <c r="C1169" s="17">
        <v>43454</v>
      </c>
      <c r="D1169" t="s">
        <v>0</v>
      </c>
      <c r="E1169" t="s">
        <v>1</v>
      </c>
      <c r="F1169" s="18">
        <v>11464</v>
      </c>
      <c r="G1169" s="18">
        <v>11464</v>
      </c>
      <c r="H1169" t="s">
        <v>2</v>
      </c>
      <c r="I1169" t="s">
        <v>10</v>
      </c>
      <c r="J1169" s="18">
        <v>950365.6</v>
      </c>
      <c r="K1169" t="s">
        <v>3221</v>
      </c>
      <c r="L1169" t="s">
        <v>9</v>
      </c>
      <c r="M1169" t="s">
        <v>3262</v>
      </c>
      <c r="N1169" t="s">
        <v>3</v>
      </c>
      <c r="O1169" t="s">
        <v>3</v>
      </c>
      <c r="P1169" t="s">
        <v>5</v>
      </c>
      <c r="Q1169" t="s">
        <v>3263</v>
      </c>
      <c r="R1169" t="s">
        <v>3</v>
      </c>
      <c r="S1169" t="s">
        <v>3</v>
      </c>
      <c r="T1169" t="s">
        <v>3</v>
      </c>
      <c r="U1169" t="s">
        <v>3</v>
      </c>
      <c r="V1169" t="s">
        <v>3</v>
      </c>
      <c r="W1169" t="s">
        <v>68</v>
      </c>
      <c r="X1169" s="17">
        <v>43646</v>
      </c>
      <c r="Y1169" t="s">
        <v>2495</v>
      </c>
      <c r="Z1169" s="17">
        <v>43454</v>
      </c>
      <c r="AA1169" t="s">
        <v>3</v>
      </c>
      <c r="AB1169" t="s">
        <v>3215</v>
      </c>
    </row>
    <row r="1170" spans="1:28" hidden="1">
      <c r="A1170" t="s">
        <v>3215</v>
      </c>
      <c r="B1170" s="17">
        <v>43454</v>
      </c>
      <c r="C1170" s="17">
        <v>43454</v>
      </c>
      <c r="D1170" t="s">
        <v>0</v>
      </c>
      <c r="E1170" t="s">
        <v>1</v>
      </c>
      <c r="F1170" s="18">
        <v>54499</v>
      </c>
      <c r="G1170" s="18">
        <v>54499</v>
      </c>
      <c r="H1170" t="s">
        <v>2</v>
      </c>
      <c r="I1170" t="s">
        <v>10</v>
      </c>
      <c r="J1170" s="18">
        <v>4512517.21</v>
      </c>
      <c r="K1170" t="s">
        <v>3224</v>
      </c>
      <c r="L1170" t="s">
        <v>9</v>
      </c>
      <c r="M1170" t="s">
        <v>3262</v>
      </c>
      <c r="N1170" t="s">
        <v>3</v>
      </c>
      <c r="O1170" t="s">
        <v>3</v>
      </c>
      <c r="P1170" t="s">
        <v>5</v>
      </c>
      <c r="Q1170" t="s">
        <v>3263</v>
      </c>
      <c r="R1170" t="s">
        <v>3</v>
      </c>
      <c r="S1170" t="s">
        <v>3</v>
      </c>
      <c r="T1170" t="s">
        <v>3</v>
      </c>
      <c r="U1170" t="s">
        <v>3</v>
      </c>
      <c r="V1170" t="s">
        <v>3</v>
      </c>
      <c r="W1170" t="s">
        <v>68</v>
      </c>
      <c r="X1170" s="17">
        <v>43646</v>
      </c>
      <c r="Y1170" t="s">
        <v>2499</v>
      </c>
      <c r="Z1170" s="17">
        <v>43454</v>
      </c>
      <c r="AA1170" t="s">
        <v>3</v>
      </c>
      <c r="AB1170" t="s">
        <v>3215</v>
      </c>
    </row>
    <row r="1171" spans="1:28" hidden="1">
      <c r="A1171" t="s">
        <v>3215</v>
      </c>
      <c r="B1171" s="17">
        <v>43454</v>
      </c>
      <c r="C1171" s="17">
        <v>43454</v>
      </c>
      <c r="D1171" t="s">
        <v>0</v>
      </c>
      <c r="E1171" t="s">
        <v>1</v>
      </c>
      <c r="F1171" s="18">
        <v>15027.63</v>
      </c>
      <c r="G1171" s="18">
        <v>15027.63</v>
      </c>
      <c r="H1171" t="s">
        <v>2</v>
      </c>
      <c r="I1171" t="s">
        <v>10</v>
      </c>
      <c r="J1171" s="18">
        <v>1246541.9099999999</v>
      </c>
      <c r="K1171" t="s">
        <v>3260</v>
      </c>
      <c r="L1171" t="s">
        <v>9</v>
      </c>
      <c r="M1171" t="s">
        <v>3262</v>
      </c>
      <c r="N1171" t="s">
        <v>3</v>
      </c>
      <c r="O1171" t="s">
        <v>3</v>
      </c>
      <c r="P1171" t="s">
        <v>5</v>
      </c>
      <c r="Q1171" t="s">
        <v>3263</v>
      </c>
      <c r="R1171" t="s">
        <v>3</v>
      </c>
      <c r="S1171" t="s">
        <v>3</v>
      </c>
      <c r="T1171" t="s">
        <v>3</v>
      </c>
      <c r="U1171" t="s">
        <v>3</v>
      </c>
      <c r="V1171" t="s">
        <v>3</v>
      </c>
      <c r="W1171" t="s">
        <v>68</v>
      </c>
      <c r="X1171" s="17">
        <v>43519</v>
      </c>
      <c r="Y1171" t="s">
        <v>2384</v>
      </c>
      <c r="Z1171" s="17">
        <v>43454</v>
      </c>
      <c r="AA1171" t="s">
        <v>3</v>
      </c>
      <c r="AB1171" t="s">
        <v>3215</v>
      </c>
    </row>
    <row r="1172" spans="1:28" hidden="1">
      <c r="A1172" t="s">
        <v>3215</v>
      </c>
      <c r="B1172" s="17">
        <v>43454</v>
      </c>
      <c r="C1172" s="17">
        <v>43454</v>
      </c>
      <c r="D1172" t="s">
        <v>0</v>
      </c>
      <c r="E1172" t="s">
        <v>1</v>
      </c>
      <c r="F1172" s="18">
        <v>18155</v>
      </c>
      <c r="G1172" s="18">
        <v>18155</v>
      </c>
      <c r="H1172" t="s">
        <v>2</v>
      </c>
      <c r="I1172" t="s">
        <v>10</v>
      </c>
      <c r="J1172" s="18">
        <v>1505957.25</v>
      </c>
      <c r="K1172" t="s">
        <v>3250</v>
      </c>
      <c r="L1172" t="s">
        <v>9</v>
      </c>
      <c r="M1172" t="s">
        <v>3262</v>
      </c>
      <c r="N1172" t="s">
        <v>3</v>
      </c>
      <c r="O1172" t="s">
        <v>3</v>
      </c>
      <c r="P1172" t="s">
        <v>5</v>
      </c>
      <c r="Q1172" t="s">
        <v>3263</v>
      </c>
      <c r="R1172" t="s">
        <v>3</v>
      </c>
      <c r="S1172" t="s">
        <v>3</v>
      </c>
      <c r="T1172" t="s">
        <v>3</v>
      </c>
      <c r="U1172" t="s">
        <v>3</v>
      </c>
      <c r="V1172" t="s">
        <v>3</v>
      </c>
      <c r="W1172" t="s">
        <v>68</v>
      </c>
      <c r="X1172" s="17">
        <v>43519</v>
      </c>
      <c r="Y1172" t="s">
        <v>2396</v>
      </c>
      <c r="Z1172" s="17">
        <v>43454</v>
      </c>
      <c r="AA1172" t="s">
        <v>3</v>
      </c>
      <c r="AB1172" t="s">
        <v>3215</v>
      </c>
    </row>
    <row r="1173" spans="1:28" hidden="1">
      <c r="A1173" t="s">
        <v>3215</v>
      </c>
      <c r="B1173" s="17">
        <v>43454</v>
      </c>
      <c r="C1173" s="17">
        <v>43454</v>
      </c>
      <c r="D1173" t="s">
        <v>0</v>
      </c>
      <c r="E1173" t="s">
        <v>1</v>
      </c>
      <c r="F1173" s="18">
        <v>883</v>
      </c>
      <c r="G1173" s="18">
        <v>883</v>
      </c>
      <c r="H1173" t="s">
        <v>2</v>
      </c>
      <c r="I1173" t="s">
        <v>10</v>
      </c>
      <c r="J1173" s="18">
        <v>73112.399999999994</v>
      </c>
      <c r="K1173" t="s">
        <v>3243</v>
      </c>
      <c r="L1173" t="s">
        <v>9</v>
      </c>
      <c r="M1173" t="s">
        <v>3262</v>
      </c>
      <c r="N1173" t="s">
        <v>3</v>
      </c>
      <c r="O1173" t="s">
        <v>3</v>
      </c>
      <c r="P1173" t="s">
        <v>5</v>
      </c>
      <c r="Q1173" t="s">
        <v>3263</v>
      </c>
      <c r="R1173" t="s">
        <v>3</v>
      </c>
      <c r="S1173" t="s">
        <v>3</v>
      </c>
      <c r="T1173" t="s">
        <v>3</v>
      </c>
      <c r="U1173" t="s">
        <v>3</v>
      </c>
      <c r="V1173" t="s">
        <v>3</v>
      </c>
      <c r="W1173" t="s">
        <v>68</v>
      </c>
      <c r="X1173" s="17">
        <v>43522</v>
      </c>
      <c r="Y1173" t="s">
        <v>2399</v>
      </c>
      <c r="Z1173" s="17">
        <v>43454</v>
      </c>
      <c r="AA1173" t="s">
        <v>3</v>
      </c>
      <c r="AB1173" t="s">
        <v>3215</v>
      </c>
    </row>
    <row r="1174" spans="1:28" hidden="1">
      <c r="A1174" t="s">
        <v>3215</v>
      </c>
      <c r="B1174" s="17">
        <v>43454</v>
      </c>
      <c r="C1174" s="17">
        <v>43454</v>
      </c>
      <c r="D1174" t="s">
        <v>0</v>
      </c>
      <c r="E1174" t="s">
        <v>1</v>
      </c>
      <c r="F1174" s="18">
        <v>19287</v>
      </c>
      <c r="G1174" s="18">
        <v>19287</v>
      </c>
      <c r="H1174" t="s">
        <v>2</v>
      </c>
      <c r="I1174" t="s">
        <v>10</v>
      </c>
      <c r="J1174" s="18">
        <v>1598892.3</v>
      </c>
      <c r="K1174" t="s">
        <v>3261</v>
      </c>
      <c r="L1174" t="s">
        <v>9</v>
      </c>
      <c r="M1174" t="s">
        <v>3262</v>
      </c>
      <c r="N1174" t="s">
        <v>3</v>
      </c>
      <c r="O1174" t="s">
        <v>3</v>
      </c>
      <c r="P1174" t="s">
        <v>5</v>
      </c>
      <c r="Q1174" t="s">
        <v>3263</v>
      </c>
      <c r="R1174" t="s">
        <v>3</v>
      </c>
      <c r="S1174" t="s">
        <v>3</v>
      </c>
      <c r="T1174" t="s">
        <v>3</v>
      </c>
      <c r="U1174" t="s">
        <v>3</v>
      </c>
      <c r="V1174" t="s">
        <v>3</v>
      </c>
      <c r="W1174" t="s">
        <v>68</v>
      </c>
      <c r="X1174" s="17">
        <v>43522</v>
      </c>
      <c r="Y1174" t="s">
        <v>2408</v>
      </c>
      <c r="Z1174" s="17">
        <v>43454</v>
      </c>
      <c r="AA1174" t="s">
        <v>3</v>
      </c>
      <c r="AB1174" t="s">
        <v>3215</v>
      </c>
    </row>
    <row r="1175" spans="1:28" hidden="1">
      <c r="A1175" t="s">
        <v>3215</v>
      </c>
      <c r="B1175" s="17">
        <v>43454</v>
      </c>
      <c r="C1175" s="17">
        <v>43454</v>
      </c>
      <c r="D1175" t="s">
        <v>0</v>
      </c>
      <c r="E1175" t="s">
        <v>1</v>
      </c>
      <c r="F1175" s="18">
        <v>8619</v>
      </c>
      <c r="G1175" s="18">
        <v>8619</v>
      </c>
      <c r="H1175" t="s">
        <v>2</v>
      </c>
      <c r="I1175" t="s">
        <v>10</v>
      </c>
      <c r="J1175" s="18">
        <v>714515.1</v>
      </c>
      <c r="K1175" t="s">
        <v>3264</v>
      </c>
      <c r="L1175" t="s">
        <v>9</v>
      </c>
      <c r="M1175" t="s">
        <v>3262</v>
      </c>
      <c r="N1175" t="s">
        <v>3</v>
      </c>
      <c r="O1175" t="s">
        <v>3</v>
      </c>
      <c r="P1175" t="s">
        <v>5</v>
      </c>
      <c r="Q1175" t="s">
        <v>3263</v>
      </c>
      <c r="R1175" t="s">
        <v>3</v>
      </c>
      <c r="S1175" t="s">
        <v>3</v>
      </c>
      <c r="T1175" t="s">
        <v>3</v>
      </c>
      <c r="U1175" t="s">
        <v>3</v>
      </c>
      <c r="V1175" t="s">
        <v>3</v>
      </c>
      <c r="W1175" t="s">
        <v>68</v>
      </c>
      <c r="X1175" s="17">
        <v>43522</v>
      </c>
      <c r="Y1175" t="s">
        <v>2411</v>
      </c>
      <c r="Z1175" s="17">
        <v>43454</v>
      </c>
      <c r="AA1175" t="s">
        <v>3</v>
      </c>
      <c r="AB1175" t="s">
        <v>3215</v>
      </c>
    </row>
    <row r="1176" spans="1:28" hidden="1">
      <c r="A1176" t="s">
        <v>3215</v>
      </c>
      <c r="B1176" s="17">
        <v>43454</v>
      </c>
      <c r="C1176" s="17">
        <v>43454</v>
      </c>
      <c r="D1176" t="s">
        <v>0</v>
      </c>
      <c r="E1176" t="s">
        <v>1</v>
      </c>
      <c r="F1176" s="18">
        <v>26058</v>
      </c>
      <c r="G1176" s="18">
        <v>26058</v>
      </c>
      <c r="H1176" t="s">
        <v>2</v>
      </c>
      <c r="I1176" t="s">
        <v>10</v>
      </c>
      <c r="J1176" s="18">
        <v>2161511.1</v>
      </c>
      <c r="K1176" t="s">
        <v>3265</v>
      </c>
      <c r="L1176" t="s">
        <v>9</v>
      </c>
      <c r="M1176" t="s">
        <v>3262</v>
      </c>
      <c r="N1176" t="s">
        <v>3</v>
      </c>
      <c r="O1176" t="s">
        <v>3</v>
      </c>
      <c r="P1176" t="s">
        <v>5</v>
      </c>
      <c r="Q1176" t="s">
        <v>3263</v>
      </c>
      <c r="R1176" t="s">
        <v>3</v>
      </c>
      <c r="S1176" t="s">
        <v>3</v>
      </c>
      <c r="T1176" t="s">
        <v>3</v>
      </c>
      <c r="U1176" t="s">
        <v>3</v>
      </c>
      <c r="V1176" t="s">
        <v>3</v>
      </c>
      <c r="W1176" t="s">
        <v>68</v>
      </c>
      <c r="X1176" s="17">
        <v>43454</v>
      </c>
      <c r="Y1176" t="s">
        <v>3215</v>
      </c>
      <c r="Z1176" s="17">
        <v>43454</v>
      </c>
      <c r="AA1176" t="s">
        <v>3</v>
      </c>
      <c r="AB1176" t="s">
        <v>3215</v>
      </c>
    </row>
    <row r="1177" spans="1:28" hidden="1">
      <c r="A1177" t="s">
        <v>3187</v>
      </c>
      <c r="B1177" s="17">
        <v>43457</v>
      </c>
      <c r="C1177" s="17">
        <v>43457</v>
      </c>
      <c r="D1177" t="s">
        <v>0</v>
      </c>
      <c r="E1177" t="s">
        <v>1</v>
      </c>
      <c r="F1177" s="18">
        <v>-144487.74</v>
      </c>
      <c r="G1177" s="18">
        <v>-144487.74</v>
      </c>
      <c r="H1177" t="s">
        <v>2</v>
      </c>
      <c r="I1177" t="s">
        <v>8</v>
      </c>
      <c r="J1177" s="18">
        <v>-11985258.029999999</v>
      </c>
      <c r="K1177" t="s">
        <v>3188</v>
      </c>
      <c r="L1177" t="s">
        <v>4</v>
      </c>
      <c r="M1177" t="s">
        <v>3189</v>
      </c>
      <c r="N1177" t="s">
        <v>3</v>
      </c>
      <c r="O1177" t="s">
        <v>3</v>
      </c>
      <c r="P1177" t="s">
        <v>5</v>
      </c>
      <c r="Q1177" t="s">
        <v>3190</v>
      </c>
      <c r="R1177" t="s">
        <v>3</v>
      </c>
      <c r="S1177" t="s">
        <v>3</v>
      </c>
      <c r="T1177" t="s">
        <v>3</v>
      </c>
      <c r="U1177" t="s">
        <v>3</v>
      </c>
      <c r="V1177" t="s">
        <v>3</v>
      </c>
      <c r="W1177" t="s">
        <v>68</v>
      </c>
      <c r="X1177" s="17"/>
      <c r="Y1177" t="s">
        <v>3</v>
      </c>
      <c r="Z1177" s="17">
        <v>43457</v>
      </c>
      <c r="AA1177" t="s">
        <v>3</v>
      </c>
      <c r="AB1177" t="s">
        <v>3187</v>
      </c>
    </row>
    <row r="1178" spans="1:28" hidden="1">
      <c r="A1178" t="s">
        <v>3191</v>
      </c>
      <c r="B1178" s="17">
        <v>43457</v>
      </c>
      <c r="C1178" s="17">
        <v>43457</v>
      </c>
      <c r="D1178" t="s">
        <v>0</v>
      </c>
      <c r="E1178" t="s">
        <v>1</v>
      </c>
      <c r="F1178" s="18">
        <v>-156300</v>
      </c>
      <c r="G1178" s="18">
        <v>-156300</v>
      </c>
      <c r="H1178" t="s">
        <v>2</v>
      </c>
      <c r="I1178" t="s">
        <v>8</v>
      </c>
      <c r="J1178" s="18">
        <v>-12965085</v>
      </c>
      <c r="K1178" t="s">
        <v>3192</v>
      </c>
      <c r="L1178" t="s">
        <v>9</v>
      </c>
      <c r="M1178" t="s">
        <v>3193</v>
      </c>
      <c r="N1178" t="s">
        <v>3</v>
      </c>
      <c r="O1178" t="s">
        <v>3</v>
      </c>
      <c r="P1178" t="s">
        <v>5</v>
      </c>
      <c r="Q1178" t="s">
        <v>3194</v>
      </c>
      <c r="R1178" t="s">
        <v>3</v>
      </c>
      <c r="S1178" t="s">
        <v>3</v>
      </c>
      <c r="T1178" t="s">
        <v>3</v>
      </c>
      <c r="U1178" t="s">
        <v>3</v>
      </c>
      <c r="V1178" t="s">
        <v>3</v>
      </c>
      <c r="W1178" t="s">
        <v>68</v>
      </c>
      <c r="X1178" s="17">
        <v>43587</v>
      </c>
      <c r="Y1178" t="s">
        <v>2452</v>
      </c>
      <c r="Z1178" s="17">
        <v>43457</v>
      </c>
      <c r="AA1178" t="s">
        <v>3</v>
      </c>
      <c r="AB1178" t="s">
        <v>3191</v>
      </c>
    </row>
    <row r="1179" spans="1:28" hidden="1">
      <c r="A1179" t="s">
        <v>3266</v>
      </c>
      <c r="B1179" s="17">
        <v>43457</v>
      </c>
      <c r="C1179" s="17">
        <v>43457</v>
      </c>
      <c r="D1179" t="s">
        <v>0</v>
      </c>
      <c r="E1179" t="s">
        <v>1</v>
      </c>
      <c r="F1179" s="18">
        <v>1446</v>
      </c>
      <c r="G1179" s="18">
        <v>1446</v>
      </c>
      <c r="H1179" t="s">
        <v>2</v>
      </c>
      <c r="I1179" t="s">
        <v>10</v>
      </c>
      <c r="J1179" s="18">
        <v>119873.4</v>
      </c>
      <c r="K1179" t="s">
        <v>3221</v>
      </c>
      <c r="L1179" t="s">
        <v>9</v>
      </c>
      <c r="M1179" t="s">
        <v>3267</v>
      </c>
      <c r="N1179" t="s">
        <v>3</v>
      </c>
      <c r="O1179" t="s">
        <v>3</v>
      </c>
      <c r="P1179" t="s">
        <v>5</v>
      </c>
      <c r="Q1179" t="s">
        <v>3268</v>
      </c>
      <c r="R1179" t="s">
        <v>3</v>
      </c>
      <c r="S1179" t="s">
        <v>3</v>
      </c>
      <c r="T1179" t="s">
        <v>3</v>
      </c>
      <c r="U1179" t="s">
        <v>3</v>
      </c>
      <c r="V1179" t="s">
        <v>3</v>
      </c>
      <c r="W1179" t="s">
        <v>68</v>
      </c>
      <c r="X1179" s="17">
        <v>43646</v>
      </c>
      <c r="Y1179" t="s">
        <v>2495</v>
      </c>
      <c r="Z1179" s="17">
        <v>43457</v>
      </c>
      <c r="AA1179" t="s">
        <v>3</v>
      </c>
      <c r="AB1179" t="s">
        <v>3266</v>
      </c>
    </row>
    <row r="1180" spans="1:28" hidden="1">
      <c r="A1180" t="s">
        <v>3266</v>
      </c>
      <c r="B1180" s="17">
        <v>43457</v>
      </c>
      <c r="C1180" s="17">
        <v>43457</v>
      </c>
      <c r="D1180" t="s">
        <v>0</v>
      </c>
      <c r="E1180" t="s">
        <v>1</v>
      </c>
      <c r="F1180" s="18">
        <v>15251</v>
      </c>
      <c r="G1180" s="18">
        <v>15251</v>
      </c>
      <c r="H1180" t="s">
        <v>2</v>
      </c>
      <c r="I1180" t="s">
        <v>10</v>
      </c>
      <c r="J1180" s="18">
        <v>1265070.45</v>
      </c>
      <c r="K1180" t="s">
        <v>3259</v>
      </c>
      <c r="L1180" t="s">
        <v>9</v>
      </c>
      <c r="M1180" t="s">
        <v>3267</v>
      </c>
      <c r="N1180" t="s">
        <v>3</v>
      </c>
      <c r="O1180" t="s">
        <v>3</v>
      </c>
      <c r="P1180" t="s">
        <v>5</v>
      </c>
      <c r="Q1180" t="s">
        <v>3268</v>
      </c>
      <c r="R1180" t="s">
        <v>3</v>
      </c>
      <c r="S1180" t="s">
        <v>3</v>
      </c>
      <c r="T1180" t="s">
        <v>3</v>
      </c>
      <c r="U1180" t="s">
        <v>3</v>
      </c>
      <c r="V1180" t="s">
        <v>3</v>
      </c>
      <c r="W1180" t="s">
        <v>68</v>
      </c>
      <c r="X1180" s="17">
        <v>43519</v>
      </c>
      <c r="Y1180" t="s">
        <v>2381</v>
      </c>
      <c r="Z1180" s="17">
        <v>43457</v>
      </c>
      <c r="AA1180" t="s">
        <v>3</v>
      </c>
      <c r="AB1180" t="s">
        <v>3266</v>
      </c>
    </row>
    <row r="1181" spans="1:28" hidden="1">
      <c r="A1181" t="s">
        <v>3269</v>
      </c>
      <c r="B1181" s="17">
        <v>43457</v>
      </c>
      <c r="C1181" s="17">
        <v>43457</v>
      </c>
      <c r="D1181" t="s">
        <v>0</v>
      </c>
      <c r="E1181" t="s">
        <v>1</v>
      </c>
      <c r="F1181" s="18">
        <v>5100</v>
      </c>
      <c r="G1181" s="18">
        <v>5100</v>
      </c>
      <c r="H1181" t="s">
        <v>2</v>
      </c>
      <c r="I1181" t="s">
        <v>10</v>
      </c>
      <c r="J1181" s="18">
        <v>423045</v>
      </c>
      <c r="K1181" t="s">
        <v>3250</v>
      </c>
      <c r="L1181" t="s">
        <v>9</v>
      </c>
      <c r="M1181" t="s">
        <v>3270</v>
      </c>
      <c r="N1181" t="s">
        <v>3</v>
      </c>
      <c r="O1181" t="s">
        <v>3</v>
      </c>
      <c r="P1181" t="s">
        <v>5</v>
      </c>
      <c r="Q1181" t="s">
        <v>3271</v>
      </c>
      <c r="R1181" t="s">
        <v>3</v>
      </c>
      <c r="S1181" t="s">
        <v>3</v>
      </c>
      <c r="T1181" t="s">
        <v>3</v>
      </c>
      <c r="U1181" t="s">
        <v>3</v>
      </c>
      <c r="V1181" t="s">
        <v>3</v>
      </c>
      <c r="W1181" t="s">
        <v>68</v>
      </c>
      <c r="X1181" s="17">
        <v>43519</v>
      </c>
      <c r="Y1181" t="s">
        <v>2396</v>
      </c>
      <c r="Z1181" s="17">
        <v>43457</v>
      </c>
      <c r="AA1181" t="s">
        <v>3</v>
      </c>
      <c r="AB1181" t="s">
        <v>3269</v>
      </c>
    </row>
    <row r="1182" spans="1:28" hidden="1">
      <c r="A1182" t="s">
        <v>3272</v>
      </c>
      <c r="B1182" s="17">
        <v>43457</v>
      </c>
      <c r="C1182" s="17">
        <v>43457</v>
      </c>
      <c r="D1182" t="s">
        <v>0</v>
      </c>
      <c r="E1182" t="s">
        <v>1</v>
      </c>
      <c r="F1182" s="18">
        <v>2394</v>
      </c>
      <c r="G1182" s="18">
        <v>2394</v>
      </c>
      <c r="H1182" t="s">
        <v>2</v>
      </c>
      <c r="I1182" t="s">
        <v>10</v>
      </c>
      <c r="J1182" s="18">
        <v>198582.3</v>
      </c>
      <c r="K1182" t="s">
        <v>3273</v>
      </c>
      <c r="L1182" t="s">
        <v>9</v>
      </c>
      <c r="M1182" t="s">
        <v>3274</v>
      </c>
      <c r="N1182" t="s">
        <v>3</v>
      </c>
      <c r="O1182" t="s">
        <v>3</v>
      </c>
      <c r="P1182" t="s">
        <v>5</v>
      </c>
      <c r="Q1182" t="s">
        <v>3275</v>
      </c>
      <c r="R1182" t="s">
        <v>3</v>
      </c>
      <c r="S1182" t="s">
        <v>3</v>
      </c>
      <c r="T1182" t="s">
        <v>3</v>
      </c>
      <c r="U1182" t="s">
        <v>3</v>
      </c>
      <c r="V1182" t="s">
        <v>3</v>
      </c>
      <c r="W1182" t="s">
        <v>68</v>
      </c>
      <c r="X1182" s="17">
        <v>43519</v>
      </c>
      <c r="Y1182" t="s">
        <v>2375</v>
      </c>
      <c r="Z1182" s="17">
        <v>43457</v>
      </c>
      <c r="AA1182" t="s">
        <v>3</v>
      </c>
      <c r="AB1182" t="s">
        <v>3272</v>
      </c>
    </row>
    <row r="1183" spans="1:28" hidden="1">
      <c r="A1183" t="s">
        <v>3272</v>
      </c>
      <c r="B1183" s="17">
        <v>43457</v>
      </c>
      <c r="C1183" s="17">
        <v>43457</v>
      </c>
      <c r="D1183" t="s">
        <v>0</v>
      </c>
      <c r="E1183" t="s">
        <v>1</v>
      </c>
      <c r="F1183" s="18">
        <v>24416</v>
      </c>
      <c r="G1183" s="18">
        <v>24416</v>
      </c>
      <c r="H1183" t="s">
        <v>2</v>
      </c>
      <c r="I1183" t="s">
        <v>10</v>
      </c>
      <c r="J1183" s="18">
        <v>2025307.2</v>
      </c>
      <c r="K1183" t="s">
        <v>3259</v>
      </c>
      <c r="L1183" t="s">
        <v>9</v>
      </c>
      <c r="M1183" t="s">
        <v>3274</v>
      </c>
      <c r="N1183" t="s">
        <v>3</v>
      </c>
      <c r="O1183" t="s">
        <v>3</v>
      </c>
      <c r="P1183" t="s">
        <v>5</v>
      </c>
      <c r="Q1183" t="s">
        <v>3275</v>
      </c>
      <c r="R1183" t="s">
        <v>3</v>
      </c>
      <c r="S1183" t="s">
        <v>3</v>
      </c>
      <c r="T1183" t="s">
        <v>3</v>
      </c>
      <c r="U1183" t="s">
        <v>3</v>
      </c>
      <c r="V1183" t="s">
        <v>3</v>
      </c>
      <c r="W1183" t="s">
        <v>68</v>
      </c>
      <c r="X1183" s="17">
        <v>43519</v>
      </c>
      <c r="Y1183" t="s">
        <v>2381</v>
      </c>
      <c r="Z1183" s="17">
        <v>43457</v>
      </c>
      <c r="AA1183" t="s">
        <v>3</v>
      </c>
      <c r="AB1183" t="s">
        <v>3272</v>
      </c>
    </row>
    <row r="1184" spans="1:28" hidden="1">
      <c r="A1184" t="s">
        <v>3195</v>
      </c>
      <c r="B1184" s="17">
        <v>43458</v>
      </c>
      <c r="C1184" s="17">
        <v>43458</v>
      </c>
      <c r="D1184" t="s">
        <v>0</v>
      </c>
      <c r="E1184" t="s">
        <v>1</v>
      </c>
      <c r="F1184" s="18">
        <v>1549</v>
      </c>
      <c r="G1184" s="18">
        <v>1549</v>
      </c>
      <c r="H1184" t="s">
        <v>2</v>
      </c>
      <c r="I1184" t="s">
        <v>8</v>
      </c>
      <c r="J1184" s="18">
        <v>128489.55</v>
      </c>
      <c r="K1184" t="s">
        <v>3196</v>
      </c>
      <c r="L1184" t="s">
        <v>9</v>
      </c>
      <c r="M1184" t="s">
        <v>3197</v>
      </c>
      <c r="N1184" t="s">
        <v>3</v>
      </c>
      <c r="O1184" t="s">
        <v>3</v>
      </c>
      <c r="P1184" t="s">
        <v>5</v>
      </c>
      <c r="Q1184" t="s">
        <v>3198</v>
      </c>
      <c r="R1184" t="s">
        <v>3</v>
      </c>
      <c r="S1184" t="s">
        <v>3</v>
      </c>
      <c r="T1184" t="s">
        <v>3</v>
      </c>
      <c r="U1184" t="s">
        <v>3</v>
      </c>
      <c r="V1184" t="s">
        <v>3</v>
      </c>
      <c r="W1184" t="s">
        <v>68</v>
      </c>
      <c r="X1184" s="17">
        <v>43587</v>
      </c>
      <c r="Y1184" t="s">
        <v>2450</v>
      </c>
      <c r="Z1184" s="17">
        <v>43458</v>
      </c>
      <c r="AA1184" t="s">
        <v>3</v>
      </c>
      <c r="AB1184" t="s">
        <v>3195</v>
      </c>
    </row>
    <row r="1185" spans="1:28" hidden="1">
      <c r="A1185" t="s">
        <v>3195</v>
      </c>
      <c r="B1185" s="17">
        <v>43458</v>
      </c>
      <c r="C1185" s="17">
        <v>43458</v>
      </c>
      <c r="D1185" t="s">
        <v>0</v>
      </c>
      <c r="E1185" t="s">
        <v>1</v>
      </c>
      <c r="F1185" s="18">
        <v>97449.600000000006</v>
      </c>
      <c r="G1185" s="18">
        <v>97449.600000000006</v>
      </c>
      <c r="H1185" t="s">
        <v>2</v>
      </c>
      <c r="I1185" t="s">
        <v>8</v>
      </c>
      <c r="J1185" s="18">
        <v>8083444.3300000001</v>
      </c>
      <c r="K1185" t="s">
        <v>3199</v>
      </c>
      <c r="L1185" t="s">
        <v>9</v>
      </c>
      <c r="M1185" t="s">
        <v>3197</v>
      </c>
      <c r="N1185" t="s">
        <v>3</v>
      </c>
      <c r="O1185" t="s">
        <v>3</v>
      </c>
      <c r="P1185" t="s">
        <v>5</v>
      </c>
      <c r="Q1185" t="s">
        <v>3198</v>
      </c>
      <c r="R1185" t="s">
        <v>3</v>
      </c>
      <c r="S1185" t="s">
        <v>3</v>
      </c>
      <c r="T1185" t="s">
        <v>3</v>
      </c>
      <c r="U1185" t="s">
        <v>3</v>
      </c>
      <c r="V1185" t="s">
        <v>3</v>
      </c>
      <c r="W1185" t="s">
        <v>68</v>
      </c>
      <c r="X1185" s="17">
        <v>43587</v>
      </c>
      <c r="Y1185" t="s">
        <v>2458</v>
      </c>
      <c r="Z1185" s="17">
        <v>43458</v>
      </c>
      <c r="AA1185" t="s">
        <v>3</v>
      </c>
      <c r="AB1185" t="s">
        <v>3195</v>
      </c>
    </row>
    <row r="1186" spans="1:28" hidden="1">
      <c r="A1186" t="s">
        <v>3200</v>
      </c>
      <c r="B1186" s="17">
        <v>43460</v>
      </c>
      <c r="C1186" s="17">
        <v>43460</v>
      </c>
      <c r="D1186" t="s">
        <v>0</v>
      </c>
      <c r="E1186" t="s">
        <v>1</v>
      </c>
      <c r="F1186" s="18">
        <v>-154329</v>
      </c>
      <c r="G1186" s="18">
        <v>-154329</v>
      </c>
      <c r="H1186" t="s">
        <v>2</v>
      </c>
      <c r="I1186" t="s">
        <v>8</v>
      </c>
      <c r="J1186" s="18">
        <v>-12801590.560000001</v>
      </c>
      <c r="K1186" t="s">
        <v>3201</v>
      </c>
      <c r="L1186" t="s">
        <v>9</v>
      </c>
      <c r="M1186" t="s">
        <v>3202</v>
      </c>
      <c r="N1186" t="s">
        <v>3</v>
      </c>
      <c r="O1186" t="s">
        <v>3</v>
      </c>
      <c r="P1186" t="s">
        <v>5</v>
      </c>
      <c r="Q1186" t="s">
        <v>3202</v>
      </c>
      <c r="R1186" t="s">
        <v>3</v>
      </c>
      <c r="S1186" t="s">
        <v>3</v>
      </c>
      <c r="T1186" t="s">
        <v>3</v>
      </c>
      <c r="U1186" t="s">
        <v>3</v>
      </c>
      <c r="V1186" t="s">
        <v>3</v>
      </c>
      <c r="W1186" t="s">
        <v>68</v>
      </c>
      <c r="X1186" s="17">
        <v>43587</v>
      </c>
      <c r="Y1186" t="s">
        <v>2454</v>
      </c>
      <c r="Z1186" s="17">
        <v>43460</v>
      </c>
      <c r="AA1186" t="s">
        <v>3</v>
      </c>
      <c r="AB1186" t="s">
        <v>3200</v>
      </c>
    </row>
    <row r="1187" spans="1:28" hidden="1">
      <c r="A1187" t="s">
        <v>3203</v>
      </c>
      <c r="B1187" s="17">
        <v>43461</v>
      </c>
      <c r="C1187" s="17">
        <v>43461</v>
      </c>
      <c r="D1187" t="s">
        <v>0</v>
      </c>
      <c r="E1187" t="s">
        <v>1</v>
      </c>
      <c r="F1187" s="18">
        <v>1582</v>
      </c>
      <c r="G1187" s="18">
        <v>1582</v>
      </c>
      <c r="H1187" t="s">
        <v>2</v>
      </c>
      <c r="I1187" t="s">
        <v>8</v>
      </c>
      <c r="J1187" s="18">
        <v>131226.9</v>
      </c>
      <c r="K1187" t="s">
        <v>3196</v>
      </c>
      <c r="L1187" t="s">
        <v>9</v>
      </c>
      <c r="M1187" t="s">
        <v>3204</v>
      </c>
      <c r="N1187" t="s">
        <v>3</v>
      </c>
      <c r="O1187" t="s">
        <v>3</v>
      </c>
      <c r="P1187" t="s">
        <v>5</v>
      </c>
      <c r="Q1187" t="s">
        <v>3205</v>
      </c>
      <c r="R1187" t="s">
        <v>3</v>
      </c>
      <c r="S1187" t="s">
        <v>3</v>
      </c>
      <c r="T1187" t="s">
        <v>3</v>
      </c>
      <c r="U1187" t="s">
        <v>3</v>
      </c>
      <c r="V1187" t="s">
        <v>3</v>
      </c>
      <c r="W1187" t="s">
        <v>68</v>
      </c>
      <c r="X1187" s="17">
        <v>43587</v>
      </c>
      <c r="Y1187" t="s">
        <v>2450</v>
      </c>
      <c r="Z1187" s="17">
        <v>43461</v>
      </c>
      <c r="AA1187" t="s">
        <v>3</v>
      </c>
      <c r="AB1187" t="s">
        <v>3203</v>
      </c>
    </row>
    <row r="1188" spans="1:28" hidden="1">
      <c r="A1188" t="s">
        <v>3203</v>
      </c>
      <c r="B1188" s="17">
        <v>43461</v>
      </c>
      <c r="C1188" s="17">
        <v>43461</v>
      </c>
      <c r="D1188" t="s">
        <v>0</v>
      </c>
      <c r="E1188" t="s">
        <v>1</v>
      </c>
      <c r="F1188" s="18">
        <v>2832</v>
      </c>
      <c r="G1188" s="18">
        <v>2832</v>
      </c>
      <c r="H1188" t="s">
        <v>2</v>
      </c>
      <c r="I1188" t="s">
        <v>8</v>
      </c>
      <c r="J1188" s="18">
        <v>234914.4</v>
      </c>
      <c r="K1188" t="s">
        <v>3206</v>
      </c>
      <c r="L1188" t="s">
        <v>9</v>
      </c>
      <c r="M1188" t="s">
        <v>3204</v>
      </c>
      <c r="N1188" t="s">
        <v>3</v>
      </c>
      <c r="O1188" t="s">
        <v>3</v>
      </c>
      <c r="P1188" t="s">
        <v>5</v>
      </c>
      <c r="Q1188" t="s">
        <v>3205</v>
      </c>
      <c r="R1188" t="s">
        <v>3</v>
      </c>
      <c r="S1188" t="s">
        <v>3</v>
      </c>
      <c r="T1188" t="s">
        <v>3</v>
      </c>
      <c r="U1188" t="s">
        <v>3</v>
      </c>
      <c r="V1188" t="s">
        <v>3</v>
      </c>
      <c r="W1188" t="s">
        <v>68</v>
      </c>
      <c r="X1188" s="17">
        <v>43587</v>
      </c>
      <c r="Y1188" t="s">
        <v>2452</v>
      </c>
      <c r="Z1188" s="17">
        <v>43461</v>
      </c>
      <c r="AA1188" t="s">
        <v>3</v>
      </c>
      <c r="AB1188" t="s">
        <v>3203</v>
      </c>
    </row>
    <row r="1189" spans="1:28" hidden="1">
      <c r="A1189" t="s">
        <v>3203</v>
      </c>
      <c r="B1189" s="17">
        <v>43461</v>
      </c>
      <c r="C1189" s="17">
        <v>43461</v>
      </c>
      <c r="D1189" t="s">
        <v>0</v>
      </c>
      <c r="E1189" t="s">
        <v>1</v>
      </c>
      <c r="F1189" s="18">
        <v>54554</v>
      </c>
      <c r="G1189" s="18">
        <v>54554</v>
      </c>
      <c r="H1189" t="s">
        <v>2</v>
      </c>
      <c r="I1189" t="s">
        <v>8</v>
      </c>
      <c r="J1189" s="18">
        <v>4525254.3</v>
      </c>
      <c r="K1189" t="s">
        <v>3207</v>
      </c>
      <c r="L1189" t="s">
        <v>9</v>
      </c>
      <c r="M1189" t="s">
        <v>3204</v>
      </c>
      <c r="N1189" t="s">
        <v>3</v>
      </c>
      <c r="O1189" t="s">
        <v>3</v>
      </c>
      <c r="P1189" t="s">
        <v>5</v>
      </c>
      <c r="Q1189" t="s">
        <v>3205</v>
      </c>
      <c r="R1189" t="s">
        <v>3</v>
      </c>
      <c r="S1189" t="s">
        <v>3</v>
      </c>
      <c r="T1189" t="s">
        <v>3</v>
      </c>
      <c r="U1189" t="s">
        <v>3</v>
      </c>
      <c r="V1189" t="s">
        <v>3</v>
      </c>
      <c r="W1189" t="s">
        <v>68</v>
      </c>
      <c r="X1189" s="17">
        <v>43587</v>
      </c>
      <c r="Y1189" t="s">
        <v>2460</v>
      </c>
      <c r="Z1189" s="17">
        <v>43461</v>
      </c>
      <c r="AA1189" t="s">
        <v>3</v>
      </c>
      <c r="AB1189" t="s">
        <v>3203</v>
      </c>
    </row>
    <row r="1190" spans="1:28" hidden="1">
      <c r="A1190" t="s">
        <v>3208</v>
      </c>
      <c r="B1190" s="17">
        <v>43461</v>
      </c>
      <c r="C1190" s="17">
        <v>43461</v>
      </c>
      <c r="D1190" t="s">
        <v>0</v>
      </c>
      <c r="E1190" t="s">
        <v>1</v>
      </c>
      <c r="F1190" s="18">
        <v>34356.660000000003</v>
      </c>
      <c r="G1190" s="18">
        <v>34356.660000000003</v>
      </c>
      <c r="H1190" t="s">
        <v>2</v>
      </c>
      <c r="I1190" t="s">
        <v>8</v>
      </c>
      <c r="J1190" s="18">
        <v>2849884.95</v>
      </c>
      <c r="K1190" t="s">
        <v>3149</v>
      </c>
      <c r="L1190" t="s">
        <v>4</v>
      </c>
      <c r="M1190" t="s">
        <v>3209</v>
      </c>
      <c r="N1190" t="s">
        <v>3</v>
      </c>
      <c r="O1190" t="s">
        <v>3</v>
      </c>
      <c r="P1190" t="s">
        <v>5</v>
      </c>
      <c r="Q1190" t="s">
        <v>3210</v>
      </c>
      <c r="R1190" t="s">
        <v>3</v>
      </c>
      <c r="S1190" t="s">
        <v>3</v>
      </c>
      <c r="T1190" t="s">
        <v>3</v>
      </c>
      <c r="U1190" t="s">
        <v>3</v>
      </c>
      <c r="V1190" t="s">
        <v>3</v>
      </c>
      <c r="W1190" t="s">
        <v>68</v>
      </c>
      <c r="X1190" s="17">
        <v>43587</v>
      </c>
      <c r="Y1190" t="s">
        <v>2464</v>
      </c>
      <c r="Z1190" s="17">
        <v>43461</v>
      </c>
      <c r="AA1190" t="s">
        <v>3</v>
      </c>
      <c r="AB1190" t="s">
        <v>3208</v>
      </c>
    </row>
    <row r="1191" spans="1:28" hidden="1">
      <c r="A1191" t="s">
        <v>3276</v>
      </c>
      <c r="B1191" s="17">
        <v>43461</v>
      </c>
      <c r="C1191" s="17">
        <v>43461</v>
      </c>
      <c r="D1191" t="s">
        <v>0</v>
      </c>
      <c r="E1191" t="s">
        <v>1</v>
      </c>
      <c r="F1191" s="18">
        <v>23461</v>
      </c>
      <c r="G1191" s="18">
        <v>23461</v>
      </c>
      <c r="H1191" t="s">
        <v>2</v>
      </c>
      <c r="I1191" t="s">
        <v>10</v>
      </c>
      <c r="J1191" s="18">
        <v>1944916.9</v>
      </c>
      <c r="K1191" t="s">
        <v>3221</v>
      </c>
      <c r="L1191" t="s">
        <v>9</v>
      </c>
      <c r="M1191" t="s">
        <v>3277</v>
      </c>
      <c r="N1191" t="s">
        <v>3</v>
      </c>
      <c r="O1191" t="s">
        <v>3</v>
      </c>
      <c r="P1191" t="s">
        <v>5</v>
      </c>
      <c r="Q1191" t="s">
        <v>3278</v>
      </c>
      <c r="R1191" t="s">
        <v>3</v>
      </c>
      <c r="S1191" t="s">
        <v>3</v>
      </c>
      <c r="T1191" t="s">
        <v>3</v>
      </c>
      <c r="U1191" t="s">
        <v>3</v>
      </c>
      <c r="V1191" t="s">
        <v>3</v>
      </c>
      <c r="W1191" t="s">
        <v>68</v>
      </c>
      <c r="X1191" s="17">
        <v>43646</v>
      </c>
      <c r="Y1191" t="s">
        <v>2495</v>
      </c>
      <c r="Z1191" s="17">
        <v>43461</v>
      </c>
      <c r="AA1191" t="s">
        <v>3</v>
      </c>
      <c r="AB1191" t="s">
        <v>3276</v>
      </c>
    </row>
    <row r="1192" spans="1:28" hidden="1">
      <c r="A1192" t="s">
        <v>3276</v>
      </c>
      <c r="B1192" s="17">
        <v>43461</v>
      </c>
      <c r="C1192" s="17">
        <v>43461</v>
      </c>
      <c r="D1192" t="s">
        <v>0</v>
      </c>
      <c r="E1192" t="s">
        <v>1</v>
      </c>
      <c r="F1192" s="18">
        <v>32287</v>
      </c>
      <c r="G1192" s="18">
        <v>32287</v>
      </c>
      <c r="H1192" t="s">
        <v>2</v>
      </c>
      <c r="I1192" t="s">
        <v>10</v>
      </c>
      <c r="J1192" s="18">
        <v>2678206.65</v>
      </c>
      <c r="K1192" t="s">
        <v>3279</v>
      </c>
      <c r="L1192" t="s">
        <v>9</v>
      </c>
      <c r="M1192" t="s">
        <v>3277</v>
      </c>
      <c r="N1192" t="s">
        <v>3</v>
      </c>
      <c r="O1192" t="s">
        <v>3</v>
      </c>
      <c r="P1192" t="s">
        <v>5</v>
      </c>
      <c r="Q1192" t="s">
        <v>3278</v>
      </c>
      <c r="R1192" t="s">
        <v>3</v>
      </c>
      <c r="S1192" t="s">
        <v>3</v>
      </c>
      <c r="T1192" t="s">
        <v>3</v>
      </c>
      <c r="U1192" t="s">
        <v>3</v>
      </c>
      <c r="V1192" t="s">
        <v>3</v>
      </c>
      <c r="W1192" t="s">
        <v>68</v>
      </c>
      <c r="X1192" s="17">
        <v>43646</v>
      </c>
      <c r="Y1192" t="s">
        <v>2497</v>
      </c>
      <c r="Z1192" s="17">
        <v>43461</v>
      </c>
      <c r="AA1192" t="s">
        <v>3</v>
      </c>
      <c r="AB1192" t="s">
        <v>3276</v>
      </c>
    </row>
    <row r="1193" spans="1:28" hidden="1">
      <c r="A1193" t="s">
        <v>3276</v>
      </c>
      <c r="B1193" s="17">
        <v>43461</v>
      </c>
      <c r="C1193" s="17">
        <v>43461</v>
      </c>
      <c r="D1193" t="s">
        <v>0</v>
      </c>
      <c r="E1193" t="s">
        <v>1</v>
      </c>
      <c r="F1193" s="18">
        <v>2888</v>
      </c>
      <c r="G1193" s="18">
        <v>2888</v>
      </c>
      <c r="H1193" t="s">
        <v>2</v>
      </c>
      <c r="I1193" t="s">
        <v>10</v>
      </c>
      <c r="J1193" s="18">
        <v>239126.39999999999</v>
      </c>
      <c r="K1193" t="s">
        <v>3224</v>
      </c>
      <c r="L1193" t="s">
        <v>9</v>
      </c>
      <c r="M1193" t="s">
        <v>3277</v>
      </c>
      <c r="N1193" t="s">
        <v>3</v>
      </c>
      <c r="O1193" t="s">
        <v>3</v>
      </c>
      <c r="P1193" t="s">
        <v>5</v>
      </c>
      <c r="Q1193" t="s">
        <v>3278</v>
      </c>
      <c r="R1193" t="s">
        <v>3</v>
      </c>
      <c r="S1193" t="s">
        <v>3</v>
      </c>
      <c r="T1193" t="s">
        <v>3</v>
      </c>
      <c r="U1193" t="s">
        <v>3</v>
      </c>
      <c r="V1193" t="s">
        <v>3</v>
      </c>
      <c r="W1193" t="s">
        <v>68</v>
      </c>
      <c r="X1193" s="17">
        <v>43646</v>
      </c>
      <c r="Y1193" t="s">
        <v>2499</v>
      </c>
      <c r="Z1193" s="17">
        <v>43461</v>
      </c>
      <c r="AA1193" t="s">
        <v>3</v>
      </c>
      <c r="AB1193" t="s">
        <v>3276</v>
      </c>
    </row>
    <row r="1194" spans="1:28" hidden="1">
      <c r="A1194" t="s">
        <v>3276</v>
      </c>
      <c r="B1194" s="17">
        <v>43461</v>
      </c>
      <c r="C1194" s="17">
        <v>43461</v>
      </c>
      <c r="D1194" t="s">
        <v>0</v>
      </c>
      <c r="E1194" t="s">
        <v>1</v>
      </c>
      <c r="F1194" s="18">
        <v>45537</v>
      </c>
      <c r="G1194" s="18">
        <v>45537</v>
      </c>
      <c r="H1194" t="s">
        <v>2</v>
      </c>
      <c r="I1194" t="s">
        <v>10</v>
      </c>
      <c r="J1194" s="18">
        <v>3777294.15</v>
      </c>
      <c r="K1194" t="s">
        <v>3273</v>
      </c>
      <c r="L1194" t="s">
        <v>9</v>
      </c>
      <c r="M1194" t="s">
        <v>3277</v>
      </c>
      <c r="N1194" t="s">
        <v>3</v>
      </c>
      <c r="O1194" t="s">
        <v>3</v>
      </c>
      <c r="P1194" t="s">
        <v>5</v>
      </c>
      <c r="Q1194" t="s">
        <v>3278</v>
      </c>
      <c r="R1194" t="s">
        <v>3</v>
      </c>
      <c r="S1194" t="s">
        <v>3</v>
      </c>
      <c r="T1194" t="s">
        <v>3</v>
      </c>
      <c r="U1194" t="s">
        <v>3</v>
      </c>
      <c r="V1194" t="s">
        <v>3</v>
      </c>
      <c r="W1194" t="s">
        <v>68</v>
      </c>
      <c r="X1194" s="17">
        <v>43519</v>
      </c>
      <c r="Y1194" t="s">
        <v>2375</v>
      </c>
      <c r="Z1194" s="17">
        <v>43461</v>
      </c>
      <c r="AA1194" t="s">
        <v>3</v>
      </c>
      <c r="AB1194" t="s">
        <v>3276</v>
      </c>
    </row>
    <row r="1195" spans="1:28" hidden="1">
      <c r="A1195" t="s">
        <v>3276</v>
      </c>
      <c r="B1195" s="17">
        <v>43461</v>
      </c>
      <c r="C1195" s="17">
        <v>43461</v>
      </c>
      <c r="D1195" t="s">
        <v>0</v>
      </c>
      <c r="E1195" t="s">
        <v>1</v>
      </c>
      <c r="F1195" s="18">
        <v>1971</v>
      </c>
      <c r="G1195" s="18">
        <v>1971</v>
      </c>
      <c r="H1195" t="s">
        <v>2</v>
      </c>
      <c r="I1195" t="s">
        <v>10</v>
      </c>
      <c r="J1195" s="18">
        <v>163198.79999999999</v>
      </c>
      <c r="K1195" t="s">
        <v>3225</v>
      </c>
      <c r="L1195" t="s">
        <v>9</v>
      </c>
      <c r="M1195" t="s">
        <v>3277</v>
      </c>
      <c r="N1195" t="s">
        <v>3</v>
      </c>
      <c r="O1195" t="s">
        <v>3</v>
      </c>
      <c r="P1195" t="s">
        <v>5</v>
      </c>
      <c r="Q1195" t="s">
        <v>3278</v>
      </c>
      <c r="R1195" t="s">
        <v>3</v>
      </c>
      <c r="S1195" t="s">
        <v>3</v>
      </c>
      <c r="T1195" t="s">
        <v>3</v>
      </c>
      <c r="U1195" t="s">
        <v>3</v>
      </c>
      <c r="V1195" t="s">
        <v>3</v>
      </c>
      <c r="W1195" t="s">
        <v>68</v>
      </c>
      <c r="X1195" s="17">
        <v>43646</v>
      </c>
      <c r="Y1195" t="s">
        <v>2502</v>
      </c>
      <c r="Z1195" s="17">
        <v>43461</v>
      </c>
      <c r="AA1195" t="s">
        <v>3</v>
      </c>
      <c r="AB1195" t="s">
        <v>3276</v>
      </c>
    </row>
    <row r="1196" spans="1:28" hidden="1">
      <c r="A1196" t="s">
        <v>3276</v>
      </c>
      <c r="B1196" s="17">
        <v>43461</v>
      </c>
      <c r="C1196" s="17">
        <v>43461</v>
      </c>
      <c r="D1196" t="s">
        <v>0</v>
      </c>
      <c r="E1196" t="s">
        <v>1</v>
      </c>
      <c r="F1196" s="18">
        <v>2634</v>
      </c>
      <c r="G1196" s="18">
        <v>2634</v>
      </c>
      <c r="H1196" t="s">
        <v>2</v>
      </c>
      <c r="I1196" t="s">
        <v>10</v>
      </c>
      <c r="J1196" s="18">
        <v>218358.6</v>
      </c>
      <c r="K1196" t="s">
        <v>3264</v>
      </c>
      <c r="L1196" t="s">
        <v>9</v>
      </c>
      <c r="M1196" t="s">
        <v>3277</v>
      </c>
      <c r="N1196" t="s">
        <v>3</v>
      </c>
      <c r="O1196" t="s">
        <v>3</v>
      </c>
      <c r="P1196" t="s">
        <v>5</v>
      </c>
      <c r="Q1196" t="s">
        <v>3278</v>
      </c>
      <c r="R1196" t="s">
        <v>3</v>
      </c>
      <c r="S1196" t="s">
        <v>3</v>
      </c>
      <c r="T1196" t="s">
        <v>3</v>
      </c>
      <c r="U1196" t="s">
        <v>3</v>
      </c>
      <c r="V1196" t="s">
        <v>3</v>
      </c>
      <c r="W1196" t="s">
        <v>68</v>
      </c>
      <c r="X1196" s="17">
        <v>43522</v>
      </c>
      <c r="Y1196" t="s">
        <v>2411</v>
      </c>
      <c r="Z1196" s="17">
        <v>43461</v>
      </c>
      <c r="AA1196" t="s">
        <v>3</v>
      </c>
      <c r="AB1196" t="s">
        <v>3276</v>
      </c>
    </row>
    <row r="1197" spans="1:28" hidden="1">
      <c r="A1197" t="s">
        <v>3291</v>
      </c>
      <c r="B1197" s="17">
        <v>43465</v>
      </c>
      <c r="C1197" s="17">
        <v>43465</v>
      </c>
      <c r="D1197" t="s">
        <v>0</v>
      </c>
      <c r="E1197" t="s">
        <v>1</v>
      </c>
      <c r="F1197" s="18">
        <v>190047.16</v>
      </c>
      <c r="G1197" s="18">
        <v>190047.16</v>
      </c>
      <c r="H1197" t="s">
        <v>2</v>
      </c>
      <c r="I1197" t="s">
        <v>8</v>
      </c>
      <c r="J1197" s="18">
        <v>15764411.92</v>
      </c>
      <c r="K1197" t="s">
        <v>2232</v>
      </c>
      <c r="L1197" t="s">
        <v>9</v>
      </c>
      <c r="M1197" t="s">
        <v>2233</v>
      </c>
      <c r="N1197" t="s">
        <v>3</v>
      </c>
      <c r="O1197" t="s">
        <v>3</v>
      </c>
      <c r="P1197" t="s">
        <v>5</v>
      </c>
      <c r="Q1197" t="s">
        <v>2234</v>
      </c>
      <c r="R1197" t="s">
        <v>3</v>
      </c>
      <c r="S1197" t="s">
        <v>3</v>
      </c>
      <c r="T1197" t="s">
        <v>3</v>
      </c>
      <c r="U1197" t="s">
        <v>3</v>
      </c>
      <c r="V1197" t="s">
        <v>3</v>
      </c>
      <c r="W1197" t="s">
        <v>68</v>
      </c>
      <c r="X1197" s="17">
        <v>43466</v>
      </c>
      <c r="Y1197" t="s">
        <v>2231</v>
      </c>
      <c r="Z1197" s="17">
        <v>43465</v>
      </c>
      <c r="AA1197" t="s">
        <v>3</v>
      </c>
      <c r="AB1197" t="s">
        <v>3291</v>
      </c>
    </row>
    <row r="1198" spans="1:28" hidden="1">
      <c r="A1198" t="s">
        <v>3291</v>
      </c>
      <c r="B1198" s="17">
        <v>43465</v>
      </c>
      <c r="C1198" s="17">
        <v>43465</v>
      </c>
      <c r="D1198" t="s">
        <v>0</v>
      </c>
      <c r="E1198" t="s">
        <v>1</v>
      </c>
      <c r="F1198" s="18">
        <v>-177440</v>
      </c>
      <c r="G1198" s="18">
        <v>-177440</v>
      </c>
      <c r="H1198" t="s">
        <v>2</v>
      </c>
      <c r="I1198" t="s">
        <v>8</v>
      </c>
      <c r="J1198" s="18">
        <v>-14718648</v>
      </c>
      <c r="K1198" t="s">
        <v>2232</v>
      </c>
      <c r="L1198" t="s">
        <v>9</v>
      </c>
      <c r="M1198" t="s">
        <v>2233</v>
      </c>
      <c r="N1198" t="s">
        <v>3</v>
      </c>
      <c r="O1198" t="s">
        <v>3</v>
      </c>
      <c r="P1198" t="s">
        <v>5</v>
      </c>
      <c r="Q1198" t="s">
        <v>2234</v>
      </c>
      <c r="R1198" t="s">
        <v>3</v>
      </c>
      <c r="S1198" t="s">
        <v>3</v>
      </c>
      <c r="T1198" t="s">
        <v>3</v>
      </c>
      <c r="U1198" t="s">
        <v>3</v>
      </c>
      <c r="V1198" t="s">
        <v>3</v>
      </c>
      <c r="W1198" t="s">
        <v>68</v>
      </c>
      <c r="X1198" s="17">
        <v>43466</v>
      </c>
      <c r="Y1198" t="s">
        <v>2231</v>
      </c>
      <c r="Z1198" s="17">
        <v>43465</v>
      </c>
      <c r="AA1198" t="s">
        <v>3</v>
      </c>
      <c r="AB1198" t="s">
        <v>3291</v>
      </c>
    </row>
    <row r="1199" spans="1:28" hidden="1">
      <c r="A1199" t="s">
        <v>3292</v>
      </c>
      <c r="B1199" s="17">
        <v>43465</v>
      </c>
      <c r="C1199" s="17">
        <v>43465</v>
      </c>
      <c r="D1199" t="s">
        <v>0</v>
      </c>
      <c r="E1199" t="s">
        <v>1</v>
      </c>
      <c r="F1199" s="18">
        <v>54405.72</v>
      </c>
      <c r="G1199" s="18">
        <v>54405.72</v>
      </c>
      <c r="H1199" t="s">
        <v>2</v>
      </c>
      <c r="I1199" t="s">
        <v>8</v>
      </c>
      <c r="J1199" s="18">
        <v>4512954.47</v>
      </c>
      <c r="K1199" t="s">
        <v>2236</v>
      </c>
      <c r="L1199" t="s">
        <v>4</v>
      </c>
      <c r="M1199" t="s">
        <v>2237</v>
      </c>
      <c r="N1199" t="s">
        <v>3</v>
      </c>
      <c r="O1199" t="s">
        <v>3</v>
      </c>
      <c r="P1199" t="s">
        <v>5</v>
      </c>
      <c r="Q1199" t="s">
        <v>2237</v>
      </c>
      <c r="R1199" t="s">
        <v>3</v>
      </c>
      <c r="S1199" t="s">
        <v>3</v>
      </c>
      <c r="T1199" t="s">
        <v>3</v>
      </c>
      <c r="U1199" t="s">
        <v>3</v>
      </c>
      <c r="V1199" t="s">
        <v>3</v>
      </c>
      <c r="W1199" t="s">
        <v>68</v>
      </c>
      <c r="X1199" s="17">
        <v>43466</v>
      </c>
      <c r="Y1199" t="s">
        <v>2235</v>
      </c>
      <c r="Z1199" s="17">
        <v>43465</v>
      </c>
      <c r="AA1199" t="s">
        <v>3</v>
      </c>
      <c r="AB1199" t="s">
        <v>3292</v>
      </c>
    </row>
    <row r="1200" spans="1:28" hidden="1">
      <c r="A1200" t="s">
        <v>2231</v>
      </c>
      <c r="B1200" s="17">
        <v>43466</v>
      </c>
      <c r="C1200" s="17">
        <v>43465</v>
      </c>
      <c r="D1200" t="s">
        <v>38</v>
      </c>
      <c r="E1200" t="s">
        <v>1</v>
      </c>
      <c r="F1200" s="18">
        <v>-190047.16</v>
      </c>
      <c r="G1200" s="18">
        <v>-190047.16</v>
      </c>
      <c r="H1200" t="s">
        <v>2</v>
      </c>
      <c r="I1200" t="s">
        <v>8</v>
      </c>
      <c r="J1200" s="18">
        <v>-15764411.92</v>
      </c>
      <c r="K1200" t="s">
        <v>2232</v>
      </c>
      <c r="L1200" t="s">
        <v>9</v>
      </c>
      <c r="M1200" t="s">
        <v>2233</v>
      </c>
      <c r="N1200" t="s">
        <v>3</v>
      </c>
      <c r="O1200" t="s">
        <v>3</v>
      </c>
      <c r="P1200" t="s">
        <v>5</v>
      </c>
      <c r="Q1200" t="s">
        <v>2234</v>
      </c>
      <c r="R1200" t="s">
        <v>3</v>
      </c>
      <c r="S1200" t="s">
        <v>3</v>
      </c>
      <c r="T1200" t="s">
        <v>3</v>
      </c>
      <c r="U1200" t="s">
        <v>3</v>
      </c>
      <c r="V1200" t="s">
        <v>3</v>
      </c>
      <c r="W1200" t="s">
        <v>68</v>
      </c>
      <c r="X1200" s="17">
        <v>43466</v>
      </c>
      <c r="Y1200" t="s">
        <v>2231</v>
      </c>
      <c r="Z1200" s="17">
        <v>43465</v>
      </c>
      <c r="AA1200" t="s">
        <v>3</v>
      </c>
      <c r="AB1200" t="s">
        <v>2231</v>
      </c>
    </row>
    <row r="1201" spans="1:28" hidden="1">
      <c r="A1201" t="s">
        <v>2231</v>
      </c>
      <c r="B1201" s="17">
        <v>43466</v>
      </c>
      <c r="C1201" s="17">
        <v>43465</v>
      </c>
      <c r="D1201" t="s">
        <v>38</v>
      </c>
      <c r="E1201" t="s">
        <v>1</v>
      </c>
      <c r="F1201" s="18">
        <v>177440</v>
      </c>
      <c r="G1201" s="18">
        <v>177440</v>
      </c>
      <c r="H1201" t="s">
        <v>2</v>
      </c>
      <c r="I1201" t="s">
        <v>8</v>
      </c>
      <c r="J1201" s="18">
        <v>14718648</v>
      </c>
      <c r="K1201" t="s">
        <v>2232</v>
      </c>
      <c r="L1201" t="s">
        <v>9</v>
      </c>
      <c r="M1201" t="s">
        <v>2233</v>
      </c>
      <c r="N1201" t="s">
        <v>3</v>
      </c>
      <c r="O1201" t="s">
        <v>3</v>
      </c>
      <c r="P1201" t="s">
        <v>5</v>
      </c>
      <c r="Q1201" t="s">
        <v>2234</v>
      </c>
      <c r="R1201" t="s">
        <v>3</v>
      </c>
      <c r="S1201" t="s">
        <v>3</v>
      </c>
      <c r="T1201" t="s">
        <v>3</v>
      </c>
      <c r="U1201" t="s">
        <v>3</v>
      </c>
      <c r="V1201" t="s">
        <v>3</v>
      </c>
      <c r="W1201" t="s">
        <v>68</v>
      </c>
      <c r="X1201" s="17">
        <v>43466</v>
      </c>
      <c r="Y1201" t="s">
        <v>2231</v>
      </c>
      <c r="Z1201" s="17">
        <v>43465</v>
      </c>
      <c r="AA1201" t="s">
        <v>3</v>
      </c>
      <c r="AB1201" t="s">
        <v>2231</v>
      </c>
    </row>
    <row r="1202" spans="1:28" hidden="1">
      <c r="A1202" t="s">
        <v>2235</v>
      </c>
      <c r="B1202" s="17">
        <v>43466</v>
      </c>
      <c r="C1202" s="17">
        <v>43465</v>
      </c>
      <c r="D1202" t="s">
        <v>38</v>
      </c>
      <c r="E1202" t="s">
        <v>1</v>
      </c>
      <c r="F1202" s="18">
        <v>-54405.72</v>
      </c>
      <c r="G1202" s="18">
        <v>-54405.72</v>
      </c>
      <c r="H1202" t="s">
        <v>2</v>
      </c>
      <c r="I1202" t="s">
        <v>8</v>
      </c>
      <c r="J1202" s="18">
        <v>-4512954.47</v>
      </c>
      <c r="K1202" t="s">
        <v>2236</v>
      </c>
      <c r="L1202" t="s">
        <v>4</v>
      </c>
      <c r="M1202" t="s">
        <v>2237</v>
      </c>
      <c r="N1202" t="s">
        <v>3</v>
      </c>
      <c r="O1202" t="s">
        <v>3</v>
      </c>
      <c r="P1202" t="s">
        <v>5</v>
      </c>
      <c r="Q1202" t="s">
        <v>2237</v>
      </c>
      <c r="R1202" t="s">
        <v>3</v>
      </c>
      <c r="S1202" t="s">
        <v>3</v>
      </c>
      <c r="T1202" t="s">
        <v>3</v>
      </c>
      <c r="U1202" t="s">
        <v>3</v>
      </c>
      <c r="V1202" t="s">
        <v>3</v>
      </c>
      <c r="W1202" t="s">
        <v>68</v>
      </c>
      <c r="X1202" s="17">
        <v>43466</v>
      </c>
      <c r="Y1202" t="s">
        <v>2235</v>
      </c>
      <c r="Z1202" s="17">
        <v>43465</v>
      </c>
      <c r="AA1202" t="s">
        <v>3</v>
      </c>
      <c r="AB1202" t="s">
        <v>2235</v>
      </c>
    </row>
    <row r="1203" spans="1:28" hidden="1">
      <c r="A1203" t="s">
        <v>3293</v>
      </c>
      <c r="B1203" s="17">
        <v>43466</v>
      </c>
      <c r="C1203" s="17">
        <v>43466</v>
      </c>
      <c r="D1203" t="s">
        <v>0</v>
      </c>
      <c r="E1203" t="s">
        <v>1</v>
      </c>
      <c r="F1203" s="18">
        <v>-39061.82</v>
      </c>
      <c r="G1203" s="18">
        <v>-39061.82</v>
      </c>
      <c r="H1203" t="s">
        <v>2</v>
      </c>
      <c r="I1203" t="s">
        <v>8</v>
      </c>
      <c r="J1203" s="18">
        <v>-3240177.97</v>
      </c>
      <c r="K1203" t="s">
        <v>3294</v>
      </c>
      <c r="L1203" t="s">
        <v>4</v>
      </c>
      <c r="M1203" t="s">
        <v>3295</v>
      </c>
      <c r="N1203" t="s">
        <v>3</v>
      </c>
      <c r="O1203" t="s">
        <v>3</v>
      </c>
      <c r="P1203" t="s">
        <v>5</v>
      </c>
      <c r="Q1203" t="s">
        <v>3296</v>
      </c>
      <c r="R1203" t="s">
        <v>3</v>
      </c>
      <c r="S1203" t="s">
        <v>3</v>
      </c>
      <c r="T1203" t="s">
        <v>3</v>
      </c>
      <c r="U1203" t="s">
        <v>3</v>
      </c>
      <c r="V1203" t="s">
        <v>3</v>
      </c>
      <c r="W1203" t="s">
        <v>68</v>
      </c>
      <c r="X1203" s="17"/>
      <c r="Y1203" t="s">
        <v>3</v>
      </c>
      <c r="Z1203" s="17">
        <v>43466</v>
      </c>
      <c r="AA1203" t="s">
        <v>3</v>
      </c>
      <c r="AB1203" t="s">
        <v>3293</v>
      </c>
    </row>
    <row r="1204" spans="1:28" hidden="1">
      <c r="A1204" t="s">
        <v>3297</v>
      </c>
      <c r="B1204" s="17">
        <v>43466</v>
      </c>
      <c r="C1204" s="17">
        <v>43466</v>
      </c>
      <c r="D1204" t="s">
        <v>0</v>
      </c>
      <c r="E1204" t="s">
        <v>1</v>
      </c>
      <c r="F1204" s="18">
        <v>-100693</v>
      </c>
      <c r="G1204" s="18">
        <v>-100693</v>
      </c>
      <c r="H1204" t="s">
        <v>2</v>
      </c>
      <c r="I1204" t="s">
        <v>8</v>
      </c>
      <c r="J1204" s="18">
        <v>-8352484.3600000003</v>
      </c>
      <c r="K1204" t="s">
        <v>3298</v>
      </c>
      <c r="L1204" t="s">
        <v>9</v>
      </c>
      <c r="M1204" t="s">
        <v>3299</v>
      </c>
      <c r="N1204" t="s">
        <v>3</v>
      </c>
      <c r="O1204" t="s">
        <v>3</v>
      </c>
      <c r="P1204" t="s">
        <v>5</v>
      </c>
      <c r="Q1204" t="s">
        <v>3300</v>
      </c>
      <c r="R1204" t="s">
        <v>3</v>
      </c>
      <c r="S1204" t="s">
        <v>3</v>
      </c>
      <c r="T1204" t="s">
        <v>3</v>
      </c>
      <c r="U1204" t="s">
        <v>3</v>
      </c>
      <c r="V1204" t="s">
        <v>3</v>
      </c>
      <c r="W1204" t="s">
        <v>68</v>
      </c>
      <c r="X1204" s="17">
        <v>43646</v>
      </c>
      <c r="Y1204" t="s">
        <v>2481</v>
      </c>
      <c r="Z1204" s="17">
        <v>43466</v>
      </c>
      <c r="AA1204" t="s">
        <v>3</v>
      </c>
      <c r="AB1204" t="s">
        <v>3297</v>
      </c>
    </row>
    <row r="1205" spans="1:28" hidden="1">
      <c r="A1205" t="s">
        <v>3301</v>
      </c>
      <c r="B1205" s="17">
        <v>43466</v>
      </c>
      <c r="C1205" s="17">
        <v>43466</v>
      </c>
      <c r="D1205" t="s">
        <v>0</v>
      </c>
      <c r="E1205" t="s">
        <v>1</v>
      </c>
      <c r="F1205" s="18">
        <v>24964.32</v>
      </c>
      <c r="G1205" s="18">
        <v>24964.32</v>
      </c>
      <c r="H1205" t="s">
        <v>2</v>
      </c>
      <c r="I1205" t="s">
        <v>8</v>
      </c>
      <c r="J1205" s="18">
        <v>2070790.34</v>
      </c>
      <c r="K1205" t="s">
        <v>3302</v>
      </c>
      <c r="L1205" t="s">
        <v>4</v>
      </c>
      <c r="M1205" t="s">
        <v>3303</v>
      </c>
      <c r="N1205" t="s">
        <v>3</v>
      </c>
      <c r="O1205" t="s">
        <v>3</v>
      </c>
      <c r="P1205" t="s">
        <v>5</v>
      </c>
      <c r="Q1205" t="s">
        <v>3304</v>
      </c>
      <c r="R1205" t="s">
        <v>3</v>
      </c>
      <c r="S1205" t="s">
        <v>3</v>
      </c>
      <c r="T1205" t="s">
        <v>3</v>
      </c>
      <c r="U1205" t="s">
        <v>3</v>
      </c>
      <c r="V1205" t="s">
        <v>3</v>
      </c>
      <c r="W1205" t="s">
        <v>68</v>
      </c>
      <c r="X1205" s="17"/>
      <c r="Y1205" t="s">
        <v>3</v>
      </c>
      <c r="Z1205" s="17">
        <v>43466</v>
      </c>
      <c r="AA1205" t="s">
        <v>3</v>
      </c>
      <c r="AB1205" t="s">
        <v>3301</v>
      </c>
    </row>
    <row r="1206" spans="1:28" hidden="1">
      <c r="A1206" t="s">
        <v>3422</v>
      </c>
      <c r="B1206" s="17">
        <v>43466</v>
      </c>
      <c r="C1206" s="17">
        <v>43466</v>
      </c>
      <c r="D1206" t="s">
        <v>0</v>
      </c>
      <c r="E1206" t="s">
        <v>1</v>
      </c>
      <c r="F1206" s="18">
        <v>-76747</v>
      </c>
      <c r="G1206" s="18">
        <v>-76747</v>
      </c>
      <c r="H1206" t="s">
        <v>2</v>
      </c>
      <c r="I1206" t="s">
        <v>10</v>
      </c>
      <c r="J1206" s="18">
        <v>-6366163.6500000004</v>
      </c>
      <c r="K1206" t="s">
        <v>3423</v>
      </c>
      <c r="L1206" t="s">
        <v>9</v>
      </c>
      <c r="M1206" t="s">
        <v>3424</v>
      </c>
      <c r="N1206" t="s">
        <v>3</v>
      </c>
      <c r="O1206" t="s">
        <v>3</v>
      </c>
      <c r="P1206" t="s">
        <v>5</v>
      </c>
      <c r="Q1206" t="s">
        <v>3425</v>
      </c>
      <c r="R1206" t="s">
        <v>3</v>
      </c>
      <c r="S1206" t="s">
        <v>3</v>
      </c>
      <c r="T1206" t="s">
        <v>3</v>
      </c>
      <c r="U1206" t="s">
        <v>3</v>
      </c>
      <c r="V1206" t="s">
        <v>3</v>
      </c>
      <c r="W1206" t="s">
        <v>68</v>
      </c>
      <c r="X1206" s="17">
        <v>43522</v>
      </c>
      <c r="Y1206" t="s">
        <v>2414</v>
      </c>
      <c r="Z1206" s="17">
        <v>43466</v>
      </c>
      <c r="AA1206" t="s">
        <v>3</v>
      </c>
      <c r="AB1206" t="s">
        <v>3422</v>
      </c>
    </row>
    <row r="1207" spans="1:28" hidden="1">
      <c r="A1207" t="s">
        <v>3571</v>
      </c>
      <c r="B1207" s="17">
        <v>43466</v>
      </c>
      <c r="C1207" s="17">
        <v>43466</v>
      </c>
      <c r="D1207" t="s">
        <v>0</v>
      </c>
      <c r="E1207" t="s">
        <v>1</v>
      </c>
      <c r="F1207" s="18">
        <v>22525</v>
      </c>
      <c r="G1207" s="18">
        <v>22525</v>
      </c>
      <c r="H1207" t="s">
        <v>2</v>
      </c>
      <c r="I1207" t="s">
        <v>8</v>
      </c>
      <c r="J1207" s="18">
        <v>1868448.75</v>
      </c>
      <c r="K1207" t="s">
        <v>3348</v>
      </c>
      <c r="L1207" t="s">
        <v>9</v>
      </c>
      <c r="M1207" t="s">
        <v>3572</v>
      </c>
      <c r="N1207" t="s">
        <v>3</v>
      </c>
      <c r="O1207" t="s">
        <v>3</v>
      </c>
      <c r="P1207" t="s">
        <v>5</v>
      </c>
      <c r="Q1207" t="s">
        <v>3573</v>
      </c>
      <c r="R1207" t="s">
        <v>3</v>
      </c>
      <c r="S1207" t="s">
        <v>3</v>
      </c>
      <c r="T1207" t="s">
        <v>3</v>
      </c>
      <c r="U1207" t="s">
        <v>3</v>
      </c>
      <c r="V1207" t="s">
        <v>3</v>
      </c>
      <c r="W1207" t="s">
        <v>68</v>
      </c>
      <c r="X1207" s="17">
        <v>43587</v>
      </c>
      <c r="Y1207" t="s">
        <v>2460</v>
      </c>
      <c r="Z1207" s="17">
        <v>43466</v>
      </c>
      <c r="AA1207" t="s">
        <v>3</v>
      </c>
      <c r="AB1207" t="s">
        <v>3571</v>
      </c>
    </row>
    <row r="1208" spans="1:28" hidden="1">
      <c r="A1208" t="s">
        <v>3426</v>
      </c>
      <c r="B1208" s="17">
        <v>43467</v>
      </c>
      <c r="C1208" s="17">
        <v>43467</v>
      </c>
      <c r="D1208" t="s">
        <v>0</v>
      </c>
      <c r="E1208" t="s">
        <v>1</v>
      </c>
      <c r="F1208" s="18">
        <v>14936</v>
      </c>
      <c r="G1208" s="18">
        <v>14936</v>
      </c>
      <c r="H1208" t="s">
        <v>2</v>
      </c>
      <c r="I1208" t="s">
        <v>10</v>
      </c>
      <c r="J1208" s="18">
        <v>1238941.2</v>
      </c>
      <c r="K1208" t="s">
        <v>3427</v>
      </c>
      <c r="L1208" t="s">
        <v>9</v>
      </c>
      <c r="M1208" t="s">
        <v>3428</v>
      </c>
      <c r="N1208" t="s">
        <v>3</v>
      </c>
      <c r="O1208" t="s">
        <v>3</v>
      </c>
      <c r="P1208" t="s">
        <v>5</v>
      </c>
      <c r="Q1208" t="s">
        <v>3429</v>
      </c>
      <c r="R1208" t="s">
        <v>3</v>
      </c>
      <c r="S1208" t="s">
        <v>3</v>
      </c>
      <c r="T1208" t="s">
        <v>3</v>
      </c>
      <c r="U1208" t="s">
        <v>3</v>
      </c>
      <c r="V1208" t="s">
        <v>3</v>
      </c>
      <c r="W1208" t="s">
        <v>68</v>
      </c>
      <c r="X1208" s="17">
        <v>43519</v>
      </c>
      <c r="Y1208" t="s">
        <v>2375</v>
      </c>
      <c r="Z1208" s="17">
        <v>43467</v>
      </c>
      <c r="AA1208" t="s">
        <v>3</v>
      </c>
      <c r="AB1208" t="s">
        <v>3426</v>
      </c>
    </row>
    <row r="1209" spans="1:28" hidden="1">
      <c r="A1209" t="s">
        <v>3305</v>
      </c>
      <c r="B1209" s="17">
        <v>43468</v>
      </c>
      <c r="C1209" s="17">
        <v>43468</v>
      </c>
      <c r="D1209" t="s">
        <v>0</v>
      </c>
      <c r="E1209" t="s">
        <v>1</v>
      </c>
      <c r="F1209" s="18">
        <v>68518.52</v>
      </c>
      <c r="G1209" s="18">
        <v>68518.52</v>
      </c>
      <c r="H1209" t="s">
        <v>2</v>
      </c>
      <c r="I1209" t="s">
        <v>8</v>
      </c>
      <c r="J1209" s="18">
        <v>5683611.2300000004</v>
      </c>
      <c r="K1209" t="s">
        <v>3306</v>
      </c>
      <c r="L1209" t="s">
        <v>4</v>
      </c>
      <c r="M1209" t="s">
        <v>3307</v>
      </c>
      <c r="N1209" t="s">
        <v>3</v>
      </c>
      <c r="O1209" t="s">
        <v>3</v>
      </c>
      <c r="P1209" t="s">
        <v>5</v>
      </c>
      <c r="Q1209" t="s">
        <v>3308</v>
      </c>
      <c r="R1209" t="s">
        <v>3</v>
      </c>
      <c r="S1209" t="s">
        <v>3</v>
      </c>
      <c r="T1209" t="s">
        <v>3</v>
      </c>
      <c r="U1209" t="s">
        <v>3</v>
      </c>
      <c r="V1209" t="s">
        <v>3</v>
      </c>
      <c r="W1209" t="s">
        <v>68</v>
      </c>
      <c r="X1209" s="17"/>
      <c r="Y1209" t="s">
        <v>3</v>
      </c>
      <c r="Z1209" s="17">
        <v>43468</v>
      </c>
      <c r="AA1209" t="s">
        <v>3</v>
      </c>
      <c r="AB1209" t="s">
        <v>3305</v>
      </c>
    </row>
    <row r="1210" spans="1:28" hidden="1">
      <c r="A1210" t="s">
        <v>3309</v>
      </c>
      <c r="B1210" s="17">
        <v>43468</v>
      </c>
      <c r="C1210" s="17">
        <v>43468</v>
      </c>
      <c r="D1210" t="s">
        <v>0</v>
      </c>
      <c r="E1210" t="s">
        <v>1</v>
      </c>
      <c r="F1210" s="18">
        <v>63157</v>
      </c>
      <c r="G1210" s="18">
        <v>63157</v>
      </c>
      <c r="H1210" t="s">
        <v>2</v>
      </c>
      <c r="I1210" t="s">
        <v>8</v>
      </c>
      <c r="J1210" s="18">
        <v>5238873.1500000004</v>
      </c>
      <c r="K1210" t="s">
        <v>3310</v>
      </c>
      <c r="L1210" t="s">
        <v>9</v>
      </c>
      <c r="M1210" t="s">
        <v>3311</v>
      </c>
      <c r="N1210" t="s">
        <v>3</v>
      </c>
      <c r="O1210" t="s">
        <v>3</v>
      </c>
      <c r="P1210" t="s">
        <v>5</v>
      </c>
      <c r="Q1210" t="s">
        <v>3312</v>
      </c>
      <c r="R1210" t="s">
        <v>3</v>
      </c>
      <c r="S1210" t="s">
        <v>3</v>
      </c>
      <c r="T1210" t="s">
        <v>3</v>
      </c>
      <c r="U1210" t="s">
        <v>3</v>
      </c>
      <c r="V1210" t="s">
        <v>3</v>
      </c>
      <c r="W1210" t="s">
        <v>68</v>
      </c>
      <c r="X1210" s="17">
        <v>43587</v>
      </c>
      <c r="Y1210" t="s">
        <v>2422</v>
      </c>
      <c r="Z1210" s="17">
        <v>43468</v>
      </c>
      <c r="AA1210" t="s">
        <v>3</v>
      </c>
      <c r="AB1210" t="s">
        <v>3309</v>
      </c>
    </row>
    <row r="1211" spans="1:28" hidden="1">
      <c r="A1211" t="s">
        <v>3309</v>
      </c>
      <c r="B1211" s="17">
        <v>43468</v>
      </c>
      <c r="C1211" s="17">
        <v>43468</v>
      </c>
      <c r="D1211" t="s">
        <v>0</v>
      </c>
      <c r="E1211" t="s">
        <v>1</v>
      </c>
      <c r="F1211" s="18">
        <v>51974.16</v>
      </c>
      <c r="G1211" s="18">
        <v>51974.16</v>
      </c>
      <c r="H1211" t="s">
        <v>2</v>
      </c>
      <c r="I1211" t="s">
        <v>8</v>
      </c>
      <c r="J1211" s="18">
        <v>4311256.57</v>
      </c>
      <c r="K1211" t="s">
        <v>3313</v>
      </c>
      <c r="L1211" t="s">
        <v>9</v>
      </c>
      <c r="M1211" t="s">
        <v>3311</v>
      </c>
      <c r="N1211" t="s">
        <v>3</v>
      </c>
      <c r="O1211" t="s">
        <v>3</v>
      </c>
      <c r="P1211" t="s">
        <v>5</v>
      </c>
      <c r="Q1211" t="s">
        <v>3312</v>
      </c>
      <c r="R1211" t="s">
        <v>3</v>
      </c>
      <c r="S1211" t="s">
        <v>3</v>
      </c>
      <c r="T1211" t="s">
        <v>3</v>
      </c>
      <c r="U1211" t="s">
        <v>3</v>
      </c>
      <c r="V1211" t="s">
        <v>3</v>
      </c>
      <c r="W1211" t="s">
        <v>68</v>
      </c>
      <c r="X1211" s="17">
        <v>43587</v>
      </c>
      <c r="Y1211" t="s">
        <v>2458</v>
      </c>
      <c r="Z1211" s="17">
        <v>43468</v>
      </c>
      <c r="AA1211" t="s">
        <v>3</v>
      </c>
      <c r="AB1211" t="s">
        <v>3309</v>
      </c>
    </row>
    <row r="1212" spans="1:28" hidden="1">
      <c r="A1212" t="s">
        <v>3314</v>
      </c>
      <c r="B1212" s="17">
        <v>43468</v>
      </c>
      <c r="C1212" s="17">
        <v>43468</v>
      </c>
      <c r="D1212" t="s">
        <v>0</v>
      </c>
      <c r="E1212" t="s">
        <v>1</v>
      </c>
      <c r="F1212" s="18">
        <v>-400114</v>
      </c>
      <c r="G1212" s="18">
        <v>-400114</v>
      </c>
      <c r="H1212" t="s">
        <v>2</v>
      </c>
      <c r="I1212" t="s">
        <v>8</v>
      </c>
      <c r="J1212" s="18">
        <v>-33189456.300000001</v>
      </c>
      <c r="K1212" t="s">
        <v>3315</v>
      </c>
      <c r="L1212" t="s">
        <v>9</v>
      </c>
      <c r="M1212" t="s">
        <v>3316</v>
      </c>
      <c r="N1212" t="s">
        <v>3</v>
      </c>
      <c r="O1212" t="s">
        <v>3</v>
      </c>
      <c r="P1212" t="s">
        <v>5</v>
      </c>
      <c r="Q1212" t="s">
        <v>3317</v>
      </c>
      <c r="R1212" t="s">
        <v>3</v>
      </c>
      <c r="S1212" t="s">
        <v>3</v>
      </c>
      <c r="T1212" t="s">
        <v>3</v>
      </c>
      <c r="U1212" t="s">
        <v>3</v>
      </c>
      <c r="V1212" t="s">
        <v>3</v>
      </c>
      <c r="W1212" t="s">
        <v>68</v>
      </c>
      <c r="X1212" s="17">
        <v>43646</v>
      </c>
      <c r="Y1212" t="s">
        <v>2475</v>
      </c>
      <c r="Z1212" s="17">
        <v>43468</v>
      </c>
      <c r="AA1212" t="s">
        <v>3</v>
      </c>
      <c r="AB1212" t="s">
        <v>3314</v>
      </c>
    </row>
    <row r="1213" spans="1:28" hidden="1">
      <c r="A1213" t="s">
        <v>3318</v>
      </c>
      <c r="B1213" s="17">
        <v>43471</v>
      </c>
      <c r="C1213" s="17">
        <v>43471</v>
      </c>
      <c r="D1213" t="s">
        <v>0</v>
      </c>
      <c r="E1213" t="s">
        <v>1</v>
      </c>
      <c r="F1213" s="18">
        <v>-97972</v>
      </c>
      <c r="G1213" s="18">
        <v>-97972</v>
      </c>
      <c r="H1213" t="s">
        <v>2</v>
      </c>
      <c r="I1213" t="s">
        <v>8</v>
      </c>
      <c r="J1213" s="18">
        <v>-8126777.4100000001</v>
      </c>
      <c r="K1213" t="s">
        <v>3319</v>
      </c>
      <c r="L1213" t="s">
        <v>9</v>
      </c>
      <c r="M1213" t="s">
        <v>3320</v>
      </c>
      <c r="N1213" t="s">
        <v>3</v>
      </c>
      <c r="O1213" t="s">
        <v>3</v>
      </c>
      <c r="P1213" t="s">
        <v>5</v>
      </c>
      <c r="Q1213" t="s">
        <v>3321</v>
      </c>
      <c r="R1213" t="s">
        <v>3</v>
      </c>
      <c r="S1213" t="s">
        <v>3</v>
      </c>
      <c r="T1213" t="s">
        <v>3</v>
      </c>
      <c r="U1213" t="s">
        <v>3</v>
      </c>
      <c r="V1213" t="s">
        <v>3</v>
      </c>
      <c r="W1213" t="s">
        <v>68</v>
      </c>
      <c r="X1213" s="17">
        <v>43486</v>
      </c>
      <c r="Y1213" t="s">
        <v>2906</v>
      </c>
      <c r="Z1213" s="17">
        <v>43471</v>
      </c>
      <c r="AA1213" t="s">
        <v>3</v>
      </c>
      <c r="AB1213" t="s">
        <v>3318</v>
      </c>
    </row>
    <row r="1214" spans="1:28" hidden="1">
      <c r="A1214" t="s">
        <v>3322</v>
      </c>
      <c r="B1214" s="17">
        <v>43471</v>
      </c>
      <c r="C1214" s="17">
        <v>43471</v>
      </c>
      <c r="D1214" t="s">
        <v>0</v>
      </c>
      <c r="E1214" t="s">
        <v>1</v>
      </c>
      <c r="F1214" s="18">
        <v>-298893</v>
      </c>
      <c r="G1214" s="18">
        <v>-298893</v>
      </c>
      <c r="H1214" t="s">
        <v>2</v>
      </c>
      <c r="I1214" t="s">
        <v>8</v>
      </c>
      <c r="J1214" s="18">
        <v>-24793174.350000001</v>
      </c>
      <c r="K1214" t="s">
        <v>3323</v>
      </c>
      <c r="L1214" t="s">
        <v>9</v>
      </c>
      <c r="M1214" t="s">
        <v>3324</v>
      </c>
      <c r="N1214" t="s">
        <v>3</v>
      </c>
      <c r="O1214" t="s">
        <v>3</v>
      </c>
      <c r="P1214" t="s">
        <v>5</v>
      </c>
      <c r="Q1214" t="s">
        <v>3325</v>
      </c>
      <c r="R1214" t="s">
        <v>3</v>
      </c>
      <c r="S1214" t="s">
        <v>3</v>
      </c>
      <c r="T1214" t="s">
        <v>3</v>
      </c>
      <c r="U1214" t="s">
        <v>3</v>
      </c>
      <c r="V1214" t="s">
        <v>3</v>
      </c>
      <c r="W1214" t="s">
        <v>68</v>
      </c>
      <c r="X1214" s="17">
        <v>43677</v>
      </c>
      <c r="Y1214" t="s">
        <v>3326</v>
      </c>
      <c r="Z1214" s="17">
        <v>43471</v>
      </c>
      <c r="AA1214" t="s">
        <v>3</v>
      </c>
      <c r="AB1214" t="s">
        <v>3322</v>
      </c>
    </row>
    <row r="1215" spans="1:28" hidden="1">
      <c r="A1215" t="s">
        <v>3430</v>
      </c>
      <c r="B1215" s="17">
        <v>43471</v>
      </c>
      <c r="C1215" s="17">
        <v>43471</v>
      </c>
      <c r="D1215" t="s">
        <v>0</v>
      </c>
      <c r="E1215" t="s">
        <v>1</v>
      </c>
      <c r="F1215" s="18">
        <v>-9250</v>
      </c>
      <c r="G1215" s="18">
        <v>-9250</v>
      </c>
      <c r="H1215" t="s">
        <v>2</v>
      </c>
      <c r="I1215" t="s">
        <v>10</v>
      </c>
      <c r="J1215" s="18">
        <v>-767287.5</v>
      </c>
      <c r="K1215" t="s">
        <v>3431</v>
      </c>
      <c r="L1215" t="s">
        <v>9</v>
      </c>
      <c r="M1215" t="s">
        <v>3432</v>
      </c>
      <c r="N1215" t="s">
        <v>3</v>
      </c>
      <c r="O1215" t="s">
        <v>3</v>
      </c>
      <c r="P1215" t="s">
        <v>5</v>
      </c>
      <c r="Q1215" t="s">
        <v>3433</v>
      </c>
      <c r="R1215" t="s">
        <v>3</v>
      </c>
      <c r="S1215" t="s">
        <v>3</v>
      </c>
      <c r="T1215" t="s">
        <v>3</v>
      </c>
      <c r="U1215" t="s">
        <v>3</v>
      </c>
      <c r="V1215" t="s">
        <v>3</v>
      </c>
      <c r="W1215" t="s">
        <v>68</v>
      </c>
      <c r="X1215" s="17">
        <v>43486</v>
      </c>
      <c r="Y1215" t="s">
        <v>3434</v>
      </c>
      <c r="Z1215" s="17">
        <v>43471</v>
      </c>
      <c r="AA1215" t="s">
        <v>3</v>
      </c>
      <c r="AB1215" t="s">
        <v>3430</v>
      </c>
    </row>
    <row r="1216" spans="1:28" hidden="1">
      <c r="A1216" t="s">
        <v>3435</v>
      </c>
      <c r="B1216" s="17">
        <v>43471</v>
      </c>
      <c r="C1216" s="17">
        <v>43471</v>
      </c>
      <c r="D1216" t="s">
        <v>0</v>
      </c>
      <c r="E1216" t="s">
        <v>1</v>
      </c>
      <c r="F1216" s="18">
        <v>-23168</v>
      </c>
      <c r="G1216" s="18">
        <v>-23168</v>
      </c>
      <c r="H1216" t="s">
        <v>2</v>
      </c>
      <c r="I1216" t="s">
        <v>10</v>
      </c>
      <c r="J1216" s="18">
        <v>-1921785.6</v>
      </c>
      <c r="K1216" t="s">
        <v>3436</v>
      </c>
      <c r="L1216" t="s">
        <v>9</v>
      </c>
      <c r="M1216" t="s">
        <v>3437</v>
      </c>
      <c r="N1216" t="s">
        <v>3</v>
      </c>
      <c r="O1216" t="s">
        <v>3</v>
      </c>
      <c r="P1216" t="s">
        <v>5</v>
      </c>
      <c r="Q1216" t="s">
        <v>3438</v>
      </c>
      <c r="R1216" t="s">
        <v>3</v>
      </c>
      <c r="S1216" t="s">
        <v>3</v>
      </c>
      <c r="T1216" t="s">
        <v>3</v>
      </c>
      <c r="U1216" t="s">
        <v>3</v>
      </c>
      <c r="V1216" t="s">
        <v>3</v>
      </c>
      <c r="W1216" t="s">
        <v>68</v>
      </c>
      <c r="X1216" s="17">
        <v>43522</v>
      </c>
      <c r="Y1216" t="s">
        <v>2405</v>
      </c>
      <c r="Z1216" s="17">
        <v>43471</v>
      </c>
      <c r="AA1216" t="s">
        <v>3</v>
      </c>
      <c r="AB1216" t="s">
        <v>3435</v>
      </c>
    </row>
    <row r="1217" spans="1:28" hidden="1">
      <c r="A1217" t="s">
        <v>3439</v>
      </c>
      <c r="B1217" s="17">
        <v>43471</v>
      </c>
      <c r="C1217" s="17">
        <v>43471</v>
      </c>
      <c r="D1217" t="s">
        <v>0</v>
      </c>
      <c r="E1217" t="s">
        <v>1</v>
      </c>
      <c r="F1217" s="18">
        <v>-36794</v>
      </c>
      <c r="G1217" s="18">
        <v>-36794</v>
      </c>
      <c r="H1217" t="s">
        <v>2</v>
      </c>
      <c r="I1217" t="s">
        <v>10</v>
      </c>
      <c r="J1217" s="18">
        <v>-3052062.3</v>
      </c>
      <c r="K1217" t="s">
        <v>3440</v>
      </c>
      <c r="L1217" t="s">
        <v>9</v>
      </c>
      <c r="M1217" t="s">
        <v>3441</v>
      </c>
      <c r="N1217" t="s">
        <v>3</v>
      </c>
      <c r="O1217" t="s">
        <v>3</v>
      </c>
      <c r="P1217" t="s">
        <v>5</v>
      </c>
      <c r="Q1217" t="s">
        <v>3442</v>
      </c>
      <c r="R1217" t="s">
        <v>3</v>
      </c>
      <c r="S1217" t="s">
        <v>3</v>
      </c>
      <c r="T1217" t="s">
        <v>3</v>
      </c>
      <c r="U1217" t="s">
        <v>3</v>
      </c>
      <c r="V1217" t="s">
        <v>3</v>
      </c>
      <c r="W1217" t="s">
        <v>68</v>
      </c>
      <c r="X1217" s="17">
        <v>43677</v>
      </c>
      <c r="Y1217" t="s">
        <v>3443</v>
      </c>
      <c r="Z1217" s="17">
        <v>43471</v>
      </c>
      <c r="AA1217" t="s">
        <v>3</v>
      </c>
      <c r="AB1217" t="s">
        <v>3439</v>
      </c>
    </row>
    <row r="1218" spans="1:28" hidden="1">
      <c r="A1218" t="s">
        <v>3444</v>
      </c>
      <c r="B1218" s="17">
        <v>43471</v>
      </c>
      <c r="C1218" s="17">
        <v>43471</v>
      </c>
      <c r="D1218" t="s">
        <v>0</v>
      </c>
      <c r="E1218" t="s">
        <v>1</v>
      </c>
      <c r="F1218" s="18">
        <v>-14313</v>
      </c>
      <c r="G1218" s="18">
        <v>-14313</v>
      </c>
      <c r="H1218" t="s">
        <v>2</v>
      </c>
      <c r="I1218" t="s">
        <v>10</v>
      </c>
      <c r="J1218" s="18">
        <v>-1187263.3500000001</v>
      </c>
      <c r="K1218" t="s">
        <v>3445</v>
      </c>
      <c r="L1218" t="s">
        <v>9</v>
      </c>
      <c r="M1218" t="s">
        <v>3446</v>
      </c>
      <c r="N1218" t="s">
        <v>3</v>
      </c>
      <c r="O1218" t="s">
        <v>3</v>
      </c>
      <c r="P1218" t="s">
        <v>5</v>
      </c>
      <c r="Q1218" t="s">
        <v>3447</v>
      </c>
      <c r="R1218" t="s">
        <v>3</v>
      </c>
      <c r="S1218" t="s">
        <v>3</v>
      </c>
      <c r="T1218" t="s">
        <v>3</v>
      </c>
      <c r="U1218" t="s">
        <v>3</v>
      </c>
      <c r="V1218" t="s">
        <v>3</v>
      </c>
      <c r="W1218" t="s">
        <v>68</v>
      </c>
      <c r="X1218" s="17">
        <v>43646</v>
      </c>
      <c r="Y1218" t="s">
        <v>2522</v>
      </c>
      <c r="Z1218" s="17">
        <v>43471</v>
      </c>
      <c r="AA1218" t="s">
        <v>3</v>
      </c>
      <c r="AB1218" t="s">
        <v>3444</v>
      </c>
    </row>
    <row r="1219" spans="1:28" hidden="1">
      <c r="A1219" t="s">
        <v>2238</v>
      </c>
      <c r="B1219" s="17">
        <v>43472</v>
      </c>
      <c r="C1219" s="17">
        <v>43472</v>
      </c>
      <c r="D1219" t="s">
        <v>38</v>
      </c>
      <c r="E1219" t="s">
        <v>1</v>
      </c>
      <c r="F1219" s="18">
        <v>3350.41</v>
      </c>
      <c r="G1219" s="18">
        <v>3350.41</v>
      </c>
      <c r="H1219" t="s">
        <v>2</v>
      </c>
      <c r="I1219" t="s">
        <v>10</v>
      </c>
      <c r="J1219" s="18">
        <v>277916.52</v>
      </c>
      <c r="K1219" t="s">
        <v>2239</v>
      </c>
      <c r="L1219" t="s">
        <v>9</v>
      </c>
      <c r="M1219" t="s">
        <v>2240</v>
      </c>
      <c r="N1219" t="s">
        <v>3</v>
      </c>
      <c r="O1219" t="s">
        <v>3</v>
      </c>
      <c r="P1219" t="s">
        <v>5</v>
      </c>
      <c r="Q1219" t="s">
        <v>2241</v>
      </c>
      <c r="R1219" t="s">
        <v>3</v>
      </c>
      <c r="S1219" t="s">
        <v>3</v>
      </c>
      <c r="T1219" t="s">
        <v>3</v>
      </c>
      <c r="U1219" t="s">
        <v>3</v>
      </c>
      <c r="V1219" t="s">
        <v>3</v>
      </c>
      <c r="W1219" t="s">
        <v>68</v>
      </c>
      <c r="X1219" s="17">
        <v>43472</v>
      </c>
      <c r="Y1219" t="s">
        <v>2238</v>
      </c>
      <c r="Z1219" s="17">
        <v>43472</v>
      </c>
      <c r="AA1219" t="s">
        <v>3</v>
      </c>
      <c r="AB1219" t="s">
        <v>2238</v>
      </c>
    </row>
    <row r="1220" spans="1:28" hidden="1">
      <c r="A1220" t="s">
        <v>2242</v>
      </c>
      <c r="B1220" s="17">
        <v>43472</v>
      </c>
      <c r="C1220" s="17">
        <v>43472</v>
      </c>
      <c r="D1220" t="s">
        <v>38</v>
      </c>
      <c r="E1220" t="s">
        <v>1</v>
      </c>
      <c r="F1220" s="18">
        <v>8431.56</v>
      </c>
      <c r="G1220" s="18">
        <v>8431.56</v>
      </c>
      <c r="H1220" t="s">
        <v>2</v>
      </c>
      <c r="I1220" t="s">
        <v>10</v>
      </c>
      <c r="J1220" s="18">
        <v>699397.9</v>
      </c>
      <c r="K1220" t="s">
        <v>2243</v>
      </c>
      <c r="L1220" t="s">
        <v>9</v>
      </c>
      <c r="M1220" t="s">
        <v>2244</v>
      </c>
      <c r="N1220" t="s">
        <v>3</v>
      </c>
      <c r="O1220" t="s">
        <v>3</v>
      </c>
      <c r="P1220" t="s">
        <v>5</v>
      </c>
      <c r="Q1220" t="s">
        <v>2245</v>
      </c>
      <c r="R1220" t="s">
        <v>3</v>
      </c>
      <c r="S1220" t="s">
        <v>3</v>
      </c>
      <c r="T1220" t="s">
        <v>3</v>
      </c>
      <c r="U1220" t="s">
        <v>3</v>
      </c>
      <c r="V1220" t="s">
        <v>3</v>
      </c>
      <c r="W1220" t="s">
        <v>68</v>
      </c>
      <c r="X1220" s="17">
        <v>43472</v>
      </c>
      <c r="Y1220" t="s">
        <v>2242</v>
      </c>
      <c r="Z1220" s="17">
        <v>43472</v>
      </c>
      <c r="AA1220" t="s">
        <v>3</v>
      </c>
      <c r="AB1220" t="s">
        <v>2242</v>
      </c>
    </row>
    <row r="1221" spans="1:28" hidden="1">
      <c r="A1221" t="s">
        <v>2254</v>
      </c>
      <c r="B1221" s="17">
        <v>43472</v>
      </c>
      <c r="C1221" s="17">
        <v>43472</v>
      </c>
      <c r="D1221" t="s">
        <v>38</v>
      </c>
      <c r="E1221" t="s">
        <v>1</v>
      </c>
      <c r="F1221" s="18">
        <v>3350.41</v>
      </c>
      <c r="G1221" s="18">
        <v>3350.41</v>
      </c>
      <c r="H1221" t="s">
        <v>2</v>
      </c>
      <c r="I1221" t="s">
        <v>10</v>
      </c>
      <c r="J1221" s="18">
        <v>277916.52</v>
      </c>
      <c r="K1221" t="s">
        <v>2239</v>
      </c>
      <c r="L1221" t="s">
        <v>4</v>
      </c>
      <c r="M1221" t="s">
        <v>2240</v>
      </c>
      <c r="N1221" t="s">
        <v>3</v>
      </c>
      <c r="O1221" t="s">
        <v>3</v>
      </c>
      <c r="P1221" t="s">
        <v>5</v>
      </c>
      <c r="Q1221" t="s">
        <v>2241</v>
      </c>
      <c r="R1221" t="s">
        <v>3</v>
      </c>
      <c r="S1221" t="s">
        <v>3</v>
      </c>
      <c r="T1221" t="s">
        <v>3</v>
      </c>
      <c r="U1221" t="s">
        <v>3</v>
      </c>
      <c r="V1221" t="s">
        <v>3</v>
      </c>
      <c r="W1221" t="s">
        <v>68</v>
      </c>
      <c r="X1221" s="17">
        <v>43472</v>
      </c>
      <c r="Y1221" t="s">
        <v>2254</v>
      </c>
      <c r="Z1221" s="17">
        <v>43472</v>
      </c>
      <c r="AA1221" t="s">
        <v>3</v>
      </c>
      <c r="AB1221" t="s">
        <v>2254</v>
      </c>
    </row>
    <row r="1222" spans="1:28" hidden="1">
      <c r="A1222" t="s">
        <v>2255</v>
      </c>
      <c r="B1222" s="17">
        <v>43472</v>
      </c>
      <c r="C1222" s="17">
        <v>43472</v>
      </c>
      <c r="D1222" t="s">
        <v>38</v>
      </c>
      <c r="E1222" t="s">
        <v>1</v>
      </c>
      <c r="F1222" s="18">
        <v>8431.56</v>
      </c>
      <c r="G1222" s="18">
        <v>8431.56</v>
      </c>
      <c r="H1222" t="s">
        <v>2</v>
      </c>
      <c r="I1222" t="s">
        <v>10</v>
      </c>
      <c r="J1222" s="18">
        <v>699397.9</v>
      </c>
      <c r="K1222" t="s">
        <v>2243</v>
      </c>
      <c r="L1222" t="s">
        <v>4</v>
      </c>
      <c r="M1222" t="s">
        <v>2244</v>
      </c>
      <c r="N1222" t="s">
        <v>3</v>
      </c>
      <c r="O1222" t="s">
        <v>3</v>
      </c>
      <c r="P1222" t="s">
        <v>5</v>
      </c>
      <c r="Q1222" t="s">
        <v>2245</v>
      </c>
      <c r="R1222" t="s">
        <v>3</v>
      </c>
      <c r="S1222" t="s">
        <v>3</v>
      </c>
      <c r="T1222" t="s">
        <v>3</v>
      </c>
      <c r="U1222" t="s">
        <v>3</v>
      </c>
      <c r="V1222" t="s">
        <v>3</v>
      </c>
      <c r="W1222" t="s">
        <v>68</v>
      </c>
      <c r="X1222" s="17">
        <v>43472</v>
      </c>
      <c r="Y1222" t="s">
        <v>2255</v>
      </c>
      <c r="Z1222" s="17">
        <v>43472</v>
      </c>
      <c r="AA1222" t="s">
        <v>3</v>
      </c>
      <c r="AB1222" t="s">
        <v>2255</v>
      </c>
    </row>
    <row r="1223" spans="1:28" hidden="1">
      <c r="A1223" t="s">
        <v>2256</v>
      </c>
      <c r="B1223" s="17">
        <v>43472</v>
      </c>
      <c r="C1223" s="17">
        <v>43472</v>
      </c>
      <c r="D1223" t="s">
        <v>38</v>
      </c>
      <c r="E1223" t="s">
        <v>1</v>
      </c>
      <c r="F1223" s="18">
        <v>12464.71</v>
      </c>
      <c r="G1223" s="18">
        <v>12464.71</v>
      </c>
      <c r="H1223" t="s">
        <v>2</v>
      </c>
      <c r="I1223" t="s">
        <v>10</v>
      </c>
      <c r="J1223" s="18">
        <v>1033947.7</v>
      </c>
      <c r="K1223" t="s">
        <v>2257</v>
      </c>
      <c r="L1223" t="s">
        <v>4</v>
      </c>
      <c r="M1223" t="s">
        <v>2258</v>
      </c>
      <c r="N1223" t="s">
        <v>3</v>
      </c>
      <c r="O1223" t="s">
        <v>3</v>
      </c>
      <c r="P1223" t="s">
        <v>5</v>
      </c>
      <c r="Q1223" t="s">
        <v>2259</v>
      </c>
      <c r="R1223" t="s">
        <v>3</v>
      </c>
      <c r="S1223" t="s">
        <v>3</v>
      </c>
      <c r="T1223" t="s">
        <v>3</v>
      </c>
      <c r="U1223" t="s">
        <v>3</v>
      </c>
      <c r="V1223" t="s">
        <v>3</v>
      </c>
      <c r="W1223" t="s">
        <v>68</v>
      </c>
      <c r="X1223" s="17">
        <v>43472</v>
      </c>
      <c r="Y1223" t="s">
        <v>2256</v>
      </c>
      <c r="Z1223" s="17">
        <v>43472</v>
      </c>
      <c r="AA1223" t="s">
        <v>3</v>
      </c>
      <c r="AB1223" t="s">
        <v>2256</v>
      </c>
    </row>
    <row r="1224" spans="1:28" hidden="1">
      <c r="A1224" t="s">
        <v>2270</v>
      </c>
      <c r="B1224" s="17">
        <v>43472</v>
      </c>
      <c r="C1224" s="17">
        <v>43472</v>
      </c>
      <c r="D1224" t="s">
        <v>38</v>
      </c>
      <c r="E1224" t="s">
        <v>1</v>
      </c>
      <c r="F1224" s="18">
        <v>12464.71</v>
      </c>
      <c r="G1224" s="18">
        <v>12464.71</v>
      </c>
      <c r="H1224" t="s">
        <v>2</v>
      </c>
      <c r="I1224" t="s">
        <v>10</v>
      </c>
      <c r="J1224" s="18">
        <v>1033947.7</v>
      </c>
      <c r="K1224" t="s">
        <v>2257</v>
      </c>
      <c r="L1224" t="s">
        <v>9</v>
      </c>
      <c r="M1224" t="s">
        <v>2258</v>
      </c>
      <c r="N1224" t="s">
        <v>3</v>
      </c>
      <c r="O1224" t="s">
        <v>3</v>
      </c>
      <c r="P1224" t="s">
        <v>5</v>
      </c>
      <c r="Q1224" t="s">
        <v>2259</v>
      </c>
      <c r="R1224" t="s">
        <v>3</v>
      </c>
      <c r="S1224" t="s">
        <v>3</v>
      </c>
      <c r="T1224" t="s">
        <v>3</v>
      </c>
      <c r="U1224" t="s">
        <v>3</v>
      </c>
      <c r="V1224" t="s">
        <v>3</v>
      </c>
      <c r="W1224" t="s">
        <v>68</v>
      </c>
      <c r="X1224" s="17">
        <v>43472</v>
      </c>
      <c r="Y1224" t="s">
        <v>2270</v>
      </c>
      <c r="Z1224" s="17">
        <v>43472</v>
      </c>
      <c r="AA1224" t="s">
        <v>3</v>
      </c>
      <c r="AB1224" t="s">
        <v>2270</v>
      </c>
    </row>
    <row r="1225" spans="1:28" hidden="1">
      <c r="A1225" t="s">
        <v>2271</v>
      </c>
      <c r="B1225" s="17">
        <v>43472</v>
      </c>
      <c r="C1225" s="17">
        <v>43472</v>
      </c>
      <c r="D1225" t="s">
        <v>38</v>
      </c>
      <c r="E1225" t="s">
        <v>1</v>
      </c>
      <c r="F1225" s="18">
        <v>8431.56</v>
      </c>
      <c r="G1225" s="18">
        <v>8431.56</v>
      </c>
      <c r="H1225" t="s">
        <v>2</v>
      </c>
      <c r="I1225" t="s">
        <v>10</v>
      </c>
      <c r="J1225" s="18">
        <v>699397.9</v>
      </c>
      <c r="K1225" t="s">
        <v>2243</v>
      </c>
      <c r="L1225" t="s">
        <v>9</v>
      </c>
      <c r="M1225" t="s">
        <v>2244</v>
      </c>
      <c r="N1225" t="s">
        <v>3</v>
      </c>
      <c r="O1225" t="s">
        <v>3</v>
      </c>
      <c r="P1225" t="s">
        <v>5</v>
      </c>
      <c r="Q1225" t="s">
        <v>2245</v>
      </c>
      <c r="R1225" t="s">
        <v>3</v>
      </c>
      <c r="S1225" t="s">
        <v>3</v>
      </c>
      <c r="T1225" t="s">
        <v>3</v>
      </c>
      <c r="U1225" t="s">
        <v>3</v>
      </c>
      <c r="V1225" t="s">
        <v>3</v>
      </c>
      <c r="W1225" t="s">
        <v>68</v>
      </c>
      <c r="X1225" s="17">
        <v>43472</v>
      </c>
      <c r="Y1225" t="s">
        <v>2271</v>
      </c>
      <c r="Z1225" s="17">
        <v>43472</v>
      </c>
      <c r="AA1225" t="s">
        <v>3</v>
      </c>
      <c r="AB1225" t="s">
        <v>2271</v>
      </c>
    </row>
    <row r="1226" spans="1:28" hidden="1">
      <c r="A1226" t="s">
        <v>2272</v>
      </c>
      <c r="B1226" s="17">
        <v>43472</v>
      </c>
      <c r="C1226" s="17">
        <v>43472</v>
      </c>
      <c r="D1226" t="s">
        <v>38</v>
      </c>
      <c r="E1226" t="s">
        <v>1</v>
      </c>
      <c r="F1226" s="18">
        <v>3350.41</v>
      </c>
      <c r="G1226" s="18">
        <v>3350.41</v>
      </c>
      <c r="H1226" t="s">
        <v>2</v>
      </c>
      <c r="I1226" t="s">
        <v>10</v>
      </c>
      <c r="J1226" s="18">
        <v>277916.52</v>
      </c>
      <c r="K1226" t="s">
        <v>2239</v>
      </c>
      <c r="L1226" t="s">
        <v>9</v>
      </c>
      <c r="M1226" t="s">
        <v>2240</v>
      </c>
      <c r="N1226" t="s">
        <v>3</v>
      </c>
      <c r="O1226" t="s">
        <v>3</v>
      </c>
      <c r="P1226" t="s">
        <v>5</v>
      </c>
      <c r="Q1226" t="s">
        <v>2241</v>
      </c>
      <c r="R1226" t="s">
        <v>3</v>
      </c>
      <c r="S1226" t="s">
        <v>3</v>
      </c>
      <c r="T1226" t="s">
        <v>3</v>
      </c>
      <c r="U1226" t="s">
        <v>3</v>
      </c>
      <c r="V1226" t="s">
        <v>3</v>
      </c>
      <c r="W1226" t="s">
        <v>68</v>
      </c>
      <c r="X1226" s="17">
        <v>43472</v>
      </c>
      <c r="Y1226" t="s">
        <v>2272</v>
      </c>
      <c r="Z1226" s="17">
        <v>43472</v>
      </c>
      <c r="AA1226" t="s">
        <v>3</v>
      </c>
      <c r="AB1226" t="s">
        <v>2272</v>
      </c>
    </row>
    <row r="1227" spans="1:28" hidden="1">
      <c r="A1227" t="s">
        <v>3448</v>
      </c>
      <c r="B1227" s="17">
        <v>43472</v>
      </c>
      <c r="C1227" s="17">
        <v>43472</v>
      </c>
      <c r="D1227" t="s">
        <v>0</v>
      </c>
      <c r="E1227" t="s">
        <v>1</v>
      </c>
      <c r="F1227" s="18">
        <v>-45192</v>
      </c>
      <c r="G1227" s="18">
        <v>-45192</v>
      </c>
      <c r="H1227" t="s">
        <v>2</v>
      </c>
      <c r="I1227" t="s">
        <v>10</v>
      </c>
      <c r="J1227" s="18">
        <v>-3748676.4</v>
      </c>
      <c r="K1227" t="s">
        <v>3449</v>
      </c>
      <c r="L1227" t="s">
        <v>9</v>
      </c>
      <c r="M1227" t="s">
        <v>3450</v>
      </c>
      <c r="N1227" t="s">
        <v>3</v>
      </c>
      <c r="O1227" t="s">
        <v>3</v>
      </c>
      <c r="P1227" t="s">
        <v>5</v>
      </c>
      <c r="Q1227" t="s">
        <v>3451</v>
      </c>
      <c r="R1227" t="s">
        <v>3</v>
      </c>
      <c r="S1227" t="s">
        <v>3</v>
      </c>
      <c r="T1227" t="s">
        <v>3</v>
      </c>
      <c r="U1227" t="s">
        <v>3</v>
      </c>
      <c r="V1227" t="s">
        <v>3</v>
      </c>
      <c r="W1227" t="s">
        <v>68</v>
      </c>
      <c r="X1227" s="17">
        <v>43646</v>
      </c>
      <c r="Y1227" t="s">
        <v>2485</v>
      </c>
      <c r="Z1227" s="17">
        <v>43472</v>
      </c>
      <c r="AA1227" t="s">
        <v>3</v>
      </c>
      <c r="AB1227" t="s">
        <v>3448</v>
      </c>
    </row>
    <row r="1228" spans="1:28" hidden="1">
      <c r="A1228" t="s">
        <v>3452</v>
      </c>
      <c r="B1228" s="17">
        <v>43472</v>
      </c>
      <c r="C1228" s="17">
        <v>43472</v>
      </c>
      <c r="D1228" t="s">
        <v>0</v>
      </c>
      <c r="E1228" t="s">
        <v>1</v>
      </c>
      <c r="F1228" s="18">
        <v>-3350.41</v>
      </c>
      <c r="G1228" s="18">
        <v>-3350.41</v>
      </c>
      <c r="H1228" t="s">
        <v>2</v>
      </c>
      <c r="I1228" t="s">
        <v>10</v>
      </c>
      <c r="J1228" s="18">
        <v>-277916.52</v>
      </c>
      <c r="K1228" t="s">
        <v>2239</v>
      </c>
      <c r="L1228" t="s">
        <v>9</v>
      </c>
      <c r="M1228" t="s">
        <v>2240</v>
      </c>
      <c r="N1228" t="s">
        <v>3</v>
      </c>
      <c r="O1228" t="s">
        <v>3</v>
      </c>
      <c r="P1228" t="s">
        <v>5</v>
      </c>
      <c r="Q1228" t="s">
        <v>2241</v>
      </c>
      <c r="R1228" t="s">
        <v>3</v>
      </c>
      <c r="S1228" t="s">
        <v>3</v>
      </c>
      <c r="T1228" t="s">
        <v>3</v>
      </c>
      <c r="U1228" t="s">
        <v>3</v>
      </c>
      <c r="V1228" t="s">
        <v>3</v>
      </c>
      <c r="W1228" t="s">
        <v>68</v>
      </c>
      <c r="X1228" s="17">
        <v>43472</v>
      </c>
      <c r="Y1228" t="s">
        <v>2238</v>
      </c>
      <c r="Z1228" s="17">
        <v>43472</v>
      </c>
      <c r="AA1228" t="s">
        <v>3</v>
      </c>
      <c r="AB1228" t="s">
        <v>3452</v>
      </c>
    </row>
    <row r="1229" spans="1:28" hidden="1">
      <c r="A1229" t="s">
        <v>3453</v>
      </c>
      <c r="B1229" s="17">
        <v>43472</v>
      </c>
      <c r="C1229" s="17">
        <v>43472</v>
      </c>
      <c r="D1229" t="s">
        <v>0</v>
      </c>
      <c r="E1229" t="s">
        <v>1</v>
      </c>
      <c r="F1229" s="18">
        <v>-8431.56</v>
      </c>
      <c r="G1229" s="18">
        <v>-8431.56</v>
      </c>
      <c r="H1229" t="s">
        <v>2</v>
      </c>
      <c r="I1229" t="s">
        <v>10</v>
      </c>
      <c r="J1229" s="18">
        <v>-699397.9</v>
      </c>
      <c r="K1229" t="s">
        <v>2243</v>
      </c>
      <c r="L1229" t="s">
        <v>9</v>
      </c>
      <c r="M1229" t="s">
        <v>2244</v>
      </c>
      <c r="N1229" t="s">
        <v>3</v>
      </c>
      <c r="O1229" t="s">
        <v>3</v>
      </c>
      <c r="P1229" t="s">
        <v>5</v>
      </c>
      <c r="Q1229" t="s">
        <v>2245</v>
      </c>
      <c r="R1229" t="s">
        <v>3</v>
      </c>
      <c r="S1229" t="s">
        <v>3</v>
      </c>
      <c r="T1229" t="s">
        <v>3</v>
      </c>
      <c r="U1229" t="s">
        <v>3</v>
      </c>
      <c r="V1229" t="s">
        <v>3</v>
      </c>
      <c r="W1229" t="s">
        <v>68</v>
      </c>
      <c r="X1229" s="17">
        <v>43472</v>
      </c>
      <c r="Y1229" t="s">
        <v>2242</v>
      </c>
      <c r="Z1229" s="17">
        <v>43472</v>
      </c>
      <c r="AA1229" t="s">
        <v>3</v>
      </c>
      <c r="AB1229" t="s">
        <v>3453</v>
      </c>
    </row>
    <row r="1230" spans="1:28" hidden="1">
      <c r="A1230" t="s">
        <v>3454</v>
      </c>
      <c r="B1230" s="17">
        <v>43472</v>
      </c>
      <c r="C1230" s="17">
        <v>43472</v>
      </c>
      <c r="D1230" t="s">
        <v>0</v>
      </c>
      <c r="E1230" t="s">
        <v>1</v>
      </c>
      <c r="F1230" s="18">
        <v>-3350.41</v>
      </c>
      <c r="G1230" s="18">
        <v>-3350.41</v>
      </c>
      <c r="H1230" t="s">
        <v>2</v>
      </c>
      <c r="I1230" t="s">
        <v>10</v>
      </c>
      <c r="J1230" s="18">
        <v>-277916.52</v>
      </c>
      <c r="K1230" t="s">
        <v>2239</v>
      </c>
      <c r="L1230" t="s">
        <v>4</v>
      </c>
      <c r="M1230" t="s">
        <v>2240</v>
      </c>
      <c r="N1230" t="s">
        <v>3</v>
      </c>
      <c r="O1230" t="s">
        <v>3</v>
      </c>
      <c r="P1230" t="s">
        <v>5</v>
      </c>
      <c r="Q1230" t="s">
        <v>2241</v>
      </c>
      <c r="R1230" t="s">
        <v>3</v>
      </c>
      <c r="S1230" t="s">
        <v>3</v>
      </c>
      <c r="T1230" t="s">
        <v>3</v>
      </c>
      <c r="U1230" t="s">
        <v>3</v>
      </c>
      <c r="V1230" t="s">
        <v>3</v>
      </c>
      <c r="W1230" t="s">
        <v>68</v>
      </c>
      <c r="X1230" s="17">
        <v>43472</v>
      </c>
      <c r="Y1230" t="s">
        <v>2254</v>
      </c>
      <c r="Z1230" s="17">
        <v>43472</v>
      </c>
      <c r="AA1230" t="s">
        <v>3</v>
      </c>
      <c r="AB1230" t="s">
        <v>3454</v>
      </c>
    </row>
    <row r="1231" spans="1:28" hidden="1">
      <c r="A1231" t="s">
        <v>3455</v>
      </c>
      <c r="B1231" s="17">
        <v>43472</v>
      </c>
      <c r="C1231" s="17">
        <v>43472</v>
      </c>
      <c r="D1231" t="s">
        <v>0</v>
      </c>
      <c r="E1231" t="s">
        <v>1</v>
      </c>
      <c r="F1231" s="18">
        <v>-8431.56</v>
      </c>
      <c r="G1231" s="18">
        <v>-8431.56</v>
      </c>
      <c r="H1231" t="s">
        <v>2</v>
      </c>
      <c r="I1231" t="s">
        <v>10</v>
      </c>
      <c r="J1231" s="18">
        <v>-699397.9</v>
      </c>
      <c r="K1231" t="s">
        <v>2243</v>
      </c>
      <c r="L1231" t="s">
        <v>4</v>
      </c>
      <c r="M1231" t="s">
        <v>2244</v>
      </c>
      <c r="N1231" t="s">
        <v>3</v>
      </c>
      <c r="O1231" t="s">
        <v>3</v>
      </c>
      <c r="P1231" t="s">
        <v>5</v>
      </c>
      <c r="Q1231" t="s">
        <v>2245</v>
      </c>
      <c r="R1231" t="s">
        <v>3</v>
      </c>
      <c r="S1231" t="s">
        <v>3</v>
      </c>
      <c r="T1231" t="s">
        <v>3</v>
      </c>
      <c r="U1231" t="s">
        <v>3</v>
      </c>
      <c r="V1231" t="s">
        <v>3</v>
      </c>
      <c r="W1231" t="s">
        <v>68</v>
      </c>
      <c r="X1231" s="17">
        <v>43472</v>
      </c>
      <c r="Y1231" t="s">
        <v>2255</v>
      </c>
      <c r="Z1231" s="17">
        <v>43472</v>
      </c>
      <c r="AA1231" t="s">
        <v>3</v>
      </c>
      <c r="AB1231" t="s">
        <v>3455</v>
      </c>
    </row>
    <row r="1232" spans="1:28" hidden="1">
      <c r="A1232" t="s">
        <v>3456</v>
      </c>
      <c r="B1232" s="17">
        <v>43472</v>
      </c>
      <c r="C1232" s="17">
        <v>43472</v>
      </c>
      <c r="D1232" t="s">
        <v>0</v>
      </c>
      <c r="E1232" t="s">
        <v>1</v>
      </c>
      <c r="F1232" s="18">
        <v>-12464.71</v>
      </c>
      <c r="G1232" s="18">
        <v>-12464.71</v>
      </c>
      <c r="H1232" t="s">
        <v>2</v>
      </c>
      <c r="I1232" t="s">
        <v>10</v>
      </c>
      <c r="J1232" s="18">
        <v>-1033947.7</v>
      </c>
      <c r="K1232" t="s">
        <v>2257</v>
      </c>
      <c r="L1232" t="s">
        <v>4</v>
      </c>
      <c r="M1232" t="s">
        <v>2258</v>
      </c>
      <c r="N1232" t="s">
        <v>3</v>
      </c>
      <c r="O1232" t="s">
        <v>3</v>
      </c>
      <c r="P1232" t="s">
        <v>5</v>
      </c>
      <c r="Q1232" t="s">
        <v>2259</v>
      </c>
      <c r="R1232" t="s">
        <v>3</v>
      </c>
      <c r="S1232" t="s">
        <v>3</v>
      </c>
      <c r="T1232" t="s">
        <v>3</v>
      </c>
      <c r="U1232" t="s">
        <v>3</v>
      </c>
      <c r="V1232" t="s">
        <v>3</v>
      </c>
      <c r="W1232" t="s">
        <v>68</v>
      </c>
      <c r="X1232" s="17">
        <v>43472</v>
      </c>
      <c r="Y1232" t="s">
        <v>2256</v>
      </c>
      <c r="Z1232" s="17">
        <v>43472</v>
      </c>
      <c r="AA1232" t="s">
        <v>3</v>
      </c>
      <c r="AB1232" t="s">
        <v>3456</v>
      </c>
    </row>
    <row r="1233" spans="1:28" hidden="1">
      <c r="A1233" t="s">
        <v>3576</v>
      </c>
      <c r="B1233" s="17">
        <v>43472</v>
      </c>
      <c r="C1233" s="17">
        <v>43472</v>
      </c>
      <c r="D1233" t="s">
        <v>0</v>
      </c>
      <c r="E1233" t="s">
        <v>1</v>
      </c>
      <c r="F1233" s="18">
        <v>-12464.71</v>
      </c>
      <c r="G1233" s="18">
        <v>-12464.71</v>
      </c>
      <c r="H1233" t="s">
        <v>2</v>
      </c>
      <c r="I1233" t="s">
        <v>10</v>
      </c>
      <c r="J1233" s="18">
        <v>-1033947.7</v>
      </c>
      <c r="K1233" t="s">
        <v>2257</v>
      </c>
      <c r="L1233" t="s">
        <v>9</v>
      </c>
      <c r="M1233" t="s">
        <v>2258</v>
      </c>
      <c r="N1233" t="s">
        <v>3</v>
      </c>
      <c r="O1233" t="s">
        <v>3</v>
      </c>
      <c r="P1233" t="s">
        <v>5</v>
      </c>
      <c r="Q1233" t="s">
        <v>2259</v>
      </c>
      <c r="R1233" t="s">
        <v>3</v>
      </c>
      <c r="S1233" t="s">
        <v>3</v>
      </c>
      <c r="T1233" t="s">
        <v>3</v>
      </c>
      <c r="U1233" t="s">
        <v>3</v>
      </c>
      <c r="V1233" t="s">
        <v>3</v>
      </c>
      <c r="W1233" t="s">
        <v>68</v>
      </c>
      <c r="X1233" s="17">
        <v>43472</v>
      </c>
      <c r="Y1233" t="s">
        <v>2270</v>
      </c>
      <c r="Z1233" s="17">
        <v>43472</v>
      </c>
      <c r="AA1233" t="s">
        <v>3</v>
      </c>
      <c r="AB1233" t="s">
        <v>3576</v>
      </c>
    </row>
    <row r="1234" spans="1:28" hidden="1">
      <c r="A1234" t="s">
        <v>3577</v>
      </c>
      <c r="B1234" s="17">
        <v>43472</v>
      </c>
      <c r="C1234" s="17">
        <v>43472</v>
      </c>
      <c r="D1234" t="s">
        <v>0</v>
      </c>
      <c r="E1234" t="s">
        <v>1</v>
      </c>
      <c r="F1234" s="18">
        <v>-8431.56</v>
      </c>
      <c r="G1234" s="18">
        <v>-8431.56</v>
      </c>
      <c r="H1234" t="s">
        <v>2</v>
      </c>
      <c r="I1234" t="s">
        <v>10</v>
      </c>
      <c r="J1234" s="18">
        <v>-699397.9</v>
      </c>
      <c r="K1234" t="s">
        <v>2243</v>
      </c>
      <c r="L1234" t="s">
        <v>9</v>
      </c>
      <c r="M1234" t="s">
        <v>2244</v>
      </c>
      <c r="N1234" t="s">
        <v>3</v>
      </c>
      <c r="O1234" t="s">
        <v>3</v>
      </c>
      <c r="P1234" t="s">
        <v>5</v>
      </c>
      <c r="Q1234" t="s">
        <v>2245</v>
      </c>
      <c r="R1234" t="s">
        <v>3</v>
      </c>
      <c r="S1234" t="s">
        <v>3</v>
      </c>
      <c r="T1234" t="s">
        <v>3</v>
      </c>
      <c r="U1234" t="s">
        <v>3</v>
      </c>
      <c r="V1234" t="s">
        <v>3</v>
      </c>
      <c r="W1234" t="s">
        <v>68</v>
      </c>
      <c r="X1234" s="17">
        <v>43472</v>
      </c>
      <c r="Y1234" t="s">
        <v>2271</v>
      </c>
      <c r="Z1234" s="17">
        <v>43472</v>
      </c>
      <c r="AA1234" t="s">
        <v>3</v>
      </c>
      <c r="AB1234" t="s">
        <v>3577</v>
      </c>
    </row>
    <row r="1235" spans="1:28" hidden="1">
      <c r="A1235" t="s">
        <v>3578</v>
      </c>
      <c r="B1235" s="17">
        <v>43472</v>
      </c>
      <c r="C1235" s="17">
        <v>43472</v>
      </c>
      <c r="D1235" t="s">
        <v>0</v>
      </c>
      <c r="E1235" t="s">
        <v>1</v>
      </c>
      <c r="F1235" s="18">
        <v>-3350.41</v>
      </c>
      <c r="G1235" s="18">
        <v>-3350.41</v>
      </c>
      <c r="H1235" t="s">
        <v>2</v>
      </c>
      <c r="I1235" t="s">
        <v>10</v>
      </c>
      <c r="J1235" s="18">
        <v>-277916.52</v>
      </c>
      <c r="K1235" t="s">
        <v>2239</v>
      </c>
      <c r="L1235" t="s">
        <v>9</v>
      </c>
      <c r="M1235" t="s">
        <v>2240</v>
      </c>
      <c r="N1235" t="s">
        <v>3</v>
      </c>
      <c r="O1235" t="s">
        <v>3</v>
      </c>
      <c r="P1235" t="s">
        <v>5</v>
      </c>
      <c r="Q1235" t="s">
        <v>2241</v>
      </c>
      <c r="R1235" t="s">
        <v>3</v>
      </c>
      <c r="S1235" t="s">
        <v>3</v>
      </c>
      <c r="T1235" t="s">
        <v>3</v>
      </c>
      <c r="U1235" t="s">
        <v>3</v>
      </c>
      <c r="V1235" t="s">
        <v>3</v>
      </c>
      <c r="W1235" t="s">
        <v>68</v>
      </c>
      <c r="X1235" s="17">
        <v>43472</v>
      </c>
      <c r="Y1235" t="s">
        <v>2272</v>
      </c>
      <c r="Z1235" s="17">
        <v>43472</v>
      </c>
      <c r="AA1235" t="s">
        <v>3</v>
      </c>
      <c r="AB1235" t="s">
        <v>3578</v>
      </c>
    </row>
    <row r="1236" spans="1:28" hidden="1">
      <c r="A1236" t="s">
        <v>3584</v>
      </c>
      <c r="B1236" s="17">
        <v>43472</v>
      </c>
      <c r="C1236" s="17">
        <v>43472</v>
      </c>
      <c r="D1236" t="s">
        <v>0</v>
      </c>
      <c r="E1236" t="s">
        <v>1</v>
      </c>
      <c r="F1236" s="18">
        <v>-3350.41</v>
      </c>
      <c r="G1236" s="18">
        <v>-3350.41</v>
      </c>
      <c r="H1236" t="s">
        <v>2</v>
      </c>
      <c r="I1236" t="s">
        <v>10</v>
      </c>
      <c r="J1236" s="18">
        <v>-277916.52</v>
      </c>
      <c r="K1236" t="s">
        <v>3585</v>
      </c>
      <c r="L1236" t="s">
        <v>4</v>
      </c>
      <c r="M1236" t="s">
        <v>2240</v>
      </c>
      <c r="N1236" t="s">
        <v>3</v>
      </c>
      <c r="O1236" t="s">
        <v>3</v>
      </c>
      <c r="P1236" t="s">
        <v>5</v>
      </c>
      <c r="Q1236" t="s">
        <v>2241</v>
      </c>
      <c r="R1236" t="s">
        <v>3</v>
      </c>
      <c r="S1236" t="s">
        <v>3</v>
      </c>
      <c r="T1236" t="s">
        <v>3</v>
      </c>
      <c r="U1236" t="s">
        <v>3</v>
      </c>
      <c r="V1236" t="s">
        <v>3</v>
      </c>
      <c r="W1236" t="s">
        <v>68</v>
      </c>
      <c r="X1236" s="17">
        <v>43543</v>
      </c>
      <c r="Y1236" t="s">
        <v>3581</v>
      </c>
      <c r="Z1236" s="17">
        <v>43472</v>
      </c>
      <c r="AA1236" t="s">
        <v>3</v>
      </c>
      <c r="AB1236" t="s">
        <v>3584</v>
      </c>
    </row>
    <row r="1237" spans="1:28" hidden="1">
      <c r="A1237" t="s">
        <v>3586</v>
      </c>
      <c r="B1237" s="17">
        <v>43472</v>
      </c>
      <c r="C1237" s="17">
        <v>43472</v>
      </c>
      <c r="D1237" t="s">
        <v>0</v>
      </c>
      <c r="E1237" t="s">
        <v>1</v>
      </c>
      <c r="F1237" s="18">
        <v>-8431.56</v>
      </c>
      <c r="G1237" s="18">
        <v>-8431.56</v>
      </c>
      <c r="H1237" t="s">
        <v>2</v>
      </c>
      <c r="I1237" t="s">
        <v>10</v>
      </c>
      <c r="J1237" s="18">
        <v>-699397.9</v>
      </c>
      <c r="K1237" t="s">
        <v>3587</v>
      </c>
      <c r="L1237" t="s">
        <v>4</v>
      </c>
      <c r="M1237" t="s">
        <v>2244</v>
      </c>
      <c r="N1237" t="s">
        <v>3</v>
      </c>
      <c r="O1237" t="s">
        <v>3</v>
      </c>
      <c r="P1237" t="s">
        <v>5</v>
      </c>
      <c r="Q1237" t="s">
        <v>2245</v>
      </c>
      <c r="R1237" t="s">
        <v>3</v>
      </c>
      <c r="S1237" t="s">
        <v>3</v>
      </c>
      <c r="T1237" t="s">
        <v>3</v>
      </c>
      <c r="U1237" t="s">
        <v>3</v>
      </c>
      <c r="V1237" t="s">
        <v>3</v>
      </c>
      <c r="W1237" t="s">
        <v>68</v>
      </c>
      <c r="X1237" s="17"/>
      <c r="Y1237" t="s">
        <v>3</v>
      </c>
      <c r="Z1237" s="17">
        <v>43472</v>
      </c>
      <c r="AA1237" t="s">
        <v>3</v>
      </c>
      <c r="AB1237" t="s">
        <v>3586</v>
      </c>
    </row>
    <row r="1238" spans="1:28" hidden="1">
      <c r="A1238" t="s">
        <v>3588</v>
      </c>
      <c r="B1238" s="17">
        <v>43472</v>
      </c>
      <c r="C1238" s="17">
        <v>43472</v>
      </c>
      <c r="D1238" t="s">
        <v>0</v>
      </c>
      <c r="E1238" t="s">
        <v>1</v>
      </c>
      <c r="F1238" s="18">
        <v>-12464.71</v>
      </c>
      <c r="G1238" s="18">
        <v>-12464.71</v>
      </c>
      <c r="H1238" t="s">
        <v>2</v>
      </c>
      <c r="I1238" t="s">
        <v>10</v>
      </c>
      <c r="J1238" s="18">
        <v>-1033947.7</v>
      </c>
      <c r="K1238" t="s">
        <v>3589</v>
      </c>
      <c r="L1238" t="s">
        <v>4</v>
      </c>
      <c r="M1238" t="s">
        <v>2258</v>
      </c>
      <c r="N1238" t="s">
        <v>3</v>
      </c>
      <c r="O1238" t="s">
        <v>3</v>
      </c>
      <c r="P1238" t="s">
        <v>5</v>
      </c>
      <c r="Q1238" t="s">
        <v>2259</v>
      </c>
      <c r="R1238" t="s">
        <v>3</v>
      </c>
      <c r="S1238" t="s">
        <v>3</v>
      </c>
      <c r="T1238" t="s">
        <v>3</v>
      </c>
      <c r="U1238" t="s">
        <v>3</v>
      </c>
      <c r="V1238" t="s">
        <v>3</v>
      </c>
      <c r="W1238" t="s">
        <v>68</v>
      </c>
      <c r="X1238" s="17"/>
      <c r="Y1238" t="s">
        <v>3</v>
      </c>
      <c r="Z1238" s="17">
        <v>43472</v>
      </c>
      <c r="AA1238" t="s">
        <v>3</v>
      </c>
      <c r="AB1238" t="s">
        <v>3588</v>
      </c>
    </row>
    <row r="1239" spans="1:28" hidden="1">
      <c r="A1239" t="s">
        <v>3327</v>
      </c>
      <c r="B1239" s="17">
        <v>43473</v>
      </c>
      <c r="C1239" s="17">
        <v>43473</v>
      </c>
      <c r="D1239" t="s">
        <v>0</v>
      </c>
      <c r="E1239" t="s">
        <v>1</v>
      </c>
      <c r="F1239" s="18">
        <v>177017</v>
      </c>
      <c r="G1239" s="18">
        <v>177017</v>
      </c>
      <c r="H1239" t="s">
        <v>2</v>
      </c>
      <c r="I1239" t="s">
        <v>8</v>
      </c>
      <c r="J1239" s="18">
        <v>14683560.15</v>
      </c>
      <c r="K1239" t="s">
        <v>3328</v>
      </c>
      <c r="L1239" t="s">
        <v>9</v>
      </c>
      <c r="M1239" t="s">
        <v>3329</v>
      </c>
      <c r="N1239" t="s">
        <v>3</v>
      </c>
      <c r="O1239" t="s">
        <v>3</v>
      </c>
      <c r="P1239" t="s">
        <v>5</v>
      </c>
      <c r="Q1239" t="s">
        <v>3330</v>
      </c>
      <c r="R1239" t="s">
        <v>3</v>
      </c>
      <c r="S1239" t="s">
        <v>3</v>
      </c>
      <c r="T1239" t="s">
        <v>3</v>
      </c>
      <c r="U1239" t="s">
        <v>3</v>
      </c>
      <c r="V1239" t="s">
        <v>3</v>
      </c>
      <c r="W1239" t="s">
        <v>68</v>
      </c>
      <c r="X1239" s="17">
        <v>43587</v>
      </c>
      <c r="Y1239" t="s">
        <v>2450</v>
      </c>
      <c r="Z1239" s="17">
        <v>43473</v>
      </c>
      <c r="AA1239" t="s">
        <v>3</v>
      </c>
      <c r="AB1239" t="s">
        <v>3327</v>
      </c>
    </row>
    <row r="1240" spans="1:28" hidden="1">
      <c r="A1240" t="s">
        <v>3331</v>
      </c>
      <c r="B1240" s="17">
        <v>43474</v>
      </c>
      <c r="C1240" s="17">
        <v>43474</v>
      </c>
      <c r="D1240" t="s">
        <v>0</v>
      </c>
      <c r="E1240" t="s">
        <v>1</v>
      </c>
      <c r="F1240" s="18">
        <v>-247399.02</v>
      </c>
      <c r="G1240" s="18">
        <v>-247399.02</v>
      </c>
      <c r="H1240" t="s">
        <v>2</v>
      </c>
      <c r="I1240" t="s">
        <v>8</v>
      </c>
      <c r="J1240" s="18">
        <v>-20521748.719999999</v>
      </c>
      <c r="K1240" t="s">
        <v>3332</v>
      </c>
      <c r="L1240" t="s">
        <v>4</v>
      </c>
      <c r="M1240" t="s">
        <v>3333</v>
      </c>
      <c r="N1240" t="s">
        <v>3</v>
      </c>
      <c r="O1240" t="s">
        <v>3</v>
      </c>
      <c r="P1240" t="s">
        <v>5</v>
      </c>
      <c r="Q1240" t="s">
        <v>3334</v>
      </c>
      <c r="R1240" t="s">
        <v>3</v>
      </c>
      <c r="S1240" t="s">
        <v>3</v>
      </c>
      <c r="T1240" t="s">
        <v>3</v>
      </c>
      <c r="U1240" t="s">
        <v>3</v>
      </c>
      <c r="V1240" t="s">
        <v>3</v>
      </c>
      <c r="W1240" t="s">
        <v>68</v>
      </c>
      <c r="X1240" s="17"/>
      <c r="Y1240" t="s">
        <v>3</v>
      </c>
      <c r="Z1240" s="17">
        <v>43474</v>
      </c>
      <c r="AA1240" t="s">
        <v>3</v>
      </c>
      <c r="AB1240" t="s">
        <v>3331</v>
      </c>
    </row>
    <row r="1241" spans="1:28" hidden="1">
      <c r="A1241" t="s">
        <v>3335</v>
      </c>
      <c r="B1241" s="17">
        <v>43474</v>
      </c>
      <c r="C1241" s="17">
        <v>43474</v>
      </c>
      <c r="D1241" t="s">
        <v>0</v>
      </c>
      <c r="E1241" t="s">
        <v>1</v>
      </c>
      <c r="F1241" s="18">
        <v>11966</v>
      </c>
      <c r="G1241" s="18">
        <v>11966</v>
      </c>
      <c r="H1241" t="s">
        <v>2</v>
      </c>
      <c r="I1241" t="s">
        <v>8</v>
      </c>
      <c r="J1241" s="18">
        <v>992579.7</v>
      </c>
      <c r="K1241" t="s">
        <v>3336</v>
      </c>
      <c r="L1241" t="s">
        <v>9</v>
      </c>
      <c r="M1241" t="s">
        <v>3337</v>
      </c>
      <c r="N1241" t="s">
        <v>3</v>
      </c>
      <c r="O1241" t="s">
        <v>3</v>
      </c>
      <c r="P1241" t="s">
        <v>5</v>
      </c>
      <c r="Q1241" t="s">
        <v>3338</v>
      </c>
      <c r="R1241" t="s">
        <v>3</v>
      </c>
      <c r="S1241" t="s">
        <v>3</v>
      </c>
      <c r="T1241" t="s">
        <v>3</v>
      </c>
      <c r="U1241" t="s">
        <v>3</v>
      </c>
      <c r="V1241" t="s">
        <v>3</v>
      </c>
      <c r="W1241" t="s">
        <v>68</v>
      </c>
      <c r="X1241" s="17">
        <v>43587</v>
      </c>
      <c r="Y1241" t="s">
        <v>2454</v>
      </c>
      <c r="Z1241" s="17">
        <v>43474</v>
      </c>
      <c r="AA1241" t="s">
        <v>3</v>
      </c>
      <c r="AB1241" t="s">
        <v>3335</v>
      </c>
    </row>
    <row r="1242" spans="1:28" hidden="1">
      <c r="A1242" t="s">
        <v>3339</v>
      </c>
      <c r="B1242" s="17">
        <v>43474</v>
      </c>
      <c r="C1242" s="17">
        <v>43474</v>
      </c>
      <c r="D1242" t="s">
        <v>0</v>
      </c>
      <c r="E1242" t="s">
        <v>1</v>
      </c>
      <c r="F1242" s="18">
        <v>256351</v>
      </c>
      <c r="G1242" s="18">
        <v>256351</v>
      </c>
      <c r="H1242" t="s">
        <v>2</v>
      </c>
      <c r="I1242" t="s">
        <v>8</v>
      </c>
      <c r="J1242" s="18">
        <v>21264315.449999999</v>
      </c>
      <c r="K1242" t="s">
        <v>3340</v>
      </c>
      <c r="L1242" t="s">
        <v>9</v>
      </c>
      <c r="M1242" t="s">
        <v>3341</v>
      </c>
      <c r="N1242" t="s">
        <v>3</v>
      </c>
      <c r="O1242" t="s">
        <v>3</v>
      </c>
      <c r="P1242" t="s">
        <v>5</v>
      </c>
      <c r="Q1242" t="s">
        <v>3342</v>
      </c>
      <c r="R1242" t="s">
        <v>3</v>
      </c>
      <c r="S1242" t="s">
        <v>3</v>
      </c>
      <c r="T1242" t="s">
        <v>3</v>
      </c>
      <c r="U1242" t="s">
        <v>3</v>
      </c>
      <c r="V1242" t="s">
        <v>3</v>
      </c>
      <c r="W1242" t="s">
        <v>68</v>
      </c>
      <c r="X1242" s="17">
        <v>43587</v>
      </c>
      <c r="Y1242" t="s">
        <v>2435</v>
      </c>
      <c r="Z1242" s="17">
        <v>43474</v>
      </c>
      <c r="AA1242" t="s">
        <v>3</v>
      </c>
      <c r="AB1242" t="s">
        <v>3339</v>
      </c>
    </row>
    <row r="1243" spans="1:28" hidden="1">
      <c r="A1243" t="s">
        <v>3339</v>
      </c>
      <c r="B1243" s="17">
        <v>43474</v>
      </c>
      <c r="C1243" s="17">
        <v>43474</v>
      </c>
      <c r="D1243" t="s">
        <v>0</v>
      </c>
      <c r="E1243" t="s">
        <v>1</v>
      </c>
      <c r="F1243" s="18">
        <v>17737</v>
      </c>
      <c r="G1243" s="18">
        <v>17737</v>
      </c>
      <c r="H1243" t="s">
        <v>2</v>
      </c>
      <c r="I1243" t="s">
        <v>8</v>
      </c>
      <c r="J1243" s="18">
        <v>1471284.15</v>
      </c>
      <c r="K1243" t="s">
        <v>3336</v>
      </c>
      <c r="L1243" t="s">
        <v>9</v>
      </c>
      <c r="M1243" t="s">
        <v>3341</v>
      </c>
      <c r="N1243" t="s">
        <v>3</v>
      </c>
      <c r="O1243" t="s">
        <v>3</v>
      </c>
      <c r="P1243" t="s">
        <v>5</v>
      </c>
      <c r="Q1243" t="s">
        <v>3342</v>
      </c>
      <c r="R1243" t="s">
        <v>3</v>
      </c>
      <c r="S1243" t="s">
        <v>3</v>
      </c>
      <c r="T1243" t="s">
        <v>3</v>
      </c>
      <c r="U1243" t="s">
        <v>3</v>
      </c>
      <c r="V1243" t="s">
        <v>3</v>
      </c>
      <c r="W1243" t="s">
        <v>68</v>
      </c>
      <c r="X1243" s="17">
        <v>43587</v>
      </c>
      <c r="Y1243" t="s">
        <v>2454</v>
      </c>
      <c r="Z1243" s="17">
        <v>43474</v>
      </c>
      <c r="AA1243" t="s">
        <v>3</v>
      </c>
      <c r="AB1243" t="s">
        <v>3339</v>
      </c>
    </row>
    <row r="1244" spans="1:28" hidden="1">
      <c r="A1244" t="s">
        <v>3343</v>
      </c>
      <c r="B1244" s="17">
        <v>43474</v>
      </c>
      <c r="C1244" s="17">
        <v>43474</v>
      </c>
      <c r="D1244" t="s">
        <v>0</v>
      </c>
      <c r="E1244" t="s">
        <v>1</v>
      </c>
      <c r="F1244" s="18">
        <v>24615</v>
      </c>
      <c r="G1244" s="18">
        <v>24615</v>
      </c>
      <c r="H1244" t="s">
        <v>2</v>
      </c>
      <c r="I1244" t="s">
        <v>8</v>
      </c>
      <c r="J1244" s="18">
        <v>2041814.25</v>
      </c>
      <c r="K1244" t="s">
        <v>3344</v>
      </c>
      <c r="L1244" t="s">
        <v>9</v>
      </c>
      <c r="M1244" t="s">
        <v>3345</v>
      </c>
      <c r="N1244" t="s">
        <v>3</v>
      </c>
      <c r="O1244" t="s">
        <v>3</v>
      </c>
      <c r="P1244" t="s">
        <v>5</v>
      </c>
      <c r="Q1244" t="s">
        <v>3346</v>
      </c>
      <c r="R1244" t="s">
        <v>3</v>
      </c>
      <c r="S1244" t="s">
        <v>3</v>
      </c>
      <c r="T1244" t="s">
        <v>3</v>
      </c>
      <c r="U1244" t="s">
        <v>3</v>
      </c>
      <c r="V1244" t="s">
        <v>3</v>
      </c>
      <c r="W1244" t="s">
        <v>68</v>
      </c>
      <c r="X1244" s="17">
        <v>43587</v>
      </c>
      <c r="Y1244" t="s">
        <v>2452</v>
      </c>
      <c r="Z1244" s="17">
        <v>43474</v>
      </c>
      <c r="AA1244" t="s">
        <v>3</v>
      </c>
      <c r="AB1244" t="s">
        <v>3343</v>
      </c>
    </row>
    <row r="1245" spans="1:28" hidden="1">
      <c r="A1245" t="s">
        <v>3347</v>
      </c>
      <c r="B1245" s="17">
        <v>43474</v>
      </c>
      <c r="C1245" s="17">
        <v>43474</v>
      </c>
      <c r="D1245" t="s">
        <v>0</v>
      </c>
      <c r="E1245" t="s">
        <v>1</v>
      </c>
      <c r="F1245" s="18">
        <v>19942</v>
      </c>
      <c r="G1245" s="18">
        <v>19942</v>
      </c>
      <c r="H1245" t="s">
        <v>2</v>
      </c>
      <c r="I1245" t="s">
        <v>8</v>
      </c>
      <c r="J1245" s="18">
        <v>1654188.9</v>
      </c>
      <c r="K1245" t="s">
        <v>3348</v>
      </c>
      <c r="L1245" t="s">
        <v>9</v>
      </c>
      <c r="M1245" t="s">
        <v>3349</v>
      </c>
      <c r="N1245" t="s">
        <v>3</v>
      </c>
      <c r="O1245" t="s">
        <v>3</v>
      </c>
      <c r="P1245" t="s">
        <v>5</v>
      </c>
      <c r="Q1245" t="s">
        <v>3350</v>
      </c>
      <c r="R1245" t="s">
        <v>3</v>
      </c>
      <c r="S1245" t="s">
        <v>3</v>
      </c>
      <c r="T1245" t="s">
        <v>3</v>
      </c>
      <c r="U1245" t="s">
        <v>3</v>
      </c>
      <c r="V1245" t="s">
        <v>3</v>
      </c>
      <c r="W1245" t="s">
        <v>68</v>
      </c>
      <c r="X1245" s="17">
        <v>43587</v>
      </c>
      <c r="Y1245" t="s">
        <v>2460</v>
      </c>
      <c r="Z1245" s="17">
        <v>43474</v>
      </c>
      <c r="AA1245" t="s">
        <v>3</v>
      </c>
      <c r="AB1245" t="s">
        <v>3347</v>
      </c>
    </row>
    <row r="1246" spans="1:28" hidden="1">
      <c r="A1246" t="s">
        <v>3457</v>
      </c>
      <c r="B1246" s="17">
        <v>43474</v>
      </c>
      <c r="C1246" s="17">
        <v>43474</v>
      </c>
      <c r="D1246" t="s">
        <v>0</v>
      </c>
      <c r="E1246" t="s">
        <v>1</v>
      </c>
      <c r="F1246" s="18">
        <v>30001</v>
      </c>
      <c r="G1246" s="18">
        <v>30001</v>
      </c>
      <c r="H1246" t="s">
        <v>2</v>
      </c>
      <c r="I1246" t="s">
        <v>10</v>
      </c>
      <c r="J1246" s="18">
        <v>2488582.9500000002</v>
      </c>
      <c r="K1246" t="s">
        <v>3458</v>
      </c>
      <c r="L1246" t="s">
        <v>9</v>
      </c>
      <c r="M1246" t="s">
        <v>3459</v>
      </c>
      <c r="N1246" t="s">
        <v>3</v>
      </c>
      <c r="O1246" t="s">
        <v>3</v>
      </c>
      <c r="P1246" t="s">
        <v>5</v>
      </c>
      <c r="Q1246" t="s">
        <v>3460</v>
      </c>
      <c r="R1246" t="s">
        <v>3</v>
      </c>
      <c r="S1246" t="s">
        <v>3</v>
      </c>
      <c r="T1246" t="s">
        <v>3</v>
      </c>
      <c r="U1246" t="s">
        <v>3</v>
      </c>
      <c r="V1246" t="s">
        <v>3</v>
      </c>
      <c r="W1246" t="s">
        <v>68</v>
      </c>
      <c r="X1246" s="17">
        <v>43646</v>
      </c>
      <c r="Y1246" t="s">
        <v>2497</v>
      </c>
      <c r="Z1246" s="17">
        <v>43474</v>
      </c>
      <c r="AA1246" t="s">
        <v>3</v>
      </c>
      <c r="AB1246" t="s">
        <v>3457</v>
      </c>
    </row>
    <row r="1247" spans="1:28" hidden="1">
      <c r="A1247" t="s">
        <v>3457</v>
      </c>
      <c r="B1247" s="17">
        <v>43474</v>
      </c>
      <c r="C1247" s="17">
        <v>43474</v>
      </c>
      <c r="D1247" t="s">
        <v>0</v>
      </c>
      <c r="E1247" t="s">
        <v>1</v>
      </c>
      <c r="F1247" s="18">
        <v>4822</v>
      </c>
      <c r="G1247" s="18">
        <v>4822</v>
      </c>
      <c r="H1247" t="s">
        <v>2</v>
      </c>
      <c r="I1247" t="s">
        <v>10</v>
      </c>
      <c r="J1247" s="18">
        <v>399984.9</v>
      </c>
      <c r="K1247" t="s">
        <v>3427</v>
      </c>
      <c r="L1247" t="s">
        <v>9</v>
      </c>
      <c r="M1247" t="s">
        <v>3459</v>
      </c>
      <c r="N1247" t="s">
        <v>3</v>
      </c>
      <c r="O1247" t="s">
        <v>3</v>
      </c>
      <c r="P1247" t="s">
        <v>5</v>
      </c>
      <c r="Q1247" t="s">
        <v>3460</v>
      </c>
      <c r="R1247" t="s">
        <v>3</v>
      </c>
      <c r="S1247" t="s">
        <v>3</v>
      </c>
      <c r="T1247" t="s">
        <v>3</v>
      </c>
      <c r="U1247" t="s">
        <v>3</v>
      </c>
      <c r="V1247" t="s">
        <v>3</v>
      </c>
      <c r="W1247" t="s">
        <v>68</v>
      </c>
      <c r="X1247" s="17">
        <v>43519</v>
      </c>
      <c r="Y1247" t="s">
        <v>2375</v>
      </c>
      <c r="Z1247" s="17">
        <v>43474</v>
      </c>
      <c r="AA1247" t="s">
        <v>3</v>
      </c>
      <c r="AB1247" t="s">
        <v>3457</v>
      </c>
    </row>
    <row r="1248" spans="1:28" hidden="1">
      <c r="A1248" t="s">
        <v>3457</v>
      </c>
      <c r="B1248" s="17">
        <v>43474</v>
      </c>
      <c r="C1248" s="17">
        <v>43474</v>
      </c>
      <c r="D1248" t="s">
        <v>0</v>
      </c>
      <c r="E1248" t="s">
        <v>1</v>
      </c>
      <c r="F1248" s="18">
        <v>2634</v>
      </c>
      <c r="G1248" s="18">
        <v>2634</v>
      </c>
      <c r="H1248" t="s">
        <v>2</v>
      </c>
      <c r="I1248" t="s">
        <v>10</v>
      </c>
      <c r="J1248" s="18">
        <v>218358.6</v>
      </c>
      <c r="K1248" t="s">
        <v>3461</v>
      </c>
      <c r="L1248" t="s">
        <v>9</v>
      </c>
      <c r="M1248" t="s">
        <v>3459</v>
      </c>
      <c r="N1248" t="s">
        <v>3</v>
      </c>
      <c r="O1248" t="s">
        <v>3</v>
      </c>
      <c r="P1248" t="s">
        <v>5</v>
      </c>
      <c r="Q1248" t="s">
        <v>3460</v>
      </c>
      <c r="R1248" t="s">
        <v>3</v>
      </c>
      <c r="S1248" t="s">
        <v>3</v>
      </c>
      <c r="T1248" t="s">
        <v>3</v>
      </c>
      <c r="U1248" t="s">
        <v>3</v>
      </c>
      <c r="V1248" t="s">
        <v>3</v>
      </c>
      <c r="W1248" t="s">
        <v>68</v>
      </c>
      <c r="X1248" s="17">
        <v>43522</v>
      </c>
      <c r="Y1248" t="s">
        <v>2411</v>
      </c>
      <c r="Z1248" s="17">
        <v>43474</v>
      </c>
      <c r="AA1248" t="s">
        <v>3</v>
      </c>
      <c r="AB1248" t="s">
        <v>3457</v>
      </c>
    </row>
    <row r="1249" spans="1:28" hidden="1">
      <c r="A1249" t="s">
        <v>3462</v>
      </c>
      <c r="B1249" s="17">
        <v>43474</v>
      </c>
      <c r="C1249" s="17">
        <v>43474</v>
      </c>
      <c r="D1249" t="s">
        <v>0</v>
      </c>
      <c r="E1249" t="s">
        <v>1</v>
      </c>
      <c r="F1249" s="18">
        <v>2459</v>
      </c>
      <c r="G1249" s="18">
        <v>2459</v>
      </c>
      <c r="H1249" t="s">
        <v>2</v>
      </c>
      <c r="I1249" t="s">
        <v>10</v>
      </c>
      <c r="J1249" s="18">
        <v>203974.05</v>
      </c>
      <c r="K1249" t="s">
        <v>3463</v>
      </c>
      <c r="L1249" t="s">
        <v>9</v>
      </c>
      <c r="M1249" t="s">
        <v>3464</v>
      </c>
      <c r="N1249" t="s">
        <v>3</v>
      </c>
      <c r="O1249" t="s">
        <v>3</v>
      </c>
      <c r="P1249" t="s">
        <v>5</v>
      </c>
      <c r="Q1249" t="s">
        <v>3465</v>
      </c>
      <c r="R1249" t="s">
        <v>3</v>
      </c>
      <c r="S1249" t="s">
        <v>3</v>
      </c>
      <c r="T1249" t="s">
        <v>3</v>
      </c>
      <c r="U1249" t="s">
        <v>3</v>
      </c>
      <c r="V1249" t="s">
        <v>3</v>
      </c>
      <c r="W1249" t="s">
        <v>68</v>
      </c>
      <c r="X1249" s="17">
        <v>43522</v>
      </c>
      <c r="Y1249" t="s">
        <v>2414</v>
      </c>
      <c r="Z1249" s="17">
        <v>43474</v>
      </c>
      <c r="AA1249" t="s">
        <v>3</v>
      </c>
      <c r="AB1249" t="s">
        <v>3462</v>
      </c>
    </row>
    <row r="1250" spans="1:28" hidden="1">
      <c r="A1250" t="s">
        <v>2260</v>
      </c>
      <c r="B1250" s="17">
        <v>43475</v>
      </c>
      <c r="C1250" s="17">
        <v>43475</v>
      </c>
      <c r="D1250" t="s">
        <v>38</v>
      </c>
      <c r="E1250" t="s">
        <v>1</v>
      </c>
      <c r="F1250" s="18">
        <v>17919.29</v>
      </c>
      <c r="G1250" s="18">
        <v>17919.29</v>
      </c>
      <c r="H1250" t="s">
        <v>2</v>
      </c>
      <c r="I1250" t="s">
        <v>10</v>
      </c>
      <c r="J1250" s="18">
        <v>1486405.12</v>
      </c>
      <c r="K1250" t="s">
        <v>2261</v>
      </c>
      <c r="L1250" t="s">
        <v>4</v>
      </c>
      <c r="M1250" t="s">
        <v>2262</v>
      </c>
      <c r="N1250" t="s">
        <v>3</v>
      </c>
      <c r="O1250" t="s">
        <v>3</v>
      </c>
      <c r="P1250" t="s">
        <v>5</v>
      </c>
      <c r="Q1250" t="s">
        <v>2263</v>
      </c>
      <c r="R1250" t="s">
        <v>3</v>
      </c>
      <c r="S1250" t="s">
        <v>3</v>
      </c>
      <c r="T1250" t="s">
        <v>3</v>
      </c>
      <c r="U1250" t="s">
        <v>3</v>
      </c>
      <c r="V1250" t="s">
        <v>3</v>
      </c>
      <c r="W1250" t="s">
        <v>68</v>
      </c>
      <c r="X1250" s="17">
        <v>43475</v>
      </c>
      <c r="Y1250" t="s">
        <v>2260</v>
      </c>
      <c r="Z1250" s="17">
        <v>43475</v>
      </c>
      <c r="AA1250" t="s">
        <v>3</v>
      </c>
      <c r="AB1250" t="s">
        <v>2260</v>
      </c>
    </row>
    <row r="1251" spans="1:28" hidden="1">
      <c r="A1251" t="s">
        <v>2264</v>
      </c>
      <c r="B1251" s="17">
        <v>43475</v>
      </c>
      <c r="C1251" s="17">
        <v>43475</v>
      </c>
      <c r="D1251" t="s">
        <v>38</v>
      </c>
      <c r="E1251" t="s">
        <v>1</v>
      </c>
      <c r="F1251" s="18">
        <v>16439.240000000002</v>
      </c>
      <c r="G1251" s="18">
        <v>16439.240000000002</v>
      </c>
      <c r="H1251" t="s">
        <v>2</v>
      </c>
      <c r="I1251" t="s">
        <v>10</v>
      </c>
      <c r="J1251" s="18">
        <v>1363634.96</v>
      </c>
      <c r="K1251" t="s">
        <v>2265</v>
      </c>
      <c r="L1251" t="s">
        <v>4</v>
      </c>
      <c r="M1251" t="s">
        <v>2266</v>
      </c>
      <c r="N1251" t="s">
        <v>3</v>
      </c>
      <c r="O1251" t="s">
        <v>3</v>
      </c>
      <c r="P1251" t="s">
        <v>5</v>
      </c>
      <c r="Q1251" t="s">
        <v>2267</v>
      </c>
      <c r="R1251" t="s">
        <v>3</v>
      </c>
      <c r="S1251" t="s">
        <v>3</v>
      </c>
      <c r="T1251" t="s">
        <v>3</v>
      </c>
      <c r="U1251" t="s">
        <v>3</v>
      </c>
      <c r="V1251" t="s">
        <v>3</v>
      </c>
      <c r="W1251" t="s">
        <v>68</v>
      </c>
      <c r="X1251" s="17">
        <v>43475</v>
      </c>
      <c r="Y1251" t="s">
        <v>2264</v>
      </c>
      <c r="Z1251" s="17">
        <v>43475</v>
      </c>
      <c r="AA1251" t="s">
        <v>3</v>
      </c>
      <c r="AB1251" t="s">
        <v>2264</v>
      </c>
    </row>
    <row r="1252" spans="1:28" hidden="1">
      <c r="A1252" t="s">
        <v>2268</v>
      </c>
      <c r="B1252" s="17">
        <v>43475</v>
      </c>
      <c r="C1252" s="17">
        <v>43475</v>
      </c>
      <c r="D1252" t="s">
        <v>38</v>
      </c>
      <c r="E1252" t="s">
        <v>1</v>
      </c>
      <c r="F1252" s="18">
        <v>16439.240000000002</v>
      </c>
      <c r="G1252" s="18">
        <v>16439.240000000002</v>
      </c>
      <c r="H1252" t="s">
        <v>2</v>
      </c>
      <c r="I1252" t="s">
        <v>10</v>
      </c>
      <c r="J1252" s="18">
        <v>1363634.96</v>
      </c>
      <c r="K1252" t="s">
        <v>2265</v>
      </c>
      <c r="L1252" t="s">
        <v>9</v>
      </c>
      <c r="M1252" t="s">
        <v>2266</v>
      </c>
      <c r="N1252" t="s">
        <v>3</v>
      </c>
      <c r="O1252" t="s">
        <v>3</v>
      </c>
      <c r="P1252" t="s">
        <v>5</v>
      </c>
      <c r="Q1252" t="s">
        <v>2267</v>
      </c>
      <c r="R1252" t="s">
        <v>3</v>
      </c>
      <c r="S1252" t="s">
        <v>3</v>
      </c>
      <c r="T1252" t="s">
        <v>3</v>
      </c>
      <c r="U1252" t="s">
        <v>3</v>
      </c>
      <c r="V1252" t="s">
        <v>3</v>
      </c>
      <c r="W1252" t="s">
        <v>68</v>
      </c>
      <c r="X1252" s="17">
        <v>43475</v>
      </c>
      <c r="Y1252" t="s">
        <v>2268</v>
      </c>
      <c r="Z1252" s="17">
        <v>43475</v>
      </c>
      <c r="AA1252" t="s">
        <v>3</v>
      </c>
      <c r="AB1252" t="s">
        <v>2268</v>
      </c>
    </row>
    <row r="1253" spans="1:28" hidden="1">
      <c r="A1253" t="s">
        <v>2269</v>
      </c>
      <c r="B1253" s="17">
        <v>43475</v>
      </c>
      <c r="C1253" s="17">
        <v>43475</v>
      </c>
      <c r="D1253" t="s">
        <v>38</v>
      </c>
      <c r="E1253" t="s">
        <v>1</v>
      </c>
      <c r="F1253" s="18">
        <v>17919.29</v>
      </c>
      <c r="G1253" s="18">
        <v>17919.29</v>
      </c>
      <c r="H1253" t="s">
        <v>2</v>
      </c>
      <c r="I1253" t="s">
        <v>10</v>
      </c>
      <c r="J1253" s="18">
        <v>1486405.12</v>
      </c>
      <c r="K1253" t="s">
        <v>2261</v>
      </c>
      <c r="L1253" t="s">
        <v>9</v>
      </c>
      <c r="M1253" t="s">
        <v>2262</v>
      </c>
      <c r="N1253" t="s">
        <v>3</v>
      </c>
      <c r="O1253" t="s">
        <v>3</v>
      </c>
      <c r="P1253" t="s">
        <v>5</v>
      </c>
      <c r="Q1253" t="s">
        <v>2263</v>
      </c>
      <c r="R1253" t="s">
        <v>3</v>
      </c>
      <c r="S1253" t="s">
        <v>3</v>
      </c>
      <c r="T1253" t="s">
        <v>3</v>
      </c>
      <c r="U1253" t="s">
        <v>3</v>
      </c>
      <c r="V1253" t="s">
        <v>3</v>
      </c>
      <c r="W1253" t="s">
        <v>68</v>
      </c>
      <c r="X1253" s="17">
        <v>43475</v>
      </c>
      <c r="Y1253" t="s">
        <v>2269</v>
      </c>
      <c r="Z1253" s="17">
        <v>43475</v>
      </c>
      <c r="AA1253" t="s">
        <v>3</v>
      </c>
      <c r="AB1253" t="s">
        <v>2269</v>
      </c>
    </row>
    <row r="1254" spans="1:28" hidden="1">
      <c r="A1254" t="s">
        <v>3351</v>
      </c>
      <c r="B1254" s="17">
        <v>43475</v>
      </c>
      <c r="C1254" s="17">
        <v>43475</v>
      </c>
      <c r="D1254" t="s">
        <v>0</v>
      </c>
      <c r="E1254" t="s">
        <v>1</v>
      </c>
      <c r="F1254" s="18">
        <v>-67313</v>
      </c>
      <c r="G1254" s="18">
        <v>-67313</v>
      </c>
      <c r="H1254" t="s">
        <v>2</v>
      </c>
      <c r="I1254" t="s">
        <v>8</v>
      </c>
      <c r="J1254" s="18">
        <v>-5583613.3499999996</v>
      </c>
      <c r="K1254" t="s">
        <v>3352</v>
      </c>
      <c r="L1254" t="s">
        <v>9</v>
      </c>
      <c r="M1254" t="s">
        <v>3353</v>
      </c>
      <c r="N1254" t="s">
        <v>3</v>
      </c>
      <c r="O1254" t="s">
        <v>3</v>
      </c>
      <c r="P1254" t="s">
        <v>5</v>
      </c>
      <c r="Q1254" t="s">
        <v>3354</v>
      </c>
      <c r="R1254" t="s">
        <v>3</v>
      </c>
      <c r="S1254" t="s">
        <v>3</v>
      </c>
      <c r="T1254" t="s">
        <v>3</v>
      </c>
      <c r="U1254" t="s">
        <v>3</v>
      </c>
      <c r="V1254" t="s">
        <v>3</v>
      </c>
      <c r="W1254" t="s">
        <v>68</v>
      </c>
      <c r="X1254" s="17">
        <v>43587</v>
      </c>
      <c r="Y1254" t="s">
        <v>2466</v>
      </c>
      <c r="Z1254" s="17">
        <v>43475</v>
      </c>
      <c r="AA1254" t="s">
        <v>3</v>
      </c>
      <c r="AB1254" t="s">
        <v>3351</v>
      </c>
    </row>
    <row r="1255" spans="1:28" hidden="1">
      <c r="A1255" t="s">
        <v>3355</v>
      </c>
      <c r="B1255" s="17">
        <v>43475</v>
      </c>
      <c r="C1255" s="17">
        <v>43475</v>
      </c>
      <c r="D1255" t="s">
        <v>0</v>
      </c>
      <c r="E1255" t="s">
        <v>1</v>
      </c>
      <c r="F1255" s="18">
        <v>16174.79</v>
      </c>
      <c r="G1255" s="18">
        <v>16174.79</v>
      </c>
      <c r="H1255" t="s">
        <v>2</v>
      </c>
      <c r="I1255" t="s">
        <v>8</v>
      </c>
      <c r="J1255" s="18">
        <v>1341698.83</v>
      </c>
      <c r="K1255" t="s">
        <v>3306</v>
      </c>
      <c r="L1255" t="s">
        <v>4</v>
      </c>
      <c r="M1255" t="s">
        <v>3356</v>
      </c>
      <c r="N1255" t="s">
        <v>3</v>
      </c>
      <c r="O1255" t="s">
        <v>3</v>
      </c>
      <c r="P1255" t="s">
        <v>5</v>
      </c>
      <c r="Q1255" t="s">
        <v>3357</v>
      </c>
      <c r="R1255" t="s">
        <v>3</v>
      </c>
      <c r="S1255" t="s">
        <v>3</v>
      </c>
      <c r="T1255" t="s">
        <v>3</v>
      </c>
      <c r="U1255" t="s">
        <v>3</v>
      </c>
      <c r="V1255" t="s">
        <v>3</v>
      </c>
      <c r="W1255" t="s">
        <v>68</v>
      </c>
      <c r="X1255" s="17"/>
      <c r="Y1255" t="s">
        <v>3</v>
      </c>
      <c r="Z1255" s="17">
        <v>43475</v>
      </c>
      <c r="AA1255" t="s">
        <v>3</v>
      </c>
      <c r="AB1255" t="s">
        <v>3355</v>
      </c>
    </row>
    <row r="1256" spans="1:28" hidden="1">
      <c r="A1256" t="s">
        <v>3355</v>
      </c>
      <c r="B1256" s="17">
        <v>43475</v>
      </c>
      <c r="C1256" s="17">
        <v>43475</v>
      </c>
      <c r="D1256" t="s">
        <v>0</v>
      </c>
      <c r="E1256" t="s">
        <v>1</v>
      </c>
      <c r="F1256" s="18">
        <v>1151.8699999999999</v>
      </c>
      <c r="G1256" s="18">
        <v>1151.8699999999999</v>
      </c>
      <c r="H1256" t="s">
        <v>2</v>
      </c>
      <c r="I1256" t="s">
        <v>8</v>
      </c>
      <c r="J1256" s="18">
        <v>95547.62</v>
      </c>
      <c r="K1256" t="s">
        <v>3358</v>
      </c>
      <c r="L1256" t="s">
        <v>4</v>
      </c>
      <c r="M1256" t="s">
        <v>3356</v>
      </c>
      <c r="N1256" t="s">
        <v>3</v>
      </c>
      <c r="O1256" t="s">
        <v>3</v>
      </c>
      <c r="P1256" t="s">
        <v>5</v>
      </c>
      <c r="Q1256" t="s">
        <v>3357</v>
      </c>
      <c r="R1256" t="s">
        <v>3</v>
      </c>
      <c r="S1256" t="s">
        <v>3</v>
      </c>
      <c r="T1256" t="s">
        <v>3</v>
      </c>
      <c r="U1256" t="s">
        <v>3</v>
      </c>
      <c r="V1256" t="s">
        <v>3</v>
      </c>
      <c r="W1256" t="s">
        <v>68</v>
      </c>
      <c r="X1256" s="17"/>
      <c r="Y1256" t="s">
        <v>3</v>
      </c>
      <c r="Z1256" s="17">
        <v>43475</v>
      </c>
      <c r="AA1256" t="s">
        <v>3</v>
      </c>
      <c r="AB1256" t="s">
        <v>3355</v>
      </c>
    </row>
    <row r="1257" spans="1:28" hidden="1">
      <c r="A1257" t="s">
        <v>3466</v>
      </c>
      <c r="B1257" s="17">
        <v>43475</v>
      </c>
      <c r="C1257" s="17">
        <v>43475</v>
      </c>
      <c r="D1257" t="s">
        <v>0</v>
      </c>
      <c r="E1257" t="s">
        <v>1</v>
      </c>
      <c r="F1257" s="18">
        <v>-17919.29</v>
      </c>
      <c r="G1257" s="18">
        <v>-17919.29</v>
      </c>
      <c r="H1257" t="s">
        <v>2</v>
      </c>
      <c r="I1257" t="s">
        <v>10</v>
      </c>
      <c r="J1257" s="18">
        <v>-1486405.12</v>
      </c>
      <c r="K1257" t="s">
        <v>2261</v>
      </c>
      <c r="L1257" t="s">
        <v>4</v>
      </c>
      <c r="M1257" t="s">
        <v>2262</v>
      </c>
      <c r="N1257" t="s">
        <v>3</v>
      </c>
      <c r="O1257" t="s">
        <v>3</v>
      </c>
      <c r="P1257" t="s">
        <v>5</v>
      </c>
      <c r="Q1257" t="s">
        <v>2263</v>
      </c>
      <c r="R1257" t="s">
        <v>3</v>
      </c>
      <c r="S1257" t="s">
        <v>3</v>
      </c>
      <c r="T1257" t="s">
        <v>3</v>
      </c>
      <c r="U1257" t="s">
        <v>3</v>
      </c>
      <c r="V1257" t="s">
        <v>3</v>
      </c>
      <c r="W1257" t="s">
        <v>68</v>
      </c>
      <c r="X1257" s="17">
        <v>43475</v>
      </c>
      <c r="Y1257" t="s">
        <v>2260</v>
      </c>
      <c r="Z1257" s="17">
        <v>43475</v>
      </c>
      <c r="AA1257" t="s">
        <v>3</v>
      </c>
      <c r="AB1257" t="s">
        <v>3466</v>
      </c>
    </row>
    <row r="1258" spans="1:28" hidden="1">
      <c r="A1258" t="s">
        <v>3467</v>
      </c>
      <c r="B1258" s="17">
        <v>43475</v>
      </c>
      <c r="C1258" s="17">
        <v>43475</v>
      </c>
      <c r="D1258" t="s">
        <v>0</v>
      </c>
      <c r="E1258" t="s">
        <v>1</v>
      </c>
      <c r="F1258" s="18">
        <v>-16439.240000000002</v>
      </c>
      <c r="G1258" s="18">
        <v>-16439.240000000002</v>
      </c>
      <c r="H1258" t="s">
        <v>2</v>
      </c>
      <c r="I1258" t="s">
        <v>10</v>
      </c>
      <c r="J1258" s="18">
        <v>-1363634.96</v>
      </c>
      <c r="K1258" t="s">
        <v>2265</v>
      </c>
      <c r="L1258" t="s">
        <v>4</v>
      </c>
      <c r="M1258" t="s">
        <v>2266</v>
      </c>
      <c r="N1258" t="s">
        <v>3</v>
      </c>
      <c r="O1258" t="s">
        <v>3</v>
      </c>
      <c r="P1258" t="s">
        <v>5</v>
      </c>
      <c r="Q1258" t="s">
        <v>2267</v>
      </c>
      <c r="R1258" t="s">
        <v>3</v>
      </c>
      <c r="S1258" t="s">
        <v>3</v>
      </c>
      <c r="T1258" t="s">
        <v>3</v>
      </c>
      <c r="U1258" t="s">
        <v>3</v>
      </c>
      <c r="V1258" t="s">
        <v>3</v>
      </c>
      <c r="W1258" t="s">
        <v>68</v>
      </c>
      <c r="X1258" s="17">
        <v>43475</v>
      </c>
      <c r="Y1258" t="s">
        <v>2264</v>
      </c>
      <c r="Z1258" s="17">
        <v>43475</v>
      </c>
      <c r="AA1258" t="s">
        <v>3</v>
      </c>
      <c r="AB1258" t="s">
        <v>3467</v>
      </c>
    </row>
    <row r="1259" spans="1:28" hidden="1">
      <c r="A1259" t="s">
        <v>3499</v>
      </c>
      <c r="B1259" s="17">
        <v>43475</v>
      </c>
      <c r="C1259" s="17">
        <v>43475</v>
      </c>
      <c r="D1259" t="s">
        <v>0</v>
      </c>
      <c r="E1259" t="s">
        <v>1</v>
      </c>
      <c r="F1259" s="18">
        <v>66310</v>
      </c>
      <c r="G1259" s="18">
        <v>66310</v>
      </c>
      <c r="H1259" t="s">
        <v>2</v>
      </c>
      <c r="I1259" t="s">
        <v>10</v>
      </c>
      <c r="J1259" s="18">
        <v>5500414.5</v>
      </c>
      <c r="K1259" t="s">
        <v>3463</v>
      </c>
      <c r="L1259" t="s">
        <v>9</v>
      </c>
      <c r="M1259" t="s">
        <v>3500</v>
      </c>
      <c r="N1259" t="s">
        <v>3</v>
      </c>
      <c r="O1259" t="s">
        <v>3</v>
      </c>
      <c r="P1259" t="s">
        <v>5</v>
      </c>
      <c r="Q1259" t="s">
        <v>3501</v>
      </c>
      <c r="R1259" t="s">
        <v>3</v>
      </c>
      <c r="S1259" t="s">
        <v>3</v>
      </c>
      <c r="T1259" t="s">
        <v>3</v>
      </c>
      <c r="U1259" t="s">
        <v>3</v>
      </c>
      <c r="V1259" t="s">
        <v>3</v>
      </c>
      <c r="W1259" t="s">
        <v>68</v>
      </c>
      <c r="X1259" s="17">
        <v>43522</v>
      </c>
      <c r="Y1259" t="s">
        <v>2414</v>
      </c>
      <c r="Z1259" s="17">
        <v>43475</v>
      </c>
      <c r="AA1259" t="s">
        <v>3</v>
      </c>
      <c r="AB1259" t="s">
        <v>3499</v>
      </c>
    </row>
    <row r="1260" spans="1:28" hidden="1">
      <c r="A1260" t="s">
        <v>3499</v>
      </c>
      <c r="B1260" s="17">
        <v>43475</v>
      </c>
      <c r="C1260" s="17">
        <v>43475</v>
      </c>
      <c r="D1260" t="s">
        <v>0</v>
      </c>
      <c r="E1260" t="s">
        <v>1</v>
      </c>
      <c r="F1260" s="18">
        <v>8750</v>
      </c>
      <c r="G1260" s="18">
        <v>8750</v>
      </c>
      <c r="H1260" t="s">
        <v>2</v>
      </c>
      <c r="I1260" t="s">
        <v>10</v>
      </c>
      <c r="J1260" s="18">
        <v>725812.5</v>
      </c>
      <c r="K1260" t="s">
        <v>3427</v>
      </c>
      <c r="L1260" t="s">
        <v>9</v>
      </c>
      <c r="M1260" t="s">
        <v>3500</v>
      </c>
      <c r="N1260" t="s">
        <v>3</v>
      </c>
      <c r="O1260" t="s">
        <v>3</v>
      </c>
      <c r="P1260" t="s">
        <v>5</v>
      </c>
      <c r="Q1260" t="s">
        <v>3501</v>
      </c>
      <c r="R1260" t="s">
        <v>3</v>
      </c>
      <c r="S1260" t="s">
        <v>3</v>
      </c>
      <c r="T1260" t="s">
        <v>3</v>
      </c>
      <c r="U1260" t="s">
        <v>3</v>
      </c>
      <c r="V1260" t="s">
        <v>3</v>
      </c>
      <c r="W1260" t="s">
        <v>68</v>
      </c>
      <c r="X1260" s="17">
        <v>43519</v>
      </c>
      <c r="Y1260" t="s">
        <v>2375</v>
      </c>
      <c r="Z1260" s="17">
        <v>43475</v>
      </c>
      <c r="AA1260" t="s">
        <v>3</v>
      </c>
      <c r="AB1260" t="s">
        <v>3499</v>
      </c>
    </row>
    <row r="1261" spans="1:28" hidden="1">
      <c r="A1261" t="s">
        <v>3574</v>
      </c>
      <c r="B1261" s="17">
        <v>43475</v>
      </c>
      <c r="C1261" s="17">
        <v>43475</v>
      </c>
      <c r="D1261" t="s">
        <v>0</v>
      </c>
      <c r="E1261" t="s">
        <v>1</v>
      </c>
      <c r="F1261" s="18">
        <v>-16439.240000000002</v>
      </c>
      <c r="G1261" s="18">
        <v>-16439.240000000002</v>
      </c>
      <c r="H1261" t="s">
        <v>2</v>
      </c>
      <c r="I1261" t="s">
        <v>10</v>
      </c>
      <c r="J1261" s="18">
        <v>-1363634.96</v>
      </c>
      <c r="K1261" t="s">
        <v>2265</v>
      </c>
      <c r="L1261" t="s">
        <v>9</v>
      </c>
      <c r="M1261" t="s">
        <v>2266</v>
      </c>
      <c r="N1261" t="s">
        <v>3</v>
      </c>
      <c r="O1261" t="s">
        <v>3</v>
      </c>
      <c r="P1261" t="s">
        <v>5</v>
      </c>
      <c r="Q1261" t="s">
        <v>2267</v>
      </c>
      <c r="R1261" t="s">
        <v>3</v>
      </c>
      <c r="S1261" t="s">
        <v>3</v>
      </c>
      <c r="T1261" t="s">
        <v>3</v>
      </c>
      <c r="U1261" t="s">
        <v>3</v>
      </c>
      <c r="V1261" t="s">
        <v>3</v>
      </c>
      <c r="W1261" t="s">
        <v>68</v>
      </c>
      <c r="X1261" s="17">
        <v>43475</v>
      </c>
      <c r="Y1261" t="s">
        <v>2268</v>
      </c>
      <c r="Z1261" s="17">
        <v>43475</v>
      </c>
      <c r="AA1261" t="s">
        <v>3</v>
      </c>
      <c r="AB1261" t="s">
        <v>3574</v>
      </c>
    </row>
    <row r="1262" spans="1:28" hidden="1">
      <c r="A1262" t="s">
        <v>3575</v>
      </c>
      <c r="B1262" s="17">
        <v>43475</v>
      </c>
      <c r="C1262" s="17">
        <v>43475</v>
      </c>
      <c r="D1262" t="s">
        <v>0</v>
      </c>
      <c r="E1262" t="s">
        <v>1</v>
      </c>
      <c r="F1262" s="18">
        <v>-17919.29</v>
      </c>
      <c r="G1262" s="18">
        <v>-17919.29</v>
      </c>
      <c r="H1262" t="s">
        <v>2</v>
      </c>
      <c r="I1262" t="s">
        <v>10</v>
      </c>
      <c r="J1262" s="18">
        <v>-1486405.12</v>
      </c>
      <c r="K1262" t="s">
        <v>2261</v>
      </c>
      <c r="L1262" t="s">
        <v>9</v>
      </c>
      <c r="M1262" t="s">
        <v>2262</v>
      </c>
      <c r="N1262" t="s">
        <v>3</v>
      </c>
      <c r="O1262" t="s">
        <v>3</v>
      </c>
      <c r="P1262" t="s">
        <v>5</v>
      </c>
      <c r="Q1262" t="s">
        <v>2263</v>
      </c>
      <c r="R1262" t="s">
        <v>3</v>
      </c>
      <c r="S1262" t="s">
        <v>3</v>
      </c>
      <c r="T1262" t="s">
        <v>3</v>
      </c>
      <c r="U1262" t="s">
        <v>3</v>
      </c>
      <c r="V1262" t="s">
        <v>3</v>
      </c>
      <c r="W1262" t="s">
        <v>68</v>
      </c>
      <c r="X1262" s="17">
        <v>43475</v>
      </c>
      <c r="Y1262" t="s">
        <v>2269</v>
      </c>
      <c r="Z1262" s="17">
        <v>43475</v>
      </c>
      <c r="AA1262" t="s">
        <v>3</v>
      </c>
      <c r="AB1262" t="s">
        <v>3575</v>
      </c>
    </row>
    <row r="1263" spans="1:28" hidden="1">
      <c r="A1263" t="s">
        <v>3579</v>
      </c>
      <c r="B1263" s="17">
        <v>43475</v>
      </c>
      <c r="C1263" s="17">
        <v>43475</v>
      </c>
      <c r="D1263" t="s">
        <v>0</v>
      </c>
      <c r="E1263" t="s">
        <v>1</v>
      </c>
      <c r="F1263" s="18">
        <v>-16439.240000000002</v>
      </c>
      <c r="G1263" s="18">
        <v>-16439.240000000002</v>
      </c>
      <c r="H1263" t="s">
        <v>2</v>
      </c>
      <c r="I1263" t="s">
        <v>10</v>
      </c>
      <c r="J1263" s="18">
        <v>-1363634.96</v>
      </c>
      <c r="K1263" t="s">
        <v>3580</v>
      </c>
      <c r="L1263" t="s">
        <v>4</v>
      </c>
      <c r="M1263" t="s">
        <v>2266</v>
      </c>
      <c r="N1263" t="s">
        <v>3</v>
      </c>
      <c r="O1263" t="s">
        <v>3</v>
      </c>
      <c r="P1263" t="s">
        <v>5</v>
      </c>
      <c r="Q1263" t="s">
        <v>2267</v>
      </c>
      <c r="R1263" t="s">
        <v>3</v>
      </c>
      <c r="S1263" t="s">
        <v>3</v>
      </c>
      <c r="T1263" t="s">
        <v>3</v>
      </c>
      <c r="U1263" t="s">
        <v>3</v>
      </c>
      <c r="V1263" t="s">
        <v>3</v>
      </c>
      <c r="W1263" t="s">
        <v>68</v>
      </c>
      <c r="X1263" s="17">
        <v>43543</v>
      </c>
      <c r="Y1263" t="s">
        <v>3581</v>
      </c>
      <c r="Z1263" s="17">
        <v>43475</v>
      </c>
      <c r="AA1263" t="s">
        <v>3</v>
      </c>
      <c r="AB1263" t="s">
        <v>3579</v>
      </c>
    </row>
    <row r="1264" spans="1:28" hidden="1">
      <c r="A1264" t="s">
        <v>3582</v>
      </c>
      <c r="B1264" s="17">
        <v>43475</v>
      </c>
      <c r="C1264" s="17">
        <v>43475</v>
      </c>
      <c r="D1264" t="s">
        <v>0</v>
      </c>
      <c r="E1264" t="s">
        <v>1</v>
      </c>
      <c r="F1264" s="18">
        <v>-17919.29</v>
      </c>
      <c r="G1264" s="18">
        <v>-17919.29</v>
      </c>
      <c r="H1264" t="s">
        <v>2</v>
      </c>
      <c r="I1264" t="s">
        <v>10</v>
      </c>
      <c r="J1264" s="18">
        <v>-1486405.12</v>
      </c>
      <c r="K1264" t="s">
        <v>3583</v>
      </c>
      <c r="L1264" t="s">
        <v>4</v>
      </c>
      <c r="M1264" t="s">
        <v>2262</v>
      </c>
      <c r="N1264" t="s">
        <v>3</v>
      </c>
      <c r="O1264" t="s">
        <v>3</v>
      </c>
      <c r="P1264" t="s">
        <v>5</v>
      </c>
      <c r="Q1264" t="s">
        <v>2263</v>
      </c>
      <c r="R1264" t="s">
        <v>3</v>
      </c>
      <c r="S1264" t="s">
        <v>3</v>
      </c>
      <c r="T1264" t="s">
        <v>3</v>
      </c>
      <c r="U1264" t="s">
        <v>3</v>
      </c>
      <c r="V1264" t="s">
        <v>3</v>
      </c>
      <c r="W1264" t="s">
        <v>68</v>
      </c>
      <c r="X1264" s="17">
        <v>43543</v>
      </c>
      <c r="Y1264" t="s">
        <v>3581</v>
      </c>
      <c r="Z1264" s="17">
        <v>43475</v>
      </c>
      <c r="AA1264" t="s">
        <v>3</v>
      </c>
      <c r="AB1264" t="s">
        <v>3582</v>
      </c>
    </row>
    <row r="1265" spans="1:28" hidden="1">
      <c r="A1265" t="s">
        <v>3359</v>
      </c>
      <c r="B1265" s="17">
        <v>43478</v>
      </c>
      <c r="C1265" s="17">
        <v>43478</v>
      </c>
      <c r="D1265" t="s">
        <v>0</v>
      </c>
      <c r="E1265" t="s">
        <v>1</v>
      </c>
      <c r="F1265" s="18">
        <v>45033</v>
      </c>
      <c r="G1265" s="18">
        <v>45033</v>
      </c>
      <c r="H1265" t="s">
        <v>2</v>
      </c>
      <c r="I1265" t="s">
        <v>8</v>
      </c>
      <c r="J1265" s="18">
        <v>3735487.35</v>
      </c>
      <c r="K1265" t="s">
        <v>3360</v>
      </c>
      <c r="L1265" t="s">
        <v>9</v>
      </c>
      <c r="M1265" t="s">
        <v>3361</v>
      </c>
      <c r="N1265" t="s">
        <v>3</v>
      </c>
      <c r="O1265" t="s">
        <v>3</v>
      </c>
      <c r="P1265" t="s">
        <v>5</v>
      </c>
      <c r="Q1265" t="s">
        <v>3362</v>
      </c>
      <c r="R1265" t="s">
        <v>3</v>
      </c>
      <c r="S1265" t="s">
        <v>3</v>
      </c>
      <c r="T1265" t="s">
        <v>3</v>
      </c>
      <c r="U1265" t="s">
        <v>3</v>
      </c>
      <c r="V1265" t="s">
        <v>3</v>
      </c>
      <c r="W1265" t="s">
        <v>68</v>
      </c>
      <c r="X1265" s="17">
        <v>43646</v>
      </c>
      <c r="Y1265" t="s">
        <v>2475</v>
      </c>
      <c r="Z1265" s="17">
        <v>43478</v>
      </c>
      <c r="AA1265" t="s">
        <v>3</v>
      </c>
      <c r="AB1265" t="s">
        <v>3359</v>
      </c>
    </row>
    <row r="1266" spans="1:28" hidden="1">
      <c r="A1266" t="s">
        <v>3568</v>
      </c>
      <c r="B1266" s="17">
        <v>43478</v>
      </c>
      <c r="C1266" s="17">
        <v>43478</v>
      </c>
      <c r="D1266" t="s">
        <v>0</v>
      </c>
      <c r="E1266" t="s">
        <v>1</v>
      </c>
      <c r="F1266" s="18">
        <v>30078.11</v>
      </c>
      <c r="G1266" s="18">
        <v>30078.11</v>
      </c>
      <c r="H1266" t="s">
        <v>2</v>
      </c>
      <c r="I1266" t="s">
        <v>8</v>
      </c>
      <c r="J1266" s="18">
        <v>2494979.23</v>
      </c>
      <c r="K1266" t="s">
        <v>3332</v>
      </c>
      <c r="L1266" t="s">
        <v>4</v>
      </c>
      <c r="M1266" t="s">
        <v>3569</v>
      </c>
      <c r="N1266" t="s">
        <v>3</v>
      </c>
      <c r="O1266" t="s">
        <v>3</v>
      </c>
      <c r="P1266" t="s">
        <v>5</v>
      </c>
      <c r="Q1266" t="s">
        <v>3570</v>
      </c>
      <c r="R1266" t="s">
        <v>3</v>
      </c>
      <c r="S1266" t="s">
        <v>3</v>
      </c>
      <c r="T1266" t="s">
        <v>3</v>
      </c>
      <c r="U1266" t="s">
        <v>3</v>
      </c>
      <c r="V1266" t="s">
        <v>3</v>
      </c>
      <c r="W1266" t="s">
        <v>68</v>
      </c>
      <c r="X1266" s="17"/>
      <c r="Y1266" t="s">
        <v>3</v>
      </c>
      <c r="Z1266" s="17">
        <v>43478</v>
      </c>
      <c r="AA1266" t="s">
        <v>3</v>
      </c>
      <c r="AB1266" t="s">
        <v>3568</v>
      </c>
    </row>
    <row r="1267" spans="1:28" hidden="1">
      <c r="A1267" t="s">
        <v>3363</v>
      </c>
      <c r="B1267" s="17">
        <v>43479</v>
      </c>
      <c r="C1267" s="17">
        <v>43479</v>
      </c>
      <c r="D1267" t="s">
        <v>0</v>
      </c>
      <c r="E1267" t="s">
        <v>1</v>
      </c>
      <c r="F1267" s="18">
        <v>47859</v>
      </c>
      <c r="G1267" s="18">
        <v>47859</v>
      </c>
      <c r="H1267" t="s">
        <v>2</v>
      </c>
      <c r="I1267" t="s">
        <v>8</v>
      </c>
      <c r="J1267" s="18">
        <v>3969904.05</v>
      </c>
      <c r="K1267" t="s">
        <v>3344</v>
      </c>
      <c r="L1267" t="s">
        <v>9</v>
      </c>
      <c r="M1267" t="s">
        <v>3364</v>
      </c>
      <c r="N1267" t="s">
        <v>3</v>
      </c>
      <c r="O1267" t="s">
        <v>3</v>
      </c>
      <c r="P1267" t="s">
        <v>5</v>
      </c>
      <c r="Q1267" t="s">
        <v>3365</v>
      </c>
      <c r="R1267" t="s">
        <v>3</v>
      </c>
      <c r="S1267" t="s">
        <v>3</v>
      </c>
      <c r="T1267" t="s">
        <v>3</v>
      </c>
      <c r="U1267" t="s">
        <v>3</v>
      </c>
      <c r="V1267" t="s">
        <v>3</v>
      </c>
      <c r="W1267" t="s">
        <v>68</v>
      </c>
      <c r="X1267" s="17">
        <v>43587</v>
      </c>
      <c r="Y1267" t="s">
        <v>2452</v>
      </c>
      <c r="Z1267" s="17">
        <v>43479</v>
      </c>
      <c r="AA1267" t="s">
        <v>3</v>
      </c>
      <c r="AB1267" t="s">
        <v>3363</v>
      </c>
    </row>
    <row r="1268" spans="1:28" hidden="1">
      <c r="A1268" t="s">
        <v>3363</v>
      </c>
      <c r="B1268" s="17">
        <v>43479</v>
      </c>
      <c r="C1268" s="17">
        <v>43479</v>
      </c>
      <c r="D1268" t="s">
        <v>0</v>
      </c>
      <c r="E1268" t="s">
        <v>1</v>
      </c>
      <c r="F1268" s="18">
        <v>3316</v>
      </c>
      <c r="G1268" s="18">
        <v>3316</v>
      </c>
      <c r="H1268" t="s">
        <v>2</v>
      </c>
      <c r="I1268" t="s">
        <v>8</v>
      </c>
      <c r="J1268" s="18">
        <v>275062.2</v>
      </c>
      <c r="K1268" t="s">
        <v>3348</v>
      </c>
      <c r="L1268" t="s">
        <v>9</v>
      </c>
      <c r="M1268" t="s">
        <v>3364</v>
      </c>
      <c r="N1268" t="s">
        <v>3</v>
      </c>
      <c r="O1268" t="s">
        <v>3</v>
      </c>
      <c r="P1268" t="s">
        <v>5</v>
      </c>
      <c r="Q1268" t="s">
        <v>3365</v>
      </c>
      <c r="R1268" t="s">
        <v>3</v>
      </c>
      <c r="S1268" t="s">
        <v>3</v>
      </c>
      <c r="T1268" t="s">
        <v>3</v>
      </c>
      <c r="U1268" t="s">
        <v>3</v>
      </c>
      <c r="V1268" t="s">
        <v>3</v>
      </c>
      <c r="W1268" t="s">
        <v>68</v>
      </c>
      <c r="X1268" s="17">
        <v>43587</v>
      </c>
      <c r="Y1268" t="s">
        <v>2460</v>
      </c>
      <c r="Z1268" s="17">
        <v>43479</v>
      </c>
      <c r="AA1268" t="s">
        <v>3</v>
      </c>
      <c r="AB1268" t="s">
        <v>3363</v>
      </c>
    </row>
    <row r="1269" spans="1:28" hidden="1">
      <c r="A1269" t="s">
        <v>3366</v>
      </c>
      <c r="B1269" s="17">
        <v>43479</v>
      </c>
      <c r="C1269" s="17">
        <v>43479</v>
      </c>
      <c r="D1269" t="s">
        <v>0</v>
      </c>
      <c r="E1269" t="s">
        <v>1</v>
      </c>
      <c r="F1269" s="18">
        <v>7506</v>
      </c>
      <c r="G1269" s="18">
        <v>7506</v>
      </c>
      <c r="H1269" t="s">
        <v>2</v>
      </c>
      <c r="I1269" t="s">
        <v>8</v>
      </c>
      <c r="J1269" s="18">
        <v>622622.69999999995</v>
      </c>
      <c r="K1269" t="s">
        <v>3302</v>
      </c>
      <c r="L1269" t="s">
        <v>9</v>
      </c>
      <c r="M1269" t="s">
        <v>3367</v>
      </c>
      <c r="N1269" t="s">
        <v>3</v>
      </c>
      <c r="O1269" t="s">
        <v>3</v>
      </c>
      <c r="P1269" t="s">
        <v>5</v>
      </c>
      <c r="Q1269" t="s">
        <v>3368</v>
      </c>
      <c r="R1269" t="s">
        <v>3</v>
      </c>
      <c r="S1269" t="s">
        <v>3</v>
      </c>
      <c r="T1269" t="s">
        <v>3</v>
      </c>
      <c r="U1269" t="s">
        <v>3</v>
      </c>
      <c r="V1269" t="s">
        <v>3</v>
      </c>
      <c r="W1269" t="s">
        <v>68</v>
      </c>
      <c r="X1269" s="17">
        <v>43646</v>
      </c>
      <c r="Y1269" t="s">
        <v>2481</v>
      </c>
      <c r="Z1269" s="17">
        <v>43479</v>
      </c>
      <c r="AA1269" t="s">
        <v>3</v>
      </c>
      <c r="AB1269" t="s">
        <v>3366</v>
      </c>
    </row>
    <row r="1270" spans="1:28" hidden="1">
      <c r="A1270" t="s">
        <v>3369</v>
      </c>
      <c r="B1270" s="17">
        <v>43479</v>
      </c>
      <c r="C1270" s="17">
        <v>43479</v>
      </c>
      <c r="D1270" t="s">
        <v>0</v>
      </c>
      <c r="E1270" t="s">
        <v>1</v>
      </c>
      <c r="F1270" s="18">
        <v>33553</v>
      </c>
      <c r="G1270" s="18">
        <v>33553</v>
      </c>
      <c r="H1270" t="s">
        <v>2</v>
      </c>
      <c r="I1270" t="s">
        <v>8</v>
      </c>
      <c r="J1270" s="18">
        <v>2783221.35</v>
      </c>
      <c r="K1270" t="s">
        <v>3360</v>
      </c>
      <c r="L1270" t="s">
        <v>9</v>
      </c>
      <c r="M1270" t="s">
        <v>3370</v>
      </c>
      <c r="N1270" t="s">
        <v>3</v>
      </c>
      <c r="O1270" t="s">
        <v>3</v>
      </c>
      <c r="P1270" t="s">
        <v>5</v>
      </c>
      <c r="Q1270" t="s">
        <v>3371</v>
      </c>
      <c r="R1270" t="s">
        <v>3</v>
      </c>
      <c r="S1270" t="s">
        <v>3</v>
      </c>
      <c r="T1270" t="s">
        <v>3</v>
      </c>
      <c r="U1270" t="s">
        <v>3</v>
      </c>
      <c r="V1270" t="s">
        <v>3</v>
      </c>
      <c r="W1270" t="s">
        <v>68</v>
      </c>
      <c r="X1270" s="17">
        <v>43646</v>
      </c>
      <c r="Y1270" t="s">
        <v>2475</v>
      </c>
      <c r="Z1270" s="17">
        <v>43479</v>
      </c>
      <c r="AA1270" t="s">
        <v>3</v>
      </c>
      <c r="AB1270" t="s">
        <v>3369</v>
      </c>
    </row>
    <row r="1271" spans="1:28" hidden="1">
      <c r="A1271" t="s">
        <v>3369</v>
      </c>
      <c r="B1271" s="17">
        <v>43479</v>
      </c>
      <c r="C1271" s="17">
        <v>43479</v>
      </c>
      <c r="D1271" t="s">
        <v>0</v>
      </c>
      <c r="E1271" t="s">
        <v>1</v>
      </c>
      <c r="F1271" s="18">
        <v>37339</v>
      </c>
      <c r="G1271" s="18">
        <v>37339</v>
      </c>
      <c r="H1271" t="s">
        <v>2</v>
      </c>
      <c r="I1271" t="s">
        <v>8</v>
      </c>
      <c r="J1271" s="18">
        <v>3097270.05</v>
      </c>
      <c r="K1271" t="s">
        <v>3336</v>
      </c>
      <c r="L1271" t="s">
        <v>9</v>
      </c>
      <c r="M1271" t="s">
        <v>3370</v>
      </c>
      <c r="N1271" t="s">
        <v>3</v>
      </c>
      <c r="O1271" t="s">
        <v>3</v>
      </c>
      <c r="P1271" t="s">
        <v>5</v>
      </c>
      <c r="Q1271" t="s">
        <v>3371</v>
      </c>
      <c r="R1271" t="s">
        <v>3</v>
      </c>
      <c r="S1271" t="s">
        <v>3</v>
      </c>
      <c r="T1271" t="s">
        <v>3</v>
      </c>
      <c r="U1271" t="s">
        <v>3</v>
      </c>
      <c r="V1271" t="s">
        <v>3</v>
      </c>
      <c r="W1271" t="s">
        <v>68</v>
      </c>
      <c r="X1271" s="17">
        <v>43587</v>
      </c>
      <c r="Y1271" t="s">
        <v>2454</v>
      </c>
      <c r="Z1271" s="17">
        <v>43479</v>
      </c>
      <c r="AA1271" t="s">
        <v>3</v>
      </c>
      <c r="AB1271" t="s">
        <v>3369</v>
      </c>
    </row>
    <row r="1272" spans="1:28" hidden="1">
      <c r="A1272" t="s">
        <v>3372</v>
      </c>
      <c r="B1272" s="17">
        <v>43479</v>
      </c>
      <c r="C1272" s="17">
        <v>43479</v>
      </c>
      <c r="D1272" t="s">
        <v>0</v>
      </c>
      <c r="E1272" t="s">
        <v>1</v>
      </c>
      <c r="F1272" s="18">
        <v>56862</v>
      </c>
      <c r="G1272" s="18">
        <v>56862</v>
      </c>
      <c r="H1272" t="s">
        <v>2</v>
      </c>
      <c r="I1272" t="s">
        <v>8</v>
      </c>
      <c r="J1272" s="18">
        <v>4716702.9000000004</v>
      </c>
      <c r="K1272" t="s">
        <v>3344</v>
      </c>
      <c r="L1272" t="s">
        <v>9</v>
      </c>
      <c r="M1272" t="s">
        <v>3373</v>
      </c>
      <c r="N1272" t="s">
        <v>3</v>
      </c>
      <c r="O1272" t="s">
        <v>3</v>
      </c>
      <c r="P1272" t="s">
        <v>5</v>
      </c>
      <c r="Q1272" t="s">
        <v>3374</v>
      </c>
      <c r="R1272" t="s">
        <v>3</v>
      </c>
      <c r="S1272" t="s">
        <v>3</v>
      </c>
      <c r="T1272" t="s">
        <v>3</v>
      </c>
      <c r="U1272" t="s">
        <v>3</v>
      </c>
      <c r="V1272" t="s">
        <v>3</v>
      </c>
      <c r="W1272" t="s">
        <v>68</v>
      </c>
      <c r="X1272" s="17">
        <v>43587</v>
      </c>
      <c r="Y1272" t="s">
        <v>2452</v>
      </c>
      <c r="Z1272" s="17">
        <v>43479</v>
      </c>
      <c r="AA1272" t="s">
        <v>3</v>
      </c>
      <c r="AB1272" t="s">
        <v>3372</v>
      </c>
    </row>
    <row r="1273" spans="1:28" hidden="1">
      <c r="A1273" t="s">
        <v>3372</v>
      </c>
      <c r="B1273" s="17">
        <v>43479</v>
      </c>
      <c r="C1273" s="17">
        <v>43479</v>
      </c>
      <c r="D1273" t="s">
        <v>0</v>
      </c>
      <c r="E1273" t="s">
        <v>1</v>
      </c>
      <c r="F1273" s="18">
        <v>1505</v>
      </c>
      <c r="G1273" s="18">
        <v>1505</v>
      </c>
      <c r="H1273" t="s">
        <v>2</v>
      </c>
      <c r="I1273" t="s">
        <v>8</v>
      </c>
      <c r="J1273" s="18">
        <v>124839.75</v>
      </c>
      <c r="K1273" t="s">
        <v>3336</v>
      </c>
      <c r="L1273" t="s">
        <v>9</v>
      </c>
      <c r="M1273" t="s">
        <v>3373</v>
      </c>
      <c r="N1273" t="s">
        <v>3</v>
      </c>
      <c r="O1273" t="s">
        <v>3</v>
      </c>
      <c r="P1273" t="s">
        <v>5</v>
      </c>
      <c r="Q1273" t="s">
        <v>3374</v>
      </c>
      <c r="R1273" t="s">
        <v>3</v>
      </c>
      <c r="S1273" t="s">
        <v>3</v>
      </c>
      <c r="T1273" t="s">
        <v>3</v>
      </c>
      <c r="U1273" t="s">
        <v>3</v>
      </c>
      <c r="V1273" t="s">
        <v>3</v>
      </c>
      <c r="W1273" t="s">
        <v>68</v>
      </c>
      <c r="X1273" s="17">
        <v>43587</v>
      </c>
      <c r="Y1273" t="s">
        <v>2454</v>
      </c>
      <c r="Z1273" s="17">
        <v>43479</v>
      </c>
      <c r="AA1273" t="s">
        <v>3</v>
      </c>
      <c r="AB1273" t="s">
        <v>3372</v>
      </c>
    </row>
    <row r="1274" spans="1:28" hidden="1">
      <c r="A1274" t="s">
        <v>3375</v>
      </c>
      <c r="B1274" s="17">
        <v>43479</v>
      </c>
      <c r="C1274" s="17">
        <v>43479</v>
      </c>
      <c r="D1274" t="s">
        <v>0</v>
      </c>
      <c r="E1274" t="s">
        <v>1</v>
      </c>
      <c r="F1274" s="18">
        <v>23190</v>
      </c>
      <c r="G1274" s="18">
        <v>23190</v>
      </c>
      <c r="H1274" t="s">
        <v>2</v>
      </c>
      <c r="I1274" t="s">
        <v>8</v>
      </c>
      <c r="J1274" s="18">
        <v>1923610.5</v>
      </c>
      <c r="K1274" t="s">
        <v>3344</v>
      </c>
      <c r="L1274" t="s">
        <v>9</v>
      </c>
      <c r="M1274" t="s">
        <v>3376</v>
      </c>
      <c r="N1274" t="s">
        <v>3</v>
      </c>
      <c r="O1274" t="s">
        <v>3</v>
      </c>
      <c r="P1274" t="s">
        <v>5</v>
      </c>
      <c r="Q1274" t="s">
        <v>3377</v>
      </c>
      <c r="R1274" t="s">
        <v>3</v>
      </c>
      <c r="S1274" t="s">
        <v>3</v>
      </c>
      <c r="T1274" t="s">
        <v>3</v>
      </c>
      <c r="U1274" t="s">
        <v>3</v>
      </c>
      <c r="V1274" t="s">
        <v>3</v>
      </c>
      <c r="W1274" t="s">
        <v>68</v>
      </c>
      <c r="X1274" s="17">
        <v>43587</v>
      </c>
      <c r="Y1274" t="s">
        <v>2452</v>
      </c>
      <c r="Z1274" s="17">
        <v>43479</v>
      </c>
      <c r="AA1274" t="s">
        <v>3</v>
      </c>
      <c r="AB1274" t="s">
        <v>3375</v>
      </c>
    </row>
    <row r="1275" spans="1:28" hidden="1">
      <c r="A1275" t="s">
        <v>3375</v>
      </c>
      <c r="B1275" s="17">
        <v>43479</v>
      </c>
      <c r="C1275" s="17">
        <v>43479</v>
      </c>
      <c r="D1275" t="s">
        <v>0</v>
      </c>
      <c r="E1275" t="s">
        <v>1</v>
      </c>
      <c r="F1275" s="18">
        <v>45088</v>
      </c>
      <c r="G1275" s="18">
        <v>45088</v>
      </c>
      <c r="H1275" t="s">
        <v>2</v>
      </c>
      <c r="I1275" t="s">
        <v>8</v>
      </c>
      <c r="J1275" s="18">
        <v>3740049.6</v>
      </c>
      <c r="K1275" t="s">
        <v>3336</v>
      </c>
      <c r="L1275" t="s">
        <v>9</v>
      </c>
      <c r="M1275" t="s">
        <v>3376</v>
      </c>
      <c r="N1275" t="s">
        <v>3</v>
      </c>
      <c r="O1275" t="s">
        <v>3</v>
      </c>
      <c r="P1275" t="s">
        <v>5</v>
      </c>
      <c r="Q1275" t="s">
        <v>3377</v>
      </c>
      <c r="R1275" t="s">
        <v>3</v>
      </c>
      <c r="S1275" t="s">
        <v>3</v>
      </c>
      <c r="T1275" t="s">
        <v>3</v>
      </c>
      <c r="U1275" t="s">
        <v>3</v>
      </c>
      <c r="V1275" t="s">
        <v>3</v>
      </c>
      <c r="W1275" t="s">
        <v>68</v>
      </c>
      <c r="X1275" s="17">
        <v>43587</v>
      </c>
      <c r="Y1275" t="s">
        <v>2454</v>
      </c>
      <c r="Z1275" s="17">
        <v>43479</v>
      </c>
      <c r="AA1275" t="s">
        <v>3</v>
      </c>
      <c r="AB1275" t="s">
        <v>3375</v>
      </c>
    </row>
    <row r="1276" spans="1:28" hidden="1">
      <c r="A1276" t="s">
        <v>3378</v>
      </c>
      <c r="B1276" s="17">
        <v>43479</v>
      </c>
      <c r="C1276" s="17">
        <v>43479</v>
      </c>
      <c r="D1276" t="s">
        <v>0</v>
      </c>
      <c r="E1276" t="s">
        <v>1</v>
      </c>
      <c r="F1276" s="18">
        <v>128526.74</v>
      </c>
      <c r="G1276" s="18">
        <v>128526.74</v>
      </c>
      <c r="H1276" t="s">
        <v>2</v>
      </c>
      <c r="I1276" t="s">
        <v>8</v>
      </c>
      <c r="J1276" s="18">
        <v>10661293.09</v>
      </c>
      <c r="K1276" t="s">
        <v>3332</v>
      </c>
      <c r="L1276" t="s">
        <v>4</v>
      </c>
      <c r="M1276" t="s">
        <v>3379</v>
      </c>
      <c r="N1276" t="s">
        <v>3</v>
      </c>
      <c r="O1276" t="s">
        <v>3</v>
      </c>
      <c r="P1276" t="s">
        <v>5</v>
      </c>
      <c r="Q1276" t="s">
        <v>3380</v>
      </c>
      <c r="R1276" t="s">
        <v>3</v>
      </c>
      <c r="S1276" t="s">
        <v>3</v>
      </c>
      <c r="T1276" t="s">
        <v>3</v>
      </c>
      <c r="U1276" t="s">
        <v>3</v>
      </c>
      <c r="V1276" t="s">
        <v>3</v>
      </c>
      <c r="W1276" t="s">
        <v>68</v>
      </c>
      <c r="X1276" s="17"/>
      <c r="Y1276" t="s">
        <v>3</v>
      </c>
      <c r="Z1276" s="17">
        <v>43479</v>
      </c>
      <c r="AA1276" t="s">
        <v>3</v>
      </c>
      <c r="AB1276" t="s">
        <v>3378</v>
      </c>
    </row>
    <row r="1277" spans="1:28" hidden="1">
      <c r="A1277" t="s">
        <v>3404</v>
      </c>
      <c r="B1277" s="17">
        <v>43479</v>
      </c>
      <c r="C1277" s="17">
        <v>43479</v>
      </c>
      <c r="D1277" t="s">
        <v>0</v>
      </c>
      <c r="E1277" t="s">
        <v>1</v>
      </c>
      <c r="F1277" s="18">
        <v>34830.120000000003</v>
      </c>
      <c r="G1277" s="18">
        <v>34830.120000000003</v>
      </c>
      <c r="H1277" t="s">
        <v>2</v>
      </c>
      <c r="I1277" t="s">
        <v>8</v>
      </c>
      <c r="J1277" s="18">
        <v>2889158.45</v>
      </c>
      <c r="K1277" t="s">
        <v>3306</v>
      </c>
      <c r="L1277" t="s">
        <v>4</v>
      </c>
      <c r="M1277" t="s">
        <v>3405</v>
      </c>
      <c r="N1277" t="s">
        <v>3</v>
      </c>
      <c r="O1277" t="s">
        <v>3</v>
      </c>
      <c r="P1277" t="s">
        <v>5</v>
      </c>
      <c r="Q1277" t="s">
        <v>3406</v>
      </c>
      <c r="R1277" t="s">
        <v>3</v>
      </c>
      <c r="S1277" t="s">
        <v>3</v>
      </c>
      <c r="T1277" t="s">
        <v>3</v>
      </c>
      <c r="U1277" t="s">
        <v>3</v>
      </c>
      <c r="V1277" t="s">
        <v>3</v>
      </c>
      <c r="W1277" t="s">
        <v>68</v>
      </c>
      <c r="X1277" s="17"/>
      <c r="Y1277" t="s">
        <v>3</v>
      </c>
      <c r="Z1277" s="17">
        <v>43479</v>
      </c>
      <c r="AA1277" t="s">
        <v>3</v>
      </c>
      <c r="AB1277" t="s">
        <v>3404</v>
      </c>
    </row>
    <row r="1278" spans="1:28" hidden="1">
      <c r="A1278" t="s">
        <v>3492</v>
      </c>
      <c r="B1278" s="17">
        <v>43479</v>
      </c>
      <c r="C1278" s="17">
        <v>43479</v>
      </c>
      <c r="D1278" t="s">
        <v>0</v>
      </c>
      <c r="E1278" t="s">
        <v>1</v>
      </c>
      <c r="F1278" s="18">
        <v>7977</v>
      </c>
      <c r="G1278" s="18">
        <v>7977</v>
      </c>
      <c r="H1278" t="s">
        <v>2</v>
      </c>
      <c r="I1278" t="s">
        <v>10</v>
      </c>
      <c r="J1278" s="18">
        <v>661692.15</v>
      </c>
      <c r="K1278" t="s">
        <v>3463</v>
      </c>
      <c r="L1278" t="s">
        <v>9</v>
      </c>
      <c r="M1278" t="s">
        <v>3493</v>
      </c>
      <c r="N1278" t="s">
        <v>3</v>
      </c>
      <c r="O1278" t="s">
        <v>3</v>
      </c>
      <c r="P1278" t="s">
        <v>5</v>
      </c>
      <c r="Q1278" t="s">
        <v>3494</v>
      </c>
      <c r="R1278" t="s">
        <v>3</v>
      </c>
      <c r="S1278" t="s">
        <v>3</v>
      </c>
      <c r="T1278" t="s">
        <v>3</v>
      </c>
      <c r="U1278" t="s">
        <v>3</v>
      </c>
      <c r="V1278" t="s">
        <v>3</v>
      </c>
      <c r="W1278" t="s">
        <v>68</v>
      </c>
      <c r="X1278" s="17">
        <v>43522</v>
      </c>
      <c r="Y1278" t="s">
        <v>2414</v>
      </c>
      <c r="Z1278" s="17">
        <v>43479</v>
      </c>
      <c r="AA1278" t="s">
        <v>3</v>
      </c>
      <c r="AB1278" t="s">
        <v>3492</v>
      </c>
    </row>
    <row r="1279" spans="1:28" hidden="1">
      <c r="A1279" t="s">
        <v>3492</v>
      </c>
      <c r="B1279" s="17">
        <v>43479</v>
      </c>
      <c r="C1279" s="17">
        <v>43479</v>
      </c>
      <c r="D1279" t="s">
        <v>0</v>
      </c>
      <c r="E1279" t="s">
        <v>1</v>
      </c>
      <c r="F1279" s="18">
        <v>10788.39</v>
      </c>
      <c r="G1279" s="18">
        <v>10788.39</v>
      </c>
      <c r="H1279" t="s">
        <v>2</v>
      </c>
      <c r="I1279" t="s">
        <v>10</v>
      </c>
      <c r="J1279" s="18">
        <v>894896.95</v>
      </c>
      <c r="K1279" t="s">
        <v>3495</v>
      </c>
      <c r="L1279" t="s">
        <v>9</v>
      </c>
      <c r="M1279" t="s">
        <v>3493</v>
      </c>
      <c r="N1279" t="s">
        <v>3</v>
      </c>
      <c r="O1279" t="s">
        <v>3</v>
      </c>
      <c r="P1279" t="s">
        <v>5</v>
      </c>
      <c r="Q1279" t="s">
        <v>3494</v>
      </c>
      <c r="R1279" t="s">
        <v>3</v>
      </c>
      <c r="S1279" t="s">
        <v>3</v>
      </c>
      <c r="T1279" t="s">
        <v>3</v>
      </c>
      <c r="U1279" t="s">
        <v>3</v>
      </c>
      <c r="V1279" t="s">
        <v>3</v>
      </c>
      <c r="W1279" t="s">
        <v>68</v>
      </c>
      <c r="X1279" s="17">
        <v>43519</v>
      </c>
      <c r="Y1279" t="s">
        <v>2384</v>
      </c>
      <c r="Z1279" s="17">
        <v>43479</v>
      </c>
      <c r="AA1279" t="s">
        <v>3</v>
      </c>
      <c r="AB1279" t="s">
        <v>3492</v>
      </c>
    </row>
    <row r="1280" spans="1:28" hidden="1">
      <c r="A1280" t="s">
        <v>3381</v>
      </c>
      <c r="B1280" s="17">
        <v>43480</v>
      </c>
      <c r="C1280" s="17">
        <v>43480</v>
      </c>
      <c r="D1280" t="s">
        <v>0</v>
      </c>
      <c r="E1280" t="s">
        <v>1</v>
      </c>
      <c r="F1280" s="18">
        <v>-224843</v>
      </c>
      <c r="G1280" s="18">
        <v>-224843</v>
      </c>
      <c r="H1280" t="s">
        <v>2</v>
      </c>
      <c r="I1280" t="s">
        <v>8</v>
      </c>
      <c r="J1280" s="18">
        <v>-18650726.850000001</v>
      </c>
      <c r="K1280" t="s">
        <v>3382</v>
      </c>
      <c r="L1280" t="s">
        <v>9</v>
      </c>
      <c r="M1280" t="s">
        <v>3383</v>
      </c>
      <c r="N1280" t="s">
        <v>3</v>
      </c>
      <c r="O1280" t="s">
        <v>3</v>
      </c>
      <c r="P1280" t="s">
        <v>5</v>
      </c>
      <c r="Q1280" t="s">
        <v>3384</v>
      </c>
      <c r="R1280" t="s">
        <v>3</v>
      </c>
      <c r="S1280" t="s">
        <v>3</v>
      </c>
      <c r="T1280" t="s">
        <v>3</v>
      </c>
      <c r="U1280" t="s">
        <v>3</v>
      </c>
      <c r="V1280" t="s">
        <v>3</v>
      </c>
      <c r="W1280" t="s">
        <v>68</v>
      </c>
      <c r="X1280" s="17">
        <v>43499</v>
      </c>
      <c r="Y1280" t="s">
        <v>3385</v>
      </c>
      <c r="Z1280" s="17">
        <v>43480</v>
      </c>
      <c r="AA1280" t="s">
        <v>3</v>
      </c>
      <c r="AB1280" t="s">
        <v>3381</v>
      </c>
    </row>
    <row r="1281" spans="1:28" hidden="1">
      <c r="A1281" t="s">
        <v>3386</v>
      </c>
      <c r="B1281" s="17">
        <v>43481</v>
      </c>
      <c r="C1281" s="17">
        <v>43481</v>
      </c>
      <c r="D1281" t="s">
        <v>0</v>
      </c>
      <c r="E1281" t="s">
        <v>1</v>
      </c>
      <c r="F1281" s="18">
        <v>34170</v>
      </c>
      <c r="G1281" s="18">
        <v>34170</v>
      </c>
      <c r="H1281" t="s">
        <v>2</v>
      </c>
      <c r="I1281" t="s">
        <v>8</v>
      </c>
      <c r="J1281" s="18">
        <v>2834401.5</v>
      </c>
      <c r="K1281" t="s">
        <v>3360</v>
      </c>
      <c r="L1281" t="s">
        <v>9</v>
      </c>
      <c r="M1281" t="s">
        <v>3387</v>
      </c>
      <c r="N1281" t="s">
        <v>3</v>
      </c>
      <c r="O1281" t="s">
        <v>3</v>
      </c>
      <c r="P1281" t="s">
        <v>5</v>
      </c>
      <c r="Q1281" t="s">
        <v>3388</v>
      </c>
      <c r="R1281" t="s">
        <v>3</v>
      </c>
      <c r="S1281" t="s">
        <v>3</v>
      </c>
      <c r="T1281" t="s">
        <v>3</v>
      </c>
      <c r="U1281" t="s">
        <v>3</v>
      </c>
      <c r="V1281" t="s">
        <v>3</v>
      </c>
      <c r="W1281" t="s">
        <v>68</v>
      </c>
      <c r="X1281" s="17">
        <v>43646</v>
      </c>
      <c r="Y1281" t="s">
        <v>2475</v>
      </c>
      <c r="Z1281" s="17">
        <v>43481</v>
      </c>
      <c r="AA1281" t="s">
        <v>3</v>
      </c>
      <c r="AB1281" t="s">
        <v>3386</v>
      </c>
    </row>
    <row r="1282" spans="1:28" hidden="1">
      <c r="A1282" t="s">
        <v>3389</v>
      </c>
      <c r="B1282" s="17">
        <v>43481</v>
      </c>
      <c r="C1282" s="17">
        <v>43481</v>
      </c>
      <c r="D1282" t="s">
        <v>0</v>
      </c>
      <c r="E1282" t="s">
        <v>1</v>
      </c>
      <c r="F1282" s="18">
        <v>10100</v>
      </c>
      <c r="G1282" s="18">
        <v>10100</v>
      </c>
      <c r="H1282" t="s">
        <v>2</v>
      </c>
      <c r="I1282" t="s">
        <v>8</v>
      </c>
      <c r="J1282" s="18">
        <v>837795</v>
      </c>
      <c r="K1282" t="s">
        <v>3360</v>
      </c>
      <c r="L1282" t="s">
        <v>9</v>
      </c>
      <c r="M1282" t="s">
        <v>3390</v>
      </c>
      <c r="N1282" t="s">
        <v>3</v>
      </c>
      <c r="O1282" t="s">
        <v>3</v>
      </c>
      <c r="P1282" t="s">
        <v>5</v>
      </c>
      <c r="Q1282" t="s">
        <v>3391</v>
      </c>
      <c r="R1282" t="s">
        <v>3</v>
      </c>
      <c r="S1282" t="s">
        <v>3</v>
      </c>
      <c r="T1282" t="s">
        <v>3</v>
      </c>
      <c r="U1282" t="s">
        <v>3</v>
      </c>
      <c r="V1282" t="s">
        <v>3</v>
      </c>
      <c r="W1282" t="s">
        <v>68</v>
      </c>
      <c r="X1282" s="17">
        <v>43646</v>
      </c>
      <c r="Y1282" t="s">
        <v>2475</v>
      </c>
      <c r="Z1282" s="17">
        <v>43481</v>
      </c>
      <c r="AA1282" t="s">
        <v>3</v>
      </c>
      <c r="AB1282" t="s">
        <v>3389</v>
      </c>
    </row>
    <row r="1283" spans="1:28" hidden="1">
      <c r="A1283" t="s">
        <v>3392</v>
      </c>
      <c r="B1283" s="17">
        <v>43481</v>
      </c>
      <c r="C1283" s="17">
        <v>43481</v>
      </c>
      <c r="D1283" t="s">
        <v>0</v>
      </c>
      <c r="E1283" t="s">
        <v>1</v>
      </c>
      <c r="F1283" s="18">
        <v>41069.22</v>
      </c>
      <c r="G1283" s="18">
        <v>41069.22</v>
      </c>
      <c r="H1283" t="s">
        <v>2</v>
      </c>
      <c r="I1283" t="s">
        <v>8</v>
      </c>
      <c r="J1283" s="18">
        <v>3406691.8</v>
      </c>
      <c r="K1283" t="s">
        <v>3332</v>
      </c>
      <c r="L1283" t="s">
        <v>4</v>
      </c>
      <c r="M1283" t="s">
        <v>3393</v>
      </c>
      <c r="N1283" t="s">
        <v>3</v>
      </c>
      <c r="O1283" t="s">
        <v>3</v>
      </c>
      <c r="P1283" t="s">
        <v>5</v>
      </c>
      <c r="Q1283" t="s">
        <v>3394</v>
      </c>
      <c r="R1283" t="s">
        <v>3</v>
      </c>
      <c r="S1283" t="s">
        <v>3</v>
      </c>
      <c r="T1283" t="s">
        <v>3</v>
      </c>
      <c r="U1283" t="s">
        <v>3</v>
      </c>
      <c r="V1283" t="s">
        <v>3</v>
      </c>
      <c r="W1283" t="s">
        <v>68</v>
      </c>
      <c r="X1283" s="17"/>
      <c r="Y1283" t="s">
        <v>3</v>
      </c>
      <c r="Z1283" s="17">
        <v>43481</v>
      </c>
      <c r="AA1283" t="s">
        <v>3</v>
      </c>
      <c r="AB1283" t="s">
        <v>3392</v>
      </c>
    </row>
    <row r="1284" spans="1:28" hidden="1">
      <c r="A1284" t="s">
        <v>2246</v>
      </c>
      <c r="B1284" s="17">
        <v>43482</v>
      </c>
      <c r="C1284" s="17">
        <v>43482</v>
      </c>
      <c r="D1284" t="s">
        <v>38</v>
      </c>
      <c r="E1284" t="s">
        <v>1</v>
      </c>
      <c r="F1284" s="18">
        <v>45093</v>
      </c>
      <c r="G1284" s="18">
        <v>45093</v>
      </c>
      <c r="H1284" t="s">
        <v>2</v>
      </c>
      <c r="I1284" t="s">
        <v>10</v>
      </c>
      <c r="J1284" s="18">
        <v>3740464.36</v>
      </c>
      <c r="K1284" t="s">
        <v>2247</v>
      </c>
      <c r="L1284" t="s">
        <v>4</v>
      </c>
      <c r="M1284" t="s">
        <v>2248</v>
      </c>
      <c r="N1284" t="s">
        <v>3</v>
      </c>
      <c r="O1284" t="s">
        <v>3</v>
      </c>
      <c r="P1284" t="s">
        <v>5</v>
      </c>
      <c r="Q1284" t="s">
        <v>2249</v>
      </c>
      <c r="R1284" t="s">
        <v>3</v>
      </c>
      <c r="S1284" t="s">
        <v>3</v>
      </c>
      <c r="T1284" t="s">
        <v>3</v>
      </c>
      <c r="U1284" t="s">
        <v>3</v>
      </c>
      <c r="V1284" t="s">
        <v>3</v>
      </c>
      <c r="W1284" t="s">
        <v>68</v>
      </c>
      <c r="X1284" s="17">
        <v>43482</v>
      </c>
      <c r="Y1284" t="s">
        <v>2246</v>
      </c>
      <c r="Z1284" s="17">
        <v>43482</v>
      </c>
      <c r="AA1284" t="s">
        <v>3</v>
      </c>
      <c r="AB1284" t="s">
        <v>2246</v>
      </c>
    </row>
    <row r="1285" spans="1:28" hidden="1">
      <c r="A1285" t="s">
        <v>3395</v>
      </c>
      <c r="B1285" s="17">
        <v>43482</v>
      </c>
      <c r="C1285" s="17">
        <v>43482</v>
      </c>
      <c r="D1285" t="s">
        <v>0</v>
      </c>
      <c r="E1285" t="s">
        <v>1</v>
      </c>
      <c r="F1285" s="18">
        <v>-275660</v>
      </c>
      <c r="G1285" s="18">
        <v>-275660</v>
      </c>
      <c r="H1285" t="s">
        <v>2</v>
      </c>
      <c r="I1285" t="s">
        <v>8</v>
      </c>
      <c r="J1285" s="18">
        <v>-22865997</v>
      </c>
      <c r="K1285" t="s">
        <v>3396</v>
      </c>
      <c r="L1285" t="s">
        <v>9</v>
      </c>
      <c r="M1285" t="s">
        <v>3397</v>
      </c>
      <c r="N1285" t="s">
        <v>3</v>
      </c>
      <c r="O1285" t="s">
        <v>3</v>
      </c>
      <c r="P1285" t="s">
        <v>5</v>
      </c>
      <c r="Q1285" t="s">
        <v>3398</v>
      </c>
      <c r="R1285" t="s">
        <v>3</v>
      </c>
      <c r="S1285" t="s">
        <v>3</v>
      </c>
      <c r="T1285" t="s">
        <v>3</v>
      </c>
      <c r="U1285" t="s">
        <v>3</v>
      </c>
      <c r="V1285" t="s">
        <v>3</v>
      </c>
      <c r="W1285" t="s">
        <v>68</v>
      </c>
      <c r="X1285" s="17">
        <v>43677</v>
      </c>
      <c r="Y1285" t="s">
        <v>3399</v>
      </c>
      <c r="Z1285" s="17">
        <v>43482</v>
      </c>
      <c r="AA1285" t="s">
        <v>3</v>
      </c>
      <c r="AB1285" t="s">
        <v>3395</v>
      </c>
    </row>
    <row r="1286" spans="1:28" hidden="1">
      <c r="A1286" t="s">
        <v>3468</v>
      </c>
      <c r="B1286" s="17">
        <v>43482</v>
      </c>
      <c r="C1286" s="17">
        <v>43482</v>
      </c>
      <c r="D1286" t="s">
        <v>0</v>
      </c>
      <c r="E1286" t="s">
        <v>1</v>
      </c>
      <c r="F1286" s="18">
        <v>-45093</v>
      </c>
      <c r="G1286" s="18">
        <v>-45093</v>
      </c>
      <c r="H1286" t="s">
        <v>2</v>
      </c>
      <c r="I1286" t="s">
        <v>10</v>
      </c>
      <c r="J1286" s="18">
        <v>-3740464.36</v>
      </c>
      <c r="K1286" t="s">
        <v>2247</v>
      </c>
      <c r="L1286" t="s">
        <v>4</v>
      </c>
      <c r="M1286" t="s">
        <v>2248</v>
      </c>
      <c r="N1286" t="s">
        <v>3</v>
      </c>
      <c r="O1286" t="s">
        <v>3</v>
      </c>
      <c r="P1286" t="s">
        <v>5</v>
      </c>
      <c r="Q1286" t="s">
        <v>2249</v>
      </c>
      <c r="R1286" t="s">
        <v>3</v>
      </c>
      <c r="S1286" t="s">
        <v>3</v>
      </c>
      <c r="T1286" t="s">
        <v>3</v>
      </c>
      <c r="U1286" t="s">
        <v>3</v>
      </c>
      <c r="V1286" t="s">
        <v>3</v>
      </c>
      <c r="W1286" t="s">
        <v>68</v>
      </c>
      <c r="X1286" s="17">
        <v>43482</v>
      </c>
      <c r="Y1286" t="s">
        <v>2246</v>
      </c>
      <c r="Z1286" s="17">
        <v>43482</v>
      </c>
      <c r="AA1286" t="s">
        <v>3</v>
      </c>
      <c r="AB1286" t="s">
        <v>3468</v>
      </c>
    </row>
    <row r="1287" spans="1:28" hidden="1">
      <c r="A1287" t="s">
        <v>3483</v>
      </c>
      <c r="B1287" s="17">
        <v>43482</v>
      </c>
      <c r="C1287" s="17">
        <v>43482</v>
      </c>
      <c r="D1287" t="s">
        <v>0</v>
      </c>
      <c r="E1287" t="s">
        <v>1</v>
      </c>
      <c r="F1287" s="18">
        <v>-45093</v>
      </c>
      <c r="G1287" s="18">
        <v>-45093</v>
      </c>
      <c r="H1287" t="s">
        <v>2</v>
      </c>
      <c r="I1287" t="s">
        <v>10</v>
      </c>
      <c r="J1287" s="18">
        <v>-3740464.36</v>
      </c>
      <c r="K1287" t="s">
        <v>2247</v>
      </c>
      <c r="L1287" t="s">
        <v>9</v>
      </c>
      <c r="M1287" t="s">
        <v>2248</v>
      </c>
      <c r="N1287" t="s">
        <v>3</v>
      </c>
      <c r="O1287" t="s">
        <v>3</v>
      </c>
      <c r="P1287" t="s">
        <v>5</v>
      </c>
      <c r="Q1287" t="s">
        <v>2249</v>
      </c>
      <c r="R1287" t="s">
        <v>3</v>
      </c>
      <c r="S1287" t="s">
        <v>3</v>
      </c>
      <c r="T1287" t="s">
        <v>3</v>
      </c>
      <c r="U1287" t="s">
        <v>3</v>
      </c>
      <c r="V1287" t="s">
        <v>3</v>
      </c>
      <c r="W1287" t="s">
        <v>68</v>
      </c>
      <c r="X1287" s="17">
        <v>43519</v>
      </c>
      <c r="Y1287" t="s">
        <v>2351</v>
      </c>
      <c r="Z1287" s="17">
        <v>43482</v>
      </c>
      <c r="AA1287" t="s">
        <v>3</v>
      </c>
      <c r="AB1287" t="s">
        <v>3483</v>
      </c>
    </row>
    <row r="1288" spans="1:28" hidden="1">
      <c r="A1288" t="s">
        <v>3400</v>
      </c>
      <c r="B1288" s="17">
        <v>43485</v>
      </c>
      <c r="C1288" s="17">
        <v>43485</v>
      </c>
      <c r="D1288" t="s">
        <v>0</v>
      </c>
      <c r="E1288" t="s">
        <v>1</v>
      </c>
      <c r="F1288" s="18">
        <v>93631</v>
      </c>
      <c r="G1288" s="18">
        <v>93631</v>
      </c>
      <c r="H1288" t="s">
        <v>2</v>
      </c>
      <c r="I1288" t="s">
        <v>8</v>
      </c>
      <c r="J1288" s="18">
        <v>7766691.4500000002</v>
      </c>
      <c r="K1288" t="s">
        <v>3401</v>
      </c>
      <c r="L1288" t="s">
        <v>9</v>
      </c>
      <c r="M1288" t="s">
        <v>3401</v>
      </c>
      <c r="N1288" t="s">
        <v>3</v>
      </c>
      <c r="O1288" t="s">
        <v>3</v>
      </c>
      <c r="P1288" t="s">
        <v>5</v>
      </c>
      <c r="Q1288" t="s">
        <v>3402</v>
      </c>
      <c r="R1288" t="s">
        <v>3</v>
      </c>
      <c r="S1288" t="s">
        <v>3</v>
      </c>
      <c r="T1288" t="s">
        <v>3</v>
      </c>
      <c r="U1288" t="s">
        <v>3</v>
      </c>
      <c r="V1288" t="s">
        <v>3</v>
      </c>
      <c r="W1288" t="s">
        <v>68</v>
      </c>
      <c r="X1288" s="17">
        <v>43646</v>
      </c>
      <c r="Y1288" t="s">
        <v>2475</v>
      </c>
      <c r="Z1288" s="17">
        <v>43485</v>
      </c>
      <c r="AA1288" t="s">
        <v>3</v>
      </c>
      <c r="AB1288" t="s">
        <v>3400</v>
      </c>
    </row>
    <row r="1289" spans="1:28" hidden="1">
      <c r="A1289" t="s">
        <v>2250</v>
      </c>
      <c r="B1289" s="17">
        <v>43486</v>
      </c>
      <c r="C1289" s="17">
        <v>43486</v>
      </c>
      <c r="D1289" t="s">
        <v>38</v>
      </c>
      <c r="E1289" t="s">
        <v>1</v>
      </c>
      <c r="F1289" s="18">
        <v>110370.71</v>
      </c>
      <c r="G1289" s="18">
        <v>110370.71</v>
      </c>
      <c r="H1289" t="s">
        <v>2</v>
      </c>
      <c r="I1289" t="s">
        <v>8</v>
      </c>
      <c r="J1289" s="18">
        <v>9155250.4000000004</v>
      </c>
      <c r="K1289" t="s">
        <v>2251</v>
      </c>
      <c r="L1289" t="s">
        <v>9</v>
      </c>
      <c r="M1289" t="s">
        <v>2252</v>
      </c>
      <c r="N1289" t="s">
        <v>3</v>
      </c>
      <c r="O1289" t="s">
        <v>3</v>
      </c>
      <c r="P1289" t="s">
        <v>5</v>
      </c>
      <c r="Q1289" t="s">
        <v>2253</v>
      </c>
      <c r="R1289" t="s">
        <v>3</v>
      </c>
      <c r="S1289" t="s">
        <v>3</v>
      </c>
      <c r="T1289" t="s">
        <v>3</v>
      </c>
      <c r="U1289" t="s">
        <v>3</v>
      </c>
      <c r="V1289" t="s">
        <v>3</v>
      </c>
      <c r="W1289" t="s">
        <v>68</v>
      </c>
      <c r="X1289" s="17">
        <v>43486</v>
      </c>
      <c r="Y1289" t="s">
        <v>2250</v>
      </c>
      <c r="Z1289" s="17">
        <v>43486</v>
      </c>
      <c r="AA1289" t="s">
        <v>3</v>
      </c>
      <c r="AB1289" t="s">
        <v>2250</v>
      </c>
    </row>
    <row r="1290" spans="1:28" hidden="1">
      <c r="A1290" t="s">
        <v>3403</v>
      </c>
      <c r="B1290" s="17">
        <v>43486</v>
      </c>
      <c r="C1290" s="17">
        <v>43486</v>
      </c>
      <c r="D1290" t="s">
        <v>0</v>
      </c>
      <c r="E1290" t="s">
        <v>1</v>
      </c>
      <c r="F1290" s="18">
        <v>-110370.71</v>
      </c>
      <c r="G1290" s="18">
        <v>-110370.71</v>
      </c>
      <c r="H1290" t="s">
        <v>2</v>
      </c>
      <c r="I1290" t="s">
        <v>8</v>
      </c>
      <c r="J1290" s="18">
        <v>-9155250.4000000004</v>
      </c>
      <c r="K1290" t="s">
        <v>2251</v>
      </c>
      <c r="L1290" t="s">
        <v>9</v>
      </c>
      <c r="M1290" t="s">
        <v>2252</v>
      </c>
      <c r="N1290" t="s">
        <v>3</v>
      </c>
      <c r="O1290" t="s">
        <v>3</v>
      </c>
      <c r="P1290" t="s">
        <v>5</v>
      </c>
      <c r="Q1290" t="s">
        <v>2253</v>
      </c>
      <c r="R1290" t="s">
        <v>3</v>
      </c>
      <c r="S1290" t="s">
        <v>3</v>
      </c>
      <c r="T1290" t="s">
        <v>3</v>
      </c>
      <c r="U1290" t="s">
        <v>3</v>
      </c>
      <c r="V1290" t="s">
        <v>3</v>
      </c>
      <c r="W1290" t="s">
        <v>68</v>
      </c>
      <c r="X1290" s="17">
        <v>43486</v>
      </c>
      <c r="Y1290" t="s">
        <v>2250</v>
      </c>
      <c r="Z1290" s="17">
        <v>43486</v>
      </c>
      <c r="AA1290" t="s">
        <v>3</v>
      </c>
      <c r="AB1290" t="s">
        <v>3403</v>
      </c>
    </row>
    <row r="1291" spans="1:28" hidden="1">
      <c r="A1291" t="s">
        <v>3434</v>
      </c>
      <c r="B1291" s="17">
        <v>43486</v>
      </c>
      <c r="C1291" s="17">
        <v>43486</v>
      </c>
      <c r="D1291" t="s">
        <v>0</v>
      </c>
      <c r="E1291" t="s">
        <v>1</v>
      </c>
      <c r="F1291" s="18">
        <v>9250</v>
      </c>
      <c r="G1291" s="18">
        <v>9250</v>
      </c>
      <c r="H1291" t="s">
        <v>2</v>
      </c>
      <c r="I1291" t="s">
        <v>10</v>
      </c>
      <c r="J1291" s="18">
        <v>767287.5</v>
      </c>
      <c r="K1291" t="s">
        <v>3431</v>
      </c>
      <c r="L1291" t="s">
        <v>9</v>
      </c>
      <c r="M1291" t="s">
        <v>3469</v>
      </c>
      <c r="N1291" t="s">
        <v>3</v>
      </c>
      <c r="O1291" t="s">
        <v>3</v>
      </c>
      <c r="P1291" t="s">
        <v>5</v>
      </c>
      <c r="Q1291" t="s">
        <v>3470</v>
      </c>
      <c r="R1291" t="s">
        <v>3</v>
      </c>
      <c r="S1291" t="s">
        <v>3</v>
      </c>
      <c r="T1291" t="s">
        <v>3</v>
      </c>
      <c r="U1291" t="s">
        <v>3</v>
      </c>
      <c r="V1291" t="s">
        <v>3</v>
      </c>
      <c r="W1291" t="s">
        <v>68</v>
      </c>
      <c r="X1291" s="17">
        <v>43486</v>
      </c>
      <c r="Y1291" t="s">
        <v>3434</v>
      </c>
      <c r="Z1291" s="17">
        <v>43486</v>
      </c>
      <c r="AA1291" t="s">
        <v>3</v>
      </c>
      <c r="AB1291" t="s">
        <v>3434</v>
      </c>
    </row>
    <row r="1292" spans="1:28" hidden="1">
      <c r="A1292" t="s">
        <v>2906</v>
      </c>
      <c r="B1292" s="17">
        <v>43486</v>
      </c>
      <c r="C1292" s="17">
        <v>43486</v>
      </c>
      <c r="D1292" t="s">
        <v>0</v>
      </c>
      <c r="E1292" t="s">
        <v>1</v>
      </c>
      <c r="F1292" s="18">
        <v>220122</v>
      </c>
      <c r="G1292" s="18">
        <v>220122</v>
      </c>
      <c r="H1292" t="s">
        <v>2</v>
      </c>
      <c r="I1292" t="s">
        <v>8</v>
      </c>
      <c r="J1292" s="18">
        <v>18226101.600000001</v>
      </c>
      <c r="K1292" t="s">
        <v>3502</v>
      </c>
      <c r="L1292" t="s">
        <v>9</v>
      </c>
      <c r="M1292" t="s">
        <v>3503</v>
      </c>
      <c r="N1292" t="s">
        <v>3</v>
      </c>
      <c r="O1292" t="s">
        <v>3</v>
      </c>
      <c r="P1292" t="s">
        <v>5</v>
      </c>
      <c r="Q1292" t="s">
        <v>3504</v>
      </c>
      <c r="R1292" t="s">
        <v>3</v>
      </c>
      <c r="S1292" t="s">
        <v>3</v>
      </c>
      <c r="T1292" t="s">
        <v>3</v>
      </c>
      <c r="U1292" t="s">
        <v>3</v>
      </c>
      <c r="V1292" t="s">
        <v>3</v>
      </c>
      <c r="W1292" t="s">
        <v>68</v>
      </c>
      <c r="X1292" s="17">
        <v>43587</v>
      </c>
      <c r="Y1292" t="s">
        <v>2432</v>
      </c>
      <c r="Z1292" s="17">
        <v>43486</v>
      </c>
      <c r="AA1292" t="s">
        <v>3</v>
      </c>
      <c r="AB1292" t="s">
        <v>2906</v>
      </c>
    </row>
    <row r="1293" spans="1:28" hidden="1">
      <c r="A1293" t="s">
        <v>2906</v>
      </c>
      <c r="B1293" s="17">
        <v>43486</v>
      </c>
      <c r="C1293" s="17">
        <v>43486</v>
      </c>
      <c r="D1293" t="s">
        <v>0</v>
      </c>
      <c r="E1293" t="s">
        <v>1</v>
      </c>
      <c r="F1293" s="18">
        <v>128169</v>
      </c>
      <c r="G1293" s="18">
        <v>128169</v>
      </c>
      <c r="H1293" t="s">
        <v>2</v>
      </c>
      <c r="I1293" t="s">
        <v>8</v>
      </c>
      <c r="J1293" s="18">
        <v>10631618.550000001</v>
      </c>
      <c r="K1293" t="s">
        <v>3360</v>
      </c>
      <c r="L1293" t="s">
        <v>9</v>
      </c>
      <c r="M1293" t="s">
        <v>3503</v>
      </c>
      <c r="N1293" t="s">
        <v>3</v>
      </c>
      <c r="O1293" t="s">
        <v>3</v>
      </c>
      <c r="P1293" t="s">
        <v>5</v>
      </c>
      <c r="Q1293" t="s">
        <v>3504</v>
      </c>
      <c r="R1293" t="s">
        <v>3</v>
      </c>
      <c r="S1293" t="s">
        <v>3</v>
      </c>
      <c r="T1293" t="s">
        <v>3</v>
      </c>
      <c r="U1293" t="s">
        <v>3</v>
      </c>
      <c r="V1293" t="s">
        <v>3</v>
      </c>
      <c r="W1293" t="s">
        <v>68</v>
      </c>
      <c r="X1293" s="17">
        <v>43646</v>
      </c>
      <c r="Y1293" t="s">
        <v>2475</v>
      </c>
      <c r="Z1293" s="17">
        <v>43486</v>
      </c>
      <c r="AA1293" t="s">
        <v>3</v>
      </c>
      <c r="AB1293" t="s">
        <v>2906</v>
      </c>
    </row>
    <row r="1294" spans="1:28" hidden="1">
      <c r="A1294" t="s">
        <v>2906</v>
      </c>
      <c r="B1294" s="17">
        <v>43486</v>
      </c>
      <c r="C1294" s="17">
        <v>43486</v>
      </c>
      <c r="D1294" t="s">
        <v>0</v>
      </c>
      <c r="E1294" t="s">
        <v>1</v>
      </c>
      <c r="F1294" s="18">
        <v>93187</v>
      </c>
      <c r="G1294" s="18">
        <v>93187</v>
      </c>
      <c r="H1294" t="s">
        <v>2</v>
      </c>
      <c r="I1294" t="s">
        <v>8</v>
      </c>
      <c r="J1294" s="18">
        <v>7729861.6600000001</v>
      </c>
      <c r="K1294" t="s">
        <v>3302</v>
      </c>
      <c r="L1294" t="s">
        <v>9</v>
      </c>
      <c r="M1294" t="s">
        <v>3503</v>
      </c>
      <c r="N1294" t="s">
        <v>3</v>
      </c>
      <c r="O1294" t="s">
        <v>3</v>
      </c>
      <c r="P1294" t="s">
        <v>5</v>
      </c>
      <c r="Q1294" t="s">
        <v>3504</v>
      </c>
      <c r="R1294" t="s">
        <v>3</v>
      </c>
      <c r="S1294" t="s">
        <v>3</v>
      </c>
      <c r="T1294" t="s">
        <v>3</v>
      </c>
      <c r="U1294" t="s">
        <v>3</v>
      </c>
      <c r="V1294" t="s">
        <v>3</v>
      </c>
      <c r="W1294" t="s">
        <v>68</v>
      </c>
      <c r="X1294" s="17">
        <v>43646</v>
      </c>
      <c r="Y1294" t="s">
        <v>2481</v>
      </c>
      <c r="Z1294" s="17">
        <v>43486</v>
      </c>
      <c r="AA1294" t="s">
        <v>3</v>
      </c>
      <c r="AB1294" t="s">
        <v>2906</v>
      </c>
    </row>
    <row r="1295" spans="1:28" hidden="1">
      <c r="A1295" t="s">
        <v>2906</v>
      </c>
      <c r="B1295" s="17">
        <v>43486</v>
      </c>
      <c r="C1295" s="17">
        <v>43486</v>
      </c>
      <c r="D1295" t="s">
        <v>0</v>
      </c>
      <c r="E1295" t="s">
        <v>1</v>
      </c>
      <c r="F1295" s="18">
        <v>225653</v>
      </c>
      <c r="G1295" s="18">
        <v>225653</v>
      </c>
      <c r="H1295" t="s">
        <v>2</v>
      </c>
      <c r="I1295" t="s">
        <v>8</v>
      </c>
      <c r="J1295" s="18">
        <v>18698764.219999999</v>
      </c>
      <c r="K1295" t="s">
        <v>3505</v>
      </c>
      <c r="L1295" t="s">
        <v>9</v>
      </c>
      <c r="M1295" t="s">
        <v>3503</v>
      </c>
      <c r="N1295" t="s">
        <v>3</v>
      </c>
      <c r="O1295" t="s">
        <v>3</v>
      </c>
      <c r="P1295" t="s">
        <v>5</v>
      </c>
      <c r="Q1295" t="s">
        <v>3504</v>
      </c>
      <c r="R1295" t="s">
        <v>3</v>
      </c>
      <c r="S1295" t="s">
        <v>3</v>
      </c>
      <c r="T1295" t="s">
        <v>3</v>
      </c>
      <c r="U1295" t="s">
        <v>3</v>
      </c>
      <c r="V1295" t="s">
        <v>3</v>
      </c>
      <c r="W1295" t="s">
        <v>68</v>
      </c>
      <c r="X1295" s="17">
        <v>43486</v>
      </c>
      <c r="Y1295" t="s">
        <v>2906</v>
      </c>
      <c r="Z1295" s="17">
        <v>43486</v>
      </c>
      <c r="AA1295" t="s">
        <v>3</v>
      </c>
      <c r="AB1295" t="s">
        <v>2906</v>
      </c>
    </row>
    <row r="1296" spans="1:28" hidden="1">
      <c r="A1296" t="s">
        <v>3512</v>
      </c>
      <c r="B1296" s="17">
        <v>43486</v>
      </c>
      <c r="C1296" s="17">
        <v>43486</v>
      </c>
      <c r="D1296" t="s">
        <v>0</v>
      </c>
      <c r="E1296" t="s">
        <v>1</v>
      </c>
      <c r="F1296" s="18">
        <v>-110370.71</v>
      </c>
      <c r="G1296" s="18">
        <v>-110370.71</v>
      </c>
      <c r="H1296" t="s">
        <v>2</v>
      </c>
      <c r="I1296" t="s">
        <v>8</v>
      </c>
      <c r="J1296" s="18">
        <v>-9155250.4000000004</v>
      </c>
      <c r="K1296" t="s">
        <v>2251</v>
      </c>
      <c r="L1296" t="s">
        <v>4</v>
      </c>
      <c r="M1296" t="s">
        <v>2252</v>
      </c>
      <c r="N1296" t="s">
        <v>3</v>
      </c>
      <c r="O1296" t="s">
        <v>3</v>
      </c>
      <c r="P1296" t="s">
        <v>5</v>
      </c>
      <c r="Q1296" t="s">
        <v>2253</v>
      </c>
      <c r="R1296" t="s">
        <v>3</v>
      </c>
      <c r="S1296" t="s">
        <v>3</v>
      </c>
      <c r="T1296" t="s">
        <v>3</v>
      </c>
      <c r="U1296" t="s">
        <v>3</v>
      </c>
      <c r="V1296" t="s">
        <v>3</v>
      </c>
      <c r="W1296" t="s">
        <v>68</v>
      </c>
      <c r="X1296" s="17"/>
      <c r="Y1296" t="s">
        <v>3</v>
      </c>
      <c r="Z1296" s="17">
        <v>43486</v>
      </c>
      <c r="AA1296" t="s">
        <v>3</v>
      </c>
      <c r="AB1296" t="s">
        <v>3512</v>
      </c>
    </row>
    <row r="1297" spans="1:28" hidden="1">
      <c r="A1297" t="s">
        <v>3407</v>
      </c>
      <c r="B1297" s="17">
        <v>43487</v>
      </c>
      <c r="C1297" s="17">
        <v>43487</v>
      </c>
      <c r="D1297" t="s">
        <v>0</v>
      </c>
      <c r="E1297" t="s">
        <v>1</v>
      </c>
      <c r="F1297" s="18">
        <v>-257485</v>
      </c>
      <c r="G1297" s="18">
        <v>-257485</v>
      </c>
      <c r="H1297" t="s">
        <v>2</v>
      </c>
      <c r="I1297" t="s">
        <v>8</v>
      </c>
      <c r="J1297" s="18">
        <v>-21358380.75</v>
      </c>
      <c r="K1297" t="s">
        <v>3408</v>
      </c>
      <c r="L1297" t="s">
        <v>9</v>
      </c>
      <c r="M1297" t="s">
        <v>3409</v>
      </c>
      <c r="N1297" t="s">
        <v>3</v>
      </c>
      <c r="O1297" t="s">
        <v>3</v>
      </c>
      <c r="P1297" t="s">
        <v>5</v>
      </c>
      <c r="Q1297" t="s">
        <v>3410</v>
      </c>
      <c r="R1297" t="s">
        <v>3</v>
      </c>
      <c r="S1297" t="s">
        <v>3</v>
      </c>
      <c r="T1297" t="s">
        <v>3</v>
      </c>
      <c r="U1297" t="s">
        <v>3</v>
      </c>
      <c r="V1297" t="s">
        <v>3</v>
      </c>
      <c r="W1297" t="s">
        <v>68</v>
      </c>
      <c r="X1297" s="17">
        <v>43587</v>
      </c>
      <c r="Y1297" t="s">
        <v>2443</v>
      </c>
      <c r="Z1297" s="17">
        <v>43487</v>
      </c>
      <c r="AA1297" t="s">
        <v>3</v>
      </c>
      <c r="AB1297" t="s">
        <v>3407</v>
      </c>
    </row>
    <row r="1298" spans="1:28" hidden="1">
      <c r="A1298" t="s">
        <v>3411</v>
      </c>
      <c r="B1298" s="17">
        <v>43488</v>
      </c>
      <c r="C1298" s="17">
        <v>43488</v>
      </c>
      <c r="D1298" t="s">
        <v>0</v>
      </c>
      <c r="E1298" t="s">
        <v>1</v>
      </c>
      <c r="F1298" s="18">
        <v>32310</v>
      </c>
      <c r="G1298" s="18">
        <v>32310</v>
      </c>
      <c r="H1298" t="s">
        <v>2</v>
      </c>
      <c r="I1298" t="s">
        <v>8</v>
      </c>
      <c r="J1298" s="18">
        <v>2680114.5</v>
      </c>
      <c r="K1298" t="s">
        <v>3412</v>
      </c>
      <c r="L1298" t="s">
        <v>9</v>
      </c>
      <c r="M1298" t="s">
        <v>3413</v>
      </c>
      <c r="N1298" t="s">
        <v>3</v>
      </c>
      <c r="O1298" t="s">
        <v>3</v>
      </c>
      <c r="P1298" t="s">
        <v>5</v>
      </c>
      <c r="Q1298" t="s">
        <v>3414</v>
      </c>
      <c r="R1298" t="s">
        <v>3</v>
      </c>
      <c r="S1298" t="s">
        <v>3</v>
      </c>
      <c r="T1298" t="s">
        <v>3</v>
      </c>
      <c r="U1298" t="s">
        <v>3</v>
      </c>
      <c r="V1298" t="s">
        <v>3</v>
      </c>
      <c r="W1298" t="s">
        <v>68</v>
      </c>
      <c r="X1298" s="17">
        <v>43587</v>
      </c>
      <c r="Y1298" t="s">
        <v>2466</v>
      </c>
      <c r="Z1298" s="17">
        <v>43488</v>
      </c>
      <c r="AA1298" t="s">
        <v>3</v>
      </c>
      <c r="AB1298" t="s">
        <v>3411</v>
      </c>
    </row>
    <row r="1299" spans="1:28" hidden="1">
      <c r="A1299" t="s">
        <v>3415</v>
      </c>
      <c r="B1299" s="17">
        <v>43488</v>
      </c>
      <c r="C1299" s="17">
        <v>43488</v>
      </c>
      <c r="D1299" t="s">
        <v>0</v>
      </c>
      <c r="E1299" t="s">
        <v>1</v>
      </c>
      <c r="F1299" s="18">
        <v>50393</v>
      </c>
      <c r="G1299" s="18">
        <v>50393</v>
      </c>
      <c r="H1299" t="s">
        <v>2</v>
      </c>
      <c r="I1299" t="s">
        <v>8</v>
      </c>
      <c r="J1299" s="18">
        <v>4180099.35</v>
      </c>
      <c r="K1299" t="s">
        <v>3360</v>
      </c>
      <c r="L1299" t="s">
        <v>9</v>
      </c>
      <c r="M1299" t="s">
        <v>3416</v>
      </c>
      <c r="N1299" t="s">
        <v>3</v>
      </c>
      <c r="O1299" t="s">
        <v>3</v>
      </c>
      <c r="P1299" t="s">
        <v>5</v>
      </c>
      <c r="Q1299" t="s">
        <v>3417</v>
      </c>
      <c r="R1299" t="s">
        <v>3</v>
      </c>
      <c r="S1299" t="s">
        <v>3</v>
      </c>
      <c r="T1299" t="s">
        <v>3</v>
      </c>
      <c r="U1299" t="s">
        <v>3</v>
      </c>
      <c r="V1299" t="s">
        <v>3</v>
      </c>
      <c r="W1299" t="s">
        <v>68</v>
      </c>
      <c r="X1299" s="17">
        <v>43646</v>
      </c>
      <c r="Y1299" t="s">
        <v>2475</v>
      </c>
      <c r="Z1299" s="17">
        <v>43488</v>
      </c>
      <c r="AA1299" t="s">
        <v>3</v>
      </c>
      <c r="AB1299" t="s">
        <v>3415</v>
      </c>
    </row>
    <row r="1300" spans="1:28" hidden="1">
      <c r="A1300" t="s">
        <v>3415</v>
      </c>
      <c r="B1300" s="17">
        <v>43488</v>
      </c>
      <c r="C1300" s="17">
        <v>43488</v>
      </c>
      <c r="D1300" t="s">
        <v>0</v>
      </c>
      <c r="E1300" t="s">
        <v>1</v>
      </c>
      <c r="F1300" s="18">
        <v>40694</v>
      </c>
      <c r="G1300" s="18">
        <v>40694</v>
      </c>
      <c r="H1300" t="s">
        <v>2</v>
      </c>
      <c r="I1300" t="s">
        <v>8</v>
      </c>
      <c r="J1300" s="18">
        <v>3375567.3</v>
      </c>
      <c r="K1300" t="s">
        <v>3336</v>
      </c>
      <c r="L1300" t="s">
        <v>9</v>
      </c>
      <c r="M1300" t="s">
        <v>3416</v>
      </c>
      <c r="N1300" t="s">
        <v>3</v>
      </c>
      <c r="O1300" t="s">
        <v>3</v>
      </c>
      <c r="P1300" t="s">
        <v>5</v>
      </c>
      <c r="Q1300" t="s">
        <v>3417</v>
      </c>
      <c r="R1300" t="s">
        <v>3</v>
      </c>
      <c r="S1300" t="s">
        <v>3</v>
      </c>
      <c r="T1300" t="s">
        <v>3</v>
      </c>
      <c r="U1300" t="s">
        <v>3</v>
      </c>
      <c r="V1300" t="s">
        <v>3</v>
      </c>
      <c r="W1300" t="s">
        <v>68</v>
      </c>
      <c r="X1300" s="17">
        <v>43587</v>
      </c>
      <c r="Y1300" t="s">
        <v>2454</v>
      </c>
      <c r="Z1300" s="17">
        <v>43488</v>
      </c>
      <c r="AA1300" t="s">
        <v>3</v>
      </c>
      <c r="AB1300" t="s">
        <v>3415</v>
      </c>
    </row>
    <row r="1301" spans="1:28" hidden="1">
      <c r="A1301" t="s">
        <v>3471</v>
      </c>
      <c r="B1301" s="17">
        <v>43488</v>
      </c>
      <c r="C1301" s="17">
        <v>43488</v>
      </c>
      <c r="D1301" t="s">
        <v>0</v>
      </c>
      <c r="E1301" t="s">
        <v>1</v>
      </c>
      <c r="F1301" s="18">
        <v>455</v>
      </c>
      <c r="G1301" s="18">
        <v>455</v>
      </c>
      <c r="H1301" t="s">
        <v>2</v>
      </c>
      <c r="I1301" t="s">
        <v>10</v>
      </c>
      <c r="J1301" s="18">
        <v>37742.25</v>
      </c>
      <c r="K1301" t="s">
        <v>3472</v>
      </c>
      <c r="L1301" t="s">
        <v>9</v>
      </c>
      <c r="M1301" t="s">
        <v>3473</v>
      </c>
      <c r="N1301" t="s">
        <v>3</v>
      </c>
      <c r="O1301" t="s">
        <v>3</v>
      </c>
      <c r="P1301" t="s">
        <v>5</v>
      </c>
      <c r="Q1301" t="s">
        <v>3474</v>
      </c>
      <c r="R1301" t="s">
        <v>3</v>
      </c>
      <c r="S1301" t="s">
        <v>3</v>
      </c>
      <c r="T1301" t="s">
        <v>3</v>
      </c>
      <c r="U1301" t="s">
        <v>3</v>
      </c>
      <c r="V1301" t="s">
        <v>3</v>
      </c>
      <c r="W1301" t="s">
        <v>68</v>
      </c>
      <c r="X1301" s="17">
        <v>43677</v>
      </c>
      <c r="Y1301" t="s">
        <v>3443</v>
      </c>
      <c r="Z1301" s="17">
        <v>43488</v>
      </c>
      <c r="AA1301" t="s">
        <v>3</v>
      </c>
      <c r="AB1301" t="s">
        <v>3471</v>
      </c>
    </row>
    <row r="1302" spans="1:28" hidden="1">
      <c r="A1302" t="s">
        <v>3475</v>
      </c>
      <c r="B1302" s="17">
        <v>43488</v>
      </c>
      <c r="C1302" s="17">
        <v>43488</v>
      </c>
      <c r="D1302" t="s">
        <v>0</v>
      </c>
      <c r="E1302" t="s">
        <v>1</v>
      </c>
      <c r="F1302" s="18">
        <v>9044</v>
      </c>
      <c r="G1302" s="18">
        <v>9044</v>
      </c>
      <c r="H1302" t="s">
        <v>2</v>
      </c>
      <c r="I1302" t="s">
        <v>10</v>
      </c>
      <c r="J1302" s="18">
        <v>750199.8</v>
      </c>
      <c r="K1302" t="s">
        <v>3476</v>
      </c>
      <c r="L1302" t="s">
        <v>9</v>
      </c>
      <c r="M1302" t="s">
        <v>3477</v>
      </c>
      <c r="N1302" t="s">
        <v>3</v>
      </c>
      <c r="O1302" t="s">
        <v>3</v>
      </c>
      <c r="P1302" t="s">
        <v>5</v>
      </c>
      <c r="Q1302" t="s">
        <v>3478</v>
      </c>
      <c r="R1302" t="s">
        <v>3</v>
      </c>
      <c r="S1302" t="s">
        <v>3</v>
      </c>
      <c r="T1302" t="s">
        <v>3</v>
      </c>
      <c r="U1302" t="s">
        <v>3</v>
      </c>
      <c r="V1302" t="s">
        <v>3</v>
      </c>
      <c r="W1302" t="s">
        <v>68</v>
      </c>
      <c r="X1302" s="17">
        <v>43522</v>
      </c>
      <c r="Y1302" t="s">
        <v>2405</v>
      </c>
      <c r="Z1302" s="17">
        <v>43488</v>
      </c>
      <c r="AA1302" t="s">
        <v>3</v>
      </c>
      <c r="AB1302" t="s">
        <v>3475</v>
      </c>
    </row>
    <row r="1303" spans="1:28" hidden="1">
      <c r="A1303" t="s">
        <v>3418</v>
      </c>
      <c r="B1303" s="17">
        <v>43489</v>
      </c>
      <c r="C1303" s="17">
        <v>43489</v>
      </c>
      <c r="D1303" t="s">
        <v>0</v>
      </c>
      <c r="E1303" t="s">
        <v>1</v>
      </c>
      <c r="F1303" s="18">
        <v>-347835</v>
      </c>
      <c r="G1303" s="18">
        <v>-347835</v>
      </c>
      <c r="H1303" t="s">
        <v>2</v>
      </c>
      <c r="I1303" t="s">
        <v>8</v>
      </c>
      <c r="J1303" s="18">
        <v>-28852913.25</v>
      </c>
      <c r="K1303" t="s">
        <v>3419</v>
      </c>
      <c r="L1303" t="s">
        <v>9</v>
      </c>
      <c r="M1303" t="s">
        <v>3420</v>
      </c>
      <c r="N1303" t="s">
        <v>3</v>
      </c>
      <c r="O1303" t="s">
        <v>3</v>
      </c>
      <c r="P1303" t="s">
        <v>5</v>
      </c>
      <c r="Q1303" t="s">
        <v>3421</v>
      </c>
      <c r="R1303" t="s">
        <v>3</v>
      </c>
      <c r="S1303" t="s">
        <v>3</v>
      </c>
      <c r="T1303" t="s">
        <v>3</v>
      </c>
      <c r="U1303" t="s">
        <v>3</v>
      </c>
      <c r="V1303" t="s">
        <v>3</v>
      </c>
      <c r="W1303" t="s">
        <v>68</v>
      </c>
      <c r="X1303" s="17">
        <v>43646</v>
      </c>
      <c r="Y1303" t="s">
        <v>2477</v>
      </c>
      <c r="Z1303" s="17">
        <v>43489</v>
      </c>
      <c r="AA1303" t="s">
        <v>3</v>
      </c>
      <c r="AB1303" t="s">
        <v>3418</v>
      </c>
    </row>
    <row r="1304" spans="1:28" hidden="1">
      <c r="A1304" t="s">
        <v>3479</v>
      </c>
      <c r="B1304" s="17">
        <v>43492</v>
      </c>
      <c r="C1304" s="17">
        <v>43492</v>
      </c>
      <c r="D1304" t="s">
        <v>0</v>
      </c>
      <c r="E1304" t="s">
        <v>1</v>
      </c>
      <c r="F1304" s="18">
        <v>-91363</v>
      </c>
      <c r="G1304" s="18">
        <v>-91363</v>
      </c>
      <c r="H1304" t="s">
        <v>2</v>
      </c>
      <c r="I1304" t="s">
        <v>10</v>
      </c>
      <c r="J1304" s="18">
        <v>-7578560.8600000003</v>
      </c>
      <c r="K1304" t="s">
        <v>3480</v>
      </c>
      <c r="L1304" t="s">
        <v>9</v>
      </c>
      <c r="M1304" t="s">
        <v>3481</v>
      </c>
      <c r="N1304" t="s">
        <v>3</v>
      </c>
      <c r="O1304" t="s">
        <v>3</v>
      </c>
      <c r="P1304" t="s">
        <v>5</v>
      </c>
      <c r="Q1304" t="s">
        <v>3482</v>
      </c>
      <c r="R1304" t="s">
        <v>3</v>
      </c>
      <c r="S1304" t="s">
        <v>3</v>
      </c>
      <c r="T1304" t="s">
        <v>3</v>
      </c>
      <c r="U1304" t="s">
        <v>3</v>
      </c>
      <c r="V1304" t="s">
        <v>3</v>
      </c>
      <c r="W1304" t="s">
        <v>68</v>
      </c>
      <c r="X1304" s="17">
        <v>43646</v>
      </c>
      <c r="Y1304" t="s">
        <v>2483</v>
      </c>
      <c r="Z1304" s="17">
        <v>43492</v>
      </c>
      <c r="AA1304" t="s">
        <v>3</v>
      </c>
      <c r="AB1304" t="s">
        <v>3479</v>
      </c>
    </row>
    <row r="1305" spans="1:28" hidden="1">
      <c r="A1305" t="s">
        <v>3484</v>
      </c>
      <c r="B1305" s="17">
        <v>43492</v>
      </c>
      <c r="C1305" s="17">
        <v>43492</v>
      </c>
      <c r="D1305" t="s">
        <v>0</v>
      </c>
      <c r="E1305" t="s">
        <v>1</v>
      </c>
      <c r="F1305" s="18">
        <v>3661</v>
      </c>
      <c r="G1305" s="18">
        <v>3661</v>
      </c>
      <c r="H1305" t="s">
        <v>2</v>
      </c>
      <c r="I1305" t="s">
        <v>10</v>
      </c>
      <c r="J1305" s="18">
        <v>303679.95</v>
      </c>
      <c r="K1305" t="s">
        <v>3485</v>
      </c>
      <c r="L1305" t="s">
        <v>9</v>
      </c>
      <c r="M1305" t="s">
        <v>3486</v>
      </c>
      <c r="N1305" t="s">
        <v>3</v>
      </c>
      <c r="O1305" t="s">
        <v>3</v>
      </c>
      <c r="P1305" t="s">
        <v>5</v>
      </c>
      <c r="Q1305" t="s">
        <v>3487</v>
      </c>
      <c r="R1305" t="s">
        <v>3</v>
      </c>
      <c r="S1305" t="s">
        <v>3</v>
      </c>
      <c r="T1305" t="s">
        <v>3</v>
      </c>
      <c r="U1305" t="s">
        <v>3</v>
      </c>
      <c r="V1305" t="s">
        <v>3</v>
      </c>
      <c r="W1305" t="s">
        <v>68</v>
      </c>
      <c r="X1305" s="17">
        <v>43519</v>
      </c>
      <c r="Y1305" t="s">
        <v>2351</v>
      </c>
      <c r="Z1305" s="17">
        <v>43492</v>
      </c>
      <c r="AA1305" t="s">
        <v>3</v>
      </c>
      <c r="AB1305" t="s">
        <v>3484</v>
      </c>
    </row>
    <row r="1306" spans="1:28" hidden="1">
      <c r="A1306" t="s">
        <v>3484</v>
      </c>
      <c r="B1306" s="17">
        <v>43492</v>
      </c>
      <c r="C1306" s="17">
        <v>43492</v>
      </c>
      <c r="D1306" t="s">
        <v>0</v>
      </c>
      <c r="E1306" t="s">
        <v>1</v>
      </c>
      <c r="F1306" s="18">
        <v>11178.02</v>
      </c>
      <c r="G1306" s="18">
        <v>11178.02</v>
      </c>
      <c r="H1306" t="s">
        <v>2</v>
      </c>
      <c r="I1306" t="s">
        <v>10</v>
      </c>
      <c r="J1306" s="18">
        <v>927216.76</v>
      </c>
      <c r="K1306" t="s">
        <v>3472</v>
      </c>
      <c r="L1306" t="s">
        <v>9</v>
      </c>
      <c r="M1306" t="s">
        <v>3486</v>
      </c>
      <c r="N1306" t="s">
        <v>3</v>
      </c>
      <c r="O1306" t="s">
        <v>3</v>
      </c>
      <c r="P1306" t="s">
        <v>5</v>
      </c>
      <c r="Q1306" t="s">
        <v>3487</v>
      </c>
      <c r="R1306" t="s">
        <v>3</v>
      </c>
      <c r="S1306" t="s">
        <v>3</v>
      </c>
      <c r="T1306" t="s">
        <v>3</v>
      </c>
      <c r="U1306" t="s">
        <v>3</v>
      </c>
      <c r="V1306" t="s">
        <v>3</v>
      </c>
      <c r="W1306" t="s">
        <v>68</v>
      </c>
      <c r="X1306" s="17">
        <v>43677</v>
      </c>
      <c r="Y1306" t="s">
        <v>3443</v>
      </c>
      <c r="Z1306" s="17">
        <v>43492</v>
      </c>
      <c r="AA1306" t="s">
        <v>3</v>
      </c>
      <c r="AB1306" t="s">
        <v>3484</v>
      </c>
    </row>
    <row r="1307" spans="1:28" hidden="1">
      <c r="A1307" t="s">
        <v>3484</v>
      </c>
      <c r="B1307" s="17">
        <v>43492</v>
      </c>
      <c r="C1307" s="17">
        <v>43492</v>
      </c>
      <c r="D1307" t="s">
        <v>0</v>
      </c>
      <c r="E1307" t="s">
        <v>1</v>
      </c>
      <c r="F1307" s="18">
        <v>14123</v>
      </c>
      <c r="G1307" s="18">
        <v>14123</v>
      </c>
      <c r="H1307" t="s">
        <v>2</v>
      </c>
      <c r="I1307" t="s">
        <v>10</v>
      </c>
      <c r="J1307" s="18">
        <v>1171502.8500000001</v>
      </c>
      <c r="K1307" t="s">
        <v>3476</v>
      </c>
      <c r="L1307" t="s">
        <v>9</v>
      </c>
      <c r="M1307" t="s">
        <v>3486</v>
      </c>
      <c r="N1307" t="s">
        <v>3</v>
      </c>
      <c r="O1307" t="s">
        <v>3</v>
      </c>
      <c r="P1307" t="s">
        <v>5</v>
      </c>
      <c r="Q1307" t="s">
        <v>3487</v>
      </c>
      <c r="R1307" t="s">
        <v>3</v>
      </c>
      <c r="S1307" t="s">
        <v>3</v>
      </c>
      <c r="T1307" t="s">
        <v>3</v>
      </c>
      <c r="U1307" t="s">
        <v>3</v>
      </c>
      <c r="V1307" t="s">
        <v>3</v>
      </c>
      <c r="W1307" t="s">
        <v>68</v>
      </c>
      <c r="X1307" s="17">
        <v>43522</v>
      </c>
      <c r="Y1307" t="s">
        <v>2405</v>
      </c>
      <c r="Z1307" s="17">
        <v>43492</v>
      </c>
      <c r="AA1307" t="s">
        <v>3</v>
      </c>
      <c r="AB1307" t="s">
        <v>3484</v>
      </c>
    </row>
    <row r="1308" spans="1:28" hidden="1">
      <c r="A1308" t="s">
        <v>3496</v>
      </c>
      <c r="B1308" s="17">
        <v>43492</v>
      </c>
      <c r="C1308" s="17">
        <v>43492</v>
      </c>
      <c r="D1308" t="s">
        <v>0</v>
      </c>
      <c r="E1308" t="s">
        <v>1</v>
      </c>
      <c r="F1308" s="18">
        <v>4806</v>
      </c>
      <c r="G1308" s="18">
        <v>4806</v>
      </c>
      <c r="H1308" t="s">
        <v>2</v>
      </c>
      <c r="I1308" t="s">
        <v>10</v>
      </c>
      <c r="J1308" s="18">
        <v>398657.7</v>
      </c>
      <c r="K1308" t="s">
        <v>3472</v>
      </c>
      <c r="L1308" t="s">
        <v>9</v>
      </c>
      <c r="M1308" t="s">
        <v>3497</v>
      </c>
      <c r="N1308" t="s">
        <v>3</v>
      </c>
      <c r="O1308" t="s">
        <v>3</v>
      </c>
      <c r="P1308" t="s">
        <v>5</v>
      </c>
      <c r="Q1308" t="s">
        <v>3498</v>
      </c>
      <c r="R1308" t="s">
        <v>3</v>
      </c>
      <c r="S1308" t="s">
        <v>3</v>
      </c>
      <c r="T1308" t="s">
        <v>3</v>
      </c>
      <c r="U1308" t="s">
        <v>3</v>
      </c>
      <c r="V1308" t="s">
        <v>3</v>
      </c>
      <c r="W1308" t="s">
        <v>68</v>
      </c>
      <c r="X1308" s="17">
        <v>43519</v>
      </c>
      <c r="Y1308" t="s">
        <v>2351</v>
      </c>
      <c r="Z1308" s="17">
        <v>43492</v>
      </c>
      <c r="AA1308" t="s">
        <v>3</v>
      </c>
      <c r="AB1308" t="s">
        <v>3496</v>
      </c>
    </row>
    <row r="1309" spans="1:28" hidden="1">
      <c r="A1309" t="s">
        <v>3506</v>
      </c>
      <c r="B1309" s="17">
        <v>43492</v>
      </c>
      <c r="C1309" s="17">
        <v>43492</v>
      </c>
      <c r="D1309" t="s">
        <v>0</v>
      </c>
      <c r="E1309" t="s">
        <v>1</v>
      </c>
      <c r="F1309" s="18">
        <v>5065</v>
      </c>
      <c r="G1309" s="18">
        <v>5065</v>
      </c>
      <c r="H1309" t="s">
        <v>2</v>
      </c>
      <c r="I1309" t="s">
        <v>8</v>
      </c>
      <c r="J1309" s="18">
        <v>420141.75</v>
      </c>
      <c r="K1309" t="s">
        <v>3360</v>
      </c>
      <c r="L1309" t="s">
        <v>9</v>
      </c>
      <c r="M1309" t="s">
        <v>3507</v>
      </c>
      <c r="N1309" t="s">
        <v>3</v>
      </c>
      <c r="O1309" t="s">
        <v>3</v>
      </c>
      <c r="P1309" t="s">
        <v>5</v>
      </c>
      <c r="Q1309" t="s">
        <v>3508</v>
      </c>
      <c r="R1309" t="s">
        <v>3</v>
      </c>
      <c r="S1309" t="s">
        <v>3</v>
      </c>
      <c r="T1309" t="s">
        <v>3</v>
      </c>
      <c r="U1309" t="s">
        <v>3</v>
      </c>
      <c r="V1309" t="s">
        <v>3</v>
      </c>
      <c r="W1309" t="s">
        <v>68</v>
      </c>
      <c r="X1309" s="17">
        <v>43646</v>
      </c>
      <c r="Y1309" t="s">
        <v>2475</v>
      </c>
      <c r="Z1309" s="17">
        <v>43492</v>
      </c>
      <c r="AA1309" t="s">
        <v>3</v>
      </c>
      <c r="AB1309" t="s">
        <v>3506</v>
      </c>
    </row>
    <row r="1310" spans="1:28" hidden="1">
      <c r="A1310" t="s">
        <v>3509</v>
      </c>
      <c r="B1310" s="17">
        <v>43492</v>
      </c>
      <c r="C1310" s="17">
        <v>43492</v>
      </c>
      <c r="D1310" t="s">
        <v>0</v>
      </c>
      <c r="E1310" t="s">
        <v>1</v>
      </c>
      <c r="F1310" s="18">
        <v>9102</v>
      </c>
      <c r="G1310" s="18">
        <v>9102</v>
      </c>
      <c r="H1310" t="s">
        <v>2</v>
      </c>
      <c r="I1310" t="s">
        <v>8</v>
      </c>
      <c r="J1310" s="18">
        <v>755010.9</v>
      </c>
      <c r="K1310" t="s">
        <v>3412</v>
      </c>
      <c r="L1310" t="s">
        <v>9</v>
      </c>
      <c r="M1310" t="s">
        <v>3510</v>
      </c>
      <c r="N1310" t="s">
        <v>3</v>
      </c>
      <c r="O1310" t="s">
        <v>3</v>
      </c>
      <c r="P1310" t="s">
        <v>5</v>
      </c>
      <c r="Q1310" t="s">
        <v>3511</v>
      </c>
      <c r="R1310" t="s">
        <v>3</v>
      </c>
      <c r="S1310" t="s">
        <v>3</v>
      </c>
      <c r="T1310" t="s">
        <v>3</v>
      </c>
      <c r="U1310" t="s">
        <v>3</v>
      </c>
      <c r="V1310" t="s">
        <v>3</v>
      </c>
      <c r="W1310" t="s">
        <v>68</v>
      </c>
      <c r="X1310" s="17">
        <v>43587</v>
      </c>
      <c r="Y1310" t="s">
        <v>2466</v>
      </c>
      <c r="Z1310" s="17">
        <v>43492</v>
      </c>
      <c r="AA1310" t="s">
        <v>3</v>
      </c>
      <c r="AB1310" t="s">
        <v>3509</v>
      </c>
    </row>
    <row r="1311" spans="1:28" hidden="1">
      <c r="A1311" t="s">
        <v>3488</v>
      </c>
      <c r="B1311" s="17">
        <v>43493</v>
      </c>
      <c r="C1311" s="17">
        <v>43493</v>
      </c>
      <c r="D1311" t="s">
        <v>0</v>
      </c>
      <c r="E1311" t="s">
        <v>1</v>
      </c>
      <c r="F1311" s="18">
        <v>23598</v>
      </c>
      <c r="G1311" s="18">
        <v>23598</v>
      </c>
      <c r="H1311" t="s">
        <v>2</v>
      </c>
      <c r="I1311" t="s">
        <v>10</v>
      </c>
      <c r="J1311" s="18">
        <v>1957454.1</v>
      </c>
      <c r="K1311" t="s">
        <v>3489</v>
      </c>
      <c r="L1311" t="s">
        <v>9</v>
      </c>
      <c r="M1311" t="s">
        <v>3490</v>
      </c>
      <c r="N1311" t="s">
        <v>3</v>
      </c>
      <c r="O1311" t="s">
        <v>3</v>
      </c>
      <c r="P1311" t="s">
        <v>5</v>
      </c>
      <c r="Q1311" t="s">
        <v>3491</v>
      </c>
      <c r="R1311" t="s">
        <v>3</v>
      </c>
      <c r="S1311" t="s">
        <v>3</v>
      </c>
      <c r="T1311" t="s">
        <v>3</v>
      </c>
      <c r="U1311" t="s">
        <v>3</v>
      </c>
      <c r="V1311" t="s">
        <v>3</v>
      </c>
      <c r="W1311" t="s">
        <v>68</v>
      </c>
      <c r="X1311" s="17">
        <v>43646</v>
      </c>
      <c r="Y1311" t="s">
        <v>2485</v>
      </c>
      <c r="Z1311" s="17">
        <v>43493</v>
      </c>
      <c r="AA1311" t="s">
        <v>3</v>
      </c>
      <c r="AB1311" t="s">
        <v>3488</v>
      </c>
    </row>
    <row r="1312" spans="1:28" hidden="1">
      <c r="A1312" t="s">
        <v>3513</v>
      </c>
      <c r="B1312" s="17">
        <v>43493</v>
      </c>
      <c r="C1312" s="17">
        <v>43493</v>
      </c>
      <c r="D1312" t="s">
        <v>0</v>
      </c>
      <c r="E1312" t="s">
        <v>1</v>
      </c>
      <c r="F1312" s="18">
        <v>67572.62</v>
      </c>
      <c r="G1312" s="18">
        <v>67572.62</v>
      </c>
      <c r="H1312" t="s">
        <v>2</v>
      </c>
      <c r="I1312" t="s">
        <v>8</v>
      </c>
      <c r="J1312" s="18">
        <v>5605148.8300000001</v>
      </c>
      <c r="K1312" t="s">
        <v>3514</v>
      </c>
      <c r="L1312" t="s">
        <v>4</v>
      </c>
      <c r="M1312" t="s">
        <v>3515</v>
      </c>
      <c r="N1312" t="s">
        <v>3</v>
      </c>
      <c r="O1312" t="s">
        <v>3</v>
      </c>
      <c r="P1312" t="s">
        <v>5</v>
      </c>
      <c r="Q1312" t="s">
        <v>3516</v>
      </c>
      <c r="R1312" t="s">
        <v>3</v>
      </c>
      <c r="S1312" t="s">
        <v>3</v>
      </c>
      <c r="T1312" t="s">
        <v>3</v>
      </c>
      <c r="U1312" t="s">
        <v>3</v>
      </c>
      <c r="V1312" t="s">
        <v>3</v>
      </c>
      <c r="W1312" t="s">
        <v>68</v>
      </c>
      <c r="X1312" s="17"/>
      <c r="Y1312" t="s">
        <v>3</v>
      </c>
      <c r="Z1312" s="17">
        <v>43493</v>
      </c>
      <c r="AA1312" t="s">
        <v>3</v>
      </c>
      <c r="AB1312" t="s">
        <v>3513</v>
      </c>
    </row>
    <row r="1313" spans="1:28" hidden="1">
      <c r="A1313" t="s">
        <v>3517</v>
      </c>
      <c r="B1313" s="17">
        <v>43493</v>
      </c>
      <c r="C1313" s="17">
        <v>43493</v>
      </c>
      <c r="D1313" t="s">
        <v>0</v>
      </c>
      <c r="E1313" t="s">
        <v>1</v>
      </c>
      <c r="F1313" s="18">
        <v>47119</v>
      </c>
      <c r="G1313" s="18">
        <v>47119</v>
      </c>
      <c r="H1313" t="s">
        <v>2</v>
      </c>
      <c r="I1313" t="s">
        <v>8</v>
      </c>
      <c r="J1313" s="18">
        <v>3908521.05</v>
      </c>
      <c r="K1313" t="s">
        <v>3518</v>
      </c>
      <c r="L1313" t="s">
        <v>9</v>
      </c>
      <c r="M1313" t="s">
        <v>3519</v>
      </c>
      <c r="N1313" t="s">
        <v>3</v>
      </c>
      <c r="O1313" t="s">
        <v>3</v>
      </c>
      <c r="P1313" t="s">
        <v>5</v>
      </c>
      <c r="Q1313" t="s">
        <v>3520</v>
      </c>
      <c r="R1313" t="s">
        <v>3</v>
      </c>
      <c r="S1313" t="s">
        <v>3</v>
      </c>
      <c r="T1313" t="s">
        <v>3</v>
      </c>
      <c r="U1313" t="s">
        <v>3</v>
      </c>
      <c r="V1313" t="s">
        <v>3</v>
      </c>
      <c r="W1313" t="s">
        <v>68</v>
      </c>
      <c r="X1313" s="17">
        <v>43677</v>
      </c>
      <c r="Y1313" t="s">
        <v>3326</v>
      </c>
      <c r="Z1313" s="17">
        <v>43493</v>
      </c>
      <c r="AA1313" t="s">
        <v>3</v>
      </c>
      <c r="AB1313" t="s">
        <v>3517</v>
      </c>
    </row>
    <row r="1314" spans="1:28" hidden="1">
      <c r="A1314" t="s">
        <v>3517</v>
      </c>
      <c r="B1314" s="17">
        <v>43493</v>
      </c>
      <c r="C1314" s="17">
        <v>43493</v>
      </c>
      <c r="D1314" t="s">
        <v>0</v>
      </c>
      <c r="E1314" t="s">
        <v>1</v>
      </c>
      <c r="F1314" s="18">
        <v>156975</v>
      </c>
      <c r="G1314" s="18">
        <v>156975</v>
      </c>
      <c r="H1314" t="s">
        <v>2</v>
      </c>
      <c r="I1314" t="s">
        <v>8</v>
      </c>
      <c r="J1314" s="18">
        <v>13021076.26</v>
      </c>
      <c r="K1314" t="s">
        <v>3521</v>
      </c>
      <c r="L1314" t="s">
        <v>9</v>
      </c>
      <c r="M1314" t="s">
        <v>3519</v>
      </c>
      <c r="N1314" t="s">
        <v>3</v>
      </c>
      <c r="O1314" t="s">
        <v>3</v>
      </c>
      <c r="P1314" t="s">
        <v>5</v>
      </c>
      <c r="Q1314" t="s">
        <v>3520</v>
      </c>
      <c r="R1314" t="s">
        <v>3</v>
      </c>
      <c r="S1314" t="s">
        <v>3</v>
      </c>
      <c r="T1314" t="s">
        <v>3</v>
      </c>
      <c r="U1314" t="s">
        <v>3</v>
      </c>
      <c r="V1314" t="s">
        <v>3</v>
      </c>
      <c r="W1314" t="s">
        <v>68</v>
      </c>
      <c r="X1314" s="17">
        <v>43677</v>
      </c>
      <c r="Y1314" t="s">
        <v>3126</v>
      </c>
      <c r="Z1314" s="17">
        <v>43493</v>
      </c>
      <c r="AA1314" t="s">
        <v>3</v>
      </c>
      <c r="AB1314" t="s">
        <v>3517</v>
      </c>
    </row>
    <row r="1315" spans="1:28" hidden="1">
      <c r="A1315" t="s">
        <v>3522</v>
      </c>
      <c r="B1315" s="17">
        <v>43494</v>
      </c>
      <c r="C1315" s="17">
        <v>43494</v>
      </c>
      <c r="D1315" t="s">
        <v>0</v>
      </c>
      <c r="E1315" t="s">
        <v>1</v>
      </c>
      <c r="F1315" s="18">
        <v>72434</v>
      </c>
      <c r="G1315" s="18">
        <v>72434</v>
      </c>
      <c r="H1315" t="s">
        <v>2</v>
      </c>
      <c r="I1315" t="s">
        <v>8</v>
      </c>
      <c r="J1315" s="18">
        <v>6008400.2999999998</v>
      </c>
      <c r="K1315" t="s">
        <v>3523</v>
      </c>
      <c r="L1315" t="s">
        <v>9</v>
      </c>
      <c r="M1315" t="s">
        <v>3524</v>
      </c>
      <c r="N1315" t="s">
        <v>3</v>
      </c>
      <c r="O1315" t="s">
        <v>3</v>
      </c>
      <c r="P1315" t="s">
        <v>5</v>
      </c>
      <c r="Q1315" t="s">
        <v>3525</v>
      </c>
      <c r="R1315" t="s">
        <v>3</v>
      </c>
      <c r="S1315" t="s">
        <v>3</v>
      </c>
      <c r="T1315" t="s">
        <v>3</v>
      </c>
      <c r="U1315" t="s">
        <v>3</v>
      </c>
      <c r="V1315" t="s">
        <v>3</v>
      </c>
      <c r="W1315" t="s">
        <v>68</v>
      </c>
      <c r="X1315" s="17">
        <v>43677</v>
      </c>
      <c r="Y1315" t="s">
        <v>3399</v>
      </c>
      <c r="Z1315" s="17">
        <v>43494</v>
      </c>
      <c r="AA1315" t="s">
        <v>3</v>
      </c>
      <c r="AB1315" t="s">
        <v>3522</v>
      </c>
    </row>
    <row r="1316" spans="1:28" hidden="1">
      <c r="A1316" t="s">
        <v>3522</v>
      </c>
      <c r="B1316" s="17">
        <v>43494</v>
      </c>
      <c r="C1316" s="17">
        <v>43494</v>
      </c>
      <c r="D1316" t="s">
        <v>0</v>
      </c>
      <c r="E1316" t="s">
        <v>1</v>
      </c>
      <c r="F1316" s="18">
        <v>7087</v>
      </c>
      <c r="G1316" s="18">
        <v>7087</v>
      </c>
      <c r="H1316" t="s">
        <v>2</v>
      </c>
      <c r="I1316" t="s">
        <v>8</v>
      </c>
      <c r="J1316" s="18">
        <v>587866.65</v>
      </c>
      <c r="K1316" t="s">
        <v>3412</v>
      </c>
      <c r="L1316" t="s">
        <v>9</v>
      </c>
      <c r="M1316" t="s">
        <v>3524</v>
      </c>
      <c r="N1316" t="s">
        <v>3</v>
      </c>
      <c r="O1316" t="s">
        <v>3</v>
      </c>
      <c r="P1316" t="s">
        <v>5</v>
      </c>
      <c r="Q1316" t="s">
        <v>3525</v>
      </c>
      <c r="R1316" t="s">
        <v>3</v>
      </c>
      <c r="S1316" t="s">
        <v>3</v>
      </c>
      <c r="T1316" t="s">
        <v>3</v>
      </c>
      <c r="U1316" t="s">
        <v>3</v>
      </c>
      <c r="V1316" t="s">
        <v>3</v>
      </c>
      <c r="W1316" t="s">
        <v>68</v>
      </c>
      <c r="X1316" s="17">
        <v>43587</v>
      </c>
      <c r="Y1316" t="s">
        <v>2466</v>
      </c>
      <c r="Z1316" s="17">
        <v>43494</v>
      </c>
      <c r="AA1316" t="s">
        <v>3</v>
      </c>
      <c r="AB1316" t="s">
        <v>3522</v>
      </c>
    </row>
    <row r="1317" spans="1:28" hidden="1">
      <c r="A1317" t="s">
        <v>3536</v>
      </c>
      <c r="B1317" s="17">
        <v>43494</v>
      </c>
      <c r="C1317" s="17">
        <v>43494</v>
      </c>
      <c r="D1317" t="s">
        <v>0</v>
      </c>
      <c r="E1317" t="s">
        <v>1</v>
      </c>
      <c r="F1317" s="18">
        <v>1364</v>
      </c>
      <c r="G1317" s="18">
        <v>1364</v>
      </c>
      <c r="H1317" t="s">
        <v>2</v>
      </c>
      <c r="I1317" t="s">
        <v>10</v>
      </c>
      <c r="J1317" s="18">
        <v>113143.8</v>
      </c>
      <c r="K1317" t="s">
        <v>3485</v>
      </c>
      <c r="L1317" t="s">
        <v>9</v>
      </c>
      <c r="M1317" t="s">
        <v>3537</v>
      </c>
      <c r="N1317" t="s">
        <v>3</v>
      </c>
      <c r="O1317" t="s">
        <v>3</v>
      </c>
      <c r="P1317" t="s">
        <v>5</v>
      </c>
      <c r="Q1317" t="s">
        <v>3538</v>
      </c>
      <c r="R1317" t="s">
        <v>3</v>
      </c>
      <c r="S1317" t="s">
        <v>3</v>
      </c>
      <c r="T1317" t="s">
        <v>3</v>
      </c>
      <c r="U1317" t="s">
        <v>3</v>
      </c>
      <c r="V1317" t="s">
        <v>3</v>
      </c>
      <c r="W1317" t="s">
        <v>68</v>
      </c>
      <c r="X1317" s="17">
        <v>43519</v>
      </c>
      <c r="Y1317" t="s">
        <v>2351</v>
      </c>
      <c r="Z1317" s="17">
        <v>43494</v>
      </c>
      <c r="AA1317" t="s">
        <v>3</v>
      </c>
      <c r="AB1317" t="s">
        <v>3536</v>
      </c>
    </row>
    <row r="1318" spans="1:28" hidden="1">
      <c r="A1318" t="s">
        <v>3536</v>
      </c>
      <c r="B1318" s="17">
        <v>43494</v>
      </c>
      <c r="C1318" s="17">
        <v>43494</v>
      </c>
      <c r="D1318" t="s">
        <v>0</v>
      </c>
      <c r="E1318" t="s">
        <v>1</v>
      </c>
      <c r="F1318" s="18">
        <v>550</v>
      </c>
      <c r="G1318" s="18">
        <v>550</v>
      </c>
      <c r="H1318" t="s">
        <v>2</v>
      </c>
      <c r="I1318" t="s">
        <v>10</v>
      </c>
      <c r="J1318" s="18">
        <v>45622.5</v>
      </c>
      <c r="K1318" t="s">
        <v>3472</v>
      </c>
      <c r="L1318" t="s">
        <v>9</v>
      </c>
      <c r="M1318" t="s">
        <v>3537</v>
      </c>
      <c r="N1318" t="s">
        <v>3</v>
      </c>
      <c r="O1318" t="s">
        <v>3</v>
      </c>
      <c r="P1318" t="s">
        <v>5</v>
      </c>
      <c r="Q1318" t="s">
        <v>3538</v>
      </c>
      <c r="R1318" t="s">
        <v>3</v>
      </c>
      <c r="S1318" t="s">
        <v>3</v>
      </c>
      <c r="T1318" t="s">
        <v>3</v>
      </c>
      <c r="U1318" t="s">
        <v>3</v>
      </c>
      <c r="V1318" t="s">
        <v>3</v>
      </c>
      <c r="W1318" t="s">
        <v>68</v>
      </c>
      <c r="X1318" s="17">
        <v>43677</v>
      </c>
      <c r="Y1318" t="s">
        <v>3443</v>
      </c>
      <c r="Z1318" s="17">
        <v>43494</v>
      </c>
      <c r="AA1318" t="s">
        <v>3</v>
      </c>
      <c r="AB1318" t="s">
        <v>3536</v>
      </c>
    </row>
    <row r="1319" spans="1:28" hidden="1">
      <c r="A1319" t="s">
        <v>3526</v>
      </c>
      <c r="B1319" s="17">
        <v>43495</v>
      </c>
      <c r="C1319" s="17">
        <v>43495</v>
      </c>
      <c r="D1319" t="s">
        <v>0</v>
      </c>
      <c r="E1319" t="s">
        <v>1</v>
      </c>
      <c r="F1319" s="18">
        <v>5723</v>
      </c>
      <c r="G1319" s="18">
        <v>5723</v>
      </c>
      <c r="H1319" t="s">
        <v>2</v>
      </c>
      <c r="I1319" t="s">
        <v>8</v>
      </c>
      <c r="J1319" s="18">
        <v>474722.85</v>
      </c>
      <c r="K1319" t="s">
        <v>3523</v>
      </c>
      <c r="L1319" t="s">
        <v>9</v>
      </c>
      <c r="M1319" t="s">
        <v>3527</v>
      </c>
      <c r="N1319" t="s">
        <v>3</v>
      </c>
      <c r="O1319" t="s">
        <v>3</v>
      </c>
      <c r="P1319" t="s">
        <v>5</v>
      </c>
      <c r="Q1319" t="s">
        <v>3528</v>
      </c>
      <c r="R1319" t="s">
        <v>3</v>
      </c>
      <c r="S1319" t="s">
        <v>3</v>
      </c>
      <c r="T1319" t="s">
        <v>3</v>
      </c>
      <c r="U1319" t="s">
        <v>3</v>
      </c>
      <c r="V1319" t="s">
        <v>3</v>
      </c>
      <c r="W1319" t="s">
        <v>68</v>
      </c>
      <c r="X1319" s="17">
        <v>43677</v>
      </c>
      <c r="Y1319" t="s">
        <v>3399</v>
      </c>
      <c r="Z1319" s="17">
        <v>43495</v>
      </c>
      <c r="AA1319" t="s">
        <v>3</v>
      </c>
      <c r="AB1319" t="s">
        <v>3526</v>
      </c>
    </row>
    <row r="1320" spans="1:28" hidden="1">
      <c r="A1320" t="s">
        <v>3526</v>
      </c>
      <c r="B1320" s="17">
        <v>43495</v>
      </c>
      <c r="C1320" s="17">
        <v>43495</v>
      </c>
      <c r="D1320" t="s">
        <v>0</v>
      </c>
      <c r="E1320" t="s">
        <v>1</v>
      </c>
      <c r="F1320" s="18">
        <v>51435</v>
      </c>
      <c r="G1320" s="18">
        <v>51435</v>
      </c>
      <c r="H1320" t="s">
        <v>2</v>
      </c>
      <c r="I1320" t="s">
        <v>8</v>
      </c>
      <c r="J1320" s="18">
        <v>4258818</v>
      </c>
      <c r="K1320" t="s">
        <v>3529</v>
      </c>
      <c r="L1320" t="s">
        <v>9</v>
      </c>
      <c r="M1320" t="s">
        <v>3527</v>
      </c>
      <c r="N1320" t="s">
        <v>3</v>
      </c>
      <c r="O1320" t="s">
        <v>3</v>
      </c>
      <c r="P1320" t="s">
        <v>5</v>
      </c>
      <c r="Q1320" t="s">
        <v>3528</v>
      </c>
      <c r="R1320" t="s">
        <v>3</v>
      </c>
      <c r="S1320" t="s">
        <v>3</v>
      </c>
      <c r="T1320" t="s">
        <v>3</v>
      </c>
      <c r="U1320" t="s">
        <v>3</v>
      </c>
      <c r="V1320" t="s">
        <v>3</v>
      </c>
      <c r="W1320" t="s">
        <v>68</v>
      </c>
      <c r="X1320" s="17">
        <v>43677</v>
      </c>
      <c r="Y1320" t="s">
        <v>2964</v>
      </c>
      <c r="Z1320" s="17">
        <v>43495</v>
      </c>
      <c r="AA1320" t="s">
        <v>3</v>
      </c>
      <c r="AB1320" t="s">
        <v>3526</v>
      </c>
    </row>
    <row r="1321" spans="1:28" hidden="1">
      <c r="A1321" t="s">
        <v>3530</v>
      </c>
      <c r="B1321" s="17">
        <v>43495</v>
      </c>
      <c r="C1321" s="17">
        <v>43495</v>
      </c>
      <c r="D1321" t="s">
        <v>0</v>
      </c>
      <c r="E1321" t="s">
        <v>1</v>
      </c>
      <c r="F1321" s="18">
        <v>40380</v>
      </c>
      <c r="G1321" s="18">
        <v>40380</v>
      </c>
      <c r="H1321" t="s">
        <v>2</v>
      </c>
      <c r="I1321" t="s">
        <v>8</v>
      </c>
      <c r="J1321" s="18">
        <v>3349521</v>
      </c>
      <c r="K1321" t="s">
        <v>3523</v>
      </c>
      <c r="L1321" t="s">
        <v>9</v>
      </c>
      <c r="M1321" t="s">
        <v>3531</v>
      </c>
      <c r="N1321" t="s">
        <v>3</v>
      </c>
      <c r="O1321" t="s">
        <v>3</v>
      </c>
      <c r="P1321" t="s">
        <v>5</v>
      </c>
      <c r="Q1321" t="s">
        <v>3532</v>
      </c>
      <c r="R1321" t="s">
        <v>3</v>
      </c>
      <c r="S1321" t="s">
        <v>3</v>
      </c>
      <c r="T1321" t="s">
        <v>3</v>
      </c>
      <c r="U1321" t="s">
        <v>3</v>
      </c>
      <c r="V1321" t="s">
        <v>3</v>
      </c>
      <c r="W1321" t="s">
        <v>68</v>
      </c>
      <c r="X1321" s="17">
        <v>43677</v>
      </c>
      <c r="Y1321" t="s">
        <v>3399</v>
      </c>
      <c r="Z1321" s="17">
        <v>43495</v>
      </c>
      <c r="AA1321" t="s">
        <v>3</v>
      </c>
      <c r="AB1321" t="s">
        <v>3530</v>
      </c>
    </row>
    <row r="1322" spans="1:28" hidden="1">
      <c r="A1322" t="s">
        <v>3539</v>
      </c>
      <c r="B1322" s="17">
        <v>43495</v>
      </c>
      <c r="C1322" s="17">
        <v>43495</v>
      </c>
      <c r="D1322" t="s">
        <v>0</v>
      </c>
      <c r="E1322" t="s">
        <v>1</v>
      </c>
      <c r="F1322" s="18">
        <v>455</v>
      </c>
      <c r="G1322" s="18">
        <v>455</v>
      </c>
      <c r="H1322" t="s">
        <v>2</v>
      </c>
      <c r="I1322" t="s">
        <v>10</v>
      </c>
      <c r="J1322" s="18">
        <v>37742.25</v>
      </c>
      <c r="K1322" t="s">
        <v>3485</v>
      </c>
      <c r="L1322" t="s">
        <v>9</v>
      </c>
      <c r="M1322" t="s">
        <v>3540</v>
      </c>
      <c r="N1322" t="s">
        <v>3</v>
      </c>
      <c r="O1322" t="s">
        <v>3</v>
      </c>
      <c r="P1322" t="s">
        <v>5</v>
      </c>
      <c r="Q1322" t="s">
        <v>3541</v>
      </c>
      <c r="R1322" t="s">
        <v>3</v>
      </c>
      <c r="S1322" t="s">
        <v>3</v>
      </c>
      <c r="T1322" t="s">
        <v>3</v>
      </c>
      <c r="U1322" t="s">
        <v>3</v>
      </c>
      <c r="V1322" t="s">
        <v>3</v>
      </c>
      <c r="W1322" t="s">
        <v>68</v>
      </c>
      <c r="X1322" s="17">
        <v>43519</v>
      </c>
      <c r="Y1322" t="s">
        <v>2351</v>
      </c>
      <c r="Z1322" s="17">
        <v>43495</v>
      </c>
      <c r="AA1322" t="s">
        <v>3</v>
      </c>
      <c r="AB1322" t="s">
        <v>3539</v>
      </c>
    </row>
    <row r="1323" spans="1:28" hidden="1">
      <c r="A1323" t="s">
        <v>3542</v>
      </c>
      <c r="B1323" s="17">
        <v>43495</v>
      </c>
      <c r="C1323" s="17">
        <v>43495</v>
      </c>
      <c r="D1323" t="s">
        <v>0</v>
      </c>
      <c r="E1323" t="s">
        <v>1</v>
      </c>
      <c r="F1323" s="18">
        <v>18595</v>
      </c>
      <c r="G1323" s="18">
        <v>18595</v>
      </c>
      <c r="H1323" t="s">
        <v>2</v>
      </c>
      <c r="I1323" t="s">
        <v>10</v>
      </c>
      <c r="J1323" s="18">
        <v>1542455.25</v>
      </c>
      <c r="K1323" t="s">
        <v>3543</v>
      </c>
      <c r="L1323" t="s">
        <v>9</v>
      </c>
      <c r="M1323" t="s">
        <v>3527</v>
      </c>
      <c r="N1323" t="s">
        <v>3</v>
      </c>
      <c r="O1323" t="s">
        <v>3</v>
      </c>
      <c r="P1323" t="s">
        <v>5</v>
      </c>
      <c r="Q1323" t="s">
        <v>3544</v>
      </c>
      <c r="R1323" t="s">
        <v>3</v>
      </c>
      <c r="S1323" t="s">
        <v>3</v>
      </c>
      <c r="T1323" t="s">
        <v>3</v>
      </c>
      <c r="U1323" t="s">
        <v>3</v>
      </c>
      <c r="V1323" t="s">
        <v>3</v>
      </c>
      <c r="W1323" t="s">
        <v>68</v>
      </c>
      <c r="X1323" s="17">
        <v>43646</v>
      </c>
      <c r="Y1323" t="s">
        <v>2483</v>
      </c>
      <c r="Z1323" s="17">
        <v>43495</v>
      </c>
      <c r="AA1323" t="s">
        <v>3</v>
      </c>
      <c r="AB1323" t="s">
        <v>3542</v>
      </c>
    </row>
    <row r="1324" spans="1:28" hidden="1">
      <c r="A1324" t="s">
        <v>2273</v>
      </c>
      <c r="B1324" s="17">
        <v>43496</v>
      </c>
      <c r="C1324" s="17">
        <v>43496</v>
      </c>
      <c r="D1324" t="s">
        <v>38</v>
      </c>
      <c r="E1324" t="s">
        <v>1</v>
      </c>
      <c r="F1324" s="18">
        <v>-1039492</v>
      </c>
      <c r="G1324" s="18">
        <v>-1039492</v>
      </c>
      <c r="H1324" t="s">
        <v>2</v>
      </c>
      <c r="I1324" t="s">
        <v>8</v>
      </c>
      <c r="J1324" s="18">
        <v>-86225861.400000006</v>
      </c>
      <c r="K1324" t="s">
        <v>2274</v>
      </c>
      <c r="L1324" t="s">
        <v>9</v>
      </c>
      <c r="M1324" t="s">
        <v>2275</v>
      </c>
      <c r="N1324" t="s">
        <v>3</v>
      </c>
      <c r="O1324" t="s">
        <v>3</v>
      </c>
      <c r="P1324" t="s">
        <v>5</v>
      </c>
      <c r="Q1324" t="s">
        <v>2276</v>
      </c>
      <c r="R1324" t="s">
        <v>3</v>
      </c>
      <c r="S1324" t="s">
        <v>3</v>
      </c>
      <c r="T1324" t="s">
        <v>3</v>
      </c>
      <c r="U1324" t="s">
        <v>3</v>
      </c>
      <c r="V1324" t="s">
        <v>3</v>
      </c>
      <c r="W1324" t="s">
        <v>68</v>
      </c>
      <c r="X1324" s="17">
        <v>43496</v>
      </c>
      <c r="Y1324" t="s">
        <v>2273</v>
      </c>
      <c r="Z1324" s="17">
        <v>43496</v>
      </c>
      <c r="AA1324" t="s">
        <v>3</v>
      </c>
      <c r="AB1324" t="s">
        <v>2273</v>
      </c>
    </row>
    <row r="1325" spans="1:28" hidden="1">
      <c r="A1325" t="s">
        <v>2273</v>
      </c>
      <c r="B1325" s="17">
        <v>43496</v>
      </c>
      <c r="C1325" s="17">
        <v>43496</v>
      </c>
      <c r="D1325" t="s">
        <v>38</v>
      </c>
      <c r="E1325" t="s">
        <v>1</v>
      </c>
      <c r="F1325" s="18">
        <v>306747</v>
      </c>
      <c r="G1325" s="18">
        <v>306747</v>
      </c>
      <c r="H1325" t="s">
        <v>2</v>
      </c>
      <c r="I1325" t="s">
        <v>8</v>
      </c>
      <c r="J1325" s="18">
        <v>25444663.649999999</v>
      </c>
      <c r="K1325" t="s">
        <v>2274</v>
      </c>
      <c r="L1325" t="s">
        <v>9</v>
      </c>
      <c r="M1325" t="s">
        <v>2275</v>
      </c>
      <c r="N1325" t="s">
        <v>3</v>
      </c>
      <c r="O1325" t="s">
        <v>3</v>
      </c>
      <c r="P1325" t="s">
        <v>5</v>
      </c>
      <c r="Q1325" t="s">
        <v>2276</v>
      </c>
      <c r="R1325" t="s">
        <v>3</v>
      </c>
      <c r="S1325" t="s">
        <v>3</v>
      </c>
      <c r="T1325" t="s">
        <v>3</v>
      </c>
      <c r="U1325" t="s">
        <v>3</v>
      </c>
      <c r="V1325" t="s">
        <v>3</v>
      </c>
      <c r="W1325" t="s">
        <v>68</v>
      </c>
      <c r="X1325" s="17">
        <v>43496</v>
      </c>
      <c r="Y1325" t="s">
        <v>2273</v>
      </c>
      <c r="Z1325" s="17">
        <v>43496</v>
      </c>
      <c r="AA1325" t="s">
        <v>3</v>
      </c>
      <c r="AB1325" t="s">
        <v>2273</v>
      </c>
    </row>
    <row r="1326" spans="1:28" hidden="1">
      <c r="A1326" t="s">
        <v>2277</v>
      </c>
      <c r="B1326" s="17">
        <v>43496</v>
      </c>
      <c r="C1326" s="17">
        <v>43496</v>
      </c>
      <c r="D1326" t="s">
        <v>38</v>
      </c>
      <c r="E1326" t="s">
        <v>1</v>
      </c>
      <c r="F1326" s="18">
        <v>-1039495.7</v>
      </c>
      <c r="G1326" s="18">
        <v>-1039495.7</v>
      </c>
      <c r="H1326" t="s">
        <v>2</v>
      </c>
      <c r="I1326" t="s">
        <v>8</v>
      </c>
      <c r="J1326" s="18">
        <v>-86226168.319999993</v>
      </c>
      <c r="K1326" t="s">
        <v>2274</v>
      </c>
      <c r="L1326" t="s">
        <v>9</v>
      </c>
      <c r="M1326" t="s">
        <v>2275</v>
      </c>
      <c r="N1326" t="s">
        <v>3</v>
      </c>
      <c r="O1326" t="s">
        <v>3</v>
      </c>
      <c r="P1326" t="s">
        <v>5</v>
      </c>
      <c r="Q1326" t="s">
        <v>2276</v>
      </c>
      <c r="R1326" t="s">
        <v>3</v>
      </c>
      <c r="S1326" t="s">
        <v>3</v>
      </c>
      <c r="T1326" t="s">
        <v>3</v>
      </c>
      <c r="U1326" t="s">
        <v>3</v>
      </c>
      <c r="V1326" t="s">
        <v>3</v>
      </c>
      <c r="W1326" t="s">
        <v>68</v>
      </c>
      <c r="X1326" s="17">
        <v>43496</v>
      </c>
      <c r="Y1326" t="s">
        <v>2277</v>
      </c>
      <c r="Z1326" s="17">
        <v>43496</v>
      </c>
      <c r="AA1326" t="s">
        <v>3</v>
      </c>
      <c r="AB1326" t="s">
        <v>2277</v>
      </c>
    </row>
    <row r="1327" spans="1:28" hidden="1">
      <c r="A1327" t="s">
        <v>2277</v>
      </c>
      <c r="B1327" s="17">
        <v>43496</v>
      </c>
      <c r="C1327" s="17">
        <v>43496</v>
      </c>
      <c r="D1327" t="s">
        <v>38</v>
      </c>
      <c r="E1327" t="s">
        <v>1</v>
      </c>
      <c r="F1327" s="18">
        <v>1039495.7</v>
      </c>
      <c r="G1327" s="18">
        <v>1039495.7</v>
      </c>
      <c r="H1327" t="s">
        <v>2</v>
      </c>
      <c r="I1327" t="s">
        <v>8</v>
      </c>
      <c r="J1327" s="18">
        <v>86226168.319999993</v>
      </c>
      <c r="K1327" t="s">
        <v>2274</v>
      </c>
      <c r="L1327" t="s">
        <v>9</v>
      </c>
      <c r="M1327" t="s">
        <v>2275</v>
      </c>
      <c r="N1327" t="s">
        <v>3</v>
      </c>
      <c r="O1327" t="s">
        <v>3</v>
      </c>
      <c r="P1327" t="s">
        <v>5</v>
      </c>
      <c r="Q1327" t="s">
        <v>2276</v>
      </c>
      <c r="R1327" t="s">
        <v>3</v>
      </c>
      <c r="S1327" t="s">
        <v>3</v>
      </c>
      <c r="T1327" t="s">
        <v>3</v>
      </c>
      <c r="U1327" t="s">
        <v>3</v>
      </c>
      <c r="V1327" t="s">
        <v>3</v>
      </c>
      <c r="W1327" t="s">
        <v>68</v>
      </c>
      <c r="X1327" s="17">
        <v>43496</v>
      </c>
      <c r="Y1327" t="s">
        <v>2277</v>
      </c>
      <c r="Z1327" s="17">
        <v>43496</v>
      </c>
      <c r="AA1327" t="s">
        <v>3</v>
      </c>
      <c r="AB1327" t="s">
        <v>2277</v>
      </c>
    </row>
    <row r="1328" spans="1:28" hidden="1">
      <c r="A1328" t="s">
        <v>3533</v>
      </c>
      <c r="B1328" s="17">
        <v>43496</v>
      </c>
      <c r="C1328" s="17">
        <v>43496</v>
      </c>
      <c r="D1328" t="s">
        <v>0</v>
      </c>
      <c r="E1328" t="s">
        <v>1</v>
      </c>
      <c r="F1328" s="18">
        <v>71643</v>
      </c>
      <c r="G1328" s="18">
        <v>71643</v>
      </c>
      <c r="H1328" t="s">
        <v>2</v>
      </c>
      <c r="I1328" t="s">
        <v>8</v>
      </c>
      <c r="J1328" s="18">
        <v>5942786.8499999996</v>
      </c>
      <c r="K1328" t="s">
        <v>3523</v>
      </c>
      <c r="L1328" t="s">
        <v>9</v>
      </c>
      <c r="M1328" t="s">
        <v>3534</v>
      </c>
      <c r="N1328" t="s">
        <v>3</v>
      </c>
      <c r="O1328" t="s">
        <v>3</v>
      </c>
      <c r="P1328" t="s">
        <v>5</v>
      </c>
      <c r="Q1328" t="s">
        <v>3535</v>
      </c>
      <c r="R1328" t="s">
        <v>3</v>
      </c>
      <c r="S1328" t="s">
        <v>3</v>
      </c>
      <c r="T1328" t="s">
        <v>3</v>
      </c>
      <c r="U1328" t="s">
        <v>3</v>
      </c>
      <c r="V1328" t="s">
        <v>3</v>
      </c>
      <c r="W1328" t="s">
        <v>68</v>
      </c>
      <c r="X1328" s="17">
        <v>43677</v>
      </c>
      <c r="Y1328" t="s">
        <v>3399</v>
      </c>
      <c r="Z1328" s="17">
        <v>43496</v>
      </c>
      <c r="AA1328" t="s">
        <v>3</v>
      </c>
      <c r="AB1328" t="s">
        <v>3533</v>
      </c>
    </row>
    <row r="1329" spans="1:28" hidden="1">
      <c r="A1329" t="s">
        <v>3545</v>
      </c>
      <c r="B1329" s="17">
        <v>43496</v>
      </c>
      <c r="C1329" s="17">
        <v>43496</v>
      </c>
      <c r="D1329" t="s">
        <v>0</v>
      </c>
      <c r="E1329" t="s">
        <v>1</v>
      </c>
      <c r="F1329" s="18">
        <v>2431</v>
      </c>
      <c r="G1329" s="18">
        <v>2431</v>
      </c>
      <c r="H1329" t="s">
        <v>2</v>
      </c>
      <c r="I1329" t="s">
        <v>10</v>
      </c>
      <c r="J1329" s="18">
        <v>201651.45</v>
      </c>
      <c r="K1329" t="s">
        <v>3472</v>
      </c>
      <c r="L1329" t="s">
        <v>9</v>
      </c>
      <c r="M1329" t="s">
        <v>3546</v>
      </c>
      <c r="N1329" t="s">
        <v>3</v>
      </c>
      <c r="O1329" t="s">
        <v>3</v>
      </c>
      <c r="P1329" t="s">
        <v>5</v>
      </c>
      <c r="Q1329" t="s">
        <v>3547</v>
      </c>
      <c r="R1329" t="s">
        <v>3</v>
      </c>
      <c r="S1329" t="s">
        <v>3</v>
      </c>
      <c r="T1329" t="s">
        <v>3</v>
      </c>
      <c r="U1329" t="s">
        <v>3</v>
      </c>
      <c r="V1329" t="s">
        <v>3</v>
      </c>
      <c r="W1329" t="s">
        <v>68</v>
      </c>
      <c r="X1329" s="17">
        <v>43677</v>
      </c>
      <c r="Y1329" t="s">
        <v>3443</v>
      </c>
      <c r="Z1329" s="17">
        <v>43496</v>
      </c>
      <c r="AA1329" t="s">
        <v>3</v>
      </c>
      <c r="AB1329" t="s">
        <v>3545</v>
      </c>
    </row>
    <row r="1330" spans="1:28" hidden="1">
      <c r="A1330" t="s">
        <v>3548</v>
      </c>
      <c r="B1330" s="17">
        <v>43496</v>
      </c>
      <c r="C1330" s="17">
        <v>43496</v>
      </c>
      <c r="D1330" t="s">
        <v>0</v>
      </c>
      <c r="E1330" t="s">
        <v>1</v>
      </c>
      <c r="F1330" s="18">
        <v>34807</v>
      </c>
      <c r="G1330" s="18">
        <v>34807</v>
      </c>
      <c r="H1330" t="s">
        <v>2</v>
      </c>
      <c r="I1330" t="s">
        <v>10</v>
      </c>
      <c r="J1330" s="18">
        <v>2887240.66</v>
      </c>
      <c r="K1330" t="s">
        <v>3485</v>
      </c>
      <c r="L1330" t="s">
        <v>9</v>
      </c>
      <c r="M1330" t="s">
        <v>3549</v>
      </c>
      <c r="N1330" t="s">
        <v>3</v>
      </c>
      <c r="O1330" t="s">
        <v>3</v>
      </c>
      <c r="P1330" t="s">
        <v>5</v>
      </c>
      <c r="Q1330" t="s">
        <v>3550</v>
      </c>
      <c r="R1330" t="s">
        <v>3</v>
      </c>
      <c r="S1330" t="s">
        <v>3</v>
      </c>
      <c r="T1330" t="s">
        <v>3</v>
      </c>
      <c r="U1330" t="s">
        <v>3</v>
      </c>
      <c r="V1330" t="s">
        <v>3</v>
      </c>
      <c r="W1330" t="s">
        <v>68</v>
      </c>
      <c r="X1330" s="17">
        <v>43519</v>
      </c>
      <c r="Y1330" t="s">
        <v>2351</v>
      </c>
      <c r="Z1330" s="17">
        <v>43496</v>
      </c>
      <c r="AA1330" t="s">
        <v>3</v>
      </c>
      <c r="AB1330" t="s">
        <v>3548</v>
      </c>
    </row>
    <row r="1331" spans="1:28" hidden="1">
      <c r="A1331" t="s">
        <v>3551</v>
      </c>
      <c r="B1331" s="17">
        <v>43496</v>
      </c>
      <c r="C1331" s="17">
        <v>43496</v>
      </c>
      <c r="D1331" t="s">
        <v>0</v>
      </c>
      <c r="E1331" t="s">
        <v>1</v>
      </c>
      <c r="F1331" s="18">
        <v>11832.6</v>
      </c>
      <c r="G1331" s="18">
        <v>11832.6</v>
      </c>
      <c r="H1331" t="s">
        <v>2</v>
      </c>
      <c r="I1331" t="s">
        <v>10</v>
      </c>
      <c r="J1331" s="18">
        <v>981514.17</v>
      </c>
      <c r="K1331" t="s">
        <v>3489</v>
      </c>
      <c r="L1331" t="s">
        <v>9</v>
      </c>
      <c r="M1331" t="s">
        <v>3552</v>
      </c>
      <c r="N1331" t="s">
        <v>3</v>
      </c>
      <c r="O1331" t="s">
        <v>3</v>
      </c>
      <c r="P1331" t="s">
        <v>5</v>
      </c>
      <c r="Q1331" t="s">
        <v>3553</v>
      </c>
      <c r="R1331" t="s">
        <v>3</v>
      </c>
      <c r="S1331" t="s">
        <v>3</v>
      </c>
      <c r="T1331" t="s">
        <v>3</v>
      </c>
      <c r="U1331" t="s">
        <v>3</v>
      </c>
      <c r="V1331" t="s">
        <v>3</v>
      </c>
      <c r="W1331" t="s">
        <v>68</v>
      </c>
      <c r="X1331" s="17">
        <v>43646</v>
      </c>
      <c r="Y1331" t="s">
        <v>2485</v>
      </c>
      <c r="Z1331" s="17">
        <v>43496</v>
      </c>
      <c r="AA1331" t="s">
        <v>3</v>
      </c>
      <c r="AB1331" t="s">
        <v>3551</v>
      </c>
    </row>
    <row r="1332" spans="1:28" hidden="1">
      <c r="A1332" t="s">
        <v>3551</v>
      </c>
      <c r="B1332" s="17">
        <v>43496</v>
      </c>
      <c r="C1332" s="17">
        <v>43496</v>
      </c>
      <c r="D1332" t="s">
        <v>0</v>
      </c>
      <c r="E1332" t="s">
        <v>1</v>
      </c>
      <c r="F1332" s="18">
        <v>3640</v>
      </c>
      <c r="G1332" s="18">
        <v>3640</v>
      </c>
      <c r="H1332" t="s">
        <v>2</v>
      </c>
      <c r="I1332" t="s">
        <v>10</v>
      </c>
      <c r="J1332" s="18">
        <v>301938</v>
      </c>
      <c r="K1332" t="s">
        <v>3472</v>
      </c>
      <c r="L1332" t="s">
        <v>9</v>
      </c>
      <c r="M1332" t="s">
        <v>3552</v>
      </c>
      <c r="N1332" t="s">
        <v>3</v>
      </c>
      <c r="O1332" t="s">
        <v>3</v>
      </c>
      <c r="P1332" t="s">
        <v>5</v>
      </c>
      <c r="Q1332" t="s">
        <v>3553</v>
      </c>
      <c r="R1332" t="s">
        <v>3</v>
      </c>
      <c r="S1332" t="s">
        <v>3</v>
      </c>
      <c r="T1332" t="s">
        <v>3</v>
      </c>
      <c r="U1332" t="s">
        <v>3</v>
      </c>
      <c r="V1332" t="s">
        <v>3</v>
      </c>
      <c r="W1332" t="s">
        <v>68</v>
      </c>
      <c r="X1332" s="17">
        <v>43677</v>
      </c>
      <c r="Y1332" t="s">
        <v>3443</v>
      </c>
      <c r="Z1332" s="17">
        <v>43496</v>
      </c>
      <c r="AA1332" t="s">
        <v>3</v>
      </c>
      <c r="AB1332" t="s">
        <v>3551</v>
      </c>
    </row>
    <row r="1333" spans="1:28" hidden="1">
      <c r="A1333" t="s">
        <v>3554</v>
      </c>
      <c r="B1333" s="17">
        <v>43496</v>
      </c>
      <c r="C1333" s="17">
        <v>43496</v>
      </c>
      <c r="D1333" t="s">
        <v>0</v>
      </c>
      <c r="E1333" t="s">
        <v>1</v>
      </c>
      <c r="F1333" s="18">
        <v>-170439</v>
      </c>
      <c r="G1333" s="18">
        <v>-170439</v>
      </c>
      <c r="H1333" t="s">
        <v>2</v>
      </c>
      <c r="I1333" t="s">
        <v>8</v>
      </c>
      <c r="J1333" s="18">
        <v>-14137915.050000001</v>
      </c>
      <c r="K1333" t="s">
        <v>3555</v>
      </c>
      <c r="L1333" t="s">
        <v>9</v>
      </c>
      <c r="M1333" t="s">
        <v>3556</v>
      </c>
      <c r="N1333" t="s">
        <v>3</v>
      </c>
      <c r="O1333" t="s">
        <v>3</v>
      </c>
      <c r="P1333" t="s">
        <v>5</v>
      </c>
      <c r="Q1333" t="s">
        <v>3557</v>
      </c>
      <c r="R1333" t="s">
        <v>3</v>
      </c>
      <c r="S1333" t="s">
        <v>3</v>
      </c>
      <c r="T1333" t="s">
        <v>3</v>
      </c>
      <c r="U1333" t="s">
        <v>3</v>
      </c>
      <c r="V1333" t="s">
        <v>3</v>
      </c>
      <c r="W1333" t="s">
        <v>68</v>
      </c>
      <c r="X1333" s="17">
        <v>43646</v>
      </c>
      <c r="Y1333" t="s">
        <v>2514</v>
      </c>
      <c r="Z1333" s="17">
        <v>43496</v>
      </c>
      <c r="AA1333" t="s">
        <v>3</v>
      </c>
      <c r="AB1333" t="s">
        <v>3554</v>
      </c>
    </row>
    <row r="1334" spans="1:28" hidden="1">
      <c r="A1334" t="s">
        <v>3558</v>
      </c>
      <c r="B1334" s="17">
        <v>43496</v>
      </c>
      <c r="C1334" s="17">
        <v>43496</v>
      </c>
      <c r="D1334" t="s">
        <v>0</v>
      </c>
      <c r="E1334" t="s">
        <v>1</v>
      </c>
      <c r="F1334" s="18">
        <v>34287</v>
      </c>
      <c r="G1334" s="18">
        <v>34287</v>
      </c>
      <c r="H1334" t="s">
        <v>2</v>
      </c>
      <c r="I1334" t="s">
        <v>8</v>
      </c>
      <c r="J1334" s="18">
        <v>2844106.65</v>
      </c>
      <c r="K1334" t="s">
        <v>3523</v>
      </c>
      <c r="L1334" t="s">
        <v>9</v>
      </c>
      <c r="M1334" t="s">
        <v>3559</v>
      </c>
      <c r="N1334" t="s">
        <v>3</v>
      </c>
      <c r="O1334" t="s">
        <v>3</v>
      </c>
      <c r="P1334" t="s">
        <v>5</v>
      </c>
      <c r="Q1334" t="s">
        <v>3560</v>
      </c>
      <c r="R1334" t="s">
        <v>3</v>
      </c>
      <c r="S1334" t="s">
        <v>3</v>
      </c>
      <c r="T1334" t="s">
        <v>3</v>
      </c>
      <c r="U1334" t="s">
        <v>3</v>
      </c>
      <c r="V1334" t="s">
        <v>3</v>
      </c>
      <c r="W1334" t="s">
        <v>68</v>
      </c>
      <c r="X1334" s="17">
        <v>43677</v>
      </c>
      <c r="Y1334" t="s">
        <v>3399</v>
      </c>
      <c r="Z1334" s="17">
        <v>43496</v>
      </c>
      <c r="AA1334" t="s">
        <v>3</v>
      </c>
      <c r="AB1334" t="s">
        <v>3558</v>
      </c>
    </row>
    <row r="1335" spans="1:28" hidden="1">
      <c r="A1335" t="s">
        <v>3558</v>
      </c>
      <c r="B1335" s="17">
        <v>43496</v>
      </c>
      <c r="C1335" s="17">
        <v>43496</v>
      </c>
      <c r="D1335" t="s">
        <v>0</v>
      </c>
      <c r="E1335" t="s">
        <v>1</v>
      </c>
      <c r="F1335" s="18">
        <v>5465</v>
      </c>
      <c r="G1335" s="18">
        <v>5465</v>
      </c>
      <c r="H1335" t="s">
        <v>2</v>
      </c>
      <c r="I1335" t="s">
        <v>8</v>
      </c>
      <c r="J1335" s="18">
        <v>453321.75</v>
      </c>
      <c r="K1335" t="s">
        <v>3412</v>
      </c>
      <c r="L1335" t="s">
        <v>9</v>
      </c>
      <c r="M1335" t="s">
        <v>3559</v>
      </c>
      <c r="N1335" t="s">
        <v>3</v>
      </c>
      <c r="O1335" t="s">
        <v>3</v>
      </c>
      <c r="P1335" t="s">
        <v>5</v>
      </c>
      <c r="Q1335" t="s">
        <v>3560</v>
      </c>
      <c r="R1335" t="s">
        <v>3</v>
      </c>
      <c r="S1335" t="s">
        <v>3</v>
      </c>
      <c r="T1335" t="s">
        <v>3</v>
      </c>
      <c r="U1335" t="s">
        <v>3</v>
      </c>
      <c r="V1335" t="s">
        <v>3</v>
      </c>
      <c r="W1335" t="s">
        <v>68</v>
      </c>
      <c r="X1335" s="17">
        <v>43587</v>
      </c>
      <c r="Y1335" t="s">
        <v>2466</v>
      </c>
      <c r="Z1335" s="17">
        <v>43496</v>
      </c>
      <c r="AA1335" t="s">
        <v>3</v>
      </c>
      <c r="AB1335" t="s">
        <v>3558</v>
      </c>
    </row>
    <row r="1336" spans="1:28" hidden="1">
      <c r="A1336" t="s">
        <v>3561</v>
      </c>
      <c r="B1336" s="17">
        <v>43496</v>
      </c>
      <c r="C1336" s="17">
        <v>43496</v>
      </c>
      <c r="D1336" t="s">
        <v>0</v>
      </c>
      <c r="E1336" t="s">
        <v>1</v>
      </c>
      <c r="F1336" s="18">
        <v>36061.89</v>
      </c>
      <c r="G1336" s="18">
        <v>36061.89</v>
      </c>
      <c r="H1336" t="s">
        <v>2</v>
      </c>
      <c r="I1336" t="s">
        <v>8</v>
      </c>
      <c r="J1336" s="18">
        <v>2991333.78</v>
      </c>
      <c r="K1336" t="s">
        <v>3332</v>
      </c>
      <c r="L1336" t="s">
        <v>4</v>
      </c>
      <c r="M1336" t="s">
        <v>3562</v>
      </c>
      <c r="N1336" t="s">
        <v>3</v>
      </c>
      <c r="O1336" t="s">
        <v>3</v>
      </c>
      <c r="P1336" t="s">
        <v>5</v>
      </c>
      <c r="Q1336" t="s">
        <v>3563</v>
      </c>
      <c r="R1336" t="s">
        <v>3</v>
      </c>
      <c r="S1336" t="s">
        <v>3</v>
      </c>
      <c r="T1336" t="s">
        <v>3</v>
      </c>
      <c r="U1336" t="s">
        <v>3</v>
      </c>
      <c r="V1336" t="s">
        <v>3</v>
      </c>
      <c r="W1336" t="s">
        <v>68</v>
      </c>
      <c r="X1336" s="17"/>
      <c r="Y1336" t="s">
        <v>3</v>
      </c>
      <c r="Z1336" s="17">
        <v>43496</v>
      </c>
      <c r="AA1336" t="s">
        <v>3</v>
      </c>
      <c r="AB1336" t="s">
        <v>3561</v>
      </c>
    </row>
    <row r="1337" spans="1:28" hidden="1">
      <c r="A1337" t="s">
        <v>3561</v>
      </c>
      <c r="B1337" s="17">
        <v>43496</v>
      </c>
      <c r="C1337" s="17">
        <v>43496</v>
      </c>
      <c r="D1337" t="s">
        <v>0</v>
      </c>
      <c r="E1337" t="s">
        <v>1</v>
      </c>
      <c r="F1337" s="18">
        <v>11371.31</v>
      </c>
      <c r="G1337" s="18">
        <v>11371.31</v>
      </c>
      <c r="H1337" t="s">
        <v>2</v>
      </c>
      <c r="I1337" t="s">
        <v>8</v>
      </c>
      <c r="J1337" s="18">
        <v>943250.17</v>
      </c>
      <c r="K1337" t="s">
        <v>3564</v>
      </c>
      <c r="L1337" t="s">
        <v>4</v>
      </c>
      <c r="M1337" t="s">
        <v>3562</v>
      </c>
      <c r="N1337" t="s">
        <v>3</v>
      </c>
      <c r="O1337" t="s">
        <v>3</v>
      </c>
      <c r="P1337" t="s">
        <v>5</v>
      </c>
      <c r="Q1337" t="s">
        <v>3563</v>
      </c>
      <c r="R1337" t="s">
        <v>3</v>
      </c>
      <c r="S1337" t="s">
        <v>3</v>
      </c>
      <c r="T1337" t="s">
        <v>3</v>
      </c>
      <c r="U1337" t="s">
        <v>3</v>
      </c>
      <c r="V1337" t="s">
        <v>3</v>
      </c>
      <c r="W1337" t="s">
        <v>68</v>
      </c>
      <c r="X1337" s="17"/>
      <c r="Y1337" t="s">
        <v>3</v>
      </c>
      <c r="Z1337" s="17">
        <v>43496</v>
      </c>
      <c r="AA1337" t="s">
        <v>3</v>
      </c>
      <c r="AB1337" t="s">
        <v>3561</v>
      </c>
    </row>
    <row r="1338" spans="1:28" hidden="1">
      <c r="A1338" t="s">
        <v>3561</v>
      </c>
      <c r="B1338" s="17">
        <v>43496</v>
      </c>
      <c r="C1338" s="17">
        <v>43496</v>
      </c>
      <c r="D1338" t="s">
        <v>0</v>
      </c>
      <c r="E1338" t="s">
        <v>1</v>
      </c>
      <c r="F1338" s="18">
        <v>7278.12</v>
      </c>
      <c r="G1338" s="18">
        <v>7278.12</v>
      </c>
      <c r="H1338" t="s">
        <v>2</v>
      </c>
      <c r="I1338" t="s">
        <v>8</v>
      </c>
      <c r="J1338" s="18">
        <v>603720.05000000005</v>
      </c>
      <c r="K1338" t="s">
        <v>3358</v>
      </c>
      <c r="L1338" t="s">
        <v>4</v>
      </c>
      <c r="M1338" t="s">
        <v>3562</v>
      </c>
      <c r="N1338" t="s">
        <v>3</v>
      </c>
      <c r="O1338" t="s">
        <v>3</v>
      </c>
      <c r="P1338" t="s">
        <v>5</v>
      </c>
      <c r="Q1338" t="s">
        <v>3563</v>
      </c>
      <c r="R1338" t="s">
        <v>3</v>
      </c>
      <c r="S1338" t="s">
        <v>3</v>
      </c>
      <c r="T1338" t="s">
        <v>3</v>
      </c>
      <c r="U1338" t="s">
        <v>3</v>
      </c>
      <c r="V1338" t="s">
        <v>3</v>
      </c>
      <c r="W1338" t="s">
        <v>68</v>
      </c>
      <c r="X1338" s="17"/>
      <c r="Y1338" t="s">
        <v>3</v>
      </c>
      <c r="Z1338" s="17">
        <v>43496</v>
      </c>
      <c r="AA1338" t="s">
        <v>3</v>
      </c>
      <c r="AB1338" t="s">
        <v>3561</v>
      </c>
    </row>
    <row r="1339" spans="1:28" hidden="1">
      <c r="A1339" t="s">
        <v>3565</v>
      </c>
      <c r="B1339" s="17">
        <v>43496</v>
      </c>
      <c r="C1339" s="17">
        <v>43496</v>
      </c>
      <c r="D1339" t="s">
        <v>0</v>
      </c>
      <c r="E1339" t="s">
        <v>1</v>
      </c>
      <c r="F1339" s="18">
        <v>12884</v>
      </c>
      <c r="G1339" s="18">
        <v>12884</v>
      </c>
      <c r="H1339" t="s">
        <v>2</v>
      </c>
      <c r="I1339" t="s">
        <v>8</v>
      </c>
      <c r="J1339" s="18">
        <v>1068727.8</v>
      </c>
      <c r="K1339" t="s">
        <v>3523</v>
      </c>
      <c r="L1339" t="s">
        <v>9</v>
      </c>
      <c r="M1339" t="s">
        <v>3566</v>
      </c>
      <c r="N1339" t="s">
        <v>3</v>
      </c>
      <c r="O1339" t="s">
        <v>3</v>
      </c>
      <c r="P1339" t="s">
        <v>5</v>
      </c>
      <c r="Q1339" t="s">
        <v>3567</v>
      </c>
      <c r="R1339" t="s">
        <v>3</v>
      </c>
      <c r="S1339" t="s">
        <v>3</v>
      </c>
      <c r="T1339" t="s">
        <v>3</v>
      </c>
      <c r="U1339" t="s">
        <v>3</v>
      </c>
      <c r="V1339" t="s">
        <v>3</v>
      </c>
      <c r="W1339" t="s">
        <v>68</v>
      </c>
      <c r="X1339" s="17">
        <v>43677</v>
      </c>
      <c r="Y1339" t="s">
        <v>3399</v>
      </c>
      <c r="Z1339" s="17">
        <v>43496</v>
      </c>
      <c r="AA1339" t="s">
        <v>3</v>
      </c>
      <c r="AB1339" t="s">
        <v>3565</v>
      </c>
    </row>
    <row r="1340" spans="1:28" hidden="1">
      <c r="A1340" t="s">
        <v>3565</v>
      </c>
      <c r="B1340" s="17">
        <v>43496</v>
      </c>
      <c r="C1340" s="17">
        <v>43496</v>
      </c>
      <c r="D1340" t="s">
        <v>0</v>
      </c>
      <c r="E1340" t="s">
        <v>1</v>
      </c>
      <c r="F1340" s="18">
        <v>13347</v>
      </c>
      <c r="G1340" s="18">
        <v>13347</v>
      </c>
      <c r="H1340" t="s">
        <v>2</v>
      </c>
      <c r="I1340" t="s">
        <v>8</v>
      </c>
      <c r="J1340" s="18">
        <v>1107133.6499999999</v>
      </c>
      <c r="K1340" t="s">
        <v>3412</v>
      </c>
      <c r="L1340" t="s">
        <v>9</v>
      </c>
      <c r="M1340" t="s">
        <v>3566</v>
      </c>
      <c r="N1340" t="s">
        <v>3</v>
      </c>
      <c r="O1340" t="s">
        <v>3</v>
      </c>
      <c r="P1340" t="s">
        <v>5</v>
      </c>
      <c r="Q1340" t="s">
        <v>3567</v>
      </c>
      <c r="R1340" t="s">
        <v>3</v>
      </c>
      <c r="S1340" t="s">
        <v>3</v>
      </c>
      <c r="T1340" t="s">
        <v>3</v>
      </c>
      <c r="U1340" t="s">
        <v>3</v>
      </c>
      <c r="V1340" t="s">
        <v>3</v>
      </c>
      <c r="W1340" t="s">
        <v>68</v>
      </c>
      <c r="X1340" s="17">
        <v>43587</v>
      </c>
      <c r="Y1340" t="s">
        <v>2466</v>
      </c>
      <c r="Z1340" s="17">
        <v>43496</v>
      </c>
      <c r="AA1340" t="s">
        <v>3</v>
      </c>
      <c r="AB1340" t="s">
        <v>3565</v>
      </c>
    </row>
    <row r="1341" spans="1:28" hidden="1">
      <c r="A1341" t="s">
        <v>3590</v>
      </c>
      <c r="B1341" s="17">
        <v>43496</v>
      </c>
      <c r="C1341" s="17">
        <v>43496</v>
      </c>
      <c r="D1341" t="s">
        <v>0</v>
      </c>
      <c r="E1341" t="s">
        <v>1</v>
      </c>
      <c r="F1341" s="18">
        <v>1039492</v>
      </c>
      <c r="G1341" s="18">
        <v>1039492</v>
      </c>
      <c r="H1341" t="s">
        <v>2</v>
      </c>
      <c r="I1341" t="s">
        <v>8</v>
      </c>
      <c r="J1341" s="18">
        <v>86225861.400000006</v>
      </c>
      <c r="K1341" t="s">
        <v>2274</v>
      </c>
      <c r="L1341" t="s">
        <v>9</v>
      </c>
      <c r="M1341" t="s">
        <v>2275</v>
      </c>
      <c r="N1341" t="s">
        <v>3</v>
      </c>
      <c r="O1341" t="s">
        <v>3</v>
      </c>
      <c r="P1341" t="s">
        <v>5</v>
      </c>
      <c r="Q1341" t="s">
        <v>2276</v>
      </c>
      <c r="R1341" t="s">
        <v>3</v>
      </c>
      <c r="S1341" t="s">
        <v>3</v>
      </c>
      <c r="T1341" t="s">
        <v>3</v>
      </c>
      <c r="U1341" t="s">
        <v>3</v>
      </c>
      <c r="V1341" t="s">
        <v>3</v>
      </c>
      <c r="W1341" t="s">
        <v>68</v>
      </c>
      <c r="X1341" s="17">
        <v>43496</v>
      </c>
      <c r="Y1341" t="s">
        <v>2273</v>
      </c>
      <c r="Z1341" s="17">
        <v>43496</v>
      </c>
      <c r="AA1341" t="s">
        <v>3</v>
      </c>
      <c r="AB1341" t="s">
        <v>3590</v>
      </c>
    </row>
    <row r="1342" spans="1:28" hidden="1">
      <c r="A1342" t="s">
        <v>3590</v>
      </c>
      <c r="B1342" s="17">
        <v>43496</v>
      </c>
      <c r="C1342" s="17">
        <v>43496</v>
      </c>
      <c r="D1342" t="s">
        <v>0</v>
      </c>
      <c r="E1342" t="s">
        <v>1</v>
      </c>
      <c r="F1342" s="18">
        <v>-306747</v>
      </c>
      <c r="G1342" s="18">
        <v>-306747</v>
      </c>
      <c r="H1342" t="s">
        <v>2</v>
      </c>
      <c r="I1342" t="s">
        <v>8</v>
      </c>
      <c r="J1342" s="18">
        <v>-25444663.649999999</v>
      </c>
      <c r="K1342" t="s">
        <v>2274</v>
      </c>
      <c r="L1342" t="s">
        <v>9</v>
      </c>
      <c r="M1342" t="s">
        <v>2275</v>
      </c>
      <c r="N1342" t="s">
        <v>3</v>
      </c>
      <c r="O1342" t="s">
        <v>3</v>
      </c>
      <c r="P1342" t="s">
        <v>5</v>
      </c>
      <c r="Q1342" t="s">
        <v>2276</v>
      </c>
      <c r="R1342" t="s">
        <v>3</v>
      </c>
      <c r="S1342" t="s">
        <v>3</v>
      </c>
      <c r="T1342" t="s">
        <v>3</v>
      </c>
      <c r="U1342" t="s">
        <v>3</v>
      </c>
      <c r="V1342" t="s">
        <v>3</v>
      </c>
      <c r="W1342" t="s">
        <v>68</v>
      </c>
      <c r="X1342" s="17">
        <v>43496</v>
      </c>
      <c r="Y1342" t="s">
        <v>2273</v>
      </c>
      <c r="Z1342" s="17">
        <v>43496</v>
      </c>
      <c r="AA1342" t="s">
        <v>3</v>
      </c>
      <c r="AB1342" t="s">
        <v>3590</v>
      </c>
    </row>
    <row r="1343" spans="1:28" hidden="1">
      <c r="A1343" t="s">
        <v>3591</v>
      </c>
      <c r="B1343" s="17">
        <v>43496</v>
      </c>
      <c r="C1343" s="17">
        <v>43496</v>
      </c>
      <c r="D1343" t="s">
        <v>0</v>
      </c>
      <c r="E1343" t="s">
        <v>1</v>
      </c>
      <c r="F1343" s="18">
        <v>-16.149999999999999</v>
      </c>
      <c r="G1343" s="18">
        <v>-16.149999999999999</v>
      </c>
      <c r="H1343" t="s">
        <v>2</v>
      </c>
      <c r="I1343" t="s">
        <v>8</v>
      </c>
      <c r="J1343" s="18">
        <v>-1339.64</v>
      </c>
      <c r="K1343" t="s">
        <v>2279</v>
      </c>
      <c r="L1343" t="s">
        <v>4</v>
      </c>
      <c r="M1343" t="s">
        <v>2280</v>
      </c>
      <c r="N1343" t="s">
        <v>3</v>
      </c>
      <c r="O1343" t="s">
        <v>3</v>
      </c>
      <c r="P1343" t="s">
        <v>5</v>
      </c>
      <c r="Q1343" t="s">
        <v>2279</v>
      </c>
      <c r="R1343" t="s">
        <v>3</v>
      </c>
      <c r="S1343" t="s">
        <v>3</v>
      </c>
      <c r="T1343" t="s">
        <v>3</v>
      </c>
      <c r="U1343" t="s">
        <v>3</v>
      </c>
      <c r="V1343" t="s">
        <v>3</v>
      </c>
      <c r="W1343" t="s">
        <v>68</v>
      </c>
      <c r="X1343" s="17">
        <v>43497</v>
      </c>
      <c r="Y1343" t="s">
        <v>2278</v>
      </c>
      <c r="Z1343" s="17">
        <v>43496</v>
      </c>
      <c r="AA1343" t="s">
        <v>3</v>
      </c>
      <c r="AB1343" t="s">
        <v>3591</v>
      </c>
    </row>
    <row r="1344" spans="1:28" hidden="1">
      <c r="A1344" t="s">
        <v>3592</v>
      </c>
      <c r="B1344" s="17">
        <v>43496</v>
      </c>
      <c r="C1344" s="17">
        <v>43496</v>
      </c>
      <c r="D1344" t="s">
        <v>0</v>
      </c>
      <c r="E1344" t="s">
        <v>1</v>
      </c>
      <c r="F1344" s="18">
        <v>1039495.7</v>
      </c>
      <c r="G1344" s="18">
        <v>1039495.7</v>
      </c>
      <c r="H1344" t="s">
        <v>2</v>
      </c>
      <c r="I1344" t="s">
        <v>8</v>
      </c>
      <c r="J1344" s="18">
        <v>86226168.319999993</v>
      </c>
      <c r="K1344" t="s">
        <v>2274</v>
      </c>
      <c r="L1344" t="s">
        <v>9</v>
      </c>
      <c r="M1344" t="s">
        <v>2275</v>
      </c>
      <c r="N1344" t="s">
        <v>3</v>
      </c>
      <c r="O1344" t="s">
        <v>3</v>
      </c>
      <c r="P1344" t="s">
        <v>5</v>
      </c>
      <c r="Q1344" t="s">
        <v>2276</v>
      </c>
      <c r="R1344" t="s">
        <v>3</v>
      </c>
      <c r="S1344" t="s">
        <v>3</v>
      </c>
      <c r="T1344" t="s">
        <v>3</v>
      </c>
      <c r="U1344" t="s">
        <v>3</v>
      </c>
      <c r="V1344" t="s">
        <v>3</v>
      </c>
      <c r="W1344" t="s">
        <v>68</v>
      </c>
      <c r="X1344" s="17">
        <v>43496</v>
      </c>
      <c r="Y1344" t="s">
        <v>2277</v>
      </c>
      <c r="Z1344" s="17">
        <v>43496</v>
      </c>
      <c r="AA1344" t="s">
        <v>3</v>
      </c>
      <c r="AB1344" t="s">
        <v>3592</v>
      </c>
    </row>
    <row r="1345" spans="1:28" hidden="1">
      <c r="A1345" t="s">
        <v>3592</v>
      </c>
      <c r="B1345" s="17">
        <v>43496</v>
      </c>
      <c r="C1345" s="17">
        <v>43496</v>
      </c>
      <c r="D1345" t="s">
        <v>0</v>
      </c>
      <c r="E1345" t="s">
        <v>1</v>
      </c>
      <c r="F1345" s="18">
        <v>-1039495.7</v>
      </c>
      <c r="G1345" s="18">
        <v>-1039495.7</v>
      </c>
      <c r="H1345" t="s">
        <v>2</v>
      </c>
      <c r="I1345" t="s">
        <v>8</v>
      </c>
      <c r="J1345" s="18">
        <v>-86226168.319999993</v>
      </c>
      <c r="K1345" t="s">
        <v>2274</v>
      </c>
      <c r="L1345" t="s">
        <v>9</v>
      </c>
      <c r="M1345" t="s">
        <v>2275</v>
      </c>
      <c r="N1345" t="s">
        <v>3</v>
      </c>
      <c r="O1345" t="s">
        <v>3</v>
      </c>
      <c r="P1345" t="s">
        <v>5</v>
      </c>
      <c r="Q1345" t="s">
        <v>2276</v>
      </c>
      <c r="R1345" t="s">
        <v>3</v>
      </c>
      <c r="S1345" t="s">
        <v>3</v>
      </c>
      <c r="T1345" t="s">
        <v>3</v>
      </c>
      <c r="U1345" t="s">
        <v>3</v>
      </c>
      <c r="V1345" t="s">
        <v>3</v>
      </c>
      <c r="W1345" t="s">
        <v>68</v>
      </c>
      <c r="X1345" s="17">
        <v>43496</v>
      </c>
      <c r="Y1345" t="s">
        <v>2277</v>
      </c>
      <c r="Z1345" s="17">
        <v>43496</v>
      </c>
      <c r="AA1345" t="s">
        <v>3</v>
      </c>
      <c r="AB1345" t="s">
        <v>3592</v>
      </c>
    </row>
    <row r="1346" spans="1:28" hidden="1">
      <c r="A1346" t="s">
        <v>3593</v>
      </c>
      <c r="B1346" s="17">
        <v>43496</v>
      </c>
      <c r="C1346" s="17">
        <v>43496</v>
      </c>
      <c r="D1346" t="s">
        <v>0</v>
      </c>
      <c r="E1346" t="s">
        <v>1</v>
      </c>
      <c r="F1346" s="18">
        <v>1039495.7</v>
      </c>
      <c r="G1346" s="18">
        <v>1039495.7</v>
      </c>
      <c r="H1346" t="s">
        <v>2</v>
      </c>
      <c r="I1346" t="s">
        <v>8</v>
      </c>
      <c r="J1346" s="18">
        <v>86226168.319999993</v>
      </c>
      <c r="K1346" t="s">
        <v>2274</v>
      </c>
      <c r="L1346" t="s">
        <v>9</v>
      </c>
      <c r="M1346" t="s">
        <v>2275</v>
      </c>
      <c r="N1346" t="s">
        <v>3</v>
      </c>
      <c r="O1346" t="s">
        <v>3</v>
      </c>
      <c r="P1346" t="s">
        <v>5</v>
      </c>
      <c r="Q1346" t="s">
        <v>2276</v>
      </c>
      <c r="R1346" t="s">
        <v>3</v>
      </c>
      <c r="S1346" t="s">
        <v>3</v>
      </c>
      <c r="T1346" t="s">
        <v>3</v>
      </c>
      <c r="U1346" t="s">
        <v>3</v>
      </c>
      <c r="V1346" t="s">
        <v>3</v>
      </c>
      <c r="W1346" t="s">
        <v>68</v>
      </c>
      <c r="X1346" s="17">
        <v>43497</v>
      </c>
      <c r="Y1346" t="s">
        <v>2281</v>
      </c>
      <c r="Z1346" s="17">
        <v>43496</v>
      </c>
      <c r="AA1346" t="s">
        <v>3</v>
      </c>
      <c r="AB1346" t="s">
        <v>3593</v>
      </c>
    </row>
    <row r="1347" spans="1:28" hidden="1">
      <c r="A1347" t="s">
        <v>3593</v>
      </c>
      <c r="B1347" s="17">
        <v>43496</v>
      </c>
      <c r="C1347" s="17">
        <v>43496</v>
      </c>
      <c r="D1347" t="s">
        <v>0</v>
      </c>
      <c r="E1347" t="s">
        <v>1</v>
      </c>
      <c r="F1347" s="18">
        <v>-306747</v>
      </c>
      <c r="G1347" s="18">
        <v>-306747</v>
      </c>
      <c r="H1347" t="s">
        <v>2</v>
      </c>
      <c r="I1347" t="s">
        <v>8</v>
      </c>
      <c r="J1347" s="18">
        <v>-25444663.649999999</v>
      </c>
      <c r="K1347" t="s">
        <v>2274</v>
      </c>
      <c r="L1347" t="s">
        <v>9</v>
      </c>
      <c r="M1347" t="s">
        <v>2275</v>
      </c>
      <c r="N1347" t="s">
        <v>3</v>
      </c>
      <c r="O1347" t="s">
        <v>3</v>
      </c>
      <c r="P1347" t="s">
        <v>5</v>
      </c>
      <c r="Q1347" t="s">
        <v>2276</v>
      </c>
      <c r="R1347" t="s">
        <v>3</v>
      </c>
      <c r="S1347" t="s">
        <v>3</v>
      </c>
      <c r="T1347" t="s">
        <v>3</v>
      </c>
      <c r="U1347" t="s">
        <v>3</v>
      </c>
      <c r="V1347" t="s">
        <v>3</v>
      </c>
      <c r="W1347" t="s">
        <v>68</v>
      </c>
      <c r="X1347" s="17">
        <v>43497</v>
      </c>
      <c r="Y1347" t="s">
        <v>2281</v>
      </c>
      <c r="Z1347" s="17">
        <v>43496</v>
      </c>
      <c r="AA1347" t="s">
        <v>3</v>
      </c>
      <c r="AB1347" t="s">
        <v>3593</v>
      </c>
    </row>
    <row r="1348" spans="1:28" hidden="1">
      <c r="A1348" t="s">
        <v>2278</v>
      </c>
      <c r="B1348" s="17">
        <v>43497</v>
      </c>
      <c r="C1348" s="17">
        <v>43496</v>
      </c>
      <c r="D1348" t="s">
        <v>38</v>
      </c>
      <c r="E1348" t="s">
        <v>1</v>
      </c>
      <c r="F1348" s="18">
        <v>16.149999999999999</v>
      </c>
      <c r="G1348" s="18">
        <v>16.149999999999999</v>
      </c>
      <c r="H1348" t="s">
        <v>2</v>
      </c>
      <c r="I1348" t="s">
        <v>8</v>
      </c>
      <c r="J1348" s="18">
        <v>1339.64</v>
      </c>
      <c r="K1348" t="s">
        <v>2279</v>
      </c>
      <c r="L1348" t="s">
        <v>4</v>
      </c>
      <c r="M1348" t="s">
        <v>2280</v>
      </c>
      <c r="N1348" t="s">
        <v>3</v>
      </c>
      <c r="O1348" t="s">
        <v>3</v>
      </c>
      <c r="P1348" t="s">
        <v>5</v>
      </c>
      <c r="Q1348" t="s">
        <v>2279</v>
      </c>
      <c r="R1348" t="s">
        <v>3</v>
      </c>
      <c r="S1348" t="s">
        <v>3</v>
      </c>
      <c r="T1348" t="s">
        <v>3</v>
      </c>
      <c r="U1348" t="s">
        <v>3</v>
      </c>
      <c r="V1348" t="s">
        <v>3</v>
      </c>
      <c r="W1348" t="s">
        <v>68</v>
      </c>
      <c r="X1348" s="17">
        <v>43497</v>
      </c>
      <c r="Y1348" t="s">
        <v>2278</v>
      </c>
      <c r="Z1348" s="17">
        <v>43496</v>
      </c>
      <c r="AA1348" t="s">
        <v>3</v>
      </c>
      <c r="AB1348" t="s">
        <v>2278</v>
      </c>
    </row>
    <row r="1349" spans="1:28" hidden="1">
      <c r="A1349" t="s">
        <v>2281</v>
      </c>
      <c r="B1349" s="17">
        <v>43497</v>
      </c>
      <c r="C1349" s="17">
        <v>43496</v>
      </c>
      <c r="D1349" t="s">
        <v>38</v>
      </c>
      <c r="E1349" t="s">
        <v>1</v>
      </c>
      <c r="F1349" s="18">
        <v>-1039495.7</v>
      </c>
      <c r="G1349" s="18">
        <v>-1039495.7</v>
      </c>
      <c r="H1349" t="s">
        <v>2</v>
      </c>
      <c r="I1349" t="s">
        <v>8</v>
      </c>
      <c r="J1349" s="18">
        <v>-86226168.319999993</v>
      </c>
      <c r="K1349" t="s">
        <v>2274</v>
      </c>
      <c r="L1349" t="s">
        <v>9</v>
      </c>
      <c r="M1349" t="s">
        <v>2275</v>
      </c>
      <c r="N1349" t="s">
        <v>3</v>
      </c>
      <c r="O1349" t="s">
        <v>3</v>
      </c>
      <c r="P1349" t="s">
        <v>5</v>
      </c>
      <c r="Q1349" t="s">
        <v>2276</v>
      </c>
      <c r="R1349" t="s">
        <v>3</v>
      </c>
      <c r="S1349" t="s">
        <v>3</v>
      </c>
      <c r="T1349" t="s">
        <v>3</v>
      </c>
      <c r="U1349" t="s">
        <v>3</v>
      </c>
      <c r="V1349" t="s">
        <v>3</v>
      </c>
      <c r="W1349" t="s">
        <v>68</v>
      </c>
      <c r="X1349" s="17">
        <v>43497</v>
      </c>
      <c r="Y1349" t="s">
        <v>2281</v>
      </c>
      <c r="Z1349" s="17">
        <v>43496</v>
      </c>
      <c r="AA1349" t="s">
        <v>3</v>
      </c>
      <c r="AB1349" t="s">
        <v>2281</v>
      </c>
    </row>
    <row r="1350" spans="1:28" hidden="1">
      <c r="A1350" t="s">
        <v>2281</v>
      </c>
      <c r="B1350" s="17">
        <v>43497</v>
      </c>
      <c r="C1350" s="17">
        <v>43496</v>
      </c>
      <c r="D1350" t="s">
        <v>38</v>
      </c>
      <c r="E1350" t="s">
        <v>1</v>
      </c>
      <c r="F1350" s="18">
        <v>306747</v>
      </c>
      <c r="G1350" s="18">
        <v>306747</v>
      </c>
      <c r="H1350" t="s">
        <v>2</v>
      </c>
      <c r="I1350" t="s">
        <v>8</v>
      </c>
      <c r="J1350" s="18">
        <v>25444663.649999999</v>
      </c>
      <c r="K1350" t="s">
        <v>2274</v>
      </c>
      <c r="L1350" t="s">
        <v>9</v>
      </c>
      <c r="M1350" t="s">
        <v>2275</v>
      </c>
      <c r="N1350" t="s">
        <v>3</v>
      </c>
      <c r="O1350" t="s">
        <v>3</v>
      </c>
      <c r="P1350" t="s">
        <v>5</v>
      </c>
      <c r="Q1350" t="s">
        <v>2276</v>
      </c>
      <c r="R1350" t="s">
        <v>3</v>
      </c>
      <c r="S1350" t="s">
        <v>3</v>
      </c>
      <c r="T1350" t="s">
        <v>3</v>
      </c>
      <c r="U1350" t="s">
        <v>3</v>
      </c>
      <c r="V1350" t="s">
        <v>3</v>
      </c>
      <c r="W1350" t="s">
        <v>68</v>
      </c>
      <c r="X1350" s="17">
        <v>43497</v>
      </c>
      <c r="Y1350" t="s">
        <v>2281</v>
      </c>
      <c r="Z1350" s="17">
        <v>43496</v>
      </c>
      <c r="AA1350" t="s">
        <v>3</v>
      </c>
      <c r="AB1350" t="s">
        <v>2281</v>
      </c>
    </row>
    <row r="1351" spans="1:28" hidden="1">
      <c r="A1351" t="s">
        <v>2285</v>
      </c>
      <c r="B1351" s="17">
        <v>43499</v>
      </c>
      <c r="C1351" s="17">
        <v>43499</v>
      </c>
      <c r="D1351" t="s">
        <v>38</v>
      </c>
      <c r="E1351" t="s">
        <v>1</v>
      </c>
      <c r="F1351" s="18">
        <v>-289323</v>
      </c>
      <c r="G1351" s="18">
        <v>-289323</v>
      </c>
      <c r="H1351" t="s">
        <v>2</v>
      </c>
      <c r="I1351" t="s">
        <v>8</v>
      </c>
      <c r="J1351" s="18">
        <v>-23999342.850000001</v>
      </c>
      <c r="K1351" t="s">
        <v>3</v>
      </c>
      <c r="L1351" t="s">
        <v>9</v>
      </c>
      <c r="M1351" t="s">
        <v>2286</v>
      </c>
      <c r="N1351" t="s">
        <v>3</v>
      </c>
      <c r="O1351" t="s">
        <v>3</v>
      </c>
      <c r="P1351" t="s">
        <v>5</v>
      </c>
      <c r="Q1351" t="s">
        <v>2287</v>
      </c>
      <c r="R1351" t="s">
        <v>3</v>
      </c>
      <c r="S1351" t="s">
        <v>3</v>
      </c>
      <c r="T1351" t="s">
        <v>3</v>
      </c>
      <c r="U1351" t="s">
        <v>3</v>
      </c>
      <c r="V1351" t="s">
        <v>3</v>
      </c>
      <c r="W1351" t="s">
        <v>68</v>
      </c>
      <c r="X1351" s="17">
        <v>43499</v>
      </c>
      <c r="Y1351" t="s">
        <v>2285</v>
      </c>
      <c r="Z1351" s="17">
        <v>43499</v>
      </c>
      <c r="AA1351" t="s">
        <v>3</v>
      </c>
      <c r="AB1351" t="s">
        <v>2285</v>
      </c>
    </row>
    <row r="1352" spans="1:28" hidden="1">
      <c r="A1352" t="s">
        <v>2285</v>
      </c>
      <c r="B1352" s="17">
        <v>43499</v>
      </c>
      <c r="C1352" s="17">
        <v>43499</v>
      </c>
      <c r="D1352" t="s">
        <v>38</v>
      </c>
      <c r="E1352" t="s">
        <v>1</v>
      </c>
      <c r="F1352" s="18">
        <v>-135393</v>
      </c>
      <c r="G1352" s="18">
        <v>-135393</v>
      </c>
      <c r="H1352" t="s">
        <v>2</v>
      </c>
      <c r="I1352" t="s">
        <v>8</v>
      </c>
      <c r="J1352" s="18">
        <v>-11230849.35</v>
      </c>
      <c r="K1352" t="s">
        <v>3</v>
      </c>
      <c r="L1352" t="s">
        <v>9</v>
      </c>
      <c r="M1352" t="s">
        <v>2286</v>
      </c>
      <c r="N1352" t="s">
        <v>3</v>
      </c>
      <c r="O1352" t="s">
        <v>3</v>
      </c>
      <c r="P1352" t="s">
        <v>5</v>
      </c>
      <c r="Q1352" t="s">
        <v>2287</v>
      </c>
      <c r="R1352" t="s">
        <v>3</v>
      </c>
      <c r="S1352" t="s">
        <v>3</v>
      </c>
      <c r="T1352" t="s">
        <v>3</v>
      </c>
      <c r="U1352" t="s">
        <v>3</v>
      </c>
      <c r="V1352" t="s">
        <v>3</v>
      </c>
      <c r="W1352" t="s">
        <v>68</v>
      </c>
      <c r="X1352" s="17">
        <v>43499</v>
      </c>
      <c r="Y1352" t="s">
        <v>2285</v>
      </c>
      <c r="Z1352" s="17">
        <v>43499</v>
      </c>
      <c r="AA1352" t="s">
        <v>3</v>
      </c>
      <c r="AB1352" t="s">
        <v>2285</v>
      </c>
    </row>
    <row r="1353" spans="1:28" hidden="1">
      <c r="A1353" t="s">
        <v>2285</v>
      </c>
      <c r="B1353" s="17">
        <v>43499</v>
      </c>
      <c r="C1353" s="17">
        <v>43499</v>
      </c>
      <c r="D1353" t="s">
        <v>38</v>
      </c>
      <c r="E1353" t="s">
        <v>1</v>
      </c>
      <c r="F1353" s="18">
        <v>-138418</v>
      </c>
      <c r="G1353" s="18">
        <v>-138418</v>
      </c>
      <c r="H1353" t="s">
        <v>2</v>
      </c>
      <c r="I1353" t="s">
        <v>8</v>
      </c>
      <c r="J1353" s="18">
        <v>-11481773.1</v>
      </c>
      <c r="K1353" t="s">
        <v>3</v>
      </c>
      <c r="L1353" t="s">
        <v>9</v>
      </c>
      <c r="M1353" t="s">
        <v>2286</v>
      </c>
      <c r="N1353" t="s">
        <v>3</v>
      </c>
      <c r="O1353" t="s">
        <v>3</v>
      </c>
      <c r="P1353" t="s">
        <v>5</v>
      </c>
      <c r="Q1353" t="s">
        <v>2287</v>
      </c>
      <c r="R1353" t="s">
        <v>3</v>
      </c>
      <c r="S1353" t="s">
        <v>3</v>
      </c>
      <c r="T1353" t="s">
        <v>3</v>
      </c>
      <c r="U1353" t="s">
        <v>3</v>
      </c>
      <c r="V1353" t="s">
        <v>3</v>
      </c>
      <c r="W1353" t="s">
        <v>68</v>
      </c>
      <c r="X1353" s="17">
        <v>43499</v>
      </c>
      <c r="Y1353" t="s">
        <v>2285</v>
      </c>
      <c r="Z1353" s="17">
        <v>43499</v>
      </c>
      <c r="AA1353" t="s">
        <v>3</v>
      </c>
      <c r="AB1353" t="s">
        <v>2285</v>
      </c>
    </row>
    <row r="1354" spans="1:28" hidden="1">
      <c r="A1354" t="s">
        <v>2285</v>
      </c>
      <c r="B1354" s="17">
        <v>43499</v>
      </c>
      <c r="C1354" s="17">
        <v>43499</v>
      </c>
      <c r="D1354" t="s">
        <v>38</v>
      </c>
      <c r="E1354" t="s">
        <v>1</v>
      </c>
      <c r="F1354" s="18">
        <v>-146131</v>
      </c>
      <c r="G1354" s="18">
        <v>-146131</v>
      </c>
      <c r="H1354" t="s">
        <v>2</v>
      </c>
      <c r="I1354" t="s">
        <v>8</v>
      </c>
      <c r="J1354" s="18">
        <v>-12114259.9</v>
      </c>
      <c r="K1354" t="s">
        <v>3</v>
      </c>
      <c r="L1354" t="s">
        <v>9</v>
      </c>
      <c r="M1354" t="s">
        <v>2286</v>
      </c>
      <c r="N1354" t="s">
        <v>3</v>
      </c>
      <c r="O1354" t="s">
        <v>3</v>
      </c>
      <c r="P1354" t="s">
        <v>5</v>
      </c>
      <c r="Q1354" t="s">
        <v>2287</v>
      </c>
      <c r="R1354" t="s">
        <v>3</v>
      </c>
      <c r="S1354" t="s">
        <v>3</v>
      </c>
      <c r="T1354" t="s">
        <v>3</v>
      </c>
      <c r="U1354" t="s">
        <v>3</v>
      </c>
      <c r="V1354" t="s">
        <v>3</v>
      </c>
      <c r="W1354" t="s">
        <v>68</v>
      </c>
      <c r="X1354" s="17">
        <v>43499</v>
      </c>
      <c r="Y1354" t="s">
        <v>2285</v>
      </c>
      <c r="Z1354" s="17">
        <v>43499</v>
      </c>
      <c r="AA1354" t="s">
        <v>3</v>
      </c>
      <c r="AB1354" t="s">
        <v>2285</v>
      </c>
    </row>
    <row r="1355" spans="1:28" hidden="1">
      <c r="A1355" t="s">
        <v>2285</v>
      </c>
      <c r="B1355" s="17">
        <v>43499</v>
      </c>
      <c r="C1355" s="17">
        <v>43499</v>
      </c>
      <c r="D1355" t="s">
        <v>38</v>
      </c>
      <c r="E1355" t="s">
        <v>1</v>
      </c>
      <c r="F1355" s="18">
        <v>-2422</v>
      </c>
      <c r="G1355" s="18">
        <v>-2422</v>
      </c>
      <c r="H1355" t="s">
        <v>2</v>
      </c>
      <c r="I1355" t="s">
        <v>8</v>
      </c>
      <c r="J1355" s="18">
        <v>-200904.9</v>
      </c>
      <c r="K1355" t="s">
        <v>3</v>
      </c>
      <c r="L1355" t="s">
        <v>9</v>
      </c>
      <c r="M1355" t="s">
        <v>2286</v>
      </c>
      <c r="N1355" t="s">
        <v>3</v>
      </c>
      <c r="O1355" t="s">
        <v>3</v>
      </c>
      <c r="P1355" t="s">
        <v>5</v>
      </c>
      <c r="Q1355" t="s">
        <v>2287</v>
      </c>
      <c r="R1355" t="s">
        <v>3</v>
      </c>
      <c r="S1355" t="s">
        <v>3</v>
      </c>
      <c r="T1355" t="s">
        <v>3</v>
      </c>
      <c r="U1355" t="s">
        <v>3</v>
      </c>
      <c r="V1355" t="s">
        <v>3</v>
      </c>
      <c r="W1355" t="s">
        <v>68</v>
      </c>
      <c r="X1355" s="17">
        <v>43499</v>
      </c>
      <c r="Y1355" t="s">
        <v>2285</v>
      </c>
      <c r="Z1355" s="17">
        <v>43499</v>
      </c>
      <c r="AA1355" t="s">
        <v>3</v>
      </c>
      <c r="AB1355" t="s">
        <v>2285</v>
      </c>
    </row>
    <row r="1356" spans="1:28" hidden="1">
      <c r="A1356" t="s">
        <v>2285</v>
      </c>
      <c r="B1356" s="17">
        <v>43499</v>
      </c>
      <c r="C1356" s="17">
        <v>43499</v>
      </c>
      <c r="D1356" t="s">
        <v>38</v>
      </c>
      <c r="E1356" t="s">
        <v>1</v>
      </c>
      <c r="F1356" s="18">
        <v>-92819</v>
      </c>
      <c r="G1356" s="18">
        <v>-92819</v>
      </c>
      <c r="H1356" t="s">
        <v>2</v>
      </c>
      <c r="I1356" t="s">
        <v>8</v>
      </c>
      <c r="J1356" s="18">
        <v>-7685413.2000000002</v>
      </c>
      <c r="K1356" t="s">
        <v>3</v>
      </c>
      <c r="L1356" t="s">
        <v>9</v>
      </c>
      <c r="M1356" t="s">
        <v>2286</v>
      </c>
      <c r="N1356" t="s">
        <v>3</v>
      </c>
      <c r="O1356" t="s">
        <v>3</v>
      </c>
      <c r="P1356" t="s">
        <v>5</v>
      </c>
      <c r="Q1356" t="s">
        <v>2287</v>
      </c>
      <c r="R1356" t="s">
        <v>3</v>
      </c>
      <c r="S1356" t="s">
        <v>3</v>
      </c>
      <c r="T1356" t="s">
        <v>3</v>
      </c>
      <c r="U1356" t="s">
        <v>3</v>
      </c>
      <c r="V1356" t="s">
        <v>3</v>
      </c>
      <c r="W1356" t="s">
        <v>68</v>
      </c>
      <c r="X1356" s="17">
        <v>43499</v>
      </c>
      <c r="Y1356" t="s">
        <v>2285</v>
      </c>
      <c r="Z1356" s="17">
        <v>43499</v>
      </c>
      <c r="AA1356" t="s">
        <v>3</v>
      </c>
      <c r="AB1356" t="s">
        <v>2285</v>
      </c>
    </row>
    <row r="1357" spans="1:28" hidden="1">
      <c r="A1357" t="s">
        <v>2285</v>
      </c>
      <c r="B1357" s="17">
        <v>43499</v>
      </c>
      <c r="C1357" s="17">
        <v>43499</v>
      </c>
      <c r="D1357" t="s">
        <v>38</v>
      </c>
      <c r="E1357" t="s">
        <v>1</v>
      </c>
      <c r="F1357" s="18">
        <v>-224843</v>
      </c>
      <c r="G1357" s="18">
        <v>-224843</v>
      </c>
      <c r="H1357" t="s">
        <v>2</v>
      </c>
      <c r="I1357" t="s">
        <v>8</v>
      </c>
      <c r="J1357" s="18">
        <v>-18650726.850000001</v>
      </c>
      <c r="K1357" t="s">
        <v>2286</v>
      </c>
      <c r="L1357" t="s">
        <v>9</v>
      </c>
      <c r="M1357" t="s">
        <v>2286</v>
      </c>
      <c r="N1357" t="s">
        <v>3</v>
      </c>
      <c r="O1357" t="s">
        <v>3</v>
      </c>
      <c r="P1357" t="s">
        <v>5</v>
      </c>
      <c r="Q1357" t="s">
        <v>2287</v>
      </c>
      <c r="R1357" t="s">
        <v>3</v>
      </c>
      <c r="S1357" t="s">
        <v>3</v>
      </c>
      <c r="T1357" t="s">
        <v>3</v>
      </c>
      <c r="U1357" t="s">
        <v>3</v>
      </c>
      <c r="V1357" t="s">
        <v>3</v>
      </c>
      <c r="W1357" t="s">
        <v>68</v>
      </c>
      <c r="X1357" s="17">
        <v>43499</v>
      </c>
      <c r="Y1357" t="s">
        <v>2285</v>
      </c>
      <c r="Z1357" s="17">
        <v>43499</v>
      </c>
      <c r="AA1357" t="s">
        <v>3</v>
      </c>
      <c r="AB1357" t="s">
        <v>2285</v>
      </c>
    </row>
    <row r="1358" spans="1:28" hidden="1">
      <c r="A1358" t="s">
        <v>2288</v>
      </c>
      <c r="B1358" s="17">
        <v>43499</v>
      </c>
      <c r="C1358" s="17">
        <v>43499</v>
      </c>
      <c r="D1358" t="s">
        <v>38</v>
      </c>
      <c r="E1358" t="s">
        <v>1</v>
      </c>
      <c r="F1358" s="18">
        <v>-289323</v>
      </c>
      <c r="G1358" s="18">
        <v>-289323</v>
      </c>
      <c r="H1358" t="s">
        <v>2</v>
      </c>
      <c r="I1358" t="s">
        <v>8</v>
      </c>
      <c r="J1358" s="18">
        <v>-23999342.850000001</v>
      </c>
      <c r="K1358" t="s">
        <v>3</v>
      </c>
      <c r="L1358" t="s">
        <v>9</v>
      </c>
      <c r="M1358" t="s">
        <v>2286</v>
      </c>
      <c r="N1358" t="s">
        <v>3</v>
      </c>
      <c r="O1358" t="s">
        <v>3</v>
      </c>
      <c r="P1358" t="s">
        <v>5</v>
      </c>
      <c r="Q1358" t="s">
        <v>2287</v>
      </c>
      <c r="R1358" t="s">
        <v>3</v>
      </c>
      <c r="S1358" t="s">
        <v>3</v>
      </c>
      <c r="T1358" t="s">
        <v>3</v>
      </c>
      <c r="U1358" t="s">
        <v>3</v>
      </c>
      <c r="V1358" t="s">
        <v>3</v>
      </c>
      <c r="W1358" t="s">
        <v>68</v>
      </c>
      <c r="X1358" s="17">
        <v>43499</v>
      </c>
      <c r="Y1358" t="s">
        <v>2288</v>
      </c>
      <c r="Z1358" s="17">
        <v>43499</v>
      </c>
      <c r="AA1358" t="s">
        <v>3</v>
      </c>
      <c r="AB1358" t="s">
        <v>2288</v>
      </c>
    </row>
    <row r="1359" spans="1:28" hidden="1">
      <c r="A1359" t="s">
        <v>2288</v>
      </c>
      <c r="B1359" s="17">
        <v>43499</v>
      </c>
      <c r="C1359" s="17">
        <v>43499</v>
      </c>
      <c r="D1359" t="s">
        <v>38</v>
      </c>
      <c r="E1359" t="s">
        <v>1</v>
      </c>
      <c r="F1359" s="18">
        <v>-135393</v>
      </c>
      <c r="G1359" s="18">
        <v>-135393</v>
      </c>
      <c r="H1359" t="s">
        <v>2</v>
      </c>
      <c r="I1359" t="s">
        <v>8</v>
      </c>
      <c r="J1359" s="18">
        <v>-11230849.35</v>
      </c>
      <c r="K1359" t="s">
        <v>3</v>
      </c>
      <c r="L1359" t="s">
        <v>9</v>
      </c>
      <c r="M1359" t="s">
        <v>2286</v>
      </c>
      <c r="N1359" t="s">
        <v>3</v>
      </c>
      <c r="O1359" t="s">
        <v>3</v>
      </c>
      <c r="P1359" t="s">
        <v>5</v>
      </c>
      <c r="Q1359" t="s">
        <v>2287</v>
      </c>
      <c r="R1359" t="s">
        <v>3</v>
      </c>
      <c r="S1359" t="s">
        <v>3</v>
      </c>
      <c r="T1359" t="s">
        <v>3</v>
      </c>
      <c r="U1359" t="s">
        <v>3</v>
      </c>
      <c r="V1359" t="s">
        <v>3</v>
      </c>
      <c r="W1359" t="s">
        <v>68</v>
      </c>
      <c r="X1359" s="17">
        <v>43499</v>
      </c>
      <c r="Y1359" t="s">
        <v>2288</v>
      </c>
      <c r="Z1359" s="17">
        <v>43499</v>
      </c>
      <c r="AA1359" t="s">
        <v>3</v>
      </c>
      <c r="AB1359" t="s">
        <v>2288</v>
      </c>
    </row>
    <row r="1360" spans="1:28" hidden="1">
      <c r="A1360" t="s">
        <v>2288</v>
      </c>
      <c r="B1360" s="17">
        <v>43499</v>
      </c>
      <c r="C1360" s="17">
        <v>43499</v>
      </c>
      <c r="D1360" t="s">
        <v>38</v>
      </c>
      <c r="E1360" t="s">
        <v>1</v>
      </c>
      <c r="F1360" s="18">
        <v>-138418</v>
      </c>
      <c r="G1360" s="18">
        <v>-138418</v>
      </c>
      <c r="H1360" t="s">
        <v>2</v>
      </c>
      <c r="I1360" t="s">
        <v>8</v>
      </c>
      <c r="J1360" s="18">
        <v>-11481773.1</v>
      </c>
      <c r="K1360" t="s">
        <v>3</v>
      </c>
      <c r="L1360" t="s">
        <v>9</v>
      </c>
      <c r="M1360" t="s">
        <v>2286</v>
      </c>
      <c r="N1360" t="s">
        <v>3</v>
      </c>
      <c r="O1360" t="s">
        <v>3</v>
      </c>
      <c r="P1360" t="s">
        <v>5</v>
      </c>
      <c r="Q1360" t="s">
        <v>2287</v>
      </c>
      <c r="R1360" t="s">
        <v>3</v>
      </c>
      <c r="S1360" t="s">
        <v>3</v>
      </c>
      <c r="T1360" t="s">
        <v>3</v>
      </c>
      <c r="U1360" t="s">
        <v>3</v>
      </c>
      <c r="V1360" t="s">
        <v>3</v>
      </c>
      <c r="W1360" t="s">
        <v>68</v>
      </c>
      <c r="X1360" s="17">
        <v>43499</v>
      </c>
      <c r="Y1360" t="s">
        <v>2288</v>
      </c>
      <c r="Z1360" s="17">
        <v>43499</v>
      </c>
      <c r="AA1360" t="s">
        <v>3</v>
      </c>
      <c r="AB1360" t="s">
        <v>2288</v>
      </c>
    </row>
    <row r="1361" spans="1:28" hidden="1">
      <c r="A1361" t="s">
        <v>2288</v>
      </c>
      <c r="B1361" s="17">
        <v>43499</v>
      </c>
      <c r="C1361" s="17">
        <v>43499</v>
      </c>
      <c r="D1361" t="s">
        <v>38</v>
      </c>
      <c r="E1361" t="s">
        <v>1</v>
      </c>
      <c r="F1361" s="18">
        <v>-146131</v>
      </c>
      <c r="G1361" s="18">
        <v>-146131</v>
      </c>
      <c r="H1361" t="s">
        <v>2</v>
      </c>
      <c r="I1361" t="s">
        <v>8</v>
      </c>
      <c r="J1361" s="18">
        <v>-12114259.9</v>
      </c>
      <c r="K1361" t="s">
        <v>3</v>
      </c>
      <c r="L1361" t="s">
        <v>9</v>
      </c>
      <c r="M1361" t="s">
        <v>2286</v>
      </c>
      <c r="N1361" t="s">
        <v>3</v>
      </c>
      <c r="O1361" t="s">
        <v>3</v>
      </c>
      <c r="P1361" t="s">
        <v>5</v>
      </c>
      <c r="Q1361" t="s">
        <v>2287</v>
      </c>
      <c r="R1361" t="s">
        <v>3</v>
      </c>
      <c r="S1361" t="s">
        <v>3</v>
      </c>
      <c r="T1361" t="s">
        <v>3</v>
      </c>
      <c r="U1361" t="s">
        <v>3</v>
      </c>
      <c r="V1361" t="s">
        <v>3</v>
      </c>
      <c r="W1361" t="s">
        <v>68</v>
      </c>
      <c r="X1361" s="17">
        <v>43499</v>
      </c>
      <c r="Y1361" t="s">
        <v>2288</v>
      </c>
      <c r="Z1361" s="17">
        <v>43499</v>
      </c>
      <c r="AA1361" t="s">
        <v>3</v>
      </c>
      <c r="AB1361" t="s">
        <v>2288</v>
      </c>
    </row>
    <row r="1362" spans="1:28" hidden="1">
      <c r="A1362" t="s">
        <v>2288</v>
      </c>
      <c r="B1362" s="17">
        <v>43499</v>
      </c>
      <c r="C1362" s="17">
        <v>43499</v>
      </c>
      <c r="D1362" t="s">
        <v>38</v>
      </c>
      <c r="E1362" t="s">
        <v>1</v>
      </c>
      <c r="F1362" s="18">
        <v>-2422</v>
      </c>
      <c r="G1362" s="18">
        <v>-2422</v>
      </c>
      <c r="H1362" t="s">
        <v>2</v>
      </c>
      <c r="I1362" t="s">
        <v>8</v>
      </c>
      <c r="J1362" s="18">
        <v>-200904.9</v>
      </c>
      <c r="K1362" t="s">
        <v>3</v>
      </c>
      <c r="L1362" t="s">
        <v>9</v>
      </c>
      <c r="M1362" t="s">
        <v>2286</v>
      </c>
      <c r="N1362" t="s">
        <v>3</v>
      </c>
      <c r="O1362" t="s">
        <v>3</v>
      </c>
      <c r="P1362" t="s">
        <v>5</v>
      </c>
      <c r="Q1362" t="s">
        <v>2287</v>
      </c>
      <c r="R1362" t="s">
        <v>3</v>
      </c>
      <c r="S1362" t="s">
        <v>3</v>
      </c>
      <c r="T1362" t="s">
        <v>3</v>
      </c>
      <c r="U1362" t="s">
        <v>3</v>
      </c>
      <c r="V1362" t="s">
        <v>3</v>
      </c>
      <c r="W1362" t="s">
        <v>68</v>
      </c>
      <c r="X1362" s="17">
        <v>43499</v>
      </c>
      <c r="Y1362" t="s">
        <v>2288</v>
      </c>
      <c r="Z1362" s="17">
        <v>43499</v>
      </c>
      <c r="AA1362" t="s">
        <v>3</v>
      </c>
      <c r="AB1362" t="s">
        <v>2288</v>
      </c>
    </row>
    <row r="1363" spans="1:28" hidden="1">
      <c r="A1363" t="s">
        <v>2288</v>
      </c>
      <c r="B1363" s="17">
        <v>43499</v>
      </c>
      <c r="C1363" s="17">
        <v>43499</v>
      </c>
      <c r="D1363" t="s">
        <v>38</v>
      </c>
      <c r="E1363" t="s">
        <v>1</v>
      </c>
      <c r="F1363" s="18">
        <v>-92819</v>
      </c>
      <c r="G1363" s="18">
        <v>-92819</v>
      </c>
      <c r="H1363" t="s">
        <v>2</v>
      </c>
      <c r="I1363" t="s">
        <v>8</v>
      </c>
      <c r="J1363" s="18">
        <v>-7685413.2000000002</v>
      </c>
      <c r="K1363" t="s">
        <v>3</v>
      </c>
      <c r="L1363" t="s">
        <v>9</v>
      </c>
      <c r="M1363" t="s">
        <v>2286</v>
      </c>
      <c r="N1363" t="s">
        <v>3</v>
      </c>
      <c r="O1363" t="s">
        <v>3</v>
      </c>
      <c r="P1363" t="s">
        <v>5</v>
      </c>
      <c r="Q1363" t="s">
        <v>2287</v>
      </c>
      <c r="R1363" t="s">
        <v>3</v>
      </c>
      <c r="S1363" t="s">
        <v>3</v>
      </c>
      <c r="T1363" t="s">
        <v>3</v>
      </c>
      <c r="U1363" t="s">
        <v>3</v>
      </c>
      <c r="V1363" t="s">
        <v>3</v>
      </c>
      <c r="W1363" t="s">
        <v>68</v>
      </c>
      <c r="X1363" s="17">
        <v>43499</v>
      </c>
      <c r="Y1363" t="s">
        <v>2288</v>
      </c>
      <c r="Z1363" s="17">
        <v>43499</v>
      </c>
      <c r="AA1363" t="s">
        <v>3</v>
      </c>
      <c r="AB1363" t="s">
        <v>2288</v>
      </c>
    </row>
    <row r="1364" spans="1:28" hidden="1">
      <c r="A1364" t="s">
        <v>2288</v>
      </c>
      <c r="B1364" s="17">
        <v>43499</v>
      </c>
      <c r="C1364" s="17">
        <v>43499</v>
      </c>
      <c r="D1364" t="s">
        <v>38</v>
      </c>
      <c r="E1364" t="s">
        <v>1</v>
      </c>
      <c r="F1364" s="18">
        <v>-224843</v>
      </c>
      <c r="G1364" s="18">
        <v>-224843</v>
      </c>
      <c r="H1364" t="s">
        <v>2</v>
      </c>
      <c r="I1364" t="s">
        <v>8</v>
      </c>
      <c r="J1364" s="18">
        <v>-18650726.850000001</v>
      </c>
      <c r="K1364" t="s">
        <v>2286</v>
      </c>
      <c r="L1364" t="s">
        <v>9</v>
      </c>
      <c r="M1364" t="s">
        <v>2286</v>
      </c>
      <c r="N1364" t="s">
        <v>3</v>
      </c>
      <c r="O1364" t="s">
        <v>3</v>
      </c>
      <c r="P1364" t="s">
        <v>5</v>
      </c>
      <c r="Q1364" t="s">
        <v>2287</v>
      </c>
      <c r="R1364" t="s">
        <v>3</v>
      </c>
      <c r="S1364" t="s">
        <v>3</v>
      </c>
      <c r="T1364" t="s">
        <v>3</v>
      </c>
      <c r="U1364" t="s">
        <v>3</v>
      </c>
      <c r="V1364" t="s">
        <v>3</v>
      </c>
      <c r="W1364" t="s">
        <v>68</v>
      </c>
      <c r="X1364" s="17">
        <v>43499</v>
      </c>
      <c r="Y1364" t="s">
        <v>2288</v>
      </c>
      <c r="Z1364" s="17">
        <v>43499</v>
      </c>
      <c r="AA1364" t="s">
        <v>3</v>
      </c>
      <c r="AB1364" t="s">
        <v>2288</v>
      </c>
    </row>
    <row r="1365" spans="1:28" hidden="1">
      <c r="A1365" t="s">
        <v>3610</v>
      </c>
      <c r="B1365" s="17">
        <v>43499</v>
      </c>
      <c r="C1365" s="17">
        <v>43499</v>
      </c>
      <c r="D1365" t="s">
        <v>0</v>
      </c>
      <c r="E1365" t="s">
        <v>1</v>
      </c>
      <c r="F1365" s="18">
        <v>-306747</v>
      </c>
      <c r="G1365" s="18">
        <v>-306747</v>
      </c>
      <c r="H1365" t="s">
        <v>2</v>
      </c>
      <c r="I1365" t="s">
        <v>8</v>
      </c>
      <c r="J1365" s="18">
        <v>-25444663.649999999</v>
      </c>
      <c r="K1365" t="s">
        <v>3611</v>
      </c>
      <c r="L1365" t="s">
        <v>9</v>
      </c>
      <c r="M1365" t="s">
        <v>3612</v>
      </c>
      <c r="N1365" t="s">
        <v>3</v>
      </c>
      <c r="O1365" t="s">
        <v>3</v>
      </c>
      <c r="P1365" t="s">
        <v>5</v>
      </c>
      <c r="Q1365" t="s">
        <v>3613</v>
      </c>
      <c r="R1365" t="s">
        <v>3</v>
      </c>
      <c r="S1365" t="s">
        <v>3</v>
      </c>
      <c r="T1365" t="s">
        <v>3</v>
      </c>
      <c r="U1365" t="s">
        <v>3</v>
      </c>
      <c r="V1365" t="s">
        <v>3</v>
      </c>
      <c r="W1365" t="s">
        <v>68</v>
      </c>
      <c r="X1365" s="17">
        <v>43646</v>
      </c>
      <c r="Y1365" t="s">
        <v>2479</v>
      </c>
      <c r="Z1365" s="17">
        <v>43499</v>
      </c>
      <c r="AA1365" t="s">
        <v>3</v>
      </c>
      <c r="AB1365" t="s">
        <v>3610</v>
      </c>
    </row>
    <row r="1366" spans="1:28" hidden="1">
      <c r="A1366" t="s">
        <v>3747</v>
      </c>
      <c r="B1366" s="17">
        <v>43499</v>
      </c>
      <c r="C1366" s="17">
        <v>43499</v>
      </c>
      <c r="D1366" t="s">
        <v>0</v>
      </c>
      <c r="E1366" t="s">
        <v>1</v>
      </c>
      <c r="F1366" s="18">
        <v>289323</v>
      </c>
      <c r="G1366" s="18">
        <v>289323</v>
      </c>
      <c r="H1366" t="s">
        <v>2</v>
      </c>
      <c r="I1366" t="s">
        <v>8</v>
      </c>
      <c r="J1366" s="18">
        <v>23999342.850000001</v>
      </c>
      <c r="K1366" t="s">
        <v>3</v>
      </c>
      <c r="L1366" t="s">
        <v>9</v>
      </c>
      <c r="M1366" t="s">
        <v>2286</v>
      </c>
      <c r="N1366" t="s">
        <v>3</v>
      </c>
      <c r="O1366" t="s">
        <v>3</v>
      </c>
      <c r="P1366" t="s">
        <v>5</v>
      </c>
      <c r="Q1366" t="s">
        <v>2287</v>
      </c>
      <c r="R1366" t="s">
        <v>3</v>
      </c>
      <c r="S1366" t="s">
        <v>3</v>
      </c>
      <c r="T1366" t="s">
        <v>3</v>
      </c>
      <c r="U1366" t="s">
        <v>3</v>
      </c>
      <c r="V1366" t="s">
        <v>3</v>
      </c>
      <c r="W1366" t="s">
        <v>68</v>
      </c>
      <c r="X1366" s="17">
        <v>43499</v>
      </c>
      <c r="Y1366" t="s">
        <v>2285</v>
      </c>
      <c r="Z1366" s="17">
        <v>43499</v>
      </c>
      <c r="AA1366" t="s">
        <v>3</v>
      </c>
      <c r="AB1366" t="s">
        <v>3747</v>
      </c>
    </row>
    <row r="1367" spans="1:28" hidden="1">
      <c r="A1367" t="s">
        <v>3747</v>
      </c>
      <c r="B1367" s="17">
        <v>43499</v>
      </c>
      <c r="C1367" s="17">
        <v>43499</v>
      </c>
      <c r="D1367" t="s">
        <v>0</v>
      </c>
      <c r="E1367" t="s">
        <v>1</v>
      </c>
      <c r="F1367" s="18">
        <v>135393</v>
      </c>
      <c r="G1367" s="18">
        <v>135393</v>
      </c>
      <c r="H1367" t="s">
        <v>2</v>
      </c>
      <c r="I1367" t="s">
        <v>8</v>
      </c>
      <c r="J1367" s="18">
        <v>11230849.35</v>
      </c>
      <c r="K1367" t="s">
        <v>3</v>
      </c>
      <c r="L1367" t="s">
        <v>9</v>
      </c>
      <c r="M1367" t="s">
        <v>2286</v>
      </c>
      <c r="N1367" t="s">
        <v>3</v>
      </c>
      <c r="O1367" t="s">
        <v>3</v>
      </c>
      <c r="P1367" t="s">
        <v>5</v>
      </c>
      <c r="Q1367" t="s">
        <v>2287</v>
      </c>
      <c r="R1367" t="s">
        <v>3</v>
      </c>
      <c r="S1367" t="s">
        <v>3</v>
      </c>
      <c r="T1367" t="s">
        <v>3</v>
      </c>
      <c r="U1367" t="s">
        <v>3</v>
      </c>
      <c r="V1367" t="s">
        <v>3</v>
      </c>
      <c r="W1367" t="s">
        <v>68</v>
      </c>
      <c r="X1367" s="17">
        <v>43499</v>
      </c>
      <c r="Y1367" t="s">
        <v>2285</v>
      </c>
      <c r="Z1367" s="17">
        <v>43499</v>
      </c>
      <c r="AA1367" t="s">
        <v>3</v>
      </c>
      <c r="AB1367" t="s">
        <v>3747</v>
      </c>
    </row>
    <row r="1368" spans="1:28" hidden="1">
      <c r="A1368" t="s">
        <v>3747</v>
      </c>
      <c r="B1368" s="17">
        <v>43499</v>
      </c>
      <c r="C1368" s="17">
        <v>43499</v>
      </c>
      <c r="D1368" t="s">
        <v>0</v>
      </c>
      <c r="E1368" t="s">
        <v>1</v>
      </c>
      <c r="F1368" s="18">
        <v>138418</v>
      </c>
      <c r="G1368" s="18">
        <v>138418</v>
      </c>
      <c r="H1368" t="s">
        <v>2</v>
      </c>
      <c r="I1368" t="s">
        <v>8</v>
      </c>
      <c r="J1368" s="18">
        <v>11481773.1</v>
      </c>
      <c r="K1368" t="s">
        <v>3</v>
      </c>
      <c r="L1368" t="s">
        <v>9</v>
      </c>
      <c r="M1368" t="s">
        <v>2286</v>
      </c>
      <c r="N1368" t="s">
        <v>3</v>
      </c>
      <c r="O1368" t="s">
        <v>3</v>
      </c>
      <c r="P1368" t="s">
        <v>5</v>
      </c>
      <c r="Q1368" t="s">
        <v>2287</v>
      </c>
      <c r="R1368" t="s">
        <v>3</v>
      </c>
      <c r="S1368" t="s">
        <v>3</v>
      </c>
      <c r="T1368" t="s">
        <v>3</v>
      </c>
      <c r="U1368" t="s">
        <v>3</v>
      </c>
      <c r="V1368" t="s">
        <v>3</v>
      </c>
      <c r="W1368" t="s">
        <v>68</v>
      </c>
      <c r="X1368" s="17">
        <v>43499</v>
      </c>
      <c r="Y1368" t="s">
        <v>2285</v>
      </c>
      <c r="Z1368" s="17">
        <v>43499</v>
      </c>
      <c r="AA1368" t="s">
        <v>3</v>
      </c>
      <c r="AB1368" t="s">
        <v>3747</v>
      </c>
    </row>
    <row r="1369" spans="1:28" hidden="1">
      <c r="A1369" t="s">
        <v>3747</v>
      </c>
      <c r="B1369" s="17">
        <v>43499</v>
      </c>
      <c r="C1369" s="17">
        <v>43499</v>
      </c>
      <c r="D1369" t="s">
        <v>0</v>
      </c>
      <c r="E1369" t="s">
        <v>1</v>
      </c>
      <c r="F1369" s="18">
        <v>146131</v>
      </c>
      <c r="G1369" s="18">
        <v>146131</v>
      </c>
      <c r="H1369" t="s">
        <v>2</v>
      </c>
      <c r="I1369" t="s">
        <v>8</v>
      </c>
      <c r="J1369" s="18">
        <v>12114259.9</v>
      </c>
      <c r="K1369" t="s">
        <v>3</v>
      </c>
      <c r="L1369" t="s">
        <v>9</v>
      </c>
      <c r="M1369" t="s">
        <v>2286</v>
      </c>
      <c r="N1369" t="s">
        <v>3</v>
      </c>
      <c r="O1369" t="s">
        <v>3</v>
      </c>
      <c r="P1369" t="s">
        <v>5</v>
      </c>
      <c r="Q1369" t="s">
        <v>2287</v>
      </c>
      <c r="R1369" t="s">
        <v>3</v>
      </c>
      <c r="S1369" t="s">
        <v>3</v>
      </c>
      <c r="T1369" t="s">
        <v>3</v>
      </c>
      <c r="U1369" t="s">
        <v>3</v>
      </c>
      <c r="V1369" t="s">
        <v>3</v>
      </c>
      <c r="W1369" t="s">
        <v>68</v>
      </c>
      <c r="X1369" s="17">
        <v>43499</v>
      </c>
      <c r="Y1369" t="s">
        <v>2285</v>
      </c>
      <c r="Z1369" s="17">
        <v>43499</v>
      </c>
      <c r="AA1369" t="s">
        <v>3</v>
      </c>
      <c r="AB1369" t="s">
        <v>3747</v>
      </c>
    </row>
    <row r="1370" spans="1:28" hidden="1">
      <c r="A1370" t="s">
        <v>3747</v>
      </c>
      <c r="B1370" s="17">
        <v>43499</v>
      </c>
      <c r="C1370" s="17">
        <v>43499</v>
      </c>
      <c r="D1370" t="s">
        <v>0</v>
      </c>
      <c r="E1370" t="s">
        <v>1</v>
      </c>
      <c r="F1370" s="18">
        <v>2422</v>
      </c>
      <c r="G1370" s="18">
        <v>2422</v>
      </c>
      <c r="H1370" t="s">
        <v>2</v>
      </c>
      <c r="I1370" t="s">
        <v>8</v>
      </c>
      <c r="J1370" s="18">
        <v>200904.9</v>
      </c>
      <c r="K1370" t="s">
        <v>3</v>
      </c>
      <c r="L1370" t="s">
        <v>9</v>
      </c>
      <c r="M1370" t="s">
        <v>2286</v>
      </c>
      <c r="N1370" t="s">
        <v>3</v>
      </c>
      <c r="O1370" t="s">
        <v>3</v>
      </c>
      <c r="P1370" t="s">
        <v>5</v>
      </c>
      <c r="Q1370" t="s">
        <v>2287</v>
      </c>
      <c r="R1370" t="s">
        <v>3</v>
      </c>
      <c r="S1370" t="s">
        <v>3</v>
      </c>
      <c r="T1370" t="s">
        <v>3</v>
      </c>
      <c r="U1370" t="s">
        <v>3</v>
      </c>
      <c r="V1370" t="s">
        <v>3</v>
      </c>
      <c r="W1370" t="s">
        <v>68</v>
      </c>
      <c r="X1370" s="17">
        <v>43499</v>
      </c>
      <c r="Y1370" t="s">
        <v>2285</v>
      </c>
      <c r="Z1370" s="17">
        <v>43499</v>
      </c>
      <c r="AA1370" t="s">
        <v>3</v>
      </c>
      <c r="AB1370" t="s">
        <v>3747</v>
      </c>
    </row>
    <row r="1371" spans="1:28" hidden="1">
      <c r="A1371" t="s">
        <v>3747</v>
      </c>
      <c r="B1371" s="17">
        <v>43499</v>
      </c>
      <c r="C1371" s="17">
        <v>43499</v>
      </c>
      <c r="D1371" t="s">
        <v>0</v>
      </c>
      <c r="E1371" t="s">
        <v>1</v>
      </c>
      <c r="F1371" s="18">
        <v>92819</v>
      </c>
      <c r="G1371" s="18">
        <v>92819</v>
      </c>
      <c r="H1371" t="s">
        <v>2</v>
      </c>
      <c r="I1371" t="s">
        <v>8</v>
      </c>
      <c r="J1371" s="18">
        <v>7685413.2000000002</v>
      </c>
      <c r="K1371" t="s">
        <v>3</v>
      </c>
      <c r="L1371" t="s">
        <v>9</v>
      </c>
      <c r="M1371" t="s">
        <v>2286</v>
      </c>
      <c r="N1371" t="s">
        <v>3</v>
      </c>
      <c r="O1371" t="s">
        <v>3</v>
      </c>
      <c r="P1371" t="s">
        <v>5</v>
      </c>
      <c r="Q1371" t="s">
        <v>2287</v>
      </c>
      <c r="R1371" t="s">
        <v>3</v>
      </c>
      <c r="S1371" t="s">
        <v>3</v>
      </c>
      <c r="T1371" t="s">
        <v>3</v>
      </c>
      <c r="U1371" t="s">
        <v>3</v>
      </c>
      <c r="V1371" t="s">
        <v>3</v>
      </c>
      <c r="W1371" t="s">
        <v>68</v>
      </c>
      <c r="X1371" s="17">
        <v>43499</v>
      </c>
      <c r="Y1371" t="s">
        <v>2285</v>
      </c>
      <c r="Z1371" s="17">
        <v>43499</v>
      </c>
      <c r="AA1371" t="s">
        <v>3</v>
      </c>
      <c r="AB1371" t="s">
        <v>3747</v>
      </c>
    </row>
    <row r="1372" spans="1:28" hidden="1">
      <c r="A1372" t="s">
        <v>3747</v>
      </c>
      <c r="B1372" s="17">
        <v>43499</v>
      </c>
      <c r="C1372" s="17">
        <v>43499</v>
      </c>
      <c r="D1372" t="s">
        <v>0</v>
      </c>
      <c r="E1372" t="s">
        <v>1</v>
      </c>
      <c r="F1372" s="18">
        <v>224843</v>
      </c>
      <c r="G1372" s="18">
        <v>224843</v>
      </c>
      <c r="H1372" t="s">
        <v>2</v>
      </c>
      <c r="I1372" t="s">
        <v>8</v>
      </c>
      <c r="J1372" s="18">
        <v>18650726.850000001</v>
      </c>
      <c r="K1372" t="s">
        <v>2286</v>
      </c>
      <c r="L1372" t="s">
        <v>9</v>
      </c>
      <c r="M1372" t="s">
        <v>2286</v>
      </c>
      <c r="N1372" t="s">
        <v>3</v>
      </c>
      <c r="O1372" t="s">
        <v>3</v>
      </c>
      <c r="P1372" t="s">
        <v>5</v>
      </c>
      <c r="Q1372" t="s">
        <v>2287</v>
      </c>
      <c r="R1372" t="s">
        <v>3</v>
      </c>
      <c r="S1372" t="s">
        <v>3</v>
      </c>
      <c r="T1372" t="s">
        <v>3</v>
      </c>
      <c r="U1372" t="s">
        <v>3</v>
      </c>
      <c r="V1372" t="s">
        <v>3</v>
      </c>
      <c r="W1372" t="s">
        <v>68</v>
      </c>
      <c r="X1372" s="17">
        <v>43499</v>
      </c>
      <c r="Y1372" t="s">
        <v>2285</v>
      </c>
      <c r="Z1372" s="17">
        <v>43499</v>
      </c>
      <c r="AA1372" t="s">
        <v>3</v>
      </c>
      <c r="AB1372" t="s">
        <v>3747</v>
      </c>
    </row>
    <row r="1373" spans="1:28" hidden="1">
      <c r="A1373" t="s">
        <v>3752</v>
      </c>
      <c r="B1373" s="17">
        <v>43499</v>
      </c>
      <c r="C1373" s="17">
        <v>43499</v>
      </c>
      <c r="D1373" t="s">
        <v>0</v>
      </c>
      <c r="E1373" t="s">
        <v>1</v>
      </c>
      <c r="F1373" s="18">
        <v>289323</v>
      </c>
      <c r="G1373" s="18">
        <v>289323</v>
      </c>
      <c r="H1373" t="s">
        <v>2</v>
      </c>
      <c r="I1373" t="s">
        <v>8</v>
      </c>
      <c r="J1373" s="18">
        <v>23999342.850000001</v>
      </c>
      <c r="K1373" t="s">
        <v>3</v>
      </c>
      <c r="L1373" t="s">
        <v>9</v>
      </c>
      <c r="M1373" t="s">
        <v>2286</v>
      </c>
      <c r="N1373" t="s">
        <v>3</v>
      </c>
      <c r="O1373" t="s">
        <v>3</v>
      </c>
      <c r="P1373" t="s">
        <v>5</v>
      </c>
      <c r="Q1373" t="s">
        <v>2287</v>
      </c>
      <c r="R1373" t="s">
        <v>3</v>
      </c>
      <c r="S1373" t="s">
        <v>3</v>
      </c>
      <c r="T1373" t="s">
        <v>3</v>
      </c>
      <c r="U1373" t="s">
        <v>3</v>
      </c>
      <c r="V1373" t="s">
        <v>3</v>
      </c>
      <c r="W1373" t="s">
        <v>68</v>
      </c>
      <c r="X1373" s="17">
        <v>43499</v>
      </c>
      <c r="Y1373" t="s">
        <v>2288</v>
      </c>
      <c r="Z1373" s="17">
        <v>43499</v>
      </c>
      <c r="AA1373" t="s">
        <v>3</v>
      </c>
      <c r="AB1373" t="s">
        <v>3752</v>
      </c>
    </row>
    <row r="1374" spans="1:28" hidden="1">
      <c r="A1374" t="s">
        <v>3752</v>
      </c>
      <c r="B1374" s="17">
        <v>43499</v>
      </c>
      <c r="C1374" s="17">
        <v>43499</v>
      </c>
      <c r="D1374" t="s">
        <v>0</v>
      </c>
      <c r="E1374" t="s">
        <v>1</v>
      </c>
      <c r="F1374" s="18">
        <v>135393</v>
      </c>
      <c r="G1374" s="18">
        <v>135393</v>
      </c>
      <c r="H1374" t="s">
        <v>2</v>
      </c>
      <c r="I1374" t="s">
        <v>8</v>
      </c>
      <c r="J1374" s="18">
        <v>11230849.35</v>
      </c>
      <c r="K1374" t="s">
        <v>3</v>
      </c>
      <c r="L1374" t="s">
        <v>9</v>
      </c>
      <c r="M1374" t="s">
        <v>2286</v>
      </c>
      <c r="N1374" t="s">
        <v>3</v>
      </c>
      <c r="O1374" t="s">
        <v>3</v>
      </c>
      <c r="P1374" t="s">
        <v>5</v>
      </c>
      <c r="Q1374" t="s">
        <v>2287</v>
      </c>
      <c r="R1374" t="s">
        <v>3</v>
      </c>
      <c r="S1374" t="s">
        <v>3</v>
      </c>
      <c r="T1374" t="s">
        <v>3</v>
      </c>
      <c r="U1374" t="s">
        <v>3</v>
      </c>
      <c r="V1374" t="s">
        <v>3</v>
      </c>
      <c r="W1374" t="s">
        <v>68</v>
      </c>
      <c r="X1374" s="17">
        <v>43499</v>
      </c>
      <c r="Y1374" t="s">
        <v>2288</v>
      </c>
      <c r="Z1374" s="17">
        <v>43499</v>
      </c>
      <c r="AA1374" t="s">
        <v>3</v>
      </c>
      <c r="AB1374" t="s">
        <v>3752</v>
      </c>
    </row>
    <row r="1375" spans="1:28" hidden="1">
      <c r="A1375" t="s">
        <v>3752</v>
      </c>
      <c r="B1375" s="17">
        <v>43499</v>
      </c>
      <c r="C1375" s="17">
        <v>43499</v>
      </c>
      <c r="D1375" t="s">
        <v>0</v>
      </c>
      <c r="E1375" t="s">
        <v>1</v>
      </c>
      <c r="F1375" s="18">
        <v>138418</v>
      </c>
      <c r="G1375" s="18">
        <v>138418</v>
      </c>
      <c r="H1375" t="s">
        <v>2</v>
      </c>
      <c r="I1375" t="s">
        <v>8</v>
      </c>
      <c r="J1375" s="18">
        <v>11481773.1</v>
      </c>
      <c r="K1375" t="s">
        <v>3</v>
      </c>
      <c r="L1375" t="s">
        <v>9</v>
      </c>
      <c r="M1375" t="s">
        <v>2286</v>
      </c>
      <c r="N1375" t="s">
        <v>3</v>
      </c>
      <c r="O1375" t="s">
        <v>3</v>
      </c>
      <c r="P1375" t="s">
        <v>5</v>
      </c>
      <c r="Q1375" t="s">
        <v>2287</v>
      </c>
      <c r="R1375" t="s">
        <v>3</v>
      </c>
      <c r="S1375" t="s">
        <v>3</v>
      </c>
      <c r="T1375" t="s">
        <v>3</v>
      </c>
      <c r="U1375" t="s">
        <v>3</v>
      </c>
      <c r="V1375" t="s">
        <v>3</v>
      </c>
      <c r="W1375" t="s">
        <v>68</v>
      </c>
      <c r="X1375" s="17">
        <v>43499</v>
      </c>
      <c r="Y1375" t="s">
        <v>2288</v>
      </c>
      <c r="Z1375" s="17">
        <v>43499</v>
      </c>
      <c r="AA1375" t="s">
        <v>3</v>
      </c>
      <c r="AB1375" t="s">
        <v>3752</v>
      </c>
    </row>
    <row r="1376" spans="1:28" hidden="1">
      <c r="A1376" t="s">
        <v>3752</v>
      </c>
      <c r="B1376" s="17">
        <v>43499</v>
      </c>
      <c r="C1376" s="17">
        <v>43499</v>
      </c>
      <c r="D1376" t="s">
        <v>0</v>
      </c>
      <c r="E1376" t="s">
        <v>1</v>
      </c>
      <c r="F1376" s="18">
        <v>146131</v>
      </c>
      <c r="G1376" s="18">
        <v>146131</v>
      </c>
      <c r="H1376" t="s">
        <v>2</v>
      </c>
      <c r="I1376" t="s">
        <v>8</v>
      </c>
      <c r="J1376" s="18">
        <v>12114259.9</v>
      </c>
      <c r="K1376" t="s">
        <v>3</v>
      </c>
      <c r="L1376" t="s">
        <v>9</v>
      </c>
      <c r="M1376" t="s">
        <v>2286</v>
      </c>
      <c r="N1376" t="s">
        <v>3</v>
      </c>
      <c r="O1376" t="s">
        <v>3</v>
      </c>
      <c r="P1376" t="s">
        <v>5</v>
      </c>
      <c r="Q1376" t="s">
        <v>2287</v>
      </c>
      <c r="R1376" t="s">
        <v>3</v>
      </c>
      <c r="S1376" t="s">
        <v>3</v>
      </c>
      <c r="T1376" t="s">
        <v>3</v>
      </c>
      <c r="U1376" t="s">
        <v>3</v>
      </c>
      <c r="V1376" t="s">
        <v>3</v>
      </c>
      <c r="W1376" t="s">
        <v>68</v>
      </c>
      <c r="X1376" s="17">
        <v>43499</v>
      </c>
      <c r="Y1376" t="s">
        <v>2288</v>
      </c>
      <c r="Z1376" s="17">
        <v>43499</v>
      </c>
      <c r="AA1376" t="s">
        <v>3</v>
      </c>
      <c r="AB1376" t="s">
        <v>3752</v>
      </c>
    </row>
    <row r="1377" spans="1:28" hidden="1">
      <c r="A1377" t="s">
        <v>3752</v>
      </c>
      <c r="B1377" s="17">
        <v>43499</v>
      </c>
      <c r="C1377" s="17">
        <v>43499</v>
      </c>
      <c r="D1377" t="s">
        <v>0</v>
      </c>
      <c r="E1377" t="s">
        <v>1</v>
      </c>
      <c r="F1377" s="18">
        <v>2422</v>
      </c>
      <c r="G1377" s="18">
        <v>2422</v>
      </c>
      <c r="H1377" t="s">
        <v>2</v>
      </c>
      <c r="I1377" t="s">
        <v>8</v>
      </c>
      <c r="J1377" s="18">
        <v>200904.9</v>
      </c>
      <c r="K1377" t="s">
        <v>3</v>
      </c>
      <c r="L1377" t="s">
        <v>9</v>
      </c>
      <c r="M1377" t="s">
        <v>2286</v>
      </c>
      <c r="N1377" t="s">
        <v>3</v>
      </c>
      <c r="O1377" t="s">
        <v>3</v>
      </c>
      <c r="P1377" t="s">
        <v>5</v>
      </c>
      <c r="Q1377" t="s">
        <v>2287</v>
      </c>
      <c r="R1377" t="s">
        <v>3</v>
      </c>
      <c r="S1377" t="s">
        <v>3</v>
      </c>
      <c r="T1377" t="s">
        <v>3</v>
      </c>
      <c r="U1377" t="s">
        <v>3</v>
      </c>
      <c r="V1377" t="s">
        <v>3</v>
      </c>
      <c r="W1377" t="s">
        <v>68</v>
      </c>
      <c r="X1377" s="17">
        <v>43499</v>
      </c>
      <c r="Y1377" t="s">
        <v>2288</v>
      </c>
      <c r="Z1377" s="17">
        <v>43499</v>
      </c>
      <c r="AA1377" t="s">
        <v>3</v>
      </c>
      <c r="AB1377" t="s">
        <v>3752</v>
      </c>
    </row>
    <row r="1378" spans="1:28" hidden="1">
      <c r="A1378" t="s">
        <v>3752</v>
      </c>
      <c r="B1378" s="17">
        <v>43499</v>
      </c>
      <c r="C1378" s="17">
        <v>43499</v>
      </c>
      <c r="D1378" t="s">
        <v>0</v>
      </c>
      <c r="E1378" t="s">
        <v>1</v>
      </c>
      <c r="F1378" s="18">
        <v>92819</v>
      </c>
      <c r="G1378" s="18">
        <v>92819</v>
      </c>
      <c r="H1378" t="s">
        <v>2</v>
      </c>
      <c r="I1378" t="s">
        <v>8</v>
      </c>
      <c r="J1378" s="18">
        <v>7685413.2000000002</v>
      </c>
      <c r="K1378" t="s">
        <v>3</v>
      </c>
      <c r="L1378" t="s">
        <v>9</v>
      </c>
      <c r="M1378" t="s">
        <v>2286</v>
      </c>
      <c r="N1378" t="s">
        <v>3</v>
      </c>
      <c r="O1378" t="s">
        <v>3</v>
      </c>
      <c r="P1378" t="s">
        <v>5</v>
      </c>
      <c r="Q1378" t="s">
        <v>2287</v>
      </c>
      <c r="R1378" t="s">
        <v>3</v>
      </c>
      <c r="S1378" t="s">
        <v>3</v>
      </c>
      <c r="T1378" t="s">
        <v>3</v>
      </c>
      <c r="U1378" t="s">
        <v>3</v>
      </c>
      <c r="V1378" t="s">
        <v>3</v>
      </c>
      <c r="W1378" t="s">
        <v>68</v>
      </c>
      <c r="X1378" s="17">
        <v>43499</v>
      </c>
      <c r="Y1378" t="s">
        <v>2288</v>
      </c>
      <c r="Z1378" s="17">
        <v>43499</v>
      </c>
      <c r="AA1378" t="s">
        <v>3</v>
      </c>
      <c r="AB1378" t="s">
        <v>3752</v>
      </c>
    </row>
    <row r="1379" spans="1:28" hidden="1">
      <c r="A1379" t="s">
        <v>3752</v>
      </c>
      <c r="B1379" s="17">
        <v>43499</v>
      </c>
      <c r="C1379" s="17">
        <v>43499</v>
      </c>
      <c r="D1379" t="s">
        <v>0</v>
      </c>
      <c r="E1379" t="s">
        <v>1</v>
      </c>
      <c r="F1379" s="18">
        <v>224843</v>
      </c>
      <c r="G1379" s="18">
        <v>224843</v>
      </c>
      <c r="H1379" t="s">
        <v>2</v>
      </c>
      <c r="I1379" t="s">
        <v>8</v>
      </c>
      <c r="J1379" s="18">
        <v>18650726.850000001</v>
      </c>
      <c r="K1379" t="s">
        <v>2286</v>
      </c>
      <c r="L1379" t="s">
        <v>9</v>
      </c>
      <c r="M1379" t="s">
        <v>2286</v>
      </c>
      <c r="N1379" t="s">
        <v>3</v>
      </c>
      <c r="O1379" t="s">
        <v>3</v>
      </c>
      <c r="P1379" t="s">
        <v>5</v>
      </c>
      <c r="Q1379" t="s">
        <v>2287</v>
      </c>
      <c r="R1379" t="s">
        <v>3</v>
      </c>
      <c r="S1379" t="s">
        <v>3</v>
      </c>
      <c r="T1379" t="s">
        <v>3</v>
      </c>
      <c r="U1379" t="s">
        <v>3</v>
      </c>
      <c r="V1379" t="s">
        <v>3</v>
      </c>
      <c r="W1379" t="s">
        <v>68</v>
      </c>
      <c r="X1379" s="17">
        <v>43499</v>
      </c>
      <c r="Y1379" t="s">
        <v>2288</v>
      </c>
      <c r="Z1379" s="17">
        <v>43499</v>
      </c>
      <c r="AA1379" t="s">
        <v>3</v>
      </c>
      <c r="AB1379" t="s">
        <v>3752</v>
      </c>
    </row>
    <row r="1380" spans="1:28" hidden="1">
      <c r="A1380" t="s">
        <v>3385</v>
      </c>
      <c r="B1380" s="17">
        <v>43499</v>
      </c>
      <c r="C1380" s="17">
        <v>43499</v>
      </c>
      <c r="D1380" t="s">
        <v>0</v>
      </c>
      <c r="E1380" t="s">
        <v>1</v>
      </c>
      <c r="F1380" s="18">
        <v>289323</v>
      </c>
      <c r="G1380" s="18">
        <v>289323</v>
      </c>
      <c r="H1380" t="s">
        <v>2</v>
      </c>
      <c r="I1380" t="s">
        <v>8</v>
      </c>
      <c r="J1380" s="18">
        <v>23999342.850000001</v>
      </c>
      <c r="K1380" t="s">
        <v>3</v>
      </c>
      <c r="L1380" t="s">
        <v>9</v>
      </c>
      <c r="M1380" t="s">
        <v>2286</v>
      </c>
      <c r="N1380" t="s">
        <v>3</v>
      </c>
      <c r="O1380" t="s">
        <v>3</v>
      </c>
      <c r="P1380" t="s">
        <v>5</v>
      </c>
      <c r="Q1380" t="s">
        <v>2287</v>
      </c>
      <c r="R1380" t="s">
        <v>3</v>
      </c>
      <c r="S1380" t="s">
        <v>3</v>
      </c>
      <c r="T1380" t="s">
        <v>3</v>
      </c>
      <c r="U1380" t="s">
        <v>3</v>
      </c>
      <c r="V1380" t="s">
        <v>3</v>
      </c>
      <c r="W1380" t="s">
        <v>68</v>
      </c>
      <c r="X1380" s="17">
        <v>43646</v>
      </c>
      <c r="Y1380" t="s">
        <v>2477</v>
      </c>
      <c r="Z1380" s="17">
        <v>43499</v>
      </c>
      <c r="AA1380" t="s">
        <v>3</v>
      </c>
      <c r="AB1380" t="s">
        <v>3385</v>
      </c>
    </row>
    <row r="1381" spans="1:28" hidden="1">
      <c r="A1381" t="s">
        <v>3385</v>
      </c>
      <c r="B1381" s="17">
        <v>43499</v>
      </c>
      <c r="C1381" s="17">
        <v>43499</v>
      </c>
      <c r="D1381" t="s">
        <v>0</v>
      </c>
      <c r="E1381" t="s">
        <v>1</v>
      </c>
      <c r="F1381" s="18">
        <v>135393</v>
      </c>
      <c r="G1381" s="18">
        <v>135393</v>
      </c>
      <c r="H1381" t="s">
        <v>2</v>
      </c>
      <c r="I1381" t="s">
        <v>8</v>
      </c>
      <c r="J1381" s="18">
        <v>11230849.35</v>
      </c>
      <c r="K1381" t="s">
        <v>3</v>
      </c>
      <c r="L1381" t="s">
        <v>9</v>
      </c>
      <c r="M1381" t="s">
        <v>2286</v>
      </c>
      <c r="N1381" t="s">
        <v>3</v>
      </c>
      <c r="O1381" t="s">
        <v>3</v>
      </c>
      <c r="P1381" t="s">
        <v>5</v>
      </c>
      <c r="Q1381" t="s">
        <v>2287</v>
      </c>
      <c r="R1381" t="s">
        <v>3</v>
      </c>
      <c r="S1381" t="s">
        <v>3</v>
      </c>
      <c r="T1381" t="s">
        <v>3</v>
      </c>
      <c r="U1381" t="s">
        <v>3</v>
      </c>
      <c r="V1381" t="s">
        <v>3</v>
      </c>
      <c r="W1381" t="s">
        <v>68</v>
      </c>
      <c r="X1381" s="17">
        <v>43677</v>
      </c>
      <c r="Y1381" t="s">
        <v>3326</v>
      </c>
      <c r="Z1381" s="17">
        <v>43499</v>
      </c>
      <c r="AA1381" t="s">
        <v>3</v>
      </c>
      <c r="AB1381" t="s">
        <v>3385</v>
      </c>
    </row>
    <row r="1382" spans="1:28" hidden="1">
      <c r="A1382" t="s">
        <v>3385</v>
      </c>
      <c r="B1382" s="17">
        <v>43499</v>
      </c>
      <c r="C1382" s="17">
        <v>43499</v>
      </c>
      <c r="D1382" t="s">
        <v>0</v>
      </c>
      <c r="E1382" t="s">
        <v>1</v>
      </c>
      <c r="F1382" s="18">
        <v>138418</v>
      </c>
      <c r="G1382" s="18">
        <v>138418</v>
      </c>
      <c r="H1382" t="s">
        <v>2</v>
      </c>
      <c r="I1382" t="s">
        <v>8</v>
      </c>
      <c r="J1382" s="18">
        <v>11481773.1</v>
      </c>
      <c r="K1382" t="s">
        <v>3</v>
      </c>
      <c r="L1382" t="s">
        <v>9</v>
      </c>
      <c r="M1382" t="s">
        <v>2286</v>
      </c>
      <c r="N1382" t="s">
        <v>3</v>
      </c>
      <c r="O1382" t="s">
        <v>3</v>
      </c>
      <c r="P1382" t="s">
        <v>5</v>
      </c>
      <c r="Q1382" t="s">
        <v>2287</v>
      </c>
      <c r="R1382" t="s">
        <v>3</v>
      </c>
      <c r="S1382" t="s">
        <v>3</v>
      </c>
      <c r="T1382" t="s">
        <v>3</v>
      </c>
      <c r="U1382" t="s">
        <v>3</v>
      </c>
      <c r="V1382" t="s">
        <v>3</v>
      </c>
      <c r="W1382" t="s">
        <v>68</v>
      </c>
      <c r="X1382" s="17">
        <v>43677</v>
      </c>
      <c r="Y1382" t="s">
        <v>3126</v>
      </c>
      <c r="Z1382" s="17">
        <v>43499</v>
      </c>
      <c r="AA1382" t="s">
        <v>3</v>
      </c>
      <c r="AB1382" t="s">
        <v>3385</v>
      </c>
    </row>
    <row r="1383" spans="1:28" hidden="1">
      <c r="A1383" t="s">
        <v>3385</v>
      </c>
      <c r="B1383" s="17">
        <v>43499</v>
      </c>
      <c r="C1383" s="17">
        <v>43499</v>
      </c>
      <c r="D1383" t="s">
        <v>0</v>
      </c>
      <c r="E1383" t="s">
        <v>1</v>
      </c>
      <c r="F1383" s="18">
        <v>146131</v>
      </c>
      <c r="G1383" s="18">
        <v>146131</v>
      </c>
      <c r="H1383" t="s">
        <v>2</v>
      </c>
      <c r="I1383" t="s">
        <v>8</v>
      </c>
      <c r="J1383" s="18">
        <v>12114259.9</v>
      </c>
      <c r="K1383" t="s">
        <v>3</v>
      </c>
      <c r="L1383" t="s">
        <v>9</v>
      </c>
      <c r="M1383" t="s">
        <v>2286</v>
      </c>
      <c r="N1383" t="s">
        <v>3</v>
      </c>
      <c r="O1383" t="s">
        <v>3</v>
      </c>
      <c r="P1383" t="s">
        <v>5</v>
      </c>
      <c r="Q1383" t="s">
        <v>2287</v>
      </c>
      <c r="R1383" t="s">
        <v>3</v>
      </c>
      <c r="S1383" t="s">
        <v>3</v>
      </c>
      <c r="T1383" t="s">
        <v>3</v>
      </c>
      <c r="U1383" t="s">
        <v>3</v>
      </c>
      <c r="V1383" t="s">
        <v>3</v>
      </c>
      <c r="W1383" t="s">
        <v>68</v>
      </c>
      <c r="X1383" s="17">
        <v>43677</v>
      </c>
      <c r="Y1383" t="s">
        <v>3027</v>
      </c>
      <c r="Z1383" s="17">
        <v>43499</v>
      </c>
      <c r="AA1383" t="s">
        <v>3</v>
      </c>
      <c r="AB1383" t="s">
        <v>3385</v>
      </c>
    </row>
    <row r="1384" spans="1:28" hidden="1">
      <c r="A1384" t="s">
        <v>3385</v>
      </c>
      <c r="B1384" s="17">
        <v>43499</v>
      </c>
      <c r="C1384" s="17">
        <v>43499</v>
      </c>
      <c r="D1384" t="s">
        <v>0</v>
      </c>
      <c r="E1384" t="s">
        <v>1</v>
      </c>
      <c r="F1384" s="18">
        <v>2422</v>
      </c>
      <c r="G1384" s="18">
        <v>2422</v>
      </c>
      <c r="H1384" t="s">
        <v>2</v>
      </c>
      <c r="I1384" t="s">
        <v>8</v>
      </c>
      <c r="J1384" s="18">
        <v>200904.9</v>
      </c>
      <c r="K1384" t="s">
        <v>3</v>
      </c>
      <c r="L1384" t="s">
        <v>9</v>
      </c>
      <c r="M1384" t="s">
        <v>2286</v>
      </c>
      <c r="N1384" t="s">
        <v>3</v>
      </c>
      <c r="O1384" t="s">
        <v>3</v>
      </c>
      <c r="P1384" t="s">
        <v>5</v>
      </c>
      <c r="Q1384" t="s">
        <v>2287</v>
      </c>
      <c r="R1384" t="s">
        <v>3</v>
      </c>
      <c r="S1384" t="s">
        <v>3</v>
      </c>
      <c r="T1384" t="s">
        <v>3</v>
      </c>
      <c r="U1384" t="s">
        <v>3</v>
      </c>
      <c r="V1384" t="s">
        <v>3</v>
      </c>
      <c r="W1384" t="s">
        <v>68</v>
      </c>
      <c r="X1384" s="17">
        <v>43677</v>
      </c>
      <c r="Y1384" t="s">
        <v>3399</v>
      </c>
      <c r="Z1384" s="17">
        <v>43499</v>
      </c>
      <c r="AA1384" t="s">
        <v>3</v>
      </c>
      <c r="AB1384" t="s">
        <v>3385</v>
      </c>
    </row>
    <row r="1385" spans="1:28" hidden="1">
      <c r="A1385" t="s">
        <v>3385</v>
      </c>
      <c r="B1385" s="17">
        <v>43499</v>
      </c>
      <c r="C1385" s="17">
        <v>43499</v>
      </c>
      <c r="D1385" t="s">
        <v>0</v>
      </c>
      <c r="E1385" t="s">
        <v>1</v>
      </c>
      <c r="F1385" s="18">
        <v>92819</v>
      </c>
      <c r="G1385" s="18">
        <v>92819</v>
      </c>
      <c r="H1385" t="s">
        <v>2</v>
      </c>
      <c r="I1385" t="s">
        <v>8</v>
      </c>
      <c r="J1385" s="18">
        <v>7685413.2000000002</v>
      </c>
      <c r="K1385" t="s">
        <v>3</v>
      </c>
      <c r="L1385" t="s">
        <v>9</v>
      </c>
      <c r="M1385" t="s">
        <v>2286</v>
      </c>
      <c r="N1385" t="s">
        <v>3</v>
      </c>
      <c r="O1385" t="s">
        <v>3</v>
      </c>
      <c r="P1385" t="s">
        <v>5</v>
      </c>
      <c r="Q1385" t="s">
        <v>2287</v>
      </c>
      <c r="R1385" t="s">
        <v>3</v>
      </c>
      <c r="S1385" t="s">
        <v>3</v>
      </c>
      <c r="T1385" t="s">
        <v>3</v>
      </c>
      <c r="U1385" t="s">
        <v>3</v>
      </c>
      <c r="V1385" t="s">
        <v>3</v>
      </c>
      <c r="W1385" t="s">
        <v>68</v>
      </c>
      <c r="X1385" s="17">
        <v>43677</v>
      </c>
      <c r="Y1385" t="s">
        <v>2964</v>
      </c>
      <c r="Z1385" s="17">
        <v>43499</v>
      </c>
      <c r="AA1385" t="s">
        <v>3</v>
      </c>
      <c r="AB1385" t="s">
        <v>3385</v>
      </c>
    </row>
    <row r="1386" spans="1:28" hidden="1">
      <c r="A1386" t="s">
        <v>3385</v>
      </c>
      <c r="B1386" s="17">
        <v>43499</v>
      </c>
      <c r="C1386" s="17">
        <v>43499</v>
      </c>
      <c r="D1386" t="s">
        <v>0</v>
      </c>
      <c r="E1386" t="s">
        <v>1</v>
      </c>
      <c r="F1386" s="18">
        <v>224843</v>
      </c>
      <c r="G1386" s="18">
        <v>224843</v>
      </c>
      <c r="H1386" t="s">
        <v>2</v>
      </c>
      <c r="I1386" t="s">
        <v>8</v>
      </c>
      <c r="J1386" s="18">
        <v>18650726.850000001</v>
      </c>
      <c r="K1386" t="s">
        <v>2286</v>
      </c>
      <c r="L1386" t="s">
        <v>9</v>
      </c>
      <c r="M1386" t="s">
        <v>2286</v>
      </c>
      <c r="N1386" t="s">
        <v>3</v>
      </c>
      <c r="O1386" t="s">
        <v>3</v>
      </c>
      <c r="P1386" t="s">
        <v>5</v>
      </c>
      <c r="Q1386" t="s">
        <v>2287</v>
      </c>
      <c r="R1386" t="s">
        <v>3</v>
      </c>
      <c r="S1386" t="s">
        <v>3</v>
      </c>
      <c r="T1386" t="s">
        <v>3</v>
      </c>
      <c r="U1386" t="s">
        <v>3</v>
      </c>
      <c r="V1386" t="s">
        <v>3</v>
      </c>
      <c r="W1386" t="s">
        <v>68</v>
      </c>
      <c r="X1386" s="17">
        <v>43499</v>
      </c>
      <c r="Y1386" t="s">
        <v>3385</v>
      </c>
      <c r="Z1386" s="17">
        <v>43499</v>
      </c>
      <c r="AA1386" t="s">
        <v>3</v>
      </c>
      <c r="AB1386" t="s">
        <v>3385</v>
      </c>
    </row>
    <row r="1387" spans="1:28" hidden="1">
      <c r="A1387" t="s">
        <v>3614</v>
      </c>
      <c r="B1387" s="17">
        <v>43500</v>
      </c>
      <c r="C1387" s="17">
        <v>43500</v>
      </c>
      <c r="D1387" t="s">
        <v>0</v>
      </c>
      <c r="E1387" t="s">
        <v>1</v>
      </c>
      <c r="F1387" s="18">
        <v>73296.600000000006</v>
      </c>
      <c r="G1387" s="18">
        <v>73296.600000000006</v>
      </c>
      <c r="H1387" t="s">
        <v>2</v>
      </c>
      <c r="I1387" t="s">
        <v>8</v>
      </c>
      <c r="J1387" s="18">
        <v>6079952.9699999997</v>
      </c>
      <c r="K1387" t="s">
        <v>3615</v>
      </c>
      <c r="L1387" t="s">
        <v>9</v>
      </c>
      <c r="M1387" t="s">
        <v>3616</v>
      </c>
      <c r="N1387" t="s">
        <v>3</v>
      </c>
      <c r="O1387" t="s">
        <v>3</v>
      </c>
      <c r="P1387" t="s">
        <v>5</v>
      </c>
      <c r="Q1387" t="s">
        <v>3617</v>
      </c>
      <c r="R1387" t="s">
        <v>3</v>
      </c>
      <c r="S1387" t="s">
        <v>3</v>
      </c>
      <c r="T1387" t="s">
        <v>3</v>
      </c>
      <c r="U1387" t="s">
        <v>3</v>
      </c>
      <c r="V1387" t="s">
        <v>3</v>
      </c>
      <c r="W1387" t="s">
        <v>68</v>
      </c>
      <c r="X1387" s="17">
        <v>43677</v>
      </c>
      <c r="Y1387" t="s">
        <v>3326</v>
      </c>
      <c r="Z1387" s="17">
        <v>43500</v>
      </c>
      <c r="AA1387" t="s">
        <v>3</v>
      </c>
      <c r="AB1387" t="s">
        <v>3614</v>
      </c>
    </row>
    <row r="1388" spans="1:28" hidden="1">
      <c r="A1388" t="s">
        <v>3614</v>
      </c>
      <c r="B1388" s="17">
        <v>43500</v>
      </c>
      <c r="C1388" s="17">
        <v>43500</v>
      </c>
      <c r="D1388" t="s">
        <v>0</v>
      </c>
      <c r="E1388" t="s">
        <v>1</v>
      </c>
      <c r="F1388" s="18">
        <v>38633</v>
      </c>
      <c r="G1388" s="18">
        <v>38633</v>
      </c>
      <c r="H1388" t="s">
        <v>2</v>
      </c>
      <c r="I1388" t="s">
        <v>8</v>
      </c>
      <c r="J1388" s="18">
        <v>3202675.7</v>
      </c>
      <c r="K1388" t="s">
        <v>3618</v>
      </c>
      <c r="L1388" t="s">
        <v>9</v>
      </c>
      <c r="M1388" t="s">
        <v>3616</v>
      </c>
      <c r="N1388" t="s">
        <v>3</v>
      </c>
      <c r="O1388" t="s">
        <v>3</v>
      </c>
      <c r="P1388" t="s">
        <v>5</v>
      </c>
      <c r="Q1388" t="s">
        <v>3617</v>
      </c>
      <c r="R1388" t="s">
        <v>3</v>
      </c>
      <c r="S1388" t="s">
        <v>3</v>
      </c>
      <c r="T1388" t="s">
        <v>3</v>
      </c>
      <c r="U1388" t="s">
        <v>3</v>
      </c>
      <c r="V1388" t="s">
        <v>3</v>
      </c>
      <c r="W1388" t="s">
        <v>68</v>
      </c>
      <c r="X1388" s="17">
        <v>43677</v>
      </c>
      <c r="Y1388" t="s">
        <v>3027</v>
      </c>
      <c r="Z1388" s="17">
        <v>43500</v>
      </c>
      <c r="AA1388" t="s">
        <v>3</v>
      </c>
      <c r="AB1388" t="s">
        <v>3614</v>
      </c>
    </row>
    <row r="1389" spans="1:28" hidden="1">
      <c r="A1389" t="s">
        <v>3614</v>
      </c>
      <c r="B1389" s="17">
        <v>43500</v>
      </c>
      <c r="C1389" s="17">
        <v>43500</v>
      </c>
      <c r="D1389" t="s">
        <v>0</v>
      </c>
      <c r="E1389" t="s">
        <v>1</v>
      </c>
      <c r="F1389" s="18">
        <v>12077</v>
      </c>
      <c r="G1389" s="18">
        <v>12077</v>
      </c>
      <c r="H1389" t="s">
        <v>2</v>
      </c>
      <c r="I1389" t="s">
        <v>8</v>
      </c>
      <c r="J1389" s="18">
        <v>1001787.15</v>
      </c>
      <c r="K1389" t="s">
        <v>3619</v>
      </c>
      <c r="L1389" t="s">
        <v>9</v>
      </c>
      <c r="M1389" t="s">
        <v>3616</v>
      </c>
      <c r="N1389" t="s">
        <v>3</v>
      </c>
      <c r="O1389" t="s">
        <v>3</v>
      </c>
      <c r="P1389" t="s">
        <v>5</v>
      </c>
      <c r="Q1389" t="s">
        <v>3617</v>
      </c>
      <c r="R1389" t="s">
        <v>3</v>
      </c>
      <c r="S1389" t="s">
        <v>3</v>
      </c>
      <c r="T1389" t="s">
        <v>3</v>
      </c>
      <c r="U1389" t="s">
        <v>3</v>
      </c>
      <c r="V1389" t="s">
        <v>3</v>
      </c>
      <c r="W1389" t="s">
        <v>68</v>
      </c>
      <c r="X1389" s="17">
        <v>43677</v>
      </c>
      <c r="Y1389" t="s">
        <v>3399</v>
      </c>
      <c r="Z1389" s="17">
        <v>43500</v>
      </c>
      <c r="AA1389" t="s">
        <v>3</v>
      </c>
      <c r="AB1389" t="s">
        <v>3614</v>
      </c>
    </row>
    <row r="1390" spans="1:28" hidden="1">
      <c r="A1390" t="s">
        <v>3614</v>
      </c>
      <c r="B1390" s="17">
        <v>43500</v>
      </c>
      <c r="C1390" s="17">
        <v>43500</v>
      </c>
      <c r="D1390" t="s">
        <v>0</v>
      </c>
      <c r="E1390" t="s">
        <v>1</v>
      </c>
      <c r="F1390" s="18">
        <v>34559</v>
      </c>
      <c r="G1390" s="18">
        <v>34559</v>
      </c>
      <c r="H1390" t="s">
        <v>2</v>
      </c>
      <c r="I1390" t="s">
        <v>8</v>
      </c>
      <c r="J1390" s="18">
        <v>2861485.2</v>
      </c>
      <c r="K1390" t="s">
        <v>3620</v>
      </c>
      <c r="L1390" t="s">
        <v>9</v>
      </c>
      <c r="M1390" t="s">
        <v>3616</v>
      </c>
      <c r="N1390" t="s">
        <v>3</v>
      </c>
      <c r="O1390" t="s">
        <v>3</v>
      </c>
      <c r="P1390" t="s">
        <v>5</v>
      </c>
      <c r="Q1390" t="s">
        <v>3617</v>
      </c>
      <c r="R1390" t="s">
        <v>3</v>
      </c>
      <c r="S1390" t="s">
        <v>3</v>
      </c>
      <c r="T1390" t="s">
        <v>3</v>
      </c>
      <c r="U1390" t="s">
        <v>3</v>
      </c>
      <c r="V1390" t="s">
        <v>3</v>
      </c>
      <c r="W1390" t="s">
        <v>68</v>
      </c>
      <c r="X1390" s="17">
        <v>43677</v>
      </c>
      <c r="Y1390" t="s">
        <v>2964</v>
      </c>
      <c r="Z1390" s="17">
        <v>43500</v>
      </c>
      <c r="AA1390" t="s">
        <v>3</v>
      </c>
      <c r="AB1390" t="s">
        <v>3614</v>
      </c>
    </row>
    <row r="1391" spans="1:28" hidden="1">
      <c r="A1391" t="s">
        <v>3614</v>
      </c>
      <c r="B1391" s="17">
        <v>43500</v>
      </c>
      <c r="C1391" s="17">
        <v>43500</v>
      </c>
      <c r="D1391" t="s">
        <v>0</v>
      </c>
      <c r="E1391" t="s">
        <v>1</v>
      </c>
      <c r="F1391" s="18">
        <v>1600</v>
      </c>
      <c r="G1391" s="18">
        <v>1600</v>
      </c>
      <c r="H1391" t="s">
        <v>2</v>
      </c>
      <c r="I1391" t="s">
        <v>8</v>
      </c>
      <c r="J1391" s="18">
        <v>132720</v>
      </c>
      <c r="K1391" t="s">
        <v>3621</v>
      </c>
      <c r="L1391" t="s">
        <v>9</v>
      </c>
      <c r="M1391" t="s">
        <v>3616</v>
      </c>
      <c r="N1391" t="s">
        <v>3</v>
      </c>
      <c r="O1391" t="s">
        <v>3</v>
      </c>
      <c r="P1391" t="s">
        <v>5</v>
      </c>
      <c r="Q1391" t="s">
        <v>3617</v>
      </c>
      <c r="R1391" t="s">
        <v>3</v>
      </c>
      <c r="S1391" t="s">
        <v>3</v>
      </c>
      <c r="T1391" t="s">
        <v>3</v>
      </c>
      <c r="U1391" t="s">
        <v>3</v>
      </c>
      <c r="V1391" t="s">
        <v>3</v>
      </c>
      <c r="W1391" t="s">
        <v>68</v>
      </c>
      <c r="X1391" s="17">
        <v>43646</v>
      </c>
      <c r="Y1391" t="s">
        <v>2514</v>
      </c>
      <c r="Z1391" s="17">
        <v>43500</v>
      </c>
      <c r="AA1391" t="s">
        <v>3</v>
      </c>
      <c r="AB1391" t="s">
        <v>3614</v>
      </c>
    </row>
    <row r="1392" spans="1:28" hidden="1">
      <c r="A1392" t="s">
        <v>3594</v>
      </c>
      <c r="B1392" s="17">
        <v>43501</v>
      </c>
      <c r="C1392" s="17">
        <v>43501</v>
      </c>
      <c r="D1392" t="s">
        <v>0</v>
      </c>
      <c r="E1392" t="s">
        <v>1</v>
      </c>
      <c r="F1392" s="18">
        <v>5734</v>
      </c>
      <c r="G1392" s="18">
        <v>5734</v>
      </c>
      <c r="H1392" t="s">
        <v>2</v>
      </c>
      <c r="I1392" t="s">
        <v>10</v>
      </c>
      <c r="J1392" s="18">
        <v>475635.3</v>
      </c>
      <c r="K1392" t="s">
        <v>3595</v>
      </c>
      <c r="L1392" t="s">
        <v>9</v>
      </c>
      <c r="M1392" t="s">
        <v>3596</v>
      </c>
      <c r="N1392" t="s">
        <v>3</v>
      </c>
      <c r="O1392" t="s">
        <v>3</v>
      </c>
      <c r="P1392" t="s">
        <v>5</v>
      </c>
      <c r="Q1392" t="s">
        <v>3597</v>
      </c>
      <c r="R1392" t="s">
        <v>3</v>
      </c>
      <c r="S1392" t="s">
        <v>3</v>
      </c>
      <c r="T1392" t="s">
        <v>3</v>
      </c>
      <c r="U1392" t="s">
        <v>3</v>
      </c>
      <c r="V1392" t="s">
        <v>3</v>
      </c>
      <c r="W1392" t="s">
        <v>68</v>
      </c>
      <c r="X1392" s="17">
        <v>43646</v>
      </c>
      <c r="Y1392" t="s">
        <v>2483</v>
      </c>
      <c r="Z1392" s="17">
        <v>43501</v>
      </c>
      <c r="AA1392" t="s">
        <v>3</v>
      </c>
      <c r="AB1392" t="s">
        <v>3594</v>
      </c>
    </row>
    <row r="1393" spans="1:28" hidden="1">
      <c r="A1393" t="s">
        <v>3594</v>
      </c>
      <c r="B1393" s="17">
        <v>43501</v>
      </c>
      <c r="C1393" s="17">
        <v>43501</v>
      </c>
      <c r="D1393" t="s">
        <v>0</v>
      </c>
      <c r="E1393" t="s">
        <v>1</v>
      </c>
      <c r="F1393" s="18">
        <v>5521</v>
      </c>
      <c r="G1393" s="18">
        <v>5521</v>
      </c>
      <c r="H1393" t="s">
        <v>2</v>
      </c>
      <c r="I1393" t="s">
        <v>10</v>
      </c>
      <c r="J1393" s="18">
        <v>457966.95</v>
      </c>
      <c r="K1393" t="s">
        <v>3598</v>
      </c>
      <c r="L1393" t="s">
        <v>9</v>
      </c>
      <c r="M1393" t="s">
        <v>3596</v>
      </c>
      <c r="N1393" t="s">
        <v>3</v>
      </c>
      <c r="O1393" t="s">
        <v>3</v>
      </c>
      <c r="P1393" t="s">
        <v>5</v>
      </c>
      <c r="Q1393" t="s">
        <v>3597</v>
      </c>
      <c r="R1393" t="s">
        <v>3</v>
      </c>
      <c r="S1393" t="s">
        <v>3</v>
      </c>
      <c r="T1393" t="s">
        <v>3</v>
      </c>
      <c r="U1393" t="s">
        <v>3</v>
      </c>
      <c r="V1393" t="s">
        <v>3</v>
      </c>
      <c r="W1393" t="s">
        <v>68</v>
      </c>
      <c r="X1393" s="17">
        <v>43646</v>
      </c>
      <c r="Y1393" t="s">
        <v>2485</v>
      </c>
      <c r="Z1393" s="17">
        <v>43501</v>
      </c>
      <c r="AA1393" t="s">
        <v>3</v>
      </c>
      <c r="AB1393" t="s">
        <v>3594</v>
      </c>
    </row>
    <row r="1394" spans="1:28" hidden="1">
      <c r="A1394" t="s">
        <v>3594</v>
      </c>
      <c r="B1394" s="17">
        <v>43501</v>
      </c>
      <c r="C1394" s="17">
        <v>43501</v>
      </c>
      <c r="D1394" t="s">
        <v>0</v>
      </c>
      <c r="E1394" t="s">
        <v>1</v>
      </c>
      <c r="F1394" s="18">
        <v>299</v>
      </c>
      <c r="G1394" s="18">
        <v>299</v>
      </c>
      <c r="H1394" t="s">
        <v>2</v>
      </c>
      <c r="I1394" t="s">
        <v>10</v>
      </c>
      <c r="J1394" s="18">
        <v>24802.05</v>
      </c>
      <c r="K1394" t="s">
        <v>3599</v>
      </c>
      <c r="L1394" t="s">
        <v>9</v>
      </c>
      <c r="M1394" t="s">
        <v>3596</v>
      </c>
      <c r="N1394" t="s">
        <v>3</v>
      </c>
      <c r="O1394" t="s">
        <v>3</v>
      </c>
      <c r="P1394" t="s">
        <v>5</v>
      </c>
      <c r="Q1394" t="s">
        <v>3597</v>
      </c>
      <c r="R1394" t="s">
        <v>3</v>
      </c>
      <c r="S1394" t="s">
        <v>3</v>
      </c>
      <c r="T1394" t="s">
        <v>3</v>
      </c>
      <c r="U1394" t="s">
        <v>3</v>
      </c>
      <c r="V1394" t="s">
        <v>3</v>
      </c>
      <c r="W1394" t="s">
        <v>68</v>
      </c>
      <c r="X1394" s="17">
        <v>43677</v>
      </c>
      <c r="Y1394" t="s">
        <v>3443</v>
      </c>
      <c r="Z1394" s="17">
        <v>43501</v>
      </c>
      <c r="AA1394" t="s">
        <v>3</v>
      </c>
      <c r="AB1394" t="s">
        <v>3594</v>
      </c>
    </row>
    <row r="1395" spans="1:28" hidden="1">
      <c r="A1395" t="s">
        <v>3622</v>
      </c>
      <c r="B1395" s="17">
        <v>43501</v>
      </c>
      <c r="C1395" s="17">
        <v>43501</v>
      </c>
      <c r="D1395" t="s">
        <v>0</v>
      </c>
      <c r="E1395" t="s">
        <v>1</v>
      </c>
      <c r="F1395" s="18">
        <v>-95079.52</v>
      </c>
      <c r="G1395" s="18">
        <v>-95079.52</v>
      </c>
      <c r="H1395" t="s">
        <v>2</v>
      </c>
      <c r="I1395" t="s">
        <v>8</v>
      </c>
      <c r="J1395" s="18">
        <v>-7886846.1900000004</v>
      </c>
      <c r="K1395" t="s">
        <v>3623</v>
      </c>
      <c r="L1395" t="s">
        <v>4</v>
      </c>
      <c r="M1395" t="s">
        <v>3624</v>
      </c>
      <c r="N1395" t="s">
        <v>3</v>
      </c>
      <c r="O1395" t="s">
        <v>3</v>
      </c>
      <c r="P1395" t="s">
        <v>5</v>
      </c>
      <c r="Q1395" t="s">
        <v>3625</v>
      </c>
      <c r="R1395" t="s">
        <v>3</v>
      </c>
      <c r="S1395" t="s">
        <v>3</v>
      </c>
      <c r="T1395" t="s">
        <v>3</v>
      </c>
      <c r="U1395" t="s">
        <v>3</v>
      </c>
      <c r="V1395" t="s">
        <v>3</v>
      </c>
      <c r="W1395" t="s">
        <v>68</v>
      </c>
      <c r="X1395" s="17"/>
      <c r="Y1395" t="s">
        <v>3</v>
      </c>
      <c r="Z1395" s="17">
        <v>43501</v>
      </c>
      <c r="AA1395" t="s">
        <v>3</v>
      </c>
      <c r="AB1395" t="s">
        <v>3622</v>
      </c>
    </row>
    <row r="1396" spans="1:28" hidden="1">
      <c r="A1396" t="s">
        <v>3672</v>
      </c>
      <c r="B1396" s="17">
        <v>43501</v>
      </c>
      <c r="C1396" s="17">
        <v>43501</v>
      </c>
      <c r="D1396" t="s">
        <v>0</v>
      </c>
      <c r="E1396" t="s">
        <v>1</v>
      </c>
      <c r="F1396" s="18">
        <v>-27020</v>
      </c>
      <c r="G1396" s="18">
        <v>-27020</v>
      </c>
      <c r="H1396" t="s">
        <v>2</v>
      </c>
      <c r="I1396" t="s">
        <v>10</v>
      </c>
      <c r="J1396" s="18">
        <v>-2241309</v>
      </c>
      <c r="K1396" t="s">
        <v>3673</v>
      </c>
      <c r="L1396" t="s">
        <v>9</v>
      </c>
      <c r="M1396" t="s">
        <v>3674</v>
      </c>
      <c r="N1396" t="s">
        <v>3</v>
      </c>
      <c r="O1396" t="s">
        <v>3</v>
      </c>
      <c r="P1396" t="s">
        <v>5</v>
      </c>
      <c r="Q1396" t="s">
        <v>3675</v>
      </c>
      <c r="R1396" t="s">
        <v>3</v>
      </c>
      <c r="S1396" t="s">
        <v>3</v>
      </c>
      <c r="T1396" t="s">
        <v>3</v>
      </c>
      <c r="U1396" t="s">
        <v>3</v>
      </c>
      <c r="V1396" t="s">
        <v>3</v>
      </c>
      <c r="W1396" t="s">
        <v>68</v>
      </c>
      <c r="X1396" s="17">
        <v>43646</v>
      </c>
      <c r="Y1396" t="s">
        <v>2506</v>
      </c>
      <c r="Z1396" s="17">
        <v>43501</v>
      </c>
      <c r="AA1396" t="s">
        <v>3</v>
      </c>
      <c r="AB1396" t="s">
        <v>3672</v>
      </c>
    </row>
    <row r="1397" spans="1:28" hidden="1">
      <c r="A1397" t="s">
        <v>3680</v>
      </c>
      <c r="B1397" s="17">
        <v>43501</v>
      </c>
      <c r="C1397" s="17">
        <v>43501</v>
      </c>
      <c r="D1397" t="s">
        <v>0</v>
      </c>
      <c r="E1397" t="s">
        <v>1</v>
      </c>
      <c r="F1397" s="18">
        <v>-22505</v>
      </c>
      <c r="G1397" s="18">
        <v>-22505</v>
      </c>
      <c r="H1397" t="s">
        <v>2</v>
      </c>
      <c r="I1397" t="s">
        <v>10</v>
      </c>
      <c r="J1397" s="18">
        <v>-1866789.75</v>
      </c>
      <c r="K1397" t="s">
        <v>3681</v>
      </c>
      <c r="L1397" t="s">
        <v>9</v>
      </c>
      <c r="M1397" t="s">
        <v>3682</v>
      </c>
      <c r="N1397" t="s">
        <v>3</v>
      </c>
      <c r="O1397" t="s">
        <v>3</v>
      </c>
      <c r="P1397" t="s">
        <v>5</v>
      </c>
      <c r="Q1397" t="s">
        <v>3683</v>
      </c>
      <c r="R1397" t="s">
        <v>3</v>
      </c>
      <c r="S1397" t="s">
        <v>3</v>
      </c>
      <c r="T1397" t="s">
        <v>3</v>
      </c>
      <c r="U1397" t="s">
        <v>3</v>
      </c>
      <c r="V1397" t="s">
        <v>3</v>
      </c>
      <c r="W1397" t="s">
        <v>68</v>
      </c>
      <c r="X1397" s="17">
        <v>43646</v>
      </c>
      <c r="Y1397" t="s">
        <v>2508</v>
      </c>
      <c r="Z1397" s="17">
        <v>43501</v>
      </c>
      <c r="AA1397" t="s">
        <v>3</v>
      </c>
      <c r="AB1397" t="s">
        <v>3680</v>
      </c>
    </row>
    <row r="1398" spans="1:28" hidden="1">
      <c r="A1398" t="s">
        <v>3684</v>
      </c>
      <c r="B1398" s="17">
        <v>43501</v>
      </c>
      <c r="C1398" s="17">
        <v>43501</v>
      </c>
      <c r="D1398" t="s">
        <v>0</v>
      </c>
      <c r="E1398" t="s">
        <v>1</v>
      </c>
      <c r="F1398" s="18">
        <v>-23199</v>
      </c>
      <c r="G1398" s="18">
        <v>-23199</v>
      </c>
      <c r="H1398" t="s">
        <v>2</v>
      </c>
      <c r="I1398" t="s">
        <v>10</v>
      </c>
      <c r="J1398" s="18">
        <v>-1924357.06</v>
      </c>
      <c r="K1398" t="s">
        <v>3685</v>
      </c>
      <c r="L1398" t="s">
        <v>9</v>
      </c>
      <c r="M1398" t="s">
        <v>3686</v>
      </c>
      <c r="N1398" t="s">
        <v>3</v>
      </c>
      <c r="O1398" t="s">
        <v>3</v>
      </c>
      <c r="P1398" t="s">
        <v>5</v>
      </c>
      <c r="Q1398" t="s">
        <v>3687</v>
      </c>
      <c r="R1398" t="s">
        <v>3</v>
      </c>
      <c r="S1398" t="s">
        <v>3</v>
      </c>
      <c r="T1398" t="s">
        <v>3</v>
      </c>
      <c r="U1398" t="s">
        <v>3</v>
      </c>
      <c r="V1398" t="s">
        <v>3</v>
      </c>
      <c r="W1398" t="s">
        <v>68</v>
      </c>
      <c r="X1398" s="17">
        <v>43646</v>
      </c>
      <c r="Y1398" t="s">
        <v>2520</v>
      </c>
      <c r="Z1398" s="17">
        <v>43501</v>
      </c>
      <c r="AA1398" t="s">
        <v>3</v>
      </c>
      <c r="AB1398" t="s">
        <v>3684</v>
      </c>
    </row>
    <row r="1399" spans="1:28" hidden="1">
      <c r="A1399" t="s">
        <v>3696</v>
      </c>
      <c r="B1399" s="17">
        <v>43501</v>
      </c>
      <c r="C1399" s="17">
        <v>43501</v>
      </c>
      <c r="D1399" t="s">
        <v>0</v>
      </c>
      <c r="E1399" t="s">
        <v>1</v>
      </c>
      <c r="F1399" s="18">
        <v>-38752</v>
      </c>
      <c r="G1399" s="18">
        <v>-38752</v>
      </c>
      <c r="H1399" t="s">
        <v>2</v>
      </c>
      <c r="I1399" t="s">
        <v>10</v>
      </c>
      <c r="J1399" s="18">
        <v>-3214478.41</v>
      </c>
      <c r="K1399" t="s">
        <v>3697</v>
      </c>
      <c r="L1399" t="s">
        <v>9</v>
      </c>
      <c r="M1399" t="s">
        <v>3698</v>
      </c>
      <c r="N1399" t="s">
        <v>3</v>
      </c>
      <c r="O1399" t="s">
        <v>3</v>
      </c>
      <c r="P1399" t="s">
        <v>5</v>
      </c>
      <c r="Q1399" t="s">
        <v>3699</v>
      </c>
      <c r="R1399" t="s">
        <v>3</v>
      </c>
      <c r="S1399" t="s">
        <v>3</v>
      </c>
      <c r="T1399" t="s">
        <v>3</v>
      </c>
      <c r="U1399" t="s">
        <v>3</v>
      </c>
      <c r="V1399" t="s">
        <v>3</v>
      </c>
      <c r="W1399" t="s">
        <v>68</v>
      </c>
      <c r="X1399" s="17">
        <v>43527</v>
      </c>
      <c r="Y1399" t="s">
        <v>3700</v>
      </c>
      <c r="Z1399" s="17">
        <v>43501</v>
      </c>
      <c r="AA1399" t="s">
        <v>3</v>
      </c>
      <c r="AB1399" t="s">
        <v>3696</v>
      </c>
    </row>
    <row r="1400" spans="1:28" hidden="1">
      <c r="A1400" t="s">
        <v>3743</v>
      </c>
      <c r="B1400" s="17">
        <v>43501</v>
      </c>
      <c r="C1400" s="17">
        <v>43501</v>
      </c>
      <c r="D1400" t="s">
        <v>0</v>
      </c>
      <c r="E1400" t="s">
        <v>1</v>
      </c>
      <c r="F1400" s="18">
        <v>-778.68</v>
      </c>
      <c r="G1400" s="18">
        <v>-778.68</v>
      </c>
      <c r="H1400" t="s">
        <v>2</v>
      </c>
      <c r="I1400" t="s">
        <v>10</v>
      </c>
      <c r="J1400" s="18">
        <v>-64591.51</v>
      </c>
      <c r="K1400" t="s">
        <v>3744</v>
      </c>
      <c r="L1400" t="s">
        <v>9</v>
      </c>
      <c r="M1400" t="s">
        <v>3744</v>
      </c>
      <c r="N1400" t="s">
        <v>3</v>
      </c>
      <c r="O1400" t="s">
        <v>3</v>
      </c>
      <c r="P1400" t="s">
        <v>5</v>
      </c>
      <c r="Q1400" t="s">
        <v>3745</v>
      </c>
      <c r="R1400" t="s">
        <v>3</v>
      </c>
      <c r="S1400" t="s">
        <v>3</v>
      </c>
      <c r="T1400" t="s">
        <v>3</v>
      </c>
      <c r="U1400" t="s">
        <v>3</v>
      </c>
      <c r="V1400" t="s">
        <v>3</v>
      </c>
      <c r="W1400" t="s">
        <v>68</v>
      </c>
      <c r="X1400" s="17">
        <v>43523</v>
      </c>
      <c r="Y1400" t="s">
        <v>3746</v>
      </c>
      <c r="Z1400" s="17">
        <v>43501</v>
      </c>
      <c r="AA1400" t="s">
        <v>3</v>
      </c>
      <c r="AB1400" t="s">
        <v>3743</v>
      </c>
    </row>
    <row r="1401" spans="1:28" hidden="1">
      <c r="A1401" t="s">
        <v>3743</v>
      </c>
      <c r="B1401" s="17">
        <v>43501</v>
      </c>
      <c r="C1401" s="17">
        <v>43501</v>
      </c>
      <c r="D1401" t="s">
        <v>0</v>
      </c>
      <c r="E1401" t="s">
        <v>1</v>
      </c>
      <c r="F1401" s="18">
        <v>10922</v>
      </c>
      <c r="G1401" s="18">
        <v>10922</v>
      </c>
      <c r="H1401" t="s">
        <v>2</v>
      </c>
      <c r="I1401" t="s">
        <v>10</v>
      </c>
      <c r="J1401" s="18">
        <v>905979.9</v>
      </c>
      <c r="K1401" t="s">
        <v>3</v>
      </c>
      <c r="L1401" t="s">
        <v>9</v>
      </c>
      <c r="M1401" t="s">
        <v>3744</v>
      </c>
      <c r="N1401" t="s">
        <v>3</v>
      </c>
      <c r="O1401" t="s">
        <v>3</v>
      </c>
      <c r="P1401" t="s">
        <v>5</v>
      </c>
      <c r="Q1401" t="s">
        <v>3745</v>
      </c>
      <c r="R1401" t="s">
        <v>3</v>
      </c>
      <c r="S1401" t="s">
        <v>3</v>
      </c>
      <c r="T1401" t="s">
        <v>3</v>
      </c>
      <c r="U1401" t="s">
        <v>3</v>
      </c>
      <c r="V1401" t="s">
        <v>3</v>
      </c>
      <c r="W1401" t="s">
        <v>68</v>
      </c>
      <c r="X1401" s="17">
        <v>43677</v>
      </c>
      <c r="Y1401" t="s">
        <v>3443</v>
      </c>
      <c r="Z1401" s="17">
        <v>43501</v>
      </c>
      <c r="AA1401" t="s">
        <v>3</v>
      </c>
      <c r="AB1401" t="s">
        <v>3743</v>
      </c>
    </row>
    <row r="1402" spans="1:28" hidden="1">
      <c r="A1402" t="s">
        <v>3600</v>
      </c>
      <c r="B1402" s="17">
        <v>43502</v>
      </c>
      <c r="C1402" s="17">
        <v>43502</v>
      </c>
      <c r="D1402" t="s">
        <v>0</v>
      </c>
      <c r="E1402" t="s">
        <v>1</v>
      </c>
      <c r="F1402" s="18">
        <v>22460</v>
      </c>
      <c r="G1402" s="18">
        <v>22460</v>
      </c>
      <c r="H1402" t="s">
        <v>2</v>
      </c>
      <c r="I1402" t="s">
        <v>10</v>
      </c>
      <c r="J1402" s="18">
        <v>1863057</v>
      </c>
      <c r="K1402" t="s">
        <v>3595</v>
      </c>
      <c r="L1402" t="s">
        <v>9</v>
      </c>
      <c r="M1402" t="s">
        <v>3601</v>
      </c>
      <c r="N1402" t="s">
        <v>3</v>
      </c>
      <c r="O1402" t="s">
        <v>3</v>
      </c>
      <c r="P1402" t="s">
        <v>5</v>
      </c>
      <c r="Q1402" t="s">
        <v>3602</v>
      </c>
      <c r="R1402" t="s">
        <v>3</v>
      </c>
      <c r="S1402" t="s">
        <v>3</v>
      </c>
      <c r="T1402" t="s">
        <v>3</v>
      </c>
      <c r="U1402" t="s">
        <v>3</v>
      </c>
      <c r="V1402" t="s">
        <v>3</v>
      </c>
      <c r="W1402" t="s">
        <v>68</v>
      </c>
      <c r="X1402" s="17">
        <v>43646</v>
      </c>
      <c r="Y1402" t="s">
        <v>2483</v>
      </c>
      <c r="Z1402" s="17">
        <v>43502</v>
      </c>
      <c r="AA1402" t="s">
        <v>3</v>
      </c>
      <c r="AB1402" t="s">
        <v>3600</v>
      </c>
    </row>
    <row r="1403" spans="1:28" hidden="1">
      <c r="A1403" t="s">
        <v>3626</v>
      </c>
      <c r="B1403" s="17">
        <v>43502</v>
      </c>
      <c r="C1403" s="17">
        <v>43502</v>
      </c>
      <c r="D1403" t="s">
        <v>0</v>
      </c>
      <c r="E1403" t="s">
        <v>1</v>
      </c>
      <c r="F1403" s="18">
        <v>13186</v>
      </c>
      <c r="G1403" s="18">
        <v>13186</v>
      </c>
      <c r="H1403" t="s">
        <v>2</v>
      </c>
      <c r="I1403" t="s">
        <v>8</v>
      </c>
      <c r="J1403" s="18">
        <v>1093778.7</v>
      </c>
      <c r="K1403" t="s">
        <v>3621</v>
      </c>
      <c r="L1403" t="s">
        <v>9</v>
      </c>
      <c r="M1403" t="s">
        <v>3627</v>
      </c>
      <c r="N1403" t="s">
        <v>3</v>
      </c>
      <c r="O1403" t="s">
        <v>3</v>
      </c>
      <c r="P1403" t="s">
        <v>5</v>
      </c>
      <c r="Q1403" t="s">
        <v>3628</v>
      </c>
      <c r="R1403" t="s">
        <v>3</v>
      </c>
      <c r="S1403" t="s">
        <v>3</v>
      </c>
      <c r="T1403" t="s">
        <v>3</v>
      </c>
      <c r="U1403" t="s">
        <v>3</v>
      </c>
      <c r="V1403" t="s">
        <v>3</v>
      </c>
      <c r="W1403" t="s">
        <v>68</v>
      </c>
      <c r="X1403" s="17">
        <v>43646</v>
      </c>
      <c r="Y1403" t="s">
        <v>2514</v>
      </c>
      <c r="Z1403" s="17">
        <v>43502</v>
      </c>
      <c r="AA1403" t="s">
        <v>3</v>
      </c>
      <c r="AB1403" t="s">
        <v>3626</v>
      </c>
    </row>
    <row r="1404" spans="1:28" hidden="1">
      <c r="A1404" t="s">
        <v>3629</v>
      </c>
      <c r="B1404" s="17">
        <v>43506</v>
      </c>
      <c r="C1404" s="17">
        <v>43506</v>
      </c>
      <c r="D1404" t="s">
        <v>0</v>
      </c>
      <c r="E1404" t="s">
        <v>1</v>
      </c>
      <c r="F1404" s="18">
        <v>32686</v>
      </c>
      <c r="G1404" s="18">
        <v>32686</v>
      </c>
      <c r="H1404" t="s">
        <v>2</v>
      </c>
      <c r="I1404" t="s">
        <v>8</v>
      </c>
      <c r="J1404" s="18">
        <v>2711303.7</v>
      </c>
      <c r="K1404" t="s">
        <v>3621</v>
      </c>
      <c r="L1404" t="s">
        <v>9</v>
      </c>
      <c r="M1404" t="s">
        <v>3630</v>
      </c>
      <c r="N1404" t="s">
        <v>3</v>
      </c>
      <c r="O1404" t="s">
        <v>3</v>
      </c>
      <c r="P1404" t="s">
        <v>5</v>
      </c>
      <c r="Q1404" t="s">
        <v>3631</v>
      </c>
      <c r="R1404" t="s">
        <v>3</v>
      </c>
      <c r="S1404" t="s">
        <v>3</v>
      </c>
      <c r="T1404" t="s">
        <v>3</v>
      </c>
      <c r="U1404" t="s">
        <v>3</v>
      </c>
      <c r="V1404" t="s">
        <v>3</v>
      </c>
      <c r="W1404" t="s">
        <v>68</v>
      </c>
      <c r="X1404" s="17">
        <v>43646</v>
      </c>
      <c r="Y1404" t="s">
        <v>2514</v>
      </c>
      <c r="Z1404" s="17">
        <v>43506</v>
      </c>
      <c r="AA1404" t="s">
        <v>3</v>
      </c>
      <c r="AB1404" t="s">
        <v>3629</v>
      </c>
    </row>
    <row r="1405" spans="1:28" hidden="1">
      <c r="A1405" t="s">
        <v>3632</v>
      </c>
      <c r="B1405" s="17">
        <v>43506</v>
      </c>
      <c r="C1405" s="17">
        <v>43506</v>
      </c>
      <c r="D1405" t="s">
        <v>0</v>
      </c>
      <c r="E1405" t="s">
        <v>1</v>
      </c>
      <c r="F1405" s="18">
        <v>15752</v>
      </c>
      <c r="G1405" s="18">
        <v>15752</v>
      </c>
      <c r="H1405" t="s">
        <v>2</v>
      </c>
      <c r="I1405" t="s">
        <v>8</v>
      </c>
      <c r="J1405" s="18">
        <v>1306628.3999999999</v>
      </c>
      <c r="K1405" t="s">
        <v>3633</v>
      </c>
      <c r="L1405" t="s">
        <v>9</v>
      </c>
      <c r="M1405" t="s">
        <v>3634</v>
      </c>
      <c r="N1405" t="s">
        <v>3</v>
      </c>
      <c r="O1405" t="s">
        <v>3</v>
      </c>
      <c r="P1405" t="s">
        <v>5</v>
      </c>
      <c r="Q1405" t="s">
        <v>3635</v>
      </c>
      <c r="R1405" t="s">
        <v>3</v>
      </c>
      <c r="S1405" t="s">
        <v>3</v>
      </c>
      <c r="T1405" t="s">
        <v>3</v>
      </c>
      <c r="U1405" t="s">
        <v>3</v>
      </c>
      <c r="V1405" t="s">
        <v>3</v>
      </c>
      <c r="W1405" t="s">
        <v>68</v>
      </c>
      <c r="X1405" s="17">
        <v>43646</v>
      </c>
      <c r="Y1405" t="s">
        <v>2477</v>
      </c>
      <c r="Z1405" s="17">
        <v>43506</v>
      </c>
      <c r="AA1405" t="s">
        <v>3</v>
      </c>
      <c r="AB1405" t="s">
        <v>3632</v>
      </c>
    </row>
    <row r="1406" spans="1:28" hidden="1">
      <c r="A1406" t="s">
        <v>3636</v>
      </c>
      <c r="B1406" s="17">
        <v>43506</v>
      </c>
      <c r="C1406" s="17">
        <v>43506</v>
      </c>
      <c r="D1406" t="s">
        <v>0</v>
      </c>
      <c r="E1406" t="s">
        <v>1</v>
      </c>
      <c r="F1406" s="18">
        <v>22217</v>
      </c>
      <c r="G1406" s="18">
        <v>22217</v>
      </c>
      <c r="H1406" t="s">
        <v>2</v>
      </c>
      <c r="I1406" t="s">
        <v>8</v>
      </c>
      <c r="J1406" s="18">
        <v>1842900.15</v>
      </c>
      <c r="K1406" t="s">
        <v>3633</v>
      </c>
      <c r="L1406" t="s">
        <v>9</v>
      </c>
      <c r="M1406" t="s">
        <v>3637</v>
      </c>
      <c r="N1406" t="s">
        <v>3</v>
      </c>
      <c r="O1406" t="s">
        <v>3</v>
      </c>
      <c r="P1406" t="s">
        <v>5</v>
      </c>
      <c r="Q1406" t="s">
        <v>3638</v>
      </c>
      <c r="R1406" t="s">
        <v>3</v>
      </c>
      <c r="S1406" t="s">
        <v>3</v>
      </c>
      <c r="T1406" t="s">
        <v>3</v>
      </c>
      <c r="U1406" t="s">
        <v>3</v>
      </c>
      <c r="V1406" t="s">
        <v>3</v>
      </c>
      <c r="W1406" t="s">
        <v>68</v>
      </c>
      <c r="X1406" s="17">
        <v>43646</v>
      </c>
      <c r="Y1406" t="s">
        <v>2477</v>
      </c>
      <c r="Z1406" s="17">
        <v>43506</v>
      </c>
      <c r="AA1406" t="s">
        <v>3</v>
      </c>
      <c r="AB1406" t="s">
        <v>3636</v>
      </c>
    </row>
    <row r="1407" spans="1:28" hidden="1">
      <c r="A1407" t="s">
        <v>3636</v>
      </c>
      <c r="B1407" s="17">
        <v>43506</v>
      </c>
      <c r="C1407" s="17">
        <v>43506</v>
      </c>
      <c r="D1407" t="s">
        <v>0</v>
      </c>
      <c r="E1407" t="s">
        <v>1</v>
      </c>
      <c r="F1407" s="18">
        <v>23810</v>
      </c>
      <c r="G1407" s="18">
        <v>23810</v>
      </c>
      <c r="H1407" t="s">
        <v>2</v>
      </c>
      <c r="I1407" t="s">
        <v>8</v>
      </c>
      <c r="J1407" s="18">
        <v>1975039.5</v>
      </c>
      <c r="K1407" t="s">
        <v>3619</v>
      </c>
      <c r="L1407" t="s">
        <v>9</v>
      </c>
      <c r="M1407" t="s">
        <v>3637</v>
      </c>
      <c r="N1407" t="s">
        <v>3</v>
      </c>
      <c r="O1407" t="s">
        <v>3</v>
      </c>
      <c r="P1407" t="s">
        <v>5</v>
      </c>
      <c r="Q1407" t="s">
        <v>3638</v>
      </c>
      <c r="R1407" t="s">
        <v>3</v>
      </c>
      <c r="S1407" t="s">
        <v>3</v>
      </c>
      <c r="T1407" t="s">
        <v>3</v>
      </c>
      <c r="U1407" t="s">
        <v>3</v>
      </c>
      <c r="V1407" t="s">
        <v>3</v>
      </c>
      <c r="W1407" t="s">
        <v>68</v>
      </c>
      <c r="X1407" s="17">
        <v>43677</v>
      </c>
      <c r="Y1407" t="s">
        <v>3399</v>
      </c>
      <c r="Z1407" s="17">
        <v>43506</v>
      </c>
      <c r="AA1407" t="s">
        <v>3</v>
      </c>
      <c r="AB1407" t="s">
        <v>3636</v>
      </c>
    </row>
    <row r="1408" spans="1:28" hidden="1">
      <c r="A1408" t="s">
        <v>3688</v>
      </c>
      <c r="B1408" s="17">
        <v>43508</v>
      </c>
      <c r="C1408" s="17">
        <v>43508</v>
      </c>
      <c r="D1408" t="s">
        <v>0</v>
      </c>
      <c r="E1408" t="s">
        <v>1</v>
      </c>
      <c r="F1408" s="18">
        <v>-16168.31</v>
      </c>
      <c r="G1408" s="18">
        <v>-16168.31</v>
      </c>
      <c r="H1408" t="s">
        <v>2</v>
      </c>
      <c r="I1408" t="s">
        <v>10</v>
      </c>
      <c r="J1408" s="18">
        <v>-1341161.31</v>
      </c>
      <c r="K1408" t="s">
        <v>3689</v>
      </c>
      <c r="L1408" t="s">
        <v>4</v>
      </c>
      <c r="M1408" t="s">
        <v>3690</v>
      </c>
      <c r="N1408" t="s">
        <v>3</v>
      </c>
      <c r="O1408" t="s">
        <v>3</v>
      </c>
      <c r="P1408" t="s">
        <v>5</v>
      </c>
      <c r="Q1408" t="s">
        <v>3691</v>
      </c>
      <c r="R1408" t="s">
        <v>3</v>
      </c>
      <c r="S1408" t="s">
        <v>3</v>
      </c>
      <c r="T1408" t="s">
        <v>3</v>
      </c>
      <c r="U1408" t="s">
        <v>3</v>
      </c>
      <c r="V1408" t="s">
        <v>3</v>
      </c>
      <c r="W1408" t="s">
        <v>68</v>
      </c>
      <c r="X1408" s="17">
        <v>43543</v>
      </c>
      <c r="Y1408" t="s">
        <v>3581</v>
      </c>
      <c r="Z1408" s="17">
        <v>43508</v>
      </c>
      <c r="AA1408" t="s">
        <v>3</v>
      </c>
      <c r="AB1408" t="s">
        <v>3688</v>
      </c>
    </row>
    <row r="1409" spans="1:28" hidden="1">
      <c r="A1409" t="s">
        <v>3692</v>
      </c>
      <c r="B1409" s="17">
        <v>43508</v>
      </c>
      <c r="C1409" s="17">
        <v>43508</v>
      </c>
      <c r="D1409" t="s">
        <v>0</v>
      </c>
      <c r="E1409" t="s">
        <v>1</v>
      </c>
      <c r="F1409" s="18">
        <v>-72138.42</v>
      </c>
      <c r="G1409" s="18">
        <v>-72138.42</v>
      </c>
      <c r="H1409" t="s">
        <v>2</v>
      </c>
      <c r="I1409" t="s">
        <v>10</v>
      </c>
      <c r="J1409" s="18">
        <v>-5983881.9400000004</v>
      </c>
      <c r="K1409" t="s">
        <v>3693</v>
      </c>
      <c r="L1409" t="s">
        <v>4</v>
      </c>
      <c r="M1409" t="s">
        <v>3694</v>
      </c>
      <c r="N1409" t="s">
        <v>3</v>
      </c>
      <c r="O1409" t="s">
        <v>3</v>
      </c>
      <c r="P1409" t="s">
        <v>5</v>
      </c>
      <c r="Q1409" t="s">
        <v>3695</v>
      </c>
      <c r="R1409" t="s">
        <v>3</v>
      </c>
      <c r="S1409" t="s">
        <v>3</v>
      </c>
      <c r="T1409" t="s">
        <v>3</v>
      </c>
      <c r="U1409" t="s">
        <v>3</v>
      </c>
      <c r="V1409" t="s">
        <v>3</v>
      </c>
      <c r="W1409" t="s">
        <v>68</v>
      </c>
      <c r="X1409" s="17"/>
      <c r="Y1409" t="s">
        <v>3</v>
      </c>
      <c r="Z1409" s="17">
        <v>43508</v>
      </c>
      <c r="AA1409" t="s">
        <v>3</v>
      </c>
      <c r="AB1409" t="s">
        <v>3692</v>
      </c>
    </row>
    <row r="1410" spans="1:28" hidden="1">
      <c r="A1410" t="s">
        <v>3701</v>
      </c>
      <c r="B1410" s="17">
        <v>43508</v>
      </c>
      <c r="C1410" s="17">
        <v>43508</v>
      </c>
      <c r="D1410" t="s">
        <v>0</v>
      </c>
      <c r="E1410" t="s">
        <v>1</v>
      </c>
      <c r="F1410" s="18">
        <v>11006.97</v>
      </c>
      <c r="G1410" s="18">
        <v>11006.97</v>
      </c>
      <c r="H1410" t="s">
        <v>2</v>
      </c>
      <c r="I1410" t="s">
        <v>8</v>
      </c>
      <c r="J1410" s="18">
        <v>913028.16</v>
      </c>
      <c r="K1410" t="s">
        <v>3702</v>
      </c>
      <c r="L1410" t="s">
        <v>4</v>
      </c>
      <c r="M1410" t="s">
        <v>3703</v>
      </c>
      <c r="N1410" t="s">
        <v>3</v>
      </c>
      <c r="O1410" t="s">
        <v>3</v>
      </c>
      <c r="P1410" t="s">
        <v>5</v>
      </c>
      <c r="Q1410" t="s">
        <v>3704</v>
      </c>
      <c r="R1410" t="s">
        <v>3</v>
      </c>
      <c r="S1410" t="s">
        <v>3</v>
      </c>
      <c r="T1410" t="s">
        <v>3</v>
      </c>
      <c r="U1410" t="s">
        <v>3</v>
      </c>
      <c r="V1410" t="s">
        <v>3</v>
      </c>
      <c r="W1410" t="s">
        <v>68</v>
      </c>
      <c r="X1410" s="17"/>
      <c r="Y1410" t="s">
        <v>3</v>
      </c>
      <c r="Z1410" s="17">
        <v>43508</v>
      </c>
      <c r="AA1410" t="s">
        <v>3</v>
      </c>
      <c r="AB1410" t="s">
        <v>3701</v>
      </c>
    </row>
    <row r="1411" spans="1:28" hidden="1">
      <c r="A1411" t="s">
        <v>3701</v>
      </c>
      <c r="B1411" s="17">
        <v>43508</v>
      </c>
      <c r="C1411" s="17">
        <v>43508</v>
      </c>
      <c r="D1411" t="s">
        <v>0</v>
      </c>
      <c r="E1411" t="s">
        <v>1</v>
      </c>
      <c r="F1411" s="18">
        <v>31426.78</v>
      </c>
      <c r="G1411" s="18">
        <v>31426.78</v>
      </c>
      <c r="H1411" t="s">
        <v>2</v>
      </c>
      <c r="I1411" t="s">
        <v>8</v>
      </c>
      <c r="J1411" s="18">
        <v>2606851.4</v>
      </c>
      <c r="K1411" t="s">
        <v>3705</v>
      </c>
      <c r="L1411" t="s">
        <v>4</v>
      </c>
      <c r="M1411" t="s">
        <v>3703</v>
      </c>
      <c r="N1411" t="s">
        <v>3</v>
      </c>
      <c r="O1411" t="s">
        <v>3</v>
      </c>
      <c r="P1411" t="s">
        <v>5</v>
      </c>
      <c r="Q1411" t="s">
        <v>3704</v>
      </c>
      <c r="R1411" t="s">
        <v>3</v>
      </c>
      <c r="S1411" t="s">
        <v>3</v>
      </c>
      <c r="T1411" t="s">
        <v>3</v>
      </c>
      <c r="U1411" t="s">
        <v>3</v>
      </c>
      <c r="V1411" t="s">
        <v>3</v>
      </c>
      <c r="W1411" t="s">
        <v>68</v>
      </c>
      <c r="X1411" s="17"/>
      <c r="Y1411" t="s">
        <v>3</v>
      </c>
      <c r="Z1411" s="17">
        <v>43508</v>
      </c>
      <c r="AA1411" t="s">
        <v>3</v>
      </c>
      <c r="AB1411" t="s">
        <v>3701</v>
      </c>
    </row>
    <row r="1412" spans="1:28" hidden="1">
      <c r="A1412" t="s">
        <v>3701</v>
      </c>
      <c r="B1412" s="17">
        <v>43508</v>
      </c>
      <c r="C1412" s="17">
        <v>43508</v>
      </c>
      <c r="D1412" t="s">
        <v>0</v>
      </c>
      <c r="E1412" t="s">
        <v>1</v>
      </c>
      <c r="F1412" s="18">
        <v>31303.56</v>
      </c>
      <c r="G1412" s="18">
        <v>31303.56</v>
      </c>
      <c r="H1412" t="s">
        <v>2</v>
      </c>
      <c r="I1412" t="s">
        <v>8</v>
      </c>
      <c r="J1412" s="18">
        <v>2596630.2999999998</v>
      </c>
      <c r="K1412" t="s">
        <v>3706</v>
      </c>
      <c r="L1412" t="s">
        <v>4</v>
      </c>
      <c r="M1412" t="s">
        <v>3703</v>
      </c>
      <c r="N1412" t="s">
        <v>3</v>
      </c>
      <c r="O1412" t="s">
        <v>3</v>
      </c>
      <c r="P1412" t="s">
        <v>5</v>
      </c>
      <c r="Q1412" t="s">
        <v>3704</v>
      </c>
      <c r="R1412" t="s">
        <v>3</v>
      </c>
      <c r="S1412" t="s">
        <v>3</v>
      </c>
      <c r="T1412" t="s">
        <v>3</v>
      </c>
      <c r="U1412" t="s">
        <v>3</v>
      </c>
      <c r="V1412" t="s">
        <v>3</v>
      </c>
      <c r="W1412" t="s">
        <v>68</v>
      </c>
      <c r="X1412" s="17"/>
      <c r="Y1412" t="s">
        <v>3</v>
      </c>
      <c r="Z1412" s="17">
        <v>43508</v>
      </c>
      <c r="AA1412" t="s">
        <v>3</v>
      </c>
      <c r="AB1412" t="s">
        <v>3701</v>
      </c>
    </row>
    <row r="1413" spans="1:28" hidden="1">
      <c r="A1413" t="s">
        <v>3603</v>
      </c>
      <c r="B1413" s="17">
        <v>43509</v>
      </c>
      <c r="C1413" s="17">
        <v>43509</v>
      </c>
      <c r="D1413" t="s">
        <v>0</v>
      </c>
      <c r="E1413" t="s">
        <v>1</v>
      </c>
      <c r="F1413" s="18">
        <v>19354</v>
      </c>
      <c r="G1413" s="18">
        <v>19354</v>
      </c>
      <c r="H1413" t="s">
        <v>2</v>
      </c>
      <c r="I1413" t="s">
        <v>10</v>
      </c>
      <c r="J1413" s="18">
        <v>1605414.3</v>
      </c>
      <c r="K1413" t="s">
        <v>3595</v>
      </c>
      <c r="L1413" t="s">
        <v>9</v>
      </c>
      <c r="M1413" t="s">
        <v>3604</v>
      </c>
      <c r="N1413" t="s">
        <v>3</v>
      </c>
      <c r="O1413" t="s">
        <v>3</v>
      </c>
      <c r="P1413" t="s">
        <v>5</v>
      </c>
      <c r="Q1413" t="s">
        <v>3605</v>
      </c>
      <c r="R1413" t="s">
        <v>3</v>
      </c>
      <c r="S1413" t="s">
        <v>3</v>
      </c>
      <c r="T1413" t="s">
        <v>3</v>
      </c>
      <c r="U1413" t="s">
        <v>3</v>
      </c>
      <c r="V1413" t="s">
        <v>3</v>
      </c>
      <c r="W1413" t="s">
        <v>68</v>
      </c>
      <c r="X1413" s="17">
        <v>43646</v>
      </c>
      <c r="Y1413" t="s">
        <v>2483</v>
      </c>
      <c r="Z1413" s="17">
        <v>43509</v>
      </c>
      <c r="AA1413" t="s">
        <v>3</v>
      </c>
      <c r="AB1413" t="s">
        <v>3603</v>
      </c>
    </row>
    <row r="1414" spans="1:28" hidden="1">
      <c r="A1414" t="s">
        <v>3639</v>
      </c>
      <c r="B1414" s="17">
        <v>43509</v>
      </c>
      <c r="C1414" s="17">
        <v>43509</v>
      </c>
      <c r="D1414" t="s">
        <v>0</v>
      </c>
      <c r="E1414" t="s">
        <v>1</v>
      </c>
      <c r="F1414" s="18">
        <v>-566069</v>
      </c>
      <c r="G1414" s="18">
        <v>-566069</v>
      </c>
      <c r="H1414" t="s">
        <v>2</v>
      </c>
      <c r="I1414" t="s">
        <v>8</v>
      </c>
      <c r="J1414" s="18">
        <v>-46955423.549999997</v>
      </c>
      <c r="K1414" t="s">
        <v>3640</v>
      </c>
      <c r="L1414" t="s">
        <v>9</v>
      </c>
      <c r="M1414" t="s">
        <v>3641</v>
      </c>
      <c r="N1414" t="s">
        <v>3</v>
      </c>
      <c r="O1414" t="s">
        <v>3</v>
      </c>
      <c r="P1414" t="s">
        <v>5</v>
      </c>
      <c r="Q1414" t="s">
        <v>3642</v>
      </c>
      <c r="R1414" t="s">
        <v>3</v>
      </c>
      <c r="S1414" t="s">
        <v>3</v>
      </c>
      <c r="T1414" t="s">
        <v>3</v>
      </c>
      <c r="U1414" t="s">
        <v>3</v>
      </c>
      <c r="V1414" t="s">
        <v>3</v>
      </c>
      <c r="W1414" t="s">
        <v>68</v>
      </c>
      <c r="X1414" s="17">
        <v>43646</v>
      </c>
      <c r="Y1414" t="s">
        <v>2472</v>
      </c>
      <c r="Z1414" s="17">
        <v>43509</v>
      </c>
      <c r="AA1414" t="s">
        <v>3</v>
      </c>
      <c r="AB1414" t="s">
        <v>3639</v>
      </c>
    </row>
    <row r="1415" spans="1:28" hidden="1">
      <c r="A1415" t="s">
        <v>3643</v>
      </c>
      <c r="B1415" s="17">
        <v>43509</v>
      </c>
      <c r="C1415" s="17">
        <v>43509</v>
      </c>
      <c r="D1415" t="s">
        <v>0</v>
      </c>
      <c r="E1415" t="s">
        <v>1</v>
      </c>
      <c r="F1415" s="18">
        <v>15391</v>
      </c>
      <c r="G1415" s="18">
        <v>15391</v>
      </c>
      <c r="H1415" t="s">
        <v>2</v>
      </c>
      <c r="I1415" t="s">
        <v>8</v>
      </c>
      <c r="J1415" s="18">
        <v>1276683.45</v>
      </c>
      <c r="K1415" t="s">
        <v>3644</v>
      </c>
      <c r="L1415" t="s">
        <v>9</v>
      </c>
      <c r="M1415" t="s">
        <v>3645</v>
      </c>
      <c r="N1415" t="s">
        <v>3</v>
      </c>
      <c r="O1415" t="s">
        <v>3</v>
      </c>
      <c r="P1415" t="s">
        <v>5</v>
      </c>
      <c r="Q1415" t="s">
        <v>3646</v>
      </c>
      <c r="R1415" t="s">
        <v>3</v>
      </c>
      <c r="S1415" t="s">
        <v>3</v>
      </c>
      <c r="T1415" t="s">
        <v>3</v>
      </c>
      <c r="U1415" t="s">
        <v>3</v>
      </c>
      <c r="V1415" t="s">
        <v>3</v>
      </c>
      <c r="W1415" t="s">
        <v>68</v>
      </c>
      <c r="X1415" s="17">
        <v>43646</v>
      </c>
      <c r="Y1415" t="s">
        <v>2477</v>
      </c>
      <c r="Z1415" s="17">
        <v>43509</v>
      </c>
      <c r="AA1415" t="s">
        <v>3</v>
      </c>
      <c r="AB1415" t="s">
        <v>3643</v>
      </c>
    </row>
    <row r="1416" spans="1:28" hidden="1">
      <c r="A1416" t="s">
        <v>3647</v>
      </c>
      <c r="B1416" s="17">
        <v>43509</v>
      </c>
      <c r="C1416" s="17">
        <v>43509</v>
      </c>
      <c r="D1416" t="s">
        <v>0</v>
      </c>
      <c r="E1416" t="s">
        <v>1</v>
      </c>
      <c r="F1416" s="18">
        <v>21539</v>
      </c>
      <c r="G1416" s="18">
        <v>21539</v>
      </c>
      <c r="H1416" t="s">
        <v>2</v>
      </c>
      <c r="I1416" t="s">
        <v>8</v>
      </c>
      <c r="J1416" s="18">
        <v>1786660.05</v>
      </c>
      <c r="K1416" t="s">
        <v>3621</v>
      </c>
      <c r="L1416" t="s">
        <v>9</v>
      </c>
      <c r="M1416" t="s">
        <v>3648</v>
      </c>
      <c r="N1416" t="s">
        <v>3</v>
      </c>
      <c r="O1416" t="s">
        <v>3</v>
      </c>
      <c r="P1416" t="s">
        <v>5</v>
      </c>
      <c r="Q1416" t="s">
        <v>3649</v>
      </c>
      <c r="R1416" t="s">
        <v>3</v>
      </c>
      <c r="S1416" t="s">
        <v>3</v>
      </c>
      <c r="T1416" t="s">
        <v>3</v>
      </c>
      <c r="U1416" t="s">
        <v>3</v>
      </c>
      <c r="V1416" t="s">
        <v>3</v>
      </c>
      <c r="W1416" t="s">
        <v>68</v>
      </c>
      <c r="X1416" s="17">
        <v>43646</v>
      </c>
      <c r="Y1416" t="s">
        <v>2514</v>
      </c>
      <c r="Z1416" s="17">
        <v>43509</v>
      </c>
      <c r="AA1416" t="s">
        <v>3</v>
      </c>
      <c r="AB1416" t="s">
        <v>3647</v>
      </c>
    </row>
    <row r="1417" spans="1:28" hidden="1">
      <c r="A1417" t="s">
        <v>3650</v>
      </c>
      <c r="B1417" s="17">
        <v>43509</v>
      </c>
      <c r="C1417" s="17">
        <v>43509</v>
      </c>
      <c r="D1417" t="s">
        <v>0</v>
      </c>
      <c r="E1417" t="s">
        <v>1</v>
      </c>
      <c r="F1417" s="18">
        <v>942</v>
      </c>
      <c r="G1417" s="18">
        <v>942</v>
      </c>
      <c r="H1417" t="s">
        <v>2</v>
      </c>
      <c r="I1417" t="s">
        <v>8</v>
      </c>
      <c r="J1417" s="18">
        <v>78138.899999999994</v>
      </c>
      <c r="K1417" t="s">
        <v>3651</v>
      </c>
      <c r="L1417" t="s">
        <v>9</v>
      </c>
      <c r="M1417" t="s">
        <v>3652</v>
      </c>
      <c r="N1417" t="s">
        <v>3</v>
      </c>
      <c r="O1417" t="s">
        <v>3</v>
      </c>
      <c r="P1417" t="s">
        <v>5</v>
      </c>
      <c r="Q1417" t="s">
        <v>3653</v>
      </c>
      <c r="R1417" t="s">
        <v>3</v>
      </c>
      <c r="S1417" t="s">
        <v>3</v>
      </c>
      <c r="T1417" t="s">
        <v>3</v>
      </c>
      <c r="U1417" t="s">
        <v>3</v>
      </c>
      <c r="V1417" t="s">
        <v>3</v>
      </c>
      <c r="W1417" t="s">
        <v>68</v>
      </c>
      <c r="X1417" s="17">
        <v>43587</v>
      </c>
      <c r="Y1417" t="s">
        <v>2452</v>
      </c>
      <c r="Z1417" s="17">
        <v>43509</v>
      </c>
      <c r="AA1417" t="s">
        <v>3</v>
      </c>
      <c r="AB1417" t="s">
        <v>3650</v>
      </c>
    </row>
    <row r="1418" spans="1:28" hidden="1">
      <c r="A1418" t="s">
        <v>3654</v>
      </c>
      <c r="B1418" s="17">
        <v>43509</v>
      </c>
      <c r="C1418" s="17">
        <v>43509</v>
      </c>
      <c r="D1418" t="s">
        <v>0</v>
      </c>
      <c r="E1418" t="s">
        <v>1</v>
      </c>
      <c r="F1418" s="18">
        <v>2170</v>
      </c>
      <c r="G1418" s="18">
        <v>2170</v>
      </c>
      <c r="H1418" t="s">
        <v>2</v>
      </c>
      <c r="I1418" t="s">
        <v>8</v>
      </c>
      <c r="J1418" s="18">
        <v>180001.5</v>
      </c>
      <c r="K1418" t="s">
        <v>3621</v>
      </c>
      <c r="L1418" t="s">
        <v>9</v>
      </c>
      <c r="M1418" t="s">
        <v>3655</v>
      </c>
      <c r="N1418" t="s">
        <v>3</v>
      </c>
      <c r="O1418" t="s">
        <v>3</v>
      </c>
      <c r="P1418" t="s">
        <v>5</v>
      </c>
      <c r="Q1418" t="s">
        <v>3656</v>
      </c>
      <c r="R1418" t="s">
        <v>3</v>
      </c>
      <c r="S1418" t="s">
        <v>3</v>
      </c>
      <c r="T1418" t="s">
        <v>3</v>
      </c>
      <c r="U1418" t="s">
        <v>3</v>
      </c>
      <c r="V1418" t="s">
        <v>3</v>
      </c>
      <c r="W1418" t="s">
        <v>68</v>
      </c>
      <c r="X1418" s="17">
        <v>43646</v>
      </c>
      <c r="Y1418" t="s">
        <v>2514</v>
      </c>
      <c r="Z1418" s="17">
        <v>43509</v>
      </c>
      <c r="AA1418" t="s">
        <v>3</v>
      </c>
      <c r="AB1418" t="s">
        <v>3654</v>
      </c>
    </row>
    <row r="1419" spans="1:28" hidden="1">
      <c r="A1419" t="s">
        <v>3606</v>
      </c>
      <c r="B1419" s="17">
        <v>43510</v>
      </c>
      <c r="C1419" s="17">
        <v>43510</v>
      </c>
      <c r="D1419" t="s">
        <v>0</v>
      </c>
      <c r="E1419" t="s">
        <v>1</v>
      </c>
      <c r="F1419" s="18">
        <v>25221</v>
      </c>
      <c r="G1419" s="18">
        <v>25221</v>
      </c>
      <c r="H1419" t="s">
        <v>2</v>
      </c>
      <c r="I1419" t="s">
        <v>10</v>
      </c>
      <c r="J1419" s="18">
        <v>2092081.95</v>
      </c>
      <c r="K1419" t="s">
        <v>3595</v>
      </c>
      <c r="L1419" t="s">
        <v>9</v>
      </c>
      <c r="M1419" t="s">
        <v>3607</v>
      </c>
      <c r="N1419" t="s">
        <v>3</v>
      </c>
      <c r="O1419" t="s">
        <v>3</v>
      </c>
      <c r="P1419" t="s">
        <v>5</v>
      </c>
      <c r="Q1419" t="s">
        <v>3608</v>
      </c>
      <c r="R1419" t="s">
        <v>3</v>
      </c>
      <c r="S1419" t="s">
        <v>3</v>
      </c>
      <c r="T1419" t="s">
        <v>3</v>
      </c>
      <c r="U1419" t="s">
        <v>3</v>
      </c>
      <c r="V1419" t="s">
        <v>3</v>
      </c>
      <c r="W1419" t="s">
        <v>68</v>
      </c>
      <c r="X1419" s="17">
        <v>43646</v>
      </c>
      <c r="Y1419" t="s">
        <v>2483</v>
      </c>
      <c r="Z1419" s="17">
        <v>43510</v>
      </c>
      <c r="AA1419" t="s">
        <v>3</v>
      </c>
      <c r="AB1419" t="s">
        <v>3606</v>
      </c>
    </row>
    <row r="1420" spans="1:28" hidden="1">
      <c r="A1420" t="s">
        <v>3606</v>
      </c>
      <c r="B1420" s="17">
        <v>43510</v>
      </c>
      <c r="C1420" s="17">
        <v>43510</v>
      </c>
      <c r="D1420" t="s">
        <v>0</v>
      </c>
      <c r="E1420" t="s">
        <v>1</v>
      </c>
      <c r="F1420" s="18">
        <v>1563</v>
      </c>
      <c r="G1420" s="18">
        <v>1563</v>
      </c>
      <c r="H1420" t="s">
        <v>2</v>
      </c>
      <c r="I1420" t="s">
        <v>10</v>
      </c>
      <c r="J1420" s="18">
        <v>129650.85</v>
      </c>
      <c r="K1420" t="s">
        <v>3598</v>
      </c>
      <c r="L1420" t="s">
        <v>9</v>
      </c>
      <c r="M1420" t="s">
        <v>3607</v>
      </c>
      <c r="N1420" t="s">
        <v>3</v>
      </c>
      <c r="O1420" t="s">
        <v>3</v>
      </c>
      <c r="P1420" t="s">
        <v>5</v>
      </c>
      <c r="Q1420" t="s">
        <v>3608</v>
      </c>
      <c r="R1420" t="s">
        <v>3</v>
      </c>
      <c r="S1420" t="s">
        <v>3</v>
      </c>
      <c r="T1420" t="s">
        <v>3</v>
      </c>
      <c r="U1420" t="s">
        <v>3</v>
      </c>
      <c r="V1420" t="s">
        <v>3</v>
      </c>
      <c r="W1420" t="s">
        <v>68</v>
      </c>
      <c r="X1420" s="17">
        <v>43646</v>
      </c>
      <c r="Y1420" t="s">
        <v>2485</v>
      </c>
      <c r="Z1420" s="17">
        <v>43510</v>
      </c>
      <c r="AA1420" t="s">
        <v>3</v>
      </c>
      <c r="AB1420" t="s">
        <v>3606</v>
      </c>
    </row>
    <row r="1421" spans="1:28" hidden="1">
      <c r="A1421" t="s">
        <v>3606</v>
      </c>
      <c r="B1421" s="17">
        <v>43510</v>
      </c>
      <c r="C1421" s="17">
        <v>43510</v>
      </c>
      <c r="D1421" t="s">
        <v>0</v>
      </c>
      <c r="E1421" t="s">
        <v>1</v>
      </c>
      <c r="F1421" s="18">
        <v>3741</v>
      </c>
      <c r="G1421" s="18">
        <v>3741</v>
      </c>
      <c r="H1421" t="s">
        <v>2</v>
      </c>
      <c r="I1421" t="s">
        <v>10</v>
      </c>
      <c r="J1421" s="18">
        <v>310315.95</v>
      </c>
      <c r="K1421" t="s">
        <v>3609</v>
      </c>
      <c r="L1421" t="s">
        <v>9</v>
      </c>
      <c r="M1421" t="s">
        <v>3607</v>
      </c>
      <c r="N1421" t="s">
        <v>3</v>
      </c>
      <c r="O1421" t="s">
        <v>3</v>
      </c>
      <c r="P1421" t="s">
        <v>5</v>
      </c>
      <c r="Q1421" t="s">
        <v>3608</v>
      </c>
      <c r="R1421" t="s">
        <v>3</v>
      </c>
      <c r="S1421" t="s">
        <v>3</v>
      </c>
      <c r="T1421" t="s">
        <v>3</v>
      </c>
      <c r="U1421" t="s">
        <v>3</v>
      </c>
      <c r="V1421" t="s">
        <v>3</v>
      </c>
      <c r="W1421" t="s">
        <v>68</v>
      </c>
      <c r="X1421" s="17">
        <v>43677</v>
      </c>
      <c r="Y1421" t="s">
        <v>3443</v>
      </c>
      <c r="Z1421" s="17">
        <v>43510</v>
      </c>
      <c r="AA1421" t="s">
        <v>3</v>
      </c>
      <c r="AB1421" t="s">
        <v>3606</v>
      </c>
    </row>
    <row r="1422" spans="1:28" hidden="1">
      <c r="A1422" t="s">
        <v>3657</v>
      </c>
      <c r="B1422" s="17">
        <v>43510</v>
      </c>
      <c r="C1422" s="17">
        <v>43510</v>
      </c>
      <c r="D1422" t="s">
        <v>0</v>
      </c>
      <c r="E1422" t="s">
        <v>1</v>
      </c>
      <c r="F1422" s="18">
        <v>28849.75</v>
      </c>
      <c r="G1422" s="18">
        <v>28849.75</v>
      </c>
      <c r="H1422" t="s">
        <v>2</v>
      </c>
      <c r="I1422" t="s">
        <v>8</v>
      </c>
      <c r="J1422" s="18">
        <v>2393086.7599999998</v>
      </c>
      <c r="K1422" t="s">
        <v>3658</v>
      </c>
      <c r="L1422" t="s">
        <v>4</v>
      </c>
      <c r="M1422" t="s">
        <v>3659</v>
      </c>
      <c r="N1422" t="s">
        <v>3</v>
      </c>
      <c r="O1422" t="s">
        <v>3</v>
      </c>
      <c r="P1422" t="s">
        <v>5</v>
      </c>
      <c r="Q1422" t="s">
        <v>3660</v>
      </c>
      <c r="R1422" t="s">
        <v>3</v>
      </c>
      <c r="S1422" t="s">
        <v>3</v>
      </c>
      <c r="T1422" t="s">
        <v>3</v>
      </c>
      <c r="U1422" t="s">
        <v>3</v>
      </c>
      <c r="V1422" t="s">
        <v>3</v>
      </c>
      <c r="W1422" t="s">
        <v>68</v>
      </c>
      <c r="X1422" s="17"/>
      <c r="Y1422" t="s">
        <v>3</v>
      </c>
      <c r="Z1422" s="17">
        <v>43510</v>
      </c>
      <c r="AA1422" t="s">
        <v>3</v>
      </c>
      <c r="AB1422" t="s">
        <v>3657</v>
      </c>
    </row>
    <row r="1423" spans="1:28" hidden="1">
      <c r="A1423" t="s">
        <v>3661</v>
      </c>
      <c r="B1423" s="17">
        <v>43513</v>
      </c>
      <c r="C1423" s="17">
        <v>43513</v>
      </c>
      <c r="D1423" t="s">
        <v>0</v>
      </c>
      <c r="E1423" t="s">
        <v>1</v>
      </c>
      <c r="F1423" s="18">
        <v>10721</v>
      </c>
      <c r="G1423" s="18">
        <v>10721</v>
      </c>
      <c r="H1423" t="s">
        <v>2</v>
      </c>
      <c r="I1423" t="s">
        <v>8</v>
      </c>
      <c r="J1423" s="18">
        <v>889306.95</v>
      </c>
      <c r="K1423" t="s">
        <v>3621</v>
      </c>
      <c r="L1423" t="s">
        <v>9</v>
      </c>
      <c r="M1423" t="s">
        <v>3662</v>
      </c>
      <c r="N1423" t="s">
        <v>3</v>
      </c>
      <c r="O1423" t="s">
        <v>3</v>
      </c>
      <c r="P1423" t="s">
        <v>5</v>
      </c>
      <c r="Q1423" t="s">
        <v>3663</v>
      </c>
      <c r="R1423" t="s">
        <v>3</v>
      </c>
      <c r="S1423" t="s">
        <v>3</v>
      </c>
      <c r="T1423" t="s">
        <v>3</v>
      </c>
      <c r="U1423" t="s">
        <v>3</v>
      </c>
      <c r="V1423" t="s">
        <v>3</v>
      </c>
      <c r="W1423" t="s">
        <v>68</v>
      </c>
      <c r="X1423" s="17">
        <v>43646</v>
      </c>
      <c r="Y1423" t="s">
        <v>2514</v>
      </c>
      <c r="Z1423" s="17">
        <v>43513</v>
      </c>
      <c r="AA1423" t="s">
        <v>3</v>
      </c>
      <c r="AB1423" t="s">
        <v>3661</v>
      </c>
    </row>
    <row r="1424" spans="1:28" hidden="1">
      <c r="A1424" t="s">
        <v>3664</v>
      </c>
      <c r="B1424" s="17">
        <v>43514</v>
      </c>
      <c r="C1424" s="17">
        <v>43514</v>
      </c>
      <c r="D1424" t="s">
        <v>0</v>
      </c>
      <c r="E1424" t="s">
        <v>1</v>
      </c>
      <c r="F1424" s="18">
        <v>66229.789999999994</v>
      </c>
      <c r="G1424" s="18">
        <v>66229.789999999994</v>
      </c>
      <c r="H1424" t="s">
        <v>2</v>
      </c>
      <c r="I1424" t="s">
        <v>8</v>
      </c>
      <c r="J1424" s="18">
        <v>5493761.0800000001</v>
      </c>
      <c r="K1424" t="s">
        <v>3665</v>
      </c>
      <c r="L1424" t="s">
        <v>4</v>
      </c>
      <c r="M1424" t="s">
        <v>3666</v>
      </c>
      <c r="N1424" t="s">
        <v>3</v>
      </c>
      <c r="O1424" t="s">
        <v>3</v>
      </c>
      <c r="P1424" t="s">
        <v>5</v>
      </c>
      <c r="Q1424" t="s">
        <v>3667</v>
      </c>
      <c r="R1424" t="s">
        <v>3</v>
      </c>
      <c r="S1424" t="s">
        <v>3</v>
      </c>
      <c r="T1424" t="s">
        <v>3</v>
      </c>
      <c r="U1424" t="s">
        <v>3</v>
      </c>
      <c r="V1424" t="s">
        <v>3</v>
      </c>
      <c r="W1424" t="s">
        <v>68</v>
      </c>
      <c r="X1424" s="17"/>
      <c r="Y1424" t="s">
        <v>3</v>
      </c>
      <c r="Z1424" s="17">
        <v>43514</v>
      </c>
      <c r="AA1424" t="s">
        <v>3</v>
      </c>
      <c r="AB1424" t="s">
        <v>3664</v>
      </c>
    </row>
    <row r="1425" spans="1:28" hidden="1">
      <c r="A1425" t="s">
        <v>3668</v>
      </c>
      <c r="B1425" s="17">
        <v>43514</v>
      </c>
      <c r="C1425" s="17">
        <v>43514</v>
      </c>
      <c r="D1425" t="s">
        <v>0</v>
      </c>
      <c r="E1425" t="s">
        <v>1</v>
      </c>
      <c r="F1425" s="18">
        <v>5152</v>
      </c>
      <c r="G1425" s="18">
        <v>5152</v>
      </c>
      <c r="H1425" t="s">
        <v>2</v>
      </c>
      <c r="I1425" t="s">
        <v>8</v>
      </c>
      <c r="J1425" s="18">
        <v>427358.4</v>
      </c>
      <c r="K1425" t="s">
        <v>3669</v>
      </c>
      <c r="L1425" t="s">
        <v>9</v>
      </c>
      <c r="M1425" t="s">
        <v>3670</v>
      </c>
      <c r="N1425" t="s">
        <v>3</v>
      </c>
      <c r="O1425" t="s">
        <v>3</v>
      </c>
      <c r="P1425" t="s">
        <v>5</v>
      </c>
      <c r="Q1425" t="s">
        <v>3671</v>
      </c>
      <c r="R1425" t="s">
        <v>3</v>
      </c>
      <c r="S1425" t="s">
        <v>3</v>
      </c>
      <c r="T1425" t="s">
        <v>3</v>
      </c>
      <c r="U1425" t="s">
        <v>3</v>
      </c>
      <c r="V1425" t="s">
        <v>3</v>
      </c>
      <c r="W1425" t="s">
        <v>68</v>
      </c>
      <c r="X1425" s="17">
        <v>43646</v>
      </c>
      <c r="Y1425" t="s">
        <v>2477</v>
      </c>
      <c r="Z1425" s="17">
        <v>43514</v>
      </c>
      <c r="AA1425" t="s">
        <v>3</v>
      </c>
      <c r="AB1425" t="s">
        <v>3668</v>
      </c>
    </row>
    <row r="1426" spans="1:28" hidden="1">
      <c r="A1426" t="s">
        <v>3668</v>
      </c>
      <c r="B1426" s="17">
        <v>43514</v>
      </c>
      <c r="C1426" s="17">
        <v>43514</v>
      </c>
      <c r="D1426" t="s">
        <v>0</v>
      </c>
      <c r="E1426" t="s">
        <v>1</v>
      </c>
      <c r="F1426" s="18">
        <v>4356</v>
      </c>
      <c r="G1426" s="18">
        <v>4356</v>
      </c>
      <c r="H1426" t="s">
        <v>2</v>
      </c>
      <c r="I1426" t="s">
        <v>8</v>
      </c>
      <c r="J1426" s="18">
        <v>361330.2</v>
      </c>
      <c r="K1426" t="s">
        <v>3621</v>
      </c>
      <c r="L1426" t="s">
        <v>9</v>
      </c>
      <c r="M1426" t="s">
        <v>3670</v>
      </c>
      <c r="N1426" t="s">
        <v>3</v>
      </c>
      <c r="O1426" t="s">
        <v>3</v>
      </c>
      <c r="P1426" t="s">
        <v>5</v>
      </c>
      <c r="Q1426" t="s">
        <v>3671</v>
      </c>
      <c r="R1426" t="s">
        <v>3</v>
      </c>
      <c r="S1426" t="s">
        <v>3</v>
      </c>
      <c r="T1426" t="s">
        <v>3</v>
      </c>
      <c r="U1426" t="s">
        <v>3</v>
      </c>
      <c r="V1426" t="s">
        <v>3</v>
      </c>
      <c r="W1426" t="s">
        <v>68</v>
      </c>
      <c r="X1426" s="17">
        <v>43646</v>
      </c>
      <c r="Y1426" t="s">
        <v>2514</v>
      </c>
      <c r="Z1426" s="17">
        <v>43514</v>
      </c>
      <c r="AA1426" t="s">
        <v>3</v>
      </c>
      <c r="AB1426" t="s">
        <v>3668</v>
      </c>
    </row>
    <row r="1427" spans="1:28" hidden="1">
      <c r="A1427" t="s">
        <v>3676</v>
      </c>
      <c r="B1427" s="17">
        <v>43514</v>
      </c>
      <c r="C1427" s="17">
        <v>43514</v>
      </c>
      <c r="D1427" t="s">
        <v>0</v>
      </c>
      <c r="E1427" t="s">
        <v>1</v>
      </c>
      <c r="F1427" s="18">
        <v>9125</v>
      </c>
      <c r="G1427" s="18">
        <v>9125</v>
      </c>
      <c r="H1427" t="s">
        <v>2</v>
      </c>
      <c r="I1427" t="s">
        <v>10</v>
      </c>
      <c r="J1427" s="18">
        <v>756918.75</v>
      </c>
      <c r="K1427" t="s">
        <v>3677</v>
      </c>
      <c r="L1427" t="s">
        <v>9</v>
      </c>
      <c r="M1427" t="s">
        <v>3678</v>
      </c>
      <c r="N1427" t="s">
        <v>3</v>
      </c>
      <c r="O1427" t="s">
        <v>3</v>
      </c>
      <c r="P1427" t="s">
        <v>5</v>
      </c>
      <c r="Q1427" t="s">
        <v>3679</v>
      </c>
      <c r="R1427" t="s">
        <v>3</v>
      </c>
      <c r="S1427" t="s">
        <v>3</v>
      </c>
      <c r="T1427" t="s">
        <v>3</v>
      </c>
      <c r="U1427" t="s">
        <v>3</v>
      </c>
      <c r="V1427" t="s">
        <v>3</v>
      </c>
      <c r="W1427" t="s">
        <v>68</v>
      </c>
      <c r="X1427" s="17">
        <v>43646</v>
      </c>
      <c r="Y1427" t="s">
        <v>2506</v>
      </c>
      <c r="Z1427" s="17">
        <v>43514</v>
      </c>
      <c r="AA1427" t="s">
        <v>3</v>
      </c>
      <c r="AB1427" t="s">
        <v>3676</v>
      </c>
    </row>
    <row r="1428" spans="1:28" hidden="1">
      <c r="A1428" t="s">
        <v>3707</v>
      </c>
      <c r="B1428" s="17">
        <v>43514</v>
      </c>
      <c r="C1428" s="17">
        <v>43514</v>
      </c>
      <c r="D1428" t="s">
        <v>0</v>
      </c>
      <c r="E1428" t="s">
        <v>1</v>
      </c>
      <c r="F1428" s="18">
        <v>2677</v>
      </c>
      <c r="G1428" s="18">
        <v>2677</v>
      </c>
      <c r="H1428" t="s">
        <v>2</v>
      </c>
      <c r="I1428" t="s">
        <v>10</v>
      </c>
      <c r="J1428" s="18">
        <v>222057.15</v>
      </c>
      <c r="K1428" t="s">
        <v>3708</v>
      </c>
      <c r="L1428" t="s">
        <v>9</v>
      </c>
      <c r="M1428" t="s">
        <v>3709</v>
      </c>
      <c r="N1428" t="s">
        <v>3</v>
      </c>
      <c r="O1428" t="s">
        <v>3</v>
      </c>
      <c r="P1428" t="s">
        <v>5</v>
      </c>
      <c r="Q1428" t="s">
        <v>3710</v>
      </c>
      <c r="R1428" t="s">
        <v>3</v>
      </c>
      <c r="S1428" t="s">
        <v>3</v>
      </c>
      <c r="T1428" t="s">
        <v>3</v>
      </c>
      <c r="U1428" t="s">
        <v>3</v>
      </c>
      <c r="V1428" t="s">
        <v>3</v>
      </c>
      <c r="W1428" t="s">
        <v>68</v>
      </c>
      <c r="X1428" s="17">
        <v>43646</v>
      </c>
      <c r="Y1428" t="s">
        <v>2485</v>
      </c>
      <c r="Z1428" s="17">
        <v>43514</v>
      </c>
      <c r="AA1428" t="s">
        <v>3</v>
      </c>
      <c r="AB1428" t="s">
        <v>3707</v>
      </c>
    </row>
    <row r="1429" spans="1:28" hidden="1">
      <c r="A1429" t="s">
        <v>3707</v>
      </c>
      <c r="B1429" s="17">
        <v>43514</v>
      </c>
      <c r="C1429" s="17">
        <v>43514</v>
      </c>
      <c r="D1429" t="s">
        <v>0</v>
      </c>
      <c r="E1429" t="s">
        <v>1</v>
      </c>
      <c r="F1429" s="18">
        <v>3577</v>
      </c>
      <c r="G1429" s="18">
        <v>3577</v>
      </c>
      <c r="H1429" t="s">
        <v>2</v>
      </c>
      <c r="I1429" t="s">
        <v>10</v>
      </c>
      <c r="J1429" s="18">
        <v>296712.15000000002</v>
      </c>
      <c r="K1429" t="s">
        <v>3711</v>
      </c>
      <c r="L1429" t="s">
        <v>9</v>
      </c>
      <c r="M1429" t="s">
        <v>3709</v>
      </c>
      <c r="N1429" t="s">
        <v>3</v>
      </c>
      <c r="O1429" t="s">
        <v>3</v>
      </c>
      <c r="P1429" t="s">
        <v>5</v>
      </c>
      <c r="Q1429" t="s">
        <v>3710</v>
      </c>
      <c r="R1429" t="s">
        <v>3</v>
      </c>
      <c r="S1429" t="s">
        <v>3</v>
      </c>
      <c r="T1429" t="s">
        <v>3</v>
      </c>
      <c r="U1429" t="s">
        <v>3</v>
      </c>
      <c r="V1429" t="s">
        <v>3</v>
      </c>
      <c r="W1429" t="s">
        <v>68</v>
      </c>
      <c r="X1429" s="17">
        <v>43677</v>
      </c>
      <c r="Y1429" t="s">
        <v>3443</v>
      </c>
      <c r="Z1429" s="17">
        <v>43514</v>
      </c>
      <c r="AA1429" t="s">
        <v>3</v>
      </c>
      <c r="AB1429" t="s">
        <v>3707</v>
      </c>
    </row>
    <row r="1430" spans="1:28" hidden="1">
      <c r="A1430" t="s">
        <v>3707</v>
      </c>
      <c r="B1430" s="17">
        <v>43514</v>
      </c>
      <c r="C1430" s="17">
        <v>43514</v>
      </c>
      <c r="D1430" t="s">
        <v>0</v>
      </c>
      <c r="E1430" t="s">
        <v>1</v>
      </c>
      <c r="F1430" s="18">
        <v>14022</v>
      </c>
      <c r="G1430" s="18">
        <v>14022</v>
      </c>
      <c r="H1430" t="s">
        <v>2</v>
      </c>
      <c r="I1430" t="s">
        <v>10</v>
      </c>
      <c r="J1430" s="18">
        <v>1163124.8999999999</v>
      </c>
      <c r="K1430" t="s">
        <v>3712</v>
      </c>
      <c r="L1430" t="s">
        <v>9</v>
      </c>
      <c r="M1430" t="s">
        <v>3709</v>
      </c>
      <c r="N1430" t="s">
        <v>3</v>
      </c>
      <c r="O1430" t="s">
        <v>3</v>
      </c>
      <c r="P1430" t="s">
        <v>5</v>
      </c>
      <c r="Q1430" t="s">
        <v>3710</v>
      </c>
      <c r="R1430" t="s">
        <v>3</v>
      </c>
      <c r="S1430" t="s">
        <v>3</v>
      </c>
      <c r="T1430" t="s">
        <v>3</v>
      </c>
      <c r="U1430" t="s">
        <v>3</v>
      </c>
      <c r="V1430" t="s">
        <v>3</v>
      </c>
      <c r="W1430" t="s">
        <v>68</v>
      </c>
      <c r="X1430" s="17">
        <v>43646</v>
      </c>
      <c r="Y1430" t="s">
        <v>2506</v>
      </c>
      <c r="Z1430" s="17">
        <v>43514</v>
      </c>
      <c r="AA1430" t="s">
        <v>3</v>
      </c>
      <c r="AB1430" t="s">
        <v>3707</v>
      </c>
    </row>
    <row r="1431" spans="1:28" hidden="1">
      <c r="A1431" t="s">
        <v>2345</v>
      </c>
      <c r="B1431" s="17">
        <v>43519</v>
      </c>
      <c r="C1431" s="17">
        <v>43519</v>
      </c>
      <c r="D1431" t="s">
        <v>7</v>
      </c>
      <c r="E1431" t="s">
        <v>1</v>
      </c>
      <c r="F1431" s="18">
        <v>314404</v>
      </c>
      <c r="G1431" s="18">
        <v>314404</v>
      </c>
      <c r="H1431" t="s">
        <v>2</v>
      </c>
      <c r="I1431" t="s">
        <v>10</v>
      </c>
      <c r="J1431" s="18">
        <v>26016931</v>
      </c>
      <c r="K1431" t="s">
        <v>3</v>
      </c>
      <c r="L1431" t="s">
        <v>9</v>
      </c>
      <c r="M1431" t="s">
        <v>2346</v>
      </c>
      <c r="N1431" t="s">
        <v>3</v>
      </c>
      <c r="O1431" t="s">
        <v>3</v>
      </c>
      <c r="P1431" t="s">
        <v>5</v>
      </c>
      <c r="Q1431" t="s">
        <v>2347</v>
      </c>
      <c r="R1431" t="s">
        <v>3</v>
      </c>
      <c r="S1431" t="s">
        <v>3</v>
      </c>
      <c r="T1431" t="s">
        <v>3</v>
      </c>
      <c r="U1431" t="s">
        <v>3</v>
      </c>
      <c r="V1431" t="s">
        <v>3</v>
      </c>
      <c r="W1431" t="s">
        <v>68</v>
      </c>
      <c r="X1431" s="17">
        <v>43519</v>
      </c>
      <c r="Y1431" t="s">
        <v>2345</v>
      </c>
      <c r="Z1431" s="17">
        <v>43519</v>
      </c>
      <c r="AA1431" t="s">
        <v>3</v>
      </c>
      <c r="AB1431" t="s">
        <v>2345</v>
      </c>
    </row>
    <row r="1432" spans="1:28" hidden="1">
      <c r="A1432" t="s">
        <v>2345</v>
      </c>
      <c r="B1432" s="17">
        <v>43519</v>
      </c>
      <c r="C1432" s="17">
        <v>43519</v>
      </c>
      <c r="D1432" t="s">
        <v>7</v>
      </c>
      <c r="E1432" t="s">
        <v>1</v>
      </c>
      <c r="F1432" s="18">
        <v>-314404</v>
      </c>
      <c r="G1432" s="18">
        <v>-314404</v>
      </c>
      <c r="H1432" t="s">
        <v>2</v>
      </c>
      <c r="I1432" t="s">
        <v>10</v>
      </c>
      <c r="J1432" s="18">
        <v>-26016931</v>
      </c>
      <c r="K1432" t="s">
        <v>3</v>
      </c>
      <c r="L1432" t="s">
        <v>9</v>
      </c>
      <c r="M1432" t="s">
        <v>2346</v>
      </c>
      <c r="N1432" t="s">
        <v>3</v>
      </c>
      <c r="O1432" t="s">
        <v>3</v>
      </c>
      <c r="P1432" t="s">
        <v>5</v>
      </c>
      <c r="Q1432" t="s">
        <v>2347</v>
      </c>
      <c r="R1432" t="s">
        <v>3</v>
      </c>
      <c r="S1432" t="s">
        <v>3</v>
      </c>
      <c r="T1432" t="s">
        <v>3</v>
      </c>
      <c r="U1432" t="s">
        <v>3</v>
      </c>
      <c r="V1432" t="s">
        <v>3</v>
      </c>
      <c r="W1432" t="s">
        <v>68</v>
      </c>
      <c r="X1432" s="17">
        <v>43519</v>
      </c>
      <c r="Y1432" t="s">
        <v>2345</v>
      </c>
      <c r="Z1432" s="17">
        <v>43519</v>
      </c>
      <c r="AA1432" t="s">
        <v>3</v>
      </c>
      <c r="AB1432" t="s">
        <v>2345</v>
      </c>
    </row>
    <row r="1433" spans="1:28" hidden="1">
      <c r="A1433" t="s">
        <v>2348</v>
      </c>
      <c r="B1433" s="17">
        <v>43519</v>
      </c>
      <c r="C1433" s="17">
        <v>43519</v>
      </c>
      <c r="D1433" t="s">
        <v>7</v>
      </c>
      <c r="E1433" t="s">
        <v>1</v>
      </c>
      <c r="F1433" s="18">
        <v>76806</v>
      </c>
      <c r="G1433" s="18">
        <v>76806</v>
      </c>
      <c r="H1433" t="s">
        <v>2</v>
      </c>
      <c r="I1433" t="s">
        <v>10</v>
      </c>
      <c r="J1433" s="18">
        <v>6355696.5099999998</v>
      </c>
      <c r="K1433" t="s">
        <v>2349</v>
      </c>
      <c r="L1433" t="s">
        <v>9</v>
      </c>
      <c r="M1433" t="s">
        <v>2349</v>
      </c>
      <c r="N1433" t="s">
        <v>3</v>
      </c>
      <c r="O1433" t="s">
        <v>3</v>
      </c>
      <c r="P1433" t="s">
        <v>5</v>
      </c>
      <c r="Q1433" t="s">
        <v>2350</v>
      </c>
      <c r="R1433" t="s">
        <v>3</v>
      </c>
      <c r="S1433" t="s">
        <v>3</v>
      </c>
      <c r="T1433" t="s">
        <v>3</v>
      </c>
      <c r="U1433" t="s">
        <v>3</v>
      </c>
      <c r="V1433" t="s">
        <v>3</v>
      </c>
      <c r="W1433" t="s">
        <v>68</v>
      </c>
      <c r="X1433" s="17">
        <v>43519</v>
      </c>
      <c r="Y1433" t="s">
        <v>2348</v>
      </c>
      <c r="Z1433" s="17">
        <v>43519</v>
      </c>
      <c r="AA1433" t="s">
        <v>3</v>
      </c>
      <c r="AB1433" t="s">
        <v>2348</v>
      </c>
    </row>
    <row r="1434" spans="1:28" hidden="1">
      <c r="A1434" t="s">
        <v>2348</v>
      </c>
      <c r="B1434" s="17">
        <v>43519</v>
      </c>
      <c r="C1434" s="17">
        <v>43519</v>
      </c>
      <c r="D1434" t="s">
        <v>7</v>
      </c>
      <c r="E1434" t="s">
        <v>1</v>
      </c>
      <c r="F1434" s="18">
        <v>-76806</v>
      </c>
      <c r="G1434" s="18">
        <v>-76806</v>
      </c>
      <c r="H1434" t="s">
        <v>2</v>
      </c>
      <c r="I1434" t="s">
        <v>10</v>
      </c>
      <c r="J1434" s="18">
        <v>-6355696.5099999998</v>
      </c>
      <c r="K1434" t="s">
        <v>2349</v>
      </c>
      <c r="L1434" t="s">
        <v>9</v>
      </c>
      <c r="M1434" t="s">
        <v>2349</v>
      </c>
      <c r="N1434" t="s">
        <v>3</v>
      </c>
      <c r="O1434" t="s">
        <v>3</v>
      </c>
      <c r="P1434" t="s">
        <v>5</v>
      </c>
      <c r="Q1434" t="s">
        <v>2350</v>
      </c>
      <c r="R1434" t="s">
        <v>3</v>
      </c>
      <c r="S1434" t="s">
        <v>3</v>
      </c>
      <c r="T1434" t="s">
        <v>3</v>
      </c>
      <c r="U1434" t="s">
        <v>3</v>
      </c>
      <c r="V1434" t="s">
        <v>3</v>
      </c>
      <c r="W1434" t="s">
        <v>68</v>
      </c>
      <c r="X1434" s="17">
        <v>43519</v>
      </c>
      <c r="Y1434" t="s">
        <v>2348</v>
      </c>
      <c r="Z1434" s="17">
        <v>43519</v>
      </c>
      <c r="AA1434" t="s">
        <v>3</v>
      </c>
      <c r="AB1434" t="s">
        <v>2348</v>
      </c>
    </row>
    <row r="1435" spans="1:28" hidden="1">
      <c r="A1435" t="s">
        <v>2351</v>
      </c>
      <c r="B1435" s="17">
        <v>43519</v>
      </c>
      <c r="C1435" s="17">
        <v>43519</v>
      </c>
      <c r="D1435" t="s">
        <v>7</v>
      </c>
      <c r="E1435" t="s">
        <v>1</v>
      </c>
      <c r="F1435" s="18">
        <v>45093</v>
      </c>
      <c r="G1435" s="18">
        <v>45093</v>
      </c>
      <c r="H1435" t="s">
        <v>2</v>
      </c>
      <c r="I1435" t="s">
        <v>10</v>
      </c>
      <c r="J1435" s="18">
        <v>3740464.36</v>
      </c>
      <c r="K1435" t="s">
        <v>2352</v>
      </c>
      <c r="L1435" t="s">
        <v>9</v>
      </c>
      <c r="M1435" t="s">
        <v>2352</v>
      </c>
      <c r="N1435" t="s">
        <v>3</v>
      </c>
      <c r="O1435" t="s">
        <v>3</v>
      </c>
      <c r="P1435" t="s">
        <v>5</v>
      </c>
      <c r="Q1435" t="s">
        <v>2353</v>
      </c>
      <c r="R1435" t="s">
        <v>3</v>
      </c>
      <c r="S1435" t="s">
        <v>3</v>
      </c>
      <c r="T1435" t="s">
        <v>3</v>
      </c>
      <c r="U1435" t="s">
        <v>3</v>
      </c>
      <c r="V1435" t="s">
        <v>3</v>
      </c>
      <c r="W1435" t="s">
        <v>68</v>
      </c>
      <c r="X1435" s="17">
        <v>43519</v>
      </c>
      <c r="Y1435" t="s">
        <v>2351</v>
      </c>
      <c r="Z1435" s="17">
        <v>43519</v>
      </c>
      <c r="AA1435" t="s">
        <v>3</v>
      </c>
      <c r="AB1435" t="s">
        <v>2351</v>
      </c>
    </row>
    <row r="1436" spans="1:28" hidden="1">
      <c r="A1436" t="s">
        <v>2351</v>
      </c>
      <c r="B1436" s="17">
        <v>43519</v>
      </c>
      <c r="C1436" s="17">
        <v>43519</v>
      </c>
      <c r="D1436" t="s">
        <v>7</v>
      </c>
      <c r="E1436" t="s">
        <v>1</v>
      </c>
      <c r="F1436" s="18">
        <v>-45093</v>
      </c>
      <c r="G1436" s="18">
        <v>-45093</v>
      </c>
      <c r="H1436" t="s">
        <v>2</v>
      </c>
      <c r="I1436" t="s">
        <v>10</v>
      </c>
      <c r="J1436" s="18">
        <v>-3740464.36</v>
      </c>
      <c r="K1436" t="s">
        <v>2352</v>
      </c>
      <c r="L1436" t="s">
        <v>9</v>
      </c>
      <c r="M1436" t="s">
        <v>2352</v>
      </c>
      <c r="N1436" t="s">
        <v>3</v>
      </c>
      <c r="O1436" t="s">
        <v>3</v>
      </c>
      <c r="P1436" t="s">
        <v>5</v>
      </c>
      <c r="Q1436" t="s">
        <v>2353</v>
      </c>
      <c r="R1436" t="s">
        <v>3</v>
      </c>
      <c r="S1436" t="s">
        <v>3</v>
      </c>
      <c r="T1436" t="s">
        <v>3</v>
      </c>
      <c r="U1436" t="s">
        <v>3</v>
      </c>
      <c r="V1436" t="s">
        <v>3</v>
      </c>
      <c r="W1436" t="s">
        <v>68</v>
      </c>
      <c r="X1436" s="17">
        <v>43519</v>
      </c>
      <c r="Y1436" t="s">
        <v>2351</v>
      </c>
      <c r="Z1436" s="17">
        <v>43519</v>
      </c>
      <c r="AA1436" t="s">
        <v>3</v>
      </c>
      <c r="AB1436" t="s">
        <v>2351</v>
      </c>
    </row>
    <row r="1437" spans="1:28" hidden="1">
      <c r="A1437" t="s">
        <v>2155</v>
      </c>
      <c r="B1437" s="17">
        <v>43519</v>
      </c>
      <c r="C1437" s="17">
        <v>43519</v>
      </c>
      <c r="D1437" t="s">
        <v>7</v>
      </c>
      <c r="E1437" t="s">
        <v>1</v>
      </c>
      <c r="F1437" s="18">
        <v>270448</v>
      </c>
      <c r="G1437" s="18">
        <v>270448</v>
      </c>
      <c r="H1437" t="s">
        <v>2</v>
      </c>
      <c r="I1437" t="s">
        <v>10</v>
      </c>
      <c r="J1437" s="18">
        <v>22366049.600000001</v>
      </c>
      <c r="K1437" t="s">
        <v>2354</v>
      </c>
      <c r="L1437" t="s">
        <v>9</v>
      </c>
      <c r="M1437" t="s">
        <v>2355</v>
      </c>
      <c r="N1437" t="s">
        <v>3</v>
      </c>
      <c r="O1437" t="s">
        <v>3</v>
      </c>
      <c r="P1437" t="s">
        <v>5</v>
      </c>
      <c r="Q1437" t="s">
        <v>2354</v>
      </c>
      <c r="R1437" t="s">
        <v>3</v>
      </c>
      <c r="S1437" t="s">
        <v>3</v>
      </c>
      <c r="T1437" t="s">
        <v>3</v>
      </c>
      <c r="U1437" t="s">
        <v>3</v>
      </c>
      <c r="V1437" t="s">
        <v>3</v>
      </c>
      <c r="W1437" t="s">
        <v>68</v>
      </c>
      <c r="X1437" s="17">
        <v>43519</v>
      </c>
      <c r="Y1437" t="s">
        <v>2155</v>
      </c>
      <c r="Z1437" s="17">
        <v>43519</v>
      </c>
      <c r="AA1437" t="s">
        <v>3</v>
      </c>
      <c r="AB1437" t="s">
        <v>2155</v>
      </c>
    </row>
    <row r="1438" spans="1:28" hidden="1">
      <c r="A1438" t="s">
        <v>2155</v>
      </c>
      <c r="B1438" s="17">
        <v>43519</v>
      </c>
      <c r="C1438" s="17">
        <v>43519</v>
      </c>
      <c r="D1438" t="s">
        <v>7</v>
      </c>
      <c r="E1438" t="s">
        <v>1</v>
      </c>
      <c r="F1438" s="18">
        <v>-270448</v>
      </c>
      <c r="G1438" s="18">
        <v>-270448</v>
      </c>
      <c r="H1438" t="s">
        <v>2</v>
      </c>
      <c r="I1438" t="s">
        <v>10</v>
      </c>
      <c r="J1438" s="18">
        <v>-22366049.600000001</v>
      </c>
      <c r="K1438" t="s">
        <v>2354</v>
      </c>
      <c r="L1438" t="s">
        <v>9</v>
      </c>
      <c r="M1438" t="s">
        <v>2355</v>
      </c>
      <c r="N1438" t="s">
        <v>3</v>
      </c>
      <c r="O1438" t="s">
        <v>3</v>
      </c>
      <c r="P1438" t="s">
        <v>5</v>
      </c>
      <c r="Q1438" t="s">
        <v>2354</v>
      </c>
      <c r="R1438" t="s">
        <v>3</v>
      </c>
      <c r="S1438" t="s">
        <v>3</v>
      </c>
      <c r="T1438" t="s">
        <v>3</v>
      </c>
      <c r="U1438" t="s">
        <v>3</v>
      </c>
      <c r="V1438" t="s">
        <v>3</v>
      </c>
      <c r="W1438" t="s">
        <v>68</v>
      </c>
      <c r="X1438" s="17">
        <v>43519</v>
      </c>
      <c r="Y1438" t="s">
        <v>2155</v>
      </c>
      <c r="Z1438" s="17">
        <v>43519</v>
      </c>
      <c r="AA1438" t="s">
        <v>3</v>
      </c>
      <c r="AB1438" t="s">
        <v>2155</v>
      </c>
    </row>
    <row r="1439" spans="1:28" hidden="1">
      <c r="A1439" t="s">
        <v>2356</v>
      </c>
      <c r="B1439" s="17">
        <v>43519</v>
      </c>
      <c r="C1439" s="17">
        <v>43519</v>
      </c>
      <c r="D1439" t="s">
        <v>7</v>
      </c>
      <c r="E1439" t="s">
        <v>1</v>
      </c>
      <c r="F1439" s="18">
        <v>234204</v>
      </c>
      <c r="G1439" s="18">
        <v>234204</v>
      </c>
      <c r="H1439" t="s">
        <v>2</v>
      </c>
      <c r="I1439" t="s">
        <v>10</v>
      </c>
      <c r="J1439" s="18">
        <v>19380381</v>
      </c>
      <c r="K1439" t="s">
        <v>2357</v>
      </c>
      <c r="L1439" t="s">
        <v>9</v>
      </c>
      <c r="M1439" t="s">
        <v>2358</v>
      </c>
      <c r="N1439" t="s">
        <v>3</v>
      </c>
      <c r="O1439" t="s">
        <v>3</v>
      </c>
      <c r="P1439" t="s">
        <v>5</v>
      </c>
      <c r="Q1439" t="s">
        <v>2357</v>
      </c>
      <c r="R1439" t="s">
        <v>3</v>
      </c>
      <c r="S1439" t="s">
        <v>3</v>
      </c>
      <c r="T1439" t="s">
        <v>3</v>
      </c>
      <c r="U1439" t="s">
        <v>3</v>
      </c>
      <c r="V1439" t="s">
        <v>3</v>
      </c>
      <c r="W1439" t="s">
        <v>68</v>
      </c>
      <c r="X1439" s="17">
        <v>43519</v>
      </c>
      <c r="Y1439" t="s">
        <v>2356</v>
      </c>
      <c r="Z1439" s="17">
        <v>43519</v>
      </c>
      <c r="AA1439" t="s">
        <v>3</v>
      </c>
      <c r="AB1439" t="s">
        <v>2356</v>
      </c>
    </row>
    <row r="1440" spans="1:28" hidden="1">
      <c r="A1440" t="s">
        <v>2356</v>
      </c>
      <c r="B1440" s="17">
        <v>43519</v>
      </c>
      <c r="C1440" s="17">
        <v>43519</v>
      </c>
      <c r="D1440" t="s">
        <v>7</v>
      </c>
      <c r="E1440" t="s">
        <v>1</v>
      </c>
      <c r="F1440" s="18">
        <v>-234204</v>
      </c>
      <c r="G1440" s="18">
        <v>-234204</v>
      </c>
      <c r="H1440" t="s">
        <v>2</v>
      </c>
      <c r="I1440" t="s">
        <v>10</v>
      </c>
      <c r="J1440" s="18">
        <v>-19380381</v>
      </c>
      <c r="K1440" t="s">
        <v>2357</v>
      </c>
      <c r="L1440" t="s">
        <v>9</v>
      </c>
      <c r="M1440" t="s">
        <v>2358</v>
      </c>
      <c r="N1440" t="s">
        <v>3</v>
      </c>
      <c r="O1440" t="s">
        <v>3</v>
      </c>
      <c r="P1440" t="s">
        <v>5</v>
      </c>
      <c r="Q1440" t="s">
        <v>2357</v>
      </c>
      <c r="R1440" t="s">
        <v>3</v>
      </c>
      <c r="S1440" t="s">
        <v>3</v>
      </c>
      <c r="T1440" t="s">
        <v>3</v>
      </c>
      <c r="U1440" t="s">
        <v>3</v>
      </c>
      <c r="V1440" t="s">
        <v>3</v>
      </c>
      <c r="W1440" t="s">
        <v>68</v>
      </c>
      <c r="X1440" s="17">
        <v>43519</v>
      </c>
      <c r="Y1440" t="s">
        <v>2356</v>
      </c>
      <c r="Z1440" s="17">
        <v>43519</v>
      </c>
      <c r="AA1440" t="s">
        <v>3</v>
      </c>
      <c r="AB1440" t="s">
        <v>2356</v>
      </c>
    </row>
    <row r="1441" spans="1:28" hidden="1">
      <c r="A1441" t="s">
        <v>2130</v>
      </c>
      <c r="B1441" s="17">
        <v>43519</v>
      </c>
      <c r="C1441" s="17">
        <v>43519</v>
      </c>
      <c r="D1441" t="s">
        <v>7</v>
      </c>
      <c r="E1441" t="s">
        <v>1</v>
      </c>
      <c r="F1441" s="18">
        <v>211337</v>
      </c>
      <c r="G1441" s="18">
        <v>211337</v>
      </c>
      <c r="H1441" t="s">
        <v>2</v>
      </c>
      <c r="I1441" t="s">
        <v>10</v>
      </c>
      <c r="J1441" s="18">
        <v>17477569.899999999</v>
      </c>
      <c r="K1441" t="s">
        <v>2359</v>
      </c>
      <c r="L1441" t="s">
        <v>9</v>
      </c>
      <c r="M1441" t="s">
        <v>2360</v>
      </c>
      <c r="N1441" t="s">
        <v>3</v>
      </c>
      <c r="O1441" t="s">
        <v>3</v>
      </c>
      <c r="P1441" t="s">
        <v>5</v>
      </c>
      <c r="Q1441" t="s">
        <v>2359</v>
      </c>
      <c r="R1441" t="s">
        <v>3</v>
      </c>
      <c r="S1441" t="s">
        <v>3</v>
      </c>
      <c r="T1441" t="s">
        <v>3</v>
      </c>
      <c r="U1441" t="s">
        <v>3</v>
      </c>
      <c r="V1441" t="s">
        <v>3</v>
      </c>
      <c r="W1441" t="s">
        <v>68</v>
      </c>
      <c r="X1441" s="17">
        <v>43519</v>
      </c>
      <c r="Y1441" t="s">
        <v>2130</v>
      </c>
      <c r="Z1441" s="17">
        <v>43519</v>
      </c>
      <c r="AA1441" t="s">
        <v>3</v>
      </c>
      <c r="AB1441" t="s">
        <v>2130</v>
      </c>
    </row>
    <row r="1442" spans="1:28" hidden="1">
      <c r="A1442" t="s">
        <v>2130</v>
      </c>
      <c r="B1442" s="17">
        <v>43519</v>
      </c>
      <c r="C1442" s="17">
        <v>43519</v>
      </c>
      <c r="D1442" t="s">
        <v>7</v>
      </c>
      <c r="E1442" t="s">
        <v>1</v>
      </c>
      <c r="F1442" s="18">
        <v>-211337</v>
      </c>
      <c r="G1442" s="18">
        <v>-211337</v>
      </c>
      <c r="H1442" t="s">
        <v>2</v>
      </c>
      <c r="I1442" t="s">
        <v>10</v>
      </c>
      <c r="J1442" s="18">
        <v>-17477569.899999999</v>
      </c>
      <c r="K1442" t="s">
        <v>3</v>
      </c>
      <c r="L1442" t="s">
        <v>9</v>
      </c>
      <c r="M1442" t="s">
        <v>2360</v>
      </c>
      <c r="N1442" t="s">
        <v>3</v>
      </c>
      <c r="O1442" t="s">
        <v>3</v>
      </c>
      <c r="P1442" t="s">
        <v>5</v>
      </c>
      <c r="Q1442" t="s">
        <v>2359</v>
      </c>
      <c r="R1442" t="s">
        <v>3</v>
      </c>
      <c r="S1442" t="s">
        <v>3</v>
      </c>
      <c r="T1442" t="s">
        <v>3</v>
      </c>
      <c r="U1442" t="s">
        <v>3</v>
      </c>
      <c r="V1442" t="s">
        <v>3</v>
      </c>
      <c r="W1442" t="s">
        <v>68</v>
      </c>
      <c r="X1442" s="17">
        <v>43519</v>
      </c>
      <c r="Y1442" t="s">
        <v>2130</v>
      </c>
      <c r="Z1442" s="17">
        <v>43519</v>
      </c>
      <c r="AA1442" t="s">
        <v>3</v>
      </c>
      <c r="AB1442" t="s">
        <v>2130</v>
      </c>
    </row>
    <row r="1443" spans="1:28" hidden="1">
      <c r="A1443" t="s">
        <v>2361</v>
      </c>
      <c r="B1443" s="17">
        <v>43519</v>
      </c>
      <c r="C1443" s="17">
        <v>43519</v>
      </c>
      <c r="D1443" t="s">
        <v>7</v>
      </c>
      <c r="E1443" t="s">
        <v>1</v>
      </c>
      <c r="F1443" s="18">
        <v>0</v>
      </c>
      <c r="G1443" s="18">
        <v>0</v>
      </c>
      <c r="H1443" t="s">
        <v>2</v>
      </c>
      <c r="I1443" t="s">
        <v>10</v>
      </c>
      <c r="J1443" s="18">
        <v>0.01</v>
      </c>
      <c r="K1443" t="s">
        <v>2359</v>
      </c>
      <c r="L1443" t="s">
        <v>9</v>
      </c>
      <c r="M1443" t="s">
        <v>2362</v>
      </c>
      <c r="N1443" t="s">
        <v>3</v>
      </c>
      <c r="O1443" t="s">
        <v>3</v>
      </c>
      <c r="P1443" t="s">
        <v>5</v>
      </c>
      <c r="Q1443" t="s">
        <v>2363</v>
      </c>
      <c r="R1443" t="s">
        <v>3</v>
      </c>
      <c r="S1443" t="s">
        <v>3</v>
      </c>
      <c r="T1443" t="s">
        <v>3</v>
      </c>
      <c r="U1443" t="s">
        <v>3</v>
      </c>
      <c r="V1443" t="s">
        <v>3</v>
      </c>
      <c r="W1443" t="s">
        <v>68</v>
      </c>
      <c r="X1443" s="17">
        <v>43519</v>
      </c>
      <c r="Y1443" t="s">
        <v>2361</v>
      </c>
      <c r="Z1443" s="17">
        <v>43519</v>
      </c>
      <c r="AA1443" t="s">
        <v>3</v>
      </c>
      <c r="AB1443" t="s">
        <v>2361</v>
      </c>
    </row>
    <row r="1444" spans="1:28" hidden="1">
      <c r="A1444" t="s">
        <v>2023</v>
      </c>
      <c r="B1444" s="17">
        <v>43519</v>
      </c>
      <c r="C1444" s="17">
        <v>43519</v>
      </c>
      <c r="D1444" t="s">
        <v>7</v>
      </c>
      <c r="E1444" t="s">
        <v>1</v>
      </c>
      <c r="F1444" s="18">
        <v>91558</v>
      </c>
      <c r="G1444" s="18">
        <v>91558</v>
      </c>
      <c r="H1444" t="s">
        <v>2</v>
      </c>
      <c r="I1444" t="s">
        <v>10</v>
      </c>
      <c r="J1444" s="18">
        <v>7553535.0099999998</v>
      </c>
      <c r="K1444" t="s">
        <v>2364</v>
      </c>
      <c r="L1444" t="s">
        <v>9</v>
      </c>
      <c r="M1444" t="s">
        <v>2365</v>
      </c>
      <c r="N1444" t="s">
        <v>3</v>
      </c>
      <c r="O1444" t="s">
        <v>3</v>
      </c>
      <c r="P1444" t="s">
        <v>5</v>
      </c>
      <c r="Q1444" t="s">
        <v>2364</v>
      </c>
      <c r="R1444" t="s">
        <v>3</v>
      </c>
      <c r="S1444" t="s">
        <v>3</v>
      </c>
      <c r="T1444" t="s">
        <v>3</v>
      </c>
      <c r="U1444" t="s">
        <v>3</v>
      </c>
      <c r="V1444" t="s">
        <v>3</v>
      </c>
      <c r="W1444" t="s">
        <v>68</v>
      </c>
      <c r="X1444" s="17">
        <v>43519</v>
      </c>
      <c r="Y1444" t="s">
        <v>2023</v>
      </c>
      <c r="Z1444" s="17">
        <v>43519</v>
      </c>
      <c r="AA1444" t="s">
        <v>3</v>
      </c>
      <c r="AB1444" t="s">
        <v>2023</v>
      </c>
    </row>
    <row r="1445" spans="1:28" hidden="1">
      <c r="A1445" t="s">
        <v>2023</v>
      </c>
      <c r="B1445" s="17">
        <v>43519</v>
      </c>
      <c r="C1445" s="17">
        <v>43519</v>
      </c>
      <c r="D1445" t="s">
        <v>7</v>
      </c>
      <c r="E1445" t="s">
        <v>1</v>
      </c>
      <c r="F1445" s="18">
        <v>-91558</v>
      </c>
      <c r="G1445" s="18">
        <v>-91558</v>
      </c>
      <c r="H1445" t="s">
        <v>2</v>
      </c>
      <c r="I1445" t="s">
        <v>10</v>
      </c>
      <c r="J1445" s="18">
        <v>-7553535.0099999998</v>
      </c>
      <c r="K1445" t="s">
        <v>2364</v>
      </c>
      <c r="L1445" t="s">
        <v>9</v>
      </c>
      <c r="M1445" t="s">
        <v>2365</v>
      </c>
      <c r="N1445" t="s">
        <v>3</v>
      </c>
      <c r="O1445" t="s">
        <v>3</v>
      </c>
      <c r="P1445" t="s">
        <v>5</v>
      </c>
      <c r="Q1445" t="s">
        <v>2364</v>
      </c>
      <c r="R1445" t="s">
        <v>3</v>
      </c>
      <c r="S1445" t="s">
        <v>3</v>
      </c>
      <c r="T1445" t="s">
        <v>3</v>
      </c>
      <c r="U1445" t="s">
        <v>3</v>
      </c>
      <c r="V1445" t="s">
        <v>3</v>
      </c>
      <c r="W1445" t="s">
        <v>68</v>
      </c>
      <c r="X1445" s="17">
        <v>43519</v>
      </c>
      <c r="Y1445" t="s">
        <v>2023</v>
      </c>
      <c r="Z1445" s="17">
        <v>43519</v>
      </c>
      <c r="AA1445" t="s">
        <v>3</v>
      </c>
      <c r="AB1445" t="s">
        <v>2023</v>
      </c>
    </row>
    <row r="1446" spans="1:28" hidden="1">
      <c r="A1446" t="s">
        <v>2366</v>
      </c>
      <c r="B1446" s="17">
        <v>43519</v>
      </c>
      <c r="C1446" s="17">
        <v>43519</v>
      </c>
      <c r="D1446" t="s">
        <v>7</v>
      </c>
      <c r="E1446" t="s">
        <v>1</v>
      </c>
      <c r="F1446" s="18">
        <v>87537</v>
      </c>
      <c r="G1446" s="18">
        <v>87537</v>
      </c>
      <c r="H1446" t="s">
        <v>2</v>
      </c>
      <c r="I1446" t="s">
        <v>10</v>
      </c>
      <c r="J1446" s="18">
        <v>7243686.75</v>
      </c>
      <c r="K1446" t="s">
        <v>2367</v>
      </c>
      <c r="L1446" t="s">
        <v>9</v>
      </c>
      <c r="M1446" t="s">
        <v>2368</v>
      </c>
      <c r="N1446" t="s">
        <v>3</v>
      </c>
      <c r="O1446" t="s">
        <v>3</v>
      </c>
      <c r="P1446" t="s">
        <v>5</v>
      </c>
      <c r="Q1446" t="s">
        <v>2367</v>
      </c>
      <c r="R1446" t="s">
        <v>3</v>
      </c>
      <c r="S1446" t="s">
        <v>3</v>
      </c>
      <c r="T1446" t="s">
        <v>3</v>
      </c>
      <c r="U1446" t="s">
        <v>3</v>
      </c>
      <c r="V1446" t="s">
        <v>3</v>
      </c>
      <c r="W1446" t="s">
        <v>68</v>
      </c>
      <c r="X1446" s="17">
        <v>43519</v>
      </c>
      <c r="Y1446" t="s">
        <v>2366</v>
      </c>
      <c r="Z1446" s="17">
        <v>43519</v>
      </c>
      <c r="AA1446" t="s">
        <v>3</v>
      </c>
      <c r="AB1446" t="s">
        <v>2366</v>
      </c>
    </row>
    <row r="1447" spans="1:28" hidden="1">
      <c r="A1447" t="s">
        <v>2366</v>
      </c>
      <c r="B1447" s="17">
        <v>43519</v>
      </c>
      <c r="C1447" s="17">
        <v>43519</v>
      </c>
      <c r="D1447" t="s">
        <v>7</v>
      </c>
      <c r="E1447" t="s">
        <v>1</v>
      </c>
      <c r="F1447" s="18">
        <v>-87537</v>
      </c>
      <c r="G1447" s="18">
        <v>-87537</v>
      </c>
      <c r="H1447" t="s">
        <v>2</v>
      </c>
      <c r="I1447" t="s">
        <v>10</v>
      </c>
      <c r="J1447" s="18">
        <v>-7243686.75</v>
      </c>
      <c r="K1447" t="s">
        <v>2367</v>
      </c>
      <c r="L1447" t="s">
        <v>9</v>
      </c>
      <c r="M1447" t="s">
        <v>2368</v>
      </c>
      <c r="N1447" t="s">
        <v>3</v>
      </c>
      <c r="O1447" t="s">
        <v>3</v>
      </c>
      <c r="P1447" t="s">
        <v>5</v>
      </c>
      <c r="Q1447" t="s">
        <v>2367</v>
      </c>
      <c r="R1447" t="s">
        <v>3</v>
      </c>
      <c r="S1447" t="s">
        <v>3</v>
      </c>
      <c r="T1447" t="s">
        <v>3</v>
      </c>
      <c r="U1447" t="s">
        <v>3</v>
      </c>
      <c r="V1447" t="s">
        <v>3</v>
      </c>
      <c r="W1447" t="s">
        <v>68</v>
      </c>
      <c r="X1447" s="17">
        <v>43519</v>
      </c>
      <c r="Y1447" t="s">
        <v>2366</v>
      </c>
      <c r="Z1447" s="17">
        <v>43519</v>
      </c>
      <c r="AA1447" t="s">
        <v>3</v>
      </c>
      <c r="AB1447" t="s">
        <v>2366</v>
      </c>
    </row>
    <row r="1448" spans="1:28" hidden="1">
      <c r="A1448" t="s">
        <v>2369</v>
      </c>
      <c r="B1448" s="17">
        <v>43519</v>
      </c>
      <c r="C1448" s="17">
        <v>43519</v>
      </c>
      <c r="D1448" t="s">
        <v>7</v>
      </c>
      <c r="E1448" t="s">
        <v>1</v>
      </c>
      <c r="F1448" s="18">
        <v>85409</v>
      </c>
      <c r="G1448" s="18">
        <v>85409</v>
      </c>
      <c r="H1448" t="s">
        <v>2</v>
      </c>
      <c r="I1448" t="s">
        <v>10</v>
      </c>
      <c r="J1448" s="18">
        <v>7071865.2000000002</v>
      </c>
      <c r="K1448" t="s">
        <v>2370</v>
      </c>
      <c r="L1448" t="s">
        <v>9</v>
      </c>
      <c r="M1448" t="s">
        <v>2371</v>
      </c>
      <c r="N1448" t="s">
        <v>3</v>
      </c>
      <c r="O1448" t="s">
        <v>3</v>
      </c>
      <c r="P1448" t="s">
        <v>5</v>
      </c>
      <c r="Q1448" t="s">
        <v>2370</v>
      </c>
      <c r="R1448" t="s">
        <v>3</v>
      </c>
      <c r="S1448" t="s">
        <v>3</v>
      </c>
      <c r="T1448" t="s">
        <v>3</v>
      </c>
      <c r="U1448" t="s">
        <v>3</v>
      </c>
      <c r="V1448" t="s">
        <v>3</v>
      </c>
      <c r="W1448" t="s">
        <v>68</v>
      </c>
      <c r="X1448" s="17">
        <v>43519</v>
      </c>
      <c r="Y1448" t="s">
        <v>2369</v>
      </c>
      <c r="Z1448" s="17">
        <v>43519</v>
      </c>
      <c r="AA1448" t="s">
        <v>3</v>
      </c>
      <c r="AB1448" t="s">
        <v>2369</v>
      </c>
    </row>
    <row r="1449" spans="1:28" hidden="1">
      <c r="A1449" t="s">
        <v>2369</v>
      </c>
      <c r="B1449" s="17">
        <v>43519</v>
      </c>
      <c r="C1449" s="17">
        <v>43519</v>
      </c>
      <c r="D1449" t="s">
        <v>7</v>
      </c>
      <c r="E1449" t="s">
        <v>1</v>
      </c>
      <c r="F1449" s="18">
        <v>-85409</v>
      </c>
      <c r="G1449" s="18">
        <v>-85409</v>
      </c>
      <c r="H1449" t="s">
        <v>2</v>
      </c>
      <c r="I1449" t="s">
        <v>10</v>
      </c>
      <c r="J1449" s="18">
        <v>-7071865.2000000002</v>
      </c>
      <c r="K1449" t="s">
        <v>2370</v>
      </c>
      <c r="L1449" t="s">
        <v>9</v>
      </c>
      <c r="M1449" t="s">
        <v>2371</v>
      </c>
      <c r="N1449" t="s">
        <v>3</v>
      </c>
      <c r="O1449" t="s">
        <v>3</v>
      </c>
      <c r="P1449" t="s">
        <v>5</v>
      </c>
      <c r="Q1449" t="s">
        <v>2370</v>
      </c>
      <c r="R1449" t="s">
        <v>3</v>
      </c>
      <c r="S1449" t="s">
        <v>3</v>
      </c>
      <c r="T1449" t="s">
        <v>3</v>
      </c>
      <c r="U1449" t="s">
        <v>3</v>
      </c>
      <c r="V1449" t="s">
        <v>3</v>
      </c>
      <c r="W1449" t="s">
        <v>68</v>
      </c>
      <c r="X1449" s="17">
        <v>43519</v>
      </c>
      <c r="Y1449" t="s">
        <v>2369</v>
      </c>
      <c r="Z1449" s="17">
        <v>43519</v>
      </c>
      <c r="AA1449" t="s">
        <v>3</v>
      </c>
      <c r="AB1449" t="s">
        <v>2369</v>
      </c>
    </row>
    <row r="1450" spans="1:28" hidden="1">
      <c r="A1450" t="s">
        <v>2372</v>
      </c>
      <c r="B1450" s="17">
        <v>43519</v>
      </c>
      <c r="C1450" s="17">
        <v>43519</v>
      </c>
      <c r="D1450" t="s">
        <v>7</v>
      </c>
      <c r="E1450" t="s">
        <v>1</v>
      </c>
      <c r="F1450" s="18">
        <v>80429</v>
      </c>
      <c r="G1450" s="18">
        <v>80429</v>
      </c>
      <c r="H1450" t="s">
        <v>2</v>
      </c>
      <c r="I1450" t="s">
        <v>10</v>
      </c>
      <c r="J1450" s="18">
        <v>6655499.75</v>
      </c>
      <c r="K1450" t="s">
        <v>2373</v>
      </c>
      <c r="L1450" t="s">
        <v>9</v>
      </c>
      <c r="M1450" t="s">
        <v>2374</v>
      </c>
      <c r="N1450" t="s">
        <v>3</v>
      </c>
      <c r="O1450" t="s">
        <v>3</v>
      </c>
      <c r="P1450" t="s">
        <v>5</v>
      </c>
      <c r="Q1450" t="s">
        <v>2373</v>
      </c>
      <c r="R1450" t="s">
        <v>3</v>
      </c>
      <c r="S1450" t="s">
        <v>3</v>
      </c>
      <c r="T1450" t="s">
        <v>3</v>
      </c>
      <c r="U1450" t="s">
        <v>3</v>
      </c>
      <c r="V1450" t="s">
        <v>3</v>
      </c>
      <c r="W1450" t="s">
        <v>68</v>
      </c>
      <c r="X1450" s="17">
        <v>43519</v>
      </c>
      <c r="Y1450" t="s">
        <v>2372</v>
      </c>
      <c r="Z1450" s="17">
        <v>43519</v>
      </c>
      <c r="AA1450" t="s">
        <v>3</v>
      </c>
      <c r="AB1450" t="s">
        <v>2372</v>
      </c>
    </row>
    <row r="1451" spans="1:28" hidden="1">
      <c r="A1451" t="s">
        <v>2372</v>
      </c>
      <c r="B1451" s="17">
        <v>43519</v>
      </c>
      <c r="C1451" s="17">
        <v>43519</v>
      </c>
      <c r="D1451" t="s">
        <v>7</v>
      </c>
      <c r="E1451" t="s">
        <v>1</v>
      </c>
      <c r="F1451" s="18">
        <v>-80429</v>
      </c>
      <c r="G1451" s="18">
        <v>-80429</v>
      </c>
      <c r="H1451" t="s">
        <v>2</v>
      </c>
      <c r="I1451" t="s">
        <v>10</v>
      </c>
      <c r="J1451" s="18">
        <v>-6655499.75</v>
      </c>
      <c r="K1451" t="s">
        <v>2373</v>
      </c>
      <c r="L1451" t="s">
        <v>9</v>
      </c>
      <c r="M1451" t="s">
        <v>2374</v>
      </c>
      <c r="N1451" t="s">
        <v>3</v>
      </c>
      <c r="O1451" t="s">
        <v>3</v>
      </c>
      <c r="P1451" t="s">
        <v>5</v>
      </c>
      <c r="Q1451" t="s">
        <v>2373</v>
      </c>
      <c r="R1451" t="s">
        <v>3</v>
      </c>
      <c r="S1451" t="s">
        <v>3</v>
      </c>
      <c r="T1451" t="s">
        <v>3</v>
      </c>
      <c r="U1451" t="s">
        <v>3</v>
      </c>
      <c r="V1451" t="s">
        <v>3</v>
      </c>
      <c r="W1451" t="s">
        <v>68</v>
      </c>
      <c r="X1451" s="17">
        <v>43519</v>
      </c>
      <c r="Y1451" t="s">
        <v>2372</v>
      </c>
      <c r="Z1451" s="17">
        <v>43519</v>
      </c>
      <c r="AA1451" t="s">
        <v>3</v>
      </c>
      <c r="AB1451" t="s">
        <v>2372</v>
      </c>
    </row>
    <row r="1452" spans="1:28" hidden="1">
      <c r="A1452" t="s">
        <v>2375</v>
      </c>
      <c r="B1452" s="17">
        <v>43519</v>
      </c>
      <c r="C1452" s="17">
        <v>43519</v>
      </c>
      <c r="D1452" t="s">
        <v>7</v>
      </c>
      <c r="E1452" t="s">
        <v>1</v>
      </c>
      <c r="F1452" s="18">
        <v>76439</v>
      </c>
      <c r="G1452" s="18">
        <v>76439</v>
      </c>
      <c r="H1452" t="s">
        <v>2</v>
      </c>
      <c r="I1452" t="s">
        <v>10</v>
      </c>
      <c r="J1452" s="18">
        <v>6340615.0499999998</v>
      </c>
      <c r="K1452" t="s">
        <v>2350</v>
      </c>
      <c r="L1452" t="s">
        <v>9</v>
      </c>
      <c r="M1452" t="s">
        <v>2349</v>
      </c>
      <c r="N1452" t="s">
        <v>3</v>
      </c>
      <c r="O1452" t="s">
        <v>3</v>
      </c>
      <c r="P1452" t="s">
        <v>5</v>
      </c>
      <c r="Q1452" t="s">
        <v>2350</v>
      </c>
      <c r="R1452" t="s">
        <v>3</v>
      </c>
      <c r="S1452" t="s">
        <v>3</v>
      </c>
      <c r="T1452" t="s">
        <v>3</v>
      </c>
      <c r="U1452" t="s">
        <v>3</v>
      </c>
      <c r="V1452" t="s">
        <v>3</v>
      </c>
      <c r="W1452" t="s">
        <v>68</v>
      </c>
      <c r="X1452" s="17">
        <v>43519</v>
      </c>
      <c r="Y1452" t="s">
        <v>2375</v>
      </c>
      <c r="Z1452" s="17">
        <v>43519</v>
      </c>
      <c r="AA1452" t="s">
        <v>3</v>
      </c>
      <c r="AB1452" t="s">
        <v>2375</v>
      </c>
    </row>
    <row r="1453" spans="1:28" hidden="1">
      <c r="A1453" t="s">
        <v>2375</v>
      </c>
      <c r="B1453" s="17">
        <v>43519</v>
      </c>
      <c r="C1453" s="17">
        <v>43519</v>
      </c>
      <c r="D1453" t="s">
        <v>7</v>
      </c>
      <c r="E1453" t="s">
        <v>1</v>
      </c>
      <c r="F1453" s="18">
        <v>-76439</v>
      </c>
      <c r="G1453" s="18">
        <v>-76439</v>
      </c>
      <c r="H1453" t="s">
        <v>2</v>
      </c>
      <c r="I1453" t="s">
        <v>10</v>
      </c>
      <c r="J1453" s="18">
        <v>-6340615.0499999998</v>
      </c>
      <c r="K1453" t="s">
        <v>2350</v>
      </c>
      <c r="L1453" t="s">
        <v>9</v>
      </c>
      <c r="M1453" t="s">
        <v>2349</v>
      </c>
      <c r="N1453" t="s">
        <v>3</v>
      </c>
      <c r="O1453" t="s">
        <v>3</v>
      </c>
      <c r="P1453" t="s">
        <v>5</v>
      </c>
      <c r="Q1453" t="s">
        <v>2350</v>
      </c>
      <c r="R1453" t="s">
        <v>3</v>
      </c>
      <c r="S1453" t="s">
        <v>3</v>
      </c>
      <c r="T1453" t="s">
        <v>3</v>
      </c>
      <c r="U1453" t="s">
        <v>3</v>
      </c>
      <c r="V1453" t="s">
        <v>3</v>
      </c>
      <c r="W1453" t="s">
        <v>68</v>
      </c>
      <c r="X1453" s="17">
        <v>43519</v>
      </c>
      <c r="Y1453" t="s">
        <v>2375</v>
      </c>
      <c r="Z1453" s="17">
        <v>43519</v>
      </c>
      <c r="AA1453" t="s">
        <v>3</v>
      </c>
      <c r="AB1453" t="s">
        <v>2375</v>
      </c>
    </row>
    <row r="1454" spans="1:28" hidden="1">
      <c r="A1454" t="s">
        <v>2376</v>
      </c>
      <c r="B1454" s="17">
        <v>43519</v>
      </c>
      <c r="C1454" s="17">
        <v>43519</v>
      </c>
      <c r="D1454" t="s">
        <v>7</v>
      </c>
      <c r="E1454" t="s">
        <v>1</v>
      </c>
      <c r="F1454" s="18">
        <v>-1</v>
      </c>
      <c r="G1454" s="18">
        <v>-1</v>
      </c>
      <c r="H1454" t="s">
        <v>2</v>
      </c>
      <c r="I1454" t="s">
        <v>10</v>
      </c>
      <c r="J1454" s="18">
        <v>-82.75</v>
      </c>
      <c r="K1454" t="s">
        <v>2377</v>
      </c>
      <c r="L1454" t="s">
        <v>9</v>
      </c>
      <c r="M1454" t="s">
        <v>2349</v>
      </c>
      <c r="N1454" t="s">
        <v>3</v>
      </c>
      <c r="O1454" t="s">
        <v>3</v>
      </c>
      <c r="P1454" t="s">
        <v>5</v>
      </c>
      <c r="Q1454" t="s">
        <v>2350</v>
      </c>
      <c r="R1454" t="s">
        <v>3</v>
      </c>
      <c r="S1454" t="s">
        <v>3</v>
      </c>
      <c r="T1454" t="s">
        <v>3</v>
      </c>
      <c r="U1454" t="s">
        <v>3</v>
      </c>
      <c r="V1454" t="s">
        <v>3</v>
      </c>
      <c r="W1454" t="s">
        <v>68</v>
      </c>
      <c r="X1454" s="17">
        <v>43519</v>
      </c>
      <c r="Y1454" t="s">
        <v>2376</v>
      </c>
      <c r="Z1454" s="17">
        <v>43519</v>
      </c>
      <c r="AA1454" t="s">
        <v>3</v>
      </c>
      <c r="AB1454" t="s">
        <v>2376</v>
      </c>
    </row>
    <row r="1455" spans="1:28" hidden="1">
      <c r="A1455" t="s">
        <v>2378</v>
      </c>
      <c r="B1455" s="17">
        <v>43519</v>
      </c>
      <c r="C1455" s="17">
        <v>43519</v>
      </c>
      <c r="D1455" t="s">
        <v>7</v>
      </c>
      <c r="E1455" t="s">
        <v>1</v>
      </c>
      <c r="F1455" s="18">
        <v>68390</v>
      </c>
      <c r="G1455" s="18">
        <v>68390</v>
      </c>
      <c r="H1455" t="s">
        <v>2</v>
      </c>
      <c r="I1455" t="s">
        <v>10</v>
      </c>
      <c r="J1455" s="18">
        <v>5669531</v>
      </c>
      <c r="K1455" t="s">
        <v>2379</v>
      </c>
      <c r="L1455" t="s">
        <v>9</v>
      </c>
      <c r="M1455" t="s">
        <v>2380</v>
      </c>
      <c r="N1455" t="s">
        <v>3</v>
      </c>
      <c r="O1455" t="s">
        <v>3</v>
      </c>
      <c r="P1455" t="s">
        <v>5</v>
      </c>
      <c r="Q1455" t="s">
        <v>2379</v>
      </c>
      <c r="R1455" t="s">
        <v>3</v>
      </c>
      <c r="S1455" t="s">
        <v>3</v>
      </c>
      <c r="T1455" t="s">
        <v>3</v>
      </c>
      <c r="U1455" t="s">
        <v>3</v>
      </c>
      <c r="V1455" t="s">
        <v>3</v>
      </c>
      <c r="W1455" t="s">
        <v>68</v>
      </c>
      <c r="X1455" s="17">
        <v>43519</v>
      </c>
      <c r="Y1455" t="s">
        <v>2378</v>
      </c>
      <c r="Z1455" s="17">
        <v>43519</v>
      </c>
      <c r="AA1455" t="s">
        <v>3</v>
      </c>
      <c r="AB1455" t="s">
        <v>2378</v>
      </c>
    </row>
    <row r="1456" spans="1:28" hidden="1">
      <c r="A1456" t="s">
        <v>2378</v>
      </c>
      <c r="B1456" s="17">
        <v>43519</v>
      </c>
      <c r="C1456" s="17">
        <v>43519</v>
      </c>
      <c r="D1456" t="s">
        <v>7</v>
      </c>
      <c r="E1456" t="s">
        <v>1</v>
      </c>
      <c r="F1456" s="18">
        <v>-68390</v>
      </c>
      <c r="G1456" s="18">
        <v>-68390</v>
      </c>
      <c r="H1456" t="s">
        <v>2</v>
      </c>
      <c r="I1456" t="s">
        <v>10</v>
      </c>
      <c r="J1456" s="18">
        <v>-5669531</v>
      </c>
      <c r="K1456" t="s">
        <v>2379</v>
      </c>
      <c r="L1456" t="s">
        <v>9</v>
      </c>
      <c r="M1456" t="s">
        <v>2380</v>
      </c>
      <c r="N1456" t="s">
        <v>3</v>
      </c>
      <c r="O1456" t="s">
        <v>3</v>
      </c>
      <c r="P1456" t="s">
        <v>5</v>
      </c>
      <c r="Q1456" t="s">
        <v>2379</v>
      </c>
      <c r="R1456" t="s">
        <v>3</v>
      </c>
      <c r="S1456" t="s">
        <v>3</v>
      </c>
      <c r="T1456" t="s">
        <v>3</v>
      </c>
      <c r="U1456" t="s">
        <v>3</v>
      </c>
      <c r="V1456" t="s">
        <v>3</v>
      </c>
      <c r="W1456" t="s">
        <v>68</v>
      </c>
      <c r="X1456" s="17">
        <v>43519</v>
      </c>
      <c r="Y1456" t="s">
        <v>2378</v>
      </c>
      <c r="Z1456" s="17">
        <v>43519</v>
      </c>
      <c r="AA1456" t="s">
        <v>3</v>
      </c>
      <c r="AB1456" t="s">
        <v>2378</v>
      </c>
    </row>
    <row r="1457" spans="1:28" hidden="1">
      <c r="A1457" t="s">
        <v>2381</v>
      </c>
      <c r="B1457" s="17">
        <v>43519</v>
      </c>
      <c r="C1457" s="17">
        <v>43519</v>
      </c>
      <c r="D1457" t="s">
        <v>7</v>
      </c>
      <c r="E1457" t="s">
        <v>1</v>
      </c>
      <c r="F1457" s="18">
        <v>64894</v>
      </c>
      <c r="G1457" s="18">
        <v>64894</v>
      </c>
      <c r="H1457" t="s">
        <v>2</v>
      </c>
      <c r="I1457" t="s">
        <v>10</v>
      </c>
      <c r="J1457" s="18">
        <v>5382957.2999999998</v>
      </c>
      <c r="K1457" t="s">
        <v>2382</v>
      </c>
      <c r="L1457" t="s">
        <v>9</v>
      </c>
      <c r="M1457" t="s">
        <v>2383</v>
      </c>
      <c r="N1457" t="s">
        <v>3</v>
      </c>
      <c r="O1457" t="s">
        <v>3</v>
      </c>
      <c r="P1457" t="s">
        <v>5</v>
      </c>
      <c r="Q1457" t="s">
        <v>2382</v>
      </c>
      <c r="R1457" t="s">
        <v>3</v>
      </c>
      <c r="S1457" t="s">
        <v>3</v>
      </c>
      <c r="T1457" t="s">
        <v>3</v>
      </c>
      <c r="U1457" t="s">
        <v>3</v>
      </c>
      <c r="V1457" t="s">
        <v>3</v>
      </c>
      <c r="W1457" t="s">
        <v>68</v>
      </c>
      <c r="X1457" s="17">
        <v>43519</v>
      </c>
      <c r="Y1457" t="s">
        <v>2381</v>
      </c>
      <c r="Z1457" s="17">
        <v>43519</v>
      </c>
      <c r="AA1457" t="s">
        <v>3</v>
      </c>
      <c r="AB1457" t="s">
        <v>2381</v>
      </c>
    </row>
    <row r="1458" spans="1:28" hidden="1">
      <c r="A1458" t="s">
        <v>2381</v>
      </c>
      <c r="B1458" s="17">
        <v>43519</v>
      </c>
      <c r="C1458" s="17">
        <v>43519</v>
      </c>
      <c r="D1458" t="s">
        <v>7</v>
      </c>
      <c r="E1458" t="s">
        <v>1</v>
      </c>
      <c r="F1458" s="18">
        <v>-64894</v>
      </c>
      <c r="G1458" s="18">
        <v>-64894</v>
      </c>
      <c r="H1458" t="s">
        <v>2</v>
      </c>
      <c r="I1458" t="s">
        <v>10</v>
      </c>
      <c r="J1458" s="18">
        <v>-5382957.2999999998</v>
      </c>
      <c r="K1458" t="s">
        <v>2382</v>
      </c>
      <c r="L1458" t="s">
        <v>9</v>
      </c>
      <c r="M1458" t="s">
        <v>2383</v>
      </c>
      <c r="N1458" t="s">
        <v>3</v>
      </c>
      <c r="O1458" t="s">
        <v>3</v>
      </c>
      <c r="P1458" t="s">
        <v>5</v>
      </c>
      <c r="Q1458" t="s">
        <v>2382</v>
      </c>
      <c r="R1458" t="s">
        <v>3</v>
      </c>
      <c r="S1458" t="s">
        <v>3</v>
      </c>
      <c r="T1458" t="s">
        <v>3</v>
      </c>
      <c r="U1458" t="s">
        <v>3</v>
      </c>
      <c r="V1458" t="s">
        <v>3</v>
      </c>
      <c r="W1458" t="s">
        <v>68</v>
      </c>
      <c r="X1458" s="17">
        <v>43519</v>
      </c>
      <c r="Y1458" t="s">
        <v>2381</v>
      </c>
      <c r="Z1458" s="17">
        <v>43519</v>
      </c>
      <c r="AA1458" t="s">
        <v>3</v>
      </c>
      <c r="AB1458" t="s">
        <v>2381</v>
      </c>
    </row>
    <row r="1459" spans="1:28" hidden="1">
      <c r="A1459" t="s">
        <v>2384</v>
      </c>
      <c r="B1459" s="17">
        <v>43519</v>
      </c>
      <c r="C1459" s="17">
        <v>43519</v>
      </c>
      <c r="D1459" t="s">
        <v>7</v>
      </c>
      <c r="E1459" t="s">
        <v>1</v>
      </c>
      <c r="F1459" s="18">
        <v>64060.7</v>
      </c>
      <c r="G1459" s="18">
        <v>64060.7</v>
      </c>
      <c r="H1459" t="s">
        <v>2</v>
      </c>
      <c r="I1459" t="s">
        <v>10</v>
      </c>
      <c r="J1459" s="18">
        <v>5313835.07</v>
      </c>
      <c r="K1459" t="s">
        <v>2382</v>
      </c>
      <c r="L1459" t="s">
        <v>9</v>
      </c>
      <c r="M1459" t="s">
        <v>2383</v>
      </c>
      <c r="N1459" t="s">
        <v>3</v>
      </c>
      <c r="O1459" t="s">
        <v>3</v>
      </c>
      <c r="P1459" t="s">
        <v>5</v>
      </c>
      <c r="Q1459" t="s">
        <v>2382</v>
      </c>
      <c r="R1459" t="s">
        <v>3</v>
      </c>
      <c r="S1459" t="s">
        <v>3</v>
      </c>
      <c r="T1459" t="s">
        <v>3</v>
      </c>
      <c r="U1459" t="s">
        <v>3</v>
      </c>
      <c r="V1459" t="s">
        <v>3</v>
      </c>
      <c r="W1459" t="s">
        <v>68</v>
      </c>
      <c r="X1459" s="17">
        <v>43519</v>
      </c>
      <c r="Y1459" t="s">
        <v>2384</v>
      </c>
      <c r="Z1459" s="17">
        <v>43519</v>
      </c>
      <c r="AA1459" t="s">
        <v>3</v>
      </c>
      <c r="AB1459" t="s">
        <v>2384</v>
      </c>
    </row>
    <row r="1460" spans="1:28" hidden="1">
      <c r="A1460" t="s">
        <v>2384</v>
      </c>
      <c r="B1460" s="17">
        <v>43519</v>
      </c>
      <c r="C1460" s="17">
        <v>43519</v>
      </c>
      <c r="D1460" t="s">
        <v>7</v>
      </c>
      <c r="E1460" t="s">
        <v>1</v>
      </c>
      <c r="F1460" s="18">
        <v>-64060.7</v>
      </c>
      <c r="G1460" s="18">
        <v>-64060.7</v>
      </c>
      <c r="H1460" t="s">
        <v>2</v>
      </c>
      <c r="I1460" t="s">
        <v>10</v>
      </c>
      <c r="J1460" s="18">
        <v>-5313835.07</v>
      </c>
      <c r="K1460" t="s">
        <v>2382</v>
      </c>
      <c r="L1460" t="s">
        <v>9</v>
      </c>
      <c r="M1460" t="s">
        <v>2383</v>
      </c>
      <c r="N1460" t="s">
        <v>3</v>
      </c>
      <c r="O1460" t="s">
        <v>3</v>
      </c>
      <c r="P1460" t="s">
        <v>5</v>
      </c>
      <c r="Q1460" t="s">
        <v>2382</v>
      </c>
      <c r="R1460" t="s">
        <v>3</v>
      </c>
      <c r="S1460" t="s">
        <v>3</v>
      </c>
      <c r="T1460" t="s">
        <v>3</v>
      </c>
      <c r="U1460" t="s">
        <v>3</v>
      </c>
      <c r="V1460" t="s">
        <v>3</v>
      </c>
      <c r="W1460" t="s">
        <v>68</v>
      </c>
      <c r="X1460" s="17">
        <v>43519</v>
      </c>
      <c r="Y1460" t="s">
        <v>2384</v>
      </c>
      <c r="Z1460" s="17">
        <v>43519</v>
      </c>
      <c r="AA1460" t="s">
        <v>3</v>
      </c>
      <c r="AB1460" t="s">
        <v>2384</v>
      </c>
    </row>
    <row r="1461" spans="1:28" hidden="1">
      <c r="A1461" t="s">
        <v>2197</v>
      </c>
      <c r="B1461" s="17">
        <v>43519</v>
      </c>
      <c r="C1461" s="17">
        <v>43519</v>
      </c>
      <c r="D1461" t="s">
        <v>7</v>
      </c>
      <c r="E1461" t="s">
        <v>1</v>
      </c>
      <c r="F1461" s="18">
        <v>63319</v>
      </c>
      <c r="G1461" s="18">
        <v>63319</v>
      </c>
      <c r="H1461" t="s">
        <v>2</v>
      </c>
      <c r="I1461" t="s">
        <v>10</v>
      </c>
      <c r="J1461" s="18">
        <v>5236481.3</v>
      </c>
      <c r="K1461" t="s">
        <v>2385</v>
      </c>
      <c r="L1461" t="s">
        <v>9</v>
      </c>
      <c r="M1461" t="s">
        <v>2386</v>
      </c>
      <c r="N1461" t="s">
        <v>3</v>
      </c>
      <c r="O1461" t="s">
        <v>3</v>
      </c>
      <c r="P1461" t="s">
        <v>5</v>
      </c>
      <c r="Q1461" t="s">
        <v>2385</v>
      </c>
      <c r="R1461" t="s">
        <v>3</v>
      </c>
      <c r="S1461" t="s">
        <v>3</v>
      </c>
      <c r="T1461" t="s">
        <v>3</v>
      </c>
      <c r="U1461" t="s">
        <v>3</v>
      </c>
      <c r="V1461" t="s">
        <v>3</v>
      </c>
      <c r="W1461" t="s">
        <v>68</v>
      </c>
      <c r="X1461" s="17">
        <v>43519</v>
      </c>
      <c r="Y1461" t="s">
        <v>2197</v>
      </c>
      <c r="Z1461" s="17">
        <v>43519</v>
      </c>
      <c r="AA1461" t="s">
        <v>3</v>
      </c>
      <c r="AB1461" t="s">
        <v>2197</v>
      </c>
    </row>
    <row r="1462" spans="1:28" hidden="1">
      <c r="A1462" t="s">
        <v>2197</v>
      </c>
      <c r="B1462" s="17">
        <v>43519</v>
      </c>
      <c r="C1462" s="17">
        <v>43519</v>
      </c>
      <c r="D1462" t="s">
        <v>7</v>
      </c>
      <c r="E1462" t="s">
        <v>1</v>
      </c>
      <c r="F1462" s="18">
        <v>-63319</v>
      </c>
      <c r="G1462" s="18">
        <v>-63319</v>
      </c>
      <c r="H1462" t="s">
        <v>2</v>
      </c>
      <c r="I1462" t="s">
        <v>10</v>
      </c>
      <c r="J1462" s="18">
        <v>-5236481.3</v>
      </c>
      <c r="K1462" t="s">
        <v>2385</v>
      </c>
      <c r="L1462" t="s">
        <v>9</v>
      </c>
      <c r="M1462" t="s">
        <v>2386</v>
      </c>
      <c r="N1462" t="s">
        <v>3</v>
      </c>
      <c r="O1462" t="s">
        <v>3</v>
      </c>
      <c r="P1462" t="s">
        <v>5</v>
      </c>
      <c r="Q1462" t="s">
        <v>2385</v>
      </c>
      <c r="R1462" t="s">
        <v>3</v>
      </c>
      <c r="S1462" t="s">
        <v>3</v>
      </c>
      <c r="T1462" t="s">
        <v>3</v>
      </c>
      <c r="U1462" t="s">
        <v>3</v>
      </c>
      <c r="V1462" t="s">
        <v>3</v>
      </c>
      <c r="W1462" t="s">
        <v>68</v>
      </c>
      <c r="X1462" s="17">
        <v>43519</v>
      </c>
      <c r="Y1462" t="s">
        <v>2197</v>
      </c>
      <c r="Z1462" s="17">
        <v>43519</v>
      </c>
      <c r="AA1462" t="s">
        <v>3</v>
      </c>
      <c r="AB1462" t="s">
        <v>2197</v>
      </c>
    </row>
    <row r="1463" spans="1:28" hidden="1">
      <c r="A1463" t="s">
        <v>2387</v>
      </c>
      <c r="B1463" s="17">
        <v>43519</v>
      </c>
      <c r="C1463" s="17">
        <v>43519</v>
      </c>
      <c r="D1463" t="s">
        <v>7</v>
      </c>
      <c r="E1463" t="s">
        <v>1</v>
      </c>
      <c r="F1463" s="18">
        <v>62991</v>
      </c>
      <c r="G1463" s="18">
        <v>62991</v>
      </c>
      <c r="H1463" t="s">
        <v>2</v>
      </c>
      <c r="I1463" t="s">
        <v>10</v>
      </c>
      <c r="J1463" s="18">
        <v>5212505.25</v>
      </c>
      <c r="K1463" t="s">
        <v>2388</v>
      </c>
      <c r="L1463" t="s">
        <v>9</v>
      </c>
      <c r="M1463" t="s">
        <v>2389</v>
      </c>
      <c r="N1463" t="s">
        <v>3</v>
      </c>
      <c r="O1463" t="s">
        <v>3</v>
      </c>
      <c r="P1463" t="s">
        <v>5</v>
      </c>
      <c r="Q1463" t="s">
        <v>2388</v>
      </c>
      <c r="R1463" t="s">
        <v>3</v>
      </c>
      <c r="S1463" t="s">
        <v>3</v>
      </c>
      <c r="T1463" t="s">
        <v>3</v>
      </c>
      <c r="U1463" t="s">
        <v>3</v>
      </c>
      <c r="V1463" t="s">
        <v>3</v>
      </c>
      <c r="W1463" t="s">
        <v>68</v>
      </c>
      <c r="X1463" s="17">
        <v>43519</v>
      </c>
      <c r="Y1463" t="s">
        <v>2387</v>
      </c>
      <c r="Z1463" s="17">
        <v>43519</v>
      </c>
      <c r="AA1463" t="s">
        <v>3</v>
      </c>
      <c r="AB1463" t="s">
        <v>2387</v>
      </c>
    </row>
    <row r="1464" spans="1:28" hidden="1">
      <c r="A1464" t="s">
        <v>2387</v>
      </c>
      <c r="B1464" s="17">
        <v>43519</v>
      </c>
      <c r="C1464" s="17">
        <v>43519</v>
      </c>
      <c r="D1464" t="s">
        <v>7</v>
      </c>
      <c r="E1464" t="s">
        <v>1</v>
      </c>
      <c r="F1464" s="18">
        <v>-62991</v>
      </c>
      <c r="G1464" s="18">
        <v>-62991</v>
      </c>
      <c r="H1464" t="s">
        <v>2</v>
      </c>
      <c r="I1464" t="s">
        <v>10</v>
      </c>
      <c r="J1464" s="18">
        <v>-5212505.25</v>
      </c>
      <c r="K1464" t="s">
        <v>2388</v>
      </c>
      <c r="L1464" t="s">
        <v>9</v>
      </c>
      <c r="M1464" t="s">
        <v>2389</v>
      </c>
      <c r="N1464" t="s">
        <v>3</v>
      </c>
      <c r="O1464" t="s">
        <v>3</v>
      </c>
      <c r="P1464" t="s">
        <v>5</v>
      </c>
      <c r="Q1464" t="s">
        <v>2388</v>
      </c>
      <c r="R1464" t="s">
        <v>3</v>
      </c>
      <c r="S1464" t="s">
        <v>3</v>
      </c>
      <c r="T1464" t="s">
        <v>3</v>
      </c>
      <c r="U1464" t="s">
        <v>3</v>
      </c>
      <c r="V1464" t="s">
        <v>3</v>
      </c>
      <c r="W1464" t="s">
        <v>68</v>
      </c>
      <c r="X1464" s="17">
        <v>43519</v>
      </c>
      <c r="Y1464" t="s">
        <v>2387</v>
      </c>
      <c r="Z1464" s="17">
        <v>43519</v>
      </c>
      <c r="AA1464" t="s">
        <v>3</v>
      </c>
      <c r="AB1464" t="s">
        <v>2387</v>
      </c>
    </row>
    <row r="1465" spans="1:28" hidden="1">
      <c r="A1465" t="s">
        <v>2390</v>
      </c>
      <c r="B1465" s="17">
        <v>43519</v>
      </c>
      <c r="C1465" s="17">
        <v>43519</v>
      </c>
      <c r="D1465" t="s">
        <v>7</v>
      </c>
      <c r="E1465" t="s">
        <v>1</v>
      </c>
      <c r="F1465" s="18">
        <v>50046</v>
      </c>
      <c r="G1465" s="18">
        <v>50046</v>
      </c>
      <c r="H1465" t="s">
        <v>2</v>
      </c>
      <c r="I1465" t="s">
        <v>10</v>
      </c>
      <c r="J1465" s="18">
        <v>4141306.5</v>
      </c>
      <c r="K1465" t="s">
        <v>2391</v>
      </c>
      <c r="L1465" t="s">
        <v>9</v>
      </c>
      <c r="M1465" t="s">
        <v>2392</v>
      </c>
      <c r="N1465" t="s">
        <v>3</v>
      </c>
      <c r="O1465" t="s">
        <v>3</v>
      </c>
      <c r="P1465" t="s">
        <v>5</v>
      </c>
      <c r="Q1465" t="s">
        <v>2391</v>
      </c>
      <c r="R1465" t="s">
        <v>3</v>
      </c>
      <c r="S1465" t="s">
        <v>3</v>
      </c>
      <c r="T1465" t="s">
        <v>3</v>
      </c>
      <c r="U1465" t="s">
        <v>3</v>
      </c>
      <c r="V1465" t="s">
        <v>3</v>
      </c>
      <c r="W1465" t="s">
        <v>68</v>
      </c>
      <c r="X1465" s="17">
        <v>43519</v>
      </c>
      <c r="Y1465" t="s">
        <v>2390</v>
      </c>
      <c r="Z1465" s="17">
        <v>43519</v>
      </c>
      <c r="AA1465" t="s">
        <v>3</v>
      </c>
      <c r="AB1465" t="s">
        <v>2390</v>
      </c>
    </row>
    <row r="1466" spans="1:28" hidden="1">
      <c r="A1466" t="s">
        <v>2390</v>
      </c>
      <c r="B1466" s="17">
        <v>43519</v>
      </c>
      <c r="C1466" s="17">
        <v>43519</v>
      </c>
      <c r="D1466" t="s">
        <v>7</v>
      </c>
      <c r="E1466" t="s">
        <v>1</v>
      </c>
      <c r="F1466" s="18">
        <v>-50046</v>
      </c>
      <c r="G1466" s="18">
        <v>-50046</v>
      </c>
      <c r="H1466" t="s">
        <v>2</v>
      </c>
      <c r="I1466" t="s">
        <v>10</v>
      </c>
      <c r="J1466" s="18">
        <v>-4141306.5</v>
      </c>
      <c r="K1466" t="s">
        <v>2391</v>
      </c>
      <c r="L1466" t="s">
        <v>9</v>
      </c>
      <c r="M1466" t="s">
        <v>2392</v>
      </c>
      <c r="N1466" t="s">
        <v>3</v>
      </c>
      <c r="O1466" t="s">
        <v>3</v>
      </c>
      <c r="P1466" t="s">
        <v>5</v>
      </c>
      <c r="Q1466" t="s">
        <v>2391</v>
      </c>
      <c r="R1466" t="s">
        <v>3</v>
      </c>
      <c r="S1466" t="s">
        <v>3</v>
      </c>
      <c r="T1466" t="s">
        <v>3</v>
      </c>
      <c r="U1466" t="s">
        <v>3</v>
      </c>
      <c r="V1466" t="s">
        <v>3</v>
      </c>
      <c r="W1466" t="s">
        <v>68</v>
      </c>
      <c r="X1466" s="17">
        <v>43519</v>
      </c>
      <c r="Y1466" t="s">
        <v>2390</v>
      </c>
      <c r="Z1466" s="17">
        <v>43519</v>
      </c>
      <c r="AA1466" t="s">
        <v>3</v>
      </c>
      <c r="AB1466" t="s">
        <v>2390</v>
      </c>
    </row>
    <row r="1467" spans="1:28" hidden="1">
      <c r="A1467" t="s">
        <v>2393</v>
      </c>
      <c r="B1467" s="17">
        <v>43519</v>
      </c>
      <c r="C1467" s="17">
        <v>43519</v>
      </c>
      <c r="D1467" t="s">
        <v>7</v>
      </c>
      <c r="E1467" t="s">
        <v>1</v>
      </c>
      <c r="F1467" s="18">
        <v>49967</v>
      </c>
      <c r="G1467" s="18">
        <v>49967</v>
      </c>
      <c r="H1467" t="s">
        <v>2</v>
      </c>
      <c r="I1467" t="s">
        <v>10</v>
      </c>
      <c r="J1467" s="18">
        <v>4142264.3</v>
      </c>
      <c r="K1467" t="s">
        <v>2394</v>
      </c>
      <c r="L1467" t="s">
        <v>9</v>
      </c>
      <c r="M1467" t="s">
        <v>2395</v>
      </c>
      <c r="N1467" t="s">
        <v>3</v>
      </c>
      <c r="O1467" t="s">
        <v>3</v>
      </c>
      <c r="P1467" t="s">
        <v>5</v>
      </c>
      <c r="Q1467" t="s">
        <v>2394</v>
      </c>
      <c r="R1467" t="s">
        <v>3</v>
      </c>
      <c r="S1467" t="s">
        <v>3</v>
      </c>
      <c r="T1467" t="s">
        <v>3</v>
      </c>
      <c r="U1467" t="s">
        <v>3</v>
      </c>
      <c r="V1467" t="s">
        <v>3</v>
      </c>
      <c r="W1467" t="s">
        <v>68</v>
      </c>
      <c r="X1467" s="17">
        <v>43519</v>
      </c>
      <c r="Y1467" t="s">
        <v>2393</v>
      </c>
      <c r="Z1467" s="17">
        <v>43519</v>
      </c>
      <c r="AA1467" t="s">
        <v>3</v>
      </c>
      <c r="AB1467" t="s">
        <v>2393</v>
      </c>
    </row>
    <row r="1468" spans="1:28" hidden="1">
      <c r="A1468" t="s">
        <v>2393</v>
      </c>
      <c r="B1468" s="17">
        <v>43519</v>
      </c>
      <c r="C1468" s="17">
        <v>43519</v>
      </c>
      <c r="D1468" t="s">
        <v>7</v>
      </c>
      <c r="E1468" t="s">
        <v>1</v>
      </c>
      <c r="F1468" s="18">
        <v>-49967</v>
      </c>
      <c r="G1468" s="18">
        <v>-49967</v>
      </c>
      <c r="H1468" t="s">
        <v>2</v>
      </c>
      <c r="I1468" t="s">
        <v>10</v>
      </c>
      <c r="J1468" s="18">
        <v>-4142264.3</v>
      </c>
      <c r="K1468" t="s">
        <v>2394</v>
      </c>
      <c r="L1468" t="s">
        <v>9</v>
      </c>
      <c r="M1468" t="s">
        <v>2395</v>
      </c>
      <c r="N1468" t="s">
        <v>3</v>
      </c>
      <c r="O1468" t="s">
        <v>3</v>
      </c>
      <c r="P1468" t="s">
        <v>5</v>
      </c>
      <c r="Q1468" t="s">
        <v>2394</v>
      </c>
      <c r="R1468" t="s">
        <v>3</v>
      </c>
      <c r="S1468" t="s">
        <v>3</v>
      </c>
      <c r="T1468" t="s">
        <v>3</v>
      </c>
      <c r="U1468" t="s">
        <v>3</v>
      </c>
      <c r="V1468" t="s">
        <v>3</v>
      </c>
      <c r="W1468" t="s">
        <v>68</v>
      </c>
      <c r="X1468" s="17">
        <v>43519</v>
      </c>
      <c r="Y1468" t="s">
        <v>2393</v>
      </c>
      <c r="Z1468" s="17">
        <v>43519</v>
      </c>
      <c r="AA1468" t="s">
        <v>3</v>
      </c>
      <c r="AB1468" t="s">
        <v>2393</v>
      </c>
    </row>
    <row r="1469" spans="1:28" hidden="1">
      <c r="A1469" t="s">
        <v>2396</v>
      </c>
      <c r="B1469" s="17">
        <v>43519</v>
      </c>
      <c r="C1469" s="17">
        <v>43519</v>
      </c>
      <c r="D1469" t="s">
        <v>7</v>
      </c>
      <c r="E1469" t="s">
        <v>1</v>
      </c>
      <c r="F1469" s="18">
        <v>35484</v>
      </c>
      <c r="G1469" s="18">
        <v>35484</v>
      </c>
      <c r="H1469" t="s">
        <v>2</v>
      </c>
      <c r="I1469" t="s">
        <v>10</v>
      </c>
      <c r="J1469" s="18">
        <v>2943397.8</v>
      </c>
      <c r="K1469" t="s">
        <v>2397</v>
      </c>
      <c r="L1469" t="s">
        <v>9</v>
      </c>
      <c r="M1469" t="s">
        <v>2398</v>
      </c>
      <c r="N1469" t="s">
        <v>3</v>
      </c>
      <c r="O1469" t="s">
        <v>3</v>
      </c>
      <c r="P1469" t="s">
        <v>5</v>
      </c>
      <c r="Q1469" t="s">
        <v>2397</v>
      </c>
      <c r="R1469" t="s">
        <v>3</v>
      </c>
      <c r="S1469" t="s">
        <v>3</v>
      </c>
      <c r="T1469" t="s">
        <v>3</v>
      </c>
      <c r="U1469" t="s">
        <v>3</v>
      </c>
      <c r="V1469" t="s">
        <v>3</v>
      </c>
      <c r="W1469" t="s">
        <v>68</v>
      </c>
      <c r="X1469" s="17">
        <v>43519</v>
      </c>
      <c r="Y1469" t="s">
        <v>2396</v>
      </c>
      <c r="Z1469" s="17">
        <v>43519</v>
      </c>
      <c r="AA1469" t="s">
        <v>3</v>
      </c>
      <c r="AB1469" t="s">
        <v>2396</v>
      </c>
    </row>
    <row r="1470" spans="1:28" hidden="1">
      <c r="A1470" t="s">
        <v>2396</v>
      </c>
      <c r="B1470" s="17">
        <v>43519</v>
      </c>
      <c r="C1470" s="17">
        <v>43519</v>
      </c>
      <c r="D1470" t="s">
        <v>7</v>
      </c>
      <c r="E1470" t="s">
        <v>1</v>
      </c>
      <c r="F1470" s="18">
        <v>-35484</v>
      </c>
      <c r="G1470" s="18">
        <v>-35484</v>
      </c>
      <c r="H1470" t="s">
        <v>2</v>
      </c>
      <c r="I1470" t="s">
        <v>10</v>
      </c>
      <c r="J1470" s="18">
        <v>-2943397.8</v>
      </c>
      <c r="K1470" t="s">
        <v>3</v>
      </c>
      <c r="L1470" t="s">
        <v>9</v>
      </c>
      <c r="M1470" t="s">
        <v>2398</v>
      </c>
      <c r="N1470" t="s">
        <v>3</v>
      </c>
      <c r="O1470" t="s">
        <v>3</v>
      </c>
      <c r="P1470" t="s">
        <v>5</v>
      </c>
      <c r="Q1470" t="s">
        <v>2397</v>
      </c>
      <c r="R1470" t="s">
        <v>3</v>
      </c>
      <c r="S1470" t="s">
        <v>3</v>
      </c>
      <c r="T1470" t="s">
        <v>3</v>
      </c>
      <c r="U1470" t="s">
        <v>3</v>
      </c>
      <c r="V1470" t="s">
        <v>3</v>
      </c>
      <c r="W1470" t="s">
        <v>68</v>
      </c>
      <c r="X1470" s="17">
        <v>43519</v>
      </c>
      <c r="Y1470" t="s">
        <v>2396</v>
      </c>
      <c r="Z1470" s="17">
        <v>43519</v>
      </c>
      <c r="AA1470" t="s">
        <v>3</v>
      </c>
      <c r="AB1470" t="s">
        <v>2396</v>
      </c>
    </row>
    <row r="1471" spans="1:28" hidden="1">
      <c r="A1471" t="s">
        <v>3713</v>
      </c>
      <c r="B1471" s="17">
        <v>43520</v>
      </c>
      <c r="C1471" s="17">
        <v>43520</v>
      </c>
      <c r="D1471" t="s">
        <v>0</v>
      </c>
      <c r="E1471" t="s">
        <v>1</v>
      </c>
      <c r="F1471" s="18">
        <v>38550</v>
      </c>
      <c r="G1471" s="18">
        <v>38550</v>
      </c>
      <c r="H1471" t="s">
        <v>2</v>
      </c>
      <c r="I1471" t="s">
        <v>8</v>
      </c>
      <c r="J1471" s="18">
        <v>3197722.5</v>
      </c>
      <c r="K1471" t="s">
        <v>3714</v>
      </c>
      <c r="L1471" t="s">
        <v>9</v>
      </c>
      <c r="M1471" t="s">
        <v>3714</v>
      </c>
      <c r="N1471" t="s">
        <v>3</v>
      </c>
      <c r="O1471" t="s">
        <v>3</v>
      </c>
      <c r="P1471" t="s">
        <v>5</v>
      </c>
      <c r="Q1471" t="s">
        <v>3715</v>
      </c>
      <c r="R1471" t="s">
        <v>3</v>
      </c>
      <c r="S1471" t="s">
        <v>3</v>
      </c>
      <c r="T1471" t="s">
        <v>3</v>
      </c>
      <c r="U1471" t="s">
        <v>3</v>
      </c>
      <c r="V1471" t="s">
        <v>3</v>
      </c>
      <c r="W1471" t="s">
        <v>68</v>
      </c>
      <c r="X1471" s="17">
        <v>43646</v>
      </c>
      <c r="Y1471" t="s">
        <v>2514</v>
      </c>
      <c r="Z1471" s="17">
        <v>43520</v>
      </c>
      <c r="AA1471" t="s">
        <v>3</v>
      </c>
      <c r="AB1471" t="s">
        <v>3713</v>
      </c>
    </row>
    <row r="1472" spans="1:28" hidden="1">
      <c r="A1472" t="s">
        <v>3716</v>
      </c>
      <c r="B1472" s="17">
        <v>43520</v>
      </c>
      <c r="C1472" s="17">
        <v>43520</v>
      </c>
      <c r="D1472" t="s">
        <v>0</v>
      </c>
      <c r="E1472" t="s">
        <v>1</v>
      </c>
      <c r="F1472" s="18">
        <v>3875</v>
      </c>
      <c r="G1472" s="18">
        <v>3875</v>
      </c>
      <c r="H1472" t="s">
        <v>2</v>
      </c>
      <c r="I1472" t="s">
        <v>10</v>
      </c>
      <c r="J1472" s="18">
        <v>321431.25</v>
      </c>
      <c r="K1472" t="s">
        <v>3712</v>
      </c>
      <c r="L1472" t="s">
        <v>9</v>
      </c>
      <c r="M1472" t="s">
        <v>3717</v>
      </c>
      <c r="N1472" t="s">
        <v>3</v>
      </c>
      <c r="O1472" t="s">
        <v>3</v>
      </c>
      <c r="P1472" t="s">
        <v>5</v>
      </c>
      <c r="Q1472" t="s">
        <v>3718</v>
      </c>
      <c r="R1472" t="s">
        <v>3</v>
      </c>
      <c r="S1472" t="s">
        <v>3</v>
      </c>
      <c r="T1472" t="s">
        <v>3</v>
      </c>
      <c r="U1472" t="s">
        <v>3</v>
      </c>
      <c r="V1472" t="s">
        <v>3</v>
      </c>
      <c r="W1472" t="s">
        <v>68</v>
      </c>
      <c r="X1472" s="17">
        <v>43646</v>
      </c>
      <c r="Y1472" t="s">
        <v>2506</v>
      </c>
      <c r="Z1472" s="17">
        <v>43520</v>
      </c>
      <c r="AA1472" t="s">
        <v>3</v>
      </c>
      <c r="AB1472" t="s">
        <v>3716</v>
      </c>
    </row>
    <row r="1473" spans="1:28" hidden="1">
      <c r="A1473" t="s">
        <v>3719</v>
      </c>
      <c r="B1473" s="17">
        <v>43520</v>
      </c>
      <c r="C1473" s="17">
        <v>43520</v>
      </c>
      <c r="D1473" t="s">
        <v>0</v>
      </c>
      <c r="E1473" t="s">
        <v>1</v>
      </c>
      <c r="F1473" s="18">
        <v>6909</v>
      </c>
      <c r="G1473" s="18">
        <v>6909</v>
      </c>
      <c r="H1473" t="s">
        <v>2</v>
      </c>
      <c r="I1473" t="s">
        <v>10</v>
      </c>
      <c r="J1473" s="18">
        <v>573101.55000000005</v>
      </c>
      <c r="K1473" t="s">
        <v>3720</v>
      </c>
      <c r="L1473" t="s">
        <v>9</v>
      </c>
      <c r="M1473" t="s">
        <v>3721</v>
      </c>
      <c r="N1473" t="s">
        <v>3</v>
      </c>
      <c r="O1473" t="s">
        <v>3</v>
      </c>
      <c r="P1473" t="s">
        <v>5</v>
      </c>
      <c r="Q1473" t="s">
        <v>3722</v>
      </c>
      <c r="R1473" t="s">
        <v>3</v>
      </c>
      <c r="S1473" t="s">
        <v>3</v>
      </c>
      <c r="T1473" t="s">
        <v>3</v>
      </c>
      <c r="U1473" t="s">
        <v>3</v>
      </c>
      <c r="V1473" t="s">
        <v>3</v>
      </c>
      <c r="W1473" t="s">
        <v>68</v>
      </c>
      <c r="X1473" s="17">
        <v>43646</v>
      </c>
      <c r="Y1473" t="s">
        <v>2508</v>
      </c>
      <c r="Z1473" s="17">
        <v>43520</v>
      </c>
      <c r="AA1473" t="s">
        <v>3</v>
      </c>
      <c r="AB1473" t="s">
        <v>3719</v>
      </c>
    </row>
    <row r="1474" spans="1:28" hidden="1">
      <c r="A1474" t="s">
        <v>3740</v>
      </c>
      <c r="B1474" s="17">
        <v>43521</v>
      </c>
      <c r="C1474" s="17">
        <v>43521</v>
      </c>
      <c r="D1474" t="s">
        <v>0</v>
      </c>
      <c r="E1474" t="s">
        <v>1</v>
      </c>
      <c r="F1474" s="18">
        <v>4099</v>
      </c>
      <c r="G1474" s="18">
        <v>4099</v>
      </c>
      <c r="H1474" t="s">
        <v>2</v>
      </c>
      <c r="I1474" t="s">
        <v>10</v>
      </c>
      <c r="J1474" s="18">
        <v>340012.05</v>
      </c>
      <c r="K1474" t="s">
        <v>3741</v>
      </c>
      <c r="L1474" t="s">
        <v>9</v>
      </c>
      <c r="M1474" t="s">
        <v>3741</v>
      </c>
      <c r="N1474" t="s">
        <v>3</v>
      </c>
      <c r="O1474" t="s">
        <v>3</v>
      </c>
      <c r="P1474" t="s">
        <v>5</v>
      </c>
      <c r="Q1474" t="s">
        <v>3742</v>
      </c>
      <c r="R1474" t="s">
        <v>3</v>
      </c>
      <c r="S1474" t="s">
        <v>3</v>
      </c>
      <c r="T1474" t="s">
        <v>3</v>
      </c>
      <c r="U1474" t="s">
        <v>3</v>
      </c>
      <c r="V1474" t="s">
        <v>3</v>
      </c>
      <c r="W1474" t="s">
        <v>68</v>
      </c>
      <c r="X1474" s="17">
        <v>43646</v>
      </c>
      <c r="Y1474" t="s">
        <v>2520</v>
      </c>
      <c r="Z1474" s="17">
        <v>43521</v>
      </c>
      <c r="AA1474" t="s">
        <v>3</v>
      </c>
      <c r="AB1474" t="s">
        <v>3740</v>
      </c>
    </row>
    <row r="1475" spans="1:28" hidden="1">
      <c r="A1475" t="s">
        <v>2399</v>
      </c>
      <c r="B1475" s="17">
        <v>43522</v>
      </c>
      <c r="C1475" s="17">
        <v>43522</v>
      </c>
      <c r="D1475" t="s">
        <v>7</v>
      </c>
      <c r="E1475" t="s">
        <v>1</v>
      </c>
      <c r="F1475" s="18">
        <v>31752</v>
      </c>
      <c r="G1475" s="18">
        <v>31752</v>
      </c>
      <c r="H1475" t="s">
        <v>2</v>
      </c>
      <c r="I1475" t="s">
        <v>10</v>
      </c>
      <c r="J1475" s="18">
        <v>2629065.6</v>
      </c>
      <c r="K1475" t="s">
        <v>2400</v>
      </c>
      <c r="L1475" t="s">
        <v>9</v>
      </c>
      <c r="M1475" t="s">
        <v>2401</v>
      </c>
      <c r="N1475" t="s">
        <v>3</v>
      </c>
      <c r="O1475" t="s">
        <v>3</v>
      </c>
      <c r="P1475" t="s">
        <v>5</v>
      </c>
      <c r="Q1475" t="s">
        <v>2400</v>
      </c>
      <c r="R1475" t="s">
        <v>3</v>
      </c>
      <c r="S1475" t="s">
        <v>3</v>
      </c>
      <c r="T1475" t="s">
        <v>3</v>
      </c>
      <c r="U1475" t="s">
        <v>3</v>
      </c>
      <c r="V1475" t="s">
        <v>3</v>
      </c>
      <c r="W1475" t="s">
        <v>68</v>
      </c>
      <c r="X1475" s="17">
        <v>43522</v>
      </c>
      <c r="Y1475" t="s">
        <v>2399</v>
      </c>
      <c r="Z1475" s="17">
        <v>43522</v>
      </c>
      <c r="AA1475" t="s">
        <v>3</v>
      </c>
      <c r="AB1475" t="s">
        <v>2399</v>
      </c>
    </row>
    <row r="1476" spans="1:28" hidden="1">
      <c r="A1476" t="s">
        <v>2399</v>
      </c>
      <c r="B1476" s="17">
        <v>43522</v>
      </c>
      <c r="C1476" s="17">
        <v>43522</v>
      </c>
      <c r="D1476" t="s">
        <v>7</v>
      </c>
      <c r="E1476" t="s">
        <v>1</v>
      </c>
      <c r="F1476" s="18">
        <v>-31752</v>
      </c>
      <c r="G1476" s="18">
        <v>-31752</v>
      </c>
      <c r="H1476" t="s">
        <v>2</v>
      </c>
      <c r="I1476" t="s">
        <v>10</v>
      </c>
      <c r="J1476" s="18">
        <v>-2629065.6</v>
      </c>
      <c r="K1476" t="s">
        <v>2400</v>
      </c>
      <c r="L1476" t="s">
        <v>9</v>
      </c>
      <c r="M1476" t="s">
        <v>2401</v>
      </c>
      <c r="N1476" t="s">
        <v>3</v>
      </c>
      <c r="O1476" t="s">
        <v>3</v>
      </c>
      <c r="P1476" t="s">
        <v>5</v>
      </c>
      <c r="Q1476" t="s">
        <v>2400</v>
      </c>
      <c r="R1476" t="s">
        <v>3</v>
      </c>
      <c r="S1476" t="s">
        <v>3</v>
      </c>
      <c r="T1476" t="s">
        <v>3</v>
      </c>
      <c r="U1476" t="s">
        <v>3</v>
      </c>
      <c r="V1476" t="s">
        <v>3</v>
      </c>
      <c r="W1476" t="s">
        <v>68</v>
      </c>
      <c r="X1476" s="17">
        <v>43522</v>
      </c>
      <c r="Y1476" t="s">
        <v>2399</v>
      </c>
      <c r="Z1476" s="17">
        <v>43522</v>
      </c>
      <c r="AA1476" t="s">
        <v>3</v>
      </c>
      <c r="AB1476" t="s">
        <v>2399</v>
      </c>
    </row>
    <row r="1477" spans="1:28" hidden="1">
      <c r="A1477" t="s">
        <v>2402</v>
      </c>
      <c r="B1477" s="17">
        <v>43522</v>
      </c>
      <c r="C1477" s="17">
        <v>43522</v>
      </c>
      <c r="D1477" t="s">
        <v>7</v>
      </c>
      <c r="E1477" t="s">
        <v>1</v>
      </c>
      <c r="F1477" s="18">
        <v>27893</v>
      </c>
      <c r="G1477" s="18">
        <v>27893</v>
      </c>
      <c r="H1477" t="s">
        <v>2</v>
      </c>
      <c r="I1477" t="s">
        <v>10</v>
      </c>
      <c r="J1477" s="18">
        <v>2308145.7599999998</v>
      </c>
      <c r="K1477" t="s">
        <v>2403</v>
      </c>
      <c r="L1477" t="s">
        <v>9</v>
      </c>
      <c r="M1477" t="s">
        <v>2404</v>
      </c>
      <c r="N1477" t="s">
        <v>3</v>
      </c>
      <c r="O1477" t="s">
        <v>3</v>
      </c>
      <c r="P1477" t="s">
        <v>5</v>
      </c>
      <c r="Q1477" t="s">
        <v>2403</v>
      </c>
      <c r="R1477" t="s">
        <v>3</v>
      </c>
      <c r="S1477" t="s">
        <v>3</v>
      </c>
      <c r="T1477" t="s">
        <v>3</v>
      </c>
      <c r="U1477" t="s">
        <v>3</v>
      </c>
      <c r="V1477" t="s">
        <v>3</v>
      </c>
      <c r="W1477" t="s">
        <v>68</v>
      </c>
      <c r="X1477" s="17">
        <v>43522</v>
      </c>
      <c r="Y1477" t="s">
        <v>2402</v>
      </c>
      <c r="Z1477" s="17">
        <v>43522</v>
      </c>
      <c r="AA1477" t="s">
        <v>3</v>
      </c>
      <c r="AB1477" t="s">
        <v>2402</v>
      </c>
    </row>
    <row r="1478" spans="1:28" hidden="1">
      <c r="A1478" t="s">
        <v>2402</v>
      </c>
      <c r="B1478" s="17">
        <v>43522</v>
      </c>
      <c r="C1478" s="17">
        <v>43522</v>
      </c>
      <c r="D1478" t="s">
        <v>7</v>
      </c>
      <c r="E1478" t="s">
        <v>1</v>
      </c>
      <c r="F1478" s="18">
        <v>-27893</v>
      </c>
      <c r="G1478" s="18">
        <v>-27893</v>
      </c>
      <c r="H1478" t="s">
        <v>2</v>
      </c>
      <c r="I1478" t="s">
        <v>10</v>
      </c>
      <c r="J1478" s="18">
        <v>-2308145.7599999998</v>
      </c>
      <c r="K1478" t="s">
        <v>2403</v>
      </c>
      <c r="L1478" t="s">
        <v>9</v>
      </c>
      <c r="M1478" t="s">
        <v>2404</v>
      </c>
      <c r="N1478" t="s">
        <v>3</v>
      </c>
      <c r="O1478" t="s">
        <v>3</v>
      </c>
      <c r="P1478" t="s">
        <v>5</v>
      </c>
      <c r="Q1478" t="s">
        <v>2403</v>
      </c>
      <c r="R1478" t="s">
        <v>3</v>
      </c>
      <c r="S1478" t="s">
        <v>3</v>
      </c>
      <c r="T1478" t="s">
        <v>3</v>
      </c>
      <c r="U1478" t="s">
        <v>3</v>
      </c>
      <c r="V1478" t="s">
        <v>3</v>
      </c>
      <c r="W1478" t="s">
        <v>68</v>
      </c>
      <c r="X1478" s="17">
        <v>43522</v>
      </c>
      <c r="Y1478" t="s">
        <v>2402</v>
      </c>
      <c r="Z1478" s="17">
        <v>43522</v>
      </c>
      <c r="AA1478" t="s">
        <v>3</v>
      </c>
      <c r="AB1478" t="s">
        <v>2402</v>
      </c>
    </row>
    <row r="1479" spans="1:28" hidden="1">
      <c r="A1479" t="s">
        <v>2405</v>
      </c>
      <c r="B1479" s="17">
        <v>43522</v>
      </c>
      <c r="C1479" s="17">
        <v>43522</v>
      </c>
      <c r="D1479" t="s">
        <v>7</v>
      </c>
      <c r="E1479" t="s">
        <v>1</v>
      </c>
      <c r="F1479" s="18">
        <v>1</v>
      </c>
      <c r="G1479" s="18">
        <v>1</v>
      </c>
      <c r="H1479" t="s">
        <v>2</v>
      </c>
      <c r="I1479" t="s">
        <v>10</v>
      </c>
      <c r="J1479" s="18">
        <v>82.95</v>
      </c>
      <c r="K1479" t="s">
        <v>2403</v>
      </c>
      <c r="L1479" t="s">
        <v>9</v>
      </c>
      <c r="M1479" t="s">
        <v>2406</v>
      </c>
      <c r="N1479" t="s">
        <v>3</v>
      </c>
      <c r="O1479" t="s">
        <v>3</v>
      </c>
      <c r="P1479" t="s">
        <v>5</v>
      </c>
      <c r="Q1479" t="s">
        <v>2407</v>
      </c>
      <c r="R1479" t="s">
        <v>3</v>
      </c>
      <c r="S1479" t="s">
        <v>3</v>
      </c>
      <c r="T1479" t="s">
        <v>3</v>
      </c>
      <c r="U1479" t="s">
        <v>3</v>
      </c>
      <c r="V1479" t="s">
        <v>3</v>
      </c>
      <c r="W1479" t="s">
        <v>68</v>
      </c>
      <c r="X1479" s="17">
        <v>43522</v>
      </c>
      <c r="Y1479" t="s">
        <v>2405</v>
      </c>
      <c r="Z1479" s="17">
        <v>43522</v>
      </c>
      <c r="AA1479" t="s">
        <v>3</v>
      </c>
      <c r="AB1479" t="s">
        <v>2405</v>
      </c>
    </row>
    <row r="1480" spans="1:28" hidden="1">
      <c r="A1480" t="s">
        <v>2408</v>
      </c>
      <c r="B1480" s="17">
        <v>43522</v>
      </c>
      <c r="C1480" s="17">
        <v>43522</v>
      </c>
      <c r="D1480" t="s">
        <v>7</v>
      </c>
      <c r="E1480" t="s">
        <v>1</v>
      </c>
      <c r="F1480" s="18">
        <v>21127</v>
      </c>
      <c r="G1480" s="18">
        <v>21127</v>
      </c>
      <c r="H1480" t="s">
        <v>2</v>
      </c>
      <c r="I1480" t="s">
        <v>10</v>
      </c>
      <c r="J1480" s="18">
        <v>1751428.3</v>
      </c>
      <c r="K1480" t="s">
        <v>2409</v>
      </c>
      <c r="L1480" t="s">
        <v>9</v>
      </c>
      <c r="M1480" t="s">
        <v>2409</v>
      </c>
      <c r="N1480" t="s">
        <v>3</v>
      </c>
      <c r="O1480" t="s">
        <v>3</v>
      </c>
      <c r="P1480" t="s">
        <v>5</v>
      </c>
      <c r="Q1480" t="s">
        <v>2410</v>
      </c>
      <c r="R1480" t="s">
        <v>3</v>
      </c>
      <c r="S1480" t="s">
        <v>3</v>
      </c>
      <c r="T1480" t="s">
        <v>3</v>
      </c>
      <c r="U1480" t="s">
        <v>3</v>
      </c>
      <c r="V1480" t="s">
        <v>3</v>
      </c>
      <c r="W1480" t="s">
        <v>68</v>
      </c>
      <c r="X1480" s="17">
        <v>43522</v>
      </c>
      <c r="Y1480" t="s">
        <v>2408</v>
      </c>
      <c r="Z1480" s="17">
        <v>43522</v>
      </c>
      <c r="AA1480" t="s">
        <v>3</v>
      </c>
      <c r="AB1480" t="s">
        <v>2408</v>
      </c>
    </row>
    <row r="1481" spans="1:28" hidden="1">
      <c r="A1481" t="s">
        <v>2408</v>
      </c>
      <c r="B1481" s="17">
        <v>43522</v>
      </c>
      <c r="C1481" s="17">
        <v>43522</v>
      </c>
      <c r="D1481" t="s">
        <v>7</v>
      </c>
      <c r="E1481" t="s">
        <v>1</v>
      </c>
      <c r="F1481" s="18">
        <v>-21127</v>
      </c>
      <c r="G1481" s="18">
        <v>-21127</v>
      </c>
      <c r="H1481" t="s">
        <v>2</v>
      </c>
      <c r="I1481" t="s">
        <v>10</v>
      </c>
      <c r="J1481" s="18">
        <v>-1751428.3</v>
      </c>
      <c r="K1481" t="s">
        <v>2409</v>
      </c>
      <c r="L1481" t="s">
        <v>9</v>
      </c>
      <c r="M1481" t="s">
        <v>2409</v>
      </c>
      <c r="N1481" t="s">
        <v>3</v>
      </c>
      <c r="O1481" t="s">
        <v>3</v>
      </c>
      <c r="P1481" t="s">
        <v>5</v>
      </c>
      <c r="Q1481" t="s">
        <v>2410</v>
      </c>
      <c r="R1481" t="s">
        <v>3</v>
      </c>
      <c r="S1481" t="s">
        <v>3</v>
      </c>
      <c r="T1481" t="s">
        <v>3</v>
      </c>
      <c r="U1481" t="s">
        <v>3</v>
      </c>
      <c r="V1481" t="s">
        <v>3</v>
      </c>
      <c r="W1481" t="s">
        <v>68</v>
      </c>
      <c r="X1481" s="17">
        <v>43522</v>
      </c>
      <c r="Y1481" t="s">
        <v>2408</v>
      </c>
      <c r="Z1481" s="17">
        <v>43522</v>
      </c>
      <c r="AA1481" t="s">
        <v>3</v>
      </c>
      <c r="AB1481" t="s">
        <v>2408</v>
      </c>
    </row>
    <row r="1482" spans="1:28" hidden="1">
      <c r="A1482" t="s">
        <v>2411</v>
      </c>
      <c r="B1482" s="17">
        <v>43522</v>
      </c>
      <c r="C1482" s="17">
        <v>43522</v>
      </c>
      <c r="D1482" t="s">
        <v>7</v>
      </c>
      <c r="E1482" t="s">
        <v>1</v>
      </c>
      <c r="F1482" s="18">
        <v>13887</v>
      </c>
      <c r="G1482" s="18">
        <v>13887</v>
      </c>
      <c r="H1482" t="s">
        <v>2</v>
      </c>
      <c r="I1482" t="s">
        <v>10</v>
      </c>
      <c r="J1482" s="18">
        <v>1151232.3</v>
      </c>
      <c r="K1482" t="s">
        <v>2412</v>
      </c>
      <c r="L1482" t="s">
        <v>9</v>
      </c>
      <c r="M1482" t="s">
        <v>2412</v>
      </c>
      <c r="N1482" t="s">
        <v>3</v>
      </c>
      <c r="O1482" t="s">
        <v>3</v>
      </c>
      <c r="P1482" t="s">
        <v>5</v>
      </c>
      <c r="Q1482" t="s">
        <v>2413</v>
      </c>
      <c r="R1482" t="s">
        <v>3</v>
      </c>
      <c r="S1482" t="s">
        <v>3</v>
      </c>
      <c r="T1482" t="s">
        <v>3</v>
      </c>
      <c r="U1482" t="s">
        <v>3</v>
      </c>
      <c r="V1482" t="s">
        <v>3</v>
      </c>
      <c r="W1482" t="s">
        <v>68</v>
      </c>
      <c r="X1482" s="17">
        <v>43522</v>
      </c>
      <c r="Y1482" t="s">
        <v>2411</v>
      </c>
      <c r="Z1482" s="17">
        <v>43522</v>
      </c>
      <c r="AA1482" t="s">
        <v>3</v>
      </c>
      <c r="AB1482" t="s">
        <v>2411</v>
      </c>
    </row>
    <row r="1483" spans="1:28" hidden="1">
      <c r="A1483" t="s">
        <v>2411</v>
      </c>
      <c r="B1483" s="17">
        <v>43522</v>
      </c>
      <c r="C1483" s="17">
        <v>43522</v>
      </c>
      <c r="D1483" t="s">
        <v>7</v>
      </c>
      <c r="E1483" t="s">
        <v>1</v>
      </c>
      <c r="F1483" s="18">
        <v>-13887</v>
      </c>
      <c r="G1483" s="18">
        <v>-13887</v>
      </c>
      <c r="H1483" t="s">
        <v>2</v>
      </c>
      <c r="I1483" t="s">
        <v>10</v>
      </c>
      <c r="J1483" s="18">
        <v>-1151232.3</v>
      </c>
      <c r="K1483" t="s">
        <v>3</v>
      </c>
      <c r="L1483" t="s">
        <v>9</v>
      </c>
      <c r="M1483" t="s">
        <v>2412</v>
      </c>
      <c r="N1483" t="s">
        <v>3</v>
      </c>
      <c r="O1483" t="s">
        <v>3</v>
      </c>
      <c r="P1483" t="s">
        <v>5</v>
      </c>
      <c r="Q1483" t="s">
        <v>2413</v>
      </c>
      <c r="R1483" t="s">
        <v>3</v>
      </c>
      <c r="S1483" t="s">
        <v>3</v>
      </c>
      <c r="T1483" t="s">
        <v>3</v>
      </c>
      <c r="U1483" t="s">
        <v>3</v>
      </c>
      <c r="V1483" t="s">
        <v>3</v>
      </c>
      <c r="W1483" t="s">
        <v>68</v>
      </c>
      <c r="X1483" s="17">
        <v>43522</v>
      </c>
      <c r="Y1483" t="s">
        <v>2411</v>
      </c>
      <c r="Z1483" s="17">
        <v>43522</v>
      </c>
      <c r="AA1483" t="s">
        <v>3</v>
      </c>
      <c r="AB1483" t="s">
        <v>2411</v>
      </c>
    </row>
    <row r="1484" spans="1:28" hidden="1">
      <c r="A1484" t="s">
        <v>2414</v>
      </c>
      <c r="B1484" s="17">
        <v>43522</v>
      </c>
      <c r="C1484" s="17">
        <v>43522</v>
      </c>
      <c r="D1484" t="s">
        <v>7</v>
      </c>
      <c r="E1484" t="s">
        <v>1</v>
      </c>
      <c r="F1484" s="18">
        <v>1</v>
      </c>
      <c r="G1484" s="18">
        <v>1</v>
      </c>
      <c r="H1484" t="s">
        <v>2</v>
      </c>
      <c r="I1484" t="s">
        <v>10</v>
      </c>
      <c r="J1484" s="18">
        <v>82.95</v>
      </c>
      <c r="K1484" t="s">
        <v>2415</v>
      </c>
      <c r="L1484" t="s">
        <v>9</v>
      </c>
      <c r="M1484" t="s">
        <v>2415</v>
      </c>
      <c r="N1484" t="s">
        <v>3</v>
      </c>
      <c r="O1484" t="s">
        <v>3</v>
      </c>
      <c r="P1484" t="s">
        <v>5</v>
      </c>
      <c r="Q1484" t="s">
        <v>2416</v>
      </c>
      <c r="R1484" t="s">
        <v>3</v>
      </c>
      <c r="S1484" t="s">
        <v>3</v>
      </c>
      <c r="T1484" t="s">
        <v>3</v>
      </c>
      <c r="U1484" t="s">
        <v>3</v>
      </c>
      <c r="V1484" t="s">
        <v>3</v>
      </c>
      <c r="W1484" t="s">
        <v>68</v>
      </c>
      <c r="X1484" s="17">
        <v>43522</v>
      </c>
      <c r="Y1484" t="s">
        <v>2414</v>
      </c>
      <c r="Z1484" s="17">
        <v>43522</v>
      </c>
      <c r="AA1484" t="s">
        <v>3</v>
      </c>
      <c r="AB1484" t="s">
        <v>2414</v>
      </c>
    </row>
    <row r="1485" spans="1:28" hidden="1">
      <c r="A1485" t="s">
        <v>3723</v>
      </c>
      <c r="B1485" s="17">
        <v>43522</v>
      </c>
      <c r="C1485" s="17">
        <v>43522</v>
      </c>
      <c r="D1485" t="s">
        <v>0</v>
      </c>
      <c r="E1485" t="s">
        <v>1</v>
      </c>
      <c r="F1485" s="18">
        <v>55649</v>
      </c>
      <c r="G1485" s="18">
        <v>55649</v>
      </c>
      <c r="H1485" t="s">
        <v>2</v>
      </c>
      <c r="I1485" t="s">
        <v>8</v>
      </c>
      <c r="J1485" s="18">
        <v>4616084.55</v>
      </c>
      <c r="K1485" t="s">
        <v>3724</v>
      </c>
      <c r="L1485" t="s">
        <v>9</v>
      </c>
      <c r="M1485" t="s">
        <v>3725</v>
      </c>
      <c r="N1485" t="s">
        <v>3</v>
      </c>
      <c r="O1485" t="s">
        <v>3</v>
      </c>
      <c r="P1485" t="s">
        <v>5</v>
      </c>
      <c r="Q1485" t="s">
        <v>3726</v>
      </c>
      <c r="R1485" t="s">
        <v>3</v>
      </c>
      <c r="S1485" t="s">
        <v>3</v>
      </c>
      <c r="T1485" t="s">
        <v>3</v>
      </c>
      <c r="U1485" t="s">
        <v>3</v>
      </c>
      <c r="V1485" t="s">
        <v>3</v>
      </c>
      <c r="W1485" t="s">
        <v>68</v>
      </c>
      <c r="X1485" s="17">
        <v>43587</v>
      </c>
      <c r="Y1485" t="s">
        <v>2435</v>
      </c>
      <c r="Z1485" s="17">
        <v>43522</v>
      </c>
      <c r="AA1485" t="s">
        <v>3</v>
      </c>
      <c r="AB1485" t="s">
        <v>3723</v>
      </c>
    </row>
    <row r="1486" spans="1:28" hidden="1">
      <c r="A1486" t="s">
        <v>3723</v>
      </c>
      <c r="B1486" s="17">
        <v>43522</v>
      </c>
      <c r="C1486" s="17">
        <v>43522</v>
      </c>
      <c r="D1486" t="s">
        <v>0</v>
      </c>
      <c r="E1486" t="s">
        <v>1</v>
      </c>
      <c r="F1486" s="18">
        <v>43085</v>
      </c>
      <c r="G1486" s="18">
        <v>43085</v>
      </c>
      <c r="H1486" t="s">
        <v>2</v>
      </c>
      <c r="I1486" t="s">
        <v>8</v>
      </c>
      <c r="J1486" s="18">
        <v>3573900.75</v>
      </c>
      <c r="K1486" t="s">
        <v>3727</v>
      </c>
      <c r="L1486" t="s">
        <v>9</v>
      </c>
      <c r="M1486" t="s">
        <v>3725</v>
      </c>
      <c r="N1486" t="s">
        <v>3</v>
      </c>
      <c r="O1486" t="s">
        <v>3</v>
      </c>
      <c r="P1486" t="s">
        <v>5</v>
      </c>
      <c r="Q1486" t="s">
        <v>3726</v>
      </c>
      <c r="R1486" t="s">
        <v>3</v>
      </c>
      <c r="S1486" t="s">
        <v>3</v>
      </c>
      <c r="T1486" t="s">
        <v>3</v>
      </c>
      <c r="U1486" t="s">
        <v>3</v>
      </c>
      <c r="V1486" t="s">
        <v>3</v>
      </c>
      <c r="W1486" t="s">
        <v>68</v>
      </c>
      <c r="X1486" s="17">
        <v>43677</v>
      </c>
      <c r="Y1486" t="s">
        <v>3326</v>
      </c>
      <c r="Z1486" s="17">
        <v>43522</v>
      </c>
      <c r="AA1486" t="s">
        <v>3</v>
      </c>
      <c r="AB1486" t="s">
        <v>3723</v>
      </c>
    </row>
    <row r="1487" spans="1:28" hidden="1">
      <c r="A1487" t="s">
        <v>3723</v>
      </c>
      <c r="B1487" s="17">
        <v>43522</v>
      </c>
      <c r="C1487" s="17">
        <v>43522</v>
      </c>
      <c r="D1487" t="s">
        <v>0</v>
      </c>
      <c r="E1487" t="s">
        <v>1</v>
      </c>
      <c r="F1487" s="18">
        <v>70862</v>
      </c>
      <c r="G1487" s="18">
        <v>70862</v>
      </c>
      <c r="H1487" t="s">
        <v>2</v>
      </c>
      <c r="I1487" t="s">
        <v>8</v>
      </c>
      <c r="J1487" s="18">
        <v>5878002.9000000004</v>
      </c>
      <c r="K1487" t="s">
        <v>3728</v>
      </c>
      <c r="L1487" t="s">
        <v>9</v>
      </c>
      <c r="M1487" t="s">
        <v>3725</v>
      </c>
      <c r="N1487" t="s">
        <v>3</v>
      </c>
      <c r="O1487" t="s">
        <v>3</v>
      </c>
      <c r="P1487" t="s">
        <v>5</v>
      </c>
      <c r="Q1487" t="s">
        <v>3726</v>
      </c>
      <c r="R1487" t="s">
        <v>3</v>
      </c>
      <c r="S1487" t="s">
        <v>3</v>
      </c>
      <c r="T1487" t="s">
        <v>3</v>
      </c>
      <c r="U1487" t="s">
        <v>3</v>
      </c>
      <c r="V1487" t="s">
        <v>3</v>
      </c>
      <c r="W1487" t="s">
        <v>68</v>
      </c>
      <c r="X1487" s="17">
        <v>43587</v>
      </c>
      <c r="Y1487" t="s">
        <v>2443</v>
      </c>
      <c r="Z1487" s="17">
        <v>43522</v>
      </c>
      <c r="AA1487" t="s">
        <v>3</v>
      </c>
      <c r="AB1487" t="s">
        <v>3723</v>
      </c>
    </row>
    <row r="1488" spans="1:28" hidden="1">
      <c r="A1488" t="s">
        <v>3723</v>
      </c>
      <c r="B1488" s="17">
        <v>43522</v>
      </c>
      <c r="C1488" s="17">
        <v>43522</v>
      </c>
      <c r="D1488" t="s">
        <v>0</v>
      </c>
      <c r="E1488" t="s">
        <v>1</v>
      </c>
      <c r="F1488" s="18">
        <v>29632</v>
      </c>
      <c r="G1488" s="18">
        <v>29632</v>
      </c>
      <c r="H1488" t="s">
        <v>2</v>
      </c>
      <c r="I1488" t="s">
        <v>8</v>
      </c>
      <c r="J1488" s="18">
        <v>2457974.4</v>
      </c>
      <c r="K1488" t="s">
        <v>3729</v>
      </c>
      <c r="L1488" t="s">
        <v>9</v>
      </c>
      <c r="M1488" t="s">
        <v>3725</v>
      </c>
      <c r="N1488" t="s">
        <v>3</v>
      </c>
      <c r="O1488" t="s">
        <v>3</v>
      </c>
      <c r="P1488" t="s">
        <v>5</v>
      </c>
      <c r="Q1488" t="s">
        <v>3726</v>
      </c>
      <c r="R1488" t="s">
        <v>3</v>
      </c>
      <c r="S1488" t="s">
        <v>3</v>
      </c>
      <c r="T1488" t="s">
        <v>3</v>
      </c>
      <c r="U1488" t="s">
        <v>3</v>
      </c>
      <c r="V1488" t="s">
        <v>3</v>
      </c>
      <c r="W1488" t="s">
        <v>68</v>
      </c>
      <c r="X1488" s="17">
        <v>43646</v>
      </c>
      <c r="Y1488" t="s">
        <v>2514</v>
      </c>
      <c r="Z1488" s="17">
        <v>43522</v>
      </c>
      <c r="AA1488" t="s">
        <v>3</v>
      </c>
      <c r="AB1488" t="s">
        <v>3723</v>
      </c>
    </row>
    <row r="1489" spans="1:28" hidden="1">
      <c r="A1489" t="s">
        <v>3730</v>
      </c>
      <c r="B1489" s="17">
        <v>43523</v>
      </c>
      <c r="C1489" s="17">
        <v>43523</v>
      </c>
      <c r="D1489" t="s">
        <v>0</v>
      </c>
      <c r="E1489" t="s">
        <v>1</v>
      </c>
      <c r="F1489" s="18">
        <v>19100</v>
      </c>
      <c r="G1489" s="18">
        <v>19100</v>
      </c>
      <c r="H1489" t="s">
        <v>2</v>
      </c>
      <c r="I1489" t="s">
        <v>10</v>
      </c>
      <c r="J1489" s="18">
        <v>1584345.01</v>
      </c>
      <c r="K1489" t="s">
        <v>3731</v>
      </c>
      <c r="L1489" t="s">
        <v>9</v>
      </c>
      <c r="M1489" t="s">
        <v>3732</v>
      </c>
      <c r="N1489" t="s">
        <v>3</v>
      </c>
      <c r="O1489" t="s">
        <v>3</v>
      </c>
      <c r="P1489" t="s">
        <v>5</v>
      </c>
      <c r="Q1489" t="s">
        <v>3733</v>
      </c>
      <c r="R1489" t="s">
        <v>3</v>
      </c>
      <c r="S1489" t="s">
        <v>3</v>
      </c>
      <c r="T1489" t="s">
        <v>3</v>
      </c>
      <c r="U1489" t="s">
        <v>3</v>
      </c>
      <c r="V1489" t="s">
        <v>3</v>
      </c>
      <c r="W1489" t="s">
        <v>68</v>
      </c>
      <c r="X1489" s="17">
        <v>43646</v>
      </c>
      <c r="Y1489" t="s">
        <v>2520</v>
      </c>
      <c r="Z1489" s="17">
        <v>43523</v>
      </c>
      <c r="AA1489" t="s">
        <v>3</v>
      </c>
      <c r="AB1489" t="s">
        <v>3730</v>
      </c>
    </row>
    <row r="1490" spans="1:28" hidden="1">
      <c r="A1490" t="s">
        <v>3734</v>
      </c>
      <c r="B1490" s="17">
        <v>43523</v>
      </c>
      <c r="C1490" s="17">
        <v>43523</v>
      </c>
      <c r="D1490" t="s">
        <v>0</v>
      </c>
      <c r="E1490" t="s">
        <v>1</v>
      </c>
      <c r="F1490" s="18">
        <v>15596</v>
      </c>
      <c r="G1490" s="18">
        <v>15596</v>
      </c>
      <c r="H1490" t="s">
        <v>2</v>
      </c>
      <c r="I1490" t="s">
        <v>10</v>
      </c>
      <c r="J1490" s="18">
        <v>1293688.2</v>
      </c>
      <c r="K1490" t="s">
        <v>3720</v>
      </c>
      <c r="L1490" t="s">
        <v>9</v>
      </c>
      <c r="M1490" t="s">
        <v>3735</v>
      </c>
      <c r="N1490" t="s">
        <v>3</v>
      </c>
      <c r="O1490" t="s">
        <v>3</v>
      </c>
      <c r="P1490" t="s">
        <v>5</v>
      </c>
      <c r="Q1490" t="s">
        <v>3736</v>
      </c>
      <c r="R1490" t="s">
        <v>3</v>
      </c>
      <c r="S1490" t="s">
        <v>3</v>
      </c>
      <c r="T1490" t="s">
        <v>3</v>
      </c>
      <c r="U1490" t="s">
        <v>3</v>
      </c>
      <c r="V1490" t="s">
        <v>3</v>
      </c>
      <c r="W1490" t="s">
        <v>68</v>
      </c>
      <c r="X1490" s="17">
        <v>43646</v>
      </c>
      <c r="Y1490" t="s">
        <v>2508</v>
      </c>
      <c r="Z1490" s="17">
        <v>43523</v>
      </c>
      <c r="AA1490" t="s">
        <v>3</v>
      </c>
      <c r="AB1490" t="s">
        <v>3734</v>
      </c>
    </row>
    <row r="1491" spans="1:28" hidden="1">
      <c r="A1491" t="s">
        <v>3737</v>
      </c>
      <c r="B1491" s="17">
        <v>43523</v>
      </c>
      <c r="C1491" s="17">
        <v>43523</v>
      </c>
      <c r="D1491" t="s">
        <v>0</v>
      </c>
      <c r="E1491" t="s">
        <v>1</v>
      </c>
      <c r="F1491" s="18">
        <v>23555</v>
      </c>
      <c r="G1491" s="18">
        <v>23555</v>
      </c>
      <c r="H1491" t="s">
        <v>2</v>
      </c>
      <c r="I1491" t="s">
        <v>8</v>
      </c>
      <c r="J1491" s="18">
        <v>1953887.25</v>
      </c>
      <c r="K1491" t="s">
        <v>3728</v>
      </c>
      <c r="L1491" t="s">
        <v>9</v>
      </c>
      <c r="M1491" t="s">
        <v>3738</v>
      </c>
      <c r="N1491" t="s">
        <v>3</v>
      </c>
      <c r="O1491" t="s">
        <v>3</v>
      </c>
      <c r="P1491" t="s">
        <v>5</v>
      </c>
      <c r="Q1491" t="s">
        <v>3739</v>
      </c>
      <c r="R1491" t="s">
        <v>3</v>
      </c>
      <c r="S1491" t="s">
        <v>3</v>
      </c>
      <c r="T1491" t="s">
        <v>3</v>
      </c>
      <c r="U1491" t="s">
        <v>3</v>
      </c>
      <c r="V1491" t="s">
        <v>3</v>
      </c>
      <c r="W1491" t="s">
        <v>68</v>
      </c>
      <c r="X1491" s="17">
        <v>43587</v>
      </c>
      <c r="Y1491" t="s">
        <v>2443</v>
      </c>
      <c r="Z1491" s="17">
        <v>43523</v>
      </c>
      <c r="AA1491" t="s">
        <v>3</v>
      </c>
      <c r="AB1491" t="s">
        <v>3737</v>
      </c>
    </row>
    <row r="1492" spans="1:28" hidden="1">
      <c r="A1492" t="s">
        <v>3746</v>
      </c>
      <c r="B1492" s="17">
        <v>43523</v>
      </c>
      <c r="C1492" s="17">
        <v>43523</v>
      </c>
      <c r="D1492" t="s">
        <v>0</v>
      </c>
      <c r="E1492" t="s">
        <v>1</v>
      </c>
      <c r="F1492" s="18">
        <v>778.68</v>
      </c>
      <c r="G1492" s="18">
        <v>778.68</v>
      </c>
      <c r="H1492" t="s">
        <v>2</v>
      </c>
      <c r="I1492" t="s">
        <v>10</v>
      </c>
      <c r="J1492" s="18">
        <v>64591.51</v>
      </c>
      <c r="K1492" t="s">
        <v>3748</v>
      </c>
      <c r="L1492" t="s">
        <v>9</v>
      </c>
      <c r="M1492" t="s">
        <v>3748</v>
      </c>
      <c r="N1492" t="s">
        <v>3</v>
      </c>
      <c r="O1492" t="s">
        <v>3</v>
      </c>
      <c r="P1492" t="s">
        <v>5</v>
      </c>
      <c r="Q1492" t="s">
        <v>3709</v>
      </c>
      <c r="R1492" t="s">
        <v>3</v>
      </c>
      <c r="S1492" t="s">
        <v>3</v>
      </c>
      <c r="T1492" t="s">
        <v>3</v>
      </c>
      <c r="U1492" t="s">
        <v>3</v>
      </c>
      <c r="V1492" t="s">
        <v>3</v>
      </c>
      <c r="W1492" t="s">
        <v>68</v>
      </c>
      <c r="X1492" s="17">
        <v>43523</v>
      </c>
      <c r="Y1492" t="s">
        <v>3746</v>
      </c>
      <c r="Z1492" s="17">
        <v>43523</v>
      </c>
      <c r="AA1492" t="s">
        <v>3</v>
      </c>
      <c r="AB1492" t="s">
        <v>3746</v>
      </c>
    </row>
    <row r="1493" spans="1:28" hidden="1">
      <c r="A1493" t="s">
        <v>2282</v>
      </c>
      <c r="B1493" s="17">
        <v>43524</v>
      </c>
      <c r="C1493" s="17">
        <v>43524</v>
      </c>
      <c r="D1493" t="s">
        <v>38</v>
      </c>
      <c r="E1493" t="s">
        <v>1</v>
      </c>
      <c r="F1493" s="18">
        <v>1964.64</v>
      </c>
      <c r="G1493" s="18">
        <v>1964.64</v>
      </c>
      <c r="H1493" t="s">
        <v>2</v>
      </c>
      <c r="I1493" t="s">
        <v>8</v>
      </c>
      <c r="J1493" s="18">
        <v>163458.04999999999</v>
      </c>
      <c r="K1493" t="s">
        <v>2283</v>
      </c>
      <c r="L1493" t="s">
        <v>4</v>
      </c>
      <c r="M1493" t="s">
        <v>2284</v>
      </c>
      <c r="N1493" t="s">
        <v>3</v>
      </c>
      <c r="O1493" t="s">
        <v>3</v>
      </c>
      <c r="P1493" t="s">
        <v>5</v>
      </c>
      <c r="Q1493" t="s">
        <v>2283</v>
      </c>
      <c r="R1493" t="s">
        <v>3</v>
      </c>
      <c r="S1493" t="s">
        <v>3</v>
      </c>
      <c r="T1493" t="s">
        <v>3</v>
      </c>
      <c r="U1493" t="s">
        <v>3</v>
      </c>
      <c r="V1493" t="s">
        <v>3</v>
      </c>
      <c r="W1493" t="s">
        <v>68</v>
      </c>
      <c r="X1493" s="17">
        <v>43524</v>
      </c>
      <c r="Y1493" t="s">
        <v>2282</v>
      </c>
      <c r="Z1493" s="17">
        <v>43524</v>
      </c>
      <c r="AA1493" t="s">
        <v>3</v>
      </c>
      <c r="AB1493" t="s">
        <v>2282</v>
      </c>
    </row>
    <row r="1494" spans="1:28" hidden="1">
      <c r="A1494" t="s">
        <v>3749</v>
      </c>
      <c r="B1494" s="17">
        <v>43524</v>
      </c>
      <c r="C1494" s="17">
        <v>43524</v>
      </c>
      <c r="D1494" t="s">
        <v>0</v>
      </c>
      <c r="E1494" t="s">
        <v>1</v>
      </c>
      <c r="F1494" s="18">
        <v>38748.78</v>
      </c>
      <c r="G1494" s="18">
        <v>38748.78</v>
      </c>
      <c r="H1494" t="s">
        <v>2</v>
      </c>
      <c r="I1494" t="s">
        <v>8</v>
      </c>
      <c r="J1494" s="18">
        <v>3214211.3</v>
      </c>
      <c r="K1494" t="s">
        <v>2291</v>
      </c>
      <c r="L1494" t="s">
        <v>9</v>
      </c>
      <c r="M1494" t="s">
        <v>2292</v>
      </c>
      <c r="N1494" t="s">
        <v>3</v>
      </c>
      <c r="O1494" t="s">
        <v>3</v>
      </c>
      <c r="P1494" t="s">
        <v>5</v>
      </c>
      <c r="Q1494" t="s">
        <v>2293</v>
      </c>
      <c r="R1494" t="s">
        <v>3</v>
      </c>
      <c r="S1494" t="s">
        <v>3</v>
      </c>
      <c r="T1494" t="s">
        <v>3</v>
      </c>
      <c r="U1494" t="s">
        <v>3</v>
      </c>
      <c r="V1494" t="s">
        <v>3</v>
      </c>
      <c r="W1494" t="s">
        <v>68</v>
      </c>
      <c r="X1494" s="17">
        <v>43525</v>
      </c>
      <c r="Y1494" t="s">
        <v>2290</v>
      </c>
      <c r="Z1494" s="17">
        <v>43524</v>
      </c>
      <c r="AA1494" t="s">
        <v>3</v>
      </c>
      <c r="AB1494" t="s">
        <v>3749</v>
      </c>
    </row>
    <row r="1495" spans="1:28" hidden="1">
      <c r="A1495" t="s">
        <v>3750</v>
      </c>
      <c r="B1495" s="17">
        <v>43524</v>
      </c>
      <c r="C1495" s="17">
        <v>43524</v>
      </c>
      <c r="D1495" t="s">
        <v>0</v>
      </c>
      <c r="E1495" t="s">
        <v>1</v>
      </c>
      <c r="F1495" s="18">
        <v>-1964.64</v>
      </c>
      <c r="G1495" s="18">
        <v>-1964.64</v>
      </c>
      <c r="H1495" t="s">
        <v>2</v>
      </c>
      <c r="I1495" t="s">
        <v>8</v>
      </c>
      <c r="J1495" s="18">
        <v>-163458.04999999999</v>
      </c>
      <c r="K1495" t="s">
        <v>2283</v>
      </c>
      <c r="L1495" t="s">
        <v>4</v>
      </c>
      <c r="M1495" t="s">
        <v>2284</v>
      </c>
      <c r="N1495" t="s">
        <v>3</v>
      </c>
      <c r="O1495" t="s">
        <v>3</v>
      </c>
      <c r="P1495" t="s">
        <v>5</v>
      </c>
      <c r="Q1495" t="s">
        <v>2283</v>
      </c>
      <c r="R1495" t="s">
        <v>3</v>
      </c>
      <c r="S1495" t="s">
        <v>3</v>
      </c>
      <c r="T1495" t="s">
        <v>3</v>
      </c>
      <c r="U1495" t="s">
        <v>3</v>
      </c>
      <c r="V1495" t="s">
        <v>3</v>
      </c>
      <c r="W1495" t="s">
        <v>68</v>
      </c>
      <c r="X1495" s="17">
        <v>43524</v>
      </c>
      <c r="Y1495" t="s">
        <v>2282</v>
      </c>
      <c r="Z1495" s="17">
        <v>43524</v>
      </c>
      <c r="AA1495" t="s">
        <v>3</v>
      </c>
      <c r="AB1495" t="s">
        <v>3750</v>
      </c>
    </row>
    <row r="1496" spans="1:28" hidden="1">
      <c r="A1496" t="s">
        <v>3751</v>
      </c>
      <c r="B1496" s="17">
        <v>43524</v>
      </c>
      <c r="C1496" s="17">
        <v>43524</v>
      </c>
      <c r="D1496" t="s">
        <v>0</v>
      </c>
      <c r="E1496" t="s">
        <v>1</v>
      </c>
      <c r="F1496" s="18">
        <v>1964.64</v>
      </c>
      <c r="G1496" s="18">
        <v>1964.64</v>
      </c>
      <c r="H1496" t="s">
        <v>2</v>
      </c>
      <c r="I1496" t="s">
        <v>8</v>
      </c>
      <c r="J1496" s="18">
        <v>163458.04999999999</v>
      </c>
      <c r="K1496" t="s">
        <v>2283</v>
      </c>
      <c r="L1496" t="s">
        <v>4</v>
      </c>
      <c r="M1496" t="s">
        <v>2284</v>
      </c>
      <c r="N1496" t="s">
        <v>3</v>
      </c>
      <c r="O1496" t="s">
        <v>3</v>
      </c>
      <c r="P1496" t="s">
        <v>5</v>
      </c>
      <c r="Q1496" t="s">
        <v>2283</v>
      </c>
      <c r="R1496" t="s">
        <v>3</v>
      </c>
      <c r="S1496" t="s">
        <v>3</v>
      </c>
      <c r="T1496" t="s">
        <v>3</v>
      </c>
      <c r="U1496" t="s">
        <v>3</v>
      </c>
      <c r="V1496" t="s">
        <v>3</v>
      </c>
      <c r="W1496" t="s">
        <v>68</v>
      </c>
      <c r="X1496" s="17">
        <v>43525</v>
      </c>
      <c r="Y1496" t="s">
        <v>2289</v>
      </c>
      <c r="Z1496" s="17">
        <v>43524</v>
      </c>
      <c r="AA1496" t="s">
        <v>3</v>
      </c>
      <c r="AB1496" t="s">
        <v>3751</v>
      </c>
    </row>
    <row r="1497" spans="1:28" hidden="1">
      <c r="A1497" t="s">
        <v>2289</v>
      </c>
      <c r="B1497" s="17">
        <v>43525</v>
      </c>
      <c r="C1497" s="17">
        <v>43524</v>
      </c>
      <c r="D1497" t="s">
        <v>38</v>
      </c>
      <c r="E1497" t="s">
        <v>1</v>
      </c>
      <c r="F1497" s="18">
        <v>-1964.64</v>
      </c>
      <c r="G1497" s="18">
        <v>-1964.64</v>
      </c>
      <c r="H1497" t="s">
        <v>2</v>
      </c>
      <c r="I1497" t="s">
        <v>8</v>
      </c>
      <c r="J1497" s="18">
        <v>-163458.04999999999</v>
      </c>
      <c r="K1497" t="s">
        <v>2283</v>
      </c>
      <c r="L1497" t="s">
        <v>4</v>
      </c>
      <c r="M1497" t="s">
        <v>2284</v>
      </c>
      <c r="N1497" t="s">
        <v>3</v>
      </c>
      <c r="O1497" t="s">
        <v>3</v>
      </c>
      <c r="P1497" t="s">
        <v>5</v>
      </c>
      <c r="Q1497" t="s">
        <v>2283</v>
      </c>
      <c r="R1497" t="s">
        <v>3</v>
      </c>
      <c r="S1497" t="s">
        <v>3</v>
      </c>
      <c r="T1497" t="s">
        <v>3</v>
      </c>
      <c r="U1497" t="s">
        <v>3</v>
      </c>
      <c r="V1497" t="s">
        <v>3</v>
      </c>
      <c r="W1497" t="s">
        <v>68</v>
      </c>
      <c r="X1497" s="17">
        <v>43525</v>
      </c>
      <c r="Y1497" t="s">
        <v>2289</v>
      </c>
      <c r="Z1497" s="17">
        <v>43524</v>
      </c>
      <c r="AA1497" t="s">
        <v>3</v>
      </c>
      <c r="AB1497" t="s">
        <v>2289</v>
      </c>
    </row>
    <row r="1498" spans="1:28" hidden="1">
      <c r="A1498" t="s">
        <v>2290</v>
      </c>
      <c r="B1498" s="17">
        <v>43525</v>
      </c>
      <c r="C1498" s="17">
        <v>43524</v>
      </c>
      <c r="D1498" t="s">
        <v>38</v>
      </c>
      <c r="E1498" t="s">
        <v>1</v>
      </c>
      <c r="F1498" s="18">
        <v>-38748.78</v>
      </c>
      <c r="G1498" s="18">
        <v>-38748.78</v>
      </c>
      <c r="H1498" t="s">
        <v>2</v>
      </c>
      <c r="I1498" t="s">
        <v>8</v>
      </c>
      <c r="J1498" s="18">
        <v>-3214211.3</v>
      </c>
      <c r="K1498" t="s">
        <v>2291</v>
      </c>
      <c r="L1498" t="s">
        <v>9</v>
      </c>
      <c r="M1498" t="s">
        <v>2292</v>
      </c>
      <c r="N1498" t="s">
        <v>3</v>
      </c>
      <c r="O1498" t="s">
        <v>3</v>
      </c>
      <c r="P1498" t="s">
        <v>5</v>
      </c>
      <c r="Q1498" t="s">
        <v>2293</v>
      </c>
      <c r="R1498" t="s">
        <v>3</v>
      </c>
      <c r="S1498" t="s">
        <v>3</v>
      </c>
      <c r="T1498" t="s">
        <v>3</v>
      </c>
      <c r="U1498" t="s">
        <v>3</v>
      </c>
      <c r="V1498" t="s">
        <v>3</v>
      </c>
      <c r="W1498" t="s">
        <v>68</v>
      </c>
      <c r="X1498" s="17">
        <v>43525</v>
      </c>
      <c r="Y1498" t="s">
        <v>2290</v>
      </c>
      <c r="Z1498" s="17">
        <v>43524</v>
      </c>
      <c r="AA1498" t="s">
        <v>3</v>
      </c>
      <c r="AB1498" t="s">
        <v>2290</v>
      </c>
    </row>
    <row r="1499" spans="1:28" hidden="1">
      <c r="A1499" t="s">
        <v>3700</v>
      </c>
      <c r="B1499" s="17">
        <v>43527</v>
      </c>
      <c r="C1499" s="17">
        <v>43527</v>
      </c>
      <c r="D1499" t="s">
        <v>0</v>
      </c>
      <c r="E1499" t="s">
        <v>1</v>
      </c>
      <c r="F1499" s="18">
        <v>38752</v>
      </c>
      <c r="G1499" s="18">
        <v>38752</v>
      </c>
      <c r="H1499" t="s">
        <v>2</v>
      </c>
      <c r="I1499" t="s">
        <v>10</v>
      </c>
      <c r="J1499" s="18">
        <v>3214478.41</v>
      </c>
      <c r="K1499" t="s">
        <v>3786</v>
      </c>
      <c r="L1499" t="s">
        <v>9</v>
      </c>
      <c r="M1499" t="s">
        <v>3787</v>
      </c>
      <c r="N1499" t="s">
        <v>3</v>
      </c>
      <c r="O1499" t="s">
        <v>3</v>
      </c>
      <c r="P1499" t="s">
        <v>5</v>
      </c>
      <c r="Q1499" t="s">
        <v>3788</v>
      </c>
      <c r="R1499" t="s">
        <v>3</v>
      </c>
      <c r="S1499" t="s">
        <v>3</v>
      </c>
      <c r="T1499" t="s">
        <v>3</v>
      </c>
      <c r="U1499" t="s">
        <v>3</v>
      </c>
      <c r="V1499" t="s">
        <v>3</v>
      </c>
      <c r="W1499" t="s">
        <v>68</v>
      </c>
      <c r="X1499" s="17">
        <v>43527</v>
      </c>
      <c r="Y1499" t="s">
        <v>3700</v>
      </c>
      <c r="Z1499" s="17">
        <v>43527</v>
      </c>
      <c r="AA1499" t="s">
        <v>3</v>
      </c>
      <c r="AB1499" t="s">
        <v>3700</v>
      </c>
    </row>
    <row r="1500" spans="1:28" hidden="1">
      <c r="A1500" t="s">
        <v>3753</v>
      </c>
      <c r="B1500" s="17">
        <v>43529</v>
      </c>
      <c r="C1500" s="17">
        <v>43529</v>
      </c>
      <c r="D1500" t="s">
        <v>0</v>
      </c>
      <c r="E1500" t="s">
        <v>1</v>
      </c>
      <c r="F1500" s="18">
        <v>-675689</v>
      </c>
      <c r="G1500" s="18">
        <v>-675689</v>
      </c>
      <c r="H1500" t="s">
        <v>2</v>
      </c>
      <c r="I1500" t="s">
        <v>8</v>
      </c>
      <c r="J1500" s="18">
        <v>-56217324.799999997</v>
      </c>
      <c r="K1500" t="s">
        <v>3754</v>
      </c>
      <c r="L1500" t="s">
        <v>4</v>
      </c>
      <c r="M1500" t="s">
        <v>1112</v>
      </c>
      <c r="N1500" t="s">
        <v>3</v>
      </c>
      <c r="O1500" t="s">
        <v>3</v>
      </c>
      <c r="P1500" t="s">
        <v>5</v>
      </c>
      <c r="Q1500" t="s">
        <v>3755</v>
      </c>
      <c r="R1500" t="s">
        <v>3</v>
      </c>
      <c r="S1500" t="s">
        <v>3</v>
      </c>
      <c r="T1500" t="s">
        <v>3</v>
      </c>
      <c r="U1500" t="s">
        <v>3</v>
      </c>
      <c r="V1500" t="s">
        <v>3</v>
      </c>
      <c r="W1500" t="s">
        <v>68</v>
      </c>
      <c r="X1500" s="17"/>
      <c r="Y1500" t="s">
        <v>3</v>
      </c>
      <c r="Z1500" s="17">
        <v>43529</v>
      </c>
      <c r="AA1500" t="s">
        <v>3</v>
      </c>
      <c r="AB1500" t="s">
        <v>3753</v>
      </c>
    </row>
    <row r="1501" spans="1:28" hidden="1">
      <c r="A1501" t="s">
        <v>3811</v>
      </c>
      <c r="B1501" s="17">
        <v>43529</v>
      </c>
      <c r="C1501" s="17">
        <v>43529</v>
      </c>
      <c r="D1501" t="s">
        <v>0</v>
      </c>
      <c r="E1501" t="s">
        <v>1</v>
      </c>
      <c r="F1501" s="18">
        <v>-814613.6</v>
      </c>
      <c r="G1501" s="18">
        <v>-814613.6</v>
      </c>
      <c r="H1501" t="s">
        <v>2</v>
      </c>
      <c r="I1501" t="s">
        <v>8</v>
      </c>
      <c r="J1501" s="18">
        <v>-67775851.519999996</v>
      </c>
      <c r="K1501" t="s">
        <v>3812</v>
      </c>
      <c r="L1501" t="s">
        <v>9</v>
      </c>
      <c r="M1501" t="s">
        <v>3813</v>
      </c>
      <c r="N1501" t="s">
        <v>3</v>
      </c>
      <c r="O1501" t="s">
        <v>3</v>
      </c>
      <c r="P1501" t="s">
        <v>5</v>
      </c>
      <c r="Q1501" t="s">
        <v>3814</v>
      </c>
      <c r="R1501" t="s">
        <v>3</v>
      </c>
      <c r="S1501" t="s">
        <v>3</v>
      </c>
      <c r="T1501" t="s">
        <v>3</v>
      </c>
      <c r="U1501" t="s">
        <v>3</v>
      </c>
      <c r="V1501" t="s">
        <v>3</v>
      </c>
      <c r="W1501" t="s">
        <v>68</v>
      </c>
      <c r="X1501" s="17">
        <v>43646</v>
      </c>
      <c r="Y1501" t="s">
        <v>2512</v>
      </c>
      <c r="Z1501" s="17">
        <v>43529</v>
      </c>
      <c r="AA1501" t="s">
        <v>3</v>
      </c>
      <c r="AB1501" t="s">
        <v>3811</v>
      </c>
    </row>
    <row r="1502" spans="1:28" hidden="1">
      <c r="A1502" t="s">
        <v>2301</v>
      </c>
      <c r="B1502" s="17">
        <v>43530</v>
      </c>
      <c r="C1502" s="17">
        <v>43530</v>
      </c>
      <c r="D1502" t="s">
        <v>38</v>
      </c>
      <c r="E1502" t="s">
        <v>1</v>
      </c>
      <c r="F1502" s="18">
        <v>41874</v>
      </c>
      <c r="G1502" s="18">
        <v>41874</v>
      </c>
      <c r="H1502" t="s">
        <v>2</v>
      </c>
      <c r="I1502" t="s">
        <v>10</v>
      </c>
      <c r="J1502" s="18">
        <v>3483916.8</v>
      </c>
      <c r="K1502" t="s">
        <v>2302</v>
      </c>
      <c r="L1502" t="s">
        <v>4</v>
      </c>
      <c r="M1502" t="s">
        <v>2303</v>
      </c>
      <c r="N1502" t="s">
        <v>3</v>
      </c>
      <c r="O1502" t="s">
        <v>3</v>
      </c>
      <c r="P1502" t="s">
        <v>5</v>
      </c>
      <c r="Q1502" t="s">
        <v>2304</v>
      </c>
      <c r="R1502" t="s">
        <v>3</v>
      </c>
      <c r="S1502" t="s">
        <v>3</v>
      </c>
      <c r="T1502" t="s">
        <v>3</v>
      </c>
      <c r="U1502" t="s">
        <v>3</v>
      </c>
      <c r="V1502" t="s">
        <v>3</v>
      </c>
      <c r="W1502" t="s">
        <v>68</v>
      </c>
      <c r="X1502" s="17">
        <v>43530</v>
      </c>
      <c r="Y1502" t="s">
        <v>2301</v>
      </c>
      <c r="Z1502" s="17">
        <v>43530</v>
      </c>
      <c r="AA1502" t="s">
        <v>3</v>
      </c>
      <c r="AB1502" t="s">
        <v>2301</v>
      </c>
    </row>
    <row r="1503" spans="1:28" hidden="1">
      <c r="A1503" t="s">
        <v>3756</v>
      </c>
      <c r="B1503" s="17">
        <v>43530</v>
      </c>
      <c r="C1503" s="17">
        <v>43530</v>
      </c>
      <c r="D1503" t="s">
        <v>0</v>
      </c>
      <c r="E1503" t="s">
        <v>1</v>
      </c>
      <c r="F1503" s="18">
        <v>89447</v>
      </c>
      <c r="G1503" s="18">
        <v>89447</v>
      </c>
      <c r="H1503" t="s">
        <v>2</v>
      </c>
      <c r="I1503" t="s">
        <v>8</v>
      </c>
      <c r="J1503" s="18">
        <v>7419628.6500000004</v>
      </c>
      <c r="K1503" t="s">
        <v>3757</v>
      </c>
      <c r="L1503" t="s">
        <v>9</v>
      </c>
      <c r="M1503" t="s">
        <v>3758</v>
      </c>
      <c r="N1503" t="s">
        <v>3</v>
      </c>
      <c r="O1503" t="s">
        <v>3</v>
      </c>
      <c r="P1503" t="s">
        <v>5</v>
      </c>
      <c r="Q1503" t="s">
        <v>3759</v>
      </c>
      <c r="R1503" t="s">
        <v>3</v>
      </c>
      <c r="S1503" t="s">
        <v>3</v>
      </c>
      <c r="T1503" t="s">
        <v>3</v>
      </c>
      <c r="U1503" t="s">
        <v>3</v>
      </c>
      <c r="V1503" t="s">
        <v>3</v>
      </c>
      <c r="W1503" t="s">
        <v>68</v>
      </c>
      <c r="X1503" s="17">
        <v>43587</v>
      </c>
      <c r="Y1503" t="s">
        <v>2443</v>
      </c>
      <c r="Z1503" s="17">
        <v>43530</v>
      </c>
      <c r="AA1503" t="s">
        <v>3</v>
      </c>
      <c r="AB1503" t="s">
        <v>3756</v>
      </c>
    </row>
    <row r="1504" spans="1:28" hidden="1">
      <c r="A1504" t="s">
        <v>3789</v>
      </c>
      <c r="B1504" s="17">
        <v>43530</v>
      </c>
      <c r="C1504" s="17">
        <v>43530</v>
      </c>
      <c r="D1504" t="s">
        <v>0</v>
      </c>
      <c r="E1504" t="s">
        <v>1</v>
      </c>
      <c r="F1504" s="18">
        <v>-263510.27</v>
      </c>
      <c r="G1504" s="18">
        <v>-263510.27</v>
      </c>
      <c r="H1504" t="s">
        <v>2</v>
      </c>
      <c r="I1504" t="s">
        <v>10</v>
      </c>
      <c r="J1504" s="18">
        <v>-21924054.469999999</v>
      </c>
      <c r="K1504" t="s">
        <v>3790</v>
      </c>
      <c r="L1504" t="s">
        <v>4</v>
      </c>
      <c r="M1504" t="s">
        <v>3791</v>
      </c>
      <c r="N1504" t="s">
        <v>3</v>
      </c>
      <c r="O1504" t="s">
        <v>3</v>
      </c>
      <c r="P1504" t="s">
        <v>5</v>
      </c>
      <c r="Q1504" t="s">
        <v>3792</v>
      </c>
      <c r="R1504" t="s">
        <v>3</v>
      </c>
      <c r="S1504" t="s">
        <v>3</v>
      </c>
      <c r="T1504" t="s">
        <v>3</v>
      </c>
      <c r="U1504" t="s">
        <v>3</v>
      </c>
      <c r="V1504" t="s">
        <v>3</v>
      </c>
      <c r="W1504" t="s">
        <v>68</v>
      </c>
      <c r="X1504" s="17"/>
      <c r="Y1504" t="s">
        <v>3</v>
      </c>
      <c r="Z1504" s="17">
        <v>43530</v>
      </c>
      <c r="AA1504" t="s">
        <v>3</v>
      </c>
      <c r="AB1504" t="s">
        <v>3789</v>
      </c>
    </row>
    <row r="1505" spans="1:28" hidden="1">
      <c r="A1505" t="s">
        <v>3793</v>
      </c>
      <c r="B1505" s="17">
        <v>43530</v>
      </c>
      <c r="C1505" s="17">
        <v>43530</v>
      </c>
      <c r="D1505" t="s">
        <v>0</v>
      </c>
      <c r="E1505" t="s">
        <v>1</v>
      </c>
      <c r="F1505" s="18">
        <v>-41874</v>
      </c>
      <c r="G1505" s="18">
        <v>-41874</v>
      </c>
      <c r="H1505" t="s">
        <v>2</v>
      </c>
      <c r="I1505" t="s">
        <v>10</v>
      </c>
      <c r="J1505" s="18">
        <v>-3483916.8</v>
      </c>
      <c r="K1505" t="s">
        <v>2302</v>
      </c>
      <c r="L1505" t="s">
        <v>4</v>
      </c>
      <c r="M1505" t="s">
        <v>2303</v>
      </c>
      <c r="N1505" t="s">
        <v>3</v>
      </c>
      <c r="O1505" t="s">
        <v>3</v>
      </c>
      <c r="P1505" t="s">
        <v>5</v>
      </c>
      <c r="Q1505" t="s">
        <v>2304</v>
      </c>
      <c r="R1505" t="s">
        <v>3</v>
      </c>
      <c r="S1505" t="s">
        <v>3</v>
      </c>
      <c r="T1505" t="s">
        <v>3</v>
      </c>
      <c r="U1505" t="s">
        <v>3</v>
      </c>
      <c r="V1505" t="s">
        <v>3</v>
      </c>
      <c r="W1505" t="s">
        <v>68</v>
      </c>
      <c r="X1505" s="17">
        <v>43530</v>
      </c>
      <c r="Y1505" t="s">
        <v>2301</v>
      </c>
      <c r="Z1505" s="17">
        <v>43530</v>
      </c>
      <c r="AA1505" t="s">
        <v>3</v>
      </c>
      <c r="AB1505" t="s">
        <v>3793</v>
      </c>
    </row>
    <row r="1506" spans="1:28" hidden="1">
      <c r="A1506" t="s">
        <v>3827</v>
      </c>
      <c r="B1506" s="17">
        <v>43530</v>
      </c>
      <c r="C1506" s="17">
        <v>43530</v>
      </c>
      <c r="D1506" t="s">
        <v>0</v>
      </c>
      <c r="E1506" t="s">
        <v>1</v>
      </c>
      <c r="F1506" s="18">
        <v>-41874</v>
      </c>
      <c r="G1506" s="18">
        <v>-41874</v>
      </c>
      <c r="H1506" t="s">
        <v>2</v>
      </c>
      <c r="I1506" t="s">
        <v>10</v>
      </c>
      <c r="J1506" s="18">
        <v>-3483916.8</v>
      </c>
      <c r="K1506" t="s">
        <v>3828</v>
      </c>
      <c r="L1506" t="s">
        <v>9</v>
      </c>
      <c r="M1506" t="s">
        <v>2303</v>
      </c>
      <c r="N1506" t="s">
        <v>3</v>
      </c>
      <c r="O1506" t="s">
        <v>3</v>
      </c>
      <c r="P1506" t="s">
        <v>5</v>
      </c>
      <c r="Q1506" t="s">
        <v>2304</v>
      </c>
      <c r="R1506" t="s">
        <v>3</v>
      </c>
      <c r="S1506" t="s">
        <v>3</v>
      </c>
      <c r="T1506" t="s">
        <v>3</v>
      </c>
      <c r="U1506" t="s">
        <v>3</v>
      </c>
      <c r="V1506" t="s">
        <v>3</v>
      </c>
      <c r="W1506" t="s">
        <v>68</v>
      </c>
      <c r="X1506" s="17">
        <v>43646</v>
      </c>
      <c r="Y1506" t="s">
        <v>2504</v>
      </c>
      <c r="Z1506" s="17">
        <v>43530</v>
      </c>
      <c r="AA1506" t="s">
        <v>3</v>
      </c>
      <c r="AB1506" t="s">
        <v>3827</v>
      </c>
    </row>
    <row r="1507" spans="1:28" hidden="1">
      <c r="A1507" t="s">
        <v>3760</v>
      </c>
      <c r="B1507" s="17">
        <v>43531</v>
      </c>
      <c r="C1507" s="17">
        <v>43531</v>
      </c>
      <c r="D1507" t="s">
        <v>0</v>
      </c>
      <c r="E1507" t="s">
        <v>1</v>
      </c>
      <c r="F1507" s="18">
        <v>17542</v>
      </c>
      <c r="G1507" s="18">
        <v>17542</v>
      </c>
      <c r="H1507" t="s">
        <v>2</v>
      </c>
      <c r="I1507" t="s">
        <v>8</v>
      </c>
      <c r="J1507" s="18">
        <v>1455108.9</v>
      </c>
      <c r="K1507" t="s">
        <v>3757</v>
      </c>
      <c r="L1507" t="s">
        <v>9</v>
      </c>
      <c r="M1507" t="s">
        <v>3761</v>
      </c>
      <c r="N1507" t="s">
        <v>3</v>
      </c>
      <c r="O1507" t="s">
        <v>3</v>
      </c>
      <c r="P1507" t="s">
        <v>5</v>
      </c>
      <c r="Q1507" t="s">
        <v>3762</v>
      </c>
      <c r="R1507" t="s">
        <v>3</v>
      </c>
      <c r="S1507" t="s">
        <v>3</v>
      </c>
      <c r="T1507" t="s">
        <v>3</v>
      </c>
      <c r="U1507" t="s">
        <v>3</v>
      </c>
      <c r="V1507" t="s">
        <v>3</v>
      </c>
      <c r="W1507" t="s">
        <v>68</v>
      </c>
      <c r="X1507" s="17">
        <v>43587</v>
      </c>
      <c r="Y1507" t="s">
        <v>2443</v>
      </c>
      <c r="Z1507" s="17">
        <v>43531</v>
      </c>
      <c r="AA1507" t="s">
        <v>3</v>
      </c>
      <c r="AB1507" t="s">
        <v>3760</v>
      </c>
    </row>
    <row r="1508" spans="1:28" hidden="1">
      <c r="A1508" t="s">
        <v>3794</v>
      </c>
      <c r="B1508" s="17">
        <v>43531</v>
      </c>
      <c r="C1508" s="17">
        <v>43531</v>
      </c>
      <c r="D1508" t="s">
        <v>0</v>
      </c>
      <c r="E1508" t="s">
        <v>1</v>
      </c>
      <c r="F1508" s="18">
        <v>1980.33</v>
      </c>
      <c r="G1508" s="18">
        <v>1980.33</v>
      </c>
      <c r="H1508" t="s">
        <v>2</v>
      </c>
      <c r="I1508" t="s">
        <v>10</v>
      </c>
      <c r="J1508" s="18">
        <v>164268.37</v>
      </c>
      <c r="K1508" t="s">
        <v>3795</v>
      </c>
      <c r="L1508" t="s">
        <v>4</v>
      </c>
      <c r="M1508" t="s">
        <v>3796</v>
      </c>
      <c r="N1508" t="s">
        <v>3</v>
      </c>
      <c r="O1508" t="s">
        <v>3</v>
      </c>
      <c r="P1508" t="s">
        <v>5</v>
      </c>
      <c r="Q1508" t="s">
        <v>3797</v>
      </c>
      <c r="R1508" t="s">
        <v>3</v>
      </c>
      <c r="S1508" t="s">
        <v>3</v>
      </c>
      <c r="T1508" t="s">
        <v>3</v>
      </c>
      <c r="U1508" t="s">
        <v>3</v>
      </c>
      <c r="V1508" t="s">
        <v>3</v>
      </c>
      <c r="W1508" t="s">
        <v>68</v>
      </c>
      <c r="X1508" s="17"/>
      <c r="Y1508" t="s">
        <v>3</v>
      </c>
      <c r="Z1508" s="17">
        <v>43531</v>
      </c>
      <c r="AA1508" t="s">
        <v>3</v>
      </c>
      <c r="AB1508" t="s">
        <v>3794</v>
      </c>
    </row>
    <row r="1509" spans="1:28" hidden="1">
      <c r="A1509" t="s">
        <v>3798</v>
      </c>
      <c r="B1509" s="17">
        <v>43531</v>
      </c>
      <c r="C1509" s="17">
        <v>43531</v>
      </c>
      <c r="D1509" t="s">
        <v>0</v>
      </c>
      <c r="E1509" t="s">
        <v>1</v>
      </c>
      <c r="F1509" s="18">
        <v>312</v>
      </c>
      <c r="G1509" s="18">
        <v>312</v>
      </c>
      <c r="H1509" t="s">
        <v>2</v>
      </c>
      <c r="I1509" t="s">
        <v>10</v>
      </c>
      <c r="J1509" s="18">
        <v>25833.599999999999</v>
      </c>
      <c r="K1509" t="s">
        <v>3799</v>
      </c>
      <c r="L1509" t="s">
        <v>9</v>
      </c>
      <c r="M1509" t="s">
        <v>3800</v>
      </c>
      <c r="N1509" t="s">
        <v>3</v>
      </c>
      <c r="O1509" t="s">
        <v>3</v>
      </c>
      <c r="P1509" t="s">
        <v>5</v>
      </c>
      <c r="Q1509" t="s">
        <v>3801</v>
      </c>
      <c r="R1509" t="s">
        <v>3</v>
      </c>
      <c r="S1509" t="s">
        <v>3</v>
      </c>
      <c r="T1509" t="s">
        <v>3</v>
      </c>
      <c r="U1509" t="s">
        <v>3</v>
      </c>
      <c r="V1509" t="s">
        <v>3</v>
      </c>
      <c r="W1509" t="s">
        <v>68</v>
      </c>
      <c r="X1509" s="17">
        <v>43646</v>
      </c>
      <c r="Y1509" t="s">
        <v>2502</v>
      </c>
      <c r="Z1509" s="17">
        <v>43531</v>
      </c>
      <c r="AA1509" t="s">
        <v>3</v>
      </c>
      <c r="AB1509" t="s">
        <v>3798</v>
      </c>
    </row>
    <row r="1510" spans="1:28" hidden="1">
      <c r="A1510" t="s">
        <v>3763</v>
      </c>
      <c r="B1510" s="17">
        <v>43534</v>
      </c>
      <c r="C1510" s="17">
        <v>43534</v>
      </c>
      <c r="D1510" t="s">
        <v>0</v>
      </c>
      <c r="E1510" t="s">
        <v>1</v>
      </c>
      <c r="F1510" s="18">
        <v>16001</v>
      </c>
      <c r="G1510" s="18">
        <v>16001</v>
      </c>
      <c r="H1510" t="s">
        <v>2</v>
      </c>
      <c r="I1510" t="s">
        <v>8</v>
      </c>
      <c r="J1510" s="18">
        <v>1327282.95</v>
      </c>
      <c r="K1510" t="s">
        <v>3764</v>
      </c>
      <c r="L1510" t="s">
        <v>9</v>
      </c>
      <c r="M1510" t="s">
        <v>3765</v>
      </c>
      <c r="N1510" t="s">
        <v>3</v>
      </c>
      <c r="O1510" t="s">
        <v>3</v>
      </c>
      <c r="P1510" t="s">
        <v>5</v>
      </c>
      <c r="Q1510" t="s">
        <v>3766</v>
      </c>
      <c r="R1510" t="s">
        <v>3</v>
      </c>
      <c r="S1510" t="s">
        <v>3</v>
      </c>
      <c r="T1510" t="s">
        <v>3</v>
      </c>
      <c r="U1510" t="s">
        <v>3</v>
      </c>
      <c r="V1510" t="s">
        <v>3</v>
      </c>
      <c r="W1510" t="s">
        <v>68</v>
      </c>
      <c r="X1510" s="17">
        <v>43646</v>
      </c>
      <c r="Y1510" t="s">
        <v>2514</v>
      </c>
      <c r="Z1510" s="17">
        <v>43534</v>
      </c>
      <c r="AA1510" t="s">
        <v>3</v>
      </c>
      <c r="AB1510" t="s">
        <v>3763</v>
      </c>
    </row>
    <row r="1511" spans="1:28" hidden="1">
      <c r="A1511" t="s">
        <v>3767</v>
      </c>
      <c r="B1511" s="17">
        <v>43535</v>
      </c>
      <c r="C1511" s="17">
        <v>43535</v>
      </c>
      <c r="D1511" t="s">
        <v>0</v>
      </c>
      <c r="E1511" t="s">
        <v>1</v>
      </c>
      <c r="F1511" s="18">
        <v>-303911.76</v>
      </c>
      <c r="G1511" s="18">
        <v>-303911.76</v>
      </c>
      <c r="H1511" t="s">
        <v>2</v>
      </c>
      <c r="I1511" t="s">
        <v>8</v>
      </c>
      <c r="J1511" s="18">
        <v>-25285458.440000001</v>
      </c>
      <c r="K1511" t="s">
        <v>3768</v>
      </c>
      <c r="L1511" t="s">
        <v>4</v>
      </c>
      <c r="M1511" t="s">
        <v>3769</v>
      </c>
      <c r="N1511" t="s">
        <v>3</v>
      </c>
      <c r="O1511" t="s">
        <v>3</v>
      </c>
      <c r="P1511" t="s">
        <v>5</v>
      </c>
      <c r="Q1511" t="s">
        <v>3770</v>
      </c>
      <c r="R1511" t="s">
        <v>3</v>
      </c>
      <c r="S1511" t="s">
        <v>3</v>
      </c>
      <c r="T1511" t="s">
        <v>3</v>
      </c>
      <c r="U1511" t="s">
        <v>3</v>
      </c>
      <c r="V1511" t="s">
        <v>3</v>
      </c>
      <c r="W1511" t="s">
        <v>68</v>
      </c>
      <c r="X1511" s="17"/>
      <c r="Y1511" t="s">
        <v>3</v>
      </c>
      <c r="Z1511" s="17">
        <v>43535</v>
      </c>
      <c r="AA1511" t="s">
        <v>3</v>
      </c>
      <c r="AB1511" t="s">
        <v>3767</v>
      </c>
    </row>
    <row r="1512" spans="1:28" hidden="1">
      <c r="A1512" t="s">
        <v>3771</v>
      </c>
      <c r="B1512" s="17">
        <v>43537</v>
      </c>
      <c r="C1512" s="17">
        <v>43537</v>
      </c>
      <c r="D1512" t="s">
        <v>0</v>
      </c>
      <c r="E1512" t="s">
        <v>1</v>
      </c>
      <c r="F1512" s="18">
        <v>122544</v>
      </c>
      <c r="G1512" s="18">
        <v>122544</v>
      </c>
      <c r="H1512" t="s">
        <v>2</v>
      </c>
      <c r="I1512" t="s">
        <v>8</v>
      </c>
      <c r="J1512" s="18">
        <v>10165024.800000001</v>
      </c>
      <c r="K1512" t="s">
        <v>3772</v>
      </c>
      <c r="L1512" t="s">
        <v>9</v>
      </c>
      <c r="M1512" t="s">
        <v>3773</v>
      </c>
      <c r="N1512" t="s">
        <v>3</v>
      </c>
      <c r="O1512" t="s">
        <v>3</v>
      </c>
      <c r="P1512" t="s">
        <v>5</v>
      </c>
      <c r="Q1512" t="s">
        <v>3774</v>
      </c>
      <c r="R1512" t="s">
        <v>3</v>
      </c>
      <c r="S1512" t="s">
        <v>3</v>
      </c>
      <c r="T1512" t="s">
        <v>3</v>
      </c>
      <c r="U1512" t="s">
        <v>3</v>
      </c>
      <c r="V1512" t="s">
        <v>3</v>
      </c>
      <c r="W1512" t="s">
        <v>68</v>
      </c>
      <c r="X1512" s="17">
        <v>43646</v>
      </c>
      <c r="Y1512" t="s">
        <v>2479</v>
      </c>
      <c r="Z1512" s="17">
        <v>43537</v>
      </c>
      <c r="AA1512" t="s">
        <v>3</v>
      </c>
      <c r="AB1512" t="s">
        <v>3771</v>
      </c>
    </row>
    <row r="1513" spans="1:28" hidden="1">
      <c r="A1513" t="s">
        <v>3771</v>
      </c>
      <c r="B1513" s="17">
        <v>43537</v>
      </c>
      <c r="C1513" s="17">
        <v>43537</v>
      </c>
      <c r="D1513" t="s">
        <v>0</v>
      </c>
      <c r="E1513" t="s">
        <v>1</v>
      </c>
      <c r="F1513" s="18">
        <v>23114</v>
      </c>
      <c r="G1513" s="18">
        <v>23114</v>
      </c>
      <c r="H1513" t="s">
        <v>2</v>
      </c>
      <c r="I1513" t="s">
        <v>8</v>
      </c>
      <c r="J1513" s="18">
        <v>1917306.3</v>
      </c>
      <c r="K1513" t="s">
        <v>3757</v>
      </c>
      <c r="L1513" t="s">
        <v>9</v>
      </c>
      <c r="M1513" t="s">
        <v>3773</v>
      </c>
      <c r="N1513" t="s">
        <v>3</v>
      </c>
      <c r="O1513" t="s">
        <v>3</v>
      </c>
      <c r="P1513" t="s">
        <v>5</v>
      </c>
      <c r="Q1513" t="s">
        <v>3774</v>
      </c>
      <c r="R1513" t="s">
        <v>3</v>
      </c>
      <c r="S1513" t="s">
        <v>3</v>
      </c>
      <c r="T1513" t="s">
        <v>3</v>
      </c>
      <c r="U1513" t="s">
        <v>3</v>
      </c>
      <c r="V1513" t="s">
        <v>3</v>
      </c>
      <c r="W1513" t="s">
        <v>68</v>
      </c>
      <c r="X1513" s="17">
        <v>43587</v>
      </c>
      <c r="Y1513" t="s">
        <v>2443</v>
      </c>
      <c r="Z1513" s="17">
        <v>43537</v>
      </c>
      <c r="AA1513" t="s">
        <v>3</v>
      </c>
      <c r="AB1513" t="s">
        <v>3771</v>
      </c>
    </row>
    <row r="1514" spans="1:28" hidden="1">
      <c r="A1514" t="s">
        <v>3775</v>
      </c>
      <c r="B1514" s="17">
        <v>43537</v>
      </c>
      <c r="C1514" s="17">
        <v>43537</v>
      </c>
      <c r="D1514" t="s">
        <v>0</v>
      </c>
      <c r="E1514" t="s">
        <v>1</v>
      </c>
      <c r="F1514" s="18">
        <v>55982.25</v>
      </c>
      <c r="G1514" s="18">
        <v>55982.25</v>
      </c>
      <c r="H1514" t="s">
        <v>2</v>
      </c>
      <c r="I1514" t="s">
        <v>8</v>
      </c>
      <c r="J1514" s="18">
        <v>4657723.2</v>
      </c>
      <c r="K1514" t="s">
        <v>3776</v>
      </c>
      <c r="L1514" t="s">
        <v>4</v>
      </c>
      <c r="M1514" t="s">
        <v>3777</v>
      </c>
      <c r="N1514" t="s">
        <v>3</v>
      </c>
      <c r="O1514" t="s">
        <v>3</v>
      </c>
      <c r="P1514" t="s">
        <v>5</v>
      </c>
      <c r="Q1514" t="s">
        <v>3778</v>
      </c>
      <c r="R1514" t="s">
        <v>3</v>
      </c>
      <c r="S1514" t="s">
        <v>3</v>
      </c>
      <c r="T1514" t="s">
        <v>3</v>
      </c>
      <c r="U1514" t="s">
        <v>3</v>
      </c>
      <c r="V1514" t="s">
        <v>3</v>
      </c>
      <c r="W1514" t="s">
        <v>68</v>
      </c>
      <c r="X1514" s="17"/>
      <c r="Y1514" t="s">
        <v>3</v>
      </c>
      <c r="Z1514" s="17">
        <v>43537</v>
      </c>
      <c r="AA1514" t="s">
        <v>3</v>
      </c>
      <c r="AB1514" t="s">
        <v>3775</v>
      </c>
    </row>
    <row r="1515" spans="1:28" hidden="1">
      <c r="A1515" t="s">
        <v>3802</v>
      </c>
      <c r="B1515" s="17">
        <v>43537</v>
      </c>
      <c r="C1515" s="17">
        <v>43537</v>
      </c>
      <c r="D1515" t="s">
        <v>0</v>
      </c>
      <c r="E1515" t="s">
        <v>1</v>
      </c>
      <c r="F1515" s="18">
        <v>14313</v>
      </c>
      <c r="G1515" s="18">
        <v>14313</v>
      </c>
      <c r="H1515" t="s">
        <v>2</v>
      </c>
      <c r="I1515" t="s">
        <v>8</v>
      </c>
      <c r="J1515" s="18">
        <v>1187263.3500000001</v>
      </c>
      <c r="K1515" t="s">
        <v>3803</v>
      </c>
      <c r="L1515" t="s">
        <v>9</v>
      </c>
      <c r="M1515" t="s">
        <v>3804</v>
      </c>
      <c r="N1515" t="s">
        <v>3</v>
      </c>
      <c r="O1515" t="s">
        <v>3</v>
      </c>
      <c r="P1515" t="s">
        <v>5</v>
      </c>
      <c r="Q1515" t="s">
        <v>3805</v>
      </c>
      <c r="R1515" t="s">
        <v>3</v>
      </c>
      <c r="S1515" t="s">
        <v>3</v>
      </c>
      <c r="T1515" t="s">
        <v>3</v>
      </c>
      <c r="U1515" t="s">
        <v>3</v>
      </c>
      <c r="V1515" t="s">
        <v>3</v>
      </c>
      <c r="W1515" t="s">
        <v>68</v>
      </c>
      <c r="X1515" s="17">
        <v>43646</v>
      </c>
      <c r="Y1515" t="s">
        <v>2522</v>
      </c>
      <c r="Z1515" s="17">
        <v>43537</v>
      </c>
      <c r="AA1515" t="s">
        <v>3</v>
      </c>
      <c r="AB1515" t="s">
        <v>3802</v>
      </c>
    </row>
    <row r="1516" spans="1:28" hidden="1">
      <c r="A1516" t="s">
        <v>3815</v>
      </c>
      <c r="B1516" s="17">
        <v>43537</v>
      </c>
      <c r="C1516" s="17">
        <v>43537</v>
      </c>
      <c r="D1516" t="s">
        <v>0</v>
      </c>
      <c r="E1516" t="s">
        <v>1</v>
      </c>
      <c r="F1516" s="18">
        <v>7765</v>
      </c>
      <c r="G1516" s="18">
        <v>7765</v>
      </c>
      <c r="H1516" t="s">
        <v>2</v>
      </c>
      <c r="I1516" t="s">
        <v>8</v>
      </c>
      <c r="J1516" s="18">
        <v>646048</v>
      </c>
      <c r="K1516" t="s">
        <v>3816</v>
      </c>
      <c r="L1516" t="s">
        <v>9</v>
      </c>
      <c r="M1516" t="s">
        <v>3817</v>
      </c>
      <c r="N1516" t="s">
        <v>3</v>
      </c>
      <c r="O1516" t="s">
        <v>3</v>
      </c>
      <c r="P1516" t="s">
        <v>5</v>
      </c>
      <c r="Q1516" t="s">
        <v>3818</v>
      </c>
      <c r="R1516" t="s">
        <v>3</v>
      </c>
      <c r="S1516" t="s">
        <v>3</v>
      </c>
      <c r="T1516" t="s">
        <v>3</v>
      </c>
      <c r="U1516" t="s">
        <v>3</v>
      </c>
      <c r="V1516" t="s">
        <v>3</v>
      </c>
      <c r="W1516" t="s">
        <v>68</v>
      </c>
      <c r="X1516" s="17">
        <v>43646</v>
      </c>
      <c r="Y1516" t="s">
        <v>2512</v>
      </c>
      <c r="Z1516" s="17">
        <v>43537</v>
      </c>
      <c r="AA1516" t="s">
        <v>3</v>
      </c>
      <c r="AB1516" t="s">
        <v>3815</v>
      </c>
    </row>
    <row r="1517" spans="1:28" hidden="1">
      <c r="A1517" t="s">
        <v>3779</v>
      </c>
      <c r="B1517" s="17">
        <v>43538</v>
      </c>
      <c r="C1517" s="17">
        <v>43538</v>
      </c>
      <c r="D1517" t="s">
        <v>0</v>
      </c>
      <c r="E1517" t="s">
        <v>1</v>
      </c>
      <c r="F1517" s="18">
        <v>80428</v>
      </c>
      <c r="G1517" s="18">
        <v>80428</v>
      </c>
      <c r="H1517" t="s">
        <v>2</v>
      </c>
      <c r="I1517" t="s">
        <v>8</v>
      </c>
      <c r="J1517" s="18">
        <v>6671502.5999999996</v>
      </c>
      <c r="K1517" t="s">
        <v>3772</v>
      </c>
      <c r="L1517" t="s">
        <v>9</v>
      </c>
      <c r="M1517" t="s">
        <v>3780</v>
      </c>
      <c r="N1517" t="s">
        <v>3</v>
      </c>
      <c r="O1517" t="s">
        <v>3</v>
      </c>
      <c r="P1517" t="s">
        <v>5</v>
      </c>
      <c r="Q1517" t="s">
        <v>3781</v>
      </c>
      <c r="R1517" t="s">
        <v>3</v>
      </c>
      <c r="S1517" t="s">
        <v>3</v>
      </c>
      <c r="T1517" t="s">
        <v>3</v>
      </c>
      <c r="U1517" t="s">
        <v>3</v>
      </c>
      <c r="V1517" t="s">
        <v>3</v>
      </c>
      <c r="W1517" t="s">
        <v>68</v>
      </c>
      <c r="X1517" s="17">
        <v>43646</v>
      </c>
      <c r="Y1517" t="s">
        <v>2479</v>
      </c>
      <c r="Z1517" s="17">
        <v>43538</v>
      </c>
      <c r="AA1517" t="s">
        <v>3</v>
      </c>
      <c r="AB1517" t="s">
        <v>3779</v>
      </c>
    </row>
    <row r="1518" spans="1:28" hidden="1">
      <c r="A1518" t="s">
        <v>3779</v>
      </c>
      <c r="B1518" s="17">
        <v>43538</v>
      </c>
      <c r="C1518" s="17">
        <v>43538</v>
      </c>
      <c r="D1518" t="s">
        <v>0</v>
      </c>
      <c r="E1518" t="s">
        <v>1</v>
      </c>
      <c r="F1518" s="18">
        <v>32965</v>
      </c>
      <c r="G1518" s="18">
        <v>32965</v>
      </c>
      <c r="H1518" t="s">
        <v>2</v>
      </c>
      <c r="I1518" t="s">
        <v>8</v>
      </c>
      <c r="J1518" s="18">
        <v>2734446.75</v>
      </c>
      <c r="K1518" t="s">
        <v>3757</v>
      </c>
      <c r="L1518" t="s">
        <v>9</v>
      </c>
      <c r="M1518" t="s">
        <v>3780</v>
      </c>
      <c r="N1518" t="s">
        <v>3</v>
      </c>
      <c r="O1518" t="s">
        <v>3</v>
      </c>
      <c r="P1518" t="s">
        <v>5</v>
      </c>
      <c r="Q1518" t="s">
        <v>3781</v>
      </c>
      <c r="R1518" t="s">
        <v>3</v>
      </c>
      <c r="S1518" t="s">
        <v>3</v>
      </c>
      <c r="T1518" t="s">
        <v>3</v>
      </c>
      <c r="U1518" t="s">
        <v>3</v>
      </c>
      <c r="V1518" t="s">
        <v>3</v>
      </c>
      <c r="W1518" t="s">
        <v>68</v>
      </c>
      <c r="X1518" s="17">
        <v>43587</v>
      </c>
      <c r="Y1518" t="s">
        <v>2443</v>
      </c>
      <c r="Z1518" s="17">
        <v>43538</v>
      </c>
      <c r="AA1518" t="s">
        <v>3</v>
      </c>
      <c r="AB1518" t="s">
        <v>3779</v>
      </c>
    </row>
    <row r="1519" spans="1:28" hidden="1">
      <c r="A1519" t="s">
        <v>3806</v>
      </c>
      <c r="B1519" s="17">
        <v>43542</v>
      </c>
      <c r="C1519" s="17">
        <v>43542</v>
      </c>
      <c r="D1519" t="s">
        <v>0</v>
      </c>
      <c r="E1519" t="s">
        <v>1</v>
      </c>
      <c r="F1519" s="18">
        <v>1439</v>
      </c>
      <c r="G1519" s="18">
        <v>1439</v>
      </c>
      <c r="H1519" t="s">
        <v>2</v>
      </c>
      <c r="I1519" t="s">
        <v>10</v>
      </c>
      <c r="J1519" s="18">
        <v>119293.1</v>
      </c>
      <c r="K1519" t="s">
        <v>3807</v>
      </c>
      <c r="L1519" t="s">
        <v>9</v>
      </c>
      <c r="M1519" t="s">
        <v>3808</v>
      </c>
      <c r="N1519" t="s">
        <v>3</v>
      </c>
      <c r="O1519" t="s">
        <v>3</v>
      </c>
      <c r="P1519" t="s">
        <v>5</v>
      </c>
      <c r="Q1519" t="s">
        <v>3809</v>
      </c>
      <c r="R1519" t="s">
        <v>3</v>
      </c>
      <c r="S1519" t="s">
        <v>3</v>
      </c>
      <c r="T1519" t="s">
        <v>3</v>
      </c>
      <c r="U1519" t="s">
        <v>3</v>
      </c>
      <c r="V1519" t="s">
        <v>3</v>
      </c>
      <c r="W1519" t="s">
        <v>68</v>
      </c>
      <c r="X1519" s="17">
        <v>43646</v>
      </c>
      <c r="Y1519" t="s">
        <v>2495</v>
      </c>
      <c r="Z1519" s="17">
        <v>43542</v>
      </c>
      <c r="AA1519" t="s">
        <v>3</v>
      </c>
      <c r="AB1519" t="s">
        <v>3806</v>
      </c>
    </row>
    <row r="1520" spans="1:28" hidden="1">
      <c r="A1520" t="s">
        <v>3806</v>
      </c>
      <c r="B1520" s="17">
        <v>43542</v>
      </c>
      <c r="C1520" s="17">
        <v>43542</v>
      </c>
      <c r="D1520" t="s">
        <v>0</v>
      </c>
      <c r="E1520" t="s">
        <v>1</v>
      </c>
      <c r="F1520" s="18">
        <v>552</v>
      </c>
      <c r="G1520" s="18">
        <v>552</v>
      </c>
      <c r="H1520" t="s">
        <v>2</v>
      </c>
      <c r="I1520" t="s">
        <v>10</v>
      </c>
      <c r="J1520" s="18">
        <v>45788.4</v>
      </c>
      <c r="K1520" t="s">
        <v>3810</v>
      </c>
      <c r="L1520" t="s">
        <v>9</v>
      </c>
      <c r="M1520" t="s">
        <v>3808</v>
      </c>
      <c r="N1520" t="s">
        <v>3</v>
      </c>
      <c r="O1520" t="s">
        <v>3</v>
      </c>
      <c r="P1520" t="s">
        <v>5</v>
      </c>
      <c r="Q1520" t="s">
        <v>3809</v>
      </c>
      <c r="R1520" t="s">
        <v>3</v>
      </c>
      <c r="S1520" t="s">
        <v>3</v>
      </c>
      <c r="T1520" t="s">
        <v>3</v>
      </c>
      <c r="U1520" t="s">
        <v>3</v>
      </c>
      <c r="V1520" t="s">
        <v>3</v>
      </c>
      <c r="W1520" t="s">
        <v>68</v>
      </c>
      <c r="X1520" s="17">
        <v>43646</v>
      </c>
      <c r="Y1520" t="s">
        <v>2497</v>
      </c>
      <c r="Z1520" s="17">
        <v>43542</v>
      </c>
      <c r="AA1520" t="s">
        <v>3</v>
      </c>
      <c r="AB1520" t="s">
        <v>3806</v>
      </c>
    </row>
    <row r="1521" spans="1:28" hidden="1">
      <c r="A1521" t="s">
        <v>2294</v>
      </c>
      <c r="B1521" s="17">
        <v>43543</v>
      </c>
      <c r="C1521" s="17">
        <v>43543</v>
      </c>
      <c r="D1521" t="s">
        <v>38</v>
      </c>
      <c r="E1521" t="s">
        <v>1</v>
      </c>
      <c r="F1521" s="18">
        <v>-121862.69</v>
      </c>
      <c r="G1521" s="18">
        <v>-121862.69</v>
      </c>
      <c r="H1521" t="s">
        <v>2</v>
      </c>
      <c r="I1521" t="s">
        <v>10</v>
      </c>
      <c r="J1521" s="18">
        <v>-10138975.810000001</v>
      </c>
      <c r="K1521" t="s">
        <v>2295</v>
      </c>
      <c r="L1521" t="s">
        <v>4</v>
      </c>
      <c r="M1521" t="s">
        <v>2296</v>
      </c>
      <c r="N1521" t="s">
        <v>3</v>
      </c>
      <c r="O1521" t="s">
        <v>3</v>
      </c>
      <c r="P1521" t="s">
        <v>5</v>
      </c>
      <c r="Q1521" t="s">
        <v>2297</v>
      </c>
      <c r="R1521" t="s">
        <v>3</v>
      </c>
      <c r="S1521" t="s">
        <v>3</v>
      </c>
      <c r="T1521" t="s">
        <v>3</v>
      </c>
      <c r="U1521" t="s">
        <v>3</v>
      </c>
      <c r="V1521" t="s">
        <v>3</v>
      </c>
      <c r="W1521" t="s">
        <v>68</v>
      </c>
      <c r="X1521" s="17">
        <v>43543</v>
      </c>
      <c r="Y1521" t="s">
        <v>2294</v>
      </c>
      <c r="Z1521" s="17">
        <v>43543</v>
      </c>
      <c r="AA1521" t="s">
        <v>3</v>
      </c>
      <c r="AB1521" t="s">
        <v>2294</v>
      </c>
    </row>
    <row r="1522" spans="1:28" hidden="1">
      <c r="A1522" t="s">
        <v>2294</v>
      </c>
      <c r="B1522" s="17">
        <v>43543</v>
      </c>
      <c r="C1522" s="17">
        <v>43543</v>
      </c>
      <c r="D1522" t="s">
        <v>38</v>
      </c>
      <c r="E1522" t="s">
        <v>1</v>
      </c>
      <c r="F1522" s="18">
        <v>-65709.37</v>
      </c>
      <c r="G1522" s="18">
        <v>-65709.37</v>
      </c>
      <c r="H1522" t="s">
        <v>2</v>
      </c>
      <c r="I1522" t="s">
        <v>10</v>
      </c>
      <c r="J1522" s="18">
        <v>-5450592.2400000002</v>
      </c>
      <c r="K1522" t="s">
        <v>2298</v>
      </c>
      <c r="L1522" t="s">
        <v>4</v>
      </c>
      <c r="M1522" t="s">
        <v>2296</v>
      </c>
      <c r="N1522" t="s">
        <v>3</v>
      </c>
      <c r="O1522" t="s">
        <v>3</v>
      </c>
      <c r="P1522" t="s">
        <v>5</v>
      </c>
      <c r="Q1522" t="s">
        <v>2297</v>
      </c>
      <c r="R1522" t="s">
        <v>3</v>
      </c>
      <c r="S1522" t="s">
        <v>3</v>
      </c>
      <c r="T1522" t="s">
        <v>3</v>
      </c>
      <c r="U1522" t="s">
        <v>3</v>
      </c>
      <c r="V1522" t="s">
        <v>3</v>
      </c>
      <c r="W1522" t="s">
        <v>68</v>
      </c>
      <c r="X1522" s="17">
        <v>43543</v>
      </c>
      <c r="Y1522" t="s">
        <v>2294</v>
      </c>
      <c r="Z1522" s="17">
        <v>43543</v>
      </c>
      <c r="AA1522" t="s">
        <v>3</v>
      </c>
      <c r="AB1522" t="s">
        <v>2294</v>
      </c>
    </row>
    <row r="1523" spans="1:28" hidden="1">
      <c r="A1523" t="s">
        <v>2294</v>
      </c>
      <c r="B1523" s="17">
        <v>43543</v>
      </c>
      <c r="C1523" s="17">
        <v>43543</v>
      </c>
      <c r="D1523" t="s">
        <v>38</v>
      </c>
      <c r="E1523" t="s">
        <v>1</v>
      </c>
      <c r="F1523" s="18">
        <v>-11306.27</v>
      </c>
      <c r="G1523" s="18">
        <v>-11306.27</v>
      </c>
      <c r="H1523" t="s">
        <v>2</v>
      </c>
      <c r="I1523" t="s">
        <v>10</v>
      </c>
      <c r="J1523" s="18">
        <v>-937855.1</v>
      </c>
      <c r="K1523" t="s">
        <v>2299</v>
      </c>
      <c r="L1523" t="s">
        <v>4</v>
      </c>
      <c r="M1523" t="s">
        <v>2296</v>
      </c>
      <c r="N1523" t="s">
        <v>3</v>
      </c>
      <c r="O1523" t="s">
        <v>3</v>
      </c>
      <c r="P1523" t="s">
        <v>5</v>
      </c>
      <c r="Q1523" t="s">
        <v>2297</v>
      </c>
      <c r="R1523" t="s">
        <v>3</v>
      </c>
      <c r="S1523" t="s">
        <v>3</v>
      </c>
      <c r="T1523" t="s">
        <v>3</v>
      </c>
      <c r="U1523" t="s">
        <v>3</v>
      </c>
      <c r="V1523" t="s">
        <v>3</v>
      </c>
      <c r="W1523" t="s">
        <v>68</v>
      </c>
      <c r="X1523" s="17">
        <v>43543</v>
      </c>
      <c r="Y1523" t="s">
        <v>2294</v>
      </c>
      <c r="Z1523" s="17">
        <v>43543</v>
      </c>
      <c r="AA1523" t="s">
        <v>3</v>
      </c>
      <c r="AB1523" t="s">
        <v>2294</v>
      </c>
    </row>
    <row r="1524" spans="1:28" hidden="1">
      <c r="A1524" t="s">
        <v>2294</v>
      </c>
      <c r="B1524" s="17">
        <v>43543</v>
      </c>
      <c r="C1524" s="17">
        <v>43543</v>
      </c>
      <c r="D1524" t="s">
        <v>38</v>
      </c>
      <c r="E1524" t="s">
        <v>1</v>
      </c>
      <c r="F1524" s="18">
        <v>-6451.23</v>
      </c>
      <c r="G1524" s="18">
        <v>-6451.23</v>
      </c>
      <c r="H1524" t="s">
        <v>2</v>
      </c>
      <c r="I1524" t="s">
        <v>10</v>
      </c>
      <c r="J1524" s="18">
        <v>-535129.53</v>
      </c>
      <c r="K1524" t="s">
        <v>2300</v>
      </c>
      <c r="L1524" t="s">
        <v>4</v>
      </c>
      <c r="M1524" t="s">
        <v>2296</v>
      </c>
      <c r="N1524" t="s">
        <v>3</v>
      </c>
      <c r="O1524" t="s">
        <v>3</v>
      </c>
      <c r="P1524" t="s">
        <v>5</v>
      </c>
      <c r="Q1524" t="s">
        <v>2297</v>
      </c>
      <c r="R1524" t="s">
        <v>3</v>
      </c>
      <c r="S1524" t="s">
        <v>3</v>
      </c>
      <c r="T1524" t="s">
        <v>3</v>
      </c>
      <c r="U1524" t="s">
        <v>3</v>
      </c>
      <c r="V1524" t="s">
        <v>3</v>
      </c>
      <c r="W1524" t="s">
        <v>68</v>
      </c>
      <c r="X1524" s="17">
        <v>43543</v>
      </c>
      <c r="Y1524" t="s">
        <v>2294</v>
      </c>
      <c r="Z1524" s="17">
        <v>43543</v>
      </c>
      <c r="AA1524" t="s">
        <v>3</v>
      </c>
      <c r="AB1524" t="s">
        <v>2294</v>
      </c>
    </row>
    <row r="1525" spans="1:28" hidden="1">
      <c r="A1525" t="s">
        <v>2294</v>
      </c>
      <c r="B1525" s="17">
        <v>43543</v>
      </c>
      <c r="C1525" s="17">
        <v>43543</v>
      </c>
      <c r="D1525" t="s">
        <v>38</v>
      </c>
      <c r="E1525" t="s">
        <v>1</v>
      </c>
      <c r="F1525" s="18">
        <v>-53877.25</v>
      </c>
      <c r="G1525" s="18">
        <v>-53877.25</v>
      </c>
      <c r="H1525" t="s">
        <v>2</v>
      </c>
      <c r="I1525" t="s">
        <v>10</v>
      </c>
      <c r="J1525" s="18">
        <v>-4469117.91</v>
      </c>
      <c r="K1525" t="s">
        <v>2296</v>
      </c>
      <c r="L1525" t="s">
        <v>4</v>
      </c>
      <c r="M1525" t="s">
        <v>2296</v>
      </c>
      <c r="N1525" t="s">
        <v>3</v>
      </c>
      <c r="O1525" t="s">
        <v>3</v>
      </c>
      <c r="P1525" t="s">
        <v>5</v>
      </c>
      <c r="Q1525" t="s">
        <v>2297</v>
      </c>
      <c r="R1525" t="s">
        <v>3</v>
      </c>
      <c r="S1525" t="s">
        <v>3</v>
      </c>
      <c r="T1525" t="s">
        <v>3</v>
      </c>
      <c r="U1525" t="s">
        <v>3</v>
      </c>
      <c r="V1525" t="s">
        <v>3</v>
      </c>
      <c r="W1525" t="s">
        <v>68</v>
      </c>
      <c r="X1525" s="17">
        <v>43543</v>
      </c>
      <c r="Y1525" t="s">
        <v>2294</v>
      </c>
      <c r="Z1525" s="17">
        <v>43543</v>
      </c>
      <c r="AA1525" t="s">
        <v>3</v>
      </c>
      <c r="AB1525" t="s">
        <v>2294</v>
      </c>
    </row>
    <row r="1526" spans="1:28" hidden="1">
      <c r="A1526" t="s">
        <v>3782</v>
      </c>
      <c r="B1526" s="17">
        <v>43543</v>
      </c>
      <c r="C1526" s="17">
        <v>43543</v>
      </c>
      <c r="D1526" t="s">
        <v>0</v>
      </c>
      <c r="E1526" t="s">
        <v>1</v>
      </c>
      <c r="F1526" s="18">
        <v>79517</v>
      </c>
      <c r="G1526" s="18">
        <v>79517</v>
      </c>
      <c r="H1526" t="s">
        <v>2</v>
      </c>
      <c r="I1526" t="s">
        <v>8</v>
      </c>
      <c r="J1526" s="18">
        <v>6595935.1500000004</v>
      </c>
      <c r="K1526" t="s">
        <v>3783</v>
      </c>
      <c r="L1526" t="s">
        <v>9</v>
      </c>
      <c r="M1526" t="s">
        <v>3784</v>
      </c>
      <c r="N1526" t="s">
        <v>3</v>
      </c>
      <c r="O1526" t="s">
        <v>3</v>
      </c>
      <c r="P1526" t="s">
        <v>5</v>
      </c>
      <c r="Q1526" t="s">
        <v>3785</v>
      </c>
      <c r="R1526" t="s">
        <v>3</v>
      </c>
      <c r="S1526" t="s">
        <v>3</v>
      </c>
      <c r="T1526" t="s">
        <v>3</v>
      </c>
      <c r="U1526" t="s">
        <v>3</v>
      </c>
      <c r="V1526" t="s">
        <v>3</v>
      </c>
      <c r="W1526" t="s">
        <v>68</v>
      </c>
      <c r="X1526" s="17">
        <v>43646</v>
      </c>
      <c r="Y1526" t="s">
        <v>2472</v>
      </c>
      <c r="Z1526" s="17">
        <v>43543</v>
      </c>
      <c r="AA1526" t="s">
        <v>3</v>
      </c>
      <c r="AB1526" t="s">
        <v>3782</v>
      </c>
    </row>
    <row r="1527" spans="1:28" hidden="1">
      <c r="A1527" t="s">
        <v>3819</v>
      </c>
      <c r="B1527" s="17">
        <v>43543</v>
      </c>
      <c r="C1527" s="17">
        <v>43543</v>
      </c>
      <c r="D1527" t="s">
        <v>0</v>
      </c>
      <c r="E1527" t="s">
        <v>1</v>
      </c>
      <c r="F1527" s="18">
        <v>50499</v>
      </c>
      <c r="G1527" s="18">
        <v>50499</v>
      </c>
      <c r="H1527" t="s">
        <v>2</v>
      </c>
      <c r="I1527" t="s">
        <v>8</v>
      </c>
      <c r="J1527" s="18">
        <v>4201516.8</v>
      </c>
      <c r="K1527" t="s">
        <v>3816</v>
      </c>
      <c r="L1527" t="s">
        <v>9</v>
      </c>
      <c r="M1527" t="s">
        <v>3820</v>
      </c>
      <c r="N1527" t="s">
        <v>3</v>
      </c>
      <c r="O1527" t="s">
        <v>3</v>
      </c>
      <c r="P1527" t="s">
        <v>5</v>
      </c>
      <c r="Q1527" t="s">
        <v>3821</v>
      </c>
      <c r="R1527" t="s">
        <v>3</v>
      </c>
      <c r="S1527" t="s">
        <v>3</v>
      </c>
      <c r="T1527" t="s">
        <v>3</v>
      </c>
      <c r="U1527" t="s">
        <v>3</v>
      </c>
      <c r="V1527" t="s">
        <v>3</v>
      </c>
      <c r="W1527" t="s">
        <v>68</v>
      </c>
      <c r="X1527" s="17">
        <v>43646</v>
      </c>
      <c r="Y1527" t="s">
        <v>2512</v>
      </c>
      <c r="Z1527" s="17">
        <v>43543</v>
      </c>
      <c r="AA1527" t="s">
        <v>3</v>
      </c>
      <c r="AB1527" t="s">
        <v>3819</v>
      </c>
    </row>
    <row r="1528" spans="1:28" hidden="1">
      <c r="A1528" t="s">
        <v>3822</v>
      </c>
      <c r="B1528" s="17">
        <v>43543</v>
      </c>
      <c r="C1528" s="17">
        <v>43543</v>
      </c>
      <c r="D1528" t="s">
        <v>0</v>
      </c>
      <c r="E1528" t="s">
        <v>1</v>
      </c>
      <c r="F1528" s="18">
        <v>121862.69</v>
      </c>
      <c r="G1528" s="18">
        <v>121862.69</v>
      </c>
      <c r="H1528" t="s">
        <v>2</v>
      </c>
      <c r="I1528" t="s">
        <v>10</v>
      </c>
      <c r="J1528" s="18">
        <v>10138975.810000001</v>
      </c>
      <c r="K1528" t="s">
        <v>2295</v>
      </c>
      <c r="L1528" t="s">
        <v>4</v>
      </c>
      <c r="M1528" t="s">
        <v>2296</v>
      </c>
      <c r="N1528" t="s">
        <v>3</v>
      </c>
      <c r="O1528" t="s">
        <v>3</v>
      </c>
      <c r="P1528" t="s">
        <v>5</v>
      </c>
      <c r="Q1528" t="s">
        <v>2297</v>
      </c>
      <c r="R1528" t="s">
        <v>3</v>
      </c>
      <c r="S1528" t="s">
        <v>3</v>
      </c>
      <c r="T1528" t="s">
        <v>3</v>
      </c>
      <c r="U1528" t="s">
        <v>3</v>
      </c>
      <c r="V1528" t="s">
        <v>3</v>
      </c>
      <c r="W1528" t="s">
        <v>68</v>
      </c>
      <c r="X1528" s="17">
        <v>43543</v>
      </c>
      <c r="Y1528" t="s">
        <v>2294</v>
      </c>
      <c r="Z1528" s="17">
        <v>43543</v>
      </c>
      <c r="AA1528" t="s">
        <v>3</v>
      </c>
      <c r="AB1528" t="s">
        <v>3822</v>
      </c>
    </row>
    <row r="1529" spans="1:28" hidden="1">
      <c r="A1529" t="s">
        <v>3822</v>
      </c>
      <c r="B1529" s="17">
        <v>43543</v>
      </c>
      <c r="C1529" s="17">
        <v>43543</v>
      </c>
      <c r="D1529" t="s">
        <v>0</v>
      </c>
      <c r="E1529" t="s">
        <v>1</v>
      </c>
      <c r="F1529" s="18">
        <v>65709.37</v>
      </c>
      <c r="G1529" s="18">
        <v>65709.37</v>
      </c>
      <c r="H1529" t="s">
        <v>2</v>
      </c>
      <c r="I1529" t="s">
        <v>10</v>
      </c>
      <c r="J1529" s="18">
        <v>5450592.2400000002</v>
      </c>
      <c r="K1529" t="s">
        <v>2298</v>
      </c>
      <c r="L1529" t="s">
        <v>4</v>
      </c>
      <c r="M1529" t="s">
        <v>2296</v>
      </c>
      <c r="N1529" t="s">
        <v>3</v>
      </c>
      <c r="O1529" t="s">
        <v>3</v>
      </c>
      <c r="P1529" t="s">
        <v>5</v>
      </c>
      <c r="Q1529" t="s">
        <v>2297</v>
      </c>
      <c r="R1529" t="s">
        <v>3</v>
      </c>
      <c r="S1529" t="s">
        <v>3</v>
      </c>
      <c r="T1529" t="s">
        <v>3</v>
      </c>
      <c r="U1529" t="s">
        <v>3</v>
      </c>
      <c r="V1529" t="s">
        <v>3</v>
      </c>
      <c r="W1529" t="s">
        <v>68</v>
      </c>
      <c r="X1529" s="17">
        <v>43543</v>
      </c>
      <c r="Y1529" t="s">
        <v>2294</v>
      </c>
      <c r="Z1529" s="17">
        <v>43543</v>
      </c>
      <c r="AA1529" t="s">
        <v>3</v>
      </c>
      <c r="AB1529" t="s">
        <v>3822</v>
      </c>
    </row>
    <row r="1530" spans="1:28" hidden="1">
      <c r="A1530" t="s">
        <v>3822</v>
      </c>
      <c r="B1530" s="17">
        <v>43543</v>
      </c>
      <c r="C1530" s="17">
        <v>43543</v>
      </c>
      <c r="D1530" t="s">
        <v>0</v>
      </c>
      <c r="E1530" t="s">
        <v>1</v>
      </c>
      <c r="F1530" s="18">
        <v>11306.27</v>
      </c>
      <c r="G1530" s="18">
        <v>11306.27</v>
      </c>
      <c r="H1530" t="s">
        <v>2</v>
      </c>
      <c r="I1530" t="s">
        <v>10</v>
      </c>
      <c r="J1530" s="18">
        <v>937855.1</v>
      </c>
      <c r="K1530" t="s">
        <v>2299</v>
      </c>
      <c r="L1530" t="s">
        <v>4</v>
      </c>
      <c r="M1530" t="s">
        <v>2296</v>
      </c>
      <c r="N1530" t="s">
        <v>3</v>
      </c>
      <c r="O1530" t="s">
        <v>3</v>
      </c>
      <c r="P1530" t="s">
        <v>5</v>
      </c>
      <c r="Q1530" t="s">
        <v>2297</v>
      </c>
      <c r="R1530" t="s">
        <v>3</v>
      </c>
      <c r="S1530" t="s">
        <v>3</v>
      </c>
      <c r="T1530" t="s">
        <v>3</v>
      </c>
      <c r="U1530" t="s">
        <v>3</v>
      </c>
      <c r="V1530" t="s">
        <v>3</v>
      </c>
      <c r="W1530" t="s">
        <v>68</v>
      </c>
      <c r="X1530" s="17">
        <v>43543</v>
      </c>
      <c r="Y1530" t="s">
        <v>2294</v>
      </c>
      <c r="Z1530" s="17">
        <v>43543</v>
      </c>
      <c r="AA1530" t="s">
        <v>3</v>
      </c>
      <c r="AB1530" t="s">
        <v>3822</v>
      </c>
    </row>
    <row r="1531" spans="1:28" hidden="1">
      <c r="A1531" t="s">
        <v>3822</v>
      </c>
      <c r="B1531" s="17">
        <v>43543</v>
      </c>
      <c r="C1531" s="17">
        <v>43543</v>
      </c>
      <c r="D1531" t="s">
        <v>0</v>
      </c>
      <c r="E1531" t="s">
        <v>1</v>
      </c>
      <c r="F1531" s="18">
        <v>6451.23</v>
      </c>
      <c r="G1531" s="18">
        <v>6451.23</v>
      </c>
      <c r="H1531" t="s">
        <v>2</v>
      </c>
      <c r="I1531" t="s">
        <v>10</v>
      </c>
      <c r="J1531" s="18">
        <v>535129.53</v>
      </c>
      <c r="K1531" t="s">
        <v>2300</v>
      </c>
      <c r="L1531" t="s">
        <v>4</v>
      </c>
      <c r="M1531" t="s">
        <v>2296</v>
      </c>
      <c r="N1531" t="s">
        <v>3</v>
      </c>
      <c r="O1531" t="s">
        <v>3</v>
      </c>
      <c r="P1531" t="s">
        <v>5</v>
      </c>
      <c r="Q1531" t="s">
        <v>2297</v>
      </c>
      <c r="R1531" t="s">
        <v>3</v>
      </c>
      <c r="S1531" t="s">
        <v>3</v>
      </c>
      <c r="T1531" t="s">
        <v>3</v>
      </c>
      <c r="U1531" t="s">
        <v>3</v>
      </c>
      <c r="V1531" t="s">
        <v>3</v>
      </c>
      <c r="W1531" t="s">
        <v>68</v>
      </c>
      <c r="X1531" s="17">
        <v>43543</v>
      </c>
      <c r="Y1531" t="s">
        <v>2294</v>
      </c>
      <c r="Z1531" s="17">
        <v>43543</v>
      </c>
      <c r="AA1531" t="s">
        <v>3</v>
      </c>
      <c r="AB1531" t="s">
        <v>3822</v>
      </c>
    </row>
    <row r="1532" spans="1:28" hidden="1">
      <c r="A1532" t="s">
        <v>3822</v>
      </c>
      <c r="B1532" s="17">
        <v>43543</v>
      </c>
      <c r="C1532" s="17">
        <v>43543</v>
      </c>
      <c r="D1532" t="s">
        <v>0</v>
      </c>
      <c r="E1532" t="s">
        <v>1</v>
      </c>
      <c r="F1532" s="18">
        <v>53877.25</v>
      </c>
      <c r="G1532" s="18">
        <v>53877.25</v>
      </c>
      <c r="H1532" t="s">
        <v>2</v>
      </c>
      <c r="I1532" t="s">
        <v>10</v>
      </c>
      <c r="J1532" s="18">
        <v>4469117.91</v>
      </c>
      <c r="K1532" t="s">
        <v>2296</v>
      </c>
      <c r="L1532" t="s">
        <v>4</v>
      </c>
      <c r="M1532" t="s">
        <v>2296</v>
      </c>
      <c r="N1532" t="s">
        <v>3</v>
      </c>
      <c r="O1532" t="s">
        <v>3</v>
      </c>
      <c r="P1532" t="s">
        <v>5</v>
      </c>
      <c r="Q1532" t="s">
        <v>2297</v>
      </c>
      <c r="R1532" t="s">
        <v>3</v>
      </c>
      <c r="S1532" t="s">
        <v>3</v>
      </c>
      <c r="T1532" t="s">
        <v>3</v>
      </c>
      <c r="U1532" t="s">
        <v>3</v>
      </c>
      <c r="V1532" t="s">
        <v>3</v>
      </c>
      <c r="W1532" t="s">
        <v>68</v>
      </c>
      <c r="X1532" s="17">
        <v>43543</v>
      </c>
      <c r="Y1532" t="s">
        <v>2294</v>
      </c>
      <c r="Z1532" s="17">
        <v>43543</v>
      </c>
      <c r="AA1532" t="s">
        <v>3</v>
      </c>
      <c r="AB1532" t="s">
        <v>3822</v>
      </c>
    </row>
    <row r="1533" spans="1:28" hidden="1">
      <c r="A1533" t="s">
        <v>3581</v>
      </c>
      <c r="B1533" s="17">
        <v>43543</v>
      </c>
      <c r="C1533" s="17">
        <v>43543</v>
      </c>
      <c r="D1533" t="s">
        <v>0</v>
      </c>
      <c r="E1533" t="s">
        <v>1</v>
      </c>
      <c r="F1533" s="18">
        <v>121862.69</v>
      </c>
      <c r="G1533" s="18">
        <v>121862.69</v>
      </c>
      <c r="H1533" t="s">
        <v>2</v>
      </c>
      <c r="I1533" t="s">
        <v>10</v>
      </c>
      <c r="J1533" s="18">
        <v>10138975.810000001</v>
      </c>
      <c r="K1533" t="s">
        <v>2295</v>
      </c>
      <c r="L1533" t="s">
        <v>4</v>
      </c>
      <c r="M1533" t="s">
        <v>2296</v>
      </c>
      <c r="N1533" t="s">
        <v>3</v>
      </c>
      <c r="O1533" t="s">
        <v>3</v>
      </c>
      <c r="P1533" t="s">
        <v>5</v>
      </c>
      <c r="Q1533" t="s">
        <v>2297</v>
      </c>
      <c r="R1533" t="s">
        <v>3</v>
      </c>
      <c r="S1533" t="s">
        <v>3</v>
      </c>
      <c r="T1533" t="s">
        <v>3</v>
      </c>
      <c r="U1533" t="s">
        <v>3</v>
      </c>
      <c r="V1533" t="s">
        <v>3</v>
      </c>
      <c r="W1533" t="s">
        <v>68</v>
      </c>
      <c r="X1533" s="17"/>
      <c r="Y1533" t="s">
        <v>3</v>
      </c>
      <c r="Z1533" s="17">
        <v>43543</v>
      </c>
      <c r="AA1533" t="s">
        <v>3</v>
      </c>
      <c r="AB1533" t="s">
        <v>3581</v>
      </c>
    </row>
    <row r="1534" spans="1:28" hidden="1">
      <c r="A1534" t="s">
        <v>3581</v>
      </c>
      <c r="B1534" s="17">
        <v>43543</v>
      </c>
      <c r="C1534" s="17">
        <v>43543</v>
      </c>
      <c r="D1534" t="s">
        <v>0</v>
      </c>
      <c r="E1534" t="s">
        <v>1</v>
      </c>
      <c r="F1534" s="18">
        <v>65709.37</v>
      </c>
      <c r="G1534" s="18">
        <v>65709.37</v>
      </c>
      <c r="H1534" t="s">
        <v>2</v>
      </c>
      <c r="I1534" t="s">
        <v>10</v>
      </c>
      <c r="J1534" s="18">
        <v>5450592.2400000002</v>
      </c>
      <c r="K1534" t="s">
        <v>2298</v>
      </c>
      <c r="L1534" t="s">
        <v>4</v>
      </c>
      <c r="M1534" t="s">
        <v>2296</v>
      </c>
      <c r="N1534" t="s">
        <v>3</v>
      </c>
      <c r="O1534" t="s">
        <v>3</v>
      </c>
      <c r="P1534" t="s">
        <v>5</v>
      </c>
      <c r="Q1534" t="s">
        <v>2297</v>
      </c>
      <c r="R1534" t="s">
        <v>3</v>
      </c>
      <c r="S1534" t="s">
        <v>3</v>
      </c>
      <c r="T1534" t="s">
        <v>3</v>
      </c>
      <c r="U1534" t="s">
        <v>3</v>
      </c>
      <c r="V1534" t="s">
        <v>3</v>
      </c>
      <c r="W1534" t="s">
        <v>68</v>
      </c>
      <c r="X1534" s="17"/>
      <c r="Y1534" t="s">
        <v>3</v>
      </c>
      <c r="Z1534" s="17">
        <v>43543</v>
      </c>
      <c r="AA1534" t="s">
        <v>3</v>
      </c>
      <c r="AB1534" t="s">
        <v>3581</v>
      </c>
    </row>
    <row r="1535" spans="1:28" hidden="1">
      <c r="A1535" t="s">
        <v>3581</v>
      </c>
      <c r="B1535" s="17">
        <v>43543</v>
      </c>
      <c r="C1535" s="17">
        <v>43543</v>
      </c>
      <c r="D1535" t="s">
        <v>0</v>
      </c>
      <c r="E1535" t="s">
        <v>1</v>
      </c>
      <c r="F1535" s="18">
        <v>11306.27</v>
      </c>
      <c r="G1535" s="18">
        <v>11306.27</v>
      </c>
      <c r="H1535" t="s">
        <v>2</v>
      </c>
      <c r="I1535" t="s">
        <v>10</v>
      </c>
      <c r="J1535" s="18">
        <v>937855.1</v>
      </c>
      <c r="K1535" t="s">
        <v>2299</v>
      </c>
      <c r="L1535" t="s">
        <v>4</v>
      </c>
      <c r="M1535" t="s">
        <v>2296</v>
      </c>
      <c r="N1535" t="s">
        <v>3</v>
      </c>
      <c r="O1535" t="s">
        <v>3</v>
      </c>
      <c r="P1535" t="s">
        <v>5</v>
      </c>
      <c r="Q1535" t="s">
        <v>2297</v>
      </c>
      <c r="R1535" t="s">
        <v>3</v>
      </c>
      <c r="S1535" t="s">
        <v>3</v>
      </c>
      <c r="T1535" t="s">
        <v>3</v>
      </c>
      <c r="U1535" t="s">
        <v>3</v>
      </c>
      <c r="V1535" t="s">
        <v>3</v>
      </c>
      <c r="W1535" t="s">
        <v>68</v>
      </c>
      <c r="X1535" s="17"/>
      <c r="Y1535" t="s">
        <v>3</v>
      </c>
      <c r="Z1535" s="17">
        <v>43543</v>
      </c>
      <c r="AA1535" t="s">
        <v>3</v>
      </c>
      <c r="AB1535" t="s">
        <v>3581</v>
      </c>
    </row>
    <row r="1536" spans="1:28" hidden="1">
      <c r="A1536" t="s">
        <v>3581</v>
      </c>
      <c r="B1536" s="17">
        <v>43543</v>
      </c>
      <c r="C1536" s="17">
        <v>43543</v>
      </c>
      <c r="D1536" t="s">
        <v>0</v>
      </c>
      <c r="E1536" t="s">
        <v>1</v>
      </c>
      <c r="F1536" s="18">
        <v>6451.23</v>
      </c>
      <c r="G1536" s="18">
        <v>6451.23</v>
      </c>
      <c r="H1536" t="s">
        <v>2</v>
      </c>
      <c r="I1536" t="s">
        <v>10</v>
      </c>
      <c r="J1536" s="18">
        <v>535129.53</v>
      </c>
      <c r="K1536" t="s">
        <v>2300</v>
      </c>
      <c r="L1536" t="s">
        <v>4</v>
      </c>
      <c r="M1536" t="s">
        <v>2296</v>
      </c>
      <c r="N1536" t="s">
        <v>3</v>
      </c>
      <c r="O1536" t="s">
        <v>3</v>
      </c>
      <c r="P1536" t="s">
        <v>5</v>
      </c>
      <c r="Q1536" t="s">
        <v>2297</v>
      </c>
      <c r="R1536" t="s">
        <v>3</v>
      </c>
      <c r="S1536" t="s">
        <v>3</v>
      </c>
      <c r="T1536" t="s">
        <v>3</v>
      </c>
      <c r="U1536" t="s">
        <v>3</v>
      </c>
      <c r="V1536" t="s">
        <v>3</v>
      </c>
      <c r="W1536" t="s">
        <v>68</v>
      </c>
      <c r="X1536" s="17"/>
      <c r="Y1536" t="s">
        <v>3</v>
      </c>
      <c r="Z1536" s="17">
        <v>43543</v>
      </c>
      <c r="AA1536" t="s">
        <v>3</v>
      </c>
      <c r="AB1536" t="s">
        <v>3581</v>
      </c>
    </row>
    <row r="1537" spans="1:28" hidden="1">
      <c r="A1537" t="s">
        <v>3581</v>
      </c>
      <c r="B1537" s="17">
        <v>43543</v>
      </c>
      <c r="C1537" s="17">
        <v>43543</v>
      </c>
      <c r="D1537" t="s">
        <v>0</v>
      </c>
      <c r="E1537" t="s">
        <v>1</v>
      </c>
      <c r="F1537" s="18">
        <v>53877.25</v>
      </c>
      <c r="G1537" s="18">
        <v>53877.25</v>
      </c>
      <c r="H1537" t="s">
        <v>2</v>
      </c>
      <c r="I1537" t="s">
        <v>10</v>
      </c>
      <c r="J1537" s="18">
        <v>4469117.91</v>
      </c>
      <c r="K1537" t="s">
        <v>2296</v>
      </c>
      <c r="L1537" t="s">
        <v>4</v>
      </c>
      <c r="M1537" t="s">
        <v>2296</v>
      </c>
      <c r="N1537" t="s">
        <v>3</v>
      </c>
      <c r="O1537" t="s">
        <v>3</v>
      </c>
      <c r="P1537" t="s">
        <v>5</v>
      </c>
      <c r="Q1537" t="s">
        <v>2297</v>
      </c>
      <c r="R1537" t="s">
        <v>3</v>
      </c>
      <c r="S1537" t="s">
        <v>3</v>
      </c>
      <c r="T1537" t="s">
        <v>3</v>
      </c>
      <c r="U1537" t="s">
        <v>3</v>
      </c>
      <c r="V1537" t="s">
        <v>3</v>
      </c>
      <c r="W1537" t="s">
        <v>68</v>
      </c>
      <c r="X1537" s="17">
        <v>43543</v>
      </c>
      <c r="Y1537" t="s">
        <v>3581</v>
      </c>
      <c r="Z1537" s="17">
        <v>43543</v>
      </c>
      <c r="AA1537" t="s">
        <v>3</v>
      </c>
      <c r="AB1537" t="s">
        <v>3581</v>
      </c>
    </row>
    <row r="1538" spans="1:28" hidden="1">
      <c r="A1538" t="s">
        <v>3840</v>
      </c>
      <c r="B1538" s="17">
        <v>43543</v>
      </c>
      <c r="C1538" s="17">
        <v>43543</v>
      </c>
      <c r="D1538" t="s">
        <v>0</v>
      </c>
      <c r="E1538" t="s">
        <v>1</v>
      </c>
      <c r="F1538" s="18">
        <v>233824.77</v>
      </c>
      <c r="G1538" s="18">
        <v>233824.77</v>
      </c>
      <c r="H1538" t="s">
        <v>2</v>
      </c>
      <c r="I1538" t="s">
        <v>8</v>
      </c>
      <c r="J1538" s="18">
        <v>19454220.870000001</v>
      </c>
      <c r="K1538" t="s">
        <v>3841</v>
      </c>
      <c r="L1538" t="s">
        <v>4</v>
      </c>
      <c r="M1538" t="s">
        <v>3842</v>
      </c>
      <c r="N1538" t="s">
        <v>3</v>
      </c>
      <c r="O1538" t="s">
        <v>3</v>
      </c>
      <c r="P1538" t="s">
        <v>5</v>
      </c>
      <c r="Q1538" t="s">
        <v>3843</v>
      </c>
      <c r="R1538" t="s">
        <v>3</v>
      </c>
      <c r="S1538" t="s">
        <v>3</v>
      </c>
      <c r="T1538" t="s">
        <v>3</v>
      </c>
      <c r="U1538" t="s">
        <v>3</v>
      </c>
      <c r="V1538" t="s">
        <v>3</v>
      </c>
      <c r="W1538" t="s">
        <v>68</v>
      </c>
      <c r="X1538" s="17"/>
      <c r="Y1538" t="s">
        <v>3</v>
      </c>
      <c r="Z1538" s="17">
        <v>43543</v>
      </c>
      <c r="AA1538" t="s">
        <v>3</v>
      </c>
      <c r="AB1538" t="s">
        <v>3840</v>
      </c>
    </row>
    <row r="1539" spans="1:28" hidden="1">
      <c r="A1539" t="s">
        <v>3868</v>
      </c>
      <c r="B1539" s="17">
        <v>43544</v>
      </c>
      <c r="C1539" s="17">
        <v>43544</v>
      </c>
      <c r="D1539" t="s">
        <v>0</v>
      </c>
      <c r="E1539" t="s">
        <v>1</v>
      </c>
      <c r="F1539" s="18">
        <v>17139.07</v>
      </c>
      <c r="G1539" s="18">
        <v>17139.07</v>
      </c>
      <c r="H1539" t="s">
        <v>2</v>
      </c>
      <c r="I1539" t="s">
        <v>10</v>
      </c>
      <c r="J1539" s="18">
        <v>1425970.62</v>
      </c>
      <c r="K1539" t="s">
        <v>2295</v>
      </c>
      <c r="L1539" t="s">
        <v>4</v>
      </c>
      <c r="M1539" t="s">
        <v>3869</v>
      </c>
      <c r="N1539" t="s">
        <v>3</v>
      </c>
      <c r="O1539" t="s">
        <v>3</v>
      </c>
      <c r="P1539" t="s">
        <v>5</v>
      </c>
      <c r="Q1539" t="s">
        <v>3870</v>
      </c>
      <c r="R1539" t="s">
        <v>3</v>
      </c>
      <c r="S1539" t="s">
        <v>3</v>
      </c>
      <c r="T1539" t="s">
        <v>3</v>
      </c>
      <c r="U1539" t="s">
        <v>3</v>
      </c>
      <c r="V1539" t="s">
        <v>3</v>
      </c>
      <c r="W1539" t="s">
        <v>68</v>
      </c>
      <c r="X1539" s="17"/>
      <c r="Y1539" t="s">
        <v>3</v>
      </c>
      <c r="Z1539" s="17">
        <v>43544</v>
      </c>
      <c r="AA1539" t="s">
        <v>3</v>
      </c>
      <c r="AB1539" t="s">
        <v>3868</v>
      </c>
    </row>
    <row r="1540" spans="1:28" hidden="1">
      <c r="A1540" t="s">
        <v>3868</v>
      </c>
      <c r="B1540" s="17">
        <v>43544</v>
      </c>
      <c r="C1540" s="17">
        <v>43544</v>
      </c>
      <c r="D1540" t="s">
        <v>0</v>
      </c>
      <c r="E1540" t="s">
        <v>1</v>
      </c>
      <c r="F1540" s="18">
        <v>1764.57</v>
      </c>
      <c r="G1540" s="18">
        <v>1764.57</v>
      </c>
      <c r="H1540" t="s">
        <v>2</v>
      </c>
      <c r="I1540" t="s">
        <v>10</v>
      </c>
      <c r="J1540" s="18">
        <v>146371.07999999999</v>
      </c>
      <c r="K1540" t="s">
        <v>2298</v>
      </c>
      <c r="L1540" t="s">
        <v>4</v>
      </c>
      <c r="M1540" t="s">
        <v>3869</v>
      </c>
      <c r="N1540" t="s">
        <v>3</v>
      </c>
      <c r="O1540" t="s">
        <v>3</v>
      </c>
      <c r="P1540" t="s">
        <v>5</v>
      </c>
      <c r="Q1540" t="s">
        <v>3870</v>
      </c>
      <c r="R1540" t="s">
        <v>3</v>
      </c>
      <c r="S1540" t="s">
        <v>3</v>
      </c>
      <c r="T1540" t="s">
        <v>3</v>
      </c>
      <c r="U1540" t="s">
        <v>3</v>
      </c>
      <c r="V1540" t="s">
        <v>3</v>
      </c>
      <c r="W1540" t="s">
        <v>68</v>
      </c>
      <c r="X1540" s="17"/>
      <c r="Y1540" t="s">
        <v>3</v>
      </c>
      <c r="Z1540" s="17">
        <v>43544</v>
      </c>
      <c r="AA1540" t="s">
        <v>3</v>
      </c>
      <c r="AB1540" t="s">
        <v>3868</v>
      </c>
    </row>
    <row r="1541" spans="1:28" hidden="1">
      <c r="A1541" t="s">
        <v>3829</v>
      </c>
      <c r="B1541" s="17">
        <v>43545</v>
      </c>
      <c r="C1541" s="17">
        <v>43545</v>
      </c>
      <c r="D1541" t="s">
        <v>0</v>
      </c>
      <c r="E1541" t="s">
        <v>1</v>
      </c>
      <c r="F1541" s="18">
        <v>12482</v>
      </c>
      <c r="G1541" s="18">
        <v>12482</v>
      </c>
      <c r="H1541" t="s">
        <v>2</v>
      </c>
      <c r="I1541" t="s">
        <v>10</v>
      </c>
      <c r="J1541" s="18">
        <v>1038502.4</v>
      </c>
      <c r="K1541" t="s">
        <v>3830</v>
      </c>
      <c r="L1541" t="s">
        <v>9</v>
      </c>
      <c r="M1541" t="s">
        <v>3831</v>
      </c>
      <c r="N1541" t="s">
        <v>3</v>
      </c>
      <c r="O1541" t="s">
        <v>3</v>
      </c>
      <c r="P1541" t="s">
        <v>5</v>
      </c>
      <c r="Q1541" t="s">
        <v>3832</v>
      </c>
      <c r="R1541" t="s">
        <v>3</v>
      </c>
      <c r="S1541" t="s">
        <v>3</v>
      </c>
      <c r="T1541" t="s">
        <v>3</v>
      </c>
      <c r="U1541" t="s">
        <v>3</v>
      </c>
      <c r="V1541" t="s">
        <v>3</v>
      </c>
      <c r="W1541" t="s">
        <v>68</v>
      </c>
      <c r="X1541" s="17">
        <v>43646</v>
      </c>
      <c r="Y1541" t="s">
        <v>2504</v>
      </c>
      <c r="Z1541" s="17">
        <v>43545</v>
      </c>
      <c r="AA1541" t="s">
        <v>3</v>
      </c>
      <c r="AB1541" t="s">
        <v>3829</v>
      </c>
    </row>
    <row r="1542" spans="1:28" hidden="1">
      <c r="A1542" t="s">
        <v>3823</v>
      </c>
      <c r="B1542" s="17">
        <v>43548</v>
      </c>
      <c r="C1542" s="17">
        <v>43548</v>
      </c>
      <c r="D1542" t="s">
        <v>0</v>
      </c>
      <c r="E1542" t="s">
        <v>1</v>
      </c>
      <c r="F1542" s="18">
        <v>4370</v>
      </c>
      <c r="G1542" s="18">
        <v>4370</v>
      </c>
      <c r="H1542" t="s">
        <v>2</v>
      </c>
      <c r="I1542" t="s">
        <v>8</v>
      </c>
      <c r="J1542" s="18">
        <v>363584</v>
      </c>
      <c r="K1542" t="s">
        <v>3824</v>
      </c>
      <c r="L1542" t="s">
        <v>9</v>
      </c>
      <c r="M1542" t="s">
        <v>3825</v>
      </c>
      <c r="N1542" t="s">
        <v>3</v>
      </c>
      <c r="O1542" t="s">
        <v>3</v>
      </c>
      <c r="P1542" t="s">
        <v>5</v>
      </c>
      <c r="Q1542" t="s">
        <v>3826</v>
      </c>
      <c r="R1542" t="s">
        <v>3</v>
      </c>
      <c r="S1542" t="s">
        <v>3</v>
      </c>
      <c r="T1542" t="s">
        <v>3</v>
      </c>
      <c r="U1542" t="s">
        <v>3</v>
      </c>
      <c r="V1542" t="s">
        <v>3</v>
      </c>
      <c r="W1542" t="s">
        <v>68</v>
      </c>
      <c r="X1542" s="17">
        <v>43646</v>
      </c>
      <c r="Y1542" t="s">
        <v>2512</v>
      </c>
      <c r="Z1542" s="17">
        <v>43548</v>
      </c>
      <c r="AA1542" t="s">
        <v>3</v>
      </c>
      <c r="AB1542" t="s">
        <v>3823</v>
      </c>
    </row>
    <row r="1543" spans="1:28" hidden="1">
      <c r="A1543" t="s">
        <v>3833</v>
      </c>
      <c r="B1543" s="17">
        <v>43552</v>
      </c>
      <c r="C1543" s="17">
        <v>43552</v>
      </c>
      <c r="D1543" t="s">
        <v>0</v>
      </c>
      <c r="E1543" t="s">
        <v>1</v>
      </c>
      <c r="F1543" s="18">
        <v>18928</v>
      </c>
      <c r="G1543" s="18">
        <v>18928</v>
      </c>
      <c r="H1543" t="s">
        <v>2</v>
      </c>
      <c r="I1543" t="s">
        <v>10</v>
      </c>
      <c r="J1543" s="18">
        <v>1574809.6000000001</v>
      </c>
      <c r="K1543" t="s">
        <v>3830</v>
      </c>
      <c r="L1543" t="s">
        <v>9</v>
      </c>
      <c r="M1543" t="s">
        <v>3834</v>
      </c>
      <c r="N1543" t="s">
        <v>3</v>
      </c>
      <c r="O1543" t="s">
        <v>3</v>
      </c>
      <c r="P1543" t="s">
        <v>5</v>
      </c>
      <c r="Q1543" t="s">
        <v>3835</v>
      </c>
      <c r="R1543" t="s">
        <v>3</v>
      </c>
      <c r="S1543" t="s">
        <v>3</v>
      </c>
      <c r="T1543" t="s">
        <v>3</v>
      </c>
      <c r="U1543" t="s">
        <v>3</v>
      </c>
      <c r="V1543" t="s">
        <v>3</v>
      </c>
      <c r="W1543" t="s">
        <v>68</v>
      </c>
      <c r="X1543" s="17">
        <v>43646</v>
      </c>
      <c r="Y1543" t="s">
        <v>2504</v>
      </c>
      <c r="Z1543" s="17">
        <v>43552</v>
      </c>
      <c r="AA1543" t="s">
        <v>3</v>
      </c>
      <c r="AB1543" t="s">
        <v>3833</v>
      </c>
    </row>
    <row r="1544" spans="1:28" hidden="1">
      <c r="A1544" t="s">
        <v>3844</v>
      </c>
      <c r="B1544" s="17">
        <v>43552</v>
      </c>
      <c r="C1544" s="17">
        <v>43552</v>
      </c>
      <c r="D1544" t="s">
        <v>0</v>
      </c>
      <c r="E1544" t="s">
        <v>1</v>
      </c>
      <c r="F1544" s="18">
        <v>28331</v>
      </c>
      <c r="G1544" s="18">
        <v>28331</v>
      </c>
      <c r="H1544" t="s">
        <v>2</v>
      </c>
      <c r="I1544" t="s">
        <v>8</v>
      </c>
      <c r="J1544" s="18">
        <v>2350056.4500000002</v>
      </c>
      <c r="K1544" t="s">
        <v>3845</v>
      </c>
      <c r="L1544" t="s">
        <v>9</v>
      </c>
      <c r="M1544" t="s">
        <v>3846</v>
      </c>
      <c r="N1544" t="s">
        <v>3</v>
      </c>
      <c r="O1544" t="s">
        <v>3</v>
      </c>
      <c r="P1544" t="s">
        <v>5</v>
      </c>
      <c r="Q1544" t="s">
        <v>3847</v>
      </c>
      <c r="R1544" t="s">
        <v>3</v>
      </c>
      <c r="S1544" t="s">
        <v>3</v>
      </c>
      <c r="T1544" t="s">
        <v>3</v>
      </c>
      <c r="U1544" t="s">
        <v>3</v>
      </c>
      <c r="V1544" t="s">
        <v>3</v>
      </c>
      <c r="W1544" t="s">
        <v>68</v>
      </c>
      <c r="X1544" s="17">
        <v>43646</v>
      </c>
      <c r="Y1544" t="s">
        <v>2472</v>
      </c>
      <c r="Z1544" s="17">
        <v>43552</v>
      </c>
      <c r="AA1544" t="s">
        <v>3</v>
      </c>
      <c r="AB1544" t="s">
        <v>3844</v>
      </c>
    </row>
    <row r="1545" spans="1:28" hidden="1">
      <c r="A1545" t="s">
        <v>3844</v>
      </c>
      <c r="B1545" s="17">
        <v>43552</v>
      </c>
      <c r="C1545" s="17">
        <v>43552</v>
      </c>
      <c r="D1545" t="s">
        <v>0</v>
      </c>
      <c r="E1545" t="s">
        <v>1</v>
      </c>
      <c r="F1545" s="18">
        <v>11400</v>
      </c>
      <c r="G1545" s="18">
        <v>11400</v>
      </c>
      <c r="H1545" t="s">
        <v>2</v>
      </c>
      <c r="I1545" t="s">
        <v>8</v>
      </c>
      <c r="J1545" s="18">
        <v>945630</v>
      </c>
      <c r="K1545" t="s">
        <v>3848</v>
      </c>
      <c r="L1545" t="s">
        <v>9</v>
      </c>
      <c r="M1545" t="s">
        <v>3846</v>
      </c>
      <c r="N1545" t="s">
        <v>3</v>
      </c>
      <c r="O1545" t="s">
        <v>3</v>
      </c>
      <c r="P1545" t="s">
        <v>5</v>
      </c>
      <c r="Q1545" t="s">
        <v>3847</v>
      </c>
      <c r="R1545" t="s">
        <v>3</v>
      </c>
      <c r="S1545" t="s">
        <v>3</v>
      </c>
      <c r="T1545" t="s">
        <v>3</v>
      </c>
      <c r="U1545" t="s">
        <v>3</v>
      </c>
      <c r="V1545" t="s">
        <v>3</v>
      </c>
      <c r="W1545" t="s">
        <v>68</v>
      </c>
      <c r="X1545" s="17">
        <v>43646</v>
      </c>
      <c r="Y1545" t="s">
        <v>2479</v>
      </c>
      <c r="Z1545" s="17">
        <v>43552</v>
      </c>
      <c r="AA1545" t="s">
        <v>3</v>
      </c>
      <c r="AB1545" t="s">
        <v>3844</v>
      </c>
    </row>
    <row r="1546" spans="1:28" hidden="1">
      <c r="A1546" t="s">
        <v>3836</v>
      </c>
      <c r="B1546" s="17">
        <v>43555</v>
      </c>
      <c r="C1546" s="17">
        <v>43555</v>
      </c>
      <c r="D1546" t="s">
        <v>0</v>
      </c>
      <c r="E1546" t="s">
        <v>1</v>
      </c>
      <c r="F1546" s="18">
        <v>2933</v>
      </c>
      <c r="G1546" s="18">
        <v>2933</v>
      </c>
      <c r="H1546" t="s">
        <v>2</v>
      </c>
      <c r="I1546" t="s">
        <v>10</v>
      </c>
      <c r="J1546" s="18">
        <v>242852.4</v>
      </c>
      <c r="K1546" t="s">
        <v>3837</v>
      </c>
      <c r="L1546" t="s">
        <v>9</v>
      </c>
      <c r="M1546" t="s">
        <v>3838</v>
      </c>
      <c r="N1546" t="s">
        <v>3</v>
      </c>
      <c r="O1546" t="s">
        <v>3</v>
      </c>
      <c r="P1546" t="s">
        <v>5</v>
      </c>
      <c r="Q1546" t="s">
        <v>3839</v>
      </c>
      <c r="R1546" t="s">
        <v>3</v>
      </c>
      <c r="S1546" t="s">
        <v>3</v>
      </c>
      <c r="T1546" t="s">
        <v>3</v>
      </c>
      <c r="U1546" t="s">
        <v>3</v>
      </c>
      <c r="V1546" t="s">
        <v>3</v>
      </c>
      <c r="W1546" t="s">
        <v>68</v>
      </c>
      <c r="X1546" s="17">
        <v>43646</v>
      </c>
      <c r="Y1546" t="s">
        <v>2499</v>
      </c>
      <c r="Z1546" s="17">
        <v>43555</v>
      </c>
      <c r="AA1546" t="s">
        <v>3</v>
      </c>
      <c r="AB1546" t="s">
        <v>3836</v>
      </c>
    </row>
    <row r="1547" spans="1:28" hidden="1">
      <c r="A1547" t="s">
        <v>3836</v>
      </c>
      <c r="B1547" s="17">
        <v>43555</v>
      </c>
      <c r="C1547" s="17">
        <v>43555</v>
      </c>
      <c r="D1547" t="s">
        <v>0</v>
      </c>
      <c r="E1547" t="s">
        <v>1</v>
      </c>
      <c r="F1547" s="18">
        <v>467</v>
      </c>
      <c r="G1547" s="18">
        <v>467</v>
      </c>
      <c r="H1547" t="s">
        <v>2</v>
      </c>
      <c r="I1547" t="s">
        <v>10</v>
      </c>
      <c r="J1547" s="18">
        <v>38854.400000000001</v>
      </c>
      <c r="K1547" t="s">
        <v>3830</v>
      </c>
      <c r="L1547" t="s">
        <v>9</v>
      </c>
      <c r="M1547" t="s">
        <v>3838</v>
      </c>
      <c r="N1547" t="s">
        <v>3</v>
      </c>
      <c r="O1547" t="s">
        <v>3</v>
      </c>
      <c r="P1547" t="s">
        <v>5</v>
      </c>
      <c r="Q1547" t="s">
        <v>3839</v>
      </c>
      <c r="R1547" t="s">
        <v>3</v>
      </c>
      <c r="S1547" t="s">
        <v>3</v>
      </c>
      <c r="T1547" t="s">
        <v>3</v>
      </c>
      <c r="U1547" t="s">
        <v>3</v>
      </c>
      <c r="V1547" t="s">
        <v>3</v>
      </c>
      <c r="W1547" t="s">
        <v>68</v>
      </c>
      <c r="X1547" s="17">
        <v>43646</v>
      </c>
      <c r="Y1547" t="s">
        <v>2504</v>
      </c>
      <c r="Z1547" s="17">
        <v>43555</v>
      </c>
      <c r="AA1547" t="s">
        <v>3</v>
      </c>
      <c r="AB1547" t="s">
        <v>3836</v>
      </c>
    </row>
    <row r="1548" spans="1:28" hidden="1">
      <c r="A1548" t="s">
        <v>3849</v>
      </c>
      <c r="B1548" s="17">
        <v>43555</v>
      </c>
      <c r="C1548" s="17">
        <v>43555</v>
      </c>
      <c r="D1548" t="s">
        <v>0</v>
      </c>
      <c r="E1548" t="s">
        <v>1</v>
      </c>
      <c r="F1548" s="18">
        <v>9997</v>
      </c>
      <c r="G1548" s="18">
        <v>9997</v>
      </c>
      <c r="H1548" t="s">
        <v>2</v>
      </c>
      <c r="I1548" t="s">
        <v>10</v>
      </c>
      <c r="J1548" s="18">
        <v>831750.4</v>
      </c>
      <c r="K1548" t="s">
        <v>3830</v>
      </c>
      <c r="L1548" t="s">
        <v>9</v>
      </c>
      <c r="M1548" t="s">
        <v>3850</v>
      </c>
      <c r="N1548" t="s">
        <v>3</v>
      </c>
      <c r="O1548" t="s">
        <v>3</v>
      </c>
      <c r="P1548" t="s">
        <v>5</v>
      </c>
      <c r="Q1548" t="s">
        <v>3851</v>
      </c>
      <c r="R1548" t="s">
        <v>3</v>
      </c>
      <c r="S1548" t="s">
        <v>3</v>
      </c>
      <c r="T1548" t="s">
        <v>3</v>
      </c>
      <c r="U1548" t="s">
        <v>3</v>
      </c>
      <c r="V1548" t="s">
        <v>3</v>
      </c>
      <c r="W1548" t="s">
        <v>68</v>
      </c>
      <c r="X1548" s="17">
        <v>43646</v>
      </c>
      <c r="Y1548" t="s">
        <v>2504</v>
      </c>
      <c r="Z1548" s="17">
        <v>43555</v>
      </c>
      <c r="AA1548" t="s">
        <v>3</v>
      </c>
      <c r="AB1548" t="s">
        <v>3849</v>
      </c>
    </row>
    <row r="1549" spans="1:28" hidden="1">
      <c r="A1549" t="s">
        <v>3852</v>
      </c>
      <c r="B1549" s="17">
        <v>43555</v>
      </c>
      <c r="C1549" s="17">
        <v>43555</v>
      </c>
      <c r="D1549" t="s">
        <v>0</v>
      </c>
      <c r="E1549" t="s">
        <v>1</v>
      </c>
      <c r="F1549" s="18">
        <v>10511.38</v>
      </c>
      <c r="G1549" s="18">
        <v>10511.38</v>
      </c>
      <c r="H1549" t="s">
        <v>2</v>
      </c>
      <c r="I1549" t="s">
        <v>8</v>
      </c>
      <c r="J1549" s="18">
        <v>874546.82</v>
      </c>
      <c r="K1549" t="s">
        <v>3853</v>
      </c>
      <c r="L1549" t="s">
        <v>4</v>
      </c>
      <c r="M1549" t="s">
        <v>3854</v>
      </c>
      <c r="N1549" t="s">
        <v>3</v>
      </c>
      <c r="O1549" t="s">
        <v>3</v>
      </c>
      <c r="P1549" t="s">
        <v>5</v>
      </c>
      <c r="Q1549" t="s">
        <v>3855</v>
      </c>
      <c r="R1549" t="s">
        <v>3</v>
      </c>
      <c r="S1549" t="s">
        <v>3</v>
      </c>
      <c r="T1549" t="s">
        <v>3</v>
      </c>
      <c r="U1549" t="s">
        <v>3</v>
      </c>
      <c r="V1549" t="s">
        <v>3</v>
      </c>
      <c r="W1549" t="s">
        <v>68</v>
      </c>
      <c r="X1549" s="17"/>
      <c r="Y1549" t="s">
        <v>3</v>
      </c>
      <c r="Z1549" s="17">
        <v>43555</v>
      </c>
      <c r="AA1549" t="s">
        <v>3</v>
      </c>
      <c r="AB1549" t="s">
        <v>3852</v>
      </c>
    </row>
    <row r="1550" spans="1:28" hidden="1">
      <c r="A1550" t="s">
        <v>3856</v>
      </c>
      <c r="B1550" s="17">
        <v>43555</v>
      </c>
      <c r="C1550" s="17">
        <v>43555</v>
      </c>
      <c r="D1550" t="s">
        <v>0</v>
      </c>
      <c r="E1550" t="s">
        <v>1</v>
      </c>
      <c r="F1550" s="18">
        <v>7412</v>
      </c>
      <c r="G1550" s="18">
        <v>7412</v>
      </c>
      <c r="H1550" t="s">
        <v>2</v>
      </c>
      <c r="I1550" t="s">
        <v>8</v>
      </c>
      <c r="J1550" s="18">
        <v>616678.40000000002</v>
      </c>
      <c r="K1550" t="s">
        <v>3824</v>
      </c>
      <c r="L1550" t="s">
        <v>9</v>
      </c>
      <c r="M1550" t="s">
        <v>3857</v>
      </c>
      <c r="N1550" t="s">
        <v>3</v>
      </c>
      <c r="O1550" t="s">
        <v>3</v>
      </c>
      <c r="P1550" t="s">
        <v>5</v>
      </c>
      <c r="Q1550" t="s">
        <v>3858</v>
      </c>
      <c r="R1550" t="s">
        <v>3</v>
      </c>
      <c r="S1550" t="s">
        <v>3</v>
      </c>
      <c r="T1550" t="s">
        <v>3</v>
      </c>
      <c r="U1550" t="s">
        <v>3</v>
      </c>
      <c r="V1550" t="s">
        <v>3</v>
      </c>
      <c r="W1550" t="s">
        <v>68</v>
      </c>
      <c r="X1550" s="17">
        <v>43646</v>
      </c>
      <c r="Y1550" t="s">
        <v>2512</v>
      </c>
      <c r="Z1550" s="17">
        <v>43555</v>
      </c>
      <c r="AA1550" t="s">
        <v>3</v>
      </c>
      <c r="AB1550" t="s">
        <v>3856</v>
      </c>
    </row>
    <row r="1551" spans="1:28" hidden="1">
      <c r="A1551" t="s">
        <v>3859</v>
      </c>
      <c r="B1551" s="17">
        <v>43555</v>
      </c>
      <c r="C1551" s="17">
        <v>43555</v>
      </c>
      <c r="D1551" t="s">
        <v>0</v>
      </c>
      <c r="E1551" t="s">
        <v>1</v>
      </c>
      <c r="F1551" s="18">
        <v>73296</v>
      </c>
      <c r="G1551" s="18">
        <v>73296</v>
      </c>
      <c r="H1551" t="s">
        <v>2</v>
      </c>
      <c r="I1551" t="s">
        <v>8</v>
      </c>
      <c r="J1551" s="18">
        <v>6079903.2000000002</v>
      </c>
      <c r="K1551" t="s">
        <v>3845</v>
      </c>
      <c r="L1551" t="s">
        <v>9</v>
      </c>
      <c r="M1551" t="s">
        <v>3860</v>
      </c>
      <c r="N1551" t="s">
        <v>3</v>
      </c>
      <c r="O1551" t="s">
        <v>3</v>
      </c>
      <c r="P1551" t="s">
        <v>5</v>
      </c>
      <c r="Q1551" t="s">
        <v>3861</v>
      </c>
      <c r="R1551" t="s">
        <v>3</v>
      </c>
      <c r="S1551" t="s">
        <v>3</v>
      </c>
      <c r="T1551" t="s">
        <v>3</v>
      </c>
      <c r="U1551" t="s">
        <v>3</v>
      </c>
      <c r="V1551" t="s">
        <v>3</v>
      </c>
      <c r="W1551" t="s">
        <v>68</v>
      </c>
      <c r="X1551" s="17">
        <v>43646</v>
      </c>
      <c r="Y1551" t="s">
        <v>2472</v>
      </c>
      <c r="Z1551" s="17">
        <v>43555</v>
      </c>
      <c r="AA1551" t="s">
        <v>3</v>
      </c>
      <c r="AB1551" t="s">
        <v>3859</v>
      </c>
    </row>
    <row r="1552" spans="1:28" hidden="1">
      <c r="A1552" t="s">
        <v>3859</v>
      </c>
      <c r="B1552" s="17">
        <v>43555</v>
      </c>
      <c r="C1552" s="17">
        <v>43555</v>
      </c>
      <c r="D1552" t="s">
        <v>0</v>
      </c>
      <c r="E1552" t="s">
        <v>1</v>
      </c>
      <c r="F1552" s="18">
        <v>40292</v>
      </c>
      <c r="G1552" s="18">
        <v>40292</v>
      </c>
      <c r="H1552" t="s">
        <v>2</v>
      </c>
      <c r="I1552" t="s">
        <v>8</v>
      </c>
      <c r="J1552" s="18">
        <v>3342221.4</v>
      </c>
      <c r="K1552" t="s">
        <v>3848</v>
      </c>
      <c r="L1552" t="s">
        <v>9</v>
      </c>
      <c r="M1552" t="s">
        <v>3860</v>
      </c>
      <c r="N1552" t="s">
        <v>3</v>
      </c>
      <c r="O1552" t="s">
        <v>3</v>
      </c>
      <c r="P1552" t="s">
        <v>5</v>
      </c>
      <c r="Q1552" t="s">
        <v>3861</v>
      </c>
      <c r="R1552" t="s">
        <v>3</v>
      </c>
      <c r="S1552" t="s">
        <v>3</v>
      </c>
      <c r="T1552" t="s">
        <v>3</v>
      </c>
      <c r="U1552" t="s">
        <v>3</v>
      </c>
      <c r="V1552" t="s">
        <v>3</v>
      </c>
      <c r="W1552" t="s">
        <v>68</v>
      </c>
      <c r="X1552" s="17">
        <v>43646</v>
      </c>
      <c r="Y1552" t="s">
        <v>2479</v>
      </c>
      <c r="Z1552" s="17">
        <v>43555</v>
      </c>
      <c r="AA1552" t="s">
        <v>3</v>
      </c>
      <c r="AB1552" t="s">
        <v>3859</v>
      </c>
    </row>
    <row r="1553" spans="1:28" hidden="1">
      <c r="A1553" t="s">
        <v>3862</v>
      </c>
      <c r="B1553" s="17">
        <v>43555</v>
      </c>
      <c r="C1553" s="17">
        <v>43555</v>
      </c>
      <c r="D1553" t="s">
        <v>0</v>
      </c>
      <c r="E1553" t="s">
        <v>1</v>
      </c>
      <c r="F1553" s="18">
        <v>683</v>
      </c>
      <c r="G1553" s="18">
        <v>683</v>
      </c>
      <c r="H1553" t="s">
        <v>2</v>
      </c>
      <c r="I1553" t="s">
        <v>8</v>
      </c>
      <c r="J1553" s="18">
        <v>56825.599999999999</v>
      </c>
      <c r="K1553" t="s">
        <v>3863</v>
      </c>
      <c r="L1553" t="s">
        <v>9</v>
      </c>
      <c r="M1553" t="s">
        <v>3863</v>
      </c>
      <c r="N1553" t="s">
        <v>3</v>
      </c>
      <c r="O1553" t="s">
        <v>3</v>
      </c>
      <c r="P1553" t="s">
        <v>5</v>
      </c>
      <c r="Q1553" t="s">
        <v>3864</v>
      </c>
      <c r="R1553" t="s">
        <v>3</v>
      </c>
      <c r="S1553" t="s">
        <v>3</v>
      </c>
      <c r="T1553" t="s">
        <v>3</v>
      </c>
      <c r="U1553" t="s">
        <v>3</v>
      </c>
      <c r="V1553" t="s">
        <v>3</v>
      </c>
      <c r="W1553" t="s">
        <v>68</v>
      </c>
      <c r="X1553" s="17">
        <v>43646</v>
      </c>
      <c r="Y1553" t="s">
        <v>2512</v>
      </c>
      <c r="Z1553" s="17">
        <v>43555</v>
      </c>
      <c r="AA1553" t="s">
        <v>3</v>
      </c>
      <c r="AB1553" t="s">
        <v>3862</v>
      </c>
    </row>
    <row r="1554" spans="1:28" hidden="1">
      <c r="A1554" t="s">
        <v>3865</v>
      </c>
      <c r="B1554" s="17">
        <v>43555</v>
      </c>
      <c r="C1554" s="17">
        <v>43555</v>
      </c>
      <c r="D1554" t="s">
        <v>0</v>
      </c>
      <c r="E1554" t="s">
        <v>1</v>
      </c>
      <c r="F1554" s="18">
        <v>6911.5</v>
      </c>
      <c r="G1554" s="18">
        <v>6911.5</v>
      </c>
      <c r="H1554" t="s">
        <v>2</v>
      </c>
      <c r="I1554" t="s">
        <v>8</v>
      </c>
      <c r="J1554" s="18">
        <v>575036.80000000005</v>
      </c>
      <c r="K1554" t="s">
        <v>3841</v>
      </c>
      <c r="L1554" t="s">
        <v>4</v>
      </c>
      <c r="M1554" t="s">
        <v>3866</v>
      </c>
      <c r="N1554" t="s">
        <v>3</v>
      </c>
      <c r="O1554" t="s">
        <v>3</v>
      </c>
      <c r="P1554" t="s">
        <v>5</v>
      </c>
      <c r="Q1554" t="s">
        <v>3867</v>
      </c>
      <c r="R1554" t="s">
        <v>3</v>
      </c>
      <c r="S1554" t="s">
        <v>3</v>
      </c>
      <c r="T1554" t="s">
        <v>3</v>
      </c>
      <c r="U1554" t="s">
        <v>3</v>
      </c>
      <c r="V1554" t="s">
        <v>3</v>
      </c>
      <c r="W1554" t="s">
        <v>68</v>
      </c>
      <c r="X1554" s="17"/>
      <c r="Y1554" t="s">
        <v>3</v>
      </c>
      <c r="Z1554" s="17">
        <v>43555</v>
      </c>
      <c r="AA1554" t="s">
        <v>3</v>
      </c>
      <c r="AB1554" t="s">
        <v>3865</v>
      </c>
    </row>
    <row r="1555" spans="1:28" hidden="1">
      <c r="A1555" t="s">
        <v>3871</v>
      </c>
      <c r="B1555" s="17">
        <v>43555</v>
      </c>
      <c r="C1555" s="17">
        <v>43555</v>
      </c>
      <c r="D1555" t="s">
        <v>0</v>
      </c>
      <c r="E1555" t="s">
        <v>1</v>
      </c>
      <c r="F1555" s="18">
        <v>-46741.62</v>
      </c>
      <c r="G1555" s="18">
        <v>-46741.62</v>
      </c>
      <c r="H1555" t="s">
        <v>2</v>
      </c>
      <c r="I1555" t="s">
        <v>8</v>
      </c>
      <c r="J1555" s="18">
        <v>-3877217.38</v>
      </c>
      <c r="K1555" t="s">
        <v>2314</v>
      </c>
      <c r="L1555" t="s">
        <v>9</v>
      </c>
      <c r="M1555" t="s">
        <v>2315</v>
      </c>
      <c r="N1555" t="s">
        <v>3</v>
      </c>
      <c r="O1555" t="s">
        <v>3</v>
      </c>
      <c r="P1555" t="s">
        <v>5</v>
      </c>
      <c r="Q1555" t="s">
        <v>2316</v>
      </c>
      <c r="R1555" t="s">
        <v>3</v>
      </c>
      <c r="S1555" t="s">
        <v>3</v>
      </c>
      <c r="T1555" t="s">
        <v>3</v>
      </c>
      <c r="U1555" t="s">
        <v>3</v>
      </c>
      <c r="V1555" t="s">
        <v>3</v>
      </c>
      <c r="W1555" t="s">
        <v>68</v>
      </c>
      <c r="X1555" s="17">
        <v>43556</v>
      </c>
      <c r="Y1555" t="s">
        <v>2313</v>
      </c>
      <c r="Z1555" s="17">
        <v>43555</v>
      </c>
      <c r="AA1555" t="s">
        <v>3</v>
      </c>
      <c r="AB1555" t="s">
        <v>3871</v>
      </c>
    </row>
    <row r="1556" spans="1:28" hidden="1">
      <c r="A1556" t="s">
        <v>3872</v>
      </c>
      <c r="B1556" s="17">
        <v>43555</v>
      </c>
      <c r="C1556" s="17">
        <v>43555</v>
      </c>
      <c r="D1556" t="s">
        <v>0</v>
      </c>
      <c r="E1556" t="s">
        <v>1</v>
      </c>
      <c r="F1556" s="18">
        <v>89165.05</v>
      </c>
      <c r="G1556" s="18">
        <v>89165.05</v>
      </c>
      <c r="H1556" t="s">
        <v>2</v>
      </c>
      <c r="I1556" t="s">
        <v>8</v>
      </c>
      <c r="J1556" s="18">
        <v>7418532.1600000001</v>
      </c>
      <c r="K1556" t="s">
        <v>2318</v>
      </c>
      <c r="L1556" t="s">
        <v>4</v>
      </c>
      <c r="M1556" t="s">
        <v>2319</v>
      </c>
      <c r="N1556" t="s">
        <v>3</v>
      </c>
      <c r="O1556" t="s">
        <v>3</v>
      </c>
      <c r="P1556" t="s">
        <v>5</v>
      </c>
      <c r="Q1556" t="s">
        <v>2318</v>
      </c>
      <c r="R1556" t="s">
        <v>3</v>
      </c>
      <c r="S1556" t="s">
        <v>3</v>
      </c>
      <c r="T1556" t="s">
        <v>3</v>
      </c>
      <c r="U1556" t="s">
        <v>3</v>
      </c>
      <c r="V1556" t="s">
        <v>3</v>
      </c>
      <c r="W1556" t="s">
        <v>68</v>
      </c>
      <c r="X1556" s="17">
        <v>43556</v>
      </c>
      <c r="Y1556" t="s">
        <v>2317</v>
      </c>
      <c r="Z1556" s="17">
        <v>43555</v>
      </c>
      <c r="AA1556" t="s">
        <v>3</v>
      </c>
      <c r="AB1556" t="s">
        <v>3872</v>
      </c>
    </row>
    <row r="1557" spans="1:28" hidden="1">
      <c r="A1557" t="s">
        <v>2313</v>
      </c>
      <c r="B1557" s="17">
        <v>43556</v>
      </c>
      <c r="C1557" s="17">
        <v>43555</v>
      </c>
      <c r="D1557" t="s">
        <v>38</v>
      </c>
      <c r="E1557" t="s">
        <v>1</v>
      </c>
      <c r="F1557" s="18">
        <v>46741.62</v>
      </c>
      <c r="G1557" s="18">
        <v>46741.62</v>
      </c>
      <c r="H1557" t="s">
        <v>2</v>
      </c>
      <c r="I1557" t="s">
        <v>8</v>
      </c>
      <c r="J1557" s="18">
        <v>3877217.38</v>
      </c>
      <c r="K1557" t="s">
        <v>2314</v>
      </c>
      <c r="L1557" t="s">
        <v>9</v>
      </c>
      <c r="M1557" t="s">
        <v>2315</v>
      </c>
      <c r="N1557" t="s">
        <v>3</v>
      </c>
      <c r="O1557" t="s">
        <v>3</v>
      </c>
      <c r="P1557" t="s">
        <v>5</v>
      </c>
      <c r="Q1557" t="s">
        <v>2316</v>
      </c>
      <c r="R1557" t="s">
        <v>3</v>
      </c>
      <c r="S1557" t="s">
        <v>3</v>
      </c>
      <c r="T1557" t="s">
        <v>3</v>
      </c>
      <c r="U1557" t="s">
        <v>3</v>
      </c>
      <c r="V1557" t="s">
        <v>3</v>
      </c>
      <c r="W1557" t="s">
        <v>68</v>
      </c>
      <c r="X1557" s="17">
        <v>43556</v>
      </c>
      <c r="Y1557" t="s">
        <v>2313</v>
      </c>
      <c r="Z1557" s="17">
        <v>43555</v>
      </c>
      <c r="AA1557" t="s">
        <v>3</v>
      </c>
      <c r="AB1557" t="s">
        <v>2313</v>
      </c>
    </row>
    <row r="1558" spans="1:28" hidden="1">
      <c r="A1558" t="s">
        <v>2317</v>
      </c>
      <c r="B1558" s="17">
        <v>43556</v>
      </c>
      <c r="C1558" s="17">
        <v>43555</v>
      </c>
      <c r="D1558" t="s">
        <v>38</v>
      </c>
      <c r="E1558" t="s">
        <v>1</v>
      </c>
      <c r="F1558" s="18">
        <v>-89165.05</v>
      </c>
      <c r="G1558" s="18">
        <v>-89165.05</v>
      </c>
      <c r="H1558" t="s">
        <v>2</v>
      </c>
      <c r="I1558" t="s">
        <v>8</v>
      </c>
      <c r="J1558" s="18">
        <v>-7418532.1600000001</v>
      </c>
      <c r="K1558" t="s">
        <v>2318</v>
      </c>
      <c r="L1558" t="s">
        <v>4</v>
      </c>
      <c r="M1558" t="s">
        <v>2319</v>
      </c>
      <c r="N1558" t="s">
        <v>3</v>
      </c>
      <c r="O1558" t="s">
        <v>3</v>
      </c>
      <c r="P1558" t="s">
        <v>5</v>
      </c>
      <c r="Q1558" t="s">
        <v>2318</v>
      </c>
      <c r="R1558" t="s">
        <v>3</v>
      </c>
      <c r="S1558" t="s">
        <v>3</v>
      </c>
      <c r="T1558" t="s">
        <v>3</v>
      </c>
      <c r="U1558" t="s">
        <v>3</v>
      </c>
      <c r="V1558" t="s">
        <v>3</v>
      </c>
      <c r="W1558" t="s">
        <v>68</v>
      </c>
      <c r="X1558" s="17">
        <v>43556</v>
      </c>
      <c r="Y1558" t="s">
        <v>2317</v>
      </c>
      <c r="Z1558" s="17">
        <v>43555</v>
      </c>
      <c r="AA1558" t="s">
        <v>3</v>
      </c>
      <c r="AB1558" t="s">
        <v>2317</v>
      </c>
    </row>
    <row r="1559" spans="1:28" hidden="1">
      <c r="A1559" t="s">
        <v>3885</v>
      </c>
      <c r="B1559" s="17">
        <v>43556</v>
      </c>
      <c r="C1559" s="17">
        <v>43556</v>
      </c>
      <c r="D1559" t="s">
        <v>0</v>
      </c>
      <c r="E1559" t="s">
        <v>1</v>
      </c>
      <c r="F1559" s="18">
        <v>-46693</v>
      </c>
      <c r="G1559" s="18">
        <v>-46693</v>
      </c>
      <c r="H1559" t="s">
        <v>2</v>
      </c>
      <c r="I1559" t="s">
        <v>10</v>
      </c>
      <c r="J1559" s="18">
        <v>-3889526.9</v>
      </c>
      <c r="K1559" t="s">
        <v>3886</v>
      </c>
      <c r="L1559" t="s">
        <v>9</v>
      </c>
      <c r="M1559" t="s">
        <v>3887</v>
      </c>
      <c r="N1559" t="s">
        <v>3</v>
      </c>
      <c r="O1559" t="s">
        <v>3</v>
      </c>
      <c r="P1559" t="s">
        <v>5</v>
      </c>
      <c r="Q1559" t="s">
        <v>3888</v>
      </c>
      <c r="R1559" t="s">
        <v>3</v>
      </c>
      <c r="S1559" t="s">
        <v>3</v>
      </c>
      <c r="T1559" t="s">
        <v>3</v>
      </c>
      <c r="U1559" t="s">
        <v>3</v>
      </c>
      <c r="V1559" t="s">
        <v>3</v>
      </c>
      <c r="W1559" t="s">
        <v>68</v>
      </c>
      <c r="X1559" s="17">
        <v>43646</v>
      </c>
      <c r="Y1559" t="s">
        <v>2518</v>
      </c>
      <c r="Z1559" s="17">
        <v>43556</v>
      </c>
      <c r="AA1559" t="s">
        <v>3</v>
      </c>
      <c r="AB1559" t="s">
        <v>3885</v>
      </c>
    </row>
    <row r="1560" spans="1:28" hidden="1">
      <c r="A1560" t="s">
        <v>3873</v>
      </c>
      <c r="B1560" s="17">
        <v>43558</v>
      </c>
      <c r="C1560" s="17">
        <v>43558</v>
      </c>
      <c r="D1560" t="s">
        <v>0</v>
      </c>
      <c r="E1560" t="s">
        <v>1</v>
      </c>
      <c r="F1560" s="18">
        <v>71179</v>
      </c>
      <c r="G1560" s="18">
        <v>71179</v>
      </c>
      <c r="H1560" t="s">
        <v>2</v>
      </c>
      <c r="I1560" t="s">
        <v>8</v>
      </c>
      <c r="J1560" s="18">
        <v>5904298.0499999998</v>
      </c>
      <c r="K1560" t="s">
        <v>3874</v>
      </c>
      <c r="L1560" t="s">
        <v>9</v>
      </c>
      <c r="M1560" t="s">
        <v>3875</v>
      </c>
      <c r="N1560" t="s">
        <v>3</v>
      </c>
      <c r="O1560" t="s">
        <v>3</v>
      </c>
      <c r="P1560" t="s">
        <v>5</v>
      </c>
      <c r="Q1560" t="s">
        <v>3876</v>
      </c>
      <c r="R1560" t="s">
        <v>3</v>
      </c>
      <c r="S1560" t="s">
        <v>3</v>
      </c>
      <c r="T1560" t="s">
        <v>3</v>
      </c>
      <c r="U1560" t="s">
        <v>3</v>
      </c>
      <c r="V1560" t="s">
        <v>3</v>
      </c>
      <c r="W1560" t="s">
        <v>68</v>
      </c>
      <c r="X1560" s="17">
        <v>43646</v>
      </c>
      <c r="Y1560" t="s">
        <v>2472</v>
      </c>
      <c r="Z1560" s="17">
        <v>43558</v>
      </c>
      <c r="AA1560" t="s">
        <v>3</v>
      </c>
      <c r="AB1560" t="s">
        <v>3873</v>
      </c>
    </row>
    <row r="1561" spans="1:28" hidden="1">
      <c r="A1561" t="s">
        <v>3877</v>
      </c>
      <c r="B1561" s="17">
        <v>43558</v>
      </c>
      <c r="C1561" s="17">
        <v>43558</v>
      </c>
      <c r="D1561" t="s">
        <v>0</v>
      </c>
      <c r="E1561" t="s">
        <v>1</v>
      </c>
      <c r="F1561" s="18">
        <v>1093</v>
      </c>
      <c r="G1561" s="18">
        <v>1093</v>
      </c>
      <c r="H1561" t="s">
        <v>2</v>
      </c>
      <c r="I1561" t="s">
        <v>8</v>
      </c>
      <c r="J1561" s="18">
        <v>90937.600000000006</v>
      </c>
      <c r="K1561" t="s">
        <v>3878</v>
      </c>
      <c r="L1561" t="s">
        <v>9</v>
      </c>
      <c r="M1561" t="s">
        <v>3879</v>
      </c>
      <c r="N1561" t="s">
        <v>3</v>
      </c>
      <c r="O1561" t="s">
        <v>3</v>
      </c>
      <c r="P1561" t="s">
        <v>5</v>
      </c>
      <c r="Q1561" t="s">
        <v>3880</v>
      </c>
      <c r="R1561" t="s">
        <v>3</v>
      </c>
      <c r="S1561" t="s">
        <v>3</v>
      </c>
      <c r="T1561" t="s">
        <v>3</v>
      </c>
      <c r="U1561" t="s">
        <v>3</v>
      </c>
      <c r="V1561" t="s">
        <v>3</v>
      </c>
      <c r="W1561" t="s">
        <v>68</v>
      </c>
      <c r="X1561" s="17">
        <v>43646</v>
      </c>
      <c r="Y1561" t="s">
        <v>2512</v>
      </c>
      <c r="Z1561" s="17">
        <v>43558</v>
      </c>
      <c r="AA1561" t="s">
        <v>3</v>
      </c>
      <c r="AB1561" t="s">
        <v>3877</v>
      </c>
    </row>
    <row r="1562" spans="1:28" hidden="1">
      <c r="A1562" t="s">
        <v>3881</v>
      </c>
      <c r="B1562" s="17">
        <v>43558</v>
      </c>
      <c r="C1562" s="17">
        <v>43558</v>
      </c>
      <c r="D1562" t="s">
        <v>0</v>
      </c>
      <c r="E1562" t="s">
        <v>1</v>
      </c>
      <c r="F1562" s="18">
        <v>-1507657</v>
      </c>
      <c r="G1562" s="18">
        <v>-1507657</v>
      </c>
      <c r="H1562" t="s">
        <v>2</v>
      </c>
      <c r="I1562" t="s">
        <v>8</v>
      </c>
      <c r="J1562" s="18">
        <v>-125587828.09999999</v>
      </c>
      <c r="K1562" t="s">
        <v>3882</v>
      </c>
      <c r="L1562" t="s">
        <v>9</v>
      </c>
      <c r="M1562" t="s">
        <v>3883</v>
      </c>
      <c r="N1562" t="s">
        <v>3</v>
      </c>
      <c r="O1562" t="s">
        <v>3</v>
      </c>
      <c r="P1562" t="s">
        <v>5</v>
      </c>
      <c r="Q1562" t="s">
        <v>3884</v>
      </c>
      <c r="R1562" t="s">
        <v>3</v>
      </c>
      <c r="S1562" t="s">
        <v>3</v>
      </c>
      <c r="T1562" t="s">
        <v>3</v>
      </c>
      <c r="U1562" t="s">
        <v>3</v>
      </c>
      <c r="V1562" t="s">
        <v>3</v>
      </c>
      <c r="W1562" t="s">
        <v>68</v>
      </c>
      <c r="X1562" s="17">
        <v>43646</v>
      </c>
      <c r="Y1562" t="s">
        <v>2510</v>
      </c>
      <c r="Z1562" s="17">
        <v>43558</v>
      </c>
      <c r="AA1562" t="s">
        <v>3</v>
      </c>
      <c r="AB1562" t="s">
        <v>3881</v>
      </c>
    </row>
    <row r="1563" spans="1:28" hidden="1">
      <c r="A1563" t="s">
        <v>3889</v>
      </c>
      <c r="B1563" s="17">
        <v>43558</v>
      </c>
      <c r="C1563" s="17">
        <v>43558</v>
      </c>
      <c r="D1563" t="s">
        <v>0</v>
      </c>
      <c r="E1563" t="s">
        <v>1</v>
      </c>
      <c r="F1563" s="18">
        <v>89180.75</v>
      </c>
      <c r="G1563" s="18">
        <v>89180.75</v>
      </c>
      <c r="H1563" t="s">
        <v>2</v>
      </c>
      <c r="I1563" t="s">
        <v>10</v>
      </c>
      <c r="J1563" s="18">
        <v>7419838.4000000004</v>
      </c>
      <c r="K1563" t="s">
        <v>3890</v>
      </c>
      <c r="L1563" t="s">
        <v>4</v>
      </c>
      <c r="M1563" t="s">
        <v>3891</v>
      </c>
      <c r="N1563" t="s">
        <v>3</v>
      </c>
      <c r="O1563" t="s">
        <v>3</v>
      </c>
      <c r="P1563" t="s">
        <v>5</v>
      </c>
      <c r="Q1563" t="s">
        <v>3892</v>
      </c>
      <c r="R1563" t="s">
        <v>3</v>
      </c>
      <c r="S1563" t="s">
        <v>3</v>
      </c>
      <c r="T1563" t="s">
        <v>3</v>
      </c>
      <c r="U1563" t="s">
        <v>3</v>
      </c>
      <c r="V1563" t="s">
        <v>3</v>
      </c>
      <c r="W1563" t="s">
        <v>68</v>
      </c>
      <c r="X1563" s="17"/>
      <c r="Y1563" t="s">
        <v>3</v>
      </c>
      <c r="Z1563" s="17">
        <v>43558</v>
      </c>
      <c r="AA1563" t="s">
        <v>3</v>
      </c>
      <c r="AB1563" t="s">
        <v>3889</v>
      </c>
    </row>
    <row r="1564" spans="1:28" hidden="1">
      <c r="A1564" t="s">
        <v>3894</v>
      </c>
      <c r="B1564" s="17">
        <v>43559</v>
      </c>
      <c r="C1564" s="17">
        <v>43559</v>
      </c>
      <c r="D1564" t="s">
        <v>0</v>
      </c>
      <c r="E1564" t="s">
        <v>1</v>
      </c>
      <c r="F1564" s="18">
        <v>7472</v>
      </c>
      <c r="G1564" s="18">
        <v>7472</v>
      </c>
      <c r="H1564" t="s">
        <v>2</v>
      </c>
      <c r="I1564" t="s">
        <v>8</v>
      </c>
      <c r="J1564" s="18">
        <v>621670.40000000002</v>
      </c>
      <c r="K1564" t="s">
        <v>3</v>
      </c>
      <c r="L1564" t="s">
        <v>9</v>
      </c>
      <c r="M1564" t="s">
        <v>3895</v>
      </c>
      <c r="N1564" t="s">
        <v>3</v>
      </c>
      <c r="O1564" t="s">
        <v>3</v>
      </c>
      <c r="P1564" t="s">
        <v>5</v>
      </c>
      <c r="Q1564" t="s">
        <v>3896</v>
      </c>
      <c r="R1564" t="s">
        <v>3</v>
      </c>
      <c r="S1564" t="s">
        <v>3</v>
      </c>
      <c r="T1564" t="s">
        <v>3</v>
      </c>
      <c r="U1564" t="s">
        <v>3</v>
      </c>
      <c r="V1564" t="s">
        <v>3</v>
      </c>
      <c r="W1564" t="s">
        <v>68</v>
      </c>
      <c r="X1564" s="17">
        <v>43646</v>
      </c>
      <c r="Y1564" t="s">
        <v>2512</v>
      </c>
      <c r="Z1564" s="17">
        <v>43559</v>
      </c>
      <c r="AA1564" t="s">
        <v>3</v>
      </c>
      <c r="AB1564" t="s">
        <v>3894</v>
      </c>
    </row>
    <row r="1565" spans="1:28" hidden="1">
      <c r="A1565" t="s">
        <v>3897</v>
      </c>
      <c r="B1565" s="17">
        <v>43559</v>
      </c>
      <c r="C1565" s="17">
        <v>43559</v>
      </c>
      <c r="D1565" t="s">
        <v>0</v>
      </c>
      <c r="E1565" t="s">
        <v>1</v>
      </c>
      <c r="F1565" s="18">
        <v>60365</v>
      </c>
      <c r="G1565" s="18">
        <v>60365</v>
      </c>
      <c r="H1565" t="s">
        <v>2</v>
      </c>
      <c r="I1565" t="s">
        <v>8</v>
      </c>
      <c r="J1565" s="18">
        <v>5007276.75</v>
      </c>
      <c r="K1565" t="s">
        <v>3874</v>
      </c>
      <c r="L1565" t="s">
        <v>9</v>
      </c>
      <c r="M1565" t="s">
        <v>3898</v>
      </c>
      <c r="N1565" t="s">
        <v>3</v>
      </c>
      <c r="O1565" t="s">
        <v>3</v>
      </c>
      <c r="P1565" t="s">
        <v>5</v>
      </c>
      <c r="Q1565" t="s">
        <v>3899</v>
      </c>
      <c r="R1565" t="s">
        <v>3</v>
      </c>
      <c r="S1565" t="s">
        <v>3</v>
      </c>
      <c r="T1565" t="s">
        <v>3</v>
      </c>
      <c r="U1565" t="s">
        <v>3</v>
      </c>
      <c r="V1565" t="s">
        <v>3</v>
      </c>
      <c r="W1565" t="s">
        <v>68</v>
      </c>
      <c r="X1565" s="17">
        <v>43646</v>
      </c>
      <c r="Y1565" t="s">
        <v>2472</v>
      </c>
      <c r="Z1565" s="17">
        <v>43559</v>
      </c>
      <c r="AA1565" t="s">
        <v>3</v>
      </c>
      <c r="AB1565" t="s">
        <v>3897</v>
      </c>
    </row>
    <row r="1566" spans="1:28" hidden="1">
      <c r="A1566" t="s">
        <v>3900</v>
      </c>
      <c r="B1566" s="17">
        <v>43562</v>
      </c>
      <c r="C1566" s="17">
        <v>43562</v>
      </c>
      <c r="D1566" t="s">
        <v>0</v>
      </c>
      <c r="E1566" t="s">
        <v>1</v>
      </c>
      <c r="F1566" s="18">
        <v>15574.5</v>
      </c>
      <c r="G1566" s="18">
        <v>15574.5</v>
      </c>
      <c r="H1566" t="s">
        <v>2</v>
      </c>
      <c r="I1566" t="s">
        <v>8</v>
      </c>
      <c r="J1566" s="18">
        <v>1295798.3999999999</v>
      </c>
      <c r="K1566" t="s">
        <v>3901</v>
      </c>
      <c r="L1566" t="s">
        <v>4</v>
      </c>
      <c r="M1566" t="s">
        <v>3902</v>
      </c>
      <c r="N1566" t="s">
        <v>3</v>
      </c>
      <c r="O1566" t="s">
        <v>3</v>
      </c>
      <c r="P1566" t="s">
        <v>5</v>
      </c>
      <c r="Q1566" t="s">
        <v>3903</v>
      </c>
      <c r="R1566" t="s">
        <v>3</v>
      </c>
      <c r="S1566" t="s">
        <v>3</v>
      </c>
      <c r="T1566" t="s">
        <v>3</v>
      </c>
      <c r="U1566" t="s">
        <v>3</v>
      </c>
      <c r="V1566" t="s">
        <v>3</v>
      </c>
      <c r="W1566" t="s">
        <v>68</v>
      </c>
      <c r="X1566" s="17"/>
      <c r="Y1566" t="s">
        <v>3</v>
      </c>
      <c r="Z1566" s="17">
        <v>43562</v>
      </c>
      <c r="AA1566" t="s">
        <v>3</v>
      </c>
      <c r="AB1566" t="s">
        <v>3900</v>
      </c>
    </row>
    <row r="1567" spans="1:28" hidden="1">
      <c r="A1567" t="s">
        <v>3904</v>
      </c>
      <c r="B1567" s="17">
        <v>43562</v>
      </c>
      <c r="C1567" s="17">
        <v>43562</v>
      </c>
      <c r="D1567" t="s">
        <v>0</v>
      </c>
      <c r="E1567" t="s">
        <v>1</v>
      </c>
      <c r="F1567" s="18">
        <v>-830506.31</v>
      </c>
      <c r="G1567" s="18">
        <v>-830506.31</v>
      </c>
      <c r="H1567" t="s">
        <v>2</v>
      </c>
      <c r="I1567" t="s">
        <v>8</v>
      </c>
      <c r="J1567" s="18">
        <v>-69181175.629999995</v>
      </c>
      <c r="K1567" t="s">
        <v>3905</v>
      </c>
      <c r="L1567" t="s">
        <v>4</v>
      </c>
      <c r="M1567" t="s">
        <v>3906</v>
      </c>
      <c r="N1567" t="s">
        <v>3</v>
      </c>
      <c r="O1567" t="s">
        <v>3</v>
      </c>
      <c r="P1567" t="s">
        <v>5</v>
      </c>
      <c r="Q1567" t="s">
        <v>3907</v>
      </c>
      <c r="R1567" t="s">
        <v>3</v>
      </c>
      <c r="S1567" t="s">
        <v>3</v>
      </c>
      <c r="T1567" t="s">
        <v>3</v>
      </c>
      <c r="U1567" t="s">
        <v>3</v>
      </c>
      <c r="V1567" t="s">
        <v>3</v>
      </c>
      <c r="W1567" t="s">
        <v>68</v>
      </c>
      <c r="X1567" s="17"/>
      <c r="Y1567" t="s">
        <v>3</v>
      </c>
      <c r="Z1567" s="17">
        <v>43562</v>
      </c>
      <c r="AA1567" t="s">
        <v>3</v>
      </c>
      <c r="AB1567" t="s">
        <v>3904</v>
      </c>
    </row>
    <row r="1568" spans="1:28" hidden="1">
      <c r="A1568" t="s">
        <v>3908</v>
      </c>
      <c r="B1568" s="17">
        <v>43562</v>
      </c>
      <c r="C1568" s="17">
        <v>43562</v>
      </c>
      <c r="D1568" t="s">
        <v>0</v>
      </c>
      <c r="E1568" t="s">
        <v>1</v>
      </c>
      <c r="F1568" s="18">
        <v>27972</v>
      </c>
      <c r="G1568" s="18">
        <v>27972</v>
      </c>
      <c r="H1568" t="s">
        <v>2</v>
      </c>
      <c r="I1568" t="s">
        <v>8</v>
      </c>
      <c r="J1568" s="18">
        <v>2327270.3999999999</v>
      </c>
      <c r="K1568" t="s">
        <v>3878</v>
      </c>
      <c r="L1568" t="s">
        <v>9</v>
      </c>
      <c r="M1568" t="s">
        <v>3909</v>
      </c>
      <c r="N1568" t="s">
        <v>3</v>
      </c>
      <c r="O1568" t="s">
        <v>3</v>
      </c>
      <c r="P1568" t="s">
        <v>5</v>
      </c>
      <c r="Q1568" t="s">
        <v>3910</v>
      </c>
      <c r="R1568" t="s">
        <v>3</v>
      </c>
      <c r="S1568" t="s">
        <v>3</v>
      </c>
      <c r="T1568" t="s">
        <v>3</v>
      </c>
      <c r="U1568" t="s">
        <v>3</v>
      </c>
      <c r="V1568" t="s">
        <v>3</v>
      </c>
      <c r="W1568" t="s">
        <v>68</v>
      </c>
      <c r="X1568" s="17">
        <v>43646</v>
      </c>
      <c r="Y1568" t="s">
        <v>2512</v>
      </c>
      <c r="Z1568" s="17">
        <v>43562</v>
      </c>
      <c r="AA1568" t="s">
        <v>3</v>
      </c>
      <c r="AB1568" t="s">
        <v>3908</v>
      </c>
    </row>
    <row r="1569" spans="1:28" hidden="1">
      <c r="A1569" t="s">
        <v>3911</v>
      </c>
      <c r="B1569" s="17">
        <v>43562</v>
      </c>
      <c r="C1569" s="17">
        <v>43562</v>
      </c>
      <c r="D1569" t="s">
        <v>0</v>
      </c>
      <c r="E1569" t="s">
        <v>1</v>
      </c>
      <c r="F1569" s="18">
        <v>50242.78</v>
      </c>
      <c r="G1569" s="18">
        <v>50242.78</v>
      </c>
      <c r="H1569" t="s">
        <v>2</v>
      </c>
      <c r="I1569" t="s">
        <v>8</v>
      </c>
      <c r="J1569" s="18">
        <v>4180199.3</v>
      </c>
      <c r="K1569" t="s">
        <v>3901</v>
      </c>
      <c r="L1569" t="s">
        <v>4</v>
      </c>
      <c r="M1569" t="s">
        <v>3912</v>
      </c>
      <c r="N1569" t="s">
        <v>3</v>
      </c>
      <c r="O1569" t="s">
        <v>3</v>
      </c>
      <c r="P1569" t="s">
        <v>5</v>
      </c>
      <c r="Q1569" t="s">
        <v>3913</v>
      </c>
      <c r="R1569" t="s">
        <v>3</v>
      </c>
      <c r="S1569" t="s">
        <v>3</v>
      </c>
      <c r="T1569" t="s">
        <v>3</v>
      </c>
      <c r="U1569" t="s">
        <v>3</v>
      </c>
      <c r="V1569" t="s">
        <v>3</v>
      </c>
      <c r="W1569" t="s">
        <v>68</v>
      </c>
      <c r="X1569" s="17"/>
      <c r="Y1569" t="s">
        <v>3</v>
      </c>
      <c r="Z1569" s="17">
        <v>43562</v>
      </c>
      <c r="AA1569" t="s">
        <v>3</v>
      </c>
      <c r="AB1569" t="s">
        <v>3911</v>
      </c>
    </row>
    <row r="1570" spans="1:28" hidden="1">
      <c r="A1570" t="s">
        <v>3914</v>
      </c>
      <c r="B1570" s="17">
        <v>43562</v>
      </c>
      <c r="C1570" s="17">
        <v>43562</v>
      </c>
      <c r="D1570" t="s">
        <v>0</v>
      </c>
      <c r="E1570" t="s">
        <v>1</v>
      </c>
      <c r="F1570" s="18">
        <v>135566.92000000001</v>
      </c>
      <c r="G1570" s="18">
        <v>135566.92000000001</v>
      </c>
      <c r="H1570" t="s">
        <v>2</v>
      </c>
      <c r="I1570" t="s">
        <v>8</v>
      </c>
      <c r="J1570" s="18">
        <v>11279167.74</v>
      </c>
      <c r="K1570" t="s">
        <v>3901</v>
      </c>
      <c r="L1570" t="s">
        <v>4</v>
      </c>
      <c r="M1570" t="s">
        <v>3915</v>
      </c>
      <c r="N1570" t="s">
        <v>3</v>
      </c>
      <c r="O1570" t="s">
        <v>3</v>
      </c>
      <c r="P1570" t="s">
        <v>5</v>
      </c>
      <c r="Q1570" t="s">
        <v>3916</v>
      </c>
      <c r="R1570" t="s">
        <v>3</v>
      </c>
      <c r="S1570" t="s">
        <v>3</v>
      </c>
      <c r="T1570" t="s">
        <v>3</v>
      </c>
      <c r="U1570" t="s">
        <v>3</v>
      </c>
      <c r="V1570" t="s">
        <v>3</v>
      </c>
      <c r="W1570" t="s">
        <v>68</v>
      </c>
      <c r="X1570" s="17"/>
      <c r="Y1570" t="s">
        <v>3</v>
      </c>
      <c r="Z1570" s="17">
        <v>43562</v>
      </c>
      <c r="AA1570" t="s">
        <v>3</v>
      </c>
      <c r="AB1570" t="s">
        <v>3914</v>
      </c>
    </row>
    <row r="1571" spans="1:28" hidden="1">
      <c r="A1571" t="s">
        <v>3917</v>
      </c>
      <c r="B1571" s="17">
        <v>43562</v>
      </c>
      <c r="C1571" s="17">
        <v>43562</v>
      </c>
      <c r="D1571" t="s">
        <v>0</v>
      </c>
      <c r="E1571" t="s">
        <v>1</v>
      </c>
      <c r="F1571" s="18">
        <v>59623</v>
      </c>
      <c r="G1571" s="18">
        <v>59623</v>
      </c>
      <c r="H1571" t="s">
        <v>2</v>
      </c>
      <c r="I1571" t="s">
        <v>8</v>
      </c>
      <c r="J1571" s="18">
        <v>4945727.8499999996</v>
      </c>
      <c r="K1571" t="s">
        <v>3874</v>
      </c>
      <c r="L1571" t="s">
        <v>9</v>
      </c>
      <c r="M1571" t="s">
        <v>3918</v>
      </c>
      <c r="N1571" t="s">
        <v>3</v>
      </c>
      <c r="O1571" t="s">
        <v>3</v>
      </c>
      <c r="P1571" t="s">
        <v>5</v>
      </c>
      <c r="Q1571" t="s">
        <v>3919</v>
      </c>
      <c r="R1571" t="s">
        <v>3</v>
      </c>
      <c r="S1571" t="s">
        <v>3</v>
      </c>
      <c r="T1571" t="s">
        <v>3</v>
      </c>
      <c r="U1571" t="s">
        <v>3</v>
      </c>
      <c r="V1571" t="s">
        <v>3</v>
      </c>
      <c r="W1571" t="s">
        <v>68</v>
      </c>
      <c r="X1571" s="17">
        <v>43646</v>
      </c>
      <c r="Y1571" t="s">
        <v>2472</v>
      </c>
      <c r="Z1571" s="17">
        <v>43562</v>
      </c>
      <c r="AA1571" t="s">
        <v>3</v>
      </c>
      <c r="AB1571" t="s">
        <v>3917</v>
      </c>
    </row>
    <row r="1572" spans="1:28" hidden="1">
      <c r="A1572" t="s">
        <v>3917</v>
      </c>
      <c r="B1572" s="17">
        <v>43562</v>
      </c>
      <c r="C1572" s="17">
        <v>43562</v>
      </c>
      <c r="D1572" t="s">
        <v>0</v>
      </c>
      <c r="E1572" t="s">
        <v>1</v>
      </c>
      <c r="F1572" s="18">
        <v>52083</v>
      </c>
      <c r="G1572" s="18">
        <v>52083</v>
      </c>
      <c r="H1572" t="s">
        <v>2</v>
      </c>
      <c r="I1572" t="s">
        <v>8</v>
      </c>
      <c r="J1572" s="18">
        <v>4320284.8499999996</v>
      </c>
      <c r="K1572" t="s">
        <v>3920</v>
      </c>
      <c r="L1572" t="s">
        <v>9</v>
      </c>
      <c r="M1572" t="s">
        <v>3918</v>
      </c>
      <c r="N1572" t="s">
        <v>3</v>
      </c>
      <c r="O1572" t="s">
        <v>3</v>
      </c>
      <c r="P1572" t="s">
        <v>5</v>
      </c>
      <c r="Q1572" t="s">
        <v>3919</v>
      </c>
      <c r="R1572" t="s">
        <v>3</v>
      </c>
      <c r="S1572" t="s">
        <v>3</v>
      </c>
      <c r="T1572" t="s">
        <v>3</v>
      </c>
      <c r="U1572" t="s">
        <v>3</v>
      </c>
      <c r="V1572" t="s">
        <v>3</v>
      </c>
      <c r="W1572" t="s">
        <v>68</v>
      </c>
      <c r="X1572" s="17">
        <v>43646</v>
      </c>
      <c r="Y1572" t="s">
        <v>2479</v>
      </c>
      <c r="Z1572" s="17">
        <v>43562</v>
      </c>
      <c r="AA1572" t="s">
        <v>3</v>
      </c>
      <c r="AB1572" t="s">
        <v>3917</v>
      </c>
    </row>
    <row r="1573" spans="1:28" hidden="1">
      <c r="A1573" t="s">
        <v>2305</v>
      </c>
      <c r="B1573" s="17">
        <v>43563</v>
      </c>
      <c r="C1573" s="17">
        <v>43563</v>
      </c>
      <c r="D1573" t="s">
        <v>38</v>
      </c>
      <c r="E1573" t="s">
        <v>1</v>
      </c>
      <c r="F1573" s="18">
        <v>384598.62</v>
      </c>
      <c r="G1573" s="18">
        <v>384598.62</v>
      </c>
      <c r="H1573" t="s">
        <v>2</v>
      </c>
      <c r="I1573" t="s">
        <v>10</v>
      </c>
      <c r="J1573" s="18">
        <v>32037065.059999999</v>
      </c>
      <c r="K1573" t="s">
        <v>2306</v>
      </c>
      <c r="L1573" t="s">
        <v>9</v>
      </c>
      <c r="M1573" t="s">
        <v>2307</v>
      </c>
      <c r="N1573" t="s">
        <v>3</v>
      </c>
      <c r="O1573" t="s">
        <v>3</v>
      </c>
      <c r="P1573" t="s">
        <v>5</v>
      </c>
      <c r="Q1573" t="s">
        <v>2308</v>
      </c>
      <c r="R1573" t="s">
        <v>3</v>
      </c>
      <c r="S1573" t="s">
        <v>3</v>
      </c>
      <c r="T1573" t="s">
        <v>3</v>
      </c>
      <c r="U1573" t="s">
        <v>3</v>
      </c>
      <c r="V1573" t="s">
        <v>3</v>
      </c>
      <c r="W1573" t="s">
        <v>68</v>
      </c>
      <c r="X1573" s="17">
        <v>43563</v>
      </c>
      <c r="Y1573" t="s">
        <v>2305</v>
      </c>
      <c r="Z1573" s="17">
        <v>43563</v>
      </c>
      <c r="AA1573" t="s">
        <v>3</v>
      </c>
      <c r="AB1573" t="s">
        <v>2305</v>
      </c>
    </row>
    <row r="1574" spans="1:28" hidden="1">
      <c r="A1574" t="s">
        <v>3893</v>
      </c>
      <c r="B1574" s="17">
        <v>43563</v>
      </c>
      <c r="C1574" s="17">
        <v>43563</v>
      </c>
      <c r="D1574" t="s">
        <v>0</v>
      </c>
      <c r="E1574" t="s">
        <v>1</v>
      </c>
      <c r="F1574" s="18">
        <v>-384598.62</v>
      </c>
      <c r="G1574" s="18">
        <v>-384598.62</v>
      </c>
      <c r="H1574" t="s">
        <v>2</v>
      </c>
      <c r="I1574" t="s">
        <v>10</v>
      </c>
      <c r="J1574" s="18">
        <v>-32037065.059999999</v>
      </c>
      <c r="K1574" t="s">
        <v>2306</v>
      </c>
      <c r="L1574" t="s">
        <v>9</v>
      </c>
      <c r="M1574" t="s">
        <v>2307</v>
      </c>
      <c r="N1574" t="s">
        <v>3</v>
      </c>
      <c r="O1574" t="s">
        <v>3</v>
      </c>
      <c r="P1574" t="s">
        <v>5</v>
      </c>
      <c r="Q1574" t="s">
        <v>2308</v>
      </c>
      <c r="R1574" t="s">
        <v>3</v>
      </c>
      <c r="S1574" t="s">
        <v>3</v>
      </c>
      <c r="T1574" t="s">
        <v>3</v>
      </c>
      <c r="U1574" t="s">
        <v>3</v>
      </c>
      <c r="V1574" t="s">
        <v>3</v>
      </c>
      <c r="W1574" t="s">
        <v>68</v>
      </c>
      <c r="X1574" s="17">
        <v>43563</v>
      </c>
      <c r="Y1574" t="s">
        <v>2305</v>
      </c>
      <c r="Z1574" s="17">
        <v>43563</v>
      </c>
      <c r="AA1574" t="s">
        <v>3</v>
      </c>
      <c r="AB1574" t="s">
        <v>3893</v>
      </c>
    </row>
    <row r="1575" spans="1:28" hidden="1">
      <c r="A1575" t="s">
        <v>3977</v>
      </c>
      <c r="B1575" s="17">
        <v>43563</v>
      </c>
      <c r="C1575" s="17">
        <v>43563</v>
      </c>
      <c r="D1575" t="s">
        <v>0</v>
      </c>
      <c r="E1575" t="s">
        <v>1</v>
      </c>
      <c r="F1575" s="18">
        <v>-384598.62</v>
      </c>
      <c r="G1575" s="18">
        <v>-384598.62</v>
      </c>
      <c r="H1575" t="s">
        <v>2</v>
      </c>
      <c r="I1575" t="s">
        <v>10</v>
      </c>
      <c r="J1575" s="18">
        <v>-32037065.059999999</v>
      </c>
      <c r="K1575" t="s">
        <v>3978</v>
      </c>
      <c r="L1575" t="s">
        <v>4</v>
      </c>
      <c r="M1575" t="s">
        <v>2307</v>
      </c>
      <c r="N1575" t="s">
        <v>3</v>
      </c>
      <c r="O1575" t="s">
        <v>3</v>
      </c>
      <c r="P1575" t="s">
        <v>5</v>
      </c>
      <c r="Q1575" t="s">
        <v>2308</v>
      </c>
      <c r="R1575" t="s">
        <v>3</v>
      </c>
      <c r="S1575" t="s">
        <v>3</v>
      </c>
      <c r="T1575" t="s">
        <v>3</v>
      </c>
      <c r="U1575" t="s">
        <v>3</v>
      </c>
      <c r="V1575" t="s">
        <v>3</v>
      </c>
      <c r="W1575" t="s">
        <v>68</v>
      </c>
      <c r="X1575" s="17"/>
      <c r="Y1575" t="s">
        <v>3</v>
      </c>
      <c r="Z1575" s="17">
        <v>43563</v>
      </c>
      <c r="AA1575" t="s">
        <v>3</v>
      </c>
      <c r="AB1575" t="s">
        <v>3977</v>
      </c>
    </row>
    <row r="1576" spans="1:28" hidden="1">
      <c r="A1576" t="s">
        <v>3921</v>
      </c>
      <c r="B1576" s="17">
        <v>43565</v>
      </c>
      <c r="C1576" s="17">
        <v>43565</v>
      </c>
      <c r="D1576" t="s">
        <v>0</v>
      </c>
      <c r="E1576" t="s">
        <v>1</v>
      </c>
      <c r="F1576" s="18">
        <v>136850.09</v>
      </c>
      <c r="G1576" s="18">
        <v>136850.09</v>
      </c>
      <c r="H1576" t="s">
        <v>2</v>
      </c>
      <c r="I1576" t="s">
        <v>8</v>
      </c>
      <c r="J1576" s="18">
        <v>11385927.49</v>
      </c>
      <c r="K1576" t="s">
        <v>3901</v>
      </c>
      <c r="L1576" t="s">
        <v>4</v>
      </c>
      <c r="M1576" t="s">
        <v>3922</v>
      </c>
      <c r="N1576" t="s">
        <v>3</v>
      </c>
      <c r="O1576" t="s">
        <v>3</v>
      </c>
      <c r="P1576" t="s">
        <v>5</v>
      </c>
      <c r="Q1576" t="s">
        <v>3923</v>
      </c>
      <c r="R1576" t="s">
        <v>3</v>
      </c>
      <c r="S1576" t="s">
        <v>3</v>
      </c>
      <c r="T1576" t="s">
        <v>3</v>
      </c>
      <c r="U1576" t="s">
        <v>3</v>
      </c>
      <c r="V1576" t="s">
        <v>3</v>
      </c>
      <c r="W1576" t="s">
        <v>68</v>
      </c>
      <c r="X1576" s="17"/>
      <c r="Y1576" t="s">
        <v>3</v>
      </c>
      <c r="Z1576" s="17">
        <v>43565</v>
      </c>
      <c r="AA1576" t="s">
        <v>3</v>
      </c>
      <c r="AB1576" t="s">
        <v>3921</v>
      </c>
    </row>
    <row r="1577" spans="1:28" hidden="1">
      <c r="A1577" t="s">
        <v>3924</v>
      </c>
      <c r="B1577" s="17">
        <v>43570</v>
      </c>
      <c r="C1577" s="17">
        <v>43570</v>
      </c>
      <c r="D1577" t="s">
        <v>0</v>
      </c>
      <c r="E1577" t="s">
        <v>1</v>
      </c>
      <c r="F1577" s="18">
        <v>91743</v>
      </c>
      <c r="G1577" s="18">
        <v>91743</v>
      </c>
      <c r="H1577" t="s">
        <v>2</v>
      </c>
      <c r="I1577" t="s">
        <v>8</v>
      </c>
      <c r="J1577" s="18">
        <v>7633017.5999999996</v>
      </c>
      <c r="K1577" t="s">
        <v>3878</v>
      </c>
      <c r="L1577" t="s">
        <v>9</v>
      </c>
      <c r="M1577" t="s">
        <v>3925</v>
      </c>
      <c r="N1577" t="s">
        <v>3</v>
      </c>
      <c r="O1577" t="s">
        <v>3</v>
      </c>
      <c r="P1577" t="s">
        <v>5</v>
      </c>
      <c r="Q1577" t="s">
        <v>3926</v>
      </c>
      <c r="R1577" t="s">
        <v>3</v>
      </c>
      <c r="S1577" t="s">
        <v>3</v>
      </c>
      <c r="T1577" t="s">
        <v>3</v>
      </c>
      <c r="U1577" t="s">
        <v>3</v>
      </c>
      <c r="V1577" t="s">
        <v>3</v>
      </c>
      <c r="W1577" t="s">
        <v>68</v>
      </c>
      <c r="X1577" s="17">
        <v>43646</v>
      </c>
      <c r="Y1577" t="s">
        <v>2512</v>
      </c>
      <c r="Z1577" s="17">
        <v>43570</v>
      </c>
      <c r="AA1577" t="s">
        <v>3</v>
      </c>
      <c r="AB1577" t="s">
        <v>3924</v>
      </c>
    </row>
    <row r="1578" spans="1:28" hidden="1">
      <c r="A1578" t="s">
        <v>3924</v>
      </c>
      <c r="B1578" s="17">
        <v>43570</v>
      </c>
      <c r="C1578" s="17">
        <v>43570</v>
      </c>
      <c r="D1578" t="s">
        <v>0</v>
      </c>
      <c r="E1578" t="s">
        <v>1</v>
      </c>
      <c r="F1578" s="18">
        <v>193758</v>
      </c>
      <c r="G1578" s="18">
        <v>193758</v>
      </c>
      <c r="H1578" t="s">
        <v>2</v>
      </c>
      <c r="I1578" t="s">
        <v>8</v>
      </c>
      <c r="J1578" s="18">
        <v>16072226.1</v>
      </c>
      <c r="K1578" t="s">
        <v>3874</v>
      </c>
      <c r="L1578" t="s">
        <v>9</v>
      </c>
      <c r="M1578" t="s">
        <v>3925</v>
      </c>
      <c r="N1578" t="s">
        <v>3</v>
      </c>
      <c r="O1578" t="s">
        <v>3</v>
      </c>
      <c r="P1578" t="s">
        <v>5</v>
      </c>
      <c r="Q1578" t="s">
        <v>3926</v>
      </c>
      <c r="R1578" t="s">
        <v>3</v>
      </c>
      <c r="S1578" t="s">
        <v>3</v>
      </c>
      <c r="T1578" t="s">
        <v>3</v>
      </c>
      <c r="U1578" t="s">
        <v>3</v>
      </c>
      <c r="V1578" t="s">
        <v>3</v>
      </c>
      <c r="W1578" t="s">
        <v>68</v>
      </c>
      <c r="X1578" s="17">
        <v>43646</v>
      </c>
      <c r="Y1578" t="s">
        <v>2472</v>
      </c>
      <c r="Z1578" s="17">
        <v>43570</v>
      </c>
      <c r="AA1578" t="s">
        <v>3</v>
      </c>
      <c r="AB1578" t="s">
        <v>3924</v>
      </c>
    </row>
    <row r="1579" spans="1:28" hidden="1">
      <c r="A1579" t="s">
        <v>3927</v>
      </c>
      <c r="B1579" s="17">
        <v>43572</v>
      </c>
      <c r="C1579" s="17">
        <v>43572</v>
      </c>
      <c r="D1579" t="s">
        <v>0</v>
      </c>
      <c r="E1579" t="s">
        <v>1</v>
      </c>
      <c r="F1579" s="18">
        <v>6114</v>
      </c>
      <c r="G1579" s="18">
        <v>6114</v>
      </c>
      <c r="H1579" t="s">
        <v>2</v>
      </c>
      <c r="I1579" t="s">
        <v>8</v>
      </c>
      <c r="J1579" s="18">
        <v>509296.2</v>
      </c>
      <c r="K1579" t="s">
        <v>3</v>
      </c>
      <c r="L1579" t="s">
        <v>9</v>
      </c>
      <c r="M1579" t="s">
        <v>3928</v>
      </c>
      <c r="N1579" t="s">
        <v>3</v>
      </c>
      <c r="O1579" t="s">
        <v>3</v>
      </c>
      <c r="P1579" t="s">
        <v>5</v>
      </c>
      <c r="Q1579" t="s">
        <v>3929</v>
      </c>
      <c r="R1579" t="s">
        <v>3</v>
      </c>
      <c r="S1579" t="s">
        <v>3</v>
      </c>
      <c r="T1579" t="s">
        <v>3</v>
      </c>
      <c r="U1579" t="s">
        <v>3</v>
      </c>
      <c r="V1579" t="s">
        <v>3</v>
      </c>
      <c r="W1579" t="s">
        <v>68</v>
      </c>
      <c r="X1579" s="17">
        <v>43646</v>
      </c>
      <c r="Y1579" t="s">
        <v>2510</v>
      </c>
      <c r="Z1579" s="17">
        <v>43572</v>
      </c>
      <c r="AA1579" t="s">
        <v>3</v>
      </c>
      <c r="AB1579" t="s">
        <v>3927</v>
      </c>
    </row>
    <row r="1580" spans="1:28" hidden="1">
      <c r="A1580" t="s">
        <v>3930</v>
      </c>
      <c r="B1580" s="17">
        <v>43572</v>
      </c>
      <c r="C1580" s="17">
        <v>43572</v>
      </c>
      <c r="D1580" t="s">
        <v>0</v>
      </c>
      <c r="E1580" t="s">
        <v>1</v>
      </c>
      <c r="F1580" s="18">
        <v>700</v>
      </c>
      <c r="G1580" s="18">
        <v>700</v>
      </c>
      <c r="H1580" t="s">
        <v>2</v>
      </c>
      <c r="I1580" t="s">
        <v>10</v>
      </c>
      <c r="J1580" s="18">
        <v>58310</v>
      </c>
      <c r="K1580" t="s">
        <v>3931</v>
      </c>
      <c r="L1580" t="s">
        <v>9</v>
      </c>
      <c r="M1580" t="s">
        <v>3932</v>
      </c>
      <c r="N1580" t="s">
        <v>3</v>
      </c>
      <c r="O1580" t="s">
        <v>3</v>
      </c>
      <c r="P1580" t="s">
        <v>5</v>
      </c>
      <c r="Q1580" t="s">
        <v>3933</v>
      </c>
      <c r="R1580" t="s">
        <v>3</v>
      </c>
      <c r="S1580" t="s">
        <v>3</v>
      </c>
      <c r="T1580" t="s">
        <v>3</v>
      </c>
      <c r="U1580" t="s">
        <v>3</v>
      </c>
      <c r="V1580" t="s">
        <v>3</v>
      </c>
      <c r="W1580" t="s">
        <v>68</v>
      </c>
      <c r="X1580" s="17">
        <v>43646</v>
      </c>
      <c r="Y1580" t="s">
        <v>2518</v>
      </c>
      <c r="Z1580" s="17">
        <v>43572</v>
      </c>
      <c r="AA1580" t="s">
        <v>3</v>
      </c>
      <c r="AB1580" t="s">
        <v>3930</v>
      </c>
    </row>
    <row r="1581" spans="1:28" hidden="1">
      <c r="A1581" t="s">
        <v>3934</v>
      </c>
      <c r="B1581" s="17">
        <v>43572</v>
      </c>
      <c r="C1581" s="17">
        <v>43572</v>
      </c>
      <c r="D1581" t="s">
        <v>0</v>
      </c>
      <c r="E1581" t="s">
        <v>1</v>
      </c>
      <c r="F1581" s="18">
        <v>16026</v>
      </c>
      <c r="G1581" s="18">
        <v>16026</v>
      </c>
      <c r="H1581" t="s">
        <v>2</v>
      </c>
      <c r="I1581" t="s">
        <v>10</v>
      </c>
      <c r="J1581" s="18">
        <v>1329356.7</v>
      </c>
      <c r="K1581" t="s">
        <v>3810</v>
      </c>
      <c r="L1581" t="s">
        <v>9</v>
      </c>
      <c r="M1581" t="s">
        <v>3935</v>
      </c>
      <c r="N1581" t="s">
        <v>3</v>
      </c>
      <c r="O1581" t="s">
        <v>3</v>
      </c>
      <c r="P1581" t="s">
        <v>5</v>
      </c>
      <c r="Q1581" t="s">
        <v>3936</v>
      </c>
      <c r="R1581" t="s">
        <v>3</v>
      </c>
      <c r="S1581" t="s">
        <v>3</v>
      </c>
      <c r="T1581" t="s">
        <v>3</v>
      </c>
      <c r="U1581" t="s">
        <v>3</v>
      </c>
      <c r="V1581" t="s">
        <v>3</v>
      </c>
      <c r="W1581" t="s">
        <v>68</v>
      </c>
      <c r="X1581" s="17">
        <v>43646</v>
      </c>
      <c r="Y1581" t="s">
        <v>2497</v>
      </c>
      <c r="Z1581" s="17">
        <v>43572</v>
      </c>
      <c r="AA1581" t="s">
        <v>3</v>
      </c>
      <c r="AB1581" t="s">
        <v>3934</v>
      </c>
    </row>
    <row r="1582" spans="1:28" hidden="1">
      <c r="A1582" t="s">
        <v>3934</v>
      </c>
      <c r="B1582" s="17">
        <v>43572</v>
      </c>
      <c r="C1582" s="17">
        <v>43572</v>
      </c>
      <c r="D1582" t="s">
        <v>0</v>
      </c>
      <c r="E1582" t="s">
        <v>1</v>
      </c>
      <c r="F1582" s="18">
        <v>18442</v>
      </c>
      <c r="G1582" s="18">
        <v>18442</v>
      </c>
      <c r="H1582" t="s">
        <v>2</v>
      </c>
      <c r="I1582" t="s">
        <v>10</v>
      </c>
      <c r="J1582" s="18">
        <v>1536218.6</v>
      </c>
      <c r="K1582" t="s">
        <v>3931</v>
      </c>
      <c r="L1582" t="s">
        <v>9</v>
      </c>
      <c r="M1582" t="s">
        <v>3935</v>
      </c>
      <c r="N1582" t="s">
        <v>3</v>
      </c>
      <c r="O1582" t="s">
        <v>3</v>
      </c>
      <c r="P1582" t="s">
        <v>5</v>
      </c>
      <c r="Q1582" t="s">
        <v>3936</v>
      </c>
      <c r="R1582" t="s">
        <v>3</v>
      </c>
      <c r="S1582" t="s">
        <v>3</v>
      </c>
      <c r="T1582" t="s">
        <v>3</v>
      </c>
      <c r="U1582" t="s">
        <v>3</v>
      </c>
      <c r="V1582" t="s">
        <v>3</v>
      </c>
      <c r="W1582" t="s">
        <v>68</v>
      </c>
      <c r="X1582" s="17">
        <v>43646</v>
      </c>
      <c r="Y1582" t="s">
        <v>2518</v>
      </c>
      <c r="Z1582" s="17">
        <v>43572</v>
      </c>
      <c r="AA1582" t="s">
        <v>3</v>
      </c>
      <c r="AB1582" t="s">
        <v>3934</v>
      </c>
    </row>
    <row r="1583" spans="1:28" hidden="1">
      <c r="A1583" t="s">
        <v>3937</v>
      </c>
      <c r="B1583" s="17">
        <v>43573</v>
      </c>
      <c r="C1583" s="17">
        <v>43573</v>
      </c>
      <c r="D1583" t="s">
        <v>0</v>
      </c>
      <c r="E1583" t="s">
        <v>1</v>
      </c>
      <c r="F1583" s="18">
        <v>10649</v>
      </c>
      <c r="G1583" s="18">
        <v>10649</v>
      </c>
      <c r="H1583" t="s">
        <v>2</v>
      </c>
      <c r="I1583" t="s">
        <v>8</v>
      </c>
      <c r="J1583" s="18">
        <v>885996.8</v>
      </c>
      <c r="K1583" t="s">
        <v>3938</v>
      </c>
      <c r="L1583" t="s">
        <v>9</v>
      </c>
      <c r="M1583" t="s">
        <v>3939</v>
      </c>
      <c r="N1583" t="s">
        <v>3</v>
      </c>
      <c r="O1583" t="s">
        <v>3</v>
      </c>
      <c r="P1583" t="s">
        <v>5</v>
      </c>
      <c r="Q1583" t="s">
        <v>3940</v>
      </c>
      <c r="R1583" t="s">
        <v>3</v>
      </c>
      <c r="S1583" t="s">
        <v>3</v>
      </c>
      <c r="T1583" t="s">
        <v>3</v>
      </c>
      <c r="U1583" t="s">
        <v>3</v>
      </c>
      <c r="V1583" t="s">
        <v>3</v>
      </c>
      <c r="W1583" t="s">
        <v>68</v>
      </c>
      <c r="X1583" s="17">
        <v>43646</v>
      </c>
      <c r="Y1583" t="s">
        <v>2512</v>
      </c>
      <c r="Z1583" s="17">
        <v>43573</v>
      </c>
      <c r="AA1583" t="s">
        <v>3</v>
      </c>
      <c r="AB1583" t="s">
        <v>3937</v>
      </c>
    </row>
    <row r="1584" spans="1:28" hidden="1">
      <c r="A1584" t="s">
        <v>3941</v>
      </c>
      <c r="B1584" s="17">
        <v>43573</v>
      </c>
      <c r="C1584" s="17">
        <v>43573</v>
      </c>
      <c r="D1584" t="s">
        <v>0</v>
      </c>
      <c r="E1584" t="s">
        <v>1</v>
      </c>
      <c r="F1584" s="18">
        <v>8968.7999999999993</v>
      </c>
      <c r="G1584" s="18">
        <v>8968.7999999999993</v>
      </c>
      <c r="H1584" t="s">
        <v>2</v>
      </c>
      <c r="I1584" t="s">
        <v>8</v>
      </c>
      <c r="J1584" s="18">
        <v>746204.16000000003</v>
      </c>
      <c r="K1584" t="s">
        <v>3942</v>
      </c>
      <c r="L1584" t="s">
        <v>4</v>
      </c>
      <c r="M1584" t="s">
        <v>3943</v>
      </c>
      <c r="N1584" t="s">
        <v>3</v>
      </c>
      <c r="O1584" t="s">
        <v>3</v>
      </c>
      <c r="P1584" t="s">
        <v>5</v>
      </c>
      <c r="Q1584" t="s">
        <v>3944</v>
      </c>
      <c r="R1584" t="s">
        <v>3</v>
      </c>
      <c r="S1584" t="s">
        <v>3</v>
      </c>
      <c r="T1584" t="s">
        <v>3</v>
      </c>
      <c r="U1584" t="s">
        <v>3</v>
      </c>
      <c r="V1584" t="s">
        <v>3</v>
      </c>
      <c r="W1584" t="s">
        <v>68</v>
      </c>
      <c r="X1584" s="17"/>
      <c r="Y1584" t="s">
        <v>3</v>
      </c>
      <c r="Z1584" s="17">
        <v>43573</v>
      </c>
      <c r="AA1584" t="s">
        <v>3</v>
      </c>
      <c r="AB1584" t="s">
        <v>3941</v>
      </c>
    </row>
    <row r="1585" spans="1:28" hidden="1">
      <c r="A1585" t="s">
        <v>3945</v>
      </c>
      <c r="B1585" s="17">
        <v>43576</v>
      </c>
      <c r="C1585" s="17">
        <v>43576</v>
      </c>
      <c r="D1585" t="s">
        <v>0</v>
      </c>
      <c r="E1585" t="s">
        <v>1</v>
      </c>
      <c r="F1585" s="18">
        <v>4335.6899999999996</v>
      </c>
      <c r="G1585" s="18">
        <v>4335.6899999999996</v>
      </c>
      <c r="H1585" t="s">
        <v>2</v>
      </c>
      <c r="I1585" t="s">
        <v>8</v>
      </c>
      <c r="J1585" s="18">
        <v>360729.41</v>
      </c>
      <c r="K1585" t="s">
        <v>3942</v>
      </c>
      <c r="L1585" t="s">
        <v>4</v>
      </c>
      <c r="M1585" t="s">
        <v>3946</v>
      </c>
      <c r="N1585" t="s">
        <v>3</v>
      </c>
      <c r="O1585" t="s">
        <v>3</v>
      </c>
      <c r="P1585" t="s">
        <v>5</v>
      </c>
      <c r="Q1585" t="s">
        <v>3947</v>
      </c>
      <c r="R1585" t="s">
        <v>3</v>
      </c>
      <c r="S1585" t="s">
        <v>3</v>
      </c>
      <c r="T1585" t="s">
        <v>3</v>
      </c>
      <c r="U1585" t="s">
        <v>3</v>
      </c>
      <c r="V1585" t="s">
        <v>3</v>
      </c>
      <c r="W1585" t="s">
        <v>68</v>
      </c>
      <c r="X1585" s="17"/>
      <c r="Y1585" t="s">
        <v>3</v>
      </c>
      <c r="Z1585" s="17">
        <v>43576</v>
      </c>
      <c r="AA1585" t="s">
        <v>3</v>
      </c>
      <c r="AB1585" t="s">
        <v>3945</v>
      </c>
    </row>
    <row r="1586" spans="1:28" hidden="1">
      <c r="A1586" t="s">
        <v>3948</v>
      </c>
      <c r="B1586" s="17">
        <v>43578</v>
      </c>
      <c r="C1586" s="17">
        <v>43578</v>
      </c>
      <c r="D1586" t="s">
        <v>0</v>
      </c>
      <c r="E1586" t="s">
        <v>1</v>
      </c>
      <c r="F1586" s="18">
        <v>5818</v>
      </c>
      <c r="G1586" s="18">
        <v>5818</v>
      </c>
      <c r="H1586" t="s">
        <v>2</v>
      </c>
      <c r="I1586" t="s">
        <v>8</v>
      </c>
      <c r="J1586" s="18">
        <v>484057.59999999998</v>
      </c>
      <c r="K1586" t="s">
        <v>3942</v>
      </c>
      <c r="L1586" t="s">
        <v>4</v>
      </c>
      <c r="M1586" t="s">
        <v>3949</v>
      </c>
      <c r="N1586" t="s">
        <v>3</v>
      </c>
      <c r="O1586" t="s">
        <v>3</v>
      </c>
      <c r="P1586" t="s">
        <v>5</v>
      </c>
      <c r="Q1586" t="s">
        <v>3950</v>
      </c>
      <c r="R1586" t="s">
        <v>3</v>
      </c>
      <c r="S1586" t="s">
        <v>3</v>
      </c>
      <c r="T1586" t="s">
        <v>3</v>
      </c>
      <c r="U1586" t="s">
        <v>3</v>
      </c>
      <c r="V1586" t="s">
        <v>3</v>
      </c>
      <c r="W1586" t="s">
        <v>68</v>
      </c>
      <c r="X1586" s="17"/>
      <c r="Y1586" t="s">
        <v>3</v>
      </c>
      <c r="Z1586" s="17">
        <v>43578</v>
      </c>
      <c r="AA1586" t="s">
        <v>3</v>
      </c>
      <c r="AB1586" t="s">
        <v>3948</v>
      </c>
    </row>
    <row r="1587" spans="1:28" hidden="1">
      <c r="A1587" t="s">
        <v>3951</v>
      </c>
      <c r="B1587" s="17">
        <v>43578</v>
      </c>
      <c r="C1587" s="17">
        <v>43578</v>
      </c>
      <c r="D1587" t="s">
        <v>0</v>
      </c>
      <c r="E1587" t="s">
        <v>1</v>
      </c>
      <c r="F1587" s="18">
        <v>16736</v>
      </c>
      <c r="G1587" s="18">
        <v>16736</v>
      </c>
      <c r="H1587" t="s">
        <v>2</v>
      </c>
      <c r="I1587" t="s">
        <v>10</v>
      </c>
      <c r="J1587" s="18">
        <v>1388251.2</v>
      </c>
      <c r="K1587" t="s">
        <v>3810</v>
      </c>
      <c r="L1587" t="s">
        <v>9</v>
      </c>
      <c r="M1587" t="s">
        <v>3952</v>
      </c>
      <c r="N1587" t="s">
        <v>3</v>
      </c>
      <c r="O1587" t="s">
        <v>3</v>
      </c>
      <c r="P1587" t="s">
        <v>5</v>
      </c>
      <c r="Q1587" t="s">
        <v>3953</v>
      </c>
      <c r="R1587" t="s">
        <v>3</v>
      </c>
      <c r="S1587" t="s">
        <v>3</v>
      </c>
      <c r="T1587" t="s">
        <v>3</v>
      </c>
      <c r="U1587" t="s">
        <v>3</v>
      </c>
      <c r="V1587" t="s">
        <v>3</v>
      </c>
      <c r="W1587" t="s">
        <v>68</v>
      </c>
      <c r="X1587" s="17">
        <v>43646</v>
      </c>
      <c r="Y1587" t="s">
        <v>2497</v>
      </c>
      <c r="Z1587" s="17">
        <v>43578</v>
      </c>
      <c r="AA1587" t="s">
        <v>3</v>
      </c>
      <c r="AB1587" t="s">
        <v>3951</v>
      </c>
    </row>
    <row r="1588" spans="1:28" hidden="1">
      <c r="A1588" t="s">
        <v>3951</v>
      </c>
      <c r="B1588" s="17">
        <v>43578</v>
      </c>
      <c r="C1588" s="17">
        <v>43578</v>
      </c>
      <c r="D1588" t="s">
        <v>0</v>
      </c>
      <c r="E1588" t="s">
        <v>1</v>
      </c>
      <c r="F1588" s="18">
        <v>2930</v>
      </c>
      <c r="G1588" s="18">
        <v>2930</v>
      </c>
      <c r="H1588" t="s">
        <v>2</v>
      </c>
      <c r="I1588" t="s">
        <v>10</v>
      </c>
      <c r="J1588" s="18">
        <v>244069</v>
      </c>
      <c r="K1588" t="s">
        <v>3931</v>
      </c>
      <c r="L1588" t="s">
        <v>9</v>
      </c>
      <c r="M1588" t="s">
        <v>3952</v>
      </c>
      <c r="N1588" t="s">
        <v>3</v>
      </c>
      <c r="O1588" t="s">
        <v>3</v>
      </c>
      <c r="P1588" t="s">
        <v>5</v>
      </c>
      <c r="Q1588" t="s">
        <v>3953</v>
      </c>
      <c r="R1588" t="s">
        <v>3</v>
      </c>
      <c r="S1588" t="s">
        <v>3</v>
      </c>
      <c r="T1588" t="s">
        <v>3</v>
      </c>
      <c r="U1588" t="s">
        <v>3</v>
      </c>
      <c r="V1588" t="s">
        <v>3</v>
      </c>
      <c r="W1588" t="s">
        <v>68</v>
      </c>
      <c r="X1588" s="17">
        <v>43646</v>
      </c>
      <c r="Y1588" t="s">
        <v>2518</v>
      </c>
      <c r="Z1588" s="17">
        <v>43578</v>
      </c>
      <c r="AA1588" t="s">
        <v>3</v>
      </c>
      <c r="AB1588" t="s">
        <v>3951</v>
      </c>
    </row>
    <row r="1589" spans="1:28" hidden="1">
      <c r="A1589" t="s">
        <v>3954</v>
      </c>
      <c r="B1589" s="17">
        <v>43580</v>
      </c>
      <c r="C1589" s="17">
        <v>43580</v>
      </c>
      <c r="D1589" t="s">
        <v>0</v>
      </c>
      <c r="E1589" t="s">
        <v>1</v>
      </c>
      <c r="F1589" s="18">
        <v>7275</v>
      </c>
      <c r="G1589" s="18">
        <v>7275</v>
      </c>
      <c r="H1589" t="s">
        <v>2</v>
      </c>
      <c r="I1589" t="s">
        <v>8</v>
      </c>
      <c r="J1589" s="18">
        <v>605280</v>
      </c>
      <c r="K1589" t="s">
        <v>3942</v>
      </c>
      <c r="L1589" t="s">
        <v>4</v>
      </c>
      <c r="M1589" t="s">
        <v>3955</v>
      </c>
      <c r="N1589" t="s">
        <v>3</v>
      </c>
      <c r="O1589" t="s">
        <v>3</v>
      </c>
      <c r="P1589" t="s">
        <v>5</v>
      </c>
      <c r="Q1589" t="s">
        <v>3956</v>
      </c>
      <c r="R1589" t="s">
        <v>3</v>
      </c>
      <c r="S1589" t="s">
        <v>3</v>
      </c>
      <c r="T1589" t="s">
        <v>3</v>
      </c>
      <c r="U1589" t="s">
        <v>3</v>
      </c>
      <c r="V1589" t="s">
        <v>3</v>
      </c>
      <c r="W1589" t="s">
        <v>68</v>
      </c>
      <c r="X1589" s="17"/>
      <c r="Y1589" t="s">
        <v>3</v>
      </c>
      <c r="Z1589" s="17">
        <v>43580</v>
      </c>
      <c r="AA1589" t="s">
        <v>3</v>
      </c>
      <c r="AB1589" t="s">
        <v>3954</v>
      </c>
    </row>
    <row r="1590" spans="1:28" hidden="1">
      <c r="A1590" t="s">
        <v>3957</v>
      </c>
      <c r="B1590" s="17">
        <v>43583</v>
      </c>
      <c r="C1590" s="17">
        <v>43583</v>
      </c>
      <c r="D1590" t="s">
        <v>0</v>
      </c>
      <c r="E1590" t="s">
        <v>1</v>
      </c>
      <c r="F1590" s="18">
        <v>28152</v>
      </c>
      <c r="G1590" s="18">
        <v>28152</v>
      </c>
      <c r="H1590" t="s">
        <v>2</v>
      </c>
      <c r="I1590" t="s">
        <v>8</v>
      </c>
      <c r="J1590" s="18">
        <v>2345061.6</v>
      </c>
      <c r="K1590" t="s">
        <v>3958</v>
      </c>
      <c r="L1590" t="s">
        <v>9</v>
      </c>
      <c r="M1590" t="s">
        <v>3959</v>
      </c>
      <c r="N1590" t="s">
        <v>3</v>
      </c>
      <c r="O1590" t="s">
        <v>3</v>
      </c>
      <c r="P1590" t="s">
        <v>5</v>
      </c>
      <c r="Q1590" t="s">
        <v>3960</v>
      </c>
      <c r="R1590" t="s">
        <v>3</v>
      </c>
      <c r="S1590" t="s">
        <v>3</v>
      </c>
      <c r="T1590" t="s">
        <v>3</v>
      </c>
      <c r="U1590" t="s">
        <v>3</v>
      </c>
      <c r="V1590" t="s">
        <v>3</v>
      </c>
      <c r="W1590" t="s">
        <v>68</v>
      </c>
      <c r="X1590" s="17">
        <v>43646</v>
      </c>
      <c r="Y1590" t="s">
        <v>2510</v>
      </c>
      <c r="Z1590" s="17">
        <v>43583</v>
      </c>
      <c r="AA1590" t="s">
        <v>3</v>
      </c>
      <c r="AB1590" t="s">
        <v>3957</v>
      </c>
    </row>
    <row r="1591" spans="1:28" hidden="1">
      <c r="A1591" t="s">
        <v>3957</v>
      </c>
      <c r="B1591" s="17">
        <v>43583</v>
      </c>
      <c r="C1591" s="17">
        <v>43583</v>
      </c>
      <c r="D1591" t="s">
        <v>0</v>
      </c>
      <c r="E1591" t="s">
        <v>1</v>
      </c>
      <c r="F1591" s="18">
        <v>384646</v>
      </c>
      <c r="G1591" s="18">
        <v>384646</v>
      </c>
      <c r="H1591" t="s">
        <v>2</v>
      </c>
      <c r="I1591" t="s">
        <v>8</v>
      </c>
      <c r="J1591" s="18">
        <v>32002547.199999999</v>
      </c>
      <c r="K1591" t="s">
        <v>3938</v>
      </c>
      <c r="L1591" t="s">
        <v>9</v>
      </c>
      <c r="M1591" t="s">
        <v>3959</v>
      </c>
      <c r="N1591" t="s">
        <v>3</v>
      </c>
      <c r="O1591" t="s">
        <v>3</v>
      </c>
      <c r="P1591" t="s">
        <v>5</v>
      </c>
      <c r="Q1591" t="s">
        <v>3960</v>
      </c>
      <c r="R1591" t="s">
        <v>3</v>
      </c>
      <c r="S1591" t="s">
        <v>3</v>
      </c>
      <c r="T1591" t="s">
        <v>3</v>
      </c>
      <c r="U1591" t="s">
        <v>3</v>
      </c>
      <c r="V1591" t="s">
        <v>3</v>
      </c>
      <c r="W1591" t="s">
        <v>68</v>
      </c>
      <c r="X1591" s="17">
        <v>43646</v>
      </c>
      <c r="Y1591" t="s">
        <v>2512</v>
      </c>
      <c r="Z1591" s="17">
        <v>43583</v>
      </c>
      <c r="AA1591" t="s">
        <v>3</v>
      </c>
      <c r="AB1591" t="s">
        <v>3957</v>
      </c>
    </row>
    <row r="1592" spans="1:28" hidden="1">
      <c r="A1592" t="s">
        <v>3961</v>
      </c>
      <c r="B1592" s="17">
        <v>43583</v>
      </c>
      <c r="C1592" s="17">
        <v>43583</v>
      </c>
      <c r="D1592" t="s">
        <v>0</v>
      </c>
      <c r="E1592" t="s">
        <v>1</v>
      </c>
      <c r="F1592" s="18">
        <v>30092</v>
      </c>
      <c r="G1592" s="18">
        <v>30092</v>
      </c>
      <c r="H1592" t="s">
        <v>2</v>
      </c>
      <c r="I1592" t="s">
        <v>8</v>
      </c>
      <c r="J1592" s="18">
        <v>2506663.6</v>
      </c>
      <c r="K1592" t="s">
        <v>3958</v>
      </c>
      <c r="L1592" t="s">
        <v>9</v>
      </c>
      <c r="M1592" t="s">
        <v>3962</v>
      </c>
      <c r="N1592" t="s">
        <v>3</v>
      </c>
      <c r="O1592" t="s">
        <v>3</v>
      </c>
      <c r="P1592" t="s">
        <v>5</v>
      </c>
      <c r="Q1592" t="s">
        <v>3963</v>
      </c>
      <c r="R1592" t="s">
        <v>3</v>
      </c>
      <c r="S1592" t="s">
        <v>3</v>
      </c>
      <c r="T1592" t="s">
        <v>3</v>
      </c>
      <c r="U1592" t="s">
        <v>3</v>
      </c>
      <c r="V1592" t="s">
        <v>3</v>
      </c>
      <c r="W1592" t="s">
        <v>68</v>
      </c>
      <c r="X1592" s="17">
        <v>43646</v>
      </c>
      <c r="Y1592" t="s">
        <v>2510</v>
      </c>
      <c r="Z1592" s="17">
        <v>43583</v>
      </c>
      <c r="AA1592" t="s">
        <v>3</v>
      </c>
      <c r="AB1592" t="s">
        <v>3961</v>
      </c>
    </row>
    <row r="1593" spans="1:28" hidden="1">
      <c r="A1593" t="s">
        <v>3964</v>
      </c>
      <c r="B1593" s="17">
        <v>43584</v>
      </c>
      <c r="C1593" s="17">
        <v>43584</v>
      </c>
      <c r="D1593" t="s">
        <v>0</v>
      </c>
      <c r="E1593" t="s">
        <v>1</v>
      </c>
      <c r="F1593" s="18">
        <v>240</v>
      </c>
      <c r="G1593" s="18">
        <v>240</v>
      </c>
      <c r="H1593" t="s">
        <v>2</v>
      </c>
      <c r="I1593" t="s">
        <v>10</v>
      </c>
      <c r="J1593" s="18">
        <v>19992</v>
      </c>
      <c r="K1593" t="s">
        <v>3931</v>
      </c>
      <c r="L1593" t="s">
        <v>9</v>
      </c>
      <c r="M1593" t="s">
        <v>3965</v>
      </c>
      <c r="N1593" t="s">
        <v>3</v>
      </c>
      <c r="O1593" t="s">
        <v>3</v>
      </c>
      <c r="P1593" t="s">
        <v>5</v>
      </c>
      <c r="Q1593" t="s">
        <v>3966</v>
      </c>
      <c r="R1593" t="s">
        <v>3</v>
      </c>
      <c r="S1593" t="s">
        <v>3</v>
      </c>
      <c r="T1593" t="s">
        <v>3</v>
      </c>
      <c r="U1593" t="s">
        <v>3</v>
      </c>
      <c r="V1593" t="s">
        <v>3</v>
      </c>
      <c r="W1593" t="s">
        <v>68</v>
      </c>
      <c r="X1593" s="17">
        <v>43646</v>
      </c>
      <c r="Y1593" t="s">
        <v>2518</v>
      </c>
      <c r="Z1593" s="17">
        <v>43584</v>
      </c>
      <c r="AA1593" t="s">
        <v>3</v>
      </c>
      <c r="AB1593" t="s">
        <v>3964</v>
      </c>
    </row>
    <row r="1594" spans="1:28" hidden="1">
      <c r="A1594" t="s">
        <v>3967</v>
      </c>
      <c r="B1594" s="17">
        <v>43584</v>
      </c>
      <c r="C1594" s="17">
        <v>43584</v>
      </c>
      <c r="D1594" t="s">
        <v>0</v>
      </c>
      <c r="E1594" t="s">
        <v>1</v>
      </c>
      <c r="F1594" s="18">
        <v>7711.31</v>
      </c>
      <c r="G1594" s="18">
        <v>7711.31</v>
      </c>
      <c r="H1594" t="s">
        <v>2</v>
      </c>
      <c r="I1594" t="s">
        <v>8</v>
      </c>
      <c r="J1594" s="18">
        <v>642352.12</v>
      </c>
      <c r="K1594" t="s">
        <v>3968</v>
      </c>
      <c r="L1594" t="s">
        <v>4</v>
      </c>
      <c r="M1594" t="s">
        <v>3969</v>
      </c>
      <c r="N1594" t="s">
        <v>3</v>
      </c>
      <c r="O1594" t="s">
        <v>3</v>
      </c>
      <c r="P1594" t="s">
        <v>5</v>
      </c>
      <c r="Q1594" t="s">
        <v>3970</v>
      </c>
      <c r="R1594" t="s">
        <v>3</v>
      </c>
      <c r="S1594" t="s">
        <v>3</v>
      </c>
      <c r="T1594" t="s">
        <v>3</v>
      </c>
      <c r="U1594" t="s">
        <v>3</v>
      </c>
      <c r="V1594" t="s">
        <v>3</v>
      </c>
      <c r="W1594" t="s">
        <v>68</v>
      </c>
      <c r="X1594" s="17"/>
      <c r="Y1594" t="s">
        <v>3</v>
      </c>
      <c r="Z1594" s="17">
        <v>43584</v>
      </c>
      <c r="AA1594" t="s">
        <v>3</v>
      </c>
      <c r="AB1594" t="s">
        <v>3967</v>
      </c>
    </row>
    <row r="1595" spans="1:28" hidden="1">
      <c r="A1595" t="s">
        <v>3971</v>
      </c>
      <c r="B1595" s="17">
        <v>43584</v>
      </c>
      <c r="C1595" s="17">
        <v>43584</v>
      </c>
      <c r="D1595" t="s">
        <v>0</v>
      </c>
      <c r="E1595" t="s">
        <v>1</v>
      </c>
      <c r="F1595" s="18">
        <v>71769.86</v>
      </c>
      <c r="G1595" s="18">
        <v>71769.86</v>
      </c>
      <c r="H1595" t="s">
        <v>2</v>
      </c>
      <c r="I1595" t="s">
        <v>8</v>
      </c>
      <c r="J1595" s="18">
        <v>5978429.3399999999</v>
      </c>
      <c r="K1595" t="s">
        <v>3968</v>
      </c>
      <c r="L1595" t="s">
        <v>4</v>
      </c>
      <c r="M1595" t="s">
        <v>3972</v>
      </c>
      <c r="N1595" t="s">
        <v>3</v>
      </c>
      <c r="O1595" t="s">
        <v>3</v>
      </c>
      <c r="P1595" t="s">
        <v>5</v>
      </c>
      <c r="Q1595" t="s">
        <v>3973</v>
      </c>
      <c r="R1595" t="s">
        <v>3</v>
      </c>
      <c r="S1595" t="s">
        <v>3</v>
      </c>
      <c r="T1595" t="s">
        <v>3</v>
      </c>
      <c r="U1595" t="s">
        <v>3</v>
      </c>
      <c r="V1595" t="s">
        <v>3</v>
      </c>
      <c r="W1595" t="s">
        <v>68</v>
      </c>
      <c r="X1595" s="17"/>
      <c r="Y1595" t="s">
        <v>3</v>
      </c>
      <c r="Z1595" s="17">
        <v>43584</v>
      </c>
      <c r="AA1595" t="s">
        <v>3</v>
      </c>
      <c r="AB1595" t="s">
        <v>3971</v>
      </c>
    </row>
    <row r="1596" spans="1:28" hidden="1">
      <c r="A1596" t="s">
        <v>3984</v>
      </c>
      <c r="B1596" s="17">
        <v>43584</v>
      </c>
      <c r="C1596" s="17">
        <v>43584</v>
      </c>
      <c r="D1596" t="s">
        <v>0</v>
      </c>
      <c r="E1596" t="s">
        <v>1</v>
      </c>
      <c r="F1596" s="18">
        <v>9328.17</v>
      </c>
      <c r="G1596" s="18">
        <v>9328.17</v>
      </c>
      <c r="H1596" t="s">
        <v>2</v>
      </c>
      <c r="I1596" t="s">
        <v>8</v>
      </c>
      <c r="J1596" s="18">
        <v>776103.74</v>
      </c>
      <c r="K1596" t="s">
        <v>3985</v>
      </c>
      <c r="L1596" t="s">
        <v>4</v>
      </c>
      <c r="M1596" t="s">
        <v>3986</v>
      </c>
      <c r="N1596" t="s">
        <v>3</v>
      </c>
      <c r="O1596" t="s">
        <v>3</v>
      </c>
      <c r="P1596" t="s">
        <v>5</v>
      </c>
      <c r="Q1596" t="s">
        <v>3987</v>
      </c>
      <c r="R1596" t="s">
        <v>3</v>
      </c>
      <c r="S1596" t="s">
        <v>3</v>
      </c>
      <c r="T1596" t="s">
        <v>3</v>
      </c>
      <c r="U1596" t="s">
        <v>3</v>
      </c>
      <c r="V1596" t="s">
        <v>3</v>
      </c>
      <c r="W1596" t="s">
        <v>68</v>
      </c>
      <c r="X1596" s="17"/>
      <c r="Y1596" t="s">
        <v>3</v>
      </c>
      <c r="Z1596" s="17">
        <v>43584</v>
      </c>
      <c r="AA1596" t="s">
        <v>3</v>
      </c>
      <c r="AB1596" t="s">
        <v>3984</v>
      </c>
    </row>
    <row r="1597" spans="1:28" hidden="1">
      <c r="A1597" t="s">
        <v>2320</v>
      </c>
      <c r="B1597" s="17">
        <v>43585</v>
      </c>
      <c r="C1597" s="17">
        <v>43585</v>
      </c>
      <c r="D1597" t="s">
        <v>38</v>
      </c>
      <c r="E1597" t="s">
        <v>1</v>
      </c>
      <c r="F1597" s="18">
        <v>471417</v>
      </c>
      <c r="G1597" s="18">
        <v>471417</v>
      </c>
      <c r="H1597" t="s">
        <v>2</v>
      </c>
      <c r="I1597" t="s">
        <v>8</v>
      </c>
      <c r="J1597" s="18">
        <v>39104040.149999999</v>
      </c>
      <c r="K1597" t="s">
        <v>2321</v>
      </c>
      <c r="L1597" t="s">
        <v>9</v>
      </c>
      <c r="M1597" t="s">
        <v>2322</v>
      </c>
      <c r="N1597" t="s">
        <v>3</v>
      </c>
      <c r="O1597" t="s">
        <v>3</v>
      </c>
      <c r="P1597" t="s">
        <v>5</v>
      </c>
      <c r="Q1597" t="s">
        <v>2323</v>
      </c>
      <c r="R1597" t="s">
        <v>3</v>
      </c>
      <c r="S1597" t="s">
        <v>3</v>
      </c>
      <c r="T1597" t="s">
        <v>3</v>
      </c>
      <c r="U1597" t="s">
        <v>3</v>
      </c>
      <c r="V1597" t="s">
        <v>3</v>
      </c>
      <c r="W1597" t="s">
        <v>68</v>
      </c>
      <c r="X1597" s="17">
        <v>43585</v>
      </c>
      <c r="Y1597" t="s">
        <v>2320</v>
      </c>
      <c r="Z1597" s="17">
        <v>43585</v>
      </c>
      <c r="AA1597" t="s">
        <v>3</v>
      </c>
      <c r="AB1597" t="s">
        <v>2320</v>
      </c>
    </row>
    <row r="1598" spans="1:28" hidden="1">
      <c r="A1598" t="s">
        <v>2324</v>
      </c>
      <c r="B1598" s="17">
        <v>43585</v>
      </c>
      <c r="C1598" s="17">
        <v>43585</v>
      </c>
      <c r="D1598" t="s">
        <v>38</v>
      </c>
      <c r="E1598" t="s">
        <v>1</v>
      </c>
      <c r="F1598" s="18">
        <v>-122721.38</v>
      </c>
      <c r="G1598" s="18">
        <v>-122721.38</v>
      </c>
      <c r="H1598" t="s">
        <v>2</v>
      </c>
      <c r="I1598" t="s">
        <v>8</v>
      </c>
      <c r="J1598" s="18">
        <v>-10210418.82</v>
      </c>
      <c r="K1598" t="s">
        <v>2321</v>
      </c>
      <c r="L1598" t="s">
        <v>4</v>
      </c>
      <c r="M1598" t="s">
        <v>2325</v>
      </c>
      <c r="N1598" t="s">
        <v>3</v>
      </c>
      <c r="O1598" t="s">
        <v>3</v>
      </c>
      <c r="P1598" t="s">
        <v>5</v>
      </c>
      <c r="Q1598" t="s">
        <v>2326</v>
      </c>
      <c r="R1598" t="s">
        <v>3</v>
      </c>
      <c r="S1598" t="s">
        <v>3</v>
      </c>
      <c r="T1598" t="s">
        <v>3</v>
      </c>
      <c r="U1598" t="s">
        <v>3</v>
      </c>
      <c r="V1598" t="s">
        <v>3</v>
      </c>
      <c r="W1598" t="s">
        <v>68</v>
      </c>
      <c r="X1598" s="17">
        <v>43585</v>
      </c>
      <c r="Y1598" t="s">
        <v>2324</v>
      </c>
      <c r="Z1598" s="17">
        <v>43585</v>
      </c>
      <c r="AA1598" t="s">
        <v>3</v>
      </c>
      <c r="AB1598" t="s">
        <v>2324</v>
      </c>
    </row>
    <row r="1599" spans="1:28" hidden="1">
      <c r="A1599" t="s">
        <v>3974</v>
      </c>
      <c r="B1599" s="17">
        <v>43585</v>
      </c>
      <c r="C1599" s="17">
        <v>43585</v>
      </c>
      <c r="D1599" t="s">
        <v>0</v>
      </c>
      <c r="E1599" t="s">
        <v>1</v>
      </c>
      <c r="F1599" s="18">
        <v>263</v>
      </c>
      <c r="G1599" s="18">
        <v>263</v>
      </c>
      <c r="H1599" t="s">
        <v>2</v>
      </c>
      <c r="I1599" t="s">
        <v>10</v>
      </c>
      <c r="J1599" s="18">
        <v>21802.7</v>
      </c>
      <c r="K1599" t="s">
        <v>3807</v>
      </c>
      <c r="L1599" t="s">
        <v>9</v>
      </c>
      <c r="M1599" t="s">
        <v>3975</v>
      </c>
      <c r="N1599" t="s">
        <v>3</v>
      </c>
      <c r="O1599" t="s">
        <v>3</v>
      </c>
      <c r="P1599" t="s">
        <v>5</v>
      </c>
      <c r="Q1599" t="s">
        <v>3976</v>
      </c>
      <c r="R1599" t="s">
        <v>3</v>
      </c>
      <c r="S1599" t="s">
        <v>3</v>
      </c>
      <c r="T1599" t="s">
        <v>3</v>
      </c>
      <c r="U1599" t="s">
        <v>3</v>
      </c>
      <c r="V1599" t="s">
        <v>3</v>
      </c>
      <c r="W1599" t="s">
        <v>68</v>
      </c>
      <c r="X1599" s="17">
        <v>43646</v>
      </c>
      <c r="Y1599" t="s">
        <v>2495</v>
      </c>
      <c r="Z1599" s="17">
        <v>43585</v>
      </c>
      <c r="AA1599" t="s">
        <v>3</v>
      </c>
      <c r="AB1599" t="s">
        <v>3974</v>
      </c>
    </row>
    <row r="1600" spans="1:28" hidden="1">
      <c r="A1600" t="s">
        <v>3974</v>
      </c>
      <c r="B1600" s="17">
        <v>43585</v>
      </c>
      <c r="C1600" s="17">
        <v>43585</v>
      </c>
      <c r="D1600" t="s">
        <v>0</v>
      </c>
      <c r="E1600" t="s">
        <v>1</v>
      </c>
      <c r="F1600" s="18">
        <v>3601</v>
      </c>
      <c r="G1600" s="18">
        <v>3601</v>
      </c>
      <c r="H1600" t="s">
        <v>2</v>
      </c>
      <c r="I1600" t="s">
        <v>10</v>
      </c>
      <c r="J1600" s="18">
        <v>298702.95</v>
      </c>
      <c r="K1600" t="s">
        <v>3810</v>
      </c>
      <c r="L1600" t="s">
        <v>9</v>
      </c>
      <c r="M1600" t="s">
        <v>3975</v>
      </c>
      <c r="N1600" t="s">
        <v>3</v>
      </c>
      <c r="O1600" t="s">
        <v>3</v>
      </c>
      <c r="P1600" t="s">
        <v>5</v>
      </c>
      <c r="Q1600" t="s">
        <v>3976</v>
      </c>
      <c r="R1600" t="s">
        <v>3</v>
      </c>
      <c r="S1600" t="s">
        <v>3</v>
      </c>
      <c r="T1600" t="s">
        <v>3</v>
      </c>
      <c r="U1600" t="s">
        <v>3</v>
      </c>
      <c r="V1600" t="s">
        <v>3</v>
      </c>
      <c r="W1600" t="s">
        <v>68</v>
      </c>
      <c r="X1600" s="17">
        <v>43646</v>
      </c>
      <c r="Y1600" t="s">
        <v>2497</v>
      </c>
      <c r="Z1600" s="17">
        <v>43585</v>
      </c>
      <c r="AA1600" t="s">
        <v>3</v>
      </c>
      <c r="AB1600" t="s">
        <v>3974</v>
      </c>
    </row>
    <row r="1601" spans="1:28" hidden="1">
      <c r="A1601" t="s">
        <v>3974</v>
      </c>
      <c r="B1601" s="17">
        <v>43585</v>
      </c>
      <c r="C1601" s="17">
        <v>43585</v>
      </c>
      <c r="D1601" t="s">
        <v>0</v>
      </c>
      <c r="E1601" t="s">
        <v>1</v>
      </c>
      <c r="F1601" s="18">
        <v>11391</v>
      </c>
      <c r="G1601" s="18">
        <v>11391</v>
      </c>
      <c r="H1601" t="s">
        <v>2</v>
      </c>
      <c r="I1601" t="s">
        <v>10</v>
      </c>
      <c r="J1601" s="18">
        <v>948870.3</v>
      </c>
      <c r="K1601" t="s">
        <v>3931</v>
      </c>
      <c r="L1601" t="s">
        <v>9</v>
      </c>
      <c r="M1601" t="s">
        <v>3975</v>
      </c>
      <c r="N1601" t="s">
        <v>3</v>
      </c>
      <c r="O1601" t="s">
        <v>3</v>
      </c>
      <c r="P1601" t="s">
        <v>5</v>
      </c>
      <c r="Q1601" t="s">
        <v>3976</v>
      </c>
      <c r="R1601" t="s">
        <v>3</v>
      </c>
      <c r="S1601" t="s">
        <v>3</v>
      </c>
      <c r="T1601" t="s">
        <v>3</v>
      </c>
      <c r="U1601" t="s">
        <v>3</v>
      </c>
      <c r="V1601" t="s">
        <v>3</v>
      </c>
      <c r="W1601" t="s">
        <v>68</v>
      </c>
      <c r="X1601" s="17">
        <v>43646</v>
      </c>
      <c r="Y1601" t="s">
        <v>2518</v>
      </c>
      <c r="Z1601" s="17">
        <v>43585</v>
      </c>
      <c r="AA1601" t="s">
        <v>3</v>
      </c>
      <c r="AB1601" t="s">
        <v>3974</v>
      </c>
    </row>
    <row r="1602" spans="1:28" hidden="1">
      <c r="A1602" t="s">
        <v>3979</v>
      </c>
      <c r="B1602" s="17">
        <v>43585</v>
      </c>
      <c r="C1602" s="17">
        <v>43585</v>
      </c>
      <c r="D1602" t="s">
        <v>0</v>
      </c>
      <c r="E1602" t="s">
        <v>1</v>
      </c>
      <c r="F1602" s="18">
        <v>77443</v>
      </c>
      <c r="G1602" s="18">
        <v>77443</v>
      </c>
      <c r="H1602" t="s">
        <v>2</v>
      </c>
      <c r="I1602" t="s">
        <v>10</v>
      </c>
      <c r="J1602" s="18">
        <v>6451001.9000000004</v>
      </c>
      <c r="K1602" t="s">
        <v>3980</v>
      </c>
      <c r="L1602" t="s">
        <v>4</v>
      </c>
      <c r="M1602" t="s">
        <v>3981</v>
      </c>
      <c r="N1602" t="s">
        <v>3</v>
      </c>
      <c r="O1602" t="s">
        <v>3</v>
      </c>
      <c r="P1602" t="s">
        <v>5</v>
      </c>
      <c r="Q1602" t="s">
        <v>3982</v>
      </c>
      <c r="R1602" t="s">
        <v>3</v>
      </c>
      <c r="S1602" t="s">
        <v>3</v>
      </c>
      <c r="T1602" t="s">
        <v>3</v>
      </c>
      <c r="U1602" t="s">
        <v>3</v>
      </c>
      <c r="V1602" t="s">
        <v>3</v>
      </c>
      <c r="W1602" t="s">
        <v>68</v>
      </c>
      <c r="X1602" s="17"/>
      <c r="Y1602" t="s">
        <v>3</v>
      </c>
      <c r="Z1602" s="17">
        <v>43585</v>
      </c>
      <c r="AA1602" t="s">
        <v>3</v>
      </c>
      <c r="AB1602" t="s">
        <v>3979</v>
      </c>
    </row>
    <row r="1603" spans="1:28" hidden="1">
      <c r="A1603" t="s">
        <v>3979</v>
      </c>
      <c r="B1603" s="17">
        <v>43585</v>
      </c>
      <c r="C1603" s="17">
        <v>43585</v>
      </c>
      <c r="D1603" t="s">
        <v>0</v>
      </c>
      <c r="E1603" t="s">
        <v>1</v>
      </c>
      <c r="F1603" s="18">
        <v>5185.2700000000004</v>
      </c>
      <c r="G1603" s="18">
        <v>5185.2700000000004</v>
      </c>
      <c r="H1603" t="s">
        <v>2</v>
      </c>
      <c r="I1603" t="s">
        <v>10</v>
      </c>
      <c r="J1603" s="18">
        <v>431414.46</v>
      </c>
      <c r="K1603" t="s">
        <v>3983</v>
      </c>
      <c r="L1603" t="s">
        <v>4</v>
      </c>
      <c r="M1603" t="s">
        <v>3981</v>
      </c>
      <c r="N1603" t="s">
        <v>3</v>
      </c>
      <c r="O1603" t="s">
        <v>3</v>
      </c>
      <c r="P1603" t="s">
        <v>5</v>
      </c>
      <c r="Q1603" t="s">
        <v>3982</v>
      </c>
      <c r="R1603" t="s">
        <v>3</v>
      </c>
      <c r="S1603" t="s">
        <v>3</v>
      </c>
      <c r="T1603" t="s">
        <v>3</v>
      </c>
      <c r="U1603" t="s">
        <v>3</v>
      </c>
      <c r="V1603" t="s">
        <v>3</v>
      </c>
      <c r="W1603" t="s">
        <v>68</v>
      </c>
      <c r="X1603" s="17"/>
      <c r="Y1603" t="s">
        <v>3</v>
      </c>
      <c r="Z1603" s="17">
        <v>43585</v>
      </c>
      <c r="AA1603" t="s">
        <v>3</v>
      </c>
      <c r="AB1603" t="s">
        <v>3979</v>
      </c>
    </row>
    <row r="1604" spans="1:28" hidden="1">
      <c r="A1604" t="s">
        <v>4064</v>
      </c>
      <c r="B1604" s="17">
        <v>43585</v>
      </c>
      <c r="C1604" s="17">
        <v>43585</v>
      </c>
      <c r="D1604" t="s">
        <v>0</v>
      </c>
      <c r="E1604" t="s">
        <v>1</v>
      </c>
      <c r="F1604" s="18">
        <v>122721.38</v>
      </c>
      <c r="G1604" s="18">
        <v>122721.38</v>
      </c>
      <c r="H1604" t="s">
        <v>2</v>
      </c>
      <c r="I1604" t="s">
        <v>8</v>
      </c>
      <c r="J1604" s="18">
        <v>10210418.82</v>
      </c>
      <c r="K1604" t="s">
        <v>2321</v>
      </c>
      <c r="L1604" t="s">
        <v>4</v>
      </c>
      <c r="M1604" t="s">
        <v>2325</v>
      </c>
      <c r="N1604" t="s">
        <v>3</v>
      </c>
      <c r="O1604" t="s">
        <v>3</v>
      </c>
      <c r="P1604" t="s">
        <v>5</v>
      </c>
      <c r="Q1604" t="s">
        <v>2326</v>
      </c>
      <c r="R1604" t="s">
        <v>3</v>
      </c>
      <c r="S1604" t="s">
        <v>3</v>
      </c>
      <c r="T1604" t="s">
        <v>3</v>
      </c>
      <c r="U1604" t="s">
        <v>3</v>
      </c>
      <c r="V1604" t="s">
        <v>3</v>
      </c>
      <c r="W1604" t="s">
        <v>68</v>
      </c>
      <c r="X1604" s="17">
        <v>43585</v>
      </c>
      <c r="Y1604" t="s">
        <v>2324</v>
      </c>
      <c r="Z1604" s="17">
        <v>43585</v>
      </c>
      <c r="AA1604" t="s">
        <v>3</v>
      </c>
      <c r="AB1604" t="s">
        <v>4064</v>
      </c>
    </row>
    <row r="1605" spans="1:28" hidden="1">
      <c r="A1605" t="s">
        <v>4065</v>
      </c>
      <c r="B1605" s="17">
        <v>43585</v>
      </c>
      <c r="C1605" s="17">
        <v>43585</v>
      </c>
      <c r="D1605" t="s">
        <v>0</v>
      </c>
      <c r="E1605" t="s">
        <v>1</v>
      </c>
      <c r="F1605" s="18">
        <v>-471417</v>
      </c>
      <c r="G1605" s="18">
        <v>-471417</v>
      </c>
      <c r="H1605" t="s">
        <v>2</v>
      </c>
      <c r="I1605" t="s">
        <v>8</v>
      </c>
      <c r="J1605" s="18">
        <v>-39104040.149999999</v>
      </c>
      <c r="K1605" t="s">
        <v>2321</v>
      </c>
      <c r="L1605" t="s">
        <v>9</v>
      </c>
      <c r="M1605" t="s">
        <v>2322</v>
      </c>
      <c r="N1605" t="s">
        <v>3</v>
      </c>
      <c r="O1605" t="s">
        <v>3</v>
      </c>
      <c r="P1605" t="s">
        <v>5</v>
      </c>
      <c r="Q1605" t="s">
        <v>2323</v>
      </c>
      <c r="R1605" t="s">
        <v>3</v>
      </c>
      <c r="S1605" t="s">
        <v>3</v>
      </c>
      <c r="T1605" t="s">
        <v>3</v>
      </c>
      <c r="U1605" t="s">
        <v>3</v>
      </c>
      <c r="V1605" t="s">
        <v>3</v>
      </c>
      <c r="W1605" t="s">
        <v>68</v>
      </c>
      <c r="X1605" s="17">
        <v>43585</v>
      </c>
      <c r="Y1605" t="s">
        <v>2320</v>
      </c>
      <c r="Z1605" s="17">
        <v>43585</v>
      </c>
      <c r="AA1605" t="s">
        <v>3</v>
      </c>
      <c r="AB1605" t="s">
        <v>4065</v>
      </c>
    </row>
    <row r="1606" spans="1:28" hidden="1">
      <c r="A1606" t="s">
        <v>4066</v>
      </c>
      <c r="B1606" s="17">
        <v>43585</v>
      </c>
      <c r="C1606" s="17">
        <v>43585</v>
      </c>
      <c r="D1606" t="s">
        <v>0</v>
      </c>
      <c r="E1606" t="s">
        <v>1</v>
      </c>
      <c r="F1606" s="18">
        <v>-471417</v>
      </c>
      <c r="G1606" s="18">
        <v>-471417</v>
      </c>
      <c r="H1606" t="s">
        <v>2</v>
      </c>
      <c r="I1606" t="s">
        <v>8</v>
      </c>
      <c r="J1606" s="18">
        <v>-39353891.159999996</v>
      </c>
      <c r="K1606" t="s">
        <v>2321</v>
      </c>
      <c r="L1606" t="s">
        <v>2335</v>
      </c>
      <c r="M1606" t="s">
        <v>2322</v>
      </c>
      <c r="N1606" t="s">
        <v>3</v>
      </c>
      <c r="O1606" t="s">
        <v>3</v>
      </c>
      <c r="P1606" t="s">
        <v>5</v>
      </c>
      <c r="Q1606" t="s">
        <v>2323</v>
      </c>
      <c r="R1606" t="s">
        <v>3</v>
      </c>
      <c r="S1606" t="s">
        <v>3</v>
      </c>
      <c r="T1606" t="s">
        <v>3</v>
      </c>
      <c r="U1606" t="s">
        <v>3</v>
      </c>
      <c r="V1606" t="s">
        <v>3</v>
      </c>
      <c r="W1606" t="s">
        <v>68</v>
      </c>
      <c r="X1606" s="17">
        <v>43586</v>
      </c>
      <c r="Y1606" t="s">
        <v>2334</v>
      </c>
      <c r="Z1606" s="17">
        <v>43585</v>
      </c>
      <c r="AA1606" t="s">
        <v>3</v>
      </c>
      <c r="AB1606" t="s">
        <v>4066</v>
      </c>
    </row>
    <row r="1607" spans="1:28" hidden="1">
      <c r="A1607" t="s">
        <v>4067</v>
      </c>
      <c r="B1607" s="17">
        <v>43585</v>
      </c>
      <c r="C1607" s="17">
        <v>43585</v>
      </c>
      <c r="D1607" t="s">
        <v>0</v>
      </c>
      <c r="E1607" t="s">
        <v>1</v>
      </c>
      <c r="F1607" s="18">
        <v>122721.38</v>
      </c>
      <c r="G1607" s="18">
        <v>122721.38</v>
      </c>
      <c r="H1607" t="s">
        <v>2</v>
      </c>
      <c r="I1607" t="s">
        <v>8</v>
      </c>
      <c r="J1607" s="18">
        <v>10244780.800000001</v>
      </c>
      <c r="K1607" t="s">
        <v>2326</v>
      </c>
      <c r="L1607" t="s">
        <v>2332</v>
      </c>
      <c r="M1607" t="s">
        <v>2325</v>
      </c>
      <c r="N1607" t="s">
        <v>3</v>
      </c>
      <c r="O1607" t="s">
        <v>3</v>
      </c>
      <c r="P1607" t="s">
        <v>5</v>
      </c>
      <c r="Q1607" t="s">
        <v>2333</v>
      </c>
      <c r="R1607" t="s">
        <v>3</v>
      </c>
      <c r="S1607" t="s">
        <v>3</v>
      </c>
      <c r="T1607" t="s">
        <v>3</v>
      </c>
      <c r="U1607" t="s">
        <v>3</v>
      </c>
      <c r="V1607" t="s">
        <v>3</v>
      </c>
      <c r="W1607" t="s">
        <v>68</v>
      </c>
      <c r="X1607" s="17">
        <v>43586</v>
      </c>
      <c r="Y1607" t="s">
        <v>2331</v>
      </c>
      <c r="Z1607" s="17">
        <v>43585</v>
      </c>
      <c r="AA1607" t="s">
        <v>3</v>
      </c>
      <c r="AB1607" t="s">
        <v>4067</v>
      </c>
    </row>
    <row r="1608" spans="1:28" hidden="1">
      <c r="A1608" t="s">
        <v>2331</v>
      </c>
      <c r="B1608" s="17">
        <v>43586</v>
      </c>
      <c r="C1608" s="17">
        <v>43585</v>
      </c>
      <c r="D1608" t="s">
        <v>38</v>
      </c>
      <c r="E1608" t="s">
        <v>1</v>
      </c>
      <c r="F1608" s="18">
        <v>-122721.38</v>
      </c>
      <c r="G1608" s="18">
        <v>-122721.38</v>
      </c>
      <c r="H1608" t="s">
        <v>2</v>
      </c>
      <c r="I1608" t="s">
        <v>8</v>
      </c>
      <c r="J1608" s="18">
        <v>-10244780.800000001</v>
      </c>
      <c r="K1608" t="s">
        <v>2326</v>
      </c>
      <c r="L1608" t="s">
        <v>2332</v>
      </c>
      <c r="M1608" t="s">
        <v>2325</v>
      </c>
      <c r="N1608" t="s">
        <v>3</v>
      </c>
      <c r="O1608" t="s">
        <v>3</v>
      </c>
      <c r="P1608" t="s">
        <v>5</v>
      </c>
      <c r="Q1608" t="s">
        <v>2333</v>
      </c>
      <c r="R1608" t="s">
        <v>3</v>
      </c>
      <c r="S1608" t="s">
        <v>3</v>
      </c>
      <c r="T1608" t="s">
        <v>3</v>
      </c>
      <c r="U1608" t="s">
        <v>3</v>
      </c>
      <c r="V1608" t="s">
        <v>3</v>
      </c>
      <c r="W1608" t="s">
        <v>68</v>
      </c>
      <c r="X1608" s="17">
        <v>43586</v>
      </c>
      <c r="Y1608" t="s">
        <v>2331</v>
      </c>
      <c r="Z1608" s="17">
        <v>43585</v>
      </c>
      <c r="AA1608" t="s">
        <v>3</v>
      </c>
      <c r="AB1608" t="s">
        <v>2331</v>
      </c>
    </row>
    <row r="1609" spans="1:28" hidden="1">
      <c r="A1609" t="s">
        <v>2334</v>
      </c>
      <c r="B1609" s="17">
        <v>43586</v>
      </c>
      <c r="C1609" s="17">
        <v>43585</v>
      </c>
      <c r="D1609" t="s">
        <v>38</v>
      </c>
      <c r="E1609" t="s">
        <v>1</v>
      </c>
      <c r="F1609" s="18">
        <v>471417</v>
      </c>
      <c r="G1609" s="18">
        <v>471417</v>
      </c>
      <c r="H1609" t="s">
        <v>2</v>
      </c>
      <c r="I1609" t="s">
        <v>8</v>
      </c>
      <c r="J1609" s="18">
        <v>39353891.159999996</v>
      </c>
      <c r="K1609" t="s">
        <v>2321</v>
      </c>
      <c r="L1609" t="s">
        <v>2335</v>
      </c>
      <c r="M1609" t="s">
        <v>2322</v>
      </c>
      <c r="N1609" t="s">
        <v>3</v>
      </c>
      <c r="O1609" t="s">
        <v>3</v>
      </c>
      <c r="P1609" t="s">
        <v>5</v>
      </c>
      <c r="Q1609" t="s">
        <v>2323</v>
      </c>
      <c r="R1609" t="s">
        <v>3</v>
      </c>
      <c r="S1609" t="s">
        <v>3</v>
      </c>
      <c r="T1609" t="s">
        <v>3</v>
      </c>
      <c r="U1609" t="s">
        <v>3</v>
      </c>
      <c r="V1609" t="s">
        <v>3</v>
      </c>
      <c r="W1609" t="s">
        <v>68</v>
      </c>
      <c r="X1609" s="17">
        <v>43586</v>
      </c>
      <c r="Y1609" t="s">
        <v>2334</v>
      </c>
      <c r="Z1609" s="17">
        <v>43585</v>
      </c>
      <c r="AA1609" t="s">
        <v>3</v>
      </c>
      <c r="AB1609" t="s">
        <v>2334</v>
      </c>
    </row>
    <row r="1610" spans="1:28" hidden="1">
      <c r="A1610" t="s">
        <v>2135</v>
      </c>
      <c r="B1610" s="17">
        <v>43587</v>
      </c>
      <c r="C1610" s="17">
        <v>43587</v>
      </c>
      <c r="D1610" t="s">
        <v>7</v>
      </c>
      <c r="E1610" t="s">
        <v>1</v>
      </c>
      <c r="F1610" s="18">
        <v>914366</v>
      </c>
      <c r="G1610" s="18">
        <v>914366</v>
      </c>
      <c r="H1610" t="s">
        <v>2</v>
      </c>
      <c r="I1610" t="s">
        <v>8</v>
      </c>
      <c r="J1610" s="18">
        <v>75618068.200000003</v>
      </c>
      <c r="K1610" t="s">
        <v>2417</v>
      </c>
      <c r="L1610" t="s">
        <v>9</v>
      </c>
      <c r="M1610" t="s">
        <v>2418</v>
      </c>
      <c r="N1610" t="s">
        <v>3</v>
      </c>
      <c r="O1610" t="s">
        <v>3</v>
      </c>
      <c r="P1610" t="s">
        <v>5</v>
      </c>
      <c r="Q1610" t="s">
        <v>2417</v>
      </c>
      <c r="R1610" t="s">
        <v>3</v>
      </c>
      <c r="S1610" t="s">
        <v>3</v>
      </c>
      <c r="T1610" t="s">
        <v>3</v>
      </c>
      <c r="U1610" t="s">
        <v>3</v>
      </c>
      <c r="V1610" t="s">
        <v>3</v>
      </c>
      <c r="W1610" t="s">
        <v>68</v>
      </c>
      <c r="X1610" s="17">
        <v>43587</v>
      </c>
      <c r="Y1610" t="s">
        <v>2135</v>
      </c>
      <c r="Z1610" s="17">
        <v>43587</v>
      </c>
      <c r="AA1610" t="s">
        <v>3</v>
      </c>
      <c r="AB1610" t="s">
        <v>2135</v>
      </c>
    </row>
    <row r="1611" spans="1:28" hidden="1">
      <c r="A1611" t="s">
        <v>2135</v>
      </c>
      <c r="B1611" s="17">
        <v>43587</v>
      </c>
      <c r="C1611" s="17">
        <v>43587</v>
      </c>
      <c r="D1611" t="s">
        <v>7</v>
      </c>
      <c r="E1611" t="s">
        <v>1</v>
      </c>
      <c r="F1611" s="18">
        <v>-914366</v>
      </c>
      <c r="G1611" s="18">
        <v>-914366</v>
      </c>
      <c r="H1611" t="s">
        <v>2</v>
      </c>
      <c r="I1611" t="s">
        <v>8</v>
      </c>
      <c r="J1611" s="18">
        <v>-75618068.200000003</v>
      </c>
      <c r="K1611" t="s">
        <v>2417</v>
      </c>
      <c r="L1611" t="s">
        <v>9</v>
      </c>
      <c r="M1611" t="s">
        <v>2418</v>
      </c>
      <c r="N1611" t="s">
        <v>3</v>
      </c>
      <c r="O1611" t="s">
        <v>3</v>
      </c>
      <c r="P1611" t="s">
        <v>5</v>
      </c>
      <c r="Q1611" t="s">
        <v>2417</v>
      </c>
      <c r="R1611" t="s">
        <v>3</v>
      </c>
      <c r="S1611" t="s">
        <v>3</v>
      </c>
      <c r="T1611" t="s">
        <v>3</v>
      </c>
      <c r="U1611" t="s">
        <v>3</v>
      </c>
      <c r="V1611" t="s">
        <v>3</v>
      </c>
      <c r="W1611" t="s">
        <v>68</v>
      </c>
      <c r="X1611" s="17">
        <v>43587</v>
      </c>
      <c r="Y1611" t="s">
        <v>2135</v>
      </c>
      <c r="Z1611" s="17">
        <v>43587</v>
      </c>
      <c r="AA1611" t="s">
        <v>3</v>
      </c>
      <c r="AB1611" t="s">
        <v>2135</v>
      </c>
    </row>
    <row r="1612" spans="1:28" hidden="1">
      <c r="A1612" t="s">
        <v>2160</v>
      </c>
      <c r="B1612" s="17">
        <v>43587</v>
      </c>
      <c r="C1612" s="17">
        <v>43587</v>
      </c>
      <c r="D1612" t="s">
        <v>7</v>
      </c>
      <c r="E1612" t="s">
        <v>1</v>
      </c>
      <c r="F1612" s="18">
        <v>694950</v>
      </c>
      <c r="G1612" s="18">
        <v>694950</v>
      </c>
      <c r="H1612" t="s">
        <v>2</v>
      </c>
      <c r="I1612" t="s">
        <v>8</v>
      </c>
      <c r="J1612" s="18">
        <v>57472365</v>
      </c>
      <c r="K1612" t="s">
        <v>2419</v>
      </c>
      <c r="L1612" t="s">
        <v>9</v>
      </c>
      <c r="M1612" t="s">
        <v>2418</v>
      </c>
      <c r="N1612" t="s">
        <v>3</v>
      </c>
      <c r="O1612" t="s">
        <v>3</v>
      </c>
      <c r="P1612" t="s">
        <v>5</v>
      </c>
      <c r="Q1612" t="s">
        <v>2419</v>
      </c>
      <c r="R1612" t="s">
        <v>3</v>
      </c>
      <c r="S1612" t="s">
        <v>3</v>
      </c>
      <c r="T1612" t="s">
        <v>3</v>
      </c>
      <c r="U1612" t="s">
        <v>3</v>
      </c>
      <c r="V1612" t="s">
        <v>3</v>
      </c>
      <c r="W1612" t="s">
        <v>68</v>
      </c>
      <c r="X1612" s="17">
        <v>43587</v>
      </c>
      <c r="Y1612" t="s">
        <v>2160</v>
      </c>
      <c r="Z1612" s="17">
        <v>43587</v>
      </c>
      <c r="AA1612" t="s">
        <v>3</v>
      </c>
      <c r="AB1612" t="s">
        <v>2160</v>
      </c>
    </row>
    <row r="1613" spans="1:28" hidden="1">
      <c r="A1613" t="s">
        <v>2160</v>
      </c>
      <c r="B1613" s="17">
        <v>43587</v>
      </c>
      <c r="C1613" s="17">
        <v>43587</v>
      </c>
      <c r="D1613" t="s">
        <v>7</v>
      </c>
      <c r="E1613" t="s">
        <v>1</v>
      </c>
      <c r="F1613" s="18">
        <v>-694950</v>
      </c>
      <c r="G1613" s="18">
        <v>-694950</v>
      </c>
      <c r="H1613" t="s">
        <v>2</v>
      </c>
      <c r="I1613" t="s">
        <v>8</v>
      </c>
      <c r="J1613" s="18">
        <v>-57472365</v>
      </c>
      <c r="K1613" t="s">
        <v>2419</v>
      </c>
      <c r="L1613" t="s">
        <v>9</v>
      </c>
      <c r="M1613" t="s">
        <v>2418</v>
      </c>
      <c r="N1613" t="s">
        <v>3</v>
      </c>
      <c r="O1613" t="s">
        <v>3</v>
      </c>
      <c r="P1613" t="s">
        <v>5</v>
      </c>
      <c r="Q1613" t="s">
        <v>2419</v>
      </c>
      <c r="R1613" t="s">
        <v>3</v>
      </c>
      <c r="S1613" t="s">
        <v>3</v>
      </c>
      <c r="T1613" t="s">
        <v>3</v>
      </c>
      <c r="U1613" t="s">
        <v>3</v>
      </c>
      <c r="V1613" t="s">
        <v>3</v>
      </c>
      <c r="W1613" t="s">
        <v>68</v>
      </c>
      <c r="X1613" s="17">
        <v>43587</v>
      </c>
      <c r="Y1613" t="s">
        <v>2160</v>
      </c>
      <c r="Z1613" s="17">
        <v>43587</v>
      </c>
      <c r="AA1613" t="s">
        <v>3</v>
      </c>
      <c r="AB1613" t="s">
        <v>2160</v>
      </c>
    </row>
    <row r="1614" spans="1:28" hidden="1">
      <c r="A1614" t="s">
        <v>2420</v>
      </c>
      <c r="B1614" s="17">
        <v>43587</v>
      </c>
      <c r="C1614" s="17">
        <v>43587</v>
      </c>
      <c r="D1614" t="s">
        <v>7</v>
      </c>
      <c r="E1614" t="s">
        <v>1</v>
      </c>
      <c r="F1614" s="18">
        <v>1</v>
      </c>
      <c r="G1614" s="18">
        <v>1</v>
      </c>
      <c r="H1614" t="s">
        <v>2</v>
      </c>
      <c r="I1614" t="s">
        <v>8</v>
      </c>
      <c r="J1614" s="18">
        <v>82.76</v>
      </c>
      <c r="K1614" t="s">
        <v>2421</v>
      </c>
      <c r="L1614" t="s">
        <v>9</v>
      </c>
      <c r="M1614" t="s">
        <v>2418</v>
      </c>
      <c r="N1614" t="s">
        <v>3</v>
      </c>
      <c r="O1614" t="s">
        <v>3</v>
      </c>
      <c r="P1614" t="s">
        <v>5</v>
      </c>
      <c r="Q1614" t="s">
        <v>2421</v>
      </c>
      <c r="R1614" t="s">
        <v>3</v>
      </c>
      <c r="S1614" t="s">
        <v>3</v>
      </c>
      <c r="T1614" t="s">
        <v>3</v>
      </c>
      <c r="U1614" t="s">
        <v>3</v>
      </c>
      <c r="V1614" t="s">
        <v>3</v>
      </c>
      <c r="W1614" t="s">
        <v>68</v>
      </c>
      <c r="X1614" s="17">
        <v>43587</v>
      </c>
      <c r="Y1614" t="s">
        <v>2420</v>
      </c>
      <c r="Z1614" s="17">
        <v>43587</v>
      </c>
      <c r="AA1614" t="s">
        <v>3</v>
      </c>
      <c r="AB1614" t="s">
        <v>2420</v>
      </c>
    </row>
    <row r="1615" spans="1:28" hidden="1">
      <c r="A1615" t="s">
        <v>2422</v>
      </c>
      <c r="B1615" s="17">
        <v>43587</v>
      </c>
      <c r="C1615" s="17">
        <v>43587</v>
      </c>
      <c r="D1615" t="s">
        <v>7</v>
      </c>
      <c r="E1615" t="s">
        <v>1</v>
      </c>
      <c r="F1615" s="18">
        <v>638206</v>
      </c>
      <c r="G1615" s="18">
        <v>638206</v>
      </c>
      <c r="H1615" t="s">
        <v>2</v>
      </c>
      <c r="I1615" t="s">
        <v>8</v>
      </c>
      <c r="J1615" s="18">
        <v>52939187.700000003</v>
      </c>
      <c r="K1615" t="s">
        <v>2421</v>
      </c>
      <c r="L1615" t="s">
        <v>9</v>
      </c>
      <c r="M1615" t="s">
        <v>2418</v>
      </c>
      <c r="N1615" t="s">
        <v>3</v>
      </c>
      <c r="O1615" t="s">
        <v>3</v>
      </c>
      <c r="P1615" t="s">
        <v>5</v>
      </c>
      <c r="Q1615" t="s">
        <v>2423</v>
      </c>
      <c r="R1615" t="s">
        <v>3</v>
      </c>
      <c r="S1615" t="s">
        <v>3</v>
      </c>
      <c r="T1615" t="s">
        <v>3</v>
      </c>
      <c r="U1615" t="s">
        <v>3</v>
      </c>
      <c r="V1615" t="s">
        <v>3</v>
      </c>
      <c r="W1615" t="s">
        <v>68</v>
      </c>
      <c r="X1615" s="17">
        <v>43587</v>
      </c>
      <c r="Y1615" t="s">
        <v>2422</v>
      </c>
      <c r="Z1615" s="17">
        <v>43587</v>
      </c>
      <c r="AA1615" t="s">
        <v>3</v>
      </c>
      <c r="AB1615" t="s">
        <v>2422</v>
      </c>
    </row>
    <row r="1616" spans="1:28" hidden="1">
      <c r="A1616" t="s">
        <v>2422</v>
      </c>
      <c r="B1616" s="17">
        <v>43587</v>
      </c>
      <c r="C1616" s="17">
        <v>43587</v>
      </c>
      <c r="D1616" t="s">
        <v>7</v>
      </c>
      <c r="E1616" t="s">
        <v>1</v>
      </c>
      <c r="F1616" s="18">
        <v>-638206</v>
      </c>
      <c r="G1616" s="18">
        <v>-638206</v>
      </c>
      <c r="H1616" t="s">
        <v>2</v>
      </c>
      <c r="I1616" t="s">
        <v>8</v>
      </c>
      <c r="J1616" s="18">
        <v>-52939187.700000003</v>
      </c>
      <c r="K1616" t="s">
        <v>2421</v>
      </c>
      <c r="L1616" t="s">
        <v>9</v>
      </c>
      <c r="M1616" t="s">
        <v>2418</v>
      </c>
      <c r="N1616" t="s">
        <v>3</v>
      </c>
      <c r="O1616" t="s">
        <v>3</v>
      </c>
      <c r="P1616" t="s">
        <v>5</v>
      </c>
      <c r="Q1616" t="s">
        <v>2423</v>
      </c>
      <c r="R1616" t="s">
        <v>3</v>
      </c>
      <c r="S1616" t="s">
        <v>3</v>
      </c>
      <c r="T1616" t="s">
        <v>3</v>
      </c>
      <c r="U1616" t="s">
        <v>3</v>
      </c>
      <c r="V1616" t="s">
        <v>3</v>
      </c>
      <c r="W1616" t="s">
        <v>68</v>
      </c>
      <c r="X1616" s="17">
        <v>43587</v>
      </c>
      <c r="Y1616" t="s">
        <v>2422</v>
      </c>
      <c r="Z1616" s="17">
        <v>43587</v>
      </c>
      <c r="AA1616" t="s">
        <v>3</v>
      </c>
      <c r="AB1616" t="s">
        <v>2422</v>
      </c>
    </row>
    <row r="1617" spans="1:28" hidden="1">
      <c r="A1617" t="s">
        <v>2424</v>
      </c>
      <c r="B1617" s="17">
        <v>43587</v>
      </c>
      <c r="C1617" s="17">
        <v>43587</v>
      </c>
      <c r="D1617" t="s">
        <v>7</v>
      </c>
      <c r="E1617" t="s">
        <v>1</v>
      </c>
      <c r="F1617" s="18">
        <v>574279</v>
      </c>
      <c r="G1617" s="18">
        <v>574279</v>
      </c>
      <c r="H1617" t="s">
        <v>2</v>
      </c>
      <c r="I1617" t="s">
        <v>8</v>
      </c>
      <c r="J1617" s="18">
        <v>47521587.259999998</v>
      </c>
      <c r="K1617" t="s">
        <v>2421</v>
      </c>
      <c r="L1617" t="s">
        <v>9</v>
      </c>
      <c r="M1617" t="s">
        <v>2418</v>
      </c>
      <c r="N1617" t="s">
        <v>3</v>
      </c>
      <c r="O1617" t="s">
        <v>3</v>
      </c>
      <c r="P1617" t="s">
        <v>5</v>
      </c>
      <c r="Q1617" t="s">
        <v>2425</v>
      </c>
      <c r="R1617" t="s">
        <v>3</v>
      </c>
      <c r="S1617" t="s">
        <v>3</v>
      </c>
      <c r="T1617" t="s">
        <v>3</v>
      </c>
      <c r="U1617" t="s">
        <v>3</v>
      </c>
      <c r="V1617" t="s">
        <v>3</v>
      </c>
      <c r="W1617" t="s">
        <v>68</v>
      </c>
      <c r="X1617" s="17">
        <v>43587</v>
      </c>
      <c r="Y1617" t="s">
        <v>2424</v>
      </c>
      <c r="Z1617" s="17">
        <v>43587</v>
      </c>
      <c r="AA1617" t="s">
        <v>3</v>
      </c>
      <c r="AB1617" t="s">
        <v>2424</v>
      </c>
    </row>
    <row r="1618" spans="1:28" hidden="1">
      <c r="A1618" t="s">
        <v>2424</v>
      </c>
      <c r="B1618" s="17">
        <v>43587</v>
      </c>
      <c r="C1618" s="17">
        <v>43587</v>
      </c>
      <c r="D1618" t="s">
        <v>7</v>
      </c>
      <c r="E1618" t="s">
        <v>1</v>
      </c>
      <c r="F1618" s="18">
        <v>-574279</v>
      </c>
      <c r="G1618" s="18">
        <v>-574279</v>
      </c>
      <c r="H1618" t="s">
        <v>2</v>
      </c>
      <c r="I1618" t="s">
        <v>8</v>
      </c>
      <c r="J1618" s="18">
        <v>-47521587.259999998</v>
      </c>
      <c r="K1618" t="s">
        <v>3</v>
      </c>
      <c r="L1618" t="s">
        <v>9</v>
      </c>
      <c r="M1618" t="s">
        <v>2418</v>
      </c>
      <c r="N1618" t="s">
        <v>3</v>
      </c>
      <c r="O1618" t="s">
        <v>3</v>
      </c>
      <c r="P1618" t="s">
        <v>5</v>
      </c>
      <c r="Q1618" t="s">
        <v>2425</v>
      </c>
      <c r="R1618" t="s">
        <v>3</v>
      </c>
      <c r="S1618" t="s">
        <v>3</v>
      </c>
      <c r="T1618" t="s">
        <v>3</v>
      </c>
      <c r="U1618" t="s">
        <v>3</v>
      </c>
      <c r="V1618" t="s">
        <v>3</v>
      </c>
      <c r="W1618" t="s">
        <v>68</v>
      </c>
      <c r="X1618" s="17">
        <v>43587</v>
      </c>
      <c r="Y1618" t="s">
        <v>2424</v>
      </c>
      <c r="Z1618" s="17">
        <v>43587</v>
      </c>
      <c r="AA1618" t="s">
        <v>3</v>
      </c>
      <c r="AB1618" t="s">
        <v>2424</v>
      </c>
    </row>
    <row r="1619" spans="1:28" hidden="1">
      <c r="A1619" t="s">
        <v>2426</v>
      </c>
      <c r="B1619" s="17">
        <v>43587</v>
      </c>
      <c r="C1619" s="17">
        <v>43587</v>
      </c>
      <c r="D1619" t="s">
        <v>7</v>
      </c>
      <c r="E1619" t="s">
        <v>1</v>
      </c>
      <c r="F1619" s="18">
        <v>444779</v>
      </c>
      <c r="G1619" s="18">
        <v>444779</v>
      </c>
      <c r="H1619" t="s">
        <v>2</v>
      </c>
      <c r="I1619" t="s">
        <v>8</v>
      </c>
      <c r="J1619" s="18">
        <v>36894418.049999997</v>
      </c>
      <c r="K1619" t="s">
        <v>2421</v>
      </c>
      <c r="L1619" t="s">
        <v>9</v>
      </c>
      <c r="M1619" t="s">
        <v>2418</v>
      </c>
      <c r="N1619" t="s">
        <v>3</v>
      </c>
      <c r="O1619" t="s">
        <v>3</v>
      </c>
      <c r="P1619" t="s">
        <v>5</v>
      </c>
      <c r="Q1619" t="s">
        <v>2427</v>
      </c>
      <c r="R1619" t="s">
        <v>3</v>
      </c>
      <c r="S1619" t="s">
        <v>3</v>
      </c>
      <c r="T1619" t="s">
        <v>3</v>
      </c>
      <c r="U1619" t="s">
        <v>3</v>
      </c>
      <c r="V1619" t="s">
        <v>3</v>
      </c>
      <c r="W1619" t="s">
        <v>68</v>
      </c>
      <c r="X1619" s="17">
        <v>43587</v>
      </c>
      <c r="Y1619" t="s">
        <v>2426</v>
      </c>
      <c r="Z1619" s="17">
        <v>43587</v>
      </c>
      <c r="AA1619" t="s">
        <v>3</v>
      </c>
      <c r="AB1619" t="s">
        <v>2426</v>
      </c>
    </row>
    <row r="1620" spans="1:28" hidden="1">
      <c r="A1620" t="s">
        <v>2426</v>
      </c>
      <c r="B1620" s="17">
        <v>43587</v>
      </c>
      <c r="C1620" s="17">
        <v>43587</v>
      </c>
      <c r="D1620" t="s">
        <v>7</v>
      </c>
      <c r="E1620" t="s">
        <v>1</v>
      </c>
      <c r="F1620" s="18">
        <v>-444779</v>
      </c>
      <c r="G1620" s="18">
        <v>-444779</v>
      </c>
      <c r="H1620" t="s">
        <v>2</v>
      </c>
      <c r="I1620" t="s">
        <v>8</v>
      </c>
      <c r="J1620" s="18">
        <v>-36894418.049999997</v>
      </c>
      <c r="K1620" t="s">
        <v>2421</v>
      </c>
      <c r="L1620" t="s">
        <v>9</v>
      </c>
      <c r="M1620" t="s">
        <v>2418</v>
      </c>
      <c r="N1620" t="s">
        <v>3</v>
      </c>
      <c r="O1620" t="s">
        <v>3</v>
      </c>
      <c r="P1620" t="s">
        <v>5</v>
      </c>
      <c r="Q1620" t="s">
        <v>2427</v>
      </c>
      <c r="R1620" t="s">
        <v>3</v>
      </c>
      <c r="S1620" t="s">
        <v>3</v>
      </c>
      <c r="T1620" t="s">
        <v>3</v>
      </c>
      <c r="U1620" t="s">
        <v>3</v>
      </c>
      <c r="V1620" t="s">
        <v>3</v>
      </c>
      <c r="W1620" t="s">
        <v>68</v>
      </c>
      <c r="X1620" s="17">
        <v>43587</v>
      </c>
      <c r="Y1620" t="s">
        <v>2426</v>
      </c>
      <c r="Z1620" s="17">
        <v>43587</v>
      </c>
      <c r="AA1620" t="s">
        <v>3</v>
      </c>
      <c r="AB1620" t="s">
        <v>2426</v>
      </c>
    </row>
    <row r="1621" spans="1:28" hidden="1">
      <c r="A1621" t="s">
        <v>2428</v>
      </c>
      <c r="B1621" s="17">
        <v>43587</v>
      </c>
      <c r="C1621" s="17">
        <v>43587</v>
      </c>
      <c r="D1621" t="s">
        <v>7</v>
      </c>
      <c r="E1621" t="s">
        <v>1</v>
      </c>
      <c r="F1621" s="18">
        <v>433053</v>
      </c>
      <c r="G1621" s="18">
        <v>433053</v>
      </c>
      <c r="H1621" t="s">
        <v>2</v>
      </c>
      <c r="I1621" t="s">
        <v>8</v>
      </c>
      <c r="J1621" s="18">
        <v>35856788.399999999</v>
      </c>
      <c r="K1621" t="s">
        <v>2429</v>
      </c>
      <c r="L1621" t="s">
        <v>9</v>
      </c>
      <c r="M1621" t="s">
        <v>2418</v>
      </c>
      <c r="N1621" t="s">
        <v>3</v>
      </c>
      <c r="O1621" t="s">
        <v>3</v>
      </c>
      <c r="P1621" t="s">
        <v>5</v>
      </c>
      <c r="Q1621" t="s">
        <v>2429</v>
      </c>
      <c r="R1621" t="s">
        <v>3</v>
      </c>
      <c r="S1621" t="s">
        <v>3</v>
      </c>
      <c r="T1621" t="s">
        <v>3</v>
      </c>
      <c r="U1621" t="s">
        <v>3</v>
      </c>
      <c r="V1621" t="s">
        <v>3</v>
      </c>
      <c r="W1621" t="s">
        <v>68</v>
      </c>
      <c r="X1621" s="17">
        <v>43587</v>
      </c>
      <c r="Y1621" t="s">
        <v>2428</v>
      </c>
      <c r="Z1621" s="17">
        <v>43587</v>
      </c>
      <c r="AA1621" t="s">
        <v>3</v>
      </c>
      <c r="AB1621" t="s">
        <v>2428</v>
      </c>
    </row>
    <row r="1622" spans="1:28" hidden="1">
      <c r="A1622" t="s">
        <v>2428</v>
      </c>
      <c r="B1622" s="17">
        <v>43587</v>
      </c>
      <c r="C1622" s="17">
        <v>43587</v>
      </c>
      <c r="D1622" t="s">
        <v>7</v>
      </c>
      <c r="E1622" t="s">
        <v>1</v>
      </c>
      <c r="F1622" s="18">
        <v>-433053</v>
      </c>
      <c r="G1622" s="18">
        <v>-433053</v>
      </c>
      <c r="H1622" t="s">
        <v>2</v>
      </c>
      <c r="I1622" t="s">
        <v>8</v>
      </c>
      <c r="J1622" s="18">
        <v>-35856788.399999999</v>
      </c>
      <c r="K1622" t="s">
        <v>3</v>
      </c>
      <c r="L1622" t="s">
        <v>9</v>
      </c>
      <c r="M1622" t="s">
        <v>2418</v>
      </c>
      <c r="N1622" t="s">
        <v>3</v>
      </c>
      <c r="O1622" t="s">
        <v>3</v>
      </c>
      <c r="P1622" t="s">
        <v>5</v>
      </c>
      <c r="Q1622" t="s">
        <v>2429</v>
      </c>
      <c r="R1622" t="s">
        <v>3</v>
      </c>
      <c r="S1622" t="s">
        <v>3</v>
      </c>
      <c r="T1622" t="s">
        <v>3</v>
      </c>
      <c r="U1622" t="s">
        <v>3</v>
      </c>
      <c r="V1622" t="s">
        <v>3</v>
      </c>
      <c r="W1622" t="s">
        <v>68</v>
      </c>
      <c r="X1622" s="17">
        <v>43587</v>
      </c>
      <c r="Y1622" t="s">
        <v>2428</v>
      </c>
      <c r="Z1622" s="17">
        <v>43587</v>
      </c>
      <c r="AA1622" t="s">
        <v>3</v>
      </c>
      <c r="AB1622" t="s">
        <v>2428</v>
      </c>
    </row>
    <row r="1623" spans="1:28" hidden="1">
      <c r="A1623" t="s">
        <v>2430</v>
      </c>
      <c r="B1623" s="17">
        <v>43587</v>
      </c>
      <c r="C1623" s="17">
        <v>43587</v>
      </c>
      <c r="D1623" t="s">
        <v>7</v>
      </c>
      <c r="E1623" t="s">
        <v>1</v>
      </c>
      <c r="F1623" s="18">
        <v>423512</v>
      </c>
      <c r="G1623" s="18">
        <v>423512</v>
      </c>
      <c r="H1623" t="s">
        <v>2</v>
      </c>
      <c r="I1623" t="s">
        <v>8</v>
      </c>
      <c r="J1623" s="18">
        <v>35045618</v>
      </c>
      <c r="K1623" t="s">
        <v>2431</v>
      </c>
      <c r="L1623" t="s">
        <v>9</v>
      </c>
      <c r="M1623" t="s">
        <v>2418</v>
      </c>
      <c r="N1623" t="s">
        <v>3</v>
      </c>
      <c r="O1623" t="s">
        <v>3</v>
      </c>
      <c r="P1623" t="s">
        <v>5</v>
      </c>
      <c r="Q1623" t="s">
        <v>2431</v>
      </c>
      <c r="R1623" t="s">
        <v>3</v>
      </c>
      <c r="S1623" t="s">
        <v>3</v>
      </c>
      <c r="T1623" t="s">
        <v>3</v>
      </c>
      <c r="U1623" t="s">
        <v>3</v>
      </c>
      <c r="V1623" t="s">
        <v>3</v>
      </c>
      <c r="W1623" t="s">
        <v>68</v>
      </c>
      <c r="X1623" s="17">
        <v>43587</v>
      </c>
      <c r="Y1623" t="s">
        <v>2430</v>
      </c>
      <c r="Z1623" s="17">
        <v>43587</v>
      </c>
      <c r="AA1623" t="s">
        <v>3</v>
      </c>
      <c r="AB1623" t="s">
        <v>2430</v>
      </c>
    </row>
    <row r="1624" spans="1:28" hidden="1">
      <c r="A1624" t="s">
        <v>2430</v>
      </c>
      <c r="B1624" s="17">
        <v>43587</v>
      </c>
      <c r="C1624" s="17">
        <v>43587</v>
      </c>
      <c r="D1624" t="s">
        <v>7</v>
      </c>
      <c r="E1624" t="s">
        <v>1</v>
      </c>
      <c r="F1624" s="18">
        <v>-423512</v>
      </c>
      <c r="G1624" s="18">
        <v>-423512</v>
      </c>
      <c r="H1624" t="s">
        <v>2</v>
      </c>
      <c r="I1624" t="s">
        <v>8</v>
      </c>
      <c r="J1624" s="18">
        <v>-35045618</v>
      </c>
      <c r="K1624" t="s">
        <v>3</v>
      </c>
      <c r="L1624" t="s">
        <v>9</v>
      </c>
      <c r="M1624" t="s">
        <v>2418</v>
      </c>
      <c r="N1624" t="s">
        <v>3</v>
      </c>
      <c r="O1624" t="s">
        <v>3</v>
      </c>
      <c r="P1624" t="s">
        <v>5</v>
      </c>
      <c r="Q1624" t="s">
        <v>2431</v>
      </c>
      <c r="R1624" t="s">
        <v>3</v>
      </c>
      <c r="S1624" t="s">
        <v>3</v>
      </c>
      <c r="T1624" t="s">
        <v>3</v>
      </c>
      <c r="U1624" t="s">
        <v>3</v>
      </c>
      <c r="V1624" t="s">
        <v>3</v>
      </c>
      <c r="W1624" t="s">
        <v>68</v>
      </c>
      <c r="X1624" s="17">
        <v>43587</v>
      </c>
      <c r="Y1624" t="s">
        <v>2430</v>
      </c>
      <c r="Z1624" s="17">
        <v>43587</v>
      </c>
      <c r="AA1624" t="s">
        <v>3</v>
      </c>
      <c r="AB1624" t="s">
        <v>2430</v>
      </c>
    </row>
    <row r="1625" spans="1:28" hidden="1">
      <c r="A1625" t="s">
        <v>2432</v>
      </c>
      <c r="B1625" s="17">
        <v>43587</v>
      </c>
      <c r="C1625" s="17">
        <v>43587</v>
      </c>
      <c r="D1625" t="s">
        <v>7</v>
      </c>
      <c r="E1625" t="s">
        <v>1</v>
      </c>
      <c r="F1625" s="18">
        <v>414344</v>
      </c>
      <c r="G1625" s="18">
        <v>414344</v>
      </c>
      <c r="H1625" t="s">
        <v>2</v>
      </c>
      <c r="I1625" t="s">
        <v>8</v>
      </c>
      <c r="J1625" s="18">
        <v>34307683.200000003</v>
      </c>
      <c r="K1625" t="s">
        <v>2433</v>
      </c>
      <c r="L1625" t="s">
        <v>9</v>
      </c>
      <c r="M1625" t="s">
        <v>2418</v>
      </c>
      <c r="N1625" t="s">
        <v>3</v>
      </c>
      <c r="O1625" t="s">
        <v>3</v>
      </c>
      <c r="P1625" t="s">
        <v>5</v>
      </c>
      <c r="Q1625" t="s">
        <v>2433</v>
      </c>
      <c r="R1625" t="s">
        <v>3</v>
      </c>
      <c r="S1625" t="s">
        <v>3</v>
      </c>
      <c r="T1625" t="s">
        <v>3</v>
      </c>
      <c r="U1625" t="s">
        <v>3</v>
      </c>
      <c r="V1625" t="s">
        <v>3</v>
      </c>
      <c r="W1625" t="s">
        <v>68</v>
      </c>
      <c r="X1625" s="17">
        <v>43587</v>
      </c>
      <c r="Y1625" t="s">
        <v>2432</v>
      </c>
      <c r="Z1625" s="17">
        <v>43587</v>
      </c>
      <c r="AA1625" t="s">
        <v>3</v>
      </c>
      <c r="AB1625" t="s">
        <v>2432</v>
      </c>
    </row>
    <row r="1626" spans="1:28" hidden="1">
      <c r="A1626" t="s">
        <v>2432</v>
      </c>
      <c r="B1626" s="17">
        <v>43587</v>
      </c>
      <c r="C1626" s="17">
        <v>43587</v>
      </c>
      <c r="D1626" t="s">
        <v>7</v>
      </c>
      <c r="E1626" t="s">
        <v>1</v>
      </c>
      <c r="F1626" s="18">
        <v>-414344</v>
      </c>
      <c r="G1626" s="18">
        <v>-414344</v>
      </c>
      <c r="H1626" t="s">
        <v>2</v>
      </c>
      <c r="I1626" t="s">
        <v>8</v>
      </c>
      <c r="J1626" s="18">
        <v>-34307683.200000003</v>
      </c>
      <c r="K1626" t="s">
        <v>2433</v>
      </c>
      <c r="L1626" t="s">
        <v>9</v>
      </c>
      <c r="M1626" t="s">
        <v>2418</v>
      </c>
      <c r="N1626" t="s">
        <v>3</v>
      </c>
      <c r="O1626" t="s">
        <v>3</v>
      </c>
      <c r="P1626" t="s">
        <v>5</v>
      </c>
      <c r="Q1626" t="s">
        <v>2433</v>
      </c>
      <c r="R1626" t="s">
        <v>3</v>
      </c>
      <c r="S1626" t="s">
        <v>3</v>
      </c>
      <c r="T1626" t="s">
        <v>3</v>
      </c>
      <c r="U1626" t="s">
        <v>3</v>
      </c>
      <c r="V1626" t="s">
        <v>3</v>
      </c>
      <c r="W1626" t="s">
        <v>68</v>
      </c>
      <c r="X1626" s="17">
        <v>43587</v>
      </c>
      <c r="Y1626" t="s">
        <v>2432</v>
      </c>
      <c r="Z1626" s="17">
        <v>43587</v>
      </c>
      <c r="AA1626" t="s">
        <v>3</v>
      </c>
      <c r="AB1626" t="s">
        <v>2432</v>
      </c>
    </row>
    <row r="1627" spans="1:28" hidden="1">
      <c r="A1627" t="s">
        <v>2184</v>
      </c>
      <c r="B1627" s="17">
        <v>43587</v>
      </c>
      <c r="C1627" s="17">
        <v>43587</v>
      </c>
      <c r="D1627" t="s">
        <v>7</v>
      </c>
      <c r="E1627" t="s">
        <v>1</v>
      </c>
      <c r="F1627" s="18">
        <v>330733</v>
      </c>
      <c r="G1627" s="18">
        <v>330733</v>
      </c>
      <c r="H1627" t="s">
        <v>2</v>
      </c>
      <c r="I1627" t="s">
        <v>8</v>
      </c>
      <c r="J1627" s="18">
        <v>27351619.109999999</v>
      </c>
      <c r="K1627" t="s">
        <v>2434</v>
      </c>
      <c r="L1627" t="s">
        <v>9</v>
      </c>
      <c r="M1627" t="s">
        <v>2418</v>
      </c>
      <c r="N1627" t="s">
        <v>3</v>
      </c>
      <c r="O1627" t="s">
        <v>3</v>
      </c>
      <c r="P1627" t="s">
        <v>5</v>
      </c>
      <c r="Q1627" t="s">
        <v>2434</v>
      </c>
      <c r="R1627" t="s">
        <v>3</v>
      </c>
      <c r="S1627" t="s">
        <v>3</v>
      </c>
      <c r="T1627" t="s">
        <v>3</v>
      </c>
      <c r="U1627" t="s">
        <v>3</v>
      </c>
      <c r="V1627" t="s">
        <v>3</v>
      </c>
      <c r="W1627" t="s">
        <v>68</v>
      </c>
      <c r="X1627" s="17">
        <v>43587</v>
      </c>
      <c r="Y1627" t="s">
        <v>2184</v>
      </c>
      <c r="Z1627" s="17">
        <v>43587</v>
      </c>
      <c r="AA1627" t="s">
        <v>3</v>
      </c>
      <c r="AB1627" t="s">
        <v>2184</v>
      </c>
    </row>
    <row r="1628" spans="1:28" hidden="1">
      <c r="A1628" t="s">
        <v>2184</v>
      </c>
      <c r="B1628" s="17">
        <v>43587</v>
      </c>
      <c r="C1628" s="17">
        <v>43587</v>
      </c>
      <c r="D1628" t="s">
        <v>7</v>
      </c>
      <c r="E1628" t="s">
        <v>1</v>
      </c>
      <c r="F1628" s="18">
        <v>-330733</v>
      </c>
      <c r="G1628" s="18">
        <v>-330733</v>
      </c>
      <c r="H1628" t="s">
        <v>2</v>
      </c>
      <c r="I1628" t="s">
        <v>8</v>
      </c>
      <c r="J1628" s="18">
        <v>-27351619.109999999</v>
      </c>
      <c r="K1628" t="s">
        <v>2434</v>
      </c>
      <c r="L1628" t="s">
        <v>9</v>
      </c>
      <c r="M1628" t="s">
        <v>2418</v>
      </c>
      <c r="N1628" t="s">
        <v>3</v>
      </c>
      <c r="O1628" t="s">
        <v>3</v>
      </c>
      <c r="P1628" t="s">
        <v>5</v>
      </c>
      <c r="Q1628" t="s">
        <v>2434</v>
      </c>
      <c r="R1628" t="s">
        <v>3</v>
      </c>
      <c r="S1628" t="s">
        <v>3</v>
      </c>
      <c r="T1628" t="s">
        <v>3</v>
      </c>
      <c r="U1628" t="s">
        <v>3</v>
      </c>
      <c r="V1628" t="s">
        <v>3</v>
      </c>
      <c r="W1628" t="s">
        <v>68</v>
      </c>
      <c r="X1628" s="17">
        <v>43587</v>
      </c>
      <c r="Y1628" t="s">
        <v>2184</v>
      </c>
      <c r="Z1628" s="17">
        <v>43587</v>
      </c>
      <c r="AA1628" t="s">
        <v>3</v>
      </c>
      <c r="AB1628" t="s">
        <v>2184</v>
      </c>
    </row>
    <row r="1629" spans="1:28" hidden="1">
      <c r="A1629" t="s">
        <v>2435</v>
      </c>
      <c r="B1629" s="17">
        <v>43587</v>
      </c>
      <c r="C1629" s="17">
        <v>43587</v>
      </c>
      <c r="D1629" t="s">
        <v>7</v>
      </c>
      <c r="E1629" t="s">
        <v>1</v>
      </c>
      <c r="F1629" s="18">
        <v>312000</v>
      </c>
      <c r="G1629" s="18">
        <v>312000</v>
      </c>
      <c r="H1629" t="s">
        <v>2</v>
      </c>
      <c r="I1629" t="s">
        <v>8</v>
      </c>
      <c r="J1629" s="18">
        <v>25880400</v>
      </c>
      <c r="K1629" t="s">
        <v>2436</v>
      </c>
      <c r="L1629" t="s">
        <v>9</v>
      </c>
      <c r="M1629" t="s">
        <v>2418</v>
      </c>
      <c r="N1629" t="s">
        <v>3</v>
      </c>
      <c r="O1629" t="s">
        <v>3</v>
      </c>
      <c r="P1629" t="s">
        <v>5</v>
      </c>
      <c r="Q1629" t="s">
        <v>2436</v>
      </c>
      <c r="R1629" t="s">
        <v>3</v>
      </c>
      <c r="S1629" t="s">
        <v>3</v>
      </c>
      <c r="T1629" t="s">
        <v>3</v>
      </c>
      <c r="U1629" t="s">
        <v>3</v>
      </c>
      <c r="V1629" t="s">
        <v>3</v>
      </c>
      <c r="W1629" t="s">
        <v>68</v>
      </c>
      <c r="X1629" s="17">
        <v>43587</v>
      </c>
      <c r="Y1629" t="s">
        <v>2435</v>
      </c>
      <c r="Z1629" s="17">
        <v>43587</v>
      </c>
      <c r="AA1629" t="s">
        <v>3</v>
      </c>
      <c r="AB1629" t="s">
        <v>2435</v>
      </c>
    </row>
    <row r="1630" spans="1:28" hidden="1">
      <c r="A1630" t="s">
        <v>2435</v>
      </c>
      <c r="B1630" s="17">
        <v>43587</v>
      </c>
      <c r="C1630" s="17">
        <v>43587</v>
      </c>
      <c r="D1630" t="s">
        <v>7</v>
      </c>
      <c r="E1630" t="s">
        <v>1</v>
      </c>
      <c r="F1630" s="18">
        <v>-312000</v>
      </c>
      <c r="G1630" s="18">
        <v>-312000</v>
      </c>
      <c r="H1630" t="s">
        <v>2</v>
      </c>
      <c r="I1630" t="s">
        <v>8</v>
      </c>
      <c r="J1630" s="18">
        <v>-25880400</v>
      </c>
      <c r="K1630" t="s">
        <v>2436</v>
      </c>
      <c r="L1630" t="s">
        <v>9</v>
      </c>
      <c r="M1630" t="s">
        <v>2418</v>
      </c>
      <c r="N1630" t="s">
        <v>3</v>
      </c>
      <c r="O1630" t="s">
        <v>3</v>
      </c>
      <c r="P1630" t="s">
        <v>5</v>
      </c>
      <c r="Q1630" t="s">
        <v>2436</v>
      </c>
      <c r="R1630" t="s">
        <v>3</v>
      </c>
      <c r="S1630" t="s">
        <v>3</v>
      </c>
      <c r="T1630" t="s">
        <v>3</v>
      </c>
      <c r="U1630" t="s">
        <v>3</v>
      </c>
      <c r="V1630" t="s">
        <v>3</v>
      </c>
      <c r="W1630" t="s">
        <v>68</v>
      </c>
      <c r="X1630" s="17">
        <v>43587</v>
      </c>
      <c r="Y1630" t="s">
        <v>2435</v>
      </c>
      <c r="Z1630" s="17">
        <v>43587</v>
      </c>
      <c r="AA1630" t="s">
        <v>3</v>
      </c>
      <c r="AB1630" t="s">
        <v>2435</v>
      </c>
    </row>
    <row r="1631" spans="1:28" hidden="1">
      <c r="A1631" t="s">
        <v>2437</v>
      </c>
      <c r="B1631" s="17">
        <v>43587</v>
      </c>
      <c r="C1631" s="17">
        <v>43587</v>
      </c>
      <c r="D1631" t="s">
        <v>7</v>
      </c>
      <c r="E1631" t="s">
        <v>1</v>
      </c>
      <c r="F1631" s="18">
        <v>294764</v>
      </c>
      <c r="G1631" s="18">
        <v>294764</v>
      </c>
      <c r="H1631" t="s">
        <v>2</v>
      </c>
      <c r="I1631" t="s">
        <v>8</v>
      </c>
      <c r="J1631" s="18">
        <v>24435935.600000001</v>
      </c>
      <c r="K1631" t="s">
        <v>2438</v>
      </c>
      <c r="L1631" t="s">
        <v>9</v>
      </c>
      <c r="M1631" t="s">
        <v>2418</v>
      </c>
      <c r="N1631" t="s">
        <v>3</v>
      </c>
      <c r="O1631" t="s">
        <v>3</v>
      </c>
      <c r="P1631" t="s">
        <v>5</v>
      </c>
      <c r="Q1631" t="s">
        <v>2438</v>
      </c>
      <c r="R1631" t="s">
        <v>3</v>
      </c>
      <c r="S1631" t="s">
        <v>3</v>
      </c>
      <c r="T1631" t="s">
        <v>3</v>
      </c>
      <c r="U1631" t="s">
        <v>3</v>
      </c>
      <c r="V1631" t="s">
        <v>3</v>
      </c>
      <c r="W1631" t="s">
        <v>68</v>
      </c>
      <c r="X1631" s="17">
        <v>43587</v>
      </c>
      <c r="Y1631" t="s">
        <v>2437</v>
      </c>
      <c r="Z1631" s="17">
        <v>43587</v>
      </c>
      <c r="AA1631" t="s">
        <v>3</v>
      </c>
      <c r="AB1631" t="s">
        <v>2437</v>
      </c>
    </row>
    <row r="1632" spans="1:28" hidden="1">
      <c r="A1632" t="s">
        <v>2437</v>
      </c>
      <c r="B1632" s="17">
        <v>43587</v>
      </c>
      <c r="C1632" s="17">
        <v>43587</v>
      </c>
      <c r="D1632" t="s">
        <v>7</v>
      </c>
      <c r="E1632" t="s">
        <v>1</v>
      </c>
      <c r="F1632" s="18">
        <v>-294764</v>
      </c>
      <c r="G1632" s="18">
        <v>-294764</v>
      </c>
      <c r="H1632" t="s">
        <v>2</v>
      </c>
      <c r="I1632" t="s">
        <v>8</v>
      </c>
      <c r="J1632" s="18">
        <v>-24435935.600000001</v>
      </c>
      <c r="K1632" t="s">
        <v>3</v>
      </c>
      <c r="L1632" t="s">
        <v>9</v>
      </c>
      <c r="M1632" t="s">
        <v>2418</v>
      </c>
      <c r="N1632" t="s">
        <v>3</v>
      </c>
      <c r="O1632" t="s">
        <v>3</v>
      </c>
      <c r="P1632" t="s">
        <v>5</v>
      </c>
      <c r="Q1632" t="s">
        <v>2438</v>
      </c>
      <c r="R1632" t="s">
        <v>3</v>
      </c>
      <c r="S1632" t="s">
        <v>3</v>
      </c>
      <c r="T1632" t="s">
        <v>3</v>
      </c>
      <c r="U1632" t="s">
        <v>3</v>
      </c>
      <c r="V1632" t="s">
        <v>3</v>
      </c>
      <c r="W1632" t="s">
        <v>68</v>
      </c>
      <c r="X1632" s="17">
        <v>43587</v>
      </c>
      <c r="Y1632" t="s">
        <v>2437</v>
      </c>
      <c r="Z1632" s="17">
        <v>43587</v>
      </c>
      <c r="AA1632" t="s">
        <v>3</v>
      </c>
      <c r="AB1632" t="s">
        <v>2437</v>
      </c>
    </row>
    <row r="1633" spans="1:28" hidden="1">
      <c r="A1633" t="s">
        <v>2439</v>
      </c>
      <c r="B1633" s="17">
        <v>43587</v>
      </c>
      <c r="C1633" s="17">
        <v>43587</v>
      </c>
      <c r="D1633" t="s">
        <v>7</v>
      </c>
      <c r="E1633" t="s">
        <v>1</v>
      </c>
      <c r="F1633" s="18">
        <v>1</v>
      </c>
      <c r="G1633" s="18">
        <v>1</v>
      </c>
      <c r="H1633" t="s">
        <v>2</v>
      </c>
      <c r="I1633" t="s">
        <v>8</v>
      </c>
      <c r="J1633" s="18">
        <v>82.75</v>
      </c>
      <c r="K1633" t="s">
        <v>2438</v>
      </c>
      <c r="L1633" t="s">
        <v>9</v>
      </c>
      <c r="M1633" t="s">
        <v>2418</v>
      </c>
      <c r="N1633" t="s">
        <v>3</v>
      </c>
      <c r="O1633" t="s">
        <v>3</v>
      </c>
      <c r="P1633" t="s">
        <v>5</v>
      </c>
      <c r="Q1633" t="s">
        <v>2440</v>
      </c>
      <c r="R1633" t="s">
        <v>3</v>
      </c>
      <c r="S1633" t="s">
        <v>3</v>
      </c>
      <c r="T1633" t="s">
        <v>3</v>
      </c>
      <c r="U1633" t="s">
        <v>3</v>
      </c>
      <c r="V1633" t="s">
        <v>3</v>
      </c>
      <c r="W1633" t="s">
        <v>68</v>
      </c>
      <c r="X1633" s="17">
        <v>43587</v>
      </c>
      <c r="Y1633" t="s">
        <v>2439</v>
      </c>
      <c r="Z1633" s="17">
        <v>43587</v>
      </c>
      <c r="AA1633" t="s">
        <v>3</v>
      </c>
      <c r="AB1633" t="s">
        <v>2439</v>
      </c>
    </row>
    <row r="1634" spans="1:28" hidden="1">
      <c r="A1634" t="s">
        <v>2441</v>
      </c>
      <c r="B1634" s="17">
        <v>43587</v>
      </c>
      <c r="C1634" s="17">
        <v>43587</v>
      </c>
      <c r="D1634" t="s">
        <v>7</v>
      </c>
      <c r="E1634" t="s">
        <v>1</v>
      </c>
      <c r="F1634" s="18">
        <v>0</v>
      </c>
      <c r="G1634" s="18">
        <v>0</v>
      </c>
      <c r="H1634" t="s">
        <v>2</v>
      </c>
      <c r="I1634" t="s">
        <v>8</v>
      </c>
      <c r="J1634" s="18">
        <v>0.01</v>
      </c>
      <c r="K1634" t="s">
        <v>2442</v>
      </c>
      <c r="L1634" t="s">
        <v>9</v>
      </c>
      <c r="M1634" t="s">
        <v>2418</v>
      </c>
      <c r="N1634" t="s">
        <v>3</v>
      </c>
      <c r="O1634" t="s">
        <v>3</v>
      </c>
      <c r="P1634" t="s">
        <v>5</v>
      </c>
      <c r="Q1634" t="s">
        <v>2442</v>
      </c>
      <c r="R1634" t="s">
        <v>3</v>
      </c>
      <c r="S1634" t="s">
        <v>3</v>
      </c>
      <c r="T1634" t="s">
        <v>3</v>
      </c>
      <c r="U1634" t="s">
        <v>3</v>
      </c>
      <c r="V1634" t="s">
        <v>3</v>
      </c>
      <c r="W1634" t="s">
        <v>68</v>
      </c>
      <c r="X1634" s="17">
        <v>43587</v>
      </c>
      <c r="Y1634" t="s">
        <v>2441</v>
      </c>
      <c r="Z1634" s="17">
        <v>43587</v>
      </c>
      <c r="AA1634" t="s">
        <v>3</v>
      </c>
      <c r="AB1634" t="s">
        <v>2441</v>
      </c>
    </row>
    <row r="1635" spans="1:28" hidden="1">
      <c r="A1635" t="s">
        <v>2443</v>
      </c>
      <c r="B1635" s="17">
        <v>43587</v>
      </c>
      <c r="C1635" s="17">
        <v>43587</v>
      </c>
      <c r="D1635" t="s">
        <v>7</v>
      </c>
      <c r="E1635" t="s">
        <v>1</v>
      </c>
      <c r="F1635" s="18">
        <v>257485</v>
      </c>
      <c r="G1635" s="18">
        <v>257485</v>
      </c>
      <c r="H1635" t="s">
        <v>2</v>
      </c>
      <c r="I1635" t="s">
        <v>8</v>
      </c>
      <c r="J1635" s="18">
        <v>21358380.75</v>
      </c>
      <c r="K1635" t="s">
        <v>2444</v>
      </c>
      <c r="L1635" t="s">
        <v>9</v>
      </c>
      <c r="M1635" t="s">
        <v>2445</v>
      </c>
      <c r="N1635" t="s">
        <v>3</v>
      </c>
      <c r="O1635" t="s">
        <v>3</v>
      </c>
      <c r="P1635" t="s">
        <v>5</v>
      </c>
      <c r="Q1635" t="s">
        <v>2444</v>
      </c>
      <c r="R1635" t="s">
        <v>3</v>
      </c>
      <c r="S1635" t="s">
        <v>3</v>
      </c>
      <c r="T1635" t="s">
        <v>3</v>
      </c>
      <c r="U1635" t="s">
        <v>3</v>
      </c>
      <c r="V1635" t="s">
        <v>3</v>
      </c>
      <c r="W1635" t="s">
        <v>68</v>
      </c>
      <c r="X1635" s="17">
        <v>43587</v>
      </c>
      <c r="Y1635" t="s">
        <v>2443</v>
      </c>
      <c r="Z1635" s="17">
        <v>43587</v>
      </c>
      <c r="AA1635" t="s">
        <v>3</v>
      </c>
      <c r="AB1635" t="s">
        <v>2443</v>
      </c>
    </row>
    <row r="1636" spans="1:28" hidden="1">
      <c r="A1636" t="s">
        <v>2443</v>
      </c>
      <c r="B1636" s="17">
        <v>43587</v>
      </c>
      <c r="C1636" s="17">
        <v>43587</v>
      </c>
      <c r="D1636" t="s">
        <v>7</v>
      </c>
      <c r="E1636" t="s">
        <v>1</v>
      </c>
      <c r="F1636" s="18">
        <v>-257485</v>
      </c>
      <c r="G1636" s="18">
        <v>-257485</v>
      </c>
      <c r="H1636" t="s">
        <v>2</v>
      </c>
      <c r="I1636" t="s">
        <v>8</v>
      </c>
      <c r="J1636" s="18">
        <v>-21358380.75</v>
      </c>
      <c r="K1636" t="s">
        <v>2444</v>
      </c>
      <c r="L1636" t="s">
        <v>9</v>
      </c>
      <c r="M1636" t="s">
        <v>2445</v>
      </c>
      <c r="N1636" t="s">
        <v>3</v>
      </c>
      <c r="O1636" t="s">
        <v>3</v>
      </c>
      <c r="P1636" t="s">
        <v>5</v>
      </c>
      <c r="Q1636" t="s">
        <v>2444</v>
      </c>
      <c r="R1636" t="s">
        <v>3</v>
      </c>
      <c r="S1636" t="s">
        <v>3</v>
      </c>
      <c r="T1636" t="s">
        <v>3</v>
      </c>
      <c r="U1636" t="s">
        <v>3</v>
      </c>
      <c r="V1636" t="s">
        <v>3</v>
      </c>
      <c r="W1636" t="s">
        <v>68</v>
      </c>
      <c r="X1636" s="17">
        <v>43587</v>
      </c>
      <c r="Y1636" t="s">
        <v>2443</v>
      </c>
      <c r="Z1636" s="17">
        <v>43587</v>
      </c>
      <c r="AA1636" t="s">
        <v>3</v>
      </c>
      <c r="AB1636" t="s">
        <v>2443</v>
      </c>
    </row>
    <row r="1637" spans="1:28" hidden="1">
      <c r="A1637" t="s">
        <v>2446</v>
      </c>
      <c r="B1637" s="17">
        <v>43587</v>
      </c>
      <c r="C1637" s="17">
        <v>43587</v>
      </c>
      <c r="D1637" t="s">
        <v>7</v>
      </c>
      <c r="E1637" t="s">
        <v>1</v>
      </c>
      <c r="F1637" s="18">
        <v>252521</v>
      </c>
      <c r="G1637" s="18">
        <v>252521</v>
      </c>
      <c r="H1637" t="s">
        <v>2</v>
      </c>
      <c r="I1637" t="s">
        <v>8</v>
      </c>
      <c r="J1637" s="18">
        <v>20908738.800000001</v>
      </c>
      <c r="K1637" t="s">
        <v>2447</v>
      </c>
      <c r="L1637" t="s">
        <v>9</v>
      </c>
      <c r="M1637" t="s">
        <v>2445</v>
      </c>
      <c r="N1637" t="s">
        <v>3</v>
      </c>
      <c r="O1637" t="s">
        <v>3</v>
      </c>
      <c r="P1637" t="s">
        <v>5</v>
      </c>
      <c r="Q1637" t="s">
        <v>2447</v>
      </c>
      <c r="R1637" t="s">
        <v>3</v>
      </c>
      <c r="S1637" t="s">
        <v>3</v>
      </c>
      <c r="T1637" t="s">
        <v>3</v>
      </c>
      <c r="U1637" t="s">
        <v>3</v>
      </c>
      <c r="V1637" t="s">
        <v>3</v>
      </c>
      <c r="W1637" t="s">
        <v>68</v>
      </c>
      <c r="X1637" s="17">
        <v>43587</v>
      </c>
      <c r="Y1637" t="s">
        <v>2446</v>
      </c>
      <c r="Z1637" s="17">
        <v>43587</v>
      </c>
      <c r="AA1637" t="s">
        <v>3</v>
      </c>
      <c r="AB1637" t="s">
        <v>2446</v>
      </c>
    </row>
    <row r="1638" spans="1:28" hidden="1">
      <c r="A1638" t="s">
        <v>2446</v>
      </c>
      <c r="B1638" s="17">
        <v>43587</v>
      </c>
      <c r="C1638" s="17">
        <v>43587</v>
      </c>
      <c r="D1638" t="s">
        <v>7</v>
      </c>
      <c r="E1638" t="s">
        <v>1</v>
      </c>
      <c r="F1638" s="18">
        <v>-252521</v>
      </c>
      <c r="G1638" s="18">
        <v>-252521</v>
      </c>
      <c r="H1638" t="s">
        <v>2</v>
      </c>
      <c r="I1638" t="s">
        <v>8</v>
      </c>
      <c r="J1638" s="18">
        <v>-20908738.800000001</v>
      </c>
      <c r="K1638" t="s">
        <v>2447</v>
      </c>
      <c r="L1638" t="s">
        <v>9</v>
      </c>
      <c r="M1638" t="s">
        <v>2445</v>
      </c>
      <c r="N1638" t="s">
        <v>3</v>
      </c>
      <c r="O1638" t="s">
        <v>3</v>
      </c>
      <c r="P1638" t="s">
        <v>5</v>
      </c>
      <c r="Q1638" t="s">
        <v>2447</v>
      </c>
      <c r="R1638" t="s">
        <v>3</v>
      </c>
      <c r="S1638" t="s">
        <v>3</v>
      </c>
      <c r="T1638" t="s">
        <v>3</v>
      </c>
      <c r="U1638" t="s">
        <v>3</v>
      </c>
      <c r="V1638" t="s">
        <v>3</v>
      </c>
      <c r="W1638" t="s">
        <v>68</v>
      </c>
      <c r="X1638" s="17">
        <v>43587</v>
      </c>
      <c r="Y1638" t="s">
        <v>2446</v>
      </c>
      <c r="Z1638" s="17">
        <v>43587</v>
      </c>
      <c r="AA1638" t="s">
        <v>3</v>
      </c>
      <c r="AB1638" t="s">
        <v>2446</v>
      </c>
    </row>
    <row r="1639" spans="1:28" hidden="1">
      <c r="A1639" t="s">
        <v>2448</v>
      </c>
      <c r="B1639" s="17">
        <v>43587</v>
      </c>
      <c r="C1639" s="17">
        <v>43587</v>
      </c>
      <c r="D1639" t="s">
        <v>7</v>
      </c>
      <c r="E1639" t="s">
        <v>1</v>
      </c>
      <c r="F1639" s="18">
        <v>182162</v>
      </c>
      <c r="G1639" s="18">
        <v>182162</v>
      </c>
      <c r="H1639" t="s">
        <v>2</v>
      </c>
      <c r="I1639" t="s">
        <v>8</v>
      </c>
      <c r="J1639" s="18">
        <v>15083013.6</v>
      </c>
      <c r="K1639" t="s">
        <v>2449</v>
      </c>
      <c r="L1639" t="s">
        <v>9</v>
      </c>
      <c r="M1639" t="s">
        <v>2445</v>
      </c>
      <c r="N1639" t="s">
        <v>3</v>
      </c>
      <c r="O1639" t="s">
        <v>3</v>
      </c>
      <c r="P1639" t="s">
        <v>5</v>
      </c>
      <c r="Q1639" t="s">
        <v>2449</v>
      </c>
      <c r="R1639" t="s">
        <v>3</v>
      </c>
      <c r="S1639" t="s">
        <v>3</v>
      </c>
      <c r="T1639" t="s">
        <v>3</v>
      </c>
      <c r="U1639" t="s">
        <v>3</v>
      </c>
      <c r="V1639" t="s">
        <v>3</v>
      </c>
      <c r="W1639" t="s">
        <v>68</v>
      </c>
      <c r="X1639" s="17">
        <v>43587</v>
      </c>
      <c r="Y1639" t="s">
        <v>2448</v>
      </c>
      <c r="Z1639" s="17">
        <v>43587</v>
      </c>
      <c r="AA1639" t="s">
        <v>3</v>
      </c>
      <c r="AB1639" t="s">
        <v>2448</v>
      </c>
    </row>
    <row r="1640" spans="1:28" hidden="1">
      <c r="A1640" t="s">
        <v>2448</v>
      </c>
      <c r="B1640" s="17">
        <v>43587</v>
      </c>
      <c r="C1640" s="17">
        <v>43587</v>
      </c>
      <c r="D1640" t="s">
        <v>7</v>
      </c>
      <c r="E1640" t="s">
        <v>1</v>
      </c>
      <c r="F1640" s="18">
        <v>-182162</v>
      </c>
      <c r="G1640" s="18">
        <v>-182162</v>
      </c>
      <c r="H1640" t="s">
        <v>2</v>
      </c>
      <c r="I1640" t="s">
        <v>8</v>
      </c>
      <c r="J1640" s="18">
        <v>-15083013.6</v>
      </c>
      <c r="K1640" t="s">
        <v>2449</v>
      </c>
      <c r="L1640" t="s">
        <v>9</v>
      </c>
      <c r="M1640" t="s">
        <v>2445</v>
      </c>
      <c r="N1640" t="s">
        <v>3</v>
      </c>
      <c r="O1640" t="s">
        <v>3</v>
      </c>
      <c r="P1640" t="s">
        <v>5</v>
      </c>
      <c r="Q1640" t="s">
        <v>2449</v>
      </c>
      <c r="R1640" t="s">
        <v>3</v>
      </c>
      <c r="S1640" t="s">
        <v>3</v>
      </c>
      <c r="T1640" t="s">
        <v>3</v>
      </c>
      <c r="U1640" t="s">
        <v>3</v>
      </c>
      <c r="V1640" t="s">
        <v>3</v>
      </c>
      <c r="W1640" t="s">
        <v>68</v>
      </c>
      <c r="X1640" s="17">
        <v>43587</v>
      </c>
      <c r="Y1640" t="s">
        <v>2448</v>
      </c>
      <c r="Z1640" s="17">
        <v>43587</v>
      </c>
      <c r="AA1640" t="s">
        <v>3</v>
      </c>
      <c r="AB1640" t="s">
        <v>2448</v>
      </c>
    </row>
    <row r="1641" spans="1:28" hidden="1">
      <c r="A1641" t="s">
        <v>2450</v>
      </c>
      <c r="B1641" s="17">
        <v>43587</v>
      </c>
      <c r="C1641" s="17">
        <v>43587</v>
      </c>
      <c r="D1641" t="s">
        <v>7</v>
      </c>
      <c r="E1641" t="s">
        <v>1</v>
      </c>
      <c r="F1641" s="18">
        <v>180148</v>
      </c>
      <c r="G1641" s="18">
        <v>180148</v>
      </c>
      <c r="H1641" t="s">
        <v>2</v>
      </c>
      <c r="I1641" t="s">
        <v>8</v>
      </c>
      <c r="J1641" s="18">
        <v>14943276.6</v>
      </c>
      <c r="K1641" t="s">
        <v>2451</v>
      </c>
      <c r="L1641" t="s">
        <v>9</v>
      </c>
      <c r="M1641" t="s">
        <v>2445</v>
      </c>
      <c r="N1641" t="s">
        <v>3</v>
      </c>
      <c r="O1641" t="s">
        <v>3</v>
      </c>
      <c r="P1641" t="s">
        <v>5</v>
      </c>
      <c r="Q1641" t="s">
        <v>2451</v>
      </c>
      <c r="R1641" t="s">
        <v>3</v>
      </c>
      <c r="S1641" t="s">
        <v>3</v>
      </c>
      <c r="T1641" t="s">
        <v>3</v>
      </c>
      <c r="U1641" t="s">
        <v>3</v>
      </c>
      <c r="V1641" t="s">
        <v>3</v>
      </c>
      <c r="W1641" t="s">
        <v>68</v>
      </c>
      <c r="X1641" s="17">
        <v>43587</v>
      </c>
      <c r="Y1641" t="s">
        <v>2450</v>
      </c>
      <c r="Z1641" s="17">
        <v>43587</v>
      </c>
      <c r="AA1641" t="s">
        <v>3</v>
      </c>
      <c r="AB1641" t="s">
        <v>2450</v>
      </c>
    </row>
    <row r="1642" spans="1:28" hidden="1">
      <c r="A1642" t="s">
        <v>2450</v>
      </c>
      <c r="B1642" s="17">
        <v>43587</v>
      </c>
      <c r="C1642" s="17">
        <v>43587</v>
      </c>
      <c r="D1642" t="s">
        <v>7</v>
      </c>
      <c r="E1642" t="s">
        <v>1</v>
      </c>
      <c r="F1642" s="18">
        <v>-180148</v>
      </c>
      <c r="G1642" s="18">
        <v>-180148</v>
      </c>
      <c r="H1642" t="s">
        <v>2</v>
      </c>
      <c r="I1642" t="s">
        <v>8</v>
      </c>
      <c r="J1642" s="18">
        <v>-14943276.6</v>
      </c>
      <c r="K1642" t="s">
        <v>2451</v>
      </c>
      <c r="L1642" t="s">
        <v>9</v>
      </c>
      <c r="M1642" t="s">
        <v>2445</v>
      </c>
      <c r="N1642" t="s">
        <v>3</v>
      </c>
      <c r="O1642" t="s">
        <v>3</v>
      </c>
      <c r="P1642" t="s">
        <v>5</v>
      </c>
      <c r="Q1642" t="s">
        <v>2451</v>
      </c>
      <c r="R1642" t="s">
        <v>3</v>
      </c>
      <c r="S1642" t="s">
        <v>3</v>
      </c>
      <c r="T1642" t="s">
        <v>3</v>
      </c>
      <c r="U1642" t="s">
        <v>3</v>
      </c>
      <c r="V1642" t="s">
        <v>3</v>
      </c>
      <c r="W1642" t="s">
        <v>68</v>
      </c>
      <c r="X1642" s="17">
        <v>43587</v>
      </c>
      <c r="Y1642" t="s">
        <v>2450</v>
      </c>
      <c r="Z1642" s="17">
        <v>43587</v>
      </c>
      <c r="AA1642" t="s">
        <v>3</v>
      </c>
      <c r="AB1642" t="s">
        <v>2450</v>
      </c>
    </row>
    <row r="1643" spans="1:28" hidden="1">
      <c r="A1643" t="s">
        <v>2452</v>
      </c>
      <c r="B1643" s="17">
        <v>43587</v>
      </c>
      <c r="C1643" s="17">
        <v>43587</v>
      </c>
      <c r="D1643" t="s">
        <v>7</v>
      </c>
      <c r="E1643" t="s">
        <v>1</v>
      </c>
      <c r="F1643" s="18">
        <v>156300</v>
      </c>
      <c r="G1643" s="18">
        <v>156300</v>
      </c>
      <c r="H1643" t="s">
        <v>2</v>
      </c>
      <c r="I1643" t="s">
        <v>8</v>
      </c>
      <c r="J1643" s="18">
        <v>12965085</v>
      </c>
      <c r="K1643" t="s">
        <v>2453</v>
      </c>
      <c r="L1643" t="s">
        <v>9</v>
      </c>
      <c r="M1643" t="s">
        <v>2445</v>
      </c>
      <c r="N1643" t="s">
        <v>3</v>
      </c>
      <c r="O1643" t="s">
        <v>3</v>
      </c>
      <c r="P1643" t="s">
        <v>5</v>
      </c>
      <c r="Q1643" t="s">
        <v>2453</v>
      </c>
      <c r="R1643" t="s">
        <v>3</v>
      </c>
      <c r="S1643" t="s">
        <v>3</v>
      </c>
      <c r="T1643" t="s">
        <v>3</v>
      </c>
      <c r="U1643" t="s">
        <v>3</v>
      </c>
      <c r="V1643" t="s">
        <v>3</v>
      </c>
      <c r="W1643" t="s">
        <v>68</v>
      </c>
      <c r="X1643" s="17">
        <v>43587</v>
      </c>
      <c r="Y1643" t="s">
        <v>2452</v>
      </c>
      <c r="Z1643" s="17">
        <v>43587</v>
      </c>
      <c r="AA1643" t="s">
        <v>3</v>
      </c>
      <c r="AB1643" t="s">
        <v>2452</v>
      </c>
    </row>
    <row r="1644" spans="1:28" hidden="1">
      <c r="A1644" t="s">
        <v>2452</v>
      </c>
      <c r="B1644" s="17">
        <v>43587</v>
      </c>
      <c r="C1644" s="17">
        <v>43587</v>
      </c>
      <c r="D1644" t="s">
        <v>7</v>
      </c>
      <c r="E1644" t="s">
        <v>1</v>
      </c>
      <c r="F1644" s="18">
        <v>-156300</v>
      </c>
      <c r="G1644" s="18">
        <v>-156300</v>
      </c>
      <c r="H1644" t="s">
        <v>2</v>
      </c>
      <c r="I1644" t="s">
        <v>8</v>
      </c>
      <c r="J1644" s="18">
        <v>-12965085</v>
      </c>
      <c r="K1644" t="s">
        <v>2453</v>
      </c>
      <c r="L1644" t="s">
        <v>9</v>
      </c>
      <c r="M1644" t="s">
        <v>2445</v>
      </c>
      <c r="N1644" t="s">
        <v>3</v>
      </c>
      <c r="O1644" t="s">
        <v>3</v>
      </c>
      <c r="P1644" t="s">
        <v>5</v>
      </c>
      <c r="Q1644" t="s">
        <v>2453</v>
      </c>
      <c r="R1644" t="s">
        <v>3</v>
      </c>
      <c r="S1644" t="s">
        <v>3</v>
      </c>
      <c r="T1644" t="s">
        <v>3</v>
      </c>
      <c r="U1644" t="s">
        <v>3</v>
      </c>
      <c r="V1644" t="s">
        <v>3</v>
      </c>
      <c r="W1644" t="s">
        <v>68</v>
      </c>
      <c r="X1644" s="17">
        <v>43587</v>
      </c>
      <c r="Y1644" t="s">
        <v>2452</v>
      </c>
      <c r="Z1644" s="17">
        <v>43587</v>
      </c>
      <c r="AA1644" t="s">
        <v>3</v>
      </c>
      <c r="AB1644" t="s">
        <v>2452</v>
      </c>
    </row>
    <row r="1645" spans="1:28" hidden="1">
      <c r="A1645" t="s">
        <v>2454</v>
      </c>
      <c r="B1645" s="17">
        <v>43587</v>
      </c>
      <c r="C1645" s="17">
        <v>43587</v>
      </c>
      <c r="D1645" t="s">
        <v>7</v>
      </c>
      <c r="E1645" t="s">
        <v>1</v>
      </c>
      <c r="F1645" s="18">
        <v>0</v>
      </c>
      <c r="G1645" s="18">
        <v>0</v>
      </c>
      <c r="H1645" t="s">
        <v>2</v>
      </c>
      <c r="I1645" t="s">
        <v>8</v>
      </c>
      <c r="J1645" s="18">
        <v>0.01</v>
      </c>
      <c r="K1645" t="s">
        <v>2453</v>
      </c>
      <c r="L1645" t="s">
        <v>9</v>
      </c>
      <c r="M1645" t="s">
        <v>2445</v>
      </c>
      <c r="N1645" t="s">
        <v>3</v>
      </c>
      <c r="O1645" t="s">
        <v>3</v>
      </c>
      <c r="P1645" t="s">
        <v>5</v>
      </c>
      <c r="Q1645" t="s">
        <v>2455</v>
      </c>
      <c r="R1645" t="s">
        <v>3</v>
      </c>
      <c r="S1645" t="s">
        <v>3</v>
      </c>
      <c r="T1645" t="s">
        <v>3</v>
      </c>
      <c r="U1645" t="s">
        <v>3</v>
      </c>
      <c r="V1645" t="s">
        <v>3</v>
      </c>
      <c r="W1645" t="s">
        <v>68</v>
      </c>
      <c r="X1645" s="17">
        <v>43587</v>
      </c>
      <c r="Y1645" t="s">
        <v>2454</v>
      </c>
      <c r="Z1645" s="17">
        <v>43587</v>
      </c>
      <c r="AA1645" t="s">
        <v>3</v>
      </c>
      <c r="AB1645" t="s">
        <v>2454</v>
      </c>
    </row>
    <row r="1646" spans="1:28" hidden="1">
      <c r="A1646" t="s">
        <v>2456</v>
      </c>
      <c r="B1646" s="17">
        <v>43587</v>
      </c>
      <c r="C1646" s="17">
        <v>43587</v>
      </c>
      <c r="D1646" t="s">
        <v>7</v>
      </c>
      <c r="E1646" t="s">
        <v>1</v>
      </c>
      <c r="F1646" s="18">
        <v>149942</v>
      </c>
      <c r="G1646" s="18">
        <v>149942</v>
      </c>
      <c r="H1646" t="s">
        <v>2</v>
      </c>
      <c r="I1646" t="s">
        <v>8</v>
      </c>
      <c r="J1646" s="18">
        <v>12407700.51</v>
      </c>
      <c r="K1646" t="s">
        <v>2457</v>
      </c>
      <c r="L1646" t="s">
        <v>9</v>
      </c>
      <c r="M1646" t="s">
        <v>2445</v>
      </c>
      <c r="N1646" t="s">
        <v>3</v>
      </c>
      <c r="O1646" t="s">
        <v>3</v>
      </c>
      <c r="P1646" t="s">
        <v>5</v>
      </c>
      <c r="Q1646" t="s">
        <v>2457</v>
      </c>
      <c r="R1646" t="s">
        <v>3</v>
      </c>
      <c r="S1646" t="s">
        <v>3</v>
      </c>
      <c r="T1646" t="s">
        <v>3</v>
      </c>
      <c r="U1646" t="s">
        <v>3</v>
      </c>
      <c r="V1646" t="s">
        <v>3</v>
      </c>
      <c r="W1646" t="s">
        <v>68</v>
      </c>
      <c r="X1646" s="17">
        <v>43587</v>
      </c>
      <c r="Y1646" t="s">
        <v>2456</v>
      </c>
      <c r="Z1646" s="17">
        <v>43587</v>
      </c>
      <c r="AA1646" t="s">
        <v>3</v>
      </c>
      <c r="AB1646" t="s">
        <v>2456</v>
      </c>
    </row>
    <row r="1647" spans="1:28" hidden="1">
      <c r="A1647" t="s">
        <v>2456</v>
      </c>
      <c r="B1647" s="17">
        <v>43587</v>
      </c>
      <c r="C1647" s="17">
        <v>43587</v>
      </c>
      <c r="D1647" t="s">
        <v>7</v>
      </c>
      <c r="E1647" t="s">
        <v>1</v>
      </c>
      <c r="F1647" s="18">
        <v>-149942</v>
      </c>
      <c r="G1647" s="18">
        <v>-149942</v>
      </c>
      <c r="H1647" t="s">
        <v>2</v>
      </c>
      <c r="I1647" t="s">
        <v>8</v>
      </c>
      <c r="J1647" s="18">
        <v>-12407700.51</v>
      </c>
      <c r="K1647" t="s">
        <v>2457</v>
      </c>
      <c r="L1647" t="s">
        <v>9</v>
      </c>
      <c r="M1647" t="s">
        <v>2445</v>
      </c>
      <c r="N1647" t="s">
        <v>3</v>
      </c>
      <c r="O1647" t="s">
        <v>3</v>
      </c>
      <c r="P1647" t="s">
        <v>5</v>
      </c>
      <c r="Q1647" t="s">
        <v>2457</v>
      </c>
      <c r="R1647" t="s">
        <v>3</v>
      </c>
      <c r="S1647" t="s">
        <v>3</v>
      </c>
      <c r="T1647" t="s">
        <v>3</v>
      </c>
      <c r="U1647" t="s">
        <v>3</v>
      </c>
      <c r="V1647" t="s">
        <v>3</v>
      </c>
      <c r="W1647" t="s">
        <v>68</v>
      </c>
      <c r="X1647" s="17">
        <v>43587</v>
      </c>
      <c r="Y1647" t="s">
        <v>2456</v>
      </c>
      <c r="Z1647" s="17">
        <v>43587</v>
      </c>
      <c r="AA1647" t="s">
        <v>3</v>
      </c>
      <c r="AB1647" t="s">
        <v>2456</v>
      </c>
    </row>
    <row r="1648" spans="1:28" hidden="1">
      <c r="A1648" t="s">
        <v>2458</v>
      </c>
      <c r="B1648" s="17">
        <v>43587</v>
      </c>
      <c r="C1648" s="17">
        <v>43587</v>
      </c>
      <c r="D1648" t="s">
        <v>7</v>
      </c>
      <c r="E1648" t="s">
        <v>1</v>
      </c>
      <c r="F1648" s="18">
        <v>149423.76</v>
      </c>
      <c r="G1648" s="18">
        <v>149423.76</v>
      </c>
      <c r="H1648" t="s">
        <v>2</v>
      </c>
      <c r="I1648" t="s">
        <v>8</v>
      </c>
      <c r="J1648" s="18">
        <v>12394700.9</v>
      </c>
      <c r="K1648" t="s">
        <v>2459</v>
      </c>
      <c r="L1648" t="s">
        <v>9</v>
      </c>
      <c r="M1648" t="s">
        <v>2445</v>
      </c>
      <c r="N1648" t="s">
        <v>3</v>
      </c>
      <c r="O1648" t="s">
        <v>3</v>
      </c>
      <c r="P1648" t="s">
        <v>5</v>
      </c>
      <c r="Q1648" t="s">
        <v>2459</v>
      </c>
      <c r="R1648" t="s">
        <v>3</v>
      </c>
      <c r="S1648" t="s">
        <v>3</v>
      </c>
      <c r="T1648" t="s">
        <v>3</v>
      </c>
      <c r="U1648" t="s">
        <v>3</v>
      </c>
      <c r="V1648" t="s">
        <v>3</v>
      </c>
      <c r="W1648" t="s">
        <v>68</v>
      </c>
      <c r="X1648" s="17">
        <v>43587</v>
      </c>
      <c r="Y1648" t="s">
        <v>2458</v>
      </c>
      <c r="Z1648" s="17">
        <v>43587</v>
      </c>
      <c r="AA1648" t="s">
        <v>3</v>
      </c>
      <c r="AB1648" t="s">
        <v>2458</v>
      </c>
    </row>
    <row r="1649" spans="1:28" hidden="1">
      <c r="A1649" t="s">
        <v>2458</v>
      </c>
      <c r="B1649" s="17">
        <v>43587</v>
      </c>
      <c r="C1649" s="17">
        <v>43587</v>
      </c>
      <c r="D1649" t="s">
        <v>7</v>
      </c>
      <c r="E1649" t="s">
        <v>1</v>
      </c>
      <c r="F1649" s="18">
        <v>-149423.76</v>
      </c>
      <c r="G1649" s="18">
        <v>-149423.76</v>
      </c>
      <c r="H1649" t="s">
        <v>2</v>
      </c>
      <c r="I1649" t="s">
        <v>8</v>
      </c>
      <c r="J1649" s="18">
        <v>-12394700.9</v>
      </c>
      <c r="K1649" t="s">
        <v>2459</v>
      </c>
      <c r="L1649" t="s">
        <v>9</v>
      </c>
      <c r="M1649" t="s">
        <v>2445</v>
      </c>
      <c r="N1649" t="s">
        <v>3</v>
      </c>
      <c r="O1649" t="s">
        <v>3</v>
      </c>
      <c r="P1649" t="s">
        <v>5</v>
      </c>
      <c r="Q1649" t="s">
        <v>2459</v>
      </c>
      <c r="R1649" t="s">
        <v>3</v>
      </c>
      <c r="S1649" t="s">
        <v>3</v>
      </c>
      <c r="T1649" t="s">
        <v>3</v>
      </c>
      <c r="U1649" t="s">
        <v>3</v>
      </c>
      <c r="V1649" t="s">
        <v>3</v>
      </c>
      <c r="W1649" t="s">
        <v>68</v>
      </c>
      <c r="X1649" s="17">
        <v>43587</v>
      </c>
      <c r="Y1649" t="s">
        <v>2458</v>
      </c>
      <c r="Z1649" s="17">
        <v>43587</v>
      </c>
      <c r="AA1649" t="s">
        <v>3</v>
      </c>
      <c r="AB1649" t="s">
        <v>2458</v>
      </c>
    </row>
    <row r="1650" spans="1:28" hidden="1">
      <c r="A1650" t="s">
        <v>2460</v>
      </c>
      <c r="B1650" s="17">
        <v>43587</v>
      </c>
      <c r="C1650" s="17">
        <v>43587</v>
      </c>
      <c r="D1650" t="s">
        <v>7</v>
      </c>
      <c r="E1650" t="s">
        <v>1</v>
      </c>
      <c r="F1650" s="18">
        <v>1</v>
      </c>
      <c r="G1650" s="18">
        <v>1</v>
      </c>
      <c r="H1650" t="s">
        <v>2</v>
      </c>
      <c r="I1650" t="s">
        <v>8</v>
      </c>
      <c r="J1650" s="18">
        <v>82.95</v>
      </c>
      <c r="K1650" t="s">
        <v>2461</v>
      </c>
      <c r="L1650" t="s">
        <v>9</v>
      </c>
      <c r="M1650" t="s">
        <v>2445</v>
      </c>
      <c r="N1650" t="s">
        <v>3</v>
      </c>
      <c r="O1650" t="s">
        <v>3</v>
      </c>
      <c r="P1650" t="s">
        <v>5</v>
      </c>
      <c r="Q1650" t="s">
        <v>2461</v>
      </c>
      <c r="R1650" t="s">
        <v>3</v>
      </c>
      <c r="S1650" t="s">
        <v>3</v>
      </c>
      <c r="T1650" t="s">
        <v>3</v>
      </c>
      <c r="U1650" t="s">
        <v>3</v>
      </c>
      <c r="V1650" t="s">
        <v>3</v>
      </c>
      <c r="W1650" t="s">
        <v>68</v>
      </c>
      <c r="X1650" s="17">
        <v>43587</v>
      </c>
      <c r="Y1650" t="s">
        <v>2460</v>
      </c>
      <c r="Z1650" s="17">
        <v>43587</v>
      </c>
      <c r="AA1650" t="s">
        <v>3</v>
      </c>
      <c r="AB1650" t="s">
        <v>2460</v>
      </c>
    </row>
    <row r="1651" spans="1:28" hidden="1">
      <c r="A1651" t="s">
        <v>2462</v>
      </c>
      <c r="B1651" s="17">
        <v>43587</v>
      </c>
      <c r="C1651" s="17">
        <v>43587</v>
      </c>
      <c r="D1651" t="s">
        <v>7</v>
      </c>
      <c r="E1651" t="s">
        <v>1</v>
      </c>
      <c r="F1651" s="18">
        <v>97588</v>
      </c>
      <c r="G1651" s="18">
        <v>97588</v>
      </c>
      <c r="H1651" t="s">
        <v>2</v>
      </c>
      <c r="I1651" t="s">
        <v>8</v>
      </c>
      <c r="J1651" s="18">
        <v>8090045.2000000002</v>
      </c>
      <c r="K1651" t="s">
        <v>2463</v>
      </c>
      <c r="L1651" t="s">
        <v>9</v>
      </c>
      <c r="M1651" t="s">
        <v>2445</v>
      </c>
      <c r="N1651" t="s">
        <v>3</v>
      </c>
      <c r="O1651" t="s">
        <v>3</v>
      </c>
      <c r="P1651" t="s">
        <v>5</v>
      </c>
      <c r="Q1651" t="s">
        <v>2463</v>
      </c>
      <c r="R1651" t="s">
        <v>3</v>
      </c>
      <c r="S1651" t="s">
        <v>3</v>
      </c>
      <c r="T1651" t="s">
        <v>3</v>
      </c>
      <c r="U1651" t="s">
        <v>3</v>
      </c>
      <c r="V1651" t="s">
        <v>3</v>
      </c>
      <c r="W1651" t="s">
        <v>68</v>
      </c>
      <c r="X1651" s="17">
        <v>43587</v>
      </c>
      <c r="Y1651" t="s">
        <v>2462</v>
      </c>
      <c r="Z1651" s="17">
        <v>43587</v>
      </c>
      <c r="AA1651" t="s">
        <v>3</v>
      </c>
      <c r="AB1651" t="s">
        <v>2462</v>
      </c>
    </row>
    <row r="1652" spans="1:28" hidden="1">
      <c r="A1652" t="s">
        <v>2462</v>
      </c>
      <c r="B1652" s="17">
        <v>43587</v>
      </c>
      <c r="C1652" s="17">
        <v>43587</v>
      </c>
      <c r="D1652" t="s">
        <v>7</v>
      </c>
      <c r="E1652" t="s">
        <v>1</v>
      </c>
      <c r="F1652" s="18">
        <v>-97588</v>
      </c>
      <c r="G1652" s="18">
        <v>-97588</v>
      </c>
      <c r="H1652" t="s">
        <v>2</v>
      </c>
      <c r="I1652" t="s">
        <v>8</v>
      </c>
      <c r="J1652" s="18">
        <v>-8090045.2000000002</v>
      </c>
      <c r="K1652" t="s">
        <v>2463</v>
      </c>
      <c r="L1652" t="s">
        <v>9</v>
      </c>
      <c r="M1652" t="s">
        <v>2445</v>
      </c>
      <c r="N1652" t="s">
        <v>3</v>
      </c>
      <c r="O1652" t="s">
        <v>3</v>
      </c>
      <c r="P1652" t="s">
        <v>5</v>
      </c>
      <c r="Q1652" t="s">
        <v>2463</v>
      </c>
      <c r="R1652" t="s">
        <v>3</v>
      </c>
      <c r="S1652" t="s">
        <v>3</v>
      </c>
      <c r="T1652" t="s">
        <v>3</v>
      </c>
      <c r="U1652" t="s">
        <v>3</v>
      </c>
      <c r="V1652" t="s">
        <v>3</v>
      </c>
      <c r="W1652" t="s">
        <v>68</v>
      </c>
      <c r="X1652" s="17">
        <v>43587</v>
      </c>
      <c r="Y1652" t="s">
        <v>2462</v>
      </c>
      <c r="Z1652" s="17">
        <v>43587</v>
      </c>
      <c r="AA1652" t="s">
        <v>3</v>
      </c>
      <c r="AB1652" t="s">
        <v>2462</v>
      </c>
    </row>
    <row r="1653" spans="1:28" hidden="1">
      <c r="A1653" t="s">
        <v>2464</v>
      </c>
      <c r="B1653" s="17">
        <v>43587</v>
      </c>
      <c r="C1653" s="17">
        <v>43587</v>
      </c>
      <c r="D1653" t="s">
        <v>7</v>
      </c>
      <c r="E1653" t="s">
        <v>1</v>
      </c>
      <c r="F1653" s="18">
        <v>-0.02</v>
      </c>
      <c r="G1653" s="18">
        <v>-0.02</v>
      </c>
      <c r="H1653" t="s">
        <v>2</v>
      </c>
      <c r="I1653" t="s">
        <v>8</v>
      </c>
      <c r="J1653" s="18">
        <v>-1.66</v>
      </c>
      <c r="K1653" t="s">
        <v>2465</v>
      </c>
      <c r="L1653" t="s">
        <v>4</v>
      </c>
      <c r="M1653" t="s">
        <v>2445</v>
      </c>
      <c r="N1653" t="s">
        <v>3</v>
      </c>
      <c r="O1653" t="s">
        <v>3</v>
      </c>
      <c r="P1653" t="s">
        <v>5</v>
      </c>
      <c r="Q1653" t="s">
        <v>2463</v>
      </c>
      <c r="R1653" t="s">
        <v>3</v>
      </c>
      <c r="S1653" t="s">
        <v>3</v>
      </c>
      <c r="T1653" t="s">
        <v>3</v>
      </c>
      <c r="U1653" t="s">
        <v>3</v>
      </c>
      <c r="V1653" t="s">
        <v>3</v>
      </c>
      <c r="W1653" t="s">
        <v>68</v>
      </c>
      <c r="X1653" s="17">
        <v>43587</v>
      </c>
      <c r="Y1653" t="s">
        <v>2464</v>
      </c>
      <c r="Z1653" s="17">
        <v>43587</v>
      </c>
      <c r="AA1653" t="s">
        <v>3</v>
      </c>
      <c r="AB1653" t="s">
        <v>2464</v>
      </c>
    </row>
    <row r="1654" spans="1:28" hidden="1">
      <c r="A1654" t="s">
        <v>2466</v>
      </c>
      <c r="B1654" s="17">
        <v>43587</v>
      </c>
      <c r="C1654" s="17">
        <v>43587</v>
      </c>
      <c r="D1654" t="s">
        <v>7</v>
      </c>
      <c r="E1654" t="s">
        <v>1</v>
      </c>
      <c r="F1654" s="18">
        <v>2</v>
      </c>
      <c r="G1654" s="18">
        <v>2</v>
      </c>
      <c r="H1654" t="s">
        <v>2</v>
      </c>
      <c r="I1654" t="s">
        <v>8</v>
      </c>
      <c r="J1654" s="18">
        <v>165.9</v>
      </c>
      <c r="K1654" t="s">
        <v>3</v>
      </c>
      <c r="L1654" t="s">
        <v>9</v>
      </c>
      <c r="M1654" t="s">
        <v>2445</v>
      </c>
      <c r="N1654" t="s">
        <v>3</v>
      </c>
      <c r="O1654" t="s">
        <v>3</v>
      </c>
      <c r="P1654" t="s">
        <v>5</v>
      </c>
      <c r="Q1654" t="s">
        <v>2467</v>
      </c>
      <c r="R1654" t="s">
        <v>3</v>
      </c>
      <c r="S1654" t="s">
        <v>3</v>
      </c>
      <c r="T1654" t="s">
        <v>3</v>
      </c>
      <c r="U1654" t="s">
        <v>3</v>
      </c>
      <c r="V1654" t="s">
        <v>3</v>
      </c>
      <c r="W1654" t="s">
        <v>68</v>
      </c>
      <c r="X1654" s="17">
        <v>43587</v>
      </c>
      <c r="Y1654" t="s">
        <v>2466</v>
      </c>
      <c r="Z1654" s="17">
        <v>43587</v>
      </c>
      <c r="AA1654" t="s">
        <v>3</v>
      </c>
      <c r="AB1654" t="s">
        <v>2466</v>
      </c>
    </row>
    <row r="1655" spans="1:28" hidden="1">
      <c r="A1655" t="s">
        <v>2468</v>
      </c>
      <c r="B1655" s="17">
        <v>43587</v>
      </c>
      <c r="C1655" s="17">
        <v>43587</v>
      </c>
      <c r="D1655" t="s">
        <v>7</v>
      </c>
      <c r="E1655" t="s">
        <v>1</v>
      </c>
      <c r="F1655" s="18">
        <v>54245</v>
      </c>
      <c r="G1655" s="18">
        <v>54245</v>
      </c>
      <c r="H1655" t="s">
        <v>2</v>
      </c>
      <c r="I1655" t="s">
        <v>8</v>
      </c>
      <c r="J1655" s="18">
        <v>4491486</v>
      </c>
      <c r="K1655" t="s">
        <v>2469</v>
      </c>
      <c r="L1655" t="s">
        <v>9</v>
      </c>
      <c r="M1655" t="s">
        <v>2445</v>
      </c>
      <c r="N1655" t="s">
        <v>3</v>
      </c>
      <c r="O1655" t="s">
        <v>3</v>
      </c>
      <c r="P1655" t="s">
        <v>5</v>
      </c>
      <c r="Q1655" t="s">
        <v>2469</v>
      </c>
      <c r="R1655" t="s">
        <v>3</v>
      </c>
      <c r="S1655" t="s">
        <v>3</v>
      </c>
      <c r="T1655" t="s">
        <v>3</v>
      </c>
      <c r="U1655" t="s">
        <v>3</v>
      </c>
      <c r="V1655" t="s">
        <v>3</v>
      </c>
      <c r="W1655" t="s">
        <v>68</v>
      </c>
      <c r="X1655" s="17">
        <v>43587</v>
      </c>
      <c r="Y1655" t="s">
        <v>2468</v>
      </c>
      <c r="Z1655" s="17">
        <v>43587</v>
      </c>
      <c r="AA1655" t="s">
        <v>3</v>
      </c>
      <c r="AB1655" t="s">
        <v>2468</v>
      </c>
    </row>
    <row r="1656" spans="1:28" hidden="1">
      <c r="A1656" t="s">
        <v>2468</v>
      </c>
      <c r="B1656" s="17">
        <v>43587</v>
      </c>
      <c r="C1656" s="17">
        <v>43587</v>
      </c>
      <c r="D1656" t="s">
        <v>7</v>
      </c>
      <c r="E1656" t="s">
        <v>1</v>
      </c>
      <c r="F1656" s="18">
        <v>-54245</v>
      </c>
      <c r="G1656" s="18">
        <v>-54245</v>
      </c>
      <c r="H1656" t="s">
        <v>2</v>
      </c>
      <c r="I1656" t="s">
        <v>8</v>
      </c>
      <c r="J1656" s="18">
        <v>-4491486</v>
      </c>
      <c r="K1656" t="s">
        <v>2469</v>
      </c>
      <c r="L1656" t="s">
        <v>9</v>
      </c>
      <c r="M1656" t="s">
        <v>2445</v>
      </c>
      <c r="N1656" t="s">
        <v>3</v>
      </c>
      <c r="O1656" t="s">
        <v>3</v>
      </c>
      <c r="P1656" t="s">
        <v>5</v>
      </c>
      <c r="Q1656" t="s">
        <v>2469</v>
      </c>
      <c r="R1656" t="s">
        <v>3</v>
      </c>
      <c r="S1656" t="s">
        <v>3</v>
      </c>
      <c r="T1656" t="s">
        <v>3</v>
      </c>
      <c r="U1656" t="s">
        <v>3</v>
      </c>
      <c r="V1656" t="s">
        <v>3</v>
      </c>
      <c r="W1656" t="s">
        <v>68</v>
      </c>
      <c r="X1656" s="17">
        <v>43587</v>
      </c>
      <c r="Y1656" t="s">
        <v>2468</v>
      </c>
      <c r="Z1656" s="17">
        <v>43587</v>
      </c>
      <c r="AA1656" t="s">
        <v>3</v>
      </c>
      <c r="AB1656" t="s">
        <v>2468</v>
      </c>
    </row>
    <row r="1657" spans="1:28" hidden="1">
      <c r="A1657" t="s">
        <v>2470</v>
      </c>
      <c r="B1657" s="17">
        <v>43587</v>
      </c>
      <c r="C1657" s="17">
        <v>43587</v>
      </c>
      <c r="D1657" t="s">
        <v>7</v>
      </c>
      <c r="E1657" t="s">
        <v>1</v>
      </c>
      <c r="F1657" s="18">
        <v>50268</v>
      </c>
      <c r="G1657" s="18">
        <v>50268</v>
      </c>
      <c r="H1657" t="s">
        <v>2</v>
      </c>
      <c r="I1657" t="s">
        <v>8</v>
      </c>
      <c r="J1657" s="18">
        <v>4159677</v>
      </c>
      <c r="K1657" t="s">
        <v>2471</v>
      </c>
      <c r="L1657" t="s">
        <v>9</v>
      </c>
      <c r="M1657" t="s">
        <v>2445</v>
      </c>
      <c r="N1657" t="s">
        <v>3</v>
      </c>
      <c r="O1657" t="s">
        <v>3</v>
      </c>
      <c r="P1657" t="s">
        <v>5</v>
      </c>
      <c r="Q1657" t="s">
        <v>2471</v>
      </c>
      <c r="R1657" t="s">
        <v>3</v>
      </c>
      <c r="S1657" t="s">
        <v>3</v>
      </c>
      <c r="T1657" t="s">
        <v>3</v>
      </c>
      <c r="U1657" t="s">
        <v>3</v>
      </c>
      <c r="V1657" t="s">
        <v>3</v>
      </c>
      <c r="W1657" t="s">
        <v>68</v>
      </c>
      <c r="X1657" s="17">
        <v>43587</v>
      </c>
      <c r="Y1657" t="s">
        <v>2470</v>
      </c>
      <c r="Z1657" s="17">
        <v>43587</v>
      </c>
      <c r="AA1657" t="s">
        <v>3</v>
      </c>
      <c r="AB1657" t="s">
        <v>2470</v>
      </c>
    </row>
    <row r="1658" spans="1:28" hidden="1">
      <c r="A1658" t="s">
        <v>2470</v>
      </c>
      <c r="B1658" s="17">
        <v>43587</v>
      </c>
      <c r="C1658" s="17">
        <v>43587</v>
      </c>
      <c r="D1658" t="s">
        <v>7</v>
      </c>
      <c r="E1658" t="s">
        <v>1</v>
      </c>
      <c r="F1658" s="18">
        <v>-50268</v>
      </c>
      <c r="G1658" s="18">
        <v>-50268</v>
      </c>
      <c r="H1658" t="s">
        <v>2</v>
      </c>
      <c r="I1658" t="s">
        <v>8</v>
      </c>
      <c r="J1658" s="18">
        <v>-4159677</v>
      </c>
      <c r="K1658" t="s">
        <v>3</v>
      </c>
      <c r="L1658" t="s">
        <v>9</v>
      </c>
      <c r="M1658" t="s">
        <v>2445</v>
      </c>
      <c r="N1658" t="s">
        <v>3</v>
      </c>
      <c r="O1658" t="s">
        <v>3</v>
      </c>
      <c r="P1658" t="s">
        <v>5</v>
      </c>
      <c r="Q1658" t="s">
        <v>2471</v>
      </c>
      <c r="R1658" t="s">
        <v>3</v>
      </c>
      <c r="S1658" t="s">
        <v>3</v>
      </c>
      <c r="T1658" t="s">
        <v>3</v>
      </c>
      <c r="U1658" t="s">
        <v>3</v>
      </c>
      <c r="V1658" t="s">
        <v>3</v>
      </c>
      <c r="W1658" t="s">
        <v>68</v>
      </c>
      <c r="X1658" s="17">
        <v>43587</v>
      </c>
      <c r="Y1658" t="s">
        <v>2470</v>
      </c>
      <c r="Z1658" s="17">
        <v>43587</v>
      </c>
      <c r="AA1658" t="s">
        <v>3</v>
      </c>
      <c r="AB1658" t="s">
        <v>2470</v>
      </c>
    </row>
    <row r="1659" spans="1:28" hidden="1">
      <c r="A1659" t="s">
        <v>3988</v>
      </c>
      <c r="B1659" s="17">
        <v>43587</v>
      </c>
      <c r="C1659" s="17">
        <v>43587</v>
      </c>
      <c r="D1659" t="s">
        <v>0</v>
      </c>
      <c r="E1659" t="s">
        <v>1</v>
      </c>
      <c r="F1659" s="18">
        <v>46756</v>
      </c>
      <c r="G1659" s="18">
        <v>46756</v>
      </c>
      <c r="H1659" t="s">
        <v>2</v>
      </c>
      <c r="I1659" t="s">
        <v>8</v>
      </c>
      <c r="J1659" s="18">
        <v>3894774.8</v>
      </c>
      <c r="K1659" t="s">
        <v>3989</v>
      </c>
      <c r="L1659" t="s">
        <v>9</v>
      </c>
      <c r="M1659" t="s">
        <v>3990</v>
      </c>
      <c r="N1659" t="s">
        <v>3</v>
      </c>
      <c r="O1659" t="s">
        <v>3</v>
      </c>
      <c r="P1659" t="s">
        <v>5</v>
      </c>
      <c r="Q1659" t="s">
        <v>3991</v>
      </c>
      <c r="R1659" t="s">
        <v>3</v>
      </c>
      <c r="S1659" t="s">
        <v>3</v>
      </c>
      <c r="T1659" t="s">
        <v>3</v>
      </c>
      <c r="U1659" t="s">
        <v>3</v>
      </c>
      <c r="V1659" t="s">
        <v>3</v>
      </c>
      <c r="W1659" t="s">
        <v>68</v>
      </c>
      <c r="X1659" s="17">
        <v>43646</v>
      </c>
      <c r="Y1659" t="s">
        <v>2510</v>
      </c>
      <c r="Z1659" s="17">
        <v>43587</v>
      </c>
      <c r="AA1659" t="s">
        <v>3</v>
      </c>
      <c r="AB1659" t="s">
        <v>3988</v>
      </c>
    </row>
    <row r="1660" spans="1:28" hidden="1">
      <c r="A1660" t="s">
        <v>3988</v>
      </c>
      <c r="B1660" s="17">
        <v>43587</v>
      </c>
      <c r="C1660" s="17">
        <v>43587</v>
      </c>
      <c r="D1660" t="s">
        <v>0</v>
      </c>
      <c r="E1660" t="s">
        <v>1</v>
      </c>
      <c r="F1660" s="18">
        <v>76010</v>
      </c>
      <c r="G1660" s="18">
        <v>76010</v>
      </c>
      <c r="H1660" t="s">
        <v>2</v>
      </c>
      <c r="I1660" t="s">
        <v>8</v>
      </c>
      <c r="J1660" s="18">
        <v>6324032</v>
      </c>
      <c r="K1660" t="s">
        <v>3992</v>
      </c>
      <c r="L1660" t="s">
        <v>9</v>
      </c>
      <c r="M1660" t="s">
        <v>3990</v>
      </c>
      <c r="N1660" t="s">
        <v>3</v>
      </c>
      <c r="O1660" t="s">
        <v>3</v>
      </c>
      <c r="P1660" t="s">
        <v>5</v>
      </c>
      <c r="Q1660" t="s">
        <v>3991</v>
      </c>
      <c r="R1660" t="s">
        <v>3</v>
      </c>
      <c r="S1660" t="s">
        <v>3</v>
      </c>
      <c r="T1660" t="s">
        <v>3</v>
      </c>
      <c r="U1660" t="s">
        <v>3</v>
      </c>
      <c r="V1660" t="s">
        <v>3</v>
      </c>
      <c r="W1660" t="s">
        <v>68</v>
      </c>
      <c r="X1660" s="17">
        <v>43646</v>
      </c>
      <c r="Y1660" t="s">
        <v>2512</v>
      </c>
      <c r="Z1660" s="17">
        <v>43587</v>
      </c>
      <c r="AA1660" t="s">
        <v>3</v>
      </c>
      <c r="AB1660" t="s">
        <v>3988</v>
      </c>
    </row>
    <row r="1661" spans="1:28" hidden="1">
      <c r="A1661" t="s">
        <v>2309</v>
      </c>
      <c r="B1661" s="17">
        <v>43590</v>
      </c>
      <c r="C1661" s="17">
        <v>43590</v>
      </c>
      <c r="D1661" t="s">
        <v>38</v>
      </c>
      <c r="E1661" t="s">
        <v>1</v>
      </c>
      <c r="F1661" s="18">
        <v>91401</v>
      </c>
      <c r="G1661" s="18">
        <v>91401</v>
      </c>
      <c r="H1661" t="s">
        <v>2</v>
      </c>
      <c r="I1661" t="s">
        <v>8</v>
      </c>
      <c r="J1661" s="18">
        <v>7630155.4800000004</v>
      </c>
      <c r="K1661" t="s">
        <v>2310</v>
      </c>
      <c r="L1661" t="s">
        <v>9</v>
      </c>
      <c r="M1661" t="s">
        <v>2311</v>
      </c>
      <c r="N1661" t="s">
        <v>3</v>
      </c>
      <c r="O1661" t="s">
        <v>3</v>
      </c>
      <c r="P1661" t="s">
        <v>5</v>
      </c>
      <c r="Q1661" t="s">
        <v>2312</v>
      </c>
      <c r="R1661" t="s">
        <v>3</v>
      </c>
      <c r="S1661" t="s">
        <v>3</v>
      </c>
      <c r="T1661" t="s">
        <v>3</v>
      </c>
      <c r="U1661" t="s">
        <v>3</v>
      </c>
      <c r="V1661" t="s">
        <v>3</v>
      </c>
      <c r="W1661" t="s">
        <v>68</v>
      </c>
      <c r="X1661" s="17">
        <v>43590</v>
      </c>
      <c r="Y1661" t="s">
        <v>2309</v>
      </c>
      <c r="Z1661" s="17">
        <v>43590</v>
      </c>
      <c r="AA1661" t="s">
        <v>3</v>
      </c>
      <c r="AB1661" t="s">
        <v>2309</v>
      </c>
    </row>
    <row r="1662" spans="1:28" hidden="1">
      <c r="A1662" t="s">
        <v>3993</v>
      </c>
      <c r="B1662" s="17">
        <v>43590</v>
      </c>
      <c r="C1662" s="17">
        <v>43590</v>
      </c>
      <c r="D1662" t="s">
        <v>0</v>
      </c>
      <c r="E1662" t="s">
        <v>1</v>
      </c>
      <c r="F1662" s="18">
        <v>694</v>
      </c>
      <c r="G1662" s="18">
        <v>694</v>
      </c>
      <c r="H1662" t="s">
        <v>2</v>
      </c>
      <c r="I1662" t="s">
        <v>8</v>
      </c>
      <c r="J1662" s="18">
        <v>57810.2</v>
      </c>
      <c r="K1662" t="s">
        <v>3989</v>
      </c>
      <c r="L1662" t="s">
        <v>9</v>
      </c>
      <c r="M1662" t="s">
        <v>3994</v>
      </c>
      <c r="N1662" t="s">
        <v>3</v>
      </c>
      <c r="O1662" t="s">
        <v>3</v>
      </c>
      <c r="P1662" t="s">
        <v>5</v>
      </c>
      <c r="Q1662" t="s">
        <v>3995</v>
      </c>
      <c r="R1662" t="s">
        <v>3</v>
      </c>
      <c r="S1662" t="s">
        <v>3</v>
      </c>
      <c r="T1662" t="s">
        <v>3</v>
      </c>
      <c r="U1662" t="s">
        <v>3</v>
      </c>
      <c r="V1662" t="s">
        <v>3</v>
      </c>
      <c r="W1662" t="s">
        <v>68</v>
      </c>
      <c r="X1662" s="17">
        <v>43646</v>
      </c>
      <c r="Y1662" t="s">
        <v>2510</v>
      </c>
      <c r="Z1662" s="17">
        <v>43590</v>
      </c>
      <c r="AA1662" t="s">
        <v>3</v>
      </c>
      <c r="AB1662" t="s">
        <v>3993</v>
      </c>
    </row>
    <row r="1663" spans="1:28" hidden="1">
      <c r="A1663" t="s">
        <v>3996</v>
      </c>
      <c r="B1663" s="17">
        <v>43590</v>
      </c>
      <c r="C1663" s="17">
        <v>43590</v>
      </c>
      <c r="D1663" t="s">
        <v>0</v>
      </c>
      <c r="E1663" t="s">
        <v>1</v>
      </c>
      <c r="F1663" s="18">
        <v>256098</v>
      </c>
      <c r="G1663" s="18">
        <v>256098</v>
      </c>
      <c r="H1663" t="s">
        <v>2</v>
      </c>
      <c r="I1663" t="s">
        <v>8</v>
      </c>
      <c r="J1663" s="18">
        <v>21332963.399999999</v>
      </c>
      <c r="K1663" t="s">
        <v>3997</v>
      </c>
      <c r="L1663" t="s">
        <v>9</v>
      </c>
      <c r="M1663" t="s">
        <v>3998</v>
      </c>
      <c r="N1663" t="s">
        <v>3</v>
      </c>
      <c r="O1663" t="s">
        <v>3</v>
      </c>
      <c r="P1663" t="s">
        <v>5</v>
      </c>
      <c r="Q1663" t="s">
        <v>3999</v>
      </c>
      <c r="R1663" t="s">
        <v>3</v>
      </c>
      <c r="S1663" t="s">
        <v>3</v>
      </c>
      <c r="T1663" t="s">
        <v>3</v>
      </c>
      <c r="U1663" t="s">
        <v>3</v>
      </c>
      <c r="V1663" t="s">
        <v>3</v>
      </c>
      <c r="W1663" t="s">
        <v>68</v>
      </c>
      <c r="X1663" s="17">
        <v>43646</v>
      </c>
      <c r="Y1663" t="s">
        <v>2510</v>
      </c>
      <c r="Z1663" s="17">
        <v>43590</v>
      </c>
      <c r="AA1663" t="s">
        <v>3</v>
      </c>
      <c r="AB1663" t="s">
        <v>3996</v>
      </c>
    </row>
    <row r="1664" spans="1:28" hidden="1">
      <c r="A1664" t="s">
        <v>3996</v>
      </c>
      <c r="B1664" s="17">
        <v>43590</v>
      </c>
      <c r="C1664" s="17">
        <v>43590</v>
      </c>
      <c r="D1664" t="s">
        <v>0</v>
      </c>
      <c r="E1664" t="s">
        <v>1</v>
      </c>
      <c r="F1664" s="18">
        <v>80530</v>
      </c>
      <c r="G1664" s="18">
        <v>80530</v>
      </c>
      <c r="H1664" t="s">
        <v>2</v>
      </c>
      <c r="I1664" t="s">
        <v>8</v>
      </c>
      <c r="J1664" s="18">
        <v>6700096</v>
      </c>
      <c r="K1664" t="s">
        <v>4000</v>
      </c>
      <c r="L1664" t="s">
        <v>9</v>
      </c>
      <c r="M1664" t="s">
        <v>3998</v>
      </c>
      <c r="N1664" t="s">
        <v>3</v>
      </c>
      <c r="O1664" t="s">
        <v>3</v>
      </c>
      <c r="P1664" t="s">
        <v>5</v>
      </c>
      <c r="Q1664" t="s">
        <v>3999</v>
      </c>
      <c r="R1664" t="s">
        <v>3</v>
      </c>
      <c r="S1664" t="s">
        <v>3</v>
      </c>
      <c r="T1664" t="s">
        <v>3</v>
      </c>
      <c r="U1664" t="s">
        <v>3</v>
      </c>
      <c r="V1664" t="s">
        <v>3</v>
      </c>
      <c r="W1664" t="s">
        <v>68</v>
      </c>
      <c r="X1664" s="17">
        <v>43646</v>
      </c>
      <c r="Y1664" t="s">
        <v>2512</v>
      </c>
      <c r="Z1664" s="17">
        <v>43590</v>
      </c>
      <c r="AA1664" t="s">
        <v>3</v>
      </c>
      <c r="AB1664" t="s">
        <v>3996</v>
      </c>
    </row>
    <row r="1665" spans="1:28" hidden="1">
      <c r="A1665" t="s">
        <v>4001</v>
      </c>
      <c r="B1665" s="17">
        <v>43590</v>
      </c>
      <c r="C1665" s="17">
        <v>43590</v>
      </c>
      <c r="D1665" t="s">
        <v>0</v>
      </c>
      <c r="E1665" t="s">
        <v>1</v>
      </c>
      <c r="F1665" s="18">
        <v>-1521369</v>
      </c>
      <c r="G1665" s="18">
        <v>-1521369</v>
      </c>
      <c r="H1665" t="s">
        <v>2</v>
      </c>
      <c r="I1665" t="s">
        <v>8</v>
      </c>
      <c r="J1665" s="18">
        <v>-127003884.12</v>
      </c>
      <c r="K1665" t="s">
        <v>4002</v>
      </c>
      <c r="L1665" t="s">
        <v>9</v>
      </c>
      <c r="M1665" t="s">
        <v>4003</v>
      </c>
      <c r="N1665" t="s">
        <v>3</v>
      </c>
      <c r="O1665" t="s">
        <v>3</v>
      </c>
      <c r="P1665" t="s">
        <v>5</v>
      </c>
      <c r="Q1665" t="s">
        <v>4004</v>
      </c>
      <c r="R1665" t="s">
        <v>3</v>
      </c>
      <c r="S1665" t="s">
        <v>3</v>
      </c>
      <c r="T1665" t="s">
        <v>3</v>
      </c>
      <c r="U1665" t="s">
        <v>3</v>
      </c>
      <c r="V1665" t="s">
        <v>3</v>
      </c>
      <c r="W1665" t="s">
        <v>68</v>
      </c>
      <c r="X1665" s="17">
        <v>43769</v>
      </c>
      <c r="Y1665" t="s">
        <v>4005</v>
      </c>
      <c r="Z1665" s="17">
        <v>43590</v>
      </c>
      <c r="AA1665" t="s">
        <v>3</v>
      </c>
      <c r="AB1665" t="s">
        <v>4001</v>
      </c>
    </row>
    <row r="1666" spans="1:28" hidden="1">
      <c r="A1666" t="s">
        <v>4006</v>
      </c>
      <c r="B1666" s="17">
        <v>43590</v>
      </c>
      <c r="C1666" s="17">
        <v>43590</v>
      </c>
      <c r="D1666" t="s">
        <v>0</v>
      </c>
      <c r="E1666" t="s">
        <v>1</v>
      </c>
      <c r="F1666" s="18">
        <v>-164518</v>
      </c>
      <c r="G1666" s="18">
        <v>-164518</v>
      </c>
      <c r="H1666" t="s">
        <v>2</v>
      </c>
      <c r="I1666" t="s">
        <v>8</v>
      </c>
      <c r="J1666" s="18">
        <v>-13733962.640000001</v>
      </c>
      <c r="K1666" t="s">
        <v>4007</v>
      </c>
      <c r="L1666" t="s">
        <v>4</v>
      </c>
      <c r="M1666" t="s">
        <v>4008</v>
      </c>
      <c r="N1666" t="s">
        <v>3</v>
      </c>
      <c r="O1666" t="s">
        <v>3</v>
      </c>
      <c r="P1666" t="s">
        <v>5</v>
      </c>
      <c r="Q1666" t="s">
        <v>4009</v>
      </c>
      <c r="R1666" t="s">
        <v>3</v>
      </c>
      <c r="S1666" t="s">
        <v>3</v>
      </c>
      <c r="T1666" t="s">
        <v>3</v>
      </c>
      <c r="U1666" t="s">
        <v>3</v>
      </c>
      <c r="V1666" t="s">
        <v>3</v>
      </c>
      <c r="W1666" t="s">
        <v>68</v>
      </c>
      <c r="X1666" s="17"/>
      <c r="Y1666" t="s">
        <v>3</v>
      </c>
      <c r="Z1666" s="17">
        <v>43590</v>
      </c>
      <c r="AA1666" t="s">
        <v>3</v>
      </c>
      <c r="AB1666" t="s">
        <v>4006</v>
      </c>
    </row>
    <row r="1667" spans="1:28" hidden="1">
      <c r="A1667" t="s">
        <v>4010</v>
      </c>
      <c r="B1667" s="17">
        <v>43590</v>
      </c>
      <c r="C1667" s="17">
        <v>43590</v>
      </c>
      <c r="D1667" t="s">
        <v>0</v>
      </c>
      <c r="E1667" t="s">
        <v>1</v>
      </c>
      <c r="F1667" s="18">
        <v>-91401</v>
      </c>
      <c r="G1667" s="18">
        <v>-91401</v>
      </c>
      <c r="H1667" t="s">
        <v>2</v>
      </c>
      <c r="I1667" t="s">
        <v>8</v>
      </c>
      <c r="J1667" s="18">
        <v>-7630155.4800000004</v>
      </c>
      <c r="K1667" t="s">
        <v>2310</v>
      </c>
      <c r="L1667" t="s">
        <v>9</v>
      </c>
      <c r="M1667" t="s">
        <v>2311</v>
      </c>
      <c r="N1667" t="s">
        <v>3</v>
      </c>
      <c r="O1667" t="s">
        <v>3</v>
      </c>
      <c r="P1667" t="s">
        <v>5</v>
      </c>
      <c r="Q1667" t="s">
        <v>2312</v>
      </c>
      <c r="R1667" t="s">
        <v>3</v>
      </c>
      <c r="S1667" t="s">
        <v>3</v>
      </c>
      <c r="T1667" t="s">
        <v>3</v>
      </c>
      <c r="U1667" t="s">
        <v>3</v>
      </c>
      <c r="V1667" t="s">
        <v>3</v>
      </c>
      <c r="W1667" t="s">
        <v>68</v>
      </c>
      <c r="X1667" s="17">
        <v>43590</v>
      </c>
      <c r="Y1667" t="s">
        <v>2309</v>
      </c>
      <c r="Z1667" s="17">
        <v>43590</v>
      </c>
      <c r="AA1667" t="s">
        <v>3</v>
      </c>
      <c r="AB1667" t="s">
        <v>4010</v>
      </c>
    </row>
    <row r="1668" spans="1:28" hidden="1">
      <c r="A1668" t="s">
        <v>4011</v>
      </c>
      <c r="B1668" s="17">
        <v>43590</v>
      </c>
      <c r="C1668" s="17">
        <v>43590</v>
      </c>
      <c r="D1668" t="s">
        <v>0</v>
      </c>
      <c r="E1668" t="s">
        <v>1</v>
      </c>
      <c r="F1668" s="18">
        <v>-91401</v>
      </c>
      <c r="G1668" s="18">
        <v>-91401</v>
      </c>
      <c r="H1668" t="s">
        <v>2</v>
      </c>
      <c r="I1668" t="s">
        <v>10</v>
      </c>
      <c r="J1668" s="18">
        <v>-7630155.4800000004</v>
      </c>
      <c r="K1668" t="s">
        <v>2310</v>
      </c>
      <c r="L1668" t="s">
        <v>9</v>
      </c>
      <c r="M1668" t="s">
        <v>2311</v>
      </c>
      <c r="N1668" t="s">
        <v>3</v>
      </c>
      <c r="O1668" t="s">
        <v>3</v>
      </c>
      <c r="P1668" t="s">
        <v>5</v>
      </c>
      <c r="Q1668" t="s">
        <v>2312</v>
      </c>
      <c r="R1668" t="s">
        <v>3</v>
      </c>
      <c r="S1668" t="s">
        <v>3</v>
      </c>
      <c r="T1668" t="s">
        <v>3</v>
      </c>
      <c r="U1668" t="s">
        <v>3</v>
      </c>
      <c r="V1668" t="s">
        <v>3</v>
      </c>
      <c r="W1668" t="s">
        <v>68</v>
      </c>
      <c r="X1668" s="17">
        <v>43769</v>
      </c>
      <c r="Y1668" t="s">
        <v>4012</v>
      </c>
      <c r="Z1668" s="17">
        <v>43590</v>
      </c>
      <c r="AA1668" t="s">
        <v>3</v>
      </c>
      <c r="AB1668" t="s">
        <v>4011</v>
      </c>
    </row>
    <row r="1669" spans="1:28" hidden="1">
      <c r="A1669" t="s">
        <v>4013</v>
      </c>
      <c r="B1669" s="17">
        <v>43590</v>
      </c>
      <c r="C1669" s="17">
        <v>43590</v>
      </c>
      <c r="D1669" t="s">
        <v>0</v>
      </c>
      <c r="E1669" t="s">
        <v>1</v>
      </c>
      <c r="F1669" s="18">
        <v>-369490.29</v>
      </c>
      <c r="G1669" s="18">
        <v>-369490.29</v>
      </c>
      <c r="H1669" t="s">
        <v>2</v>
      </c>
      <c r="I1669" t="s">
        <v>10</v>
      </c>
      <c r="J1669" s="18">
        <v>-30845049.41</v>
      </c>
      <c r="K1669" t="s">
        <v>4014</v>
      </c>
      <c r="L1669" t="s">
        <v>4</v>
      </c>
      <c r="M1669" t="s">
        <v>4015</v>
      </c>
      <c r="N1669" t="s">
        <v>3</v>
      </c>
      <c r="O1669" t="s">
        <v>3</v>
      </c>
      <c r="P1669" t="s">
        <v>5</v>
      </c>
      <c r="Q1669" t="s">
        <v>4015</v>
      </c>
      <c r="R1669" t="s">
        <v>3</v>
      </c>
      <c r="S1669" t="s">
        <v>3</v>
      </c>
      <c r="T1669" t="s">
        <v>3</v>
      </c>
      <c r="U1669" t="s">
        <v>3</v>
      </c>
      <c r="V1669" t="s">
        <v>3</v>
      </c>
      <c r="W1669" t="s">
        <v>68</v>
      </c>
      <c r="X1669" s="17"/>
      <c r="Y1669" t="s">
        <v>3</v>
      </c>
      <c r="Z1669" s="17">
        <v>43590</v>
      </c>
      <c r="AA1669" t="s">
        <v>3</v>
      </c>
      <c r="AB1669" t="s">
        <v>4013</v>
      </c>
    </row>
    <row r="1670" spans="1:28" hidden="1">
      <c r="A1670" t="s">
        <v>4016</v>
      </c>
      <c r="B1670" s="17">
        <v>43591</v>
      </c>
      <c r="C1670" s="17">
        <v>43591</v>
      </c>
      <c r="D1670" t="s">
        <v>0</v>
      </c>
      <c r="E1670" t="s">
        <v>1</v>
      </c>
      <c r="F1670" s="18">
        <v>59806.2</v>
      </c>
      <c r="G1670" s="18">
        <v>59806.2</v>
      </c>
      <c r="H1670" t="s">
        <v>2</v>
      </c>
      <c r="I1670" t="s">
        <v>10</v>
      </c>
      <c r="J1670" s="18">
        <v>4981856.46</v>
      </c>
      <c r="K1670" t="s">
        <v>4017</v>
      </c>
      <c r="L1670" t="s">
        <v>4</v>
      </c>
      <c r="M1670" t="s">
        <v>4018</v>
      </c>
      <c r="N1670" t="s">
        <v>3</v>
      </c>
      <c r="O1670" t="s">
        <v>3</v>
      </c>
      <c r="P1670" t="s">
        <v>5</v>
      </c>
      <c r="Q1670" t="s">
        <v>4019</v>
      </c>
      <c r="R1670" t="s">
        <v>3</v>
      </c>
      <c r="S1670" t="s">
        <v>3</v>
      </c>
      <c r="T1670" t="s">
        <v>3</v>
      </c>
      <c r="U1670" t="s">
        <v>3</v>
      </c>
      <c r="V1670" t="s">
        <v>3</v>
      </c>
      <c r="W1670" t="s">
        <v>68</v>
      </c>
      <c r="X1670" s="17"/>
      <c r="Y1670" t="s">
        <v>3</v>
      </c>
      <c r="Z1670" s="17">
        <v>43591</v>
      </c>
      <c r="AA1670" t="s">
        <v>3</v>
      </c>
      <c r="AB1670" t="s">
        <v>4016</v>
      </c>
    </row>
    <row r="1671" spans="1:28" hidden="1">
      <c r="A1671" t="s">
        <v>4020</v>
      </c>
      <c r="B1671" s="17">
        <v>43591</v>
      </c>
      <c r="C1671" s="17">
        <v>43591</v>
      </c>
      <c r="D1671" t="s">
        <v>0</v>
      </c>
      <c r="E1671" t="s">
        <v>1</v>
      </c>
      <c r="F1671" s="18">
        <v>2801.32</v>
      </c>
      <c r="G1671" s="18">
        <v>2801.32</v>
      </c>
      <c r="H1671" t="s">
        <v>2</v>
      </c>
      <c r="I1671" t="s">
        <v>8</v>
      </c>
      <c r="J1671" s="18">
        <v>233069.82</v>
      </c>
      <c r="K1671" t="s">
        <v>4021</v>
      </c>
      <c r="L1671" t="s">
        <v>4</v>
      </c>
      <c r="M1671" t="s">
        <v>4022</v>
      </c>
      <c r="N1671" t="s">
        <v>3</v>
      </c>
      <c r="O1671" t="s">
        <v>3</v>
      </c>
      <c r="P1671" t="s">
        <v>5</v>
      </c>
      <c r="Q1671" t="s">
        <v>4023</v>
      </c>
      <c r="R1671" t="s">
        <v>3</v>
      </c>
      <c r="S1671" t="s">
        <v>3</v>
      </c>
      <c r="T1671" t="s">
        <v>3</v>
      </c>
      <c r="U1671" t="s">
        <v>3</v>
      </c>
      <c r="V1671" t="s">
        <v>3</v>
      </c>
      <c r="W1671" t="s">
        <v>68</v>
      </c>
      <c r="X1671" s="17"/>
      <c r="Y1671" t="s">
        <v>3</v>
      </c>
      <c r="Z1671" s="17">
        <v>43591</v>
      </c>
      <c r="AA1671" t="s">
        <v>3</v>
      </c>
      <c r="AB1671" t="s">
        <v>4020</v>
      </c>
    </row>
    <row r="1672" spans="1:28" hidden="1">
      <c r="A1672" t="s">
        <v>4024</v>
      </c>
      <c r="B1672" s="17">
        <v>43593</v>
      </c>
      <c r="C1672" s="17">
        <v>43593</v>
      </c>
      <c r="D1672" t="s">
        <v>0</v>
      </c>
      <c r="E1672" t="s">
        <v>1</v>
      </c>
      <c r="F1672" s="18">
        <v>14727</v>
      </c>
      <c r="G1672" s="18">
        <v>14727</v>
      </c>
      <c r="H1672" t="s">
        <v>2</v>
      </c>
      <c r="I1672" t="s">
        <v>8</v>
      </c>
      <c r="J1672" s="18">
        <v>1229409.96</v>
      </c>
      <c r="K1672" t="s">
        <v>4025</v>
      </c>
      <c r="L1672" t="s">
        <v>9</v>
      </c>
      <c r="M1672" t="s">
        <v>4026</v>
      </c>
      <c r="N1672" t="s">
        <v>3</v>
      </c>
      <c r="O1672" t="s">
        <v>3</v>
      </c>
      <c r="P1672" t="s">
        <v>5</v>
      </c>
      <c r="Q1672" t="s">
        <v>4027</v>
      </c>
      <c r="R1672" t="s">
        <v>3</v>
      </c>
      <c r="S1672" t="s">
        <v>3</v>
      </c>
      <c r="T1672" t="s">
        <v>3</v>
      </c>
      <c r="U1672" t="s">
        <v>3</v>
      </c>
      <c r="V1672" t="s">
        <v>3</v>
      </c>
      <c r="W1672" t="s">
        <v>68</v>
      </c>
      <c r="X1672" s="17">
        <v>43646</v>
      </c>
      <c r="Y1672" t="s">
        <v>2512</v>
      </c>
      <c r="Z1672" s="17">
        <v>43593</v>
      </c>
      <c r="AA1672" t="s">
        <v>3</v>
      </c>
      <c r="AB1672" t="s">
        <v>4024</v>
      </c>
    </row>
    <row r="1673" spans="1:28" hidden="1">
      <c r="A1673" t="s">
        <v>4024</v>
      </c>
      <c r="B1673" s="17">
        <v>43593</v>
      </c>
      <c r="C1673" s="17">
        <v>43593</v>
      </c>
      <c r="D1673" t="s">
        <v>0</v>
      </c>
      <c r="E1673" t="s">
        <v>1</v>
      </c>
      <c r="F1673" s="18">
        <v>6197</v>
      </c>
      <c r="G1673" s="18">
        <v>6197</v>
      </c>
      <c r="H1673" t="s">
        <v>2</v>
      </c>
      <c r="I1673" t="s">
        <v>8</v>
      </c>
      <c r="J1673" s="18">
        <v>516210.1</v>
      </c>
      <c r="K1673" t="s">
        <v>4028</v>
      </c>
      <c r="L1673" t="s">
        <v>9</v>
      </c>
      <c r="M1673" t="s">
        <v>4026</v>
      </c>
      <c r="N1673" t="s">
        <v>3</v>
      </c>
      <c r="O1673" t="s">
        <v>3</v>
      </c>
      <c r="P1673" t="s">
        <v>5</v>
      </c>
      <c r="Q1673" t="s">
        <v>4027</v>
      </c>
      <c r="R1673" t="s">
        <v>3</v>
      </c>
      <c r="S1673" t="s">
        <v>3</v>
      </c>
      <c r="T1673" t="s">
        <v>3</v>
      </c>
      <c r="U1673" t="s">
        <v>3</v>
      </c>
      <c r="V1673" t="s">
        <v>3</v>
      </c>
      <c r="W1673" t="s">
        <v>68</v>
      </c>
      <c r="X1673" s="17">
        <v>43646</v>
      </c>
      <c r="Y1673" t="s">
        <v>2510</v>
      </c>
      <c r="Z1673" s="17">
        <v>43593</v>
      </c>
      <c r="AA1673" t="s">
        <v>3</v>
      </c>
      <c r="AB1673" t="s">
        <v>4024</v>
      </c>
    </row>
    <row r="1674" spans="1:28" hidden="1">
      <c r="A1674" t="s">
        <v>4029</v>
      </c>
      <c r="B1674" s="17">
        <v>43593</v>
      </c>
      <c r="C1674" s="17">
        <v>43593</v>
      </c>
      <c r="D1674" t="s">
        <v>0</v>
      </c>
      <c r="E1674" t="s">
        <v>1</v>
      </c>
      <c r="F1674" s="18">
        <v>65608.61</v>
      </c>
      <c r="G1674" s="18">
        <v>65608.61</v>
      </c>
      <c r="H1674" t="s">
        <v>2</v>
      </c>
      <c r="I1674" t="s">
        <v>8</v>
      </c>
      <c r="J1674" s="18">
        <v>5465197.21</v>
      </c>
      <c r="K1674" t="s">
        <v>4030</v>
      </c>
      <c r="L1674" t="s">
        <v>4</v>
      </c>
      <c r="M1674" t="s">
        <v>4031</v>
      </c>
      <c r="N1674" t="s">
        <v>3</v>
      </c>
      <c r="O1674" t="s">
        <v>3</v>
      </c>
      <c r="P1674" t="s">
        <v>5</v>
      </c>
      <c r="Q1674" t="s">
        <v>4032</v>
      </c>
      <c r="R1674" t="s">
        <v>3</v>
      </c>
      <c r="S1674" t="s">
        <v>3</v>
      </c>
      <c r="T1674" t="s">
        <v>3</v>
      </c>
      <c r="U1674" t="s">
        <v>3</v>
      </c>
      <c r="V1674" t="s">
        <v>3</v>
      </c>
      <c r="W1674" t="s">
        <v>68</v>
      </c>
      <c r="X1674" s="17"/>
      <c r="Y1674" t="s">
        <v>3</v>
      </c>
      <c r="Z1674" s="17">
        <v>43593</v>
      </c>
      <c r="AA1674" t="s">
        <v>3</v>
      </c>
      <c r="AB1674" t="s">
        <v>4029</v>
      </c>
    </row>
    <row r="1675" spans="1:28" hidden="1">
      <c r="A1675" t="s">
        <v>4033</v>
      </c>
      <c r="B1675" s="17">
        <v>43593</v>
      </c>
      <c r="C1675" s="17">
        <v>43593</v>
      </c>
      <c r="D1675" t="s">
        <v>0</v>
      </c>
      <c r="E1675" t="s">
        <v>1</v>
      </c>
      <c r="F1675" s="18">
        <v>7847.7</v>
      </c>
      <c r="G1675" s="18">
        <v>7847.7</v>
      </c>
      <c r="H1675" t="s">
        <v>2</v>
      </c>
      <c r="I1675" t="s">
        <v>8</v>
      </c>
      <c r="J1675" s="18">
        <v>652928.64</v>
      </c>
      <c r="K1675" t="s">
        <v>4034</v>
      </c>
      <c r="L1675" t="s">
        <v>4</v>
      </c>
      <c r="M1675" t="s">
        <v>4035</v>
      </c>
      <c r="N1675" t="s">
        <v>3</v>
      </c>
      <c r="O1675" t="s">
        <v>3</v>
      </c>
      <c r="P1675" t="s">
        <v>5</v>
      </c>
      <c r="Q1675" t="s">
        <v>4036</v>
      </c>
      <c r="R1675" t="s">
        <v>3</v>
      </c>
      <c r="S1675" t="s">
        <v>3</v>
      </c>
      <c r="T1675" t="s">
        <v>3</v>
      </c>
      <c r="U1675" t="s">
        <v>3</v>
      </c>
      <c r="V1675" t="s">
        <v>3</v>
      </c>
      <c r="W1675" t="s">
        <v>68</v>
      </c>
      <c r="X1675" s="17"/>
      <c r="Y1675" t="s">
        <v>3</v>
      </c>
      <c r="Z1675" s="17">
        <v>43593</v>
      </c>
      <c r="AA1675" t="s">
        <v>3</v>
      </c>
      <c r="AB1675" t="s">
        <v>4033</v>
      </c>
    </row>
    <row r="1676" spans="1:28" hidden="1">
      <c r="A1676" t="s">
        <v>4037</v>
      </c>
      <c r="B1676" s="17">
        <v>43593</v>
      </c>
      <c r="C1676" s="17">
        <v>43593</v>
      </c>
      <c r="D1676" t="s">
        <v>0</v>
      </c>
      <c r="E1676" t="s">
        <v>1</v>
      </c>
      <c r="F1676" s="18">
        <v>422567</v>
      </c>
      <c r="G1676" s="18">
        <v>422567</v>
      </c>
      <c r="H1676" t="s">
        <v>2</v>
      </c>
      <c r="I1676" t="s">
        <v>8</v>
      </c>
      <c r="J1676" s="18">
        <v>35199831.100000001</v>
      </c>
      <c r="K1676" t="s">
        <v>4038</v>
      </c>
      <c r="L1676" t="s">
        <v>9</v>
      </c>
      <c r="M1676" t="s">
        <v>4039</v>
      </c>
      <c r="N1676" t="s">
        <v>3</v>
      </c>
      <c r="O1676" t="s">
        <v>3</v>
      </c>
      <c r="P1676" t="s">
        <v>5</v>
      </c>
      <c r="Q1676" t="s">
        <v>4040</v>
      </c>
      <c r="R1676" t="s">
        <v>3</v>
      </c>
      <c r="S1676" t="s">
        <v>3</v>
      </c>
      <c r="T1676" t="s">
        <v>3</v>
      </c>
      <c r="U1676" t="s">
        <v>3</v>
      </c>
      <c r="V1676" t="s">
        <v>3</v>
      </c>
      <c r="W1676" t="s">
        <v>68</v>
      </c>
      <c r="X1676" s="17">
        <v>43646</v>
      </c>
      <c r="Y1676" t="s">
        <v>2510</v>
      </c>
      <c r="Z1676" s="17">
        <v>43593</v>
      </c>
      <c r="AA1676" t="s">
        <v>3</v>
      </c>
      <c r="AB1676" t="s">
        <v>4037</v>
      </c>
    </row>
    <row r="1677" spans="1:28" hidden="1">
      <c r="A1677" t="s">
        <v>4041</v>
      </c>
      <c r="B1677" s="17">
        <v>43593</v>
      </c>
      <c r="C1677" s="17">
        <v>43593</v>
      </c>
      <c r="D1677" t="s">
        <v>0</v>
      </c>
      <c r="E1677" t="s">
        <v>1</v>
      </c>
      <c r="F1677" s="18">
        <v>8584.02</v>
      </c>
      <c r="G1677" s="18">
        <v>8584.02</v>
      </c>
      <c r="H1677" t="s">
        <v>2</v>
      </c>
      <c r="I1677" t="s">
        <v>8</v>
      </c>
      <c r="J1677" s="18">
        <v>715048.87</v>
      </c>
      <c r="K1677" t="s">
        <v>4042</v>
      </c>
      <c r="L1677" t="s">
        <v>4</v>
      </c>
      <c r="M1677" t="s">
        <v>4043</v>
      </c>
      <c r="N1677" t="s">
        <v>3</v>
      </c>
      <c r="O1677" t="s">
        <v>3</v>
      </c>
      <c r="P1677" t="s">
        <v>5</v>
      </c>
      <c r="Q1677" t="s">
        <v>4044</v>
      </c>
      <c r="R1677" t="s">
        <v>3</v>
      </c>
      <c r="S1677" t="s">
        <v>3</v>
      </c>
      <c r="T1677" t="s">
        <v>3</v>
      </c>
      <c r="U1677" t="s">
        <v>3</v>
      </c>
      <c r="V1677" t="s">
        <v>3</v>
      </c>
      <c r="W1677" t="s">
        <v>68</v>
      </c>
      <c r="X1677" s="17"/>
      <c r="Y1677" t="s">
        <v>3</v>
      </c>
      <c r="Z1677" s="17">
        <v>43593</v>
      </c>
      <c r="AA1677" t="s">
        <v>3</v>
      </c>
      <c r="AB1677" t="s">
        <v>4041</v>
      </c>
    </row>
    <row r="1678" spans="1:28" hidden="1">
      <c r="A1678" t="s">
        <v>4045</v>
      </c>
      <c r="B1678" s="17">
        <v>43594</v>
      </c>
      <c r="C1678" s="17">
        <v>43594</v>
      </c>
      <c r="D1678" t="s">
        <v>0</v>
      </c>
      <c r="E1678" t="s">
        <v>1</v>
      </c>
      <c r="F1678" s="18">
        <v>92784</v>
      </c>
      <c r="G1678" s="18">
        <v>92784</v>
      </c>
      <c r="H1678" t="s">
        <v>2</v>
      </c>
      <c r="I1678" t="s">
        <v>8</v>
      </c>
      <c r="J1678" s="18">
        <v>7728907.2000000002</v>
      </c>
      <c r="K1678" t="s">
        <v>4046</v>
      </c>
      <c r="L1678" t="s">
        <v>9</v>
      </c>
      <c r="M1678" t="s">
        <v>4046</v>
      </c>
      <c r="N1678" t="s">
        <v>3</v>
      </c>
      <c r="O1678" t="s">
        <v>3</v>
      </c>
      <c r="P1678" t="s">
        <v>5</v>
      </c>
      <c r="Q1678" t="s">
        <v>4047</v>
      </c>
      <c r="R1678" t="s">
        <v>3</v>
      </c>
      <c r="S1678" t="s">
        <v>3</v>
      </c>
      <c r="T1678" t="s">
        <v>3</v>
      </c>
      <c r="U1678" t="s">
        <v>3</v>
      </c>
      <c r="V1678" t="s">
        <v>3</v>
      </c>
      <c r="W1678" t="s">
        <v>68</v>
      </c>
      <c r="X1678" s="17">
        <v>43646</v>
      </c>
      <c r="Y1678" t="s">
        <v>2510</v>
      </c>
      <c r="Z1678" s="17">
        <v>43594</v>
      </c>
      <c r="AA1678" t="s">
        <v>3</v>
      </c>
      <c r="AB1678" t="s">
        <v>4045</v>
      </c>
    </row>
    <row r="1679" spans="1:28" hidden="1">
      <c r="A1679" t="s">
        <v>4048</v>
      </c>
      <c r="B1679" s="17">
        <v>43594</v>
      </c>
      <c r="C1679" s="17">
        <v>43594</v>
      </c>
      <c r="D1679" t="s">
        <v>0</v>
      </c>
      <c r="E1679" t="s">
        <v>1</v>
      </c>
      <c r="F1679" s="18">
        <v>785</v>
      </c>
      <c r="G1679" s="18">
        <v>785</v>
      </c>
      <c r="H1679" t="s">
        <v>2</v>
      </c>
      <c r="I1679" t="s">
        <v>10</v>
      </c>
      <c r="J1679" s="18">
        <v>65076.5</v>
      </c>
      <c r="K1679" t="s">
        <v>4049</v>
      </c>
      <c r="L1679" t="s">
        <v>9</v>
      </c>
      <c r="M1679" t="s">
        <v>4050</v>
      </c>
      <c r="N1679" t="s">
        <v>3</v>
      </c>
      <c r="O1679" t="s">
        <v>3</v>
      </c>
      <c r="P1679" t="s">
        <v>5</v>
      </c>
      <c r="Q1679" t="s">
        <v>4051</v>
      </c>
      <c r="R1679" t="s">
        <v>3</v>
      </c>
      <c r="S1679" t="s">
        <v>3</v>
      </c>
      <c r="T1679" t="s">
        <v>3</v>
      </c>
      <c r="U1679" t="s">
        <v>3</v>
      </c>
      <c r="V1679" t="s">
        <v>3</v>
      </c>
      <c r="W1679" t="s">
        <v>68</v>
      </c>
      <c r="X1679" s="17">
        <v>43646</v>
      </c>
      <c r="Y1679" t="s">
        <v>2495</v>
      </c>
      <c r="Z1679" s="17">
        <v>43594</v>
      </c>
      <c r="AA1679" t="s">
        <v>3</v>
      </c>
      <c r="AB1679" t="s">
        <v>4048</v>
      </c>
    </row>
    <row r="1680" spans="1:28" hidden="1">
      <c r="A1680" t="s">
        <v>4048</v>
      </c>
      <c r="B1680" s="17">
        <v>43594</v>
      </c>
      <c r="C1680" s="17">
        <v>43594</v>
      </c>
      <c r="D1680" t="s">
        <v>0</v>
      </c>
      <c r="E1680" t="s">
        <v>1</v>
      </c>
      <c r="F1680" s="18">
        <v>94</v>
      </c>
      <c r="G1680" s="18">
        <v>94</v>
      </c>
      <c r="H1680" t="s">
        <v>2</v>
      </c>
      <c r="I1680" t="s">
        <v>10</v>
      </c>
      <c r="J1680" s="18">
        <v>7847.12</v>
      </c>
      <c r="K1680" t="s">
        <v>4052</v>
      </c>
      <c r="L1680" t="s">
        <v>9</v>
      </c>
      <c r="M1680" t="s">
        <v>4050</v>
      </c>
      <c r="N1680" t="s">
        <v>3</v>
      </c>
      <c r="O1680" t="s">
        <v>3</v>
      </c>
      <c r="P1680" t="s">
        <v>5</v>
      </c>
      <c r="Q1680" t="s">
        <v>4051</v>
      </c>
      <c r="R1680" t="s">
        <v>3</v>
      </c>
      <c r="S1680" t="s">
        <v>3</v>
      </c>
      <c r="T1680" t="s">
        <v>3</v>
      </c>
      <c r="U1680" t="s">
        <v>3</v>
      </c>
      <c r="V1680" t="s">
        <v>3</v>
      </c>
      <c r="W1680" t="s">
        <v>68</v>
      </c>
      <c r="X1680" s="17">
        <v>43769</v>
      </c>
      <c r="Y1680" t="s">
        <v>4012</v>
      </c>
      <c r="Z1680" s="17">
        <v>43594</v>
      </c>
      <c r="AA1680" t="s">
        <v>3</v>
      </c>
      <c r="AB1680" t="s">
        <v>4048</v>
      </c>
    </row>
    <row r="1681" spans="1:28" hidden="1">
      <c r="A1681" t="s">
        <v>4053</v>
      </c>
      <c r="B1681" s="17">
        <v>43594</v>
      </c>
      <c r="C1681" s="17">
        <v>43594</v>
      </c>
      <c r="D1681" t="s">
        <v>0</v>
      </c>
      <c r="E1681" t="s">
        <v>1</v>
      </c>
      <c r="F1681" s="18">
        <v>11027</v>
      </c>
      <c r="G1681" s="18">
        <v>11027</v>
      </c>
      <c r="H1681" t="s">
        <v>2</v>
      </c>
      <c r="I1681" t="s">
        <v>10</v>
      </c>
      <c r="J1681" s="18">
        <v>914689.65</v>
      </c>
      <c r="K1681" t="s">
        <v>4054</v>
      </c>
      <c r="L1681" t="s">
        <v>9</v>
      </c>
      <c r="M1681" t="s">
        <v>4055</v>
      </c>
      <c r="N1681" t="s">
        <v>3</v>
      </c>
      <c r="O1681" t="s">
        <v>3</v>
      </c>
      <c r="P1681" t="s">
        <v>5</v>
      </c>
      <c r="Q1681" t="s">
        <v>4056</v>
      </c>
      <c r="R1681" t="s">
        <v>3</v>
      </c>
      <c r="S1681" t="s">
        <v>3</v>
      </c>
      <c r="T1681" t="s">
        <v>3</v>
      </c>
      <c r="U1681" t="s">
        <v>3</v>
      </c>
      <c r="V1681" t="s">
        <v>3</v>
      </c>
      <c r="W1681" t="s">
        <v>68</v>
      </c>
      <c r="X1681" s="17">
        <v>43646</v>
      </c>
      <c r="Y1681" t="s">
        <v>2497</v>
      </c>
      <c r="Z1681" s="17">
        <v>43594</v>
      </c>
      <c r="AA1681" t="s">
        <v>3</v>
      </c>
      <c r="AB1681" t="s">
        <v>4053</v>
      </c>
    </row>
    <row r="1682" spans="1:28" hidden="1">
      <c r="A1682" t="s">
        <v>4057</v>
      </c>
      <c r="B1682" s="17">
        <v>43594</v>
      </c>
      <c r="C1682" s="17">
        <v>43594</v>
      </c>
      <c r="D1682" t="s">
        <v>0</v>
      </c>
      <c r="E1682" t="s">
        <v>1</v>
      </c>
      <c r="F1682" s="18">
        <v>1318</v>
      </c>
      <c r="G1682" s="18">
        <v>1318</v>
      </c>
      <c r="H1682" t="s">
        <v>2</v>
      </c>
      <c r="I1682" t="s">
        <v>10</v>
      </c>
      <c r="J1682" s="18">
        <v>109789.4</v>
      </c>
      <c r="K1682" t="s">
        <v>3</v>
      </c>
      <c r="L1682" t="s">
        <v>9</v>
      </c>
      <c r="M1682" t="s">
        <v>4058</v>
      </c>
      <c r="N1682" t="s">
        <v>3</v>
      </c>
      <c r="O1682" t="s">
        <v>3</v>
      </c>
      <c r="P1682" t="s">
        <v>5</v>
      </c>
      <c r="Q1682" t="s">
        <v>4059</v>
      </c>
      <c r="R1682" t="s">
        <v>3</v>
      </c>
      <c r="S1682" t="s">
        <v>3</v>
      </c>
      <c r="T1682" t="s">
        <v>3</v>
      </c>
      <c r="U1682" t="s">
        <v>3</v>
      </c>
      <c r="V1682" t="s">
        <v>3</v>
      </c>
      <c r="W1682" t="s">
        <v>68</v>
      </c>
      <c r="X1682" s="17">
        <v>43646</v>
      </c>
      <c r="Y1682" t="s">
        <v>2518</v>
      </c>
      <c r="Z1682" s="17">
        <v>43594</v>
      </c>
      <c r="AA1682" t="s">
        <v>3</v>
      </c>
      <c r="AB1682" t="s">
        <v>4057</v>
      </c>
    </row>
    <row r="1683" spans="1:28" hidden="1">
      <c r="A1683" t="s">
        <v>4060</v>
      </c>
      <c r="B1683" s="17">
        <v>43597</v>
      </c>
      <c r="C1683" s="17">
        <v>43597</v>
      </c>
      <c r="D1683" t="s">
        <v>0</v>
      </c>
      <c r="E1683" t="s">
        <v>1</v>
      </c>
      <c r="F1683" s="18">
        <v>4818</v>
      </c>
      <c r="G1683" s="18">
        <v>4818</v>
      </c>
      <c r="H1683" t="s">
        <v>2</v>
      </c>
      <c r="I1683" t="s">
        <v>8</v>
      </c>
      <c r="J1683" s="18">
        <v>400857.59999999998</v>
      </c>
      <c r="K1683" t="s">
        <v>4061</v>
      </c>
      <c r="L1683" t="s">
        <v>9</v>
      </c>
      <c r="M1683" t="s">
        <v>4062</v>
      </c>
      <c r="N1683" t="s">
        <v>3</v>
      </c>
      <c r="O1683" t="s">
        <v>3</v>
      </c>
      <c r="P1683" t="s">
        <v>5</v>
      </c>
      <c r="Q1683" t="s">
        <v>4063</v>
      </c>
      <c r="R1683" t="s">
        <v>3</v>
      </c>
      <c r="S1683" t="s">
        <v>3</v>
      </c>
      <c r="T1683" t="s">
        <v>3</v>
      </c>
      <c r="U1683" t="s">
        <v>3</v>
      </c>
      <c r="V1683" t="s">
        <v>3</v>
      </c>
      <c r="W1683" t="s">
        <v>68</v>
      </c>
      <c r="X1683" s="17">
        <v>43646</v>
      </c>
      <c r="Y1683" t="s">
        <v>2512</v>
      </c>
      <c r="Z1683" s="17">
        <v>43597</v>
      </c>
      <c r="AA1683" t="s">
        <v>3</v>
      </c>
      <c r="AB1683" t="s">
        <v>4060</v>
      </c>
    </row>
    <row r="1684" spans="1:28" hidden="1">
      <c r="A1684" t="s">
        <v>4068</v>
      </c>
      <c r="B1684" s="17">
        <v>43597</v>
      </c>
      <c r="C1684" s="17">
        <v>43597</v>
      </c>
      <c r="D1684" t="s">
        <v>0</v>
      </c>
      <c r="E1684" t="s">
        <v>1</v>
      </c>
      <c r="F1684" s="18">
        <v>116059</v>
      </c>
      <c r="G1684" s="18">
        <v>116059</v>
      </c>
      <c r="H1684" t="s">
        <v>2</v>
      </c>
      <c r="I1684" t="s">
        <v>8</v>
      </c>
      <c r="J1684" s="18">
        <v>9667714.6999999993</v>
      </c>
      <c r="K1684" t="s">
        <v>4069</v>
      </c>
      <c r="L1684" t="s">
        <v>9</v>
      </c>
      <c r="M1684" t="s">
        <v>4070</v>
      </c>
      <c r="N1684" t="s">
        <v>3</v>
      </c>
      <c r="O1684" t="s">
        <v>3</v>
      </c>
      <c r="P1684" t="s">
        <v>5</v>
      </c>
      <c r="Q1684" t="s">
        <v>4071</v>
      </c>
      <c r="R1684" t="s">
        <v>3</v>
      </c>
      <c r="S1684" t="s">
        <v>3</v>
      </c>
      <c r="T1684" t="s">
        <v>3</v>
      </c>
      <c r="U1684" t="s">
        <v>3</v>
      </c>
      <c r="V1684" t="s">
        <v>3</v>
      </c>
      <c r="W1684" t="s">
        <v>68</v>
      </c>
      <c r="X1684" s="17">
        <v>43646</v>
      </c>
      <c r="Y1684" t="s">
        <v>2510</v>
      </c>
      <c r="Z1684" s="17">
        <v>43597</v>
      </c>
      <c r="AA1684" t="s">
        <v>3</v>
      </c>
      <c r="AB1684" t="s">
        <v>4068</v>
      </c>
    </row>
    <row r="1685" spans="1:28" hidden="1">
      <c r="A1685" t="s">
        <v>4072</v>
      </c>
      <c r="B1685" s="17">
        <v>43598</v>
      </c>
      <c r="C1685" s="17">
        <v>43598</v>
      </c>
      <c r="D1685" t="s">
        <v>0</v>
      </c>
      <c r="E1685" t="s">
        <v>1</v>
      </c>
      <c r="F1685" s="18">
        <v>1597</v>
      </c>
      <c r="G1685" s="18">
        <v>1597</v>
      </c>
      <c r="H1685" t="s">
        <v>2</v>
      </c>
      <c r="I1685" t="s">
        <v>10</v>
      </c>
      <c r="J1685" s="18">
        <v>133317.56</v>
      </c>
      <c r="K1685" t="s">
        <v>4073</v>
      </c>
      <c r="L1685" t="s">
        <v>9</v>
      </c>
      <c r="M1685" t="s">
        <v>4074</v>
      </c>
      <c r="N1685" t="s">
        <v>3</v>
      </c>
      <c r="O1685" t="s">
        <v>3</v>
      </c>
      <c r="P1685" t="s">
        <v>5</v>
      </c>
      <c r="Q1685" t="s">
        <v>4075</v>
      </c>
      <c r="R1685" t="s">
        <v>3</v>
      </c>
      <c r="S1685" t="s">
        <v>3</v>
      </c>
      <c r="T1685" t="s">
        <v>3</v>
      </c>
      <c r="U1685" t="s">
        <v>3</v>
      </c>
      <c r="V1685" t="s">
        <v>3</v>
      </c>
      <c r="W1685" t="s">
        <v>68</v>
      </c>
      <c r="X1685" s="17">
        <v>43769</v>
      </c>
      <c r="Y1685" t="s">
        <v>4012</v>
      </c>
      <c r="Z1685" s="17">
        <v>43598</v>
      </c>
      <c r="AA1685" t="s">
        <v>3</v>
      </c>
      <c r="AB1685" t="s">
        <v>4072</v>
      </c>
    </row>
    <row r="1686" spans="1:28" hidden="1">
      <c r="A1686" t="s">
        <v>4072</v>
      </c>
      <c r="B1686" s="17">
        <v>43598</v>
      </c>
      <c r="C1686" s="17">
        <v>43598</v>
      </c>
      <c r="D1686" t="s">
        <v>0</v>
      </c>
      <c r="E1686" t="s">
        <v>1</v>
      </c>
      <c r="F1686" s="18">
        <v>727</v>
      </c>
      <c r="G1686" s="18">
        <v>727</v>
      </c>
      <c r="H1686" t="s">
        <v>2</v>
      </c>
      <c r="I1686" t="s">
        <v>10</v>
      </c>
      <c r="J1686" s="18">
        <v>60559.1</v>
      </c>
      <c r="K1686" t="s">
        <v>4076</v>
      </c>
      <c r="L1686" t="s">
        <v>9</v>
      </c>
      <c r="M1686" t="s">
        <v>4074</v>
      </c>
      <c r="N1686" t="s">
        <v>3</v>
      </c>
      <c r="O1686" t="s">
        <v>3</v>
      </c>
      <c r="P1686" t="s">
        <v>5</v>
      </c>
      <c r="Q1686" t="s">
        <v>4075</v>
      </c>
      <c r="R1686" t="s">
        <v>3</v>
      </c>
      <c r="S1686" t="s">
        <v>3</v>
      </c>
      <c r="T1686" t="s">
        <v>3</v>
      </c>
      <c r="U1686" t="s">
        <v>3</v>
      </c>
      <c r="V1686" t="s">
        <v>3</v>
      </c>
      <c r="W1686" t="s">
        <v>68</v>
      </c>
      <c r="X1686" s="17">
        <v>43646</v>
      </c>
      <c r="Y1686" t="s">
        <v>2518</v>
      </c>
      <c r="Z1686" s="17">
        <v>43598</v>
      </c>
      <c r="AA1686" t="s">
        <v>3</v>
      </c>
      <c r="AB1686" t="s">
        <v>4072</v>
      </c>
    </row>
    <row r="1687" spans="1:28" hidden="1">
      <c r="A1687" t="s">
        <v>4077</v>
      </c>
      <c r="B1687" s="17">
        <v>43598</v>
      </c>
      <c r="C1687" s="17">
        <v>43598</v>
      </c>
      <c r="D1687" t="s">
        <v>0</v>
      </c>
      <c r="E1687" t="s">
        <v>1</v>
      </c>
      <c r="F1687" s="18">
        <v>1211</v>
      </c>
      <c r="G1687" s="18">
        <v>1211</v>
      </c>
      <c r="H1687" t="s">
        <v>2</v>
      </c>
      <c r="I1687" t="s">
        <v>10</v>
      </c>
      <c r="J1687" s="18">
        <v>101094.28</v>
      </c>
      <c r="K1687" t="s">
        <v>4073</v>
      </c>
      <c r="L1687" t="s">
        <v>9</v>
      </c>
      <c r="M1687" t="s">
        <v>4078</v>
      </c>
      <c r="N1687" t="s">
        <v>3</v>
      </c>
      <c r="O1687" t="s">
        <v>3</v>
      </c>
      <c r="P1687" t="s">
        <v>5</v>
      </c>
      <c r="Q1687" t="s">
        <v>4079</v>
      </c>
      <c r="R1687" t="s">
        <v>3</v>
      </c>
      <c r="S1687" t="s">
        <v>3</v>
      </c>
      <c r="T1687" t="s">
        <v>3</v>
      </c>
      <c r="U1687" t="s">
        <v>3</v>
      </c>
      <c r="V1687" t="s">
        <v>3</v>
      </c>
      <c r="W1687" t="s">
        <v>68</v>
      </c>
      <c r="X1687" s="17">
        <v>43769</v>
      </c>
      <c r="Y1687" t="s">
        <v>4012</v>
      </c>
      <c r="Z1687" s="17">
        <v>43598</v>
      </c>
      <c r="AA1687" t="s">
        <v>3</v>
      </c>
      <c r="AB1687" t="s">
        <v>4077</v>
      </c>
    </row>
    <row r="1688" spans="1:28" hidden="1">
      <c r="A1688" t="s">
        <v>4077</v>
      </c>
      <c r="B1688" s="17">
        <v>43598</v>
      </c>
      <c r="C1688" s="17">
        <v>43598</v>
      </c>
      <c r="D1688" t="s">
        <v>0</v>
      </c>
      <c r="E1688" t="s">
        <v>1</v>
      </c>
      <c r="F1688" s="18">
        <v>661</v>
      </c>
      <c r="G1688" s="18">
        <v>661</v>
      </c>
      <c r="H1688" t="s">
        <v>2</v>
      </c>
      <c r="I1688" t="s">
        <v>10</v>
      </c>
      <c r="J1688" s="18">
        <v>55061.3</v>
      </c>
      <c r="K1688" t="s">
        <v>4076</v>
      </c>
      <c r="L1688" t="s">
        <v>9</v>
      </c>
      <c r="M1688" t="s">
        <v>4078</v>
      </c>
      <c r="N1688" t="s">
        <v>3</v>
      </c>
      <c r="O1688" t="s">
        <v>3</v>
      </c>
      <c r="P1688" t="s">
        <v>5</v>
      </c>
      <c r="Q1688" t="s">
        <v>4079</v>
      </c>
      <c r="R1688" t="s">
        <v>3</v>
      </c>
      <c r="S1688" t="s">
        <v>3</v>
      </c>
      <c r="T1688" t="s">
        <v>3</v>
      </c>
      <c r="U1688" t="s">
        <v>3</v>
      </c>
      <c r="V1688" t="s">
        <v>3</v>
      </c>
      <c r="W1688" t="s">
        <v>68</v>
      </c>
      <c r="X1688" s="17">
        <v>43646</v>
      </c>
      <c r="Y1688" t="s">
        <v>2518</v>
      </c>
      <c r="Z1688" s="17">
        <v>43598</v>
      </c>
      <c r="AA1688" t="s">
        <v>3</v>
      </c>
      <c r="AB1688" t="s">
        <v>4077</v>
      </c>
    </row>
    <row r="1689" spans="1:28" hidden="1">
      <c r="A1689" t="s">
        <v>4080</v>
      </c>
      <c r="B1689" s="17">
        <v>43598</v>
      </c>
      <c r="C1689" s="17">
        <v>43598</v>
      </c>
      <c r="D1689" t="s">
        <v>0</v>
      </c>
      <c r="E1689" t="s">
        <v>1</v>
      </c>
      <c r="F1689" s="18">
        <v>4742</v>
      </c>
      <c r="G1689" s="18">
        <v>4742</v>
      </c>
      <c r="H1689" t="s">
        <v>2</v>
      </c>
      <c r="I1689" t="s">
        <v>10</v>
      </c>
      <c r="J1689" s="18">
        <v>395008.6</v>
      </c>
      <c r="K1689" t="s">
        <v>4076</v>
      </c>
      <c r="L1689" t="s">
        <v>9</v>
      </c>
      <c r="M1689" t="s">
        <v>4081</v>
      </c>
      <c r="N1689" t="s">
        <v>3</v>
      </c>
      <c r="O1689" t="s">
        <v>3</v>
      </c>
      <c r="P1689" t="s">
        <v>5</v>
      </c>
      <c r="Q1689" t="s">
        <v>4082</v>
      </c>
      <c r="R1689" t="s">
        <v>3</v>
      </c>
      <c r="S1689" t="s">
        <v>3</v>
      </c>
      <c r="T1689" t="s">
        <v>3</v>
      </c>
      <c r="U1689" t="s">
        <v>3</v>
      </c>
      <c r="V1689" t="s">
        <v>3</v>
      </c>
      <c r="W1689" t="s">
        <v>68</v>
      </c>
      <c r="X1689" s="17">
        <v>43646</v>
      </c>
      <c r="Y1689" t="s">
        <v>2518</v>
      </c>
      <c r="Z1689" s="17">
        <v>43598</v>
      </c>
      <c r="AA1689" t="s">
        <v>3</v>
      </c>
      <c r="AB1689" t="s">
        <v>4080</v>
      </c>
    </row>
    <row r="1690" spans="1:28" hidden="1">
      <c r="A1690" t="s">
        <v>4083</v>
      </c>
      <c r="B1690" s="17">
        <v>43599</v>
      </c>
      <c r="C1690" s="17">
        <v>43599</v>
      </c>
      <c r="D1690" t="s">
        <v>0</v>
      </c>
      <c r="E1690" t="s">
        <v>1</v>
      </c>
      <c r="F1690" s="18">
        <v>88441.36</v>
      </c>
      <c r="G1690" s="18">
        <v>88441.36</v>
      </c>
      <c r="H1690" t="s">
        <v>2</v>
      </c>
      <c r="I1690" t="s">
        <v>10</v>
      </c>
      <c r="J1690" s="18">
        <v>7367165.29</v>
      </c>
      <c r="K1690" t="s">
        <v>4084</v>
      </c>
      <c r="L1690" t="s">
        <v>4</v>
      </c>
      <c r="M1690" t="s">
        <v>4085</v>
      </c>
      <c r="N1690" t="s">
        <v>3</v>
      </c>
      <c r="O1690" t="s">
        <v>3</v>
      </c>
      <c r="P1690" t="s">
        <v>5</v>
      </c>
      <c r="Q1690" t="s">
        <v>4086</v>
      </c>
      <c r="R1690" t="s">
        <v>3</v>
      </c>
      <c r="S1690" t="s">
        <v>3</v>
      </c>
      <c r="T1690" t="s">
        <v>3</v>
      </c>
      <c r="U1690" t="s">
        <v>3</v>
      </c>
      <c r="V1690" t="s">
        <v>3</v>
      </c>
      <c r="W1690" t="s">
        <v>68</v>
      </c>
      <c r="X1690" s="17"/>
      <c r="Y1690" t="s">
        <v>3</v>
      </c>
      <c r="Z1690" s="17">
        <v>43599</v>
      </c>
      <c r="AA1690" t="s">
        <v>3</v>
      </c>
      <c r="AB1690" t="s">
        <v>4083</v>
      </c>
    </row>
    <row r="1691" spans="1:28" hidden="1">
      <c r="A1691" t="s">
        <v>4087</v>
      </c>
      <c r="B1691" s="17">
        <v>43599</v>
      </c>
      <c r="C1691" s="17">
        <v>43599</v>
      </c>
      <c r="D1691" t="s">
        <v>0</v>
      </c>
      <c r="E1691" t="s">
        <v>1</v>
      </c>
      <c r="F1691" s="18">
        <v>22475.360000000001</v>
      </c>
      <c r="G1691" s="18">
        <v>22475.360000000001</v>
      </c>
      <c r="H1691" t="s">
        <v>2</v>
      </c>
      <c r="I1691" t="s">
        <v>8</v>
      </c>
      <c r="J1691" s="18">
        <v>1872197.49</v>
      </c>
      <c r="K1691" t="s">
        <v>4088</v>
      </c>
      <c r="L1691" t="s">
        <v>4</v>
      </c>
      <c r="M1691" t="s">
        <v>4089</v>
      </c>
      <c r="N1691" t="s">
        <v>3</v>
      </c>
      <c r="O1691" t="s">
        <v>3</v>
      </c>
      <c r="P1691" t="s">
        <v>5</v>
      </c>
      <c r="Q1691" t="s">
        <v>4090</v>
      </c>
      <c r="R1691" t="s">
        <v>3</v>
      </c>
      <c r="S1691" t="s">
        <v>3</v>
      </c>
      <c r="T1691" t="s">
        <v>3</v>
      </c>
      <c r="U1691" t="s">
        <v>3</v>
      </c>
      <c r="V1691" t="s">
        <v>3</v>
      </c>
      <c r="W1691" t="s">
        <v>68</v>
      </c>
      <c r="X1691" s="17"/>
      <c r="Y1691" t="s">
        <v>3</v>
      </c>
      <c r="Z1691" s="17">
        <v>43599</v>
      </c>
      <c r="AA1691" t="s">
        <v>3</v>
      </c>
      <c r="AB1691" t="s">
        <v>4087</v>
      </c>
    </row>
    <row r="1692" spans="1:28" hidden="1">
      <c r="A1692" t="s">
        <v>4091</v>
      </c>
      <c r="B1692" s="17">
        <v>43599</v>
      </c>
      <c r="C1692" s="17">
        <v>43599</v>
      </c>
      <c r="D1692" t="s">
        <v>0</v>
      </c>
      <c r="E1692" t="s">
        <v>1</v>
      </c>
      <c r="F1692" s="18">
        <v>284295.02</v>
      </c>
      <c r="G1692" s="18">
        <v>284295.02</v>
      </c>
      <c r="H1692" t="s">
        <v>2</v>
      </c>
      <c r="I1692" t="s">
        <v>8</v>
      </c>
      <c r="J1692" s="18">
        <v>23681775.170000002</v>
      </c>
      <c r="K1692" t="s">
        <v>4088</v>
      </c>
      <c r="L1692" t="s">
        <v>4</v>
      </c>
      <c r="M1692" t="s">
        <v>4092</v>
      </c>
      <c r="N1692" t="s">
        <v>3</v>
      </c>
      <c r="O1692" t="s">
        <v>3</v>
      </c>
      <c r="P1692" t="s">
        <v>5</v>
      </c>
      <c r="Q1692" t="s">
        <v>4093</v>
      </c>
      <c r="R1692" t="s">
        <v>3</v>
      </c>
      <c r="S1692" t="s">
        <v>3</v>
      </c>
      <c r="T1692" t="s">
        <v>3</v>
      </c>
      <c r="U1692" t="s">
        <v>3</v>
      </c>
      <c r="V1692" t="s">
        <v>3</v>
      </c>
      <c r="W1692" t="s">
        <v>68</v>
      </c>
      <c r="X1692" s="17"/>
      <c r="Y1692" t="s">
        <v>3</v>
      </c>
      <c r="Z1692" s="17">
        <v>43599</v>
      </c>
      <c r="AA1692" t="s">
        <v>3</v>
      </c>
      <c r="AB1692" t="s">
        <v>4091</v>
      </c>
    </row>
    <row r="1693" spans="1:28" hidden="1">
      <c r="A1693" t="s">
        <v>4091</v>
      </c>
      <c r="B1693" s="17">
        <v>43599</v>
      </c>
      <c r="C1693" s="17">
        <v>43599</v>
      </c>
      <c r="D1693" t="s">
        <v>0</v>
      </c>
      <c r="E1693" t="s">
        <v>1</v>
      </c>
      <c r="F1693" s="18">
        <v>17336.5</v>
      </c>
      <c r="G1693" s="18">
        <v>17336.5</v>
      </c>
      <c r="H1693" t="s">
        <v>2</v>
      </c>
      <c r="I1693" t="s">
        <v>8</v>
      </c>
      <c r="J1693" s="18">
        <v>1442396.8</v>
      </c>
      <c r="K1693" t="s">
        <v>4088</v>
      </c>
      <c r="L1693" t="s">
        <v>4</v>
      </c>
      <c r="M1693" t="s">
        <v>4092</v>
      </c>
      <c r="N1693" t="s">
        <v>3</v>
      </c>
      <c r="O1693" t="s">
        <v>3</v>
      </c>
      <c r="P1693" t="s">
        <v>5</v>
      </c>
      <c r="Q1693" t="s">
        <v>4093</v>
      </c>
      <c r="R1693" t="s">
        <v>3</v>
      </c>
      <c r="S1693" t="s">
        <v>3</v>
      </c>
      <c r="T1693" t="s">
        <v>3</v>
      </c>
      <c r="U1693" t="s">
        <v>3</v>
      </c>
      <c r="V1693" t="s">
        <v>3</v>
      </c>
      <c r="W1693" t="s">
        <v>68</v>
      </c>
      <c r="X1693" s="17"/>
      <c r="Y1693" t="s">
        <v>3</v>
      </c>
      <c r="Z1693" s="17">
        <v>43599</v>
      </c>
      <c r="AA1693" t="s">
        <v>3</v>
      </c>
      <c r="AB1693" t="s">
        <v>4091</v>
      </c>
    </row>
    <row r="1694" spans="1:28" hidden="1">
      <c r="A1694" t="s">
        <v>4094</v>
      </c>
      <c r="B1694" s="17">
        <v>43599</v>
      </c>
      <c r="C1694" s="17">
        <v>43599</v>
      </c>
      <c r="D1694" t="s">
        <v>0</v>
      </c>
      <c r="E1694" t="s">
        <v>1</v>
      </c>
      <c r="F1694" s="18">
        <v>29025.4</v>
      </c>
      <c r="G1694" s="18">
        <v>29025.4</v>
      </c>
      <c r="H1694" t="s">
        <v>2</v>
      </c>
      <c r="I1694" t="s">
        <v>8</v>
      </c>
      <c r="J1694" s="18">
        <v>2417815.8199999998</v>
      </c>
      <c r="K1694" t="s">
        <v>4088</v>
      </c>
      <c r="L1694" t="s">
        <v>4</v>
      </c>
      <c r="M1694" t="s">
        <v>4095</v>
      </c>
      <c r="N1694" t="s">
        <v>3</v>
      </c>
      <c r="O1694" t="s">
        <v>3</v>
      </c>
      <c r="P1694" t="s">
        <v>5</v>
      </c>
      <c r="Q1694" t="s">
        <v>4096</v>
      </c>
      <c r="R1694" t="s">
        <v>3</v>
      </c>
      <c r="S1694" t="s">
        <v>3</v>
      </c>
      <c r="T1694" t="s">
        <v>3</v>
      </c>
      <c r="U1694" t="s">
        <v>3</v>
      </c>
      <c r="V1694" t="s">
        <v>3</v>
      </c>
      <c r="W1694" t="s">
        <v>68</v>
      </c>
      <c r="X1694" s="17"/>
      <c r="Y1694" t="s">
        <v>3</v>
      </c>
      <c r="Z1694" s="17">
        <v>43599</v>
      </c>
      <c r="AA1694" t="s">
        <v>3</v>
      </c>
      <c r="AB1694" t="s">
        <v>4094</v>
      </c>
    </row>
    <row r="1695" spans="1:28" hidden="1">
      <c r="A1695" t="s">
        <v>4097</v>
      </c>
      <c r="B1695" s="17">
        <v>43599</v>
      </c>
      <c r="C1695" s="17">
        <v>43599</v>
      </c>
      <c r="D1695" t="s">
        <v>0</v>
      </c>
      <c r="E1695" t="s">
        <v>1</v>
      </c>
      <c r="F1695" s="18">
        <v>40688.53</v>
      </c>
      <c r="G1695" s="18">
        <v>40688.53</v>
      </c>
      <c r="H1695" t="s">
        <v>2</v>
      </c>
      <c r="I1695" t="s">
        <v>8</v>
      </c>
      <c r="J1695" s="18">
        <v>3389354.55</v>
      </c>
      <c r="K1695" t="s">
        <v>4088</v>
      </c>
      <c r="L1695" t="s">
        <v>4</v>
      </c>
      <c r="M1695" t="s">
        <v>4098</v>
      </c>
      <c r="N1695" t="s">
        <v>3</v>
      </c>
      <c r="O1695" t="s">
        <v>3</v>
      </c>
      <c r="P1695" t="s">
        <v>5</v>
      </c>
      <c r="Q1695" t="s">
        <v>4099</v>
      </c>
      <c r="R1695" t="s">
        <v>3</v>
      </c>
      <c r="S1695" t="s">
        <v>3</v>
      </c>
      <c r="T1695" t="s">
        <v>3</v>
      </c>
      <c r="U1695" t="s">
        <v>3</v>
      </c>
      <c r="V1695" t="s">
        <v>3</v>
      </c>
      <c r="W1695" t="s">
        <v>68</v>
      </c>
      <c r="X1695" s="17"/>
      <c r="Y1695" t="s">
        <v>3</v>
      </c>
      <c r="Z1695" s="17">
        <v>43599</v>
      </c>
      <c r="AA1695" t="s">
        <v>3</v>
      </c>
      <c r="AB1695" t="s">
        <v>4097</v>
      </c>
    </row>
    <row r="1696" spans="1:28" hidden="1">
      <c r="A1696" t="s">
        <v>4100</v>
      </c>
      <c r="B1696" s="17">
        <v>43599</v>
      </c>
      <c r="C1696" s="17">
        <v>43599</v>
      </c>
      <c r="D1696" t="s">
        <v>0</v>
      </c>
      <c r="E1696" t="s">
        <v>1</v>
      </c>
      <c r="F1696" s="18">
        <v>2867</v>
      </c>
      <c r="G1696" s="18">
        <v>2867</v>
      </c>
      <c r="H1696" t="s">
        <v>2</v>
      </c>
      <c r="I1696" t="s">
        <v>8</v>
      </c>
      <c r="J1696" s="18">
        <v>238534.39999999999</v>
      </c>
      <c r="K1696" t="s">
        <v>4101</v>
      </c>
      <c r="L1696" t="s">
        <v>4</v>
      </c>
      <c r="M1696" t="s">
        <v>4102</v>
      </c>
      <c r="N1696" t="s">
        <v>3</v>
      </c>
      <c r="O1696" t="s">
        <v>3</v>
      </c>
      <c r="P1696" t="s">
        <v>5</v>
      </c>
      <c r="Q1696" t="s">
        <v>4103</v>
      </c>
      <c r="R1696" t="s">
        <v>3</v>
      </c>
      <c r="S1696" t="s">
        <v>3</v>
      </c>
      <c r="T1696" t="s">
        <v>3</v>
      </c>
      <c r="U1696" t="s">
        <v>3</v>
      </c>
      <c r="V1696" t="s">
        <v>3</v>
      </c>
      <c r="W1696" t="s">
        <v>68</v>
      </c>
      <c r="X1696" s="17"/>
      <c r="Y1696" t="s">
        <v>3</v>
      </c>
      <c r="Z1696" s="17">
        <v>43599</v>
      </c>
      <c r="AA1696" t="s">
        <v>3</v>
      </c>
      <c r="AB1696" t="s">
        <v>4100</v>
      </c>
    </row>
    <row r="1697" spans="1:28" hidden="1">
      <c r="A1697" t="s">
        <v>4104</v>
      </c>
      <c r="B1697" s="17">
        <v>43600</v>
      </c>
      <c r="C1697" s="17">
        <v>43600</v>
      </c>
      <c r="D1697" t="s">
        <v>0</v>
      </c>
      <c r="E1697" t="s">
        <v>1</v>
      </c>
      <c r="F1697" s="18">
        <v>10549.03</v>
      </c>
      <c r="G1697" s="18">
        <v>10549.03</v>
      </c>
      <c r="H1697" t="s">
        <v>2</v>
      </c>
      <c r="I1697" t="s">
        <v>10</v>
      </c>
      <c r="J1697" s="18">
        <v>878734.2</v>
      </c>
      <c r="K1697" t="s">
        <v>4105</v>
      </c>
      <c r="L1697" t="s">
        <v>4</v>
      </c>
      <c r="M1697" t="s">
        <v>4106</v>
      </c>
      <c r="N1697" t="s">
        <v>3</v>
      </c>
      <c r="O1697" t="s">
        <v>3</v>
      </c>
      <c r="P1697" t="s">
        <v>5</v>
      </c>
      <c r="Q1697" t="s">
        <v>4107</v>
      </c>
      <c r="R1697" t="s">
        <v>3</v>
      </c>
      <c r="S1697" t="s">
        <v>3</v>
      </c>
      <c r="T1697" t="s">
        <v>3</v>
      </c>
      <c r="U1697" t="s">
        <v>3</v>
      </c>
      <c r="V1697" t="s">
        <v>3</v>
      </c>
      <c r="W1697" t="s">
        <v>68</v>
      </c>
      <c r="X1697" s="17"/>
      <c r="Y1697" t="s">
        <v>3</v>
      </c>
      <c r="Z1697" s="17">
        <v>43600</v>
      </c>
      <c r="AA1697" t="s">
        <v>3</v>
      </c>
      <c r="AB1697" t="s">
        <v>4104</v>
      </c>
    </row>
    <row r="1698" spans="1:28" hidden="1">
      <c r="A1698" t="s">
        <v>4104</v>
      </c>
      <c r="B1698" s="17">
        <v>43600</v>
      </c>
      <c r="C1698" s="17">
        <v>43600</v>
      </c>
      <c r="D1698" t="s">
        <v>0</v>
      </c>
      <c r="E1698" t="s">
        <v>1</v>
      </c>
      <c r="F1698" s="18">
        <v>36224.46</v>
      </c>
      <c r="G1698" s="18">
        <v>36224.46</v>
      </c>
      <c r="H1698" t="s">
        <v>2</v>
      </c>
      <c r="I1698" t="s">
        <v>10</v>
      </c>
      <c r="J1698" s="18">
        <v>3013875.07</v>
      </c>
      <c r="K1698" t="s">
        <v>4108</v>
      </c>
      <c r="L1698" t="s">
        <v>4</v>
      </c>
      <c r="M1698" t="s">
        <v>4106</v>
      </c>
      <c r="N1698" t="s">
        <v>3</v>
      </c>
      <c r="O1698" t="s">
        <v>3</v>
      </c>
      <c r="P1698" t="s">
        <v>5</v>
      </c>
      <c r="Q1698" t="s">
        <v>4107</v>
      </c>
      <c r="R1698" t="s">
        <v>3</v>
      </c>
      <c r="S1698" t="s">
        <v>3</v>
      </c>
      <c r="T1698" t="s">
        <v>3</v>
      </c>
      <c r="U1698" t="s">
        <v>3</v>
      </c>
      <c r="V1698" t="s">
        <v>3</v>
      </c>
      <c r="W1698" t="s">
        <v>68</v>
      </c>
      <c r="X1698" s="17"/>
      <c r="Y1698" t="s">
        <v>3</v>
      </c>
      <c r="Z1698" s="17">
        <v>43600</v>
      </c>
      <c r="AA1698" t="s">
        <v>3</v>
      </c>
      <c r="AB1698" t="s">
        <v>4104</v>
      </c>
    </row>
    <row r="1699" spans="1:28" hidden="1">
      <c r="A1699" t="s">
        <v>4109</v>
      </c>
      <c r="B1699" s="17">
        <v>43604</v>
      </c>
      <c r="C1699" s="17">
        <v>43604</v>
      </c>
      <c r="D1699" t="s">
        <v>0</v>
      </c>
      <c r="E1699" t="s">
        <v>1</v>
      </c>
      <c r="F1699" s="18">
        <v>805</v>
      </c>
      <c r="G1699" s="18">
        <v>805</v>
      </c>
      <c r="H1699" t="s">
        <v>2</v>
      </c>
      <c r="I1699" t="s">
        <v>10</v>
      </c>
      <c r="J1699" s="18">
        <v>67201.399999999994</v>
      </c>
      <c r="K1699" t="s">
        <v>4052</v>
      </c>
      <c r="L1699" t="s">
        <v>9</v>
      </c>
      <c r="M1699" t="s">
        <v>4110</v>
      </c>
      <c r="N1699" t="s">
        <v>3</v>
      </c>
      <c r="O1699" t="s">
        <v>3</v>
      </c>
      <c r="P1699" t="s">
        <v>5</v>
      </c>
      <c r="Q1699" t="s">
        <v>4111</v>
      </c>
      <c r="R1699" t="s">
        <v>3</v>
      </c>
      <c r="S1699" t="s">
        <v>3</v>
      </c>
      <c r="T1699" t="s">
        <v>3</v>
      </c>
      <c r="U1699" t="s">
        <v>3</v>
      </c>
      <c r="V1699" t="s">
        <v>3</v>
      </c>
      <c r="W1699" t="s">
        <v>68</v>
      </c>
      <c r="X1699" s="17">
        <v>43769</v>
      </c>
      <c r="Y1699" t="s">
        <v>4012</v>
      </c>
      <c r="Z1699" s="17">
        <v>43604</v>
      </c>
      <c r="AA1699" t="s">
        <v>3</v>
      </c>
      <c r="AB1699" t="s">
        <v>4109</v>
      </c>
    </row>
    <row r="1700" spans="1:28" hidden="1">
      <c r="A1700" t="s">
        <v>4112</v>
      </c>
      <c r="B1700" s="17">
        <v>43604</v>
      </c>
      <c r="C1700" s="17">
        <v>43604</v>
      </c>
      <c r="D1700" t="s">
        <v>0</v>
      </c>
      <c r="E1700" t="s">
        <v>1</v>
      </c>
      <c r="F1700" s="18">
        <v>172326</v>
      </c>
      <c r="G1700" s="18">
        <v>172326</v>
      </c>
      <c r="H1700" t="s">
        <v>2</v>
      </c>
      <c r="I1700" t="s">
        <v>8</v>
      </c>
      <c r="J1700" s="18">
        <v>14385774.48</v>
      </c>
      <c r="K1700" t="s">
        <v>4113</v>
      </c>
      <c r="L1700" t="s">
        <v>9</v>
      </c>
      <c r="M1700" t="s">
        <v>4114</v>
      </c>
      <c r="N1700" t="s">
        <v>3</v>
      </c>
      <c r="O1700" t="s">
        <v>3</v>
      </c>
      <c r="P1700" t="s">
        <v>5</v>
      </c>
      <c r="Q1700" t="s">
        <v>4115</v>
      </c>
      <c r="R1700" t="s">
        <v>3</v>
      </c>
      <c r="S1700" t="s">
        <v>3</v>
      </c>
      <c r="T1700" t="s">
        <v>3</v>
      </c>
      <c r="U1700" t="s">
        <v>3</v>
      </c>
      <c r="V1700" t="s">
        <v>3</v>
      </c>
      <c r="W1700" t="s">
        <v>68</v>
      </c>
      <c r="X1700" s="17">
        <v>43769</v>
      </c>
      <c r="Y1700" t="s">
        <v>4005</v>
      </c>
      <c r="Z1700" s="17">
        <v>43604</v>
      </c>
      <c r="AA1700" t="s">
        <v>3</v>
      </c>
      <c r="AB1700" t="s">
        <v>4112</v>
      </c>
    </row>
    <row r="1701" spans="1:28" hidden="1">
      <c r="A1701" t="s">
        <v>4112</v>
      </c>
      <c r="B1701" s="17">
        <v>43604</v>
      </c>
      <c r="C1701" s="17">
        <v>43604</v>
      </c>
      <c r="D1701" t="s">
        <v>0</v>
      </c>
      <c r="E1701" t="s">
        <v>1</v>
      </c>
      <c r="F1701" s="18">
        <v>62604</v>
      </c>
      <c r="G1701" s="18">
        <v>62604</v>
      </c>
      <c r="H1701" t="s">
        <v>2</v>
      </c>
      <c r="I1701" t="s">
        <v>8</v>
      </c>
      <c r="J1701" s="18">
        <v>5214913.2</v>
      </c>
      <c r="K1701" t="s">
        <v>4038</v>
      </c>
      <c r="L1701" t="s">
        <v>9</v>
      </c>
      <c r="M1701" t="s">
        <v>4114</v>
      </c>
      <c r="N1701" t="s">
        <v>3</v>
      </c>
      <c r="O1701" t="s">
        <v>3</v>
      </c>
      <c r="P1701" t="s">
        <v>5</v>
      </c>
      <c r="Q1701" t="s">
        <v>4115</v>
      </c>
      <c r="R1701" t="s">
        <v>3</v>
      </c>
      <c r="S1701" t="s">
        <v>3</v>
      </c>
      <c r="T1701" t="s">
        <v>3</v>
      </c>
      <c r="U1701" t="s">
        <v>3</v>
      </c>
      <c r="V1701" t="s">
        <v>3</v>
      </c>
      <c r="W1701" t="s">
        <v>68</v>
      </c>
      <c r="X1701" s="17">
        <v>43646</v>
      </c>
      <c r="Y1701" t="s">
        <v>2510</v>
      </c>
      <c r="Z1701" s="17">
        <v>43604</v>
      </c>
      <c r="AA1701" t="s">
        <v>3</v>
      </c>
      <c r="AB1701" t="s">
        <v>4112</v>
      </c>
    </row>
    <row r="1702" spans="1:28" hidden="1">
      <c r="A1702" t="s">
        <v>4116</v>
      </c>
      <c r="B1702" s="17">
        <v>43604</v>
      </c>
      <c r="C1702" s="17">
        <v>43604</v>
      </c>
      <c r="D1702" t="s">
        <v>0</v>
      </c>
      <c r="E1702" t="s">
        <v>1</v>
      </c>
      <c r="F1702" s="18">
        <v>122912</v>
      </c>
      <c r="G1702" s="18">
        <v>122912</v>
      </c>
      <c r="H1702" t="s">
        <v>2</v>
      </c>
      <c r="I1702" t="s">
        <v>8</v>
      </c>
      <c r="J1702" s="18">
        <v>10260693.76</v>
      </c>
      <c r="K1702" t="s">
        <v>4113</v>
      </c>
      <c r="L1702" t="s">
        <v>9</v>
      </c>
      <c r="M1702" t="s">
        <v>4117</v>
      </c>
      <c r="N1702" t="s">
        <v>3</v>
      </c>
      <c r="O1702" t="s">
        <v>3</v>
      </c>
      <c r="P1702" t="s">
        <v>5</v>
      </c>
      <c r="Q1702" t="s">
        <v>4118</v>
      </c>
      <c r="R1702" t="s">
        <v>3</v>
      </c>
      <c r="S1702" t="s">
        <v>3</v>
      </c>
      <c r="T1702" t="s">
        <v>3</v>
      </c>
      <c r="U1702" t="s">
        <v>3</v>
      </c>
      <c r="V1702" t="s">
        <v>3</v>
      </c>
      <c r="W1702" t="s">
        <v>68</v>
      </c>
      <c r="X1702" s="17">
        <v>43769</v>
      </c>
      <c r="Y1702" t="s">
        <v>4005</v>
      </c>
      <c r="Z1702" s="17">
        <v>43604</v>
      </c>
      <c r="AA1702" t="s">
        <v>3</v>
      </c>
      <c r="AB1702" t="s">
        <v>4116</v>
      </c>
    </row>
    <row r="1703" spans="1:28" hidden="1">
      <c r="A1703" t="s">
        <v>4116</v>
      </c>
      <c r="B1703" s="17">
        <v>43604</v>
      </c>
      <c r="C1703" s="17">
        <v>43604</v>
      </c>
      <c r="D1703" t="s">
        <v>0</v>
      </c>
      <c r="E1703" t="s">
        <v>1</v>
      </c>
      <c r="F1703" s="18">
        <v>145678</v>
      </c>
      <c r="G1703" s="18">
        <v>145678</v>
      </c>
      <c r="H1703" t="s">
        <v>2</v>
      </c>
      <c r="I1703" t="s">
        <v>8</v>
      </c>
      <c r="J1703" s="18">
        <v>12134977.4</v>
      </c>
      <c r="K1703" t="s">
        <v>4038</v>
      </c>
      <c r="L1703" t="s">
        <v>9</v>
      </c>
      <c r="M1703" t="s">
        <v>4117</v>
      </c>
      <c r="N1703" t="s">
        <v>3</v>
      </c>
      <c r="O1703" t="s">
        <v>3</v>
      </c>
      <c r="P1703" t="s">
        <v>5</v>
      </c>
      <c r="Q1703" t="s">
        <v>4118</v>
      </c>
      <c r="R1703" t="s">
        <v>3</v>
      </c>
      <c r="S1703" t="s">
        <v>3</v>
      </c>
      <c r="T1703" t="s">
        <v>3</v>
      </c>
      <c r="U1703" t="s">
        <v>3</v>
      </c>
      <c r="V1703" t="s">
        <v>3</v>
      </c>
      <c r="W1703" t="s">
        <v>68</v>
      </c>
      <c r="X1703" s="17">
        <v>43646</v>
      </c>
      <c r="Y1703" t="s">
        <v>2510</v>
      </c>
      <c r="Z1703" s="17">
        <v>43604</v>
      </c>
      <c r="AA1703" t="s">
        <v>3</v>
      </c>
      <c r="AB1703" t="s">
        <v>4116</v>
      </c>
    </row>
    <row r="1704" spans="1:28" hidden="1">
      <c r="A1704" t="s">
        <v>4116</v>
      </c>
      <c r="B1704" s="17">
        <v>43604</v>
      </c>
      <c r="C1704" s="17">
        <v>43604</v>
      </c>
      <c r="D1704" t="s">
        <v>0</v>
      </c>
      <c r="E1704" t="s">
        <v>1</v>
      </c>
      <c r="F1704" s="18">
        <v>34505</v>
      </c>
      <c r="G1704" s="18">
        <v>34505</v>
      </c>
      <c r="H1704" t="s">
        <v>2</v>
      </c>
      <c r="I1704" t="s">
        <v>8</v>
      </c>
      <c r="J1704" s="18">
        <v>2870816</v>
      </c>
      <c r="K1704" t="s">
        <v>4061</v>
      </c>
      <c r="L1704" t="s">
        <v>9</v>
      </c>
      <c r="M1704" t="s">
        <v>4117</v>
      </c>
      <c r="N1704" t="s">
        <v>3</v>
      </c>
      <c r="O1704" t="s">
        <v>3</v>
      </c>
      <c r="P1704" t="s">
        <v>5</v>
      </c>
      <c r="Q1704" t="s">
        <v>4118</v>
      </c>
      <c r="R1704" t="s">
        <v>3</v>
      </c>
      <c r="S1704" t="s">
        <v>3</v>
      </c>
      <c r="T1704" t="s">
        <v>3</v>
      </c>
      <c r="U1704" t="s">
        <v>3</v>
      </c>
      <c r="V1704" t="s">
        <v>3</v>
      </c>
      <c r="W1704" t="s">
        <v>68</v>
      </c>
      <c r="X1704" s="17">
        <v>43646</v>
      </c>
      <c r="Y1704" t="s">
        <v>2512</v>
      </c>
      <c r="Z1704" s="17">
        <v>43604</v>
      </c>
      <c r="AA1704" t="s">
        <v>3</v>
      </c>
      <c r="AB1704" t="s">
        <v>4116</v>
      </c>
    </row>
    <row r="1705" spans="1:28" hidden="1">
      <c r="A1705" t="s">
        <v>4119</v>
      </c>
      <c r="B1705" s="17">
        <v>43605</v>
      </c>
      <c r="C1705" s="17">
        <v>43605</v>
      </c>
      <c r="D1705" t="s">
        <v>0</v>
      </c>
      <c r="E1705" t="s">
        <v>1</v>
      </c>
      <c r="F1705" s="18">
        <v>7151</v>
      </c>
      <c r="G1705" s="18">
        <v>7151</v>
      </c>
      <c r="H1705" t="s">
        <v>2</v>
      </c>
      <c r="I1705" t="s">
        <v>8</v>
      </c>
      <c r="J1705" s="18">
        <v>595678.30000000005</v>
      </c>
      <c r="K1705" t="s">
        <v>4120</v>
      </c>
      <c r="L1705" t="s">
        <v>4</v>
      </c>
      <c r="M1705" t="s">
        <v>4121</v>
      </c>
      <c r="N1705" t="s">
        <v>3</v>
      </c>
      <c r="O1705" t="s">
        <v>3</v>
      </c>
      <c r="P1705" t="s">
        <v>5</v>
      </c>
      <c r="Q1705" t="s">
        <v>4122</v>
      </c>
      <c r="R1705" t="s">
        <v>3</v>
      </c>
      <c r="S1705" t="s">
        <v>3</v>
      </c>
      <c r="T1705" t="s">
        <v>3</v>
      </c>
      <c r="U1705" t="s">
        <v>3</v>
      </c>
      <c r="V1705" t="s">
        <v>3</v>
      </c>
      <c r="W1705" t="s">
        <v>68</v>
      </c>
      <c r="X1705" s="17"/>
      <c r="Y1705" t="s">
        <v>3</v>
      </c>
      <c r="Z1705" s="17">
        <v>43605</v>
      </c>
      <c r="AA1705" t="s">
        <v>3</v>
      </c>
      <c r="AB1705" t="s">
        <v>4119</v>
      </c>
    </row>
    <row r="1706" spans="1:28" hidden="1">
      <c r="A1706" t="s">
        <v>4119</v>
      </c>
      <c r="B1706" s="17">
        <v>43605</v>
      </c>
      <c r="C1706" s="17">
        <v>43605</v>
      </c>
      <c r="D1706" t="s">
        <v>0</v>
      </c>
      <c r="E1706" t="s">
        <v>1</v>
      </c>
      <c r="F1706" s="18">
        <v>15880</v>
      </c>
      <c r="G1706" s="18">
        <v>15880</v>
      </c>
      <c r="H1706" t="s">
        <v>2</v>
      </c>
      <c r="I1706" t="s">
        <v>8</v>
      </c>
      <c r="J1706" s="18">
        <v>1321216</v>
      </c>
      <c r="K1706" t="s">
        <v>4123</v>
      </c>
      <c r="L1706" t="s">
        <v>4</v>
      </c>
      <c r="M1706" t="s">
        <v>4121</v>
      </c>
      <c r="N1706" t="s">
        <v>3</v>
      </c>
      <c r="O1706" t="s">
        <v>3</v>
      </c>
      <c r="P1706" t="s">
        <v>5</v>
      </c>
      <c r="Q1706" t="s">
        <v>4122</v>
      </c>
      <c r="R1706" t="s">
        <v>3</v>
      </c>
      <c r="S1706" t="s">
        <v>3</v>
      </c>
      <c r="T1706" t="s">
        <v>3</v>
      </c>
      <c r="U1706" t="s">
        <v>3</v>
      </c>
      <c r="V1706" t="s">
        <v>3</v>
      </c>
      <c r="W1706" t="s">
        <v>68</v>
      </c>
      <c r="X1706" s="17"/>
      <c r="Y1706" t="s">
        <v>3</v>
      </c>
      <c r="Z1706" s="17">
        <v>43605</v>
      </c>
      <c r="AA1706" t="s">
        <v>3</v>
      </c>
      <c r="AB1706" t="s">
        <v>4119</v>
      </c>
    </row>
    <row r="1707" spans="1:28" hidden="1">
      <c r="A1707" t="s">
        <v>4124</v>
      </c>
      <c r="B1707" s="17">
        <v>43605</v>
      </c>
      <c r="C1707" s="17">
        <v>43605</v>
      </c>
      <c r="D1707" t="s">
        <v>0</v>
      </c>
      <c r="E1707" t="s">
        <v>1</v>
      </c>
      <c r="F1707" s="18">
        <v>104687</v>
      </c>
      <c r="G1707" s="18">
        <v>104687</v>
      </c>
      <c r="H1707" t="s">
        <v>2</v>
      </c>
      <c r="I1707" t="s">
        <v>8</v>
      </c>
      <c r="J1707" s="18">
        <v>8720427.0999999996</v>
      </c>
      <c r="K1707" t="s">
        <v>4125</v>
      </c>
      <c r="L1707" t="s">
        <v>9</v>
      </c>
      <c r="M1707" t="s">
        <v>4126</v>
      </c>
      <c r="N1707" t="s">
        <v>3</v>
      </c>
      <c r="O1707" t="s">
        <v>3</v>
      </c>
      <c r="P1707" t="s">
        <v>5</v>
      </c>
      <c r="Q1707" t="s">
        <v>4127</v>
      </c>
      <c r="R1707" t="s">
        <v>3</v>
      </c>
      <c r="S1707" t="s">
        <v>3</v>
      </c>
      <c r="T1707" t="s">
        <v>3</v>
      </c>
      <c r="U1707" t="s">
        <v>3</v>
      </c>
      <c r="V1707" t="s">
        <v>3</v>
      </c>
      <c r="W1707" t="s">
        <v>68</v>
      </c>
      <c r="X1707" s="17">
        <v>43646</v>
      </c>
      <c r="Y1707" t="s">
        <v>2510</v>
      </c>
      <c r="Z1707" s="17">
        <v>43605</v>
      </c>
      <c r="AA1707" t="s">
        <v>3</v>
      </c>
      <c r="AB1707" t="s">
        <v>4124</v>
      </c>
    </row>
    <row r="1708" spans="1:28" hidden="1">
      <c r="A1708" t="s">
        <v>4128</v>
      </c>
      <c r="B1708" s="17">
        <v>43605</v>
      </c>
      <c r="C1708" s="17">
        <v>43605</v>
      </c>
      <c r="D1708" t="s">
        <v>0</v>
      </c>
      <c r="E1708" t="s">
        <v>1</v>
      </c>
      <c r="F1708" s="18">
        <v>1941</v>
      </c>
      <c r="G1708" s="18">
        <v>1941</v>
      </c>
      <c r="H1708" t="s">
        <v>2</v>
      </c>
      <c r="I1708" t="s">
        <v>10</v>
      </c>
      <c r="J1708" s="18">
        <v>162034.68</v>
      </c>
      <c r="K1708" t="s">
        <v>4052</v>
      </c>
      <c r="L1708" t="s">
        <v>9</v>
      </c>
      <c r="M1708" t="s">
        <v>4129</v>
      </c>
      <c r="N1708" t="s">
        <v>3</v>
      </c>
      <c r="O1708" t="s">
        <v>3</v>
      </c>
      <c r="P1708" t="s">
        <v>5</v>
      </c>
      <c r="Q1708" t="s">
        <v>4130</v>
      </c>
      <c r="R1708" t="s">
        <v>3</v>
      </c>
      <c r="S1708" t="s">
        <v>3</v>
      </c>
      <c r="T1708" t="s">
        <v>3</v>
      </c>
      <c r="U1708" t="s">
        <v>3</v>
      </c>
      <c r="V1708" t="s">
        <v>3</v>
      </c>
      <c r="W1708" t="s">
        <v>68</v>
      </c>
      <c r="X1708" s="17">
        <v>43769</v>
      </c>
      <c r="Y1708" t="s">
        <v>4012</v>
      </c>
      <c r="Z1708" s="17">
        <v>43605</v>
      </c>
      <c r="AA1708" t="s">
        <v>3</v>
      </c>
      <c r="AB1708" t="s">
        <v>4128</v>
      </c>
    </row>
    <row r="1709" spans="1:28" hidden="1">
      <c r="A1709" t="s">
        <v>4131</v>
      </c>
      <c r="B1709" s="17">
        <v>43606</v>
      </c>
      <c r="C1709" s="17">
        <v>43606</v>
      </c>
      <c r="D1709" t="s">
        <v>0</v>
      </c>
      <c r="E1709" t="s">
        <v>1</v>
      </c>
      <c r="F1709" s="18">
        <v>49457</v>
      </c>
      <c r="G1709" s="18">
        <v>49457</v>
      </c>
      <c r="H1709" t="s">
        <v>2</v>
      </c>
      <c r="I1709" t="s">
        <v>8</v>
      </c>
      <c r="J1709" s="18">
        <v>4128670.36</v>
      </c>
      <c r="K1709" t="s">
        <v>4025</v>
      </c>
      <c r="L1709" t="s">
        <v>9</v>
      </c>
      <c r="M1709" t="s">
        <v>4132</v>
      </c>
      <c r="N1709" t="s">
        <v>3</v>
      </c>
      <c r="O1709" t="s">
        <v>3</v>
      </c>
      <c r="P1709" t="s">
        <v>5</v>
      </c>
      <c r="Q1709" t="s">
        <v>4133</v>
      </c>
      <c r="R1709" t="s">
        <v>3</v>
      </c>
      <c r="S1709" t="s">
        <v>3</v>
      </c>
      <c r="T1709" t="s">
        <v>3</v>
      </c>
      <c r="U1709" t="s">
        <v>3</v>
      </c>
      <c r="V1709" t="s">
        <v>3</v>
      </c>
      <c r="W1709" t="s">
        <v>68</v>
      </c>
      <c r="X1709" s="17">
        <v>43769</v>
      </c>
      <c r="Y1709" t="s">
        <v>4005</v>
      </c>
      <c r="Z1709" s="17">
        <v>43606</v>
      </c>
      <c r="AA1709" t="s">
        <v>3</v>
      </c>
      <c r="AB1709" t="s">
        <v>4131</v>
      </c>
    </row>
    <row r="1710" spans="1:28" hidden="1">
      <c r="A1710" t="s">
        <v>4134</v>
      </c>
      <c r="B1710" s="17">
        <v>43606</v>
      </c>
      <c r="C1710" s="17">
        <v>43606</v>
      </c>
      <c r="D1710" t="s">
        <v>0</v>
      </c>
      <c r="E1710" t="s">
        <v>1</v>
      </c>
      <c r="F1710" s="18">
        <v>-713519</v>
      </c>
      <c r="G1710" s="18">
        <v>-713519</v>
      </c>
      <c r="H1710" t="s">
        <v>2</v>
      </c>
      <c r="I1710" t="s">
        <v>8</v>
      </c>
      <c r="J1710" s="18">
        <v>-59564566.119999997</v>
      </c>
      <c r="K1710" t="s">
        <v>4135</v>
      </c>
      <c r="L1710" t="s">
        <v>9</v>
      </c>
      <c r="M1710" t="s">
        <v>3</v>
      </c>
      <c r="N1710" t="s">
        <v>3</v>
      </c>
      <c r="O1710" t="s">
        <v>3</v>
      </c>
      <c r="P1710" t="s">
        <v>5</v>
      </c>
      <c r="Q1710" t="s">
        <v>4136</v>
      </c>
      <c r="R1710" t="s">
        <v>3</v>
      </c>
      <c r="S1710" t="s">
        <v>3</v>
      </c>
      <c r="T1710" t="s">
        <v>3</v>
      </c>
      <c r="U1710" t="s">
        <v>3</v>
      </c>
      <c r="V1710" t="s">
        <v>3</v>
      </c>
      <c r="W1710" t="s">
        <v>68</v>
      </c>
      <c r="X1710" s="17">
        <v>44012</v>
      </c>
      <c r="Y1710" t="s">
        <v>4137</v>
      </c>
      <c r="Z1710" s="17">
        <v>43606</v>
      </c>
      <c r="AA1710" t="s">
        <v>3</v>
      </c>
      <c r="AB1710" t="s">
        <v>4134</v>
      </c>
    </row>
    <row r="1711" spans="1:28" hidden="1">
      <c r="A1711" t="s">
        <v>2327</v>
      </c>
      <c r="B1711" s="17">
        <v>43607</v>
      </c>
      <c r="C1711" s="17">
        <v>43607</v>
      </c>
      <c r="D1711" t="s">
        <v>38</v>
      </c>
      <c r="E1711" t="s">
        <v>1</v>
      </c>
      <c r="F1711" s="18">
        <v>143715</v>
      </c>
      <c r="G1711" s="18">
        <v>143715</v>
      </c>
      <c r="H1711" t="s">
        <v>2</v>
      </c>
      <c r="I1711" t="s">
        <v>8</v>
      </c>
      <c r="J1711" s="18">
        <v>11997328.199999999</v>
      </c>
      <c r="K1711" t="s">
        <v>2328</v>
      </c>
      <c r="L1711" t="s">
        <v>9</v>
      </c>
      <c r="M1711" t="s">
        <v>2329</v>
      </c>
      <c r="N1711" t="s">
        <v>3</v>
      </c>
      <c r="O1711" t="s">
        <v>3</v>
      </c>
      <c r="P1711" t="s">
        <v>5</v>
      </c>
      <c r="Q1711" t="s">
        <v>2330</v>
      </c>
      <c r="R1711" t="s">
        <v>3</v>
      </c>
      <c r="S1711" t="s">
        <v>3</v>
      </c>
      <c r="T1711" t="s">
        <v>3</v>
      </c>
      <c r="U1711" t="s">
        <v>3</v>
      </c>
      <c r="V1711" t="s">
        <v>3</v>
      </c>
      <c r="W1711" t="s">
        <v>68</v>
      </c>
      <c r="X1711" s="17">
        <v>43607</v>
      </c>
      <c r="Y1711" t="s">
        <v>2327</v>
      </c>
      <c r="Z1711" s="17">
        <v>43607</v>
      </c>
      <c r="AA1711" t="s">
        <v>3</v>
      </c>
      <c r="AB1711" t="s">
        <v>2327</v>
      </c>
    </row>
    <row r="1712" spans="1:28" hidden="1">
      <c r="A1712" t="s">
        <v>4138</v>
      </c>
      <c r="B1712" s="17">
        <v>43607</v>
      </c>
      <c r="C1712" s="17">
        <v>43607</v>
      </c>
      <c r="D1712" t="s">
        <v>0</v>
      </c>
      <c r="E1712" t="s">
        <v>1</v>
      </c>
      <c r="F1712" s="18">
        <v>17318</v>
      </c>
      <c r="G1712" s="18">
        <v>17318</v>
      </c>
      <c r="H1712" t="s">
        <v>2</v>
      </c>
      <c r="I1712" t="s">
        <v>8</v>
      </c>
      <c r="J1712" s="18">
        <v>1445706.64</v>
      </c>
      <c r="K1712" t="s">
        <v>4139</v>
      </c>
      <c r="L1712" t="s">
        <v>9</v>
      </c>
      <c r="M1712" t="s">
        <v>4140</v>
      </c>
      <c r="N1712" t="s">
        <v>3</v>
      </c>
      <c r="O1712" t="s">
        <v>3</v>
      </c>
      <c r="P1712" t="s">
        <v>5</v>
      </c>
      <c r="Q1712" t="s">
        <v>4141</v>
      </c>
      <c r="R1712" t="s">
        <v>3</v>
      </c>
      <c r="S1712" t="s">
        <v>3</v>
      </c>
      <c r="T1712" t="s">
        <v>3</v>
      </c>
      <c r="U1712" t="s">
        <v>3</v>
      </c>
      <c r="V1712" t="s">
        <v>3</v>
      </c>
      <c r="W1712" t="s">
        <v>68</v>
      </c>
      <c r="X1712" s="17">
        <v>43769</v>
      </c>
      <c r="Y1712" t="s">
        <v>4005</v>
      </c>
      <c r="Z1712" s="17">
        <v>43607</v>
      </c>
      <c r="AA1712" t="s">
        <v>3</v>
      </c>
      <c r="AB1712" t="s">
        <v>4138</v>
      </c>
    </row>
    <row r="1713" spans="1:28" hidden="1">
      <c r="A1713" t="s">
        <v>4138</v>
      </c>
      <c r="B1713" s="17">
        <v>43607</v>
      </c>
      <c r="C1713" s="17">
        <v>43607</v>
      </c>
      <c r="D1713" t="s">
        <v>0</v>
      </c>
      <c r="E1713" t="s">
        <v>1</v>
      </c>
      <c r="F1713" s="18">
        <v>9763</v>
      </c>
      <c r="G1713" s="18">
        <v>9763</v>
      </c>
      <c r="H1713" t="s">
        <v>2</v>
      </c>
      <c r="I1713" t="s">
        <v>8</v>
      </c>
      <c r="J1713" s="18">
        <v>812281.6</v>
      </c>
      <c r="K1713" t="s">
        <v>4142</v>
      </c>
      <c r="L1713" t="s">
        <v>9</v>
      </c>
      <c r="M1713" t="s">
        <v>4140</v>
      </c>
      <c r="N1713" t="s">
        <v>3</v>
      </c>
      <c r="O1713" t="s">
        <v>3</v>
      </c>
      <c r="P1713" t="s">
        <v>5</v>
      </c>
      <c r="Q1713" t="s">
        <v>4141</v>
      </c>
      <c r="R1713" t="s">
        <v>3</v>
      </c>
      <c r="S1713" t="s">
        <v>3</v>
      </c>
      <c r="T1713" t="s">
        <v>3</v>
      </c>
      <c r="U1713" t="s">
        <v>3</v>
      </c>
      <c r="V1713" t="s">
        <v>3</v>
      </c>
      <c r="W1713" t="s">
        <v>68</v>
      </c>
      <c r="X1713" s="17">
        <v>43646</v>
      </c>
      <c r="Y1713" t="s">
        <v>2512</v>
      </c>
      <c r="Z1713" s="17">
        <v>43607</v>
      </c>
      <c r="AA1713" t="s">
        <v>3</v>
      </c>
      <c r="AB1713" t="s">
        <v>4138</v>
      </c>
    </row>
    <row r="1714" spans="1:28" hidden="1">
      <c r="A1714" t="s">
        <v>4143</v>
      </c>
      <c r="B1714" s="17">
        <v>43607</v>
      </c>
      <c r="C1714" s="17">
        <v>43607</v>
      </c>
      <c r="D1714" t="s">
        <v>0</v>
      </c>
      <c r="E1714" t="s">
        <v>1</v>
      </c>
      <c r="F1714" s="18">
        <v>-143715</v>
      </c>
      <c r="G1714" s="18">
        <v>-143715</v>
      </c>
      <c r="H1714" t="s">
        <v>2</v>
      </c>
      <c r="I1714" t="s">
        <v>8</v>
      </c>
      <c r="J1714" s="18">
        <v>-11997328.199999999</v>
      </c>
      <c r="K1714" t="s">
        <v>2328</v>
      </c>
      <c r="L1714" t="s">
        <v>9</v>
      </c>
      <c r="M1714" t="s">
        <v>2329</v>
      </c>
      <c r="N1714" t="s">
        <v>3</v>
      </c>
      <c r="O1714" t="s">
        <v>3</v>
      </c>
      <c r="P1714" t="s">
        <v>5</v>
      </c>
      <c r="Q1714" t="s">
        <v>2330</v>
      </c>
      <c r="R1714" t="s">
        <v>3</v>
      </c>
      <c r="S1714" t="s">
        <v>3</v>
      </c>
      <c r="T1714" t="s">
        <v>3</v>
      </c>
      <c r="U1714" t="s">
        <v>3</v>
      </c>
      <c r="V1714" t="s">
        <v>3</v>
      </c>
      <c r="W1714" t="s">
        <v>68</v>
      </c>
      <c r="X1714" s="17">
        <v>43607</v>
      </c>
      <c r="Y1714" t="s">
        <v>2327</v>
      </c>
      <c r="Z1714" s="17">
        <v>43607</v>
      </c>
      <c r="AA1714" t="s">
        <v>3</v>
      </c>
      <c r="AB1714" t="s">
        <v>4143</v>
      </c>
    </row>
    <row r="1715" spans="1:28" hidden="1">
      <c r="A1715" t="s">
        <v>4189</v>
      </c>
      <c r="B1715" s="17">
        <v>43607</v>
      </c>
      <c r="C1715" s="17">
        <v>43607</v>
      </c>
      <c r="D1715" t="s">
        <v>0</v>
      </c>
      <c r="E1715" t="s">
        <v>1</v>
      </c>
      <c r="F1715" s="18">
        <v>-143715</v>
      </c>
      <c r="G1715" s="18">
        <v>-143715</v>
      </c>
      <c r="H1715" t="s">
        <v>2</v>
      </c>
      <c r="I1715" t="s">
        <v>8</v>
      </c>
      <c r="J1715" s="18">
        <v>-11997328.199999999</v>
      </c>
      <c r="K1715" t="s">
        <v>2328</v>
      </c>
      <c r="L1715" t="s">
        <v>4</v>
      </c>
      <c r="M1715" t="s">
        <v>2329</v>
      </c>
      <c r="N1715" t="s">
        <v>3</v>
      </c>
      <c r="O1715" t="s">
        <v>3</v>
      </c>
      <c r="P1715" t="s">
        <v>5</v>
      </c>
      <c r="Q1715" t="s">
        <v>2330</v>
      </c>
      <c r="R1715" t="s">
        <v>3</v>
      </c>
      <c r="S1715" t="s">
        <v>3</v>
      </c>
      <c r="T1715" t="s">
        <v>3</v>
      </c>
      <c r="U1715" t="s">
        <v>3</v>
      </c>
      <c r="V1715" t="s">
        <v>3</v>
      </c>
      <c r="W1715" t="s">
        <v>68</v>
      </c>
      <c r="X1715" s="17"/>
      <c r="Y1715" t="s">
        <v>3</v>
      </c>
      <c r="Z1715" s="17">
        <v>43607</v>
      </c>
      <c r="AA1715" t="s">
        <v>3</v>
      </c>
      <c r="AB1715" t="s">
        <v>4189</v>
      </c>
    </row>
    <row r="1716" spans="1:28" hidden="1">
      <c r="A1716" t="s">
        <v>4144</v>
      </c>
      <c r="B1716" s="17">
        <v>43608</v>
      </c>
      <c r="C1716" s="17">
        <v>43608</v>
      </c>
      <c r="D1716" t="s">
        <v>0</v>
      </c>
      <c r="E1716" t="s">
        <v>1</v>
      </c>
      <c r="F1716" s="18">
        <v>69975</v>
      </c>
      <c r="G1716" s="18">
        <v>69975</v>
      </c>
      <c r="H1716" t="s">
        <v>2</v>
      </c>
      <c r="I1716" t="s">
        <v>8</v>
      </c>
      <c r="J1716" s="18">
        <v>5828917.5</v>
      </c>
      <c r="K1716" t="s">
        <v>4028</v>
      </c>
      <c r="L1716" t="s">
        <v>9</v>
      </c>
      <c r="M1716" t="s">
        <v>4145</v>
      </c>
      <c r="N1716" t="s">
        <v>3</v>
      </c>
      <c r="O1716" t="s">
        <v>3</v>
      </c>
      <c r="P1716" t="s">
        <v>5</v>
      </c>
      <c r="Q1716" t="s">
        <v>4146</v>
      </c>
      <c r="R1716" t="s">
        <v>3</v>
      </c>
      <c r="S1716" t="s">
        <v>3</v>
      </c>
      <c r="T1716" t="s">
        <v>3</v>
      </c>
      <c r="U1716" t="s">
        <v>3</v>
      </c>
      <c r="V1716" t="s">
        <v>3</v>
      </c>
      <c r="W1716" t="s">
        <v>68</v>
      </c>
      <c r="X1716" s="17">
        <v>43646</v>
      </c>
      <c r="Y1716" t="s">
        <v>2510</v>
      </c>
      <c r="Z1716" s="17">
        <v>43608</v>
      </c>
      <c r="AA1716" t="s">
        <v>3</v>
      </c>
      <c r="AB1716" t="s">
        <v>4144</v>
      </c>
    </row>
    <row r="1717" spans="1:28" hidden="1">
      <c r="A1717" t="s">
        <v>4144</v>
      </c>
      <c r="B1717" s="17">
        <v>43608</v>
      </c>
      <c r="C1717" s="17">
        <v>43608</v>
      </c>
      <c r="D1717" t="s">
        <v>0</v>
      </c>
      <c r="E1717" t="s">
        <v>1</v>
      </c>
      <c r="F1717" s="18">
        <v>8845</v>
      </c>
      <c r="G1717" s="18">
        <v>8845</v>
      </c>
      <c r="H1717" t="s">
        <v>2</v>
      </c>
      <c r="I1717" t="s">
        <v>8</v>
      </c>
      <c r="J1717" s="18">
        <v>738380.6</v>
      </c>
      <c r="K1717" t="s">
        <v>4147</v>
      </c>
      <c r="L1717" t="s">
        <v>9</v>
      </c>
      <c r="M1717" t="s">
        <v>4145</v>
      </c>
      <c r="N1717" t="s">
        <v>3</v>
      </c>
      <c r="O1717" t="s">
        <v>3</v>
      </c>
      <c r="P1717" t="s">
        <v>5</v>
      </c>
      <c r="Q1717" t="s">
        <v>4146</v>
      </c>
      <c r="R1717" t="s">
        <v>3</v>
      </c>
      <c r="S1717" t="s">
        <v>3</v>
      </c>
      <c r="T1717" t="s">
        <v>3</v>
      </c>
      <c r="U1717" t="s">
        <v>3</v>
      </c>
      <c r="V1717" t="s">
        <v>3</v>
      </c>
      <c r="W1717" t="s">
        <v>68</v>
      </c>
      <c r="X1717" s="17">
        <v>44012</v>
      </c>
      <c r="Y1717" t="s">
        <v>4137</v>
      </c>
      <c r="Z1717" s="17">
        <v>43608</v>
      </c>
      <c r="AA1717" t="s">
        <v>3</v>
      </c>
      <c r="AB1717" t="s">
        <v>4144</v>
      </c>
    </row>
    <row r="1718" spans="1:28" hidden="1">
      <c r="A1718" t="s">
        <v>4200</v>
      </c>
      <c r="B1718" s="17">
        <v>43608</v>
      </c>
      <c r="C1718" s="17">
        <v>43608</v>
      </c>
      <c r="D1718" t="s">
        <v>0</v>
      </c>
      <c r="E1718" t="s">
        <v>1</v>
      </c>
      <c r="F1718" s="18">
        <v>24397.8</v>
      </c>
      <c r="G1718" s="18">
        <v>24397.8</v>
      </c>
      <c r="H1718" t="s">
        <v>2</v>
      </c>
      <c r="I1718" t="s">
        <v>8</v>
      </c>
      <c r="J1718" s="18">
        <v>2032336.74</v>
      </c>
      <c r="K1718" t="s">
        <v>4182</v>
      </c>
      <c r="L1718" t="s">
        <v>4</v>
      </c>
      <c r="M1718" t="s">
        <v>4201</v>
      </c>
      <c r="N1718" t="s">
        <v>3</v>
      </c>
      <c r="O1718" t="s">
        <v>3</v>
      </c>
      <c r="P1718" t="s">
        <v>5</v>
      </c>
      <c r="Q1718" t="s">
        <v>4202</v>
      </c>
      <c r="R1718" t="s">
        <v>3</v>
      </c>
      <c r="S1718" t="s">
        <v>3</v>
      </c>
      <c r="T1718" t="s">
        <v>3</v>
      </c>
      <c r="U1718" t="s">
        <v>3</v>
      </c>
      <c r="V1718" t="s">
        <v>3</v>
      </c>
      <c r="W1718" t="s">
        <v>68</v>
      </c>
      <c r="X1718" s="17"/>
      <c r="Y1718" t="s">
        <v>3</v>
      </c>
      <c r="Z1718" s="17">
        <v>43608</v>
      </c>
      <c r="AA1718" t="s">
        <v>3</v>
      </c>
      <c r="AB1718" t="s">
        <v>4200</v>
      </c>
    </row>
    <row r="1719" spans="1:28" hidden="1">
      <c r="A1719" t="s">
        <v>4148</v>
      </c>
      <c r="B1719" s="17">
        <v>43611</v>
      </c>
      <c r="C1719" s="17">
        <v>43611</v>
      </c>
      <c r="D1719" t="s">
        <v>0</v>
      </c>
      <c r="E1719" t="s">
        <v>1</v>
      </c>
      <c r="F1719" s="18">
        <v>642952</v>
      </c>
      <c r="G1719" s="18">
        <v>642952</v>
      </c>
      <c r="H1719" t="s">
        <v>2</v>
      </c>
      <c r="I1719" t="s">
        <v>8</v>
      </c>
      <c r="J1719" s="18">
        <v>53673632.960000001</v>
      </c>
      <c r="K1719" t="s">
        <v>4149</v>
      </c>
      <c r="L1719" t="s">
        <v>9</v>
      </c>
      <c r="M1719" t="s">
        <v>4150</v>
      </c>
      <c r="N1719" t="s">
        <v>3</v>
      </c>
      <c r="O1719" t="s">
        <v>3</v>
      </c>
      <c r="P1719" t="s">
        <v>5</v>
      </c>
      <c r="Q1719" t="s">
        <v>4151</v>
      </c>
      <c r="R1719" t="s">
        <v>3</v>
      </c>
      <c r="S1719" t="s">
        <v>3</v>
      </c>
      <c r="T1719" t="s">
        <v>3</v>
      </c>
      <c r="U1719" t="s">
        <v>3</v>
      </c>
      <c r="V1719" t="s">
        <v>3</v>
      </c>
      <c r="W1719" t="s">
        <v>68</v>
      </c>
      <c r="X1719" s="17">
        <v>43769</v>
      </c>
      <c r="Y1719" t="s">
        <v>4005</v>
      </c>
      <c r="Z1719" s="17">
        <v>43611</v>
      </c>
      <c r="AA1719" t="s">
        <v>3</v>
      </c>
      <c r="AB1719" t="s">
        <v>4148</v>
      </c>
    </row>
    <row r="1720" spans="1:28" hidden="1">
      <c r="A1720" t="s">
        <v>4204</v>
      </c>
      <c r="B1720" s="17">
        <v>43611</v>
      </c>
      <c r="C1720" s="17">
        <v>43611</v>
      </c>
      <c r="D1720" t="s">
        <v>0</v>
      </c>
      <c r="E1720" t="s">
        <v>1</v>
      </c>
      <c r="F1720" s="18">
        <v>8609</v>
      </c>
      <c r="G1720" s="18">
        <v>8609</v>
      </c>
      <c r="H1720" t="s">
        <v>2</v>
      </c>
      <c r="I1720" t="s">
        <v>8</v>
      </c>
      <c r="J1720" s="18">
        <v>718679.32</v>
      </c>
      <c r="K1720" t="s">
        <v>4205</v>
      </c>
      <c r="L1720" t="s">
        <v>9</v>
      </c>
      <c r="M1720" t="s">
        <v>4206</v>
      </c>
      <c r="N1720" t="s">
        <v>3</v>
      </c>
      <c r="O1720" t="s">
        <v>3</v>
      </c>
      <c r="P1720" t="s">
        <v>5</v>
      </c>
      <c r="Q1720" t="s">
        <v>4207</v>
      </c>
      <c r="R1720" t="s">
        <v>3</v>
      </c>
      <c r="S1720" t="s">
        <v>3</v>
      </c>
      <c r="T1720" t="s">
        <v>3</v>
      </c>
      <c r="U1720" t="s">
        <v>3</v>
      </c>
      <c r="V1720" t="s">
        <v>3</v>
      </c>
      <c r="W1720" t="s">
        <v>68</v>
      </c>
      <c r="X1720" s="17">
        <v>44012</v>
      </c>
      <c r="Y1720" t="s">
        <v>4137</v>
      </c>
      <c r="Z1720" s="17">
        <v>43611</v>
      </c>
      <c r="AA1720" t="s">
        <v>3</v>
      </c>
      <c r="AB1720" t="s">
        <v>4204</v>
      </c>
    </row>
    <row r="1721" spans="1:28" hidden="1">
      <c r="A1721" t="s">
        <v>4152</v>
      </c>
      <c r="B1721" s="17">
        <v>43613</v>
      </c>
      <c r="C1721" s="17">
        <v>43613</v>
      </c>
      <c r="D1721" t="s">
        <v>0</v>
      </c>
      <c r="E1721" t="s">
        <v>1</v>
      </c>
      <c r="F1721" s="18">
        <v>-77624</v>
      </c>
      <c r="G1721" s="18">
        <v>-77624</v>
      </c>
      <c r="H1721" t="s">
        <v>2</v>
      </c>
      <c r="I1721" t="s">
        <v>10</v>
      </c>
      <c r="J1721" s="18">
        <v>-6480051.5300000003</v>
      </c>
      <c r="K1721" t="s">
        <v>4153</v>
      </c>
      <c r="L1721" t="s">
        <v>9</v>
      </c>
      <c r="M1721" t="s">
        <v>4154</v>
      </c>
      <c r="N1721" t="s">
        <v>3</v>
      </c>
      <c r="O1721" t="s">
        <v>3</v>
      </c>
      <c r="P1721" t="s">
        <v>5</v>
      </c>
      <c r="Q1721" t="s">
        <v>4155</v>
      </c>
      <c r="R1721" t="s">
        <v>3</v>
      </c>
      <c r="S1721" t="s">
        <v>3</v>
      </c>
      <c r="T1721" t="s">
        <v>3</v>
      </c>
      <c r="U1721" t="s">
        <v>3</v>
      </c>
      <c r="V1721" t="s">
        <v>3</v>
      </c>
      <c r="W1721" t="s">
        <v>68</v>
      </c>
      <c r="X1721" s="17">
        <v>43677</v>
      </c>
      <c r="Y1721" t="s">
        <v>4156</v>
      </c>
      <c r="Z1721" s="17">
        <v>43613</v>
      </c>
      <c r="AA1721" t="s">
        <v>3</v>
      </c>
      <c r="AB1721" t="s">
        <v>4152</v>
      </c>
    </row>
    <row r="1722" spans="1:28" hidden="1">
      <c r="A1722" t="s">
        <v>4157</v>
      </c>
      <c r="B1722" s="17">
        <v>43613</v>
      </c>
      <c r="C1722" s="17">
        <v>43613</v>
      </c>
      <c r="D1722" t="s">
        <v>0</v>
      </c>
      <c r="E1722" t="s">
        <v>1</v>
      </c>
      <c r="F1722" s="18">
        <v>-967040</v>
      </c>
      <c r="G1722" s="18">
        <v>-967040</v>
      </c>
      <c r="H1722" t="s">
        <v>2</v>
      </c>
      <c r="I1722" t="s">
        <v>8</v>
      </c>
      <c r="J1722" s="18">
        <v>-80728499.200000003</v>
      </c>
      <c r="K1722" t="s">
        <v>4158</v>
      </c>
      <c r="L1722" t="s">
        <v>9</v>
      </c>
      <c r="M1722" t="s">
        <v>4154</v>
      </c>
      <c r="N1722" t="s">
        <v>3</v>
      </c>
      <c r="O1722" t="s">
        <v>3</v>
      </c>
      <c r="P1722" t="s">
        <v>5</v>
      </c>
      <c r="Q1722" t="s">
        <v>4159</v>
      </c>
      <c r="R1722" t="s">
        <v>3</v>
      </c>
      <c r="S1722" t="s">
        <v>3</v>
      </c>
      <c r="T1722" t="s">
        <v>3</v>
      </c>
      <c r="U1722" t="s">
        <v>3</v>
      </c>
      <c r="V1722" t="s">
        <v>3</v>
      </c>
      <c r="W1722" t="s">
        <v>68</v>
      </c>
      <c r="X1722" s="17">
        <v>43769</v>
      </c>
      <c r="Y1722" t="s">
        <v>4160</v>
      </c>
      <c r="Z1722" s="17">
        <v>43613</v>
      </c>
      <c r="AA1722" t="s">
        <v>3</v>
      </c>
      <c r="AB1722" t="s">
        <v>4157</v>
      </c>
    </row>
    <row r="1723" spans="1:28" hidden="1">
      <c r="A1723" t="s">
        <v>4161</v>
      </c>
      <c r="B1723" s="17">
        <v>43614</v>
      </c>
      <c r="C1723" s="17">
        <v>43614</v>
      </c>
      <c r="D1723" t="s">
        <v>0</v>
      </c>
      <c r="E1723" t="s">
        <v>1</v>
      </c>
      <c r="F1723" s="18">
        <v>3980</v>
      </c>
      <c r="G1723" s="18">
        <v>3980</v>
      </c>
      <c r="H1723" t="s">
        <v>2</v>
      </c>
      <c r="I1723" t="s">
        <v>10</v>
      </c>
      <c r="J1723" s="18">
        <v>332250.40000000002</v>
      </c>
      <c r="K1723" t="s">
        <v>4162</v>
      </c>
      <c r="L1723" t="s">
        <v>9</v>
      </c>
      <c r="M1723" t="s">
        <v>4163</v>
      </c>
      <c r="N1723" t="s">
        <v>3</v>
      </c>
      <c r="O1723" t="s">
        <v>3</v>
      </c>
      <c r="P1723" t="s">
        <v>5</v>
      </c>
      <c r="Q1723" t="s">
        <v>4164</v>
      </c>
      <c r="R1723" t="s">
        <v>3</v>
      </c>
      <c r="S1723" t="s">
        <v>3</v>
      </c>
      <c r="T1723" t="s">
        <v>3</v>
      </c>
      <c r="U1723" t="s">
        <v>3</v>
      </c>
      <c r="V1723" t="s">
        <v>3</v>
      </c>
      <c r="W1723" t="s">
        <v>68</v>
      </c>
      <c r="X1723" s="17">
        <v>43769</v>
      </c>
      <c r="Y1723" t="s">
        <v>4012</v>
      </c>
      <c r="Z1723" s="17">
        <v>43614</v>
      </c>
      <c r="AA1723" t="s">
        <v>3</v>
      </c>
      <c r="AB1723" t="s">
        <v>4161</v>
      </c>
    </row>
    <row r="1724" spans="1:28" hidden="1">
      <c r="A1724" t="s">
        <v>4165</v>
      </c>
      <c r="B1724" s="17">
        <v>43614</v>
      </c>
      <c r="C1724" s="17">
        <v>43614</v>
      </c>
      <c r="D1724" t="s">
        <v>0</v>
      </c>
      <c r="E1724" t="s">
        <v>1</v>
      </c>
      <c r="F1724" s="18">
        <v>-220829</v>
      </c>
      <c r="G1724" s="18">
        <v>-220829</v>
      </c>
      <c r="H1724" t="s">
        <v>2</v>
      </c>
      <c r="I1724" t="s">
        <v>10</v>
      </c>
      <c r="J1724" s="18">
        <v>-18434804.920000002</v>
      </c>
      <c r="K1724" t="s">
        <v>4166</v>
      </c>
      <c r="L1724" t="s">
        <v>4</v>
      </c>
      <c r="M1724" t="s">
        <v>4167</v>
      </c>
      <c r="N1724" t="s">
        <v>3</v>
      </c>
      <c r="O1724" t="s">
        <v>3</v>
      </c>
      <c r="P1724" t="s">
        <v>5</v>
      </c>
      <c r="Q1724" t="s">
        <v>4168</v>
      </c>
      <c r="R1724" t="s">
        <v>3</v>
      </c>
      <c r="S1724" t="s">
        <v>3</v>
      </c>
      <c r="T1724" t="s">
        <v>3</v>
      </c>
      <c r="U1724" t="s">
        <v>3</v>
      </c>
      <c r="V1724" t="s">
        <v>3</v>
      </c>
      <c r="W1724" t="s">
        <v>68</v>
      </c>
      <c r="X1724" s="17"/>
      <c r="Y1724" t="s">
        <v>3</v>
      </c>
      <c r="Z1724" s="17">
        <v>43614</v>
      </c>
      <c r="AA1724" t="s">
        <v>3</v>
      </c>
      <c r="AB1724" t="s">
        <v>4165</v>
      </c>
    </row>
    <row r="1725" spans="1:28" hidden="1">
      <c r="A1725" t="s">
        <v>4169</v>
      </c>
      <c r="B1725" s="17">
        <v>43614</v>
      </c>
      <c r="C1725" s="17">
        <v>43614</v>
      </c>
      <c r="D1725" t="s">
        <v>0</v>
      </c>
      <c r="E1725" t="s">
        <v>1</v>
      </c>
      <c r="F1725" s="18">
        <v>6275</v>
      </c>
      <c r="G1725" s="18">
        <v>6275</v>
      </c>
      <c r="H1725" t="s">
        <v>2</v>
      </c>
      <c r="I1725" t="s">
        <v>8</v>
      </c>
      <c r="J1725" s="18">
        <v>523837</v>
      </c>
      <c r="K1725" t="s">
        <v>4147</v>
      </c>
      <c r="L1725" t="s">
        <v>9</v>
      </c>
      <c r="M1725" t="s">
        <v>4170</v>
      </c>
      <c r="N1725" t="s">
        <v>3</v>
      </c>
      <c r="O1725" t="s">
        <v>3</v>
      </c>
      <c r="P1725" t="s">
        <v>5</v>
      </c>
      <c r="Q1725" t="s">
        <v>4171</v>
      </c>
      <c r="R1725" t="s">
        <v>3</v>
      </c>
      <c r="S1725" t="s">
        <v>3</v>
      </c>
      <c r="T1725" t="s">
        <v>3</v>
      </c>
      <c r="U1725" t="s">
        <v>3</v>
      </c>
      <c r="V1725" t="s">
        <v>3</v>
      </c>
      <c r="W1725" t="s">
        <v>68</v>
      </c>
      <c r="X1725" s="17">
        <v>44012</v>
      </c>
      <c r="Y1725" t="s">
        <v>4137</v>
      </c>
      <c r="Z1725" s="17">
        <v>43614</v>
      </c>
      <c r="AA1725" t="s">
        <v>3</v>
      </c>
      <c r="AB1725" t="s">
        <v>4169</v>
      </c>
    </row>
    <row r="1726" spans="1:28" hidden="1">
      <c r="A1726" t="s">
        <v>4172</v>
      </c>
      <c r="B1726" s="17">
        <v>43614</v>
      </c>
      <c r="C1726" s="17">
        <v>43614</v>
      </c>
      <c r="D1726" t="s">
        <v>0</v>
      </c>
      <c r="E1726" t="s">
        <v>1</v>
      </c>
      <c r="F1726" s="18">
        <v>15566</v>
      </c>
      <c r="G1726" s="18">
        <v>15566</v>
      </c>
      <c r="H1726" t="s">
        <v>2</v>
      </c>
      <c r="I1726" t="s">
        <v>8</v>
      </c>
      <c r="J1726" s="18">
        <v>1299449.68</v>
      </c>
      <c r="K1726" t="s">
        <v>4147</v>
      </c>
      <c r="L1726" t="s">
        <v>9</v>
      </c>
      <c r="M1726" t="s">
        <v>4173</v>
      </c>
      <c r="N1726" t="s">
        <v>3</v>
      </c>
      <c r="O1726" t="s">
        <v>3</v>
      </c>
      <c r="P1726" t="s">
        <v>5</v>
      </c>
      <c r="Q1726" t="s">
        <v>4174</v>
      </c>
      <c r="R1726" t="s">
        <v>3</v>
      </c>
      <c r="S1726" t="s">
        <v>3</v>
      </c>
      <c r="T1726" t="s">
        <v>3</v>
      </c>
      <c r="U1726" t="s">
        <v>3</v>
      </c>
      <c r="V1726" t="s">
        <v>3</v>
      </c>
      <c r="W1726" t="s">
        <v>68</v>
      </c>
      <c r="X1726" s="17">
        <v>44012</v>
      </c>
      <c r="Y1726" t="s">
        <v>4137</v>
      </c>
      <c r="Z1726" s="17">
        <v>43614</v>
      </c>
      <c r="AA1726" t="s">
        <v>3</v>
      </c>
      <c r="AB1726" t="s">
        <v>4172</v>
      </c>
    </row>
    <row r="1727" spans="1:28" hidden="1">
      <c r="A1727" t="s">
        <v>4175</v>
      </c>
      <c r="B1727" s="17">
        <v>43614</v>
      </c>
      <c r="C1727" s="17">
        <v>43614</v>
      </c>
      <c r="D1727" t="s">
        <v>0</v>
      </c>
      <c r="E1727" t="s">
        <v>1</v>
      </c>
      <c r="F1727" s="18">
        <v>96982</v>
      </c>
      <c r="G1727" s="18">
        <v>96982</v>
      </c>
      <c r="H1727" t="s">
        <v>2</v>
      </c>
      <c r="I1727" t="s">
        <v>8</v>
      </c>
      <c r="J1727" s="18">
        <v>8096057.3600000003</v>
      </c>
      <c r="K1727" t="s">
        <v>4025</v>
      </c>
      <c r="L1727" t="s">
        <v>9</v>
      </c>
      <c r="M1727" t="s">
        <v>4176</v>
      </c>
      <c r="N1727" t="s">
        <v>3</v>
      </c>
      <c r="O1727" t="s">
        <v>3</v>
      </c>
      <c r="P1727" t="s">
        <v>5</v>
      </c>
      <c r="Q1727" t="s">
        <v>4177</v>
      </c>
      <c r="R1727" t="s">
        <v>3</v>
      </c>
      <c r="S1727" t="s">
        <v>3</v>
      </c>
      <c r="T1727" t="s">
        <v>3</v>
      </c>
      <c r="U1727" t="s">
        <v>3</v>
      </c>
      <c r="V1727" t="s">
        <v>3</v>
      </c>
      <c r="W1727" t="s">
        <v>68</v>
      </c>
      <c r="X1727" s="17">
        <v>43769</v>
      </c>
      <c r="Y1727" t="s">
        <v>4005</v>
      </c>
      <c r="Z1727" s="17">
        <v>43614</v>
      </c>
      <c r="AA1727" t="s">
        <v>3</v>
      </c>
      <c r="AB1727" t="s">
        <v>4175</v>
      </c>
    </row>
    <row r="1728" spans="1:28" hidden="1">
      <c r="A1728" t="s">
        <v>4175</v>
      </c>
      <c r="B1728" s="17">
        <v>43614</v>
      </c>
      <c r="C1728" s="17">
        <v>43614</v>
      </c>
      <c r="D1728" t="s">
        <v>0</v>
      </c>
      <c r="E1728" t="s">
        <v>1</v>
      </c>
      <c r="F1728" s="18">
        <v>1484</v>
      </c>
      <c r="G1728" s="18">
        <v>1484</v>
      </c>
      <c r="H1728" t="s">
        <v>2</v>
      </c>
      <c r="I1728" t="s">
        <v>8</v>
      </c>
      <c r="J1728" s="18">
        <v>123884.32</v>
      </c>
      <c r="K1728" t="s">
        <v>4147</v>
      </c>
      <c r="L1728" t="s">
        <v>9</v>
      </c>
      <c r="M1728" t="s">
        <v>4176</v>
      </c>
      <c r="N1728" t="s">
        <v>3</v>
      </c>
      <c r="O1728" t="s">
        <v>3</v>
      </c>
      <c r="P1728" t="s">
        <v>5</v>
      </c>
      <c r="Q1728" t="s">
        <v>4177</v>
      </c>
      <c r="R1728" t="s">
        <v>3</v>
      </c>
      <c r="S1728" t="s">
        <v>3</v>
      </c>
      <c r="T1728" t="s">
        <v>3</v>
      </c>
      <c r="U1728" t="s">
        <v>3</v>
      </c>
      <c r="V1728" t="s">
        <v>3</v>
      </c>
      <c r="W1728" t="s">
        <v>68</v>
      </c>
      <c r="X1728" s="17">
        <v>44012</v>
      </c>
      <c r="Y1728" t="s">
        <v>4137</v>
      </c>
      <c r="Z1728" s="17">
        <v>43614</v>
      </c>
      <c r="AA1728" t="s">
        <v>3</v>
      </c>
      <c r="AB1728" t="s">
        <v>4175</v>
      </c>
    </row>
    <row r="1729" spans="1:28" hidden="1">
      <c r="A1729" t="s">
        <v>4178</v>
      </c>
      <c r="B1729" s="17">
        <v>43615</v>
      </c>
      <c r="C1729" s="17">
        <v>43615</v>
      </c>
      <c r="D1729" t="s">
        <v>0</v>
      </c>
      <c r="E1729" t="s">
        <v>1</v>
      </c>
      <c r="F1729" s="18">
        <v>11899.4</v>
      </c>
      <c r="G1729" s="18">
        <v>11899.4</v>
      </c>
      <c r="H1729" t="s">
        <v>2</v>
      </c>
      <c r="I1729" t="s">
        <v>8</v>
      </c>
      <c r="J1729" s="18">
        <v>990030.08</v>
      </c>
      <c r="K1729" t="s">
        <v>4123</v>
      </c>
      <c r="L1729" t="s">
        <v>4</v>
      </c>
      <c r="M1729" t="s">
        <v>4179</v>
      </c>
      <c r="N1729" t="s">
        <v>3</v>
      </c>
      <c r="O1729" t="s">
        <v>3</v>
      </c>
      <c r="P1729" t="s">
        <v>5</v>
      </c>
      <c r="Q1729" t="s">
        <v>4180</v>
      </c>
      <c r="R1729" t="s">
        <v>3</v>
      </c>
      <c r="S1729" t="s">
        <v>3</v>
      </c>
      <c r="T1729" t="s">
        <v>3</v>
      </c>
      <c r="U1729" t="s">
        <v>3</v>
      </c>
      <c r="V1729" t="s">
        <v>3</v>
      </c>
      <c r="W1729" t="s">
        <v>68</v>
      </c>
      <c r="X1729" s="17"/>
      <c r="Y1729" t="s">
        <v>3</v>
      </c>
      <c r="Z1729" s="17">
        <v>43615</v>
      </c>
      <c r="AA1729" t="s">
        <v>3</v>
      </c>
      <c r="AB1729" t="s">
        <v>4178</v>
      </c>
    </row>
    <row r="1730" spans="1:28" hidden="1">
      <c r="A1730" t="s">
        <v>4181</v>
      </c>
      <c r="B1730" s="17">
        <v>43615</v>
      </c>
      <c r="C1730" s="17">
        <v>43615</v>
      </c>
      <c r="D1730" t="s">
        <v>0</v>
      </c>
      <c r="E1730" t="s">
        <v>1</v>
      </c>
      <c r="F1730" s="18">
        <v>6254.29</v>
      </c>
      <c r="G1730" s="18">
        <v>6254.29</v>
      </c>
      <c r="H1730" t="s">
        <v>2</v>
      </c>
      <c r="I1730" t="s">
        <v>8</v>
      </c>
      <c r="J1730" s="18">
        <v>520982.36</v>
      </c>
      <c r="K1730" t="s">
        <v>4182</v>
      </c>
      <c r="L1730" t="s">
        <v>4</v>
      </c>
      <c r="M1730" t="s">
        <v>4183</v>
      </c>
      <c r="N1730" t="s">
        <v>3</v>
      </c>
      <c r="O1730" t="s">
        <v>3</v>
      </c>
      <c r="P1730" t="s">
        <v>5</v>
      </c>
      <c r="Q1730" t="s">
        <v>4184</v>
      </c>
      <c r="R1730" t="s">
        <v>3</v>
      </c>
      <c r="S1730" t="s">
        <v>3</v>
      </c>
      <c r="T1730" t="s">
        <v>3</v>
      </c>
      <c r="U1730" t="s">
        <v>3</v>
      </c>
      <c r="V1730" t="s">
        <v>3</v>
      </c>
      <c r="W1730" t="s">
        <v>68</v>
      </c>
      <c r="X1730" s="17"/>
      <c r="Y1730" t="s">
        <v>3</v>
      </c>
      <c r="Z1730" s="17">
        <v>43615</v>
      </c>
      <c r="AA1730" t="s">
        <v>3</v>
      </c>
      <c r="AB1730" t="s">
        <v>4181</v>
      </c>
    </row>
    <row r="1731" spans="1:28" hidden="1">
      <c r="A1731" t="s">
        <v>4185</v>
      </c>
      <c r="B1731" s="17">
        <v>43615</v>
      </c>
      <c r="C1731" s="17">
        <v>43615</v>
      </c>
      <c r="D1731" t="s">
        <v>0</v>
      </c>
      <c r="E1731" t="s">
        <v>1</v>
      </c>
      <c r="F1731" s="18">
        <v>-258614</v>
      </c>
      <c r="G1731" s="18">
        <v>-258614</v>
      </c>
      <c r="H1731" t="s">
        <v>2</v>
      </c>
      <c r="I1731" t="s">
        <v>8</v>
      </c>
      <c r="J1731" s="18">
        <v>-21589096.719999999</v>
      </c>
      <c r="K1731" t="s">
        <v>4186</v>
      </c>
      <c r="L1731" t="s">
        <v>4</v>
      </c>
      <c r="M1731" t="s">
        <v>4187</v>
      </c>
      <c r="N1731" t="s">
        <v>3</v>
      </c>
      <c r="O1731" t="s">
        <v>3</v>
      </c>
      <c r="P1731" t="s">
        <v>5</v>
      </c>
      <c r="Q1731" t="s">
        <v>4188</v>
      </c>
      <c r="R1731" t="s">
        <v>3</v>
      </c>
      <c r="S1731" t="s">
        <v>3</v>
      </c>
      <c r="T1731" t="s">
        <v>3</v>
      </c>
      <c r="U1731" t="s">
        <v>3</v>
      </c>
      <c r="V1731" t="s">
        <v>3</v>
      </c>
      <c r="W1731" t="s">
        <v>68</v>
      </c>
      <c r="X1731" s="17"/>
      <c r="Y1731" t="s">
        <v>3</v>
      </c>
      <c r="Z1731" s="17">
        <v>43615</v>
      </c>
      <c r="AA1731" t="s">
        <v>3</v>
      </c>
      <c r="AB1731" t="s">
        <v>4185</v>
      </c>
    </row>
    <row r="1732" spans="1:28" hidden="1">
      <c r="A1732" t="s">
        <v>4190</v>
      </c>
      <c r="B1732" s="17">
        <v>43615</v>
      </c>
      <c r="C1732" s="17">
        <v>43615</v>
      </c>
      <c r="D1732" t="s">
        <v>0</v>
      </c>
      <c r="E1732" t="s">
        <v>1</v>
      </c>
      <c r="F1732" s="18">
        <v>20472.68</v>
      </c>
      <c r="G1732" s="18">
        <v>20472.68</v>
      </c>
      <c r="H1732" t="s">
        <v>2</v>
      </c>
      <c r="I1732" t="s">
        <v>8</v>
      </c>
      <c r="J1732" s="18">
        <v>1709059.33</v>
      </c>
      <c r="K1732" t="s">
        <v>4191</v>
      </c>
      <c r="L1732" t="s">
        <v>4</v>
      </c>
      <c r="M1732" t="s">
        <v>4192</v>
      </c>
      <c r="N1732" t="s">
        <v>3</v>
      </c>
      <c r="O1732" t="s">
        <v>3</v>
      </c>
      <c r="P1732" t="s">
        <v>5</v>
      </c>
      <c r="Q1732" t="s">
        <v>4193</v>
      </c>
      <c r="R1732" t="s">
        <v>3</v>
      </c>
      <c r="S1732" t="s">
        <v>3</v>
      </c>
      <c r="T1732" t="s">
        <v>3</v>
      </c>
      <c r="U1732" t="s">
        <v>3</v>
      </c>
      <c r="V1732" t="s">
        <v>3</v>
      </c>
      <c r="W1732" t="s">
        <v>68</v>
      </c>
      <c r="X1732" s="17"/>
      <c r="Y1732" t="s">
        <v>3</v>
      </c>
      <c r="Z1732" s="17">
        <v>43615</v>
      </c>
      <c r="AA1732" t="s">
        <v>3</v>
      </c>
      <c r="AB1732" t="s">
        <v>4190</v>
      </c>
    </row>
    <row r="1733" spans="1:28" hidden="1">
      <c r="A1733" t="s">
        <v>4190</v>
      </c>
      <c r="B1733" s="17">
        <v>43615</v>
      </c>
      <c r="C1733" s="17">
        <v>43615</v>
      </c>
      <c r="D1733" t="s">
        <v>0</v>
      </c>
      <c r="E1733" t="s">
        <v>1</v>
      </c>
      <c r="F1733" s="18">
        <v>91763</v>
      </c>
      <c r="G1733" s="18">
        <v>91763</v>
      </c>
      <c r="H1733" t="s">
        <v>2</v>
      </c>
      <c r="I1733" t="s">
        <v>8</v>
      </c>
      <c r="J1733" s="18">
        <v>7660375.2400000002</v>
      </c>
      <c r="K1733" t="s">
        <v>4194</v>
      </c>
      <c r="L1733" t="s">
        <v>4</v>
      </c>
      <c r="M1733" t="s">
        <v>4192</v>
      </c>
      <c r="N1733" t="s">
        <v>3</v>
      </c>
      <c r="O1733" t="s">
        <v>3</v>
      </c>
      <c r="P1733" t="s">
        <v>5</v>
      </c>
      <c r="Q1733" t="s">
        <v>4193</v>
      </c>
      <c r="R1733" t="s">
        <v>3</v>
      </c>
      <c r="S1733" t="s">
        <v>3</v>
      </c>
      <c r="T1733" t="s">
        <v>3</v>
      </c>
      <c r="U1733" t="s">
        <v>3</v>
      </c>
      <c r="V1733" t="s">
        <v>3</v>
      </c>
      <c r="W1733" t="s">
        <v>68</v>
      </c>
      <c r="X1733" s="17"/>
      <c r="Y1733" t="s">
        <v>3</v>
      </c>
      <c r="Z1733" s="17">
        <v>43615</v>
      </c>
      <c r="AA1733" t="s">
        <v>3</v>
      </c>
      <c r="AB1733" t="s">
        <v>4190</v>
      </c>
    </row>
    <row r="1734" spans="1:28" hidden="1">
      <c r="A1734" t="s">
        <v>4195</v>
      </c>
      <c r="B1734" s="17">
        <v>43615</v>
      </c>
      <c r="C1734" s="17">
        <v>43615</v>
      </c>
      <c r="D1734" t="s">
        <v>0</v>
      </c>
      <c r="E1734" t="s">
        <v>1</v>
      </c>
      <c r="F1734" s="18">
        <v>79946.990000000005</v>
      </c>
      <c r="G1734" s="18">
        <v>79946.990000000005</v>
      </c>
      <c r="H1734" t="s">
        <v>2</v>
      </c>
      <c r="I1734" t="s">
        <v>10</v>
      </c>
      <c r="J1734" s="18">
        <v>6659584.2699999996</v>
      </c>
      <c r="K1734" t="s">
        <v>4196</v>
      </c>
      <c r="L1734" t="s">
        <v>4</v>
      </c>
      <c r="M1734" t="s">
        <v>4197</v>
      </c>
      <c r="N1734" t="s">
        <v>3</v>
      </c>
      <c r="O1734" t="s">
        <v>3</v>
      </c>
      <c r="P1734" t="s">
        <v>5</v>
      </c>
      <c r="Q1734" t="s">
        <v>4198</v>
      </c>
      <c r="R1734" t="s">
        <v>3</v>
      </c>
      <c r="S1734" t="s">
        <v>3</v>
      </c>
      <c r="T1734" t="s">
        <v>3</v>
      </c>
      <c r="U1734" t="s">
        <v>3</v>
      </c>
      <c r="V1734" t="s">
        <v>3</v>
      </c>
      <c r="W1734" t="s">
        <v>68</v>
      </c>
      <c r="X1734" s="17"/>
      <c r="Y1734" t="s">
        <v>3</v>
      </c>
      <c r="Z1734" s="17">
        <v>43615</v>
      </c>
      <c r="AA1734" t="s">
        <v>3</v>
      </c>
      <c r="AB1734" t="s">
        <v>4195</v>
      </c>
    </row>
    <row r="1735" spans="1:28" hidden="1">
      <c r="A1735" t="s">
        <v>4195</v>
      </c>
      <c r="B1735" s="17">
        <v>43615</v>
      </c>
      <c r="C1735" s="17">
        <v>43615</v>
      </c>
      <c r="D1735" t="s">
        <v>0</v>
      </c>
      <c r="E1735" t="s">
        <v>1</v>
      </c>
      <c r="F1735" s="18">
        <v>135864.82999999999</v>
      </c>
      <c r="G1735" s="18">
        <v>135864.82999999999</v>
      </c>
      <c r="H1735" t="s">
        <v>2</v>
      </c>
      <c r="I1735" t="s">
        <v>10</v>
      </c>
      <c r="J1735" s="18">
        <v>11341996.01</v>
      </c>
      <c r="K1735" t="s">
        <v>4199</v>
      </c>
      <c r="L1735" t="s">
        <v>4</v>
      </c>
      <c r="M1735" t="s">
        <v>4197</v>
      </c>
      <c r="N1735" t="s">
        <v>3</v>
      </c>
      <c r="O1735" t="s">
        <v>3</v>
      </c>
      <c r="P1735" t="s">
        <v>5</v>
      </c>
      <c r="Q1735" t="s">
        <v>4198</v>
      </c>
      <c r="R1735" t="s">
        <v>3</v>
      </c>
      <c r="S1735" t="s">
        <v>3</v>
      </c>
      <c r="T1735" t="s">
        <v>3</v>
      </c>
      <c r="U1735" t="s">
        <v>3</v>
      </c>
      <c r="V1735" t="s">
        <v>3</v>
      </c>
      <c r="W1735" t="s">
        <v>68</v>
      </c>
      <c r="X1735" s="17"/>
      <c r="Y1735" t="s">
        <v>3</v>
      </c>
      <c r="Z1735" s="17">
        <v>43615</v>
      </c>
      <c r="AA1735" t="s">
        <v>3</v>
      </c>
      <c r="AB1735" t="s">
        <v>4195</v>
      </c>
    </row>
    <row r="1736" spans="1:28" hidden="1">
      <c r="A1736" t="s">
        <v>2336</v>
      </c>
      <c r="B1736" s="17">
        <v>43616</v>
      </c>
      <c r="C1736" s="17">
        <v>43616</v>
      </c>
      <c r="D1736" t="s">
        <v>38</v>
      </c>
      <c r="E1736" t="s">
        <v>1</v>
      </c>
      <c r="F1736" s="18">
        <v>-15.63</v>
      </c>
      <c r="G1736" s="18">
        <v>-15.63</v>
      </c>
      <c r="H1736" t="s">
        <v>2</v>
      </c>
      <c r="I1736" t="s">
        <v>8</v>
      </c>
      <c r="J1736" s="18">
        <v>-1305.1099999999999</v>
      </c>
      <c r="K1736" t="s">
        <v>2337</v>
      </c>
      <c r="L1736" t="s">
        <v>4</v>
      </c>
      <c r="M1736" t="s">
        <v>2338</v>
      </c>
      <c r="N1736" t="s">
        <v>3</v>
      </c>
      <c r="O1736" t="s">
        <v>3</v>
      </c>
      <c r="P1736" t="s">
        <v>5</v>
      </c>
      <c r="Q1736" t="s">
        <v>2337</v>
      </c>
      <c r="R1736" t="s">
        <v>3</v>
      </c>
      <c r="S1736" t="s">
        <v>3</v>
      </c>
      <c r="T1736" t="s">
        <v>3</v>
      </c>
      <c r="U1736" t="s">
        <v>3</v>
      </c>
      <c r="V1736" t="s">
        <v>3</v>
      </c>
      <c r="W1736" t="s">
        <v>68</v>
      </c>
      <c r="X1736" s="17">
        <v>43616</v>
      </c>
      <c r="Y1736" t="s">
        <v>2336</v>
      </c>
      <c r="Z1736" s="17">
        <v>43555</v>
      </c>
      <c r="AA1736" t="s">
        <v>3</v>
      </c>
      <c r="AB1736" t="s">
        <v>2336</v>
      </c>
    </row>
    <row r="1737" spans="1:28" hidden="1">
      <c r="A1737" t="s">
        <v>2339</v>
      </c>
      <c r="B1737" s="17">
        <v>43616</v>
      </c>
      <c r="C1737" s="17">
        <v>43616</v>
      </c>
      <c r="D1737" t="s">
        <v>38</v>
      </c>
      <c r="E1737" t="s">
        <v>1</v>
      </c>
      <c r="F1737" s="18">
        <v>-97725.38</v>
      </c>
      <c r="G1737" s="18">
        <v>-97725.38</v>
      </c>
      <c r="H1737" t="s">
        <v>2</v>
      </c>
      <c r="I1737" t="s">
        <v>8</v>
      </c>
      <c r="J1737" s="18">
        <v>-8158114.7199999997</v>
      </c>
      <c r="K1737" t="s">
        <v>2340</v>
      </c>
      <c r="L1737" t="s">
        <v>2332</v>
      </c>
      <c r="M1737" t="s">
        <v>2341</v>
      </c>
      <c r="N1737" t="s">
        <v>3</v>
      </c>
      <c r="O1737" t="s">
        <v>3</v>
      </c>
      <c r="P1737" t="s">
        <v>5</v>
      </c>
      <c r="Q1737" t="s">
        <v>2342</v>
      </c>
      <c r="R1737" t="s">
        <v>3</v>
      </c>
      <c r="S1737" t="s">
        <v>3</v>
      </c>
      <c r="T1737" t="s">
        <v>3</v>
      </c>
      <c r="U1737" t="s">
        <v>3</v>
      </c>
      <c r="V1737" t="s">
        <v>3</v>
      </c>
      <c r="W1737" t="s">
        <v>68</v>
      </c>
      <c r="X1737" s="17">
        <v>43616</v>
      </c>
      <c r="Y1737" t="s">
        <v>2339</v>
      </c>
      <c r="Z1737" s="17">
        <v>43616</v>
      </c>
      <c r="AA1737" t="s">
        <v>3</v>
      </c>
      <c r="AB1737" t="s">
        <v>2339</v>
      </c>
    </row>
    <row r="1738" spans="1:28" hidden="1">
      <c r="A1738" t="s">
        <v>4203</v>
      </c>
      <c r="B1738" s="17">
        <v>43616</v>
      </c>
      <c r="C1738" s="17">
        <v>43616</v>
      </c>
      <c r="D1738" t="s">
        <v>0</v>
      </c>
      <c r="E1738" t="s">
        <v>1</v>
      </c>
      <c r="F1738" s="18">
        <v>97725.38</v>
      </c>
      <c r="G1738" s="18">
        <v>97725.38</v>
      </c>
      <c r="H1738" t="s">
        <v>2</v>
      </c>
      <c r="I1738" t="s">
        <v>8</v>
      </c>
      <c r="J1738" s="18">
        <v>8158114.7199999997</v>
      </c>
      <c r="K1738" t="s">
        <v>2340</v>
      </c>
      <c r="L1738" t="s">
        <v>2332</v>
      </c>
      <c r="M1738" t="s">
        <v>2341</v>
      </c>
      <c r="N1738" t="s">
        <v>3</v>
      </c>
      <c r="O1738" t="s">
        <v>3</v>
      </c>
      <c r="P1738" t="s">
        <v>5</v>
      </c>
      <c r="Q1738" t="s">
        <v>2342</v>
      </c>
      <c r="R1738" t="s">
        <v>3</v>
      </c>
      <c r="S1738" t="s">
        <v>3</v>
      </c>
      <c r="T1738" t="s">
        <v>3</v>
      </c>
      <c r="U1738" t="s">
        <v>3</v>
      </c>
      <c r="V1738" t="s">
        <v>3</v>
      </c>
      <c r="W1738" t="s">
        <v>68</v>
      </c>
      <c r="X1738" s="17">
        <v>43616</v>
      </c>
      <c r="Y1738" t="s">
        <v>2339</v>
      </c>
      <c r="Z1738" s="17">
        <v>43616</v>
      </c>
      <c r="AA1738" t="s">
        <v>3</v>
      </c>
      <c r="AB1738" t="s">
        <v>4203</v>
      </c>
    </row>
    <row r="1739" spans="1:28" hidden="1">
      <c r="A1739" t="s">
        <v>4208</v>
      </c>
      <c r="B1739" s="17">
        <v>43616</v>
      </c>
      <c r="C1739" s="17">
        <v>43616</v>
      </c>
      <c r="D1739" t="s">
        <v>0</v>
      </c>
      <c r="E1739" t="s">
        <v>1</v>
      </c>
      <c r="F1739" s="18">
        <v>15.63</v>
      </c>
      <c r="G1739" s="18">
        <v>15.63</v>
      </c>
      <c r="H1739" t="s">
        <v>2</v>
      </c>
      <c r="I1739" t="s">
        <v>8</v>
      </c>
      <c r="J1739" s="18">
        <v>1305.1099999999999</v>
      </c>
      <c r="K1739" t="s">
        <v>2337</v>
      </c>
      <c r="L1739" t="s">
        <v>4</v>
      </c>
      <c r="M1739" t="s">
        <v>2338</v>
      </c>
      <c r="N1739" t="s">
        <v>3</v>
      </c>
      <c r="O1739" t="s">
        <v>3</v>
      </c>
      <c r="P1739" t="s">
        <v>5</v>
      </c>
      <c r="Q1739" t="s">
        <v>2337</v>
      </c>
      <c r="R1739" t="s">
        <v>3</v>
      </c>
      <c r="S1739" t="s">
        <v>3</v>
      </c>
      <c r="T1739" t="s">
        <v>3</v>
      </c>
      <c r="U1739" t="s">
        <v>3</v>
      </c>
      <c r="V1739" t="s">
        <v>3</v>
      </c>
      <c r="W1739" t="s">
        <v>68</v>
      </c>
      <c r="X1739" s="17">
        <v>43616</v>
      </c>
      <c r="Y1739" t="s">
        <v>2336</v>
      </c>
      <c r="Z1739" s="17">
        <v>43555</v>
      </c>
      <c r="AA1739" t="s">
        <v>3</v>
      </c>
      <c r="AB1739" t="s">
        <v>4208</v>
      </c>
    </row>
    <row r="1740" spans="1:28" hidden="1">
      <c r="A1740" t="s">
        <v>4209</v>
      </c>
      <c r="B1740" s="17">
        <v>43616</v>
      </c>
      <c r="C1740" s="17">
        <v>43616</v>
      </c>
      <c r="D1740" t="s">
        <v>0</v>
      </c>
      <c r="E1740" t="s">
        <v>1</v>
      </c>
      <c r="F1740" s="18">
        <v>-15.63</v>
      </c>
      <c r="G1740" s="18">
        <v>-15.63</v>
      </c>
      <c r="H1740" t="s">
        <v>2</v>
      </c>
      <c r="I1740" t="s">
        <v>8</v>
      </c>
      <c r="J1740" s="18">
        <v>-1305.1099999999999</v>
      </c>
      <c r="K1740" t="s">
        <v>2337</v>
      </c>
      <c r="L1740" t="s">
        <v>2335</v>
      </c>
      <c r="M1740" t="s">
        <v>2338</v>
      </c>
      <c r="N1740" t="s">
        <v>3</v>
      </c>
      <c r="O1740" t="s">
        <v>3</v>
      </c>
      <c r="P1740" t="s">
        <v>5</v>
      </c>
      <c r="Q1740" t="s">
        <v>2337</v>
      </c>
      <c r="R1740" t="s">
        <v>3</v>
      </c>
      <c r="S1740" t="s">
        <v>3</v>
      </c>
      <c r="T1740" t="s">
        <v>3</v>
      </c>
      <c r="U1740" t="s">
        <v>3</v>
      </c>
      <c r="V1740" t="s">
        <v>3</v>
      </c>
      <c r="W1740" t="s">
        <v>68</v>
      </c>
      <c r="X1740" s="17">
        <v>43617</v>
      </c>
      <c r="Y1740" t="s">
        <v>2344</v>
      </c>
      <c r="Z1740" s="17">
        <v>43585</v>
      </c>
      <c r="AA1740" t="s">
        <v>3</v>
      </c>
      <c r="AB1740" t="s">
        <v>4209</v>
      </c>
    </row>
    <row r="1741" spans="1:28" hidden="1">
      <c r="A1741" t="s">
        <v>4304</v>
      </c>
      <c r="B1741" s="17">
        <v>43616</v>
      </c>
      <c r="C1741" s="17">
        <v>43616</v>
      </c>
      <c r="D1741" t="s">
        <v>0</v>
      </c>
      <c r="E1741" t="s">
        <v>1</v>
      </c>
      <c r="F1741" s="18">
        <v>89116.38</v>
      </c>
      <c r="G1741" s="18">
        <v>89116.38</v>
      </c>
      <c r="H1741" t="s">
        <v>2</v>
      </c>
      <c r="I1741" t="s">
        <v>8</v>
      </c>
      <c r="J1741" s="18">
        <v>7439435.4000000004</v>
      </c>
      <c r="K1741" t="s">
        <v>2340</v>
      </c>
      <c r="L1741" t="s">
        <v>2332</v>
      </c>
      <c r="M1741" t="s">
        <v>2341</v>
      </c>
      <c r="N1741" t="s">
        <v>3</v>
      </c>
      <c r="O1741" t="s">
        <v>3</v>
      </c>
      <c r="P1741" t="s">
        <v>5</v>
      </c>
      <c r="Q1741" t="s">
        <v>2342</v>
      </c>
      <c r="R1741" t="s">
        <v>3</v>
      </c>
      <c r="S1741" t="s">
        <v>3</v>
      </c>
      <c r="T1741" t="s">
        <v>3</v>
      </c>
      <c r="U1741" t="s">
        <v>3</v>
      </c>
      <c r="V1741" t="s">
        <v>3</v>
      </c>
      <c r="W1741" t="s">
        <v>68</v>
      </c>
      <c r="X1741" s="17">
        <v>43617</v>
      </c>
      <c r="Y1741" t="s">
        <v>2343</v>
      </c>
      <c r="Z1741" s="17">
        <v>43616</v>
      </c>
      <c r="AA1741" t="s">
        <v>3</v>
      </c>
      <c r="AB1741" t="s">
        <v>4304</v>
      </c>
    </row>
    <row r="1742" spans="1:28" hidden="1">
      <c r="A1742" t="s">
        <v>2343</v>
      </c>
      <c r="B1742" s="17">
        <v>43617</v>
      </c>
      <c r="C1742" s="17">
        <v>43616</v>
      </c>
      <c r="D1742" t="s">
        <v>38</v>
      </c>
      <c r="E1742" t="s">
        <v>1</v>
      </c>
      <c r="F1742" s="18">
        <v>-89116.38</v>
      </c>
      <c r="G1742" s="18">
        <v>-89116.38</v>
      </c>
      <c r="H1742" t="s">
        <v>2</v>
      </c>
      <c r="I1742" t="s">
        <v>8</v>
      </c>
      <c r="J1742" s="18">
        <v>-7439435.4000000004</v>
      </c>
      <c r="K1742" t="s">
        <v>2340</v>
      </c>
      <c r="L1742" t="s">
        <v>2332</v>
      </c>
      <c r="M1742" t="s">
        <v>2341</v>
      </c>
      <c r="N1742" t="s">
        <v>3</v>
      </c>
      <c r="O1742" t="s">
        <v>3</v>
      </c>
      <c r="P1742" t="s">
        <v>5</v>
      </c>
      <c r="Q1742" t="s">
        <v>2342</v>
      </c>
      <c r="R1742" t="s">
        <v>3</v>
      </c>
      <c r="S1742" t="s">
        <v>3</v>
      </c>
      <c r="T1742" t="s">
        <v>3</v>
      </c>
      <c r="U1742" t="s">
        <v>3</v>
      </c>
      <c r="V1742" t="s">
        <v>3</v>
      </c>
      <c r="W1742" t="s">
        <v>68</v>
      </c>
      <c r="X1742" s="17">
        <v>43617</v>
      </c>
      <c r="Y1742" t="s">
        <v>2343</v>
      </c>
      <c r="Z1742" s="17">
        <v>43616</v>
      </c>
      <c r="AA1742" t="s">
        <v>3</v>
      </c>
      <c r="AB1742" t="s">
        <v>2343</v>
      </c>
    </row>
    <row r="1743" spans="1:28" hidden="1">
      <c r="A1743" t="s">
        <v>2344</v>
      </c>
      <c r="B1743" s="17">
        <v>43617</v>
      </c>
      <c r="C1743" s="17">
        <v>43616</v>
      </c>
      <c r="D1743" t="s">
        <v>38</v>
      </c>
      <c r="E1743" t="s">
        <v>1</v>
      </c>
      <c r="F1743" s="18">
        <v>15.63</v>
      </c>
      <c r="G1743" s="18">
        <v>15.63</v>
      </c>
      <c r="H1743" t="s">
        <v>2</v>
      </c>
      <c r="I1743" t="s">
        <v>8</v>
      </c>
      <c r="J1743" s="18">
        <v>1305.1099999999999</v>
      </c>
      <c r="K1743" t="s">
        <v>2337</v>
      </c>
      <c r="L1743" t="s">
        <v>2335</v>
      </c>
      <c r="M1743" t="s">
        <v>2338</v>
      </c>
      <c r="N1743" t="s">
        <v>3</v>
      </c>
      <c r="O1743" t="s">
        <v>3</v>
      </c>
      <c r="P1743" t="s">
        <v>5</v>
      </c>
      <c r="Q1743" t="s">
        <v>2337</v>
      </c>
      <c r="R1743" t="s">
        <v>3</v>
      </c>
      <c r="S1743" t="s">
        <v>3</v>
      </c>
      <c r="T1743" t="s">
        <v>3</v>
      </c>
      <c r="U1743" t="s">
        <v>3</v>
      </c>
      <c r="V1743" t="s">
        <v>3</v>
      </c>
      <c r="W1743" t="s">
        <v>68</v>
      </c>
      <c r="X1743" s="17">
        <v>43617</v>
      </c>
      <c r="Y1743" t="s">
        <v>2344</v>
      </c>
      <c r="Z1743" s="17">
        <v>43585</v>
      </c>
      <c r="AA1743" t="s">
        <v>3</v>
      </c>
      <c r="AB1743" t="s">
        <v>2344</v>
      </c>
    </row>
    <row r="1744" spans="1:28" hidden="1">
      <c r="A1744" t="s">
        <v>4210</v>
      </c>
      <c r="B1744" s="17">
        <v>43619</v>
      </c>
      <c r="C1744" s="17">
        <v>43619</v>
      </c>
      <c r="D1744" t="s">
        <v>0</v>
      </c>
      <c r="E1744" t="s">
        <v>1</v>
      </c>
      <c r="F1744" s="18">
        <v>22</v>
      </c>
      <c r="G1744" s="18">
        <v>22</v>
      </c>
      <c r="H1744" t="s">
        <v>2</v>
      </c>
      <c r="I1744" t="s">
        <v>10</v>
      </c>
      <c r="J1744" s="18">
        <v>1832.6</v>
      </c>
      <c r="K1744" t="s">
        <v>4211</v>
      </c>
      <c r="L1744" t="s">
        <v>9</v>
      </c>
      <c r="M1744" t="s">
        <v>4212</v>
      </c>
      <c r="N1744" t="s">
        <v>3</v>
      </c>
      <c r="O1744" t="s">
        <v>3</v>
      </c>
      <c r="P1744" t="s">
        <v>5</v>
      </c>
      <c r="Q1744" t="s">
        <v>4213</v>
      </c>
      <c r="R1744" t="s">
        <v>3</v>
      </c>
      <c r="S1744" t="s">
        <v>3</v>
      </c>
      <c r="T1744" t="s">
        <v>3</v>
      </c>
      <c r="U1744" t="s">
        <v>3</v>
      </c>
      <c r="V1744" t="s">
        <v>3</v>
      </c>
      <c r="W1744" t="s">
        <v>68</v>
      </c>
      <c r="X1744" s="17">
        <v>43646</v>
      </c>
      <c r="Y1744" t="s">
        <v>2518</v>
      </c>
      <c r="Z1744" s="17">
        <v>43619</v>
      </c>
      <c r="AA1744" t="s">
        <v>3</v>
      </c>
      <c r="AB1744" t="s">
        <v>4210</v>
      </c>
    </row>
    <row r="1745" spans="1:28" hidden="1">
      <c r="A1745" t="s">
        <v>4214</v>
      </c>
      <c r="B1745" s="17">
        <v>43619</v>
      </c>
      <c r="C1745" s="17">
        <v>43619</v>
      </c>
      <c r="D1745" t="s">
        <v>0</v>
      </c>
      <c r="E1745" t="s">
        <v>1</v>
      </c>
      <c r="F1745" s="18">
        <v>22131</v>
      </c>
      <c r="G1745" s="18">
        <v>22131</v>
      </c>
      <c r="H1745" t="s">
        <v>2</v>
      </c>
      <c r="I1745" t="s">
        <v>8</v>
      </c>
      <c r="J1745" s="18">
        <v>1847495.88</v>
      </c>
      <c r="K1745" t="s">
        <v>4215</v>
      </c>
      <c r="L1745" t="s">
        <v>9</v>
      </c>
      <c r="M1745" t="s">
        <v>4216</v>
      </c>
      <c r="N1745" t="s">
        <v>3</v>
      </c>
      <c r="O1745" t="s">
        <v>3</v>
      </c>
      <c r="P1745" t="s">
        <v>5</v>
      </c>
      <c r="Q1745" t="s">
        <v>4217</v>
      </c>
      <c r="R1745" t="s">
        <v>3</v>
      </c>
      <c r="S1745" t="s">
        <v>3</v>
      </c>
      <c r="T1745" t="s">
        <v>3</v>
      </c>
      <c r="U1745" t="s">
        <v>3</v>
      </c>
      <c r="V1745" t="s">
        <v>3</v>
      </c>
      <c r="W1745" t="s">
        <v>68</v>
      </c>
      <c r="X1745" s="17">
        <v>43769</v>
      </c>
      <c r="Y1745" t="s">
        <v>4005</v>
      </c>
      <c r="Z1745" s="17">
        <v>43619</v>
      </c>
      <c r="AA1745" t="s">
        <v>3</v>
      </c>
      <c r="AB1745" t="s">
        <v>4214</v>
      </c>
    </row>
    <row r="1746" spans="1:28" hidden="1">
      <c r="A1746" t="s">
        <v>4214</v>
      </c>
      <c r="B1746" s="17">
        <v>43619</v>
      </c>
      <c r="C1746" s="17">
        <v>43619</v>
      </c>
      <c r="D1746" t="s">
        <v>0</v>
      </c>
      <c r="E1746" t="s">
        <v>1</v>
      </c>
      <c r="F1746" s="18">
        <v>54684</v>
      </c>
      <c r="G1746" s="18">
        <v>54684</v>
      </c>
      <c r="H1746" t="s">
        <v>2</v>
      </c>
      <c r="I1746" t="s">
        <v>8</v>
      </c>
      <c r="J1746" s="18">
        <v>4565020.32</v>
      </c>
      <c r="K1746" t="s">
        <v>4218</v>
      </c>
      <c r="L1746" t="s">
        <v>9</v>
      </c>
      <c r="M1746" t="s">
        <v>4216</v>
      </c>
      <c r="N1746" t="s">
        <v>3</v>
      </c>
      <c r="O1746" t="s">
        <v>3</v>
      </c>
      <c r="P1746" t="s">
        <v>5</v>
      </c>
      <c r="Q1746" t="s">
        <v>4217</v>
      </c>
      <c r="R1746" t="s">
        <v>3</v>
      </c>
      <c r="S1746" t="s">
        <v>3</v>
      </c>
      <c r="T1746" t="s">
        <v>3</v>
      </c>
      <c r="U1746" t="s">
        <v>3</v>
      </c>
      <c r="V1746" t="s">
        <v>3</v>
      </c>
      <c r="W1746" t="s">
        <v>68</v>
      </c>
      <c r="X1746" s="17">
        <v>43769</v>
      </c>
      <c r="Y1746" t="s">
        <v>4160</v>
      </c>
      <c r="Z1746" s="17">
        <v>43619</v>
      </c>
      <c r="AA1746" t="s">
        <v>3</v>
      </c>
      <c r="AB1746" t="s">
        <v>4214</v>
      </c>
    </row>
    <row r="1747" spans="1:28" hidden="1">
      <c r="A1747" t="s">
        <v>4214</v>
      </c>
      <c r="B1747" s="17">
        <v>43619</v>
      </c>
      <c r="C1747" s="17">
        <v>43619</v>
      </c>
      <c r="D1747" t="s">
        <v>0</v>
      </c>
      <c r="E1747" t="s">
        <v>1</v>
      </c>
      <c r="F1747" s="18">
        <v>4818</v>
      </c>
      <c r="G1747" s="18">
        <v>4818</v>
      </c>
      <c r="H1747" t="s">
        <v>2</v>
      </c>
      <c r="I1747" t="s">
        <v>8</v>
      </c>
      <c r="J1747" s="18">
        <v>402206.64</v>
      </c>
      <c r="K1747" t="s">
        <v>4205</v>
      </c>
      <c r="L1747" t="s">
        <v>9</v>
      </c>
      <c r="M1747" t="s">
        <v>4216</v>
      </c>
      <c r="N1747" t="s">
        <v>3</v>
      </c>
      <c r="O1747" t="s">
        <v>3</v>
      </c>
      <c r="P1747" t="s">
        <v>5</v>
      </c>
      <c r="Q1747" t="s">
        <v>4217</v>
      </c>
      <c r="R1747" t="s">
        <v>3</v>
      </c>
      <c r="S1747" t="s">
        <v>3</v>
      </c>
      <c r="T1747" t="s">
        <v>3</v>
      </c>
      <c r="U1747" t="s">
        <v>3</v>
      </c>
      <c r="V1747" t="s">
        <v>3</v>
      </c>
      <c r="W1747" t="s">
        <v>68</v>
      </c>
      <c r="X1747" s="17">
        <v>44012</v>
      </c>
      <c r="Y1747" t="s">
        <v>4137</v>
      </c>
      <c r="Z1747" s="17">
        <v>43619</v>
      </c>
      <c r="AA1747" t="s">
        <v>3</v>
      </c>
      <c r="AB1747" t="s">
        <v>4214</v>
      </c>
    </row>
    <row r="1748" spans="1:28" hidden="1">
      <c r="A1748" t="s">
        <v>4219</v>
      </c>
      <c r="B1748" s="17">
        <v>43619</v>
      </c>
      <c r="C1748" s="17">
        <v>43619</v>
      </c>
      <c r="D1748" t="s">
        <v>0</v>
      </c>
      <c r="E1748" t="s">
        <v>1</v>
      </c>
      <c r="F1748" s="18">
        <v>7515</v>
      </c>
      <c r="G1748" s="18">
        <v>7515</v>
      </c>
      <c r="H1748" t="s">
        <v>2</v>
      </c>
      <c r="I1748" t="s">
        <v>8</v>
      </c>
      <c r="J1748" s="18">
        <v>627352.19999999995</v>
      </c>
      <c r="K1748" t="s">
        <v>4218</v>
      </c>
      <c r="L1748" t="s">
        <v>9</v>
      </c>
      <c r="M1748" t="s">
        <v>4220</v>
      </c>
      <c r="N1748" t="s">
        <v>3</v>
      </c>
      <c r="O1748" t="s">
        <v>3</v>
      </c>
      <c r="P1748" t="s">
        <v>5</v>
      </c>
      <c r="Q1748" t="s">
        <v>4221</v>
      </c>
      <c r="R1748" t="s">
        <v>3</v>
      </c>
      <c r="S1748" t="s">
        <v>3</v>
      </c>
      <c r="T1748" t="s">
        <v>3</v>
      </c>
      <c r="U1748" t="s">
        <v>3</v>
      </c>
      <c r="V1748" t="s">
        <v>3</v>
      </c>
      <c r="W1748" t="s">
        <v>68</v>
      </c>
      <c r="X1748" s="17">
        <v>43769</v>
      </c>
      <c r="Y1748" t="s">
        <v>4160</v>
      </c>
      <c r="Z1748" s="17">
        <v>43619</v>
      </c>
      <c r="AA1748" t="s">
        <v>3</v>
      </c>
      <c r="AB1748" t="s">
        <v>4219</v>
      </c>
    </row>
    <row r="1749" spans="1:28" hidden="1">
      <c r="A1749" t="s">
        <v>4222</v>
      </c>
      <c r="B1749" s="17">
        <v>43628</v>
      </c>
      <c r="C1749" s="17">
        <v>43628</v>
      </c>
      <c r="D1749" t="s">
        <v>0</v>
      </c>
      <c r="E1749" t="s">
        <v>1</v>
      </c>
      <c r="F1749" s="18">
        <v>10565</v>
      </c>
      <c r="G1749" s="18">
        <v>10565</v>
      </c>
      <c r="H1749" t="s">
        <v>2</v>
      </c>
      <c r="I1749" t="s">
        <v>10</v>
      </c>
      <c r="J1749" s="18">
        <v>881966.2</v>
      </c>
      <c r="K1749" t="s">
        <v>4223</v>
      </c>
      <c r="L1749" t="s">
        <v>9</v>
      </c>
      <c r="M1749" t="s">
        <v>4224</v>
      </c>
      <c r="N1749" t="s">
        <v>3</v>
      </c>
      <c r="O1749" t="s">
        <v>3</v>
      </c>
      <c r="P1749" t="s">
        <v>5</v>
      </c>
      <c r="Q1749" t="s">
        <v>4225</v>
      </c>
      <c r="R1749" t="s">
        <v>3</v>
      </c>
      <c r="S1749" t="s">
        <v>3</v>
      </c>
      <c r="T1749" t="s">
        <v>3</v>
      </c>
      <c r="U1749" t="s">
        <v>3</v>
      </c>
      <c r="V1749" t="s">
        <v>3</v>
      </c>
      <c r="W1749" t="s">
        <v>68</v>
      </c>
      <c r="X1749" s="17">
        <v>43677</v>
      </c>
      <c r="Y1749" t="s">
        <v>4156</v>
      </c>
      <c r="Z1749" s="17">
        <v>43628</v>
      </c>
      <c r="AA1749" t="s">
        <v>3</v>
      </c>
      <c r="AB1749" t="s">
        <v>4222</v>
      </c>
    </row>
    <row r="1750" spans="1:28" hidden="1">
      <c r="A1750" t="s">
        <v>4226</v>
      </c>
      <c r="B1750" s="17">
        <v>43628</v>
      </c>
      <c r="C1750" s="17">
        <v>43628</v>
      </c>
      <c r="D1750" t="s">
        <v>0</v>
      </c>
      <c r="E1750" t="s">
        <v>1</v>
      </c>
      <c r="F1750" s="18">
        <v>12707</v>
      </c>
      <c r="G1750" s="18">
        <v>12707</v>
      </c>
      <c r="H1750" t="s">
        <v>2</v>
      </c>
      <c r="I1750" t="s">
        <v>10</v>
      </c>
      <c r="J1750" s="18">
        <v>1060780.3600000001</v>
      </c>
      <c r="K1750" t="s">
        <v>4227</v>
      </c>
      <c r="L1750" t="s">
        <v>9</v>
      </c>
      <c r="M1750" t="s">
        <v>4228</v>
      </c>
      <c r="N1750" t="s">
        <v>3</v>
      </c>
      <c r="O1750" t="s">
        <v>3</v>
      </c>
      <c r="P1750" t="s">
        <v>5</v>
      </c>
      <c r="Q1750" t="s">
        <v>4229</v>
      </c>
      <c r="R1750" t="s">
        <v>3</v>
      </c>
      <c r="S1750" t="s">
        <v>3</v>
      </c>
      <c r="T1750" t="s">
        <v>3</v>
      </c>
      <c r="U1750" t="s">
        <v>3</v>
      </c>
      <c r="V1750" t="s">
        <v>3</v>
      </c>
      <c r="W1750" t="s">
        <v>68</v>
      </c>
      <c r="X1750" s="17">
        <v>43769</v>
      </c>
      <c r="Y1750" t="s">
        <v>4012</v>
      </c>
      <c r="Z1750" s="17">
        <v>43628</v>
      </c>
      <c r="AA1750" t="s">
        <v>3</v>
      </c>
      <c r="AB1750" t="s">
        <v>4226</v>
      </c>
    </row>
    <row r="1751" spans="1:28" hidden="1">
      <c r="A1751" t="s">
        <v>4238</v>
      </c>
      <c r="B1751" s="17">
        <v>43628</v>
      </c>
      <c r="C1751" s="17">
        <v>43628</v>
      </c>
      <c r="D1751" t="s">
        <v>0</v>
      </c>
      <c r="E1751" t="s">
        <v>1</v>
      </c>
      <c r="F1751" s="18">
        <v>13668.18</v>
      </c>
      <c r="G1751" s="18">
        <v>13668.18</v>
      </c>
      <c r="H1751" t="s">
        <v>2</v>
      </c>
      <c r="I1751" t="s">
        <v>8</v>
      </c>
      <c r="J1751" s="18">
        <v>1138559.3899999999</v>
      </c>
      <c r="K1751" t="s">
        <v>4042</v>
      </c>
      <c r="L1751" t="s">
        <v>4</v>
      </c>
      <c r="M1751" t="s">
        <v>4239</v>
      </c>
      <c r="N1751" t="s">
        <v>3</v>
      </c>
      <c r="O1751" t="s">
        <v>3</v>
      </c>
      <c r="P1751" t="s">
        <v>5</v>
      </c>
      <c r="Q1751" t="s">
        <v>4240</v>
      </c>
      <c r="R1751" t="s">
        <v>3</v>
      </c>
      <c r="S1751" t="s">
        <v>3</v>
      </c>
      <c r="T1751" t="s">
        <v>3</v>
      </c>
      <c r="U1751" t="s">
        <v>3</v>
      </c>
      <c r="V1751" t="s">
        <v>3</v>
      </c>
      <c r="W1751" t="s">
        <v>68</v>
      </c>
      <c r="X1751" s="17"/>
      <c r="Y1751" t="s">
        <v>3</v>
      </c>
      <c r="Z1751" s="17">
        <v>43628</v>
      </c>
      <c r="AA1751" t="s">
        <v>3</v>
      </c>
      <c r="AB1751" t="s">
        <v>4238</v>
      </c>
    </row>
    <row r="1752" spans="1:28" hidden="1">
      <c r="A1752" t="s">
        <v>4238</v>
      </c>
      <c r="B1752" s="17">
        <v>43628</v>
      </c>
      <c r="C1752" s="17">
        <v>43628</v>
      </c>
      <c r="D1752" t="s">
        <v>0</v>
      </c>
      <c r="E1752" t="s">
        <v>1</v>
      </c>
      <c r="F1752" s="18">
        <v>214239.08</v>
      </c>
      <c r="G1752" s="18">
        <v>214239.08</v>
      </c>
      <c r="H1752" t="s">
        <v>2</v>
      </c>
      <c r="I1752" t="s">
        <v>8</v>
      </c>
      <c r="J1752" s="18">
        <v>17824691.460000001</v>
      </c>
      <c r="K1752" t="s">
        <v>4241</v>
      </c>
      <c r="L1752" t="s">
        <v>4</v>
      </c>
      <c r="M1752" t="s">
        <v>4239</v>
      </c>
      <c r="N1752" t="s">
        <v>3</v>
      </c>
      <c r="O1752" t="s">
        <v>3</v>
      </c>
      <c r="P1752" t="s">
        <v>5</v>
      </c>
      <c r="Q1752" t="s">
        <v>4240</v>
      </c>
      <c r="R1752" t="s">
        <v>3</v>
      </c>
      <c r="S1752" t="s">
        <v>3</v>
      </c>
      <c r="T1752" t="s">
        <v>3</v>
      </c>
      <c r="U1752" t="s">
        <v>3</v>
      </c>
      <c r="V1752" t="s">
        <v>3</v>
      </c>
      <c r="W1752" t="s">
        <v>68</v>
      </c>
      <c r="X1752" s="17"/>
      <c r="Y1752" t="s">
        <v>3</v>
      </c>
      <c r="Z1752" s="17">
        <v>43628</v>
      </c>
      <c r="AA1752" t="s">
        <v>3</v>
      </c>
      <c r="AB1752" t="s">
        <v>4238</v>
      </c>
    </row>
    <row r="1753" spans="1:28" hidden="1">
      <c r="A1753" t="s">
        <v>4242</v>
      </c>
      <c r="B1753" s="17">
        <v>43628</v>
      </c>
      <c r="C1753" s="17">
        <v>43628</v>
      </c>
      <c r="D1753" t="s">
        <v>0</v>
      </c>
      <c r="E1753" t="s">
        <v>1</v>
      </c>
      <c r="F1753" s="18">
        <v>51829</v>
      </c>
      <c r="G1753" s="18">
        <v>51829</v>
      </c>
      <c r="H1753" t="s">
        <v>2</v>
      </c>
      <c r="I1753" t="s">
        <v>8</v>
      </c>
      <c r="J1753" s="18">
        <v>4326684.92</v>
      </c>
      <c r="K1753" t="s">
        <v>4243</v>
      </c>
      <c r="L1753" t="s">
        <v>9</v>
      </c>
      <c r="M1753" t="s">
        <v>4244</v>
      </c>
      <c r="N1753" t="s">
        <v>3</v>
      </c>
      <c r="O1753" t="s">
        <v>3</v>
      </c>
      <c r="P1753" t="s">
        <v>5</v>
      </c>
      <c r="Q1753" t="s">
        <v>4245</v>
      </c>
      <c r="R1753" t="s">
        <v>3</v>
      </c>
      <c r="S1753" t="s">
        <v>3</v>
      </c>
      <c r="T1753" t="s">
        <v>3</v>
      </c>
      <c r="U1753" t="s">
        <v>3</v>
      </c>
      <c r="V1753" t="s">
        <v>3</v>
      </c>
      <c r="W1753" t="s">
        <v>68</v>
      </c>
      <c r="X1753" s="17">
        <v>43769</v>
      </c>
      <c r="Y1753" t="s">
        <v>4160</v>
      </c>
      <c r="Z1753" s="17">
        <v>43628</v>
      </c>
      <c r="AA1753" t="s">
        <v>3</v>
      </c>
      <c r="AB1753" t="s">
        <v>4242</v>
      </c>
    </row>
    <row r="1754" spans="1:28" hidden="1">
      <c r="A1754" t="s">
        <v>4246</v>
      </c>
      <c r="B1754" s="17">
        <v>43628</v>
      </c>
      <c r="C1754" s="17">
        <v>43628</v>
      </c>
      <c r="D1754" t="s">
        <v>0</v>
      </c>
      <c r="E1754" t="s">
        <v>1</v>
      </c>
      <c r="F1754" s="18">
        <v>10479</v>
      </c>
      <c r="G1754" s="18">
        <v>10479</v>
      </c>
      <c r="H1754" t="s">
        <v>2</v>
      </c>
      <c r="I1754" t="s">
        <v>8</v>
      </c>
      <c r="J1754" s="18">
        <v>872900.7</v>
      </c>
      <c r="K1754" t="s">
        <v>4038</v>
      </c>
      <c r="L1754" t="s">
        <v>9</v>
      </c>
      <c r="M1754" t="s">
        <v>4247</v>
      </c>
      <c r="N1754" t="s">
        <v>3</v>
      </c>
      <c r="O1754" t="s">
        <v>3</v>
      </c>
      <c r="P1754" t="s">
        <v>5</v>
      </c>
      <c r="Q1754" t="s">
        <v>4248</v>
      </c>
      <c r="R1754" t="s">
        <v>3</v>
      </c>
      <c r="S1754" t="s">
        <v>3</v>
      </c>
      <c r="T1754" t="s">
        <v>3</v>
      </c>
      <c r="U1754" t="s">
        <v>3</v>
      </c>
      <c r="V1754" t="s">
        <v>3</v>
      </c>
      <c r="W1754" t="s">
        <v>68</v>
      </c>
      <c r="X1754" s="17">
        <v>43646</v>
      </c>
      <c r="Y1754" t="s">
        <v>2510</v>
      </c>
      <c r="Z1754" s="17">
        <v>43628</v>
      </c>
      <c r="AA1754" t="s">
        <v>3</v>
      </c>
      <c r="AB1754" t="s">
        <v>4246</v>
      </c>
    </row>
    <row r="1755" spans="1:28" hidden="1">
      <c r="A1755" t="s">
        <v>4249</v>
      </c>
      <c r="B1755" s="17">
        <v>43628</v>
      </c>
      <c r="C1755" s="17">
        <v>43628</v>
      </c>
      <c r="D1755" t="s">
        <v>0</v>
      </c>
      <c r="E1755" t="s">
        <v>1</v>
      </c>
      <c r="F1755" s="18">
        <v>2868</v>
      </c>
      <c r="G1755" s="18">
        <v>2868</v>
      </c>
      <c r="H1755" t="s">
        <v>2</v>
      </c>
      <c r="I1755" t="s">
        <v>8</v>
      </c>
      <c r="J1755" s="18">
        <v>239420.64</v>
      </c>
      <c r="K1755" t="s">
        <v>4250</v>
      </c>
      <c r="L1755" t="s">
        <v>9</v>
      </c>
      <c r="M1755" t="s">
        <v>4251</v>
      </c>
      <c r="N1755" t="s">
        <v>3</v>
      </c>
      <c r="O1755" t="s">
        <v>3</v>
      </c>
      <c r="P1755" t="s">
        <v>5</v>
      </c>
      <c r="Q1755" t="s">
        <v>4252</v>
      </c>
      <c r="R1755" t="s">
        <v>3</v>
      </c>
      <c r="S1755" t="s">
        <v>3</v>
      </c>
      <c r="T1755" t="s">
        <v>3</v>
      </c>
      <c r="U1755" t="s">
        <v>3</v>
      </c>
      <c r="V1755" t="s">
        <v>3</v>
      </c>
      <c r="W1755" t="s">
        <v>68</v>
      </c>
      <c r="X1755" s="17">
        <v>44012</v>
      </c>
      <c r="Y1755" t="s">
        <v>4137</v>
      </c>
      <c r="Z1755" s="17">
        <v>43628</v>
      </c>
      <c r="AA1755" t="s">
        <v>3</v>
      </c>
      <c r="AB1755" t="s">
        <v>4249</v>
      </c>
    </row>
    <row r="1756" spans="1:28" hidden="1">
      <c r="A1756" t="s">
        <v>4305</v>
      </c>
      <c r="B1756" s="17">
        <v>43628</v>
      </c>
      <c r="C1756" s="17">
        <v>43628</v>
      </c>
      <c r="D1756" t="s">
        <v>0</v>
      </c>
      <c r="E1756" t="s">
        <v>1</v>
      </c>
      <c r="F1756" s="18">
        <v>37982</v>
      </c>
      <c r="G1756" s="18">
        <v>37982</v>
      </c>
      <c r="H1756" t="s">
        <v>2</v>
      </c>
      <c r="I1756" t="s">
        <v>8</v>
      </c>
      <c r="J1756" s="18">
        <v>3170737.36</v>
      </c>
      <c r="K1756" t="s">
        <v>4113</v>
      </c>
      <c r="L1756" t="s">
        <v>9</v>
      </c>
      <c r="M1756" t="s">
        <v>4306</v>
      </c>
      <c r="N1756" t="s">
        <v>3</v>
      </c>
      <c r="O1756" t="s">
        <v>3</v>
      </c>
      <c r="P1756" t="s">
        <v>5</v>
      </c>
      <c r="Q1756" t="s">
        <v>4307</v>
      </c>
      <c r="R1756" t="s">
        <v>3</v>
      </c>
      <c r="S1756" t="s">
        <v>3</v>
      </c>
      <c r="T1756" t="s">
        <v>3</v>
      </c>
      <c r="U1756" t="s">
        <v>3</v>
      </c>
      <c r="V1756" t="s">
        <v>3</v>
      </c>
      <c r="W1756" t="s">
        <v>68</v>
      </c>
      <c r="X1756" s="17">
        <v>43769</v>
      </c>
      <c r="Y1756" t="s">
        <v>4005</v>
      </c>
      <c r="Z1756" s="17">
        <v>43628</v>
      </c>
      <c r="AA1756" t="s">
        <v>3</v>
      </c>
      <c r="AB1756" t="s">
        <v>4305</v>
      </c>
    </row>
    <row r="1757" spans="1:28" hidden="1">
      <c r="A1757" t="s">
        <v>4305</v>
      </c>
      <c r="B1757" s="17">
        <v>43628</v>
      </c>
      <c r="C1757" s="17">
        <v>43628</v>
      </c>
      <c r="D1757" t="s">
        <v>0</v>
      </c>
      <c r="E1757" t="s">
        <v>1</v>
      </c>
      <c r="F1757" s="18">
        <v>26558</v>
      </c>
      <c r="G1757" s="18">
        <v>26558</v>
      </c>
      <c r="H1757" t="s">
        <v>2</v>
      </c>
      <c r="I1757" t="s">
        <v>8</v>
      </c>
      <c r="J1757" s="18">
        <v>2212281.4</v>
      </c>
      <c r="K1757" t="s">
        <v>4038</v>
      </c>
      <c r="L1757" t="s">
        <v>9</v>
      </c>
      <c r="M1757" t="s">
        <v>4306</v>
      </c>
      <c r="N1757" t="s">
        <v>3</v>
      </c>
      <c r="O1757" t="s">
        <v>3</v>
      </c>
      <c r="P1757" t="s">
        <v>5</v>
      </c>
      <c r="Q1757" t="s">
        <v>4307</v>
      </c>
      <c r="R1757" t="s">
        <v>3</v>
      </c>
      <c r="S1757" t="s">
        <v>3</v>
      </c>
      <c r="T1757" t="s">
        <v>3</v>
      </c>
      <c r="U1757" t="s">
        <v>3</v>
      </c>
      <c r="V1757" t="s">
        <v>3</v>
      </c>
      <c r="W1757" t="s">
        <v>68</v>
      </c>
      <c r="X1757" s="17">
        <v>43646</v>
      </c>
      <c r="Y1757" t="s">
        <v>2510</v>
      </c>
      <c r="Z1757" s="17">
        <v>43628</v>
      </c>
      <c r="AA1757" t="s">
        <v>3</v>
      </c>
      <c r="AB1757" t="s">
        <v>4305</v>
      </c>
    </row>
    <row r="1758" spans="1:28" hidden="1">
      <c r="A1758" t="s">
        <v>4305</v>
      </c>
      <c r="B1758" s="17">
        <v>43628</v>
      </c>
      <c r="C1758" s="17">
        <v>43628</v>
      </c>
      <c r="D1758" t="s">
        <v>0</v>
      </c>
      <c r="E1758" t="s">
        <v>1</v>
      </c>
      <c r="F1758" s="18">
        <v>2222</v>
      </c>
      <c r="G1758" s="18">
        <v>2222</v>
      </c>
      <c r="H1758" t="s">
        <v>2</v>
      </c>
      <c r="I1758" t="s">
        <v>8</v>
      </c>
      <c r="J1758" s="18">
        <v>185492.56</v>
      </c>
      <c r="K1758" t="s">
        <v>4243</v>
      </c>
      <c r="L1758" t="s">
        <v>9</v>
      </c>
      <c r="M1758" t="s">
        <v>4306</v>
      </c>
      <c r="N1758" t="s">
        <v>3</v>
      </c>
      <c r="O1758" t="s">
        <v>3</v>
      </c>
      <c r="P1758" t="s">
        <v>5</v>
      </c>
      <c r="Q1758" t="s">
        <v>4307</v>
      </c>
      <c r="R1758" t="s">
        <v>3</v>
      </c>
      <c r="S1758" t="s">
        <v>3</v>
      </c>
      <c r="T1758" t="s">
        <v>3</v>
      </c>
      <c r="U1758" t="s">
        <v>3</v>
      </c>
      <c r="V1758" t="s">
        <v>3</v>
      </c>
      <c r="W1758" t="s">
        <v>68</v>
      </c>
      <c r="X1758" s="17">
        <v>43769</v>
      </c>
      <c r="Y1758" t="s">
        <v>4160</v>
      </c>
      <c r="Z1758" s="17">
        <v>43628</v>
      </c>
      <c r="AA1758" t="s">
        <v>3</v>
      </c>
      <c r="AB1758" t="s">
        <v>4305</v>
      </c>
    </row>
    <row r="1759" spans="1:28" hidden="1">
      <c r="A1759" t="s">
        <v>4305</v>
      </c>
      <c r="B1759" s="17">
        <v>43628</v>
      </c>
      <c r="C1759" s="17">
        <v>43628</v>
      </c>
      <c r="D1759" t="s">
        <v>0</v>
      </c>
      <c r="E1759" t="s">
        <v>1</v>
      </c>
      <c r="F1759" s="18">
        <v>170025</v>
      </c>
      <c r="G1759" s="18">
        <v>170025</v>
      </c>
      <c r="H1759" t="s">
        <v>2</v>
      </c>
      <c r="I1759" t="s">
        <v>8</v>
      </c>
      <c r="J1759" s="18">
        <v>14193687</v>
      </c>
      <c r="K1759" t="s">
        <v>4250</v>
      </c>
      <c r="L1759" t="s">
        <v>9</v>
      </c>
      <c r="M1759" t="s">
        <v>4306</v>
      </c>
      <c r="N1759" t="s">
        <v>3</v>
      </c>
      <c r="O1759" t="s">
        <v>3</v>
      </c>
      <c r="P1759" t="s">
        <v>5</v>
      </c>
      <c r="Q1759" t="s">
        <v>4307</v>
      </c>
      <c r="R1759" t="s">
        <v>3</v>
      </c>
      <c r="S1759" t="s">
        <v>3</v>
      </c>
      <c r="T1759" t="s">
        <v>3</v>
      </c>
      <c r="U1759" t="s">
        <v>3</v>
      </c>
      <c r="V1759" t="s">
        <v>3</v>
      </c>
      <c r="W1759" t="s">
        <v>68</v>
      </c>
      <c r="X1759" s="17">
        <v>44012</v>
      </c>
      <c r="Y1759" t="s">
        <v>4137</v>
      </c>
      <c r="Z1759" s="17">
        <v>43628</v>
      </c>
      <c r="AA1759" t="s">
        <v>3</v>
      </c>
      <c r="AB1759" t="s">
        <v>4305</v>
      </c>
    </row>
    <row r="1760" spans="1:28" hidden="1">
      <c r="A1760" t="s">
        <v>4308</v>
      </c>
      <c r="B1760" s="17">
        <v>43628</v>
      </c>
      <c r="C1760" s="17">
        <v>43628</v>
      </c>
      <c r="D1760" t="s">
        <v>0</v>
      </c>
      <c r="E1760" t="s">
        <v>1</v>
      </c>
      <c r="F1760" s="18">
        <v>44031</v>
      </c>
      <c r="G1760" s="18">
        <v>44031</v>
      </c>
      <c r="H1760" t="s">
        <v>2</v>
      </c>
      <c r="I1760" t="s">
        <v>8</v>
      </c>
      <c r="J1760" s="18">
        <v>3675707.88</v>
      </c>
      <c r="K1760" t="s">
        <v>4113</v>
      </c>
      <c r="L1760" t="s">
        <v>9</v>
      </c>
      <c r="M1760" t="s">
        <v>4309</v>
      </c>
      <c r="N1760" t="s">
        <v>3</v>
      </c>
      <c r="O1760" t="s">
        <v>3</v>
      </c>
      <c r="P1760" t="s">
        <v>5</v>
      </c>
      <c r="Q1760" t="s">
        <v>4310</v>
      </c>
      <c r="R1760" t="s">
        <v>3</v>
      </c>
      <c r="S1760" t="s">
        <v>3</v>
      </c>
      <c r="T1760" t="s">
        <v>3</v>
      </c>
      <c r="U1760" t="s">
        <v>3</v>
      </c>
      <c r="V1760" t="s">
        <v>3</v>
      </c>
      <c r="W1760" t="s">
        <v>68</v>
      </c>
      <c r="X1760" s="17">
        <v>43769</v>
      </c>
      <c r="Y1760" t="s">
        <v>4005</v>
      </c>
      <c r="Z1760" s="17">
        <v>43628</v>
      </c>
      <c r="AA1760" t="s">
        <v>3</v>
      </c>
      <c r="AB1760" t="s">
        <v>4308</v>
      </c>
    </row>
    <row r="1761" spans="1:28" hidden="1">
      <c r="A1761" t="s">
        <v>4308</v>
      </c>
      <c r="B1761" s="17">
        <v>43628</v>
      </c>
      <c r="C1761" s="17">
        <v>43628</v>
      </c>
      <c r="D1761" t="s">
        <v>0</v>
      </c>
      <c r="E1761" t="s">
        <v>1</v>
      </c>
      <c r="F1761" s="18">
        <v>249778</v>
      </c>
      <c r="G1761" s="18">
        <v>249778</v>
      </c>
      <c r="H1761" t="s">
        <v>2</v>
      </c>
      <c r="I1761" t="s">
        <v>8</v>
      </c>
      <c r="J1761" s="18">
        <v>20851467.440000001</v>
      </c>
      <c r="K1761" t="s">
        <v>4243</v>
      </c>
      <c r="L1761" t="s">
        <v>9</v>
      </c>
      <c r="M1761" t="s">
        <v>4309</v>
      </c>
      <c r="N1761" t="s">
        <v>3</v>
      </c>
      <c r="O1761" t="s">
        <v>3</v>
      </c>
      <c r="P1761" t="s">
        <v>5</v>
      </c>
      <c r="Q1761" t="s">
        <v>4310</v>
      </c>
      <c r="R1761" t="s">
        <v>3</v>
      </c>
      <c r="S1761" t="s">
        <v>3</v>
      </c>
      <c r="T1761" t="s">
        <v>3</v>
      </c>
      <c r="U1761" t="s">
        <v>3</v>
      </c>
      <c r="V1761" t="s">
        <v>3</v>
      </c>
      <c r="W1761" t="s">
        <v>68</v>
      </c>
      <c r="X1761" s="17">
        <v>43769</v>
      </c>
      <c r="Y1761" t="s">
        <v>4160</v>
      </c>
      <c r="Z1761" s="17">
        <v>43628</v>
      </c>
      <c r="AA1761" t="s">
        <v>3</v>
      </c>
      <c r="AB1761" t="s">
        <v>4308</v>
      </c>
    </row>
    <row r="1762" spans="1:28" hidden="1">
      <c r="A1762" t="s">
        <v>4308</v>
      </c>
      <c r="B1762" s="17">
        <v>43628</v>
      </c>
      <c r="C1762" s="17">
        <v>43628</v>
      </c>
      <c r="D1762" t="s">
        <v>0</v>
      </c>
      <c r="E1762" t="s">
        <v>1</v>
      </c>
      <c r="F1762" s="18">
        <v>123282</v>
      </c>
      <c r="G1762" s="18">
        <v>123282</v>
      </c>
      <c r="H1762" t="s">
        <v>2</v>
      </c>
      <c r="I1762" t="s">
        <v>8</v>
      </c>
      <c r="J1762" s="18">
        <v>10291581.359999999</v>
      </c>
      <c r="K1762" t="s">
        <v>4250</v>
      </c>
      <c r="L1762" t="s">
        <v>9</v>
      </c>
      <c r="M1762" t="s">
        <v>4309</v>
      </c>
      <c r="N1762" t="s">
        <v>3</v>
      </c>
      <c r="O1762" t="s">
        <v>3</v>
      </c>
      <c r="P1762" t="s">
        <v>5</v>
      </c>
      <c r="Q1762" t="s">
        <v>4310</v>
      </c>
      <c r="R1762" t="s">
        <v>3</v>
      </c>
      <c r="S1762" t="s">
        <v>3</v>
      </c>
      <c r="T1762" t="s">
        <v>3</v>
      </c>
      <c r="U1762" t="s">
        <v>3</v>
      </c>
      <c r="V1762" t="s">
        <v>3</v>
      </c>
      <c r="W1762" t="s">
        <v>68</v>
      </c>
      <c r="X1762" s="17">
        <v>44012</v>
      </c>
      <c r="Y1762" t="s">
        <v>4137</v>
      </c>
      <c r="Z1762" s="17">
        <v>43628</v>
      </c>
      <c r="AA1762" t="s">
        <v>3</v>
      </c>
      <c r="AB1762" t="s">
        <v>4308</v>
      </c>
    </row>
    <row r="1763" spans="1:28" hidden="1">
      <c r="A1763" t="s">
        <v>4253</v>
      </c>
      <c r="B1763" s="17">
        <v>43629</v>
      </c>
      <c r="C1763" s="17">
        <v>43629</v>
      </c>
      <c r="D1763" t="s">
        <v>0</v>
      </c>
      <c r="E1763" t="s">
        <v>1</v>
      </c>
      <c r="F1763" s="18">
        <v>38801.949999999997</v>
      </c>
      <c r="G1763" s="18">
        <v>38801.949999999997</v>
      </c>
      <c r="H1763" t="s">
        <v>2</v>
      </c>
      <c r="I1763" t="s">
        <v>10</v>
      </c>
      <c r="J1763" s="18">
        <v>3232202.44</v>
      </c>
      <c r="K1763" t="s">
        <v>4254</v>
      </c>
      <c r="L1763" t="s">
        <v>4</v>
      </c>
      <c r="M1763" t="s">
        <v>4255</v>
      </c>
      <c r="N1763" t="s">
        <v>3</v>
      </c>
      <c r="O1763" t="s">
        <v>3</v>
      </c>
      <c r="P1763" t="s">
        <v>5</v>
      </c>
      <c r="Q1763" t="s">
        <v>4256</v>
      </c>
      <c r="R1763" t="s">
        <v>3</v>
      </c>
      <c r="S1763" t="s">
        <v>3</v>
      </c>
      <c r="T1763" t="s">
        <v>3</v>
      </c>
      <c r="U1763" t="s">
        <v>3</v>
      </c>
      <c r="V1763" t="s">
        <v>3</v>
      </c>
      <c r="W1763" t="s">
        <v>68</v>
      </c>
      <c r="X1763" s="17"/>
      <c r="Y1763" t="s">
        <v>3</v>
      </c>
      <c r="Z1763" s="17">
        <v>43629</v>
      </c>
      <c r="AA1763" t="s">
        <v>3</v>
      </c>
      <c r="AB1763" t="s">
        <v>4253</v>
      </c>
    </row>
    <row r="1764" spans="1:28" hidden="1">
      <c r="A1764" t="s">
        <v>4253</v>
      </c>
      <c r="B1764" s="17">
        <v>43629</v>
      </c>
      <c r="C1764" s="17">
        <v>43629</v>
      </c>
      <c r="D1764" t="s">
        <v>0</v>
      </c>
      <c r="E1764" t="s">
        <v>1</v>
      </c>
      <c r="F1764" s="18">
        <v>77106.490000000005</v>
      </c>
      <c r="G1764" s="18">
        <v>77106.490000000005</v>
      </c>
      <c r="H1764" t="s">
        <v>2</v>
      </c>
      <c r="I1764" t="s">
        <v>10</v>
      </c>
      <c r="J1764" s="18">
        <v>6436849.79</v>
      </c>
      <c r="K1764" t="s">
        <v>4257</v>
      </c>
      <c r="L1764" t="s">
        <v>4</v>
      </c>
      <c r="M1764" t="s">
        <v>4255</v>
      </c>
      <c r="N1764" t="s">
        <v>3</v>
      </c>
      <c r="O1764" t="s">
        <v>3</v>
      </c>
      <c r="P1764" t="s">
        <v>5</v>
      </c>
      <c r="Q1764" t="s">
        <v>4256</v>
      </c>
      <c r="R1764" t="s">
        <v>3</v>
      </c>
      <c r="S1764" t="s">
        <v>3</v>
      </c>
      <c r="T1764" t="s">
        <v>3</v>
      </c>
      <c r="U1764" t="s">
        <v>3</v>
      </c>
      <c r="V1764" t="s">
        <v>3</v>
      </c>
      <c r="W1764" t="s">
        <v>68</v>
      </c>
      <c r="X1764" s="17"/>
      <c r="Y1764" t="s">
        <v>3</v>
      </c>
      <c r="Z1764" s="17">
        <v>43629</v>
      </c>
      <c r="AA1764" t="s">
        <v>3</v>
      </c>
      <c r="AB1764" t="s">
        <v>4253</v>
      </c>
    </row>
    <row r="1765" spans="1:28" hidden="1">
      <c r="A1765" t="s">
        <v>4258</v>
      </c>
      <c r="B1765" s="17">
        <v>43629</v>
      </c>
      <c r="C1765" s="17">
        <v>43629</v>
      </c>
      <c r="D1765" t="s">
        <v>0</v>
      </c>
      <c r="E1765" t="s">
        <v>1</v>
      </c>
      <c r="F1765" s="18">
        <v>607.41</v>
      </c>
      <c r="G1765" s="18">
        <v>607.41</v>
      </c>
      <c r="H1765" t="s">
        <v>2</v>
      </c>
      <c r="I1765" t="s">
        <v>10</v>
      </c>
      <c r="J1765" s="18">
        <v>50597.25</v>
      </c>
      <c r="K1765" t="s">
        <v>4254</v>
      </c>
      <c r="L1765" t="s">
        <v>4</v>
      </c>
      <c r="M1765" t="s">
        <v>4259</v>
      </c>
      <c r="N1765" t="s">
        <v>3</v>
      </c>
      <c r="O1765" t="s">
        <v>3</v>
      </c>
      <c r="P1765" t="s">
        <v>5</v>
      </c>
      <c r="Q1765" t="s">
        <v>4260</v>
      </c>
      <c r="R1765" t="s">
        <v>3</v>
      </c>
      <c r="S1765" t="s">
        <v>3</v>
      </c>
      <c r="T1765" t="s">
        <v>3</v>
      </c>
      <c r="U1765" t="s">
        <v>3</v>
      </c>
      <c r="V1765" t="s">
        <v>3</v>
      </c>
      <c r="W1765" t="s">
        <v>68</v>
      </c>
      <c r="X1765" s="17"/>
      <c r="Y1765" t="s">
        <v>3</v>
      </c>
      <c r="Z1765" s="17">
        <v>43629</v>
      </c>
      <c r="AA1765" t="s">
        <v>3</v>
      </c>
      <c r="AB1765" t="s">
        <v>4258</v>
      </c>
    </row>
    <row r="1766" spans="1:28" hidden="1">
      <c r="A1766" t="s">
        <v>4258</v>
      </c>
      <c r="B1766" s="17">
        <v>43629</v>
      </c>
      <c r="C1766" s="17">
        <v>43629</v>
      </c>
      <c r="D1766" t="s">
        <v>0</v>
      </c>
      <c r="E1766" t="s">
        <v>1</v>
      </c>
      <c r="F1766" s="18">
        <v>37298.870000000003</v>
      </c>
      <c r="G1766" s="18">
        <v>37298.870000000003</v>
      </c>
      <c r="H1766" t="s">
        <v>2</v>
      </c>
      <c r="I1766" t="s">
        <v>10</v>
      </c>
      <c r="J1766" s="18">
        <v>3113709.67</v>
      </c>
      <c r="K1766" t="s">
        <v>4257</v>
      </c>
      <c r="L1766" t="s">
        <v>4</v>
      </c>
      <c r="M1766" t="s">
        <v>4259</v>
      </c>
      <c r="N1766" t="s">
        <v>3</v>
      </c>
      <c r="O1766" t="s">
        <v>3</v>
      </c>
      <c r="P1766" t="s">
        <v>5</v>
      </c>
      <c r="Q1766" t="s">
        <v>4260</v>
      </c>
      <c r="R1766" t="s">
        <v>3</v>
      </c>
      <c r="S1766" t="s">
        <v>3</v>
      </c>
      <c r="T1766" t="s">
        <v>3</v>
      </c>
      <c r="U1766" t="s">
        <v>3</v>
      </c>
      <c r="V1766" t="s">
        <v>3</v>
      </c>
      <c r="W1766" t="s">
        <v>68</v>
      </c>
      <c r="X1766" s="17"/>
      <c r="Y1766" t="s">
        <v>3</v>
      </c>
      <c r="Z1766" s="17">
        <v>43629</v>
      </c>
      <c r="AA1766" t="s">
        <v>3</v>
      </c>
      <c r="AB1766" t="s">
        <v>4258</v>
      </c>
    </row>
    <row r="1767" spans="1:28" hidden="1">
      <c r="A1767" t="s">
        <v>4258</v>
      </c>
      <c r="B1767" s="17">
        <v>43629</v>
      </c>
      <c r="C1767" s="17">
        <v>43629</v>
      </c>
      <c r="D1767" t="s">
        <v>0</v>
      </c>
      <c r="E1767" t="s">
        <v>1</v>
      </c>
      <c r="F1767" s="18">
        <v>38210.300000000003</v>
      </c>
      <c r="G1767" s="18">
        <v>38210.300000000003</v>
      </c>
      <c r="H1767" t="s">
        <v>2</v>
      </c>
      <c r="I1767" t="s">
        <v>10</v>
      </c>
      <c r="J1767" s="18">
        <v>3189795.84</v>
      </c>
      <c r="K1767" t="s">
        <v>4261</v>
      </c>
      <c r="L1767" t="s">
        <v>4</v>
      </c>
      <c r="M1767" t="s">
        <v>4259</v>
      </c>
      <c r="N1767" t="s">
        <v>3</v>
      </c>
      <c r="O1767" t="s">
        <v>3</v>
      </c>
      <c r="P1767" t="s">
        <v>5</v>
      </c>
      <c r="Q1767" t="s">
        <v>4260</v>
      </c>
      <c r="R1767" t="s">
        <v>3</v>
      </c>
      <c r="S1767" t="s">
        <v>3</v>
      </c>
      <c r="T1767" t="s">
        <v>3</v>
      </c>
      <c r="U1767" t="s">
        <v>3</v>
      </c>
      <c r="V1767" t="s">
        <v>3</v>
      </c>
      <c r="W1767" t="s">
        <v>68</v>
      </c>
      <c r="X1767" s="17"/>
      <c r="Y1767" t="s">
        <v>3</v>
      </c>
      <c r="Z1767" s="17">
        <v>43629</v>
      </c>
      <c r="AA1767" t="s">
        <v>3</v>
      </c>
      <c r="AB1767" t="s">
        <v>4258</v>
      </c>
    </row>
    <row r="1768" spans="1:28" hidden="1">
      <c r="A1768" t="s">
        <v>4311</v>
      </c>
      <c r="B1768" s="17">
        <v>43629</v>
      </c>
      <c r="C1768" s="17">
        <v>43629</v>
      </c>
      <c r="D1768" t="s">
        <v>0</v>
      </c>
      <c r="E1768" t="s">
        <v>1</v>
      </c>
      <c r="F1768" s="18">
        <v>117742.38</v>
      </c>
      <c r="G1768" s="18">
        <v>117742.38</v>
      </c>
      <c r="H1768" t="s">
        <v>2</v>
      </c>
      <c r="I1768" t="s">
        <v>8</v>
      </c>
      <c r="J1768" s="18">
        <v>9807940.25</v>
      </c>
      <c r="K1768" t="s">
        <v>4042</v>
      </c>
      <c r="L1768" t="s">
        <v>4</v>
      </c>
      <c r="M1768" t="s">
        <v>4312</v>
      </c>
      <c r="N1768" t="s">
        <v>3</v>
      </c>
      <c r="O1768" t="s">
        <v>3</v>
      </c>
      <c r="P1768" t="s">
        <v>5</v>
      </c>
      <c r="Q1768" t="s">
        <v>4313</v>
      </c>
      <c r="R1768" t="s">
        <v>3</v>
      </c>
      <c r="S1768" t="s">
        <v>3</v>
      </c>
      <c r="T1768" t="s">
        <v>3</v>
      </c>
      <c r="U1768" t="s">
        <v>3</v>
      </c>
      <c r="V1768" t="s">
        <v>3</v>
      </c>
      <c r="W1768" t="s">
        <v>68</v>
      </c>
      <c r="X1768" s="17"/>
      <c r="Y1768" t="s">
        <v>3</v>
      </c>
      <c r="Z1768" s="17">
        <v>43629</v>
      </c>
      <c r="AA1768" t="s">
        <v>3</v>
      </c>
      <c r="AB1768" t="s">
        <v>4311</v>
      </c>
    </row>
    <row r="1769" spans="1:28" hidden="1">
      <c r="A1769" t="s">
        <v>4311</v>
      </c>
      <c r="B1769" s="17">
        <v>43629</v>
      </c>
      <c r="C1769" s="17">
        <v>43629</v>
      </c>
      <c r="D1769" t="s">
        <v>0</v>
      </c>
      <c r="E1769" t="s">
        <v>1</v>
      </c>
      <c r="F1769" s="18">
        <v>27757.91</v>
      </c>
      <c r="G1769" s="18">
        <v>27757.91</v>
      </c>
      <c r="H1769" t="s">
        <v>2</v>
      </c>
      <c r="I1769" t="s">
        <v>8</v>
      </c>
      <c r="J1769" s="18">
        <v>2317230.33</v>
      </c>
      <c r="K1769" t="s">
        <v>4268</v>
      </c>
      <c r="L1769" t="s">
        <v>4</v>
      </c>
      <c r="M1769" t="s">
        <v>4312</v>
      </c>
      <c r="N1769" t="s">
        <v>3</v>
      </c>
      <c r="O1769" t="s">
        <v>3</v>
      </c>
      <c r="P1769" t="s">
        <v>5</v>
      </c>
      <c r="Q1769" t="s">
        <v>4313</v>
      </c>
      <c r="R1769" t="s">
        <v>3</v>
      </c>
      <c r="S1769" t="s">
        <v>3</v>
      </c>
      <c r="T1769" t="s">
        <v>3</v>
      </c>
      <c r="U1769" t="s">
        <v>3</v>
      </c>
      <c r="V1769" t="s">
        <v>3</v>
      </c>
      <c r="W1769" t="s">
        <v>68</v>
      </c>
      <c r="X1769" s="17"/>
      <c r="Y1769" t="s">
        <v>3</v>
      </c>
      <c r="Z1769" s="17">
        <v>43629</v>
      </c>
      <c r="AA1769" t="s">
        <v>3</v>
      </c>
      <c r="AB1769" t="s">
        <v>4311</v>
      </c>
    </row>
    <row r="1770" spans="1:28" hidden="1">
      <c r="A1770" t="s">
        <v>4314</v>
      </c>
      <c r="B1770" s="17">
        <v>43629</v>
      </c>
      <c r="C1770" s="17">
        <v>43629</v>
      </c>
      <c r="D1770" t="s">
        <v>0</v>
      </c>
      <c r="E1770" t="s">
        <v>1</v>
      </c>
      <c r="F1770" s="18">
        <v>25312</v>
      </c>
      <c r="G1770" s="18">
        <v>25312</v>
      </c>
      <c r="H1770" t="s">
        <v>2</v>
      </c>
      <c r="I1770" t="s">
        <v>8</v>
      </c>
      <c r="J1770" s="18">
        <v>2113045.7599999998</v>
      </c>
      <c r="K1770" t="s">
        <v>4243</v>
      </c>
      <c r="L1770" t="s">
        <v>9</v>
      </c>
      <c r="M1770" t="s">
        <v>4315</v>
      </c>
      <c r="N1770" t="s">
        <v>3</v>
      </c>
      <c r="O1770" t="s">
        <v>3</v>
      </c>
      <c r="P1770" t="s">
        <v>5</v>
      </c>
      <c r="Q1770" t="s">
        <v>4316</v>
      </c>
      <c r="R1770" t="s">
        <v>3</v>
      </c>
      <c r="S1770" t="s">
        <v>3</v>
      </c>
      <c r="T1770" t="s">
        <v>3</v>
      </c>
      <c r="U1770" t="s">
        <v>3</v>
      </c>
      <c r="V1770" t="s">
        <v>3</v>
      </c>
      <c r="W1770" t="s">
        <v>68</v>
      </c>
      <c r="X1770" s="17">
        <v>43769</v>
      </c>
      <c r="Y1770" t="s">
        <v>4160</v>
      </c>
      <c r="Z1770" s="17">
        <v>43629</v>
      </c>
      <c r="AA1770" t="s">
        <v>3</v>
      </c>
      <c r="AB1770" t="s">
        <v>4314</v>
      </c>
    </row>
    <row r="1771" spans="1:28" hidden="1">
      <c r="A1771" t="s">
        <v>4262</v>
      </c>
      <c r="B1771" s="17">
        <v>43633</v>
      </c>
      <c r="C1771" s="17">
        <v>43633</v>
      </c>
      <c r="D1771" t="s">
        <v>0</v>
      </c>
      <c r="E1771" t="s">
        <v>1</v>
      </c>
      <c r="F1771" s="18">
        <v>1099</v>
      </c>
      <c r="G1771" s="18">
        <v>1099</v>
      </c>
      <c r="H1771" t="s">
        <v>2</v>
      </c>
      <c r="I1771" t="s">
        <v>8</v>
      </c>
      <c r="J1771" s="18">
        <v>91744.52</v>
      </c>
      <c r="K1771" t="s">
        <v>4235</v>
      </c>
      <c r="L1771" t="s">
        <v>4</v>
      </c>
      <c r="M1771" t="s">
        <v>4263</v>
      </c>
      <c r="N1771" t="s">
        <v>3</v>
      </c>
      <c r="O1771" t="s">
        <v>3</v>
      </c>
      <c r="P1771" t="s">
        <v>5</v>
      </c>
      <c r="Q1771" t="s">
        <v>4264</v>
      </c>
      <c r="R1771" t="s">
        <v>3</v>
      </c>
      <c r="S1771" t="s">
        <v>3</v>
      </c>
      <c r="T1771" t="s">
        <v>3</v>
      </c>
      <c r="U1771" t="s">
        <v>3</v>
      </c>
      <c r="V1771" t="s">
        <v>3</v>
      </c>
      <c r="W1771" t="s">
        <v>68</v>
      </c>
      <c r="X1771" s="17"/>
      <c r="Y1771" t="s">
        <v>3</v>
      </c>
      <c r="Z1771" s="17">
        <v>43633</v>
      </c>
      <c r="AA1771" t="s">
        <v>3</v>
      </c>
      <c r="AB1771" t="s">
        <v>4262</v>
      </c>
    </row>
    <row r="1772" spans="1:28" hidden="1">
      <c r="A1772" t="s">
        <v>4262</v>
      </c>
      <c r="B1772" s="17">
        <v>43633</v>
      </c>
      <c r="C1772" s="17">
        <v>43633</v>
      </c>
      <c r="D1772" t="s">
        <v>0</v>
      </c>
      <c r="E1772" t="s">
        <v>1</v>
      </c>
      <c r="F1772" s="18">
        <v>7301.5</v>
      </c>
      <c r="G1772" s="18">
        <v>7301.5</v>
      </c>
      <c r="H1772" t="s">
        <v>2</v>
      </c>
      <c r="I1772" t="s">
        <v>8</v>
      </c>
      <c r="J1772" s="18">
        <v>609529.22</v>
      </c>
      <c r="K1772" t="s">
        <v>4231</v>
      </c>
      <c r="L1772" t="s">
        <v>4</v>
      </c>
      <c r="M1772" t="s">
        <v>4263</v>
      </c>
      <c r="N1772" t="s">
        <v>3</v>
      </c>
      <c r="O1772" t="s">
        <v>3</v>
      </c>
      <c r="P1772" t="s">
        <v>5</v>
      </c>
      <c r="Q1772" t="s">
        <v>4264</v>
      </c>
      <c r="R1772" t="s">
        <v>3</v>
      </c>
      <c r="S1772" t="s">
        <v>3</v>
      </c>
      <c r="T1772" t="s">
        <v>3</v>
      </c>
      <c r="U1772" t="s">
        <v>3</v>
      </c>
      <c r="V1772" t="s">
        <v>3</v>
      </c>
      <c r="W1772" t="s">
        <v>68</v>
      </c>
      <c r="X1772" s="17"/>
      <c r="Y1772" t="s">
        <v>3</v>
      </c>
      <c r="Z1772" s="17">
        <v>43633</v>
      </c>
      <c r="AA1772" t="s">
        <v>3</v>
      </c>
      <c r="AB1772" t="s">
        <v>4262</v>
      </c>
    </row>
    <row r="1773" spans="1:28" hidden="1">
      <c r="A1773" t="s">
        <v>4265</v>
      </c>
      <c r="B1773" s="17">
        <v>43633</v>
      </c>
      <c r="C1773" s="17">
        <v>43633</v>
      </c>
      <c r="D1773" t="s">
        <v>0</v>
      </c>
      <c r="E1773" t="s">
        <v>1</v>
      </c>
      <c r="F1773" s="18">
        <v>101499</v>
      </c>
      <c r="G1773" s="18">
        <v>101499</v>
      </c>
      <c r="H1773" t="s">
        <v>2</v>
      </c>
      <c r="I1773" t="s">
        <v>8</v>
      </c>
      <c r="J1773" s="18">
        <v>8473136.5199999996</v>
      </c>
      <c r="K1773" t="s">
        <v>4235</v>
      </c>
      <c r="L1773" t="s">
        <v>4</v>
      </c>
      <c r="M1773" t="s">
        <v>4266</v>
      </c>
      <c r="N1773" t="s">
        <v>3</v>
      </c>
      <c r="O1773" t="s">
        <v>3</v>
      </c>
      <c r="P1773" t="s">
        <v>5</v>
      </c>
      <c r="Q1773" t="s">
        <v>4267</v>
      </c>
      <c r="R1773" t="s">
        <v>3</v>
      </c>
      <c r="S1773" t="s">
        <v>3</v>
      </c>
      <c r="T1773" t="s">
        <v>3</v>
      </c>
      <c r="U1773" t="s">
        <v>3</v>
      </c>
      <c r="V1773" t="s">
        <v>3</v>
      </c>
      <c r="W1773" t="s">
        <v>68</v>
      </c>
      <c r="X1773" s="17"/>
      <c r="Y1773" t="s">
        <v>3</v>
      </c>
      <c r="Z1773" s="17">
        <v>43633</v>
      </c>
      <c r="AA1773" t="s">
        <v>3</v>
      </c>
      <c r="AB1773" t="s">
        <v>4265</v>
      </c>
    </row>
    <row r="1774" spans="1:28" hidden="1">
      <c r="A1774" t="s">
        <v>4265</v>
      </c>
      <c r="B1774" s="17">
        <v>43633</v>
      </c>
      <c r="C1774" s="17">
        <v>43633</v>
      </c>
      <c r="D1774" t="s">
        <v>0</v>
      </c>
      <c r="E1774" t="s">
        <v>1</v>
      </c>
      <c r="F1774" s="18">
        <v>13381.72</v>
      </c>
      <c r="G1774" s="18">
        <v>13381.72</v>
      </c>
      <c r="H1774" t="s">
        <v>2</v>
      </c>
      <c r="I1774" t="s">
        <v>8</v>
      </c>
      <c r="J1774" s="18">
        <v>1117105.99</v>
      </c>
      <c r="K1774" t="s">
        <v>4268</v>
      </c>
      <c r="L1774" t="s">
        <v>4</v>
      </c>
      <c r="M1774" t="s">
        <v>4266</v>
      </c>
      <c r="N1774" t="s">
        <v>3</v>
      </c>
      <c r="O1774" t="s">
        <v>3</v>
      </c>
      <c r="P1774" t="s">
        <v>5</v>
      </c>
      <c r="Q1774" t="s">
        <v>4267</v>
      </c>
      <c r="R1774" t="s">
        <v>3</v>
      </c>
      <c r="S1774" t="s">
        <v>3</v>
      </c>
      <c r="T1774" t="s">
        <v>3</v>
      </c>
      <c r="U1774" t="s">
        <v>3</v>
      </c>
      <c r="V1774" t="s">
        <v>3</v>
      </c>
      <c r="W1774" t="s">
        <v>68</v>
      </c>
      <c r="X1774" s="17"/>
      <c r="Y1774" t="s">
        <v>3</v>
      </c>
      <c r="Z1774" s="17">
        <v>43633</v>
      </c>
      <c r="AA1774" t="s">
        <v>3</v>
      </c>
      <c r="AB1774" t="s">
        <v>4265</v>
      </c>
    </row>
    <row r="1775" spans="1:28" hidden="1">
      <c r="A1775" t="s">
        <v>4269</v>
      </c>
      <c r="B1775" s="17">
        <v>43635</v>
      </c>
      <c r="C1775" s="17">
        <v>43635</v>
      </c>
      <c r="D1775" t="s">
        <v>0</v>
      </c>
      <c r="E1775" t="s">
        <v>1</v>
      </c>
      <c r="F1775" s="18">
        <v>8504.76</v>
      </c>
      <c r="G1775" s="18">
        <v>8504.76</v>
      </c>
      <c r="H1775" t="s">
        <v>2</v>
      </c>
      <c r="I1775" t="s">
        <v>10</v>
      </c>
      <c r="J1775" s="18">
        <v>709977.36</v>
      </c>
      <c r="K1775" t="s">
        <v>4261</v>
      </c>
      <c r="L1775" t="s">
        <v>4</v>
      </c>
      <c r="M1775" t="s">
        <v>4270</v>
      </c>
      <c r="N1775" t="s">
        <v>3</v>
      </c>
      <c r="O1775" t="s">
        <v>3</v>
      </c>
      <c r="P1775" t="s">
        <v>5</v>
      </c>
      <c r="Q1775" t="s">
        <v>4271</v>
      </c>
      <c r="R1775" t="s">
        <v>3</v>
      </c>
      <c r="S1775" t="s">
        <v>3</v>
      </c>
      <c r="T1775" t="s">
        <v>3</v>
      </c>
      <c r="U1775" t="s">
        <v>3</v>
      </c>
      <c r="V1775" t="s">
        <v>3</v>
      </c>
      <c r="W1775" t="s">
        <v>68</v>
      </c>
      <c r="X1775" s="17"/>
      <c r="Y1775" t="s">
        <v>3</v>
      </c>
      <c r="Z1775" s="17">
        <v>43635</v>
      </c>
      <c r="AA1775" t="s">
        <v>3</v>
      </c>
      <c r="AB1775" t="s">
        <v>4269</v>
      </c>
    </row>
    <row r="1776" spans="1:28" hidden="1">
      <c r="A1776" t="s">
        <v>4301</v>
      </c>
      <c r="B1776" s="17">
        <v>43635</v>
      </c>
      <c r="C1776" s="17">
        <v>43635</v>
      </c>
      <c r="D1776" t="s">
        <v>0</v>
      </c>
      <c r="E1776" t="s">
        <v>1</v>
      </c>
      <c r="F1776" s="18">
        <v>8449</v>
      </c>
      <c r="G1776" s="18">
        <v>8449</v>
      </c>
      <c r="H1776" t="s">
        <v>2</v>
      </c>
      <c r="I1776" t="s">
        <v>8</v>
      </c>
      <c r="J1776" s="18">
        <v>705322.52</v>
      </c>
      <c r="K1776" t="s">
        <v>4113</v>
      </c>
      <c r="L1776" t="s">
        <v>9</v>
      </c>
      <c r="M1776" t="s">
        <v>4302</v>
      </c>
      <c r="N1776" t="s">
        <v>3</v>
      </c>
      <c r="O1776" t="s">
        <v>3</v>
      </c>
      <c r="P1776" t="s">
        <v>5</v>
      </c>
      <c r="Q1776" t="s">
        <v>4303</v>
      </c>
      <c r="R1776" t="s">
        <v>3</v>
      </c>
      <c r="S1776" t="s">
        <v>3</v>
      </c>
      <c r="T1776" t="s">
        <v>3</v>
      </c>
      <c r="U1776" t="s">
        <v>3</v>
      </c>
      <c r="V1776" t="s">
        <v>3</v>
      </c>
      <c r="W1776" t="s">
        <v>68</v>
      </c>
      <c r="X1776" s="17">
        <v>43769</v>
      </c>
      <c r="Y1776" t="s">
        <v>4005</v>
      </c>
      <c r="Z1776" s="17">
        <v>43635</v>
      </c>
      <c r="AA1776" t="s">
        <v>3</v>
      </c>
      <c r="AB1776" t="s">
        <v>4301</v>
      </c>
    </row>
    <row r="1777" spans="1:28" hidden="1">
      <c r="A1777" t="s">
        <v>4301</v>
      </c>
      <c r="B1777" s="17">
        <v>43635</v>
      </c>
      <c r="C1777" s="17">
        <v>43635</v>
      </c>
      <c r="D1777" t="s">
        <v>0</v>
      </c>
      <c r="E1777" t="s">
        <v>1</v>
      </c>
      <c r="F1777" s="18">
        <v>82166</v>
      </c>
      <c r="G1777" s="18">
        <v>82166</v>
      </c>
      <c r="H1777" t="s">
        <v>2</v>
      </c>
      <c r="I1777" t="s">
        <v>8</v>
      </c>
      <c r="J1777" s="18">
        <v>6844427.7999999998</v>
      </c>
      <c r="K1777" t="s">
        <v>4038</v>
      </c>
      <c r="L1777" t="s">
        <v>9</v>
      </c>
      <c r="M1777" t="s">
        <v>4302</v>
      </c>
      <c r="N1777" t="s">
        <v>3</v>
      </c>
      <c r="O1777" t="s">
        <v>3</v>
      </c>
      <c r="P1777" t="s">
        <v>5</v>
      </c>
      <c r="Q1777" t="s">
        <v>4303</v>
      </c>
      <c r="R1777" t="s">
        <v>3</v>
      </c>
      <c r="S1777" t="s">
        <v>3</v>
      </c>
      <c r="T1777" t="s">
        <v>3</v>
      </c>
      <c r="U1777" t="s">
        <v>3</v>
      </c>
      <c r="V1777" t="s">
        <v>3</v>
      </c>
      <c r="W1777" t="s">
        <v>68</v>
      </c>
      <c r="X1777" s="17">
        <v>43646</v>
      </c>
      <c r="Y1777" t="s">
        <v>2510</v>
      </c>
      <c r="Z1777" s="17">
        <v>43635</v>
      </c>
      <c r="AA1777" t="s">
        <v>3</v>
      </c>
      <c r="AB1777" t="s">
        <v>4301</v>
      </c>
    </row>
    <row r="1778" spans="1:28" hidden="1">
      <c r="A1778" t="s">
        <v>4301</v>
      </c>
      <c r="B1778" s="17">
        <v>43635</v>
      </c>
      <c r="C1778" s="17">
        <v>43635</v>
      </c>
      <c r="D1778" t="s">
        <v>0</v>
      </c>
      <c r="E1778" t="s">
        <v>1</v>
      </c>
      <c r="F1778" s="18">
        <v>96776</v>
      </c>
      <c r="G1778" s="18">
        <v>96776</v>
      </c>
      <c r="H1778" t="s">
        <v>2</v>
      </c>
      <c r="I1778" t="s">
        <v>8</v>
      </c>
      <c r="J1778" s="18">
        <v>8078860.4800000004</v>
      </c>
      <c r="K1778" t="s">
        <v>4243</v>
      </c>
      <c r="L1778" t="s">
        <v>9</v>
      </c>
      <c r="M1778" t="s">
        <v>4302</v>
      </c>
      <c r="N1778" t="s">
        <v>3</v>
      </c>
      <c r="O1778" t="s">
        <v>3</v>
      </c>
      <c r="P1778" t="s">
        <v>5</v>
      </c>
      <c r="Q1778" t="s">
        <v>4303</v>
      </c>
      <c r="R1778" t="s">
        <v>3</v>
      </c>
      <c r="S1778" t="s">
        <v>3</v>
      </c>
      <c r="T1778" t="s">
        <v>3</v>
      </c>
      <c r="U1778" t="s">
        <v>3</v>
      </c>
      <c r="V1778" t="s">
        <v>3</v>
      </c>
      <c r="W1778" t="s">
        <v>68</v>
      </c>
      <c r="X1778" s="17">
        <v>43769</v>
      </c>
      <c r="Y1778" t="s">
        <v>4160</v>
      </c>
      <c r="Z1778" s="17">
        <v>43635</v>
      </c>
      <c r="AA1778" t="s">
        <v>3</v>
      </c>
      <c r="AB1778" t="s">
        <v>4301</v>
      </c>
    </row>
    <row r="1779" spans="1:28" hidden="1">
      <c r="A1779" t="s">
        <v>4230</v>
      </c>
      <c r="B1779" s="17">
        <v>43636</v>
      </c>
      <c r="C1779" s="17">
        <v>43636</v>
      </c>
      <c r="D1779" t="s">
        <v>0</v>
      </c>
      <c r="E1779" t="s">
        <v>1</v>
      </c>
      <c r="F1779" s="18">
        <v>20087</v>
      </c>
      <c r="G1779" s="18">
        <v>20087</v>
      </c>
      <c r="H1779" t="s">
        <v>2</v>
      </c>
      <c r="I1779" t="s">
        <v>8</v>
      </c>
      <c r="J1779" s="18">
        <v>1676862.76</v>
      </c>
      <c r="K1779" t="s">
        <v>4231</v>
      </c>
      <c r="L1779" t="s">
        <v>4</v>
      </c>
      <c r="M1779" t="s">
        <v>4232</v>
      </c>
      <c r="N1779" t="s">
        <v>3</v>
      </c>
      <c r="O1779" t="s">
        <v>3</v>
      </c>
      <c r="P1779" t="s">
        <v>5</v>
      </c>
      <c r="Q1779" t="s">
        <v>4233</v>
      </c>
      <c r="R1779" t="s">
        <v>3</v>
      </c>
      <c r="S1779" t="s">
        <v>3</v>
      </c>
      <c r="T1779" t="s">
        <v>3</v>
      </c>
      <c r="U1779" t="s">
        <v>3</v>
      </c>
      <c r="V1779" t="s">
        <v>3</v>
      </c>
      <c r="W1779" t="s">
        <v>68</v>
      </c>
      <c r="X1779" s="17"/>
      <c r="Y1779" t="s">
        <v>3</v>
      </c>
      <c r="Z1779" s="17">
        <v>43636</v>
      </c>
      <c r="AA1779" t="s">
        <v>3</v>
      </c>
      <c r="AB1779" t="s">
        <v>4230</v>
      </c>
    </row>
    <row r="1780" spans="1:28" hidden="1">
      <c r="A1780" t="s">
        <v>4234</v>
      </c>
      <c r="B1780" s="17">
        <v>43636</v>
      </c>
      <c r="C1780" s="17">
        <v>43636</v>
      </c>
      <c r="D1780" t="s">
        <v>0</v>
      </c>
      <c r="E1780" t="s">
        <v>1</v>
      </c>
      <c r="F1780" s="18">
        <v>24129</v>
      </c>
      <c r="G1780" s="18">
        <v>24129</v>
      </c>
      <c r="H1780" t="s">
        <v>2</v>
      </c>
      <c r="I1780" t="s">
        <v>8</v>
      </c>
      <c r="J1780" s="18">
        <v>2014288.92</v>
      </c>
      <c r="K1780" t="s">
        <v>4235</v>
      </c>
      <c r="L1780" t="s">
        <v>4</v>
      </c>
      <c r="M1780" t="s">
        <v>4236</v>
      </c>
      <c r="N1780" t="s">
        <v>3</v>
      </c>
      <c r="O1780" t="s">
        <v>3</v>
      </c>
      <c r="P1780" t="s">
        <v>5</v>
      </c>
      <c r="Q1780" t="s">
        <v>4237</v>
      </c>
      <c r="R1780" t="s">
        <v>3</v>
      </c>
      <c r="S1780" t="s">
        <v>3</v>
      </c>
      <c r="T1780" t="s">
        <v>3</v>
      </c>
      <c r="U1780" t="s">
        <v>3</v>
      </c>
      <c r="V1780" t="s">
        <v>3</v>
      </c>
      <c r="W1780" t="s">
        <v>68</v>
      </c>
      <c r="X1780" s="17"/>
      <c r="Y1780" t="s">
        <v>3</v>
      </c>
      <c r="Z1780" s="17">
        <v>43636</v>
      </c>
      <c r="AA1780" t="s">
        <v>3</v>
      </c>
      <c r="AB1780" t="s">
        <v>4234</v>
      </c>
    </row>
    <row r="1781" spans="1:28" hidden="1">
      <c r="A1781" t="s">
        <v>4272</v>
      </c>
      <c r="B1781" s="17">
        <v>43636</v>
      </c>
      <c r="C1781" s="17">
        <v>43636</v>
      </c>
      <c r="D1781" t="s">
        <v>0</v>
      </c>
      <c r="E1781" t="s">
        <v>1</v>
      </c>
      <c r="F1781" s="18">
        <v>3461</v>
      </c>
      <c r="G1781" s="18">
        <v>3461</v>
      </c>
      <c r="H1781" t="s">
        <v>2</v>
      </c>
      <c r="I1781" t="s">
        <v>8</v>
      </c>
      <c r="J1781" s="18">
        <v>288924.28000000003</v>
      </c>
      <c r="K1781" t="s">
        <v>4243</v>
      </c>
      <c r="L1781" t="s">
        <v>9</v>
      </c>
      <c r="M1781" t="s">
        <v>4273</v>
      </c>
      <c r="N1781" t="s">
        <v>3</v>
      </c>
      <c r="O1781" t="s">
        <v>3</v>
      </c>
      <c r="P1781" t="s">
        <v>5</v>
      </c>
      <c r="Q1781" t="s">
        <v>4274</v>
      </c>
      <c r="R1781" t="s">
        <v>3</v>
      </c>
      <c r="S1781" t="s">
        <v>3</v>
      </c>
      <c r="T1781" t="s">
        <v>3</v>
      </c>
      <c r="U1781" t="s">
        <v>3</v>
      </c>
      <c r="V1781" t="s">
        <v>3</v>
      </c>
      <c r="W1781" t="s">
        <v>68</v>
      </c>
      <c r="X1781" s="17">
        <v>43769</v>
      </c>
      <c r="Y1781" t="s">
        <v>4160</v>
      </c>
      <c r="Z1781" s="17">
        <v>43636</v>
      </c>
      <c r="AA1781" t="s">
        <v>3</v>
      </c>
      <c r="AB1781" t="s">
        <v>4272</v>
      </c>
    </row>
    <row r="1782" spans="1:28" hidden="1">
      <c r="A1782" t="s">
        <v>4275</v>
      </c>
      <c r="B1782" s="17">
        <v>43636</v>
      </c>
      <c r="C1782" s="17">
        <v>43636</v>
      </c>
      <c r="D1782" t="s">
        <v>0</v>
      </c>
      <c r="E1782" t="s">
        <v>1</v>
      </c>
      <c r="F1782" s="18">
        <v>49399.76</v>
      </c>
      <c r="G1782" s="18">
        <v>49399.76</v>
      </c>
      <c r="H1782" t="s">
        <v>2</v>
      </c>
      <c r="I1782" t="s">
        <v>8</v>
      </c>
      <c r="J1782" s="18">
        <v>4115000.01</v>
      </c>
      <c r="K1782" t="s">
        <v>4042</v>
      </c>
      <c r="L1782" t="s">
        <v>4</v>
      </c>
      <c r="M1782" t="s">
        <v>4276</v>
      </c>
      <c r="N1782" t="s">
        <v>3</v>
      </c>
      <c r="O1782" t="s">
        <v>3</v>
      </c>
      <c r="P1782" t="s">
        <v>5</v>
      </c>
      <c r="Q1782" t="s">
        <v>4277</v>
      </c>
      <c r="R1782" t="s">
        <v>3</v>
      </c>
      <c r="S1782" t="s">
        <v>3</v>
      </c>
      <c r="T1782" t="s">
        <v>3</v>
      </c>
      <c r="U1782" t="s">
        <v>3</v>
      </c>
      <c r="V1782" t="s">
        <v>3</v>
      </c>
      <c r="W1782" t="s">
        <v>68</v>
      </c>
      <c r="X1782" s="17"/>
      <c r="Y1782" t="s">
        <v>3</v>
      </c>
      <c r="Z1782" s="17">
        <v>43636</v>
      </c>
      <c r="AA1782" t="s">
        <v>3</v>
      </c>
      <c r="AB1782" t="s">
        <v>4275</v>
      </c>
    </row>
    <row r="1783" spans="1:28" hidden="1">
      <c r="A1783" t="s">
        <v>4278</v>
      </c>
      <c r="B1783" s="17">
        <v>43636</v>
      </c>
      <c r="C1783" s="17">
        <v>43636</v>
      </c>
      <c r="D1783" t="s">
        <v>0</v>
      </c>
      <c r="E1783" t="s">
        <v>1</v>
      </c>
      <c r="F1783" s="18">
        <v>6868.34</v>
      </c>
      <c r="G1783" s="18">
        <v>6868.34</v>
      </c>
      <c r="H1783" t="s">
        <v>2</v>
      </c>
      <c r="I1783" t="s">
        <v>8</v>
      </c>
      <c r="J1783" s="18">
        <v>573369.02</v>
      </c>
      <c r="K1783" t="s">
        <v>4235</v>
      </c>
      <c r="L1783" t="s">
        <v>4</v>
      </c>
      <c r="M1783" t="s">
        <v>4279</v>
      </c>
      <c r="N1783" t="s">
        <v>3</v>
      </c>
      <c r="O1783" t="s">
        <v>3</v>
      </c>
      <c r="P1783" t="s">
        <v>5</v>
      </c>
      <c r="Q1783" t="s">
        <v>4280</v>
      </c>
      <c r="R1783" t="s">
        <v>3</v>
      </c>
      <c r="S1783" t="s">
        <v>3</v>
      </c>
      <c r="T1783" t="s">
        <v>3</v>
      </c>
      <c r="U1783" t="s">
        <v>3</v>
      </c>
      <c r="V1783" t="s">
        <v>3</v>
      </c>
      <c r="W1783" t="s">
        <v>68</v>
      </c>
      <c r="X1783" s="17"/>
      <c r="Y1783" t="s">
        <v>3</v>
      </c>
      <c r="Z1783" s="17">
        <v>43636</v>
      </c>
      <c r="AA1783" t="s">
        <v>3</v>
      </c>
      <c r="AB1783" t="s">
        <v>4278</v>
      </c>
    </row>
    <row r="1784" spans="1:28" hidden="1">
      <c r="A1784" t="s">
        <v>4281</v>
      </c>
      <c r="B1784" s="17">
        <v>43636</v>
      </c>
      <c r="C1784" s="17">
        <v>43636</v>
      </c>
      <c r="D1784" t="s">
        <v>0</v>
      </c>
      <c r="E1784" t="s">
        <v>1</v>
      </c>
      <c r="F1784" s="18">
        <v>12605</v>
      </c>
      <c r="G1784" s="18">
        <v>12605</v>
      </c>
      <c r="H1784" t="s">
        <v>2</v>
      </c>
      <c r="I1784" t="s">
        <v>10</v>
      </c>
      <c r="J1784" s="18">
        <v>1052265.3999999999</v>
      </c>
      <c r="K1784" t="s">
        <v>4282</v>
      </c>
      <c r="L1784" t="s">
        <v>9</v>
      </c>
      <c r="M1784" t="s">
        <v>4283</v>
      </c>
      <c r="N1784" t="s">
        <v>3</v>
      </c>
      <c r="O1784" t="s">
        <v>3</v>
      </c>
      <c r="P1784" t="s">
        <v>5</v>
      </c>
      <c r="Q1784" t="s">
        <v>4284</v>
      </c>
      <c r="R1784" t="s">
        <v>3</v>
      </c>
      <c r="S1784" t="s">
        <v>3</v>
      </c>
      <c r="T1784" t="s">
        <v>3</v>
      </c>
      <c r="U1784" t="s">
        <v>3</v>
      </c>
      <c r="V1784" t="s">
        <v>3</v>
      </c>
      <c r="W1784" t="s">
        <v>68</v>
      </c>
      <c r="X1784" s="17">
        <v>43677</v>
      </c>
      <c r="Y1784" t="s">
        <v>4156</v>
      </c>
      <c r="Z1784" s="17">
        <v>43636</v>
      </c>
      <c r="AA1784" t="s">
        <v>3</v>
      </c>
      <c r="AB1784" t="s">
        <v>4281</v>
      </c>
    </row>
    <row r="1785" spans="1:28" hidden="1">
      <c r="A1785" t="s">
        <v>4285</v>
      </c>
      <c r="B1785" s="17">
        <v>43636</v>
      </c>
      <c r="C1785" s="17">
        <v>43636</v>
      </c>
      <c r="D1785" t="s">
        <v>0</v>
      </c>
      <c r="E1785" t="s">
        <v>1</v>
      </c>
      <c r="F1785" s="18">
        <v>17478</v>
      </c>
      <c r="G1785" s="18">
        <v>17478</v>
      </c>
      <c r="H1785" t="s">
        <v>2</v>
      </c>
      <c r="I1785" t="s">
        <v>10</v>
      </c>
      <c r="J1785" s="18">
        <v>1459063.44</v>
      </c>
      <c r="K1785" t="s">
        <v>4257</v>
      </c>
      <c r="L1785" t="s">
        <v>4</v>
      </c>
      <c r="M1785" t="s">
        <v>4286</v>
      </c>
      <c r="N1785" t="s">
        <v>3</v>
      </c>
      <c r="O1785" t="s">
        <v>3</v>
      </c>
      <c r="P1785" t="s">
        <v>5</v>
      </c>
      <c r="Q1785" t="s">
        <v>4287</v>
      </c>
      <c r="R1785" t="s">
        <v>3</v>
      </c>
      <c r="S1785" t="s">
        <v>3</v>
      </c>
      <c r="T1785" t="s">
        <v>3</v>
      </c>
      <c r="U1785" t="s">
        <v>3</v>
      </c>
      <c r="V1785" t="s">
        <v>3</v>
      </c>
      <c r="W1785" t="s">
        <v>68</v>
      </c>
      <c r="X1785" s="17"/>
      <c r="Y1785" t="s">
        <v>3</v>
      </c>
      <c r="Z1785" s="17">
        <v>43636</v>
      </c>
      <c r="AA1785" t="s">
        <v>3</v>
      </c>
      <c r="AB1785" t="s">
        <v>4285</v>
      </c>
    </row>
    <row r="1786" spans="1:28" hidden="1">
      <c r="A1786" t="s">
        <v>4285</v>
      </c>
      <c r="B1786" s="17">
        <v>43636</v>
      </c>
      <c r="C1786" s="17">
        <v>43636</v>
      </c>
      <c r="D1786" t="s">
        <v>0</v>
      </c>
      <c r="E1786" t="s">
        <v>1</v>
      </c>
      <c r="F1786" s="18">
        <v>41740.910000000003</v>
      </c>
      <c r="G1786" s="18">
        <v>41740.910000000003</v>
      </c>
      <c r="H1786" t="s">
        <v>2</v>
      </c>
      <c r="I1786" t="s">
        <v>10</v>
      </c>
      <c r="J1786" s="18">
        <v>3484531.17</v>
      </c>
      <c r="K1786" t="s">
        <v>4261</v>
      </c>
      <c r="L1786" t="s">
        <v>4</v>
      </c>
      <c r="M1786" t="s">
        <v>4286</v>
      </c>
      <c r="N1786" t="s">
        <v>3</v>
      </c>
      <c r="O1786" t="s">
        <v>3</v>
      </c>
      <c r="P1786" t="s">
        <v>5</v>
      </c>
      <c r="Q1786" t="s">
        <v>4287</v>
      </c>
      <c r="R1786" t="s">
        <v>3</v>
      </c>
      <c r="S1786" t="s">
        <v>3</v>
      </c>
      <c r="T1786" t="s">
        <v>3</v>
      </c>
      <c r="U1786" t="s">
        <v>3</v>
      </c>
      <c r="V1786" t="s">
        <v>3</v>
      </c>
      <c r="W1786" t="s">
        <v>68</v>
      </c>
      <c r="X1786" s="17"/>
      <c r="Y1786" t="s">
        <v>3</v>
      </c>
      <c r="Z1786" s="17">
        <v>43636</v>
      </c>
      <c r="AA1786" t="s">
        <v>3</v>
      </c>
      <c r="AB1786" t="s">
        <v>4285</v>
      </c>
    </row>
    <row r="1787" spans="1:28" hidden="1">
      <c r="A1787" t="s">
        <v>4298</v>
      </c>
      <c r="B1787" s="17">
        <v>43636</v>
      </c>
      <c r="C1787" s="17">
        <v>43636</v>
      </c>
      <c r="D1787" t="s">
        <v>0</v>
      </c>
      <c r="E1787" t="s">
        <v>1</v>
      </c>
      <c r="F1787" s="18">
        <v>95877</v>
      </c>
      <c r="G1787" s="18">
        <v>95877</v>
      </c>
      <c r="H1787" t="s">
        <v>2</v>
      </c>
      <c r="I1787" t="s">
        <v>8</v>
      </c>
      <c r="J1787" s="18">
        <v>8003811.96</v>
      </c>
      <c r="K1787" t="s">
        <v>4113</v>
      </c>
      <c r="L1787" t="s">
        <v>9</v>
      </c>
      <c r="M1787" t="s">
        <v>4299</v>
      </c>
      <c r="N1787" t="s">
        <v>3</v>
      </c>
      <c r="O1787" t="s">
        <v>3</v>
      </c>
      <c r="P1787" t="s">
        <v>5</v>
      </c>
      <c r="Q1787" t="s">
        <v>4300</v>
      </c>
      <c r="R1787" t="s">
        <v>3</v>
      </c>
      <c r="S1787" t="s">
        <v>3</v>
      </c>
      <c r="T1787" t="s">
        <v>3</v>
      </c>
      <c r="U1787" t="s">
        <v>3</v>
      </c>
      <c r="V1787" t="s">
        <v>3</v>
      </c>
      <c r="W1787" t="s">
        <v>68</v>
      </c>
      <c r="X1787" s="17">
        <v>43769</v>
      </c>
      <c r="Y1787" t="s">
        <v>4005</v>
      </c>
      <c r="Z1787" s="17">
        <v>43636</v>
      </c>
      <c r="AA1787" t="s">
        <v>3</v>
      </c>
      <c r="AB1787" t="s">
        <v>4298</v>
      </c>
    </row>
    <row r="1788" spans="1:28" hidden="1">
      <c r="A1788" t="s">
        <v>4298</v>
      </c>
      <c r="B1788" s="17">
        <v>43636</v>
      </c>
      <c r="C1788" s="17">
        <v>43636</v>
      </c>
      <c r="D1788" t="s">
        <v>0</v>
      </c>
      <c r="E1788" t="s">
        <v>1</v>
      </c>
      <c r="F1788" s="18">
        <v>13143</v>
      </c>
      <c r="G1788" s="18">
        <v>13143</v>
      </c>
      <c r="H1788" t="s">
        <v>2</v>
      </c>
      <c r="I1788" t="s">
        <v>8</v>
      </c>
      <c r="J1788" s="18">
        <v>1097177.6399999999</v>
      </c>
      <c r="K1788" t="s">
        <v>4243</v>
      </c>
      <c r="L1788" t="s">
        <v>9</v>
      </c>
      <c r="M1788" t="s">
        <v>4299</v>
      </c>
      <c r="N1788" t="s">
        <v>3</v>
      </c>
      <c r="O1788" t="s">
        <v>3</v>
      </c>
      <c r="P1788" t="s">
        <v>5</v>
      </c>
      <c r="Q1788" t="s">
        <v>4300</v>
      </c>
      <c r="R1788" t="s">
        <v>3</v>
      </c>
      <c r="S1788" t="s">
        <v>3</v>
      </c>
      <c r="T1788" t="s">
        <v>3</v>
      </c>
      <c r="U1788" t="s">
        <v>3</v>
      </c>
      <c r="V1788" t="s">
        <v>3</v>
      </c>
      <c r="W1788" t="s">
        <v>68</v>
      </c>
      <c r="X1788" s="17">
        <v>43769</v>
      </c>
      <c r="Y1788" t="s">
        <v>4160</v>
      </c>
      <c r="Z1788" s="17">
        <v>43636</v>
      </c>
      <c r="AA1788" t="s">
        <v>3</v>
      </c>
      <c r="AB1788" t="s">
        <v>4298</v>
      </c>
    </row>
    <row r="1789" spans="1:28" hidden="1">
      <c r="A1789" t="s">
        <v>4298</v>
      </c>
      <c r="B1789" s="17">
        <v>43636</v>
      </c>
      <c r="C1789" s="17">
        <v>43636</v>
      </c>
      <c r="D1789" t="s">
        <v>0</v>
      </c>
      <c r="E1789" t="s">
        <v>1</v>
      </c>
      <c r="F1789" s="18">
        <v>8577</v>
      </c>
      <c r="G1789" s="18">
        <v>8577</v>
      </c>
      <c r="H1789" t="s">
        <v>2</v>
      </c>
      <c r="I1789" t="s">
        <v>8</v>
      </c>
      <c r="J1789" s="18">
        <v>716007.96</v>
      </c>
      <c r="K1789" t="s">
        <v>4250</v>
      </c>
      <c r="L1789" t="s">
        <v>9</v>
      </c>
      <c r="M1789" t="s">
        <v>4299</v>
      </c>
      <c r="N1789" t="s">
        <v>3</v>
      </c>
      <c r="O1789" t="s">
        <v>3</v>
      </c>
      <c r="P1789" t="s">
        <v>5</v>
      </c>
      <c r="Q1789" t="s">
        <v>4300</v>
      </c>
      <c r="R1789" t="s">
        <v>3</v>
      </c>
      <c r="S1789" t="s">
        <v>3</v>
      </c>
      <c r="T1789" t="s">
        <v>3</v>
      </c>
      <c r="U1789" t="s">
        <v>3</v>
      </c>
      <c r="V1789" t="s">
        <v>3</v>
      </c>
      <c r="W1789" t="s">
        <v>68</v>
      </c>
      <c r="X1789" s="17">
        <v>44012</v>
      </c>
      <c r="Y1789" t="s">
        <v>4137</v>
      </c>
      <c r="Z1789" s="17">
        <v>43636</v>
      </c>
      <c r="AA1789" t="s">
        <v>3</v>
      </c>
      <c r="AB1789" t="s">
        <v>4298</v>
      </c>
    </row>
    <row r="1790" spans="1:28" hidden="1">
      <c r="A1790" t="s">
        <v>4288</v>
      </c>
      <c r="B1790" s="17">
        <v>43639</v>
      </c>
      <c r="C1790" s="17">
        <v>43639</v>
      </c>
      <c r="D1790" t="s">
        <v>0</v>
      </c>
      <c r="E1790" t="s">
        <v>1</v>
      </c>
      <c r="F1790" s="18">
        <v>54563</v>
      </c>
      <c r="G1790" s="18">
        <v>54563</v>
      </c>
      <c r="H1790" t="s">
        <v>2</v>
      </c>
      <c r="I1790" t="s">
        <v>10</v>
      </c>
      <c r="J1790" s="18">
        <v>4554919.24</v>
      </c>
      <c r="K1790" t="s">
        <v>4052</v>
      </c>
      <c r="L1790" t="s">
        <v>9</v>
      </c>
      <c r="M1790" t="s">
        <v>4289</v>
      </c>
      <c r="N1790" t="s">
        <v>3</v>
      </c>
      <c r="O1790" t="s">
        <v>3</v>
      </c>
      <c r="P1790" t="s">
        <v>5</v>
      </c>
      <c r="Q1790" t="s">
        <v>4290</v>
      </c>
      <c r="R1790" t="s">
        <v>3</v>
      </c>
      <c r="S1790" t="s">
        <v>3</v>
      </c>
      <c r="T1790" t="s">
        <v>3</v>
      </c>
      <c r="U1790" t="s">
        <v>3</v>
      </c>
      <c r="V1790" t="s">
        <v>3</v>
      </c>
      <c r="W1790" t="s">
        <v>68</v>
      </c>
      <c r="X1790" s="17">
        <v>43769</v>
      </c>
      <c r="Y1790" t="s">
        <v>4012</v>
      </c>
      <c r="Z1790" s="17">
        <v>43639</v>
      </c>
      <c r="AA1790" t="s">
        <v>3</v>
      </c>
      <c r="AB1790" t="s">
        <v>4288</v>
      </c>
    </row>
    <row r="1791" spans="1:28" hidden="1">
      <c r="A1791" t="s">
        <v>4288</v>
      </c>
      <c r="B1791" s="17">
        <v>43639</v>
      </c>
      <c r="C1791" s="17">
        <v>43639</v>
      </c>
      <c r="D1791" t="s">
        <v>0</v>
      </c>
      <c r="E1791" t="s">
        <v>1</v>
      </c>
      <c r="F1791" s="18">
        <v>27047</v>
      </c>
      <c r="G1791" s="18">
        <v>27047</v>
      </c>
      <c r="H1791" t="s">
        <v>2</v>
      </c>
      <c r="I1791" t="s">
        <v>10</v>
      </c>
      <c r="J1791" s="18">
        <v>2257883.56</v>
      </c>
      <c r="K1791" t="s">
        <v>4282</v>
      </c>
      <c r="L1791" t="s">
        <v>9</v>
      </c>
      <c r="M1791" t="s">
        <v>4289</v>
      </c>
      <c r="N1791" t="s">
        <v>3</v>
      </c>
      <c r="O1791" t="s">
        <v>3</v>
      </c>
      <c r="P1791" t="s">
        <v>5</v>
      </c>
      <c r="Q1791" t="s">
        <v>4290</v>
      </c>
      <c r="R1791" t="s">
        <v>3</v>
      </c>
      <c r="S1791" t="s">
        <v>3</v>
      </c>
      <c r="T1791" t="s">
        <v>3</v>
      </c>
      <c r="U1791" t="s">
        <v>3</v>
      </c>
      <c r="V1791" t="s">
        <v>3</v>
      </c>
      <c r="W1791" t="s">
        <v>68</v>
      </c>
      <c r="X1791" s="17">
        <v>43677</v>
      </c>
      <c r="Y1791" t="s">
        <v>4156</v>
      </c>
      <c r="Z1791" s="17">
        <v>43639</v>
      </c>
      <c r="AA1791" t="s">
        <v>3</v>
      </c>
      <c r="AB1791" t="s">
        <v>4288</v>
      </c>
    </row>
    <row r="1792" spans="1:28" hidden="1">
      <c r="A1792" t="s">
        <v>4288</v>
      </c>
      <c r="B1792" s="17">
        <v>43639</v>
      </c>
      <c r="C1792" s="17">
        <v>43639</v>
      </c>
      <c r="D1792" t="s">
        <v>0</v>
      </c>
      <c r="E1792" t="s">
        <v>1</v>
      </c>
      <c r="F1792" s="18">
        <v>2250</v>
      </c>
      <c r="G1792" s="18">
        <v>2250</v>
      </c>
      <c r="H1792" t="s">
        <v>2</v>
      </c>
      <c r="I1792" t="s">
        <v>10</v>
      </c>
      <c r="J1792" s="18">
        <v>187425</v>
      </c>
      <c r="K1792" t="s">
        <v>4291</v>
      </c>
      <c r="L1792" t="s">
        <v>9</v>
      </c>
      <c r="M1792" t="s">
        <v>4289</v>
      </c>
      <c r="N1792" t="s">
        <v>3</v>
      </c>
      <c r="O1792" t="s">
        <v>3</v>
      </c>
      <c r="P1792" t="s">
        <v>5</v>
      </c>
      <c r="Q1792" t="s">
        <v>4290</v>
      </c>
      <c r="R1792" t="s">
        <v>3</v>
      </c>
      <c r="S1792" t="s">
        <v>3</v>
      </c>
      <c r="T1792" t="s">
        <v>3</v>
      </c>
      <c r="U1792" t="s">
        <v>3</v>
      </c>
      <c r="V1792" t="s">
        <v>3</v>
      </c>
      <c r="W1792" t="s">
        <v>68</v>
      </c>
      <c r="X1792" s="17">
        <v>43646</v>
      </c>
      <c r="Y1792" t="s">
        <v>2518</v>
      </c>
      <c r="Z1792" s="17">
        <v>43639</v>
      </c>
      <c r="AA1792" t="s">
        <v>3</v>
      </c>
      <c r="AB1792" t="s">
        <v>4288</v>
      </c>
    </row>
    <row r="1793" spans="1:28" hidden="1">
      <c r="A1793" t="s">
        <v>4292</v>
      </c>
      <c r="B1793" s="17">
        <v>43639</v>
      </c>
      <c r="C1793" s="17">
        <v>43639</v>
      </c>
      <c r="D1793" t="s">
        <v>0</v>
      </c>
      <c r="E1793" t="s">
        <v>1</v>
      </c>
      <c r="F1793" s="18">
        <v>2544.29</v>
      </c>
      <c r="G1793" s="18">
        <v>2544.29</v>
      </c>
      <c r="H1793" t="s">
        <v>2</v>
      </c>
      <c r="I1793" t="s">
        <v>8</v>
      </c>
      <c r="J1793" s="18">
        <v>211939.36</v>
      </c>
      <c r="K1793" t="s">
        <v>4042</v>
      </c>
      <c r="L1793" t="s">
        <v>4</v>
      </c>
      <c r="M1793" t="s">
        <v>4293</v>
      </c>
      <c r="N1793" t="s">
        <v>3</v>
      </c>
      <c r="O1793" t="s">
        <v>3</v>
      </c>
      <c r="P1793" t="s">
        <v>5</v>
      </c>
      <c r="Q1793" t="s">
        <v>4294</v>
      </c>
      <c r="R1793" t="s">
        <v>3</v>
      </c>
      <c r="S1793" t="s">
        <v>3</v>
      </c>
      <c r="T1793" t="s">
        <v>3</v>
      </c>
      <c r="U1793" t="s">
        <v>3</v>
      </c>
      <c r="V1793" t="s">
        <v>3</v>
      </c>
      <c r="W1793" t="s">
        <v>68</v>
      </c>
      <c r="X1793" s="17"/>
      <c r="Y1793" t="s">
        <v>3</v>
      </c>
      <c r="Z1793" s="17">
        <v>43639</v>
      </c>
      <c r="AA1793" t="s">
        <v>3</v>
      </c>
      <c r="AB1793" t="s">
        <v>4292</v>
      </c>
    </row>
    <row r="1794" spans="1:28" hidden="1">
      <c r="A1794" t="s">
        <v>4292</v>
      </c>
      <c r="B1794" s="17">
        <v>43639</v>
      </c>
      <c r="C1794" s="17">
        <v>43639</v>
      </c>
      <c r="D1794" t="s">
        <v>0</v>
      </c>
      <c r="E1794" t="s">
        <v>1</v>
      </c>
      <c r="F1794" s="18">
        <v>10278.73</v>
      </c>
      <c r="G1794" s="18">
        <v>10278.73</v>
      </c>
      <c r="H1794" t="s">
        <v>2</v>
      </c>
      <c r="I1794" t="s">
        <v>8</v>
      </c>
      <c r="J1794" s="18">
        <v>858068.38</v>
      </c>
      <c r="K1794" t="s">
        <v>4235</v>
      </c>
      <c r="L1794" t="s">
        <v>4</v>
      </c>
      <c r="M1794" t="s">
        <v>4293</v>
      </c>
      <c r="N1794" t="s">
        <v>3</v>
      </c>
      <c r="O1794" t="s">
        <v>3</v>
      </c>
      <c r="P1794" t="s">
        <v>5</v>
      </c>
      <c r="Q1794" t="s">
        <v>4294</v>
      </c>
      <c r="R1794" t="s">
        <v>3</v>
      </c>
      <c r="S1794" t="s">
        <v>3</v>
      </c>
      <c r="T1794" t="s">
        <v>3</v>
      </c>
      <c r="U1794" t="s">
        <v>3</v>
      </c>
      <c r="V1794" t="s">
        <v>3</v>
      </c>
      <c r="W1794" t="s">
        <v>68</v>
      </c>
      <c r="X1794" s="17"/>
      <c r="Y1794" t="s">
        <v>3</v>
      </c>
      <c r="Z1794" s="17">
        <v>43639</v>
      </c>
      <c r="AA1794" t="s">
        <v>3</v>
      </c>
      <c r="AB1794" t="s">
        <v>4292</v>
      </c>
    </row>
    <row r="1795" spans="1:28" hidden="1">
      <c r="A1795" t="s">
        <v>4292</v>
      </c>
      <c r="B1795" s="17">
        <v>43639</v>
      </c>
      <c r="C1795" s="17">
        <v>43639</v>
      </c>
      <c r="D1795" t="s">
        <v>0</v>
      </c>
      <c r="E1795" t="s">
        <v>1</v>
      </c>
      <c r="F1795" s="18">
        <v>57431.05</v>
      </c>
      <c r="G1795" s="18">
        <v>57431.05</v>
      </c>
      <c r="H1795" t="s">
        <v>2</v>
      </c>
      <c r="I1795" t="s">
        <v>8</v>
      </c>
      <c r="J1795" s="18">
        <v>4794344.05</v>
      </c>
      <c r="K1795" t="s">
        <v>4268</v>
      </c>
      <c r="L1795" t="s">
        <v>4</v>
      </c>
      <c r="M1795" t="s">
        <v>4293</v>
      </c>
      <c r="N1795" t="s">
        <v>3</v>
      </c>
      <c r="O1795" t="s">
        <v>3</v>
      </c>
      <c r="P1795" t="s">
        <v>5</v>
      </c>
      <c r="Q1795" t="s">
        <v>4294</v>
      </c>
      <c r="R1795" t="s">
        <v>3</v>
      </c>
      <c r="S1795" t="s">
        <v>3</v>
      </c>
      <c r="T1795" t="s">
        <v>3</v>
      </c>
      <c r="U1795" t="s">
        <v>3</v>
      </c>
      <c r="V1795" t="s">
        <v>3</v>
      </c>
      <c r="W1795" t="s">
        <v>68</v>
      </c>
      <c r="X1795" s="17"/>
      <c r="Y1795" t="s">
        <v>3</v>
      </c>
      <c r="Z1795" s="17">
        <v>43639</v>
      </c>
      <c r="AA1795" t="s">
        <v>3</v>
      </c>
      <c r="AB1795" t="s">
        <v>4292</v>
      </c>
    </row>
    <row r="1796" spans="1:28" hidden="1">
      <c r="A1796" t="s">
        <v>4295</v>
      </c>
      <c r="B1796" s="17">
        <v>43639</v>
      </c>
      <c r="C1796" s="17">
        <v>43639</v>
      </c>
      <c r="D1796" t="s">
        <v>0</v>
      </c>
      <c r="E1796" t="s">
        <v>1</v>
      </c>
      <c r="F1796" s="18">
        <v>75103</v>
      </c>
      <c r="G1796" s="18">
        <v>75103</v>
      </c>
      <c r="H1796" t="s">
        <v>2</v>
      </c>
      <c r="I1796" t="s">
        <v>8</v>
      </c>
      <c r="J1796" s="18">
        <v>6269598.4400000004</v>
      </c>
      <c r="K1796" t="s">
        <v>4113</v>
      </c>
      <c r="L1796" t="s">
        <v>9</v>
      </c>
      <c r="M1796" t="s">
        <v>4296</v>
      </c>
      <c r="N1796" t="s">
        <v>3</v>
      </c>
      <c r="O1796" t="s">
        <v>3</v>
      </c>
      <c r="P1796" t="s">
        <v>5</v>
      </c>
      <c r="Q1796" t="s">
        <v>4297</v>
      </c>
      <c r="R1796" t="s">
        <v>3</v>
      </c>
      <c r="S1796" t="s">
        <v>3</v>
      </c>
      <c r="T1796" t="s">
        <v>3</v>
      </c>
      <c r="U1796" t="s">
        <v>3</v>
      </c>
      <c r="V1796" t="s">
        <v>3</v>
      </c>
      <c r="W1796" t="s">
        <v>68</v>
      </c>
      <c r="X1796" s="17">
        <v>43769</v>
      </c>
      <c r="Y1796" t="s">
        <v>4005</v>
      </c>
      <c r="Z1796" s="17">
        <v>43639</v>
      </c>
      <c r="AA1796" t="s">
        <v>3</v>
      </c>
      <c r="AB1796" t="s">
        <v>4295</v>
      </c>
    </row>
    <row r="1797" spans="1:28" hidden="1">
      <c r="A1797" t="s">
        <v>4295</v>
      </c>
      <c r="B1797" s="17">
        <v>43639</v>
      </c>
      <c r="C1797" s="17">
        <v>43639</v>
      </c>
      <c r="D1797" t="s">
        <v>0</v>
      </c>
      <c r="E1797" t="s">
        <v>1</v>
      </c>
      <c r="F1797" s="18">
        <v>131362</v>
      </c>
      <c r="G1797" s="18">
        <v>131362</v>
      </c>
      <c r="H1797" t="s">
        <v>2</v>
      </c>
      <c r="I1797" t="s">
        <v>8</v>
      </c>
      <c r="J1797" s="18">
        <v>10966099.76</v>
      </c>
      <c r="K1797" t="s">
        <v>4243</v>
      </c>
      <c r="L1797" t="s">
        <v>9</v>
      </c>
      <c r="M1797" t="s">
        <v>4296</v>
      </c>
      <c r="N1797" t="s">
        <v>3</v>
      </c>
      <c r="O1797" t="s">
        <v>3</v>
      </c>
      <c r="P1797" t="s">
        <v>5</v>
      </c>
      <c r="Q1797" t="s">
        <v>4297</v>
      </c>
      <c r="R1797" t="s">
        <v>3</v>
      </c>
      <c r="S1797" t="s">
        <v>3</v>
      </c>
      <c r="T1797" t="s">
        <v>3</v>
      </c>
      <c r="U1797" t="s">
        <v>3</v>
      </c>
      <c r="V1797" t="s">
        <v>3</v>
      </c>
      <c r="W1797" t="s">
        <v>68</v>
      </c>
      <c r="X1797" s="17">
        <v>43769</v>
      </c>
      <c r="Y1797" t="s">
        <v>4160</v>
      </c>
      <c r="Z1797" s="17">
        <v>43639</v>
      </c>
      <c r="AA1797" t="s">
        <v>3</v>
      </c>
      <c r="AB1797" t="s">
        <v>4295</v>
      </c>
    </row>
    <row r="1798" spans="1:28" hidden="1">
      <c r="A1798" t="s">
        <v>4295</v>
      </c>
      <c r="B1798" s="17">
        <v>43639</v>
      </c>
      <c r="C1798" s="17">
        <v>43639</v>
      </c>
      <c r="D1798" t="s">
        <v>0</v>
      </c>
      <c r="E1798" t="s">
        <v>1</v>
      </c>
      <c r="F1798" s="18">
        <v>105542</v>
      </c>
      <c r="G1798" s="18">
        <v>105542</v>
      </c>
      <c r="H1798" t="s">
        <v>2</v>
      </c>
      <c r="I1798" t="s">
        <v>8</v>
      </c>
      <c r="J1798" s="18">
        <v>8810646.1600000001</v>
      </c>
      <c r="K1798" t="s">
        <v>4250</v>
      </c>
      <c r="L1798" t="s">
        <v>9</v>
      </c>
      <c r="M1798" t="s">
        <v>4296</v>
      </c>
      <c r="N1798" t="s">
        <v>3</v>
      </c>
      <c r="O1798" t="s">
        <v>3</v>
      </c>
      <c r="P1798" t="s">
        <v>5</v>
      </c>
      <c r="Q1798" t="s">
        <v>4297</v>
      </c>
      <c r="R1798" t="s">
        <v>3</v>
      </c>
      <c r="S1798" t="s">
        <v>3</v>
      </c>
      <c r="T1798" t="s">
        <v>3</v>
      </c>
      <c r="U1798" t="s">
        <v>3</v>
      </c>
      <c r="V1798" t="s">
        <v>3</v>
      </c>
      <c r="W1798" t="s">
        <v>68</v>
      </c>
      <c r="X1798" s="17">
        <v>44012</v>
      </c>
      <c r="Y1798" t="s">
        <v>4137</v>
      </c>
      <c r="Z1798" s="17">
        <v>43639</v>
      </c>
      <c r="AA1798" t="s">
        <v>3</v>
      </c>
      <c r="AB1798" t="s">
        <v>4295</v>
      </c>
    </row>
    <row r="1799" spans="1:28" hidden="1">
      <c r="A1799" t="s">
        <v>4320</v>
      </c>
      <c r="B1799" s="17">
        <v>43640</v>
      </c>
      <c r="C1799" s="17">
        <v>43640</v>
      </c>
      <c r="D1799" t="s">
        <v>0</v>
      </c>
      <c r="E1799" t="s">
        <v>1</v>
      </c>
      <c r="F1799" s="18">
        <v>717</v>
      </c>
      <c r="G1799" s="18">
        <v>717</v>
      </c>
      <c r="H1799" t="s">
        <v>2</v>
      </c>
      <c r="I1799" t="s">
        <v>10</v>
      </c>
      <c r="J1799" s="18">
        <v>59855.16</v>
      </c>
      <c r="K1799" t="s">
        <v>4052</v>
      </c>
      <c r="L1799" t="s">
        <v>9</v>
      </c>
      <c r="M1799" t="s">
        <v>4321</v>
      </c>
      <c r="N1799" t="s">
        <v>3</v>
      </c>
      <c r="O1799" t="s">
        <v>3</v>
      </c>
      <c r="P1799" t="s">
        <v>5</v>
      </c>
      <c r="Q1799" t="s">
        <v>4322</v>
      </c>
      <c r="R1799" t="s">
        <v>3</v>
      </c>
      <c r="S1799" t="s">
        <v>3</v>
      </c>
      <c r="T1799" t="s">
        <v>3</v>
      </c>
      <c r="U1799" t="s">
        <v>3</v>
      </c>
      <c r="V1799" t="s">
        <v>3</v>
      </c>
      <c r="W1799" t="s">
        <v>68</v>
      </c>
      <c r="X1799" s="17">
        <v>43769</v>
      </c>
      <c r="Y1799" t="s">
        <v>4012</v>
      </c>
      <c r="Z1799" s="17">
        <v>43640</v>
      </c>
      <c r="AA1799" t="s">
        <v>3</v>
      </c>
      <c r="AB1799" t="s">
        <v>4320</v>
      </c>
    </row>
    <row r="1800" spans="1:28" hidden="1">
      <c r="A1800" t="s">
        <v>4320</v>
      </c>
      <c r="B1800" s="17">
        <v>43640</v>
      </c>
      <c r="C1800" s="17">
        <v>43640</v>
      </c>
      <c r="D1800" t="s">
        <v>0</v>
      </c>
      <c r="E1800" t="s">
        <v>1</v>
      </c>
      <c r="F1800" s="18">
        <v>6402</v>
      </c>
      <c r="G1800" s="18">
        <v>6402</v>
      </c>
      <c r="H1800" t="s">
        <v>2</v>
      </c>
      <c r="I1800" t="s">
        <v>10</v>
      </c>
      <c r="J1800" s="18">
        <v>534438.96</v>
      </c>
      <c r="K1800" t="s">
        <v>4282</v>
      </c>
      <c r="L1800" t="s">
        <v>9</v>
      </c>
      <c r="M1800" t="s">
        <v>4321</v>
      </c>
      <c r="N1800" t="s">
        <v>3</v>
      </c>
      <c r="O1800" t="s">
        <v>3</v>
      </c>
      <c r="P1800" t="s">
        <v>5</v>
      </c>
      <c r="Q1800" t="s">
        <v>4322</v>
      </c>
      <c r="R1800" t="s">
        <v>3</v>
      </c>
      <c r="S1800" t="s">
        <v>3</v>
      </c>
      <c r="T1800" t="s">
        <v>3</v>
      </c>
      <c r="U1800" t="s">
        <v>3</v>
      </c>
      <c r="V1800" t="s">
        <v>3</v>
      </c>
      <c r="W1800" t="s">
        <v>68</v>
      </c>
      <c r="X1800" s="17">
        <v>43677</v>
      </c>
      <c r="Y1800" t="s">
        <v>4156</v>
      </c>
      <c r="Z1800" s="17">
        <v>43640</v>
      </c>
      <c r="AA1800" t="s">
        <v>3</v>
      </c>
      <c r="AB1800" t="s">
        <v>4320</v>
      </c>
    </row>
    <row r="1801" spans="1:28" hidden="1">
      <c r="A1801" t="s">
        <v>4320</v>
      </c>
      <c r="B1801" s="17">
        <v>43640</v>
      </c>
      <c r="C1801" s="17">
        <v>43640</v>
      </c>
      <c r="D1801" t="s">
        <v>0</v>
      </c>
      <c r="E1801" t="s">
        <v>1</v>
      </c>
      <c r="F1801" s="18">
        <v>3269</v>
      </c>
      <c r="G1801" s="18">
        <v>3269</v>
      </c>
      <c r="H1801" t="s">
        <v>2</v>
      </c>
      <c r="I1801" t="s">
        <v>10</v>
      </c>
      <c r="J1801" s="18">
        <v>272307.7</v>
      </c>
      <c r="K1801" t="s">
        <v>4291</v>
      </c>
      <c r="L1801" t="s">
        <v>9</v>
      </c>
      <c r="M1801" t="s">
        <v>4321</v>
      </c>
      <c r="N1801" t="s">
        <v>3</v>
      </c>
      <c r="O1801" t="s">
        <v>3</v>
      </c>
      <c r="P1801" t="s">
        <v>5</v>
      </c>
      <c r="Q1801" t="s">
        <v>4322</v>
      </c>
      <c r="R1801" t="s">
        <v>3</v>
      </c>
      <c r="S1801" t="s">
        <v>3</v>
      </c>
      <c r="T1801" t="s">
        <v>3</v>
      </c>
      <c r="U1801" t="s">
        <v>3</v>
      </c>
      <c r="V1801" t="s">
        <v>3</v>
      </c>
      <c r="W1801" t="s">
        <v>68</v>
      </c>
      <c r="X1801" s="17">
        <v>43646</v>
      </c>
      <c r="Y1801" t="s">
        <v>2518</v>
      </c>
      <c r="Z1801" s="17">
        <v>43640</v>
      </c>
      <c r="AA1801" t="s">
        <v>3</v>
      </c>
      <c r="AB1801" t="s">
        <v>4320</v>
      </c>
    </row>
    <row r="1802" spans="1:28" hidden="1">
      <c r="A1802" t="s">
        <v>4323</v>
      </c>
      <c r="B1802" s="17">
        <v>43640</v>
      </c>
      <c r="C1802" s="17">
        <v>43640</v>
      </c>
      <c r="D1802" t="s">
        <v>0</v>
      </c>
      <c r="E1802" t="s">
        <v>1</v>
      </c>
      <c r="F1802" s="18">
        <v>2593</v>
      </c>
      <c r="G1802" s="18">
        <v>2593</v>
      </c>
      <c r="H1802" t="s">
        <v>2</v>
      </c>
      <c r="I1802" t="s">
        <v>10</v>
      </c>
      <c r="J1802" s="18">
        <v>216463.64</v>
      </c>
      <c r="K1802" t="s">
        <v>4052</v>
      </c>
      <c r="L1802" t="s">
        <v>9</v>
      </c>
      <c r="M1802" t="s">
        <v>4324</v>
      </c>
      <c r="N1802" t="s">
        <v>3</v>
      </c>
      <c r="O1802" t="s">
        <v>3</v>
      </c>
      <c r="P1802" t="s">
        <v>5</v>
      </c>
      <c r="Q1802" t="s">
        <v>4325</v>
      </c>
      <c r="R1802" t="s">
        <v>3</v>
      </c>
      <c r="S1802" t="s">
        <v>3</v>
      </c>
      <c r="T1802" t="s">
        <v>3</v>
      </c>
      <c r="U1802" t="s">
        <v>3</v>
      </c>
      <c r="V1802" t="s">
        <v>3</v>
      </c>
      <c r="W1802" t="s">
        <v>68</v>
      </c>
      <c r="X1802" s="17">
        <v>43769</v>
      </c>
      <c r="Y1802" t="s">
        <v>4012</v>
      </c>
      <c r="Z1802" s="17">
        <v>43640</v>
      </c>
      <c r="AA1802" t="s">
        <v>3</v>
      </c>
      <c r="AB1802" t="s">
        <v>4323</v>
      </c>
    </row>
    <row r="1803" spans="1:28" hidden="1">
      <c r="A1803" t="s">
        <v>4323</v>
      </c>
      <c r="B1803" s="17">
        <v>43640</v>
      </c>
      <c r="C1803" s="17">
        <v>43640</v>
      </c>
      <c r="D1803" t="s">
        <v>0</v>
      </c>
      <c r="E1803" t="s">
        <v>1</v>
      </c>
      <c r="F1803" s="18">
        <v>6454</v>
      </c>
      <c r="G1803" s="18">
        <v>6454</v>
      </c>
      <c r="H1803" t="s">
        <v>2</v>
      </c>
      <c r="I1803" t="s">
        <v>10</v>
      </c>
      <c r="J1803" s="18">
        <v>538779.92000000004</v>
      </c>
      <c r="K1803" t="s">
        <v>4282</v>
      </c>
      <c r="L1803" t="s">
        <v>9</v>
      </c>
      <c r="M1803" t="s">
        <v>4324</v>
      </c>
      <c r="N1803" t="s">
        <v>3</v>
      </c>
      <c r="O1803" t="s">
        <v>3</v>
      </c>
      <c r="P1803" t="s">
        <v>5</v>
      </c>
      <c r="Q1803" t="s">
        <v>4325</v>
      </c>
      <c r="R1803" t="s">
        <v>3</v>
      </c>
      <c r="S1803" t="s">
        <v>3</v>
      </c>
      <c r="T1803" t="s">
        <v>3</v>
      </c>
      <c r="U1803" t="s">
        <v>3</v>
      </c>
      <c r="V1803" t="s">
        <v>3</v>
      </c>
      <c r="W1803" t="s">
        <v>68</v>
      </c>
      <c r="X1803" s="17">
        <v>43677</v>
      </c>
      <c r="Y1803" t="s">
        <v>4156</v>
      </c>
      <c r="Z1803" s="17">
        <v>43640</v>
      </c>
      <c r="AA1803" t="s">
        <v>3</v>
      </c>
      <c r="AB1803" t="s">
        <v>4323</v>
      </c>
    </row>
    <row r="1804" spans="1:28" hidden="1">
      <c r="A1804" t="s">
        <v>4326</v>
      </c>
      <c r="B1804" s="17">
        <v>43640</v>
      </c>
      <c r="C1804" s="17">
        <v>43640</v>
      </c>
      <c r="D1804" t="s">
        <v>0</v>
      </c>
      <c r="E1804" t="s">
        <v>1</v>
      </c>
      <c r="F1804" s="18">
        <v>29850</v>
      </c>
      <c r="G1804" s="18">
        <v>29850</v>
      </c>
      <c r="H1804" t="s">
        <v>2</v>
      </c>
      <c r="I1804" t="s">
        <v>8</v>
      </c>
      <c r="J1804" s="18">
        <v>2491878</v>
      </c>
      <c r="K1804" t="s">
        <v>4243</v>
      </c>
      <c r="L1804" t="s">
        <v>9</v>
      </c>
      <c r="M1804" t="s">
        <v>4327</v>
      </c>
      <c r="N1804" t="s">
        <v>3</v>
      </c>
      <c r="O1804" t="s">
        <v>3</v>
      </c>
      <c r="P1804" t="s">
        <v>5</v>
      </c>
      <c r="Q1804" t="s">
        <v>4328</v>
      </c>
      <c r="R1804" t="s">
        <v>3</v>
      </c>
      <c r="S1804" t="s">
        <v>3</v>
      </c>
      <c r="T1804" t="s">
        <v>3</v>
      </c>
      <c r="U1804" t="s">
        <v>3</v>
      </c>
      <c r="V1804" t="s">
        <v>3</v>
      </c>
      <c r="W1804" t="s">
        <v>68</v>
      </c>
      <c r="X1804" s="17">
        <v>43769</v>
      </c>
      <c r="Y1804" t="s">
        <v>4160</v>
      </c>
      <c r="Z1804" s="17">
        <v>43640</v>
      </c>
      <c r="AA1804" t="s">
        <v>3</v>
      </c>
      <c r="AB1804" t="s">
        <v>4326</v>
      </c>
    </row>
    <row r="1805" spans="1:28" hidden="1">
      <c r="A1805" t="s">
        <v>4329</v>
      </c>
      <c r="B1805" s="17">
        <v>43640</v>
      </c>
      <c r="C1805" s="17">
        <v>43640</v>
      </c>
      <c r="D1805" t="s">
        <v>0</v>
      </c>
      <c r="E1805" t="s">
        <v>1</v>
      </c>
      <c r="F1805" s="18">
        <v>7501</v>
      </c>
      <c r="G1805" s="18">
        <v>7501</v>
      </c>
      <c r="H1805" t="s">
        <v>2</v>
      </c>
      <c r="I1805" t="s">
        <v>8</v>
      </c>
      <c r="J1805" s="18">
        <v>626183.48</v>
      </c>
      <c r="K1805" t="s">
        <v>4113</v>
      </c>
      <c r="L1805" t="s">
        <v>9</v>
      </c>
      <c r="M1805" t="s">
        <v>4330</v>
      </c>
      <c r="N1805" t="s">
        <v>3</v>
      </c>
      <c r="O1805" t="s">
        <v>3</v>
      </c>
      <c r="P1805" t="s">
        <v>5</v>
      </c>
      <c r="Q1805" t="s">
        <v>4331</v>
      </c>
      <c r="R1805" t="s">
        <v>3</v>
      </c>
      <c r="S1805" t="s">
        <v>3</v>
      </c>
      <c r="T1805" t="s">
        <v>3</v>
      </c>
      <c r="U1805" t="s">
        <v>3</v>
      </c>
      <c r="V1805" t="s">
        <v>3</v>
      </c>
      <c r="W1805" t="s">
        <v>68</v>
      </c>
      <c r="X1805" s="17">
        <v>43769</v>
      </c>
      <c r="Y1805" t="s">
        <v>4005</v>
      </c>
      <c r="Z1805" s="17">
        <v>43640</v>
      </c>
      <c r="AA1805" t="s">
        <v>3</v>
      </c>
      <c r="AB1805" t="s">
        <v>4329</v>
      </c>
    </row>
    <row r="1806" spans="1:28" hidden="1">
      <c r="A1806" t="s">
        <v>4332</v>
      </c>
      <c r="B1806" s="17">
        <v>43640</v>
      </c>
      <c r="C1806" s="17">
        <v>43640</v>
      </c>
      <c r="D1806" t="s">
        <v>0</v>
      </c>
      <c r="E1806" t="s">
        <v>1</v>
      </c>
      <c r="F1806" s="18">
        <v>4556</v>
      </c>
      <c r="G1806" s="18">
        <v>4556</v>
      </c>
      <c r="H1806" t="s">
        <v>2</v>
      </c>
      <c r="I1806" t="s">
        <v>8</v>
      </c>
      <c r="J1806" s="18">
        <v>380334.88</v>
      </c>
      <c r="K1806" t="s">
        <v>4243</v>
      </c>
      <c r="L1806" t="s">
        <v>9</v>
      </c>
      <c r="M1806" t="s">
        <v>4333</v>
      </c>
      <c r="N1806" t="s">
        <v>3</v>
      </c>
      <c r="O1806" t="s">
        <v>3</v>
      </c>
      <c r="P1806" t="s">
        <v>5</v>
      </c>
      <c r="Q1806" t="s">
        <v>4334</v>
      </c>
      <c r="R1806" t="s">
        <v>3</v>
      </c>
      <c r="S1806" t="s">
        <v>3</v>
      </c>
      <c r="T1806" t="s">
        <v>3</v>
      </c>
      <c r="U1806" t="s">
        <v>3</v>
      </c>
      <c r="V1806" t="s">
        <v>3</v>
      </c>
      <c r="W1806" t="s">
        <v>68</v>
      </c>
      <c r="X1806" s="17">
        <v>43769</v>
      </c>
      <c r="Y1806" t="s">
        <v>4160</v>
      </c>
      <c r="Z1806" s="17">
        <v>43640</v>
      </c>
      <c r="AA1806" t="s">
        <v>3</v>
      </c>
      <c r="AB1806" t="s">
        <v>4332</v>
      </c>
    </row>
    <row r="1807" spans="1:28" hidden="1">
      <c r="A1807" t="s">
        <v>4317</v>
      </c>
      <c r="B1807" s="17">
        <v>43641</v>
      </c>
      <c r="C1807" s="17">
        <v>43641</v>
      </c>
      <c r="D1807" t="s">
        <v>0</v>
      </c>
      <c r="E1807" t="s">
        <v>1</v>
      </c>
      <c r="F1807" s="18">
        <v>4254</v>
      </c>
      <c r="G1807" s="18">
        <v>4254</v>
      </c>
      <c r="H1807" t="s">
        <v>2</v>
      </c>
      <c r="I1807" t="s">
        <v>10</v>
      </c>
      <c r="J1807" s="18">
        <v>355123.92</v>
      </c>
      <c r="K1807" t="s">
        <v>4282</v>
      </c>
      <c r="L1807" t="s">
        <v>9</v>
      </c>
      <c r="M1807" t="s">
        <v>4318</v>
      </c>
      <c r="N1807" t="s">
        <v>3</v>
      </c>
      <c r="O1807" t="s">
        <v>3</v>
      </c>
      <c r="P1807" t="s">
        <v>5</v>
      </c>
      <c r="Q1807" t="s">
        <v>4319</v>
      </c>
      <c r="R1807" t="s">
        <v>3</v>
      </c>
      <c r="S1807" t="s">
        <v>3</v>
      </c>
      <c r="T1807" t="s">
        <v>3</v>
      </c>
      <c r="U1807" t="s">
        <v>3</v>
      </c>
      <c r="V1807" t="s">
        <v>3</v>
      </c>
      <c r="W1807" t="s">
        <v>68</v>
      </c>
      <c r="X1807" s="17">
        <v>43677</v>
      </c>
      <c r="Y1807" t="s">
        <v>4156</v>
      </c>
      <c r="Z1807" s="17">
        <v>43641</v>
      </c>
      <c r="AA1807" t="s">
        <v>3</v>
      </c>
      <c r="AB1807" t="s">
        <v>4317</v>
      </c>
    </row>
    <row r="1808" spans="1:28" hidden="1">
      <c r="A1808" t="s">
        <v>4335</v>
      </c>
      <c r="B1808" s="17">
        <v>43642</v>
      </c>
      <c r="C1808" s="17">
        <v>43642</v>
      </c>
      <c r="D1808" t="s">
        <v>0</v>
      </c>
      <c r="E1808" t="s">
        <v>1</v>
      </c>
      <c r="F1808" s="18">
        <v>7595</v>
      </c>
      <c r="G1808" s="18">
        <v>7595</v>
      </c>
      <c r="H1808" t="s">
        <v>2</v>
      </c>
      <c r="I1808" t="s">
        <v>8</v>
      </c>
      <c r="J1808" s="18">
        <v>634030.6</v>
      </c>
      <c r="K1808" t="s">
        <v>4231</v>
      </c>
      <c r="L1808" t="s">
        <v>4</v>
      </c>
      <c r="M1808" t="s">
        <v>4336</v>
      </c>
      <c r="N1808" t="s">
        <v>3</v>
      </c>
      <c r="O1808" t="s">
        <v>3</v>
      </c>
      <c r="P1808" t="s">
        <v>5</v>
      </c>
      <c r="Q1808" t="s">
        <v>4337</v>
      </c>
      <c r="R1808" t="s">
        <v>3</v>
      </c>
      <c r="S1808" t="s">
        <v>3</v>
      </c>
      <c r="T1808" t="s">
        <v>3</v>
      </c>
      <c r="U1808" t="s">
        <v>3</v>
      </c>
      <c r="V1808" t="s">
        <v>3</v>
      </c>
      <c r="W1808" t="s">
        <v>68</v>
      </c>
      <c r="X1808" s="17"/>
      <c r="Y1808" t="s">
        <v>3</v>
      </c>
      <c r="Z1808" s="17">
        <v>43642</v>
      </c>
      <c r="AA1808" t="s">
        <v>3</v>
      </c>
      <c r="AB1808" t="s">
        <v>4335</v>
      </c>
    </row>
    <row r="1809" spans="1:28" hidden="1">
      <c r="A1809" t="s">
        <v>4338</v>
      </c>
      <c r="B1809" s="17">
        <v>43643</v>
      </c>
      <c r="C1809" s="17">
        <v>43643</v>
      </c>
      <c r="D1809" t="s">
        <v>0</v>
      </c>
      <c r="E1809" t="s">
        <v>1</v>
      </c>
      <c r="F1809" s="18">
        <v>15284</v>
      </c>
      <c r="G1809" s="18">
        <v>15284</v>
      </c>
      <c r="H1809" t="s">
        <v>2</v>
      </c>
      <c r="I1809" t="s">
        <v>8</v>
      </c>
      <c r="J1809" s="18">
        <v>1275908.32</v>
      </c>
      <c r="K1809" t="s">
        <v>4113</v>
      </c>
      <c r="L1809" t="s">
        <v>9</v>
      </c>
      <c r="M1809" t="s">
        <v>4339</v>
      </c>
      <c r="N1809" t="s">
        <v>3</v>
      </c>
      <c r="O1809" t="s">
        <v>3</v>
      </c>
      <c r="P1809" t="s">
        <v>5</v>
      </c>
      <c r="Q1809" t="s">
        <v>4340</v>
      </c>
      <c r="R1809" t="s">
        <v>3</v>
      </c>
      <c r="S1809" t="s">
        <v>3</v>
      </c>
      <c r="T1809" t="s">
        <v>3</v>
      </c>
      <c r="U1809" t="s">
        <v>3</v>
      </c>
      <c r="V1809" t="s">
        <v>3</v>
      </c>
      <c r="W1809" t="s">
        <v>68</v>
      </c>
      <c r="X1809" s="17">
        <v>43769</v>
      </c>
      <c r="Y1809" t="s">
        <v>4005</v>
      </c>
      <c r="Z1809" s="17">
        <v>43643</v>
      </c>
      <c r="AA1809" t="s">
        <v>3</v>
      </c>
      <c r="AB1809" t="s">
        <v>4338</v>
      </c>
    </row>
    <row r="1810" spans="1:28" hidden="1">
      <c r="A1810" t="s">
        <v>4338</v>
      </c>
      <c r="B1810" s="17">
        <v>43643</v>
      </c>
      <c r="C1810" s="17">
        <v>43643</v>
      </c>
      <c r="D1810" t="s">
        <v>0</v>
      </c>
      <c r="E1810" t="s">
        <v>1</v>
      </c>
      <c r="F1810" s="18">
        <v>10060</v>
      </c>
      <c r="G1810" s="18">
        <v>10060</v>
      </c>
      <c r="H1810" t="s">
        <v>2</v>
      </c>
      <c r="I1810" t="s">
        <v>8</v>
      </c>
      <c r="J1810" s="18">
        <v>839808.8</v>
      </c>
      <c r="K1810" t="s">
        <v>4243</v>
      </c>
      <c r="L1810" t="s">
        <v>9</v>
      </c>
      <c r="M1810" t="s">
        <v>4339</v>
      </c>
      <c r="N1810" t="s">
        <v>3</v>
      </c>
      <c r="O1810" t="s">
        <v>3</v>
      </c>
      <c r="P1810" t="s">
        <v>5</v>
      </c>
      <c r="Q1810" t="s">
        <v>4340</v>
      </c>
      <c r="R1810" t="s">
        <v>3</v>
      </c>
      <c r="S1810" t="s">
        <v>3</v>
      </c>
      <c r="T1810" t="s">
        <v>3</v>
      </c>
      <c r="U1810" t="s">
        <v>3</v>
      </c>
      <c r="V1810" t="s">
        <v>3</v>
      </c>
      <c r="W1810" t="s">
        <v>68</v>
      </c>
      <c r="X1810" s="17">
        <v>43769</v>
      </c>
      <c r="Y1810" t="s">
        <v>4160</v>
      </c>
      <c r="Z1810" s="17">
        <v>43643</v>
      </c>
      <c r="AA1810" t="s">
        <v>3</v>
      </c>
      <c r="AB1810" t="s">
        <v>4338</v>
      </c>
    </row>
    <row r="1811" spans="1:28" hidden="1">
      <c r="A1811" t="s">
        <v>2472</v>
      </c>
      <c r="B1811" s="17">
        <v>43646</v>
      </c>
      <c r="C1811" s="17">
        <v>43646</v>
      </c>
      <c r="D1811" t="s">
        <v>7</v>
      </c>
      <c r="E1811" t="s">
        <v>1</v>
      </c>
      <c r="F1811" s="18">
        <v>566069</v>
      </c>
      <c r="G1811" s="18">
        <v>566069</v>
      </c>
      <c r="H1811" t="s">
        <v>2</v>
      </c>
      <c r="I1811" t="s">
        <v>8</v>
      </c>
      <c r="J1811" s="18">
        <v>46955423.549999997</v>
      </c>
      <c r="K1811" t="s">
        <v>2473</v>
      </c>
      <c r="L1811" t="s">
        <v>9</v>
      </c>
      <c r="M1811" t="s">
        <v>2474</v>
      </c>
      <c r="N1811" t="s">
        <v>3</v>
      </c>
      <c r="O1811" t="s">
        <v>3</v>
      </c>
      <c r="P1811" t="s">
        <v>5</v>
      </c>
      <c r="Q1811" t="s">
        <v>2473</v>
      </c>
      <c r="R1811" t="s">
        <v>3</v>
      </c>
      <c r="S1811" t="s">
        <v>3</v>
      </c>
      <c r="T1811" t="s">
        <v>3</v>
      </c>
      <c r="U1811" t="s">
        <v>3</v>
      </c>
      <c r="V1811" t="s">
        <v>3</v>
      </c>
      <c r="W1811" t="s">
        <v>68</v>
      </c>
      <c r="X1811" s="17">
        <v>43646</v>
      </c>
      <c r="Y1811" t="s">
        <v>2472</v>
      </c>
      <c r="Z1811" s="17">
        <v>43646</v>
      </c>
      <c r="AA1811" t="s">
        <v>3</v>
      </c>
      <c r="AB1811" t="s">
        <v>2472</v>
      </c>
    </row>
    <row r="1812" spans="1:28" hidden="1">
      <c r="A1812" t="s">
        <v>2472</v>
      </c>
      <c r="B1812" s="17">
        <v>43646</v>
      </c>
      <c r="C1812" s="17">
        <v>43646</v>
      </c>
      <c r="D1812" t="s">
        <v>7</v>
      </c>
      <c r="E1812" t="s">
        <v>1</v>
      </c>
      <c r="F1812" s="18">
        <v>-566069</v>
      </c>
      <c r="G1812" s="18">
        <v>-566069</v>
      </c>
      <c r="H1812" t="s">
        <v>2</v>
      </c>
      <c r="I1812" t="s">
        <v>8</v>
      </c>
      <c r="J1812" s="18">
        <v>-46955423.549999997</v>
      </c>
      <c r="K1812" t="s">
        <v>2473</v>
      </c>
      <c r="L1812" t="s">
        <v>9</v>
      </c>
      <c r="M1812" t="s">
        <v>2474</v>
      </c>
      <c r="N1812" t="s">
        <v>3</v>
      </c>
      <c r="O1812" t="s">
        <v>3</v>
      </c>
      <c r="P1812" t="s">
        <v>5</v>
      </c>
      <c r="Q1812" t="s">
        <v>2473</v>
      </c>
      <c r="R1812" t="s">
        <v>3</v>
      </c>
      <c r="S1812" t="s">
        <v>3</v>
      </c>
      <c r="T1812" t="s">
        <v>3</v>
      </c>
      <c r="U1812" t="s">
        <v>3</v>
      </c>
      <c r="V1812" t="s">
        <v>3</v>
      </c>
      <c r="W1812" t="s">
        <v>68</v>
      </c>
      <c r="X1812" s="17">
        <v>43646</v>
      </c>
      <c r="Y1812" t="s">
        <v>2472</v>
      </c>
      <c r="Z1812" s="17">
        <v>43646</v>
      </c>
      <c r="AA1812" t="s">
        <v>3</v>
      </c>
      <c r="AB1812" t="s">
        <v>2472</v>
      </c>
    </row>
    <row r="1813" spans="1:28" hidden="1">
      <c r="A1813" t="s">
        <v>2475</v>
      </c>
      <c r="B1813" s="17">
        <v>43646</v>
      </c>
      <c r="C1813" s="17">
        <v>43646</v>
      </c>
      <c r="D1813" t="s">
        <v>7</v>
      </c>
      <c r="E1813" t="s">
        <v>1</v>
      </c>
      <c r="F1813" s="18">
        <v>400114</v>
      </c>
      <c r="G1813" s="18">
        <v>400114</v>
      </c>
      <c r="H1813" t="s">
        <v>2</v>
      </c>
      <c r="I1813" t="s">
        <v>8</v>
      </c>
      <c r="J1813" s="18">
        <v>33189456.300000001</v>
      </c>
      <c r="K1813" t="s">
        <v>2476</v>
      </c>
      <c r="L1813" t="s">
        <v>9</v>
      </c>
      <c r="M1813" t="s">
        <v>2474</v>
      </c>
      <c r="N1813" t="s">
        <v>3</v>
      </c>
      <c r="O1813" t="s">
        <v>3</v>
      </c>
      <c r="P1813" t="s">
        <v>5</v>
      </c>
      <c r="Q1813" t="s">
        <v>2476</v>
      </c>
      <c r="R1813" t="s">
        <v>3</v>
      </c>
      <c r="S1813" t="s">
        <v>3</v>
      </c>
      <c r="T1813" t="s">
        <v>3</v>
      </c>
      <c r="U1813" t="s">
        <v>3</v>
      </c>
      <c r="V1813" t="s">
        <v>3</v>
      </c>
      <c r="W1813" t="s">
        <v>68</v>
      </c>
      <c r="X1813" s="17">
        <v>43646</v>
      </c>
      <c r="Y1813" t="s">
        <v>2475</v>
      </c>
      <c r="Z1813" s="17">
        <v>43646</v>
      </c>
      <c r="AA1813" t="s">
        <v>3</v>
      </c>
      <c r="AB1813" t="s">
        <v>2475</v>
      </c>
    </row>
    <row r="1814" spans="1:28" hidden="1">
      <c r="A1814" t="s">
        <v>2475</v>
      </c>
      <c r="B1814" s="17">
        <v>43646</v>
      </c>
      <c r="C1814" s="17">
        <v>43646</v>
      </c>
      <c r="D1814" t="s">
        <v>7</v>
      </c>
      <c r="E1814" t="s">
        <v>1</v>
      </c>
      <c r="F1814" s="18">
        <v>-400114</v>
      </c>
      <c r="G1814" s="18">
        <v>-400114</v>
      </c>
      <c r="H1814" t="s">
        <v>2</v>
      </c>
      <c r="I1814" t="s">
        <v>8</v>
      </c>
      <c r="J1814" s="18">
        <v>-33189456.300000001</v>
      </c>
      <c r="K1814" t="s">
        <v>2476</v>
      </c>
      <c r="L1814" t="s">
        <v>9</v>
      </c>
      <c r="M1814" t="s">
        <v>2474</v>
      </c>
      <c r="N1814" t="s">
        <v>3</v>
      </c>
      <c r="O1814" t="s">
        <v>3</v>
      </c>
      <c r="P1814" t="s">
        <v>5</v>
      </c>
      <c r="Q1814" t="s">
        <v>2476</v>
      </c>
      <c r="R1814" t="s">
        <v>3</v>
      </c>
      <c r="S1814" t="s">
        <v>3</v>
      </c>
      <c r="T1814" t="s">
        <v>3</v>
      </c>
      <c r="U1814" t="s">
        <v>3</v>
      </c>
      <c r="V1814" t="s">
        <v>3</v>
      </c>
      <c r="W1814" t="s">
        <v>68</v>
      </c>
      <c r="X1814" s="17">
        <v>43646</v>
      </c>
      <c r="Y1814" t="s">
        <v>2475</v>
      </c>
      <c r="Z1814" s="17">
        <v>43646</v>
      </c>
      <c r="AA1814" t="s">
        <v>3</v>
      </c>
      <c r="AB1814" t="s">
        <v>2475</v>
      </c>
    </row>
    <row r="1815" spans="1:28" hidden="1">
      <c r="A1815" t="s">
        <v>2477</v>
      </c>
      <c r="B1815" s="17">
        <v>43646</v>
      </c>
      <c r="C1815" s="17">
        <v>43646</v>
      </c>
      <c r="D1815" t="s">
        <v>7</v>
      </c>
      <c r="E1815" t="s">
        <v>1</v>
      </c>
      <c r="F1815" s="18">
        <v>347835</v>
      </c>
      <c r="G1815" s="18">
        <v>347835</v>
      </c>
      <c r="H1815" t="s">
        <v>2</v>
      </c>
      <c r="I1815" t="s">
        <v>8</v>
      </c>
      <c r="J1815" s="18">
        <v>28852913.25</v>
      </c>
      <c r="K1815" t="s">
        <v>2478</v>
      </c>
      <c r="L1815" t="s">
        <v>9</v>
      </c>
      <c r="M1815" t="s">
        <v>2474</v>
      </c>
      <c r="N1815" t="s">
        <v>3</v>
      </c>
      <c r="O1815" t="s">
        <v>3</v>
      </c>
      <c r="P1815" t="s">
        <v>5</v>
      </c>
      <c r="Q1815" t="s">
        <v>2478</v>
      </c>
      <c r="R1815" t="s">
        <v>3</v>
      </c>
      <c r="S1815" t="s">
        <v>3</v>
      </c>
      <c r="T1815" t="s">
        <v>3</v>
      </c>
      <c r="U1815" t="s">
        <v>3</v>
      </c>
      <c r="V1815" t="s">
        <v>3</v>
      </c>
      <c r="W1815" t="s">
        <v>68</v>
      </c>
      <c r="X1815" s="17">
        <v>43646</v>
      </c>
      <c r="Y1815" t="s">
        <v>2477</v>
      </c>
      <c r="Z1815" s="17">
        <v>43646</v>
      </c>
      <c r="AA1815" t="s">
        <v>3</v>
      </c>
      <c r="AB1815" t="s">
        <v>2477</v>
      </c>
    </row>
    <row r="1816" spans="1:28" hidden="1">
      <c r="A1816" t="s">
        <v>2477</v>
      </c>
      <c r="B1816" s="17">
        <v>43646</v>
      </c>
      <c r="C1816" s="17">
        <v>43646</v>
      </c>
      <c r="D1816" t="s">
        <v>7</v>
      </c>
      <c r="E1816" t="s">
        <v>1</v>
      </c>
      <c r="F1816" s="18">
        <v>-347835</v>
      </c>
      <c r="G1816" s="18">
        <v>-347835</v>
      </c>
      <c r="H1816" t="s">
        <v>2</v>
      </c>
      <c r="I1816" t="s">
        <v>8</v>
      </c>
      <c r="J1816" s="18">
        <v>-28852913.25</v>
      </c>
      <c r="K1816" t="s">
        <v>2478</v>
      </c>
      <c r="L1816" t="s">
        <v>9</v>
      </c>
      <c r="M1816" t="s">
        <v>2474</v>
      </c>
      <c r="N1816" t="s">
        <v>3</v>
      </c>
      <c r="O1816" t="s">
        <v>3</v>
      </c>
      <c r="P1816" t="s">
        <v>5</v>
      </c>
      <c r="Q1816" t="s">
        <v>2478</v>
      </c>
      <c r="R1816" t="s">
        <v>3</v>
      </c>
      <c r="S1816" t="s">
        <v>3</v>
      </c>
      <c r="T1816" t="s">
        <v>3</v>
      </c>
      <c r="U1816" t="s">
        <v>3</v>
      </c>
      <c r="V1816" t="s">
        <v>3</v>
      </c>
      <c r="W1816" t="s">
        <v>68</v>
      </c>
      <c r="X1816" s="17">
        <v>43646</v>
      </c>
      <c r="Y1816" t="s">
        <v>2477</v>
      </c>
      <c r="Z1816" s="17">
        <v>43646</v>
      </c>
      <c r="AA1816" t="s">
        <v>3</v>
      </c>
      <c r="AB1816" t="s">
        <v>2477</v>
      </c>
    </row>
    <row r="1817" spans="1:28" hidden="1">
      <c r="A1817" t="s">
        <v>2479</v>
      </c>
      <c r="B1817" s="17">
        <v>43646</v>
      </c>
      <c r="C1817" s="17">
        <v>43646</v>
      </c>
      <c r="D1817" t="s">
        <v>7</v>
      </c>
      <c r="E1817" t="s">
        <v>1</v>
      </c>
      <c r="F1817" s="18">
        <v>306747</v>
      </c>
      <c r="G1817" s="18">
        <v>306747</v>
      </c>
      <c r="H1817" t="s">
        <v>2</v>
      </c>
      <c r="I1817" t="s">
        <v>8</v>
      </c>
      <c r="J1817" s="18">
        <v>25444663.649999999</v>
      </c>
      <c r="K1817" t="s">
        <v>2480</v>
      </c>
      <c r="L1817" t="s">
        <v>9</v>
      </c>
      <c r="M1817" t="s">
        <v>2474</v>
      </c>
      <c r="N1817" t="s">
        <v>3</v>
      </c>
      <c r="O1817" t="s">
        <v>3</v>
      </c>
      <c r="P1817" t="s">
        <v>5</v>
      </c>
      <c r="Q1817" t="s">
        <v>2480</v>
      </c>
      <c r="R1817" t="s">
        <v>3</v>
      </c>
      <c r="S1817" t="s">
        <v>3</v>
      </c>
      <c r="T1817" t="s">
        <v>3</v>
      </c>
      <c r="U1817" t="s">
        <v>3</v>
      </c>
      <c r="V1817" t="s">
        <v>3</v>
      </c>
      <c r="W1817" t="s">
        <v>68</v>
      </c>
      <c r="X1817" s="17">
        <v>43646</v>
      </c>
      <c r="Y1817" t="s">
        <v>2479</v>
      </c>
      <c r="Z1817" s="17">
        <v>43646</v>
      </c>
      <c r="AA1817" t="s">
        <v>3</v>
      </c>
      <c r="AB1817" t="s">
        <v>2479</v>
      </c>
    </row>
    <row r="1818" spans="1:28" hidden="1">
      <c r="A1818" t="s">
        <v>2479</v>
      </c>
      <c r="B1818" s="17">
        <v>43646</v>
      </c>
      <c r="C1818" s="17">
        <v>43646</v>
      </c>
      <c r="D1818" t="s">
        <v>7</v>
      </c>
      <c r="E1818" t="s">
        <v>1</v>
      </c>
      <c r="F1818" s="18">
        <v>-306747</v>
      </c>
      <c r="G1818" s="18">
        <v>-306747</v>
      </c>
      <c r="H1818" t="s">
        <v>2</v>
      </c>
      <c r="I1818" t="s">
        <v>8</v>
      </c>
      <c r="J1818" s="18">
        <v>-25444663.649999999</v>
      </c>
      <c r="K1818" t="s">
        <v>2480</v>
      </c>
      <c r="L1818" t="s">
        <v>9</v>
      </c>
      <c r="M1818" t="s">
        <v>2474</v>
      </c>
      <c r="N1818" t="s">
        <v>3</v>
      </c>
      <c r="O1818" t="s">
        <v>3</v>
      </c>
      <c r="P1818" t="s">
        <v>5</v>
      </c>
      <c r="Q1818" t="s">
        <v>2480</v>
      </c>
      <c r="R1818" t="s">
        <v>3</v>
      </c>
      <c r="S1818" t="s">
        <v>3</v>
      </c>
      <c r="T1818" t="s">
        <v>3</v>
      </c>
      <c r="U1818" t="s">
        <v>3</v>
      </c>
      <c r="V1818" t="s">
        <v>3</v>
      </c>
      <c r="W1818" t="s">
        <v>68</v>
      </c>
      <c r="X1818" s="17">
        <v>43646</v>
      </c>
      <c r="Y1818" t="s">
        <v>2479</v>
      </c>
      <c r="Z1818" s="17">
        <v>43646</v>
      </c>
      <c r="AA1818" t="s">
        <v>3</v>
      </c>
      <c r="AB1818" t="s">
        <v>2479</v>
      </c>
    </row>
    <row r="1819" spans="1:28" hidden="1">
      <c r="A1819" t="s">
        <v>2481</v>
      </c>
      <c r="B1819" s="17">
        <v>43646</v>
      </c>
      <c r="C1819" s="17">
        <v>43646</v>
      </c>
      <c r="D1819" t="s">
        <v>7</v>
      </c>
      <c r="E1819" t="s">
        <v>1</v>
      </c>
      <c r="F1819" s="18">
        <v>100693</v>
      </c>
      <c r="G1819" s="18">
        <v>100693</v>
      </c>
      <c r="H1819" t="s">
        <v>2</v>
      </c>
      <c r="I1819" t="s">
        <v>8</v>
      </c>
      <c r="J1819" s="18">
        <v>8352484.3600000003</v>
      </c>
      <c r="K1819" t="s">
        <v>2482</v>
      </c>
      <c r="L1819" t="s">
        <v>9</v>
      </c>
      <c r="M1819" t="s">
        <v>2474</v>
      </c>
      <c r="N1819" t="s">
        <v>3</v>
      </c>
      <c r="O1819" t="s">
        <v>3</v>
      </c>
      <c r="P1819" t="s">
        <v>5</v>
      </c>
      <c r="Q1819" t="s">
        <v>2482</v>
      </c>
      <c r="R1819" t="s">
        <v>3</v>
      </c>
      <c r="S1819" t="s">
        <v>3</v>
      </c>
      <c r="T1819" t="s">
        <v>3</v>
      </c>
      <c r="U1819" t="s">
        <v>3</v>
      </c>
      <c r="V1819" t="s">
        <v>3</v>
      </c>
      <c r="W1819" t="s">
        <v>68</v>
      </c>
      <c r="X1819" s="17">
        <v>43646</v>
      </c>
      <c r="Y1819" t="s">
        <v>2481</v>
      </c>
      <c r="Z1819" s="17">
        <v>43646</v>
      </c>
      <c r="AA1819" t="s">
        <v>3</v>
      </c>
      <c r="AB1819" t="s">
        <v>2481</v>
      </c>
    </row>
    <row r="1820" spans="1:28" hidden="1">
      <c r="A1820" t="s">
        <v>2481</v>
      </c>
      <c r="B1820" s="17">
        <v>43646</v>
      </c>
      <c r="C1820" s="17">
        <v>43646</v>
      </c>
      <c r="D1820" t="s">
        <v>7</v>
      </c>
      <c r="E1820" t="s">
        <v>1</v>
      </c>
      <c r="F1820" s="18">
        <v>-100693</v>
      </c>
      <c r="G1820" s="18">
        <v>-100693</v>
      </c>
      <c r="H1820" t="s">
        <v>2</v>
      </c>
      <c r="I1820" t="s">
        <v>8</v>
      </c>
      <c r="J1820" s="18">
        <v>-8352484.3600000003</v>
      </c>
      <c r="K1820" t="s">
        <v>3</v>
      </c>
      <c r="L1820" t="s">
        <v>9</v>
      </c>
      <c r="M1820" t="s">
        <v>2474</v>
      </c>
      <c r="N1820" t="s">
        <v>3</v>
      </c>
      <c r="O1820" t="s">
        <v>3</v>
      </c>
      <c r="P1820" t="s">
        <v>5</v>
      </c>
      <c r="Q1820" t="s">
        <v>2482</v>
      </c>
      <c r="R1820" t="s">
        <v>3</v>
      </c>
      <c r="S1820" t="s">
        <v>3</v>
      </c>
      <c r="T1820" t="s">
        <v>3</v>
      </c>
      <c r="U1820" t="s">
        <v>3</v>
      </c>
      <c r="V1820" t="s">
        <v>3</v>
      </c>
      <c r="W1820" t="s">
        <v>68</v>
      </c>
      <c r="X1820" s="17">
        <v>43646</v>
      </c>
      <c r="Y1820" t="s">
        <v>2481</v>
      </c>
      <c r="Z1820" s="17">
        <v>43646</v>
      </c>
      <c r="AA1820" t="s">
        <v>3</v>
      </c>
      <c r="AB1820" t="s">
        <v>2481</v>
      </c>
    </row>
    <row r="1821" spans="1:28" hidden="1">
      <c r="A1821" t="s">
        <v>2483</v>
      </c>
      <c r="B1821" s="17">
        <v>43646</v>
      </c>
      <c r="C1821" s="17">
        <v>43646</v>
      </c>
      <c r="D1821" t="s">
        <v>7</v>
      </c>
      <c r="E1821" t="s">
        <v>1</v>
      </c>
      <c r="F1821" s="18">
        <v>-1</v>
      </c>
      <c r="G1821" s="18">
        <v>-1</v>
      </c>
      <c r="H1821" t="s">
        <v>2</v>
      </c>
      <c r="I1821" t="s">
        <v>10</v>
      </c>
      <c r="J1821" s="18">
        <v>-82.94</v>
      </c>
      <c r="K1821" t="s">
        <v>2484</v>
      </c>
      <c r="L1821" t="s">
        <v>9</v>
      </c>
      <c r="M1821" t="s">
        <v>2474</v>
      </c>
      <c r="N1821" t="s">
        <v>3</v>
      </c>
      <c r="O1821" t="s">
        <v>3</v>
      </c>
      <c r="P1821" t="s">
        <v>5</v>
      </c>
      <c r="Q1821" t="s">
        <v>2484</v>
      </c>
      <c r="R1821" t="s">
        <v>3</v>
      </c>
      <c r="S1821" t="s">
        <v>3</v>
      </c>
      <c r="T1821" t="s">
        <v>3</v>
      </c>
      <c r="U1821" t="s">
        <v>3</v>
      </c>
      <c r="V1821" t="s">
        <v>3</v>
      </c>
      <c r="W1821" t="s">
        <v>68</v>
      </c>
      <c r="X1821" s="17">
        <v>43646</v>
      </c>
      <c r="Y1821" t="s">
        <v>2483</v>
      </c>
      <c r="Z1821" s="17">
        <v>43646</v>
      </c>
      <c r="AA1821" t="s">
        <v>3</v>
      </c>
      <c r="AB1821" t="s">
        <v>2483</v>
      </c>
    </row>
    <row r="1822" spans="1:28" hidden="1">
      <c r="A1822" t="s">
        <v>2485</v>
      </c>
      <c r="B1822" s="17">
        <v>43646</v>
      </c>
      <c r="C1822" s="17">
        <v>43646</v>
      </c>
      <c r="D1822" t="s">
        <v>7</v>
      </c>
      <c r="E1822" t="s">
        <v>1</v>
      </c>
      <c r="F1822" s="18">
        <v>0.4</v>
      </c>
      <c r="G1822" s="18">
        <v>0.4</v>
      </c>
      <c r="H1822" t="s">
        <v>2</v>
      </c>
      <c r="I1822" t="s">
        <v>10</v>
      </c>
      <c r="J1822" s="18">
        <v>33.18</v>
      </c>
      <c r="K1822" t="s">
        <v>2486</v>
      </c>
      <c r="L1822" t="s">
        <v>9</v>
      </c>
      <c r="M1822" t="s">
        <v>2474</v>
      </c>
      <c r="N1822" t="s">
        <v>3</v>
      </c>
      <c r="O1822" t="s">
        <v>3</v>
      </c>
      <c r="P1822" t="s">
        <v>5</v>
      </c>
      <c r="Q1822" t="s">
        <v>2486</v>
      </c>
      <c r="R1822" t="s">
        <v>3</v>
      </c>
      <c r="S1822" t="s">
        <v>3</v>
      </c>
      <c r="T1822" t="s">
        <v>3</v>
      </c>
      <c r="U1822" t="s">
        <v>3</v>
      </c>
      <c r="V1822" t="s">
        <v>3</v>
      </c>
      <c r="W1822" t="s">
        <v>68</v>
      </c>
      <c r="X1822" s="17">
        <v>43646</v>
      </c>
      <c r="Y1822" t="s">
        <v>2485</v>
      </c>
      <c r="Z1822" s="17">
        <v>43646</v>
      </c>
      <c r="AA1822" t="s">
        <v>3</v>
      </c>
      <c r="AB1822" t="s">
        <v>2485</v>
      </c>
    </row>
    <row r="1823" spans="1:28" hidden="1">
      <c r="A1823" t="s">
        <v>2487</v>
      </c>
      <c r="B1823" s="17">
        <v>43646</v>
      </c>
      <c r="C1823" s="17">
        <v>43646</v>
      </c>
      <c r="D1823" t="s">
        <v>7</v>
      </c>
      <c r="E1823" t="s">
        <v>1</v>
      </c>
      <c r="F1823" s="18">
        <v>-2</v>
      </c>
      <c r="G1823" s="18">
        <v>-2</v>
      </c>
      <c r="H1823" t="s">
        <v>2</v>
      </c>
      <c r="I1823" t="s">
        <v>8</v>
      </c>
      <c r="J1823" s="18">
        <v>-165.49</v>
      </c>
      <c r="K1823" t="s">
        <v>2488</v>
      </c>
      <c r="L1823" t="s">
        <v>9</v>
      </c>
      <c r="M1823" t="s">
        <v>2474</v>
      </c>
      <c r="N1823" t="s">
        <v>3</v>
      </c>
      <c r="O1823" t="s">
        <v>3</v>
      </c>
      <c r="P1823" t="s">
        <v>5</v>
      </c>
      <c r="Q1823" t="s">
        <v>2488</v>
      </c>
      <c r="R1823" t="s">
        <v>3</v>
      </c>
      <c r="S1823" t="s">
        <v>3</v>
      </c>
      <c r="T1823" t="s">
        <v>3</v>
      </c>
      <c r="U1823" t="s">
        <v>3</v>
      </c>
      <c r="V1823" t="s">
        <v>3</v>
      </c>
      <c r="W1823" t="s">
        <v>68</v>
      </c>
      <c r="X1823" s="17">
        <v>43646</v>
      </c>
      <c r="Y1823" t="s">
        <v>2487</v>
      </c>
      <c r="Z1823" s="17">
        <v>43646</v>
      </c>
      <c r="AA1823" t="s">
        <v>3</v>
      </c>
      <c r="AB1823" t="s">
        <v>2487</v>
      </c>
    </row>
    <row r="1824" spans="1:28" hidden="1">
      <c r="A1824" t="s">
        <v>2489</v>
      </c>
      <c r="B1824" s="17">
        <v>43646</v>
      </c>
      <c r="C1824" s="17">
        <v>43646</v>
      </c>
      <c r="D1824" t="s">
        <v>7</v>
      </c>
      <c r="E1824" t="s">
        <v>1</v>
      </c>
      <c r="F1824" s="18">
        <v>565974</v>
      </c>
      <c r="G1824" s="18">
        <v>565974</v>
      </c>
      <c r="H1824" t="s">
        <v>2</v>
      </c>
      <c r="I1824" t="s">
        <v>8</v>
      </c>
      <c r="J1824" s="18">
        <v>46834348.509999998</v>
      </c>
      <c r="K1824" t="s">
        <v>2490</v>
      </c>
      <c r="L1824" t="s">
        <v>9</v>
      </c>
      <c r="M1824" t="s">
        <v>2474</v>
      </c>
      <c r="N1824" t="s">
        <v>3</v>
      </c>
      <c r="O1824" t="s">
        <v>3</v>
      </c>
      <c r="P1824" t="s">
        <v>5</v>
      </c>
      <c r="Q1824" t="s">
        <v>2490</v>
      </c>
      <c r="R1824" t="s">
        <v>3</v>
      </c>
      <c r="S1824" t="s">
        <v>3</v>
      </c>
      <c r="T1824" t="s">
        <v>3</v>
      </c>
      <c r="U1824" t="s">
        <v>3</v>
      </c>
      <c r="V1824" t="s">
        <v>3</v>
      </c>
      <c r="W1824" t="s">
        <v>68</v>
      </c>
      <c r="X1824" s="17">
        <v>43646</v>
      </c>
      <c r="Y1824" t="s">
        <v>2489</v>
      </c>
      <c r="Z1824" s="17">
        <v>43646</v>
      </c>
      <c r="AA1824" t="s">
        <v>3</v>
      </c>
      <c r="AB1824" t="s">
        <v>2489</v>
      </c>
    </row>
    <row r="1825" spans="1:28" hidden="1">
      <c r="A1825" t="s">
        <v>2489</v>
      </c>
      <c r="B1825" s="17">
        <v>43646</v>
      </c>
      <c r="C1825" s="17">
        <v>43646</v>
      </c>
      <c r="D1825" t="s">
        <v>7</v>
      </c>
      <c r="E1825" t="s">
        <v>1</v>
      </c>
      <c r="F1825" s="18">
        <v>-565974</v>
      </c>
      <c r="G1825" s="18">
        <v>-565974</v>
      </c>
      <c r="H1825" t="s">
        <v>2</v>
      </c>
      <c r="I1825" t="s">
        <v>8</v>
      </c>
      <c r="J1825" s="18">
        <v>-46834348.509999998</v>
      </c>
      <c r="K1825" t="s">
        <v>2490</v>
      </c>
      <c r="L1825" t="s">
        <v>9</v>
      </c>
      <c r="M1825" t="s">
        <v>2474</v>
      </c>
      <c r="N1825" t="s">
        <v>3</v>
      </c>
      <c r="O1825" t="s">
        <v>3</v>
      </c>
      <c r="P1825" t="s">
        <v>5</v>
      </c>
      <c r="Q1825" t="s">
        <v>2490</v>
      </c>
      <c r="R1825" t="s">
        <v>3</v>
      </c>
      <c r="S1825" t="s">
        <v>3</v>
      </c>
      <c r="T1825" t="s">
        <v>3</v>
      </c>
      <c r="U1825" t="s">
        <v>3</v>
      </c>
      <c r="V1825" t="s">
        <v>3</v>
      </c>
      <c r="W1825" t="s">
        <v>68</v>
      </c>
      <c r="X1825" s="17">
        <v>43646</v>
      </c>
      <c r="Y1825" t="s">
        <v>2489</v>
      </c>
      <c r="Z1825" s="17">
        <v>43646</v>
      </c>
      <c r="AA1825" t="s">
        <v>3</v>
      </c>
      <c r="AB1825" t="s">
        <v>2489</v>
      </c>
    </row>
    <row r="1826" spans="1:28" hidden="1">
      <c r="A1826" t="s">
        <v>2491</v>
      </c>
      <c r="B1826" s="17">
        <v>43646</v>
      </c>
      <c r="C1826" s="17">
        <v>43646</v>
      </c>
      <c r="D1826" t="s">
        <v>7</v>
      </c>
      <c r="E1826" t="s">
        <v>1</v>
      </c>
      <c r="F1826" s="18">
        <v>316719</v>
      </c>
      <c r="G1826" s="18">
        <v>316719</v>
      </c>
      <c r="H1826" t="s">
        <v>2</v>
      </c>
      <c r="I1826" t="s">
        <v>8</v>
      </c>
      <c r="J1826" s="18">
        <v>26208497.25</v>
      </c>
      <c r="K1826" t="s">
        <v>2492</v>
      </c>
      <c r="L1826" t="s">
        <v>9</v>
      </c>
      <c r="M1826" t="s">
        <v>2474</v>
      </c>
      <c r="N1826" t="s">
        <v>3</v>
      </c>
      <c r="O1826" t="s">
        <v>3</v>
      </c>
      <c r="P1826" t="s">
        <v>5</v>
      </c>
      <c r="Q1826" t="s">
        <v>2492</v>
      </c>
      <c r="R1826" t="s">
        <v>3</v>
      </c>
      <c r="S1826" t="s">
        <v>3</v>
      </c>
      <c r="T1826" t="s">
        <v>3</v>
      </c>
      <c r="U1826" t="s">
        <v>3</v>
      </c>
      <c r="V1826" t="s">
        <v>3</v>
      </c>
      <c r="W1826" t="s">
        <v>68</v>
      </c>
      <c r="X1826" s="17">
        <v>43646</v>
      </c>
      <c r="Y1826" t="s">
        <v>2491</v>
      </c>
      <c r="Z1826" s="17">
        <v>43646</v>
      </c>
      <c r="AA1826" t="s">
        <v>3</v>
      </c>
      <c r="AB1826" t="s">
        <v>2491</v>
      </c>
    </row>
    <row r="1827" spans="1:28" hidden="1">
      <c r="A1827" t="s">
        <v>2491</v>
      </c>
      <c r="B1827" s="17">
        <v>43646</v>
      </c>
      <c r="C1827" s="17">
        <v>43646</v>
      </c>
      <c r="D1827" t="s">
        <v>7</v>
      </c>
      <c r="E1827" t="s">
        <v>1</v>
      </c>
      <c r="F1827" s="18">
        <v>-316719</v>
      </c>
      <c r="G1827" s="18">
        <v>-316719</v>
      </c>
      <c r="H1827" t="s">
        <v>2</v>
      </c>
      <c r="I1827" t="s">
        <v>8</v>
      </c>
      <c r="J1827" s="18">
        <v>-26208497.25</v>
      </c>
      <c r="K1827" t="s">
        <v>2492</v>
      </c>
      <c r="L1827" t="s">
        <v>9</v>
      </c>
      <c r="M1827" t="s">
        <v>2474</v>
      </c>
      <c r="N1827" t="s">
        <v>3</v>
      </c>
      <c r="O1827" t="s">
        <v>3</v>
      </c>
      <c r="P1827" t="s">
        <v>5</v>
      </c>
      <c r="Q1827" t="s">
        <v>2492</v>
      </c>
      <c r="R1827" t="s">
        <v>3</v>
      </c>
      <c r="S1827" t="s">
        <v>3</v>
      </c>
      <c r="T1827" t="s">
        <v>3</v>
      </c>
      <c r="U1827" t="s">
        <v>3</v>
      </c>
      <c r="V1827" t="s">
        <v>3</v>
      </c>
      <c r="W1827" t="s">
        <v>68</v>
      </c>
      <c r="X1827" s="17">
        <v>43646</v>
      </c>
      <c r="Y1827" t="s">
        <v>2491</v>
      </c>
      <c r="Z1827" s="17">
        <v>43646</v>
      </c>
      <c r="AA1827" t="s">
        <v>3</v>
      </c>
      <c r="AB1827" t="s">
        <v>2491</v>
      </c>
    </row>
    <row r="1828" spans="1:28" hidden="1">
      <c r="A1828" t="s">
        <v>2493</v>
      </c>
      <c r="B1828" s="17">
        <v>43646</v>
      </c>
      <c r="C1828" s="17">
        <v>43646</v>
      </c>
      <c r="D1828" t="s">
        <v>7</v>
      </c>
      <c r="E1828" t="s">
        <v>1</v>
      </c>
      <c r="F1828" s="18">
        <v>165763</v>
      </c>
      <c r="G1828" s="18">
        <v>165763</v>
      </c>
      <c r="H1828" t="s">
        <v>2</v>
      </c>
      <c r="I1828" t="s">
        <v>8</v>
      </c>
      <c r="J1828" s="18">
        <v>13716888.25</v>
      </c>
      <c r="K1828" t="s">
        <v>2494</v>
      </c>
      <c r="L1828" t="s">
        <v>9</v>
      </c>
      <c r="M1828" t="s">
        <v>2474</v>
      </c>
      <c r="N1828" t="s">
        <v>3</v>
      </c>
      <c r="O1828" t="s">
        <v>3</v>
      </c>
      <c r="P1828" t="s">
        <v>5</v>
      </c>
      <c r="Q1828" t="s">
        <v>2494</v>
      </c>
      <c r="R1828" t="s">
        <v>3</v>
      </c>
      <c r="S1828" t="s">
        <v>3</v>
      </c>
      <c r="T1828" t="s">
        <v>3</v>
      </c>
      <c r="U1828" t="s">
        <v>3</v>
      </c>
      <c r="V1828" t="s">
        <v>3</v>
      </c>
      <c r="W1828" t="s">
        <v>68</v>
      </c>
      <c r="X1828" s="17">
        <v>43646</v>
      </c>
      <c r="Y1828" t="s">
        <v>2493</v>
      </c>
      <c r="Z1828" s="17">
        <v>43646</v>
      </c>
      <c r="AA1828" t="s">
        <v>3</v>
      </c>
      <c r="AB1828" t="s">
        <v>2493</v>
      </c>
    </row>
    <row r="1829" spans="1:28" hidden="1">
      <c r="A1829" t="s">
        <v>2493</v>
      </c>
      <c r="B1829" s="17">
        <v>43646</v>
      </c>
      <c r="C1829" s="17">
        <v>43646</v>
      </c>
      <c r="D1829" t="s">
        <v>7</v>
      </c>
      <c r="E1829" t="s">
        <v>1</v>
      </c>
      <c r="F1829" s="18">
        <v>-165763</v>
      </c>
      <c r="G1829" s="18">
        <v>-165763</v>
      </c>
      <c r="H1829" t="s">
        <v>2</v>
      </c>
      <c r="I1829" t="s">
        <v>8</v>
      </c>
      <c r="J1829" s="18">
        <v>-13716888.25</v>
      </c>
      <c r="K1829" t="s">
        <v>2494</v>
      </c>
      <c r="L1829" t="s">
        <v>9</v>
      </c>
      <c r="M1829" t="s">
        <v>2474</v>
      </c>
      <c r="N1829" t="s">
        <v>3</v>
      </c>
      <c r="O1829" t="s">
        <v>3</v>
      </c>
      <c r="P1829" t="s">
        <v>5</v>
      </c>
      <c r="Q1829" t="s">
        <v>2494</v>
      </c>
      <c r="R1829" t="s">
        <v>3</v>
      </c>
      <c r="S1829" t="s">
        <v>3</v>
      </c>
      <c r="T1829" t="s">
        <v>3</v>
      </c>
      <c r="U1829" t="s">
        <v>3</v>
      </c>
      <c r="V1829" t="s">
        <v>3</v>
      </c>
      <c r="W1829" t="s">
        <v>68</v>
      </c>
      <c r="X1829" s="17">
        <v>43646</v>
      </c>
      <c r="Y1829" t="s">
        <v>2493</v>
      </c>
      <c r="Z1829" s="17">
        <v>43646</v>
      </c>
      <c r="AA1829" t="s">
        <v>3</v>
      </c>
      <c r="AB1829" t="s">
        <v>2493</v>
      </c>
    </row>
    <row r="1830" spans="1:28" hidden="1">
      <c r="A1830" t="s">
        <v>2495</v>
      </c>
      <c r="B1830" s="17">
        <v>43646</v>
      </c>
      <c r="C1830" s="17">
        <v>43646</v>
      </c>
      <c r="D1830" t="s">
        <v>7</v>
      </c>
      <c r="E1830" t="s">
        <v>1</v>
      </c>
      <c r="F1830" s="18">
        <v>133270</v>
      </c>
      <c r="G1830" s="18">
        <v>133270</v>
      </c>
      <c r="H1830" t="s">
        <v>2</v>
      </c>
      <c r="I1830" t="s">
        <v>10</v>
      </c>
      <c r="J1830" s="18">
        <v>11048083</v>
      </c>
      <c r="K1830" t="s">
        <v>2496</v>
      </c>
      <c r="L1830" t="s">
        <v>9</v>
      </c>
      <c r="M1830" t="s">
        <v>2474</v>
      </c>
      <c r="N1830" t="s">
        <v>3</v>
      </c>
      <c r="O1830" t="s">
        <v>3</v>
      </c>
      <c r="P1830" t="s">
        <v>5</v>
      </c>
      <c r="Q1830" t="s">
        <v>2496</v>
      </c>
      <c r="R1830" t="s">
        <v>3</v>
      </c>
      <c r="S1830" t="s">
        <v>3</v>
      </c>
      <c r="T1830" t="s">
        <v>3</v>
      </c>
      <c r="U1830" t="s">
        <v>3</v>
      </c>
      <c r="V1830" t="s">
        <v>3</v>
      </c>
      <c r="W1830" t="s">
        <v>68</v>
      </c>
      <c r="X1830" s="17">
        <v>43646</v>
      </c>
      <c r="Y1830" t="s">
        <v>2495</v>
      </c>
      <c r="Z1830" s="17">
        <v>43646</v>
      </c>
      <c r="AA1830" t="s">
        <v>3</v>
      </c>
      <c r="AB1830" t="s">
        <v>2495</v>
      </c>
    </row>
    <row r="1831" spans="1:28" hidden="1">
      <c r="A1831" t="s">
        <v>2495</v>
      </c>
      <c r="B1831" s="17">
        <v>43646</v>
      </c>
      <c r="C1831" s="17">
        <v>43646</v>
      </c>
      <c r="D1831" t="s">
        <v>7</v>
      </c>
      <c r="E1831" t="s">
        <v>1</v>
      </c>
      <c r="F1831" s="18">
        <v>-133270</v>
      </c>
      <c r="G1831" s="18">
        <v>-133270</v>
      </c>
      <c r="H1831" t="s">
        <v>2</v>
      </c>
      <c r="I1831" t="s">
        <v>10</v>
      </c>
      <c r="J1831" s="18">
        <v>-11048083</v>
      </c>
      <c r="K1831" t="s">
        <v>2496</v>
      </c>
      <c r="L1831" t="s">
        <v>9</v>
      </c>
      <c r="M1831" t="s">
        <v>2474</v>
      </c>
      <c r="N1831" t="s">
        <v>3</v>
      </c>
      <c r="O1831" t="s">
        <v>3</v>
      </c>
      <c r="P1831" t="s">
        <v>5</v>
      </c>
      <c r="Q1831" t="s">
        <v>2496</v>
      </c>
      <c r="R1831" t="s">
        <v>3</v>
      </c>
      <c r="S1831" t="s">
        <v>3</v>
      </c>
      <c r="T1831" t="s">
        <v>3</v>
      </c>
      <c r="U1831" t="s">
        <v>3</v>
      </c>
      <c r="V1831" t="s">
        <v>3</v>
      </c>
      <c r="W1831" t="s">
        <v>68</v>
      </c>
      <c r="X1831" s="17">
        <v>43646</v>
      </c>
      <c r="Y1831" t="s">
        <v>2495</v>
      </c>
      <c r="Z1831" s="17">
        <v>43646</v>
      </c>
      <c r="AA1831" t="s">
        <v>3</v>
      </c>
      <c r="AB1831" t="s">
        <v>2495</v>
      </c>
    </row>
    <row r="1832" spans="1:28" hidden="1">
      <c r="A1832" t="s">
        <v>2497</v>
      </c>
      <c r="B1832" s="17">
        <v>43646</v>
      </c>
      <c r="C1832" s="17">
        <v>43646</v>
      </c>
      <c r="D1832" t="s">
        <v>7</v>
      </c>
      <c r="E1832" t="s">
        <v>1</v>
      </c>
      <c r="F1832" s="18">
        <v>110230</v>
      </c>
      <c r="G1832" s="18">
        <v>110230</v>
      </c>
      <c r="H1832" t="s">
        <v>2</v>
      </c>
      <c r="I1832" t="s">
        <v>10</v>
      </c>
      <c r="J1832" s="18">
        <v>9143578.5</v>
      </c>
      <c r="K1832" t="s">
        <v>2498</v>
      </c>
      <c r="L1832" t="s">
        <v>9</v>
      </c>
      <c r="M1832" t="s">
        <v>2474</v>
      </c>
      <c r="N1832" t="s">
        <v>3</v>
      </c>
      <c r="O1832" t="s">
        <v>3</v>
      </c>
      <c r="P1832" t="s">
        <v>5</v>
      </c>
      <c r="Q1832" t="s">
        <v>2498</v>
      </c>
      <c r="R1832" t="s">
        <v>3</v>
      </c>
      <c r="S1832" t="s">
        <v>3</v>
      </c>
      <c r="T1832" t="s">
        <v>3</v>
      </c>
      <c r="U1832" t="s">
        <v>3</v>
      </c>
      <c r="V1832" t="s">
        <v>3</v>
      </c>
      <c r="W1832" t="s">
        <v>68</v>
      </c>
      <c r="X1832" s="17">
        <v>43646</v>
      </c>
      <c r="Y1832" t="s">
        <v>2497</v>
      </c>
      <c r="Z1832" s="17">
        <v>43646</v>
      </c>
      <c r="AA1832" t="s">
        <v>3</v>
      </c>
      <c r="AB1832" t="s">
        <v>2497</v>
      </c>
    </row>
    <row r="1833" spans="1:28" hidden="1">
      <c r="A1833" t="s">
        <v>2497</v>
      </c>
      <c r="B1833" s="17">
        <v>43646</v>
      </c>
      <c r="C1833" s="17">
        <v>43646</v>
      </c>
      <c r="D1833" t="s">
        <v>7</v>
      </c>
      <c r="E1833" t="s">
        <v>1</v>
      </c>
      <c r="F1833" s="18">
        <v>-110230</v>
      </c>
      <c r="G1833" s="18">
        <v>-110230</v>
      </c>
      <c r="H1833" t="s">
        <v>2</v>
      </c>
      <c r="I1833" t="s">
        <v>10</v>
      </c>
      <c r="J1833" s="18">
        <v>-9143578.5</v>
      </c>
      <c r="K1833" t="s">
        <v>2498</v>
      </c>
      <c r="L1833" t="s">
        <v>9</v>
      </c>
      <c r="M1833" t="s">
        <v>2474</v>
      </c>
      <c r="N1833" t="s">
        <v>3</v>
      </c>
      <c r="O1833" t="s">
        <v>3</v>
      </c>
      <c r="P1833" t="s">
        <v>5</v>
      </c>
      <c r="Q1833" t="s">
        <v>2498</v>
      </c>
      <c r="R1833" t="s">
        <v>3</v>
      </c>
      <c r="S1833" t="s">
        <v>3</v>
      </c>
      <c r="T1833" t="s">
        <v>3</v>
      </c>
      <c r="U1833" t="s">
        <v>3</v>
      </c>
      <c r="V1833" t="s">
        <v>3</v>
      </c>
      <c r="W1833" t="s">
        <v>68</v>
      </c>
      <c r="X1833" s="17">
        <v>43646</v>
      </c>
      <c r="Y1833" t="s">
        <v>2497</v>
      </c>
      <c r="Z1833" s="17">
        <v>43646</v>
      </c>
      <c r="AA1833" t="s">
        <v>3</v>
      </c>
      <c r="AB1833" t="s">
        <v>2497</v>
      </c>
    </row>
    <row r="1834" spans="1:28" hidden="1">
      <c r="A1834" t="s">
        <v>2499</v>
      </c>
      <c r="B1834" s="17">
        <v>43646</v>
      </c>
      <c r="C1834" s="17">
        <v>43646</v>
      </c>
      <c r="D1834" t="s">
        <v>7</v>
      </c>
      <c r="E1834" t="s">
        <v>1</v>
      </c>
      <c r="F1834" s="18">
        <v>106655</v>
      </c>
      <c r="G1834" s="18">
        <v>106655</v>
      </c>
      <c r="H1834" t="s">
        <v>2</v>
      </c>
      <c r="I1834" t="s">
        <v>10</v>
      </c>
      <c r="J1834" s="18">
        <v>8831034.0099999998</v>
      </c>
      <c r="K1834" t="s">
        <v>2500</v>
      </c>
      <c r="L1834" t="s">
        <v>9</v>
      </c>
      <c r="M1834" t="s">
        <v>2474</v>
      </c>
      <c r="N1834" t="s">
        <v>3</v>
      </c>
      <c r="O1834" t="s">
        <v>3</v>
      </c>
      <c r="P1834" t="s">
        <v>5</v>
      </c>
      <c r="Q1834" t="s">
        <v>2500</v>
      </c>
      <c r="R1834" t="s">
        <v>3</v>
      </c>
      <c r="S1834" t="s">
        <v>3</v>
      </c>
      <c r="T1834" t="s">
        <v>3</v>
      </c>
      <c r="U1834" t="s">
        <v>3</v>
      </c>
      <c r="V1834" t="s">
        <v>3</v>
      </c>
      <c r="W1834" t="s">
        <v>68</v>
      </c>
      <c r="X1834" s="17">
        <v>43646</v>
      </c>
      <c r="Y1834" t="s">
        <v>2499</v>
      </c>
      <c r="Z1834" s="17">
        <v>43646</v>
      </c>
      <c r="AA1834" t="s">
        <v>3</v>
      </c>
      <c r="AB1834" t="s">
        <v>2499</v>
      </c>
    </row>
    <row r="1835" spans="1:28" hidden="1">
      <c r="A1835" t="s">
        <v>2499</v>
      </c>
      <c r="B1835" s="17">
        <v>43646</v>
      </c>
      <c r="C1835" s="17">
        <v>43646</v>
      </c>
      <c r="D1835" t="s">
        <v>7</v>
      </c>
      <c r="E1835" t="s">
        <v>1</v>
      </c>
      <c r="F1835" s="18">
        <v>-106655</v>
      </c>
      <c r="G1835" s="18">
        <v>-106655</v>
      </c>
      <c r="H1835" t="s">
        <v>2</v>
      </c>
      <c r="I1835" t="s">
        <v>10</v>
      </c>
      <c r="J1835" s="18">
        <v>-8831034.0099999998</v>
      </c>
      <c r="K1835" t="s">
        <v>2500</v>
      </c>
      <c r="L1835" t="s">
        <v>9</v>
      </c>
      <c r="M1835" t="s">
        <v>2474</v>
      </c>
      <c r="N1835" t="s">
        <v>3</v>
      </c>
      <c r="O1835" t="s">
        <v>3</v>
      </c>
      <c r="P1835" t="s">
        <v>5</v>
      </c>
      <c r="Q1835" t="s">
        <v>2500</v>
      </c>
      <c r="R1835" t="s">
        <v>3</v>
      </c>
      <c r="S1835" t="s">
        <v>3</v>
      </c>
      <c r="T1835" t="s">
        <v>3</v>
      </c>
      <c r="U1835" t="s">
        <v>3</v>
      </c>
      <c r="V1835" t="s">
        <v>3</v>
      </c>
      <c r="W1835" t="s">
        <v>68</v>
      </c>
      <c r="X1835" s="17">
        <v>43646</v>
      </c>
      <c r="Y1835" t="s">
        <v>2499</v>
      </c>
      <c r="Z1835" s="17">
        <v>43646</v>
      </c>
      <c r="AA1835" t="s">
        <v>3</v>
      </c>
      <c r="AB1835" t="s">
        <v>2499</v>
      </c>
    </row>
    <row r="1836" spans="1:28" hidden="1">
      <c r="A1836" t="s">
        <v>2501</v>
      </c>
      <c r="B1836" s="17">
        <v>43646</v>
      </c>
      <c r="C1836" s="17">
        <v>43646</v>
      </c>
      <c r="D1836" t="s">
        <v>7</v>
      </c>
      <c r="E1836" t="s">
        <v>1</v>
      </c>
      <c r="F1836" s="18">
        <v>91043</v>
      </c>
      <c r="G1836" s="18">
        <v>91043</v>
      </c>
      <c r="H1836" t="s">
        <v>2</v>
      </c>
      <c r="I1836" t="s">
        <v>8</v>
      </c>
      <c r="J1836" s="18">
        <v>7533808.2599999998</v>
      </c>
      <c r="K1836" t="s">
        <v>2484</v>
      </c>
      <c r="L1836" t="s">
        <v>9</v>
      </c>
      <c r="M1836" t="s">
        <v>2474</v>
      </c>
      <c r="N1836" t="s">
        <v>3</v>
      </c>
      <c r="O1836" t="s">
        <v>3</v>
      </c>
      <c r="P1836" t="s">
        <v>5</v>
      </c>
      <c r="Q1836" t="s">
        <v>2484</v>
      </c>
      <c r="R1836" t="s">
        <v>3</v>
      </c>
      <c r="S1836" t="s">
        <v>3</v>
      </c>
      <c r="T1836" t="s">
        <v>3</v>
      </c>
      <c r="U1836" t="s">
        <v>3</v>
      </c>
      <c r="V1836" t="s">
        <v>3</v>
      </c>
      <c r="W1836" t="s">
        <v>68</v>
      </c>
      <c r="X1836" s="17">
        <v>43646</v>
      </c>
      <c r="Y1836" t="s">
        <v>2501</v>
      </c>
      <c r="Z1836" s="17">
        <v>43646</v>
      </c>
      <c r="AA1836" t="s">
        <v>3</v>
      </c>
      <c r="AB1836" t="s">
        <v>2501</v>
      </c>
    </row>
    <row r="1837" spans="1:28" hidden="1">
      <c r="A1837" t="s">
        <v>2501</v>
      </c>
      <c r="B1837" s="17">
        <v>43646</v>
      </c>
      <c r="C1837" s="17">
        <v>43646</v>
      </c>
      <c r="D1837" t="s">
        <v>7</v>
      </c>
      <c r="E1837" t="s">
        <v>1</v>
      </c>
      <c r="F1837" s="18">
        <v>-91043</v>
      </c>
      <c r="G1837" s="18">
        <v>-91043</v>
      </c>
      <c r="H1837" t="s">
        <v>2</v>
      </c>
      <c r="I1837" t="s">
        <v>8</v>
      </c>
      <c r="J1837" s="18">
        <v>-7533808.2599999998</v>
      </c>
      <c r="K1837" t="s">
        <v>2484</v>
      </c>
      <c r="L1837" t="s">
        <v>9</v>
      </c>
      <c r="M1837" t="s">
        <v>2474</v>
      </c>
      <c r="N1837" t="s">
        <v>3</v>
      </c>
      <c r="O1837" t="s">
        <v>3</v>
      </c>
      <c r="P1837" t="s">
        <v>5</v>
      </c>
      <c r="Q1837" t="s">
        <v>2484</v>
      </c>
      <c r="R1837" t="s">
        <v>3</v>
      </c>
      <c r="S1837" t="s">
        <v>3</v>
      </c>
      <c r="T1837" t="s">
        <v>3</v>
      </c>
      <c r="U1837" t="s">
        <v>3</v>
      </c>
      <c r="V1837" t="s">
        <v>3</v>
      </c>
      <c r="W1837" t="s">
        <v>68</v>
      </c>
      <c r="X1837" s="17">
        <v>43646</v>
      </c>
      <c r="Y1837" t="s">
        <v>2501</v>
      </c>
      <c r="Z1837" s="17">
        <v>43646</v>
      </c>
      <c r="AA1837" t="s">
        <v>3</v>
      </c>
      <c r="AB1837" t="s">
        <v>2501</v>
      </c>
    </row>
    <row r="1838" spans="1:28" hidden="1">
      <c r="A1838" t="s">
        <v>2502</v>
      </c>
      <c r="B1838" s="17">
        <v>43646</v>
      </c>
      <c r="C1838" s="17">
        <v>43646</v>
      </c>
      <c r="D1838" t="s">
        <v>7</v>
      </c>
      <c r="E1838" t="s">
        <v>1</v>
      </c>
      <c r="F1838" s="18">
        <v>0</v>
      </c>
      <c r="G1838" s="18">
        <v>0</v>
      </c>
      <c r="H1838" t="s">
        <v>2</v>
      </c>
      <c r="I1838" t="s">
        <v>10</v>
      </c>
      <c r="J1838" s="18">
        <v>0.01</v>
      </c>
      <c r="K1838" t="s">
        <v>2503</v>
      </c>
      <c r="L1838" t="s">
        <v>9</v>
      </c>
      <c r="M1838" t="s">
        <v>2474</v>
      </c>
      <c r="N1838" t="s">
        <v>3</v>
      </c>
      <c r="O1838" t="s">
        <v>3</v>
      </c>
      <c r="P1838" t="s">
        <v>5</v>
      </c>
      <c r="Q1838" t="s">
        <v>2503</v>
      </c>
      <c r="R1838" t="s">
        <v>3</v>
      </c>
      <c r="S1838" t="s">
        <v>3</v>
      </c>
      <c r="T1838" t="s">
        <v>3</v>
      </c>
      <c r="U1838" t="s">
        <v>3</v>
      </c>
      <c r="V1838" t="s">
        <v>3</v>
      </c>
      <c r="W1838" t="s">
        <v>68</v>
      </c>
      <c r="X1838" s="17">
        <v>43646</v>
      </c>
      <c r="Y1838" t="s">
        <v>2502</v>
      </c>
      <c r="Z1838" s="17">
        <v>43646</v>
      </c>
      <c r="AA1838" t="s">
        <v>3</v>
      </c>
      <c r="AB1838" t="s">
        <v>2502</v>
      </c>
    </row>
    <row r="1839" spans="1:28" hidden="1">
      <c r="A1839" t="s">
        <v>2504</v>
      </c>
      <c r="B1839" s="17">
        <v>43646</v>
      </c>
      <c r="C1839" s="17">
        <v>43646</v>
      </c>
      <c r="D1839" t="s">
        <v>7</v>
      </c>
      <c r="E1839" t="s">
        <v>1</v>
      </c>
      <c r="F1839" s="18">
        <v>41874</v>
      </c>
      <c r="G1839" s="18">
        <v>41874</v>
      </c>
      <c r="H1839" t="s">
        <v>2</v>
      </c>
      <c r="I1839" t="s">
        <v>10</v>
      </c>
      <c r="J1839" s="18">
        <v>3483916.8</v>
      </c>
      <c r="K1839" t="s">
        <v>2505</v>
      </c>
      <c r="L1839" t="s">
        <v>9</v>
      </c>
      <c r="M1839" t="s">
        <v>2474</v>
      </c>
      <c r="N1839" t="s">
        <v>3</v>
      </c>
      <c r="O1839" t="s">
        <v>3</v>
      </c>
      <c r="P1839" t="s">
        <v>5</v>
      </c>
      <c r="Q1839" t="s">
        <v>2505</v>
      </c>
      <c r="R1839" t="s">
        <v>3</v>
      </c>
      <c r="S1839" t="s">
        <v>3</v>
      </c>
      <c r="T1839" t="s">
        <v>3</v>
      </c>
      <c r="U1839" t="s">
        <v>3</v>
      </c>
      <c r="V1839" t="s">
        <v>3</v>
      </c>
      <c r="W1839" t="s">
        <v>68</v>
      </c>
      <c r="X1839" s="17">
        <v>43646</v>
      </c>
      <c r="Y1839" t="s">
        <v>2504</v>
      </c>
      <c r="Z1839" s="17">
        <v>43646</v>
      </c>
      <c r="AA1839" t="s">
        <v>3</v>
      </c>
      <c r="AB1839" t="s">
        <v>2504</v>
      </c>
    </row>
    <row r="1840" spans="1:28" hidden="1">
      <c r="A1840" t="s">
        <v>2504</v>
      </c>
      <c r="B1840" s="17">
        <v>43646</v>
      </c>
      <c r="C1840" s="17">
        <v>43646</v>
      </c>
      <c r="D1840" t="s">
        <v>7</v>
      </c>
      <c r="E1840" t="s">
        <v>1</v>
      </c>
      <c r="F1840" s="18">
        <v>-41874</v>
      </c>
      <c r="G1840" s="18">
        <v>-41874</v>
      </c>
      <c r="H1840" t="s">
        <v>2</v>
      </c>
      <c r="I1840" t="s">
        <v>10</v>
      </c>
      <c r="J1840" s="18">
        <v>-3483916.8</v>
      </c>
      <c r="K1840" t="s">
        <v>2505</v>
      </c>
      <c r="L1840" t="s">
        <v>9</v>
      </c>
      <c r="M1840" t="s">
        <v>2474</v>
      </c>
      <c r="N1840" t="s">
        <v>3</v>
      </c>
      <c r="O1840" t="s">
        <v>3</v>
      </c>
      <c r="P1840" t="s">
        <v>5</v>
      </c>
      <c r="Q1840" t="s">
        <v>2505</v>
      </c>
      <c r="R1840" t="s">
        <v>3</v>
      </c>
      <c r="S1840" t="s">
        <v>3</v>
      </c>
      <c r="T1840" t="s">
        <v>3</v>
      </c>
      <c r="U1840" t="s">
        <v>3</v>
      </c>
      <c r="V1840" t="s">
        <v>3</v>
      </c>
      <c r="W1840" t="s">
        <v>68</v>
      </c>
      <c r="X1840" s="17">
        <v>43646</v>
      </c>
      <c r="Y1840" t="s">
        <v>2504</v>
      </c>
      <c r="Z1840" s="17">
        <v>43646</v>
      </c>
      <c r="AA1840" t="s">
        <v>3</v>
      </c>
      <c r="AB1840" t="s">
        <v>2504</v>
      </c>
    </row>
    <row r="1841" spans="1:28" hidden="1">
      <c r="A1841" t="s">
        <v>2506</v>
      </c>
      <c r="B1841" s="17">
        <v>43646</v>
      </c>
      <c r="C1841" s="17">
        <v>43646</v>
      </c>
      <c r="D1841" t="s">
        <v>7</v>
      </c>
      <c r="E1841" t="s">
        <v>1</v>
      </c>
      <c r="F1841" s="18">
        <v>-2</v>
      </c>
      <c r="G1841" s="18">
        <v>-2</v>
      </c>
      <c r="H1841" t="s">
        <v>2</v>
      </c>
      <c r="I1841" t="s">
        <v>10</v>
      </c>
      <c r="J1841" s="18">
        <v>-165.9</v>
      </c>
      <c r="K1841" t="s">
        <v>2507</v>
      </c>
      <c r="L1841" t="s">
        <v>9</v>
      </c>
      <c r="M1841" t="s">
        <v>2474</v>
      </c>
      <c r="N1841" t="s">
        <v>3</v>
      </c>
      <c r="O1841" t="s">
        <v>3</v>
      </c>
      <c r="P1841" t="s">
        <v>5</v>
      </c>
      <c r="Q1841" t="s">
        <v>2507</v>
      </c>
      <c r="R1841" t="s">
        <v>3</v>
      </c>
      <c r="S1841" t="s">
        <v>3</v>
      </c>
      <c r="T1841" t="s">
        <v>3</v>
      </c>
      <c r="U1841" t="s">
        <v>3</v>
      </c>
      <c r="V1841" t="s">
        <v>3</v>
      </c>
      <c r="W1841" t="s">
        <v>68</v>
      </c>
      <c r="X1841" s="17">
        <v>43646</v>
      </c>
      <c r="Y1841" t="s">
        <v>2506</v>
      </c>
      <c r="Z1841" s="17">
        <v>43646</v>
      </c>
      <c r="AA1841" t="s">
        <v>3</v>
      </c>
      <c r="AB1841" t="s">
        <v>2506</v>
      </c>
    </row>
    <row r="1842" spans="1:28" hidden="1">
      <c r="A1842" t="s">
        <v>2508</v>
      </c>
      <c r="B1842" s="17">
        <v>43646</v>
      </c>
      <c r="C1842" s="17">
        <v>43646</v>
      </c>
      <c r="D1842" t="s">
        <v>7</v>
      </c>
      <c r="E1842" t="s">
        <v>1</v>
      </c>
      <c r="F1842" s="18">
        <v>22505</v>
      </c>
      <c r="G1842" s="18">
        <v>22505</v>
      </c>
      <c r="H1842" t="s">
        <v>2</v>
      </c>
      <c r="I1842" t="s">
        <v>10</v>
      </c>
      <c r="J1842" s="18">
        <v>1866789.75</v>
      </c>
      <c r="K1842" t="s">
        <v>2509</v>
      </c>
      <c r="L1842" t="s">
        <v>9</v>
      </c>
      <c r="M1842" t="s">
        <v>2474</v>
      </c>
      <c r="N1842" t="s">
        <v>3</v>
      </c>
      <c r="O1842" t="s">
        <v>3</v>
      </c>
      <c r="P1842" t="s">
        <v>5</v>
      </c>
      <c r="Q1842" t="s">
        <v>2509</v>
      </c>
      <c r="R1842" t="s">
        <v>3</v>
      </c>
      <c r="S1842" t="s">
        <v>3</v>
      </c>
      <c r="T1842" t="s">
        <v>3</v>
      </c>
      <c r="U1842" t="s">
        <v>3</v>
      </c>
      <c r="V1842" t="s">
        <v>3</v>
      </c>
      <c r="W1842" t="s">
        <v>68</v>
      </c>
      <c r="X1842" s="17">
        <v>43646</v>
      </c>
      <c r="Y1842" t="s">
        <v>2508</v>
      </c>
      <c r="Z1842" s="17">
        <v>43646</v>
      </c>
      <c r="AA1842" t="s">
        <v>3</v>
      </c>
      <c r="AB1842" t="s">
        <v>2508</v>
      </c>
    </row>
    <row r="1843" spans="1:28" hidden="1">
      <c r="A1843" t="s">
        <v>2508</v>
      </c>
      <c r="B1843" s="17">
        <v>43646</v>
      </c>
      <c r="C1843" s="17">
        <v>43646</v>
      </c>
      <c r="D1843" t="s">
        <v>7</v>
      </c>
      <c r="E1843" t="s">
        <v>1</v>
      </c>
      <c r="F1843" s="18">
        <v>-22505</v>
      </c>
      <c r="G1843" s="18">
        <v>-22505</v>
      </c>
      <c r="H1843" t="s">
        <v>2</v>
      </c>
      <c r="I1843" t="s">
        <v>10</v>
      </c>
      <c r="J1843" s="18">
        <v>-1866789.75</v>
      </c>
      <c r="K1843" t="s">
        <v>2509</v>
      </c>
      <c r="L1843" t="s">
        <v>9</v>
      </c>
      <c r="M1843" t="s">
        <v>2474</v>
      </c>
      <c r="N1843" t="s">
        <v>3</v>
      </c>
      <c r="O1843" t="s">
        <v>3</v>
      </c>
      <c r="P1843" t="s">
        <v>5</v>
      </c>
      <c r="Q1843" t="s">
        <v>2509</v>
      </c>
      <c r="R1843" t="s">
        <v>3</v>
      </c>
      <c r="S1843" t="s">
        <v>3</v>
      </c>
      <c r="T1843" t="s">
        <v>3</v>
      </c>
      <c r="U1843" t="s">
        <v>3</v>
      </c>
      <c r="V1843" t="s">
        <v>3</v>
      </c>
      <c r="W1843" t="s">
        <v>68</v>
      </c>
      <c r="X1843" s="17">
        <v>43646</v>
      </c>
      <c r="Y1843" t="s">
        <v>2508</v>
      </c>
      <c r="Z1843" s="17">
        <v>43646</v>
      </c>
      <c r="AA1843" t="s">
        <v>3</v>
      </c>
      <c r="AB1843" t="s">
        <v>2508</v>
      </c>
    </row>
    <row r="1844" spans="1:28" hidden="1">
      <c r="A1844" t="s">
        <v>2510</v>
      </c>
      <c r="B1844" s="17">
        <v>43646</v>
      </c>
      <c r="C1844" s="17">
        <v>43646</v>
      </c>
      <c r="D1844" t="s">
        <v>7</v>
      </c>
      <c r="E1844" t="s">
        <v>1</v>
      </c>
      <c r="F1844" s="18">
        <v>-3</v>
      </c>
      <c r="G1844" s="18">
        <v>-3</v>
      </c>
      <c r="H1844" t="s">
        <v>2</v>
      </c>
      <c r="I1844" t="s">
        <v>8</v>
      </c>
      <c r="J1844" s="18">
        <v>-249.9</v>
      </c>
      <c r="K1844" t="s">
        <v>2511</v>
      </c>
      <c r="L1844" t="s">
        <v>9</v>
      </c>
      <c r="M1844" t="s">
        <v>2474</v>
      </c>
      <c r="N1844" t="s">
        <v>3</v>
      </c>
      <c r="O1844" t="s">
        <v>3</v>
      </c>
      <c r="P1844" t="s">
        <v>5</v>
      </c>
      <c r="Q1844" t="s">
        <v>2511</v>
      </c>
      <c r="R1844" t="s">
        <v>3</v>
      </c>
      <c r="S1844" t="s">
        <v>3</v>
      </c>
      <c r="T1844" t="s">
        <v>3</v>
      </c>
      <c r="U1844" t="s">
        <v>3</v>
      </c>
      <c r="V1844" t="s">
        <v>3</v>
      </c>
      <c r="W1844" t="s">
        <v>68</v>
      </c>
      <c r="X1844" s="17">
        <v>43646</v>
      </c>
      <c r="Y1844" t="s">
        <v>2510</v>
      </c>
      <c r="Z1844" s="17">
        <v>43646</v>
      </c>
      <c r="AA1844" t="s">
        <v>3</v>
      </c>
      <c r="AB1844" t="s">
        <v>2510</v>
      </c>
    </row>
    <row r="1845" spans="1:28" hidden="1">
      <c r="A1845" t="s">
        <v>2512</v>
      </c>
      <c r="B1845" s="17">
        <v>43646</v>
      </c>
      <c r="C1845" s="17">
        <v>43646</v>
      </c>
      <c r="D1845" t="s">
        <v>7</v>
      </c>
      <c r="E1845" t="s">
        <v>1</v>
      </c>
      <c r="F1845" s="18">
        <v>-43.4</v>
      </c>
      <c r="G1845" s="18">
        <v>-43.4</v>
      </c>
      <c r="H1845" t="s">
        <v>2</v>
      </c>
      <c r="I1845" t="s">
        <v>8</v>
      </c>
      <c r="J1845" s="18">
        <v>-7734.44</v>
      </c>
      <c r="K1845" t="s">
        <v>2513</v>
      </c>
      <c r="L1845" t="s">
        <v>9</v>
      </c>
      <c r="M1845" t="s">
        <v>2474</v>
      </c>
      <c r="N1845" t="s">
        <v>3</v>
      </c>
      <c r="O1845" t="s">
        <v>3</v>
      </c>
      <c r="P1845" t="s">
        <v>5</v>
      </c>
      <c r="Q1845" t="s">
        <v>2513</v>
      </c>
      <c r="R1845" t="s">
        <v>3</v>
      </c>
      <c r="S1845" t="s">
        <v>3</v>
      </c>
      <c r="T1845" t="s">
        <v>3</v>
      </c>
      <c r="U1845" t="s">
        <v>3</v>
      </c>
      <c r="V1845" t="s">
        <v>3</v>
      </c>
      <c r="W1845" t="s">
        <v>68</v>
      </c>
      <c r="X1845" s="17">
        <v>43646</v>
      </c>
      <c r="Y1845" t="s">
        <v>2512</v>
      </c>
      <c r="Z1845" s="17">
        <v>43646</v>
      </c>
      <c r="AA1845" t="s">
        <v>3</v>
      </c>
      <c r="AB1845" t="s">
        <v>2512</v>
      </c>
    </row>
    <row r="1846" spans="1:28" hidden="1">
      <c r="A1846" t="s">
        <v>2514</v>
      </c>
      <c r="B1846" s="17">
        <v>43646</v>
      </c>
      <c r="C1846" s="17">
        <v>43646</v>
      </c>
      <c r="D1846" t="s">
        <v>7</v>
      </c>
      <c r="E1846" t="s">
        <v>1</v>
      </c>
      <c r="F1846" s="18">
        <v>-2</v>
      </c>
      <c r="G1846" s="18">
        <v>-2</v>
      </c>
      <c r="H1846" t="s">
        <v>2</v>
      </c>
      <c r="I1846" t="s">
        <v>8</v>
      </c>
      <c r="J1846" s="18">
        <v>-165.9</v>
      </c>
      <c r="K1846" t="s">
        <v>3</v>
      </c>
      <c r="L1846" t="s">
        <v>9</v>
      </c>
      <c r="M1846" t="s">
        <v>2474</v>
      </c>
      <c r="N1846" t="s">
        <v>3</v>
      </c>
      <c r="O1846" t="s">
        <v>3</v>
      </c>
      <c r="P1846" t="s">
        <v>5</v>
      </c>
      <c r="Q1846" t="s">
        <v>2515</v>
      </c>
      <c r="R1846" t="s">
        <v>3</v>
      </c>
      <c r="S1846" t="s">
        <v>3</v>
      </c>
      <c r="T1846" t="s">
        <v>3</v>
      </c>
      <c r="U1846" t="s">
        <v>3</v>
      </c>
      <c r="V1846" t="s">
        <v>3</v>
      </c>
      <c r="W1846" t="s">
        <v>68</v>
      </c>
      <c r="X1846" s="17">
        <v>43646</v>
      </c>
      <c r="Y1846" t="s">
        <v>2514</v>
      </c>
      <c r="Z1846" s="17">
        <v>43646</v>
      </c>
      <c r="AA1846" t="s">
        <v>3</v>
      </c>
      <c r="AB1846" t="s">
        <v>2514</v>
      </c>
    </row>
    <row r="1847" spans="1:28" hidden="1">
      <c r="A1847" t="s">
        <v>2516</v>
      </c>
      <c r="B1847" s="17">
        <v>43646</v>
      </c>
      <c r="C1847" s="17">
        <v>43646</v>
      </c>
      <c r="D1847" t="s">
        <v>7</v>
      </c>
      <c r="E1847" t="s">
        <v>1</v>
      </c>
      <c r="F1847" s="18">
        <v>-2</v>
      </c>
      <c r="G1847" s="18">
        <v>-2</v>
      </c>
      <c r="H1847" t="s">
        <v>2</v>
      </c>
      <c r="I1847" t="s">
        <v>8</v>
      </c>
      <c r="J1847" s="18">
        <v>-165.6</v>
      </c>
      <c r="K1847" t="s">
        <v>2517</v>
      </c>
      <c r="L1847" t="s">
        <v>9</v>
      </c>
      <c r="M1847" t="s">
        <v>2474</v>
      </c>
      <c r="N1847" t="s">
        <v>3</v>
      </c>
      <c r="O1847" t="s">
        <v>3</v>
      </c>
      <c r="P1847" t="s">
        <v>5</v>
      </c>
      <c r="Q1847" t="s">
        <v>2517</v>
      </c>
      <c r="R1847" t="s">
        <v>3</v>
      </c>
      <c r="S1847" t="s">
        <v>3</v>
      </c>
      <c r="T1847" t="s">
        <v>3</v>
      </c>
      <c r="U1847" t="s">
        <v>3</v>
      </c>
      <c r="V1847" t="s">
        <v>3</v>
      </c>
      <c r="W1847" t="s">
        <v>68</v>
      </c>
      <c r="X1847" s="17">
        <v>43646</v>
      </c>
      <c r="Y1847" t="s">
        <v>2516</v>
      </c>
      <c r="Z1847" s="17">
        <v>43646</v>
      </c>
      <c r="AA1847" t="s">
        <v>3</v>
      </c>
      <c r="AB1847" t="s">
        <v>2516</v>
      </c>
    </row>
    <row r="1848" spans="1:28" hidden="1">
      <c r="A1848" t="s">
        <v>2518</v>
      </c>
      <c r="B1848" s="17">
        <v>43646</v>
      </c>
      <c r="C1848" s="17">
        <v>43646</v>
      </c>
      <c r="D1848" t="s">
        <v>7</v>
      </c>
      <c r="E1848" t="s">
        <v>1</v>
      </c>
      <c r="F1848" s="18">
        <v>1</v>
      </c>
      <c r="G1848" s="18">
        <v>1</v>
      </c>
      <c r="H1848" t="s">
        <v>2</v>
      </c>
      <c r="I1848" t="s">
        <v>10</v>
      </c>
      <c r="J1848" s="18">
        <v>83.3</v>
      </c>
      <c r="K1848" t="s">
        <v>3</v>
      </c>
      <c r="L1848" t="s">
        <v>9</v>
      </c>
      <c r="M1848" t="s">
        <v>2474</v>
      </c>
      <c r="N1848" t="s">
        <v>3</v>
      </c>
      <c r="O1848" t="s">
        <v>3</v>
      </c>
      <c r="P1848" t="s">
        <v>5</v>
      </c>
      <c r="Q1848" t="s">
        <v>2519</v>
      </c>
      <c r="R1848" t="s">
        <v>3</v>
      </c>
      <c r="S1848" t="s">
        <v>3</v>
      </c>
      <c r="T1848" t="s">
        <v>3</v>
      </c>
      <c r="U1848" t="s">
        <v>3</v>
      </c>
      <c r="V1848" t="s">
        <v>3</v>
      </c>
      <c r="W1848" t="s">
        <v>68</v>
      </c>
      <c r="X1848" s="17">
        <v>43646</v>
      </c>
      <c r="Y1848" t="s">
        <v>2518</v>
      </c>
      <c r="Z1848" s="17">
        <v>43646</v>
      </c>
      <c r="AA1848" t="s">
        <v>3</v>
      </c>
      <c r="AB1848" t="s">
        <v>2518</v>
      </c>
    </row>
    <row r="1849" spans="1:28" hidden="1">
      <c r="A1849" t="s">
        <v>2520</v>
      </c>
      <c r="B1849" s="17">
        <v>43646</v>
      </c>
      <c r="C1849" s="17">
        <v>43646</v>
      </c>
      <c r="D1849" t="s">
        <v>7</v>
      </c>
      <c r="E1849" t="s">
        <v>1</v>
      </c>
      <c r="F1849" s="18">
        <v>23199</v>
      </c>
      <c r="G1849" s="18">
        <v>23199</v>
      </c>
      <c r="H1849" t="s">
        <v>2</v>
      </c>
      <c r="I1849" t="s">
        <v>10</v>
      </c>
      <c r="J1849" s="18">
        <v>1924357.06</v>
      </c>
      <c r="K1849" t="s">
        <v>2521</v>
      </c>
      <c r="L1849" t="s">
        <v>9</v>
      </c>
      <c r="M1849" t="s">
        <v>2474</v>
      </c>
      <c r="N1849" t="s">
        <v>3</v>
      </c>
      <c r="O1849" t="s">
        <v>3</v>
      </c>
      <c r="P1849" t="s">
        <v>5</v>
      </c>
      <c r="Q1849" t="s">
        <v>2521</v>
      </c>
      <c r="R1849" t="s">
        <v>3</v>
      </c>
      <c r="S1849" t="s">
        <v>3</v>
      </c>
      <c r="T1849" t="s">
        <v>3</v>
      </c>
      <c r="U1849" t="s">
        <v>3</v>
      </c>
      <c r="V1849" t="s">
        <v>3</v>
      </c>
      <c r="W1849" t="s">
        <v>68</v>
      </c>
      <c r="X1849" s="17">
        <v>43646</v>
      </c>
      <c r="Y1849" t="s">
        <v>2520</v>
      </c>
      <c r="Z1849" s="17">
        <v>43646</v>
      </c>
      <c r="AA1849" t="s">
        <v>3</v>
      </c>
      <c r="AB1849" t="s">
        <v>2520</v>
      </c>
    </row>
    <row r="1850" spans="1:28" hidden="1">
      <c r="A1850" t="s">
        <v>2520</v>
      </c>
      <c r="B1850" s="17">
        <v>43646</v>
      </c>
      <c r="C1850" s="17">
        <v>43646</v>
      </c>
      <c r="D1850" t="s">
        <v>7</v>
      </c>
      <c r="E1850" t="s">
        <v>1</v>
      </c>
      <c r="F1850" s="18">
        <v>-23199</v>
      </c>
      <c r="G1850" s="18">
        <v>-23199</v>
      </c>
      <c r="H1850" t="s">
        <v>2</v>
      </c>
      <c r="I1850" t="s">
        <v>10</v>
      </c>
      <c r="J1850" s="18">
        <v>-1924357.06</v>
      </c>
      <c r="K1850" t="s">
        <v>2521</v>
      </c>
      <c r="L1850" t="s">
        <v>9</v>
      </c>
      <c r="M1850" t="s">
        <v>2474</v>
      </c>
      <c r="N1850" t="s">
        <v>3</v>
      </c>
      <c r="O1850" t="s">
        <v>3</v>
      </c>
      <c r="P1850" t="s">
        <v>5</v>
      </c>
      <c r="Q1850" t="s">
        <v>2521</v>
      </c>
      <c r="R1850" t="s">
        <v>3</v>
      </c>
      <c r="S1850" t="s">
        <v>3</v>
      </c>
      <c r="T1850" t="s">
        <v>3</v>
      </c>
      <c r="U1850" t="s">
        <v>3</v>
      </c>
      <c r="V1850" t="s">
        <v>3</v>
      </c>
      <c r="W1850" t="s">
        <v>68</v>
      </c>
      <c r="X1850" s="17">
        <v>43646</v>
      </c>
      <c r="Y1850" t="s">
        <v>2520</v>
      </c>
      <c r="Z1850" s="17">
        <v>43646</v>
      </c>
      <c r="AA1850" t="s">
        <v>3</v>
      </c>
      <c r="AB1850" t="s">
        <v>2520</v>
      </c>
    </row>
    <row r="1851" spans="1:28" hidden="1">
      <c r="A1851" t="s">
        <v>2522</v>
      </c>
      <c r="B1851" s="17">
        <v>43646</v>
      </c>
      <c r="C1851" s="17">
        <v>43646</v>
      </c>
      <c r="D1851" t="s">
        <v>7</v>
      </c>
      <c r="E1851" t="s">
        <v>1</v>
      </c>
      <c r="F1851" s="18">
        <v>-14313</v>
      </c>
      <c r="G1851" s="18">
        <v>-14313</v>
      </c>
      <c r="H1851" t="s">
        <v>2</v>
      </c>
      <c r="I1851" t="s">
        <v>8</v>
      </c>
      <c r="J1851" s="18">
        <v>-1187263.3500000001</v>
      </c>
      <c r="K1851" t="s">
        <v>2523</v>
      </c>
      <c r="L1851" t="s">
        <v>9</v>
      </c>
      <c r="M1851" t="s">
        <v>2474</v>
      </c>
      <c r="N1851" t="s">
        <v>3</v>
      </c>
      <c r="O1851" t="s">
        <v>3</v>
      </c>
      <c r="P1851" t="s">
        <v>5</v>
      </c>
      <c r="Q1851" t="s">
        <v>2523</v>
      </c>
      <c r="R1851" t="s">
        <v>3</v>
      </c>
      <c r="S1851" t="s">
        <v>3</v>
      </c>
      <c r="T1851" t="s">
        <v>3</v>
      </c>
      <c r="U1851" t="s">
        <v>3</v>
      </c>
      <c r="V1851" t="s">
        <v>3</v>
      </c>
      <c r="W1851" t="s">
        <v>68</v>
      </c>
      <c r="X1851" s="17">
        <v>43646</v>
      </c>
      <c r="Y1851" t="s">
        <v>2522</v>
      </c>
      <c r="Z1851" s="17">
        <v>43646</v>
      </c>
      <c r="AA1851" t="s">
        <v>3</v>
      </c>
      <c r="AB1851" t="s">
        <v>2522</v>
      </c>
    </row>
    <row r="1852" spans="1:28" hidden="1">
      <c r="A1852" t="s">
        <v>2522</v>
      </c>
      <c r="B1852" s="17">
        <v>43646</v>
      </c>
      <c r="C1852" s="17">
        <v>43646</v>
      </c>
      <c r="D1852" t="s">
        <v>7</v>
      </c>
      <c r="E1852" t="s">
        <v>1</v>
      </c>
      <c r="F1852" s="18">
        <v>14313</v>
      </c>
      <c r="G1852" s="18">
        <v>14313</v>
      </c>
      <c r="H1852" t="s">
        <v>2</v>
      </c>
      <c r="I1852" t="s">
        <v>10</v>
      </c>
      <c r="J1852" s="18">
        <v>1187263.3500000001</v>
      </c>
      <c r="K1852" t="s">
        <v>2523</v>
      </c>
      <c r="L1852" t="s">
        <v>9</v>
      </c>
      <c r="M1852" t="s">
        <v>2474</v>
      </c>
      <c r="N1852" t="s">
        <v>3</v>
      </c>
      <c r="O1852" t="s">
        <v>3</v>
      </c>
      <c r="P1852" t="s">
        <v>5</v>
      </c>
      <c r="Q1852" t="s">
        <v>2523</v>
      </c>
      <c r="R1852" t="s">
        <v>3</v>
      </c>
      <c r="S1852" t="s">
        <v>3</v>
      </c>
      <c r="T1852" t="s">
        <v>3</v>
      </c>
      <c r="U1852" t="s">
        <v>3</v>
      </c>
      <c r="V1852" t="s">
        <v>3</v>
      </c>
      <c r="W1852" t="s">
        <v>68</v>
      </c>
      <c r="X1852" s="17">
        <v>43646</v>
      </c>
      <c r="Y1852" t="s">
        <v>2522</v>
      </c>
      <c r="Z1852" s="17">
        <v>43646</v>
      </c>
      <c r="AA1852" t="s">
        <v>3</v>
      </c>
      <c r="AB1852" t="s">
        <v>2522</v>
      </c>
    </row>
    <row r="1853" spans="1:28" hidden="1">
      <c r="A1853" t="s">
        <v>4341</v>
      </c>
      <c r="B1853" s="17">
        <v>43646</v>
      </c>
      <c r="C1853" s="17">
        <v>43646</v>
      </c>
      <c r="D1853" t="s">
        <v>0</v>
      </c>
      <c r="E1853" t="s">
        <v>1</v>
      </c>
      <c r="F1853" s="18">
        <v>-1748567</v>
      </c>
      <c r="G1853" s="18">
        <v>-1748567</v>
      </c>
      <c r="H1853" t="s">
        <v>2</v>
      </c>
      <c r="I1853" t="s">
        <v>8</v>
      </c>
      <c r="J1853" s="18">
        <v>-146005344.50999999</v>
      </c>
      <c r="K1853" t="s">
        <v>4342</v>
      </c>
      <c r="L1853" t="s">
        <v>9</v>
      </c>
      <c r="M1853" t="s">
        <v>4343</v>
      </c>
      <c r="N1853" t="s">
        <v>3</v>
      </c>
      <c r="O1853" t="s">
        <v>3</v>
      </c>
      <c r="P1853" t="s">
        <v>5</v>
      </c>
      <c r="Q1853" t="s">
        <v>4344</v>
      </c>
      <c r="R1853" t="s">
        <v>3</v>
      </c>
      <c r="S1853" t="s">
        <v>3</v>
      </c>
      <c r="T1853" t="s">
        <v>3</v>
      </c>
      <c r="U1853" t="s">
        <v>3</v>
      </c>
      <c r="V1853" t="s">
        <v>3</v>
      </c>
      <c r="W1853" t="s">
        <v>68</v>
      </c>
      <c r="X1853" s="17"/>
      <c r="Y1853" t="s">
        <v>3</v>
      </c>
      <c r="Z1853" s="17">
        <v>43646</v>
      </c>
      <c r="AA1853" t="s">
        <v>3</v>
      </c>
      <c r="AB1853" t="s">
        <v>4341</v>
      </c>
    </row>
    <row r="1854" spans="1:28" hidden="1">
      <c r="A1854" t="s">
        <v>4345</v>
      </c>
      <c r="B1854" s="17">
        <v>43646</v>
      </c>
      <c r="C1854" s="17">
        <v>43646</v>
      </c>
      <c r="D1854" t="s">
        <v>0</v>
      </c>
      <c r="E1854" t="s">
        <v>1</v>
      </c>
      <c r="F1854" s="18">
        <v>10627.01</v>
      </c>
      <c r="G1854" s="18">
        <v>10627.01</v>
      </c>
      <c r="H1854" t="s">
        <v>2</v>
      </c>
      <c r="I1854" t="s">
        <v>10</v>
      </c>
      <c r="J1854" s="18">
        <v>887142.79</v>
      </c>
      <c r="K1854" t="s">
        <v>4346</v>
      </c>
      <c r="L1854" t="s">
        <v>4</v>
      </c>
      <c r="M1854" t="s">
        <v>4347</v>
      </c>
      <c r="N1854" t="s">
        <v>3</v>
      </c>
      <c r="O1854" t="s">
        <v>3</v>
      </c>
      <c r="P1854" t="s">
        <v>5</v>
      </c>
      <c r="Q1854" t="s">
        <v>4348</v>
      </c>
      <c r="R1854" t="s">
        <v>3</v>
      </c>
      <c r="S1854" t="s">
        <v>3</v>
      </c>
      <c r="T1854" t="s">
        <v>3</v>
      </c>
      <c r="U1854" t="s">
        <v>3</v>
      </c>
      <c r="V1854" t="s">
        <v>3</v>
      </c>
      <c r="W1854" t="s">
        <v>68</v>
      </c>
      <c r="X1854" s="17"/>
      <c r="Y1854" t="s">
        <v>3</v>
      </c>
      <c r="Z1854" s="17">
        <v>43646</v>
      </c>
      <c r="AA1854" t="s">
        <v>3</v>
      </c>
      <c r="AB1854" t="s">
        <v>4345</v>
      </c>
    </row>
    <row r="1855" spans="1:28" hidden="1">
      <c r="A1855" t="s">
        <v>4345</v>
      </c>
      <c r="B1855" s="17">
        <v>43646</v>
      </c>
      <c r="C1855" s="17">
        <v>43646</v>
      </c>
      <c r="D1855" t="s">
        <v>0</v>
      </c>
      <c r="E1855" t="s">
        <v>1</v>
      </c>
      <c r="F1855" s="18">
        <v>47002.63</v>
      </c>
      <c r="G1855" s="18">
        <v>47002.63</v>
      </c>
      <c r="H1855" t="s">
        <v>2</v>
      </c>
      <c r="I1855" t="s">
        <v>10</v>
      </c>
      <c r="J1855" s="18">
        <v>3923779.55</v>
      </c>
      <c r="K1855" t="s">
        <v>4349</v>
      </c>
      <c r="L1855" t="s">
        <v>4</v>
      </c>
      <c r="M1855" t="s">
        <v>4347</v>
      </c>
      <c r="N1855" t="s">
        <v>3</v>
      </c>
      <c r="O1855" t="s">
        <v>3</v>
      </c>
      <c r="P1855" t="s">
        <v>5</v>
      </c>
      <c r="Q1855" t="s">
        <v>4348</v>
      </c>
      <c r="R1855" t="s">
        <v>3</v>
      </c>
      <c r="S1855" t="s">
        <v>3</v>
      </c>
      <c r="T1855" t="s">
        <v>3</v>
      </c>
      <c r="U1855" t="s">
        <v>3</v>
      </c>
      <c r="V1855" t="s">
        <v>3</v>
      </c>
      <c r="W1855" t="s">
        <v>68</v>
      </c>
      <c r="X1855" s="17"/>
      <c r="Y1855" t="s">
        <v>3</v>
      </c>
      <c r="Z1855" s="17">
        <v>43646</v>
      </c>
      <c r="AA1855" t="s">
        <v>3</v>
      </c>
      <c r="AB1855" t="s">
        <v>4345</v>
      </c>
    </row>
    <row r="1856" spans="1:28" hidden="1">
      <c r="A1856" t="s">
        <v>4350</v>
      </c>
      <c r="B1856" s="17">
        <v>43646</v>
      </c>
      <c r="C1856" s="17">
        <v>43646</v>
      </c>
      <c r="D1856" t="s">
        <v>0</v>
      </c>
      <c r="E1856" t="s">
        <v>1</v>
      </c>
      <c r="F1856" s="18">
        <v>1377</v>
      </c>
      <c r="G1856" s="18">
        <v>1377</v>
      </c>
      <c r="H1856" t="s">
        <v>2</v>
      </c>
      <c r="I1856" t="s">
        <v>10</v>
      </c>
      <c r="J1856" s="18">
        <v>114951.96</v>
      </c>
      <c r="K1856" t="s">
        <v>4351</v>
      </c>
      <c r="L1856" t="s">
        <v>9</v>
      </c>
      <c r="M1856" t="s">
        <v>4352</v>
      </c>
      <c r="N1856" t="s">
        <v>3</v>
      </c>
      <c r="O1856" t="s">
        <v>3</v>
      </c>
      <c r="P1856" t="s">
        <v>5</v>
      </c>
      <c r="Q1856" t="s">
        <v>4353</v>
      </c>
      <c r="R1856" t="s">
        <v>3</v>
      </c>
      <c r="S1856" t="s">
        <v>3</v>
      </c>
      <c r="T1856" t="s">
        <v>3</v>
      </c>
      <c r="U1856" t="s">
        <v>3</v>
      </c>
      <c r="V1856" t="s">
        <v>3</v>
      </c>
      <c r="W1856" t="s">
        <v>68</v>
      </c>
      <c r="X1856" s="17">
        <v>43769</v>
      </c>
      <c r="Y1856" t="s">
        <v>4012</v>
      </c>
      <c r="Z1856" s="17">
        <v>43646</v>
      </c>
      <c r="AA1856" t="s">
        <v>3</v>
      </c>
      <c r="AB1856" t="s">
        <v>4350</v>
      </c>
    </row>
    <row r="1857" spans="1:28" hidden="1">
      <c r="A1857" t="s">
        <v>4350</v>
      </c>
      <c r="B1857" s="17">
        <v>43646</v>
      </c>
      <c r="C1857" s="17">
        <v>43646</v>
      </c>
      <c r="D1857" t="s">
        <v>0</v>
      </c>
      <c r="E1857" t="s">
        <v>1</v>
      </c>
      <c r="F1857" s="18">
        <v>528</v>
      </c>
      <c r="G1857" s="18">
        <v>528</v>
      </c>
      <c r="H1857" t="s">
        <v>2</v>
      </c>
      <c r="I1857" t="s">
        <v>10</v>
      </c>
      <c r="J1857" s="18">
        <v>44077.440000000002</v>
      </c>
      <c r="K1857" t="s">
        <v>4354</v>
      </c>
      <c r="L1857" t="s">
        <v>9</v>
      </c>
      <c r="M1857" t="s">
        <v>4352</v>
      </c>
      <c r="N1857" t="s">
        <v>3</v>
      </c>
      <c r="O1857" t="s">
        <v>3</v>
      </c>
      <c r="P1857" t="s">
        <v>5</v>
      </c>
      <c r="Q1857" t="s">
        <v>4353</v>
      </c>
      <c r="R1857" t="s">
        <v>3</v>
      </c>
      <c r="S1857" t="s">
        <v>3</v>
      </c>
      <c r="T1857" t="s">
        <v>3</v>
      </c>
      <c r="U1857" t="s">
        <v>3</v>
      </c>
      <c r="V1857" t="s">
        <v>3</v>
      </c>
      <c r="W1857" t="s">
        <v>68</v>
      </c>
      <c r="X1857" s="17">
        <v>43677</v>
      </c>
      <c r="Y1857" t="s">
        <v>4156</v>
      </c>
      <c r="Z1857" s="17">
        <v>43646</v>
      </c>
      <c r="AA1857" t="s">
        <v>3</v>
      </c>
      <c r="AB1857" t="s">
        <v>4350</v>
      </c>
    </row>
    <row r="1858" spans="1:28" hidden="1">
      <c r="A1858" t="s">
        <v>4355</v>
      </c>
      <c r="B1858" s="17">
        <v>43646</v>
      </c>
      <c r="C1858" s="17">
        <v>43646</v>
      </c>
      <c r="D1858" t="s">
        <v>0</v>
      </c>
      <c r="E1858" t="s">
        <v>1</v>
      </c>
      <c r="F1858" s="18">
        <v>40495</v>
      </c>
      <c r="G1858" s="18">
        <v>40495</v>
      </c>
      <c r="H1858" t="s">
        <v>2</v>
      </c>
      <c r="I1858" t="s">
        <v>8</v>
      </c>
      <c r="J1858" s="18">
        <v>3380522.6</v>
      </c>
      <c r="K1858" t="s">
        <v>4356</v>
      </c>
      <c r="L1858" t="s">
        <v>9</v>
      </c>
      <c r="M1858" t="s">
        <v>4357</v>
      </c>
      <c r="N1858" t="s">
        <v>3</v>
      </c>
      <c r="O1858" t="s">
        <v>3</v>
      </c>
      <c r="P1858" t="s">
        <v>5</v>
      </c>
      <c r="Q1858" t="s">
        <v>4358</v>
      </c>
      <c r="R1858" t="s">
        <v>3</v>
      </c>
      <c r="S1858" t="s">
        <v>3</v>
      </c>
      <c r="T1858" t="s">
        <v>3</v>
      </c>
      <c r="U1858" t="s">
        <v>3</v>
      </c>
      <c r="V1858" t="s">
        <v>3</v>
      </c>
      <c r="W1858" t="s">
        <v>68</v>
      </c>
      <c r="X1858" s="17">
        <v>43769</v>
      </c>
      <c r="Y1858" t="s">
        <v>4005</v>
      </c>
      <c r="Z1858" s="17">
        <v>43646</v>
      </c>
      <c r="AA1858" t="s">
        <v>3</v>
      </c>
      <c r="AB1858" t="s">
        <v>4355</v>
      </c>
    </row>
    <row r="1859" spans="1:28" hidden="1">
      <c r="A1859" t="s">
        <v>4355</v>
      </c>
      <c r="B1859" s="17">
        <v>43646</v>
      </c>
      <c r="C1859" s="17">
        <v>43646</v>
      </c>
      <c r="D1859" t="s">
        <v>0</v>
      </c>
      <c r="E1859" t="s">
        <v>1</v>
      </c>
      <c r="F1859" s="18">
        <v>45519</v>
      </c>
      <c r="G1859" s="18">
        <v>45519</v>
      </c>
      <c r="H1859" t="s">
        <v>2</v>
      </c>
      <c r="I1859" t="s">
        <v>8</v>
      </c>
      <c r="J1859" s="18">
        <v>3799926.12</v>
      </c>
      <c r="K1859" t="s">
        <v>4359</v>
      </c>
      <c r="L1859" t="s">
        <v>9</v>
      </c>
      <c r="M1859" t="s">
        <v>4357</v>
      </c>
      <c r="N1859" t="s">
        <v>3</v>
      </c>
      <c r="O1859" t="s">
        <v>3</v>
      </c>
      <c r="P1859" t="s">
        <v>5</v>
      </c>
      <c r="Q1859" t="s">
        <v>4358</v>
      </c>
      <c r="R1859" t="s">
        <v>3</v>
      </c>
      <c r="S1859" t="s">
        <v>3</v>
      </c>
      <c r="T1859" t="s">
        <v>3</v>
      </c>
      <c r="U1859" t="s">
        <v>3</v>
      </c>
      <c r="V1859" t="s">
        <v>3</v>
      </c>
      <c r="W1859" t="s">
        <v>68</v>
      </c>
      <c r="X1859" s="17">
        <v>43769</v>
      </c>
      <c r="Y1859" t="s">
        <v>4160</v>
      </c>
      <c r="Z1859" s="17">
        <v>43646</v>
      </c>
      <c r="AA1859" t="s">
        <v>3</v>
      </c>
      <c r="AB1859" t="s">
        <v>4355</v>
      </c>
    </row>
    <row r="1860" spans="1:28" hidden="1">
      <c r="A1860" t="s">
        <v>4355</v>
      </c>
      <c r="B1860" s="17">
        <v>43646</v>
      </c>
      <c r="C1860" s="17">
        <v>43646</v>
      </c>
      <c r="D1860" t="s">
        <v>0</v>
      </c>
      <c r="E1860" t="s">
        <v>1</v>
      </c>
      <c r="F1860" s="18">
        <v>2041</v>
      </c>
      <c r="G1860" s="18">
        <v>2041</v>
      </c>
      <c r="H1860" t="s">
        <v>2</v>
      </c>
      <c r="I1860" t="s">
        <v>8</v>
      </c>
      <c r="J1860" s="18">
        <v>170382.68</v>
      </c>
      <c r="K1860" t="s">
        <v>4360</v>
      </c>
      <c r="L1860" t="s">
        <v>9</v>
      </c>
      <c r="M1860" t="s">
        <v>4357</v>
      </c>
      <c r="N1860" t="s">
        <v>3</v>
      </c>
      <c r="O1860" t="s">
        <v>3</v>
      </c>
      <c r="P1860" t="s">
        <v>5</v>
      </c>
      <c r="Q1860" t="s">
        <v>4358</v>
      </c>
      <c r="R1860" t="s">
        <v>3</v>
      </c>
      <c r="S1860" t="s">
        <v>3</v>
      </c>
      <c r="T1860" t="s">
        <v>3</v>
      </c>
      <c r="U1860" t="s">
        <v>3</v>
      </c>
      <c r="V1860" t="s">
        <v>3</v>
      </c>
      <c r="W1860" t="s">
        <v>68</v>
      </c>
      <c r="X1860" s="17">
        <v>44012</v>
      </c>
      <c r="Y1860" t="s">
        <v>4137</v>
      </c>
      <c r="Z1860" s="17">
        <v>43646</v>
      </c>
      <c r="AA1860" t="s">
        <v>3</v>
      </c>
      <c r="AB1860" t="s">
        <v>4355</v>
      </c>
    </row>
    <row r="1861" spans="1:28" hidden="1">
      <c r="A1861" t="s">
        <v>4361</v>
      </c>
      <c r="B1861" s="17">
        <v>43646</v>
      </c>
      <c r="C1861" s="17">
        <v>43646</v>
      </c>
      <c r="D1861" t="s">
        <v>0</v>
      </c>
      <c r="E1861" t="s">
        <v>1</v>
      </c>
      <c r="F1861" s="18">
        <v>-416465.88</v>
      </c>
      <c r="G1861" s="18">
        <v>-416465.88</v>
      </c>
      <c r="H1861" t="s">
        <v>2</v>
      </c>
      <c r="I1861" t="s">
        <v>8</v>
      </c>
      <c r="J1861" s="18">
        <v>-34774900.979999997</v>
      </c>
      <c r="K1861" t="s">
        <v>4362</v>
      </c>
      <c r="L1861" t="s">
        <v>2335</v>
      </c>
      <c r="M1861" t="s">
        <v>4363</v>
      </c>
      <c r="N1861" t="s">
        <v>3</v>
      </c>
      <c r="O1861" t="s">
        <v>3</v>
      </c>
      <c r="P1861" t="s">
        <v>5</v>
      </c>
      <c r="Q1861" t="s">
        <v>4362</v>
      </c>
      <c r="R1861" t="s">
        <v>3</v>
      </c>
      <c r="S1861" t="s">
        <v>3</v>
      </c>
      <c r="T1861" t="s">
        <v>3</v>
      </c>
      <c r="U1861" t="s">
        <v>3</v>
      </c>
      <c r="V1861" t="s">
        <v>3</v>
      </c>
      <c r="W1861" t="s">
        <v>68</v>
      </c>
      <c r="X1861" s="17">
        <v>43647</v>
      </c>
      <c r="Y1861" t="s">
        <v>4364</v>
      </c>
      <c r="Z1861" s="17">
        <v>43646</v>
      </c>
      <c r="AA1861" t="s">
        <v>3</v>
      </c>
      <c r="AB1861" t="s">
        <v>4361</v>
      </c>
    </row>
    <row r="1862" spans="1:28" hidden="1">
      <c r="A1862" t="s">
        <v>4364</v>
      </c>
      <c r="B1862" s="17">
        <v>43647</v>
      </c>
      <c r="C1862" s="17">
        <v>43646</v>
      </c>
      <c r="D1862" t="s">
        <v>38</v>
      </c>
      <c r="E1862" t="s">
        <v>1</v>
      </c>
      <c r="F1862" s="18">
        <v>416465.88</v>
      </c>
      <c r="G1862" s="18">
        <v>416465.88</v>
      </c>
      <c r="H1862" t="s">
        <v>2</v>
      </c>
      <c r="I1862" t="s">
        <v>8</v>
      </c>
      <c r="J1862" s="18">
        <v>34774900.979999997</v>
      </c>
      <c r="K1862" t="s">
        <v>4362</v>
      </c>
      <c r="L1862" t="s">
        <v>2335</v>
      </c>
      <c r="M1862" t="s">
        <v>4363</v>
      </c>
      <c r="N1862" t="s">
        <v>3</v>
      </c>
      <c r="O1862" t="s">
        <v>3</v>
      </c>
      <c r="P1862" t="s">
        <v>5</v>
      </c>
      <c r="Q1862" t="s">
        <v>4362</v>
      </c>
      <c r="R1862" t="s">
        <v>3</v>
      </c>
      <c r="S1862" t="s">
        <v>3</v>
      </c>
      <c r="T1862" t="s">
        <v>3</v>
      </c>
      <c r="U1862" t="s">
        <v>3</v>
      </c>
      <c r="V1862" t="s">
        <v>3</v>
      </c>
      <c r="W1862" t="s">
        <v>68</v>
      </c>
      <c r="X1862" s="17">
        <v>43647</v>
      </c>
      <c r="Y1862" t="s">
        <v>4364</v>
      </c>
      <c r="Z1862" s="17">
        <v>43646</v>
      </c>
      <c r="AA1862" t="s">
        <v>3</v>
      </c>
      <c r="AB1862" t="s">
        <v>4364</v>
      </c>
    </row>
    <row r="1863" spans="1:28" hidden="1">
      <c r="A1863" t="s">
        <v>4496</v>
      </c>
      <c r="B1863" s="17">
        <v>43648</v>
      </c>
      <c r="C1863" s="17">
        <v>43648</v>
      </c>
      <c r="D1863" t="s">
        <v>0</v>
      </c>
      <c r="E1863" t="s">
        <v>1</v>
      </c>
      <c r="F1863" s="18">
        <v>12822.97</v>
      </c>
      <c r="G1863" s="18">
        <v>12822.97</v>
      </c>
      <c r="H1863" t="s">
        <v>2</v>
      </c>
      <c r="I1863" t="s">
        <v>8</v>
      </c>
      <c r="J1863" s="18">
        <v>1070461.54</v>
      </c>
      <c r="K1863" t="s">
        <v>4497</v>
      </c>
      <c r="L1863" t="s">
        <v>4</v>
      </c>
      <c r="M1863" t="s">
        <v>4498</v>
      </c>
      <c r="N1863" t="s">
        <v>3</v>
      </c>
      <c r="O1863" t="s">
        <v>3</v>
      </c>
      <c r="P1863" t="s">
        <v>5</v>
      </c>
      <c r="Q1863" t="s">
        <v>4499</v>
      </c>
      <c r="R1863" t="s">
        <v>3</v>
      </c>
      <c r="S1863" t="s">
        <v>3</v>
      </c>
      <c r="T1863" t="s">
        <v>3</v>
      </c>
      <c r="U1863" t="s">
        <v>3</v>
      </c>
      <c r="V1863" t="s">
        <v>3</v>
      </c>
      <c r="W1863" t="s">
        <v>68</v>
      </c>
      <c r="X1863" s="17"/>
      <c r="Y1863" t="s">
        <v>3</v>
      </c>
      <c r="Z1863" s="17">
        <v>43648</v>
      </c>
      <c r="AA1863" t="s">
        <v>3</v>
      </c>
      <c r="AB1863" t="s">
        <v>4496</v>
      </c>
    </row>
    <row r="1864" spans="1:28" hidden="1">
      <c r="A1864" t="s">
        <v>4365</v>
      </c>
      <c r="B1864" s="17">
        <v>43650</v>
      </c>
      <c r="C1864" s="17">
        <v>43650</v>
      </c>
      <c r="D1864" t="s">
        <v>38</v>
      </c>
      <c r="E1864" t="s">
        <v>1</v>
      </c>
      <c r="F1864" s="18">
        <v>318514.05</v>
      </c>
      <c r="G1864" s="18">
        <v>318514.05</v>
      </c>
      <c r="H1864" t="s">
        <v>2</v>
      </c>
      <c r="I1864" t="s">
        <v>10</v>
      </c>
      <c r="J1864" s="18">
        <v>26595923.190000001</v>
      </c>
      <c r="K1864" t="s">
        <v>4366</v>
      </c>
      <c r="L1864" t="s">
        <v>9</v>
      </c>
      <c r="M1864" t="s">
        <v>4367</v>
      </c>
      <c r="N1864" t="s">
        <v>3</v>
      </c>
      <c r="O1864" t="s">
        <v>3</v>
      </c>
      <c r="P1864" t="s">
        <v>5</v>
      </c>
      <c r="Q1864" t="s">
        <v>4368</v>
      </c>
      <c r="R1864" t="s">
        <v>3</v>
      </c>
      <c r="S1864" t="s">
        <v>3</v>
      </c>
      <c r="T1864" t="s">
        <v>3</v>
      </c>
      <c r="U1864" t="s">
        <v>3</v>
      </c>
      <c r="V1864" t="s">
        <v>3</v>
      </c>
      <c r="W1864" t="s">
        <v>68</v>
      </c>
      <c r="X1864" s="17">
        <v>43650</v>
      </c>
      <c r="Y1864" t="s">
        <v>4365</v>
      </c>
      <c r="Z1864" s="17">
        <v>43650</v>
      </c>
      <c r="AA1864" t="s">
        <v>3</v>
      </c>
      <c r="AB1864" t="s">
        <v>4365</v>
      </c>
    </row>
    <row r="1865" spans="1:28" hidden="1">
      <c r="A1865" t="s">
        <v>4500</v>
      </c>
      <c r="B1865" s="17">
        <v>43650</v>
      </c>
      <c r="C1865" s="17">
        <v>43650</v>
      </c>
      <c r="D1865" t="s">
        <v>0</v>
      </c>
      <c r="E1865" t="s">
        <v>1</v>
      </c>
      <c r="F1865" s="18">
        <v>-319015</v>
      </c>
      <c r="G1865" s="18">
        <v>-319015</v>
      </c>
      <c r="H1865" t="s">
        <v>2</v>
      </c>
      <c r="I1865" t="s">
        <v>8</v>
      </c>
      <c r="J1865" s="18">
        <v>-26637752.510000002</v>
      </c>
      <c r="K1865" t="s">
        <v>4501</v>
      </c>
      <c r="L1865" t="s">
        <v>4</v>
      </c>
      <c r="M1865" t="s">
        <v>4502</v>
      </c>
      <c r="N1865" t="s">
        <v>3</v>
      </c>
      <c r="O1865" t="s">
        <v>3</v>
      </c>
      <c r="P1865" t="s">
        <v>5</v>
      </c>
      <c r="Q1865" t="s">
        <v>4503</v>
      </c>
      <c r="R1865" t="s">
        <v>3</v>
      </c>
      <c r="S1865" t="s">
        <v>3</v>
      </c>
      <c r="T1865" t="s">
        <v>3</v>
      </c>
      <c r="U1865" t="s">
        <v>3</v>
      </c>
      <c r="V1865" t="s">
        <v>3</v>
      </c>
      <c r="W1865" t="s">
        <v>68</v>
      </c>
      <c r="X1865" s="17"/>
      <c r="Y1865" t="s">
        <v>3</v>
      </c>
      <c r="Z1865" s="17">
        <v>43650</v>
      </c>
      <c r="AA1865" t="s">
        <v>3</v>
      </c>
      <c r="AB1865" t="s">
        <v>4500</v>
      </c>
    </row>
    <row r="1866" spans="1:28" hidden="1">
      <c r="A1866" t="s">
        <v>4504</v>
      </c>
      <c r="B1866" s="17">
        <v>43650</v>
      </c>
      <c r="C1866" s="17">
        <v>43650</v>
      </c>
      <c r="D1866" t="s">
        <v>0</v>
      </c>
      <c r="E1866" t="s">
        <v>1</v>
      </c>
      <c r="F1866" s="18">
        <v>-318514.05</v>
      </c>
      <c r="G1866" s="18">
        <v>-318514.05</v>
      </c>
      <c r="H1866" t="s">
        <v>2</v>
      </c>
      <c r="I1866" t="s">
        <v>10</v>
      </c>
      <c r="J1866" s="18">
        <v>-26595923.190000001</v>
      </c>
      <c r="K1866" t="s">
        <v>4366</v>
      </c>
      <c r="L1866" t="s">
        <v>9</v>
      </c>
      <c r="M1866" t="s">
        <v>4367</v>
      </c>
      <c r="N1866" t="s">
        <v>3</v>
      </c>
      <c r="O1866" t="s">
        <v>3</v>
      </c>
      <c r="P1866" t="s">
        <v>5</v>
      </c>
      <c r="Q1866" t="s">
        <v>4368</v>
      </c>
      <c r="R1866" t="s">
        <v>3</v>
      </c>
      <c r="S1866" t="s">
        <v>3</v>
      </c>
      <c r="T1866" t="s">
        <v>3</v>
      </c>
      <c r="U1866" t="s">
        <v>3</v>
      </c>
      <c r="V1866" t="s">
        <v>3</v>
      </c>
      <c r="W1866" t="s">
        <v>68</v>
      </c>
      <c r="X1866" s="17">
        <v>43650</v>
      </c>
      <c r="Y1866" t="s">
        <v>4365</v>
      </c>
      <c r="Z1866" s="17">
        <v>43650</v>
      </c>
      <c r="AA1866" t="s">
        <v>3</v>
      </c>
      <c r="AB1866" t="s">
        <v>4504</v>
      </c>
    </row>
    <row r="1867" spans="1:28" hidden="1">
      <c r="A1867" t="s">
        <v>4505</v>
      </c>
      <c r="B1867" s="17">
        <v>43650</v>
      </c>
      <c r="C1867" s="17">
        <v>43650</v>
      </c>
      <c r="D1867" t="s">
        <v>0</v>
      </c>
      <c r="E1867" t="s">
        <v>1</v>
      </c>
      <c r="F1867" s="18">
        <v>4734</v>
      </c>
      <c r="G1867" s="18">
        <v>4734</v>
      </c>
      <c r="H1867" t="s">
        <v>2</v>
      </c>
      <c r="I1867" t="s">
        <v>8</v>
      </c>
      <c r="J1867" s="18">
        <v>395194.32</v>
      </c>
      <c r="K1867" t="s">
        <v>4359</v>
      </c>
      <c r="L1867" t="s">
        <v>9</v>
      </c>
      <c r="M1867" t="s">
        <v>4506</v>
      </c>
      <c r="N1867" t="s">
        <v>3</v>
      </c>
      <c r="O1867" t="s">
        <v>3</v>
      </c>
      <c r="P1867" t="s">
        <v>5</v>
      </c>
      <c r="Q1867" t="s">
        <v>4507</v>
      </c>
      <c r="R1867" t="s">
        <v>3</v>
      </c>
      <c r="S1867" t="s">
        <v>3</v>
      </c>
      <c r="T1867" t="s">
        <v>3</v>
      </c>
      <c r="U1867" t="s">
        <v>3</v>
      </c>
      <c r="V1867" t="s">
        <v>3</v>
      </c>
      <c r="W1867" t="s">
        <v>68</v>
      </c>
      <c r="X1867" s="17">
        <v>43769</v>
      </c>
      <c r="Y1867" t="s">
        <v>4160</v>
      </c>
      <c r="Z1867" s="17">
        <v>43650</v>
      </c>
      <c r="AA1867" t="s">
        <v>3</v>
      </c>
      <c r="AB1867" t="s">
        <v>4505</v>
      </c>
    </row>
    <row r="1868" spans="1:28" hidden="1">
      <c r="A1868" t="s">
        <v>4508</v>
      </c>
      <c r="B1868" s="17">
        <v>43650</v>
      </c>
      <c r="C1868" s="17">
        <v>43650</v>
      </c>
      <c r="D1868" t="s">
        <v>0</v>
      </c>
      <c r="E1868" t="s">
        <v>1</v>
      </c>
      <c r="F1868" s="18">
        <v>976</v>
      </c>
      <c r="G1868" s="18">
        <v>976</v>
      </c>
      <c r="H1868" t="s">
        <v>2</v>
      </c>
      <c r="I1868" t="s">
        <v>8</v>
      </c>
      <c r="J1868" s="18">
        <v>81496</v>
      </c>
      <c r="K1868" t="s">
        <v>4509</v>
      </c>
      <c r="L1868" t="s">
        <v>4</v>
      </c>
      <c r="M1868" t="s">
        <v>4510</v>
      </c>
      <c r="N1868" t="s">
        <v>3</v>
      </c>
      <c r="O1868" t="s">
        <v>3</v>
      </c>
      <c r="P1868" t="s">
        <v>5</v>
      </c>
      <c r="Q1868" t="s">
        <v>4511</v>
      </c>
      <c r="R1868" t="s">
        <v>3</v>
      </c>
      <c r="S1868" t="s">
        <v>3</v>
      </c>
      <c r="T1868" t="s">
        <v>3</v>
      </c>
      <c r="U1868" t="s">
        <v>3</v>
      </c>
      <c r="V1868" t="s">
        <v>3</v>
      </c>
      <c r="W1868" t="s">
        <v>68</v>
      </c>
      <c r="X1868" s="17"/>
      <c r="Y1868" t="s">
        <v>3</v>
      </c>
      <c r="Z1868" s="17">
        <v>43650</v>
      </c>
      <c r="AA1868" t="s">
        <v>3</v>
      </c>
      <c r="AB1868" t="s">
        <v>4508</v>
      </c>
    </row>
    <row r="1869" spans="1:28" hidden="1">
      <c r="A1869" t="s">
        <v>4508</v>
      </c>
      <c r="B1869" s="17">
        <v>43650</v>
      </c>
      <c r="C1869" s="17">
        <v>43650</v>
      </c>
      <c r="D1869" t="s">
        <v>0</v>
      </c>
      <c r="E1869" t="s">
        <v>1</v>
      </c>
      <c r="F1869" s="18">
        <v>940</v>
      </c>
      <c r="G1869" s="18">
        <v>940</v>
      </c>
      <c r="H1869" t="s">
        <v>2</v>
      </c>
      <c r="I1869" t="s">
        <v>8</v>
      </c>
      <c r="J1869" s="18">
        <v>78471.199999999997</v>
      </c>
      <c r="K1869" t="s">
        <v>4512</v>
      </c>
      <c r="L1869" t="s">
        <v>4</v>
      </c>
      <c r="M1869" t="s">
        <v>4510</v>
      </c>
      <c r="N1869" t="s">
        <v>3</v>
      </c>
      <c r="O1869" t="s">
        <v>3</v>
      </c>
      <c r="P1869" t="s">
        <v>5</v>
      </c>
      <c r="Q1869" t="s">
        <v>4511</v>
      </c>
      <c r="R1869" t="s">
        <v>3</v>
      </c>
      <c r="S1869" t="s">
        <v>3</v>
      </c>
      <c r="T1869" t="s">
        <v>3</v>
      </c>
      <c r="U1869" t="s">
        <v>3</v>
      </c>
      <c r="V1869" t="s">
        <v>3</v>
      </c>
      <c r="W1869" t="s">
        <v>68</v>
      </c>
      <c r="X1869" s="17"/>
      <c r="Y1869" t="s">
        <v>3</v>
      </c>
      <c r="Z1869" s="17">
        <v>43650</v>
      </c>
      <c r="AA1869" t="s">
        <v>3</v>
      </c>
      <c r="AB1869" t="s">
        <v>4508</v>
      </c>
    </row>
    <row r="1870" spans="1:28" hidden="1">
      <c r="A1870" t="s">
        <v>4513</v>
      </c>
      <c r="B1870" s="17">
        <v>43650</v>
      </c>
      <c r="C1870" s="17">
        <v>43650</v>
      </c>
      <c r="D1870" t="s">
        <v>0</v>
      </c>
      <c r="E1870" t="s">
        <v>1</v>
      </c>
      <c r="F1870" s="18">
        <v>-318514.05</v>
      </c>
      <c r="G1870" s="18">
        <v>-318514.05</v>
      </c>
      <c r="H1870" t="s">
        <v>2</v>
      </c>
      <c r="I1870" t="s">
        <v>10</v>
      </c>
      <c r="J1870" s="18">
        <v>-26595923.190000001</v>
      </c>
      <c r="K1870" t="s">
        <v>4366</v>
      </c>
      <c r="L1870" t="s">
        <v>4</v>
      </c>
      <c r="M1870" t="s">
        <v>4367</v>
      </c>
      <c r="N1870" t="s">
        <v>3</v>
      </c>
      <c r="O1870" t="s">
        <v>3</v>
      </c>
      <c r="P1870" t="s">
        <v>5</v>
      </c>
      <c r="Q1870" t="s">
        <v>4368</v>
      </c>
      <c r="R1870" t="s">
        <v>3</v>
      </c>
      <c r="S1870" t="s">
        <v>3</v>
      </c>
      <c r="T1870" t="s">
        <v>3</v>
      </c>
      <c r="U1870" t="s">
        <v>3</v>
      </c>
      <c r="V1870" t="s">
        <v>3</v>
      </c>
      <c r="W1870" t="s">
        <v>68</v>
      </c>
      <c r="X1870" s="17"/>
      <c r="Y1870" t="s">
        <v>3</v>
      </c>
      <c r="Z1870" s="17">
        <v>43650</v>
      </c>
      <c r="AA1870" t="s">
        <v>3</v>
      </c>
      <c r="AB1870" t="s">
        <v>4513</v>
      </c>
    </row>
    <row r="1871" spans="1:28" hidden="1">
      <c r="A1871" t="s">
        <v>4514</v>
      </c>
      <c r="B1871" s="17">
        <v>43650</v>
      </c>
      <c r="C1871" s="17">
        <v>43650</v>
      </c>
      <c r="D1871" t="s">
        <v>0</v>
      </c>
      <c r="E1871" t="s">
        <v>1</v>
      </c>
      <c r="F1871" s="18">
        <v>32885.589999999997</v>
      </c>
      <c r="G1871" s="18">
        <v>32885.589999999997</v>
      </c>
      <c r="H1871" t="s">
        <v>2</v>
      </c>
      <c r="I1871" t="s">
        <v>10</v>
      </c>
      <c r="J1871" s="18">
        <v>2745289.05</v>
      </c>
      <c r="K1871" t="s">
        <v>4515</v>
      </c>
      <c r="L1871" t="s">
        <v>4</v>
      </c>
      <c r="M1871" t="s">
        <v>4516</v>
      </c>
      <c r="N1871" t="s">
        <v>3</v>
      </c>
      <c r="O1871" t="s">
        <v>3</v>
      </c>
      <c r="P1871" t="s">
        <v>5</v>
      </c>
      <c r="Q1871" t="s">
        <v>4517</v>
      </c>
      <c r="R1871" t="s">
        <v>3</v>
      </c>
      <c r="S1871" t="s">
        <v>3</v>
      </c>
      <c r="T1871" t="s">
        <v>3</v>
      </c>
      <c r="U1871" t="s">
        <v>3</v>
      </c>
      <c r="V1871" t="s">
        <v>3</v>
      </c>
      <c r="W1871" t="s">
        <v>68</v>
      </c>
      <c r="X1871" s="17"/>
      <c r="Y1871" t="s">
        <v>3</v>
      </c>
      <c r="Z1871" s="17">
        <v>43650</v>
      </c>
      <c r="AA1871" t="s">
        <v>3</v>
      </c>
      <c r="AB1871" t="s">
        <v>4514</v>
      </c>
    </row>
    <row r="1872" spans="1:28" hidden="1">
      <c r="A1872" t="s">
        <v>4514</v>
      </c>
      <c r="B1872" s="17">
        <v>43650</v>
      </c>
      <c r="C1872" s="17">
        <v>43650</v>
      </c>
      <c r="D1872" t="s">
        <v>0</v>
      </c>
      <c r="E1872" t="s">
        <v>1</v>
      </c>
      <c r="F1872" s="18">
        <v>43515.97</v>
      </c>
      <c r="G1872" s="18">
        <v>43515.97</v>
      </c>
      <c r="H1872" t="s">
        <v>2</v>
      </c>
      <c r="I1872" t="s">
        <v>10</v>
      </c>
      <c r="J1872" s="18">
        <v>3633583.5</v>
      </c>
      <c r="K1872" t="s">
        <v>4518</v>
      </c>
      <c r="L1872" t="s">
        <v>4</v>
      </c>
      <c r="M1872" t="s">
        <v>4516</v>
      </c>
      <c r="N1872" t="s">
        <v>3</v>
      </c>
      <c r="O1872" t="s">
        <v>3</v>
      </c>
      <c r="P1872" t="s">
        <v>5</v>
      </c>
      <c r="Q1872" t="s">
        <v>4517</v>
      </c>
      <c r="R1872" t="s">
        <v>3</v>
      </c>
      <c r="S1872" t="s">
        <v>3</v>
      </c>
      <c r="T1872" t="s">
        <v>3</v>
      </c>
      <c r="U1872" t="s">
        <v>3</v>
      </c>
      <c r="V1872" t="s">
        <v>3</v>
      </c>
      <c r="W1872" t="s">
        <v>68</v>
      </c>
      <c r="X1872" s="17"/>
      <c r="Y1872" t="s">
        <v>3</v>
      </c>
      <c r="Z1872" s="17">
        <v>43650</v>
      </c>
      <c r="AA1872" t="s">
        <v>3</v>
      </c>
      <c r="AB1872" t="s">
        <v>4514</v>
      </c>
    </row>
    <row r="1873" spans="1:28" hidden="1">
      <c r="A1873" t="s">
        <v>4514</v>
      </c>
      <c r="B1873" s="17">
        <v>43650</v>
      </c>
      <c r="C1873" s="17">
        <v>43650</v>
      </c>
      <c r="D1873" t="s">
        <v>0</v>
      </c>
      <c r="E1873" t="s">
        <v>1</v>
      </c>
      <c r="F1873" s="18">
        <v>27252.43</v>
      </c>
      <c r="G1873" s="18">
        <v>27252.43</v>
      </c>
      <c r="H1873" t="s">
        <v>2</v>
      </c>
      <c r="I1873" t="s">
        <v>10</v>
      </c>
      <c r="J1873" s="18">
        <v>2275032.86</v>
      </c>
      <c r="K1873" t="s">
        <v>4519</v>
      </c>
      <c r="L1873" t="s">
        <v>4</v>
      </c>
      <c r="M1873" t="s">
        <v>4516</v>
      </c>
      <c r="N1873" t="s">
        <v>3</v>
      </c>
      <c r="O1873" t="s">
        <v>3</v>
      </c>
      <c r="P1873" t="s">
        <v>5</v>
      </c>
      <c r="Q1873" t="s">
        <v>4517</v>
      </c>
      <c r="R1873" t="s">
        <v>3</v>
      </c>
      <c r="S1873" t="s">
        <v>3</v>
      </c>
      <c r="T1873" t="s">
        <v>3</v>
      </c>
      <c r="U1873" t="s">
        <v>3</v>
      </c>
      <c r="V1873" t="s">
        <v>3</v>
      </c>
      <c r="W1873" t="s">
        <v>68</v>
      </c>
      <c r="X1873" s="17"/>
      <c r="Y1873" t="s">
        <v>3</v>
      </c>
      <c r="Z1873" s="17">
        <v>43650</v>
      </c>
      <c r="AA1873" t="s">
        <v>3</v>
      </c>
      <c r="AB1873" t="s">
        <v>4514</v>
      </c>
    </row>
    <row r="1874" spans="1:28" hidden="1">
      <c r="A1874" t="s">
        <v>4520</v>
      </c>
      <c r="B1874" s="17">
        <v>43650</v>
      </c>
      <c r="C1874" s="17">
        <v>43650</v>
      </c>
      <c r="D1874" t="s">
        <v>0</v>
      </c>
      <c r="E1874" t="s">
        <v>1</v>
      </c>
      <c r="F1874" s="18">
        <v>70727</v>
      </c>
      <c r="G1874" s="18">
        <v>70727</v>
      </c>
      <c r="H1874" t="s">
        <v>2</v>
      </c>
      <c r="I1874" t="s">
        <v>8</v>
      </c>
      <c r="J1874" s="18">
        <v>5904289.96</v>
      </c>
      <c r="K1874" t="s">
        <v>4521</v>
      </c>
      <c r="L1874" t="s">
        <v>9</v>
      </c>
      <c r="M1874" t="s">
        <v>4522</v>
      </c>
      <c r="N1874" t="s">
        <v>3</v>
      </c>
      <c r="O1874" t="s">
        <v>3</v>
      </c>
      <c r="P1874" t="s">
        <v>5</v>
      </c>
      <c r="Q1874" t="s">
        <v>4523</v>
      </c>
      <c r="R1874" t="s">
        <v>3</v>
      </c>
      <c r="S1874" t="s">
        <v>3</v>
      </c>
      <c r="T1874" t="s">
        <v>3</v>
      </c>
      <c r="U1874" t="s">
        <v>3</v>
      </c>
      <c r="V1874" t="s">
        <v>3</v>
      </c>
      <c r="W1874" t="s">
        <v>68</v>
      </c>
      <c r="X1874" s="17">
        <v>43769</v>
      </c>
      <c r="Y1874" t="s">
        <v>4160</v>
      </c>
      <c r="Z1874" s="17">
        <v>43650</v>
      </c>
      <c r="AA1874" t="s">
        <v>3</v>
      </c>
      <c r="AB1874" t="s">
        <v>4520</v>
      </c>
    </row>
    <row r="1875" spans="1:28" hidden="1">
      <c r="A1875" t="s">
        <v>4520</v>
      </c>
      <c r="B1875" s="17">
        <v>43650</v>
      </c>
      <c r="C1875" s="17">
        <v>43650</v>
      </c>
      <c r="D1875" t="s">
        <v>0</v>
      </c>
      <c r="E1875" t="s">
        <v>1</v>
      </c>
      <c r="F1875" s="18">
        <v>95465</v>
      </c>
      <c r="G1875" s="18">
        <v>95465</v>
      </c>
      <c r="H1875" t="s">
        <v>2</v>
      </c>
      <c r="I1875" t="s">
        <v>8</v>
      </c>
      <c r="J1875" s="18">
        <v>7969418.2000000002</v>
      </c>
      <c r="K1875" t="s">
        <v>4524</v>
      </c>
      <c r="L1875" t="s">
        <v>9</v>
      </c>
      <c r="M1875" t="s">
        <v>4522</v>
      </c>
      <c r="N1875" t="s">
        <v>3</v>
      </c>
      <c r="O1875" t="s">
        <v>3</v>
      </c>
      <c r="P1875" t="s">
        <v>5</v>
      </c>
      <c r="Q1875" t="s">
        <v>4523</v>
      </c>
      <c r="R1875" t="s">
        <v>3</v>
      </c>
      <c r="S1875" t="s">
        <v>3</v>
      </c>
      <c r="T1875" t="s">
        <v>3</v>
      </c>
      <c r="U1875" t="s">
        <v>3</v>
      </c>
      <c r="V1875" t="s">
        <v>3</v>
      </c>
      <c r="W1875" t="s">
        <v>68</v>
      </c>
      <c r="X1875" s="17">
        <v>44012</v>
      </c>
      <c r="Y1875" t="s">
        <v>4137</v>
      </c>
      <c r="Z1875" s="17">
        <v>43650</v>
      </c>
      <c r="AA1875" t="s">
        <v>3</v>
      </c>
      <c r="AB1875" t="s">
        <v>4520</v>
      </c>
    </row>
    <row r="1876" spans="1:28" hidden="1">
      <c r="A1876" t="s">
        <v>4694</v>
      </c>
      <c r="B1876" s="17">
        <v>43650</v>
      </c>
      <c r="C1876" s="17">
        <v>43650</v>
      </c>
      <c r="D1876" t="s">
        <v>0</v>
      </c>
      <c r="E1876" t="s">
        <v>1</v>
      </c>
      <c r="F1876" s="18">
        <v>23120</v>
      </c>
      <c r="G1876" s="18">
        <v>23120</v>
      </c>
      <c r="H1876" t="s">
        <v>2</v>
      </c>
      <c r="I1876" t="s">
        <v>8</v>
      </c>
      <c r="J1876" s="18">
        <v>1925896</v>
      </c>
      <c r="K1876" t="s">
        <v>4695</v>
      </c>
      <c r="L1876" t="s">
        <v>4</v>
      </c>
      <c r="M1876" t="s">
        <v>4696</v>
      </c>
      <c r="N1876" t="s">
        <v>3</v>
      </c>
      <c r="O1876" t="s">
        <v>3</v>
      </c>
      <c r="P1876" t="s">
        <v>5</v>
      </c>
      <c r="Q1876" t="s">
        <v>4697</v>
      </c>
      <c r="R1876" t="s">
        <v>3</v>
      </c>
      <c r="S1876" t="s">
        <v>3</v>
      </c>
      <c r="T1876" t="s">
        <v>3</v>
      </c>
      <c r="U1876" t="s">
        <v>3</v>
      </c>
      <c r="V1876" t="s">
        <v>3</v>
      </c>
      <c r="W1876" t="s">
        <v>68</v>
      </c>
      <c r="X1876" s="17"/>
      <c r="Y1876" t="s">
        <v>3</v>
      </c>
      <c r="Z1876" s="17">
        <v>43650</v>
      </c>
      <c r="AA1876" t="s">
        <v>3</v>
      </c>
      <c r="AB1876" t="s">
        <v>4694</v>
      </c>
    </row>
    <row r="1877" spans="1:28" hidden="1">
      <c r="A1877" t="s">
        <v>4694</v>
      </c>
      <c r="B1877" s="17">
        <v>43650</v>
      </c>
      <c r="C1877" s="17">
        <v>43650</v>
      </c>
      <c r="D1877" t="s">
        <v>0</v>
      </c>
      <c r="E1877" t="s">
        <v>1</v>
      </c>
      <c r="F1877" s="18">
        <v>32033</v>
      </c>
      <c r="G1877" s="18">
        <v>32033</v>
      </c>
      <c r="H1877" t="s">
        <v>2</v>
      </c>
      <c r="I1877" t="s">
        <v>8</v>
      </c>
      <c r="J1877" s="18">
        <v>2674755.5</v>
      </c>
      <c r="K1877" t="s">
        <v>4678</v>
      </c>
      <c r="L1877" t="s">
        <v>4</v>
      </c>
      <c r="M1877" t="s">
        <v>4696</v>
      </c>
      <c r="N1877" t="s">
        <v>3</v>
      </c>
      <c r="O1877" t="s">
        <v>3</v>
      </c>
      <c r="P1877" t="s">
        <v>5</v>
      </c>
      <c r="Q1877" t="s">
        <v>4697</v>
      </c>
      <c r="R1877" t="s">
        <v>3</v>
      </c>
      <c r="S1877" t="s">
        <v>3</v>
      </c>
      <c r="T1877" t="s">
        <v>3</v>
      </c>
      <c r="U1877" t="s">
        <v>3</v>
      </c>
      <c r="V1877" t="s">
        <v>3</v>
      </c>
      <c r="W1877" t="s">
        <v>68</v>
      </c>
      <c r="X1877" s="17"/>
      <c r="Y1877" t="s">
        <v>3</v>
      </c>
      <c r="Z1877" s="17">
        <v>43650</v>
      </c>
      <c r="AA1877" t="s">
        <v>3</v>
      </c>
      <c r="AB1877" t="s">
        <v>4694</v>
      </c>
    </row>
    <row r="1878" spans="1:28" hidden="1">
      <c r="A1878" t="s">
        <v>4694</v>
      </c>
      <c r="B1878" s="17">
        <v>43650</v>
      </c>
      <c r="C1878" s="17">
        <v>43650</v>
      </c>
      <c r="D1878" t="s">
        <v>0</v>
      </c>
      <c r="E1878" t="s">
        <v>1</v>
      </c>
      <c r="F1878" s="18">
        <v>13090</v>
      </c>
      <c r="G1878" s="18">
        <v>13090</v>
      </c>
      <c r="H1878" t="s">
        <v>2</v>
      </c>
      <c r="I1878" t="s">
        <v>8</v>
      </c>
      <c r="J1878" s="18">
        <v>1092753.2</v>
      </c>
      <c r="K1878" t="s">
        <v>4681</v>
      </c>
      <c r="L1878" t="s">
        <v>4</v>
      </c>
      <c r="M1878" t="s">
        <v>4696</v>
      </c>
      <c r="N1878" t="s">
        <v>3</v>
      </c>
      <c r="O1878" t="s">
        <v>3</v>
      </c>
      <c r="P1878" t="s">
        <v>5</v>
      </c>
      <c r="Q1878" t="s">
        <v>4697</v>
      </c>
      <c r="R1878" t="s">
        <v>3</v>
      </c>
      <c r="S1878" t="s">
        <v>3</v>
      </c>
      <c r="T1878" t="s">
        <v>3</v>
      </c>
      <c r="U1878" t="s">
        <v>3</v>
      </c>
      <c r="V1878" t="s">
        <v>3</v>
      </c>
      <c r="W1878" t="s">
        <v>68</v>
      </c>
      <c r="X1878" s="17"/>
      <c r="Y1878" t="s">
        <v>3</v>
      </c>
      <c r="Z1878" s="17">
        <v>43650</v>
      </c>
      <c r="AA1878" t="s">
        <v>3</v>
      </c>
      <c r="AB1878" t="s">
        <v>4694</v>
      </c>
    </row>
    <row r="1879" spans="1:28" hidden="1">
      <c r="A1879" t="s">
        <v>4694</v>
      </c>
      <c r="B1879" s="17">
        <v>43650</v>
      </c>
      <c r="C1879" s="17">
        <v>43650</v>
      </c>
      <c r="D1879" t="s">
        <v>0</v>
      </c>
      <c r="E1879" t="s">
        <v>1</v>
      </c>
      <c r="F1879" s="18">
        <v>34442</v>
      </c>
      <c r="G1879" s="18">
        <v>34442</v>
      </c>
      <c r="H1879" t="s">
        <v>2</v>
      </c>
      <c r="I1879" t="s">
        <v>8</v>
      </c>
      <c r="J1879" s="18">
        <v>2875218.16</v>
      </c>
      <c r="K1879" t="s">
        <v>4698</v>
      </c>
      <c r="L1879" t="s">
        <v>4</v>
      </c>
      <c r="M1879" t="s">
        <v>4696</v>
      </c>
      <c r="N1879" t="s">
        <v>3</v>
      </c>
      <c r="O1879" t="s">
        <v>3</v>
      </c>
      <c r="P1879" t="s">
        <v>5</v>
      </c>
      <c r="Q1879" t="s">
        <v>4697</v>
      </c>
      <c r="R1879" t="s">
        <v>3</v>
      </c>
      <c r="S1879" t="s">
        <v>3</v>
      </c>
      <c r="T1879" t="s">
        <v>3</v>
      </c>
      <c r="U1879" t="s">
        <v>3</v>
      </c>
      <c r="V1879" t="s">
        <v>3</v>
      </c>
      <c r="W1879" t="s">
        <v>68</v>
      </c>
      <c r="X1879" s="17"/>
      <c r="Y1879" t="s">
        <v>3</v>
      </c>
      <c r="Z1879" s="17">
        <v>43650</v>
      </c>
      <c r="AA1879" t="s">
        <v>3</v>
      </c>
      <c r="AB1879" t="s">
        <v>4694</v>
      </c>
    </row>
    <row r="1880" spans="1:28" hidden="1">
      <c r="A1880" t="s">
        <v>4525</v>
      </c>
      <c r="B1880" s="17">
        <v>43653</v>
      </c>
      <c r="C1880" s="17">
        <v>43653</v>
      </c>
      <c r="D1880" t="s">
        <v>0</v>
      </c>
      <c r="E1880" t="s">
        <v>1</v>
      </c>
      <c r="F1880" s="18">
        <v>1829</v>
      </c>
      <c r="G1880" s="18">
        <v>1829</v>
      </c>
      <c r="H1880" t="s">
        <v>2</v>
      </c>
      <c r="I1880" t="s">
        <v>10</v>
      </c>
      <c r="J1880" s="18">
        <v>152684.92000000001</v>
      </c>
      <c r="K1880" t="s">
        <v>4526</v>
      </c>
      <c r="L1880" t="s">
        <v>9</v>
      </c>
      <c r="M1880" t="s">
        <v>4527</v>
      </c>
      <c r="N1880" t="s">
        <v>3</v>
      </c>
      <c r="O1880" t="s">
        <v>3</v>
      </c>
      <c r="P1880" t="s">
        <v>5</v>
      </c>
      <c r="Q1880" t="s">
        <v>4528</v>
      </c>
      <c r="R1880" t="s">
        <v>3</v>
      </c>
      <c r="S1880" t="s">
        <v>3</v>
      </c>
      <c r="T1880" t="s">
        <v>3</v>
      </c>
      <c r="U1880" t="s">
        <v>3</v>
      </c>
      <c r="V1880" t="s">
        <v>3</v>
      </c>
      <c r="W1880" t="s">
        <v>68</v>
      </c>
      <c r="X1880" s="17">
        <v>43769</v>
      </c>
      <c r="Y1880" t="s">
        <v>4012</v>
      </c>
      <c r="Z1880" s="17">
        <v>43653</v>
      </c>
      <c r="AA1880" t="s">
        <v>3</v>
      </c>
      <c r="AB1880" t="s">
        <v>4525</v>
      </c>
    </row>
    <row r="1881" spans="1:28" hidden="1">
      <c r="A1881" t="s">
        <v>4529</v>
      </c>
      <c r="B1881" s="17">
        <v>43653</v>
      </c>
      <c r="C1881" s="17">
        <v>43653</v>
      </c>
      <c r="D1881" t="s">
        <v>0</v>
      </c>
      <c r="E1881" t="s">
        <v>1</v>
      </c>
      <c r="F1881" s="18">
        <v>1748</v>
      </c>
      <c r="G1881" s="18">
        <v>1748</v>
      </c>
      <c r="H1881" t="s">
        <v>2</v>
      </c>
      <c r="I1881" t="s">
        <v>8</v>
      </c>
      <c r="J1881" s="18">
        <v>145923.04</v>
      </c>
      <c r="K1881" t="s">
        <v>4521</v>
      </c>
      <c r="L1881" t="s">
        <v>9</v>
      </c>
      <c r="M1881" t="s">
        <v>4530</v>
      </c>
      <c r="N1881" t="s">
        <v>3</v>
      </c>
      <c r="O1881" t="s">
        <v>3</v>
      </c>
      <c r="P1881" t="s">
        <v>5</v>
      </c>
      <c r="Q1881" t="s">
        <v>4531</v>
      </c>
      <c r="R1881" t="s">
        <v>3</v>
      </c>
      <c r="S1881" t="s">
        <v>3</v>
      </c>
      <c r="T1881" t="s">
        <v>3</v>
      </c>
      <c r="U1881" t="s">
        <v>3</v>
      </c>
      <c r="V1881" t="s">
        <v>3</v>
      </c>
      <c r="W1881" t="s">
        <v>68</v>
      </c>
      <c r="X1881" s="17">
        <v>43769</v>
      </c>
      <c r="Y1881" t="s">
        <v>4160</v>
      </c>
      <c r="Z1881" s="17">
        <v>43653</v>
      </c>
      <c r="AA1881" t="s">
        <v>3</v>
      </c>
      <c r="AB1881" t="s">
        <v>4529</v>
      </c>
    </row>
    <row r="1882" spans="1:28" hidden="1">
      <c r="A1882" t="s">
        <v>4529</v>
      </c>
      <c r="B1882" s="17">
        <v>43653</v>
      </c>
      <c r="C1882" s="17">
        <v>43653</v>
      </c>
      <c r="D1882" t="s">
        <v>0</v>
      </c>
      <c r="E1882" t="s">
        <v>1</v>
      </c>
      <c r="F1882" s="18">
        <v>19374</v>
      </c>
      <c r="G1882" s="18">
        <v>19374</v>
      </c>
      <c r="H1882" t="s">
        <v>2</v>
      </c>
      <c r="I1882" t="s">
        <v>8</v>
      </c>
      <c r="J1882" s="18">
        <v>1617341.52</v>
      </c>
      <c r="K1882" t="s">
        <v>4524</v>
      </c>
      <c r="L1882" t="s">
        <v>9</v>
      </c>
      <c r="M1882" t="s">
        <v>4530</v>
      </c>
      <c r="N1882" t="s">
        <v>3</v>
      </c>
      <c r="O1882" t="s">
        <v>3</v>
      </c>
      <c r="P1882" t="s">
        <v>5</v>
      </c>
      <c r="Q1882" t="s">
        <v>4531</v>
      </c>
      <c r="R1882" t="s">
        <v>3</v>
      </c>
      <c r="S1882" t="s">
        <v>3</v>
      </c>
      <c r="T1882" t="s">
        <v>3</v>
      </c>
      <c r="U1882" t="s">
        <v>3</v>
      </c>
      <c r="V1882" t="s">
        <v>3</v>
      </c>
      <c r="W1882" t="s">
        <v>68</v>
      </c>
      <c r="X1882" s="17">
        <v>44012</v>
      </c>
      <c r="Y1882" t="s">
        <v>4137</v>
      </c>
      <c r="Z1882" s="17">
        <v>43653</v>
      </c>
      <c r="AA1882" t="s">
        <v>3</v>
      </c>
      <c r="AB1882" t="s">
        <v>4529</v>
      </c>
    </row>
    <row r="1883" spans="1:28" hidden="1">
      <c r="A1883" t="s">
        <v>4532</v>
      </c>
      <c r="B1883" s="17">
        <v>43653</v>
      </c>
      <c r="C1883" s="17">
        <v>43653</v>
      </c>
      <c r="D1883" t="s">
        <v>0</v>
      </c>
      <c r="E1883" t="s">
        <v>1</v>
      </c>
      <c r="F1883" s="18">
        <v>5757</v>
      </c>
      <c r="G1883" s="18">
        <v>5757</v>
      </c>
      <c r="H1883" t="s">
        <v>2</v>
      </c>
      <c r="I1883" t="s">
        <v>8</v>
      </c>
      <c r="J1883" s="18">
        <v>480709.5</v>
      </c>
      <c r="K1883" t="s">
        <v>4533</v>
      </c>
      <c r="L1883" t="s">
        <v>9</v>
      </c>
      <c r="M1883" t="s">
        <v>4534</v>
      </c>
      <c r="N1883" t="s">
        <v>3</v>
      </c>
      <c r="O1883" t="s">
        <v>3</v>
      </c>
      <c r="P1883" t="s">
        <v>5</v>
      </c>
      <c r="Q1883" t="s">
        <v>4535</v>
      </c>
      <c r="R1883" t="s">
        <v>3</v>
      </c>
      <c r="S1883" t="s">
        <v>3</v>
      </c>
      <c r="T1883" t="s">
        <v>3</v>
      </c>
      <c r="U1883" t="s">
        <v>3</v>
      </c>
      <c r="V1883" t="s">
        <v>3</v>
      </c>
      <c r="W1883" t="s">
        <v>68</v>
      </c>
      <c r="X1883" s="17"/>
      <c r="Y1883" t="s">
        <v>3</v>
      </c>
      <c r="Z1883" s="17">
        <v>43653</v>
      </c>
      <c r="AA1883" t="s">
        <v>3</v>
      </c>
      <c r="AB1883" t="s">
        <v>4532</v>
      </c>
    </row>
    <row r="1884" spans="1:28" hidden="1">
      <c r="A1884" t="s">
        <v>4532</v>
      </c>
      <c r="B1884" s="17">
        <v>43653</v>
      </c>
      <c r="C1884" s="17">
        <v>43653</v>
      </c>
      <c r="D1884" t="s">
        <v>0</v>
      </c>
      <c r="E1884" t="s">
        <v>1</v>
      </c>
      <c r="F1884" s="18">
        <v>1411</v>
      </c>
      <c r="G1884" s="18">
        <v>1411</v>
      </c>
      <c r="H1884" t="s">
        <v>2</v>
      </c>
      <c r="I1884" t="s">
        <v>8</v>
      </c>
      <c r="J1884" s="18">
        <v>117790.28</v>
      </c>
      <c r="K1884" t="s">
        <v>4521</v>
      </c>
      <c r="L1884" t="s">
        <v>9</v>
      </c>
      <c r="M1884" t="s">
        <v>4534</v>
      </c>
      <c r="N1884" t="s">
        <v>3</v>
      </c>
      <c r="O1884" t="s">
        <v>3</v>
      </c>
      <c r="P1884" t="s">
        <v>5</v>
      </c>
      <c r="Q1884" t="s">
        <v>4535</v>
      </c>
      <c r="R1884" t="s">
        <v>3</v>
      </c>
      <c r="S1884" t="s">
        <v>3</v>
      </c>
      <c r="T1884" t="s">
        <v>3</v>
      </c>
      <c r="U1884" t="s">
        <v>3</v>
      </c>
      <c r="V1884" t="s">
        <v>3</v>
      </c>
      <c r="W1884" t="s">
        <v>68</v>
      </c>
      <c r="X1884" s="17">
        <v>43769</v>
      </c>
      <c r="Y1884" t="s">
        <v>4160</v>
      </c>
      <c r="Z1884" s="17">
        <v>43653</v>
      </c>
      <c r="AA1884" t="s">
        <v>3</v>
      </c>
      <c r="AB1884" t="s">
        <v>4532</v>
      </c>
    </row>
    <row r="1885" spans="1:28" hidden="1">
      <c r="A1885" t="s">
        <v>4532</v>
      </c>
      <c r="B1885" s="17">
        <v>43653</v>
      </c>
      <c r="C1885" s="17">
        <v>43653</v>
      </c>
      <c r="D1885" t="s">
        <v>0</v>
      </c>
      <c r="E1885" t="s">
        <v>1</v>
      </c>
      <c r="F1885" s="18">
        <v>7891</v>
      </c>
      <c r="G1885" s="18">
        <v>7891</v>
      </c>
      <c r="H1885" t="s">
        <v>2</v>
      </c>
      <c r="I1885" t="s">
        <v>8</v>
      </c>
      <c r="J1885" s="18">
        <v>658740.68000000005</v>
      </c>
      <c r="K1885" t="s">
        <v>4524</v>
      </c>
      <c r="L1885" t="s">
        <v>9</v>
      </c>
      <c r="M1885" t="s">
        <v>4534</v>
      </c>
      <c r="N1885" t="s">
        <v>3</v>
      </c>
      <c r="O1885" t="s">
        <v>3</v>
      </c>
      <c r="P1885" t="s">
        <v>5</v>
      </c>
      <c r="Q1885" t="s">
        <v>4535</v>
      </c>
      <c r="R1885" t="s">
        <v>3</v>
      </c>
      <c r="S1885" t="s">
        <v>3</v>
      </c>
      <c r="T1885" t="s">
        <v>3</v>
      </c>
      <c r="U1885" t="s">
        <v>3</v>
      </c>
      <c r="V1885" t="s">
        <v>3</v>
      </c>
      <c r="W1885" t="s">
        <v>68</v>
      </c>
      <c r="X1885" s="17">
        <v>44012</v>
      </c>
      <c r="Y1885" t="s">
        <v>4137</v>
      </c>
      <c r="Z1885" s="17">
        <v>43653</v>
      </c>
      <c r="AA1885" t="s">
        <v>3</v>
      </c>
      <c r="AB1885" t="s">
        <v>4532</v>
      </c>
    </row>
    <row r="1886" spans="1:28" hidden="1">
      <c r="A1886" t="s">
        <v>4536</v>
      </c>
      <c r="B1886" s="17">
        <v>43655</v>
      </c>
      <c r="C1886" s="17">
        <v>43655</v>
      </c>
      <c r="D1886" t="s">
        <v>0</v>
      </c>
      <c r="E1886" t="s">
        <v>1</v>
      </c>
      <c r="F1886" s="18">
        <v>42983</v>
      </c>
      <c r="G1886" s="18">
        <v>42983</v>
      </c>
      <c r="H1886" t="s">
        <v>2</v>
      </c>
      <c r="I1886" t="s">
        <v>8</v>
      </c>
      <c r="J1886" s="18">
        <v>3589080.5</v>
      </c>
      <c r="K1886" t="s">
        <v>4533</v>
      </c>
      <c r="L1886" t="s">
        <v>9</v>
      </c>
      <c r="M1886" t="s">
        <v>4537</v>
      </c>
      <c r="N1886" t="s">
        <v>3</v>
      </c>
      <c r="O1886" t="s">
        <v>3</v>
      </c>
      <c r="P1886" t="s">
        <v>5</v>
      </c>
      <c r="Q1886" t="s">
        <v>4538</v>
      </c>
      <c r="R1886" t="s">
        <v>3</v>
      </c>
      <c r="S1886" t="s">
        <v>3</v>
      </c>
      <c r="T1886" t="s">
        <v>3</v>
      </c>
      <c r="U1886" t="s">
        <v>3</v>
      </c>
      <c r="V1886" t="s">
        <v>3</v>
      </c>
      <c r="W1886" t="s">
        <v>68</v>
      </c>
      <c r="X1886" s="17"/>
      <c r="Y1886" t="s">
        <v>3</v>
      </c>
      <c r="Z1886" s="17">
        <v>43655</v>
      </c>
      <c r="AA1886" t="s">
        <v>3</v>
      </c>
      <c r="AB1886" t="s">
        <v>4536</v>
      </c>
    </row>
    <row r="1887" spans="1:28" hidden="1">
      <c r="A1887" t="s">
        <v>4536</v>
      </c>
      <c r="B1887" s="17">
        <v>43655</v>
      </c>
      <c r="C1887" s="17">
        <v>43655</v>
      </c>
      <c r="D1887" t="s">
        <v>0</v>
      </c>
      <c r="E1887" t="s">
        <v>1</v>
      </c>
      <c r="F1887" s="18">
        <v>27370</v>
      </c>
      <c r="G1887" s="18">
        <v>27370</v>
      </c>
      <c r="H1887" t="s">
        <v>2</v>
      </c>
      <c r="I1887" t="s">
        <v>8</v>
      </c>
      <c r="J1887" s="18">
        <v>2284847.6</v>
      </c>
      <c r="K1887" t="s">
        <v>4521</v>
      </c>
      <c r="L1887" t="s">
        <v>9</v>
      </c>
      <c r="M1887" t="s">
        <v>4537</v>
      </c>
      <c r="N1887" t="s">
        <v>3</v>
      </c>
      <c r="O1887" t="s">
        <v>3</v>
      </c>
      <c r="P1887" t="s">
        <v>5</v>
      </c>
      <c r="Q1887" t="s">
        <v>4538</v>
      </c>
      <c r="R1887" t="s">
        <v>3</v>
      </c>
      <c r="S1887" t="s">
        <v>3</v>
      </c>
      <c r="T1887" t="s">
        <v>3</v>
      </c>
      <c r="U1887" t="s">
        <v>3</v>
      </c>
      <c r="V1887" t="s">
        <v>3</v>
      </c>
      <c r="W1887" t="s">
        <v>68</v>
      </c>
      <c r="X1887" s="17">
        <v>43769</v>
      </c>
      <c r="Y1887" t="s">
        <v>4160</v>
      </c>
      <c r="Z1887" s="17">
        <v>43655</v>
      </c>
      <c r="AA1887" t="s">
        <v>3</v>
      </c>
      <c r="AB1887" t="s">
        <v>4536</v>
      </c>
    </row>
    <row r="1888" spans="1:28" hidden="1">
      <c r="A1888" t="s">
        <v>4539</v>
      </c>
      <c r="B1888" s="17">
        <v>43656</v>
      </c>
      <c r="C1888" s="17">
        <v>43656</v>
      </c>
      <c r="D1888" t="s">
        <v>0</v>
      </c>
      <c r="E1888" t="s">
        <v>1</v>
      </c>
      <c r="F1888" s="18">
        <v>11821.19</v>
      </c>
      <c r="G1888" s="18">
        <v>11821.19</v>
      </c>
      <c r="H1888" t="s">
        <v>2</v>
      </c>
      <c r="I1888" t="s">
        <v>10</v>
      </c>
      <c r="J1888" s="18">
        <v>986832.94</v>
      </c>
      <c r="K1888" t="s">
        <v>4515</v>
      </c>
      <c r="L1888" t="s">
        <v>4</v>
      </c>
      <c r="M1888" t="s">
        <v>4540</v>
      </c>
      <c r="N1888" t="s">
        <v>3</v>
      </c>
      <c r="O1888" t="s">
        <v>3</v>
      </c>
      <c r="P1888" t="s">
        <v>5</v>
      </c>
      <c r="Q1888" t="s">
        <v>4541</v>
      </c>
      <c r="R1888" t="s">
        <v>3</v>
      </c>
      <c r="S1888" t="s">
        <v>3</v>
      </c>
      <c r="T1888" t="s">
        <v>3</v>
      </c>
      <c r="U1888" t="s">
        <v>3</v>
      </c>
      <c r="V1888" t="s">
        <v>3</v>
      </c>
      <c r="W1888" t="s">
        <v>68</v>
      </c>
      <c r="X1888" s="17"/>
      <c r="Y1888" t="s">
        <v>3</v>
      </c>
      <c r="Z1888" s="17">
        <v>43656</v>
      </c>
      <c r="AA1888" t="s">
        <v>3</v>
      </c>
      <c r="AB1888" t="s">
        <v>4539</v>
      </c>
    </row>
    <row r="1889" spans="1:28" hidden="1">
      <c r="A1889" t="s">
        <v>4539</v>
      </c>
      <c r="B1889" s="17">
        <v>43656</v>
      </c>
      <c r="C1889" s="17">
        <v>43656</v>
      </c>
      <c r="D1889" t="s">
        <v>0</v>
      </c>
      <c r="E1889" t="s">
        <v>1</v>
      </c>
      <c r="F1889" s="18">
        <v>164930.54</v>
      </c>
      <c r="G1889" s="18">
        <v>164930.54</v>
      </c>
      <c r="H1889" t="s">
        <v>2</v>
      </c>
      <c r="I1889" t="s">
        <v>10</v>
      </c>
      <c r="J1889" s="18">
        <v>13771700.1</v>
      </c>
      <c r="K1889" t="s">
        <v>4518</v>
      </c>
      <c r="L1889" t="s">
        <v>4</v>
      </c>
      <c r="M1889" t="s">
        <v>4540</v>
      </c>
      <c r="N1889" t="s">
        <v>3</v>
      </c>
      <c r="O1889" t="s">
        <v>3</v>
      </c>
      <c r="P1889" t="s">
        <v>5</v>
      </c>
      <c r="Q1889" t="s">
        <v>4541</v>
      </c>
      <c r="R1889" t="s">
        <v>3</v>
      </c>
      <c r="S1889" t="s">
        <v>3</v>
      </c>
      <c r="T1889" t="s">
        <v>3</v>
      </c>
      <c r="U1889" t="s">
        <v>3</v>
      </c>
      <c r="V1889" t="s">
        <v>3</v>
      </c>
      <c r="W1889" t="s">
        <v>68</v>
      </c>
      <c r="X1889" s="17"/>
      <c r="Y1889" t="s">
        <v>3</v>
      </c>
      <c r="Z1889" s="17">
        <v>43656</v>
      </c>
      <c r="AA1889" t="s">
        <v>3</v>
      </c>
      <c r="AB1889" t="s">
        <v>4539</v>
      </c>
    </row>
    <row r="1890" spans="1:28" hidden="1">
      <c r="A1890" t="s">
        <v>4539</v>
      </c>
      <c r="B1890" s="17">
        <v>43656</v>
      </c>
      <c r="C1890" s="17">
        <v>43656</v>
      </c>
      <c r="D1890" t="s">
        <v>0</v>
      </c>
      <c r="E1890" t="s">
        <v>1</v>
      </c>
      <c r="F1890" s="18">
        <v>40168.61</v>
      </c>
      <c r="G1890" s="18">
        <v>40168.61</v>
      </c>
      <c r="H1890" t="s">
        <v>2</v>
      </c>
      <c r="I1890" t="s">
        <v>10</v>
      </c>
      <c r="J1890" s="18">
        <v>3353275.56</v>
      </c>
      <c r="K1890" t="s">
        <v>4519</v>
      </c>
      <c r="L1890" t="s">
        <v>4</v>
      </c>
      <c r="M1890" t="s">
        <v>4540</v>
      </c>
      <c r="N1890" t="s">
        <v>3</v>
      </c>
      <c r="O1890" t="s">
        <v>3</v>
      </c>
      <c r="P1890" t="s">
        <v>5</v>
      </c>
      <c r="Q1890" t="s">
        <v>4541</v>
      </c>
      <c r="R1890" t="s">
        <v>3</v>
      </c>
      <c r="S1890" t="s">
        <v>3</v>
      </c>
      <c r="T1890" t="s">
        <v>3</v>
      </c>
      <c r="U1890" t="s">
        <v>3</v>
      </c>
      <c r="V1890" t="s">
        <v>3</v>
      </c>
      <c r="W1890" t="s">
        <v>68</v>
      </c>
      <c r="X1890" s="17"/>
      <c r="Y1890" t="s">
        <v>3</v>
      </c>
      <c r="Z1890" s="17">
        <v>43656</v>
      </c>
      <c r="AA1890" t="s">
        <v>3</v>
      </c>
      <c r="AB1890" t="s">
        <v>4539</v>
      </c>
    </row>
    <row r="1891" spans="1:28" hidden="1">
      <c r="A1891" t="s">
        <v>4542</v>
      </c>
      <c r="B1891" s="17">
        <v>43656</v>
      </c>
      <c r="C1891" s="17">
        <v>43656</v>
      </c>
      <c r="D1891" t="s">
        <v>0</v>
      </c>
      <c r="E1891" t="s">
        <v>1</v>
      </c>
      <c r="F1891" s="18">
        <v>12499.49</v>
      </c>
      <c r="G1891" s="18">
        <v>12499.49</v>
      </c>
      <c r="H1891" t="s">
        <v>2</v>
      </c>
      <c r="I1891" t="s">
        <v>8</v>
      </c>
      <c r="J1891" s="18">
        <v>1043457.43</v>
      </c>
      <c r="K1891" t="s">
        <v>4543</v>
      </c>
      <c r="L1891" t="s">
        <v>4</v>
      </c>
      <c r="M1891" t="s">
        <v>4544</v>
      </c>
      <c r="N1891" t="s">
        <v>3</v>
      </c>
      <c r="O1891" t="s">
        <v>3</v>
      </c>
      <c r="P1891" t="s">
        <v>5</v>
      </c>
      <c r="Q1891" t="s">
        <v>4545</v>
      </c>
      <c r="R1891" t="s">
        <v>3</v>
      </c>
      <c r="S1891" t="s">
        <v>3</v>
      </c>
      <c r="T1891" t="s">
        <v>3</v>
      </c>
      <c r="U1891" t="s">
        <v>3</v>
      </c>
      <c r="V1891" t="s">
        <v>3</v>
      </c>
      <c r="W1891" t="s">
        <v>68</v>
      </c>
      <c r="X1891" s="17"/>
      <c r="Y1891" t="s">
        <v>3</v>
      </c>
      <c r="Z1891" s="17">
        <v>43656</v>
      </c>
      <c r="AA1891" t="s">
        <v>3</v>
      </c>
      <c r="AB1891" t="s">
        <v>4542</v>
      </c>
    </row>
    <row r="1892" spans="1:28" hidden="1">
      <c r="A1892" t="s">
        <v>4546</v>
      </c>
      <c r="B1892" s="17">
        <v>43656</v>
      </c>
      <c r="C1892" s="17">
        <v>43656</v>
      </c>
      <c r="D1892" t="s">
        <v>0</v>
      </c>
      <c r="E1892" t="s">
        <v>1</v>
      </c>
      <c r="F1892" s="18">
        <v>4692.71</v>
      </c>
      <c r="G1892" s="18">
        <v>4692.71</v>
      </c>
      <c r="H1892" t="s">
        <v>2</v>
      </c>
      <c r="I1892" t="s">
        <v>8</v>
      </c>
      <c r="J1892" s="18">
        <v>391841.29</v>
      </c>
      <c r="K1892" t="s">
        <v>4547</v>
      </c>
      <c r="L1892" t="s">
        <v>4</v>
      </c>
      <c r="M1892" t="s">
        <v>4548</v>
      </c>
      <c r="N1892" t="s">
        <v>3</v>
      </c>
      <c r="O1892" t="s">
        <v>3</v>
      </c>
      <c r="P1892" t="s">
        <v>5</v>
      </c>
      <c r="Q1892" t="s">
        <v>4549</v>
      </c>
      <c r="R1892" t="s">
        <v>3</v>
      </c>
      <c r="S1892" t="s">
        <v>3</v>
      </c>
      <c r="T1892" t="s">
        <v>3</v>
      </c>
      <c r="U1892" t="s">
        <v>3</v>
      </c>
      <c r="V1892" t="s">
        <v>3</v>
      </c>
      <c r="W1892" t="s">
        <v>68</v>
      </c>
      <c r="X1892" s="17"/>
      <c r="Y1892" t="s">
        <v>3</v>
      </c>
      <c r="Z1892" s="17">
        <v>43656</v>
      </c>
      <c r="AA1892" t="s">
        <v>3</v>
      </c>
      <c r="AB1892" t="s">
        <v>4546</v>
      </c>
    </row>
    <row r="1893" spans="1:28" hidden="1">
      <c r="A1893" t="s">
        <v>4546</v>
      </c>
      <c r="B1893" s="17">
        <v>43656</v>
      </c>
      <c r="C1893" s="17">
        <v>43656</v>
      </c>
      <c r="D1893" t="s">
        <v>0</v>
      </c>
      <c r="E1893" t="s">
        <v>1</v>
      </c>
      <c r="F1893" s="18">
        <v>12591.29</v>
      </c>
      <c r="G1893" s="18">
        <v>12591.29</v>
      </c>
      <c r="H1893" t="s">
        <v>2</v>
      </c>
      <c r="I1893" t="s">
        <v>8</v>
      </c>
      <c r="J1893" s="18">
        <v>1051120.8899999999</v>
      </c>
      <c r="K1893" t="s">
        <v>4543</v>
      </c>
      <c r="L1893" t="s">
        <v>4</v>
      </c>
      <c r="M1893" t="s">
        <v>4548</v>
      </c>
      <c r="N1893" t="s">
        <v>3</v>
      </c>
      <c r="O1893" t="s">
        <v>3</v>
      </c>
      <c r="P1893" t="s">
        <v>5</v>
      </c>
      <c r="Q1893" t="s">
        <v>4549</v>
      </c>
      <c r="R1893" t="s">
        <v>3</v>
      </c>
      <c r="S1893" t="s">
        <v>3</v>
      </c>
      <c r="T1893" t="s">
        <v>3</v>
      </c>
      <c r="U1893" t="s">
        <v>3</v>
      </c>
      <c r="V1893" t="s">
        <v>3</v>
      </c>
      <c r="W1893" t="s">
        <v>68</v>
      </c>
      <c r="X1893" s="17"/>
      <c r="Y1893" t="s">
        <v>3</v>
      </c>
      <c r="Z1893" s="17">
        <v>43656</v>
      </c>
      <c r="AA1893" t="s">
        <v>3</v>
      </c>
      <c r="AB1893" t="s">
        <v>4546</v>
      </c>
    </row>
    <row r="1894" spans="1:28" hidden="1">
      <c r="A1894" t="s">
        <v>4668</v>
      </c>
      <c r="B1894" s="17">
        <v>43656</v>
      </c>
      <c r="C1894" s="17">
        <v>43656</v>
      </c>
      <c r="D1894" t="s">
        <v>0</v>
      </c>
      <c r="E1894" t="s">
        <v>1</v>
      </c>
      <c r="F1894" s="18">
        <v>26600.3</v>
      </c>
      <c r="G1894" s="18">
        <v>26600.3</v>
      </c>
      <c r="H1894" t="s">
        <v>2</v>
      </c>
      <c r="I1894" t="s">
        <v>10</v>
      </c>
      <c r="J1894" s="18">
        <v>2221125.0499999998</v>
      </c>
      <c r="K1894" t="s">
        <v>4373</v>
      </c>
      <c r="L1894" t="s">
        <v>4</v>
      </c>
      <c r="M1894" t="s">
        <v>4669</v>
      </c>
      <c r="N1894" t="s">
        <v>3</v>
      </c>
      <c r="O1894" t="s">
        <v>3</v>
      </c>
      <c r="P1894" t="s">
        <v>5</v>
      </c>
      <c r="Q1894" t="s">
        <v>4670</v>
      </c>
      <c r="R1894" t="s">
        <v>3</v>
      </c>
      <c r="S1894" t="s">
        <v>3</v>
      </c>
      <c r="T1894" t="s">
        <v>3</v>
      </c>
      <c r="U1894" t="s">
        <v>3</v>
      </c>
      <c r="V1894" t="s">
        <v>3</v>
      </c>
      <c r="W1894" t="s">
        <v>68</v>
      </c>
      <c r="X1894" s="17"/>
      <c r="Y1894" t="s">
        <v>3</v>
      </c>
      <c r="Z1894" s="17">
        <v>43656</v>
      </c>
      <c r="AA1894" t="s">
        <v>3</v>
      </c>
      <c r="AB1894" t="s">
        <v>4668</v>
      </c>
    </row>
    <row r="1895" spans="1:28" hidden="1">
      <c r="A1895" t="s">
        <v>4668</v>
      </c>
      <c r="B1895" s="17">
        <v>43656</v>
      </c>
      <c r="C1895" s="17">
        <v>43656</v>
      </c>
      <c r="D1895" t="s">
        <v>0</v>
      </c>
      <c r="E1895" t="s">
        <v>1</v>
      </c>
      <c r="F1895" s="18">
        <v>1278.3900000000001</v>
      </c>
      <c r="G1895" s="18">
        <v>1278.3900000000001</v>
      </c>
      <c r="H1895" t="s">
        <v>2</v>
      </c>
      <c r="I1895" t="s">
        <v>10</v>
      </c>
      <c r="J1895" s="18">
        <v>106720</v>
      </c>
      <c r="K1895" t="s">
        <v>4374</v>
      </c>
      <c r="L1895" t="s">
        <v>4</v>
      </c>
      <c r="M1895" t="s">
        <v>4669</v>
      </c>
      <c r="N1895" t="s">
        <v>3</v>
      </c>
      <c r="O1895" t="s">
        <v>3</v>
      </c>
      <c r="P1895" t="s">
        <v>5</v>
      </c>
      <c r="Q1895" t="s">
        <v>4670</v>
      </c>
      <c r="R1895" t="s">
        <v>3</v>
      </c>
      <c r="S1895" t="s">
        <v>3</v>
      </c>
      <c r="T1895" t="s">
        <v>3</v>
      </c>
      <c r="U1895" t="s">
        <v>3</v>
      </c>
      <c r="V1895" t="s">
        <v>3</v>
      </c>
      <c r="W1895" t="s">
        <v>68</v>
      </c>
      <c r="X1895" s="17"/>
      <c r="Y1895" t="s">
        <v>3</v>
      </c>
      <c r="Z1895" s="17">
        <v>43656</v>
      </c>
      <c r="AA1895" t="s">
        <v>3</v>
      </c>
      <c r="AB1895" t="s">
        <v>4668</v>
      </c>
    </row>
    <row r="1896" spans="1:28" hidden="1">
      <c r="A1896" t="s">
        <v>4550</v>
      </c>
      <c r="B1896" s="17">
        <v>43657</v>
      </c>
      <c r="C1896" s="17">
        <v>43657</v>
      </c>
      <c r="D1896" t="s">
        <v>0</v>
      </c>
      <c r="E1896" t="s">
        <v>1</v>
      </c>
      <c r="F1896" s="18">
        <v>17817.099999999999</v>
      </c>
      <c r="G1896" s="18">
        <v>17817.099999999999</v>
      </c>
      <c r="H1896" t="s">
        <v>2</v>
      </c>
      <c r="I1896" t="s">
        <v>8</v>
      </c>
      <c r="J1896" s="18">
        <v>1487371.51</v>
      </c>
      <c r="K1896" t="s">
        <v>4551</v>
      </c>
      <c r="L1896" t="s">
        <v>4</v>
      </c>
      <c r="M1896" t="s">
        <v>4552</v>
      </c>
      <c r="N1896" t="s">
        <v>3</v>
      </c>
      <c r="O1896" t="s">
        <v>3</v>
      </c>
      <c r="P1896" t="s">
        <v>5</v>
      </c>
      <c r="Q1896" t="s">
        <v>4553</v>
      </c>
      <c r="R1896" t="s">
        <v>3</v>
      </c>
      <c r="S1896" t="s">
        <v>3</v>
      </c>
      <c r="T1896" t="s">
        <v>3</v>
      </c>
      <c r="U1896" t="s">
        <v>3</v>
      </c>
      <c r="V1896" t="s">
        <v>3</v>
      </c>
      <c r="W1896" t="s">
        <v>68</v>
      </c>
      <c r="X1896" s="17"/>
      <c r="Y1896" t="s">
        <v>3</v>
      </c>
      <c r="Z1896" s="17">
        <v>43657</v>
      </c>
      <c r="AA1896" t="s">
        <v>3</v>
      </c>
      <c r="AB1896" t="s">
        <v>4550</v>
      </c>
    </row>
    <row r="1897" spans="1:28" hidden="1">
      <c r="A1897" t="s">
        <v>4550</v>
      </c>
      <c r="B1897" s="17">
        <v>43657</v>
      </c>
      <c r="C1897" s="17">
        <v>43657</v>
      </c>
      <c r="D1897" t="s">
        <v>0</v>
      </c>
      <c r="E1897" t="s">
        <v>1</v>
      </c>
      <c r="F1897" s="18">
        <v>17627.009999999998</v>
      </c>
      <c r="G1897" s="18">
        <v>17627.009999999998</v>
      </c>
      <c r="H1897" t="s">
        <v>2</v>
      </c>
      <c r="I1897" t="s">
        <v>8</v>
      </c>
      <c r="J1897" s="18">
        <v>1471502.79</v>
      </c>
      <c r="K1897" t="s">
        <v>4554</v>
      </c>
      <c r="L1897" t="s">
        <v>4</v>
      </c>
      <c r="M1897" t="s">
        <v>4552</v>
      </c>
      <c r="N1897" t="s">
        <v>3</v>
      </c>
      <c r="O1897" t="s">
        <v>3</v>
      </c>
      <c r="P1897" t="s">
        <v>5</v>
      </c>
      <c r="Q1897" t="s">
        <v>4553</v>
      </c>
      <c r="R1897" t="s">
        <v>3</v>
      </c>
      <c r="S1897" t="s">
        <v>3</v>
      </c>
      <c r="T1897" t="s">
        <v>3</v>
      </c>
      <c r="U1897" t="s">
        <v>3</v>
      </c>
      <c r="V1897" t="s">
        <v>3</v>
      </c>
      <c r="W1897" t="s">
        <v>68</v>
      </c>
      <c r="X1897" s="17"/>
      <c r="Y1897" t="s">
        <v>3</v>
      </c>
      <c r="Z1897" s="17">
        <v>43657</v>
      </c>
      <c r="AA1897" t="s">
        <v>3</v>
      </c>
      <c r="AB1897" t="s">
        <v>4550</v>
      </c>
    </row>
    <row r="1898" spans="1:28" hidden="1">
      <c r="A1898" t="s">
        <v>4555</v>
      </c>
      <c r="B1898" s="17">
        <v>43657</v>
      </c>
      <c r="C1898" s="17">
        <v>43657</v>
      </c>
      <c r="D1898" t="s">
        <v>0</v>
      </c>
      <c r="E1898" t="s">
        <v>1</v>
      </c>
      <c r="F1898" s="18">
        <v>391553</v>
      </c>
      <c r="G1898" s="18">
        <v>391553</v>
      </c>
      <c r="H1898" t="s">
        <v>2</v>
      </c>
      <c r="I1898" t="s">
        <v>8</v>
      </c>
      <c r="J1898" s="18">
        <v>32694675.5</v>
      </c>
      <c r="K1898" t="s">
        <v>4556</v>
      </c>
      <c r="L1898" t="s">
        <v>9</v>
      </c>
      <c r="M1898" t="s">
        <v>4557</v>
      </c>
      <c r="N1898" t="s">
        <v>3</v>
      </c>
      <c r="O1898" t="s">
        <v>3</v>
      </c>
      <c r="P1898" t="s">
        <v>5</v>
      </c>
      <c r="Q1898" t="s">
        <v>4558</v>
      </c>
      <c r="R1898" t="s">
        <v>3</v>
      </c>
      <c r="S1898" t="s">
        <v>3</v>
      </c>
      <c r="T1898" t="s">
        <v>3</v>
      </c>
      <c r="U1898" t="s">
        <v>3</v>
      </c>
      <c r="V1898" t="s">
        <v>3</v>
      </c>
      <c r="W1898" t="s">
        <v>68</v>
      </c>
      <c r="X1898" s="17"/>
      <c r="Y1898" t="s">
        <v>3</v>
      </c>
      <c r="Z1898" s="17">
        <v>43657</v>
      </c>
      <c r="AA1898" t="s">
        <v>3</v>
      </c>
      <c r="AB1898" t="s">
        <v>4555</v>
      </c>
    </row>
    <row r="1899" spans="1:28" hidden="1">
      <c r="A1899" t="s">
        <v>4555</v>
      </c>
      <c r="B1899" s="17">
        <v>43657</v>
      </c>
      <c r="C1899" s="17">
        <v>43657</v>
      </c>
      <c r="D1899" t="s">
        <v>0</v>
      </c>
      <c r="E1899" t="s">
        <v>1</v>
      </c>
      <c r="F1899" s="18">
        <v>7755</v>
      </c>
      <c r="G1899" s="18">
        <v>7755</v>
      </c>
      <c r="H1899" t="s">
        <v>2</v>
      </c>
      <c r="I1899" t="s">
        <v>8</v>
      </c>
      <c r="J1899" s="18">
        <v>647387.4</v>
      </c>
      <c r="K1899" t="s">
        <v>4559</v>
      </c>
      <c r="L1899" t="s">
        <v>9</v>
      </c>
      <c r="M1899" t="s">
        <v>4557</v>
      </c>
      <c r="N1899" t="s">
        <v>3</v>
      </c>
      <c r="O1899" t="s">
        <v>3</v>
      </c>
      <c r="P1899" t="s">
        <v>5</v>
      </c>
      <c r="Q1899" t="s">
        <v>4558</v>
      </c>
      <c r="R1899" t="s">
        <v>3</v>
      </c>
      <c r="S1899" t="s">
        <v>3</v>
      </c>
      <c r="T1899" t="s">
        <v>3</v>
      </c>
      <c r="U1899" t="s">
        <v>3</v>
      </c>
      <c r="V1899" t="s">
        <v>3</v>
      </c>
      <c r="W1899" t="s">
        <v>68</v>
      </c>
      <c r="X1899" s="17">
        <v>43769</v>
      </c>
      <c r="Y1899" t="s">
        <v>4160</v>
      </c>
      <c r="Z1899" s="17">
        <v>43657</v>
      </c>
      <c r="AA1899" t="s">
        <v>3</v>
      </c>
      <c r="AB1899" t="s">
        <v>4555</v>
      </c>
    </row>
    <row r="1900" spans="1:28" hidden="1">
      <c r="A1900" t="s">
        <v>4560</v>
      </c>
      <c r="B1900" s="17">
        <v>43660</v>
      </c>
      <c r="C1900" s="17">
        <v>43660</v>
      </c>
      <c r="D1900" t="s">
        <v>0</v>
      </c>
      <c r="E1900" t="s">
        <v>1</v>
      </c>
      <c r="F1900" s="18">
        <v>13015</v>
      </c>
      <c r="G1900" s="18">
        <v>13015</v>
      </c>
      <c r="H1900" t="s">
        <v>2</v>
      </c>
      <c r="I1900" t="s">
        <v>8</v>
      </c>
      <c r="J1900" s="18">
        <v>1086752.5</v>
      </c>
      <c r="K1900" t="s">
        <v>4556</v>
      </c>
      <c r="L1900" t="s">
        <v>9</v>
      </c>
      <c r="M1900" t="s">
        <v>4561</v>
      </c>
      <c r="N1900" t="s">
        <v>3</v>
      </c>
      <c r="O1900" t="s">
        <v>3</v>
      </c>
      <c r="P1900" t="s">
        <v>5</v>
      </c>
      <c r="Q1900" t="s">
        <v>4562</v>
      </c>
      <c r="R1900" t="s">
        <v>3</v>
      </c>
      <c r="S1900" t="s">
        <v>3</v>
      </c>
      <c r="T1900" t="s">
        <v>3</v>
      </c>
      <c r="U1900" t="s">
        <v>3</v>
      </c>
      <c r="V1900" t="s">
        <v>3</v>
      </c>
      <c r="W1900" t="s">
        <v>68</v>
      </c>
      <c r="X1900" s="17"/>
      <c r="Y1900" t="s">
        <v>3</v>
      </c>
      <c r="Z1900" s="17">
        <v>43660</v>
      </c>
      <c r="AA1900" t="s">
        <v>3</v>
      </c>
      <c r="AB1900" t="s">
        <v>4560</v>
      </c>
    </row>
    <row r="1901" spans="1:28" hidden="1">
      <c r="A1901" t="s">
        <v>4563</v>
      </c>
      <c r="B1901" s="17">
        <v>43660</v>
      </c>
      <c r="C1901" s="17">
        <v>43660</v>
      </c>
      <c r="D1901" t="s">
        <v>0</v>
      </c>
      <c r="E1901" t="s">
        <v>1</v>
      </c>
      <c r="F1901" s="18">
        <v>34480</v>
      </c>
      <c r="G1901" s="18">
        <v>34480</v>
      </c>
      <c r="H1901" t="s">
        <v>2</v>
      </c>
      <c r="I1901" t="s">
        <v>8</v>
      </c>
      <c r="J1901" s="18">
        <v>2879080</v>
      </c>
      <c r="K1901" t="s">
        <v>4556</v>
      </c>
      <c r="L1901" t="s">
        <v>9</v>
      </c>
      <c r="M1901" t="s">
        <v>4564</v>
      </c>
      <c r="N1901" t="s">
        <v>3</v>
      </c>
      <c r="O1901" t="s">
        <v>3</v>
      </c>
      <c r="P1901" t="s">
        <v>5</v>
      </c>
      <c r="Q1901" t="s">
        <v>4565</v>
      </c>
      <c r="R1901" t="s">
        <v>3</v>
      </c>
      <c r="S1901" t="s">
        <v>3</v>
      </c>
      <c r="T1901" t="s">
        <v>3</v>
      </c>
      <c r="U1901" t="s">
        <v>3</v>
      </c>
      <c r="V1901" t="s">
        <v>3</v>
      </c>
      <c r="W1901" t="s">
        <v>68</v>
      </c>
      <c r="X1901" s="17"/>
      <c r="Y1901" t="s">
        <v>3</v>
      </c>
      <c r="Z1901" s="17">
        <v>43660</v>
      </c>
      <c r="AA1901" t="s">
        <v>3</v>
      </c>
      <c r="AB1901" t="s">
        <v>4563</v>
      </c>
    </row>
    <row r="1902" spans="1:28" hidden="1">
      <c r="A1902" t="s">
        <v>4563</v>
      </c>
      <c r="B1902" s="17">
        <v>43660</v>
      </c>
      <c r="C1902" s="17">
        <v>43660</v>
      </c>
      <c r="D1902" t="s">
        <v>0</v>
      </c>
      <c r="E1902" t="s">
        <v>1</v>
      </c>
      <c r="F1902" s="18">
        <v>24204</v>
      </c>
      <c r="G1902" s="18">
        <v>24204</v>
      </c>
      <c r="H1902" t="s">
        <v>2</v>
      </c>
      <c r="I1902" t="s">
        <v>8</v>
      </c>
      <c r="J1902" s="18">
        <v>2020549.92</v>
      </c>
      <c r="K1902" t="s">
        <v>4559</v>
      </c>
      <c r="L1902" t="s">
        <v>9</v>
      </c>
      <c r="M1902" t="s">
        <v>4564</v>
      </c>
      <c r="N1902" t="s">
        <v>3</v>
      </c>
      <c r="O1902" t="s">
        <v>3</v>
      </c>
      <c r="P1902" t="s">
        <v>5</v>
      </c>
      <c r="Q1902" t="s">
        <v>4565</v>
      </c>
      <c r="R1902" t="s">
        <v>3</v>
      </c>
      <c r="S1902" t="s">
        <v>3</v>
      </c>
      <c r="T1902" t="s">
        <v>3</v>
      </c>
      <c r="U1902" t="s">
        <v>3</v>
      </c>
      <c r="V1902" t="s">
        <v>3</v>
      </c>
      <c r="W1902" t="s">
        <v>68</v>
      </c>
      <c r="X1902" s="17">
        <v>43769</v>
      </c>
      <c r="Y1902" t="s">
        <v>4160</v>
      </c>
      <c r="Z1902" s="17">
        <v>43660</v>
      </c>
      <c r="AA1902" t="s">
        <v>3</v>
      </c>
      <c r="AB1902" t="s">
        <v>4563</v>
      </c>
    </row>
    <row r="1903" spans="1:28" hidden="1">
      <c r="A1903" t="s">
        <v>4563</v>
      </c>
      <c r="B1903" s="17">
        <v>43660</v>
      </c>
      <c r="C1903" s="17">
        <v>43660</v>
      </c>
      <c r="D1903" t="s">
        <v>0</v>
      </c>
      <c r="E1903" t="s">
        <v>1</v>
      </c>
      <c r="F1903" s="18">
        <v>7033</v>
      </c>
      <c r="G1903" s="18">
        <v>7033</v>
      </c>
      <c r="H1903" t="s">
        <v>2</v>
      </c>
      <c r="I1903" t="s">
        <v>8</v>
      </c>
      <c r="J1903" s="18">
        <v>587114.84</v>
      </c>
      <c r="K1903" t="s">
        <v>4566</v>
      </c>
      <c r="L1903" t="s">
        <v>9</v>
      </c>
      <c r="M1903" t="s">
        <v>4564</v>
      </c>
      <c r="N1903" t="s">
        <v>3</v>
      </c>
      <c r="O1903" t="s">
        <v>3</v>
      </c>
      <c r="P1903" t="s">
        <v>5</v>
      </c>
      <c r="Q1903" t="s">
        <v>4565</v>
      </c>
      <c r="R1903" t="s">
        <v>3</v>
      </c>
      <c r="S1903" t="s">
        <v>3</v>
      </c>
      <c r="T1903" t="s">
        <v>3</v>
      </c>
      <c r="U1903" t="s">
        <v>3</v>
      </c>
      <c r="V1903" t="s">
        <v>3</v>
      </c>
      <c r="W1903" t="s">
        <v>68</v>
      </c>
      <c r="X1903" s="17">
        <v>44012</v>
      </c>
      <c r="Y1903" t="s">
        <v>4137</v>
      </c>
      <c r="Z1903" s="17">
        <v>43660</v>
      </c>
      <c r="AA1903" t="s">
        <v>3</v>
      </c>
      <c r="AB1903" t="s">
        <v>4563</v>
      </c>
    </row>
    <row r="1904" spans="1:28" hidden="1">
      <c r="A1904" t="s">
        <v>4567</v>
      </c>
      <c r="B1904" s="17">
        <v>43661</v>
      </c>
      <c r="C1904" s="17">
        <v>43661</v>
      </c>
      <c r="D1904" t="s">
        <v>0</v>
      </c>
      <c r="E1904" t="s">
        <v>1</v>
      </c>
      <c r="F1904" s="18">
        <v>59920.53</v>
      </c>
      <c r="G1904" s="18">
        <v>59920.53</v>
      </c>
      <c r="H1904" t="s">
        <v>2</v>
      </c>
      <c r="I1904" t="s">
        <v>8</v>
      </c>
      <c r="J1904" s="18">
        <v>5003364.26</v>
      </c>
      <c r="K1904" t="s">
        <v>4568</v>
      </c>
      <c r="L1904" t="s">
        <v>4</v>
      </c>
      <c r="M1904" t="s">
        <v>4569</v>
      </c>
      <c r="N1904" t="s">
        <v>3</v>
      </c>
      <c r="O1904" t="s">
        <v>3</v>
      </c>
      <c r="P1904" t="s">
        <v>5</v>
      </c>
      <c r="Q1904" t="s">
        <v>4570</v>
      </c>
      <c r="R1904" t="s">
        <v>3</v>
      </c>
      <c r="S1904" t="s">
        <v>3</v>
      </c>
      <c r="T1904" t="s">
        <v>3</v>
      </c>
      <c r="U1904" t="s">
        <v>3</v>
      </c>
      <c r="V1904" t="s">
        <v>3</v>
      </c>
      <c r="W1904" t="s">
        <v>68</v>
      </c>
      <c r="X1904" s="17"/>
      <c r="Y1904" t="s">
        <v>3</v>
      </c>
      <c r="Z1904" s="17">
        <v>43661</v>
      </c>
      <c r="AA1904" t="s">
        <v>3</v>
      </c>
      <c r="AB1904" t="s">
        <v>4567</v>
      </c>
    </row>
    <row r="1905" spans="1:28" hidden="1">
      <c r="A1905" t="s">
        <v>4567</v>
      </c>
      <c r="B1905" s="17">
        <v>43661</v>
      </c>
      <c r="C1905" s="17">
        <v>43661</v>
      </c>
      <c r="D1905" t="s">
        <v>0</v>
      </c>
      <c r="E1905" t="s">
        <v>1</v>
      </c>
      <c r="F1905" s="18">
        <v>25308.7</v>
      </c>
      <c r="G1905" s="18">
        <v>25308.7</v>
      </c>
      <c r="H1905" t="s">
        <v>2</v>
      </c>
      <c r="I1905" t="s">
        <v>8</v>
      </c>
      <c r="J1905" s="18">
        <v>2112770.2799999998</v>
      </c>
      <c r="K1905" t="s">
        <v>4551</v>
      </c>
      <c r="L1905" t="s">
        <v>4</v>
      </c>
      <c r="M1905" t="s">
        <v>4569</v>
      </c>
      <c r="N1905" t="s">
        <v>3</v>
      </c>
      <c r="O1905" t="s">
        <v>3</v>
      </c>
      <c r="P1905" t="s">
        <v>5</v>
      </c>
      <c r="Q1905" t="s">
        <v>4570</v>
      </c>
      <c r="R1905" t="s">
        <v>3</v>
      </c>
      <c r="S1905" t="s">
        <v>3</v>
      </c>
      <c r="T1905" t="s">
        <v>3</v>
      </c>
      <c r="U1905" t="s">
        <v>3</v>
      </c>
      <c r="V1905" t="s">
        <v>3</v>
      </c>
      <c r="W1905" t="s">
        <v>68</v>
      </c>
      <c r="X1905" s="17"/>
      <c r="Y1905" t="s">
        <v>3</v>
      </c>
      <c r="Z1905" s="17">
        <v>43661</v>
      </c>
      <c r="AA1905" t="s">
        <v>3</v>
      </c>
      <c r="AB1905" t="s">
        <v>4567</v>
      </c>
    </row>
    <row r="1906" spans="1:28" hidden="1">
      <c r="A1906" t="s">
        <v>4567</v>
      </c>
      <c r="B1906" s="17">
        <v>43661</v>
      </c>
      <c r="C1906" s="17">
        <v>43661</v>
      </c>
      <c r="D1906" t="s">
        <v>0</v>
      </c>
      <c r="E1906" t="s">
        <v>1</v>
      </c>
      <c r="F1906" s="18">
        <v>7337.04</v>
      </c>
      <c r="G1906" s="18">
        <v>7337.04</v>
      </c>
      <c r="H1906" t="s">
        <v>2</v>
      </c>
      <c r="I1906" t="s">
        <v>8</v>
      </c>
      <c r="J1906" s="18">
        <v>612496.1</v>
      </c>
      <c r="K1906" t="s">
        <v>4571</v>
      </c>
      <c r="L1906" t="s">
        <v>4</v>
      </c>
      <c r="M1906" t="s">
        <v>4569</v>
      </c>
      <c r="N1906" t="s">
        <v>3</v>
      </c>
      <c r="O1906" t="s">
        <v>3</v>
      </c>
      <c r="P1906" t="s">
        <v>5</v>
      </c>
      <c r="Q1906" t="s">
        <v>4570</v>
      </c>
      <c r="R1906" t="s">
        <v>3</v>
      </c>
      <c r="S1906" t="s">
        <v>3</v>
      </c>
      <c r="T1906" t="s">
        <v>3</v>
      </c>
      <c r="U1906" t="s">
        <v>3</v>
      </c>
      <c r="V1906" t="s">
        <v>3</v>
      </c>
      <c r="W1906" t="s">
        <v>68</v>
      </c>
      <c r="X1906" s="17"/>
      <c r="Y1906" t="s">
        <v>3</v>
      </c>
      <c r="Z1906" s="17">
        <v>43661</v>
      </c>
      <c r="AA1906" t="s">
        <v>3</v>
      </c>
      <c r="AB1906" t="s">
        <v>4567</v>
      </c>
    </row>
    <row r="1907" spans="1:28" hidden="1">
      <c r="A1907" t="s">
        <v>4572</v>
      </c>
      <c r="B1907" s="17">
        <v>43661</v>
      </c>
      <c r="C1907" s="17">
        <v>43661</v>
      </c>
      <c r="D1907" t="s">
        <v>0</v>
      </c>
      <c r="E1907" t="s">
        <v>1</v>
      </c>
      <c r="F1907" s="18">
        <v>11843.95</v>
      </c>
      <c r="G1907" s="18">
        <v>11843.95</v>
      </c>
      <c r="H1907" t="s">
        <v>2</v>
      </c>
      <c r="I1907" t="s">
        <v>10</v>
      </c>
      <c r="J1907" s="18">
        <v>988969.83</v>
      </c>
      <c r="K1907" t="s">
        <v>4573</v>
      </c>
      <c r="L1907" t="s">
        <v>4</v>
      </c>
      <c r="M1907" t="s">
        <v>4574</v>
      </c>
      <c r="N1907" t="s">
        <v>3</v>
      </c>
      <c r="O1907" t="s">
        <v>3</v>
      </c>
      <c r="P1907" t="s">
        <v>5</v>
      </c>
      <c r="Q1907" t="s">
        <v>4575</v>
      </c>
      <c r="R1907" t="s">
        <v>3</v>
      </c>
      <c r="S1907" t="s">
        <v>3</v>
      </c>
      <c r="T1907" t="s">
        <v>3</v>
      </c>
      <c r="U1907" t="s">
        <v>3</v>
      </c>
      <c r="V1907" t="s">
        <v>3</v>
      </c>
      <c r="W1907" t="s">
        <v>68</v>
      </c>
      <c r="X1907" s="17"/>
      <c r="Y1907" t="s">
        <v>3</v>
      </c>
      <c r="Z1907" s="17">
        <v>43661</v>
      </c>
      <c r="AA1907" t="s">
        <v>3</v>
      </c>
      <c r="AB1907" t="s">
        <v>4572</v>
      </c>
    </row>
    <row r="1908" spans="1:28" hidden="1">
      <c r="A1908" t="s">
        <v>4576</v>
      </c>
      <c r="B1908" s="17">
        <v>43662</v>
      </c>
      <c r="C1908" s="17">
        <v>43662</v>
      </c>
      <c r="D1908" t="s">
        <v>0</v>
      </c>
      <c r="E1908" t="s">
        <v>1</v>
      </c>
      <c r="F1908" s="18">
        <v>3882.94</v>
      </c>
      <c r="G1908" s="18">
        <v>3882.94</v>
      </c>
      <c r="H1908" t="s">
        <v>2</v>
      </c>
      <c r="I1908" t="s">
        <v>8</v>
      </c>
      <c r="J1908" s="18">
        <v>324225.49</v>
      </c>
      <c r="K1908" t="s">
        <v>4568</v>
      </c>
      <c r="L1908" t="s">
        <v>4</v>
      </c>
      <c r="M1908" t="s">
        <v>4577</v>
      </c>
      <c r="N1908" t="s">
        <v>3</v>
      </c>
      <c r="O1908" t="s">
        <v>3</v>
      </c>
      <c r="P1908" t="s">
        <v>5</v>
      </c>
      <c r="Q1908" t="s">
        <v>4578</v>
      </c>
      <c r="R1908" t="s">
        <v>3</v>
      </c>
      <c r="S1908" t="s">
        <v>3</v>
      </c>
      <c r="T1908" t="s">
        <v>3</v>
      </c>
      <c r="U1908" t="s">
        <v>3</v>
      </c>
      <c r="V1908" t="s">
        <v>3</v>
      </c>
      <c r="W1908" t="s">
        <v>68</v>
      </c>
      <c r="X1908" s="17"/>
      <c r="Y1908" t="s">
        <v>3</v>
      </c>
      <c r="Z1908" s="17">
        <v>43662</v>
      </c>
      <c r="AA1908" t="s">
        <v>3</v>
      </c>
      <c r="AB1908" t="s">
        <v>4576</v>
      </c>
    </row>
    <row r="1909" spans="1:28" hidden="1">
      <c r="A1909" t="s">
        <v>4576</v>
      </c>
      <c r="B1909" s="17">
        <v>43662</v>
      </c>
      <c r="C1909" s="17">
        <v>43662</v>
      </c>
      <c r="D1909" t="s">
        <v>0</v>
      </c>
      <c r="E1909" t="s">
        <v>1</v>
      </c>
      <c r="F1909" s="18">
        <v>2335.7399999999998</v>
      </c>
      <c r="G1909" s="18">
        <v>2335.7399999999998</v>
      </c>
      <c r="H1909" t="s">
        <v>2</v>
      </c>
      <c r="I1909" t="s">
        <v>8</v>
      </c>
      <c r="J1909" s="18">
        <v>194987.58</v>
      </c>
      <c r="K1909" t="s">
        <v>4551</v>
      </c>
      <c r="L1909" t="s">
        <v>4</v>
      </c>
      <c r="M1909" t="s">
        <v>4577</v>
      </c>
      <c r="N1909" t="s">
        <v>3</v>
      </c>
      <c r="O1909" t="s">
        <v>3</v>
      </c>
      <c r="P1909" t="s">
        <v>5</v>
      </c>
      <c r="Q1909" t="s">
        <v>4578</v>
      </c>
      <c r="R1909" t="s">
        <v>3</v>
      </c>
      <c r="S1909" t="s">
        <v>3</v>
      </c>
      <c r="T1909" t="s">
        <v>3</v>
      </c>
      <c r="U1909" t="s">
        <v>3</v>
      </c>
      <c r="V1909" t="s">
        <v>3</v>
      </c>
      <c r="W1909" t="s">
        <v>68</v>
      </c>
      <c r="X1909" s="17"/>
      <c r="Y1909" t="s">
        <v>3</v>
      </c>
      <c r="Z1909" s="17">
        <v>43662</v>
      </c>
      <c r="AA1909" t="s">
        <v>3</v>
      </c>
      <c r="AB1909" t="s">
        <v>4576</v>
      </c>
    </row>
    <row r="1910" spans="1:28" hidden="1">
      <c r="A1910" t="s">
        <v>4576</v>
      </c>
      <c r="B1910" s="17">
        <v>43662</v>
      </c>
      <c r="C1910" s="17">
        <v>43662</v>
      </c>
      <c r="D1910" t="s">
        <v>0</v>
      </c>
      <c r="E1910" t="s">
        <v>1</v>
      </c>
      <c r="F1910" s="18">
        <v>3695.77</v>
      </c>
      <c r="G1910" s="18">
        <v>3695.77</v>
      </c>
      <c r="H1910" t="s">
        <v>2</v>
      </c>
      <c r="I1910" t="s">
        <v>8</v>
      </c>
      <c r="J1910" s="18">
        <v>308522.88</v>
      </c>
      <c r="K1910" t="s">
        <v>4571</v>
      </c>
      <c r="L1910" t="s">
        <v>4</v>
      </c>
      <c r="M1910" t="s">
        <v>4577</v>
      </c>
      <c r="N1910" t="s">
        <v>3</v>
      </c>
      <c r="O1910" t="s">
        <v>3</v>
      </c>
      <c r="P1910" t="s">
        <v>5</v>
      </c>
      <c r="Q1910" t="s">
        <v>4578</v>
      </c>
      <c r="R1910" t="s">
        <v>3</v>
      </c>
      <c r="S1910" t="s">
        <v>3</v>
      </c>
      <c r="T1910" t="s">
        <v>3</v>
      </c>
      <c r="U1910" t="s">
        <v>3</v>
      </c>
      <c r="V1910" t="s">
        <v>3</v>
      </c>
      <c r="W1910" t="s">
        <v>68</v>
      </c>
      <c r="X1910" s="17"/>
      <c r="Y1910" t="s">
        <v>3</v>
      </c>
      <c r="Z1910" s="17">
        <v>43662</v>
      </c>
      <c r="AA1910" t="s">
        <v>3</v>
      </c>
      <c r="AB1910" t="s">
        <v>4576</v>
      </c>
    </row>
    <row r="1911" spans="1:28" hidden="1">
      <c r="A1911" t="s">
        <v>4579</v>
      </c>
      <c r="B1911" s="17">
        <v>43662</v>
      </c>
      <c r="C1911" s="17">
        <v>43662</v>
      </c>
      <c r="D1911" t="s">
        <v>0</v>
      </c>
      <c r="E1911" t="s">
        <v>1</v>
      </c>
      <c r="F1911" s="18">
        <v>19990.080000000002</v>
      </c>
      <c r="G1911" s="18">
        <v>19990.080000000002</v>
      </c>
      <c r="H1911" t="s">
        <v>2</v>
      </c>
      <c r="I1911" t="s">
        <v>8</v>
      </c>
      <c r="J1911" s="18">
        <v>1669171.68</v>
      </c>
      <c r="K1911" t="s">
        <v>4568</v>
      </c>
      <c r="L1911" t="s">
        <v>4</v>
      </c>
      <c r="M1911" t="s">
        <v>4580</v>
      </c>
      <c r="N1911" t="s">
        <v>3</v>
      </c>
      <c r="O1911" t="s">
        <v>3</v>
      </c>
      <c r="P1911" t="s">
        <v>5</v>
      </c>
      <c r="Q1911" t="s">
        <v>4581</v>
      </c>
      <c r="R1911" t="s">
        <v>3</v>
      </c>
      <c r="S1911" t="s">
        <v>3</v>
      </c>
      <c r="T1911" t="s">
        <v>3</v>
      </c>
      <c r="U1911" t="s">
        <v>3</v>
      </c>
      <c r="V1911" t="s">
        <v>3</v>
      </c>
      <c r="W1911" t="s">
        <v>68</v>
      </c>
      <c r="X1911" s="17"/>
      <c r="Y1911" t="s">
        <v>3</v>
      </c>
      <c r="Z1911" s="17">
        <v>43662</v>
      </c>
      <c r="AA1911" t="s">
        <v>3</v>
      </c>
      <c r="AB1911" t="s">
        <v>4579</v>
      </c>
    </row>
    <row r="1912" spans="1:28" hidden="1">
      <c r="A1912" t="s">
        <v>4579</v>
      </c>
      <c r="B1912" s="17">
        <v>43662</v>
      </c>
      <c r="C1912" s="17">
        <v>43662</v>
      </c>
      <c r="D1912" t="s">
        <v>0</v>
      </c>
      <c r="E1912" t="s">
        <v>1</v>
      </c>
      <c r="F1912" s="18">
        <v>8133.46</v>
      </c>
      <c r="G1912" s="18">
        <v>8133.46</v>
      </c>
      <c r="H1912" t="s">
        <v>2</v>
      </c>
      <c r="I1912" t="s">
        <v>8</v>
      </c>
      <c r="J1912" s="18">
        <v>678981.24</v>
      </c>
      <c r="K1912" t="s">
        <v>4512</v>
      </c>
      <c r="L1912" t="s">
        <v>4</v>
      </c>
      <c r="M1912" t="s">
        <v>4580</v>
      </c>
      <c r="N1912" t="s">
        <v>3</v>
      </c>
      <c r="O1912" t="s">
        <v>3</v>
      </c>
      <c r="P1912" t="s">
        <v>5</v>
      </c>
      <c r="Q1912" t="s">
        <v>4581</v>
      </c>
      <c r="R1912" t="s">
        <v>3</v>
      </c>
      <c r="S1912" t="s">
        <v>3</v>
      </c>
      <c r="T1912" t="s">
        <v>3</v>
      </c>
      <c r="U1912" t="s">
        <v>3</v>
      </c>
      <c r="V1912" t="s">
        <v>3</v>
      </c>
      <c r="W1912" t="s">
        <v>68</v>
      </c>
      <c r="X1912" s="17"/>
      <c r="Y1912" t="s">
        <v>3</v>
      </c>
      <c r="Z1912" s="17">
        <v>43662</v>
      </c>
      <c r="AA1912" t="s">
        <v>3</v>
      </c>
      <c r="AB1912" t="s">
        <v>4579</v>
      </c>
    </row>
    <row r="1913" spans="1:28" hidden="1">
      <c r="A1913" t="s">
        <v>4579</v>
      </c>
      <c r="B1913" s="17">
        <v>43662</v>
      </c>
      <c r="C1913" s="17">
        <v>43662</v>
      </c>
      <c r="D1913" t="s">
        <v>0</v>
      </c>
      <c r="E1913" t="s">
        <v>1</v>
      </c>
      <c r="F1913" s="18">
        <v>4674.3999999999996</v>
      </c>
      <c r="G1913" s="18">
        <v>4674.3999999999996</v>
      </c>
      <c r="H1913" t="s">
        <v>2</v>
      </c>
      <c r="I1913" t="s">
        <v>8</v>
      </c>
      <c r="J1913" s="18">
        <v>390218.91</v>
      </c>
      <c r="K1913" t="s">
        <v>4554</v>
      </c>
      <c r="L1913" t="s">
        <v>4</v>
      </c>
      <c r="M1913" t="s">
        <v>4580</v>
      </c>
      <c r="N1913" t="s">
        <v>3</v>
      </c>
      <c r="O1913" t="s">
        <v>3</v>
      </c>
      <c r="P1913" t="s">
        <v>5</v>
      </c>
      <c r="Q1913" t="s">
        <v>4581</v>
      </c>
      <c r="R1913" t="s">
        <v>3</v>
      </c>
      <c r="S1913" t="s">
        <v>3</v>
      </c>
      <c r="T1913" t="s">
        <v>3</v>
      </c>
      <c r="U1913" t="s">
        <v>3</v>
      </c>
      <c r="V1913" t="s">
        <v>3</v>
      </c>
      <c r="W1913" t="s">
        <v>68</v>
      </c>
      <c r="X1913" s="17"/>
      <c r="Y1913" t="s">
        <v>3</v>
      </c>
      <c r="Z1913" s="17">
        <v>43662</v>
      </c>
      <c r="AA1913" t="s">
        <v>3</v>
      </c>
      <c r="AB1913" t="s">
        <v>4579</v>
      </c>
    </row>
    <row r="1914" spans="1:28" hidden="1">
      <c r="A1914" t="s">
        <v>4582</v>
      </c>
      <c r="B1914" s="17">
        <v>43662</v>
      </c>
      <c r="C1914" s="17">
        <v>43662</v>
      </c>
      <c r="D1914" t="s">
        <v>0</v>
      </c>
      <c r="E1914" t="s">
        <v>1</v>
      </c>
      <c r="F1914" s="18">
        <v>146939</v>
      </c>
      <c r="G1914" s="18">
        <v>146939</v>
      </c>
      <c r="H1914" t="s">
        <v>2</v>
      </c>
      <c r="I1914" t="s">
        <v>8</v>
      </c>
      <c r="J1914" s="18">
        <v>12269406.5</v>
      </c>
      <c r="K1914" t="s">
        <v>4556</v>
      </c>
      <c r="L1914" t="s">
        <v>9</v>
      </c>
      <c r="M1914" t="s">
        <v>4583</v>
      </c>
      <c r="N1914" t="s">
        <v>3</v>
      </c>
      <c r="O1914" t="s">
        <v>3</v>
      </c>
      <c r="P1914" t="s">
        <v>5</v>
      </c>
      <c r="Q1914" t="s">
        <v>4584</v>
      </c>
      <c r="R1914" t="s">
        <v>3</v>
      </c>
      <c r="S1914" t="s">
        <v>3</v>
      </c>
      <c r="T1914" t="s">
        <v>3</v>
      </c>
      <c r="U1914" t="s">
        <v>3</v>
      </c>
      <c r="V1914" t="s">
        <v>3</v>
      </c>
      <c r="W1914" t="s">
        <v>68</v>
      </c>
      <c r="X1914" s="17"/>
      <c r="Y1914" t="s">
        <v>3</v>
      </c>
      <c r="Z1914" s="17">
        <v>43662</v>
      </c>
      <c r="AA1914" t="s">
        <v>3</v>
      </c>
      <c r="AB1914" t="s">
        <v>4582</v>
      </c>
    </row>
    <row r="1915" spans="1:28" hidden="1">
      <c r="A1915" t="s">
        <v>4582</v>
      </c>
      <c r="B1915" s="17">
        <v>43662</v>
      </c>
      <c r="C1915" s="17">
        <v>43662</v>
      </c>
      <c r="D1915" t="s">
        <v>0</v>
      </c>
      <c r="E1915" t="s">
        <v>1</v>
      </c>
      <c r="F1915" s="18">
        <v>24455</v>
      </c>
      <c r="G1915" s="18">
        <v>24455</v>
      </c>
      <c r="H1915" t="s">
        <v>2</v>
      </c>
      <c r="I1915" t="s">
        <v>8</v>
      </c>
      <c r="J1915" s="18">
        <v>2041503.4</v>
      </c>
      <c r="K1915" t="s">
        <v>4585</v>
      </c>
      <c r="L1915" t="s">
        <v>9</v>
      </c>
      <c r="M1915" t="s">
        <v>4583</v>
      </c>
      <c r="N1915" t="s">
        <v>3</v>
      </c>
      <c r="O1915" t="s">
        <v>3</v>
      </c>
      <c r="P1915" t="s">
        <v>5</v>
      </c>
      <c r="Q1915" t="s">
        <v>4584</v>
      </c>
      <c r="R1915" t="s">
        <v>3</v>
      </c>
      <c r="S1915" t="s">
        <v>3</v>
      </c>
      <c r="T1915" t="s">
        <v>3</v>
      </c>
      <c r="U1915" t="s">
        <v>3</v>
      </c>
      <c r="V1915" t="s">
        <v>3</v>
      </c>
      <c r="W1915" t="s">
        <v>68</v>
      </c>
      <c r="X1915" s="17">
        <v>43769</v>
      </c>
      <c r="Y1915" t="s">
        <v>4005</v>
      </c>
      <c r="Z1915" s="17">
        <v>43662</v>
      </c>
      <c r="AA1915" t="s">
        <v>3</v>
      </c>
      <c r="AB1915" t="s">
        <v>4582</v>
      </c>
    </row>
    <row r="1916" spans="1:28" hidden="1">
      <c r="A1916" t="s">
        <v>4582</v>
      </c>
      <c r="B1916" s="17">
        <v>43662</v>
      </c>
      <c r="C1916" s="17">
        <v>43662</v>
      </c>
      <c r="D1916" t="s">
        <v>0</v>
      </c>
      <c r="E1916" t="s">
        <v>1</v>
      </c>
      <c r="F1916" s="18">
        <v>3684</v>
      </c>
      <c r="G1916" s="18">
        <v>3684</v>
      </c>
      <c r="H1916" t="s">
        <v>2</v>
      </c>
      <c r="I1916" t="s">
        <v>8</v>
      </c>
      <c r="J1916" s="18">
        <v>307540.32</v>
      </c>
      <c r="K1916" t="s">
        <v>4559</v>
      </c>
      <c r="L1916" t="s">
        <v>9</v>
      </c>
      <c r="M1916" t="s">
        <v>4583</v>
      </c>
      <c r="N1916" t="s">
        <v>3</v>
      </c>
      <c r="O1916" t="s">
        <v>3</v>
      </c>
      <c r="P1916" t="s">
        <v>5</v>
      </c>
      <c r="Q1916" t="s">
        <v>4584</v>
      </c>
      <c r="R1916" t="s">
        <v>3</v>
      </c>
      <c r="S1916" t="s">
        <v>3</v>
      </c>
      <c r="T1916" t="s">
        <v>3</v>
      </c>
      <c r="U1916" t="s">
        <v>3</v>
      </c>
      <c r="V1916" t="s">
        <v>3</v>
      </c>
      <c r="W1916" t="s">
        <v>68</v>
      </c>
      <c r="X1916" s="17">
        <v>43769</v>
      </c>
      <c r="Y1916" t="s">
        <v>4160</v>
      </c>
      <c r="Z1916" s="17">
        <v>43662</v>
      </c>
      <c r="AA1916" t="s">
        <v>3</v>
      </c>
      <c r="AB1916" t="s">
        <v>4582</v>
      </c>
    </row>
    <row r="1917" spans="1:28" hidden="1">
      <c r="A1917" t="s">
        <v>4582</v>
      </c>
      <c r="B1917" s="17">
        <v>43662</v>
      </c>
      <c r="C1917" s="17">
        <v>43662</v>
      </c>
      <c r="D1917" t="s">
        <v>0</v>
      </c>
      <c r="E1917" t="s">
        <v>1</v>
      </c>
      <c r="F1917" s="18">
        <v>7000</v>
      </c>
      <c r="G1917" s="18">
        <v>7000</v>
      </c>
      <c r="H1917" t="s">
        <v>2</v>
      </c>
      <c r="I1917" t="s">
        <v>8</v>
      </c>
      <c r="J1917" s="18">
        <v>584360</v>
      </c>
      <c r="K1917" t="s">
        <v>4566</v>
      </c>
      <c r="L1917" t="s">
        <v>9</v>
      </c>
      <c r="M1917" t="s">
        <v>4583</v>
      </c>
      <c r="N1917" t="s">
        <v>3</v>
      </c>
      <c r="O1917" t="s">
        <v>3</v>
      </c>
      <c r="P1917" t="s">
        <v>5</v>
      </c>
      <c r="Q1917" t="s">
        <v>4584</v>
      </c>
      <c r="R1917" t="s">
        <v>3</v>
      </c>
      <c r="S1917" t="s">
        <v>3</v>
      </c>
      <c r="T1917" t="s">
        <v>3</v>
      </c>
      <c r="U1917" t="s">
        <v>3</v>
      </c>
      <c r="V1917" t="s">
        <v>3</v>
      </c>
      <c r="W1917" t="s">
        <v>68</v>
      </c>
      <c r="X1917" s="17">
        <v>44012</v>
      </c>
      <c r="Y1917" t="s">
        <v>4137</v>
      </c>
      <c r="Z1917" s="17">
        <v>43662</v>
      </c>
      <c r="AA1917" t="s">
        <v>3</v>
      </c>
      <c r="AB1917" t="s">
        <v>4582</v>
      </c>
    </row>
    <row r="1918" spans="1:28" hidden="1">
      <c r="A1918" t="s">
        <v>4586</v>
      </c>
      <c r="B1918" s="17">
        <v>43663</v>
      </c>
      <c r="C1918" s="17">
        <v>43663</v>
      </c>
      <c r="D1918" t="s">
        <v>0</v>
      </c>
      <c r="E1918" t="s">
        <v>1</v>
      </c>
      <c r="F1918" s="18">
        <v>1331</v>
      </c>
      <c r="G1918" s="18">
        <v>1331</v>
      </c>
      <c r="H1918" t="s">
        <v>2</v>
      </c>
      <c r="I1918" t="s">
        <v>8</v>
      </c>
      <c r="J1918" s="18">
        <v>111138.5</v>
      </c>
      <c r="K1918" t="s">
        <v>4556</v>
      </c>
      <c r="L1918" t="s">
        <v>9</v>
      </c>
      <c r="M1918" t="s">
        <v>4587</v>
      </c>
      <c r="N1918" t="s">
        <v>3</v>
      </c>
      <c r="O1918" t="s">
        <v>3</v>
      </c>
      <c r="P1918" t="s">
        <v>5</v>
      </c>
      <c r="Q1918" t="s">
        <v>4588</v>
      </c>
      <c r="R1918" t="s">
        <v>3</v>
      </c>
      <c r="S1918" t="s">
        <v>3</v>
      </c>
      <c r="T1918" t="s">
        <v>3</v>
      </c>
      <c r="U1918" t="s">
        <v>3</v>
      </c>
      <c r="V1918" t="s">
        <v>3</v>
      </c>
      <c r="W1918" t="s">
        <v>68</v>
      </c>
      <c r="X1918" s="17"/>
      <c r="Y1918" t="s">
        <v>3</v>
      </c>
      <c r="Z1918" s="17">
        <v>43663</v>
      </c>
      <c r="AA1918" t="s">
        <v>3</v>
      </c>
      <c r="AB1918" t="s">
        <v>4586</v>
      </c>
    </row>
    <row r="1919" spans="1:28" hidden="1">
      <c r="A1919" t="s">
        <v>4589</v>
      </c>
      <c r="B1919" s="17">
        <v>43663</v>
      </c>
      <c r="C1919" s="17">
        <v>43663</v>
      </c>
      <c r="D1919" t="s">
        <v>0</v>
      </c>
      <c r="E1919" t="s">
        <v>1</v>
      </c>
      <c r="F1919" s="18">
        <v>29002.87</v>
      </c>
      <c r="G1919" s="18">
        <v>29002.87</v>
      </c>
      <c r="H1919" t="s">
        <v>2</v>
      </c>
      <c r="I1919" t="s">
        <v>10</v>
      </c>
      <c r="J1919" s="18">
        <v>2415939.0699999998</v>
      </c>
      <c r="K1919" t="s">
        <v>4590</v>
      </c>
      <c r="L1919" t="s">
        <v>4</v>
      </c>
      <c r="M1919" t="s">
        <v>4591</v>
      </c>
      <c r="N1919" t="s">
        <v>3</v>
      </c>
      <c r="O1919" t="s">
        <v>3</v>
      </c>
      <c r="P1919" t="s">
        <v>5</v>
      </c>
      <c r="Q1919" t="s">
        <v>4592</v>
      </c>
      <c r="R1919" t="s">
        <v>3</v>
      </c>
      <c r="S1919" t="s">
        <v>3</v>
      </c>
      <c r="T1919" t="s">
        <v>3</v>
      </c>
      <c r="U1919" t="s">
        <v>3</v>
      </c>
      <c r="V1919" t="s">
        <v>3</v>
      </c>
      <c r="W1919" t="s">
        <v>68</v>
      </c>
      <c r="X1919" s="17"/>
      <c r="Y1919" t="s">
        <v>3</v>
      </c>
      <c r="Z1919" s="17">
        <v>43663</v>
      </c>
      <c r="AA1919" t="s">
        <v>3</v>
      </c>
      <c r="AB1919" t="s">
        <v>4589</v>
      </c>
    </row>
    <row r="1920" spans="1:28" hidden="1">
      <c r="A1920" t="s">
        <v>4589</v>
      </c>
      <c r="B1920" s="17">
        <v>43663</v>
      </c>
      <c r="C1920" s="17">
        <v>43663</v>
      </c>
      <c r="D1920" t="s">
        <v>0</v>
      </c>
      <c r="E1920" t="s">
        <v>1</v>
      </c>
      <c r="F1920" s="18">
        <v>1126.58</v>
      </c>
      <c r="G1920" s="18">
        <v>1126.58</v>
      </c>
      <c r="H1920" t="s">
        <v>2</v>
      </c>
      <c r="I1920" t="s">
        <v>10</v>
      </c>
      <c r="J1920" s="18">
        <v>94046.9</v>
      </c>
      <c r="K1920" t="s">
        <v>4593</v>
      </c>
      <c r="L1920" t="s">
        <v>4</v>
      </c>
      <c r="M1920" t="s">
        <v>4591</v>
      </c>
      <c r="N1920" t="s">
        <v>3</v>
      </c>
      <c r="O1920" t="s">
        <v>3</v>
      </c>
      <c r="P1920" t="s">
        <v>5</v>
      </c>
      <c r="Q1920" t="s">
        <v>4592</v>
      </c>
      <c r="R1920" t="s">
        <v>3</v>
      </c>
      <c r="S1920" t="s">
        <v>3</v>
      </c>
      <c r="T1920" t="s">
        <v>3</v>
      </c>
      <c r="U1920" t="s">
        <v>3</v>
      </c>
      <c r="V1920" t="s">
        <v>3</v>
      </c>
      <c r="W1920" t="s">
        <v>68</v>
      </c>
      <c r="X1920" s="17"/>
      <c r="Y1920" t="s">
        <v>3</v>
      </c>
      <c r="Z1920" s="17">
        <v>43663</v>
      </c>
      <c r="AA1920" t="s">
        <v>3</v>
      </c>
      <c r="AB1920" t="s">
        <v>4589</v>
      </c>
    </row>
    <row r="1921" spans="1:28" hidden="1">
      <c r="A1921" t="s">
        <v>4589</v>
      </c>
      <c r="B1921" s="17">
        <v>43663</v>
      </c>
      <c r="C1921" s="17">
        <v>43663</v>
      </c>
      <c r="D1921" t="s">
        <v>0</v>
      </c>
      <c r="E1921" t="s">
        <v>1</v>
      </c>
      <c r="F1921" s="18">
        <v>2556.4699999999998</v>
      </c>
      <c r="G1921" s="18">
        <v>2556.4699999999998</v>
      </c>
      <c r="H1921" t="s">
        <v>2</v>
      </c>
      <c r="I1921" t="s">
        <v>10</v>
      </c>
      <c r="J1921" s="18">
        <v>213465.25</v>
      </c>
      <c r="K1921" t="s">
        <v>4573</v>
      </c>
      <c r="L1921" t="s">
        <v>4</v>
      </c>
      <c r="M1921" t="s">
        <v>4591</v>
      </c>
      <c r="N1921" t="s">
        <v>3</v>
      </c>
      <c r="O1921" t="s">
        <v>3</v>
      </c>
      <c r="P1921" t="s">
        <v>5</v>
      </c>
      <c r="Q1921" t="s">
        <v>4592</v>
      </c>
      <c r="R1921" t="s">
        <v>3</v>
      </c>
      <c r="S1921" t="s">
        <v>3</v>
      </c>
      <c r="T1921" t="s">
        <v>3</v>
      </c>
      <c r="U1921" t="s">
        <v>3</v>
      </c>
      <c r="V1921" t="s">
        <v>3</v>
      </c>
      <c r="W1921" t="s">
        <v>68</v>
      </c>
      <c r="X1921" s="17"/>
      <c r="Y1921" t="s">
        <v>3</v>
      </c>
      <c r="Z1921" s="17">
        <v>43663</v>
      </c>
      <c r="AA1921" t="s">
        <v>3</v>
      </c>
      <c r="AB1921" t="s">
        <v>4589</v>
      </c>
    </row>
    <row r="1922" spans="1:28" hidden="1">
      <c r="A1922" t="s">
        <v>4589</v>
      </c>
      <c r="B1922" s="17">
        <v>43663</v>
      </c>
      <c r="C1922" s="17">
        <v>43663</v>
      </c>
      <c r="D1922" t="s">
        <v>0</v>
      </c>
      <c r="E1922" t="s">
        <v>1</v>
      </c>
      <c r="F1922" s="18">
        <v>407.54</v>
      </c>
      <c r="G1922" s="18">
        <v>407.54</v>
      </c>
      <c r="H1922" t="s">
        <v>2</v>
      </c>
      <c r="I1922" t="s">
        <v>10</v>
      </c>
      <c r="J1922" s="18">
        <v>34021.440000000002</v>
      </c>
      <c r="K1922" t="s">
        <v>4594</v>
      </c>
      <c r="L1922" t="s">
        <v>4</v>
      </c>
      <c r="M1922" t="s">
        <v>4591</v>
      </c>
      <c r="N1922" t="s">
        <v>3</v>
      </c>
      <c r="O1922" t="s">
        <v>3</v>
      </c>
      <c r="P1922" t="s">
        <v>5</v>
      </c>
      <c r="Q1922" t="s">
        <v>4592</v>
      </c>
      <c r="R1922" t="s">
        <v>3</v>
      </c>
      <c r="S1922" t="s">
        <v>3</v>
      </c>
      <c r="T1922" t="s">
        <v>3</v>
      </c>
      <c r="U1922" t="s">
        <v>3</v>
      </c>
      <c r="V1922" t="s">
        <v>3</v>
      </c>
      <c r="W1922" t="s">
        <v>68</v>
      </c>
      <c r="X1922" s="17"/>
      <c r="Y1922" t="s">
        <v>3</v>
      </c>
      <c r="Z1922" s="17">
        <v>43663</v>
      </c>
      <c r="AA1922" t="s">
        <v>3</v>
      </c>
      <c r="AB1922" t="s">
        <v>4589</v>
      </c>
    </row>
    <row r="1923" spans="1:28" hidden="1">
      <c r="A1923" t="s">
        <v>4595</v>
      </c>
      <c r="B1923" s="17">
        <v>43667</v>
      </c>
      <c r="C1923" s="17">
        <v>43667</v>
      </c>
      <c r="D1923" t="s">
        <v>0</v>
      </c>
      <c r="E1923" t="s">
        <v>1</v>
      </c>
      <c r="F1923" s="18">
        <v>-33269</v>
      </c>
      <c r="G1923" s="18">
        <v>-33269</v>
      </c>
      <c r="H1923" t="s">
        <v>2</v>
      </c>
      <c r="I1923" t="s">
        <v>10</v>
      </c>
      <c r="J1923" s="18">
        <v>-2777961.51</v>
      </c>
      <c r="K1923" t="s">
        <v>4596</v>
      </c>
      <c r="L1923" t="s">
        <v>9</v>
      </c>
      <c r="M1923" t="s">
        <v>4597</v>
      </c>
      <c r="N1923" t="s">
        <v>3</v>
      </c>
      <c r="O1923" t="s">
        <v>3</v>
      </c>
      <c r="P1923" t="s">
        <v>5</v>
      </c>
      <c r="Q1923" t="s">
        <v>4598</v>
      </c>
      <c r="R1923" t="s">
        <v>3</v>
      </c>
      <c r="S1923" t="s">
        <v>3</v>
      </c>
      <c r="T1923" t="s">
        <v>3</v>
      </c>
      <c r="U1923" t="s">
        <v>3</v>
      </c>
      <c r="V1923" t="s">
        <v>3</v>
      </c>
      <c r="W1923" t="s">
        <v>68</v>
      </c>
      <c r="X1923" s="17">
        <v>43677</v>
      </c>
      <c r="Y1923" t="s">
        <v>4490</v>
      </c>
      <c r="Z1923" s="17">
        <v>43667</v>
      </c>
      <c r="AA1923" t="s">
        <v>3</v>
      </c>
      <c r="AB1923" t="s">
        <v>4595</v>
      </c>
    </row>
    <row r="1924" spans="1:28" s="34" customFormat="1">
      <c r="A1924" s="37" t="s">
        <v>4599</v>
      </c>
      <c r="B1924" s="32">
        <v>43667</v>
      </c>
      <c r="C1924" s="32">
        <v>43667</v>
      </c>
      <c r="D1924" s="31" t="s">
        <v>0</v>
      </c>
      <c r="E1924" s="31" t="s">
        <v>1</v>
      </c>
      <c r="F1924" s="33">
        <v>-1004322</v>
      </c>
      <c r="G1924" s="49">
        <v>-1004322</v>
      </c>
      <c r="H1924" s="31" t="s">
        <v>2</v>
      </c>
      <c r="I1924" s="31" t="s">
        <v>8</v>
      </c>
      <c r="J1924" s="49">
        <v>-83860887.010000005</v>
      </c>
      <c r="K1924" s="31" t="s">
        <v>4600</v>
      </c>
      <c r="L1924" s="31" t="s">
        <v>9</v>
      </c>
      <c r="M1924" s="31" t="s">
        <v>4601</v>
      </c>
      <c r="N1924" s="31" t="s">
        <v>3</v>
      </c>
      <c r="O1924" s="31" t="s">
        <v>3</v>
      </c>
      <c r="P1924" s="31" t="s">
        <v>5</v>
      </c>
      <c r="Q1924" s="31" t="s">
        <v>4602</v>
      </c>
      <c r="R1924" s="31" t="s">
        <v>3</v>
      </c>
      <c r="S1924" s="31" t="s">
        <v>3</v>
      </c>
      <c r="T1924" s="31" t="s">
        <v>3</v>
      </c>
      <c r="U1924" s="31" t="s">
        <v>3</v>
      </c>
      <c r="V1924" s="31" t="s">
        <v>3</v>
      </c>
      <c r="W1924" s="31" t="s">
        <v>68</v>
      </c>
      <c r="X1924" s="32">
        <v>44012</v>
      </c>
      <c r="Y1924" s="31" t="s">
        <v>4137</v>
      </c>
      <c r="Z1924" s="32">
        <v>43667</v>
      </c>
      <c r="AA1924" s="31" t="s">
        <v>3</v>
      </c>
      <c r="AB1924" s="31" t="s">
        <v>4599</v>
      </c>
    </row>
    <row r="1925" spans="1:28" hidden="1">
      <c r="A1925" t="s">
        <v>4603</v>
      </c>
      <c r="B1925" s="17">
        <v>43667</v>
      </c>
      <c r="C1925" s="17">
        <v>43667</v>
      </c>
      <c r="D1925" t="s">
        <v>0</v>
      </c>
      <c r="E1925" t="s">
        <v>1</v>
      </c>
      <c r="F1925" s="18">
        <v>93637</v>
      </c>
      <c r="G1925" s="18">
        <v>93637</v>
      </c>
      <c r="H1925" t="s">
        <v>2</v>
      </c>
      <c r="I1925" t="s">
        <v>8</v>
      </c>
      <c r="J1925" s="18">
        <v>7818689.5</v>
      </c>
      <c r="K1925" t="s">
        <v>4604</v>
      </c>
      <c r="L1925" t="s">
        <v>9</v>
      </c>
      <c r="M1925" t="s">
        <v>4605</v>
      </c>
      <c r="N1925" t="s">
        <v>3</v>
      </c>
      <c r="O1925" t="s">
        <v>3</v>
      </c>
      <c r="P1925" t="s">
        <v>5</v>
      </c>
      <c r="Q1925" t="s">
        <v>4606</v>
      </c>
      <c r="R1925" t="s">
        <v>3</v>
      </c>
      <c r="S1925" t="s">
        <v>3</v>
      </c>
      <c r="T1925" t="s">
        <v>3</v>
      </c>
      <c r="U1925" t="s">
        <v>3</v>
      </c>
      <c r="V1925" t="s">
        <v>3</v>
      </c>
      <c r="W1925" t="s">
        <v>68</v>
      </c>
      <c r="X1925" s="17"/>
      <c r="Y1925" t="s">
        <v>3</v>
      </c>
      <c r="Z1925" s="17">
        <v>43667</v>
      </c>
      <c r="AA1925" t="s">
        <v>3</v>
      </c>
      <c r="AB1925" t="s">
        <v>4603</v>
      </c>
    </row>
    <row r="1926" spans="1:28" hidden="1">
      <c r="A1926" t="s">
        <v>4603</v>
      </c>
      <c r="B1926" s="17">
        <v>43667</v>
      </c>
      <c r="C1926" s="17">
        <v>43667</v>
      </c>
      <c r="D1926" t="s">
        <v>0</v>
      </c>
      <c r="E1926" t="s">
        <v>1</v>
      </c>
      <c r="F1926" s="18">
        <v>6379</v>
      </c>
      <c r="G1926" s="18">
        <v>6379</v>
      </c>
      <c r="H1926" t="s">
        <v>2</v>
      </c>
      <c r="I1926" t="s">
        <v>8</v>
      </c>
      <c r="J1926" s="18">
        <v>532518.92000000004</v>
      </c>
      <c r="K1926" t="s">
        <v>4607</v>
      </c>
      <c r="L1926" t="s">
        <v>9</v>
      </c>
      <c r="M1926" t="s">
        <v>4605</v>
      </c>
      <c r="N1926" t="s">
        <v>3</v>
      </c>
      <c r="O1926" t="s">
        <v>3</v>
      </c>
      <c r="P1926" t="s">
        <v>5</v>
      </c>
      <c r="Q1926" t="s">
        <v>4606</v>
      </c>
      <c r="R1926" t="s">
        <v>3</v>
      </c>
      <c r="S1926" t="s">
        <v>3</v>
      </c>
      <c r="T1926" t="s">
        <v>3</v>
      </c>
      <c r="U1926" t="s">
        <v>3</v>
      </c>
      <c r="V1926" t="s">
        <v>3</v>
      </c>
      <c r="W1926" t="s">
        <v>68</v>
      </c>
      <c r="X1926" s="17">
        <v>43769</v>
      </c>
      <c r="Y1926" t="s">
        <v>4160</v>
      </c>
      <c r="Z1926" s="17">
        <v>43667</v>
      </c>
      <c r="AA1926" t="s">
        <v>3</v>
      </c>
      <c r="AB1926" t="s">
        <v>4603</v>
      </c>
    </row>
    <row r="1927" spans="1:28" hidden="1">
      <c r="A1927" t="s">
        <v>4603</v>
      </c>
      <c r="B1927" s="17">
        <v>43667</v>
      </c>
      <c r="C1927" s="17">
        <v>43667</v>
      </c>
      <c r="D1927" t="s">
        <v>0</v>
      </c>
      <c r="E1927" t="s">
        <v>1</v>
      </c>
      <c r="F1927" s="18">
        <v>18364</v>
      </c>
      <c r="G1927" s="18">
        <v>18364</v>
      </c>
      <c r="H1927" t="s">
        <v>2</v>
      </c>
      <c r="I1927" t="s">
        <v>8</v>
      </c>
      <c r="J1927" s="18">
        <v>1533026.72</v>
      </c>
      <c r="K1927" t="s">
        <v>4608</v>
      </c>
      <c r="L1927" t="s">
        <v>9</v>
      </c>
      <c r="M1927" t="s">
        <v>4605</v>
      </c>
      <c r="N1927" t="s">
        <v>3</v>
      </c>
      <c r="O1927" t="s">
        <v>3</v>
      </c>
      <c r="P1927" t="s">
        <v>5</v>
      </c>
      <c r="Q1927" t="s">
        <v>4606</v>
      </c>
      <c r="R1927" t="s">
        <v>3</v>
      </c>
      <c r="S1927" t="s">
        <v>3</v>
      </c>
      <c r="T1927" t="s">
        <v>3</v>
      </c>
      <c r="U1927" t="s">
        <v>3</v>
      </c>
      <c r="V1927" t="s">
        <v>3</v>
      </c>
      <c r="W1927" t="s">
        <v>68</v>
      </c>
      <c r="X1927" s="17">
        <v>44012</v>
      </c>
      <c r="Y1927" t="s">
        <v>4137</v>
      </c>
      <c r="Z1927" s="17">
        <v>43667</v>
      </c>
      <c r="AA1927" t="s">
        <v>3</v>
      </c>
      <c r="AB1927" t="s">
        <v>4603</v>
      </c>
    </row>
    <row r="1928" spans="1:28" hidden="1">
      <c r="A1928" t="s">
        <v>4609</v>
      </c>
      <c r="B1928" s="17">
        <v>43667</v>
      </c>
      <c r="C1928" s="17">
        <v>43667</v>
      </c>
      <c r="D1928" t="s">
        <v>0</v>
      </c>
      <c r="E1928" t="s">
        <v>1</v>
      </c>
      <c r="F1928" s="18">
        <v>25567</v>
      </c>
      <c r="G1928" s="18">
        <v>25567</v>
      </c>
      <c r="H1928" t="s">
        <v>2</v>
      </c>
      <c r="I1928" t="s">
        <v>8</v>
      </c>
      <c r="J1928" s="18">
        <v>2134844.5</v>
      </c>
      <c r="K1928" t="s">
        <v>4604</v>
      </c>
      <c r="L1928" t="s">
        <v>9</v>
      </c>
      <c r="M1928" t="s">
        <v>4610</v>
      </c>
      <c r="N1928" t="s">
        <v>3</v>
      </c>
      <c r="O1928" t="s">
        <v>3</v>
      </c>
      <c r="P1928" t="s">
        <v>5</v>
      </c>
      <c r="Q1928" t="s">
        <v>4611</v>
      </c>
      <c r="R1928" t="s">
        <v>3</v>
      </c>
      <c r="S1928" t="s">
        <v>3</v>
      </c>
      <c r="T1928" t="s">
        <v>3</v>
      </c>
      <c r="U1928" t="s">
        <v>3</v>
      </c>
      <c r="V1928" t="s">
        <v>3</v>
      </c>
      <c r="W1928" t="s">
        <v>68</v>
      </c>
      <c r="X1928" s="17"/>
      <c r="Y1928" t="s">
        <v>3</v>
      </c>
      <c r="Z1928" s="17">
        <v>43667</v>
      </c>
      <c r="AA1928" t="s">
        <v>3</v>
      </c>
      <c r="AB1928" t="s">
        <v>4609</v>
      </c>
    </row>
    <row r="1929" spans="1:28" hidden="1">
      <c r="A1929" t="s">
        <v>4612</v>
      </c>
      <c r="B1929" s="17">
        <v>43667</v>
      </c>
      <c r="C1929" s="17">
        <v>43667</v>
      </c>
      <c r="D1929" t="s">
        <v>0</v>
      </c>
      <c r="E1929" t="s">
        <v>1</v>
      </c>
      <c r="F1929" s="18">
        <v>88361</v>
      </c>
      <c r="G1929" s="18">
        <v>88361</v>
      </c>
      <c r="H1929" t="s">
        <v>2</v>
      </c>
      <c r="I1929" t="s">
        <v>8</v>
      </c>
      <c r="J1929" s="18">
        <v>7378143.5</v>
      </c>
      <c r="K1929" t="s">
        <v>4604</v>
      </c>
      <c r="L1929" t="s">
        <v>9</v>
      </c>
      <c r="M1929" t="s">
        <v>4613</v>
      </c>
      <c r="N1929" t="s">
        <v>3</v>
      </c>
      <c r="O1929" t="s">
        <v>3</v>
      </c>
      <c r="P1929" t="s">
        <v>5</v>
      </c>
      <c r="Q1929" t="s">
        <v>4614</v>
      </c>
      <c r="R1929" t="s">
        <v>3</v>
      </c>
      <c r="S1929" t="s">
        <v>3</v>
      </c>
      <c r="T1929" t="s">
        <v>3</v>
      </c>
      <c r="U1929" t="s">
        <v>3</v>
      </c>
      <c r="V1929" t="s">
        <v>3</v>
      </c>
      <c r="W1929" t="s">
        <v>68</v>
      </c>
      <c r="X1929" s="17"/>
      <c r="Y1929" t="s">
        <v>3</v>
      </c>
      <c r="Z1929" s="17">
        <v>43667</v>
      </c>
      <c r="AA1929" t="s">
        <v>3</v>
      </c>
      <c r="AB1929" t="s">
        <v>4612</v>
      </c>
    </row>
    <row r="1930" spans="1:28" hidden="1">
      <c r="A1930" t="s">
        <v>4615</v>
      </c>
      <c r="B1930" s="17">
        <v>43667</v>
      </c>
      <c r="C1930" s="17">
        <v>43667</v>
      </c>
      <c r="D1930" t="s">
        <v>0</v>
      </c>
      <c r="E1930" t="s">
        <v>1</v>
      </c>
      <c r="F1930" s="18">
        <v>15454.86</v>
      </c>
      <c r="G1930" s="18">
        <v>15454.86</v>
      </c>
      <c r="H1930" t="s">
        <v>2</v>
      </c>
      <c r="I1930" t="s">
        <v>8</v>
      </c>
      <c r="J1930" s="18">
        <v>1290480.81</v>
      </c>
      <c r="K1930" t="s">
        <v>4509</v>
      </c>
      <c r="L1930" t="s">
        <v>4</v>
      </c>
      <c r="M1930" t="s">
        <v>4616</v>
      </c>
      <c r="N1930" t="s">
        <v>3</v>
      </c>
      <c r="O1930" t="s">
        <v>3</v>
      </c>
      <c r="P1930" t="s">
        <v>5</v>
      </c>
      <c r="Q1930" t="s">
        <v>4617</v>
      </c>
      <c r="R1930" t="s">
        <v>3</v>
      </c>
      <c r="S1930" t="s">
        <v>3</v>
      </c>
      <c r="T1930" t="s">
        <v>3</v>
      </c>
      <c r="U1930" t="s">
        <v>3</v>
      </c>
      <c r="V1930" t="s">
        <v>3</v>
      </c>
      <c r="W1930" t="s">
        <v>68</v>
      </c>
      <c r="X1930" s="17"/>
      <c r="Y1930" t="s">
        <v>3</v>
      </c>
      <c r="Z1930" s="17">
        <v>43667</v>
      </c>
      <c r="AA1930" t="s">
        <v>3</v>
      </c>
      <c r="AB1930" t="s">
        <v>4615</v>
      </c>
    </row>
    <row r="1931" spans="1:28" hidden="1">
      <c r="A1931" t="s">
        <v>4376</v>
      </c>
      <c r="B1931" s="17">
        <v>43668</v>
      </c>
      <c r="C1931" s="17">
        <v>43668</v>
      </c>
      <c r="D1931" t="s">
        <v>38</v>
      </c>
      <c r="E1931" t="s">
        <v>1</v>
      </c>
      <c r="F1931" s="18">
        <v>193674</v>
      </c>
      <c r="G1931" s="18">
        <v>193674</v>
      </c>
      <c r="H1931" t="s">
        <v>2</v>
      </c>
      <c r="I1931" t="s">
        <v>8</v>
      </c>
      <c r="J1931" s="18">
        <v>16171779.01</v>
      </c>
      <c r="K1931" t="s">
        <v>4377</v>
      </c>
      <c r="L1931" t="s">
        <v>9</v>
      </c>
      <c r="M1931" t="s">
        <v>4378</v>
      </c>
      <c r="N1931" t="s">
        <v>3</v>
      </c>
      <c r="O1931" t="s">
        <v>3</v>
      </c>
      <c r="P1931" t="s">
        <v>5</v>
      </c>
      <c r="Q1931" t="s">
        <v>4379</v>
      </c>
      <c r="R1931" t="s">
        <v>3</v>
      </c>
      <c r="S1931" t="s">
        <v>3</v>
      </c>
      <c r="T1931" t="s">
        <v>3</v>
      </c>
      <c r="U1931" t="s">
        <v>3</v>
      </c>
      <c r="V1931" t="s">
        <v>3</v>
      </c>
      <c r="W1931" t="s">
        <v>68</v>
      </c>
      <c r="X1931" s="17">
        <v>43668</v>
      </c>
      <c r="Y1931" t="s">
        <v>4376</v>
      </c>
      <c r="Z1931" s="17">
        <v>43668</v>
      </c>
      <c r="AA1931" t="s">
        <v>3</v>
      </c>
      <c r="AB1931" t="s">
        <v>4376</v>
      </c>
    </row>
    <row r="1932" spans="1:28" hidden="1">
      <c r="A1932" t="s">
        <v>4618</v>
      </c>
      <c r="B1932" s="17">
        <v>43668</v>
      </c>
      <c r="C1932" s="17">
        <v>43668</v>
      </c>
      <c r="D1932" t="s">
        <v>0</v>
      </c>
      <c r="E1932" t="s">
        <v>1</v>
      </c>
      <c r="F1932" s="18">
        <v>-183682.06</v>
      </c>
      <c r="G1932" s="18">
        <v>-183682.06</v>
      </c>
      <c r="H1932" t="s">
        <v>2</v>
      </c>
      <c r="I1932" t="s">
        <v>10</v>
      </c>
      <c r="J1932" s="18">
        <v>-15337452.02</v>
      </c>
      <c r="K1932" t="s">
        <v>4619</v>
      </c>
      <c r="L1932" t="s">
        <v>4</v>
      </c>
      <c r="M1932" t="s">
        <v>4620</v>
      </c>
      <c r="N1932" t="s">
        <v>3</v>
      </c>
      <c r="O1932" t="s">
        <v>3</v>
      </c>
      <c r="P1932" t="s">
        <v>5</v>
      </c>
      <c r="Q1932" t="s">
        <v>4621</v>
      </c>
      <c r="R1932" t="s">
        <v>3</v>
      </c>
      <c r="S1932" t="s">
        <v>3</v>
      </c>
      <c r="T1932" t="s">
        <v>3</v>
      </c>
      <c r="U1932" t="s">
        <v>3</v>
      </c>
      <c r="V1932" t="s">
        <v>3</v>
      </c>
      <c r="W1932" t="s">
        <v>68</v>
      </c>
      <c r="X1932" s="17"/>
      <c r="Y1932" t="s">
        <v>3</v>
      </c>
      <c r="Z1932" s="17">
        <v>43668</v>
      </c>
      <c r="AA1932" t="s">
        <v>3</v>
      </c>
      <c r="AB1932" t="s">
        <v>4618</v>
      </c>
    </row>
    <row r="1933" spans="1:28" hidden="1">
      <c r="A1933" t="s">
        <v>4622</v>
      </c>
      <c r="B1933" s="17">
        <v>43668</v>
      </c>
      <c r="C1933" s="17">
        <v>43668</v>
      </c>
      <c r="D1933" t="s">
        <v>0</v>
      </c>
      <c r="E1933" t="s">
        <v>1</v>
      </c>
      <c r="F1933" s="18">
        <v>22134</v>
      </c>
      <c r="G1933" s="18">
        <v>22134</v>
      </c>
      <c r="H1933" t="s">
        <v>2</v>
      </c>
      <c r="I1933" t="s">
        <v>8</v>
      </c>
      <c r="J1933" s="18">
        <v>1848189</v>
      </c>
      <c r="K1933" t="s">
        <v>4604</v>
      </c>
      <c r="L1933" t="s">
        <v>9</v>
      </c>
      <c r="M1933" t="s">
        <v>4623</v>
      </c>
      <c r="N1933" t="s">
        <v>3</v>
      </c>
      <c r="O1933" t="s">
        <v>3</v>
      </c>
      <c r="P1933" t="s">
        <v>5</v>
      </c>
      <c r="Q1933" t="s">
        <v>4624</v>
      </c>
      <c r="R1933" t="s">
        <v>3</v>
      </c>
      <c r="S1933" t="s">
        <v>3</v>
      </c>
      <c r="T1933" t="s">
        <v>3</v>
      </c>
      <c r="U1933" t="s">
        <v>3</v>
      </c>
      <c r="V1933" t="s">
        <v>3</v>
      </c>
      <c r="W1933" t="s">
        <v>68</v>
      </c>
      <c r="X1933" s="17"/>
      <c r="Y1933" t="s">
        <v>3</v>
      </c>
      <c r="Z1933" s="17">
        <v>43668</v>
      </c>
      <c r="AA1933" t="s">
        <v>3</v>
      </c>
      <c r="AB1933" t="s">
        <v>4622</v>
      </c>
    </row>
    <row r="1934" spans="1:28" hidden="1">
      <c r="A1934" t="s">
        <v>4625</v>
      </c>
      <c r="B1934" s="17">
        <v>43668</v>
      </c>
      <c r="C1934" s="17">
        <v>43668</v>
      </c>
      <c r="D1934" t="s">
        <v>0</v>
      </c>
      <c r="E1934" t="s">
        <v>1</v>
      </c>
      <c r="F1934" s="18">
        <v>13883</v>
      </c>
      <c r="G1934" s="18">
        <v>13883</v>
      </c>
      <c r="H1934" t="s">
        <v>2</v>
      </c>
      <c r="I1934" t="s">
        <v>8</v>
      </c>
      <c r="J1934" s="18">
        <v>1159230.5</v>
      </c>
      <c r="K1934" t="s">
        <v>4509</v>
      </c>
      <c r="L1934" t="s">
        <v>4</v>
      </c>
      <c r="M1934" t="s">
        <v>4626</v>
      </c>
      <c r="N1934" t="s">
        <v>3</v>
      </c>
      <c r="O1934" t="s">
        <v>3</v>
      </c>
      <c r="P1934" t="s">
        <v>5</v>
      </c>
      <c r="Q1934" t="s">
        <v>4627</v>
      </c>
      <c r="R1934" t="s">
        <v>3</v>
      </c>
      <c r="S1934" t="s">
        <v>3</v>
      </c>
      <c r="T1934" t="s">
        <v>3</v>
      </c>
      <c r="U1934" t="s">
        <v>3</v>
      </c>
      <c r="V1934" t="s">
        <v>3</v>
      </c>
      <c r="W1934" t="s">
        <v>68</v>
      </c>
      <c r="X1934" s="17"/>
      <c r="Y1934" t="s">
        <v>3</v>
      </c>
      <c r="Z1934" s="17">
        <v>43668</v>
      </c>
      <c r="AA1934" t="s">
        <v>3</v>
      </c>
      <c r="AB1934" t="s">
        <v>4625</v>
      </c>
    </row>
    <row r="1935" spans="1:28" hidden="1">
      <c r="A1935" t="s">
        <v>4625</v>
      </c>
      <c r="B1935" s="17">
        <v>43668</v>
      </c>
      <c r="C1935" s="17">
        <v>43668</v>
      </c>
      <c r="D1935" t="s">
        <v>0</v>
      </c>
      <c r="E1935" t="s">
        <v>1</v>
      </c>
      <c r="F1935" s="18">
        <v>2184.13</v>
      </c>
      <c r="G1935" s="18">
        <v>2184.13</v>
      </c>
      <c r="H1935" t="s">
        <v>2</v>
      </c>
      <c r="I1935" t="s">
        <v>8</v>
      </c>
      <c r="J1935" s="18">
        <v>182331.17</v>
      </c>
      <c r="K1935" t="s">
        <v>4512</v>
      </c>
      <c r="L1935" t="s">
        <v>4</v>
      </c>
      <c r="M1935" t="s">
        <v>4626</v>
      </c>
      <c r="N1935" t="s">
        <v>3</v>
      </c>
      <c r="O1935" t="s">
        <v>3</v>
      </c>
      <c r="P1935" t="s">
        <v>5</v>
      </c>
      <c r="Q1935" t="s">
        <v>4627</v>
      </c>
      <c r="R1935" t="s">
        <v>3</v>
      </c>
      <c r="S1935" t="s">
        <v>3</v>
      </c>
      <c r="T1935" t="s">
        <v>3</v>
      </c>
      <c r="U1935" t="s">
        <v>3</v>
      </c>
      <c r="V1935" t="s">
        <v>3</v>
      </c>
      <c r="W1935" t="s">
        <v>68</v>
      </c>
      <c r="X1935" s="17"/>
      <c r="Y1935" t="s">
        <v>3</v>
      </c>
      <c r="Z1935" s="17">
        <v>43668</v>
      </c>
      <c r="AA1935" t="s">
        <v>3</v>
      </c>
      <c r="AB1935" t="s">
        <v>4625</v>
      </c>
    </row>
    <row r="1936" spans="1:28" hidden="1">
      <c r="A1936" t="s">
        <v>4659</v>
      </c>
      <c r="B1936" s="17">
        <v>43668</v>
      </c>
      <c r="C1936" s="17">
        <v>43668</v>
      </c>
      <c r="D1936" t="s">
        <v>0</v>
      </c>
      <c r="E1936" t="s">
        <v>1</v>
      </c>
      <c r="F1936" s="18">
        <v>-193674</v>
      </c>
      <c r="G1936" s="18">
        <v>-193674</v>
      </c>
      <c r="H1936" t="s">
        <v>2</v>
      </c>
      <c r="I1936" t="s">
        <v>8</v>
      </c>
      <c r="J1936" s="18">
        <v>-16171779.01</v>
      </c>
      <c r="K1936" t="s">
        <v>4377</v>
      </c>
      <c r="L1936" t="s">
        <v>9</v>
      </c>
      <c r="M1936" t="s">
        <v>4378</v>
      </c>
      <c r="N1936" t="s">
        <v>3</v>
      </c>
      <c r="O1936" t="s">
        <v>3</v>
      </c>
      <c r="P1936" t="s">
        <v>5</v>
      </c>
      <c r="Q1936" t="s">
        <v>4379</v>
      </c>
      <c r="R1936" t="s">
        <v>3</v>
      </c>
      <c r="S1936" t="s">
        <v>3</v>
      </c>
      <c r="T1936" t="s">
        <v>3</v>
      </c>
      <c r="U1936" t="s">
        <v>3</v>
      </c>
      <c r="V1936" t="s">
        <v>3</v>
      </c>
      <c r="W1936" t="s">
        <v>68</v>
      </c>
      <c r="X1936" s="17">
        <v>43668</v>
      </c>
      <c r="Y1936" t="s">
        <v>4376</v>
      </c>
      <c r="Z1936" s="17">
        <v>43668</v>
      </c>
      <c r="AA1936" t="s">
        <v>3</v>
      </c>
      <c r="AB1936" t="s">
        <v>4659</v>
      </c>
    </row>
    <row r="1937" spans="1:28" hidden="1">
      <c r="A1937" t="s">
        <v>4660</v>
      </c>
      <c r="B1937" s="17">
        <v>43668</v>
      </c>
      <c r="C1937" s="17">
        <v>43668</v>
      </c>
      <c r="D1937" t="s">
        <v>0</v>
      </c>
      <c r="E1937" t="s">
        <v>1</v>
      </c>
      <c r="F1937" s="18">
        <v>-193674</v>
      </c>
      <c r="G1937" s="18">
        <v>-193674</v>
      </c>
      <c r="H1937" t="s">
        <v>2</v>
      </c>
      <c r="I1937" t="s">
        <v>8</v>
      </c>
      <c r="J1937" s="18">
        <v>-16171779.01</v>
      </c>
      <c r="K1937" t="s">
        <v>4377</v>
      </c>
      <c r="L1937" t="s">
        <v>4</v>
      </c>
      <c r="M1937" t="s">
        <v>4378</v>
      </c>
      <c r="N1937" t="s">
        <v>3</v>
      </c>
      <c r="O1937" t="s">
        <v>3</v>
      </c>
      <c r="P1937" t="s">
        <v>5</v>
      </c>
      <c r="Q1937" t="s">
        <v>4379</v>
      </c>
      <c r="R1937" t="s">
        <v>3</v>
      </c>
      <c r="S1937" t="s">
        <v>3</v>
      </c>
      <c r="T1937" t="s">
        <v>3</v>
      </c>
      <c r="U1937" t="s">
        <v>3</v>
      </c>
      <c r="V1937" t="s">
        <v>3</v>
      </c>
      <c r="W1937" t="s">
        <v>68</v>
      </c>
      <c r="X1937" s="17"/>
      <c r="Y1937" t="s">
        <v>3</v>
      </c>
      <c r="Z1937" s="17">
        <v>43668</v>
      </c>
      <c r="AA1937" t="s">
        <v>3</v>
      </c>
      <c r="AB1937" t="s">
        <v>4660</v>
      </c>
    </row>
    <row r="1938" spans="1:28" hidden="1">
      <c r="A1938" t="s">
        <v>4628</v>
      </c>
      <c r="B1938" s="17">
        <v>43670</v>
      </c>
      <c r="C1938" s="17">
        <v>43670</v>
      </c>
      <c r="D1938" t="s">
        <v>0</v>
      </c>
      <c r="E1938" t="s">
        <v>1</v>
      </c>
      <c r="F1938" s="18">
        <v>11529</v>
      </c>
      <c r="G1938" s="18">
        <v>11529</v>
      </c>
      <c r="H1938" t="s">
        <v>2</v>
      </c>
      <c r="I1938" t="s">
        <v>8</v>
      </c>
      <c r="J1938" s="18">
        <v>962671.5</v>
      </c>
      <c r="K1938" t="s">
        <v>4604</v>
      </c>
      <c r="L1938" t="s">
        <v>9</v>
      </c>
      <c r="M1938" t="s">
        <v>4629</v>
      </c>
      <c r="N1938" t="s">
        <v>3</v>
      </c>
      <c r="O1938" t="s">
        <v>3</v>
      </c>
      <c r="P1938" t="s">
        <v>5</v>
      </c>
      <c r="Q1938" t="s">
        <v>4630</v>
      </c>
      <c r="R1938" t="s">
        <v>3</v>
      </c>
      <c r="S1938" t="s">
        <v>3</v>
      </c>
      <c r="T1938" t="s">
        <v>3</v>
      </c>
      <c r="U1938" t="s">
        <v>3</v>
      </c>
      <c r="V1938" t="s">
        <v>3</v>
      </c>
      <c r="W1938" t="s">
        <v>68</v>
      </c>
      <c r="X1938" s="17"/>
      <c r="Y1938" t="s">
        <v>3</v>
      </c>
      <c r="Z1938" s="17">
        <v>43670</v>
      </c>
      <c r="AA1938" t="s">
        <v>3</v>
      </c>
      <c r="AB1938" t="s">
        <v>4628</v>
      </c>
    </row>
    <row r="1939" spans="1:28" hidden="1">
      <c r="A1939" t="s">
        <v>4631</v>
      </c>
      <c r="B1939" s="17">
        <v>43670</v>
      </c>
      <c r="C1939" s="17">
        <v>43670</v>
      </c>
      <c r="D1939" t="s">
        <v>0</v>
      </c>
      <c r="E1939" t="s">
        <v>1</v>
      </c>
      <c r="F1939" s="18">
        <v>5213.72</v>
      </c>
      <c r="G1939" s="18">
        <v>5213.72</v>
      </c>
      <c r="H1939" t="s">
        <v>2</v>
      </c>
      <c r="I1939" t="s">
        <v>8</v>
      </c>
      <c r="J1939" s="18">
        <v>435345.62</v>
      </c>
      <c r="K1939" t="s">
        <v>4509</v>
      </c>
      <c r="L1939" t="s">
        <v>4</v>
      </c>
      <c r="M1939" t="s">
        <v>4632</v>
      </c>
      <c r="N1939" t="s">
        <v>3</v>
      </c>
      <c r="O1939" t="s">
        <v>3</v>
      </c>
      <c r="P1939" t="s">
        <v>5</v>
      </c>
      <c r="Q1939" t="s">
        <v>4633</v>
      </c>
      <c r="R1939" t="s">
        <v>3</v>
      </c>
      <c r="S1939" t="s">
        <v>3</v>
      </c>
      <c r="T1939" t="s">
        <v>3</v>
      </c>
      <c r="U1939" t="s">
        <v>3</v>
      </c>
      <c r="V1939" t="s">
        <v>3</v>
      </c>
      <c r="W1939" t="s">
        <v>68</v>
      </c>
      <c r="X1939" s="17"/>
      <c r="Y1939" t="s">
        <v>3</v>
      </c>
      <c r="Z1939" s="17">
        <v>43670</v>
      </c>
      <c r="AA1939" t="s">
        <v>3</v>
      </c>
      <c r="AB1939" t="s">
        <v>4631</v>
      </c>
    </row>
    <row r="1940" spans="1:28" hidden="1">
      <c r="A1940" t="s">
        <v>4631</v>
      </c>
      <c r="B1940" s="17">
        <v>43670</v>
      </c>
      <c r="C1940" s="17">
        <v>43670</v>
      </c>
      <c r="D1940" t="s">
        <v>0</v>
      </c>
      <c r="E1940" t="s">
        <v>1</v>
      </c>
      <c r="F1940" s="18">
        <v>4030.42</v>
      </c>
      <c r="G1940" s="18">
        <v>4030.42</v>
      </c>
      <c r="H1940" t="s">
        <v>2</v>
      </c>
      <c r="I1940" t="s">
        <v>8</v>
      </c>
      <c r="J1940" s="18">
        <v>336459.46</v>
      </c>
      <c r="K1940" t="s">
        <v>4512</v>
      </c>
      <c r="L1940" t="s">
        <v>4</v>
      </c>
      <c r="M1940" t="s">
        <v>4632</v>
      </c>
      <c r="N1940" t="s">
        <v>3</v>
      </c>
      <c r="O1940" t="s">
        <v>3</v>
      </c>
      <c r="P1940" t="s">
        <v>5</v>
      </c>
      <c r="Q1940" t="s">
        <v>4633</v>
      </c>
      <c r="R1940" t="s">
        <v>3</v>
      </c>
      <c r="S1940" t="s">
        <v>3</v>
      </c>
      <c r="T1940" t="s">
        <v>3</v>
      </c>
      <c r="U1940" t="s">
        <v>3</v>
      </c>
      <c r="V1940" t="s">
        <v>3</v>
      </c>
      <c r="W1940" t="s">
        <v>68</v>
      </c>
      <c r="X1940" s="17"/>
      <c r="Y1940" t="s">
        <v>3</v>
      </c>
      <c r="Z1940" s="17">
        <v>43670</v>
      </c>
      <c r="AA1940" t="s">
        <v>3</v>
      </c>
      <c r="AB1940" t="s">
        <v>4631</v>
      </c>
    </row>
    <row r="1941" spans="1:28" hidden="1">
      <c r="A1941" t="s">
        <v>4634</v>
      </c>
      <c r="B1941" s="17">
        <v>43670</v>
      </c>
      <c r="C1941" s="17">
        <v>43670</v>
      </c>
      <c r="D1941" t="s">
        <v>0</v>
      </c>
      <c r="E1941" t="s">
        <v>1</v>
      </c>
      <c r="F1941" s="18">
        <v>3829.45</v>
      </c>
      <c r="G1941" s="18">
        <v>3829.45</v>
      </c>
      <c r="H1941" t="s">
        <v>2</v>
      </c>
      <c r="I1941" t="s">
        <v>8</v>
      </c>
      <c r="J1941" s="18">
        <v>319759.08</v>
      </c>
      <c r="K1941" t="s">
        <v>4509</v>
      </c>
      <c r="L1941" t="s">
        <v>4</v>
      </c>
      <c r="M1941" t="s">
        <v>4635</v>
      </c>
      <c r="N1941" t="s">
        <v>3</v>
      </c>
      <c r="O1941" t="s">
        <v>3</v>
      </c>
      <c r="P1941" t="s">
        <v>5</v>
      </c>
      <c r="Q1941" t="s">
        <v>4636</v>
      </c>
      <c r="R1941" t="s">
        <v>3</v>
      </c>
      <c r="S1941" t="s">
        <v>3</v>
      </c>
      <c r="T1941" t="s">
        <v>3</v>
      </c>
      <c r="U1941" t="s">
        <v>3</v>
      </c>
      <c r="V1941" t="s">
        <v>3</v>
      </c>
      <c r="W1941" t="s">
        <v>68</v>
      </c>
      <c r="X1941" s="17"/>
      <c r="Y1941" t="s">
        <v>3</v>
      </c>
      <c r="Z1941" s="17">
        <v>43670</v>
      </c>
      <c r="AA1941" t="s">
        <v>3</v>
      </c>
      <c r="AB1941" t="s">
        <v>4634</v>
      </c>
    </row>
    <row r="1942" spans="1:28" hidden="1">
      <c r="A1942" t="s">
        <v>4637</v>
      </c>
      <c r="B1942" s="17">
        <v>43670</v>
      </c>
      <c r="C1942" s="17">
        <v>43670</v>
      </c>
      <c r="D1942" t="s">
        <v>0</v>
      </c>
      <c r="E1942" t="s">
        <v>1</v>
      </c>
      <c r="F1942" s="18">
        <v>11721.51</v>
      </c>
      <c r="G1942" s="18">
        <v>11721.51</v>
      </c>
      <c r="H1942" t="s">
        <v>2</v>
      </c>
      <c r="I1942" t="s">
        <v>8</v>
      </c>
      <c r="J1942" s="18">
        <v>978746.09</v>
      </c>
      <c r="K1942" t="s">
        <v>4509</v>
      </c>
      <c r="L1942" t="s">
        <v>4</v>
      </c>
      <c r="M1942" t="s">
        <v>4638</v>
      </c>
      <c r="N1942" t="s">
        <v>3</v>
      </c>
      <c r="O1942" t="s">
        <v>3</v>
      </c>
      <c r="P1942" t="s">
        <v>5</v>
      </c>
      <c r="Q1942" t="s">
        <v>4639</v>
      </c>
      <c r="R1942" t="s">
        <v>3</v>
      </c>
      <c r="S1942" t="s">
        <v>3</v>
      </c>
      <c r="T1942" t="s">
        <v>3</v>
      </c>
      <c r="U1942" t="s">
        <v>3</v>
      </c>
      <c r="V1942" t="s">
        <v>3</v>
      </c>
      <c r="W1942" t="s">
        <v>68</v>
      </c>
      <c r="X1942" s="17"/>
      <c r="Y1942" t="s">
        <v>3</v>
      </c>
      <c r="Z1942" s="17">
        <v>43670</v>
      </c>
      <c r="AA1942" t="s">
        <v>3</v>
      </c>
      <c r="AB1942" t="s">
        <v>4637</v>
      </c>
    </row>
    <row r="1943" spans="1:28" hidden="1">
      <c r="A1943" t="s">
        <v>4662</v>
      </c>
      <c r="B1943" s="17">
        <v>43670</v>
      </c>
      <c r="C1943" s="17">
        <v>43670</v>
      </c>
      <c r="D1943" t="s">
        <v>0</v>
      </c>
      <c r="E1943" t="s">
        <v>1</v>
      </c>
      <c r="F1943" s="18">
        <v>15994.19</v>
      </c>
      <c r="G1943" s="18">
        <v>15994.19</v>
      </c>
      <c r="H1943" t="s">
        <v>2</v>
      </c>
      <c r="I1943" t="s">
        <v>10</v>
      </c>
      <c r="J1943" s="18">
        <v>1335194.98</v>
      </c>
      <c r="K1943" t="s">
        <v>4663</v>
      </c>
      <c r="L1943" t="s">
        <v>4</v>
      </c>
      <c r="M1943" t="s">
        <v>4664</v>
      </c>
      <c r="N1943" t="s">
        <v>3</v>
      </c>
      <c r="O1943" t="s">
        <v>3</v>
      </c>
      <c r="P1943" t="s">
        <v>5</v>
      </c>
      <c r="Q1943" t="s">
        <v>4665</v>
      </c>
      <c r="R1943" t="s">
        <v>3</v>
      </c>
      <c r="S1943" t="s">
        <v>3</v>
      </c>
      <c r="T1943" t="s">
        <v>3</v>
      </c>
      <c r="U1943" t="s">
        <v>3</v>
      </c>
      <c r="V1943" t="s">
        <v>3</v>
      </c>
      <c r="W1943" t="s">
        <v>68</v>
      </c>
      <c r="X1943" s="17"/>
      <c r="Y1943" t="s">
        <v>3</v>
      </c>
      <c r="Z1943" s="17">
        <v>43670</v>
      </c>
      <c r="AA1943" t="s">
        <v>3</v>
      </c>
      <c r="AB1943" t="s">
        <v>4662</v>
      </c>
    </row>
    <row r="1944" spans="1:28" hidden="1">
      <c r="A1944" t="s">
        <v>4662</v>
      </c>
      <c r="B1944" s="17">
        <v>43670</v>
      </c>
      <c r="C1944" s="17">
        <v>43670</v>
      </c>
      <c r="D1944" t="s">
        <v>0</v>
      </c>
      <c r="E1944" t="s">
        <v>1</v>
      </c>
      <c r="F1944" s="18">
        <v>25975.51</v>
      </c>
      <c r="G1944" s="18">
        <v>25975.51</v>
      </c>
      <c r="H1944" t="s">
        <v>2</v>
      </c>
      <c r="I1944" t="s">
        <v>10</v>
      </c>
      <c r="J1944" s="18">
        <v>2168955.09</v>
      </c>
      <c r="K1944" t="s">
        <v>4666</v>
      </c>
      <c r="L1944" t="s">
        <v>4</v>
      </c>
      <c r="M1944" t="s">
        <v>4664</v>
      </c>
      <c r="N1944" t="s">
        <v>3</v>
      </c>
      <c r="O1944" t="s">
        <v>3</v>
      </c>
      <c r="P1944" t="s">
        <v>5</v>
      </c>
      <c r="Q1944" t="s">
        <v>4665</v>
      </c>
      <c r="R1944" t="s">
        <v>3</v>
      </c>
      <c r="S1944" t="s">
        <v>3</v>
      </c>
      <c r="T1944" t="s">
        <v>3</v>
      </c>
      <c r="U1944" t="s">
        <v>3</v>
      </c>
      <c r="V1944" t="s">
        <v>3</v>
      </c>
      <c r="W1944" t="s">
        <v>68</v>
      </c>
      <c r="X1944" s="17"/>
      <c r="Y1944" t="s">
        <v>3</v>
      </c>
      <c r="Z1944" s="17">
        <v>43670</v>
      </c>
      <c r="AA1944" t="s">
        <v>3</v>
      </c>
      <c r="AB1944" t="s">
        <v>4662</v>
      </c>
    </row>
    <row r="1945" spans="1:28" hidden="1">
      <c r="A1945" t="s">
        <v>4662</v>
      </c>
      <c r="B1945" s="17">
        <v>43670</v>
      </c>
      <c r="C1945" s="17">
        <v>43670</v>
      </c>
      <c r="D1945" t="s">
        <v>0</v>
      </c>
      <c r="E1945" t="s">
        <v>1</v>
      </c>
      <c r="F1945" s="18">
        <v>43349.09</v>
      </c>
      <c r="G1945" s="18">
        <v>43349.09</v>
      </c>
      <c r="H1945" t="s">
        <v>2</v>
      </c>
      <c r="I1945" t="s">
        <v>10</v>
      </c>
      <c r="J1945" s="18">
        <v>3619649.02</v>
      </c>
      <c r="K1945" t="s">
        <v>4667</v>
      </c>
      <c r="L1945" t="s">
        <v>4</v>
      </c>
      <c r="M1945" t="s">
        <v>4664</v>
      </c>
      <c r="N1945" t="s">
        <v>3</v>
      </c>
      <c r="O1945" t="s">
        <v>3</v>
      </c>
      <c r="P1945" t="s">
        <v>5</v>
      </c>
      <c r="Q1945" t="s">
        <v>4665</v>
      </c>
      <c r="R1945" t="s">
        <v>3</v>
      </c>
      <c r="S1945" t="s">
        <v>3</v>
      </c>
      <c r="T1945" t="s">
        <v>3</v>
      </c>
      <c r="U1945" t="s">
        <v>3</v>
      </c>
      <c r="V1945" t="s">
        <v>3</v>
      </c>
      <c r="W1945" t="s">
        <v>68</v>
      </c>
      <c r="X1945" s="17"/>
      <c r="Y1945" t="s">
        <v>3</v>
      </c>
      <c r="Z1945" s="17">
        <v>43670</v>
      </c>
      <c r="AA1945" t="s">
        <v>3</v>
      </c>
      <c r="AB1945" t="s">
        <v>4662</v>
      </c>
    </row>
    <row r="1946" spans="1:28" hidden="1">
      <c r="A1946" t="s">
        <v>4640</v>
      </c>
      <c r="B1946" s="17">
        <v>43671</v>
      </c>
      <c r="C1946" s="17">
        <v>43671</v>
      </c>
      <c r="D1946" t="s">
        <v>0</v>
      </c>
      <c r="E1946" t="s">
        <v>1</v>
      </c>
      <c r="F1946" s="18">
        <v>5604</v>
      </c>
      <c r="G1946" s="18">
        <v>5604</v>
      </c>
      <c r="H1946" t="s">
        <v>2</v>
      </c>
      <c r="I1946" t="s">
        <v>10</v>
      </c>
      <c r="J1946" s="18">
        <v>467821.92</v>
      </c>
      <c r="K1946" t="s">
        <v>4641</v>
      </c>
      <c r="L1946" t="s">
        <v>9</v>
      </c>
      <c r="M1946" t="s">
        <v>4642</v>
      </c>
      <c r="N1946" t="s">
        <v>3</v>
      </c>
      <c r="O1946" t="s">
        <v>3</v>
      </c>
      <c r="P1946" t="s">
        <v>5</v>
      </c>
      <c r="Q1946" t="s">
        <v>4643</v>
      </c>
      <c r="R1946" t="s">
        <v>3</v>
      </c>
      <c r="S1946" t="s">
        <v>3</v>
      </c>
      <c r="T1946" t="s">
        <v>3</v>
      </c>
      <c r="U1946" t="s">
        <v>3</v>
      </c>
      <c r="V1946" t="s">
        <v>3</v>
      </c>
      <c r="W1946" t="s">
        <v>68</v>
      </c>
      <c r="X1946" s="17">
        <v>43769</v>
      </c>
      <c r="Y1946" t="s">
        <v>4012</v>
      </c>
      <c r="Z1946" s="17">
        <v>43671</v>
      </c>
      <c r="AA1946" t="s">
        <v>3</v>
      </c>
      <c r="AB1946" t="s">
        <v>4640</v>
      </c>
    </row>
    <row r="1947" spans="1:28" hidden="1">
      <c r="A1947" t="s">
        <v>4640</v>
      </c>
      <c r="B1947" s="17">
        <v>43671</v>
      </c>
      <c r="C1947" s="17">
        <v>43671</v>
      </c>
      <c r="D1947" t="s">
        <v>0</v>
      </c>
      <c r="E1947" t="s">
        <v>1</v>
      </c>
      <c r="F1947" s="18">
        <v>9769</v>
      </c>
      <c r="G1947" s="18">
        <v>9769</v>
      </c>
      <c r="H1947" t="s">
        <v>2</v>
      </c>
      <c r="I1947" t="s">
        <v>10</v>
      </c>
      <c r="J1947" s="18">
        <v>815516.12</v>
      </c>
      <c r="K1947" t="s">
        <v>4644</v>
      </c>
      <c r="L1947" t="s">
        <v>9</v>
      </c>
      <c r="M1947" t="s">
        <v>4642</v>
      </c>
      <c r="N1947" t="s">
        <v>3</v>
      </c>
      <c r="O1947" t="s">
        <v>3</v>
      </c>
      <c r="P1947" t="s">
        <v>5</v>
      </c>
      <c r="Q1947" t="s">
        <v>4643</v>
      </c>
      <c r="R1947" t="s">
        <v>3</v>
      </c>
      <c r="S1947" t="s">
        <v>3</v>
      </c>
      <c r="T1947" t="s">
        <v>3</v>
      </c>
      <c r="U1947" t="s">
        <v>3</v>
      </c>
      <c r="V1947" t="s">
        <v>3</v>
      </c>
      <c r="W1947" t="s">
        <v>68</v>
      </c>
      <c r="X1947" s="17">
        <v>43677</v>
      </c>
      <c r="Y1947" t="s">
        <v>4156</v>
      </c>
      <c r="Z1947" s="17">
        <v>43671</v>
      </c>
      <c r="AA1947" t="s">
        <v>3</v>
      </c>
      <c r="AB1947" t="s">
        <v>4640</v>
      </c>
    </row>
    <row r="1948" spans="1:28" hidden="1">
      <c r="A1948" t="s">
        <v>4640</v>
      </c>
      <c r="B1948" s="17">
        <v>43671</v>
      </c>
      <c r="C1948" s="17">
        <v>43671</v>
      </c>
      <c r="D1948" t="s">
        <v>0</v>
      </c>
      <c r="E1948" t="s">
        <v>1</v>
      </c>
      <c r="F1948" s="18">
        <v>26610</v>
      </c>
      <c r="G1948" s="18">
        <v>26610</v>
      </c>
      <c r="H1948" t="s">
        <v>2</v>
      </c>
      <c r="I1948" t="s">
        <v>10</v>
      </c>
      <c r="J1948" s="18">
        <v>2221935.0099999998</v>
      </c>
      <c r="K1948" t="s">
        <v>4645</v>
      </c>
      <c r="L1948" t="s">
        <v>9</v>
      </c>
      <c r="M1948" t="s">
        <v>4642</v>
      </c>
      <c r="N1948" t="s">
        <v>3</v>
      </c>
      <c r="O1948" t="s">
        <v>3</v>
      </c>
      <c r="P1948" t="s">
        <v>5</v>
      </c>
      <c r="Q1948" t="s">
        <v>4643</v>
      </c>
      <c r="R1948" t="s">
        <v>3</v>
      </c>
      <c r="S1948" t="s">
        <v>3</v>
      </c>
      <c r="T1948" t="s">
        <v>3</v>
      </c>
      <c r="U1948" t="s">
        <v>3</v>
      </c>
      <c r="V1948" t="s">
        <v>3</v>
      </c>
      <c r="W1948" t="s">
        <v>68</v>
      </c>
      <c r="X1948" s="17">
        <v>43677</v>
      </c>
      <c r="Y1948" t="s">
        <v>4490</v>
      </c>
      <c r="Z1948" s="17">
        <v>43671</v>
      </c>
      <c r="AA1948" t="s">
        <v>3</v>
      </c>
      <c r="AB1948" t="s">
        <v>4640</v>
      </c>
    </row>
    <row r="1949" spans="1:28" hidden="1">
      <c r="A1949" t="s">
        <v>4646</v>
      </c>
      <c r="B1949" s="17">
        <v>43671</v>
      </c>
      <c r="C1949" s="17">
        <v>43671</v>
      </c>
      <c r="D1949" t="s">
        <v>0</v>
      </c>
      <c r="E1949" t="s">
        <v>1</v>
      </c>
      <c r="F1949" s="18">
        <v>304121</v>
      </c>
      <c r="G1949" s="18">
        <v>304121</v>
      </c>
      <c r="H1949" t="s">
        <v>2</v>
      </c>
      <c r="I1949" t="s">
        <v>8</v>
      </c>
      <c r="J1949" s="18">
        <v>25394103.5</v>
      </c>
      <c r="K1949" t="s">
        <v>4604</v>
      </c>
      <c r="L1949" t="s">
        <v>9</v>
      </c>
      <c r="M1949" t="s">
        <v>4647</v>
      </c>
      <c r="N1949" t="s">
        <v>3</v>
      </c>
      <c r="O1949" t="s">
        <v>3</v>
      </c>
      <c r="P1949" t="s">
        <v>5</v>
      </c>
      <c r="Q1949" t="s">
        <v>4648</v>
      </c>
      <c r="R1949" t="s">
        <v>3</v>
      </c>
      <c r="S1949" t="s">
        <v>3</v>
      </c>
      <c r="T1949" t="s">
        <v>3</v>
      </c>
      <c r="U1949" t="s">
        <v>3</v>
      </c>
      <c r="V1949" t="s">
        <v>3</v>
      </c>
      <c r="W1949" t="s">
        <v>68</v>
      </c>
      <c r="X1949" s="17"/>
      <c r="Y1949" t="s">
        <v>3</v>
      </c>
      <c r="Z1949" s="17">
        <v>43671</v>
      </c>
      <c r="AA1949" t="s">
        <v>3</v>
      </c>
      <c r="AB1949" t="s">
        <v>4646</v>
      </c>
    </row>
    <row r="1950" spans="1:28" hidden="1">
      <c r="A1950" t="s">
        <v>4369</v>
      </c>
      <c r="B1950" s="17">
        <v>43674</v>
      </c>
      <c r="C1950" s="17">
        <v>43674</v>
      </c>
      <c r="D1950" t="s">
        <v>38</v>
      </c>
      <c r="E1950" t="s">
        <v>1</v>
      </c>
      <c r="F1950" s="18">
        <v>-44967.54</v>
      </c>
      <c r="G1950" s="18">
        <v>-44967.54</v>
      </c>
      <c r="H1950" t="s">
        <v>2</v>
      </c>
      <c r="I1950" t="s">
        <v>10</v>
      </c>
      <c r="J1950" s="18">
        <v>-3753890.24</v>
      </c>
      <c r="K1950" t="s">
        <v>4370</v>
      </c>
      <c r="L1950" t="s">
        <v>4</v>
      </c>
      <c r="M1950" t="s">
        <v>4371</v>
      </c>
      <c r="N1950" t="s">
        <v>3</v>
      </c>
      <c r="O1950" t="s">
        <v>3</v>
      </c>
      <c r="P1950" t="s">
        <v>5</v>
      </c>
      <c r="Q1950" t="s">
        <v>4372</v>
      </c>
      <c r="R1950" t="s">
        <v>3</v>
      </c>
      <c r="S1950" t="s">
        <v>3</v>
      </c>
      <c r="T1950" t="s">
        <v>3</v>
      </c>
      <c r="U1950" t="s">
        <v>3</v>
      </c>
      <c r="V1950" t="s">
        <v>3</v>
      </c>
      <c r="W1950" t="s">
        <v>68</v>
      </c>
      <c r="X1950" s="17">
        <v>43674</v>
      </c>
      <c r="Y1950" t="s">
        <v>4369</v>
      </c>
      <c r="Z1950" s="17">
        <v>43674</v>
      </c>
      <c r="AA1950" t="s">
        <v>3</v>
      </c>
      <c r="AB1950" t="s">
        <v>4369</v>
      </c>
    </row>
    <row r="1951" spans="1:28" hidden="1">
      <c r="A1951" t="s">
        <v>4369</v>
      </c>
      <c r="B1951" s="17">
        <v>43674</v>
      </c>
      <c r="C1951" s="17">
        <v>43674</v>
      </c>
      <c r="D1951" t="s">
        <v>38</v>
      </c>
      <c r="E1951" t="s">
        <v>1</v>
      </c>
      <c r="F1951" s="18">
        <v>-25431.91</v>
      </c>
      <c r="G1951" s="18">
        <v>-25431.91</v>
      </c>
      <c r="H1951" t="s">
        <v>2</v>
      </c>
      <c r="I1951" t="s">
        <v>10</v>
      </c>
      <c r="J1951" s="18">
        <v>-2123564.4900000002</v>
      </c>
      <c r="K1951" t="s">
        <v>4373</v>
      </c>
      <c r="L1951" t="s">
        <v>4</v>
      </c>
      <c r="M1951" t="s">
        <v>4371</v>
      </c>
      <c r="N1951" t="s">
        <v>3</v>
      </c>
      <c r="O1951" t="s">
        <v>3</v>
      </c>
      <c r="P1951" t="s">
        <v>5</v>
      </c>
      <c r="Q1951" t="s">
        <v>4372</v>
      </c>
      <c r="R1951" t="s">
        <v>3</v>
      </c>
      <c r="S1951" t="s">
        <v>3</v>
      </c>
      <c r="T1951" t="s">
        <v>3</v>
      </c>
      <c r="U1951" t="s">
        <v>3</v>
      </c>
      <c r="V1951" t="s">
        <v>3</v>
      </c>
      <c r="W1951" t="s">
        <v>68</v>
      </c>
      <c r="X1951" s="17">
        <v>43674</v>
      </c>
      <c r="Y1951" t="s">
        <v>4369</v>
      </c>
      <c r="Z1951" s="17">
        <v>43674</v>
      </c>
      <c r="AA1951" t="s">
        <v>3</v>
      </c>
      <c r="AB1951" t="s">
        <v>4369</v>
      </c>
    </row>
    <row r="1952" spans="1:28" hidden="1">
      <c r="A1952" t="s">
        <v>4369</v>
      </c>
      <c r="B1952" s="17">
        <v>43674</v>
      </c>
      <c r="C1952" s="17">
        <v>43674</v>
      </c>
      <c r="D1952" t="s">
        <v>38</v>
      </c>
      <c r="E1952" t="s">
        <v>1</v>
      </c>
      <c r="F1952" s="18">
        <v>-582.6</v>
      </c>
      <c r="G1952" s="18">
        <v>-582.6</v>
      </c>
      <c r="H1952" t="s">
        <v>2</v>
      </c>
      <c r="I1952" t="s">
        <v>10</v>
      </c>
      <c r="J1952" s="18">
        <v>-48635.45</v>
      </c>
      <c r="K1952" t="s">
        <v>4374</v>
      </c>
      <c r="L1952" t="s">
        <v>4</v>
      </c>
      <c r="M1952" t="s">
        <v>4371</v>
      </c>
      <c r="N1952" t="s">
        <v>3</v>
      </c>
      <c r="O1952" t="s">
        <v>3</v>
      </c>
      <c r="P1952" t="s">
        <v>5</v>
      </c>
      <c r="Q1952" t="s">
        <v>4372</v>
      </c>
      <c r="R1952" t="s">
        <v>3</v>
      </c>
      <c r="S1952" t="s">
        <v>3</v>
      </c>
      <c r="T1952" t="s">
        <v>3</v>
      </c>
      <c r="U1952" t="s">
        <v>3</v>
      </c>
      <c r="V1952" t="s">
        <v>3</v>
      </c>
      <c r="W1952" t="s">
        <v>68</v>
      </c>
      <c r="X1952" s="17">
        <v>43674</v>
      </c>
      <c r="Y1952" t="s">
        <v>4369</v>
      </c>
      <c r="Z1952" s="17">
        <v>43674</v>
      </c>
      <c r="AA1952" t="s">
        <v>3</v>
      </c>
      <c r="AB1952" t="s">
        <v>4369</v>
      </c>
    </row>
    <row r="1953" spans="1:28" hidden="1">
      <c r="A1953" t="s">
        <v>4369</v>
      </c>
      <c r="B1953" s="17">
        <v>43674</v>
      </c>
      <c r="C1953" s="17">
        <v>43674</v>
      </c>
      <c r="D1953" t="s">
        <v>38</v>
      </c>
      <c r="E1953" t="s">
        <v>1</v>
      </c>
      <c r="F1953" s="18">
        <v>-11093.3</v>
      </c>
      <c r="G1953" s="18">
        <v>-11093.3</v>
      </c>
      <c r="H1953" t="s">
        <v>2</v>
      </c>
      <c r="I1953" t="s">
        <v>10</v>
      </c>
      <c r="J1953" s="18">
        <v>-926290.55</v>
      </c>
      <c r="K1953" t="s">
        <v>4375</v>
      </c>
      <c r="L1953" t="s">
        <v>4</v>
      </c>
      <c r="M1953" t="s">
        <v>4371</v>
      </c>
      <c r="N1953" t="s">
        <v>3</v>
      </c>
      <c r="O1953" t="s">
        <v>3</v>
      </c>
      <c r="P1953" t="s">
        <v>5</v>
      </c>
      <c r="Q1953" t="s">
        <v>4372</v>
      </c>
      <c r="R1953" t="s">
        <v>3</v>
      </c>
      <c r="S1953" t="s">
        <v>3</v>
      </c>
      <c r="T1953" t="s">
        <v>3</v>
      </c>
      <c r="U1953" t="s">
        <v>3</v>
      </c>
      <c r="V1953" t="s">
        <v>3</v>
      </c>
      <c r="W1953" t="s">
        <v>68</v>
      </c>
      <c r="X1953" s="17">
        <v>43674</v>
      </c>
      <c r="Y1953" t="s">
        <v>4369</v>
      </c>
      <c r="Z1953" s="17">
        <v>43674</v>
      </c>
      <c r="AA1953" t="s">
        <v>3</v>
      </c>
      <c r="AB1953" t="s">
        <v>4369</v>
      </c>
    </row>
    <row r="1954" spans="1:28" hidden="1">
      <c r="A1954" t="s">
        <v>4649</v>
      </c>
      <c r="B1954" s="17">
        <v>43674</v>
      </c>
      <c r="C1954" s="17">
        <v>43674</v>
      </c>
      <c r="D1954" t="s">
        <v>0</v>
      </c>
      <c r="E1954" t="s">
        <v>1</v>
      </c>
      <c r="F1954" s="18">
        <v>1844</v>
      </c>
      <c r="G1954" s="18">
        <v>1844</v>
      </c>
      <c r="H1954" t="s">
        <v>2</v>
      </c>
      <c r="I1954" t="s">
        <v>8</v>
      </c>
      <c r="J1954" s="18">
        <v>153974</v>
      </c>
      <c r="K1954" t="s">
        <v>4650</v>
      </c>
      <c r="L1954" t="s">
        <v>9</v>
      </c>
      <c r="M1954" t="s">
        <v>4651</v>
      </c>
      <c r="N1954" t="s">
        <v>3</v>
      </c>
      <c r="O1954" t="s">
        <v>3</v>
      </c>
      <c r="P1954" t="s">
        <v>5</v>
      </c>
      <c r="Q1954" t="s">
        <v>4652</v>
      </c>
      <c r="R1954" t="s">
        <v>3</v>
      </c>
      <c r="S1954" t="s">
        <v>3</v>
      </c>
      <c r="T1954" t="s">
        <v>3</v>
      </c>
      <c r="U1954" t="s">
        <v>3</v>
      </c>
      <c r="V1954" t="s">
        <v>3</v>
      </c>
      <c r="W1954" t="s">
        <v>68</v>
      </c>
      <c r="X1954" s="17"/>
      <c r="Y1954" t="s">
        <v>3</v>
      </c>
      <c r="Z1954" s="17">
        <v>43674</v>
      </c>
      <c r="AA1954" t="s">
        <v>3</v>
      </c>
      <c r="AB1954" t="s">
        <v>4649</v>
      </c>
    </row>
    <row r="1955" spans="1:28" hidden="1">
      <c r="A1955" t="s">
        <v>4653</v>
      </c>
      <c r="B1955" s="17">
        <v>43674</v>
      </c>
      <c r="C1955" s="17">
        <v>43674</v>
      </c>
      <c r="D1955" t="s">
        <v>0</v>
      </c>
      <c r="E1955" t="s">
        <v>1</v>
      </c>
      <c r="F1955" s="18">
        <v>44967.54</v>
      </c>
      <c r="G1955" s="18">
        <v>44967.54</v>
      </c>
      <c r="H1955" t="s">
        <v>2</v>
      </c>
      <c r="I1955" t="s">
        <v>10</v>
      </c>
      <c r="J1955" s="18">
        <v>3753890.24</v>
      </c>
      <c r="K1955" t="s">
        <v>4370</v>
      </c>
      <c r="L1955" t="s">
        <v>4</v>
      </c>
      <c r="M1955" t="s">
        <v>4371</v>
      </c>
      <c r="N1955" t="s">
        <v>3</v>
      </c>
      <c r="O1955" t="s">
        <v>3</v>
      </c>
      <c r="P1955" t="s">
        <v>5</v>
      </c>
      <c r="Q1955" t="s">
        <v>4372</v>
      </c>
      <c r="R1955" t="s">
        <v>3</v>
      </c>
      <c r="S1955" t="s">
        <v>3</v>
      </c>
      <c r="T1955" t="s">
        <v>3</v>
      </c>
      <c r="U1955" t="s">
        <v>3</v>
      </c>
      <c r="V1955" t="s">
        <v>3</v>
      </c>
      <c r="W1955" t="s">
        <v>68</v>
      </c>
      <c r="X1955" s="17">
        <v>43674</v>
      </c>
      <c r="Y1955" t="s">
        <v>4369</v>
      </c>
      <c r="Z1955" s="17">
        <v>43674</v>
      </c>
      <c r="AA1955" t="s">
        <v>3</v>
      </c>
      <c r="AB1955" t="s">
        <v>4653</v>
      </c>
    </row>
    <row r="1956" spans="1:28" hidden="1">
      <c r="A1956" t="s">
        <v>4653</v>
      </c>
      <c r="B1956" s="17">
        <v>43674</v>
      </c>
      <c r="C1956" s="17">
        <v>43674</v>
      </c>
      <c r="D1956" t="s">
        <v>0</v>
      </c>
      <c r="E1956" t="s">
        <v>1</v>
      </c>
      <c r="F1956" s="18">
        <v>25431.91</v>
      </c>
      <c r="G1956" s="18">
        <v>25431.91</v>
      </c>
      <c r="H1956" t="s">
        <v>2</v>
      </c>
      <c r="I1956" t="s">
        <v>10</v>
      </c>
      <c r="J1956" s="18">
        <v>2123564.4900000002</v>
      </c>
      <c r="K1956" t="s">
        <v>4373</v>
      </c>
      <c r="L1956" t="s">
        <v>4</v>
      </c>
      <c r="M1956" t="s">
        <v>4371</v>
      </c>
      <c r="N1956" t="s">
        <v>3</v>
      </c>
      <c r="O1956" t="s">
        <v>3</v>
      </c>
      <c r="P1956" t="s">
        <v>5</v>
      </c>
      <c r="Q1956" t="s">
        <v>4372</v>
      </c>
      <c r="R1956" t="s">
        <v>3</v>
      </c>
      <c r="S1956" t="s">
        <v>3</v>
      </c>
      <c r="T1956" t="s">
        <v>3</v>
      </c>
      <c r="U1956" t="s">
        <v>3</v>
      </c>
      <c r="V1956" t="s">
        <v>3</v>
      </c>
      <c r="W1956" t="s">
        <v>68</v>
      </c>
      <c r="X1956" s="17">
        <v>43674</v>
      </c>
      <c r="Y1956" t="s">
        <v>4369</v>
      </c>
      <c r="Z1956" s="17">
        <v>43674</v>
      </c>
      <c r="AA1956" t="s">
        <v>3</v>
      </c>
      <c r="AB1956" t="s">
        <v>4653</v>
      </c>
    </row>
    <row r="1957" spans="1:28" hidden="1">
      <c r="A1957" t="s">
        <v>4653</v>
      </c>
      <c r="B1957" s="17">
        <v>43674</v>
      </c>
      <c r="C1957" s="17">
        <v>43674</v>
      </c>
      <c r="D1957" t="s">
        <v>0</v>
      </c>
      <c r="E1957" t="s">
        <v>1</v>
      </c>
      <c r="F1957" s="18">
        <v>582.6</v>
      </c>
      <c r="G1957" s="18">
        <v>582.6</v>
      </c>
      <c r="H1957" t="s">
        <v>2</v>
      </c>
      <c r="I1957" t="s">
        <v>10</v>
      </c>
      <c r="J1957" s="18">
        <v>48635.45</v>
      </c>
      <c r="K1957" t="s">
        <v>4374</v>
      </c>
      <c r="L1957" t="s">
        <v>4</v>
      </c>
      <c r="M1957" t="s">
        <v>4371</v>
      </c>
      <c r="N1957" t="s">
        <v>3</v>
      </c>
      <c r="O1957" t="s">
        <v>3</v>
      </c>
      <c r="P1957" t="s">
        <v>5</v>
      </c>
      <c r="Q1957" t="s">
        <v>4372</v>
      </c>
      <c r="R1957" t="s">
        <v>3</v>
      </c>
      <c r="S1957" t="s">
        <v>3</v>
      </c>
      <c r="T1957" t="s">
        <v>3</v>
      </c>
      <c r="U1957" t="s">
        <v>3</v>
      </c>
      <c r="V1957" t="s">
        <v>3</v>
      </c>
      <c r="W1957" t="s">
        <v>68</v>
      </c>
      <c r="X1957" s="17">
        <v>43674</v>
      </c>
      <c r="Y1957" t="s">
        <v>4369</v>
      </c>
      <c r="Z1957" s="17">
        <v>43674</v>
      </c>
      <c r="AA1957" t="s">
        <v>3</v>
      </c>
      <c r="AB1957" t="s">
        <v>4653</v>
      </c>
    </row>
    <row r="1958" spans="1:28" hidden="1">
      <c r="A1958" t="s">
        <v>4653</v>
      </c>
      <c r="B1958" s="17">
        <v>43674</v>
      </c>
      <c r="C1958" s="17">
        <v>43674</v>
      </c>
      <c r="D1958" t="s">
        <v>0</v>
      </c>
      <c r="E1958" t="s">
        <v>1</v>
      </c>
      <c r="F1958" s="18">
        <v>11093.3</v>
      </c>
      <c r="G1958" s="18">
        <v>11093.3</v>
      </c>
      <c r="H1958" t="s">
        <v>2</v>
      </c>
      <c r="I1958" t="s">
        <v>10</v>
      </c>
      <c r="J1958" s="18">
        <v>926290.55</v>
      </c>
      <c r="K1958" t="s">
        <v>4375</v>
      </c>
      <c r="L1958" t="s">
        <v>4</v>
      </c>
      <c r="M1958" t="s">
        <v>4371</v>
      </c>
      <c r="N1958" t="s">
        <v>3</v>
      </c>
      <c r="O1958" t="s">
        <v>3</v>
      </c>
      <c r="P1958" t="s">
        <v>5</v>
      </c>
      <c r="Q1958" t="s">
        <v>4372</v>
      </c>
      <c r="R1958" t="s">
        <v>3</v>
      </c>
      <c r="S1958" t="s">
        <v>3</v>
      </c>
      <c r="T1958" t="s">
        <v>3</v>
      </c>
      <c r="U1958" t="s">
        <v>3</v>
      </c>
      <c r="V1958" t="s">
        <v>3</v>
      </c>
      <c r="W1958" t="s">
        <v>68</v>
      </c>
      <c r="X1958" s="17">
        <v>43674</v>
      </c>
      <c r="Y1958" t="s">
        <v>4369</v>
      </c>
      <c r="Z1958" s="17">
        <v>43674</v>
      </c>
      <c r="AA1958" t="s">
        <v>3</v>
      </c>
      <c r="AB1958" t="s">
        <v>4653</v>
      </c>
    </row>
    <row r="1959" spans="1:28" hidden="1">
      <c r="A1959" t="s">
        <v>4654</v>
      </c>
      <c r="B1959" s="17">
        <v>43674</v>
      </c>
      <c r="C1959" s="17">
        <v>43674</v>
      </c>
      <c r="D1959" t="s">
        <v>0</v>
      </c>
      <c r="E1959" t="s">
        <v>1</v>
      </c>
      <c r="F1959" s="18">
        <v>5209</v>
      </c>
      <c r="G1959" s="18">
        <v>5209</v>
      </c>
      <c r="H1959" t="s">
        <v>2</v>
      </c>
      <c r="I1959" t="s">
        <v>10</v>
      </c>
      <c r="J1959" s="18">
        <v>434951.5</v>
      </c>
      <c r="K1959" t="s">
        <v>4655</v>
      </c>
      <c r="L1959" t="s">
        <v>9</v>
      </c>
      <c r="M1959" t="s">
        <v>4656</v>
      </c>
      <c r="N1959" t="s">
        <v>3</v>
      </c>
      <c r="O1959" t="s">
        <v>3</v>
      </c>
      <c r="P1959" t="s">
        <v>5</v>
      </c>
      <c r="Q1959" t="s">
        <v>4657</v>
      </c>
      <c r="R1959" t="s">
        <v>3</v>
      </c>
      <c r="S1959" t="s">
        <v>3</v>
      </c>
      <c r="T1959" t="s">
        <v>3</v>
      </c>
      <c r="U1959" t="s">
        <v>3</v>
      </c>
      <c r="V1959" t="s">
        <v>3</v>
      </c>
      <c r="W1959" t="s">
        <v>68</v>
      </c>
      <c r="X1959" s="17">
        <v>43677</v>
      </c>
      <c r="Y1959" t="s">
        <v>4490</v>
      </c>
      <c r="Z1959" s="17">
        <v>43674</v>
      </c>
      <c r="AA1959" t="s">
        <v>3</v>
      </c>
      <c r="AB1959" t="s">
        <v>4654</v>
      </c>
    </row>
    <row r="1960" spans="1:28" hidden="1">
      <c r="A1960" t="s">
        <v>4658</v>
      </c>
      <c r="B1960" s="17">
        <v>43674</v>
      </c>
      <c r="C1960" s="17">
        <v>43674</v>
      </c>
      <c r="D1960" t="s">
        <v>0</v>
      </c>
      <c r="E1960" t="s">
        <v>1</v>
      </c>
      <c r="F1960" s="18">
        <v>44967.54</v>
      </c>
      <c r="G1960" s="18">
        <v>44967.54</v>
      </c>
      <c r="H1960" t="s">
        <v>2</v>
      </c>
      <c r="I1960" t="s">
        <v>10</v>
      </c>
      <c r="J1960" s="18">
        <v>3753890.24</v>
      </c>
      <c r="K1960" t="s">
        <v>4370</v>
      </c>
      <c r="L1960" t="s">
        <v>4</v>
      </c>
      <c r="M1960" t="s">
        <v>4371</v>
      </c>
      <c r="N1960" t="s">
        <v>3</v>
      </c>
      <c r="O1960" t="s">
        <v>3</v>
      </c>
      <c r="P1960" t="s">
        <v>5</v>
      </c>
      <c r="Q1960" t="s">
        <v>4372</v>
      </c>
      <c r="R1960" t="s">
        <v>3</v>
      </c>
      <c r="S1960" t="s">
        <v>3</v>
      </c>
      <c r="T1960" t="s">
        <v>3</v>
      </c>
      <c r="U1960" t="s">
        <v>3</v>
      </c>
      <c r="V1960" t="s">
        <v>3</v>
      </c>
      <c r="W1960" t="s">
        <v>68</v>
      </c>
      <c r="X1960" s="17"/>
      <c r="Y1960" t="s">
        <v>3</v>
      </c>
      <c r="Z1960" s="17">
        <v>43674</v>
      </c>
      <c r="AA1960" t="s">
        <v>3</v>
      </c>
      <c r="AB1960" t="s">
        <v>4658</v>
      </c>
    </row>
    <row r="1961" spans="1:28" hidden="1">
      <c r="A1961" t="s">
        <v>4658</v>
      </c>
      <c r="B1961" s="17">
        <v>43674</v>
      </c>
      <c r="C1961" s="17">
        <v>43674</v>
      </c>
      <c r="D1961" t="s">
        <v>0</v>
      </c>
      <c r="E1961" t="s">
        <v>1</v>
      </c>
      <c r="F1961" s="18">
        <v>25431.91</v>
      </c>
      <c r="G1961" s="18">
        <v>25431.91</v>
      </c>
      <c r="H1961" t="s">
        <v>2</v>
      </c>
      <c r="I1961" t="s">
        <v>10</v>
      </c>
      <c r="J1961" s="18">
        <v>2123564.4900000002</v>
      </c>
      <c r="K1961" t="s">
        <v>4373</v>
      </c>
      <c r="L1961" t="s">
        <v>4</v>
      </c>
      <c r="M1961" t="s">
        <v>4371</v>
      </c>
      <c r="N1961" t="s">
        <v>3</v>
      </c>
      <c r="O1961" t="s">
        <v>3</v>
      </c>
      <c r="P1961" t="s">
        <v>5</v>
      </c>
      <c r="Q1961" t="s">
        <v>4372</v>
      </c>
      <c r="R1961" t="s">
        <v>3</v>
      </c>
      <c r="S1961" t="s">
        <v>3</v>
      </c>
      <c r="T1961" t="s">
        <v>3</v>
      </c>
      <c r="U1961" t="s">
        <v>3</v>
      </c>
      <c r="V1961" t="s">
        <v>3</v>
      </c>
      <c r="W1961" t="s">
        <v>68</v>
      </c>
      <c r="X1961" s="17"/>
      <c r="Y1961" t="s">
        <v>3</v>
      </c>
      <c r="Z1961" s="17">
        <v>43674</v>
      </c>
      <c r="AA1961" t="s">
        <v>3</v>
      </c>
      <c r="AB1961" t="s">
        <v>4658</v>
      </c>
    </row>
    <row r="1962" spans="1:28" hidden="1">
      <c r="A1962" t="s">
        <v>4658</v>
      </c>
      <c r="B1962" s="17">
        <v>43674</v>
      </c>
      <c r="C1962" s="17">
        <v>43674</v>
      </c>
      <c r="D1962" t="s">
        <v>0</v>
      </c>
      <c r="E1962" t="s">
        <v>1</v>
      </c>
      <c r="F1962" s="18">
        <v>582.6</v>
      </c>
      <c r="G1962" s="18">
        <v>582.6</v>
      </c>
      <c r="H1962" t="s">
        <v>2</v>
      </c>
      <c r="I1962" t="s">
        <v>10</v>
      </c>
      <c r="J1962" s="18">
        <v>48635.45</v>
      </c>
      <c r="K1962" t="s">
        <v>4374</v>
      </c>
      <c r="L1962" t="s">
        <v>4</v>
      </c>
      <c r="M1962" t="s">
        <v>4371</v>
      </c>
      <c r="N1962" t="s">
        <v>3</v>
      </c>
      <c r="O1962" t="s">
        <v>3</v>
      </c>
      <c r="P1962" t="s">
        <v>5</v>
      </c>
      <c r="Q1962" t="s">
        <v>4372</v>
      </c>
      <c r="R1962" t="s">
        <v>3</v>
      </c>
      <c r="S1962" t="s">
        <v>3</v>
      </c>
      <c r="T1962" t="s">
        <v>3</v>
      </c>
      <c r="U1962" t="s">
        <v>3</v>
      </c>
      <c r="V1962" t="s">
        <v>3</v>
      </c>
      <c r="W1962" t="s">
        <v>68</v>
      </c>
      <c r="X1962" s="17"/>
      <c r="Y1962" t="s">
        <v>3</v>
      </c>
      <c r="Z1962" s="17">
        <v>43674</v>
      </c>
      <c r="AA1962" t="s">
        <v>3</v>
      </c>
      <c r="AB1962" t="s">
        <v>4658</v>
      </c>
    </row>
    <row r="1963" spans="1:28" hidden="1">
      <c r="A1963" t="s">
        <v>4658</v>
      </c>
      <c r="B1963" s="17">
        <v>43674</v>
      </c>
      <c r="C1963" s="17">
        <v>43674</v>
      </c>
      <c r="D1963" t="s">
        <v>0</v>
      </c>
      <c r="E1963" t="s">
        <v>1</v>
      </c>
      <c r="F1963" s="18">
        <v>11093.3</v>
      </c>
      <c r="G1963" s="18">
        <v>11093.3</v>
      </c>
      <c r="H1963" t="s">
        <v>2</v>
      </c>
      <c r="I1963" t="s">
        <v>10</v>
      </c>
      <c r="J1963" s="18">
        <v>926290.55</v>
      </c>
      <c r="K1963" t="s">
        <v>4375</v>
      </c>
      <c r="L1963" t="s">
        <v>4</v>
      </c>
      <c r="M1963" t="s">
        <v>4371</v>
      </c>
      <c r="N1963" t="s">
        <v>3</v>
      </c>
      <c r="O1963" t="s">
        <v>3</v>
      </c>
      <c r="P1963" t="s">
        <v>5</v>
      </c>
      <c r="Q1963" t="s">
        <v>4372</v>
      </c>
      <c r="R1963" t="s">
        <v>3</v>
      </c>
      <c r="S1963" t="s">
        <v>3</v>
      </c>
      <c r="T1963" t="s">
        <v>3</v>
      </c>
      <c r="U1963" t="s">
        <v>3</v>
      </c>
      <c r="V1963" t="s">
        <v>3</v>
      </c>
      <c r="W1963" t="s">
        <v>68</v>
      </c>
      <c r="X1963" s="17"/>
      <c r="Y1963" t="s">
        <v>3</v>
      </c>
      <c r="Z1963" s="17">
        <v>43674</v>
      </c>
      <c r="AA1963" t="s">
        <v>3</v>
      </c>
      <c r="AB1963" t="s">
        <v>4658</v>
      </c>
    </row>
    <row r="1964" spans="1:28" hidden="1">
      <c r="A1964" t="s">
        <v>4661</v>
      </c>
      <c r="B1964" s="17">
        <v>43674</v>
      </c>
      <c r="C1964" s="17">
        <v>43674</v>
      </c>
      <c r="D1964" t="s">
        <v>0</v>
      </c>
      <c r="E1964" t="s">
        <v>1</v>
      </c>
      <c r="F1964" s="18">
        <v>-2479.96</v>
      </c>
      <c r="G1964" s="18">
        <v>-2479.96</v>
      </c>
      <c r="H1964" t="s">
        <v>2</v>
      </c>
      <c r="I1964" t="s">
        <v>8</v>
      </c>
      <c r="J1964" s="18">
        <v>-207076.66</v>
      </c>
      <c r="K1964" t="s">
        <v>4377</v>
      </c>
      <c r="L1964" t="s">
        <v>4</v>
      </c>
      <c r="M1964" t="s">
        <v>4378</v>
      </c>
      <c r="N1964" t="s">
        <v>3</v>
      </c>
      <c r="O1964" t="s">
        <v>3</v>
      </c>
      <c r="P1964" t="s">
        <v>5</v>
      </c>
      <c r="Q1964" t="s">
        <v>4379</v>
      </c>
      <c r="R1964" t="s">
        <v>3</v>
      </c>
      <c r="S1964" t="s">
        <v>3</v>
      </c>
      <c r="T1964" t="s">
        <v>3</v>
      </c>
      <c r="U1964" t="s">
        <v>3</v>
      </c>
      <c r="V1964" t="s">
        <v>3</v>
      </c>
      <c r="W1964" t="s">
        <v>68</v>
      </c>
      <c r="X1964" s="17"/>
      <c r="Y1964" t="s">
        <v>3</v>
      </c>
      <c r="Z1964" s="17">
        <v>43674</v>
      </c>
      <c r="AA1964" t="s">
        <v>3</v>
      </c>
      <c r="AB1964" t="s">
        <v>4661</v>
      </c>
    </row>
    <row r="1965" spans="1:28" hidden="1">
      <c r="A1965" t="s">
        <v>4671</v>
      </c>
      <c r="B1965" s="17">
        <v>43676</v>
      </c>
      <c r="C1965" s="17">
        <v>43676</v>
      </c>
      <c r="D1965" t="s">
        <v>0</v>
      </c>
      <c r="E1965" t="s">
        <v>1</v>
      </c>
      <c r="F1965" s="18">
        <v>3310.98</v>
      </c>
      <c r="G1965" s="18">
        <v>3310.98</v>
      </c>
      <c r="H1965" t="s">
        <v>2</v>
      </c>
      <c r="I1965" t="s">
        <v>10</v>
      </c>
      <c r="J1965" s="18">
        <v>276466.83</v>
      </c>
      <c r="K1965" t="s">
        <v>4373</v>
      </c>
      <c r="L1965" t="s">
        <v>4</v>
      </c>
      <c r="M1965" t="s">
        <v>4672</v>
      </c>
      <c r="N1965" t="s">
        <v>3</v>
      </c>
      <c r="O1965" t="s">
        <v>3</v>
      </c>
      <c r="P1965" t="s">
        <v>5</v>
      </c>
      <c r="Q1965" t="s">
        <v>4673</v>
      </c>
      <c r="R1965" t="s">
        <v>3</v>
      </c>
      <c r="S1965" t="s">
        <v>3</v>
      </c>
      <c r="T1965" t="s">
        <v>3</v>
      </c>
      <c r="U1965" t="s">
        <v>3</v>
      </c>
      <c r="V1965" t="s">
        <v>3</v>
      </c>
      <c r="W1965" t="s">
        <v>68</v>
      </c>
      <c r="X1965" s="17"/>
      <c r="Y1965" t="s">
        <v>3</v>
      </c>
      <c r="Z1965" s="17">
        <v>43676</v>
      </c>
      <c r="AA1965" t="s">
        <v>3</v>
      </c>
      <c r="AB1965" t="s">
        <v>4671</v>
      </c>
    </row>
    <row r="1966" spans="1:28" hidden="1">
      <c r="A1966" t="s">
        <v>4671</v>
      </c>
      <c r="B1966" s="17">
        <v>43676</v>
      </c>
      <c r="C1966" s="17">
        <v>43676</v>
      </c>
      <c r="D1966" t="s">
        <v>0</v>
      </c>
      <c r="E1966" t="s">
        <v>1</v>
      </c>
      <c r="F1966" s="18">
        <v>63220.55</v>
      </c>
      <c r="G1966" s="18">
        <v>63220.55</v>
      </c>
      <c r="H1966" t="s">
        <v>2</v>
      </c>
      <c r="I1966" t="s">
        <v>10</v>
      </c>
      <c r="J1966" s="18">
        <v>5278915.93</v>
      </c>
      <c r="K1966" t="s">
        <v>4375</v>
      </c>
      <c r="L1966" t="s">
        <v>4</v>
      </c>
      <c r="M1966" t="s">
        <v>4672</v>
      </c>
      <c r="N1966" t="s">
        <v>3</v>
      </c>
      <c r="O1966" t="s">
        <v>3</v>
      </c>
      <c r="P1966" t="s">
        <v>5</v>
      </c>
      <c r="Q1966" t="s">
        <v>4673</v>
      </c>
      <c r="R1966" t="s">
        <v>3</v>
      </c>
      <c r="S1966" t="s">
        <v>3</v>
      </c>
      <c r="T1966" t="s">
        <v>3</v>
      </c>
      <c r="U1966" t="s">
        <v>3</v>
      </c>
      <c r="V1966" t="s">
        <v>3</v>
      </c>
      <c r="W1966" t="s">
        <v>68</v>
      </c>
      <c r="X1966" s="17"/>
      <c r="Y1966" t="s">
        <v>3</v>
      </c>
      <c r="Z1966" s="17">
        <v>43676</v>
      </c>
      <c r="AA1966" t="s">
        <v>3</v>
      </c>
      <c r="AB1966" t="s">
        <v>4671</v>
      </c>
    </row>
    <row r="1967" spans="1:28" hidden="1">
      <c r="A1967" t="s">
        <v>4674</v>
      </c>
      <c r="B1967" s="17">
        <v>43676</v>
      </c>
      <c r="C1967" s="17">
        <v>43676</v>
      </c>
      <c r="D1967" t="s">
        <v>0</v>
      </c>
      <c r="E1967" t="s">
        <v>1</v>
      </c>
      <c r="F1967" s="18">
        <v>1450</v>
      </c>
      <c r="G1967" s="18">
        <v>1450</v>
      </c>
      <c r="H1967" t="s">
        <v>2</v>
      </c>
      <c r="I1967" t="s">
        <v>10</v>
      </c>
      <c r="J1967" s="18">
        <v>121075</v>
      </c>
      <c r="K1967" t="s">
        <v>4655</v>
      </c>
      <c r="L1967" t="s">
        <v>9</v>
      </c>
      <c r="M1967" t="s">
        <v>4675</v>
      </c>
      <c r="N1967" t="s">
        <v>3</v>
      </c>
      <c r="O1967" t="s">
        <v>3</v>
      </c>
      <c r="P1967" t="s">
        <v>5</v>
      </c>
      <c r="Q1967" t="s">
        <v>4676</v>
      </c>
      <c r="R1967" t="s">
        <v>3</v>
      </c>
      <c r="S1967" t="s">
        <v>3</v>
      </c>
      <c r="T1967" t="s">
        <v>3</v>
      </c>
      <c r="U1967" t="s">
        <v>3</v>
      </c>
      <c r="V1967" t="s">
        <v>3</v>
      </c>
      <c r="W1967" t="s">
        <v>68</v>
      </c>
      <c r="X1967" s="17">
        <v>43677</v>
      </c>
      <c r="Y1967" t="s">
        <v>4490</v>
      </c>
      <c r="Z1967" s="17">
        <v>43676</v>
      </c>
      <c r="AA1967" t="s">
        <v>3</v>
      </c>
      <c r="AB1967" t="s">
        <v>4674</v>
      </c>
    </row>
    <row r="1968" spans="1:28" hidden="1">
      <c r="A1968" t="s">
        <v>4677</v>
      </c>
      <c r="B1968" s="17">
        <v>43676</v>
      </c>
      <c r="C1968" s="17">
        <v>43676</v>
      </c>
      <c r="D1968" t="s">
        <v>0</v>
      </c>
      <c r="E1968" t="s">
        <v>1</v>
      </c>
      <c r="F1968" s="18">
        <v>11498</v>
      </c>
      <c r="G1968" s="18">
        <v>11498</v>
      </c>
      <c r="H1968" t="s">
        <v>2</v>
      </c>
      <c r="I1968" t="s">
        <v>8</v>
      </c>
      <c r="J1968" s="18">
        <v>960083</v>
      </c>
      <c r="K1968" t="s">
        <v>4678</v>
      </c>
      <c r="L1968" t="s">
        <v>4</v>
      </c>
      <c r="M1968" t="s">
        <v>4679</v>
      </c>
      <c r="N1968" t="s">
        <v>3</v>
      </c>
      <c r="O1968" t="s">
        <v>3</v>
      </c>
      <c r="P1968" t="s">
        <v>5</v>
      </c>
      <c r="Q1968" t="s">
        <v>4680</v>
      </c>
      <c r="R1968" t="s">
        <v>3</v>
      </c>
      <c r="S1968" t="s">
        <v>3</v>
      </c>
      <c r="T1968" t="s">
        <v>3</v>
      </c>
      <c r="U1968" t="s">
        <v>3</v>
      </c>
      <c r="V1968" t="s">
        <v>3</v>
      </c>
      <c r="W1968" t="s">
        <v>68</v>
      </c>
      <c r="X1968" s="17"/>
      <c r="Y1968" t="s">
        <v>3</v>
      </c>
      <c r="Z1968" s="17">
        <v>43676</v>
      </c>
      <c r="AA1968" t="s">
        <v>3</v>
      </c>
      <c r="AB1968" t="s">
        <v>4677</v>
      </c>
    </row>
    <row r="1969" spans="1:28" hidden="1">
      <c r="A1969" t="s">
        <v>4677</v>
      </c>
      <c r="B1969" s="17">
        <v>43676</v>
      </c>
      <c r="C1969" s="17">
        <v>43676</v>
      </c>
      <c r="D1969" t="s">
        <v>0</v>
      </c>
      <c r="E1969" t="s">
        <v>1</v>
      </c>
      <c r="F1969" s="18">
        <v>11568.5</v>
      </c>
      <c r="G1969" s="18">
        <v>11568.5</v>
      </c>
      <c r="H1969" t="s">
        <v>2</v>
      </c>
      <c r="I1969" t="s">
        <v>8</v>
      </c>
      <c r="J1969" s="18">
        <v>965738.38</v>
      </c>
      <c r="K1969" t="s">
        <v>4681</v>
      </c>
      <c r="L1969" t="s">
        <v>4</v>
      </c>
      <c r="M1969" t="s">
        <v>4679</v>
      </c>
      <c r="N1969" t="s">
        <v>3</v>
      </c>
      <c r="O1969" t="s">
        <v>3</v>
      </c>
      <c r="P1969" t="s">
        <v>5</v>
      </c>
      <c r="Q1969" t="s">
        <v>4680</v>
      </c>
      <c r="R1969" t="s">
        <v>3</v>
      </c>
      <c r="S1969" t="s">
        <v>3</v>
      </c>
      <c r="T1969" t="s">
        <v>3</v>
      </c>
      <c r="U1969" t="s">
        <v>3</v>
      </c>
      <c r="V1969" t="s">
        <v>3</v>
      </c>
      <c r="W1969" t="s">
        <v>68</v>
      </c>
      <c r="X1969" s="17"/>
      <c r="Y1969" t="s">
        <v>3</v>
      </c>
      <c r="Z1969" s="17">
        <v>43676</v>
      </c>
      <c r="AA1969" t="s">
        <v>3</v>
      </c>
      <c r="AB1969" t="s">
        <v>4677</v>
      </c>
    </row>
    <row r="1970" spans="1:28" hidden="1">
      <c r="A1970" t="s">
        <v>4682</v>
      </c>
      <c r="B1970" s="17">
        <v>43676</v>
      </c>
      <c r="C1970" s="17">
        <v>43676</v>
      </c>
      <c r="D1970" t="s">
        <v>0</v>
      </c>
      <c r="E1970" t="s">
        <v>1</v>
      </c>
      <c r="F1970" s="18">
        <v>1437</v>
      </c>
      <c r="G1970" s="18">
        <v>1437</v>
      </c>
      <c r="H1970" t="s">
        <v>2</v>
      </c>
      <c r="I1970" t="s">
        <v>8</v>
      </c>
      <c r="J1970" s="18">
        <v>119989.5</v>
      </c>
      <c r="K1970" t="s">
        <v>4650</v>
      </c>
      <c r="L1970" t="s">
        <v>9</v>
      </c>
      <c r="M1970" t="s">
        <v>4683</v>
      </c>
      <c r="N1970" t="s">
        <v>3</v>
      </c>
      <c r="O1970" t="s">
        <v>3</v>
      </c>
      <c r="P1970" t="s">
        <v>5</v>
      </c>
      <c r="Q1970" t="s">
        <v>4684</v>
      </c>
      <c r="R1970" t="s">
        <v>3</v>
      </c>
      <c r="S1970" t="s">
        <v>3</v>
      </c>
      <c r="T1970" t="s">
        <v>3</v>
      </c>
      <c r="U1970" t="s">
        <v>3</v>
      </c>
      <c r="V1970" t="s">
        <v>3</v>
      </c>
      <c r="W1970" t="s">
        <v>68</v>
      </c>
      <c r="X1970" s="17"/>
      <c r="Y1970" t="s">
        <v>3</v>
      </c>
      <c r="Z1970" s="17">
        <v>43676</v>
      </c>
      <c r="AA1970" t="s">
        <v>3</v>
      </c>
      <c r="AB1970" t="s">
        <v>4682</v>
      </c>
    </row>
    <row r="1971" spans="1:28" hidden="1">
      <c r="A1971" t="s">
        <v>4685</v>
      </c>
      <c r="B1971" s="17">
        <v>43676</v>
      </c>
      <c r="C1971" s="17">
        <v>43676</v>
      </c>
      <c r="D1971" t="s">
        <v>0</v>
      </c>
      <c r="E1971" t="s">
        <v>1</v>
      </c>
      <c r="F1971" s="18">
        <v>963.69</v>
      </c>
      <c r="G1971" s="18">
        <v>963.69</v>
      </c>
      <c r="H1971" t="s">
        <v>2</v>
      </c>
      <c r="I1971" t="s">
        <v>8</v>
      </c>
      <c r="J1971" s="18">
        <v>80468.12</v>
      </c>
      <c r="K1971" t="s">
        <v>4678</v>
      </c>
      <c r="L1971" t="s">
        <v>4</v>
      </c>
      <c r="M1971" t="s">
        <v>4686</v>
      </c>
      <c r="N1971" t="s">
        <v>3</v>
      </c>
      <c r="O1971" t="s">
        <v>3</v>
      </c>
      <c r="P1971" t="s">
        <v>5</v>
      </c>
      <c r="Q1971" t="s">
        <v>4687</v>
      </c>
      <c r="R1971" t="s">
        <v>3</v>
      </c>
      <c r="S1971" t="s">
        <v>3</v>
      </c>
      <c r="T1971" t="s">
        <v>3</v>
      </c>
      <c r="U1971" t="s">
        <v>3</v>
      </c>
      <c r="V1971" t="s">
        <v>3</v>
      </c>
      <c r="W1971" t="s">
        <v>68</v>
      </c>
      <c r="X1971" s="17"/>
      <c r="Y1971" t="s">
        <v>3</v>
      </c>
      <c r="Z1971" s="17">
        <v>43676</v>
      </c>
      <c r="AA1971" t="s">
        <v>3</v>
      </c>
      <c r="AB1971" t="s">
        <v>4685</v>
      </c>
    </row>
    <row r="1972" spans="1:28" hidden="1">
      <c r="A1972" t="s">
        <v>3443</v>
      </c>
      <c r="B1972" s="17">
        <v>43677</v>
      </c>
      <c r="C1972" s="17">
        <v>43677</v>
      </c>
      <c r="D1972" t="s">
        <v>7</v>
      </c>
      <c r="E1972" t="s">
        <v>1</v>
      </c>
      <c r="F1972" s="18">
        <v>0.98</v>
      </c>
      <c r="G1972" s="18">
        <v>0.98</v>
      </c>
      <c r="H1972" t="s">
        <v>2</v>
      </c>
      <c r="I1972" t="s">
        <v>10</v>
      </c>
      <c r="J1972" s="18">
        <v>81.290000000000006</v>
      </c>
      <c r="K1972" t="s">
        <v>4479</v>
      </c>
      <c r="L1972" t="s">
        <v>9</v>
      </c>
      <c r="M1972" t="s">
        <v>4480</v>
      </c>
      <c r="N1972" t="s">
        <v>3</v>
      </c>
      <c r="O1972" t="s">
        <v>3</v>
      </c>
      <c r="P1972" t="s">
        <v>5</v>
      </c>
      <c r="Q1972" t="s">
        <v>4481</v>
      </c>
      <c r="R1972" t="s">
        <v>3</v>
      </c>
      <c r="S1972" t="s">
        <v>3</v>
      </c>
      <c r="T1972" t="s">
        <v>3</v>
      </c>
      <c r="U1972" t="s">
        <v>3</v>
      </c>
      <c r="V1972" t="s">
        <v>3</v>
      </c>
      <c r="W1972" t="s">
        <v>68</v>
      </c>
      <c r="X1972" s="17">
        <v>43677</v>
      </c>
      <c r="Y1972" t="s">
        <v>3443</v>
      </c>
      <c r="Z1972" s="17">
        <v>43677</v>
      </c>
      <c r="AA1972" t="s">
        <v>3</v>
      </c>
      <c r="AB1972" t="s">
        <v>3443</v>
      </c>
    </row>
    <row r="1973" spans="1:28" hidden="1">
      <c r="A1973" t="s">
        <v>3326</v>
      </c>
      <c r="B1973" s="17">
        <v>43677</v>
      </c>
      <c r="C1973" s="17">
        <v>43677</v>
      </c>
      <c r="D1973" t="s">
        <v>7</v>
      </c>
      <c r="E1973" t="s">
        <v>1</v>
      </c>
      <c r="F1973" s="18">
        <v>-0.6</v>
      </c>
      <c r="G1973" s="18">
        <v>-0.6</v>
      </c>
      <c r="H1973" t="s">
        <v>2</v>
      </c>
      <c r="I1973" t="s">
        <v>8</v>
      </c>
      <c r="J1973" s="18">
        <v>-49.77</v>
      </c>
      <c r="K1973" t="s">
        <v>4482</v>
      </c>
      <c r="L1973" t="s">
        <v>9</v>
      </c>
      <c r="M1973" t="s">
        <v>4480</v>
      </c>
      <c r="N1973" t="s">
        <v>3</v>
      </c>
      <c r="O1973" t="s">
        <v>3</v>
      </c>
      <c r="P1973" t="s">
        <v>5</v>
      </c>
      <c r="Q1973" t="s">
        <v>4483</v>
      </c>
      <c r="R1973" t="s">
        <v>3</v>
      </c>
      <c r="S1973" t="s">
        <v>3</v>
      </c>
      <c r="T1973" t="s">
        <v>3</v>
      </c>
      <c r="U1973" t="s">
        <v>3</v>
      </c>
      <c r="V1973" t="s">
        <v>3</v>
      </c>
      <c r="W1973" t="s">
        <v>68</v>
      </c>
      <c r="X1973" s="17">
        <v>43677</v>
      </c>
      <c r="Y1973" t="s">
        <v>3326</v>
      </c>
      <c r="Z1973" s="17">
        <v>43677</v>
      </c>
      <c r="AA1973" t="s">
        <v>3</v>
      </c>
      <c r="AB1973" t="s">
        <v>3326</v>
      </c>
    </row>
    <row r="1974" spans="1:28" hidden="1">
      <c r="A1974" t="s">
        <v>3126</v>
      </c>
      <c r="B1974" s="17">
        <v>43677</v>
      </c>
      <c r="C1974" s="17">
        <v>43677</v>
      </c>
      <c r="D1974" t="s">
        <v>7</v>
      </c>
      <c r="E1974" t="s">
        <v>1</v>
      </c>
      <c r="F1974" s="18">
        <v>295393</v>
      </c>
      <c r="G1974" s="18">
        <v>295393</v>
      </c>
      <c r="H1974" t="s">
        <v>2</v>
      </c>
      <c r="I1974" t="s">
        <v>8</v>
      </c>
      <c r="J1974" s="18">
        <v>24502849.359999999</v>
      </c>
      <c r="K1974" t="s">
        <v>4482</v>
      </c>
      <c r="L1974" t="s">
        <v>9</v>
      </c>
      <c r="M1974" t="s">
        <v>4480</v>
      </c>
      <c r="N1974" t="s">
        <v>3</v>
      </c>
      <c r="O1974" t="s">
        <v>3</v>
      </c>
      <c r="P1974" t="s">
        <v>5</v>
      </c>
      <c r="Q1974" t="s">
        <v>4484</v>
      </c>
      <c r="R1974" t="s">
        <v>3</v>
      </c>
      <c r="S1974" t="s">
        <v>3</v>
      </c>
      <c r="T1974" t="s">
        <v>3</v>
      </c>
      <c r="U1974" t="s">
        <v>3</v>
      </c>
      <c r="V1974" t="s">
        <v>3</v>
      </c>
      <c r="W1974" t="s">
        <v>68</v>
      </c>
      <c r="X1974" s="17">
        <v>43677</v>
      </c>
      <c r="Y1974" t="s">
        <v>3126</v>
      </c>
      <c r="Z1974" s="17">
        <v>43677</v>
      </c>
      <c r="AA1974" t="s">
        <v>3</v>
      </c>
      <c r="AB1974" t="s">
        <v>3126</v>
      </c>
    </row>
    <row r="1975" spans="1:28" hidden="1">
      <c r="A1975" t="s">
        <v>3126</v>
      </c>
      <c r="B1975" s="17">
        <v>43677</v>
      </c>
      <c r="C1975" s="17">
        <v>43677</v>
      </c>
      <c r="D1975" t="s">
        <v>7</v>
      </c>
      <c r="E1975" t="s">
        <v>1</v>
      </c>
      <c r="F1975" s="18">
        <v>-295393</v>
      </c>
      <c r="G1975" s="18">
        <v>-295393</v>
      </c>
      <c r="H1975" t="s">
        <v>2</v>
      </c>
      <c r="I1975" t="s">
        <v>8</v>
      </c>
      <c r="J1975" s="18">
        <v>-24502849.359999999</v>
      </c>
      <c r="K1975" t="s">
        <v>4485</v>
      </c>
      <c r="L1975" t="s">
        <v>9</v>
      </c>
      <c r="M1975" t="s">
        <v>4480</v>
      </c>
      <c r="N1975" t="s">
        <v>3</v>
      </c>
      <c r="O1975" t="s">
        <v>3</v>
      </c>
      <c r="P1975" t="s">
        <v>5</v>
      </c>
      <c r="Q1975" t="s">
        <v>4484</v>
      </c>
      <c r="R1975" t="s">
        <v>3</v>
      </c>
      <c r="S1975" t="s">
        <v>3</v>
      </c>
      <c r="T1975" t="s">
        <v>3</v>
      </c>
      <c r="U1975" t="s">
        <v>3</v>
      </c>
      <c r="V1975" t="s">
        <v>3</v>
      </c>
      <c r="W1975" t="s">
        <v>68</v>
      </c>
      <c r="X1975" s="17">
        <v>43677</v>
      </c>
      <c r="Y1975" t="s">
        <v>3126</v>
      </c>
      <c r="Z1975" s="17">
        <v>43677</v>
      </c>
      <c r="AA1975" t="s">
        <v>3</v>
      </c>
      <c r="AB1975" t="s">
        <v>3126</v>
      </c>
    </row>
    <row r="1976" spans="1:28" hidden="1">
      <c r="A1976" t="s">
        <v>3027</v>
      </c>
      <c r="B1976" s="17">
        <v>43677</v>
      </c>
      <c r="C1976" s="17">
        <v>43677</v>
      </c>
      <c r="D1976" t="s">
        <v>7</v>
      </c>
      <c r="E1976" t="s">
        <v>1</v>
      </c>
      <c r="F1976" s="18">
        <v>282231</v>
      </c>
      <c r="G1976" s="18">
        <v>282231</v>
      </c>
      <c r="H1976" t="s">
        <v>2</v>
      </c>
      <c r="I1976" t="s">
        <v>8</v>
      </c>
      <c r="J1976" s="18">
        <v>23396949.899999999</v>
      </c>
      <c r="K1976" t="s">
        <v>4486</v>
      </c>
      <c r="L1976" t="s">
        <v>9</v>
      </c>
      <c r="M1976" t="s">
        <v>4480</v>
      </c>
      <c r="N1976" t="s">
        <v>3</v>
      </c>
      <c r="O1976" t="s">
        <v>3</v>
      </c>
      <c r="P1976" t="s">
        <v>5</v>
      </c>
      <c r="Q1976" t="s">
        <v>4486</v>
      </c>
      <c r="R1976" t="s">
        <v>3</v>
      </c>
      <c r="S1976" t="s">
        <v>3</v>
      </c>
      <c r="T1976" t="s">
        <v>3</v>
      </c>
      <c r="U1976" t="s">
        <v>3</v>
      </c>
      <c r="V1976" t="s">
        <v>3</v>
      </c>
      <c r="W1976" t="s">
        <v>68</v>
      </c>
      <c r="X1976" s="17">
        <v>43677</v>
      </c>
      <c r="Y1976" t="s">
        <v>3027</v>
      </c>
      <c r="Z1976" s="17">
        <v>43677</v>
      </c>
      <c r="AA1976" t="s">
        <v>3</v>
      </c>
      <c r="AB1976" t="s">
        <v>3027</v>
      </c>
    </row>
    <row r="1977" spans="1:28" hidden="1">
      <c r="A1977" t="s">
        <v>3027</v>
      </c>
      <c r="B1977" s="17">
        <v>43677</v>
      </c>
      <c r="C1977" s="17">
        <v>43677</v>
      </c>
      <c r="D1977" t="s">
        <v>7</v>
      </c>
      <c r="E1977" t="s">
        <v>1</v>
      </c>
      <c r="F1977" s="18">
        <v>-282231</v>
      </c>
      <c r="G1977" s="18">
        <v>-282231</v>
      </c>
      <c r="H1977" t="s">
        <v>2</v>
      </c>
      <c r="I1977" t="s">
        <v>8</v>
      </c>
      <c r="J1977" s="18">
        <v>-23396949.899999999</v>
      </c>
      <c r="K1977" t="s">
        <v>4486</v>
      </c>
      <c r="L1977" t="s">
        <v>9</v>
      </c>
      <c r="M1977" t="s">
        <v>4480</v>
      </c>
      <c r="N1977" t="s">
        <v>3</v>
      </c>
      <c r="O1977" t="s">
        <v>3</v>
      </c>
      <c r="P1977" t="s">
        <v>5</v>
      </c>
      <c r="Q1977" t="s">
        <v>4486</v>
      </c>
      <c r="R1977" t="s">
        <v>3</v>
      </c>
      <c r="S1977" t="s">
        <v>3</v>
      </c>
      <c r="T1977" t="s">
        <v>3</v>
      </c>
      <c r="U1977" t="s">
        <v>3</v>
      </c>
      <c r="V1977" t="s">
        <v>3</v>
      </c>
      <c r="W1977" t="s">
        <v>68</v>
      </c>
      <c r="X1977" s="17">
        <v>43677</v>
      </c>
      <c r="Y1977" t="s">
        <v>3027</v>
      </c>
      <c r="Z1977" s="17">
        <v>43677</v>
      </c>
      <c r="AA1977" t="s">
        <v>3</v>
      </c>
      <c r="AB1977" t="s">
        <v>3027</v>
      </c>
    </row>
    <row r="1978" spans="1:28" hidden="1">
      <c r="A1978" t="s">
        <v>3399</v>
      </c>
      <c r="B1978" s="17">
        <v>43677</v>
      </c>
      <c r="C1978" s="17">
        <v>43677</v>
      </c>
      <c r="D1978" t="s">
        <v>7</v>
      </c>
      <c r="E1978" t="s">
        <v>1</v>
      </c>
      <c r="F1978" s="18">
        <v>275660</v>
      </c>
      <c r="G1978" s="18">
        <v>275660</v>
      </c>
      <c r="H1978" t="s">
        <v>2</v>
      </c>
      <c r="I1978" t="s">
        <v>8</v>
      </c>
      <c r="J1978" s="18">
        <v>22865997</v>
      </c>
      <c r="K1978" t="s">
        <v>4487</v>
      </c>
      <c r="L1978" t="s">
        <v>9</v>
      </c>
      <c r="M1978" t="s">
        <v>4480</v>
      </c>
      <c r="N1978" t="s">
        <v>3</v>
      </c>
      <c r="O1978" t="s">
        <v>3</v>
      </c>
      <c r="P1978" t="s">
        <v>5</v>
      </c>
      <c r="Q1978" t="s">
        <v>4487</v>
      </c>
      <c r="R1978" t="s">
        <v>3</v>
      </c>
      <c r="S1978" t="s">
        <v>3</v>
      </c>
      <c r="T1978" t="s">
        <v>3</v>
      </c>
      <c r="U1978" t="s">
        <v>3</v>
      </c>
      <c r="V1978" t="s">
        <v>3</v>
      </c>
      <c r="W1978" t="s">
        <v>68</v>
      </c>
      <c r="X1978" s="17">
        <v>43677</v>
      </c>
      <c r="Y1978" t="s">
        <v>3399</v>
      </c>
      <c r="Z1978" s="17">
        <v>43677</v>
      </c>
      <c r="AA1978" t="s">
        <v>3</v>
      </c>
      <c r="AB1978" t="s">
        <v>3399</v>
      </c>
    </row>
    <row r="1979" spans="1:28" hidden="1">
      <c r="A1979" t="s">
        <v>3399</v>
      </c>
      <c r="B1979" s="17">
        <v>43677</v>
      </c>
      <c r="C1979" s="17">
        <v>43677</v>
      </c>
      <c r="D1979" t="s">
        <v>7</v>
      </c>
      <c r="E1979" t="s">
        <v>1</v>
      </c>
      <c r="F1979" s="18">
        <v>-275660</v>
      </c>
      <c r="G1979" s="18">
        <v>-275660</v>
      </c>
      <c r="H1979" t="s">
        <v>2</v>
      </c>
      <c r="I1979" t="s">
        <v>8</v>
      </c>
      <c r="J1979" s="18">
        <v>-22865997</v>
      </c>
      <c r="K1979" t="s">
        <v>4487</v>
      </c>
      <c r="L1979" t="s">
        <v>9</v>
      </c>
      <c r="M1979" t="s">
        <v>4480</v>
      </c>
      <c r="N1979" t="s">
        <v>3</v>
      </c>
      <c r="O1979" t="s">
        <v>3</v>
      </c>
      <c r="P1979" t="s">
        <v>5</v>
      </c>
      <c r="Q1979" t="s">
        <v>4487</v>
      </c>
      <c r="R1979" t="s">
        <v>3</v>
      </c>
      <c r="S1979" t="s">
        <v>3</v>
      </c>
      <c r="T1979" t="s">
        <v>3</v>
      </c>
      <c r="U1979" t="s">
        <v>3</v>
      </c>
      <c r="V1979" t="s">
        <v>3</v>
      </c>
      <c r="W1979" t="s">
        <v>68</v>
      </c>
      <c r="X1979" s="17">
        <v>43677</v>
      </c>
      <c r="Y1979" t="s">
        <v>3399</v>
      </c>
      <c r="Z1979" s="17">
        <v>43677</v>
      </c>
      <c r="AA1979" t="s">
        <v>3</v>
      </c>
      <c r="AB1979" t="s">
        <v>3399</v>
      </c>
    </row>
    <row r="1980" spans="1:28" hidden="1">
      <c r="A1980" t="s">
        <v>2964</v>
      </c>
      <c r="B1980" s="17">
        <v>43677</v>
      </c>
      <c r="C1980" s="17">
        <v>43677</v>
      </c>
      <c r="D1980" t="s">
        <v>7</v>
      </c>
      <c r="E1980" t="s">
        <v>1</v>
      </c>
      <c r="F1980" s="18">
        <v>245838</v>
      </c>
      <c r="G1980" s="18">
        <v>245838</v>
      </c>
      <c r="H1980" t="s">
        <v>2</v>
      </c>
      <c r="I1980" t="s">
        <v>8</v>
      </c>
      <c r="J1980" s="18">
        <v>20355386.399999999</v>
      </c>
      <c r="K1980" t="s">
        <v>4488</v>
      </c>
      <c r="L1980" t="s">
        <v>9</v>
      </c>
      <c r="M1980" t="s">
        <v>4480</v>
      </c>
      <c r="N1980" t="s">
        <v>3</v>
      </c>
      <c r="O1980" t="s">
        <v>3</v>
      </c>
      <c r="P1980" t="s">
        <v>5</v>
      </c>
      <c r="Q1980" t="s">
        <v>4488</v>
      </c>
      <c r="R1980" t="s">
        <v>3</v>
      </c>
      <c r="S1980" t="s">
        <v>3</v>
      </c>
      <c r="T1980" t="s">
        <v>3</v>
      </c>
      <c r="U1980" t="s">
        <v>3</v>
      </c>
      <c r="V1980" t="s">
        <v>3</v>
      </c>
      <c r="W1980" t="s">
        <v>68</v>
      </c>
      <c r="X1980" s="17">
        <v>43677</v>
      </c>
      <c r="Y1980" t="s">
        <v>2964</v>
      </c>
      <c r="Z1980" s="17">
        <v>43677</v>
      </c>
      <c r="AA1980" t="s">
        <v>3</v>
      </c>
      <c r="AB1980" t="s">
        <v>2964</v>
      </c>
    </row>
    <row r="1981" spans="1:28" hidden="1">
      <c r="A1981" t="s">
        <v>2964</v>
      </c>
      <c r="B1981" s="17">
        <v>43677</v>
      </c>
      <c r="C1981" s="17">
        <v>43677</v>
      </c>
      <c r="D1981" t="s">
        <v>7</v>
      </c>
      <c r="E1981" t="s">
        <v>1</v>
      </c>
      <c r="F1981" s="18">
        <v>-245838</v>
      </c>
      <c r="G1981" s="18">
        <v>-245838</v>
      </c>
      <c r="H1981" t="s">
        <v>2</v>
      </c>
      <c r="I1981" t="s">
        <v>8</v>
      </c>
      <c r="J1981" s="18">
        <v>-20355386.399999999</v>
      </c>
      <c r="K1981" t="s">
        <v>4488</v>
      </c>
      <c r="L1981" t="s">
        <v>9</v>
      </c>
      <c r="M1981" t="s">
        <v>4480</v>
      </c>
      <c r="N1981" t="s">
        <v>3</v>
      </c>
      <c r="O1981" t="s">
        <v>3</v>
      </c>
      <c r="P1981" t="s">
        <v>5</v>
      </c>
      <c r="Q1981" t="s">
        <v>4488</v>
      </c>
      <c r="R1981" t="s">
        <v>3</v>
      </c>
      <c r="S1981" t="s">
        <v>3</v>
      </c>
      <c r="T1981" t="s">
        <v>3</v>
      </c>
      <c r="U1981" t="s">
        <v>3</v>
      </c>
      <c r="V1981" t="s">
        <v>3</v>
      </c>
      <c r="W1981" t="s">
        <v>68</v>
      </c>
      <c r="X1981" s="17">
        <v>43677</v>
      </c>
      <c r="Y1981" t="s">
        <v>2964</v>
      </c>
      <c r="Z1981" s="17">
        <v>43677</v>
      </c>
      <c r="AA1981" t="s">
        <v>3</v>
      </c>
      <c r="AB1981" t="s">
        <v>2964</v>
      </c>
    </row>
    <row r="1982" spans="1:28" hidden="1">
      <c r="A1982" t="s">
        <v>4156</v>
      </c>
      <c r="B1982" s="17">
        <v>43677</v>
      </c>
      <c r="C1982" s="17">
        <v>43677</v>
      </c>
      <c r="D1982" t="s">
        <v>7</v>
      </c>
      <c r="E1982" t="s">
        <v>1</v>
      </c>
      <c r="F1982" s="18">
        <v>0</v>
      </c>
      <c r="G1982" s="18">
        <v>0</v>
      </c>
      <c r="H1982" t="s">
        <v>2</v>
      </c>
      <c r="I1982" t="s">
        <v>10</v>
      </c>
      <c r="J1982" s="18">
        <v>0.01</v>
      </c>
      <c r="K1982" t="s">
        <v>4489</v>
      </c>
      <c r="L1982" t="s">
        <v>9</v>
      </c>
      <c r="M1982" t="s">
        <v>4480</v>
      </c>
      <c r="N1982" t="s">
        <v>3</v>
      </c>
      <c r="O1982" t="s">
        <v>3</v>
      </c>
      <c r="P1982" t="s">
        <v>5</v>
      </c>
      <c r="Q1982" t="s">
        <v>4489</v>
      </c>
      <c r="R1982" t="s">
        <v>3</v>
      </c>
      <c r="S1982" t="s">
        <v>3</v>
      </c>
      <c r="T1982" t="s">
        <v>3</v>
      </c>
      <c r="U1982" t="s">
        <v>3</v>
      </c>
      <c r="V1982" t="s">
        <v>3</v>
      </c>
      <c r="W1982" t="s">
        <v>68</v>
      </c>
      <c r="X1982" s="17">
        <v>43677</v>
      </c>
      <c r="Y1982" t="s">
        <v>4156</v>
      </c>
      <c r="Z1982" s="17">
        <v>43677</v>
      </c>
      <c r="AA1982" t="s">
        <v>3</v>
      </c>
      <c r="AB1982" t="s">
        <v>4156</v>
      </c>
    </row>
    <row r="1983" spans="1:28" hidden="1">
      <c r="A1983" t="s">
        <v>4490</v>
      </c>
      <c r="B1983" s="17">
        <v>43677</v>
      </c>
      <c r="C1983" s="17">
        <v>43677</v>
      </c>
      <c r="D1983" t="s">
        <v>7</v>
      </c>
      <c r="E1983" t="s">
        <v>1</v>
      </c>
      <c r="F1983" s="18">
        <v>33269</v>
      </c>
      <c r="G1983" s="18">
        <v>33269</v>
      </c>
      <c r="H1983" t="s">
        <v>2</v>
      </c>
      <c r="I1983" t="s">
        <v>10</v>
      </c>
      <c r="J1983" s="18">
        <v>2777961.51</v>
      </c>
      <c r="K1983" t="s">
        <v>4491</v>
      </c>
      <c r="L1983" t="s">
        <v>9</v>
      </c>
      <c r="M1983" t="s">
        <v>4480</v>
      </c>
      <c r="N1983" t="s">
        <v>3</v>
      </c>
      <c r="O1983" t="s">
        <v>3</v>
      </c>
      <c r="P1983" t="s">
        <v>5</v>
      </c>
      <c r="Q1983" t="s">
        <v>4491</v>
      </c>
      <c r="R1983" t="s">
        <v>3</v>
      </c>
      <c r="S1983" t="s">
        <v>3</v>
      </c>
      <c r="T1983" t="s">
        <v>3</v>
      </c>
      <c r="U1983" t="s">
        <v>3</v>
      </c>
      <c r="V1983" t="s">
        <v>3</v>
      </c>
      <c r="W1983" t="s">
        <v>68</v>
      </c>
      <c r="X1983" s="17">
        <v>43677</v>
      </c>
      <c r="Y1983" t="s">
        <v>4490</v>
      </c>
      <c r="Z1983" s="17">
        <v>43677</v>
      </c>
      <c r="AA1983" t="s">
        <v>3</v>
      </c>
      <c r="AB1983" t="s">
        <v>4490</v>
      </c>
    </row>
    <row r="1984" spans="1:28" hidden="1">
      <c r="A1984" t="s">
        <v>4490</v>
      </c>
      <c r="B1984" s="17">
        <v>43677</v>
      </c>
      <c r="C1984" s="17">
        <v>43677</v>
      </c>
      <c r="D1984" t="s">
        <v>7</v>
      </c>
      <c r="E1984" t="s">
        <v>1</v>
      </c>
      <c r="F1984" s="18">
        <v>-33269</v>
      </c>
      <c r="G1984" s="18">
        <v>-33269</v>
      </c>
      <c r="H1984" t="s">
        <v>2</v>
      </c>
      <c r="I1984" t="s">
        <v>10</v>
      </c>
      <c r="J1984" s="18">
        <v>-2777961.51</v>
      </c>
      <c r="K1984" t="s">
        <v>4491</v>
      </c>
      <c r="L1984" t="s">
        <v>9</v>
      </c>
      <c r="M1984" t="s">
        <v>4480</v>
      </c>
      <c r="N1984" t="s">
        <v>3</v>
      </c>
      <c r="O1984" t="s">
        <v>3</v>
      </c>
      <c r="P1984" t="s">
        <v>5</v>
      </c>
      <c r="Q1984" t="s">
        <v>4491</v>
      </c>
      <c r="R1984" t="s">
        <v>3</v>
      </c>
      <c r="S1984" t="s">
        <v>3</v>
      </c>
      <c r="T1984" t="s">
        <v>3</v>
      </c>
      <c r="U1984" t="s">
        <v>3</v>
      </c>
      <c r="V1984" t="s">
        <v>3</v>
      </c>
      <c r="W1984" t="s">
        <v>68</v>
      </c>
      <c r="X1984" s="17">
        <v>43677</v>
      </c>
      <c r="Y1984" t="s">
        <v>4490</v>
      </c>
      <c r="Z1984" s="17">
        <v>43677</v>
      </c>
      <c r="AA1984" t="s">
        <v>3</v>
      </c>
      <c r="AB1984" t="s">
        <v>4490</v>
      </c>
    </row>
    <row r="1985" spans="1:28" hidden="1">
      <c r="A1985" t="s">
        <v>4688</v>
      </c>
      <c r="B1985" s="17">
        <v>43677</v>
      </c>
      <c r="C1985" s="17">
        <v>43677</v>
      </c>
      <c r="D1985" t="s">
        <v>0</v>
      </c>
      <c r="E1985" t="s">
        <v>1</v>
      </c>
      <c r="F1985" s="18">
        <v>21553</v>
      </c>
      <c r="G1985" s="18">
        <v>21553</v>
      </c>
      <c r="H1985" t="s">
        <v>2</v>
      </c>
      <c r="I1985" t="s">
        <v>8</v>
      </c>
      <c r="J1985" s="18">
        <v>1799675.5</v>
      </c>
      <c r="K1985" t="s">
        <v>4650</v>
      </c>
      <c r="L1985" t="s">
        <v>9</v>
      </c>
      <c r="M1985" t="s">
        <v>4689</v>
      </c>
      <c r="N1985" t="s">
        <v>3</v>
      </c>
      <c r="O1985" t="s">
        <v>3</v>
      </c>
      <c r="P1985" t="s">
        <v>5</v>
      </c>
      <c r="Q1985" t="s">
        <v>4690</v>
      </c>
      <c r="R1985" t="s">
        <v>3</v>
      </c>
      <c r="S1985" t="s">
        <v>3</v>
      </c>
      <c r="T1985" t="s">
        <v>3</v>
      </c>
      <c r="U1985" t="s">
        <v>3</v>
      </c>
      <c r="V1985" t="s">
        <v>3</v>
      </c>
      <c r="W1985" t="s">
        <v>68</v>
      </c>
      <c r="X1985" s="17"/>
      <c r="Y1985" t="s">
        <v>3</v>
      </c>
      <c r="Z1985" s="17">
        <v>43677</v>
      </c>
      <c r="AA1985" t="s">
        <v>3</v>
      </c>
      <c r="AB1985" t="s">
        <v>4688</v>
      </c>
    </row>
    <row r="1986" spans="1:28" hidden="1">
      <c r="A1986" t="s">
        <v>4691</v>
      </c>
      <c r="B1986" s="17">
        <v>43677</v>
      </c>
      <c r="C1986" s="17">
        <v>43677</v>
      </c>
      <c r="D1986" t="s">
        <v>0</v>
      </c>
      <c r="E1986" t="s">
        <v>1</v>
      </c>
      <c r="F1986" s="18">
        <v>3144</v>
      </c>
      <c r="G1986" s="18">
        <v>3144</v>
      </c>
      <c r="H1986" t="s">
        <v>2</v>
      </c>
      <c r="I1986" t="s">
        <v>8</v>
      </c>
      <c r="J1986" s="18">
        <v>262524</v>
      </c>
      <c r="K1986" t="s">
        <v>4650</v>
      </c>
      <c r="L1986" t="s">
        <v>9</v>
      </c>
      <c r="M1986" t="s">
        <v>4692</v>
      </c>
      <c r="N1986" t="s">
        <v>3</v>
      </c>
      <c r="O1986" t="s">
        <v>3</v>
      </c>
      <c r="P1986" t="s">
        <v>5</v>
      </c>
      <c r="Q1986" t="s">
        <v>4693</v>
      </c>
      <c r="R1986" t="s">
        <v>3</v>
      </c>
      <c r="S1986" t="s">
        <v>3</v>
      </c>
      <c r="T1986" t="s">
        <v>3</v>
      </c>
      <c r="U1986" t="s">
        <v>3</v>
      </c>
      <c r="V1986" t="s">
        <v>3</v>
      </c>
      <c r="W1986" t="s">
        <v>68</v>
      </c>
      <c r="X1986" s="17"/>
      <c r="Y1986" t="s">
        <v>3</v>
      </c>
      <c r="Z1986" s="17">
        <v>43677</v>
      </c>
      <c r="AA1986" t="s">
        <v>3</v>
      </c>
      <c r="AB1986" t="s">
        <v>4691</v>
      </c>
    </row>
    <row r="1987" spans="1:28" hidden="1">
      <c r="A1987" t="s">
        <v>4720</v>
      </c>
      <c r="B1987" s="17">
        <v>43677</v>
      </c>
      <c r="C1987" s="17">
        <v>43677</v>
      </c>
      <c r="D1987" t="s">
        <v>0</v>
      </c>
      <c r="E1987" t="s">
        <v>1</v>
      </c>
      <c r="F1987" s="18">
        <v>-46350</v>
      </c>
      <c r="G1987" s="18">
        <v>-46350</v>
      </c>
      <c r="H1987" t="s">
        <v>2</v>
      </c>
      <c r="I1987" t="s">
        <v>8</v>
      </c>
      <c r="J1987" s="18">
        <v>-3870225</v>
      </c>
      <c r="K1987" t="s">
        <v>4381</v>
      </c>
      <c r="L1987" t="s">
        <v>9</v>
      </c>
      <c r="M1987" t="s">
        <v>4382</v>
      </c>
      <c r="N1987" t="s">
        <v>3</v>
      </c>
      <c r="O1987" t="s">
        <v>3</v>
      </c>
      <c r="P1987" t="s">
        <v>5</v>
      </c>
      <c r="Q1987" t="s">
        <v>4381</v>
      </c>
      <c r="R1987" t="s">
        <v>3</v>
      </c>
      <c r="S1987" t="s">
        <v>3</v>
      </c>
      <c r="T1987" t="s">
        <v>3</v>
      </c>
      <c r="U1987" t="s">
        <v>3</v>
      </c>
      <c r="V1987" t="s">
        <v>3</v>
      </c>
      <c r="W1987" t="s">
        <v>68</v>
      </c>
      <c r="X1987" s="17">
        <v>43678</v>
      </c>
      <c r="Y1987" t="s">
        <v>4380</v>
      </c>
      <c r="Z1987" s="17">
        <v>43677</v>
      </c>
      <c r="AA1987" t="s">
        <v>3</v>
      </c>
      <c r="AB1987" t="s">
        <v>4720</v>
      </c>
    </row>
    <row r="1988" spans="1:28" hidden="1">
      <c r="A1988" t="s">
        <v>4787</v>
      </c>
      <c r="B1988" s="17">
        <v>43677</v>
      </c>
      <c r="C1988" s="17">
        <v>43677</v>
      </c>
      <c r="D1988" t="s">
        <v>0</v>
      </c>
      <c r="E1988" t="s">
        <v>1</v>
      </c>
      <c r="F1988" s="18">
        <v>6793</v>
      </c>
      <c r="G1988" s="18">
        <v>6793</v>
      </c>
      <c r="H1988" t="s">
        <v>2</v>
      </c>
      <c r="I1988" t="s">
        <v>8</v>
      </c>
      <c r="J1988" s="18">
        <v>567215.5</v>
      </c>
      <c r="K1988" t="s">
        <v>4384</v>
      </c>
      <c r="L1988" t="s">
        <v>4</v>
      </c>
      <c r="M1988" t="s">
        <v>4385</v>
      </c>
      <c r="N1988" t="s">
        <v>3</v>
      </c>
      <c r="O1988" t="s">
        <v>3</v>
      </c>
      <c r="P1988" t="s">
        <v>5</v>
      </c>
      <c r="Q1988" t="s">
        <v>4384</v>
      </c>
      <c r="R1988" t="s">
        <v>3</v>
      </c>
      <c r="S1988" t="s">
        <v>3</v>
      </c>
      <c r="T1988" t="s">
        <v>3</v>
      </c>
      <c r="U1988" t="s">
        <v>3</v>
      </c>
      <c r="V1988" t="s">
        <v>3</v>
      </c>
      <c r="W1988" t="s">
        <v>68</v>
      </c>
      <c r="X1988" s="17">
        <v>43678</v>
      </c>
      <c r="Y1988" t="s">
        <v>4383</v>
      </c>
      <c r="Z1988" s="17">
        <v>43677</v>
      </c>
      <c r="AA1988" t="s">
        <v>3</v>
      </c>
      <c r="AB1988" t="s">
        <v>4787</v>
      </c>
    </row>
    <row r="1989" spans="1:28" hidden="1">
      <c r="A1989" t="s">
        <v>4380</v>
      </c>
      <c r="B1989" s="17">
        <v>43678</v>
      </c>
      <c r="C1989" s="17">
        <v>43677</v>
      </c>
      <c r="D1989" t="s">
        <v>38</v>
      </c>
      <c r="E1989" t="s">
        <v>1</v>
      </c>
      <c r="F1989" s="18">
        <v>46350</v>
      </c>
      <c r="G1989" s="18">
        <v>46350</v>
      </c>
      <c r="H1989" t="s">
        <v>2</v>
      </c>
      <c r="I1989" t="s">
        <v>8</v>
      </c>
      <c r="J1989" s="18">
        <v>3870225</v>
      </c>
      <c r="K1989" t="s">
        <v>4381</v>
      </c>
      <c r="L1989" t="s">
        <v>9</v>
      </c>
      <c r="M1989" t="s">
        <v>4382</v>
      </c>
      <c r="N1989" t="s">
        <v>3</v>
      </c>
      <c r="O1989" t="s">
        <v>3</v>
      </c>
      <c r="P1989" t="s">
        <v>5</v>
      </c>
      <c r="Q1989" t="s">
        <v>4381</v>
      </c>
      <c r="R1989" t="s">
        <v>3</v>
      </c>
      <c r="S1989" t="s">
        <v>3</v>
      </c>
      <c r="T1989" t="s">
        <v>3</v>
      </c>
      <c r="U1989" t="s">
        <v>3</v>
      </c>
      <c r="V1989" t="s">
        <v>3</v>
      </c>
      <c r="W1989" t="s">
        <v>68</v>
      </c>
      <c r="X1989" s="17">
        <v>43678</v>
      </c>
      <c r="Y1989" t="s">
        <v>4380</v>
      </c>
      <c r="Z1989" s="17">
        <v>43677</v>
      </c>
      <c r="AA1989" t="s">
        <v>3</v>
      </c>
      <c r="AB1989" t="s">
        <v>4380</v>
      </c>
    </row>
    <row r="1990" spans="1:28" hidden="1">
      <c r="A1990" t="s">
        <v>4383</v>
      </c>
      <c r="B1990" s="17">
        <v>43678</v>
      </c>
      <c r="C1990" s="17">
        <v>43677</v>
      </c>
      <c r="D1990" t="s">
        <v>38</v>
      </c>
      <c r="E1990" t="s">
        <v>1</v>
      </c>
      <c r="F1990" s="18">
        <v>-6793</v>
      </c>
      <c r="G1990" s="18">
        <v>-6793</v>
      </c>
      <c r="H1990" t="s">
        <v>2</v>
      </c>
      <c r="I1990" t="s">
        <v>8</v>
      </c>
      <c r="J1990" s="18">
        <v>-567215.5</v>
      </c>
      <c r="K1990" t="s">
        <v>4384</v>
      </c>
      <c r="L1990" t="s">
        <v>4</v>
      </c>
      <c r="M1990" t="s">
        <v>4385</v>
      </c>
      <c r="N1990" t="s">
        <v>3</v>
      </c>
      <c r="O1990" t="s">
        <v>3</v>
      </c>
      <c r="P1990" t="s">
        <v>5</v>
      </c>
      <c r="Q1990" t="s">
        <v>4384</v>
      </c>
      <c r="R1990" t="s">
        <v>3</v>
      </c>
      <c r="S1990" t="s">
        <v>3</v>
      </c>
      <c r="T1990" t="s">
        <v>3</v>
      </c>
      <c r="U1990" t="s">
        <v>3</v>
      </c>
      <c r="V1990" t="s">
        <v>3</v>
      </c>
      <c r="W1990" t="s">
        <v>68</v>
      </c>
      <c r="X1990" s="17">
        <v>43678</v>
      </c>
      <c r="Y1990" t="s">
        <v>4383</v>
      </c>
      <c r="Z1990" s="17">
        <v>43677</v>
      </c>
      <c r="AA1990" t="s">
        <v>3</v>
      </c>
      <c r="AB1990" t="s">
        <v>4383</v>
      </c>
    </row>
    <row r="1991" spans="1:28" hidden="1">
      <c r="A1991" t="s">
        <v>4699</v>
      </c>
      <c r="B1991" s="17">
        <v>43678</v>
      </c>
      <c r="C1991" s="17">
        <v>43678</v>
      </c>
      <c r="D1991" t="s">
        <v>0</v>
      </c>
      <c r="E1991" t="s">
        <v>1</v>
      </c>
      <c r="F1991" s="18">
        <v>-46350</v>
      </c>
      <c r="G1991" s="18">
        <v>-46350</v>
      </c>
      <c r="H1991" t="s">
        <v>2</v>
      </c>
      <c r="I1991" t="s">
        <v>10</v>
      </c>
      <c r="J1991" s="18">
        <v>-3870225.01</v>
      </c>
      <c r="K1991" t="s">
        <v>4700</v>
      </c>
      <c r="L1991" t="s">
        <v>9</v>
      </c>
      <c r="M1991" t="s">
        <v>4701</v>
      </c>
      <c r="N1991" t="s">
        <v>3</v>
      </c>
      <c r="O1991" t="s">
        <v>3</v>
      </c>
      <c r="P1991" t="s">
        <v>5</v>
      </c>
      <c r="Q1991" t="s">
        <v>4702</v>
      </c>
      <c r="R1991" t="s">
        <v>3</v>
      </c>
      <c r="S1991" t="s">
        <v>3</v>
      </c>
      <c r="T1991" t="s">
        <v>3</v>
      </c>
      <c r="U1991" t="s">
        <v>3</v>
      </c>
      <c r="V1991" t="s">
        <v>3</v>
      </c>
      <c r="W1991" t="s">
        <v>68</v>
      </c>
      <c r="X1991" s="17">
        <v>43716</v>
      </c>
      <c r="Y1991" t="s">
        <v>4703</v>
      </c>
      <c r="Z1991" s="17">
        <v>43678</v>
      </c>
      <c r="AA1991" t="s">
        <v>3</v>
      </c>
      <c r="AB1991" t="s">
        <v>4699</v>
      </c>
    </row>
    <row r="1992" spans="1:28" hidden="1">
      <c r="A1992" t="s">
        <v>4704</v>
      </c>
      <c r="B1992" s="17">
        <v>43681</v>
      </c>
      <c r="C1992" s="17">
        <v>43681</v>
      </c>
      <c r="D1992" t="s">
        <v>0</v>
      </c>
      <c r="E1992" t="s">
        <v>1</v>
      </c>
      <c r="F1992" s="18">
        <v>2557.64</v>
      </c>
      <c r="G1992" s="18">
        <v>2557.64</v>
      </c>
      <c r="H1992" t="s">
        <v>2</v>
      </c>
      <c r="I1992" t="s">
        <v>10</v>
      </c>
      <c r="J1992" s="18">
        <v>213562.94</v>
      </c>
      <c r="K1992" t="s">
        <v>4705</v>
      </c>
      <c r="L1992" t="s">
        <v>4</v>
      </c>
      <c r="M1992" t="s">
        <v>4706</v>
      </c>
      <c r="N1992" t="s">
        <v>3</v>
      </c>
      <c r="O1992" t="s">
        <v>3</v>
      </c>
      <c r="P1992" t="s">
        <v>5</v>
      </c>
      <c r="Q1992" t="s">
        <v>4707</v>
      </c>
      <c r="R1992" t="s">
        <v>3</v>
      </c>
      <c r="S1992" t="s">
        <v>3</v>
      </c>
      <c r="T1992" t="s">
        <v>3</v>
      </c>
      <c r="U1992" t="s">
        <v>3</v>
      </c>
      <c r="V1992" t="s">
        <v>3</v>
      </c>
      <c r="W1992" t="s">
        <v>68</v>
      </c>
      <c r="X1992" s="17"/>
      <c r="Y1992" t="s">
        <v>3</v>
      </c>
      <c r="Z1992" s="17">
        <v>43681</v>
      </c>
      <c r="AA1992" t="s">
        <v>3</v>
      </c>
      <c r="AB1992" t="s">
        <v>4704</v>
      </c>
    </row>
    <row r="1993" spans="1:28" s="34" customFormat="1">
      <c r="A1993" s="37" t="s">
        <v>4708</v>
      </c>
      <c r="B1993" s="32">
        <v>43681</v>
      </c>
      <c r="C1993" s="32">
        <v>43681</v>
      </c>
      <c r="D1993" s="31" t="s">
        <v>0</v>
      </c>
      <c r="E1993" s="31" t="s">
        <v>1</v>
      </c>
      <c r="F1993" s="33">
        <v>-1390788</v>
      </c>
      <c r="G1993" s="49">
        <v>-1390788</v>
      </c>
      <c r="H1993" s="31" t="s">
        <v>2</v>
      </c>
      <c r="I1993" s="31" t="s">
        <v>8</v>
      </c>
      <c r="J1993" s="49">
        <v>-116130798.01000001</v>
      </c>
      <c r="K1993" s="31" t="s">
        <v>4709</v>
      </c>
      <c r="L1993" s="31" t="s">
        <v>9</v>
      </c>
      <c r="M1993" s="31" t="s">
        <v>4710</v>
      </c>
      <c r="N1993" s="31" t="s">
        <v>3</v>
      </c>
      <c r="O1993" s="31" t="s">
        <v>3</v>
      </c>
      <c r="P1993" s="31" t="s">
        <v>5</v>
      </c>
      <c r="Q1993" s="31" t="s">
        <v>4711</v>
      </c>
      <c r="R1993" s="31" t="s">
        <v>3</v>
      </c>
      <c r="S1993" s="31" t="s">
        <v>3</v>
      </c>
      <c r="T1993" s="31" t="s">
        <v>3</v>
      </c>
      <c r="U1993" s="31" t="s">
        <v>3</v>
      </c>
      <c r="V1993" s="31" t="s">
        <v>3</v>
      </c>
      <c r="W1993" s="31" t="s">
        <v>68</v>
      </c>
      <c r="X1993" s="32">
        <v>44012</v>
      </c>
      <c r="Y1993" s="31" t="s">
        <v>4137</v>
      </c>
      <c r="Z1993" s="32">
        <v>43681</v>
      </c>
      <c r="AA1993" s="31" t="s">
        <v>3</v>
      </c>
      <c r="AB1993" s="31" t="s">
        <v>4708</v>
      </c>
    </row>
    <row r="1994" spans="1:28" hidden="1">
      <c r="A1994" t="s">
        <v>4712</v>
      </c>
      <c r="B1994" s="17">
        <v>43681</v>
      </c>
      <c r="C1994" s="17">
        <v>43681</v>
      </c>
      <c r="D1994" t="s">
        <v>0</v>
      </c>
      <c r="E1994" t="s">
        <v>1</v>
      </c>
      <c r="F1994" s="18">
        <v>8952</v>
      </c>
      <c r="G1994" s="18">
        <v>8952</v>
      </c>
      <c r="H1994" t="s">
        <v>2</v>
      </c>
      <c r="I1994" t="s">
        <v>8</v>
      </c>
      <c r="J1994" s="18">
        <v>747492</v>
      </c>
      <c r="K1994" t="s">
        <v>4713</v>
      </c>
      <c r="L1994" t="s">
        <v>9</v>
      </c>
      <c r="M1994" t="s">
        <v>4714</v>
      </c>
      <c r="N1994" t="s">
        <v>3</v>
      </c>
      <c r="O1994" t="s">
        <v>3</v>
      </c>
      <c r="P1994" t="s">
        <v>5</v>
      </c>
      <c r="Q1994" t="s">
        <v>4715</v>
      </c>
      <c r="R1994" t="s">
        <v>3</v>
      </c>
      <c r="S1994" t="s">
        <v>3</v>
      </c>
      <c r="T1994" t="s">
        <v>3</v>
      </c>
      <c r="U1994" t="s">
        <v>3</v>
      </c>
      <c r="V1994" t="s">
        <v>3</v>
      </c>
      <c r="W1994" t="s">
        <v>68</v>
      </c>
      <c r="X1994" s="17"/>
      <c r="Y1994" t="s">
        <v>3</v>
      </c>
      <c r="Z1994" s="17">
        <v>43681</v>
      </c>
      <c r="AA1994" t="s">
        <v>3</v>
      </c>
      <c r="AB1994" t="s">
        <v>4712</v>
      </c>
    </row>
    <row r="1995" spans="1:28" hidden="1">
      <c r="A1995" t="s">
        <v>4712</v>
      </c>
      <c r="B1995" s="17">
        <v>43681</v>
      </c>
      <c r="C1995" s="17">
        <v>43681</v>
      </c>
      <c r="D1995" t="s">
        <v>0</v>
      </c>
      <c r="E1995" t="s">
        <v>1</v>
      </c>
      <c r="F1995" s="18">
        <v>179401</v>
      </c>
      <c r="G1995" s="18">
        <v>179401</v>
      </c>
      <c r="H1995" t="s">
        <v>2</v>
      </c>
      <c r="I1995" t="s">
        <v>8</v>
      </c>
      <c r="J1995" s="18">
        <v>14979983.5</v>
      </c>
      <c r="K1995" t="s">
        <v>4716</v>
      </c>
      <c r="L1995" t="s">
        <v>9</v>
      </c>
      <c r="M1995" t="s">
        <v>4714</v>
      </c>
      <c r="N1995" t="s">
        <v>3</v>
      </c>
      <c r="O1995" t="s">
        <v>3</v>
      </c>
      <c r="P1995" t="s">
        <v>5</v>
      </c>
      <c r="Q1995" t="s">
        <v>4715</v>
      </c>
      <c r="R1995" t="s">
        <v>3</v>
      </c>
      <c r="S1995" t="s">
        <v>3</v>
      </c>
      <c r="T1995" t="s">
        <v>3</v>
      </c>
      <c r="U1995" t="s">
        <v>3</v>
      </c>
      <c r="V1995" t="s">
        <v>3</v>
      </c>
      <c r="W1995" t="s">
        <v>68</v>
      </c>
      <c r="X1995" s="17">
        <v>44012</v>
      </c>
      <c r="Y1995" t="s">
        <v>4137</v>
      </c>
      <c r="Z1995" s="17">
        <v>43681</v>
      </c>
      <c r="AA1995" t="s">
        <v>3</v>
      </c>
      <c r="AB1995" t="s">
        <v>4712</v>
      </c>
    </row>
    <row r="1996" spans="1:28" hidden="1">
      <c r="A1996" t="s">
        <v>4717</v>
      </c>
      <c r="B1996" s="17">
        <v>43681</v>
      </c>
      <c r="C1996" s="17">
        <v>43681</v>
      </c>
      <c r="D1996" t="s">
        <v>0</v>
      </c>
      <c r="E1996" t="s">
        <v>1</v>
      </c>
      <c r="F1996" s="18">
        <v>4252.83</v>
      </c>
      <c r="G1996" s="18">
        <v>4252.83</v>
      </c>
      <c r="H1996" t="s">
        <v>2</v>
      </c>
      <c r="I1996" t="s">
        <v>8</v>
      </c>
      <c r="J1996" s="18">
        <v>355111.31</v>
      </c>
      <c r="K1996" t="s">
        <v>4509</v>
      </c>
      <c r="L1996" t="s">
        <v>4</v>
      </c>
      <c r="M1996" t="s">
        <v>4718</v>
      </c>
      <c r="N1996" t="s">
        <v>3</v>
      </c>
      <c r="O1996" t="s">
        <v>3</v>
      </c>
      <c r="P1996" t="s">
        <v>5</v>
      </c>
      <c r="Q1996" t="s">
        <v>4719</v>
      </c>
      <c r="R1996" t="s">
        <v>3</v>
      </c>
      <c r="S1996" t="s">
        <v>3</v>
      </c>
      <c r="T1996" t="s">
        <v>3</v>
      </c>
      <c r="U1996" t="s">
        <v>3</v>
      </c>
      <c r="V1996" t="s">
        <v>3</v>
      </c>
      <c r="W1996" t="s">
        <v>68</v>
      </c>
      <c r="X1996" s="17"/>
      <c r="Y1996" t="s">
        <v>3</v>
      </c>
      <c r="Z1996" s="17">
        <v>43681</v>
      </c>
      <c r="AA1996" t="s">
        <v>3</v>
      </c>
      <c r="AB1996" t="s">
        <v>4717</v>
      </c>
    </row>
    <row r="1997" spans="1:28" hidden="1">
      <c r="A1997" t="s">
        <v>4721</v>
      </c>
      <c r="B1997" s="17">
        <v>43683</v>
      </c>
      <c r="C1997" s="17">
        <v>43683</v>
      </c>
      <c r="D1997" t="s">
        <v>0</v>
      </c>
      <c r="E1997" t="s">
        <v>1</v>
      </c>
      <c r="F1997" s="18">
        <v>-416719.68</v>
      </c>
      <c r="G1997" s="18">
        <v>-416719.68</v>
      </c>
      <c r="H1997" t="s">
        <v>2</v>
      </c>
      <c r="I1997" t="s">
        <v>8</v>
      </c>
      <c r="J1997" s="18">
        <v>-34796093.289999999</v>
      </c>
      <c r="K1997" t="s">
        <v>4722</v>
      </c>
      <c r="L1997" t="s">
        <v>4</v>
      </c>
      <c r="M1997" t="s">
        <v>4723</v>
      </c>
      <c r="N1997" t="s">
        <v>3</v>
      </c>
      <c r="O1997" t="s">
        <v>3</v>
      </c>
      <c r="P1997" t="s">
        <v>5</v>
      </c>
      <c r="Q1997" t="s">
        <v>4724</v>
      </c>
      <c r="R1997" t="s">
        <v>3</v>
      </c>
      <c r="S1997" t="s">
        <v>3</v>
      </c>
      <c r="T1997" t="s">
        <v>3</v>
      </c>
      <c r="U1997" t="s">
        <v>3</v>
      </c>
      <c r="V1997" t="s">
        <v>3</v>
      </c>
      <c r="W1997" t="s">
        <v>68</v>
      </c>
      <c r="X1997" s="17"/>
      <c r="Y1997" t="s">
        <v>3</v>
      </c>
      <c r="Z1997" s="17">
        <v>43683</v>
      </c>
      <c r="AA1997" t="s">
        <v>3</v>
      </c>
      <c r="AB1997" t="s">
        <v>4721</v>
      </c>
    </row>
    <row r="1998" spans="1:28" hidden="1">
      <c r="A1998" t="s">
        <v>4725</v>
      </c>
      <c r="B1998" s="17">
        <v>43683</v>
      </c>
      <c r="C1998" s="17">
        <v>43683</v>
      </c>
      <c r="D1998" t="s">
        <v>0</v>
      </c>
      <c r="E1998" t="s">
        <v>1</v>
      </c>
      <c r="F1998" s="18">
        <v>-52774</v>
      </c>
      <c r="G1998" s="18">
        <v>-52774</v>
      </c>
      <c r="H1998" t="s">
        <v>2</v>
      </c>
      <c r="I1998" t="s">
        <v>8</v>
      </c>
      <c r="J1998" s="18">
        <v>-4406629.0199999996</v>
      </c>
      <c r="K1998" t="s">
        <v>4726</v>
      </c>
      <c r="L1998" t="s">
        <v>4</v>
      </c>
      <c r="M1998" t="s">
        <v>4727</v>
      </c>
      <c r="N1998" t="s">
        <v>3</v>
      </c>
      <c r="O1998" t="s">
        <v>3</v>
      </c>
      <c r="P1998" t="s">
        <v>5</v>
      </c>
      <c r="Q1998" t="s">
        <v>4728</v>
      </c>
      <c r="R1998" t="s">
        <v>3</v>
      </c>
      <c r="S1998" t="s">
        <v>3</v>
      </c>
      <c r="T1998" t="s">
        <v>3</v>
      </c>
      <c r="U1998" t="s">
        <v>3</v>
      </c>
      <c r="V1998" t="s">
        <v>3</v>
      </c>
      <c r="W1998" t="s">
        <v>68</v>
      </c>
      <c r="X1998" s="17"/>
      <c r="Y1998" t="s">
        <v>3</v>
      </c>
      <c r="Z1998" s="17">
        <v>43683</v>
      </c>
      <c r="AA1998" t="s">
        <v>3</v>
      </c>
      <c r="AB1998" t="s">
        <v>4725</v>
      </c>
    </row>
    <row r="1999" spans="1:28" hidden="1">
      <c r="A1999" t="s">
        <v>4729</v>
      </c>
      <c r="B1999" s="17">
        <v>43683</v>
      </c>
      <c r="C1999" s="17">
        <v>43683</v>
      </c>
      <c r="D1999" t="s">
        <v>0</v>
      </c>
      <c r="E1999" t="s">
        <v>1</v>
      </c>
      <c r="F1999" s="18">
        <v>1611</v>
      </c>
      <c r="G1999" s="18">
        <v>1611</v>
      </c>
      <c r="H1999" t="s">
        <v>2</v>
      </c>
      <c r="I1999" t="s">
        <v>8</v>
      </c>
      <c r="J1999" s="18">
        <v>134518.5</v>
      </c>
      <c r="K1999" t="s">
        <v>4509</v>
      </c>
      <c r="L1999" t="s">
        <v>4</v>
      </c>
      <c r="M1999" t="s">
        <v>4730</v>
      </c>
      <c r="N1999" t="s">
        <v>3</v>
      </c>
      <c r="O1999" t="s">
        <v>3</v>
      </c>
      <c r="P1999" t="s">
        <v>5</v>
      </c>
      <c r="Q1999" t="s">
        <v>4731</v>
      </c>
      <c r="R1999" t="s">
        <v>3</v>
      </c>
      <c r="S1999" t="s">
        <v>3</v>
      </c>
      <c r="T1999" t="s">
        <v>3</v>
      </c>
      <c r="U1999" t="s">
        <v>3</v>
      </c>
      <c r="V1999" t="s">
        <v>3</v>
      </c>
      <c r="W1999" t="s">
        <v>68</v>
      </c>
      <c r="X1999" s="17"/>
      <c r="Y1999" t="s">
        <v>3</v>
      </c>
      <c r="Z1999" s="17">
        <v>43683</v>
      </c>
      <c r="AA1999" t="s">
        <v>3</v>
      </c>
      <c r="AB1999" t="s">
        <v>4729</v>
      </c>
    </row>
    <row r="2000" spans="1:28" hidden="1">
      <c r="A2000" t="s">
        <v>4729</v>
      </c>
      <c r="B2000" s="17">
        <v>43683</v>
      </c>
      <c r="C2000" s="17">
        <v>43683</v>
      </c>
      <c r="D2000" t="s">
        <v>0</v>
      </c>
      <c r="E2000" t="s">
        <v>1</v>
      </c>
      <c r="F2000" s="18">
        <v>4432</v>
      </c>
      <c r="G2000" s="18">
        <v>4432</v>
      </c>
      <c r="H2000" t="s">
        <v>2</v>
      </c>
      <c r="I2000" t="s">
        <v>8</v>
      </c>
      <c r="J2000" s="18">
        <v>369983.36</v>
      </c>
      <c r="K2000" t="s">
        <v>4512</v>
      </c>
      <c r="L2000" t="s">
        <v>4</v>
      </c>
      <c r="M2000" t="s">
        <v>4730</v>
      </c>
      <c r="N2000" t="s">
        <v>3</v>
      </c>
      <c r="O2000" t="s">
        <v>3</v>
      </c>
      <c r="P2000" t="s">
        <v>5</v>
      </c>
      <c r="Q2000" t="s">
        <v>4731</v>
      </c>
      <c r="R2000" t="s">
        <v>3</v>
      </c>
      <c r="S2000" t="s">
        <v>3</v>
      </c>
      <c r="T2000" t="s">
        <v>3</v>
      </c>
      <c r="U2000" t="s">
        <v>3</v>
      </c>
      <c r="V2000" t="s">
        <v>3</v>
      </c>
      <c r="W2000" t="s">
        <v>68</v>
      </c>
      <c r="X2000" s="17"/>
      <c r="Y2000" t="s">
        <v>3</v>
      </c>
      <c r="Z2000" s="17">
        <v>43683</v>
      </c>
      <c r="AA2000" t="s">
        <v>3</v>
      </c>
      <c r="AB2000" t="s">
        <v>4729</v>
      </c>
    </row>
    <row r="2001" spans="1:28" hidden="1">
      <c r="A2001" t="s">
        <v>4732</v>
      </c>
      <c r="B2001" s="17">
        <v>43683</v>
      </c>
      <c r="C2001" s="17">
        <v>43683</v>
      </c>
      <c r="D2001" t="s">
        <v>0</v>
      </c>
      <c r="E2001" t="s">
        <v>1</v>
      </c>
      <c r="F2001" s="18">
        <v>63910</v>
      </c>
      <c r="G2001" s="18">
        <v>63910</v>
      </c>
      <c r="H2001" t="s">
        <v>2</v>
      </c>
      <c r="I2001" t="s">
        <v>8</v>
      </c>
      <c r="J2001" s="18">
        <v>5336485</v>
      </c>
      <c r="K2001" t="s">
        <v>4604</v>
      </c>
      <c r="L2001" t="s">
        <v>9</v>
      </c>
      <c r="M2001" t="s">
        <v>4733</v>
      </c>
      <c r="N2001" t="s">
        <v>3</v>
      </c>
      <c r="O2001" t="s">
        <v>3</v>
      </c>
      <c r="P2001" t="s">
        <v>5</v>
      </c>
      <c r="Q2001" t="s">
        <v>4734</v>
      </c>
      <c r="R2001" t="s">
        <v>3</v>
      </c>
      <c r="S2001" t="s">
        <v>3</v>
      </c>
      <c r="T2001" t="s">
        <v>3</v>
      </c>
      <c r="U2001" t="s">
        <v>3</v>
      </c>
      <c r="V2001" t="s">
        <v>3</v>
      </c>
      <c r="W2001" t="s">
        <v>68</v>
      </c>
      <c r="X2001" s="17"/>
      <c r="Y2001" t="s">
        <v>3</v>
      </c>
      <c r="Z2001" s="17">
        <v>43683</v>
      </c>
      <c r="AA2001" t="s">
        <v>3</v>
      </c>
      <c r="AB2001" t="s">
        <v>4732</v>
      </c>
    </row>
    <row r="2002" spans="1:28" hidden="1">
      <c r="A2002" t="s">
        <v>4732</v>
      </c>
      <c r="B2002" s="17">
        <v>43683</v>
      </c>
      <c r="C2002" s="17">
        <v>43683</v>
      </c>
      <c r="D2002" t="s">
        <v>0</v>
      </c>
      <c r="E2002" t="s">
        <v>1</v>
      </c>
      <c r="F2002" s="18">
        <v>34746</v>
      </c>
      <c r="G2002" s="18">
        <v>34746</v>
      </c>
      <c r="H2002" t="s">
        <v>2</v>
      </c>
      <c r="I2002" t="s">
        <v>8</v>
      </c>
      <c r="J2002" s="18">
        <v>2900596.08</v>
      </c>
      <c r="K2002" t="s">
        <v>4735</v>
      </c>
      <c r="L2002" t="s">
        <v>9</v>
      </c>
      <c r="M2002" t="s">
        <v>4733</v>
      </c>
      <c r="N2002" t="s">
        <v>3</v>
      </c>
      <c r="O2002" t="s">
        <v>3</v>
      </c>
      <c r="P2002" t="s">
        <v>5</v>
      </c>
      <c r="Q2002" t="s">
        <v>4734</v>
      </c>
      <c r="R2002" t="s">
        <v>3</v>
      </c>
      <c r="S2002" t="s">
        <v>3</v>
      </c>
      <c r="T2002" t="s">
        <v>3</v>
      </c>
      <c r="U2002" t="s">
        <v>3</v>
      </c>
      <c r="V2002" t="s">
        <v>3</v>
      </c>
      <c r="W2002" t="s">
        <v>68</v>
      </c>
      <c r="X2002" s="17">
        <v>43769</v>
      </c>
      <c r="Y2002" t="s">
        <v>4005</v>
      </c>
      <c r="Z2002" s="17">
        <v>43683</v>
      </c>
      <c r="AA2002" t="s">
        <v>3</v>
      </c>
      <c r="AB2002" t="s">
        <v>4732</v>
      </c>
    </row>
    <row r="2003" spans="1:28" hidden="1">
      <c r="A2003" t="s">
        <v>4732</v>
      </c>
      <c r="B2003" s="17">
        <v>43683</v>
      </c>
      <c r="C2003" s="17">
        <v>43683</v>
      </c>
      <c r="D2003" t="s">
        <v>0</v>
      </c>
      <c r="E2003" t="s">
        <v>1</v>
      </c>
      <c r="F2003" s="18">
        <v>3634</v>
      </c>
      <c r="G2003" s="18">
        <v>3634</v>
      </c>
      <c r="H2003" t="s">
        <v>2</v>
      </c>
      <c r="I2003" t="s">
        <v>8</v>
      </c>
      <c r="J2003" s="18">
        <v>303439</v>
      </c>
      <c r="K2003" t="s">
        <v>4736</v>
      </c>
      <c r="L2003" t="s">
        <v>9</v>
      </c>
      <c r="M2003" t="s">
        <v>4733</v>
      </c>
      <c r="N2003" t="s">
        <v>3</v>
      </c>
      <c r="O2003" t="s">
        <v>3</v>
      </c>
      <c r="P2003" t="s">
        <v>5</v>
      </c>
      <c r="Q2003" t="s">
        <v>4734</v>
      </c>
      <c r="R2003" t="s">
        <v>3</v>
      </c>
      <c r="S2003" t="s">
        <v>3</v>
      </c>
      <c r="T2003" t="s">
        <v>3</v>
      </c>
      <c r="U2003" t="s">
        <v>3</v>
      </c>
      <c r="V2003" t="s">
        <v>3</v>
      </c>
      <c r="W2003" t="s">
        <v>68</v>
      </c>
      <c r="X2003" s="17">
        <v>44012</v>
      </c>
      <c r="Y2003" t="s">
        <v>4137</v>
      </c>
      <c r="Z2003" s="17">
        <v>43683</v>
      </c>
      <c r="AA2003" t="s">
        <v>3</v>
      </c>
      <c r="AB2003" t="s">
        <v>4732</v>
      </c>
    </row>
    <row r="2004" spans="1:28" hidden="1">
      <c r="A2004" t="s">
        <v>4732</v>
      </c>
      <c r="B2004" s="17">
        <v>43683</v>
      </c>
      <c r="C2004" s="17">
        <v>43683</v>
      </c>
      <c r="D2004" t="s">
        <v>0</v>
      </c>
      <c r="E2004" t="s">
        <v>1</v>
      </c>
      <c r="F2004" s="18">
        <v>57040</v>
      </c>
      <c r="G2004" s="18">
        <v>57040</v>
      </c>
      <c r="H2004" t="s">
        <v>2</v>
      </c>
      <c r="I2004" t="s">
        <v>8</v>
      </c>
      <c r="J2004" s="18">
        <v>4761699.2</v>
      </c>
      <c r="K2004" t="s">
        <v>4607</v>
      </c>
      <c r="L2004" t="s">
        <v>9</v>
      </c>
      <c r="M2004" t="s">
        <v>4733</v>
      </c>
      <c r="N2004" t="s">
        <v>3</v>
      </c>
      <c r="O2004" t="s">
        <v>3</v>
      </c>
      <c r="P2004" t="s">
        <v>5</v>
      </c>
      <c r="Q2004" t="s">
        <v>4734</v>
      </c>
      <c r="R2004" t="s">
        <v>3</v>
      </c>
      <c r="S2004" t="s">
        <v>3</v>
      </c>
      <c r="T2004" t="s">
        <v>3</v>
      </c>
      <c r="U2004" t="s">
        <v>3</v>
      </c>
      <c r="V2004" t="s">
        <v>3</v>
      </c>
      <c r="W2004" t="s">
        <v>68</v>
      </c>
      <c r="X2004" s="17">
        <v>43769</v>
      </c>
      <c r="Y2004" t="s">
        <v>4160</v>
      </c>
      <c r="Z2004" s="17">
        <v>43683</v>
      </c>
      <c r="AA2004" t="s">
        <v>3</v>
      </c>
      <c r="AB2004" t="s">
        <v>4732</v>
      </c>
    </row>
    <row r="2005" spans="1:28" hidden="1">
      <c r="A2005" t="s">
        <v>4732</v>
      </c>
      <c r="B2005" s="17">
        <v>43683</v>
      </c>
      <c r="C2005" s="17">
        <v>43683</v>
      </c>
      <c r="D2005" t="s">
        <v>0</v>
      </c>
      <c r="E2005" t="s">
        <v>1</v>
      </c>
      <c r="F2005" s="18">
        <v>25128</v>
      </c>
      <c r="G2005" s="18">
        <v>25128</v>
      </c>
      <c r="H2005" t="s">
        <v>2</v>
      </c>
      <c r="I2005" t="s">
        <v>8</v>
      </c>
      <c r="J2005" s="18">
        <v>2097685.44</v>
      </c>
      <c r="K2005" t="s">
        <v>4608</v>
      </c>
      <c r="L2005" t="s">
        <v>9</v>
      </c>
      <c r="M2005" t="s">
        <v>4733</v>
      </c>
      <c r="N2005" t="s">
        <v>3</v>
      </c>
      <c r="O2005" t="s">
        <v>3</v>
      </c>
      <c r="P2005" t="s">
        <v>5</v>
      </c>
      <c r="Q2005" t="s">
        <v>4734</v>
      </c>
      <c r="R2005" t="s">
        <v>3</v>
      </c>
      <c r="S2005" t="s">
        <v>3</v>
      </c>
      <c r="T2005" t="s">
        <v>3</v>
      </c>
      <c r="U2005" t="s">
        <v>3</v>
      </c>
      <c r="V2005" t="s">
        <v>3</v>
      </c>
      <c r="W2005" t="s">
        <v>68</v>
      </c>
      <c r="X2005" s="17">
        <v>44012</v>
      </c>
      <c r="Y2005" t="s">
        <v>4137</v>
      </c>
      <c r="Z2005" s="17">
        <v>43683</v>
      </c>
      <c r="AA2005" t="s">
        <v>3</v>
      </c>
      <c r="AB2005" t="s">
        <v>4732</v>
      </c>
    </row>
    <row r="2006" spans="1:28" hidden="1">
      <c r="A2006" t="s">
        <v>4737</v>
      </c>
      <c r="B2006" s="17">
        <v>43683</v>
      </c>
      <c r="C2006" s="17">
        <v>43683</v>
      </c>
      <c r="D2006" t="s">
        <v>0</v>
      </c>
      <c r="E2006" t="s">
        <v>1</v>
      </c>
      <c r="F2006" s="18">
        <v>-187048.64</v>
      </c>
      <c r="G2006" s="18">
        <v>-187048.64</v>
      </c>
      <c r="H2006" t="s">
        <v>2</v>
      </c>
      <c r="I2006" t="s">
        <v>10</v>
      </c>
      <c r="J2006" s="18">
        <v>-15618561.449999999</v>
      </c>
      <c r="K2006" t="s">
        <v>4738</v>
      </c>
      <c r="L2006" t="s">
        <v>4</v>
      </c>
      <c r="M2006" t="s">
        <v>4739</v>
      </c>
      <c r="N2006" t="s">
        <v>3</v>
      </c>
      <c r="O2006" t="s">
        <v>3</v>
      </c>
      <c r="P2006" t="s">
        <v>5</v>
      </c>
      <c r="Q2006" t="s">
        <v>4740</v>
      </c>
      <c r="R2006" t="s">
        <v>3</v>
      </c>
      <c r="S2006" t="s">
        <v>3</v>
      </c>
      <c r="T2006" t="s">
        <v>3</v>
      </c>
      <c r="U2006" t="s">
        <v>3</v>
      </c>
      <c r="V2006" t="s">
        <v>3</v>
      </c>
      <c r="W2006" t="s">
        <v>68</v>
      </c>
      <c r="X2006" s="17"/>
      <c r="Y2006" t="s">
        <v>3</v>
      </c>
      <c r="Z2006" s="17">
        <v>43683</v>
      </c>
      <c r="AA2006" t="s">
        <v>3</v>
      </c>
      <c r="AB2006" t="s">
        <v>4737</v>
      </c>
    </row>
    <row r="2007" spans="1:28" hidden="1">
      <c r="A2007" t="s">
        <v>4741</v>
      </c>
      <c r="B2007" s="17">
        <v>43685</v>
      </c>
      <c r="C2007" s="17">
        <v>43685</v>
      </c>
      <c r="D2007" t="s">
        <v>0</v>
      </c>
      <c r="E2007" t="s">
        <v>1</v>
      </c>
      <c r="F2007" s="18">
        <v>3583.2</v>
      </c>
      <c r="G2007" s="18">
        <v>3583.2</v>
      </c>
      <c r="H2007" t="s">
        <v>2</v>
      </c>
      <c r="I2007" t="s">
        <v>8</v>
      </c>
      <c r="J2007" s="18">
        <v>299197.2</v>
      </c>
      <c r="K2007" t="s">
        <v>4742</v>
      </c>
      <c r="L2007" t="s">
        <v>4</v>
      </c>
      <c r="M2007" t="s">
        <v>4743</v>
      </c>
      <c r="N2007" t="s">
        <v>3</v>
      </c>
      <c r="O2007" t="s">
        <v>3</v>
      </c>
      <c r="P2007" t="s">
        <v>5</v>
      </c>
      <c r="Q2007" t="s">
        <v>4744</v>
      </c>
      <c r="R2007" t="s">
        <v>3</v>
      </c>
      <c r="S2007" t="s">
        <v>3</v>
      </c>
      <c r="T2007" t="s">
        <v>3</v>
      </c>
      <c r="U2007" t="s">
        <v>3</v>
      </c>
      <c r="V2007" t="s">
        <v>3</v>
      </c>
      <c r="W2007" t="s">
        <v>68</v>
      </c>
      <c r="X2007" s="17"/>
      <c r="Y2007" t="s">
        <v>3</v>
      </c>
      <c r="Z2007" s="17">
        <v>43685</v>
      </c>
      <c r="AA2007" t="s">
        <v>3</v>
      </c>
      <c r="AB2007" t="s">
        <v>4741</v>
      </c>
    </row>
    <row r="2008" spans="1:28" hidden="1">
      <c r="A2008" t="s">
        <v>4741</v>
      </c>
      <c r="B2008" s="17">
        <v>43685</v>
      </c>
      <c r="C2008" s="17">
        <v>43685</v>
      </c>
      <c r="D2008" t="s">
        <v>0</v>
      </c>
      <c r="E2008" t="s">
        <v>1</v>
      </c>
      <c r="F2008" s="18">
        <v>3936.39</v>
      </c>
      <c r="G2008" s="18">
        <v>3936.39</v>
      </c>
      <c r="H2008" t="s">
        <v>2</v>
      </c>
      <c r="I2008" t="s">
        <v>8</v>
      </c>
      <c r="J2008" s="18">
        <v>328688.57</v>
      </c>
      <c r="K2008" t="s">
        <v>4509</v>
      </c>
      <c r="L2008" t="s">
        <v>4</v>
      </c>
      <c r="M2008" t="s">
        <v>4743</v>
      </c>
      <c r="N2008" t="s">
        <v>3</v>
      </c>
      <c r="O2008" t="s">
        <v>3</v>
      </c>
      <c r="P2008" t="s">
        <v>5</v>
      </c>
      <c r="Q2008" t="s">
        <v>4744</v>
      </c>
      <c r="R2008" t="s">
        <v>3</v>
      </c>
      <c r="S2008" t="s">
        <v>3</v>
      </c>
      <c r="T2008" t="s">
        <v>3</v>
      </c>
      <c r="U2008" t="s">
        <v>3</v>
      </c>
      <c r="V2008" t="s">
        <v>3</v>
      </c>
      <c r="W2008" t="s">
        <v>68</v>
      </c>
      <c r="X2008" s="17"/>
      <c r="Y2008" t="s">
        <v>3</v>
      </c>
      <c r="Z2008" s="17">
        <v>43685</v>
      </c>
      <c r="AA2008" t="s">
        <v>3</v>
      </c>
      <c r="AB2008" t="s">
        <v>4741</v>
      </c>
    </row>
    <row r="2009" spans="1:28" hidden="1">
      <c r="A2009" t="s">
        <v>4745</v>
      </c>
      <c r="B2009" s="17">
        <v>43685</v>
      </c>
      <c r="C2009" s="17">
        <v>43685</v>
      </c>
      <c r="D2009" t="s">
        <v>0</v>
      </c>
      <c r="E2009" t="s">
        <v>1</v>
      </c>
      <c r="F2009" s="18">
        <v>8976</v>
      </c>
      <c r="G2009" s="18">
        <v>8976</v>
      </c>
      <c r="H2009" t="s">
        <v>2</v>
      </c>
      <c r="I2009" t="s">
        <v>8</v>
      </c>
      <c r="J2009" s="18">
        <v>749496</v>
      </c>
      <c r="K2009" t="s">
        <v>4736</v>
      </c>
      <c r="L2009" t="s">
        <v>9</v>
      </c>
      <c r="M2009" t="s">
        <v>4746</v>
      </c>
      <c r="N2009" t="s">
        <v>3</v>
      </c>
      <c r="O2009" t="s">
        <v>3</v>
      </c>
      <c r="P2009" t="s">
        <v>5</v>
      </c>
      <c r="Q2009" t="s">
        <v>4747</v>
      </c>
      <c r="R2009" t="s">
        <v>3</v>
      </c>
      <c r="S2009" t="s">
        <v>3</v>
      </c>
      <c r="T2009" t="s">
        <v>3</v>
      </c>
      <c r="U2009" t="s">
        <v>3</v>
      </c>
      <c r="V2009" t="s">
        <v>3</v>
      </c>
      <c r="W2009" t="s">
        <v>68</v>
      </c>
      <c r="X2009" s="17">
        <v>44012</v>
      </c>
      <c r="Y2009" t="s">
        <v>4137</v>
      </c>
      <c r="Z2009" s="17">
        <v>43685</v>
      </c>
      <c r="AA2009" t="s">
        <v>3</v>
      </c>
      <c r="AB2009" t="s">
        <v>4745</v>
      </c>
    </row>
    <row r="2010" spans="1:28" hidden="1">
      <c r="A2010" t="s">
        <v>4748</v>
      </c>
      <c r="B2010" s="17">
        <v>43696</v>
      </c>
      <c r="C2010" s="17">
        <v>43696</v>
      </c>
      <c r="D2010" t="s">
        <v>0</v>
      </c>
      <c r="E2010" t="s">
        <v>1</v>
      </c>
      <c r="F2010" s="18">
        <v>4971.33</v>
      </c>
      <c r="G2010" s="18">
        <v>4971.33</v>
      </c>
      <c r="H2010" t="s">
        <v>2</v>
      </c>
      <c r="I2010" t="s">
        <v>8</v>
      </c>
      <c r="J2010" s="18">
        <v>415106.06</v>
      </c>
      <c r="K2010" t="s">
        <v>4742</v>
      </c>
      <c r="L2010" t="s">
        <v>4</v>
      </c>
      <c r="M2010" t="s">
        <v>4749</v>
      </c>
      <c r="N2010" t="s">
        <v>3</v>
      </c>
      <c r="O2010" t="s">
        <v>3</v>
      </c>
      <c r="P2010" t="s">
        <v>5</v>
      </c>
      <c r="Q2010" t="s">
        <v>4750</v>
      </c>
      <c r="R2010" t="s">
        <v>3</v>
      </c>
      <c r="S2010" t="s">
        <v>3</v>
      </c>
      <c r="T2010" t="s">
        <v>3</v>
      </c>
      <c r="U2010" t="s">
        <v>3</v>
      </c>
      <c r="V2010" t="s">
        <v>3</v>
      </c>
      <c r="W2010" t="s">
        <v>68</v>
      </c>
      <c r="X2010" s="17"/>
      <c r="Y2010" t="s">
        <v>3</v>
      </c>
      <c r="Z2010" s="17">
        <v>43696</v>
      </c>
      <c r="AA2010" t="s">
        <v>3</v>
      </c>
      <c r="AB2010" t="s">
        <v>4748</v>
      </c>
    </row>
    <row r="2011" spans="1:28" hidden="1">
      <c r="A2011" t="s">
        <v>4751</v>
      </c>
      <c r="B2011" s="17">
        <v>43696</v>
      </c>
      <c r="C2011" s="17">
        <v>43696</v>
      </c>
      <c r="D2011" t="s">
        <v>0</v>
      </c>
      <c r="E2011" t="s">
        <v>1</v>
      </c>
      <c r="F2011" s="18">
        <v>30471</v>
      </c>
      <c r="G2011" s="18">
        <v>30471</v>
      </c>
      <c r="H2011" t="s">
        <v>2</v>
      </c>
      <c r="I2011" t="s">
        <v>8</v>
      </c>
      <c r="J2011" s="18">
        <v>2544328.5</v>
      </c>
      <c r="K2011" t="s">
        <v>4604</v>
      </c>
      <c r="L2011" t="s">
        <v>9</v>
      </c>
      <c r="M2011" t="s">
        <v>4752</v>
      </c>
      <c r="N2011" t="s">
        <v>3</v>
      </c>
      <c r="O2011" t="s">
        <v>3</v>
      </c>
      <c r="P2011" t="s">
        <v>5</v>
      </c>
      <c r="Q2011" t="s">
        <v>4753</v>
      </c>
      <c r="R2011" t="s">
        <v>3</v>
      </c>
      <c r="S2011" t="s">
        <v>3</v>
      </c>
      <c r="T2011" t="s">
        <v>3</v>
      </c>
      <c r="U2011" t="s">
        <v>3</v>
      </c>
      <c r="V2011" t="s">
        <v>3</v>
      </c>
      <c r="W2011" t="s">
        <v>68</v>
      </c>
      <c r="X2011" s="17"/>
      <c r="Y2011" t="s">
        <v>3</v>
      </c>
      <c r="Z2011" s="17">
        <v>43696</v>
      </c>
      <c r="AA2011" t="s">
        <v>3</v>
      </c>
      <c r="AB2011" t="s">
        <v>4751</v>
      </c>
    </row>
    <row r="2012" spans="1:28" hidden="1">
      <c r="A2012" t="s">
        <v>4751</v>
      </c>
      <c r="B2012" s="17">
        <v>43696</v>
      </c>
      <c r="C2012" s="17">
        <v>43696</v>
      </c>
      <c r="D2012" t="s">
        <v>0</v>
      </c>
      <c r="E2012" t="s">
        <v>1</v>
      </c>
      <c r="F2012" s="18">
        <v>77483</v>
      </c>
      <c r="G2012" s="18">
        <v>77483</v>
      </c>
      <c r="H2012" t="s">
        <v>2</v>
      </c>
      <c r="I2012" t="s">
        <v>8</v>
      </c>
      <c r="J2012" s="18">
        <v>6469830.5</v>
      </c>
      <c r="K2012" t="s">
        <v>4754</v>
      </c>
      <c r="L2012" t="s">
        <v>9</v>
      </c>
      <c r="M2012" t="s">
        <v>4752</v>
      </c>
      <c r="N2012" t="s">
        <v>3</v>
      </c>
      <c r="O2012" t="s">
        <v>3</v>
      </c>
      <c r="P2012" t="s">
        <v>5</v>
      </c>
      <c r="Q2012" t="s">
        <v>4753</v>
      </c>
      <c r="R2012" t="s">
        <v>3</v>
      </c>
      <c r="S2012" t="s">
        <v>3</v>
      </c>
      <c r="T2012" t="s">
        <v>3</v>
      </c>
      <c r="U2012" t="s">
        <v>3</v>
      </c>
      <c r="V2012" t="s">
        <v>3</v>
      </c>
      <c r="W2012" t="s">
        <v>68</v>
      </c>
      <c r="X2012" s="17">
        <v>44012</v>
      </c>
      <c r="Y2012" t="s">
        <v>4137</v>
      </c>
      <c r="Z2012" s="17">
        <v>43696</v>
      </c>
      <c r="AA2012" t="s">
        <v>3</v>
      </c>
      <c r="AB2012" t="s">
        <v>4751</v>
      </c>
    </row>
    <row r="2013" spans="1:28" hidden="1">
      <c r="A2013" t="s">
        <v>4751</v>
      </c>
      <c r="B2013" s="17">
        <v>43696</v>
      </c>
      <c r="C2013" s="17">
        <v>43696</v>
      </c>
      <c r="D2013" t="s">
        <v>0</v>
      </c>
      <c r="E2013" t="s">
        <v>1</v>
      </c>
      <c r="F2013" s="18">
        <v>57911</v>
      </c>
      <c r="G2013" s="18">
        <v>57911</v>
      </c>
      <c r="H2013" t="s">
        <v>2</v>
      </c>
      <c r="I2013" t="s">
        <v>8</v>
      </c>
      <c r="J2013" s="18">
        <v>4835568.5</v>
      </c>
      <c r="K2013" t="s">
        <v>4736</v>
      </c>
      <c r="L2013" t="s">
        <v>9</v>
      </c>
      <c r="M2013" t="s">
        <v>4752</v>
      </c>
      <c r="N2013" t="s">
        <v>3</v>
      </c>
      <c r="O2013" t="s">
        <v>3</v>
      </c>
      <c r="P2013" t="s">
        <v>5</v>
      </c>
      <c r="Q2013" t="s">
        <v>4753</v>
      </c>
      <c r="R2013" t="s">
        <v>3</v>
      </c>
      <c r="S2013" t="s">
        <v>3</v>
      </c>
      <c r="T2013" t="s">
        <v>3</v>
      </c>
      <c r="U2013" t="s">
        <v>3</v>
      </c>
      <c r="V2013" t="s">
        <v>3</v>
      </c>
      <c r="W2013" t="s">
        <v>68</v>
      </c>
      <c r="X2013" s="17">
        <v>44012</v>
      </c>
      <c r="Y2013" t="s">
        <v>4137</v>
      </c>
      <c r="Z2013" s="17">
        <v>43696</v>
      </c>
      <c r="AA2013" t="s">
        <v>3</v>
      </c>
      <c r="AB2013" t="s">
        <v>4751</v>
      </c>
    </row>
    <row r="2014" spans="1:28" hidden="1">
      <c r="A2014" t="s">
        <v>4755</v>
      </c>
      <c r="B2014" s="17">
        <v>43696</v>
      </c>
      <c r="C2014" s="17">
        <v>43696</v>
      </c>
      <c r="D2014" t="s">
        <v>0</v>
      </c>
      <c r="E2014" t="s">
        <v>1</v>
      </c>
      <c r="F2014" s="18">
        <v>6721.36</v>
      </c>
      <c r="G2014" s="18">
        <v>6721.36</v>
      </c>
      <c r="H2014" t="s">
        <v>2</v>
      </c>
      <c r="I2014" t="s">
        <v>10</v>
      </c>
      <c r="J2014" s="18">
        <v>561233.56000000006</v>
      </c>
      <c r="K2014" t="s">
        <v>4666</v>
      </c>
      <c r="L2014" t="s">
        <v>4</v>
      </c>
      <c r="M2014" t="s">
        <v>4756</v>
      </c>
      <c r="N2014" t="s">
        <v>3</v>
      </c>
      <c r="O2014" t="s">
        <v>3</v>
      </c>
      <c r="P2014" t="s">
        <v>5</v>
      </c>
      <c r="Q2014" t="s">
        <v>4757</v>
      </c>
      <c r="R2014" t="s">
        <v>3</v>
      </c>
      <c r="S2014" t="s">
        <v>3</v>
      </c>
      <c r="T2014" t="s">
        <v>3</v>
      </c>
      <c r="U2014" t="s">
        <v>3</v>
      </c>
      <c r="V2014" t="s">
        <v>3</v>
      </c>
      <c r="W2014" t="s">
        <v>68</v>
      </c>
      <c r="X2014" s="17"/>
      <c r="Y2014" t="s">
        <v>3</v>
      </c>
      <c r="Z2014" s="17">
        <v>43696</v>
      </c>
      <c r="AA2014" t="s">
        <v>3</v>
      </c>
      <c r="AB2014" t="s">
        <v>4755</v>
      </c>
    </row>
    <row r="2015" spans="1:28" hidden="1">
      <c r="A2015" t="s">
        <v>4755</v>
      </c>
      <c r="B2015" s="17">
        <v>43696</v>
      </c>
      <c r="C2015" s="17">
        <v>43696</v>
      </c>
      <c r="D2015" t="s">
        <v>0</v>
      </c>
      <c r="E2015" t="s">
        <v>1</v>
      </c>
      <c r="F2015" s="18">
        <v>23592.799999999999</v>
      </c>
      <c r="G2015" s="18">
        <v>23592.799999999999</v>
      </c>
      <c r="H2015" t="s">
        <v>2</v>
      </c>
      <c r="I2015" t="s">
        <v>10</v>
      </c>
      <c r="J2015" s="18">
        <v>1969998.8</v>
      </c>
      <c r="K2015" t="s">
        <v>4667</v>
      </c>
      <c r="L2015" t="s">
        <v>4</v>
      </c>
      <c r="M2015" t="s">
        <v>4756</v>
      </c>
      <c r="N2015" t="s">
        <v>3</v>
      </c>
      <c r="O2015" t="s">
        <v>3</v>
      </c>
      <c r="P2015" t="s">
        <v>5</v>
      </c>
      <c r="Q2015" t="s">
        <v>4757</v>
      </c>
      <c r="R2015" t="s">
        <v>3</v>
      </c>
      <c r="S2015" t="s">
        <v>3</v>
      </c>
      <c r="T2015" t="s">
        <v>3</v>
      </c>
      <c r="U2015" t="s">
        <v>3</v>
      </c>
      <c r="V2015" t="s">
        <v>3</v>
      </c>
      <c r="W2015" t="s">
        <v>68</v>
      </c>
      <c r="X2015" s="17"/>
      <c r="Y2015" t="s">
        <v>3</v>
      </c>
      <c r="Z2015" s="17">
        <v>43696</v>
      </c>
      <c r="AA2015" t="s">
        <v>3</v>
      </c>
      <c r="AB2015" t="s">
        <v>4755</v>
      </c>
    </row>
    <row r="2016" spans="1:28" hidden="1">
      <c r="A2016" t="s">
        <v>4758</v>
      </c>
      <c r="B2016" s="17">
        <v>43696</v>
      </c>
      <c r="C2016" s="17">
        <v>43696</v>
      </c>
      <c r="D2016" t="s">
        <v>0</v>
      </c>
      <c r="E2016" t="s">
        <v>1</v>
      </c>
      <c r="F2016" s="18">
        <v>886.25</v>
      </c>
      <c r="G2016" s="18">
        <v>886.25</v>
      </c>
      <c r="H2016" t="s">
        <v>2</v>
      </c>
      <c r="I2016" t="s">
        <v>10</v>
      </c>
      <c r="J2016" s="18">
        <v>74001.88</v>
      </c>
      <c r="K2016" t="s">
        <v>4666</v>
      </c>
      <c r="L2016" t="s">
        <v>4</v>
      </c>
      <c r="M2016" t="s">
        <v>4759</v>
      </c>
      <c r="N2016" t="s">
        <v>3</v>
      </c>
      <c r="O2016" t="s">
        <v>3</v>
      </c>
      <c r="P2016" t="s">
        <v>5</v>
      </c>
      <c r="Q2016" t="s">
        <v>4760</v>
      </c>
      <c r="R2016" t="s">
        <v>3</v>
      </c>
      <c r="S2016" t="s">
        <v>3</v>
      </c>
      <c r="T2016" t="s">
        <v>3</v>
      </c>
      <c r="U2016" t="s">
        <v>3</v>
      </c>
      <c r="V2016" t="s">
        <v>3</v>
      </c>
      <c r="W2016" t="s">
        <v>68</v>
      </c>
      <c r="X2016" s="17"/>
      <c r="Y2016" t="s">
        <v>3</v>
      </c>
      <c r="Z2016" s="17">
        <v>43696</v>
      </c>
      <c r="AA2016" t="s">
        <v>3</v>
      </c>
      <c r="AB2016" t="s">
        <v>4758</v>
      </c>
    </row>
    <row r="2017" spans="1:28" hidden="1">
      <c r="A2017" t="s">
        <v>4758</v>
      </c>
      <c r="B2017" s="17">
        <v>43696</v>
      </c>
      <c r="C2017" s="17">
        <v>43696</v>
      </c>
      <c r="D2017" t="s">
        <v>0</v>
      </c>
      <c r="E2017" t="s">
        <v>1</v>
      </c>
      <c r="F2017" s="18">
        <v>21430.55</v>
      </c>
      <c r="G2017" s="18">
        <v>21430.55</v>
      </c>
      <c r="H2017" t="s">
        <v>2</v>
      </c>
      <c r="I2017" t="s">
        <v>10</v>
      </c>
      <c r="J2017" s="18">
        <v>1789450.93</v>
      </c>
      <c r="K2017" t="s">
        <v>4761</v>
      </c>
      <c r="L2017" t="s">
        <v>4</v>
      </c>
      <c r="M2017" t="s">
        <v>4759</v>
      </c>
      <c r="N2017" t="s">
        <v>3</v>
      </c>
      <c r="O2017" t="s">
        <v>3</v>
      </c>
      <c r="P2017" t="s">
        <v>5</v>
      </c>
      <c r="Q2017" t="s">
        <v>4760</v>
      </c>
      <c r="R2017" t="s">
        <v>3</v>
      </c>
      <c r="S2017" t="s">
        <v>3</v>
      </c>
      <c r="T2017" t="s">
        <v>3</v>
      </c>
      <c r="U2017" t="s">
        <v>3</v>
      </c>
      <c r="V2017" t="s">
        <v>3</v>
      </c>
      <c r="W2017" t="s">
        <v>68</v>
      </c>
      <c r="X2017" s="17"/>
      <c r="Y2017" t="s">
        <v>3</v>
      </c>
      <c r="Z2017" s="17">
        <v>43696</v>
      </c>
      <c r="AA2017" t="s">
        <v>3</v>
      </c>
      <c r="AB2017" t="s">
        <v>4758</v>
      </c>
    </row>
    <row r="2018" spans="1:28" hidden="1">
      <c r="A2018" t="s">
        <v>4758</v>
      </c>
      <c r="B2018" s="17">
        <v>43696</v>
      </c>
      <c r="C2018" s="17">
        <v>43696</v>
      </c>
      <c r="D2018" t="s">
        <v>0</v>
      </c>
      <c r="E2018" t="s">
        <v>1</v>
      </c>
      <c r="F2018" s="18">
        <v>1947.67</v>
      </c>
      <c r="G2018" s="18">
        <v>1947.67</v>
      </c>
      <c r="H2018" t="s">
        <v>2</v>
      </c>
      <c r="I2018" t="s">
        <v>10</v>
      </c>
      <c r="J2018" s="18">
        <v>162630.45000000001</v>
      </c>
      <c r="K2018" t="s">
        <v>4667</v>
      </c>
      <c r="L2018" t="s">
        <v>4</v>
      </c>
      <c r="M2018" t="s">
        <v>4759</v>
      </c>
      <c r="N2018" t="s">
        <v>3</v>
      </c>
      <c r="O2018" t="s">
        <v>3</v>
      </c>
      <c r="P2018" t="s">
        <v>5</v>
      </c>
      <c r="Q2018" t="s">
        <v>4760</v>
      </c>
      <c r="R2018" t="s">
        <v>3</v>
      </c>
      <c r="S2018" t="s">
        <v>3</v>
      </c>
      <c r="T2018" t="s">
        <v>3</v>
      </c>
      <c r="U2018" t="s">
        <v>3</v>
      </c>
      <c r="V2018" t="s">
        <v>3</v>
      </c>
      <c r="W2018" t="s">
        <v>68</v>
      </c>
      <c r="X2018" s="17"/>
      <c r="Y2018" t="s">
        <v>3</v>
      </c>
      <c r="Z2018" s="17">
        <v>43696</v>
      </c>
      <c r="AA2018" t="s">
        <v>3</v>
      </c>
      <c r="AB2018" t="s">
        <v>4758</v>
      </c>
    </row>
    <row r="2019" spans="1:28" hidden="1">
      <c r="A2019" t="s">
        <v>4762</v>
      </c>
      <c r="B2019" s="17">
        <v>43696</v>
      </c>
      <c r="C2019" s="17">
        <v>43696</v>
      </c>
      <c r="D2019" t="s">
        <v>0</v>
      </c>
      <c r="E2019" t="s">
        <v>1</v>
      </c>
      <c r="F2019" s="18">
        <v>465</v>
      </c>
      <c r="G2019" s="18">
        <v>465</v>
      </c>
      <c r="H2019" t="s">
        <v>2</v>
      </c>
      <c r="I2019" t="s">
        <v>10</v>
      </c>
      <c r="J2019" s="18">
        <v>38827.5</v>
      </c>
      <c r="K2019" t="s">
        <v>4761</v>
      </c>
      <c r="L2019" t="s">
        <v>4</v>
      </c>
      <c r="M2019" t="s">
        <v>4763</v>
      </c>
      <c r="N2019" t="s">
        <v>3</v>
      </c>
      <c r="O2019" t="s">
        <v>3</v>
      </c>
      <c r="P2019" t="s">
        <v>5</v>
      </c>
      <c r="Q2019" t="s">
        <v>4764</v>
      </c>
      <c r="R2019" t="s">
        <v>3</v>
      </c>
      <c r="S2019" t="s">
        <v>3</v>
      </c>
      <c r="T2019" t="s">
        <v>3</v>
      </c>
      <c r="U2019" t="s">
        <v>3</v>
      </c>
      <c r="V2019" t="s">
        <v>3</v>
      </c>
      <c r="W2019" t="s">
        <v>68</v>
      </c>
      <c r="X2019" s="17"/>
      <c r="Y2019" t="s">
        <v>3</v>
      </c>
      <c r="Z2019" s="17">
        <v>43696</v>
      </c>
      <c r="AA2019" t="s">
        <v>3</v>
      </c>
      <c r="AB2019" t="s">
        <v>4762</v>
      </c>
    </row>
    <row r="2020" spans="1:28" hidden="1">
      <c r="A2020" t="s">
        <v>4765</v>
      </c>
      <c r="B2020" s="17">
        <v>43698</v>
      </c>
      <c r="C2020" s="17">
        <v>43698</v>
      </c>
      <c r="D2020" t="s">
        <v>0</v>
      </c>
      <c r="E2020" t="s">
        <v>1</v>
      </c>
      <c r="F2020" s="18">
        <v>74233.399999999994</v>
      </c>
      <c r="G2020" s="18">
        <v>74233.399999999994</v>
      </c>
      <c r="H2020" t="s">
        <v>2</v>
      </c>
      <c r="I2020" t="s">
        <v>10</v>
      </c>
      <c r="J2020" s="18">
        <v>6198488.9000000004</v>
      </c>
      <c r="K2020" t="s">
        <v>4761</v>
      </c>
      <c r="L2020" t="s">
        <v>4</v>
      </c>
      <c r="M2020" t="s">
        <v>4766</v>
      </c>
      <c r="N2020" t="s">
        <v>3</v>
      </c>
      <c r="O2020" t="s">
        <v>3</v>
      </c>
      <c r="P2020" t="s">
        <v>5</v>
      </c>
      <c r="Q2020" t="s">
        <v>4767</v>
      </c>
      <c r="R2020" t="s">
        <v>3</v>
      </c>
      <c r="S2020" t="s">
        <v>3</v>
      </c>
      <c r="T2020" t="s">
        <v>3</v>
      </c>
      <c r="U2020" t="s">
        <v>3</v>
      </c>
      <c r="V2020" t="s">
        <v>3</v>
      </c>
      <c r="W2020" t="s">
        <v>68</v>
      </c>
      <c r="X2020" s="17"/>
      <c r="Y2020" t="s">
        <v>3</v>
      </c>
      <c r="Z2020" s="17">
        <v>43698</v>
      </c>
      <c r="AA2020" t="s">
        <v>3</v>
      </c>
      <c r="AB2020" t="s">
        <v>4765</v>
      </c>
    </row>
    <row r="2021" spans="1:28" hidden="1">
      <c r="A2021" t="s">
        <v>4765</v>
      </c>
      <c r="B2021" s="17">
        <v>43698</v>
      </c>
      <c r="C2021" s="17">
        <v>43698</v>
      </c>
      <c r="D2021" t="s">
        <v>0</v>
      </c>
      <c r="E2021" t="s">
        <v>1</v>
      </c>
      <c r="F2021" s="18">
        <v>15190.48</v>
      </c>
      <c r="G2021" s="18">
        <v>15190.48</v>
      </c>
      <c r="H2021" t="s">
        <v>2</v>
      </c>
      <c r="I2021" t="s">
        <v>10</v>
      </c>
      <c r="J2021" s="18">
        <v>1268405.08</v>
      </c>
      <c r="K2021" t="s">
        <v>4667</v>
      </c>
      <c r="L2021" t="s">
        <v>4</v>
      </c>
      <c r="M2021" t="s">
        <v>4766</v>
      </c>
      <c r="N2021" t="s">
        <v>3</v>
      </c>
      <c r="O2021" t="s">
        <v>3</v>
      </c>
      <c r="P2021" t="s">
        <v>5</v>
      </c>
      <c r="Q2021" t="s">
        <v>4767</v>
      </c>
      <c r="R2021" t="s">
        <v>3</v>
      </c>
      <c r="S2021" t="s">
        <v>3</v>
      </c>
      <c r="T2021" t="s">
        <v>3</v>
      </c>
      <c r="U2021" t="s">
        <v>3</v>
      </c>
      <c r="V2021" t="s">
        <v>3</v>
      </c>
      <c r="W2021" t="s">
        <v>68</v>
      </c>
      <c r="X2021" s="17"/>
      <c r="Y2021" t="s">
        <v>3</v>
      </c>
      <c r="Z2021" s="17">
        <v>43698</v>
      </c>
      <c r="AA2021" t="s">
        <v>3</v>
      </c>
      <c r="AB2021" t="s">
        <v>4765</v>
      </c>
    </row>
    <row r="2022" spans="1:28" hidden="1">
      <c r="A2022" t="s">
        <v>4768</v>
      </c>
      <c r="B2022" s="17">
        <v>43698</v>
      </c>
      <c r="C2022" s="17">
        <v>43698</v>
      </c>
      <c r="D2022" t="s">
        <v>0</v>
      </c>
      <c r="E2022" t="s">
        <v>1</v>
      </c>
      <c r="F2022" s="18">
        <v>12590.49</v>
      </c>
      <c r="G2022" s="18">
        <v>12590.49</v>
      </c>
      <c r="H2022" t="s">
        <v>2</v>
      </c>
      <c r="I2022" t="s">
        <v>8</v>
      </c>
      <c r="J2022" s="18">
        <v>1051305.92</v>
      </c>
      <c r="K2022" t="s">
        <v>4509</v>
      </c>
      <c r="L2022" t="s">
        <v>4</v>
      </c>
      <c r="M2022" t="s">
        <v>4769</v>
      </c>
      <c r="N2022" t="s">
        <v>3</v>
      </c>
      <c r="O2022" t="s">
        <v>3</v>
      </c>
      <c r="P2022" t="s">
        <v>5</v>
      </c>
      <c r="Q2022" t="s">
        <v>4770</v>
      </c>
      <c r="R2022" t="s">
        <v>3</v>
      </c>
      <c r="S2022" t="s">
        <v>3</v>
      </c>
      <c r="T2022" t="s">
        <v>3</v>
      </c>
      <c r="U2022" t="s">
        <v>3</v>
      </c>
      <c r="V2022" t="s">
        <v>3</v>
      </c>
      <c r="W2022" t="s">
        <v>68</v>
      </c>
      <c r="X2022" s="17"/>
      <c r="Y2022" t="s">
        <v>3</v>
      </c>
      <c r="Z2022" s="17">
        <v>43698</v>
      </c>
      <c r="AA2022" t="s">
        <v>3</v>
      </c>
      <c r="AB2022" t="s">
        <v>4768</v>
      </c>
    </row>
    <row r="2023" spans="1:28" hidden="1">
      <c r="A2023" t="s">
        <v>4768</v>
      </c>
      <c r="B2023" s="17">
        <v>43698</v>
      </c>
      <c r="C2023" s="17">
        <v>43698</v>
      </c>
      <c r="D2023" t="s">
        <v>0</v>
      </c>
      <c r="E2023" t="s">
        <v>1</v>
      </c>
      <c r="F2023" s="18">
        <v>18374.13</v>
      </c>
      <c r="G2023" s="18">
        <v>18374.13</v>
      </c>
      <c r="H2023" t="s">
        <v>2</v>
      </c>
      <c r="I2023" t="s">
        <v>8</v>
      </c>
      <c r="J2023" s="18">
        <v>1534239.86</v>
      </c>
      <c r="K2023" t="s">
        <v>4771</v>
      </c>
      <c r="L2023" t="s">
        <v>4</v>
      </c>
      <c r="M2023" t="s">
        <v>4769</v>
      </c>
      <c r="N2023" t="s">
        <v>3</v>
      </c>
      <c r="O2023" t="s">
        <v>3</v>
      </c>
      <c r="P2023" t="s">
        <v>5</v>
      </c>
      <c r="Q2023" t="s">
        <v>4770</v>
      </c>
      <c r="R2023" t="s">
        <v>3</v>
      </c>
      <c r="S2023" t="s">
        <v>3</v>
      </c>
      <c r="T2023" t="s">
        <v>3</v>
      </c>
      <c r="U2023" t="s">
        <v>3</v>
      </c>
      <c r="V2023" t="s">
        <v>3</v>
      </c>
      <c r="W2023" t="s">
        <v>68</v>
      </c>
      <c r="X2023" s="17"/>
      <c r="Y2023" t="s">
        <v>3</v>
      </c>
      <c r="Z2023" s="17">
        <v>43698</v>
      </c>
      <c r="AA2023" t="s">
        <v>3</v>
      </c>
      <c r="AB2023" t="s">
        <v>4768</v>
      </c>
    </row>
    <row r="2024" spans="1:28" hidden="1">
      <c r="A2024" t="s">
        <v>4772</v>
      </c>
      <c r="B2024" s="17">
        <v>43698</v>
      </c>
      <c r="C2024" s="17">
        <v>43698</v>
      </c>
      <c r="D2024" t="s">
        <v>0</v>
      </c>
      <c r="E2024" t="s">
        <v>1</v>
      </c>
      <c r="F2024" s="18">
        <v>576</v>
      </c>
      <c r="G2024" s="18">
        <v>576</v>
      </c>
      <c r="H2024" t="s">
        <v>2</v>
      </c>
      <c r="I2024" t="s">
        <v>8</v>
      </c>
      <c r="J2024" s="18">
        <v>48096</v>
      </c>
      <c r="K2024" t="s">
        <v>4754</v>
      </c>
      <c r="L2024" t="s">
        <v>9</v>
      </c>
      <c r="M2024" t="s">
        <v>4773</v>
      </c>
      <c r="N2024" t="s">
        <v>3</v>
      </c>
      <c r="O2024" t="s">
        <v>3</v>
      </c>
      <c r="P2024" t="s">
        <v>5</v>
      </c>
      <c r="Q2024" t="s">
        <v>4774</v>
      </c>
      <c r="R2024" t="s">
        <v>3</v>
      </c>
      <c r="S2024" t="s">
        <v>3</v>
      </c>
      <c r="T2024" t="s">
        <v>3</v>
      </c>
      <c r="U2024" t="s">
        <v>3</v>
      </c>
      <c r="V2024" t="s">
        <v>3</v>
      </c>
      <c r="W2024" t="s">
        <v>68</v>
      </c>
      <c r="X2024" s="17">
        <v>44012</v>
      </c>
      <c r="Y2024" t="s">
        <v>4137</v>
      </c>
      <c r="Z2024" s="17">
        <v>43698</v>
      </c>
      <c r="AA2024" t="s">
        <v>3</v>
      </c>
      <c r="AB2024" t="s">
        <v>4772</v>
      </c>
    </row>
    <row r="2025" spans="1:28" hidden="1">
      <c r="A2025" t="s">
        <v>4772</v>
      </c>
      <c r="B2025" s="17">
        <v>43698</v>
      </c>
      <c r="C2025" s="17">
        <v>43698</v>
      </c>
      <c r="D2025" t="s">
        <v>0</v>
      </c>
      <c r="E2025" t="s">
        <v>1</v>
      </c>
      <c r="F2025" s="18">
        <v>72415</v>
      </c>
      <c r="G2025" s="18">
        <v>72415</v>
      </c>
      <c r="H2025" t="s">
        <v>2</v>
      </c>
      <c r="I2025" t="s">
        <v>8</v>
      </c>
      <c r="J2025" s="18">
        <v>6046652.5</v>
      </c>
      <c r="K2025" t="s">
        <v>4736</v>
      </c>
      <c r="L2025" t="s">
        <v>9</v>
      </c>
      <c r="M2025" t="s">
        <v>4773</v>
      </c>
      <c r="N2025" t="s">
        <v>3</v>
      </c>
      <c r="O2025" t="s">
        <v>3</v>
      </c>
      <c r="P2025" t="s">
        <v>5</v>
      </c>
      <c r="Q2025" t="s">
        <v>4774</v>
      </c>
      <c r="R2025" t="s">
        <v>3</v>
      </c>
      <c r="S2025" t="s">
        <v>3</v>
      </c>
      <c r="T2025" t="s">
        <v>3</v>
      </c>
      <c r="U2025" t="s">
        <v>3</v>
      </c>
      <c r="V2025" t="s">
        <v>3</v>
      </c>
      <c r="W2025" t="s">
        <v>68</v>
      </c>
      <c r="X2025" s="17">
        <v>44012</v>
      </c>
      <c r="Y2025" t="s">
        <v>4137</v>
      </c>
      <c r="Z2025" s="17">
        <v>43698</v>
      </c>
      <c r="AA2025" t="s">
        <v>3</v>
      </c>
      <c r="AB2025" t="s">
        <v>4772</v>
      </c>
    </row>
    <row r="2026" spans="1:28" hidden="1">
      <c r="A2026" t="s">
        <v>4775</v>
      </c>
      <c r="B2026" s="17">
        <v>43698</v>
      </c>
      <c r="C2026" s="17">
        <v>43698</v>
      </c>
      <c r="D2026" t="s">
        <v>0</v>
      </c>
      <c r="E2026" t="s">
        <v>1</v>
      </c>
      <c r="F2026" s="18">
        <v>16077.39</v>
      </c>
      <c r="G2026" s="18">
        <v>16077.39</v>
      </c>
      <c r="H2026" t="s">
        <v>2</v>
      </c>
      <c r="I2026" t="s">
        <v>10</v>
      </c>
      <c r="J2026" s="18">
        <v>1342462.07</v>
      </c>
      <c r="K2026" t="s">
        <v>4761</v>
      </c>
      <c r="L2026" t="s">
        <v>4</v>
      </c>
      <c r="M2026" t="s">
        <v>4776</v>
      </c>
      <c r="N2026" t="s">
        <v>3</v>
      </c>
      <c r="O2026" t="s">
        <v>3</v>
      </c>
      <c r="P2026" t="s">
        <v>5</v>
      </c>
      <c r="Q2026" t="s">
        <v>4777</v>
      </c>
      <c r="R2026" t="s">
        <v>3</v>
      </c>
      <c r="S2026" t="s">
        <v>3</v>
      </c>
      <c r="T2026" t="s">
        <v>3</v>
      </c>
      <c r="U2026" t="s">
        <v>3</v>
      </c>
      <c r="V2026" t="s">
        <v>3</v>
      </c>
      <c r="W2026" t="s">
        <v>68</v>
      </c>
      <c r="X2026" s="17"/>
      <c r="Y2026" t="s">
        <v>3</v>
      </c>
      <c r="Z2026" s="17">
        <v>43698</v>
      </c>
      <c r="AA2026" t="s">
        <v>3</v>
      </c>
      <c r="AB2026" t="s">
        <v>4775</v>
      </c>
    </row>
    <row r="2027" spans="1:28" hidden="1">
      <c r="A2027" t="s">
        <v>4775</v>
      </c>
      <c r="B2027" s="17">
        <v>43698</v>
      </c>
      <c r="C2027" s="17">
        <v>43698</v>
      </c>
      <c r="D2027" t="s">
        <v>0</v>
      </c>
      <c r="E2027" t="s">
        <v>1</v>
      </c>
      <c r="F2027" s="18">
        <v>10928.93</v>
      </c>
      <c r="G2027" s="18">
        <v>10928.93</v>
      </c>
      <c r="H2027" t="s">
        <v>2</v>
      </c>
      <c r="I2027" t="s">
        <v>10</v>
      </c>
      <c r="J2027" s="18">
        <v>912565.66</v>
      </c>
      <c r="K2027" t="s">
        <v>4667</v>
      </c>
      <c r="L2027" t="s">
        <v>4</v>
      </c>
      <c r="M2027" t="s">
        <v>4776</v>
      </c>
      <c r="N2027" t="s">
        <v>3</v>
      </c>
      <c r="O2027" t="s">
        <v>3</v>
      </c>
      <c r="P2027" t="s">
        <v>5</v>
      </c>
      <c r="Q2027" t="s">
        <v>4777</v>
      </c>
      <c r="R2027" t="s">
        <v>3</v>
      </c>
      <c r="S2027" t="s">
        <v>3</v>
      </c>
      <c r="T2027" t="s">
        <v>3</v>
      </c>
      <c r="U2027" t="s">
        <v>3</v>
      </c>
      <c r="V2027" t="s">
        <v>3</v>
      </c>
      <c r="W2027" t="s">
        <v>68</v>
      </c>
      <c r="X2027" s="17"/>
      <c r="Y2027" t="s">
        <v>3</v>
      </c>
      <c r="Z2027" s="17">
        <v>43698</v>
      </c>
      <c r="AA2027" t="s">
        <v>3</v>
      </c>
      <c r="AB2027" t="s">
        <v>4775</v>
      </c>
    </row>
    <row r="2028" spans="1:28" hidden="1">
      <c r="A2028" t="s">
        <v>4778</v>
      </c>
      <c r="B2028" s="17">
        <v>43699</v>
      </c>
      <c r="C2028" s="17">
        <v>43699</v>
      </c>
      <c r="D2028" t="s">
        <v>0</v>
      </c>
      <c r="E2028" t="s">
        <v>1</v>
      </c>
      <c r="F2028" s="18">
        <v>6020.48</v>
      </c>
      <c r="G2028" s="18">
        <v>6020.48</v>
      </c>
      <c r="H2028" t="s">
        <v>2</v>
      </c>
      <c r="I2028" t="s">
        <v>8</v>
      </c>
      <c r="J2028" s="18">
        <v>502710.08</v>
      </c>
      <c r="K2028" t="s">
        <v>4742</v>
      </c>
      <c r="L2028" t="s">
        <v>4</v>
      </c>
      <c r="M2028" t="s">
        <v>4779</v>
      </c>
      <c r="N2028" t="s">
        <v>3</v>
      </c>
      <c r="O2028" t="s">
        <v>3</v>
      </c>
      <c r="P2028" t="s">
        <v>5</v>
      </c>
      <c r="Q2028" t="s">
        <v>4780</v>
      </c>
      <c r="R2028" t="s">
        <v>3</v>
      </c>
      <c r="S2028" t="s">
        <v>3</v>
      </c>
      <c r="T2028" t="s">
        <v>3</v>
      </c>
      <c r="U2028" t="s">
        <v>3</v>
      </c>
      <c r="V2028" t="s">
        <v>3</v>
      </c>
      <c r="W2028" t="s">
        <v>68</v>
      </c>
      <c r="X2028" s="17"/>
      <c r="Y2028" t="s">
        <v>3</v>
      </c>
      <c r="Z2028" s="17">
        <v>43699</v>
      </c>
      <c r="AA2028" t="s">
        <v>3</v>
      </c>
      <c r="AB2028" t="s">
        <v>4778</v>
      </c>
    </row>
    <row r="2029" spans="1:28" hidden="1">
      <c r="A2029" t="s">
        <v>4778</v>
      </c>
      <c r="B2029" s="17">
        <v>43699</v>
      </c>
      <c r="C2029" s="17">
        <v>43699</v>
      </c>
      <c r="D2029" t="s">
        <v>0</v>
      </c>
      <c r="E2029" t="s">
        <v>1</v>
      </c>
      <c r="F2029" s="18">
        <v>19483.759999999998</v>
      </c>
      <c r="G2029" s="18">
        <v>19483.759999999998</v>
      </c>
      <c r="H2029" t="s">
        <v>2</v>
      </c>
      <c r="I2029" t="s">
        <v>8</v>
      </c>
      <c r="J2029" s="18">
        <v>1626893.96</v>
      </c>
      <c r="K2029" t="s">
        <v>4771</v>
      </c>
      <c r="L2029" t="s">
        <v>4</v>
      </c>
      <c r="M2029" t="s">
        <v>4779</v>
      </c>
      <c r="N2029" t="s">
        <v>3</v>
      </c>
      <c r="O2029" t="s">
        <v>3</v>
      </c>
      <c r="P2029" t="s">
        <v>5</v>
      </c>
      <c r="Q2029" t="s">
        <v>4780</v>
      </c>
      <c r="R2029" t="s">
        <v>3</v>
      </c>
      <c r="S2029" t="s">
        <v>3</v>
      </c>
      <c r="T2029" t="s">
        <v>3</v>
      </c>
      <c r="U2029" t="s">
        <v>3</v>
      </c>
      <c r="V2029" t="s">
        <v>3</v>
      </c>
      <c r="W2029" t="s">
        <v>68</v>
      </c>
      <c r="X2029" s="17"/>
      <c r="Y2029" t="s">
        <v>3</v>
      </c>
      <c r="Z2029" s="17">
        <v>43699</v>
      </c>
      <c r="AA2029" t="s">
        <v>3</v>
      </c>
      <c r="AB2029" t="s">
        <v>4778</v>
      </c>
    </row>
    <row r="2030" spans="1:28" hidden="1">
      <c r="A2030" t="s">
        <v>4781</v>
      </c>
      <c r="B2030" s="17">
        <v>43699</v>
      </c>
      <c r="C2030" s="17">
        <v>43699</v>
      </c>
      <c r="D2030" t="s">
        <v>0</v>
      </c>
      <c r="E2030" t="s">
        <v>1</v>
      </c>
      <c r="F2030" s="18">
        <v>25117.31</v>
      </c>
      <c r="G2030" s="18">
        <v>25117.31</v>
      </c>
      <c r="H2030" t="s">
        <v>2</v>
      </c>
      <c r="I2030" t="s">
        <v>8</v>
      </c>
      <c r="J2030" s="18">
        <v>2097295.39</v>
      </c>
      <c r="K2030" t="s">
        <v>4771</v>
      </c>
      <c r="L2030" t="s">
        <v>4</v>
      </c>
      <c r="M2030" t="s">
        <v>4782</v>
      </c>
      <c r="N2030" t="s">
        <v>3</v>
      </c>
      <c r="O2030" t="s">
        <v>3</v>
      </c>
      <c r="P2030" t="s">
        <v>5</v>
      </c>
      <c r="Q2030" t="s">
        <v>4783</v>
      </c>
      <c r="R2030" t="s">
        <v>3</v>
      </c>
      <c r="S2030" t="s">
        <v>3</v>
      </c>
      <c r="T2030" t="s">
        <v>3</v>
      </c>
      <c r="U2030" t="s">
        <v>3</v>
      </c>
      <c r="V2030" t="s">
        <v>3</v>
      </c>
      <c r="W2030" t="s">
        <v>68</v>
      </c>
      <c r="X2030" s="17"/>
      <c r="Y2030" t="s">
        <v>3</v>
      </c>
      <c r="Z2030" s="17">
        <v>43699</v>
      </c>
      <c r="AA2030" t="s">
        <v>3</v>
      </c>
      <c r="AB2030" t="s">
        <v>4781</v>
      </c>
    </row>
    <row r="2031" spans="1:28" hidden="1">
      <c r="A2031" t="s">
        <v>4784</v>
      </c>
      <c r="B2031" s="17">
        <v>43699</v>
      </c>
      <c r="C2031" s="17">
        <v>43699</v>
      </c>
      <c r="D2031" t="s">
        <v>0</v>
      </c>
      <c r="E2031" t="s">
        <v>1</v>
      </c>
      <c r="F2031" s="18">
        <v>14125.44</v>
      </c>
      <c r="G2031" s="18">
        <v>14125.44</v>
      </c>
      <c r="H2031" t="s">
        <v>2</v>
      </c>
      <c r="I2031" t="s">
        <v>8</v>
      </c>
      <c r="J2031" s="18">
        <v>1179474.24</v>
      </c>
      <c r="K2031" t="s">
        <v>4742</v>
      </c>
      <c r="L2031" t="s">
        <v>4</v>
      </c>
      <c r="M2031" t="s">
        <v>4785</v>
      </c>
      <c r="N2031" t="s">
        <v>3</v>
      </c>
      <c r="O2031" t="s">
        <v>3</v>
      </c>
      <c r="P2031" t="s">
        <v>5</v>
      </c>
      <c r="Q2031" t="s">
        <v>4786</v>
      </c>
      <c r="R2031" t="s">
        <v>3</v>
      </c>
      <c r="S2031" t="s">
        <v>3</v>
      </c>
      <c r="T2031" t="s">
        <v>3</v>
      </c>
      <c r="U2031" t="s">
        <v>3</v>
      </c>
      <c r="V2031" t="s">
        <v>3</v>
      </c>
      <c r="W2031" t="s">
        <v>68</v>
      </c>
      <c r="X2031" s="17"/>
      <c r="Y2031" t="s">
        <v>3</v>
      </c>
      <c r="Z2031" s="17">
        <v>43699</v>
      </c>
      <c r="AA2031" t="s">
        <v>3</v>
      </c>
      <c r="AB2031" t="s">
        <v>4784</v>
      </c>
    </row>
    <row r="2032" spans="1:28" hidden="1">
      <c r="A2032" t="s">
        <v>4784</v>
      </c>
      <c r="B2032" s="17">
        <v>43699</v>
      </c>
      <c r="C2032" s="17">
        <v>43699</v>
      </c>
      <c r="D2032" t="s">
        <v>0</v>
      </c>
      <c r="E2032" t="s">
        <v>1</v>
      </c>
      <c r="F2032" s="18">
        <v>668.46</v>
      </c>
      <c r="G2032" s="18">
        <v>668.46</v>
      </c>
      <c r="H2032" t="s">
        <v>2</v>
      </c>
      <c r="I2032" t="s">
        <v>8</v>
      </c>
      <c r="J2032" s="18">
        <v>55816.41</v>
      </c>
      <c r="K2032" t="s">
        <v>4771</v>
      </c>
      <c r="L2032" t="s">
        <v>4</v>
      </c>
      <c r="M2032" t="s">
        <v>4785</v>
      </c>
      <c r="N2032" t="s">
        <v>3</v>
      </c>
      <c r="O2032" t="s">
        <v>3</v>
      </c>
      <c r="P2032" t="s">
        <v>5</v>
      </c>
      <c r="Q2032" t="s">
        <v>4786</v>
      </c>
      <c r="R2032" t="s">
        <v>3</v>
      </c>
      <c r="S2032" t="s">
        <v>3</v>
      </c>
      <c r="T2032" t="s">
        <v>3</v>
      </c>
      <c r="U2032" t="s">
        <v>3</v>
      </c>
      <c r="V2032" t="s">
        <v>3</v>
      </c>
      <c r="W2032" t="s">
        <v>68</v>
      </c>
      <c r="X2032" s="17"/>
      <c r="Y2032" t="s">
        <v>3</v>
      </c>
      <c r="Z2032" s="17">
        <v>43699</v>
      </c>
      <c r="AA2032" t="s">
        <v>3</v>
      </c>
      <c r="AB2032" t="s">
        <v>4784</v>
      </c>
    </row>
    <row r="2033" spans="1:28" hidden="1">
      <c r="A2033" t="s">
        <v>4788</v>
      </c>
      <c r="B2033" s="17">
        <v>43702</v>
      </c>
      <c r="C2033" s="17">
        <v>43702</v>
      </c>
      <c r="D2033" t="s">
        <v>0</v>
      </c>
      <c r="E2033" t="s">
        <v>1</v>
      </c>
      <c r="F2033" s="18">
        <v>38293.449999999997</v>
      </c>
      <c r="G2033" s="18">
        <v>38293.449999999997</v>
      </c>
      <c r="H2033" t="s">
        <v>2</v>
      </c>
      <c r="I2033" t="s">
        <v>8</v>
      </c>
      <c r="J2033" s="18">
        <v>3197503.08</v>
      </c>
      <c r="K2033" t="s">
        <v>4742</v>
      </c>
      <c r="L2033" t="s">
        <v>4</v>
      </c>
      <c r="M2033" t="s">
        <v>4789</v>
      </c>
      <c r="N2033" t="s">
        <v>3</v>
      </c>
      <c r="O2033" t="s">
        <v>3</v>
      </c>
      <c r="P2033" t="s">
        <v>5</v>
      </c>
      <c r="Q2033" t="s">
        <v>4790</v>
      </c>
      <c r="R2033" t="s">
        <v>3</v>
      </c>
      <c r="S2033" t="s">
        <v>3</v>
      </c>
      <c r="T2033" t="s">
        <v>3</v>
      </c>
      <c r="U2033" t="s">
        <v>3</v>
      </c>
      <c r="V2033" t="s">
        <v>3</v>
      </c>
      <c r="W2033" t="s">
        <v>68</v>
      </c>
      <c r="X2033" s="17"/>
      <c r="Y2033" t="s">
        <v>3</v>
      </c>
      <c r="Z2033" s="17">
        <v>43702</v>
      </c>
      <c r="AA2033" t="s">
        <v>3</v>
      </c>
      <c r="AB2033" t="s">
        <v>4788</v>
      </c>
    </row>
    <row r="2034" spans="1:28" hidden="1">
      <c r="A2034" t="s">
        <v>4788</v>
      </c>
      <c r="B2034" s="17">
        <v>43702</v>
      </c>
      <c r="C2034" s="17">
        <v>43702</v>
      </c>
      <c r="D2034" t="s">
        <v>0</v>
      </c>
      <c r="E2034" t="s">
        <v>1</v>
      </c>
      <c r="F2034" s="18">
        <v>701.16</v>
      </c>
      <c r="G2034" s="18">
        <v>701.16</v>
      </c>
      <c r="H2034" t="s">
        <v>2</v>
      </c>
      <c r="I2034" t="s">
        <v>8</v>
      </c>
      <c r="J2034" s="18">
        <v>58546.86</v>
      </c>
      <c r="K2034" t="s">
        <v>4509</v>
      </c>
      <c r="L2034" t="s">
        <v>4</v>
      </c>
      <c r="M2034" t="s">
        <v>4789</v>
      </c>
      <c r="N2034" t="s">
        <v>3</v>
      </c>
      <c r="O2034" t="s">
        <v>3</v>
      </c>
      <c r="P2034" t="s">
        <v>5</v>
      </c>
      <c r="Q2034" t="s">
        <v>4790</v>
      </c>
      <c r="R2034" t="s">
        <v>3</v>
      </c>
      <c r="S2034" t="s">
        <v>3</v>
      </c>
      <c r="T2034" t="s">
        <v>3</v>
      </c>
      <c r="U2034" t="s">
        <v>3</v>
      </c>
      <c r="V2034" t="s">
        <v>3</v>
      </c>
      <c r="W2034" t="s">
        <v>68</v>
      </c>
      <c r="X2034" s="17"/>
      <c r="Y2034" t="s">
        <v>3</v>
      </c>
      <c r="Z2034" s="17">
        <v>43702</v>
      </c>
      <c r="AA2034" t="s">
        <v>3</v>
      </c>
      <c r="AB2034" t="s">
        <v>4788</v>
      </c>
    </row>
    <row r="2035" spans="1:28" hidden="1">
      <c r="A2035" t="s">
        <v>4788</v>
      </c>
      <c r="B2035" s="17">
        <v>43702</v>
      </c>
      <c r="C2035" s="17">
        <v>43702</v>
      </c>
      <c r="D2035" t="s">
        <v>0</v>
      </c>
      <c r="E2035" t="s">
        <v>1</v>
      </c>
      <c r="F2035" s="18">
        <v>3635.33</v>
      </c>
      <c r="G2035" s="18">
        <v>3635.33</v>
      </c>
      <c r="H2035" t="s">
        <v>2</v>
      </c>
      <c r="I2035" t="s">
        <v>8</v>
      </c>
      <c r="J2035" s="18">
        <v>303550.06</v>
      </c>
      <c r="K2035" t="s">
        <v>4771</v>
      </c>
      <c r="L2035" t="s">
        <v>4</v>
      </c>
      <c r="M2035" t="s">
        <v>4789</v>
      </c>
      <c r="N2035" t="s">
        <v>3</v>
      </c>
      <c r="O2035" t="s">
        <v>3</v>
      </c>
      <c r="P2035" t="s">
        <v>5</v>
      </c>
      <c r="Q2035" t="s">
        <v>4790</v>
      </c>
      <c r="R2035" t="s">
        <v>3</v>
      </c>
      <c r="S2035" t="s">
        <v>3</v>
      </c>
      <c r="T2035" t="s">
        <v>3</v>
      </c>
      <c r="U2035" t="s">
        <v>3</v>
      </c>
      <c r="V2035" t="s">
        <v>3</v>
      </c>
      <c r="W2035" t="s">
        <v>68</v>
      </c>
      <c r="X2035" s="17"/>
      <c r="Y2035" t="s">
        <v>3</v>
      </c>
      <c r="Z2035" s="17">
        <v>43702</v>
      </c>
      <c r="AA2035" t="s">
        <v>3</v>
      </c>
      <c r="AB2035" t="s">
        <v>4788</v>
      </c>
    </row>
    <row r="2036" spans="1:28" hidden="1">
      <c r="A2036" t="s">
        <v>4791</v>
      </c>
      <c r="B2036" s="17">
        <v>43702</v>
      </c>
      <c r="C2036" s="17">
        <v>43702</v>
      </c>
      <c r="D2036" t="s">
        <v>0</v>
      </c>
      <c r="E2036" t="s">
        <v>1</v>
      </c>
      <c r="F2036" s="18">
        <v>8258</v>
      </c>
      <c r="G2036" s="18">
        <v>8258</v>
      </c>
      <c r="H2036" t="s">
        <v>2</v>
      </c>
      <c r="I2036" t="s">
        <v>8</v>
      </c>
      <c r="J2036" s="18">
        <v>689543</v>
      </c>
      <c r="K2036" t="s">
        <v>4604</v>
      </c>
      <c r="L2036" t="s">
        <v>9</v>
      </c>
      <c r="M2036" t="s">
        <v>4792</v>
      </c>
      <c r="N2036" t="s">
        <v>3</v>
      </c>
      <c r="O2036" t="s">
        <v>3</v>
      </c>
      <c r="P2036" t="s">
        <v>5</v>
      </c>
      <c r="Q2036" t="s">
        <v>4793</v>
      </c>
      <c r="R2036" t="s">
        <v>3</v>
      </c>
      <c r="S2036" t="s">
        <v>3</v>
      </c>
      <c r="T2036" t="s">
        <v>3</v>
      </c>
      <c r="U2036" t="s">
        <v>3</v>
      </c>
      <c r="V2036" t="s">
        <v>3</v>
      </c>
      <c r="W2036" t="s">
        <v>68</v>
      </c>
      <c r="X2036" s="17"/>
      <c r="Y2036" t="s">
        <v>3</v>
      </c>
      <c r="Z2036" s="17">
        <v>43702</v>
      </c>
      <c r="AA2036" t="s">
        <v>3</v>
      </c>
      <c r="AB2036" t="s">
        <v>4791</v>
      </c>
    </row>
    <row r="2037" spans="1:28" hidden="1">
      <c r="A2037" t="s">
        <v>4791</v>
      </c>
      <c r="B2037" s="17">
        <v>43702</v>
      </c>
      <c r="C2037" s="17">
        <v>43702</v>
      </c>
      <c r="D2037" t="s">
        <v>0</v>
      </c>
      <c r="E2037" t="s">
        <v>1</v>
      </c>
      <c r="F2037" s="18">
        <v>30515</v>
      </c>
      <c r="G2037" s="18">
        <v>30515</v>
      </c>
      <c r="H2037" t="s">
        <v>2</v>
      </c>
      <c r="I2037" t="s">
        <v>8</v>
      </c>
      <c r="J2037" s="18">
        <v>2548002.5</v>
      </c>
      <c r="K2037" t="s">
        <v>4754</v>
      </c>
      <c r="L2037" t="s">
        <v>9</v>
      </c>
      <c r="M2037" t="s">
        <v>4792</v>
      </c>
      <c r="N2037" t="s">
        <v>3</v>
      </c>
      <c r="O2037" t="s">
        <v>3</v>
      </c>
      <c r="P2037" t="s">
        <v>5</v>
      </c>
      <c r="Q2037" t="s">
        <v>4793</v>
      </c>
      <c r="R2037" t="s">
        <v>3</v>
      </c>
      <c r="S2037" t="s">
        <v>3</v>
      </c>
      <c r="T2037" t="s">
        <v>3</v>
      </c>
      <c r="U2037" t="s">
        <v>3</v>
      </c>
      <c r="V2037" t="s">
        <v>3</v>
      </c>
      <c r="W2037" t="s">
        <v>68</v>
      </c>
      <c r="X2037" s="17">
        <v>44012</v>
      </c>
      <c r="Y2037" t="s">
        <v>4137</v>
      </c>
      <c r="Z2037" s="17">
        <v>43702</v>
      </c>
      <c r="AA2037" t="s">
        <v>3</v>
      </c>
      <c r="AB2037" t="s">
        <v>4791</v>
      </c>
    </row>
    <row r="2038" spans="1:28" hidden="1">
      <c r="A2038" t="s">
        <v>4791</v>
      </c>
      <c r="B2038" s="17">
        <v>43702</v>
      </c>
      <c r="C2038" s="17">
        <v>43702</v>
      </c>
      <c r="D2038" t="s">
        <v>0</v>
      </c>
      <c r="E2038" t="s">
        <v>1</v>
      </c>
      <c r="F2038" s="18">
        <v>87014</v>
      </c>
      <c r="G2038" s="18">
        <v>87014</v>
      </c>
      <c r="H2038" t="s">
        <v>2</v>
      </c>
      <c r="I2038" t="s">
        <v>8</v>
      </c>
      <c r="J2038" s="18">
        <v>7265669</v>
      </c>
      <c r="K2038" t="s">
        <v>4736</v>
      </c>
      <c r="L2038" t="s">
        <v>9</v>
      </c>
      <c r="M2038" t="s">
        <v>4792</v>
      </c>
      <c r="N2038" t="s">
        <v>3</v>
      </c>
      <c r="O2038" t="s">
        <v>3</v>
      </c>
      <c r="P2038" t="s">
        <v>5</v>
      </c>
      <c r="Q2038" t="s">
        <v>4793</v>
      </c>
      <c r="R2038" t="s">
        <v>3</v>
      </c>
      <c r="S2038" t="s">
        <v>3</v>
      </c>
      <c r="T2038" t="s">
        <v>3</v>
      </c>
      <c r="U2038" t="s">
        <v>3</v>
      </c>
      <c r="V2038" t="s">
        <v>3</v>
      </c>
      <c r="W2038" t="s">
        <v>68</v>
      </c>
      <c r="X2038" s="17">
        <v>44012</v>
      </c>
      <c r="Y2038" t="s">
        <v>4137</v>
      </c>
      <c r="Z2038" s="17">
        <v>43702</v>
      </c>
      <c r="AA2038" t="s">
        <v>3</v>
      </c>
      <c r="AB2038" t="s">
        <v>4791</v>
      </c>
    </row>
    <row r="2039" spans="1:28" hidden="1">
      <c r="A2039" t="s">
        <v>4794</v>
      </c>
      <c r="B2039" s="17">
        <v>43703</v>
      </c>
      <c r="C2039" s="17">
        <v>43703</v>
      </c>
      <c r="D2039" t="s">
        <v>0</v>
      </c>
      <c r="E2039" t="s">
        <v>1</v>
      </c>
      <c r="F2039" s="18">
        <v>4208.49</v>
      </c>
      <c r="G2039" s="18">
        <v>4208.49</v>
      </c>
      <c r="H2039" t="s">
        <v>2</v>
      </c>
      <c r="I2039" t="s">
        <v>10</v>
      </c>
      <c r="J2039" s="18">
        <v>351408.92</v>
      </c>
      <c r="K2039" t="s">
        <v>4666</v>
      </c>
      <c r="L2039" t="s">
        <v>4</v>
      </c>
      <c r="M2039" t="s">
        <v>4795</v>
      </c>
      <c r="N2039" t="s">
        <v>3</v>
      </c>
      <c r="O2039" t="s">
        <v>3</v>
      </c>
      <c r="P2039" t="s">
        <v>5</v>
      </c>
      <c r="Q2039" t="s">
        <v>4796</v>
      </c>
      <c r="R2039" t="s">
        <v>3</v>
      </c>
      <c r="S2039" t="s">
        <v>3</v>
      </c>
      <c r="T2039" t="s">
        <v>3</v>
      </c>
      <c r="U2039" t="s">
        <v>3</v>
      </c>
      <c r="V2039" t="s">
        <v>3</v>
      </c>
      <c r="W2039" t="s">
        <v>68</v>
      </c>
      <c r="X2039" s="17"/>
      <c r="Y2039" t="s">
        <v>3</v>
      </c>
      <c r="Z2039" s="17">
        <v>43703</v>
      </c>
      <c r="AA2039" t="s">
        <v>3</v>
      </c>
      <c r="AB2039" t="s">
        <v>4794</v>
      </c>
    </row>
    <row r="2040" spans="1:28" hidden="1">
      <c r="A2040" t="s">
        <v>4794</v>
      </c>
      <c r="B2040" s="17">
        <v>43703</v>
      </c>
      <c r="C2040" s="17">
        <v>43703</v>
      </c>
      <c r="D2040" t="s">
        <v>0</v>
      </c>
      <c r="E2040" t="s">
        <v>1</v>
      </c>
      <c r="F2040" s="18">
        <v>32694.38</v>
      </c>
      <c r="G2040" s="18">
        <v>32694.38</v>
      </c>
      <c r="H2040" t="s">
        <v>2</v>
      </c>
      <c r="I2040" t="s">
        <v>10</v>
      </c>
      <c r="J2040" s="18">
        <v>2729980.73</v>
      </c>
      <c r="K2040" t="s">
        <v>4761</v>
      </c>
      <c r="L2040" t="s">
        <v>4</v>
      </c>
      <c r="M2040" t="s">
        <v>4795</v>
      </c>
      <c r="N2040" t="s">
        <v>3</v>
      </c>
      <c r="O2040" t="s">
        <v>3</v>
      </c>
      <c r="P2040" t="s">
        <v>5</v>
      </c>
      <c r="Q2040" t="s">
        <v>4796</v>
      </c>
      <c r="R2040" t="s">
        <v>3</v>
      </c>
      <c r="S2040" t="s">
        <v>3</v>
      </c>
      <c r="T2040" t="s">
        <v>3</v>
      </c>
      <c r="U2040" t="s">
        <v>3</v>
      </c>
      <c r="V2040" t="s">
        <v>3</v>
      </c>
      <c r="W2040" t="s">
        <v>68</v>
      </c>
      <c r="X2040" s="17"/>
      <c r="Y2040" t="s">
        <v>3</v>
      </c>
      <c r="Z2040" s="17">
        <v>43703</v>
      </c>
      <c r="AA2040" t="s">
        <v>3</v>
      </c>
      <c r="AB2040" t="s">
        <v>4794</v>
      </c>
    </row>
    <row r="2041" spans="1:28" hidden="1">
      <c r="A2041" t="s">
        <v>4794</v>
      </c>
      <c r="B2041" s="17">
        <v>43703</v>
      </c>
      <c r="C2041" s="17">
        <v>43703</v>
      </c>
      <c r="D2041" t="s">
        <v>0</v>
      </c>
      <c r="E2041" t="s">
        <v>1</v>
      </c>
      <c r="F2041" s="18">
        <v>6973.37</v>
      </c>
      <c r="G2041" s="18">
        <v>6973.37</v>
      </c>
      <c r="H2041" t="s">
        <v>2</v>
      </c>
      <c r="I2041" t="s">
        <v>10</v>
      </c>
      <c r="J2041" s="18">
        <v>582276.4</v>
      </c>
      <c r="K2041" t="s">
        <v>4667</v>
      </c>
      <c r="L2041" t="s">
        <v>4</v>
      </c>
      <c r="M2041" t="s">
        <v>4795</v>
      </c>
      <c r="N2041" t="s">
        <v>3</v>
      </c>
      <c r="O2041" t="s">
        <v>3</v>
      </c>
      <c r="P2041" t="s">
        <v>5</v>
      </c>
      <c r="Q2041" t="s">
        <v>4796</v>
      </c>
      <c r="R2041" t="s">
        <v>3</v>
      </c>
      <c r="S2041" t="s">
        <v>3</v>
      </c>
      <c r="T2041" t="s">
        <v>3</v>
      </c>
      <c r="U2041" t="s">
        <v>3</v>
      </c>
      <c r="V2041" t="s">
        <v>3</v>
      </c>
      <c r="W2041" t="s">
        <v>68</v>
      </c>
      <c r="X2041" s="17"/>
      <c r="Y2041" t="s">
        <v>3</v>
      </c>
      <c r="Z2041" s="17">
        <v>43703</v>
      </c>
      <c r="AA2041" t="s">
        <v>3</v>
      </c>
      <c r="AB2041" t="s">
        <v>4794</v>
      </c>
    </row>
    <row r="2042" spans="1:28" hidden="1">
      <c r="A2042" t="s">
        <v>4797</v>
      </c>
      <c r="B2042" s="17">
        <v>43703</v>
      </c>
      <c r="C2042" s="17">
        <v>43703</v>
      </c>
      <c r="D2042" t="s">
        <v>0</v>
      </c>
      <c r="E2042" t="s">
        <v>1</v>
      </c>
      <c r="F2042" s="18">
        <v>103292</v>
      </c>
      <c r="G2042" s="18">
        <v>103292</v>
      </c>
      <c r="H2042" t="s">
        <v>2</v>
      </c>
      <c r="I2042" t="s">
        <v>8</v>
      </c>
      <c r="J2042" s="18">
        <v>8624882</v>
      </c>
      <c r="K2042" t="s">
        <v>4604</v>
      </c>
      <c r="L2042" t="s">
        <v>9</v>
      </c>
      <c r="M2042" t="s">
        <v>4798</v>
      </c>
      <c r="N2042" t="s">
        <v>3</v>
      </c>
      <c r="O2042" t="s">
        <v>3</v>
      </c>
      <c r="P2042" t="s">
        <v>5</v>
      </c>
      <c r="Q2042" t="s">
        <v>4799</v>
      </c>
      <c r="R2042" t="s">
        <v>3</v>
      </c>
      <c r="S2042" t="s">
        <v>3</v>
      </c>
      <c r="T2042" t="s">
        <v>3</v>
      </c>
      <c r="U2042" t="s">
        <v>3</v>
      </c>
      <c r="V2042" t="s">
        <v>3</v>
      </c>
      <c r="W2042" t="s">
        <v>68</v>
      </c>
      <c r="X2042" s="17"/>
      <c r="Y2042" t="s">
        <v>3</v>
      </c>
      <c r="Z2042" s="17">
        <v>43703</v>
      </c>
      <c r="AA2042" t="s">
        <v>3</v>
      </c>
      <c r="AB2042" t="s">
        <v>4797</v>
      </c>
    </row>
    <row r="2043" spans="1:28" hidden="1">
      <c r="A2043" t="s">
        <v>4797</v>
      </c>
      <c r="B2043" s="17">
        <v>43703</v>
      </c>
      <c r="C2043" s="17">
        <v>43703</v>
      </c>
      <c r="D2043" t="s">
        <v>0</v>
      </c>
      <c r="E2043" t="s">
        <v>1</v>
      </c>
      <c r="F2043" s="18">
        <v>13368</v>
      </c>
      <c r="G2043" s="18">
        <v>13368</v>
      </c>
      <c r="H2043" t="s">
        <v>2</v>
      </c>
      <c r="I2043" t="s">
        <v>8</v>
      </c>
      <c r="J2043" s="18">
        <v>1115960.6399999999</v>
      </c>
      <c r="K2043" t="s">
        <v>4735</v>
      </c>
      <c r="L2043" t="s">
        <v>9</v>
      </c>
      <c r="M2043" t="s">
        <v>4798</v>
      </c>
      <c r="N2043" t="s">
        <v>3</v>
      </c>
      <c r="O2043" t="s">
        <v>3</v>
      </c>
      <c r="P2043" t="s">
        <v>5</v>
      </c>
      <c r="Q2043" t="s">
        <v>4799</v>
      </c>
      <c r="R2043" t="s">
        <v>3</v>
      </c>
      <c r="S2043" t="s">
        <v>3</v>
      </c>
      <c r="T2043" t="s">
        <v>3</v>
      </c>
      <c r="U2043" t="s">
        <v>3</v>
      </c>
      <c r="V2043" t="s">
        <v>3</v>
      </c>
      <c r="W2043" t="s">
        <v>68</v>
      </c>
      <c r="X2043" s="17">
        <v>43769</v>
      </c>
      <c r="Y2043" t="s">
        <v>4005</v>
      </c>
      <c r="Z2043" s="17">
        <v>43703</v>
      </c>
      <c r="AA2043" t="s">
        <v>3</v>
      </c>
      <c r="AB2043" t="s">
        <v>4797</v>
      </c>
    </row>
    <row r="2044" spans="1:28" hidden="1">
      <c r="A2044" t="s">
        <v>4797</v>
      </c>
      <c r="B2044" s="17">
        <v>43703</v>
      </c>
      <c r="C2044" s="17">
        <v>43703</v>
      </c>
      <c r="D2044" t="s">
        <v>0</v>
      </c>
      <c r="E2044" t="s">
        <v>1</v>
      </c>
      <c r="F2044" s="18">
        <v>79935</v>
      </c>
      <c r="G2044" s="18">
        <v>79935</v>
      </c>
      <c r="H2044" t="s">
        <v>2</v>
      </c>
      <c r="I2044" t="s">
        <v>8</v>
      </c>
      <c r="J2044" s="18">
        <v>6674572.5</v>
      </c>
      <c r="K2044" t="s">
        <v>4754</v>
      </c>
      <c r="L2044" t="s">
        <v>9</v>
      </c>
      <c r="M2044" t="s">
        <v>4798</v>
      </c>
      <c r="N2044" t="s">
        <v>3</v>
      </c>
      <c r="O2044" t="s">
        <v>3</v>
      </c>
      <c r="P2044" t="s">
        <v>5</v>
      </c>
      <c r="Q2044" t="s">
        <v>4799</v>
      </c>
      <c r="R2044" t="s">
        <v>3</v>
      </c>
      <c r="S2044" t="s">
        <v>3</v>
      </c>
      <c r="T2044" t="s">
        <v>3</v>
      </c>
      <c r="U2044" t="s">
        <v>3</v>
      </c>
      <c r="V2044" t="s">
        <v>3</v>
      </c>
      <c r="W2044" t="s">
        <v>68</v>
      </c>
      <c r="X2044" s="17">
        <v>44012</v>
      </c>
      <c r="Y2044" t="s">
        <v>4137</v>
      </c>
      <c r="Z2044" s="17">
        <v>43703</v>
      </c>
      <c r="AA2044" t="s">
        <v>3</v>
      </c>
      <c r="AB2044" t="s">
        <v>4797</v>
      </c>
    </row>
    <row r="2045" spans="1:28" hidden="1">
      <c r="A2045" t="s">
        <v>4797</v>
      </c>
      <c r="B2045" s="17">
        <v>43703</v>
      </c>
      <c r="C2045" s="17">
        <v>43703</v>
      </c>
      <c r="D2045" t="s">
        <v>0</v>
      </c>
      <c r="E2045" t="s">
        <v>1</v>
      </c>
      <c r="F2045" s="18">
        <v>38335</v>
      </c>
      <c r="G2045" s="18">
        <v>38335</v>
      </c>
      <c r="H2045" t="s">
        <v>2</v>
      </c>
      <c r="I2045" t="s">
        <v>8</v>
      </c>
      <c r="J2045" s="18">
        <v>3200972.5</v>
      </c>
      <c r="K2045" t="s">
        <v>4736</v>
      </c>
      <c r="L2045" t="s">
        <v>9</v>
      </c>
      <c r="M2045" t="s">
        <v>4798</v>
      </c>
      <c r="N2045" t="s">
        <v>3</v>
      </c>
      <c r="O2045" t="s">
        <v>3</v>
      </c>
      <c r="P2045" t="s">
        <v>5</v>
      </c>
      <c r="Q2045" t="s">
        <v>4799</v>
      </c>
      <c r="R2045" t="s">
        <v>3</v>
      </c>
      <c r="S2045" t="s">
        <v>3</v>
      </c>
      <c r="T2045" t="s">
        <v>3</v>
      </c>
      <c r="U2045" t="s">
        <v>3</v>
      </c>
      <c r="V2045" t="s">
        <v>3</v>
      </c>
      <c r="W2045" t="s">
        <v>68</v>
      </c>
      <c r="X2045" s="17">
        <v>44012</v>
      </c>
      <c r="Y2045" t="s">
        <v>4137</v>
      </c>
      <c r="Z2045" s="17">
        <v>43703</v>
      </c>
      <c r="AA2045" t="s">
        <v>3</v>
      </c>
      <c r="AB2045" t="s">
        <v>4797</v>
      </c>
    </row>
    <row r="2046" spans="1:28" hidden="1">
      <c r="A2046" t="s">
        <v>4797</v>
      </c>
      <c r="B2046" s="17">
        <v>43703</v>
      </c>
      <c r="C2046" s="17">
        <v>43703</v>
      </c>
      <c r="D2046" t="s">
        <v>0</v>
      </c>
      <c r="E2046" t="s">
        <v>1</v>
      </c>
      <c r="F2046" s="18">
        <v>5246</v>
      </c>
      <c r="G2046" s="18">
        <v>5246</v>
      </c>
      <c r="H2046" t="s">
        <v>2</v>
      </c>
      <c r="I2046" t="s">
        <v>8</v>
      </c>
      <c r="J2046" s="18">
        <v>437936.08</v>
      </c>
      <c r="K2046" t="s">
        <v>4607</v>
      </c>
      <c r="L2046" t="s">
        <v>9</v>
      </c>
      <c r="M2046" t="s">
        <v>4798</v>
      </c>
      <c r="N2046" t="s">
        <v>3</v>
      </c>
      <c r="O2046" t="s">
        <v>3</v>
      </c>
      <c r="P2046" t="s">
        <v>5</v>
      </c>
      <c r="Q2046" t="s">
        <v>4799</v>
      </c>
      <c r="R2046" t="s">
        <v>3</v>
      </c>
      <c r="S2046" t="s">
        <v>3</v>
      </c>
      <c r="T2046" t="s">
        <v>3</v>
      </c>
      <c r="U2046" t="s">
        <v>3</v>
      </c>
      <c r="V2046" t="s">
        <v>3</v>
      </c>
      <c r="W2046" t="s">
        <v>68</v>
      </c>
      <c r="X2046" s="17">
        <v>43769</v>
      </c>
      <c r="Y2046" t="s">
        <v>4160</v>
      </c>
      <c r="Z2046" s="17">
        <v>43703</v>
      </c>
      <c r="AA2046" t="s">
        <v>3</v>
      </c>
      <c r="AB2046" t="s">
        <v>4797</v>
      </c>
    </row>
    <row r="2047" spans="1:28" hidden="1">
      <c r="A2047" t="s">
        <v>4797</v>
      </c>
      <c r="B2047" s="17">
        <v>43703</v>
      </c>
      <c r="C2047" s="17">
        <v>43703</v>
      </c>
      <c r="D2047" t="s">
        <v>0</v>
      </c>
      <c r="E2047" t="s">
        <v>1</v>
      </c>
      <c r="F2047" s="18">
        <v>8010</v>
      </c>
      <c r="G2047" s="18">
        <v>8010</v>
      </c>
      <c r="H2047" t="s">
        <v>2</v>
      </c>
      <c r="I2047" t="s">
        <v>8</v>
      </c>
      <c r="J2047" s="18">
        <v>668674.80000000005</v>
      </c>
      <c r="K2047" t="s">
        <v>4608</v>
      </c>
      <c r="L2047" t="s">
        <v>9</v>
      </c>
      <c r="M2047" t="s">
        <v>4798</v>
      </c>
      <c r="N2047" t="s">
        <v>3</v>
      </c>
      <c r="O2047" t="s">
        <v>3</v>
      </c>
      <c r="P2047" t="s">
        <v>5</v>
      </c>
      <c r="Q2047" t="s">
        <v>4799</v>
      </c>
      <c r="R2047" t="s">
        <v>3</v>
      </c>
      <c r="S2047" t="s">
        <v>3</v>
      </c>
      <c r="T2047" t="s">
        <v>3</v>
      </c>
      <c r="U2047" t="s">
        <v>3</v>
      </c>
      <c r="V2047" t="s">
        <v>3</v>
      </c>
      <c r="W2047" t="s">
        <v>68</v>
      </c>
      <c r="X2047" s="17">
        <v>44012</v>
      </c>
      <c r="Y2047" t="s">
        <v>4137</v>
      </c>
      <c r="Z2047" s="17">
        <v>43703</v>
      </c>
      <c r="AA2047" t="s">
        <v>3</v>
      </c>
      <c r="AB2047" t="s">
        <v>4797</v>
      </c>
    </row>
    <row r="2048" spans="1:28" hidden="1">
      <c r="A2048" t="s">
        <v>4800</v>
      </c>
      <c r="B2048" s="17">
        <v>43703</v>
      </c>
      <c r="C2048" s="17">
        <v>43703</v>
      </c>
      <c r="D2048" t="s">
        <v>0</v>
      </c>
      <c r="E2048" t="s">
        <v>1</v>
      </c>
      <c r="F2048" s="18">
        <v>2188</v>
      </c>
      <c r="G2048" s="18">
        <v>2188</v>
      </c>
      <c r="H2048" t="s">
        <v>2</v>
      </c>
      <c r="I2048" t="s">
        <v>8</v>
      </c>
      <c r="J2048" s="18">
        <v>182698</v>
      </c>
      <c r="K2048" t="s">
        <v>4604</v>
      </c>
      <c r="L2048" t="s">
        <v>9</v>
      </c>
      <c r="M2048" t="s">
        <v>4801</v>
      </c>
      <c r="N2048" t="s">
        <v>3</v>
      </c>
      <c r="O2048" t="s">
        <v>3</v>
      </c>
      <c r="P2048" t="s">
        <v>5</v>
      </c>
      <c r="Q2048" t="s">
        <v>4802</v>
      </c>
      <c r="R2048" t="s">
        <v>3</v>
      </c>
      <c r="S2048" t="s">
        <v>3</v>
      </c>
      <c r="T2048" t="s">
        <v>3</v>
      </c>
      <c r="U2048" t="s">
        <v>3</v>
      </c>
      <c r="V2048" t="s">
        <v>3</v>
      </c>
      <c r="W2048" t="s">
        <v>68</v>
      </c>
      <c r="X2048" s="17"/>
      <c r="Y2048" t="s">
        <v>3</v>
      </c>
      <c r="Z2048" s="17">
        <v>43703</v>
      </c>
      <c r="AA2048" t="s">
        <v>3</v>
      </c>
      <c r="AB2048" t="s">
        <v>4800</v>
      </c>
    </row>
    <row r="2049" spans="1:28" hidden="1">
      <c r="A2049" t="s">
        <v>4800</v>
      </c>
      <c r="B2049" s="17">
        <v>43703</v>
      </c>
      <c r="C2049" s="17">
        <v>43703</v>
      </c>
      <c r="D2049" t="s">
        <v>0</v>
      </c>
      <c r="E2049" t="s">
        <v>1</v>
      </c>
      <c r="F2049" s="18">
        <v>53812</v>
      </c>
      <c r="G2049" s="18">
        <v>53812</v>
      </c>
      <c r="H2049" t="s">
        <v>2</v>
      </c>
      <c r="I2049" t="s">
        <v>8</v>
      </c>
      <c r="J2049" s="18">
        <v>4493302</v>
      </c>
      <c r="K2049" t="s">
        <v>4754</v>
      </c>
      <c r="L2049" t="s">
        <v>9</v>
      </c>
      <c r="M2049" t="s">
        <v>4801</v>
      </c>
      <c r="N2049" t="s">
        <v>3</v>
      </c>
      <c r="O2049" t="s">
        <v>3</v>
      </c>
      <c r="P2049" t="s">
        <v>5</v>
      </c>
      <c r="Q2049" t="s">
        <v>4802</v>
      </c>
      <c r="R2049" t="s">
        <v>3</v>
      </c>
      <c r="S2049" t="s">
        <v>3</v>
      </c>
      <c r="T2049" t="s">
        <v>3</v>
      </c>
      <c r="U2049" t="s">
        <v>3</v>
      </c>
      <c r="V2049" t="s">
        <v>3</v>
      </c>
      <c r="W2049" t="s">
        <v>68</v>
      </c>
      <c r="X2049" s="17">
        <v>44012</v>
      </c>
      <c r="Y2049" t="s">
        <v>4137</v>
      </c>
      <c r="Z2049" s="17">
        <v>43703</v>
      </c>
      <c r="AA2049" t="s">
        <v>3</v>
      </c>
      <c r="AB2049" t="s">
        <v>4800</v>
      </c>
    </row>
    <row r="2050" spans="1:28" hidden="1">
      <c r="A2050" t="s">
        <v>4800</v>
      </c>
      <c r="B2050" s="17">
        <v>43703</v>
      </c>
      <c r="C2050" s="17">
        <v>43703</v>
      </c>
      <c r="D2050" t="s">
        <v>0</v>
      </c>
      <c r="E2050" t="s">
        <v>1</v>
      </c>
      <c r="F2050" s="18">
        <v>16828</v>
      </c>
      <c r="G2050" s="18">
        <v>16828</v>
      </c>
      <c r="H2050" t="s">
        <v>2</v>
      </c>
      <c r="I2050" t="s">
        <v>8</v>
      </c>
      <c r="J2050" s="18">
        <v>1405138</v>
      </c>
      <c r="K2050" t="s">
        <v>4736</v>
      </c>
      <c r="L2050" t="s">
        <v>9</v>
      </c>
      <c r="M2050" t="s">
        <v>4801</v>
      </c>
      <c r="N2050" t="s">
        <v>3</v>
      </c>
      <c r="O2050" t="s">
        <v>3</v>
      </c>
      <c r="P2050" t="s">
        <v>5</v>
      </c>
      <c r="Q2050" t="s">
        <v>4802</v>
      </c>
      <c r="R2050" t="s">
        <v>3</v>
      </c>
      <c r="S2050" t="s">
        <v>3</v>
      </c>
      <c r="T2050" t="s">
        <v>3</v>
      </c>
      <c r="U2050" t="s">
        <v>3</v>
      </c>
      <c r="V2050" t="s">
        <v>3</v>
      </c>
      <c r="W2050" t="s">
        <v>68</v>
      </c>
      <c r="X2050" s="17">
        <v>44012</v>
      </c>
      <c r="Y2050" t="s">
        <v>4137</v>
      </c>
      <c r="Z2050" s="17">
        <v>43703</v>
      </c>
      <c r="AA2050" t="s">
        <v>3</v>
      </c>
      <c r="AB2050" t="s">
        <v>4800</v>
      </c>
    </row>
    <row r="2051" spans="1:28" hidden="1">
      <c r="A2051" t="s">
        <v>4803</v>
      </c>
      <c r="B2051" s="17">
        <v>43703</v>
      </c>
      <c r="C2051" s="17">
        <v>43703</v>
      </c>
      <c r="D2051" t="s">
        <v>0</v>
      </c>
      <c r="E2051" t="s">
        <v>1</v>
      </c>
      <c r="F2051" s="18">
        <v>300772</v>
      </c>
      <c r="G2051" s="18">
        <v>300772</v>
      </c>
      <c r="H2051" t="s">
        <v>2</v>
      </c>
      <c r="I2051" t="s">
        <v>8</v>
      </c>
      <c r="J2051" s="18">
        <v>25114462</v>
      </c>
      <c r="K2051" t="s">
        <v>4754</v>
      </c>
      <c r="L2051" t="s">
        <v>9</v>
      </c>
      <c r="M2051" t="s">
        <v>4804</v>
      </c>
      <c r="N2051" t="s">
        <v>3</v>
      </c>
      <c r="O2051" t="s">
        <v>3</v>
      </c>
      <c r="P2051" t="s">
        <v>5</v>
      </c>
      <c r="Q2051" t="s">
        <v>4805</v>
      </c>
      <c r="R2051" t="s">
        <v>3</v>
      </c>
      <c r="S2051" t="s">
        <v>3</v>
      </c>
      <c r="T2051" t="s">
        <v>3</v>
      </c>
      <c r="U2051" t="s">
        <v>3</v>
      </c>
      <c r="V2051" t="s">
        <v>3</v>
      </c>
      <c r="W2051" t="s">
        <v>68</v>
      </c>
      <c r="X2051" s="17">
        <v>44012</v>
      </c>
      <c r="Y2051" t="s">
        <v>4137</v>
      </c>
      <c r="Z2051" s="17">
        <v>43703</v>
      </c>
      <c r="AA2051" t="s">
        <v>3</v>
      </c>
      <c r="AB2051" t="s">
        <v>4803</v>
      </c>
    </row>
    <row r="2052" spans="1:28" hidden="1">
      <c r="A2052" t="s">
        <v>4803</v>
      </c>
      <c r="B2052" s="17">
        <v>43703</v>
      </c>
      <c r="C2052" s="17">
        <v>43703</v>
      </c>
      <c r="D2052" t="s">
        <v>0</v>
      </c>
      <c r="E2052" t="s">
        <v>1</v>
      </c>
      <c r="F2052" s="18">
        <v>122620</v>
      </c>
      <c r="G2052" s="18">
        <v>122620</v>
      </c>
      <c r="H2052" t="s">
        <v>2</v>
      </c>
      <c r="I2052" t="s">
        <v>8</v>
      </c>
      <c r="J2052" s="18">
        <v>10238770</v>
      </c>
      <c r="K2052" t="s">
        <v>4736</v>
      </c>
      <c r="L2052" t="s">
        <v>9</v>
      </c>
      <c r="M2052" t="s">
        <v>4804</v>
      </c>
      <c r="N2052" t="s">
        <v>3</v>
      </c>
      <c r="O2052" t="s">
        <v>3</v>
      </c>
      <c r="P2052" t="s">
        <v>5</v>
      </c>
      <c r="Q2052" t="s">
        <v>4805</v>
      </c>
      <c r="R2052" t="s">
        <v>3</v>
      </c>
      <c r="S2052" t="s">
        <v>3</v>
      </c>
      <c r="T2052" t="s">
        <v>3</v>
      </c>
      <c r="U2052" t="s">
        <v>3</v>
      </c>
      <c r="V2052" t="s">
        <v>3</v>
      </c>
      <c r="W2052" t="s">
        <v>68</v>
      </c>
      <c r="X2052" s="17">
        <v>44012</v>
      </c>
      <c r="Y2052" t="s">
        <v>4137</v>
      </c>
      <c r="Z2052" s="17">
        <v>43703</v>
      </c>
      <c r="AA2052" t="s">
        <v>3</v>
      </c>
      <c r="AB2052" t="s">
        <v>4803</v>
      </c>
    </row>
    <row r="2053" spans="1:28" hidden="1">
      <c r="A2053" t="s">
        <v>4806</v>
      </c>
      <c r="B2053" s="17">
        <v>43704</v>
      </c>
      <c r="C2053" s="17">
        <v>43704</v>
      </c>
      <c r="D2053" t="s">
        <v>0</v>
      </c>
      <c r="E2053" t="s">
        <v>1</v>
      </c>
      <c r="F2053" s="18">
        <v>1558</v>
      </c>
      <c r="G2053" s="18">
        <v>1558</v>
      </c>
      <c r="H2053" t="s">
        <v>2</v>
      </c>
      <c r="I2053" t="s">
        <v>8</v>
      </c>
      <c r="J2053" s="18">
        <v>130093</v>
      </c>
      <c r="K2053" t="s">
        <v>4604</v>
      </c>
      <c r="L2053" t="s">
        <v>9</v>
      </c>
      <c r="M2053" t="s">
        <v>4807</v>
      </c>
      <c r="N2053" t="s">
        <v>3</v>
      </c>
      <c r="O2053" t="s">
        <v>3</v>
      </c>
      <c r="P2053" t="s">
        <v>5</v>
      </c>
      <c r="Q2053" t="s">
        <v>4808</v>
      </c>
      <c r="R2053" t="s">
        <v>3</v>
      </c>
      <c r="S2053" t="s">
        <v>3</v>
      </c>
      <c r="T2053" t="s">
        <v>3</v>
      </c>
      <c r="U2053" t="s">
        <v>3</v>
      </c>
      <c r="V2053" t="s">
        <v>3</v>
      </c>
      <c r="W2053" t="s">
        <v>68</v>
      </c>
      <c r="X2053" s="17"/>
      <c r="Y2053" t="s">
        <v>3</v>
      </c>
      <c r="Z2053" s="17">
        <v>43704</v>
      </c>
      <c r="AA2053" t="s">
        <v>3</v>
      </c>
      <c r="AB2053" t="s">
        <v>4806</v>
      </c>
    </row>
    <row r="2054" spans="1:28" hidden="1">
      <c r="A2054" t="s">
        <v>4806</v>
      </c>
      <c r="B2054" s="17">
        <v>43704</v>
      </c>
      <c r="C2054" s="17">
        <v>43704</v>
      </c>
      <c r="D2054" t="s">
        <v>0</v>
      </c>
      <c r="E2054" t="s">
        <v>1</v>
      </c>
      <c r="F2054" s="18">
        <v>346</v>
      </c>
      <c r="G2054" s="18">
        <v>346</v>
      </c>
      <c r="H2054" t="s">
        <v>2</v>
      </c>
      <c r="I2054" t="s">
        <v>8</v>
      </c>
      <c r="J2054" s="18">
        <v>28891</v>
      </c>
      <c r="K2054" t="s">
        <v>4754</v>
      </c>
      <c r="L2054" t="s">
        <v>9</v>
      </c>
      <c r="M2054" t="s">
        <v>4807</v>
      </c>
      <c r="N2054" t="s">
        <v>3</v>
      </c>
      <c r="O2054" t="s">
        <v>3</v>
      </c>
      <c r="P2054" t="s">
        <v>5</v>
      </c>
      <c r="Q2054" t="s">
        <v>4808</v>
      </c>
      <c r="R2054" t="s">
        <v>3</v>
      </c>
      <c r="S2054" t="s">
        <v>3</v>
      </c>
      <c r="T2054" t="s">
        <v>3</v>
      </c>
      <c r="U2054" t="s">
        <v>3</v>
      </c>
      <c r="V2054" t="s">
        <v>3</v>
      </c>
      <c r="W2054" t="s">
        <v>68</v>
      </c>
      <c r="X2054" s="17">
        <v>44012</v>
      </c>
      <c r="Y2054" t="s">
        <v>4137</v>
      </c>
      <c r="Z2054" s="17">
        <v>43704</v>
      </c>
      <c r="AA2054" t="s">
        <v>3</v>
      </c>
      <c r="AB2054" t="s">
        <v>4806</v>
      </c>
    </row>
    <row r="2055" spans="1:28" hidden="1">
      <c r="A2055" t="s">
        <v>4806</v>
      </c>
      <c r="B2055" s="17">
        <v>43704</v>
      </c>
      <c r="C2055" s="17">
        <v>43704</v>
      </c>
      <c r="D2055" t="s">
        <v>0</v>
      </c>
      <c r="E2055" t="s">
        <v>1</v>
      </c>
      <c r="F2055" s="18">
        <v>1494</v>
      </c>
      <c r="G2055" s="18">
        <v>1494</v>
      </c>
      <c r="H2055" t="s">
        <v>2</v>
      </c>
      <c r="I2055" t="s">
        <v>8</v>
      </c>
      <c r="J2055" s="18">
        <v>124749</v>
      </c>
      <c r="K2055" t="s">
        <v>4736</v>
      </c>
      <c r="L2055" t="s">
        <v>9</v>
      </c>
      <c r="M2055" t="s">
        <v>4807</v>
      </c>
      <c r="N2055" t="s">
        <v>3</v>
      </c>
      <c r="O2055" t="s">
        <v>3</v>
      </c>
      <c r="P2055" t="s">
        <v>5</v>
      </c>
      <c r="Q2055" t="s">
        <v>4808</v>
      </c>
      <c r="R2055" t="s">
        <v>3</v>
      </c>
      <c r="S2055" t="s">
        <v>3</v>
      </c>
      <c r="T2055" t="s">
        <v>3</v>
      </c>
      <c r="U2055" t="s">
        <v>3</v>
      </c>
      <c r="V2055" t="s">
        <v>3</v>
      </c>
      <c r="W2055" t="s">
        <v>68</v>
      </c>
      <c r="X2055" s="17">
        <v>44012</v>
      </c>
      <c r="Y2055" t="s">
        <v>4137</v>
      </c>
      <c r="Z2055" s="17">
        <v>43704</v>
      </c>
      <c r="AA2055" t="s">
        <v>3</v>
      </c>
      <c r="AB2055" t="s">
        <v>4806</v>
      </c>
    </row>
    <row r="2056" spans="1:28" hidden="1">
      <c r="A2056" t="s">
        <v>4806</v>
      </c>
      <c r="B2056" s="17">
        <v>43704</v>
      </c>
      <c r="C2056" s="17">
        <v>43704</v>
      </c>
      <c r="D2056" t="s">
        <v>0</v>
      </c>
      <c r="E2056" t="s">
        <v>1</v>
      </c>
      <c r="F2056" s="18">
        <v>387</v>
      </c>
      <c r="G2056" s="18">
        <v>387</v>
      </c>
      <c r="H2056" t="s">
        <v>2</v>
      </c>
      <c r="I2056" t="s">
        <v>8</v>
      </c>
      <c r="J2056" s="18">
        <v>32306.76</v>
      </c>
      <c r="K2056" t="s">
        <v>4607</v>
      </c>
      <c r="L2056" t="s">
        <v>9</v>
      </c>
      <c r="M2056" t="s">
        <v>4807</v>
      </c>
      <c r="N2056" t="s">
        <v>3</v>
      </c>
      <c r="O2056" t="s">
        <v>3</v>
      </c>
      <c r="P2056" t="s">
        <v>5</v>
      </c>
      <c r="Q2056" t="s">
        <v>4808</v>
      </c>
      <c r="R2056" t="s">
        <v>3</v>
      </c>
      <c r="S2056" t="s">
        <v>3</v>
      </c>
      <c r="T2056" t="s">
        <v>3</v>
      </c>
      <c r="U2056" t="s">
        <v>3</v>
      </c>
      <c r="V2056" t="s">
        <v>3</v>
      </c>
      <c r="W2056" t="s">
        <v>68</v>
      </c>
      <c r="X2056" s="17">
        <v>43769</v>
      </c>
      <c r="Y2056" t="s">
        <v>4160</v>
      </c>
      <c r="Z2056" s="17">
        <v>43704</v>
      </c>
      <c r="AA2056" t="s">
        <v>3</v>
      </c>
      <c r="AB2056" t="s">
        <v>4806</v>
      </c>
    </row>
    <row r="2057" spans="1:28" hidden="1">
      <c r="A2057" t="s">
        <v>4809</v>
      </c>
      <c r="B2057" s="17">
        <v>43704</v>
      </c>
      <c r="C2057" s="17">
        <v>43704</v>
      </c>
      <c r="D2057" t="s">
        <v>0</v>
      </c>
      <c r="E2057" t="s">
        <v>1</v>
      </c>
      <c r="F2057" s="18">
        <v>12229</v>
      </c>
      <c r="G2057" s="18">
        <v>12229</v>
      </c>
      <c r="H2057" t="s">
        <v>2</v>
      </c>
      <c r="I2057" t="s">
        <v>8</v>
      </c>
      <c r="J2057" s="18">
        <v>1021121.5</v>
      </c>
      <c r="K2057" t="s">
        <v>4754</v>
      </c>
      <c r="L2057" t="s">
        <v>9</v>
      </c>
      <c r="M2057" t="s">
        <v>4810</v>
      </c>
      <c r="N2057" t="s">
        <v>3</v>
      </c>
      <c r="O2057" t="s">
        <v>3</v>
      </c>
      <c r="P2057" t="s">
        <v>5</v>
      </c>
      <c r="Q2057" t="s">
        <v>4811</v>
      </c>
      <c r="R2057" t="s">
        <v>3</v>
      </c>
      <c r="S2057" t="s">
        <v>3</v>
      </c>
      <c r="T2057" t="s">
        <v>3</v>
      </c>
      <c r="U2057" t="s">
        <v>3</v>
      </c>
      <c r="V2057" t="s">
        <v>3</v>
      </c>
      <c r="W2057" t="s">
        <v>68</v>
      </c>
      <c r="X2057" s="17">
        <v>44012</v>
      </c>
      <c r="Y2057" t="s">
        <v>4137</v>
      </c>
      <c r="Z2057" s="17">
        <v>43704</v>
      </c>
      <c r="AA2057" t="s">
        <v>3</v>
      </c>
      <c r="AB2057" t="s">
        <v>4809</v>
      </c>
    </row>
    <row r="2058" spans="1:28" hidden="1">
      <c r="A2058" t="s">
        <v>4815</v>
      </c>
      <c r="B2058" s="17">
        <v>43704</v>
      </c>
      <c r="C2058" s="17">
        <v>43704</v>
      </c>
      <c r="D2058" t="s">
        <v>0</v>
      </c>
      <c r="E2058" t="s">
        <v>1</v>
      </c>
      <c r="F2058" s="18">
        <v>9154.7099999999991</v>
      </c>
      <c r="G2058" s="18">
        <v>9154.7099999999991</v>
      </c>
      <c r="H2058" t="s">
        <v>2</v>
      </c>
      <c r="I2058" t="s">
        <v>8</v>
      </c>
      <c r="J2058" s="18">
        <v>764418.29</v>
      </c>
      <c r="K2058" t="s">
        <v>4742</v>
      </c>
      <c r="L2058" t="s">
        <v>4</v>
      </c>
      <c r="M2058" t="s">
        <v>4816</v>
      </c>
      <c r="N2058" t="s">
        <v>3</v>
      </c>
      <c r="O2058" t="s">
        <v>3</v>
      </c>
      <c r="P2058" t="s">
        <v>5</v>
      </c>
      <c r="Q2058" t="s">
        <v>4817</v>
      </c>
      <c r="R2058" t="s">
        <v>3</v>
      </c>
      <c r="S2058" t="s">
        <v>3</v>
      </c>
      <c r="T2058" t="s">
        <v>3</v>
      </c>
      <c r="U2058" t="s">
        <v>3</v>
      </c>
      <c r="V2058" t="s">
        <v>3</v>
      </c>
      <c r="W2058" t="s">
        <v>68</v>
      </c>
      <c r="X2058" s="17"/>
      <c r="Y2058" t="s">
        <v>3</v>
      </c>
      <c r="Z2058" s="17">
        <v>43704</v>
      </c>
      <c r="AA2058" t="s">
        <v>3</v>
      </c>
      <c r="AB2058" t="s">
        <v>4815</v>
      </c>
    </row>
    <row r="2059" spans="1:28" hidden="1">
      <c r="A2059" t="s">
        <v>4818</v>
      </c>
      <c r="B2059" s="17">
        <v>43704</v>
      </c>
      <c r="C2059" s="17">
        <v>43704</v>
      </c>
      <c r="D2059" t="s">
        <v>0</v>
      </c>
      <c r="E2059" t="s">
        <v>1</v>
      </c>
      <c r="F2059" s="18">
        <v>3211.46</v>
      </c>
      <c r="G2059" s="18">
        <v>3211.46</v>
      </c>
      <c r="H2059" t="s">
        <v>2</v>
      </c>
      <c r="I2059" t="s">
        <v>10</v>
      </c>
      <c r="J2059" s="18">
        <v>268156.90999999997</v>
      </c>
      <c r="K2059" t="s">
        <v>4666</v>
      </c>
      <c r="L2059" t="s">
        <v>4</v>
      </c>
      <c r="M2059" t="s">
        <v>4819</v>
      </c>
      <c r="N2059" t="s">
        <v>3</v>
      </c>
      <c r="O2059" t="s">
        <v>3</v>
      </c>
      <c r="P2059" t="s">
        <v>5</v>
      </c>
      <c r="Q2059" t="s">
        <v>4820</v>
      </c>
      <c r="R2059" t="s">
        <v>3</v>
      </c>
      <c r="S2059" t="s">
        <v>3</v>
      </c>
      <c r="T2059" t="s">
        <v>3</v>
      </c>
      <c r="U2059" t="s">
        <v>3</v>
      </c>
      <c r="V2059" t="s">
        <v>3</v>
      </c>
      <c r="W2059" t="s">
        <v>68</v>
      </c>
      <c r="X2059" s="17"/>
      <c r="Y2059" t="s">
        <v>3</v>
      </c>
      <c r="Z2059" s="17">
        <v>43704</v>
      </c>
      <c r="AA2059" t="s">
        <v>3</v>
      </c>
      <c r="AB2059" t="s">
        <v>4818</v>
      </c>
    </row>
    <row r="2060" spans="1:28" hidden="1">
      <c r="A2060" t="s">
        <v>4818</v>
      </c>
      <c r="B2060" s="17">
        <v>43704</v>
      </c>
      <c r="C2060" s="17">
        <v>43704</v>
      </c>
      <c r="D2060" t="s">
        <v>0</v>
      </c>
      <c r="E2060" t="s">
        <v>1</v>
      </c>
      <c r="F2060" s="18">
        <v>353.89</v>
      </c>
      <c r="G2060" s="18">
        <v>353.89</v>
      </c>
      <c r="H2060" t="s">
        <v>2</v>
      </c>
      <c r="I2060" t="s">
        <v>8</v>
      </c>
      <c r="J2060" s="18">
        <v>29549.82</v>
      </c>
      <c r="K2060" t="s">
        <v>4771</v>
      </c>
      <c r="L2060" t="s">
        <v>4</v>
      </c>
      <c r="M2060" t="s">
        <v>4819</v>
      </c>
      <c r="N2060" t="s">
        <v>3</v>
      </c>
      <c r="O2060" t="s">
        <v>3</v>
      </c>
      <c r="P2060" t="s">
        <v>5</v>
      </c>
      <c r="Q2060" t="s">
        <v>4820</v>
      </c>
      <c r="R2060" t="s">
        <v>3</v>
      </c>
      <c r="S2060" t="s">
        <v>3</v>
      </c>
      <c r="T2060" t="s">
        <v>3</v>
      </c>
      <c r="U2060" t="s">
        <v>3</v>
      </c>
      <c r="V2060" t="s">
        <v>3</v>
      </c>
      <c r="W2060" t="s">
        <v>68</v>
      </c>
      <c r="X2060" s="17"/>
      <c r="Y2060" t="s">
        <v>3</v>
      </c>
      <c r="Z2060" s="17">
        <v>43704</v>
      </c>
      <c r="AA2060" t="s">
        <v>3</v>
      </c>
      <c r="AB2060" t="s">
        <v>4818</v>
      </c>
    </row>
    <row r="2061" spans="1:28" hidden="1">
      <c r="A2061" t="s">
        <v>4821</v>
      </c>
      <c r="B2061" s="17">
        <v>43704</v>
      </c>
      <c r="C2061" s="17">
        <v>43704</v>
      </c>
      <c r="D2061" t="s">
        <v>0</v>
      </c>
      <c r="E2061" t="s">
        <v>1</v>
      </c>
      <c r="F2061" s="18">
        <v>29077.279999999999</v>
      </c>
      <c r="G2061" s="18">
        <v>29077.279999999999</v>
      </c>
      <c r="H2061" t="s">
        <v>2</v>
      </c>
      <c r="I2061" t="s">
        <v>8</v>
      </c>
      <c r="J2061" s="18">
        <v>2427952.89</v>
      </c>
      <c r="K2061" t="s">
        <v>4822</v>
      </c>
      <c r="L2061" t="s">
        <v>4</v>
      </c>
      <c r="M2061" t="s">
        <v>4823</v>
      </c>
      <c r="N2061" t="s">
        <v>3</v>
      </c>
      <c r="O2061" t="s">
        <v>3</v>
      </c>
      <c r="P2061" t="s">
        <v>5</v>
      </c>
      <c r="Q2061" t="s">
        <v>4824</v>
      </c>
      <c r="R2061" t="s">
        <v>3</v>
      </c>
      <c r="S2061" t="s">
        <v>3</v>
      </c>
      <c r="T2061" t="s">
        <v>3</v>
      </c>
      <c r="U2061" t="s">
        <v>3</v>
      </c>
      <c r="V2061" t="s">
        <v>3</v>
      </c>
      <c r="W2061" t="s">
        <v>68</v>
      </c>
      <c r="X2061" s="17"/>
      <c r="Y2061" t="s">
        <v>3</v>
      </c>
      <c r="Z2061" s="17">
        <v>43704</v>
      </c>
      <c r="AA2061" t="s">
        <v>3</v>
      </c>
      <c r="AB2061" t="s">
        <v>4821</v>
      </c>
    </row>
    <row r="2062" spans="1:28" hidden="1">
      <c r="A2062" t="s">
        <v>4825</v>
      </c>
      <c r="B2062" s="17">
        <v>43704</v>
      </c>
      <c r="C2062" s="17">
        <v>43704</v>
      </c>
      <c r="D2062" t="s">
        <v>0</v>
      </c>
      <c r="E2062" t="s">
        <v>1</v>
      </c>
      <c r="F2062" s="18">
        <v>13929</v>
      </c>
      <c r="G2062" s="18">
        <v>13929</v>
      </c>
      <c r="H2062" t="s">
        <v>2</v>
      </c>
      <c r="I2062" t="s">
        <v>8</v>
      </c>
      <c r="J2062" s="18">
        <v>1163071.5</v>
      </c>
      <c r="K2062" t="s">
        <v>4742</v>
      </c>
      <c r="L2062" t="s">
        <v>4</v>
      </c>
      <c r="M2062" t="s">
        <v>4826</v>
      </c>
      <c r="N2062" t="s">
        <v>3</v>
      </c>
      <c r="O2062" t="s">
        <v>3</v>
      </c>
      <c r="P2062" t="s">
        <v>5</v>
      </c>
      <c r="Q2062" t="s">
        <v>4827</v>
      </c>
      <c r="R2062" t="s">
        <v>3</v>
      </c>
      <c r="S2062" t="s">
        <v>3</v>
      </c>
      <c r="T2062" t="s">
        <v>3</v>
      </c>
      <c r="U2062" t="s">
        <v>3</v>
      </c>
      <c r="V2062" t="s">
        <v>3</v>
      </c>
      <c r="W2062" t="s">
        <v>68</v>
      </c>
      <c r="X2062" s="17"/>
      <c r="Y2062" t="s">
        <v>3</v>
      </c>
      <c r="Z2062" s="17">
        <v>43704</v>
      </c>
      <c r="AA2062" t="s">
        <v>3</v>
      </c>
      <c r="AB2062" t="s">
        <v>4825</v>
      </c>
    </row>
    <row r="2063" spans="1:28" hidden="1">
      <c r="A2063" t="s">
        <v>4825</v>
      </c>
      <c r="B2063" s="17">
        <v>43704</v>
      </c>
      <c r="C2063" s="17">
        <v>43704</v>
      </c>
      <c r="D2063" t="s">
        <v>0</v>
      </c>
      <c r="E2063" t="s">
        <v>1</v>
      </c>
      <c r="F2063" s="18">
        <v>1307.29</v>
      </c>
      <c r="G2063" s="18">
        <v>1307.29</v>
      </c>
      <c r="H2063" t="s">
        <v>2</v>
      </c>
      <c r="I2063" t="s">
        <v>8</v>
      </c>
      <c r="J2063" s="18">
        <v>109158.72</v>
      </c>
      <c r="K2063" t="s">
        <v>4771</v>
      </c>
      <c r="L2063" t="s">
        <v>4</v>
      </c>
      <c r="M2063" t="s">
        <v>4826</v>
      </c>
      <c r="N2063" t="s">
        <v>3</v>
      </c>
      <c r="O2063" t="s">
        <v>3</v>
      </c>
      <c r="P2063" t="s">
        <v>5</v>
      </c>
      <c r="Q2063" t="s">
        <v>4827</v>
      </c>
      <c r="R2063" t="s">
        <v>3</v>
      </c>
      <c r="S2063" t="s">
        <v>3</v>
      </c>
      <c r="T2063" t="s">
        <v>3</v>
      </c>
      <c r="U2063" t="s">
        <v>3</v>
      </c>
      <c r="V2063" t="s">
        <v>3</v>
      </c>
      <c r="W2063" t="s">
        <v>68</v>
      </c>
      <c r="X2063" s="17"/>
      <c r="Y2063" t="s">
        <v>3</v>
      </c>
      <c r="Z2063" s="17">
        <v>43704</v>
      </c>
      <c r="AA2063" t="s">
        <v>3</v>
      </c>
      <c r="AB2063" t="s">
        <v>4825</v>
      </c>
    </row>
    <row r="2064" spans="1:28" hidden="1">
      <c r="A2064" t="s">
        <v>4812</v>
      </c>
      <c r="B2064" s="17">
        <v>43705</v>
      </c>
      <c r="C2064" s="17">
        <v>43705</v>
      </c>
      <c r="D2064" t="s">
        <v>0</v>
      </c>
      <c r="E2064" t="s">
        <v>1</v>
      </c>
      <c r="F2064" s="18">
        <v>11217.26</v>
      </c>
      <c r="G2064" s="18">
        <v>11217.26</v>
      </c>
      <c r="H2064" t="s">
        <v>2</v>
      </c>
      <c r="I2064" t="s">
        <v>8</v>
      </c>
      <c r="J2064" s="18">
        <v>936641.21</v>
      </c>
      <c r="K2064" t="s">
        <v>4742</v>
      </c>
      <c r="L2064" t="s">
        <v>4</v>
      </c>
      <c r="M2064" t="s">
        <v>4813</v>
      </c>
      <c r="N2064" t="s">
        <v>3</v>
      </c>
      <c r="O2064" t="s">
        <v>3</v>
      </c>
      <c r="P2064" t="s">
        <v>5</v>
      </c>
      <c r="Q2064" t="s">
        <v>4814</v>
      </c>
      <c r="R2064" t="s">
        <v>3</v>
      </c>
      <c r="S2064" t="s">
        <v>3</v>
      </c>
      <c r="T2064" t="s">
        <v>3</v>
      </c>
      <c r="U2064" t="s">
        <v>3</v>
      </c>
      <c r="V2064" t="s">
        <v>3</v>
      </c>
      <c r="W2064" t="s">
        <v>68</v>
      </c>
      <c r="X2064" s="17"/>
      <c r="Y2064" t="s">
        <v>3</v>
      </c>
      <c r="Z2064" s="17">
        <v>43705</v>
      </c>
      <c r="AA2064" t="s">
        <v>3</v>
      </c>
      <c r="AB2064" t="s">
        <v>4812</v>
      </c>
    </row>
    <row r="2065" spans="1:28" hidden="1">
      <c r="A2065" t="s">
        <v>4828</v>
      </c>
      <c r="B2065" s="17">
        <v>43706</v>
      </c>
      <c r="C2065" s="17">
        <v>43706</v>
      </c>
      <c r="D2065" t="s">
        <v>0</v>
      </c>
      <c r="E2065" t="s">
        <v>1</v>
      </c>
      <c r="F2065" s="18">
        <v>68828.92</v>
      </c>
      <c r="G2065" s="18">
        <v>68828.92</v>
      </c>
      <c r="H2065" t="s">
        <v>2</v>
      </c>
      <c r="I2065" t="s">
        <v>8</v>
      </c>
      <c r="J2065" s="18">
        <v>5747214.8200000003</v>
      </c>
      <c r="K2065" t="s">
        <v>4742</v>
      </c>
      <c r="L2065" t="s">
        <v>4</v>
      </c>
      <c r="M2065" t="s">
        <v>4829</v>
      </c>
      <c r="N2065" t="s">
        <v>3</v>
      </c>
      <c r="O2065" t="s">
        <v>3</v>
      </c>
      <c r="P2065" t="s">
        <v>5</v>
      </c>
      <c r="Q2065" t="s">
        <v>4830</v>
      </c>
      <c r="R2065" t="s">
        <v>3</v>
      </c>
      <c r="S2065" t="s">
        <v>3</v>
      </c>
      <c r="T2065" t="s">
        <v>3</v>
      </c>
      <c r="U2065" t="s">
        <v>3</v>
      </c>
      <c r="V2065" t="s">
        <v>3</v>
      </c>
      <c r="W2065" t="s">
        <v>68</v>
      </c>
      <c r="X2065" s="17"/>
      <c r="Y2065" t="s">
        <v>3</v>
      </c>
      <c r="Z2065" s="17">
        <v>43706</v>
      </c>
      <c r="AA2065" t="s">
        <v>3</v>
      </c>
      <c r="AB2065" t="s">
        <v>4828</v>
      </c>
    </row>
    <row r="2066" spans="1:28" hidden="1">
      <c r="A2066" t="s">
        <v>4828</v>
      </c>
      <c r="B2066" s="17">
        <v>43706</v>
      </c>
      <c r="C2066" s="17">
        <v>43706</v>
      </c>
      <c r="D2066" t="s">
        <v>0</v>
      </c>
      <c r="E2066" t="s">
        <v>1</v>
      </c>
      <c r="F2066" s="18">
        <v>101404.25</v>
      </c>
      <c r="G2066" s="18">
        <v>101404.25</v>
      </c>
      <c r="H2066" t="s">
        <v>2</v>
      </c>
      <c r="I2066" t="s">
        <v>8</v>
      </c>
      <c r="J2066" s="18">
        <v>8467254.8800000008</v>
      </c>
      <c r="K2066" t="s">
        <v>4509</v>
      </c>
      <c r="L2066" t="s">
        <v>4</v>
      </c>
      <c r="M2066" t="s">
        <v>4829</v>
      </c>
      <c r="N2066" t="s">
        <v>3</v>
      </c>
      <c r="O2066" t="s">
        <v>3</v>
      </c>
      <c r="P2066" t="s">
        <v>5</v>
      </c>
      <c r="Q2066" t="s">
        <v>4830</v>
      </c>
      <c r="R2066" t="s">
        <v>3</v>
      </c>
      <c r="S2066" t="s">
        <v>3</v>
      </c>
      <c r="T2066" t="s">
        <v>3</v>
      </c>
      <c r="U2066" t="s">
        <v>3</v>
      </c>
      <c r="V2066" t="s">
        <v>3</v>
      </c>
      <c r="W2066" t="s">
        <v>68</v>
      </c>
      <c r="X2066" s="17"/>
      <c r="Y2066" t="s">
        <v>3</v>
      </c>
      <c r="Z2066" s="17">
        <v>43706</v>
      </c>
      <c r="AA2066" t="s">
        <v>3</v>
      </c>
      <c r="AB2066" t="s">
        <v>4828</v>
      </c>
    </row>
    <row r="2067" spans="1:28" hidden="1">
      <c r="A2067" t="s">
        <v>4828</v>
      </c>
      <c r="B2067" s="17">
        <v>43706</v>
      </c>
      <c r="C2067" s="17">
        <v>43706</v>
      </c>
      <c r="D2067" t="s">
        <v>0</v>
      </c>
      <c r="E2067" t="s">
        <v>1</v>
      </c>
      <c r="F2067" s="18">
        <v>102507.28</v>
      </c>
      <c r="G2067" s="18">
        <v>102507.28</v>
      </c>
      <c r="H2067" t="s">
        <v>2</v>
      </c>
      <c r="I2067" t="s">
        <v>8</v>
      </c>
      <c r="J2067" s="18">
        <v>8559357.8900000006</v>
      </c>
      <c r="K2067" t="s">
        <v>4771</v>
      </c>
      <c r="L2067" t="s">
        <v>4</v>
      </c>
      <c r="M2067" t="s">
        <v>4829</v>
      </c>
      <c r="N2067" t="s">
        <v>3</v>
      </c>
      <c r="O2067" t="s">
        <v>3</v>
      </c>
      <c r="P2067" t="s">
        <v>5</v>
      </c>
      <c r="Q2067" t="s">
        <v>4830</v>
      </c>
      <c r="R2067" t="s">
        <v>3</v>
      </c>
      <c r="S2067" t="s">
        <v>3</v>
      </c>
      <c r="T2067" t="s">
        <v>3</v>
      </c>
      <c r="U2067" t="s">
        <v>3</v>
      </c>
      <c r="V2067" t="s">
        <v>3</v>
      </c>
      <c r="W2067" t="s">
        <v>68</v>
      </c>
      <c r="X2067" s="17"/>
      <c r="Y2067" t="s">
        <v>3</v>
      </c>
      <c r="Z2067" s="17">
        <v>43706</v>
      </c>
      <c r="AA2067" t="s">
        <v>3</v>
      </c>
      <c r="AB2067" t="s">
        <v>4828</v>
      </c>
    </row>
    <row r="2068" spans="1:28" hidden="1">
      <c r="A2068" t="s">
        <v>4831</v>
      </c>
      <c r="B2068" s="17">
        <v>43706</v>
      </c>
      <c r="C2068" s="17">
        <v>43706</v>
      </c>
      <c r="D2068" t="s">
        <v>0</v>
      </c>
      <c r="E2068" t="s">
        <v>1</v>
      </c>
      <c r="F2068" s="18">
        <v>68977</v>
      </c>
      <c r="G2068" s="18">
        <v>68977</v>
      </c>
      <c r="H2068" t="s">
        <v>2</v>
      </c>
      <c r="I2068" t="s">
        <v>8</v>
      </c>
      <c r="J2068" s="18">
        <v>5759579.5</v>
      </c>
      <c r="K2068" t="s">
        <v>4604</v>
      </c>
      <c r="L2068" t="s">
        <v>9</v>
      </c>
      <c r="M2068" t="s">
        <v>4832</v>
      </c>
      <c r="N2068" t="s">
        <v>3</v>
      </c>
      <c r="O2068" t="s">
        <v>3</v>
      </c>
      <c r="P2068" t="s">
        <v>5</v>
      </c>
      <c r="Q2068" t="s">
        <v>4833</v>
      </c>
      <c r="R2068" t="s">
        <v>3</v>
      </c>
      <c r="S2068" t="s">
        <v>3</v>
      </c>
      <c r="T2068" t="s">
        <v>3</v>
      </c>
      <c r="U2068" t="s">
        <v>3</v>
      </c>
      <c r="V2068" t="s">
        <v>3</v>
      </c>
      <c r="W2068" t="s">
        <v>68</v>
      </c>
      <c r="X2068" s="17"/>
      <c r="Y2068" t="s">
        <v>3</v>
      </c>
      <c r="Z2068" s="17">
        <v>43706</v>
      </c>
      <c r="AA2068" t="s">
        <v>3</v>
      </c>
      <c r="AB2068" t="s">
        <v>4831</v>
      </c>
    </row>
    <row r="2069" spans="1:28" hidden="1">
      <c r="A2069" t="s">
        <v>4831</v>
      </c>
      <c r="B2069" s="17">
        <v>43706</v>
      </c>
      <c r="C2069" s="17">
        <v>43706</v>
      </c>
      <c r="D2069" t="s">
        <v>0</v>
      </c>
      <c r="E2069" t="s">
        <v>1</v>
      </c>
      <c r="F2069" s="18">
        <v>96715</v>
      </c>
      <c r="G2069" s="18">
        <v>96715</v>
      </c>
      <c r="H2069" t="s">
        <v>2</v>
      </c>
      <c r="I2069" t="s">
        <v>8</v>
      </c>
      <c r="J2069" s="18">
        <v>8075702.5</v>
      </c>
      <c r="K2069" t="s">
        <v>4754</v>
      </c>
      <c r="L2069" t="s">
        <v>9</v>
      </c>
      <c r="M2069" t="s">
        <v>4832</v>
      </c>
      <c r="N2069" t="s">
        <v>3</v>
      </c>
      <c r="O2069" t="s">
        <v>3</v>
      </c>
      <c r="P2069" t="s">
        <v>5</v>
      </c>
      <c r="Q2069" t="s">
        <v>4833</v>
      </c>
      <c r="R2069" t="s">
        <v>3</v>
      </c>
      <c r="S2069" t="s">
        <v>3</v>
      </c>
      <c r="T2069" t="s">
        <v>3</v>
      </c>
      <c r="U2069" t="s">
        <v>3</v>
      </c>
      <c r="V2069" t="s">
        <v>3</v>
      </c>
      <c r="W2069" t="s">
        <v>68</v>
      </c>
      <c r="X2069" s="17">
        <v>44012</v>
      </c>
      <c r="Y2069" t="s">
        <v>4137</v>
      </c>
      <c r="Z2069" s="17">
        <v>43706</v>
      </c>
      <c r="AA2069" t="s">
        <v>3</v>
      </c>
      <c r="AB2069" t="s">
        <v>4831</v>
      </c>
    </row>
    <row r="2070" spans="1:28" hidden="1">
      <c r="A2070" t="s">
        <v>4831</v>
      </c>
      <c r="B2070" s="17">
        <v>43706</v>
      </c>
      <c r="C2070" s="17">
        <v>43706</v>
      </c>
      <c r="D2070" t="s">
        <v>0</v>
      </c>
      <c r="E2070" t="s">
        <v>1</v>
      </c>
      <c r="F2070" s="18">
        <v>71631</v>
      </c>
      <c r="G2070" s="18">
        <v>71631</v>
      </c>
      <c r="H2070" t="s">
        <v>2</v>
      </c>
      <c r="I2070" t="s">
        <v>8</v>
      </c>
      <c r="J2070" s="18">
        <v>5981188.5</v>
      </c>
      <c r="K2070" t="s">
        <v>4736</v>
      </c>
      <c r="L2070" t="s">
        <v>9</v>
      </c>
      <c r="M2070" t="s">
        <v>4832</v>
      </c>
      <c r="N2070" t="s">
        <v>3</v>
      </c>
      <c r="O2070" t="s">
        <v>3</v>
      </c>
      <c r="P2070" t="s">
        <v>5</v>
      </c>
      <c r="Q2070" t="s">
        <v>4833</v>
      </c>
      <c r="R2070" t="s">
        <v>3</v>
      </c>
      <c r="S2070" t="s">
        <v>3</v>
      </c>
      <c r="T2070" t="s">
        <v>3</v>
      </c>
      <c r="U2070" t="s">
        <v>3</v>
      </c>
      <c r="V2070" t="s">
        <v>3</v>
      </c>
      <c r="W2070" t="s">
        <v>68</v>
      </c>
      <c r="X2070" s="17">
        <v>44012</v>
      </c>
      <c r="Y2070" t="s">
        <v>4137</v>
      </c>
      <c r="Z2070" s="17">
        <v>43706</v>
      </c>
      <c r="AA2070" t="s">
        <v>3</v>
      </c>
      <c r="AB2070" t="s">
        <v>4831</v>
      </c>
    </row>
    <row r="2071" spans="1:28" hidden="1">
      <c r="A2071" t="s">
        <v>4831</v>
      </c>
      <c r="B2071" s="17">
        <v>43706</v>
      </c>
      <c r="C2071" s="17">
        <v>43706</v>
      </c>
      <c r="D2071" t="s">
        <v>0</v>
      </c>
      <c r="E2071" t="s">
        <v>1</v>
      </c>
      <c r="F2071" s="18">
        <v>62</v>
      </c>
      <c r="G2071" s="18">
        <v>62</v>
      </c>
      <c r="H2071" t="s">
        <v>2</v>
      </c>
      <c r="I2071" t="s">
        <v>8</v>
      </c>
      <c r="J2071" s="18">
        <v>5175.76</v>
      </c>
      <c r="K2071" t="s">
        <v>4607</v>
      </c>
      <c r="L2071" t="s">
        <v>9</v>
      </c>
      <c r="M2071" t="s">
        <v>4832</v>
      </c>
      <c r="N2071" t="s">
        <v>3</v>
      </c>
      <c r="O2071" t="s">
        <v>3</v>
      </c>
      <c r="P2071" t="s">
        <v>5</v>
      </c>
      <c r="Q2071" t="s">
        <v>4833</v>
      </c>
      <c r="R2071" t="s">
        <v>3</v>
      </c>
      <c r="S2071" t="s">
        <v>3</v>
      </c>
      <c r="T2071" t="s">
        <v>3</v>
      </c>
      <c r="U2071" t="s">
        <v>3</v>
      </c>
      <c r="V2071" t="s">
        <v>3</v>
      </c>
      <c r="W2071" t="s">
        <v>68</v>
      </c>
      <c r="X2071" s="17">
        <v>43769</v>
      </c>
      <c r="Y2071" t="s">
        <v>4160</v>
      </c>
      <c r="Z2071" s="17">
        <v>43706</v>
      </c>
      <c r="AA2071" t="s">
        <v>3</v>
      </c>
      <c r="AB2071" t="s">
        <v>4831</v>
      </c>
    </row>
    <row r="2072" spans="1:28" hidden="1">
      <c r="A2072" t="s">
        <v>4887</v>
      </c>
      <c r="B2072" s="17">
        <v>43708</v>
      </c>
      <c r="C2072" s="17">
        <v>43708</v>
      </c>
      <c r="D2072" t="s">
        <v>0</v>
      </c>
      <c r="E2072" t="s">
        <v>1</v>
      </c>
      <c r="F2072" s="18">
        <v>396812</v>
      </c>
      <c r="G2072" s="18">
        <v>396812</v>
      </c>
      <c r="H2072" t="s">
        <v>2</v>
      </c>
      <c r="I2072" t="s">
        <v>8</v>
      </c>
      <c r="J2072" s="18">
        <v>33125865.760000002</v>
      </c>
      <c r="K2072" t="s">
        <v>4391</v>
      </c>
      <c r="L2072" t="s">
        <v>2332</v>
      </c>
      <c r="M2072" t="s">
        <v>4392</v>
      </c>
      <c r="N2072" t="s">
        <v>3</v>
      </c>
      <c r="O2072" t="s">
        <v>3</v>
      </c>
      <c r="P2072" t="s">
        <v>5</v>
      </c>
      <c r="Q2072" t="s">
        <v>4393</v>
      </c>
      <c r="R2072" t="s">
        <v>3</v>
      </c>
      <c r="S2072" t="s">
        <v>3</v>
      </c>
      <c r="T2072" t="s">
        <v>3</v>
      </c>
      <c r="U2072" t="s">
        <v>3</v>
      </c>
      <c r="V2072" t="s">
        <v>3</v>
      </c>
      <c r="W2072" t="s">
        <v>68</v>
      </c>
      <c r="X2072" s="17">
        <v>43709</v>
      </c>
      <c r="Y2072" t="s">
        <v>4390</v>
      </c>
      <c r="Z2072" s="17">
        <v>43708</v>
      </c>
      <c r="AA2072" t="s">
        <v>3</v>
      </c>
      <c r="AB2072" t="s">
        <v>4887</v>
      </c>
    </row>
    <row r="2073" spans="1:28" hidden="1">
      <c r="A2073" t="s">
        <v>4896</v>
      </c>
      <c r="B2073" s="17">
        <v>43708</v>
      </c>
      <c r="C2073" s="17">
        <v>43708</v>
      </c>
      <c r="D2073" t="s">
        <v>0</v>
      </c>
      <c r="E2073" t="s">
        <v>1</v>
      </c>
      <c r="F2073" s="18">
        <v>136613.96</v>
      </c>
      <c r="G2073" s="18">
        <v>136613.96</v>
      </c>
      <c r="H2073" t="s">
        <v>2</v>
      </c>
      <c r="I2073" t="s">
        <v>8</v>
      </c>
      <c r="J2073" s="18">
        <v>11407265.66</v>
      </c>
      <c r="K2073" t="s">
        <v>4395</v>
      </c>
      <c r="L2073" t="s">
        <v>4</v>
      </c>
      <c r="M2073" t="s">
        <v>4396</v>
      </c>
      <c r="N2073" t="s">
        <v>3</v>
      </c>
      <c r="O2073" t="s">
        <v>3</v>
      </c>
      <c r="P2073" t="s">
        <v>5</v>
      </c>
      <c r="Q2073" t="s">
        <v>4395</v>
      </c>
      <c r="R2073" t="s">
        <v>3</v>
      </c>
      <c r="S2073" t="s">
        <v>3</v>
      </c>
      <c r="T2073" t="s">
        <v>3</v>
      </c>
      <c r="U2073" t="s">
        <v>3</v>
      </c>
      <c r="V2073" t="s">
        <v>3</v>
      </c>
      <c r="W2073" t="s">
        <v>68</v>
      </c>
      <c r="X2073" s="17">
        <v>43709</v>
      </c>
      <c r="Y2073" t="s">
        <v>4394</v>
      </c>
      <c r="Z2073" s="17">
        <v>43708</v>
      </c>
      <c r="AA2073" t="s">
        <v>3</v>
      </c>
      <c r="AB2073" t="s">
        <v>4896</v>
      </c>
    </row>
    <row r="2074" spans="1:28" hidden="1">
      <c r="A2074" t="s">
        <v>4390</v>
      </c>
      <c r="B2074" s="17">
        <v>43709</v>
      </c>
      <c r="C2074" s="17">
        <v>43708</v>
      </c>
      <c r="D2074" t="s">
        <v>38</v>
      </c>
      <c r="E2074" t="s">
        <v>1</v>
      </c>
      <c r="F2074" s="18">
        <v>-396812</v>
      </c>
      <c r="G2074" s="18">
        <v>-396812</v>
      </c>
      <c r="H2074" t="s">
        <v>2</v>
      </c>
      <c r="I2074" t="s">
        <v>8</v>
      </c>
      <c r="J2074" s="18">
        <v>-33125865.760000002</v>
      </c>
      <c r="K2074" t="s">
        <v>4391</v>
      </c>
      <c r="L2074" t="s">
        <v>2332</v>
      </c>
      <c r="M2074" t="s">
        <v>4392</v>
      </c>
      <c r="N2074" t="s">
        <v>3</v>
      </c>
      <c r="O2074" t="s">
        <v>3</v>
      </c>
      <c r="P2074" t="s">
        <v>5</v>
      </c>
      <c r="Q2074" t="s">
        <v>4393</v>
      </c>
      <c r="R2074" t="s">
        <v>3</v>
      </c>
      <c r="S2074" t="s">
        <v>3</v>
      </c>
      <c r="T2074" t="s">
        <v>3</v>
      </c>
      <c r="U2074" t="s">
        <v>3</v>
      </c>
      <c r="V2074" t="s">
        <v>3</v>
      </c>
      <c r="W2074" t="s">
        <v>68</v>
      </c>
      <c r="X2074" s="17">
        <v>43709</v>
      </c>
      <c r="Y2074" t="s">
        <v>4390</v>
      </c>
      <c r="Z2074" s="17">
        <v>43708</v>
      </c>
      <c r="AA2074" t="s">
        <v>3</v>
      </c>
      <c r="AB2074" t="s">
        <v>4390</v>
      </c>
    </row>
    <row r="2075" spans="1:28" hidden="1">
      <c r="A2075" t="s">
        <v>4394</v>
      </c>
      <c r="B2075" s="17">
        <v>43709</v>
      </c>
      <c r="C2075" s="17">
        <v>43708</v>
      </c>
      <c r="D2075" t="s">
        <v>38</v>
      </c>
      <c r="E2075" t="s">
        <v>1</v>
      </c>
      <c r="F2075" s="18">
        <v>-136613.96</v>
      </c>
      <c r="G2075" s="18">
        <v>-136613.96</v>
      </c>
      <c r="H2075" t="s">
        <v>2</v>
      </c>
      <c r="I2075" t="s">
        <v>8</v>
      </c>
      <c r="J2075" s="18">
        <v>-11407265.66</v>
      </c>
      <c r="K2075" t="s">
        <v>4395</v>
      </c>
      <c r="L2075" t="s">
        <v>4</v>
      </c>
      <c r="M2075" t="s">
        <v>4396</v>
      </c>
      <c r="N2075" t="s">
        <v>3</v>
      </c>
      <c r="O2075" t="s">
        <v>3</v>
      </c>
      <c r="P2075" t="s">
        <v>5</v>
      </c>
      <c r="Q2075" t="s">
        <v>4395</v>
      </c>
      <c r="R2075" t="s">
        <v>3</v>
      </c>
      <c r="S2075" t="s">
        <v>3</v>
      </c>
      <c r="T2075" t="s">
        <v>3</v>
      </c>
      <c r="U2075" t="s">
        <v>3</v>
      </c>
      <c r="V2075" t="s">
        <v>3</v>
      </c>
      <c r="W2075" t="s">
        <v>68</v>
      </c>
      <c r="X2075" s="17">
        <v>43709</v>
      </c>
      <c r="Y2075" t="s">
        <v>4394</v>
      </c>
      <c r="Z2075" s="17">
        <v>43708</v>
      </c>
      <c r="AA2075" t="s">
        <v>3</v>
      </c>
      <c r="AB2075" t="s">
        <v>4394</v>
      </c>
    </row>
    <row r="2076" spans="1:28" hidden="1">
      <c r="A2076" t="s">
        <v>4834</v>
      </c>
      <c r="B2076" s="17">
        <v>43709</v>
      </c>
      <c r="C2076" s="17">
        <v>43709</v>
      </c>
      <c r="D2076" t="s">
        <v>0</v>
      </c>
      <c r="E2076" t="s">
        <v>1</v>
      </c>
      <c r="F2076" s="18">
        <v>18164</v>
      </c>
      <c r="G2076" s="18">
        <v>18164</v>
      </c>
      <c r="H2076" t="s">
        <v>2</v>
      </c>
      <c r="I2076" t="s">
        <v>8</v>
      </c>
      <c r="J2076" s="18">
        <v>1516694</v>
      </c>
      <c r="K2076" t="s">
        <v>4604</v>
      </c>
      <c r="L2076" t="s">
        <v>9</v>
      </c>
      <c r="M2076" t="s">
        <v>4835</v>
      </c>
      <c r="N2076" t="s">
        <v>3</v>
      </c>
      <c r="O2076" t="s">
        <v>3</v>
      </c>
      <c r="P2076" t="s">
        <v>5</v>
      </c>
      <c r="Q2076" t="s">
        <v>4836</v>
      </c>
      <c r="R2076" t="s">
        <v>3</v>
      </c>
      <c r="S2076" t="s">
        <v>3</v>
      </c>
      <c r="T2076" t="s">
        <v>3</v>
      </c>
      <c r="U2076" t="s">
        <v>3</v>
      </c>
      <c r="V2076" t="s">
        <v>3</v>
      </c>
      <c r="W2076" t="s">
        <v>68</v>
      </c>
      <c r="X2076" s="17"/>
      <c r="Y2076" t="s">
        <v>3</v>
      </c>
      <c r="Z2076" s="17">
        <v>43709</v>
      </c>
      <c r="AA2076" t="s">
        <v>3</v>
      </c>
      <c r="AB2076" t="s">
        <v>4834</v>
      </c>
    </row>
    <row r="2077" spans="1:28" hidden="1">
      <c r="A2077" t="s">
        <v>4834</v>
      </c>
      <c r="B2077" s="17">
        <v>43709</v>
      </c>
      <c r="C2077" s="17">
        <v>43709</v>
      </c>
      <c r="D2077" t="s">
        <v>0</v>
      </c>
      <c r="E2077" t="s">
        <v>1</v>
      </c>
      <c r="F2077" s="18">
        <v>32812</v>
      </c>
      <c r="G2077" s="18">
        <v>32812</v>
      </c>
      <c r="H2077" t="s">
        <v>2</v>
      </c>
      <c r="I2077" t="s">
        <v>8</v>
      </c>
      <c r="J2077" s="18">
        <v>2739802</v>
      </c>
      <c r="K2077" t="s">
        <v>4754</v>
      </c>
      <c r="L2077" t="s">
        <v>9</v>
      </c>
      <c r="M2077" t="s">
        <v>4835</v>
      </c>
      <c r="N2077" t="s">
        <v>3</v>
      </c>
      <c r="O2077" t="s">
        <v>3</v>
      </c>
      <c r="P2077" t="s">
        <v>5</v>
      </c>
      <c r="Q2077" t="s">
        <v>4836</v>
      </c>
      <c r="R2077" t="s">
        <v>3</v>
      </c>
      <c r="S2077" t="s">
        <v>3</v>
      </c>
      <c r="T2077" t="s">
        <v>3</v>
      </c>
      <c r="U2077" t="s">
        <v>3</v>
      </c>
      <c r="V2077" t="s">
        <v>3</v>
      </c>
      <c r="W2077" t="s">
        <v>68</v>
      </c>
      <c r="X2077" s="17">
        <v>44012</v>
      </c>
      <c r="Y2077" t="s">
        <v>4137</v>
      </c>
      <c r="Z2077" s="17">
        <v>43709</v>
      </c>
      <c r="AA2077" t="s">
        <v>3</v>
      </c>
      <c r="AB2077" t="s">
        <v>4834</v>
      </c>
    </row>
    <row r="2078" spans="1:28" hidden="1">
      <c r="A2078" t="s">
        <v>4834</v>
      </c>
      <c r="B2078" s="17">
        <v>43709</v>
      </c>
      <c r="C2078" s="17">
        <v>43709</v>
      </c>
      <c r="D2078" t="s">
        <v>0</v>
      </c>
      <c r="E2078" t="s">
        <v>1</v>
      </c>
      <c r="F2078" s="18">
        <v>47641</v>
      </c>
      <c r="G2078" s="18">
        <v>47641</v>
      </c>
      <c r="H2078" t="s">
        <v>2</v>
      </c>
      <c r="I2078" t="s">
        <v>8</v>
      </c>
      <c r="J2078" s="18">
        <v>3978023.5</v>
      </c>
      <c r="K2078" t="s">
        <v>4736</v>
      </c>
      <c r="L2078" t="s">
        <v>9</v>
      </c>
      <c r="M2078" t="s">
        <v>4835</v>
      </c>
      <c r="N2078" t="s">
        <v>3</v>
      </c>
      <c r="O2078" t="s">
        <v>3</v>
      </c>
      <c r="P2078" t="s">
        <v>5</v>
      </c>
      <c r="Q2078" t="s">
        <v>4836</v>
      </c>
      <c r="R2078" t="s">
        <v>3</v>
      </c>
      <c r="S2078" t="s">
        <v>3</v>
      </c>
      <c r="T2078" t="s">
        <v>3</v>
      </c>
      <c r="U2078" t="s">
        <v>3</v>
      </c>
      <c r="V2078" t="s">
        <v>3</v>
      </c>
      <c r="W2078" t="s">
        <v>68</v>
      </c>
      <c r="X2078" s="17">
        <v>44012</v>
      </c>
      <c r="Y2078" t="s">
        <v>4137</v>
      </c>
      <c r="Z2078" s="17">
        <v>43709</v>
      </c>
      <c r="AA2078" t="s">
        <v>3</v>
      </c>
      <c r="AB2078" t="s">
        <v>4834</v>
      </c>
    </row>
    <row r="2079" spans="1:28" hidden="1">
      <c r="A2079" t="s">
        <v>4837</v>
      </c>
      <c r="B2079" s="17">
        <v>43709</v>
      </c>
      <c r="C2079" s="17">
        <v>43709</v>
      </c>
      <c r="D2079" t="s">
        <v>0</v>
      </c>
      <c r="E2079" t="s">
        <v>1</v>
      </c>
      <c r="F2079" s="18">
        <v>27609</v>
      </c>
      <c r="G2079" s="18">
        <v>27609</v>
      </c>
      <c r="H2079" t="s">
        <v>2</v>
      </c>
      <c r="I2079" t="s">
        <v>8</v>
      </c>
      <c r="J2079" s="18">
        <v>2305351.5</v>
      </c>
      <c r="K2079" t="s">
        <v>4742</v>
      </c>
      <c r="L2079" t="s">
        <v>4</v>
      </c>
      <c r="M2079" t="s">
        <v>4838</v>
      </c>
      <c r="N2079" t="s">
        <v>3</v>
      </c>
      <c r="O2079" t="s">
        <v>3</v>
      </c>
      <c r="P2079" t="s">
        <v>5</v>
      </c>
      <c r="Q2079" t="s">
        <v>4839</v>
      </c>
      <c r="R2079" t="s">
        <v>3</v>
      </c>
      <c r="S2079" t="s">
        <v>3</v>
      </c>
      <c r="T2079" t="s">
        <v>3</v>
      </c>
      <c r="U2079" t="s">
        <v>3</v>
      </c>
      <c r="V2079" t="s">
        <v>3</v>
      </c>
      <c r="W2079" t="s">
        <v>68</v>
      </c>
      <c r="X2079" s="17"/>
      <c r="Y2079" t="s">
        <v>3</v>
      </c>
      <c r="Z2079" s="17">
        <v>43709</v>
      </c>
      <c r="AA2079" t="s">
        <v>3</v>
      </c>
      <c r="AB2079" t="s">
        <v>4837</v>
      </c>
    </row>
    <row r="2080" spans="1:28" hidden="1">
      <c r="A2080" t="s">
        <v>4837</v>
      </c>
      <c r="B2080" s="17">
        <v>43709</v>
      </c>
      <c r="C2080" s="17">
        <v>43709</v>
      </c>
      <c r="D2080" t="s">
        <v>0</v>
      </c>
      <c r="E2080" t="s">
        <v>1</v>
      </c>
      <c r="F2080" s="18">
        <v>4135.16</v>
      </c>
      <c r="G2080" s="18">
        <v>4135.16</v>
      </c>
      <c r="H2080" t="s">
        <v>2</v>
      </c>
      <c r="I2080" t="s">
        <v>8</v>
      </c>
      <c r="J2080" s="18">
        <v>345285.86</v>
      </c>
      <c r="K2080" t="s">
        <v>4509</v>
      </c>
      <c r="L2080" t="s">
        <v>4</v>
      </c>
      <c r="M2080" t="s">
        <v>4838</v>
      </c>
      <c r="N2080" t="s">
        <v>3</v>
      </c>
      <c r="O2080" t="s">
        <v>3</v>
      </c>
      <c r="P2080" t="s">
        <v>5</v>
      </c>
      <c r="Q2080" t="s">
        <v>4839</v>
      </c>
      <c r="R2080" t="s">
        <v>3</v>
      </c>
      <c r="S2080" t="s">
        <v>3</v>
      </c>
      <c r="T2080" t="s">
        <v>3</v>
      </c>
      <c r="U2080" t="s">
        <v>3</v>
      </c>
      <c r="V2080" t="s">
        <v>3</v>
      </c>
      <c r="W2080" t="s">
        <v>68</v>
      </c>
      <c r="X2080" s="17"/>
      <c r="Y2080" t="s">
        <v>3</v>
      </c>
      <c r="Z2080" s="17">
        <v>43709</v>
      </c>
      <c r="AA2080" t="s">
        <v>3</v>
      </c>
      <c r="AB2080" t="s">
        <v>4837</v>
      </c>
    </row>
    <row r="2081" spans="1:28" hidden="1">
      <c r="A2081" t="s">
        <v>4840</v>
      </c>
      <c r="B2081" s="17">
        <v>43710</v>
      </c>
      <c r="C2081" s="17">
        <v>43710</v>
      </c>
      <c r="D2081" t="s">
        <v>0</v>
      </c>
      <c r="E2081" t="s">
        <v>1</v>
      </c>
      <c r="F2081" s="18">
        <v>21640</v>
      </c>
      <c r="G2081" s="18">
        <v>21640</v>
      </c>
      <c r="H2081" t="s">
        <v>2</v>
      </c>
      <c r="I2081" t="s">
        <v>8</v>
      </c>
      <c r="J2081" s="18">
        <v>1806940</v>
      </c>
      <c r="K2081" t="s">
        <v>4604</v>
      </c>
      <c r="L2081" t="s">
        <v>9</v>
      </c>
      <c r="M2081" t="s">
        <v>4841</v>
      </c>
      <c r="N2081" t="s">
        <v>3</v>
      </c>
      <c r="O2081" t="s">
        <v>3</v>
      </c>
      <c r="P2081" t="s">
        <v>5</v>
      </c>
      <c r="Q2081" t="s">
        <v>4842</v>
      </c>
      <c r="R2081" t="s">
        <v>3</v>
      </c>
      <c r="S2081" t="s">
        <v>3</v>
      </c>
      <c r="T2081" t="s">
        <v>3</v>
      </c>
      <c r="U2081" t="s">
        <v>3</v>
      </c>
      <c r="V2081" t="s">
        <v>3</v>
      </c>
      <c r="W2081" t="s">
        <v>68</v>
      </c>
      <c r="X2081" s="17"/>
      <c r="Y2081" t="s">
        <v>3</v>
      </c>
      <c r="Z2081" s="17">
        <v>43710</v>
      </c>
      <c r="AA2081" t="s">
        <v>3</v>
      </c>
      <c r="AB2081" t="s">
        <v>4840</v>
      </c>
    </row>
    <row r="2082" spans="1:28" hidden="1">
      <c r="A2082" t="s">
        <v>4840</v>
      </c>
      <c r="B2082" s="17">
        <v>43710</v>
      </c>
      <c r="C2082" s="17">
        <v>43710</v>
      </c>
      <c r="D2082" t="s">
        <v>0</v>
      </c>
      <c r="E2082" t="s">
        <v>1</v>
      </c>
      <c r="F2082" s="18">
        <v>179107</v>
      </c>
      <c r="G2082" s="18">
        <v>179107</v>
      </c>
      <c r="H2082" t="s">
        <v>2</v>
      </c>
      <c r="I2082" t="s">
        <v>8</v>
      </c>
      <c r="J2082" s="18">
        <v>14955434.5</v>
      </c>
      <c r="K2082" t="s">
        <v>4754</v>
      </c>
      <c r="L2082" t="s">
        <v>9</v>
      </c>
      <c r="M2082" t="s">
        <v>4841</v>
      </c>
      <c r="N2082" t="s">
        <v>3</v>
      </c>
      <c r="O2082" t="s">
        <v>3</v>
      </c>
      <c r="P2082" t="s">
        <v>5</v>
      </c>
      <c r="Q2082" t="s">
        <v>4842</v>
      </c>
      <c r="R2082" t="s">
        <v>3</v>
      </c>
      <c r="S2082" t="s">
        <v>3</v>
      </c>
      <c r="T2082" t="s">
        <v>3</v>
      </c>
      <c r="U2082" t="s">
        <v>3</v>
      </c>
      <c r="V2082" t="s">
        <v>3</v>
      </c>
      <c r="W2082" t="s">
        <v>68</v>
      </c>
      <c r="X2082" s="17">
        <v>44012</v>
      </c>
      <c r="Y2082" t="s">
        <v>4137</v>
      </c>
      <c r="Z2082" s="17">
        <v>43710</v>
      </c>
      <c r="AA2082" t="s">
        <v>3</v>
      </c>
      <c r="AB2082" t="s">
        <v>4840</v>
      </c>
    </row>
    <row r="2083" spans="1:28" hidden="1">
      <c r="A2083" t="s">
        <v>4840</v>
      </c>
      <c r="B2083" s="17">
        <v>43710</v>
      </c>
      <c r="C2083" s="17">
        <v>43710</v>
      </c>
      <c r="D2083" t="s">
        <v>0</v>
      </c>
      <c r="E2083" t="s">
        <v>1</v>
      </c>
      <c r="F2083" s="18">
        <v>97448</v>
      </c>
      <c r="G2083" s="18">
        <v>97448</v>
      </c>
      <c r="H2083" t="s">
        <v>2</v>
      </c>
      <c r="I2083" t="s">
        <v>8</v>
      </c>
      <c r="J2083" s="18">
        <v>8136908</v>
      </c>
      <c r="K2083" t="s">
        <v>4736</v>
      </c>
      <c r="L2083" t="s">
        <v>9</v>
      </c>
      <c r="M2083" t="s">
        <v>4841</v>
      </c>
      <c r="N2083" t="s">
        <v>3</v>
      </c>
      <c r="O2083" t="s">
        <v>3</v>
      </c>
      <c r="P2083" t="s">
        <v>5</v>
      </c>
      <c r="Q2083" t="s">
        <v>4842</v>
      </c>
      <c r="R2083" t="s">
        <v>3</v>
      </c>
      <c r="S2083" t="s">
        <v>3</v>
      </c>
      <c r="T2083" t="s">
        <v>3</v>
      </c>
      <c r="U2083" t="s">
        <v>3</v>
      </c>
      <c r="V2083" t="s">
        <v>3</v>
      </c>
      <c r="W2083" t="s">
        <v>68</v>
      </c>
      <c r="X2083" s="17">
        <v>44012</v>
      </c>
      <c r="Y2083" t="s">
        <v>4137</v>
      </c>
      <c r="Z2083" s="17">
        <v>43710</v>
      </c>
      <c r="AA2083" t="s">
        <v>3</v>
      </c>
      <c r="AB2083" t="s">
        <v>4840</v>
      </c>
    </row>
    <row r="2084" spans="1:28" hidden="1">
      <c r="A2084" t="s">
        <v>4843</v>
      </c>
      <c r="B2084" s="17">
        <v>43712</v>
      </c>
      <c r="C2084" s="17">
        <v>43712</v>
      </c>
      <c r="D2084" t="s">
        <v>0</v>
      </c>
      <c r="E2084" t="s">
        <v>1</v>
      </c>
      <c r="F2084" s="18">
        <v>-15300</v>
      </c>
      <c r="G2084" s="18">
        <v>-15300</v>
      </c>
      <c r="H2084" t="s">
        <v>2</v>
      </c>
      <c r="I2084" t="s">
        <v>10</v>
      </c>
      <c r="J2084" s="18">
        <v>-1277550.01</v>
      </c>
      <c r="K2084" t="s">
        <v>4844</v>
      </c>
      <c r="L2084" t="s">
        <v>9</v>
      </c>
      <c r="M2084" t="s">
        <v>4845</v>
      </c>
      <c r="N2084" t="s">
        <v>3</v>
      </c>
      <c r="O2084" t="s">
        <v>3</v>
      </c>
      <c r="P2084" t="s">
        <v>5</v>
      </c>
      <c r="Q2084" t="s">
        <v>4846</v>
      </c>
      <c r="R2084" t="s">
        <v>3</v>
      </c>
      <c r="S2084" t="s">
        <v>3</v>
      </c>
      <c r="T2084" t="s">
        <v>3</v>
      </c>
      <c r="U2084" t="s">
        <v>3</v>
      </c>
      <c r="V2084" t="s">
        <v>3</v>
      </c>
      <c r="W2084" t="s">
        <v>68</v>
      </c>
      <c r="X2084" s="17"/>
      <c r="Y2084" t="s">
        <v>3</v>
      </c>
      <c r="Z2084" s="17">
        <v>43712</v>
      </c>
      <c r="AA2084" t="s">
        <v>3</v>
      </c>
      <c r="AB2084" t="s">
        <v>4843</v>
      </c>
    </row>
    <row r="2085" spans="1:28" hidden="1">
      <c r="A2085" t="s">
        <v>4847</v>
      </c>
      <c r="B2085" s="17">
        <v>43712</v>
      </c>
      <c r="C2085" s="17">
        <v>43712</v>
      </c>
      <c r="D2085" t="s">
        <v>0</v>
      </c>
      <c r="E2085" t="s">
        <v>1</v>
      </c>
      <c r="F2085" s="18">
        <v>-236250</v>
      </c>
      <c r="G2085" s="18">
        <v>-236250</v>
      </c>
      <c r="H2085" t="s">
        <v>2</v>
      </c>
      <c r="I2085" t="s">
        <v>10</v>
      </c>
      <c r="J2085" s="18">
        <v>-19726875.010000002</v>
      </c>
      <c r="K2085" t="s">
        <v>4848</v>
      </c>
      <c r="L2085" t="s">
        <v>4</v>
      </c>
      <c r="M2085" t="s">
        <v>4849</v>
      </c>
      <c r="N2085" t="s">
        <v>3</v>
      </c>
      <c r="O2085" t="s">
        <v>3</v>
      </c>
      <c r="P2085" t="s">
        <v>5</v>
      </c>
      <c r="Q2085" t="s">
        <v>4850</v>
      </c>
      <c r="R2085" t="s">
        <v>3</v>
      </c>
      <c r="S2085" t="s">
        <v>3</v>
      </c>
      <c r="T2085" t="s">
        <v>3</v>
      </c>
      <c r="U2085" t="s">
        <v>3</v>
      </c>
      <c r="V2085" t="s">
        <v>3</v>
      </c>
      <c r="W2085" t="s">
        <v>68</v>
      </c>
      <c r="X2085" s="17"/>
      <c r="Y2085" t="s">
        <v>3</v>
      </c>
      <c r="Z2085" s="17">
        <v>43712</v>
      </c>
      <c r="AA2085" t="s">
        <v>3</v>
      </c>
      <c r="AB2085" t="s">
        <v>4847</v>
      </c>
    </row>
    <row r="2086" spans="1:28" hidden="1">
      <c r="A2086" t="s">
        <v>4851</v>
      </c>
      <c r="B2086" s="17">
        <v>43712</v>
      </c>
      <c r="C2086" s="17">
        <v>43712</v>
      </c>
      <c r="D2086" t="s">
        <v>0</v>
      </c>
      <c r="E2086" t="s">
        <v>1</v>
      </c>
      <c r="F2086" s="18">
        <v>-1068976</v>
      </c>
      <c r="G2086" s="18">
        <v>-1068976</v>
      </c>
      <c r="H2086" t="s">
        <v>2</v>
      </c>
      <c r="I2086" t="s">
        <v>8</v>
      </c>
      <c r="J2086" s="18">
        <v>-89259496.010000005</v>
      </c>
      <c r="K2086" t="s">
        <v>4852</v>
      </c>
      <c r="L2086" t="s">
        <v>9</v>
      </c>
      <c r="M2086" t="s">
        <v>4853</v>
      </c>
      <c r="N2086" t="s">
        <v>3</v>
      </c>
      <c r="O2086" t="s">
        <v>3</v>
      </c>
      <c r="P2086" t="s">
        <v>5</v>
      </c>
      <c r="Q2086" t="s">
        <v>4854</v>
      </c>
      <c r="R2086" t="s">
        <v>3</v>
      </c>
      <c r="S2086" t="s">
        <v>3</v>
      </c>
      <c r="T2086" t="s">
        <v>3</v>
      </c>
      <c r="U2086" t="s">
        <v>3</v>
      </c>
      <c r="V2086" t="s">
        <v>3</v>
      </c>
      <c r="W2086" t="s">
        <v>68</v>
      </c>
      <c r="X2086" s="17"/>
      <c r="Y2086" t="s">
        <v>3</v>
      </c>
      <c r="Z2086" s="17">
        <v>43712</v>
      </c>
      <c r="AA2086" t="s">
        <v>3</v>
      </c>
      <c r="AB2086" t="s">
        <v>4851</v>
      </c>
    </row>
    <row r="2087" spans="1:28" hidden="1">
      <c r="A2087" t="s">
        <v>4855</v>
      </c>
      <c r="B2087" s="17">
        <v>43712</v>
      </c>
      <c r="C2087" s="17">
        <v>43712</v>
      </c>
      <c r="D2087" t="s">
        <v>0</v>
      </c>
      <c r="E2087" t="s">
        <v>1</v>
      </c>
      <c r="F2087" s="18">
        <v>-545344</v>
      </c>
      <c r="G2087" s="18">
        <v>-545344</v>
      </c>
      <c r="H2087" t="s">
        <v>2</v>
      </c>
      <c r="I2087" t="s">
        <v>8</v>
      </c>
      <c r="J2087" s="18">
        <v>-45536224.009999998</v>
      </c>
      <c r="K2087" t="s">
        <v>4856</v>
      </c>
      <c r="L2087" t="s">
        <v>4</v>
      </c>
      <c r="M2087" t="s">
        <v>1112</v>
      </c>
      <c r="N2087" t="s">
        <v>3</v>
      </c>
      <c r="O2087" t="s">
        <v>3</v>
      </c>
      <c r="P2087" t="s">
        <v>5</v>
      </c>
      <c r="Q2087" t="s">
        <v>4857</v>
      </c>
      <c r="R2087" t="s">
        <v>3</v>
      </c>
      <c r="S2087" t="s">
        <v>3</v>
      </c>
      <c r="T2087" t="s">
        <v>3</v>
      </c>
      <c r="U2087" t="s">
        <v>3</v>
      </c>
      <c r="V2087" t="s">
        <v>3</v>
      </c>
      <c r="W2087" t="s">
        <v>68</v>
      </c>
      <c r="X2087" s="17"/>
      <c r="Y2087" t="s">
        <v>3</v>
      </c>
      <c r="Z2087" s="17">
        <v>43712</v>
      </c>
      <c r="AA2087" t="s">
        <v>3</v>
      </c>
      <c r="AB2087" t="s">
        <v>4855</v>
      </c>
    </row>
    <row r="2088" spans="1:28" hidden="1">
      <c r="A2088" t="s">
        <v>4858</v>
      </c>
      <c r="B2088" s="17">
        <v>43713</v>
      </c>
      <c r="C2088" s="17">
        <v>43713</v>
      </c>
      <c r="D2088" t="s">
        <v>0</v>
      </c>
      <c r="E2088" t="s">
        <v>1</v>
      </c>
      <c r="F2088" s="18">
        <v>635.96</v>
      </c>
      <c r="G2088" s="18">
        <v>635.96</v>
      </c>
      <c r="H2088" t="s">
        <v>2</v>
      </c>
      <c r="I2088" t="s">
        <v>8</v>
      </c>
      <c r="J2088" s="18">
        <v>53102.66</v>
      </c>
      <c r="K2088" t="s">
        <v>4742</v>
      </c>
      <c r="L2088" t="s">
        <v>4</v>
      </c>
      <c r="M2088" t="s">
        <v>4859</v>
      </c>
      <c r="N2088" t="s">
        <v>3</v>
      </c>
      <c r="O2088" t="s">
        <v>3</v>
      </c>
      <c r="P2088" t="s">
        <v>5</v>
      </c>
      <c r="Q2088" t="s">
        <v>4860</v>
      </c>
      <c r="R2088" t="s">
        <v>3</v>
      </c>
      <c r="S2088" t="s">
        <v>3</v>
      </c>
      <c r="T2088" t="s">
        <v>3</v>
      </c>
      <c r="U2088" t="s">
        <v>3</v>
      </c>
      <c r="V2088" t="s">
        <v>3</v>
      </c>
      <c r="W2088" t="s">
        <v>68</v>
      </c>
      <c r="X2088" s="17"/>
      <c r="Y2088" t="s">
        <v>3</v>
      </c>
      <c r="Z2088" s="17">
        <v>43713</v>
      </c>
      <c r="AA2088" t="s">
        <v>3</v>
      </c>
      <c r="AB2088" t="s">
        <v>4858</v>
      </c>
    </row>
    <row r="2089" spans="1:28" hidden="1">
      <c r="A2089" t="s">
        <v>4858</v>
      </c>
      <c r="B2089" s="17">
        <v>43713</v>
      </c>
      <c r="C2089" s="17">
        <v>43713</v>
      </c>
      <c r="D2089" t="s">
        <v>0</v>
      </c>
      <c r="E2089" t="s">
        <v>1</v>
      </c>
      <c r="F2089" s="18">
        <v>1986.33</v>
      </c>
      <c r="G2089" s="18">
        <v>1986.33</v>
      </c>
      <c r="H2089" t="s">
        <v>2</v>
      </c>
      <c r="I2089" t="s">
        <v>8</v>
      </c>
      <c r="J2089" s="18">
        <v>165858.56</v>
      </c>
      <c r="K2089" t="s">
        <v>4509</v>
      </c>
      <c r="L2089" t="s">
        <v>4</v>
      </c>
      <c r="M2089" t="s">
        <v>4859</v>
      </c>
      <c r="N2089" t="s">
        <v>3</v>
      </c>
      <c r="O2089" t="s">
        <v>3</v>
      </c>
      <c r="P2089" t="s">
        <v>5</v>
      </c>
      <c r="Q2089" t="s">
        <v>4860</v>
      </c>
      <c r="R2089" t="s">
        <v>3</v>
      </c>
      <c r="S2089" t="s">
        <v>3</v>
      </c>
      <c r="T2089" t="s">
        <v>3</v>
      </c>
      <c r="U2089" t="s">
        <v>3</v>
      </c>
      <c r="V2089" t="s">
        <v>3</v>
      </c>
      <c r="W2089" t="s">
        <v>68</v>
      </c>
      <c r="X2089" s="17"/>
      <c r="Y2089" t="s">
        <v>3</v>
      </c>
      <c r="Z2089" s="17">
        <v>43713</v>
      </c>
      <c r="AA2089" t="s">
        <v>3</v>
      </c>
      <c r="AB2089" t="s">
        <v>4858</v>
      </c>
    </row>
    <row r="2090" spans="1:28" hidden="1">
      <c r="A2090" t="s">
        <v>4861</v>
      </c>
      <c r="B2090" s="17">
        <v>43713</v>
      </c>
      <c r="C2090" s="17">
        <v>43713</v>
      </c>
      <c r="D2090" t="s">
        <v>0</v>
      </c>
      <c r="E2090" t="s">
        <v>1</v>
      </c>
      <c r="F2090" s="18">
        <v>4593.84</v>
      </c>
      <c r="G2090" s="18">
        <v>4593.84</v>
      </c>
      <c r="H2090" t="s">
        <v>2</v>
      </c>
      <c r="I2090" t="s">
        <v>8</v>
      </c>
      <c r="J2090" s="18">
        <v>383585.64</v>
      </c>
      <c r="K2090" t="s">
        <v>4742</v>
      </c>
      <c r="L2090" t="s">
        <v>4</v>
      </c>
      <c r="M2090" t="s">
        <v>4862</v>
      </c>
      <c r="N2090" t="s">
        <v>3</v>
      </c>
      <c r="O2090" t="s">
        <v>3</v>
      </c>
      <c r="P2090" t="s">
        <v>5</v>
      </c>
      <c r="Q2090" t="s">
        <v>4863</v>
      </c>
      <c r="R2090" t="s">
        <v>3</v>
      </c>
      <c r="S2090" t="s">
        <v>3</v>
      </c>
      <c r="T2090" t="s">
        <v>3</v>
      </c>
      <c r="U2090" t="s">
        <v>3</v>
      </c>
      <c r="V2090" t="s">
        <v>3</v>
      </c>
      <c r="W2090" t="s">
        <v>68</v>
      </c>
      <c r="X2090" s="17"/>
      <c r="Y2090" t="s">
        <v>3</v>
      </c>
      <c r="Z2090" s="17">
        <v>43713</v>
      </c>
      <c r="AA2090" t="s">
        <v>3</v>
      </c>
      <c r="AB2090" t="s">
        <v>4861</v>
      </c>
    </row>
    <row r="2091" spans="1:28" hidden="1">
      <c r="A2091" t="s">
        <v>4864</v>
      </c>
      <c r="B2091" s="17">
        <v>43713</v>
      </c>
      <c r="C2091" s="17">
        <v>43713</v>
      </c>
      <c r="D2091" t="s">
        <v>0</v>
      </c>
      <c r="E2091" t="s">
        <v>1</v>
      </c>
      <c r="F2091" s="18">
        <v>19775.89</v>
      </c>
      <c r="G2091" s="18">
        <v>19775.89</v>
      </c>
      <c r="H2091" t="s">
        <v>2</v>
      </c>
      <c r="I2091" t="s">
        <v>8</v>
      </c>
      <c r="J2091" s="18">
        <v>1651286.82</v>
      </c>
      <c r="K2091" t="s">
        <v>4742</v>
      </c>
      <c r="L2091" t="s">
        <v>4</v>
      </c>
      <c r="M2091" t="s">
        <v>4865</v>
      </c>
      <c r="N2091" t="s">
        <v>3</v>
      </c>
      <c r="O2091" t="s">
        <v>3</v>
      </c>
      <c r="P2091" t="s">
        <v>5</v>
      </c>
      <c r="Q2091" t="s">
        <v>4866</v>
      </c>
      <c r="R2091" t="s">
        <v>3</v>
      </c>
      <c r="S2091" t="s">
        <v>3</v>
      </c>
      <c r="T2091" t="s">
        <v>3</v>
      </c>
      <c r="U2091" t="s">
        <v>3</v>
      </c>
      <c r="V2091" t="s">
        <v>3</v>
      </c>
      <c r="W2091" t="s">
        <v>68</v>
      </c>
      <c r="X2091" s="17"/>
      <c r="Y2091" t="s">
        <v>3</v>
      </c>
      <c r="Z2091" s="17">
        <v>43713</v>
      </c>
      <c r="AA2091" t="s">
        <v>3</v>
      </c>
      <c r="AB2091" t="s">
        <v>4864</v>
      </c>
    </row>
    <row r="2092" spans="1:28" hidden="1">
      <c r="A2092" t="s">
        <v>4864</v>
      </c>
      <c r="B2092" s="17">
        <v>43713</v>
      </c>
      <c r="C2092" s="17">
        <v>43713</v>
      </c>
      <c r="D2092" t="s">
        <v>0</v>
      </c>
      <c r="E2092" t="s">
        <v>1</v>
      </c>
      <c r="F2092" s="18">
        <v>587.09</v>
      </c>
      <c r="G2092" s="18">
        <v>587.09</v>
      </c>
      <c r="H2092" t="s">
        <v>2</v>
      </c>
      <c r="I2092" t="s">
        <v>8</v>
      </c>
      <c r="J2092" s="18">
        <v>49022.02</v>
      </c>
      <c r="K2092" t="s">
        <v>4509</v>
      </c>
      <c r="L2092" t="s">
        <v>4</v>
      </c>
      <c r="M2092" t="s">
        <v>4865</v>
      </c>
      <c r="N2092" t="s">
        <v>3</v>
      </c>
      <c r="O2092" t="s">
        <v>3</v>
      </c>
      <c r="P2092" t="s">
        <v>5</v>
      </c>
      <c r="Q2092" t="s">
        <v>4866</v>
      </c>
      <c r="R2092" t="s">
        <v>3</v>
      </c>
      <c r="S2092" t="s">
        <v>3</v>
      </c>
      <c r="T2092" t="s">
        <v>3</v>
      </c>
      <c r="U2092" t="s">
        <v>3</v>
      </c>
      <c r="V2092" t="s">
        <v>3</v>
      </c>
      <c r="W2092" t="s">
        <v>68</v>
      </c>
      <c r="X2092" s="17"/>
      <c r="Y2092" t="s">
        <v>3</v>
      </c>
      <c r="Z2092" s="17">
        <v>43713</v>
      </c>
      <c r="AA2092" t="s">
        <v>3</v>
      </c>
      <c r="AB2092" t="s">
        <v>4864</v>
      </c>
    </row>
    <row r="2093" spans="1:28" hidden="1">
      <c r="A2093" t="s">
        <v>4864</v>
      </c>
      <c r="B2093" s="17">
        <v>43713</v>
      </c>
      <c r="C2093" s="17">
        <v>43713</v>
      </c>
      <c r="D2093" t="s">
        <v>0</v>
      </c>
      <c r="E2093" t="s">
        <v>1</v>
      </c>
      <c r="F2093" s="18">
        <v>6348.65</v>
      </c>
      <c r="G2093" s="18">
        <v>6348.65</v>
      </c>
      <c r="H2093" t="s">
        <v>2</v>
      </c>
      <c r="I2093" t="s">
        <v>8</v>
      </c>
      <c r="J2093" s="18">
        <v>530112.28</v>
      </c>
      <c r="K2093" t="s">
        <v>4771</v>
      </c>
      <c r="L2093" t="s">
        <v>4</v>
      </c>
      <c r="M2093" t="s">
        <v>4865</v>
      </c>
      <c r="N2093" t="s">
        <v>3</v>
      </c>
      <c r="O2093" t="s">
        <v>3</v>
      </c>
      <c r="P2093" t="s">
        <v>5</v>
      </c>
      <c r="Q2093" t="s">
        <v>4866</v>
      </c>
      <c r="R2093" t="s">
        <v>3</v>
      </c>
      <c r="S2093" t="s">
        <v>3</v>
      </c>
      <c r="T2093" t="s">
        <v>3</v>
      </c>
      <c r="U2093" t="s">
        <v>3</v>
      </c>
      <c r="V2093" t="s">
        <v>3</v>
      </c>
      <c r="W2093" t="s">
        <v>68</v>
      </c>
      <c r="X2093" s="17"/>
      <c r="Y2093" t="s">
        <v>3</v>
      </c>
      <c r="Z2093" s="17">
        <v>43713</v>
      </c>
      <c r="AA2093" t="s">
        <v>3</v>
      </c>
      <c r="AB2093" t="s">
        <v>4864</v>
      </c>
    </row>
    <row r="2094" spans="1:28" hidden="1">
      <c r="A2094" t="s">
        <v>4867</v>
      </c>
      <c r="B2094" s="17">
        <v>43713</v>
      </c>
      <c r="C2094" s="17">
        <v>43713</v>
      </c>
      <c r="D2094" t="s">
        <v>0</v>
      </c>
      <c r="E2094" t="s">
        <v>1</v>
      </c>
      <c r="F2094" s="18">
        <v>53615.1</v>
      </c>
      <c r="G2094" s="18">
        <v>53615.1</v>
      </c>
      <c r="H2094" t="s">
        <v>2</v>
      </c>
      <c r="I2094" t="s">
        <v>8</v>
      </c>
      <c r="J2094" s="18">
        <v>4476860.8499999996</v>
      </c>
      <c r="K2094" t="s">
        <v>4742</v>
      </c>
      <c r="L2094" t="s">
        <v>4</v>
      </c>
      <c r="M2094" t="s">
        <v>4868</v>
      </c>
      <c r="N2094" t="s">
        <v>3</v>
      </c>
      <c r="O2094" t="s">
        <v>3</v>
      </c>
      <c r="P2094" t="s">
        <v>5</v>
      </c>
      <c r="Q2094" t="s">
        <v>4869</v>
      </c>
      <c r="R2094" t="s">
        <v>3</v>
      </c>
      <c r="S2094" t="s">
        <v>3</v>
      </c>
      <c r="T2094" t="s">
        <v>3</v>
      </c>
      <c r="U2094" t="s">
        <v>3</v>
      </c>
      <c r="V2094" t="s">
        <v>3</v>
      </c>
      <c r="W2094" t="s">
        <v>68</v>
      </c>
      <c r="X2094" s="17"/>
      <c r="Y2094" t="s">
        <v>3</v>
      </c>
      <c r="Z2094" s="17">
        <v>43713</v>
      </c>
      <c r="AA2094" t="s">
        <v>3</v>
      </c>
      <c r="AB2094" t="s">
        <v>4867</v>
      </c>
    </row>
    <row r="2095" spans="1:28" hidden="1">
      <c r="A2095" t="s">
        <v>4867</v>
      </c>
      <c r="B2095" s="17">
        <v>43713</v>
      </c>
      <c r="C2095" s="17">
        <v>43713</v>
      </c>
      <c r="D2095" t="s">
        <v>0</v>
      </c>
      <c r="E2095" t="s">
        <v>1</v>
      </c>
      <c r="F2095" s="18">
        <v>18359.66</v>
      </c>
      <c r="G2095" s="18">
        <v>18359.66</v>
      </c>
      <c r="H2095" t="s">
        <v>2</v>
      </c>
      <c r="I2095" t="s">
        <v>8</v>
      </c>
      <c r="J2095" s="18">
        <v>1533031.61</v>
      </c>
      <c r="K2095" t="s">
        <v>4771</v>
      </c>
      <c r="L2095" t="s">
        <v>4</v>
      </c>
      <c r="M2095" t="s">
        <v>4868</v>
      </c>
      <c r="N2095" t="s">
        <v>3</v>
      </c>
      <c r="O2095" t="s">
        <v>3</v>
      </c>
      <c r="P2095" t="s">
        <v>5</v>
      </c>
      <c r="Q2095" t="s">
        <v>4869</v>
      </c>
      <c r="R2095" t="s">
        <v>3</v>
      </c>
      <c r="S2095" t="s">
        <v>3</v>
      </c>
      <c r="T2095" t="s">
        <v>3</v>
      </c>
      <c r="U2095" t="s">
        <v>3</v>
      </c>
      <c r="V2095" t="s">
        <v>3</v>
      </c>
      <c r="W2095" t="s">
        <v>68</v>
      </c>
      <c r="X2095" s="17"/>
      <c r="Y2095" t="s">
        <v>3</v>
      </c>
      <c r="Z2095" s="17">
        <v>43713</v>
      </c>
      <c r="AA2095" t="s">
        <v>3</v>
      </c>
      <c r="AB2095" t="s">
        <v>4867</v>
      </c>
    </row>
    <row r="2096" spans="1:28" hidden="1">
      <c r="A2096" t="s">
        <v>4870</v>
      </c>
      <c r="B2096" s="17">
        <v>43713</v>
      </c>
      <c r="C2096" s="17">
        <v>43713</v>
      </c>
      <c r="D2096" t="s">
        <v>0</v>
      </c>
      <c r="E2096" t="s">
        <v>1</v>
      </c>
      <c r="F2096" s="18">
        <v>24269.439999999999</v>
      </c>
      <c r="G2096" s="18">
        <v>24269.439999999999</v>
      </c>
      <c r="H2096" t="s">
        <v>2</v>
      </c>
      <c r="I2096" t="s">
        <v>8</v>
      </c>
      <c r="J2096" s="18">
        <v>2026498.24</v>
      </c>
      <c r="K2096" t="s">
        <v>4742</v>
      </c>
      <c r="L2096" t="s">
        <v>4</v>
      </c>
      <c r="M2096" t="s">
        <v>4871</v>
      </c>
      <c r="N2096" t="s">
        <v>3</v>
      </c>
      <c r="O2096" t="s">
        <v>3</v>
      </c>
      <c r="P2096" t="s">
        <v>5</v>
      </c>
      <c r="Q2096" t="s">
        <v>4872</v>
      </c>
      <c r="R2096" t="s">
        <v>3</v>
      </c>
      <c r="S2096" t="s">
        <v>3</v>
      </c>
      <c r="T2096" t="s">
        <v>3</v>
      </c>
      <c r="U2096" t="s">
        <v>3</v>
      </c>
      <c r="V2096" t="s">
        <v>3</v>
      </c>
      <c r="W2096" t="s">
        <v>68</v>
      </c>
      <c r="X2096" s="17"/>
      <c r="Y2096" t="s">
        <v>3</v>
      </c>
      <c r="Z2096" s="17">
        <v>43713</v>
      </c>
      <c r="AA2096" t="s">
        <v>3</v>
      </c>
      <c r="AB2096" t="s">
        <v>4870</v>
      </c>
    </row>
    <row r="2097" spans="1:28" hidden="1">
      <c r="A2097" t="s">
        <v>4873</v>
      </c>
      <c r="B2097" s="17">
        <v>43713</v>
      </c>
      <c r="C2097" s="17">
        <v>43713</v>
      </c>
      <c r="D2097" t="s">
        <v>0</v>
      </c>
      <c r="E2097" t="s">
        <v>1</v>
      </c>
      <c r="F2097" s="18">
        <v>30806</v>
      </c>
      <c r="G2097" s="18">
        <v>30806</v>
      </c>
      <c r="H2097" t="s">
        <v>2</v>
      </c>
      <c r="I2097" t="s">
        <v>8</v>
      </c>
      <c r="J2097" s="18">
        <v>2572301</v>
      </c>
      <c r="K2097" t="s">
        <v>4754</v>
      </c>
      <c r="L2097" t="s">
        <v>9</v>
      </c>
      <c r="M2097" t="s">
        <v>4874</v>
      </c>
      <c r="N2097" t="s">
        <v>3</v>
      </c>
      <c r="O2097" t="s">
        <v>3</v>
      </c>
      <c r="P2097" t="s">
        <v>5</v>
      </c>
      <c r="Q2097" t="s">
        <v>4875</v>
      </c>
      <c r="R2097" t="s">
        <v>3</v>
      </c>
      <c r="S2097" t="s">
        <v>3</v>
      </c>
      <c r="T2097" t="s">
        <v>3</v>
      </c>
      <c r="U2097" t="s">
        <v>3</v>
      </c>
      <c r="V2097" t="s">
        <v>3</v>
      </c>
      <c r="W2097" t="s">
        <v>68</v>
      </c>
      <c r="X2097" s="17">
        <v>44012</v>
      </c>
      <c r="Y2097" t="s">
        <v>4137</v>
      </c>
      <c r="Z2097" s="17">
        <v>43713</v>
      </c>
      <c r="AA2097" t="s">
        <v>3</v>
      </c>
      <c r="AB2097" t="s">
        <v>4873</v>
      </c>
    </row>
    <row r="2098" spans="1:28" hidden="1">
      <c r="A2098" t="s">
        <v>4873</v>
      </c>
      <c r="B2098" s="17">
        <v>43713</v>
      </c>
      <c r="C2098" s="17">
        <v>43713</v>
      </c>
      <c r="D2098" t="s">
        <v>0</v>
      </c>
      <c r="E2098" t="s">
        <v>1</v>
      </c>
      <c r="F2098" s="18">
        <v>43149</v>
      </c>
      <c r="G2098" s="18">
        <v>43149</v>
      </c>
      <c r="H2098" t="s">
        <v>2</v>
      </c>
      <c r="I2098" t="s">
        <v>8</v>
      </c>
      <c r="J2098" s="18">
        <v>3602941.5</v>
      </c>
      <c r="K2098" t="s">
        <v>4736</v>
      </c>
      <c r="L2098" t="s">
        <v>9</v>
      </c>
      <c r="M2098" t="s">
        <v>4874</v>
      </c>
      <c r="N2098" t="s">
        <v>3</v>
      </c>
      <c r="O2098" t="s">
        <v>3</v>
      </c>
      <c r="P2098" t="s">
        <v>5</v>
      </c>
      <c r="Q2098" t="s">
        <v>4875</v>
      </c>
      <c r="R2098" t="s">
        <v>3</v>
      </c>
      <c r="S2098" t="s">
        <v>3</v>
      </c>
      <c r="T2098" t="s">
        <v>3</v>
      </c>
      <c r="U2098" t="s">
        <v>3</v>
      </c>
      <c r="V2098" t="s">
        <v>3</v>
      </c>
      <c r="W2098" t="s">
        <v>68</v>
      </c>
      <c r="X2098" s="17">
        <v>44012</v>
      </c>
      <c r="Y2098" t="s">
        <v>4137</v>
      </c>
      <c r="Z2098" s="17">
        <v>43713</v>
      </c>
      <c r="AA2098" t="s">
        <v>3</v>
      </c>
      <c r="AB2098" t="s">
        <v>4873</v>
      </c>
    </row>
    <row r="2099" spans="1:28" hidden="1">
      <c r="A2099" t="s">
        <v>4876</v>
      </c>
      <c r="B2099" s="17">
        <v>43713</v>
      </c>
      <c r="C2099" s="17">
        <v>43713</v>
      </c>
      <c r="D2099" t="s">
        <v>0</v>
      </c>
      <c r="E2099" t="s">
        <v>1</v>
      </c>
      <c r="F2099" s="18">
        <v>22259.37</v>
      </c>
      <c r="G2099" s="18">
        <v>22259.37</v>
      </c>
      <c r="H2099" t="s">
        <v>2</v>
      </c>
      <c r="I2099" t="s">
        <v>10</v>
      </c>
      <c r="J2099" s="18">
        <v>1858657.4</v>
      </c>
      <c r="K2099" t="s">
        <v>4761</v>
      </c>
      <c r="L2099" t="s">
        <v>4</v>
      </c>
      <c r="M2099" t="s">
        <v>4877</v>
      </c>
      <c r="N2099" t="s">
        <v>3</v>
      </c>
      <c r="O2099" t="s">
        <v>3</v>
      </c>
      <c r="P2099" t="s">
        <v>5</v>
      </c>
      <c r="Q2099" t="s">
        <v>4878</v>
      </c>
      <c r="R2099" t="s">
        <v>3</v>
      </c>
      <c r="S2099" t="s">
        <v>3</v>
      </c>
      <c r="T2099" t="s">
        <v>3</v>
      </c>
      <c r="U2099" t="s">
        <v>3</v>
      </c>
      <c r="V2099" t="s">
        <v>3</v>
      </c>
      <c r="W2099" t="s">
        <v>68</v>
      </c>
      <c r="X2099" s="17"/>
      <c r="Y2099" t="s">
        <v>3</v>
      </c>
      <c r="Z2099" s="17">
        <v>43713</v>
      </c>
      <c r="AA2099" t="s">
        <v>3</v>
      </c>
      <c r="AB2099" t="s">
        <v>4876</v>
      </c>
    </row>
    <row r="2100" spans="1:28" hidden="1">
      <c r="A2100" t="s">
        <v>4934</v>
      </c>
      <c r="B2100" s="17">
        <v>43713</v>
      </c>
      <c r="C2100" s="17">
        <v>43713</v>
      </c>
      <c r="D2100" t="s">
        <v>0</v>
      </c>
      <c r="E2100" t="s">
        <v>1</v>
      </c>
      <c r="F2100" s="18">
        <v>80004.23</v>
      </c>
      <c r="G2100" s="18">
        <v>80004.23</v>
      </c>
      <c r="H2100" t="s">
        <v>2</v>
      </c>
      <c r="I2100" t="s">
        <v>8</v>
      </c>
      <c r="J2100" s="18">
        <v>6680353.21</v>
      </c>
      <c r="K2100" t="s">
        <v>4742</v>
      </c>
      <c r="L2100" t="s">
        <v>4</v>
      </c>
      <c r="M2100" t="s">
        <v>4935</v>
      </c>
      <c r="N2100" t="s">
        <v>3</v>
      </c>
      <c r="O2100" t="s">
        <v>3</v>
      </c>
      <c r="P2100" t="s">
        <v>5</v>
      </c>
      <c r="Q2100" t="s">
        <v>4936</v>
      </c>
      <c r="R2100" t="s">
        <v>3</v>
      </c>
      <c r="S2100" t="s">
        <v>3</v>
      </c>
      <c r="T2100" t="s">
        <v>3</v>
      </c>
      <c r="U2100" t="s">
        <v>3</v>
      </c>
      <c r="V2100" t="s">
        <v>3</v>
      </c>
      <c r="W2100" t="s">
        <v>68</v>
      </c>
      <c r="X2100" s="17"/>
      <c r="Y2100" t="s">
        <v>3</v>
      </c>
      <c r="Z2100" s="17">
        <v>43713</v>
      </c>
      <c r="AA2100" t="s">
        <v>3</v>
      </c>
      <c r="AB2100" t="s">
        <v>4934</v>
      </c>
    </row>
    <row r="2101" spans="1:28" hidden="1">
      <c r="A2101" t="s">
        <v>4879</v>
      </c>
      <c r="B2101" s="17">
        <v>43716</v>
      </c>
      <c r="C2101" s="17">
        <v>43716</v>
      </c>
      <c r="D2101" t="s">
        <v>0</v>
      </c>
      <c r="E2101" t="s">
        <v>1</v>
      </c>
      <c r="F2101" s="18">
        <v>17647</v>
      </c>
      <c r="G2101" s="18">
        <v>17647</v>
      </c>
      <c r="H2101" t="s">
        <v>2</v>
      </c>
      <c r="I2101" t="s">
        <v>8</v>
      </c>
      <c r="J2101" s="18">
        <v>1473524.5</v>
      </c>
      <c r="K2101" t="s">
        <v>4604</v>
      </c>
      <c r="L2101" t="s">
        <v>9</v>
      </c>
      <c r="M2101" t="s">
        <v>4880</v>
      </c>
      <c r="N2101" t="s">
        <v>3</v>
      </c>
      <c r="O2101" t="s">
        <v>3</v>
      </c>
      <c r="P2101" t="s">
        <v>5</v>
      </c>
      <c r="Q2101" t="s">
        <v>4881</v>
      </c>
      <c r="R2101" t="s">
        <v>3</v>
      </c>
      <c r="S2101" t="s">
        <v>3</v>
      </c>
      <c r="T2101" t="s">
        <v>3</v>
      </c>
      <c r="U2101" t="s">
        <v>3</v>
      </c>
      <c r="V2101" t="s">
        <v>3</v>
      </c>
      <c r="W2101" t="s">
        <v>68</v>
      </c>
      <c r="X2101" s="17"/>
      <c r="Y2101" t="s">
        <v>3</v>
      </c>
      <c r="Z2101" s="17">
        <v>43716</v>
      </c>
      <c r="AA2101" t="s">
        <v>3</v>
      </c>
      <c r="AB2101" t="s">
        <v>4879</v>
      </c>
    </row>
    <row r="2102" spans="1:28" hidden="1">
      <c r="A2102" t="s">
        <v>4879</v>
      </c>
      <c r="B2102" s="17">
        <v>43716</v>
      </c>
      <c r="C2102" s="17">
        <v>43716</v>
      </c>
      <c r="D2102" t="s">
        <v>0</v>
      </c>
      <c r="E2102" t="s">
        <v>1</v>
      </c>
      <c r="F2102" s="18">
        <v>51621</v>
      </c>
      <c r="G2102" s="18">
        <v>51621</v>
      </c>
      <c r="H2102" t="s">
        <v>2</v>
      </c>
      <c r="I2102" t="s">
        <v>8</v>
      </c>
      <c r="J2102" s="18">
        <v>4310353.5</v>
      </c>
      <c r="K2102" t="s">
        <v>4754</v>
      </c>
      <c r="L2102" t="s">
        <v>9</v>
      </c>
      <c r="M2102" t="s">
        <v>4880</v>
      </c>
      <c r="N2102" t="s">
        <v>3</v>
      </c>
      <c r="O2102" t="s">
        <v>3</v>
      </c>
      <c r="P2102" t="s">
        <v>5</v>
      </c>
      <c r="Q2102" t="s">
        <v>4881</v>
      </c>
      <c r="R2102" t="s">
        <v>3</v>
      </c>
      <c r="S2102" t="s">
        <v>3</v>
      </c>
      <c r="T2102" t="s">
        <v>3</v>
      </c>
      <c r="U2102" t="s">
        <v>3</v>
      </c>
      <c r="V2102" t="s">
        <v>3</v>
      </c>
      <c r="W2102" t="s">
        <v>68</v>
      </c>
      <c r="X2102" s="17">
        <v>44012</v>
      </c>
      <c r="Y2102" t="s">
        <v>4137</v>
      </c>
      <c r="Z2102" s="17">
        <v>43716</v>
      </c>
      <c r="AA2102" t="s">
        <v>3</v>
      </c>
      <c r="AB2102" t="s">
        <v>4879</v>
      </c>
    </row>
    <row r="2103" spans="1:28" hidden="1">
      <c r="A2103" t="s">
        <v>4879</v>
      </c>
      <c r="B2103" s="17">
        <v>43716</v>
      </c>
      <c r="C2103" s="17">
        <v>43716</v>
      </c>
      <c r="D2103" t="s">
        <v>0</v>
      </c>
      <c r="E2103" t="s">
        <v>1</v>
      </c>
      <c r="F2103" s="18">
        <v>129209</v>
      </c>
      <c r="G2103" s="18">
        <v>129209</v>
      </c>
      <c r="H2103" t="s">
        <v>2</v>
      </c>
      <c r="I2103" t="s">
        <v>8</v>
      </c>
      <c r="J2103" s="18">
        <v>10788951.5</v>
      </c>
      <c r="K2103" t="s">
        <v>4882</v>
      </c>
      <c r="L2103" t="s">
        <v>9</v>
      </c>
      <c r="M2103" t="s">
        <v>4880</v>
      </c>
      <c r="N2103" t="s">
        <v>3</v>
      </c>
      <c r="O2103" t="s">
        <v>3</v>
      </c>
      <c r="P2103" t="s">
        <v>5</v>
      </c>
      <c r="Q2103" t="s">
        <v>4881</v>
      </c>
      <c r="R2103" t="s">
        <v>3</v>
      </c>
      <c r="S2103" t="s">
        <v>3</v>
      </c>
      <c r="T2103" t="s">
        <v>3</v>
      </c>
      <c r="U2103" t="s">
        <v>3</v>
      </c>
      <c r="V2103" t="s">
        <v>3</v>
      </c>
      <c r="W2103" t="s">
        <v>68</v>
      </c>
      <c r="X2103" s="17"/>
      <c r="Y2103" t="s">
        <v>3</v>
      </c>
      <c r="Z2103" s="17">
        <v>43716</v>
      </c>
      <c r="AA2103" t="s">
        <v>3</v>
      </c>
      <c r="AB2103" t="s">
        <v>4879</v>
      </c>
    </row>
    <row r="2104" spans="1:28" hidden="1">
      <c r="A2104" t="s">
        <v>4879</v>
      </c>
      <c r="B2104" s="17">
        <v>43716</v>
      </c>
      <c r="C2104" s="17">
        <v>43716</v>
      </c>
      <c r="D2104" t="s">
        <v>0</v>
      </c>
      <c r="E2104" t="s">
        <v>1</v>
      </c>
      <c r="F2104" s="18">
        <v>7663</v>
      </c>
      <c r="G2104" s="18">
        <v>7663</v>
      </c>
      <c r="H2104" t="s">
        <v>2</v>
      </c>
      <c r="I2104" t="s">
        <v>8</v>
      </c>
      <c r="J2104" s="18">
        <v>639860.5</v>
      </c>
      <c r="K2104" t="s">
        <v>4736</v>
      </c>
      <c r="L2104" t="s">
        <v>9</v>
      </c>
      <c r="M2104" t="s">
        <v>4880</v>
      </c>
      <c r="N2104" t="s">
        <v>3</v>
      </c>
      <c r="O2104" t="s">
        <v>3</v>
      </c>
      <c r="P2104" t="s">
        <v>5</v>
      </c>
      <c r="Q2104" t="s">
        <v>4881</v>
      </c>
      <c r="R2104" t="s">
        <v>3</v>
      </c>
      <c r="S2104" t="s">
        <v>3</v>
      </c>
      <c r="T2104" t="s">
        <v>3</v>
      </c>
      <c r="U2104" t="s">
        <v>3</v>
      </c>
      <c r="V2104" t="s">
        <v>3</v>
      </c>
      <c r="W2104" t="s">
        <v>68</v>
      </c>
      <c r="X2104" s="17">
        <v>44012</v>
      </c>
      <c r="Y2104" t="s">
        <v>4137</v>
      </c>
      <c r="Z2104" s="17">
        <v>43716</v>
      </c>
      <c r="AA2104" t="s">
        <v>3</v>
      </c>
      <c r="AB2104" t="s">
        <v>4879</v>
      </c>
    </row>
    <row r="2105" spans="1:28" hidden="1">
      <c r="A2105" t="s">
        <v>4879</v>
      </c>
      <c r="B2105" s="17">
        <v>43716</v>
      </c>
      <c r="C2105" s="17">
        <v>43716</v>
      </c>
      <c r="D2105" t="s">
        <v>0</v>
      </c>
      <c r="E2105" t="s">
        <v>1</v>
      </c>
      <c r="F2105" s="18">
        <v>27697</v>
      </c>
      <c r="G2105" s="18">
        <v>27697</v>
      </c>
      <c r="H2105" t="s">
        <v>2</v>
      </c>
      <c r="I2105" t="s">
        <v>8</v>
      </c>
      <c r="J2105" s="18">
        <v>2312145.56</v>
      </c>
      <c r="K2105" t="s">
        <v>4607</v>
      </c>
      <c r="L2105" t="s">
        <v>9</v>
      </c>
      <c r="M2105" t="s">
        <v>4880</v>
      </c>
      <c r="N2105" t="s">
        <v>3</v>
      </c>
      <c r="O2105" t="s">
        <v>3</v>
      </c>
      <c r="P2105" t="s">
        <v>5</v>
      </c>
      <c r="Q2105" t="s">
        <v>4881</v>
      </c>
      <c r="R2105" t="s">
        <v>3</v>
      </c>
      <c r="S2105" t="s">
        <v>3</v>
      </c>
      <c r="T2105" t="s">
        <v>3</v>
      </c>
      <c r="U2105" t="s">
        <v>3</v>
      </c>
      <c r="V2105" t="s">
        <v>3</v>
      </c>
      <c r="W2105" t="s">
        <v>68</v>
      </c>
      <c r="X2105" s="17">
        <v>43769</v>
      </c>
      <c r="Y2105" t="s">
        <v>4160</v>
      </c>
      <c r="Z2105" s="17">
        <v>43716</v>
      </c>
      <c r="AA2105" t="s">
        <v>3</v>
      </c>
      <c r="AB2105" t="s">
        <v>4879</v>
      </c>
    </row>
    <row r="2106" spans="1:28" hidden="1">
      <c r="A2106" t="s">
        <v>4879</v>
      </c>
      <c r="B2106" s="17">
        <v>43716</v>
      </c>
      <c r="C2106" s="17">
        <v>43716</v>
      </c>
      <c r="D2106" t="s">
        <v>0</v>
      </c>
      <c r="E2106" t="s">
        <v>1</v>
      </c>
      <c r="F2106" s="18">
        <v>36018</v>
      </c>
      <c r="G2106" s="18">
        <v>36018</v>
      </c>
      <c r="H2106" t="s">
        <v>2</v>
      </c>
      <c r="I2106" t="s">
        <v>8</v>
      </c>
      <c r="J2106" s="18">
        <v>3006782.64</v>
      </c>
      <c r="K2106" t="s">
        <v>4608</v>
      </c>
      <c r="L2106" t="s">
        <v>9</v>
      </c>
      <c r="M2106" t="s">
        <v>4880</v>
      </c>
      <c r="N2106" t="s">
        <v>3</v>
      </c>
      <c r="O2106" t="s">
        <v>3</v>
      </c>
      <c r="P2106" t="s">
        <v>5</v>
      </c>
      <c r="Q2106" t="s">
        <v>4881</v>
      </c>
      <c r="R2106" t="s">
        <v>3</v>
      </c>
      <c r="S2106" t="s">
        <v>3</v>
      </c>
      <c r="T2106" t="s">
        <v>3</v>
      </c>
      <c r="U2106" t="s">
        <v>3</v>
      </c>
      <c r="V2106" t="s">
        <v>3</v>
      </c>
      <c r="W2106" t="s">
        <v>68</v>
      </c>
      <c r="X2106" s="17">
        <v>44012</v>
      </c>
      <c r="Y2106" t="s">
        <v>4137</v>
      </c>
      <c r="Z2106" s="17">
        <v>43716</v>
      </c>
      <c r="AA2106" t="s">
        <v>3</v>
      </c>
      <c r="AB2106" t="s">
        <v>4879</v>
      </c>
    </row>
    <row r="2107" spans="1:28" hidden="1">
      <c r="A2107" t="s">
        <v>4883</v>
      </c>
      <c r="B2107" s="17">
        <v>43716</v>
      </c>
      <c r="C2107" s="17">
        <v>43716</v>
      </c>
      <c r="D2107" t="s">
        <v>0</v>
      </c>
      <c r="E2107" t="s">
        <v>1</v>
      </c>
      <c r="F2107" s="18">
        <v>2655</v>
      </c>
      <c r="G2107" s="18">
        <v>2655</v>
      </c>
      <c r="H2107" t="s">
        <v>2</v>
      </c>
      <c r="I2107" t="s">
        <v>8</v>
      </c>
      <c r="J2107" s="18">
        <v>221692.5</v>
      </c>
      <c r="K2107" t="s">
        <v>4604</v>
      </c>
      <c r="L2107" t="s">
        <v>9</v>
      </c>
      <c r="M2107" t="s">
        <v>4884</v>
      </c>
      <c r="N2107" t="s">
        <v>3</v>
      </c>
      <c r="O2107" t="s">
        <v>3</v>
      </c>
      <c r="P2107" t="s">
        <v>5</v>
      </c>
      <c r="Q2107" t="s">
        <v>4885</v>
      </c>
      <c r="R2107" t="s">
        <v>3</v>
      </c>
      <c r="S2107" t="s">
        <v>3</v>
      </c>
      <c r="T2107" t="s">
        <v>3</v>
      </c>
      <c r="U2107" t="s">
        <v>3</v>
      </c>
      <c r="V2107" t="s">
        <v>3</v>
      </c>
      <c r="W2107" t="s">
        <v>68</v>
      </c>
      <c r="X2107" s="17"/>
      <c r="Y2107" t="s">
        <v>3</v>
      </c>
      <c r="Z2107" s="17">
        <v>43716</v>
      </c>
      <c r="AA2107" t="s">
        <v>3</v>
      </c>
      <c r="AB2107" t="s">
        <v>4883</v>
      </c>
    </row>
    <row r="2108" spans="1:28" hidden="1">
      <c r="A2108" t="s">
        <v>4883</v>
      </c>
      <c r="B2108" s="17">
        <v>43716</v>
      </c>
      <c r="C2108" s="17">
        <v>43716</v>
      </c>
      <c r="D2108" t="s">
        <v>0</v>
      </c>
      <c r="E2108" t="s">
        <v>1</v>
      </c>
      <c r="F2108" s="18">
        <v>63173</v>
      </c>
      <c r="G2108" s="18">
        <v>63173</v>
      </c>
      <c r="H2108" t="s">
        <v>2</v>
      </c>
      <c r="I2108" t="s">
        <v>8</v>
      </c>
      <c r="J2108" s="18">
        <v>5274945.5</v>
      </c>
      <c r="K2108" t="s">
        <v>4754</v>
      </c>
      <c r="L2108" t="s">
        <v>9</v>
      </c>
      <c r="M2108" t="s">
        <v>4884</v>
      </c>
      <c r="N2108" t="s">
        <v>3</v>
      </c>
      <c r="O2108" t="s">
        <v>3</v>
      </c>
      <c r="P2108" t="s">
        <v>5</v>
      </c>
      <c r="Q2108" t="s">
        <v>4885</v>
      </c>
      <c r="R2108" t="s">
        <v>3</v>
      </c>
      <c r="S2108" t="s">
        <v>3</v>
      </c>
      <c r="T2108" t="s">
        <v>3</v>
      </c>
      <c r="U2108" t="s">
        <v>3</v>
      </c>
      <c r="V2108" t="s">
        <v>3</v>
      </c>
      <c r="W2108" t="s">
        <v>68</v>
      </c>
      <c r="X2108" s="17">
        <v>44012</v>
      </c>
      <c r="Y2108" t="s">
        <v>4137</v>
      </c>
      <c r="Z2108" s="17">
        <v>43716</v>
      </c>
      <c r="AA2108" t="s">
        <v>3</v>
      </c>
      <c r="AB2108" t="s">
        <v>4883</v>
      </c>
    </row>
    <row r="2109" spans="1:28" hidden="1">
      <c r="A2109" t="s">
        <v>4883</v>
      </c>
      <c r="B2109" s="17">
        <v>43716</v>
      </c>
      <c r="C2109" s="17">
        <v>43716</v>
      </c>
      <c r="D2109" t="s">
        <v>0</v>
      </c>
      <c r="E2109" t="s">
        <v>1</v>
      </c>
      <c r="F2109" s="18">
        <v>26411</v>
      </c>
      <c r="G2109" s="18">
        <v>26411</v>
      </c>
      <c r="H2109" t="s">
        <v>2</v>
      </c>
      <c r="I2109" t="s">
        <v>8</v>
      </c>
      <c r="J2109" s="18">
        <v>2205318.5</v>
      </c>
      <c r="K2109" t="s">
        <v>4886</v>
      </c>
      <c r="L2109" t="s">
        <v>9</v>
      </c>
      <c r="M2109" t="s">
        <v>4884</v>
      </c>
      <c r="N2109" t="s">
        <v>3</v>
      </c>
      <c r="O2109" t="s">
        <v>3</v>
      </c>
      <c r="P2109" t="s">
        <v>5</v>
      </c>
      <c r="Q2109" t="s">
        <v>4885</v>
      </c>
      <c r="R2109" t="s">
        <v>3</v>
      </c>
      <c r="S2109" t="s">
        <v>3</v>
      </c>
      <c r="T2109" t="s">
        <v>3</v>
      </c>
      <c r="U2109" t="s">
        <v>3</v>
      </c>
      <c r="V2109" t="s">
        <v>3</v>
      </c>
      <c r="W2109" t="s">
        <v>68</v>
      </c>
      <c r="X2109" s="17"/>
      <c r="Y2109" t="s">
        <v>3</v>
      </c>
      <c r="Z2109" s="17">
        <v>43716</v>
      </c>
      <c r="AA2109" t="s">
        <v>3</v>
      </c>
      <c r="AB2109" t="s">
        <v>4883</v>
      </c>
    </row>
    <row r="2110" spans="1:28" hidden="1">
      <c r="A2110" t="s">
        <v>4883</v>
      </c>
      <c r="B2110" s="17">
        <v>43716</v>
      </c>
      <c r="C2110" s="17">
        <v>43716</v>
      </c>
      <c r="D2110" t="s">
        <v>0</v>
      </c>
      <c r="E2110" t="s">
        <v>1</v>
      </c>
      <c r="F2110" s="18">
        <v>26436</v>
      </c>
      <c r="G2110" s="18">
        <v>26436</v>
      </c>
      <c r="H2110" t="s">
        <v>2</v>
      </c>
      <c r="I2110" t="s">
        <v>8</v>
      </c>
      <c r="J2110" s="18">
        <v>2207406</v>
      </c>
      <c r="K2110" t="s">
        <v>4736</v>
      </c>
      <c r="L2110" t="s">
        <v>9</v>
      </c>
      <c r="M2110" t="s">
        <v>4884</v>
      </c>
      <c r="N2110" t="s">
        <v>3</v>
      </c>
      <c r="O2110" t="s">
        <v>3</v>
      </c>
      <c r="P2110" t="s">
        <v>5</v>
      </c>
      <c r="Q2110" t="s">
        <v>4885</v>
      </c>
      <c r="R2110" t="s">
        <v>3</v>
      </c>
      <c r="S2110" t="s">
        <v>3</v>
      </c>
      <c r="T2110" t="s">
        <v>3</v>
      </c>
      <c r="U2110" t="s">
        <v>3</v>
      </c>
      <c r="V2110" t="s">
        <v>3</v>
      </c>
      <c r="W2110" t="s">
        <v>68</v>
      </c>
      <c r="X2110" s="17">
        <v>44012</v>
      </c>
      <c r="Y2110" t="s">
        <v>4137</v>
      </c>
      <c r="Z2110" s="17">
        <v>43716</v>
      </c>
      <c r="AA2110" t="s">
        <v>3</v>
      </c>
      <c r="AB2110" t="s">
        <v>4883</v>
      </c>
    </row>
    <row r="2111" spans="1:28" hidden="1">
      <c r="A2111" t="s">
        <v>4703</v>
      </c>
      <c r="B2111" s="17">
        <v>43716</v>
      </c>
      <c r="C2111" s="17">
        <v>43716</v>
      </c>
      <c r="D2111" t="s">
        <v>0</v>
      </c>
      <c r="E2111" t="s">
        <v>1</v>
      </c>
      <c r="F2111" s="18">
        <v>2383</v>
      </c>
      <c r="G2111" s="18">
        <v>2383</v>
      </c>
      <c r="H2111" t="s">
        <v>2</v>
      </c>
      <c r="I2111" t="s">
        <v>10</v>
      </c>
      <c r="J2111" s="18">
        <v>198932.84</v>
      </c>
      <c r="K2111" t="s">
        <v>4641</v>
      </c>
      <c r="L2111" t="s">
        <v>9</v>
      </c>
      <c r="M2111" t="s">
        <v>4940</v>
      </c>
      <c r="N2111" t="s">
        <v>3</v>
      </c>
      <c r="O2111" t="s">
        <v>3</v>
      </c>
      <c r="P2111" t="s">
        <v>5</v>
      </c>
      <c r="Q2111" t="s">
        <v>4941</v>
      </c>
      <c r="R2111" t="s">
        <v>3</v>
      </c>
      <c r="S2111" t="s">
        <v>3</v>
      </c>
      <c r="T2111" t="s">
        <v>3</v>
      </c>
      <c r="U2111" t="s">
        <v>3</v>
      </c>
      <c r="V2111" t="s">
        <v>3</v>
      </c>
      <c r="W2111" t="s">
        <v>68</v>
      </c>
      <c r="X2111" s="17">
        <v>43769</v>
      </c>
      <c r="Y2111" t="s">
        <v>4012</v>
      </c>
      <c r="Z2111" s="17">
        <v>43716</v>
      </c>
      <c r="AA2111" t="s">
        <v>3</v>
      </c>
      <c r="AB2111" t="s">
        <v>4703</v>
      </c>
    </row>
    <row r="2112" spans="1:28" hidden="1">
      <c r="A2112" t="s">
        <v>4703</v>
      </c>
      <c r="B2112" s="17">
        <v>43716</v>
      </c>
      <c r="C2112" s="17">
        <v>43716</v>
      </c>
      <c r="D2112" t="s">
        <v>0</v>
      </c>
      <c r="E2112" t="s">
        <v>1</v>
      </c>
      <c r="F2112" s="18">
        <v>10231</v>
      </c>
      <c r="G2112" s="18">
        <v>10231</v>
      </c>
      <c r="H2112" t="s">
        <v>2</v>
      </c>
      <c r="I2112" t="s">
        <v>10</v>
      </c>
      <c r="J2112" s="18">
        <v>854288.51</v>
      </c>
      <c r="K2112" t="s">
        <v>4919</v>
      </c>
      <c r="L2112" t="s">
        <v>9</v>
      </c>
      <c r="M2112" t="s">
        <v>4940</v>
      </c>
      <c r="N2112" t="s">
        <v>3</v>
      </c>
      <c r="O2112" t="s">
        <v>3</v>
      </c>
      <c r="P2112" t="s">
        <v>5</v>
      </c>
      <c r="Q2112" t="s">
        <v>4941</v>
      </c>
      <c r="R2112" t="s">
        <v>3</v>
      </c>
      <c r="S2112" t="s">
        <v>3</v>
      </c>
      <c r="T2112" t="s">
        <v>3</v>
      </c>
      <c r="U2112" t="s">
        <v>3</v>
      </c>
      <c r="V2112" t="s">
        <v>3</v>
      </c>
      <c r="W2112" t="s">
        <v>68</v>
      </c>
      <c r="X2112" s="17"/>
      <c r="Y2112" t="s">
        <v>3</v>
      </c>
      <c r="Z2112" s="17">
        <v>43716</v>
      </c>
      <c r="AA2112" t="s">
        <v>3</v>
      </c>
      <c r="AB2112" t="s">
        <v>4703</v>
      </c>
    </row>
    <row r="2113" spans="1:28" hidden="1">
      <c r="A2113" t="s">
        <v>4703</v>
      </c>
      <c r="B2113" s="17">
        <v>43716</v>
      </c>
      <c r="C2113" s="17">
        <v>43716</v>
      </c>
      <c r="D2113" t="s">
        <v>0</v>
      </c>
      <c r="E2113" t="s">
        <v>1</v>
      </c>
      <c r="F2113" s="18">
        <v>46350</v>
      </c>
      <c r="G2113" s="18">
        <v>46350</v>
      </c>
      <c r="H2113" t="s">
        <v>2</v>
      </c>
      <c r="I2113" t="s">
        <v>10</v>
      </c>
      <c r="J2113" s="18">
        <v>3870225.01</v>
      </c>
      <c r="K2113" t="s">
        <v>4940</v>
      </c>
      <c r="L2113" t="s">
        <v>9</v>
      </c>
      <c r="M2113" t="s">
        <v>4940</v>
      </c>
      <c r="N2113" t="s">
        <v>3</v>
      </c>
      <c r="O2113" t="s">
        <v>3</v>
      </c>
      <c r="P2113" t="s">
        <v>5</v>
      </c>
      <c r="Q2113" t="s">
        <v>4941</v>
      </c>
      <c r="R2113" t="s">
        <v>3</v>
      </c>
      <c r="S2113" t="s">
        <v>3</v>
      </c>
      <c r="T2113" t="s">
        <v>3</v>
      </c>
      <c r="U2113" t="s">
        <v>3</v>
      </c>
      <c r="V2113" t="s">
        <v>3</v>
      </c>
      <c r="W2113" t="s">
        <v>68</v>
      </c>
      <c r="X2113" s="17">
        <v>43716</v>
      </c>
      <c r="Y2113" t="s">
        <v>4703</v>
      </c>
      <c r="Z2113" s="17">
        <v>43716</v>
      </c>
      <c r="AA2113" t="s">
        <v>3</v>
      </c>
      <c r="AB2113" t="s">
        <v>4703</v>
      </c>
    </row>
    <row r="2114" spans="1:28" hidden="1">
      <c r="A2114" t="s">
        <v>4888</v>
      </c>
      <c r="B2114" s="17">
        <v>43719</v>
      </c>
      <c r="C2114" s="17">
        <v>43719</v>
      </c>
      <c r="D2114" t="s">
        <v>0</v>
      </c>
      <c r="E2114" t="s">
        <v>1</v>
      </c>
      <c r="F2114" s="18">
        <v>441</v>
      </c>
      <c r="G2114" s="18">
        <v>441</v>
      </c>
      <c r="H2114" t="s">
        <v>2</v>
      </c>
      <c r="I2114" t="s">
        <v>8</v>
      </c>
      <c r="J2114" s="18">
        <v>36823.5</v>
      </c>
      <c r="K2114" t="s">
        <v>4754</v>
      </c>
      <c r="L2114" t="s">
        <v>9</v>
      </c>
      <c r="M2114" t="s">
        <v>4889</v>
      </c>
      <c r="N2114" t="s">
        <v>3</v>
      </c>
      <c r="O2114" t="s">
        <v>3</v>
      </c>
      <c r="P2114" t="s">
        <v>5</v>
      </c>
      <c r="Q2114" t="s">
        <v>4890</v>
      </c>
      <c r="R2114" t="s">
        <v>3</v>
      </c>
      <c r="S2114" t="s">
        <v>3</v>
      </c>
      <c r="T2114" t="s">
        <v>3</v>
      </c>
      <c r="U2114" t="s">
        <v>3</v>
      </c>
      <c r="V2114" t="s">
        <v>3</v>
      </c>
      <c r="W2114" t="s">
        <v>68</v>
      </c>
      <c r="X2114" s="17">
        <v>44012</v>
      </c>
      <c r="Y2114" t="s">
        <v>4137</v>
      </c>
      <c r="Z2114" s="17">
        <v>43719</v>
      </c>
      <c r="AA2114" t="s">
        <v>3</v>
      </c>
      <c r="AB2114" t="s">
        <v>4888</v>
      </c>
    </row>
    <row r="2115" spans="1:28" hidden="1">
      <c r="A2115" t="s">
        <v>4888</v>
      </c>
      <c r="B2115" s="17">
        <v>43719</v>
      </c>
      <c r="C2115" s="17">
        <v>43719</v>
      </c>
      <c r="D2115" t="s">
        <v>0</v>
      </c>
      <c r="E2115" t="s">
        <v>1</v>
      </c>
      <c r="F2115" s="18">
        <v>538</v>
      </c>
      <c r="G2115" s="18">
        <v>538</v>
      </c>
      <c r="H2115" t="s">
        <v>2</v>
      </c>
      <c r="I2115" t="s">
        <v>8</v>
      </c>
      <c r="J2115" s="18">
        <v>44923</v>
      </c>
      <c r="K2115" t="s">
        <v>4886</v>
      </c>
      <c r="L2115" t="s">
        <v>9</v>
      </c>
      <c r="M2115" t="s">
        <v>4889</v>
      </c>
      <c r="N2115" t="s">
        <v>3</v>
      </c>
      <c r="O2115" t="s">
        <v>3</v>
      </c>
      <c r="P2115" t="s">
        <v>5</v>
      </c>
      <c r="Q2115" t="s">
        <v>4890</v>
      </c>
      <c r="R2115" t="s">
        <v>3</v>
      </c>
      <c r="S2115" t="s">
        <v>3</v>
      </c>
      <c r="T2115" t="s">
        <v>3</v>
      </c>
      <c r="U2115" t="s">
        <v>3</v>
      </c>
      <c r="V2115" t="s">
        <v>3</v>
      </c>
      <c r="W2115" t="s">
        <v>68</v>
      </c>
      <c r="X2115" s="17"/>
      <c r="Y2115" t="s">
        <v>3</v>
      </c>
      <c r="Z2115" s="17">
        <v>43719</v>
      </c>
      <c r="AA2115" t="s">
        <v>3</v>
      </c>
      <c r="AB2115" t="s">
        <v>4888</v>
      </c>
    </row>
    <row r="2116" spans="1:28" hidden="1">
      <c r="A2116" t="s">
        <v>4891</v>
      </c>
      <c r="B2116" s="17">
        <v>43719</v>
      </c>
      <c r="C2116" s="17">
        <v>43719</v>
      </c>
      <c r="D2116" t="s">
        <v>0</v>
      </c>
      <c r="E2116" t="s">
        <v>1</v>
      </c>
      <c r="F2116" s="18">
        <v>24065</v>
      </c>
      <c r="G2116" s="18">
        <v>24065</v>
      </c>
      <c r="H2116" t="s">
        <v>2</v>
      </c>
      <c r="I2116" t="s">
        <v>10</v>
      </c>
      <c r="J2116" s="18">
        <v>2009427.5</v>
      </c>
      <c r="K2116" t="s">
        <v>4892</v>
      </c>
      <c r="L2116" t="s">
        <v>4</v>
      </c>
      <c r="M2116" t="s">
        <v>4893</v>
      </c>
      <c r="N2116" t="s">
        <v>3</v>
      </c>
      <c r="O2116" t="s">
        <v>3</v>
      </c>
      <c r="P2116" t="s">
        <v>5</v>
      </c>
      <c r="Q2116" t="s">
        <v>4894</v>
      </c>
      <c r="R2116" t="s">
        <v>3</v>
      </c>
      <c r="S2116" t="s">
        <v>3</v>
      </c>
      <c r="T2116" t="s">
        <v>3</v>
      </c>
      <c r="U2116" t="s">
        <v>3</v>
      </c>
      <c r="V2116" t="s">
        <v>3</v>
      </c>
      <c r="W2116" t="s">
        <v>68</v>
      </c>
      <c r="X2116" s="17"/>
      <c r="Y2116" t="s">
        <v>3</v>
      </c>
      <c r="Z2116" s="17">
        <v>43719</v>
      </c>
      <c r="AA2116" t="s">
        <v>3</v>
      </c>
      <c r="AB2116" t="s">
        <v>4891</v>
      </c>
    </row>
    <row r="2117" spans="1:28" hidden="1">
      <c r="A2117" t="s">
        <v>4891</v>
      </c>
      <c r="B2117" s="17">
        <v>43719</v>
      </c>
      <c r="C2117" s="17">
        <v>43719</v>
      </c>
      <c r="D2117" t="s">
        <v>0</v>
      </c>
      <c r="E2117" t="s">
        <v>1</v>
      </c>
      <c r="F2117" s="18">
        <v>7175.75</v>
      </c>
      <c r="G2117" s="18">
        <v>7175.75</v>
      </c>
      <c r="H2117" t="s">
        <v>2</v>
      </c>
      <c r="I2117" t="s">
        <v>10</v>
      </c>
      <c r="J2117" s="18">
        <v>599175.13</v>
      </c>
      <c r="K2117" t="s">
        <v>4761</v>
      </c>
      <c r="L2117" t="s">
        <v>4</v>
      </c>
      <c r="M2117" t="s">
        <v>4893</v>
      </c>
      <c r="N2117" t="s">
        <v>3</v>
      </c>
      <c r="O2117" t="s">
        <v>3</v>
      </c>
      <c r="P2117" t="s">
        <v>5</v>
      </c>
      <c r="Q2117" t="s">
        <v>4894</v>
      </c>
      <c r="R2117" t="s">
        <v>3</v>
      </c>
      <c r="S2117" t="s">
        <v>3</v>
      </c>
      <c r="T2117" t="s">
        <v>3</v>
      </c>
      <c r="U2117" t="s">
        <v>3</v>
      </c>
      <c r="V2117" t="s">
        <v>3</v>
      </c>
      <c r="W2117" t="s">
        <v>68</v>
      </c>
      <c r="X2117" s="17"/>
      <c r="Y2117" t="s">
        <v>3</v>
      </c>
      <c r="Z2117" s="17">
        <v>43719</v>
      </c>
      <c r="AA2117" t="s">
        <v>3</v>
      </c>
      <c r="AB2117" t="s">
        <v>4891</v>
      </c>
    </row>
    <row r="2118" spans="1:28" hidden="1">
      <c r="A2118" t="s">
        <v>4891</v>
      </c>
      <c r="B2118" s="17">
        <v>43719</v>
      </c>
      <c r="C2118" s="17">
        <v>43719</v>
      </c>
      <c r="D2118" t="s">
        <v>0</v>
      </c>
      <c r="E2118" t="s">
        <v>1</v>
      </c>
      <c r="F2118" s="18">
        <v>2845.02</v>
      </c>
      <c r="G2118" s="18">
        <v>2845.02</v>
      </c>
      <c r="H2118" t="s">
        <v>2</v>
      </c>
      <c r="I2118" t="s">
        <v>10</v>
      </c>
      <c r="J2118" s="18">
        <v>237559.17</v>
      </c>
      <c r="K2118" t="s">
        <v>4667</v>
      </c>
      <c r="L2118" t="s">
        <v>4</v>
      </c>
      <c r="M2118" t="s">
        <v>4893</v>
      </c>
      <c r="N2118" t="s">
        <v>3</v>
      </c>
      <c r="O2118" t="s">
        <v>3</v>
      </c>
      <c r="P2118" t="s">
        <v>5</v>
      </c>
      <c r="Q2118" t="s">
        <v>4894</v>
      </c>
      <c r="R2118" t="s">
        <v>3</v>
      </c>
      <c r="S2118" t="s">
        <v>3</v>
      </c>
      <c r="T2118" t="s">
        <v>3</v>
      </c>
      <c r="U2118" t="s">
        <v>3</v>
      </c>
      <c r="V2118" t="s">
        <v>3</v>
      </c>
      <c r="W2118" t="s">
        <v>68</v>
      </c>
      <c r="X2118" s="17"/>
      <c r="Y2118" t="s">
        <v>3</v>
      </c>
      <c r="Z2118" s="17">
        <v>43719</v>
      </c>
      <c r="AA2118" t="s">
        <v>3</v>
      </c>
      <c r="AB2118" t="s">
        <v>4891</v>
      </c>
    </row>
    <row r="2119" spans="1:28" hidden="1">
      <c r="A2119" t="s">
        <v>4891</v>
      </c>
      <c r="B2119" s="17">
        <v>43719</v>
      </c>
      <c r="C2119" s="17">
        <v>43719</v>
      </c>
      <c r="D2119" t="s">
        <v>0</v>
      </c>
      <c r="E2119" t="s">
        <v>1</v>
      </c>
      <c r="F2119" s="18">
        <v>189.68</v>
      </c>
      <c r="G2119" s="18">
        <v>189.68</v>
      </c>
      <c r="H2119" t="s">
        <v>2</v>
      </c>
      <c r="I2119" t="s">
        <v>10</v>
      </c>
      <c r="J2119" s="18">
        <v>15733.96</v>
      </c>
      <c r="K2119" t="s">
        <v>4895</v>
      </c>
      <c r="L2119" t="s">
        <v>4</v>
      </c>
      <c r="M2119" t="s">
        <v>4893</v>
      </c>
      <c r="N2119" t="s">
        <v>3</v>
      </c>
      <c r="O2119" t="s">
        <v>3</v>
      </c>
      <c r="P2119" t="s">
        <v>5</v>
      </c>
      <c r="Q2119" t="s">
        <v>4894</v>
      </c>
      <c r="R2119" t="s">
        <v>3</v>
      </c>
      <c r="S2119" t="s">
        <v>3</v>
      </c>
      <c r="T2119" t="s">
        <v>3</v>
      </c>
      <c r="U2119" t="s">
        <v>3</v>
      </c>
      <c r="V2119" t="s">
        <v>3</v>
      </c>
      <c r="W2119" t="s">
        <v>68</v>
      </c>
      <c r="X2119" s="17"/>
      <c r="Y2119" t="s">
        <v>3</v>
      </c>
      <c r="Z2119" s="17">
        <v>43719</v>
      </c>
      <c r="AA2119" t="s">
        <v>3</v>
      </c>
      <c r="AB2119" t="s">
        <v>4891</v>
      </c>
    </row>
    <row r="2120" spans="1:28" hidden="1">
      <c r="A2120" t="s">
        <v>4897</v>
      </c>
      <c r="B2120" s="17">
        <v>43719</v>
      </c>
      <c r="C2120" s="17">
        <v>43719</v>
      </c>
      <c r="D2120" t="s">
        <v>0</v>
      </c>
      <c r="E2120" t="s">
        <v>1</v>
      </c>
      <c r="F2120" s="18">
        <v>612.51</v>
      </c>
      <c r="G2120" s="18">
        <v>612.51</v>
      </c>
      <c r="H2120" t="s">
        <v>2</v>
      </c>
      <c r="I2120" t="s">
        <v>8</v>
      </c>
      <c r="J2120" s="18">
        <v>51144.59</v>
      </c>
      <c r="K2120" t="s">
        <v>4742</v>
      </c>
      <c r="L2120" t="s">
        <v>4</v>
      </c>
      <c r="M2120" t="s">
        <v>4898</v>
      </c>
      <c r="N2120" t="s">
        <v>3</v>
      </c>
      <c r="O2120" t="s">
        <v>3</v>
      </c>
      <c r="P2120" t="s">
        <v>5</v>
      </c>
      <c r="Q2120" t="s">
        <v>4899</v>
      </c>
      <c r="R2120" t="s">
        <v>3</v>
      </c>
      <c r="S2120" t="s">
        <v>3</v>
      </c>
      <c r="T2120" t="s">
        <v>3</v>
      </c>
      <c r="U2120" t="s">
        <v>3</v>
      </c>
      <c r="V2120" t="s">
        <v>3</v>
      </c>
      <c r="W2120" t="s">
        <v>68</v>
      </c>
      <c r="X2120" s="17"/>
      <c r="Y2120" t="s">
        <v>3</v>
      </c>
      <c r="Z2120" s="17">
        <v>43719</v>
      </c>
      <c r="AA2120" t="s">
        <v>3</v>
      </c>
      <c r="AB2120" t="s">
        <v>4897</v>
      </c>
    </row>
    <row r="2121" spans="1:28" hidden="1">
      <c r="A2121" t="s">
        <v>4900</v>
      </c>
      <c r="B2121" s="17">
        <v>43719</v>
      </c>
      <c r="C2121" s="17">
        <v>43719</v>
      </c>
      <c r="D2121" t="s">
        <v>0</v>
      </c>
      <c r="E2121" t="s">
        <v>1</v>
      </c>
      <c r="F2121" s="18">
        <v>4611.6000000000004</v>
      </c>
      <c r="G2121" s="18">
        <v>4611.6000000000004</v>
      </c>
      <c r="H2121" t="s">
        <v>2</v>
      </c>
      <c r="I2121" t="s">
        <v>8</v>
      </c>
      <c r="J2121" s="18">
        <v>385068.6</v>
      </c>
      <c r="K2121" t="s">
        <v>4882</v>
      </c>
      <c r="L2121" t="s">
        <v>4</v>
      </c>
      <c r="M2121" t="s">
        <v>4901</v>
      </c>
      <c r="N2121" t="s">
        <v>3</v>
      </c>
      <c r="O2121" t="s">
        <v>3</v>
      </c>
      <c r="P2121" t="s">
        <v>5</v>
      </c>
      <c r="Q2121" t="s">
        <v>4902</v>
      </c>
      <c r="R2121" t="s">
        <v>3</v>
      </c>
      <c r="S2121" t="s">
        <v>3</v>
      </c>
      <c r="T2121" t="s">
        <v>3</v>
      </c>
      <c r="U2121" t="s">
        <v>3</v>
      </c>
      <c r="V2121" t="s">
        <v>3</v>
      </c>
      <c r="W2121" t="s">
        <v>68</v>
      </c>
      <c r="X2121" s="17"/>
      <c r="Y2121" t="s">
        <v>3</v>
      </c>
      <c r="Z2121" s="17">
        <v>43719</v>
      </c>
      <c r="AA2121" t="s">
        <v>3</v>
      </c>
      <c r="AB2121" t="s">
        <v>4900</v>
      </c>
    </row>
    <row r="2122" spans="1:28" hidden="1">
      <c r="A2122" t="s">
        <v>4909</v>
      </c>
      <c r="B2122" s="17">
        <v>43719</v>
      </c>
      <c r="C2122" s="17">
        <v>43719</v>
      </c>
      <c r="D2122" t="s">
        <v>0</v>
      </c>
      <c r="E2122" t="s">
        <v>1</v>
      </c>
      <c r="F2122" s="18">
        <v>1116.08</v>
      </c>
      <c r="G2122" s="18">
        <v>1116.08</v>
      </c>
      <c r="H2122" t="s">
        <v>2</v>
      </c>
      <c r="I2122" t="s">
        <v>10</v>
      </c>
      <c r="J2122" s="18">
        <v>93192.68</v>
      </c>
      <c r="K2122" t="s">
        <v>4892</v>
      </c>
      <c r="L2122" t="s">
        <v>4</v>
      </c>
      <c r="M2122" t="s">
        <v>4910</v>
      </c>
      <c r="N2122" t="s">
        <v>3</v>
      </c>
      <c r="O2122" t="s">
        <v>3</v>
      </c>
      <c r="P2122" t="s">
        <v>5</v>
      </c>
      <c r="Q2122" t="s">
        <v>4911</v>
      </c>
      <c r="R2122" t="s">
        <v>3</v>
      </c>
      <c r="S2122" t="s">
        <v>3</v>
      </c>
      <c r="T2122" t="s">
        <v>3</v>
      </c>
      <c r="U2122" t="s">
        <v>3</v>
      </c>
      <c r="V2122" t="s">
        <v>3</v>
      </c>
      <c r="W2122" t="s">
        <v>68</v>
      </c>
      <c r="X2122" s="17"/>
      <c r="Y2122" t="s">
        <v>3</v>
      </c>
      <c r="Z2122" s="17">
        <v>43719</v>
      </c>
      <c r="AA2122" t="s">
        <v>3</v>
      </c>
      <c r="AB2122" t="s">
        <v>4909</v>
      </c>
    </row>
    <row r="2123" spans="1:28" hidden="1">
      <c r="A2123" t="s">
        <v>4903</v>
      </c>
      <c r="B2123" s="17">
        <v>43720</v>
      </c>
      <c r="C2123" s="17">
        <v>43720</v>
      </c>
      <c r="D2123" t="s">
        <v>0</v>
      </c>
      <c r="E2123" t="s">
        <v>1</v>
      </c>
      <c r="F2123" s="18">
        <v>29042</v>
      </c>
      <c r="G2123" s="18">
        <v>29042</v>
      </c>
      <c r="H2123" t="s">
        <v>2</v>
      </c>
      <c r="I2123" t="s">
        <v>8</v>
      </c>
      <c r="J2123" s="18">
        <v>2425007</v>
      </c>
      <c r="K2123" t="s">
        <v>4604</v>
      </c>
      <c r="L2123" t="s">
        <v>9</v>
      </c>
      <c r="M2123" t="s">
        <v>4904</v>
      </c>
      <c r="N2123" t="s">
        <v>3</v>
      </c>
      <c r="O2123" t="s">
        <v>3</v>
      </c>
      <c r="P2123" t="s">
        <v>5</v>
      </c>
      <c r="Q2123" t="s">
        <v>4905</v>
      </c>
      <c r="R2123" t="s">
        <v>3</v>
      </c>
      <c r="S2123" t="s">
        <v>3</v>
      </c>
      <c r="T2123" t="s">
        <v>3</v>
      </c>
      <c r="U2123" t="s">
        <v>3</v>
      </c>
      <c r="V2123" t="s">
        <v>3</v>
      </c>
      <c r="W2123" t="s">
        <v>68</v>
      </c>
      <c r="X2123" s="17"/>
      <c r="Y2123" t="s">
        <v>3</v>
      </c>
      <c r="Z2123" s="17">
        <v>43720</v>
      </c>
      <c r="AA2123" t="s">
        <v>3</v>
      </c>
      <c r="AB2123" t="s">
        <v>4903</v>
      </c>
    </row>
    <row r="2124" spans="1:28" hidden="1">
      <c r="A2124" t="s">
        <v>4903</v>
      </c>
      <c r="B2124" s="17">
        <v>43720</v>
      </c>
      <c r="C2124" s="17">
        <v>43720</v>
      </c>
      <c r="D2124" t="s">
        <v>0</v>
      </c>
      <c r="E2124" t="s">
        <v>1</v>
      </c>
      <c r="F2124" s="18">
        <v>116</v>
      </c>
      <c r="G2124" s="18">
        <v>116</v>
      </c>
      <c r="H2124" t="s">
        <v>2</v>
      </c>
      <c r="I2124" t="s">
        <v>8</v>
      </c>
      <c r="J2124" s="18">
        <v>9686</v>
      </c>
      <c r="K2124" t="s">
        <v>4886</v>
      </c>
      <c r="L2124" t="s">
        <v>9</v>
      </c>
      <c r="M2124" t="s">
        <v>4904</v>
      </c>
      <c r="N2124" t="s">
        <v>3</v>
      </c>
      <c r="O2124" t="s">
        <v>3</v>
      </c>
      <c r="P2124" t="s">
        <v>5</v>
      </c>
      <c r="Q2124" t="s">
        <v>4905</v>
      </c>
      <c r="R2124" t="s">
        <v>3</v>
      </c>
      <c r="S2124" t="s">
        <v>3</v>
      </c>
      <c r="T2124" t="s">
        <v>3</v>
      </c>
      <c r="U2124" t="s">
        <v>3</v>
      </c>
      <c r="V2124" t="s">
        <v>3</v>
      </c>
      <c r="W2124" t="s">
        <v>68</v>
      </c>
      <c r="X2124" s="17"/>
      <c r="Y2124" t="s">
        <v>3</v>
      </c>
      <c r="Z2124" s="17">
        <v>43720</v>
      </c>
      <c r="AA2124" t="s">
        <v>3</v>
      </c>
      <c r="AB2124" t="s">
        <v>4903</v>
      </c>
    </row>
    <row r="2125" spans="1:28" hidden="1">
      <c r="A2125" t="s">
        <v>4906</v>
      </c>
      <c r="B2125" s="17">
        <v>43720</v>
      </c>
      <c r="C2125" s="17">
        <v>43720</v>
      </c>
      <c r="D2125" t="s">
        <v>0</v>
      </c>
      <c r="E2125" t="s">
        <v>1</v>
      </c>
      <c r="F2125" s="18">
        <v>30040.65</v>
      </c>
      <c r="G2125" s="18">
        <v>30040.65</v>
      </c>
      <c r="H2125" t="s">
        <v>2</v>
      </c>
      <c r="I2125" t="s">
        <v>8</v>
      </c>
      <c r="J2125" s="18">
        <v>2508394.2799999998</v>
      </c>
      <c r="K2125" t="s">
        <v>4882</v>
      </c>
      <c r="L2125" t="s">
        <v>4</v>
      </c>
      <c r="M2125" t="s">
        <v>4907</v>
      </c>
      <c r="N2125" t="s">
        <v>3</v>
      </c>
      <c r="O2125" t="s">
        <v>3</v>
      </c>
      <c r="P2125" t="s">
        <v>5</v>
      </c>
      <c r="Q2125" t="s">
        <v>4908</v>
      </c>
      <c r="R2125" t="s">
        <v>3</v>
      </c>
      <c r="S2125" t="s">
        <v>3</v>
      </c>
      <c r="T2125" t="s">
        <v>3</v>
      </c>
      <c r="U2125" t="s">
        <v>3</v>
      </c>
      <c r="V2125" t="s">
        <v>3</v>
      </c>
      <c r="W2125" t="s">
        <v>68</v>
      </c>
      <c r="X2125" s="17"/>
      <c r="Y2125" t="s">
        <v>3</v>
      </c>
      <c r="Z2125" s="17">
        <v>43720</v>
      </c>
      <c r="AA2125" t="s">
        <v>3</v>
      </c>
      <c r="AB2125" t="s">
        <v>4906</v>
      </c>
    </row>
    <row r="2126" spans="1:28" hidden="1">
      <c r="A2126" t="s">
        <v>4906</v>
      </c>
      <c r="B2126" s="17">
        <v>43720</v>
      </c>
      <c r="C2126" s="17">
        <v>43720</v>
      </c>
      <c r="D2126" t="s">
        <v>0</v>
      </c>
      <c r="E2126" t="s">
        <v>1</v>
      </c>
      <c r="F2126" s="18">
        <v>6465.41</v>
      </c>
      <c r="G2126" s="18">
        <v>6465.41</v>
      </c>
      <c r="H2126" t="s">
        <v>2</v>
      </c>
      <c r="I2126" t="s">
        <v>8</v>
      </c>
      <c r="J2126" s="18">
        <v>539861.74</v>
      </c>
      <c r="K2126" t="s">
        <v>4742</v>
      </c>
      <c r="L2126" t="s">
        <v>4</v>
      </c>
      <c r="M2126" t="s">
        <v>4907</v>
      </c>
      <c r="N2126" t="s">
        <v>3</v>
      </c>
      <c r="O2126" t="s">
        <v>3</v>
      </c>
      <c r="P2126" t="s">
        <v>5</v>
      </c>
      <c r="Q2126" t="s">
        <v>4908</v>
      </c>
      <c r="R2126" t="s">
        <v>3</v>
      </c>
      <c r="S2126" t="s">
        <v>3</v>
      </c>
      <c r="T2126" t="s">
        <v>3</v>
      </c>
      <c r="U2126" t="s">
        <v>3</v>
      </c>
      <c r="V2126" t="s">
        <v>3</v>
      </c>
      <c r="W2126" t="s">
        <v>68</v>
      </c>
      <c r="X2126" s="17"/>
      <c r="Y2126" t="s">
        <v>3</v>
      </c>
      <c r="Z2126" s="17">
        <v>43720</v>
      </c>
      <c r="AA2126" t="s">
        <v>3</v>
      </c>
      <c r="AB2126" t="s">
        <v>4906</v>
      </c>
    </row>
    <row r="2127" spans="1:28" hidden="1">
      <c r="A2127" t="s">
        <v>4912</v>
      </c>
      <c r="B2127" s="17">
        <v>43723</v>
      </c>
      <c r="C2127" s="17">
        <v>43723</v>
      </c>
      <c r="D2127" t="s">
        <v>0</v>
      </c>
      <c r="E2127" t="s">
        <v>1</v>
      </c>
      <c r="F2127" s="18">
        <v>1361</v>
      </c>
      <c r="G2127" s="18">
        <v>1361</v>
      </c>
      <c r="H2127" t="s">
        <v>2</v>
      </c>
      <c r="I2127" t="s">
        <v>10</v>
      </c>
      <c r="J2127" s="18">
        <v>113643.5</v>
      </c>
      <c r="K2127" t="s">
        <v>4666</v>
      </c>
      <c r="L2127" t="s">
        <v>4</v>
      </c>
      <c r="M2127" t="s">
        <v>4913</v>
      </c>
      <c r="N2127" t="s">
        <v>3</v>
      </c>
      <c r="O2127" t="s">
        <v>3</v>
      </c>
      <c r="P2127" t="s">
        <v>5</v>
      </c>
      <c r="Q2127" t="s">
        <v>4914</v>
      </c>
      <c r="R2127" t="s">
        <v>3</v>
      </c>
      <c r="S2127" t="s">
        <v>3</v>
      </c>
      <c r="T2127" t="s">
        <v>3</v>
      </c>
      <c r="U2127" t="s">
        <v>3</v>
      </c>
      <c r="V2127" t="s">
        <v>3</v>
      </c>
      <c r="W2127" t="s">
        <v>68</v>
      </c>
      <c r="X2127" s="17"/>
      <c r="Y2127" t="s">
        <v>3</v>
      </c>
      <c r="Z2127" s="17">
        <v>43723</v>
      </c>
      <c r="AA2127" t="s">
        <v>3</v>
      </c>
      <c r="AB2127" t="s">
        <v>4912</v>
      </c>
    </row>
    <row r="2128" spans="1:28" hidden="1">
      <c r="A2128" t="s">
        <v>4912</v>
      </c>
      <c r="B2128" s="17">
        <v>43723</v>
      </c>
      <c r="C2128" s="17">
        <v>43723</v>
      </c>
      <c r="D2128" t="s">
        <v>0</v>
      </c>
      <c r="E2128" t="s">
        <v>1</v>
      </c>
      <c r="F2128" s="18">
        <v>82735</v>
      </c>
      <c r="G2128" s="18">
        <v>82735</v>
      </c>
      <c r="H2128" t="s">
        <v>2</v>
      </c>
      <c r="I2128" t="s">
        <v>10</v>
      </c>
      <c r="J2128" s="18">
        <v>6908372.5</v>
      </c>
      <c r="K2128" t="s">
        <v>4892</v>
      </c>
      <c r="L2128" t="s">
        <v>4</v>
      </c>
      <c r="M2128" t="s">
        <v>4913</v>
      </c>
      <c r="N2128" t="s">
        <v>3</v>
      </c>
      <c r="O2128" t="s">
        <v>3</v>
      </c>
      <c r="P2128" t="s">
        <v>5</v>
      </c>
      <c r="Q2128" t="s">
        <v>4914</v>
      </c>
      <c r="R2128" t="s">
        <v>3</v>
      </c>
      <c r="S2128" t="s">
        <v>3</v>
      </c>
      <c r="T2128" t="s">
        <v>3</v>
      </c>
      <c r="U2128" t="s">
        <v>3</v>
      </c>
      <c r="V2128" t="s">
        <v>3</v>
      </c>
      <c r="W2128" t="s">
        <v>68</v>
      </c>
      <c r="X2128" s="17"/>
      <c r="Y2128" t="s">
        <v>3</v>
      </c>
      <c r="Z2128" s="17">
        <v>43723</v>
      </c>
      <c r="AA2128" t="s">
        <v>3</v>
      </c>
      <c r="AB2128" t="s">
        <v>4912</v>
      </c>
    </row>
    <row r="2129" spans="1:28" hidden="1">
      <c r="A2129" t="s">
        <v>4912</v>
      </c>
      <c r="B2129" s="17">
        <v>43723</v>
      </c>
      <c r="C2129" s="17">
        <v>43723</v>
      </c>
      <c r="D2129" t="s">
        <v>0</v>
      </c>
      <c r="E2129" t="s">
        <v>1</v>
      </c>
      <c r="F2129" s="18">
        <v>5950</v>
      </c>
      <c r="G2129" s="18">
        <v>5950</v>
      </c>
      <c r="H2129" t="s">
        <v>2</v>
      </c>
      <c r="I2129" t="s">
        <v>10</v>
      </c>
      <c r="J2129" s="18">
        <v>496825</v>
      </c>
      <c r="K2129" t="s">
        <v>4761</v>
      </c>
      <c r="L2129" t="s">
        <v>4</v>
      </c>
      <c r="M2129" t="s">
        <v>4913</v>
      </c>
      <c r="N2129" t="s">
        <v>3</v>
      </c>
      <c r="O2129" t="s">
        <v>3</v>
      </c>
      <c r="P2129" t="s">
        <v>5</v>
      </c>
      <c r="Q2129" t="s">
        <v>4914</v>
      </c>
      <c r="R2129" t="s">
        <v>3</v>
      </c>
      <c r="S2129" t="s">
        <v>3</v>
      </c>
      <c r="T2129" t="s">
        <v>3</v>
      </c>
      <c r="U2129" t="s">
        <v>3</v>
      </c>
      <c r="V2129" t="s">
        <v>3</v>
      </c>
      <c r="W2129" t="s">
        <v>68</v>
      </c>
      <c r="X2129" s="17"/>
      <c r="Y2129" t="s">
        <v>3</v>
      </c>
      <c r="Z2129" s="17">
        <v>43723</v>
      </c>
      <c r="AA2129" t="s">
        <v>3</v>
      </c>
      <c r="AB2129" t="s">
        <v>4912</v>
      </c>
    </row>
    <row r="2130" spans="1:28" hidden="1">
      <c r="A2130" t="s">
        <v>4912</v>
      </c>
      <c r="B2130" s="17">
        <v>43723</v>
      </c>
      <c r="C2130" s="17">
        <v>43723</v>
      </c>
      <c r="D2130" t="s">
        <v>0</v>
      </c>
      <c r="E2130" t="s">
        <v>1</v>
      </c>
      <c r="F2130" s="18">
        <v>1985</v>
      </c>
      <c r="G2130" s="18">
        <v>1985</v>
      </c>
      <c r="H2130" t="s">
        <v>2</v>
      </c>
      <c r="I2130" t="s">
        <v>10</v>
      </c>
      <c r="J2130" s="18">
        <v>165747.5</v>
      </c>
      <c r="K2130" t="s">
        <v>4667</v>
      </c>
      <c r="L2130" t="s">
        <v>4</v>
      </c>
      <c r="M2130" t="s">
        <v>4913</v>
      </c>
      <c r="N2130" t="s">
        <v>3</v>
      </c>
      <c r="O2130" t="s">
        <v>3</v>
      </c>
      <c r="P2130" t="s">
        <v>5</v>
      </c>
      <c r="Q2130" t="s">
        <v>4914</v>
      </c>
      <c r="R2130" t="s">
        <v>3</v>
      </c>
      <c r="S2130" t="s">
        <v>3</v>
      </c>
      <c r="T2130" t="s">
        <v>3</v>
      </c>
      <c r="U2130" t="s">
        <v>3</v>
      </c>
      <c r="V2130" t="s">
        <v>3</v>
      </c>
      <c r="W2130" t="s">
        <v>68</v>
      </c>
      <c r="X2130" s="17"/>
      <c r="Y2130" t="s">
        <v>3</v>
      </c>
      <c r="Z2130" s="17">
        <v>43723</v>
      </c>
      <c r="AA2130" t="s">
        <v>3</v>
      </c>
      <c r="AB2130" t="s">
        <v>4912</v>
      </c>
    </row>
    <row r="2131" spans="1:28" hidden="1">
      <c r="A2131" t="s">
        <v>4915</v>
      </c>
      <c r="B2131" s="17">
        <v>43723</v>
      </c>
      <c r="C2131" s="17">
        <v>43723</v>
      </c>
      <c r="D2131" t="s">
        <v>0</v>
      </c>
      <c r="E2131" t="s">
        <v>1</v>
      </c>
      <c r="F2131" s="18">
        <v>23279.38</v>
      </c>
      <c r="G2131" s="18">
        <v>23279.38</v>
      </c>
      <c r="H2131" t="s">
        <v>2</v>
      </c>
      <c r="I2131" t="s">
        <v>10</v>
      </c>
      <c r="J2131" s="18">
        <v>1943828.23</v>
      </c>
      <c r="K2131" t="s">
        <v>4892</v>
      </c>
      <c r="L2131" t="s">
        <v>4</v>
      </c>
      <c r="M2131" t="s">
        <v>4916</v>
      </c>
      <c r="N2131" t="s">
        <v>3</v>
      </c>
      <c r="O2131" t="s">
        <v>3</v>
      </c>
      <c r="P2131" t="s">
        <v>5</v>
      </c>
      <c r="Q2131" t="s">
        <v>4917</v>
      </c>
      <c r="R2131" t="s">
        <v>3</v>
      </c>
      <c r="S2131" t="s">
        <v>3</v>
      </c>
      <c r="T2131" t="s">
        <v>3</v>
      </c>
      <c r="U2131" t="s">
        <v>3</v>
      </c>
      <c r="V2131" t="s">
        <v>3</v>
      </c>
      <c r="W2131" t="s">
        <v>68</v>
      </c>
      <c r="X2131" s="17"/>
      <c r="Y2131" t="s">
        <v>3</v>
      </c>
      <c r="Z2131" s="17">
        <v>43723</v>
      </c>
      <c r="AA2131" t="s">
        <v>3</v>
      </c>
      <c r="AB2131" t="s">
        <v>4915</v>
      </c>
    </row>
    <row r="2132" spans="1:28" hidden="1">
      <c r="A2132" t="s">
        <v>4915</v>
      </c>
      <c r="B2132" s="17">
        <v>43723</v>
      </c>
      <c r="C2132" s="17">
        <v>43723</v>
      </c>
      <c r="D2132" t="s">
        <v>0</v>
      </c>
      <c r="E2132" t="s">
        <v>1</v>
      </c>
      <c r="F2132" s="18">
        <v>2123.5700000000002</v>
      </c>
      <c r="G2132" s="18">
        <v>2123.5700000000002</v>
      </c>
      <c r="H2132" t="s">
        <v>2</v>
      </c>
      <c r="I2132" t="s">
        <v>10</v>
      </c>
      <c r="J2132" s="18">
        <v>177318.1</v>
      </c>
      <c r="K2132" t="s">
        <v>4761</v>
      </c>
      <c r="L2132" t="s">
        <v>4</v>
      </c>
      <c r="M2132" t="s">
        <v>4916</v>
      </c>
      <c r="N2132" t="s">
        <v>3</v>
      </c>
      <c r="O2132" t="s">
        <v>3</v>
      </c>
      <c r="P2132" t="s">
        <v>5</v>
      </c>
      <c r="Q2132" t="s">
        <v>4917</v>
      </c>
      <c r="R2132" t="s">
        <v>3</v>
      </c>
      <c r="S2132" t="s">
        <v>3</v>
      </c>
      <c r="T2132" t="s">
        <v>3</v>
      </c>
      <c r="U2132" t="s">
        <v>3</v>
      </c>
      <c r="V2132" t="s">
        <v>3</v>
      </c>
      <c r="W2132" t="s">
        <v>68</v>
      </c>
      <c r="X2132" s="17"/>
      <c r="Y2132" t="s">
        <v>3</v>
      </c>
      <c r="Z2132" s="17">
        <v>43723</v>
      </c>
      <c r="AA2132" t="s">
        <v>3</v>
      </c>
      <c r="AB2132" t="s">
        <v>4915</v>
      </c>
    </row>
    <row r="2133" spans="1:28" hidden="1">
      <c r="A2133" t="s">
        <v>4918</v>
      </c>
      <c r="B2133" s="17">
        <v>43723</v>
      </c>
      <c r="C2133" s="17">
        <v>43723</v>
      </c>
      <c r="D2133" t="s">
        <v>0</v>
      </c>
      <c r="E2133" t="s">
        <v>1</v>
      </c>
      <c r="F2133" s="18">
        <v>176</v>
      </c>
      <c r="G2133" s="18">
        <v>176</v>
      </c>
      <c r="H2133" t="s">
        <v>2</v>
      </c>
      <c r="I2133" t="s">
        <v>10</v>
      </c>
      <c r="J2133" s="18">
        <v>14696</v>
      </c>
      <c r="K2133" t="s">
        <v>4919</v>
      </c>
      <c r="L2133" t="s">
        <v>9</v>
      </c>
      <c r="M2133" t="s">
        <v>4920</v>
      </c>
      <c r="N2133" t="s">
        <v>3</v>
      </c>
      <c r="O2133" t="s">
        <v>3</v>
      </c>
      <c r="P2133" t="s">
        <v>5</v>
      </c>
      <c r="Q2133" t="s">
        <v>4921</v>
      </c>
      <c r="R2133" t="s">
        <v>3</v>
      </c>
      <c r="S2133" t="s">
        <v>3</v>
      </c>
      <c r="T2133" t="s">
        <v>3</v>
      </c>
      <c r="U2133" t="s">
        <v>3</v>
      </c>
      <c r="V2133" t="s">
        <v>3</v>
      </c>
      <c r="W2133" t="s">
        <v>68</v>
      </c>
      <c r="X2133" s="17"/>
      <c r="Y2133" t="s">
        <v>3</v>
      </c>
      <c r="Z2133" s="17">
        <v>43723</v>
      </c>
      <c r="AA2133" t="s">
        <v>3</v>
      </c>
      <c r="AB2133" t="s">
        <v>4918</v>
      </c>
    </row>
    <row r="2134" spans="1:28" hidden="1">
      <c r="A2134" t="s">
        <v>4922</v>
      </c>
      <c r="B2134" s="17">
        <v>43723</v>
      </c>
      <c r="C2134" s="17">
        <v>43723</v>
      </c>
      <c r="D2134" t="s">
        <v>0</v>
      </c>
      <c r="E2134" t="s">
        <v>1</v>
      </c>
      <c r="F2134" s="18">
        <v>6390</v>
      </c>
      <c r="G2134" s="18">
        <v>6390</v>
      </c>
      <c r="H2134" t="s">
        <v>2</v>
      </c>
      <c r="I2134" t="s">
        <v>8</v>
      </c>
      <c r="J2134" s="18">
        <v>533565</v>
      </c>
      <c r="K2134" t="s">
        <v>4754</v>
      </c>
      <c r="L2134" t="s">
        <v>9</v>
      </c>
      <c r="M2134" t="s">
        <v>4923</v>
      </c>
      <c r="N2134" t="s">
        <v>3</v>
      </c>
      <c r="O2134" t="s">
        <v>3</v>
      </c>
      <c r="P2134" t="s">
        <v>5</v>
      </c>
      <c r="Q2134" t="s">
        <v>4924</v>
      </c>
      <c r="R2134" t="s">
        <v>3</v>
      </c>
      <c r="S2134" t="s">
        <v>3</v>
      </c>
      <c r="T2134" t="s">
        <v>3</v>
      </c>
      <c r="U2134" t="s">
        <v>3</v>
      </c>
      <c r="V2134" t="s">
        <v>3</v>
      </c>
      <c r="W2134" t="s">
        <v>68</v>
      </c>
      <c r="X2134" s="17">
        <v>44012</v>
      </c>
      <c r="Y2134" t="s">
        <v>4137</v>
      </c>
      <c r="Z2134" s="17">
        <v>43723</v>
      </c>
      <c r="AA2134" t="s">
        <v>3</v>
      </c>
      <c r="AB2134" t="s">
        <v>4922</v>
      </c>
    </row>
    <row r="2135" spans="1:28" hidden="1">
      <c r="A2135" t="s">
        <v>4922</v>
      </c>
      <c r="B2135" s="17">
        <v>43723</v>
      </c>
      <c r="C2135" s="17">
        <v>43723</v>
      </c>
      <c r="D2135" t="s">
        <v>0</v>
      </c>
      <c r="E2135" t="s">
        <v>1</v>
      </c>
      <c r="F2135" s="18">
        <v>8888</v>
      </c>
      <c r="G2135" s="18">
        <v>8888</v>
      </c>
      <c r="H2135" t="s">
        <v>2</v>
      </c>
      <c r="I2135" t="s">
        <v>8</v>
      </c>
      <c r="J2135" s="18">
        <v>742148</v>
      </c>
      <c r="K2135" t="s">
        <v>4886</v>
      </c>
      <c r="L2135" t="s">
        <v>9</v>
      </c>
      <c r="M2135" t="s">
        <v>4923</v>
      </c>
      <c r="N2135" t="s">
        <v>3</v>
      </c>
      <c r="O2135" t="s">
        <v>3</v>
      </c>
      <c r="P2135" t="s">
        <v>5</v>
      </c>
      <c r="Q2135" t="s">
        <v>4924</v>
      </c>
      <c r="R2135" t="s">
        <v>3</v>
      </c>
      <c r="S2135" t="s">
        <v>3</v>
      </c>
      <c r="T2135" t="s">
        <v>3</v>
      </c>
      <c r="U2135" t="s">
        <v>3</v>
      </c>
      <c r="V2135" t="s">
        <v>3</v>
      </c>
      <c r="W2135" t="s">
        <v>68</v>
      </c>
      <c r="X2135" s="17"/>
      <c r="Y2135" t="s">
        <v>3</v>
      </c>
      <c r="Z2135" s="17">
        <v>43723</v>
      </c>
      <c r="AA2135" t="s">
        <v>3</v>
      </c>
      <c r="AB2135" t="s">
        <v>4922</v>
      </c>
    </row>
    <row r="2136" spans="1:28" hidden="1">
      <c r="A2136" t="s">
        <v>4925</v>
      </c>
      <c r="B2136" s="17">
        <v>43723</v>
      </c>
      <c r="C2136" s="17">
        <v>43723</v>
      </c>
      <c r="D2136" t="s">
        <v>0</v>
      </c>
      <c r="E2136" t="s">
        <v>1</v>
      </c>
      <c r="F2136" s="18">
        <v>39212</v>
      </c>
      <c r="G2136" s="18">
        <v>39212</v>
      </c>
      <c r="H2136" t="s">
        <v>2</v>
      </c>
      <c r="I2136" t="s">
        <v>8</v>
      </c>
      <c r="J2136" s="18">
        <v>3274202</v>
      </c>
      <c r="K2136" t="s">
        <v>4754</v>
      </c>
      <c r="L2136" t="s">
        <v>9</v>
      </c>
      <c r="M2136" t="s">
        <v>4926</v>
      </c>
      <c r="N2136" t="s">
        <v>3</v>
      </c>
      <c r="O2136" t="s">
        <v>3</v>
      </c>
      <c r="P2136" t="s">
        <v>5</v>
      </c>
      <c r="Q2136" t="s">
        <v>4927</v>
      </c>
      <c r="R2136" t="s">
        <v>3</v>
      </c>
      <c r="S2136" t="s">
        <v>3</v>
      </c>
      <c r="T2136" t="s">
        <v>3</v>
      </c>
      <c r="U2136" t="s">
        <v>3</v>
      </c>
      <c r="V2136" t="s">
        <v>3</v>
      </c>
      <c r="W2136" t="s">
        <v>68</v>
      </c>
      <c r="X2136" s="17">
        <v>44012</v>
      </c>
      <c r="Y2136" t="s">
        <v>4137</v>
      </c>
      <c r="Z2136" s="17">
        <v>43723</v>
      </c>
      <c r="AA2136" t="s">
        <v>3</v>
      </c>
      <c r="AB2136" t="s">
        <v>4925</v>
      </c>
    </row>
    <row r="2137" spans="1:28" hidden="1">
      <c r="A2137" t="s">
        <v>4925</v>
      </c>
      <c r="B2137" s="17">
        <v>43723</v>
      </c>
      <c r="C2137" s="17">
        <v>43723</v>
      </c>
      <c r="D2137" t="s">
        <v>0</v>
      </c>
      <c r="E2137" t="s">
        <v>1</v>
      </c>
      <c r="F2137" s="18">
        <v>26940</v>
      </c>
      <c r="G2137" s="18">
        <v>26940</v>
      </c>
      <c r="H2137" t="s">
        <v>2</v>
      </c>
      <c r="I2137" t="s">
        <v>8</v>
      </c>
      <c r="J2137" s="18">
        <v>2249490</v>
      </c>
      <c r="K2137" t="s">
        <v>4886</v>
      </c>
      <c r="L2137" t="s">
        <v>9</v>
      </c>
      <c r="M2137" t="s">
        <v>4926</v>
      </c>
      <c r="N2137" t="s">
        <v>3</v>
      </c>
      <c r="O2137" t="s">
        <v>3</v>
      </c>
      <c r="P2137" t="s">
        <v>5</v>
      </c>
      <c r="Q2137" t="s">
        <v>4927</v>
      </c>
      <c r="R2137" t="s">
        <v>3</v>
      </c>
      <c r="S2137" t="s">
        <v>3</v>
      </c>
      <c r="T2137" t="s">
        <v>3</v>
      </c>
      <c r="U2137" t="s">
        <v>3</v>
      </c>
      <c r="V2137" t="s">
        <v>3</v>
      </c>
      <c r="W2137" t="s">
        <v>68</v>
      </c>
      <c r="X2137" s="17"/>
      <c r="Y2137" t="s">
        <v>3</v>
      </c>
      <c r="Z2137" s="17">
        <v>43723</v>
      </c>
      <c r="AA2137" t="s">
        <v>3</v>
      </c>
      <c r="AB2137" t="s">
        <v>4925</v>
      </c>
    </row>
    <row r="2138" spans="1:28" hidden="1">
      <c r="A2138" t="s">
        <v>4928</v>
      </c>
      <c r="B2138" s="17">
        <v>43723</v>
      </c>
      <c r="C2138" s="17">
        <v>43723</v>
      </c>
      <c r="D2138" t="s">
        <v>0</v>
      </c>
      <c r="E2138" t="s">
        <v>1</v>
      </c>
      <c r="F2138" s="18">
        <v>74778</v>
      </c>
      <c r="G2138" s="18">
        <v>74778</v>
      </c>
      <c r="H2138" t="s">
        <v>2</v>
      </c>
      <c r="I2138" t="s">
        <v>8</v>
      </c>
      <c r="J2138" s="18">
        <v>6243963</v>
      </c>
      <c r="K2138" t="s">
        <v>4754</v>
      </c>
      <c r="L2138" t="s">
        <v>9</v>
      </c>
      <c r="M2138" t="s">
        <v>4929</v>
      </c>
      <c r="N2138" t="s">
        <v>3</v>
      </c>
      <c r="O2138" t="s">
        <v>3</v>
      </c>
      <c r="P2138" t="s">
        <v>5</v>
      </c>
      <c r="Q2138" t="s">
        <v>4930</v>
      </c>
      <c r="R2138" t="s">
        <v>3</v>
      </c>
      <c r="S2138" t="s">
        <v>3</v>
      </c>
      <c r="T2138" t="s">
        <v>3</v>
      </c>
      <c r="U2138" t="s">
        <v>3</v>
      </c>
      <c r="V2138" t="s">
        <v>3</v>
      </c>
      <c r="W2138" t="s">
        <v>68</v>
      </c>
      <c r="X2138" s="17">
        <v>44012</v>
      </c>
      <c r="Y2138" t="s">
        <v>4137</v>
      </c>
      <c r="Z2138" s="17">
        <v>43723</v>
      </c>
      <c r="AA2138" t="s">
        <v>3</v>
      </c>
      <c r="AB2138" t="s">
        <v>4928</v>
      </c>
    </row>
    <row r="2139" spans="1:28" hidden="1">
      <c r="A2139" t="s">
        <v>4928</v>
      </c>
      <c r="B2139" s="17">
        <v>43723</v>
      </c>
      <c r="C2139" s="17">
        <v>43723</v>
      </c>
      <c r="D2139" t="s">
        <v>0</v>
      </c>
      <c r="E2139" t="s">
        <v>1</v>
      </c>
      <c r="F2139" s="18">
        <v>33100</v>
      </c>
      <c r="G2139" s="18">
        <v>33100</v>
      </c>
      <c r="H2139" t="s">
        <v>2</v>
      </c>
      <c r="I2139" t="s">
        <v>8</v>
      </c>
      <c r="J2139" s="18">
        <v>2763850</v>
      </c>
      <c r="K2139" t="s">
        <v>4886</v>
      </c>
      <c r="L2139" t="s">
        <v>9</v>
      </c>
      <c r="M2139" t="s">
        <v>4929</v>
      </c>
      <c r="N2139" t="s">
        <v>3</v>
      </c>
      <c r="O2139" t="s">
        <v>3</v>
      </c>
      <c r="P2139" t="s">
        <v>5</v>
      </c>
      <c r="Q2139" t="s">
        <v>4930</v>
      </c>
      <c r="R2139" t="s">
        <v>3</v>
      </c>
      <c r="S2139" t="s">
        <v>3</v>
      </c>
      <c r="T2139" t="s">
        <v>3</v>
      </c>
      <c r="U2139" t="s">
        <v>3</v>
      </c>
      <c r="V2139" t="s">
        <v>3</v>
      </c>
      <c r="W2139" t="s">
        <v>68</v>
      </c>
      <c r="X2139" s="17"/>
      <c r="Y2139" t="s">
        <v>3</v>
      </c>
      <c r="Z2139" s="17">
        <v>43723</v>
      </c>
      <c r="AA2139" t="s">
        <v>3</v>
      </c>
      <c r="AB2139" t="s">
        <v>4928</v>
      </c>
    </row>
    <row r="2140" spans="1:28" hidden="1">
      <c r="A2140" t="s">
        <v>4928</v>
      </c>
      <c r="B2140" s="17">
        <v>43723</v>
      </c>
      <c r="C2140" s="17">
        <v>43723</v>
      </c>
      <c r="D2140" t="s">
        <v>0</v>
      </c>
      <c r="E2140" t="s">
        <v>1</v>
      </c>
      <c r="F2140" s="18">
        <v>1226</v>
      </c>
      <c r="G2140" s="18">
        <v>1226</v>
      </c>
      <c r="H2140" t="s">
        <v>2</v>
      </c>
      <c r="I2140" t="s">
        <v>8</v>
      </c>
      <c r="J2140" s="18">
        <v>102346.48</v>
      </c>
      <c r="K2140" t="s">
        <v>4607</v>
      </c>
      <c r="L2140" t="s">
        <v>9</v>
      </c>
      <c r="M2140" t="s">
        <v>4929</v>
      </c>
      <c r="N2140" t="s">
        <v>3</v>
      </c>
      <c r="O2140" t="s">
        <v>3</v>
      </c>
      <c r="P2140" t="s">
        <v>5</v>
      </c>
      <c r="Q2140" t="s">
        <v>4930</v>
      </c>
      <c r="R2140" t="s">
        <v>3</v>
      </c>
      <c r="S2140" t="s">
        <v>3</v>
      </c>
      <c r="T2140" t="s">
        <v>3</v>
      </c>
      <c r="U2140" t="s">
        <v>3</v>
      </c>
      <c r="V2140" t="s">
        <v>3</v>
      </c>
      <c r="W2140" t="s">
        <v>68</v>
      </c>
      <c r="X2140" s="17">
        <v>43769</v>
      </c>
      <c r="Y2140" t="s">
        <v>4160</v>
      </c>
      <c r="Z2140" s="17">
        <v>43723</v>
      </c>
      <c r="AA2140" t="s">
        <v>3</v>
      </c>
      <c r="AB2140" t="s">
        <v>4928</v>
      </c>
    </row>
    <row r="2141" spans="1:28" hidden="1">
      <c r="A2141" t="s">
        <v>4928</v>
      </c>
      <c r="B2141" s="17">
        <v>43723</v>
      </c>
      <c r="C2141" s="17">
        <v>43723</v>
      </c>
      <c r="D2141" t="s">
        <v>0</v>
      </c>
      <c r="E2141" t="s">
        <v>1</v>
      </c>
      <c r="F2141" s="18">
        <v>2178</v>
      </c>
      <c r="G2141" s="18">
        <v>2178</v>
      </c>
      <c r="H2141" t="s">
        <v>2</v>
      </c>
      <c r="I2141" t="s">
        <v>8</v>
      </c>
      <c r="J2141" s="18">
        <v>181819.44</v>
      </c>
      <c r="K2141" t="s">
        <v>4608</v>
      </c>
      <c r="L2141" t="s">
        <v>9</v>
      </c>
      <c r="M2141" t="s">
        <v>4929</v>
      </c>
      <c r="N2141" t="s">
        <v>3</v>
      </c>
      <c r="O2141" t="s">
        <v>3</v>
      </c>
      <c r="P2141" t="s">
        <v>5</v>
      </c>
      <c r="Q2141" t="s">
        <v>4930</v>
      </c>
      <c r="R2141" t="s">
        <v>3</v>
      </c>
      <c r="S2141" t="s">
        <v>3</v>
      </c>
      <c r="T2141" t="s">
        <v>3</v>
      </c>
      <c r="U2141" t="s">
        <v>3</v>
      </c>
      <c r="V2141" t="s">
        <v>3</v>
      </c>
      <c r="W2141" t="s">
        <v>68</v>
      </c>
      <c r="X2141" s="17">
        <v>44012</v>
      </c>
      <c r="Y2141" t="s">
        <v>4137</v>
      </c>
      <c r="Z2141" s="17">
        <v>43723</v>
      </c>
      <c r="AA2141" t="s">
        <v>3</v>
      </c>
      <c r="AB2141" t="s">
        <v>4928</v>
      </c>
    </row>
    <row r="2142" spans="1:28" hidden="1">
      <c r="A2142" t="s">
        <v>4931</v>
      </c>
      <c r="B2142" s="17">
        <v>43723</v>
      </c>
      <c r="C2142" s="17">
        <v>43723</v>
      </c>
      <c r="D2142" t="s">
        <v>0</v>
      </c>
      <c r="E2142" t="s">
        <v>1</v>
      </c>
      <c r="F2142" s="18">
        <v>34129</v>
      </c>
      <c r="G2142" s="18">
        <v>34129</v>
      </c>
      <c r="H2142" t="s">
        <v>2</v>
      </c>
      <c r="I2142" t="s">
        <v>8</v>
      </c>
      <c r="J2142" s="18">
        <v>2849771.5</v>
      </c>
      <c r="K2142" t="s">
        <v>4754</v>
      </c>
      <c r="L2142" t="s">
        <v>9</v>
      </c>
      <c r="M2142" t="s">
        <v>4932</v>
      </c>
      <c r="N2142" t="s">
        <v>3</v>
      </c>
      <c r="O2142" t="s">
        <v>3</v>
      </c>
      <c r="P2142" t="s">
        <v>5</v>
      </c>
      <c r="Q2142" t="s">
        <v>4933</v>
      </c>
      <c r="R2142" t="s">
        <v>3</v>
      </c>
      <c r="S2142" t="s">
        <v>3</v>
      </c>
      <c r="T2142" t="s">
        <v>3</v>
      </c>
      <c r="U2142" t="s">
        <v>3</v>
      </c>
      <c r="V2142" t="s">
        <v>3</v>
      </c>
      <c r="W2142" t="s">
        <v>68</v>
      </c>
      <c r="X2142" s="17">
        <v>44012</v>
      </c>
      <c r="Y2142" t="s">
        <v>4137</v>
      </c>
      <c r="Z2142" s="17">
        <v>43723</v>
      </c>
      <c r="AA2142" t="s">
        <v>3</v>
      </c>
      <c r="AB2142" t="s">
        <v>4931</v>
      </c>
    </row>
    <row r="2143" spans="1:28" hidden="1">
      <c r="A2143" t="s">
        <v>4931</v>
      </c>
      <c r="B2143" s="17">
        <v>43723</v>
      </c>
      <c r="C2143" s="17">
        <v>43723</v>
      </c>
      <c r="D2143" t="s">
        <v>0</v>
      </c>
      <c r="E2143" t="s">
        <v>1</v>
      </c>
      <c r="F2143" s="18">
        <v>20698</v>
      </c>
      <c r="G2143" s="18">
        <v>20698</v>
      </c>
      <c r="H2143" t="s">
        <v>2</v>
      </c>
      <c r="I2143" t="s">
        <v>8</v>
      </c>
      <c r="J2143" s="18">
        <v>1728283</v>
      </c>
      <c r="K2143" t="s">
        <v>4886</v>
      </c>
      <c r="L2143" t="s">
        <v>9</v>
      </c>
      <c r="M2143" t="s">
        <v>4932</v>
      </c>
      <c r="N2143" t="s">
        <v>3</v>
      </c>
      <c r="O2143" t="s">
        <v>3</v>
      </c>
      <c r="P2143" t="s">
        <v>5</v>
      </c>
      <c r="Q2143" t="s">
        <v>4933</v>
      </c>
      <c r="R2143" t="s">
        <v>3</v>
      </c>
      <c r="S2143" t="s">
        <v>3</v>
      </c>
      <c r="T2143" t="s">
        <v>3</v>
      </c>
      <c r="U2143" t="s">
        <v>3</v>
      </c>
      <c r="V2143" t="s">
        <v>3</v>
      </c>
      <c r="W2143" t="s">
        <v>68</v>
      </c>
      <c r="X2143" s="17"/>
      <c r="Y2143" t="s">
        <v>3</v>
      </c>
      <c r="Z2143" s="17">
        <v>43723</v>
      </c>
      <c r="AA2143" t="s">
        <v>3</v>
      </c>
      <c r="AB2143" t="s">
        <v>4931</v>
      </c>
    </row>
    <row r="2144" spans="1:28" hidden="1">
      <c r="A2144" t="s">
        <v>4931</v>
      </c>
      <c r="B2144" s="17">
        <v>43723</v>
      </c>
      <c r="C2144" s="17">
        <v>43723</v>
      </c>
      <c r="D2144" t="s">
        <v>0</v>
      </c>
      <c r="E2144" t="s">
        <v>1</v>
      </c>
      <c r="F2144" s="18">
        <v>4944</v>
      </c>
      <c r="G2144" s="18">
        <v>4944</v>
      </c>
      <c r="H2144" t="s">
        <v>2</v>
      </c>
      <c r="I2144" t="s">
        <v>8</v>
      </c>
      <c r="J2144" s="18">
        <v>412824</v>
      </c>
      <c r="K2144" t="s">
        <v>4736</v>
      </c>
      <c r="L2144" t="s">
        <v>9</v>
      </c>
      <c r="M2144" t="s">
        <v>4932</v>
      </c>
      <c r="N2144" t="s">
        <v>3</v>
      </c>
      <c r="O2144" t="s">
        <v>3</v>
      </c>
      <c r="P2144" t="s">
        <v>5</v>
      </c>
      <c r="Q2144" t="s">
        <v>4933</v>
      </c>
      <c r="R2144" t="s">
        <v>3</v>
      </c>
      <c r="S2144" t="s">
        <v>3</v>
      </c>
      <c r="T2144" t="s">
        <v>3</v>
      </c>
      <c r="U2144" t="s">
        <v>3</v>
      </c>
      <c r="V2144" t="s">
        <v>3</v>
      </c>
      <c r="W2144" t="s">
        <v>68</v>
      </c>
      <c r="X2144" s="17">
        <v>44012</v>
      </c>
      <c r="Y2144" t="s">
        <v>4137</v>
      </c>
      <c r="Z2144" s="17">
        <v>43723</v>
      </c>
      <c r="AA2144" t="s">
        <v>3</v>
      </c>
      <c r="AB2144" t="s">
        <v>4931</v>
      </c>
    </row>
    <row r="2145" spans="1:28" hidden="1">
      <c r="A2145" t="s">
        <v>4937</v>
      </c>
      <c r="B2145" s="17">
        <v>43723</v>
      </c>
      <c r="C2145" s="17">
        <v>43723</v>
      </c>
      <c r="D2145" t="s">
        <v>0</v>
      </c>
      <c r="E2145" t="s">
        <v>1</v>
      </c>
      <c r="F2145" s="18">
        <v>18387</v>
      </c>
      <c r="G2145" s="18">
        <v>18387</v>
      </c>
      <c r="H2145" t="s">
        <v>2</v>
      </c>
      <c r="I2145" t="s">
        <v>8</v>
      </c>
      <c r="J2145" s="18">
        <v>1535314.5</v>
      </c>
      <c r="K2145" t="s">
        <v>4754</v>
      </c>
      <c r="L2145" t="s">
        <v>9</v>
      </c>
      <c r="M2145" t="s">
        <v>4938</v>
      </c>
      <c r="N2145" t="s">
        <v>3</v>
      </c>
      <c r="O2145" t="s">
        <v>3</v>
      </c>
      <c r="P2145" t="s">
        <v>5</v>
      </c>
      <c r="Q2145" t="s">
        <v>4939</v>
      </c>
      <c r="R2145" t="s">
        <v>3</v>
      </c>
      <c r="S2145" t="s">
        <v>3</v>
      </c>
      <c r="T2145" t="s">
        <v>3</v>
      </c>
      <c r="U2145" t="s">
        <v>3</v>
      </c>
      <c r="V2145" t="s">
        <v>3</v>
      </c>
      <c r="W2145" t="s">
        <v>68</v>
      </c>
      <c r="X2145" s="17">
        <v>44012</v>
      </c>
      <c r="Y2145" t="s">
        <v>4137</v>
      </c>
      <c r="Z2145" s="17">
        <v>43723</v>
      </c>
      <c r="AA2145" t="s">
        <v>3</v>
      </c>
      <c r="AB2145" t="s">
        <v>4937</v>
      </c>
    </row>
    <row r="2146" spans="1:28" hidden="1">
      <c r="A2146" t="s">
        <v>4937</v>
      </c>
      <c r="B2146" s="17">
        <v>43723</v>
      </c>
      <c r="C2146" s="17">
        <v>43723</v>
      </c>
      <c r="D2146" t="s">
        <v>0</v>
      </c>
      <c r="E2146" t="s">
        <v>1</v>
      </c>
      <c r="F2146" s="18">
        <v>890</v>
      </c>
      <c r="G2146" s="18">
        <v>890</v>
      </c>
      <c r="H2146" t="s">
        <v>2</v>
      </c>
      <c r="I2146" t="s">
        <v>8</v>
      </c>
      <c r="J2146" s="18">
        <v>74315</v>
      </c>
      <c r="K2146" t="s">
        <v>4886</v>
      </c>
      <c r="L2146" t="s">
        <v>9</v>
      </c>
      <c r="M2146" t="s">
        <v>4938</v>
      </c>
      <c r="N2146" t="s">
        <v>3</v>
      </c>
      <c r="O2146" t="s">
        <v>3</v>
      </c>
      <c r="P2146" t="s">
        <v>5</v>
      </c>
      <c r="Q2146" t="s">
        <v>4939</v>
      </c>
      <c r="R2146" t="s">
        <v>3</v>
      </c>
      <c r="S2146" t="s">
        <v>3</v>
      </c>
      <c r="T2146" t="s">
        <v>3</v>
      </c>
      <c r="U2146" t="s">
        <v>3</v>
      </c>
      <c r="V2146" t="s">
        <v>3</v>
      </c>
      <c r="W2146" t="s">
        <v>68</v>
      </c>
      <c r="X2146" s="17"/>
      <c r="Y2146" t="s">
        <v>3</v>
      </c>
      <c r="Z2146" s="17">
        <v>43723</v>
      </c>
      <c r="AA2146" t="s">
        <v>3</v>
      </c>
      <c r="AB2146" t="s">
        <v>4937</v>
      </c>
    </row>
    <row r="2147" spans="1:28" hidden="1">
      <c r="A2147" t="s">
        <v>4942</v>
      </c>
      <c r="B2147" s="17">
        <v>43725</v>
      </c>
      <c r="C2147" s="17">
        <v>43725</v>
      </c>
      <c r="D2147" t="s">
        <v>0</v>
      </c>
      <c r="E2147" t="s">
        <v>1</v>
      </c>
      <c r="F2147" s="18">
        <v>420</v>
      </c>
      <c r="G2147" s="18">
        <v>420</v>
      </c>
      <c r="H2147" t="s">
        <v>2</v>
      </c>
      <c r="I2147" t="s">
        <v>10</v>
      </c>
      <c r="J2147" s="18">
        <v>35070</v>
      </c>
      <c r="K2147" t="s">
        <v>4919</v>
      </c>
      <c r="L2147" t="s">
        <v>9</v>
      </c>
      <c r="M2147" t="s">
        <v>4943</v>
      </c>
      <c r="N2147" t="s">
        <v>3</v>
      </c>
      <c r="O2147" t="s">
        <v>3</v>
      </c>
      <c r="P2147" t="s">
        <v>5</v>
      </c>
      <c r="Q2147" t="s">
        <v>4944</v>
      </c>
      <c r="R2147" t="s">
        <v>3</v>
      </c>
      <c r="S2147" t="s">
        <v>3</v>
      </c>
      <c r="T2147" t="s">
        <v>3</v>
      </c>
      <c r="U2147" t="s">
        <v>3</v>
      </c>
      <c r="V2147" t="s">
        <v>3</v>
      </c>
      <c r="W2147" t="s">
        <v>68</v>
      </c>
      <c r="X2147" s="17"/>
      <c r="Y2147" t="s">
        <v>3</v>
      </c>
      <c r="Z2147" s="17">
        <v>43725</v>
      </c>
      <c r="AA2147" t="s">
        <v>3</v>
      </c>
      <c r="AB2147" t="s">
        <v>4942</v>
      </c>
    </row>
    <row r="2148" spans="1:28" hidden="1">
      <c r="A2148" t="s">
        <v>4945</v>
      </c>
      <c r="B2148" s="17">
        <v>43727</v>
      </c>
      <c r="C2148" s="17">
        <v>43727</v>
      </c>
      <c r="D2148" t="s">
        <v>0</v>
      </c>
      <c r="E2148" t="s">
        <v>1</v>
      </c>
      <c r="F2148" s="18">
        <v>28712.27</v>
      </c>
      <c r="G2148" s="18">
        <v>28712.27</v>
      </c>
      <c r="H2148" t="s">
        <v>2</v>
      </c>
      <c r="I2148" t="s">
        <v>10</v>
      </c>
      <c r="J2148" s="18">
        <v>2397474.5499999998</v>
      </c>
      <c r="K2148" t="s">
        <v>4892</v>
      </c>
      <c r="L2148" t="s">
        <v>4</v>
      </c>
      <c r="M2148" t="s">
        <v>4946</v>
      </c>
      <c r="N2148" t="s">
        <v>3</v>
      </c>
      <c r="O2148" t="s">
        <v>3</v>
      </c>
      <c r="P2148" t="s">
        <v>5</v>
      </c>
      <c r="Q2148" t="s">
        <v>4947</v>
      </c>
      <c r="R2148" t="s">
        <v>3</v>
      </c>
      <c r="S2148" t="s">
        <v>3</v>
      </c>
      <c r="T2148" t="s">
        <v>3</v>
      </c>
      <c r="U2148" t="s">
        <v>3</v>
      </c>
      <c r="V2148" t="s">
        <v>3</v>
      </c>
      <c r="W2148" t="s">
        <v>68</v>
      </c>
      <c r="X2148" s="17"/>
      <c r="Y2148" t="s">
        <v>3</v>
      </c>
      <c r="Z2148" s="17">
        <v>43727</v>
      </c>
      <c r="AA2148" t="s">
        <v>3</v>
      </c>
      <c r="AB2148" t="s">
        <v>4945</v>
      </c>
    </row>
    <row r="2149" spans="1:28" hidden="1">
      <c r="A2149" t="s">
        <v>4948</v>
      </c>
      <c r="B2149" s="17">
        <v>43727</v>
      </c>
      <c r="C2149" s="17">
        <v>43727</v>
      </c>
      <c r="D2149" t="s">
        <v>0</v>
      </c>
      <c r="E2149" t="s">
        <v>1</v>
      </c>
      <c r="F2149" s="18">
        <v>38259.26</v>
      </c>
      <c r="G2149" s="18">
        <v>38259.26</v>
      </c>
      <c r="H2149" t="s">
        <v>2</v>
      </c>
      <c r="I2149" t="s">
        <v>10</v>
      </c>
      <c r="J2149" s="18">
        <v>3194648.21</v>
      </c>
      <c r="K2149" t="s">
        <v>4892</v>
      </c>
      <c r="L2149" t="s">
        <v>4</v>
      </c>
      <c r="M2149" t="s">
        <v>4949</v>
      </c>
      <c r="N2149" t="s">
        <v>3</v>
      </c>
      <c r="O2149" t="s">
        <v>3</v>
      </c>
      <c r="P2149" t="s">
        <v>5</v>
      </c>
      <c r="Q2149" t="s">
        <v>4950</v>
      </c>
      <c r="R2149" t="s">
        <v>3</v>
      </c>
      <c r="S2149" t="s">
        <v>3</v>
      </c>
      <c r="T2149" t="s">
        <v>3</v>
      </c>
      <c r="U2149" t="s">
        <v>3</v>
      </c>
      <c r="V2149" t="s">
        <v>3</v>
      </c>
      <c r="W2149" t="s">
        <v>68</v>
      </c>
      <c r="X2149" s="17"/>
      <c r="Y2149" t="s">
        <v>3</v>
      </c>
      <c r="Z2149" s="17">
        <v>43727</v>
      </c>
      <c r="AA2149" t="s">
        <v>3</v>
      </c>
      <c r="AB2149" t="s">
        <v>4948</v>
      </c>
    </row>
    <row r="2150" spans="1:28" hidden="1">
      <c r="A2150" t="s">
        <v>4951</v>
      </c>
      <c r="B2150" s="17">
        <v>43727</v>
      </c>
      <c r="C2150" s="17">
        <v>43727</v>
      </c>
      <c r="D2150" t="s">
        <v>0</v>
      </c>
      <c r="E2150" t="s">
        <v>1</v>
      </c>
      <c r="F2150" s="18">
        <v>81221.58</v>
      </c>
      <c r="G2150" s="18">
        <v>81221.58</v>
      </c>
      <c r="H2150" t="s">
        <v>2</v>
      </c>
      <c r="I2150" t="s">
        <v>8</v>
      </c>
      <c r="J2150" s="18">
        <v>6782001.9299999997</v>
      </c>
      <c r="K2150" t="s">
        <v>4882</v>
      </c>
      <c r="L2150" t="s">
        <v>4</v>
      </c>
      <c r="M2150" t="s">
        <v>4952</v>
      </c>
      <c r="N2150" t="s">
        <v>3</v>
      </c>
      <c r="O2150" t="s">
        <v>3</v>
      </c>
      <c r="P2150" t="s">
        <v>5</v>
      </c>
      <c r="Q2150" t="s">
        <v>4953</v>
      </c>
      <c r="R2150" t="s">
        <v>3</v>
      </c>
      <c r="S2150" t="s">
        <v>3</v>
      </c>
      <c r="T2150" t="s">
        <v>3</v>
      </c>
      <c r="U2150" t="s">
        <v>3</v>
      </c>
      <c r="V2150" t="s">
        <v>3</v>
      </c>
      <c r="W2150" t="s">
        <v>68</v>
      </c>
      <c r="X2150" s="17"/>
      <c r="Y2150" t="s">
        <v>3</v>
      </c>
      <c r="Z2150" s="17">
        <v>43727</v>
      </c>
      <c r="AA2150" t="s">
        <v>3</v>
      </c>
      <c r="AB2150" t="s">
        <v>4951</v>
      </c>
    </row>
    <row r="2151" spans="1:28" hidden="1">
      <c r="A2151" t="s">
        <v>4951</v>
      </c>
      <c r="B2151" s="17">
        <v>43727</v>
      </c>
      <c r="C2151" s="17">
        <v>43727</v>
      </c>
      <c r="D2151" t="s">
        <v>0</v>
      </c>
      <c r="E2151" t="s">
        <v>1</v>
      </c>
      <c r="F2151" s="18">
        <v>2424.41</v>
      </c>
      <c r="G2151" s="18">
        <v>2424.41</v>
      </c>
      <c r="H2151" t="s">
        <v>2</v>
      </c>
      <c r="I2151" t="s">
        <v>8</v>
      </c>
      <c r="J2151" s="18">
        <v>202438.24</v>
      </c>
      <c r="K2151" t="s">
        <v>4742</v>
      </c>
      <c r="L2151" t="s">
        <v>4</v>
      </c>
      <c r="M2151" t="s">
        <v>4952</v>
      </c>
      <c r="N2151" t="s">
        <v>3</v>
      </c>
      <c r="O2151" t="s">
        <v>3</v>
      </c>
      <c r="P2151" t="s">
        <v>5</v>
      </c>
      <c r="Q2151" t="s">
        <v>4953</v>
      </c>
      <c r="R2151" t="s">
        <v>3</v>
      </c>
      <c r="S2151" t="s">
        <v>3</v>
      </c>
      <c r="T2151" t="s">
        <v>3</v>
      </c>
      <c r="U2151" t="s">
        <v>3</v>
      </c>
      <c r="V2151" t="s">
        <v>3</v>
      </c>
      <c r="W2151" t="s">
        <v>68</v>
      </c>
      <c r="X2151" s="17"/>
      <c r="Y2151" t="s">
        <v>3</v>
      </c>
      <c r="Z2151" s="17">
        <v>43727</v>
      </c>
      <c r="AA2151" t="s">
        <v>3</v>
      </c>
      <c r="AB2151" t="s">
        <v>4951</v>
      </c>
    </row>
    <row r="2152" spans="1:28" hidden="1">
      <c r="A2152" t="s">
        <v>4954</v>
      </c>
      <c r="B2152" s="17">
        <v>43727</v>
      </c>
      <c r="C2152" s="17">
        <v>43727</v>
      </c>
      <c r="D2152" t="s">
        <v>0</v>
      </c>
      <c r="E2152" t="s">
        <v>1</v>
      </c>
      <c r="F2152" s="18">
        <v>22337.03</v>
      </c>
      <c r="G2152" s="18">
        <v>22337.03</v>
      </c>
      <c r="H2152" t="s">
        <v>2</v>
      </c>
      <c r="I2152" t="s">
        <v>8</v>
      </c>
      <c r="J2152" s="18">
        <v>1865142.01</v>
      </c>
      <c r="K2152" t="s">
        <v>4882</v>
      </c>
      <c r="L2152" t="s">
        <v>4</v>
      </c>
      <c r="M2152" t="s">
        <v>4955</v>
      </c>
      <c r="N2152" t="s">
        <v>3</v>
      </c>
      <c r="O2152" t="s">
        <v>3</v>
      </c>
      <c r="P2152" t="s">
        <v>5</v>
      </c>
      <c r="Q2152" t="s">
        <v>4956</v>
      </c>
      <c r="R2152" t="s">
        <v>3</v>
      </c>
      <c r="S2152" t="s">
        <v>3</v>
      </c>
      <c r="T2152" t="s">
        <v>3</v>
      </c>
      <c r="U2152" t="s">
        <v>3</v>
      </c>
      <c r="V2152" t="s">
        <v>3</v>
      </c>
      <c r="W2152" t="s">
        <v>68</v>
      </c>
      <c r="X2152" s="17"/>
      <c r="Y2152" t="s">
        <v>3</v>
      </c>
      <c r="Z2152" s="17">
        <v>43727</v>
      </c>
      <c r="AA2152" t="s">
        <v>3</v>
      </c>
      <c r="AB2152" t="s">
        <v>4954</v>
      </c>
    </row>
    <row r="2153" spans="1:28" hidden="1">
      <c r="A2153" t="s">
        <v>4957</v>
      </c>
      <c r="B2153" s="17">
        <v>43727</v>
      </c>
      <c r="C2153" s="17">
        <v>43727</v>
      </c>
      <c r="D2153" t="s">
        <v>0</v>
      </c>
      <c r="E2153" t="s">
        <v>1</v>
      </c>
      <c r="F2153" s="18">
        <v>12710.74</v>
      </c>
      <c r="G2153" s="18">
        <v>12710.74</v>
      </c>
      <c r="H2153" t="s">
        <v>2</v>
      </c>
      <c r="I2153" t="s">
        <v>8</v>
      </c>
      <c r="J2153" s="18">
        <v>1061346.79</v>
      </c>
      <c r="K2153" t="s">
        <v>4882</v>
      </c>
      <c r="L2153" t="s">
        <v>4</v>
      </c>
      <c r="M2153" t="s">
        <v>4958</v>
      </c>
      <c r="N2153" t="s">
        <v>3</v>
      </c>
      <c r="O2153" t="s">
        <v>3</v>
      </c>
      <c r="P2153" t="s">
        <v>5</v>
      </c>
      <c r="Q2153" t="s">
        <v>4959</v>
      </c>
      <c r="R2153" t="s">
        <v>3</v>
      </c>
      <c r="S2153" t="s">
        <v>3</v>
      </c>
      <c r="T2153" t="s">
        <v>3</v>
      </c>
      <c r="U2153" t="s">
        <v>3</v>
      </c>
      <c r="V2153" t="s">
        <v>3</v>
      </c>
      <c r="W2153" t="s">
        <v>68</v>
      </c>
      <c r="X2153" s="17"/>
      <c r="Y2153" t="s">
        <v>3</v>
      </c>
      <c r="Z2153" s="17">
        <v>43727</v>
      </c>
      <c r="AA2153" t="s">
        <v>3</v>
      </c>
      <c r="AB2153" t="s">
        <v>4957</v>
      </c>
    </row>
    <row r="2154" spans="1:28" hidden="1">
      <c r="A2154" t="s">
        <v>4957</v>
      </c>
      <c r="B2154" s="17">
        <v>43727</v>
      </c>
      <c r="C2154" s="17">
        <v>43727</v>
      </c>
      <c r="D2154" t="s">
        <v>0</v>
      </c>
      <c r="E2154" t="s">
        <v>1</v>
      </c>
      <c r="F2154" s="18">
        <v>1475.58</v>
      </c>
      <c r="G2154" s="18">
        <v>1475.58</v>
      </c>
      <c r="H2154" t="s">
        <v>2</v>
      </c>
      <c r="I2154" t="s">
        <v>8</v>
      </c>
      <c r="J2154" s="18">
        <v>123210.93</v>
      </c>
      <c r="K2154" t="s">
        <v>4742</v>
      </c>
      <c r="L2154" t="s">
        <v>4</v>
      </c>
      <c r="M2154" t="s">
        <v>4958</v>
      </c>
      <c r="N2154" t="s">
        <v>3</v>
      </c>
      <c r="O2154" t="s">
        <v>3</v>
      </c>
      <c r="P2154" t="s">
        <v>5</v>
      </c>
      <c r="Q2154" t="s">
        <v>4959</v>
      </c>
      <c r="R2154" t="s">
        <v>3</v>
      </c>
      <c r="S2154" t="s">
        <v>3</v>
      </c>
      <c r="T2154" t="s">
        <v>3</v>
      </c>
      <c r="U2154" t="s">
        <v>3</v>
      </c>
      <c r="V2154" t="s">
        <v>3</v>
      </c>
      <c r="W2154" t="s">
        <v>68</v>
      </c>
      <c r="X2154" s="17"/>
      <c r="Y2154" t="s">
        <v>3</v>
      </c>
      <c r="Z2154" s="17">
        <v>43727</v>
      </c>
      <c r="AA2154" t="s">
        <v>3</v>
      </c>
      <c r="AB2154" t="s">
        <v>4957</v>
      </c>
    </row>
    <row r="2155" spans="1:28" hidden="1">
      <c r="A2155" t="s">
        <v>4960</v>
      </c>
      <c r="B2155" s="17">
        <v>43727</v>
      </c>
      <c r="C2155" s="17">
        <v>43727</v>
      </c>
      <c r="D2155" t="s">
        <v>0</v>
      </c>
      <c r="E2155" t="s">
        <v>1</v>
      </c>
      <c r="F2155" s="18">
        <v>13348.67</v>
      </c>
      <c r="G2155" s="18">
        <v>13348.67</v>
      </c>
      <c r="H2155" t="s">
        <v>2</v>
      </c>
      <c r="I2155" t="s">
        <v>8</v>
      </c>
      <c r="J2155" s="18">
        <v>1114613.95</v>
      </c>
      <c r="K2155" t="s">
        <v>4882</v>
      </c>
      <c r="L2155" t="s">
        <v>4</v>
      </c>
      <c r="M2155" t="s">
        <v>4961</v>
      </c>
      <c r="N2155" t="s">
        <v>3</v>
      </c>
      <c r="O2155" t="s">
        <v>3</v>
      </c>
      <c r="P2155" t="s">
        <v>5</v>
      </c>
      <c r="Q2155" t="s">
        <v>4962</v>
      </c>
      <c r="R2155" t="s">
        <v>3</v>
      </c>
      <c r="S2155" t="s">
        <v>3</v>
      </c>
      <c r="T2155" t="s">
        <v>3</v>
      </c>
      <c r="U2155" t="s">
        <v>3</v>
      </c>
      <c r="V2155" t="s">
        <v>3</v>
      </c>
      <c r="W2155" t="s">
        <v>68</v>
      </c>
      <c r="X2155" s="17"/>
      <c r="Y2155" t="s">
        <v>3</v>
      </c>
      <c r="Z2155" s="17">
        <v>43727</v>
      </c>
      <c r="AA2155" t="s">
        <v>3</v>
      </c>
      <c r="AB2155" t="s">
        <v>4960</v>
      </c>
    </row>
    <row r="2156" spans="1:28" hidden="1">
      <c r="A2156" t="s">
        <v>4963</v>
      </c>
      <c r="B2156" s="17">
        <v>43727</v>
      </c>
      <c r="C2156" s="17">
        <v>43727</v>
      </c>
      <c r="D2156" t="s">
        <v>0</v>
      </c>
      <c r="E2156" t="s">
        <v>1</v>
      </c>
      <c r="F2156" s="18">
        <v>1143</v>
      </c>
      <c r="G2156" s="18">
        <v>1143</v>
      </c>
      <c r="H2156" t="s">
        <v>2</v>
      </c>
      <c r="I2156" t="s">
        <v>8</v>
      </c>
      <c r="J2156" s="18">
        <v>95440.5</v>
      </c>
      <c r="K2156" t="s">
        <v>4754</v>
      </c>
      <c r="L2156" t="s">
        <v>9</v>
      </c>
      <c r="M2156" t="s">
        <v>4964</v>
      </c>
      <c r="N2156" t="s">
        <v>3</v>
      </c>
      <c r="O2156" t="s">
        <v>3</v>
      </c>
      <c r="P2156" t="s">
        <v>5</v>
      </c>
      <c r="Q2156" t="s">
        <v>4965</v>
      </c>
      <c r="R2156" t="s">
        <v>3</v>
      </c>
      <c r="S2156" t="s">
        <v>3</v>
      </c>
      <c r="T2156" t="s">
        <v>3</v>
      </c>
      <c r="U2156" t="s">
        <v>3</v>
      </c>
      <c r="V2156" t="s">
        <v>3</v>
      </c>
      <c r="W2156" t="s">
        <v>68</v>
      </c>
      <c r="X2156" s="17">
        <v>44012</v>
      </c>
      <c r="Y2156" t="s">
        <v>4137</v>
      </c>
      <c r="Z2156" s="17">
        <v>43727</v>
      </c>
      <c r="AA2156" t="s">
        <v>3</v>
      </c>
      <c r="AB2156" t="s">
        <v>4963</v>
      </c>
    </row>
    <row r="2157" spans="1:28" hidden="1">
      <c r="A2157" t="s">
        <v>4963</v>
      </c>
      <c r="B2157" s="17">
        <v>43727</v>
      </c>
      <c r="C2157" s="17">
        <v>43727</v>
      </c>
      <c r="D2157" t="s">
        <v>0</v>
      </c>
      <c r="E2157" t="s">
        <v>1</v>
      </c>
      <c r="F2157" s="18">
        <v>89019</v>
      </c>
      <c r="G2157" s="18">
        <v>89019</v>
      </c>
      <c r="H2157" t="s">
        <v>2</v>
      </c>
      <c r="I2157" t="s">
        <v>8</v>
      </c>
      <c r="J2157" s="18">
        <v>7433086.5</v>
      </c>
      <c r="K2157" t="s">
        <v>4886</v>
      </c>
      <c r="L2157" t="s">
        <v>9</v>
      </c>
      <c r="M2157" t="s">
        <v>4964</v>
      </c>
      <c r="N2157" t="s">
        <v>3</v>
      </c>
      <c r="O2157" t="s">
        <v>3</v>
      </c>
      <c r="P2157" t="s">
        <v>5</v>
      </c>
      <c r="Q2157" t="s">
        <v>4965</v>
      </c>
      <c r="R2157" t="s">
        <v>3</v>
      </c>
      <c r="S2157" t="s">
        <v>3</v>
      </c>
      <c r="T2157" t="s">
        <v>3</v>
      </c>
      <c r="U2157" t="s">
        <v>3</v>
      </c>
      <c r="V2157" t="s">
        <v>3</v>
      </c>
      <c r="W2157" t="s">
        <v>68</v>
      </c>
      <c r="X2157" s="17"/>
      <c r="Y2157" t="s">
        <v>3</v>
      </c>
      <c r="Z2157" s="17">
        <v>43727</v>
      </c>
      <c r="AA2157" t="s">
        <v>3</v>
      </c>
      <c r="AB2157" t="s">
        <v>4963</v>
      </c>
    </row>
    <row r="2158" spans="1:28" hidden="1">
      <c r="A2158" t="s">
        <v>4966</v>
      </c>
      <c r="B2158" s="17">
        <v>43727</v>
      </c>
      <c r="C2158" s="17">
        <v>43727</v>
      </c>
      <c r="D2158" t="s">
        <v>0</v>
      </c>
      <c r="E2158" t="s">
        <v>1</v>
      </c>
      <c r="F2158" s="18">
        <v>20620</v>
      </c>
      <c r="G2158" s="18">
        <v>20620</v>
      </c>
      <c r="H2158" t="s">
        <v>2</v>
      </c>
      <c r="I2158" t="s">
        <v>8</v>
      </c>
      <c r="J2158" s="18">
        <v>1721770</v>
      </c>
      <c r="K2158" t="s">
        <v>4754</v>
      </c>
      <c r="L2158" t="s">
        <v>9</v>
      </c>
      <c r="M2158" t="s">
        <v>4967</v>
      </c>
      <c r="N2158" t="s">
        <v>3</v>
      </c>
      <c r="O2158" t="s">
        <v>3</v>
      </c>
      <c r="P2158" t="s">
        <v>5</v>
      </c>
      <c r="Q2158" t="s">
        <v>4968</v>
      </c>
      <c r="R2158" t="s">
        <v>3</v>
      </c>
      <c r="S2158" t="s">
        <v>3</v>
      </c>
      <c r="T2158" t="s">
        <v>3</v>
      </c>
      <c r="U2158" t="s">
        <v>3</v>
      </c>
      <c r="V2158" t="s">
        <v>3</v>
      </c>
      <c r="W2158" t="s">
        <v>68</v>
      </c>
      <c r="X2158" s="17">
        <v>44012</v>
      </c>
      <c r="Y2158" t="s">
        <v>4137</v>
      </c>
      <c r="Z2158" s="17">
        <v>43727</v>
      </c>
      <c r="AA2158" t="s">
        <v>3</v>
      </c>
      <c r="AB2158" t="s">
        <v>4966</v>
      </c>
    </row>
    <row r="2159" spans="1:28" hidden="1">
      <c r="A2159" t="s">
        <v>4966</v>
      </c>
      <c r="B2159" s="17">
        <v>43727</v>
      </c>
      <c r="C2159" s="17">
        <v>43727</v>
      </c>
      <c r="D2159" t="s">
        <v>0</v>
      </c>
      <c r="E2159" t="s">
        <v>1</v>
      </c>
      <c r="F2159" s="18">
        <v>72770</v>
      </c>
      <c r="G2159" s="18">
        <v>72770</v>
      </c>
      <c r="H2159" t="s">
        <v>2</v>
      </c>
      <c r="I2159" t="s">
        <v>8</v>
      </c>
      <c r="J2159" s="18">
        <v>6076295</v>
      </c>
      <c r="K2159" t="s">
        <v>4886</v>
      </c>
      <c r="L2159" t="s">
        <v>9</v>
      </c>
      <c r="M2159" t="s">
        <v>4967</v>
      </c>
      <c r="N2159" t="s">
        <v>3</v>
      </c>
      <c r="O2159" t="s">
        <v>3</v>
      </c>
      <c r="P2159" t="s">
        <v>5</v>
      </c>
      <c r="Q2159" t="s">
        <v>4968</v>
      </c>
      <c r="R2159" t="s">
        <v>3</v>
      </c>
      <c r="S2159" t="s">
        <v>3</v>
      </c>
      <c r="T2159" t="s">
        <v>3</v>
      </c>
      <c r="U2159" t="s">
        <v>3</v>
      </c>
      <c r="V2159" t="s">
        <v>3</v>
      </c>
      <c r="W2159" t="s">
        <v>68</v>
      </c>
      <c r="X2159" s="17"/>
      <c r="Y2159" t="s">
        <v>3</v>
      </c>
      <c r="Z2159" s="17">
        <v>43727</v>
      </c>
      <c r="AA2159" t="s">
        <v>3</v>
      </c>
      <c r="AB2159" t="s">
        <v>4966</v>
      </c>
    </row>
    <row r="2160" spans="1:28" hidden="1">
      <c r="A2160" t="s">
        <v>4966</v>
      </c>
      <c r="B2160" s="17">
        <v>43727</v>
      </c>
      <c r="C2160" s="17">
        <v>43727</v>
      </c>
      <c r="D2160" t="s">
        <v>0</v>
      </c>
      <c r="E2160" t="s">
        <v>1</v>
      </c>
      <c r="F2160" s="18">
        <v>2373</v>
      </c>
      <c r="G2160" s="18">
        <v>2373</v>
      </c>
      <c r="H2160" t="s">
        <v>2</v>
      </c>
      <c r="I2160" t="s">
        <v>8</v>
      </c>
      <c r="J2160" s="18">
        <v>198145.5</v>
      </c>
      <c r="K2160" t="s">
        <v>4736</v>
      </c>
      <c r="L2160" t="s">
        <v>9</v>
      </c>
      <c r="M2160" t="s">
        <v>4967</v>
      </c>
      <c r="N2160" t="s">
        <v>3</v>
      </c>
      <c r="O2160" t="s">
        <v>3</v>
      </c>
      <c r="P2160" t="s">
        <v>5</v>
      </c>
      <c r="Q2160" t="s">
        <v>4968</v>
      </c>
      <c r="R2160" t="s">
        <v>3</v>
      </c>
      <c r="S2160" t="s">
        <v>3</v>
      </c>
      <c r="T2160" t="s">
        <v>3</v>
      </c>
      <c r="U2160" t="s">
        <v>3</v>
      </c>
      <c r="V2160" t="s">
        <v>3</v>
      </c>
      <c r="W2160" t="s">
        <v>68</v>
      </c>
      <c r="X2160" s="17">
        <v>44012</v>
      </c>
      <c r="Y2160" t="s">
        <v>4137</v>
      </c>
      <c r="Z2160" s="17">
        <v>43727</v>
      </c>
      <c r="AA2160" t="s">
        <v>3</v>
      </c>
      <c r="AB2160" t="s">
        <v>4966</v>
      </c>
    </row>
    <row r="2161" spans="1:28" hidden="1">
      <c r="A2161" t="s">
        <v>4969</v>
      </c>
      <c r="B2161" s="17">
        <v>43727</v>
      </c>
      <c r="C2161" s="17">
        <v>43727</v>
      </c>
      <c r="D2161" t="s">
        <v>0</v>
      </c>
      <c r="E2161" t="s">
        <v>1</v>
      </c>
      <c r="F2161" s="18">
        <v>6170</v>
      </c>
      <c r="G2161" s="18">
        <v>6170</v>
      </c>
      <c r="H2161" t="s">
        <v>2</v>
      </c>
      <c r="I2161" t="s">
        <v>8</v>
      </c>
      <c r="J2161" s="18">
        <v>515195</v>
      </c>
      <c r="K2161" t="s">
        <v>4754</v>
      </c>
      <c r="L2161" t="s">
        <v>9</v>
      </c>
      <c r="M2161" t="s">
        <v>4970</v>
      </c>
      <c r="N2161" t="s">
        <v>3</v>
      </c>
      <c r="O2161" t="s">
        <v>3</v>
      </c>
      <c r="P2161" t="s">
        <v>5</v>
      </c>
      <c r="Q2161" t="s">
        <v>4971</v>
      </c>
      <c r="R2161" t="s">
        <v>3</v>
      </c>
      <c r="S2161" t="s">
        <v>3</v>
      </c>
      <c r="T2161" t="s">
        <v>3</v>
      </c>
      <c r="U2161" t="s">
        <v>3</v>
      </c>
      <c r="V2161" t="s">
        <v>3</v>
      </c>
      <c r="W2161" t="s">
        <v>68</v>
      </c>
      <c r="X2161" s="17">
        <v>44012</v>
      </c>
      <c r="Y2161" t="s">
        <v>4137</v>
      </c>
      <c r="Z2161" s="17">
        <v>43727</v>
      </c>
      <c r="AA2161" t="s">
        <v>3</v>
      </c>
      <c r="AB2161" t="s">
        <v>4969</v>
      </c>
    </row>
    <row r="2162" spans="1:28" hidden="1">
      <c r="A2162" t="s">
        <v>4969</v>
      </c>
      <c r="B2162" s="17">
        <v>43727</v>
      </c>
      <c r="C2162" s="17">
        <v>43727</v>
      </c>
      <c r="D2162" t="s">
        <v>0</v>
      </c>
      <c r="E2162" t="s">
        <v>1</v>
      </c>
      <c r="F2162" s="18">
        <v>4160</v>
      </c>
      <c r="G2162" s="18">
        <v>4160</v>
      </c>
      <c r="H2162" t="s">
        <v>2</v>
      </c>
      <c r="I2162" t="s">
        <v>8</v>
      </c>
      <c r="J2162" s="18">
        <v>347360</v>
      </c>
      <c r="K2162" t="s">
        <v>4886</v>
      </c>
      <c r="L2162" t="s">
        <v>9</v>
      </c>
      <c r="M2162" t="s">
        <v>4970</v>
      </c>
      <c r="N2162" t="s">
        <v>3</v>
      </c>
      <c r="O2162" t="s">
        <v>3</v>
      </c>
      <c r="P2162" t="s">
        <v>5</v>
      </c>
      <c r="Q2162" t="s">
        <v>4971</v>
      </c>
      <c r="R2162" t="s">
        <v>3</v>
      </c>
      <c r="S2162" t="s">
        <v>3</v>
      </c>
      <c r="T2162" t="s">
        <v>3</v>
      </c>
      <c r="U2162" t="s">
        <v>3</v>
      </c>
      <c r="V2162" t="s">
        <v>3</v>
      </c>
      <c r="W2162" t="s">
        <v>68</v>
      </c>
      <c r="X2162" s="17"/>
      <c r="Y2162" t="s">
        <v>3</v>
      </c>
      <c r="Z2162" s="17">
        <v>43727</v>
      </c>
      <c r="AA2162" t="s">
        <v>3</v>
      </c>
      <c r="AB2162" t="s">
        <v>4969</v>
      </c>
    </row>
    <row r="2163" spans="1:28" hidden="1">
      <c r="A2163" t="s">
        <v>4972</v>
      </c>
      <c r="B2163" s="17">
        <v>43731</v>
      </c>
      <c r="C2163" s="17">
        <v>43731</v>
      </c>
      <c r="D2163" t="s">
        <v>0</v>
      </c>
      <c r="E2163" t="s">
        <v>1</v>
      </c>
      <c r="F2163" s="18">
        <v>27219</v>
      </c>
      <c r="G2163" s="18">
        <v>27219</v>
      </c>
      <c r="H2163" t="s">
        <v>2</v>
      </c>
      <c r="I2163" t="s">
        <v>8</v>
      </c>
      <c r="J2163" s="18">
        <v>2272786.5</v>
      </c>
      <c r="K2163" t="s">
        <v>4604</v>
      </c>
      <c r="L2163" t="s">
        <v>9</v>
      </c>
      <c r="M2163" t="s">
        <v>4973</v>
      </c>
      <c r="N2163" t="s">
        <v>3</v>
      </c>
      <c r="O2163" t="s">
        <v>3</v>
      </c>
      <c r="P2163" t="s">
        <v>5</v>
      </c>
      <c r="Q2163" t="s">
        <v>4974</v>
      </c>
      <c r="R2163" t="s">
        <v>3</v>
      </c>
      <c r="S2163" t="s">
        <v>3</v>
      </c>
      <c r="T2163" t="s">
        <v>3</v>
      </c>
      <c r="U2163" t="s">
        <v>3</v>
      </c>
      <c r="V2163" t="s">
        <v>3</v>
      </c>
      <c r="W2163" t="s">
        <v>68</v>
      </c>
      <c r="X2163" s="17"/>
      <c r="Y2163" t="s">
        <v>3</v>
      </c>
      <c r="Z2163" s="17">
        <v>43731</v>
      </c>
      <c r="AA2163" t="s">
        <v>3</v>
      </c>
      <c r="AB2163" t="s">
        <v>4972</v>
      </c>
    </row>
    <row r="2164" spans="1:28" hidden="1">
      <c r="A2164" t="s">
        <v>4972</v>
      </c>
      <c r="B2164" s="17">
        <v>43731</v>
      </c>
      <c r="C2164" s="17">
        <v>43731</v>
      </c>
      <c r="D2164" t="s">
        <v>0</v>
      </c>
      <c r="E2164" t="s">
        <v>1</v>
      </c>
      <c r="F2164" s="18">
        <v>108122</v>
      </c>
      <c r="G2164" s="18">
        <v>108122</v>
      </c>
      <c r="H2164" t="s">
        <v>2</v>
      </c>
      <c r="I2164" t="s">
        <v>8</v>
      </c>
      <c r="J2164" s="18">
        <v>9028187</v>
      </c>
      <c r="K2164" t="s">
        <v>4754</v>
      </c>
      <c r="L2164" t="s">
        <v>9</v>
      </c>
      <c r="M2164" t="s">
        <v>4973</v>
      </c>
      <c r="N2164" t="s">
        <v>3</v>
      </c>
      <c r="O2164" t="s">
        <v>3</v>
      </c>
      <c r="P2164" t="s">
        <v>5</v>
      </c>
      <c r="Q2164" t="s">
        <v>4974</v>
      </c>
      <c r="R2164" t="s">
        <v>3</v>
      </c>
      <c r="S2164" t="s">
        <v>3</v>
      </c>
      <c r="T2164" t="s">
        <v>3</v>
      </c>
      <c r="U2164" t="s">
        <v>3</v>
      </c>
      <c r="V2164" t="s">
        <v>3</v>
      </c>
      <c r="W2164" t="s">
        <v>68</v>
      </c>
      <c r="X2164" s="17">
        <v>44012</v>
      </c>
      <c r="Y2164" t="s">
        <v>4137</v>
      </c>
      <c r="Z2164" s="17">
        <v>43731</v>
      </c>
      <c r="AA2164" t="s">
        <v>3</v>
      </c>
      <c r="AB2164" t="s">
        <v>4972</v>
      </c>
    </row>
    <row r="2165" spans="1:28" hidden="1">
      <c r="A2165" t="s">
        <v>4972</v>
      </c>
      <c r="B2165" s="17">
        <v>43731</v>
      </c>
      <c r="C2165" s="17">
        <v>43731</v>
      </c>
      <c r="D2165" t="s">
        <v>0</v>
      </c>
      <c r="E2165" t="s">
        <v>1</v>
      </c>
      <c r="F2165" s="18">
        <v>243215</v>
      </c>
      <c r="G2165" s="18">
        <v>243215</v>
      </c>
      <c r="H2165" t="s">
        <v>2</v>
      </c>
      <c r="I2165" t="s">
        <v>8</v>
      </c>
      <c r="J2165" s="18">
        <v>20308452.5</v>
      </c>
      <c r="K2165" t="s">
        <v>4886</v>
      </c>
      <c r="L2165" t="s">
        <v>9</v>
      </c>
      <c r="M2165" t="s">
        <v>4973</v>
      </c>
      <c r="N2165" t="s">
        <v>3</v>
      </c>
      <c r="O2165" t="s">
        <v>3</v>
      </c>
      <c r="P2165" t="s">
        <v>5</v>
      </c>
      <c r="Q2165" t="s">
        <v>4974</v>
      </c>
      <c r="R2165" t="s">
        <v>3</v>
      </c>
      <c r="S2165" t="s">
        <v>3</v>
      </c>
      <c r="T2165" t="s">
        <v>3</v>
      </c>
      <c r="U2165" t="s">
        <v>3</v>
      </c>
      <c r="V2165" t="s">
        <v>3</v>
      </c>
      <c r="W2165" t="s">
        <v>68</v>
      </c>
      <c r="X2165" s="17"/>
      <c r="Y2165" t="s">
        <v>3</v>
      </c>
      <c r="Z2165" s="17">
        <v>43731</v>
      </c>
      <c r="AA2165" t="s">
        <v>3</v>
      </c>
      <c r="AB2165" t="s">
        <v>4972</v>
      </c>
    </row>
    <row r="2166" spans="1:28" hidden="1">
      <c r="A2166" t="s">
        <v>4972</v>
      </c>
      <c r="B2166" s="17">
        <v>43731</v>
      </c>
      <c r="C2166" s="17">
        <v>43731</v>
      </c>
      <c r="D2166" t="s">
        <v>0</v>
      </c>
      <c r="E2166" t="s">
        <v>1</v>
      </c>
      <c r="F2166" s="18">
        <v>44809</v>
      </c>
      <c r="G2166" s="18">
        <v>44809</v>
      </c>
      <c r="H2166" t="s">
        <v>2</v>
      </c>
      <c r="I2166" t="s">
        <v>8</v>
      </c>
      <c r="J2166" s="18">
        <v>3741551.5</v>
      </c>
      <c r="K2166" t="s">
        <v>4736</v>
      </c>
      <c r="L2166" t="s">
        <v>9</v>
      </c>
      <c r="M2166" t="s">
        <v>4973</v>
      </c>
      <c r="N2166" t="s">
        <v>3</v>
      </c>
      <c r="O2166" t="s">
        <v>3</v>
      </c>
      <c r="P2166" t="s">
        <v>5</v>
      </c>
      <c r="Q2166" t="s">
        <v>4974</v>
      </c>
      <c r="R2166" t="s">
        <v>3</v>
      </c>
      <c r="S2166" t="s">
        <v>3</v>
      </c>
      <c r="T2166" t="s">
        <v>3</v>
      </c>
      <c r="U2166" t="s">
        <v>3</v>
      </c>
      <c r="V2166" t="s">
        <v>3</v>
      </c>
      <c r="W2166" t="s">
        <v>68</v>
      </c>
      <c r="X2166" s="17">
        <v>44012</v>
      </c>
      <c r="Y2166" t="s">
        <v>4137</v>
      </c>
      <c r="Z2166" s="17">
        <v>43731</v>
      </c>
      <c r="AA2166" t="s">
        <v>3</v>
      </c>
      <c r="AB2166" t="s">
        <v>4972</v>
      </c>
    </row>
    <row r="2167" spans="1:28" hidden="1">
      <c r="A2167" t="s">
        <v>4975</v>
      </c>
      <c r="B2167" s="17">
        <v>43732</v>
      </c>
      <c r="C2167" s="17">
        <v>43732</v>
      </c>
      <c r="D2167" t="s">
        <v>0</v>
      </c>
      <c r="E2167" t="s">
        <v>1</v>
      </c>
      <c r="F2167" s="18">
        <v>790</v>
      </c>
      <c r="G2167" s="18">
        <v>790</v>
      </c>
      <c r="H2167" t="s">
        <v>2</v>
      </c>
      <c r="I2167" t="s">
        <v>8</v>
      </c>
      <c r="J2167" s="18">
        <v>65965</v>
      </c>
      <c r="K2167" t="s">
        <v>4604</v>
      </c>
      <c r="L2167" t="s">
        <v>9</v>
      </c>
      <c r="M2167" t="s">
        <v>4976</v>
      </c>
      <c r="N2167" t="s">
        <v>3</v>
      </c>
      <c r="O2167" t="s">
        <v>3</v>
      </c>
      <c r="P2167" t="s">
        <v>5</v>
      </c>
      <c r="Q2167" t="s">
        <v>4977</v>
      </c>
      <c r="R2167" t="s">
        <v>3</v>
      </c>
      <c r="S2167" t="s">
        <v>3</v>
      </c>
      <c r="T2167" t="s">
        <v>3</v>
      </c>
      <c r="U2167" t="s">
        <v>3</v>
      </c>
      <c r="V2167" t="s">
        <v>3</v>
      </c>
      <c r="W2167" t="s">
        <v>68</v>
      </c>
      <c r="X2167" s="17"/>
      <c r="Y2167" t="s">
        <v>3</v>
      </c>
      <c r="Z2167" s="17">
        <v>43732</v>
      </c>
      <c r="AA2167" t="s">
        <v>3</v>
      </c>
      <c r="AB2167" t="s">
        <v>4975</v>
      </c>
    </row>
    <row r="2168" spans="1:28" hidden="1">
      <c r="A2168" t="s">
        <v>4975</v>
      </c>
      <c r="B2168" s="17">
        <v>43732</v>
      </c>
      <c r="C2168" s="17">
        <v>43732</v>
      </c>
      <c r="D2168" t="s">
        <v>0</v>
      </c>
      <c r="E2168" t="s">
        <v>1</v>
      </c>
      <c r="F2168" s="18">
        <v>39</v>
      </c>
      <c r="G2168" s="18">
        <v>39</v>
      </c>
      <c r="H2168" t="s">
        <v>2</v>
      </c>
      <c r="I2168" t="s">
        <v>8</v>
      </c>
      <c r="J2168" s="18">
        <v>3256.5</v>
      </c>
      <c r="K2168" t="s">
        <v>4754</v>
      </c>
      <c r="L2168" t="s">
        <v>9</v>
      </c>
      <c r="M2168" t="s">
        <v>4976</v>
      </c>
      <c r="N2168" t="s">
        <v>3</v>
      </c>
      <c r="O2168" t="s">
        <v>3</v>
      </c>
      <c r="P2168" t="s">
        <v>5</v>
      </c>
      <c r="Q2168" t="s">
        <v>4977</v>
      </c>
      <c r="R2168" t="s">
        <v>3</v>
      </c>
      <c r="S2168" t="s">
        <v>3</v>
      </c>
      <c r="T2168" t="s">
        <v>3</v>
      </c>
      <c r="U2168" t="s">
        <v>3</v>
      </c>
      <c r="V2168" t="s">
        <v>3</v>
      </c>
      <c r="W2168" t="s">
        <v>68</v>
      </c>
      <c r="X2168" s="17">
        <v>44012</v>
      </c>
      <c r="Y2168" t="s">
        <v>4137</v>
      </c>
      <c r="Z2168" s="17">
        <v>43732</v>
      </c>
      <c r="AA2168" t="s">
        <v>3</v>
      </c>
      <c r="AB2168" t="s">
        <v>4975</v>
      </c>
    </row>
    <row r="2169" spans="1:28" hidden="1">
      <c r="A2169" t="s">
        <v>4975</v>
      </c>
      <c r="B2169" s="17">
        <v>43732</v>
      </c>
      <c r="C2169" s="17">
        <v>43732</v>
      </c>
      <c r="D2169" t="s">
        <v>0</v>
      </c>
      <c r="E2169" t="s">
        <v>1</v>
      </c>
      <c r="F2169" s="18">
        <v>548</v>
      </c>
      <c r="G2169" s="18">
        <v>548</v>
      </c>
      <c r="H2169" t="s">
        <v>2</v>
      </c>
      <c r="I2169" t="s">
        <v>8</v>
      </c>
      <c r="J2169" s="18">
        <v>45758</v>
      </c>
      <c r="K2169" t="s">
        <v>4886</v>
      </c>
      <c r="L2169" t="s">
        <v>9</v>
      </c>
      <c r="M2169" t="s">
        <v>4976</v>
      </c>
      <c r="N2169" t="s">
        <v>3</v>
      </c>
      <c r="O2169" t="s">
        <v>3</v>
      </c>
      <c r="P2169" t="s">
        <v>5</v>
      </c>
      <c r="Q2169" t="s">
        <v>4977</v>
      </c>
      <c r="R2169" t="s">
        <v>3</v>
      </c>
      <c r="S2169" t="s">
        <v>3</v>
      </c>
      <c r="T2169" t="s">
        <v>3</v>
      </c>
      <c r="U2169" t="s">
        <v>3</v>
      </c>
      <c r="V2169" t="s">
        <v>3</v>
      </c>
      <c r="W2169" t="s">
        <v>68</v>
      </c>
      <c r="X2169" s="17"/>
      <c r="Y2169" t="s">
        <v>3</v>
      </c>
      <c r="Z2169" s="17">
        <v>43732</v>
      </c>
      <c r="AA2169" t="s">
        <v>3</v>
      </c>
      <c r="AB2169" t="s">
        <v>4975</v>
      </c>
    </row>
    <row r="2170" spans="1:28" hidden="1">
      <c r="A2170" t="s">
        <v>4975</v>
      </c>
      <c r="B2170" s="17">
        <v>43732</v>
      </c>
      <c r="C2170" s="17">
        <v>43732</v>
      </c>
      <c r="D2170" t="s">
        <v>0</v>
      </c>
      <c r="E2170" t="s">
        <v>1</v>
      </c>
      <c r="F2170" s="18">
        <v>50</v>
      </c>
      <c r="G2170" s="18">
        <v>50</v>
      </c>
      <c r="H2170" t="s">
        <v>2</v>
      </c>
      <c r="I2170" t="s">
        <v>8</v>
      </c>
      <c r="J2170" s="18">
        <v>4174</v>
      </c>
      <c r="K2170" t="s">
        <v>4607</v>
      </c>
      <c r="L2170" t="s">
        <v>9</v>
      </c>
      <c r="M2170" t="s">
        <v>4976</v>
      </c>
      <c r="N2170" t="s">
        <v>3</v>
      </c>
      <c r="O2170" t="s">
        <v>3</v>
      </c>
      <c r="P2170" t="s">
        <v>5</v>
      </c>
      <c r="Q2170" t="s">
        <v>4977</v>
      </c>
      <c r="R2170" t="s">
        <v>3</v>
      </c>
      <c r="S2170" t="s">
        <v>3</v>
      </c>
      <c r="T2170" t="s">
        <v>3</v>
      </c>
      <c r="U2170" t="s">
        <v>3</v>
      </c>
      <c r="V2170" t="s">
        <v>3</v>
      </c>
      <c r="W2170" t="s">
        <v>68</v>
      </c>
      <c r="X2170" s="17">
        <v>43769</v>
      </c>
      <c r="Y2170" t="s">
        <v>4160</v>
      </c>
      <c r="Z2170" s="17">
        <v>43732</v>
      </c>
      <c r="AA2170" t="s">
        <v>3</v>
      </c>
      <c r="AB2170" t="s">
        <v>4975</v>
      </c>
    </row>
    <row r="2171" spans="1:28" hidden="1">
      <c r="A2171" t="s">
        <v>4978</v>
      </c>
      <c r="B2171" s="17">
        <v>43732</v>
      </c>
      <c r="C2171" s="17">
        <v>43732</v>
      </c>
      <c r="D2171" t="s">
        <v>0</v>
      </c>
      <c r="E2171" t="s">
        <v>1</v>
      </c>
      <c r="F2171" s="18">
        <v>602</v>
      </c>
      <c r="G2171" s="18">
        <v>602</v>
      </c>
      <c r="H2171" t="s">
        <v>2</v>
      </c>
      <c r="I2171" t="s">
        <v>10</v>
      </c>
      <c r="J2171" s="18">
        <v>50267</v>
      </c>
      <c r="K2171" t="s">
        <v>4919</v>
      </c>
      <c r="L2171" t="s">
        <v>9</v>
      </c>
      <c r="M2171" t="s">
        <v>4979</v>
      </c>
      <c r="N2171" t="s">
        <v>3</v>
      </c>
      <c r="O2171" t="s">
        <v>3</v>
      </c>
      <c r="P2171" t="s">
        <v>5</v>
      </c>
      <c r="Q2171" t="s">
        <v>4980</v>
      </c>
      <c r="R2171" t="s">
        <v>3</v>
      </c>
      <c r="S2171" t="s">
        <v>3</v>
      </c>
      <c r="T2171" t="s">
        <v>3</v>
      </c>
      <c r="U2171" t="s">
        <v>3</v>
      </c>
      <c r="V2171" t="s">
        <v>3</v>
      </c>
      <c r="W2171" t="s">
        <v>68</v>
      </c>
      <c r="X2171" s="17"/>
      <c r="Y2171" t="s">
        <v>3</v>
      </c>
      <c r="Z2171" s="17">
        <v>43732</v>
      </c>
      <c r="AA2171" t="s">
        <v>3</v>
      </c>
      <c r="AB2171" t="s">
        <v>4978</v>
      </c>
    </row>
    <row r="2172" spans="1:28" hidden="1">
      <c r="A2172" t="s">
        <v>4981</v>
      </c>
      <c r="B2172" s="17">
        <v>43732</v>
      </c>
      <c r="C2172" s="17">
        <v>43732</v>
      </c>
      <c r="D2172" t="s">
        <v>0</v>
      </c>
      <c r="E2172" t="s">
        <v>1</v>
      </c>
      <c r="F2172" s="18">
        <v>15183.58</v>
      </c>
      <c r="G2172" s="18">
        <v>15183.58</v>
      </c>
      <c r="H2172" t="s">
        <v>2</v>
      </c>
      <c r="I2172" t="s">
        <v>10</v>
      </c>
      <c r="J2172" s="18">
        <v>1267828.93</v>
      </c>
      <c r="K2172" t="s">
        <v>4892</v>
      </c>
      <c r="L2172" t="s">
        <v>4</v>
      </c>
      <c r="M2172" t="s">
        <v>4982</v>
      </c>
      <c r="N2172" t="s">
        <v>3</v>
      </c>
      <c r="O2172" t="s">
        <v>3</v>
      </c>
      <c r="P2172" t="s">
        <v>5</v>
      </c>
      <c r="Q2172" t="s">
        <v>4983</v>
      </c>
      <c r="R2172" t="s">
        <v>3</v>
      </c>
      <c r="S2172" t="s">
        <v>3</v>
      </c>
      <c r="T2172" t="s">
        <v>3</v>
      </c>
      <c r="U2172" t="s">
        <v>3</v>
      </c>
      <c r="V2172" t="s">
        <v>3</v>
      </c>
      <c r="W2172" t="s">
        <v>68</v>
      </c>
      <c r="X2172" s="17"/>
      <c r="Y2172" t="s">
        <v>3</v>
      </c>
      <c r="Z2172" s="17">
        <v>43732</v>
      </c>
      <c r="AA2172" t="s">
        <v>3</v>
      </c>
      <c r="AB2172" t="s">
        <v>4981</v>
      </c>
    </row>
    <row r="2173" spans="1:28" hidden="1">
      <c r="A2173" t="s">
        <v>4987</v>
      </c>
      <c r="B2173" s="17">
        <v>43733</v>
      </c>
      <c r="C2173" s="17">
        <v>43733</v>
      </c>
      <c r="D2173" t="s">
        <v>0</v>
      </c>
      <c r="E2173" t="s">
        <v>1</v>
      </c>
      <c r="F2173" s="18">
        <v>2649.53</v>
      </c>
      <c r="G2173" s="18">
        <v>2649.53</v>
      </c>
      <c r="H2173" t="s">
        <v>2</v>
      </c>
      <c r="I2173" t="s">
        <v>8</v>
      </c>
      <c r="J2173" s="18">
        <v>221235.76</v>
      </c>
      <c r="K2173" t="s">
        <v>4742</v>
      </c>
      <c r="L2173" t="s">
        <v>4</v>
      </c>
      <c r="M2173" t="s">
        <v>4988</v>
      </c>
      <c r="N2173" t="s">
        <v>3</v>
      </c>
      <c r="O2173" t="s">
        <v>3</v>
      </c>
      <c r="P2173" t="s">
        <v>5</v>
      </c>
      <c r="Q2173" t="s">
        <v>4989</v>
      </c>
      <c r="R2173" t="s">
        <v>3</v>
      </c>
      <c r="S2173" t="s">
        <v>3</v>
      </c>
      <c r="T2173" t="s">
        <v>3</v>
      </c>
      <c r="U2173" t="s">
        <v>3</v>
      </c>
      <c r="V2173" t="s">
        <v>3</v>
      </c>
      <c r="W2173" t="s">
        <v>68</v>
      </c>
      <c r="X2173" s="17"/>
      <c r="Y2173" t="s">
        <v>3</v>
      </c>
      <c r="Z2173" s="17">
        <v>43733</v>
      </c>
      <c r="AA2173" t="s">
        <v>3</v>
      </c>
      <c r="AB2173" t="s">
        <v>4987</v>
      </c>
    </row>
    <row r="2174" spans="1:28" hidden="1">
      <c r="A2174" t="s">
        <v>4984</v>
      </c>
      <c r="B2174" s="17">
        <v>43734</v>
      </c>
      <c r="C2174" s="17">
        <v>43734</v>
      </c>
      <c r="D2174" t="s">
        <v>0</v>
      </c>
      <c r="E2174" t="s">
        <v>1</v>
      </c>
      <c r="F2174" s="18">
        <v>19868.95</v>
      </c>
      <c r="G2174" s="18">
        <v>19868.95</v>
      </c>
      <c r="H2174" t="s">
        <v>2</v>
      </c>
      <c r="I2174" t="s">
        <v>8</v>
      </c>
      <c r="J2174" s="18">
        <v>1659057.33</v>
      </c>
      <c r="K2174" t="s">
        <v>4882</v>
      </c>
      <c r="L2174" t="s">
        <v>4</v>
      </c>
      <c r="M2174" t="s">
        <v>4985</v>
      </c>
      <c r="N2174" t="s">
        <v>3</v>
      </c>
      <c r="O2174" t="s">
        <v>3</v>
      </c>
      <c r="P2174" t="s">
        <v>5</v>
      </c>
      <c r="Q2174" t="s">
        <v>4986</v>
      </c>
      <c r="R2174" t="s">
        <v>3</v>
      </c>
      <c r="S2174" t="s">
        <v>3</v>
      </c>
      <c r="T2174" t="s">
        <v>3</v>
      </c>
      <c r="U2174" t="s">
        <v>3</v>
      </c>
      <c r="V2174" t="s">
        <v>3</v>
      </c>
      <c r="W2174" t="s">
        <v>68</v>
      </c>
      <c r="X2174" s="17"/>
      <c r="Y2174" t="s">
        <v>3</v>
      </c>
      <c r="Z2174" s="17">
        <v>43734</v>
      </c>
      <c r="AA2174" t="s">
        <v>3</v>
      </c>
      <c r="AB2174" t="s">
        <v>4984</v>
      </c>
    </row>
    <row r="2175" spans="1:28" hidden="1">
      <c r="A2175" t="s">
        <v>4984</v>
      </c>
      <c r="B2175" s="17">
        <v>43734</v>
      </c>
      <c r="C2175" s="17">
        <v>43734</v>
      </c>
      <c r="D2175" t="s">
        <v>0</v>
      </c>
      <c r="E2175" t="s">
        <v>1</v>
      </c>
      <c r="F2175" s="18">
        <v>36668.660000000003</v>
      </c>
      <c r="G2175" s="18">
        <v>36668.660000000003</v>
      </c>
      <c r="H2175" t="s">
        <v>2</v>
      </c>
      <c r="I2175" t="s">
        <v>8</v>
      </c>
      <c r="J2175" s="18">
        <v>3061833.11</v>
      </c>
      <c r="K2175" t="s">
        <v>4742</v>
      </c>
      <c r="L2175" t="s">
        <v>4</v>
      </c>
      <c r="M2175" t="s">
        <v>4985</v>
      </c>
      <c r="N2175" t="s">
        <v>3</v>
      </c>
      <c r="O2175" t="s">
        <v>3</v>
      </c>
      <c r="P2175" t="s">
        <v>5</v>
      </c>
      <c r="Q2175" t="s">
        <v>4986</v>
      </c>
      <c r="R2175" t="s">
        <v>3</v>
      </c>
      <c r="S2175" t="s">
        <v>3</v>
      </c>
      <c r="T2175" t="s">
        <v>3</v>
      </c>
      <c r="U2175" t="s">
        <v>3</v>
      </c>
      <c r="V2175" t="s">
        <v>3</v>
      </c>
      <c r="W2175" t="s">
        <v>68</v>
      </c>
      <c r="X2175" s="17"/>
      <c r="Y2175" t="s">
        <v>3</v>
      </c>
      <c r="Z2175" s="17">
        <v>43734</v>
      </c>
      <c r="AA2175" t="s">
        <v>3</v>
      </c>
      <c r="AB2175" t="s">
        <v>4984</v>
      </c>
    </row>
    <row r="2176" spans="1:28" hidden="1">
      <c r="A2176" t="s">
        <v>4990</v>
      </c>
      <c r="B2176" s="17">
        <v>43737</v>
      </c>
      <c r="C2176" s="17">
        <v>43737</v>
      </c>
      <c r="D2176" t="s">
        <v>0</v>
      </c>
      <c r="E2176" t="s">
        <v>1</v>
      </c>
      <c r="F2176" s="18">
        <v>-1006483</v>
      </c>
      <c r="G2176" s="18">
        <v>-1006483</v>
      </c>
      <c r="H2176" t="s">
        <v>2</v>
      </c>
      <c r="I2176" t="s">
        <v>8</v>
      </c>
      <c r="J2176" s="18">
        <v>-84041330.510000005</v>
      </c>
      <c r="K2176" t="s">
        <v>4991</v>
      </c>
      <c r="L2176" t="s">
        <v>9</v>
      </c>
      <c r="M2176" t="s">
        <v>4992</v>
      </c>
      <c r="N2176" t="s">
        <v>3</v>
      </c>
      <c r="O2176" t="s">
        <v>3</v>
      </c>
      <c r="P2176" t="s">
        <v>5</v>
      </c>
      <c r="Q2176" t="s">
        <v>4993</v>
      </c>
      <c r="R2176" t="s">
        <v>3</v>
      </c>
      <c r="S2176" t="s">
        <v>3</v>
      </c>
      <c r="T2176" t="s">
        <v>3</v>
      </c>
      <c r="U2176" t="s">
        <v>3</v>
      </c>
      <c r="V2176" t="s">
        <v>3</v>
      </c>
      <c r="W2176" t="s">
        <v>68</v>
      </c>
      <c r="X2176" s="17"/>
      <c r="Y2176" t="s">
        <v>3</v>
      </c>
      <c r="Z2176" s="17">
        <v>43737</v>
      </c>
      <c r="AA2176" t="s">
        <v>3</v>
      </c>
      <c r="AB2176" t="s">
        <v>4990</v>
      </c>
    </row>
    <row r="2177" spans="1:28" hidden="1">
      <c r="A2177" t="s">
        <v>4994</v>
      </c>
      <c r="B2177" s="17">
        <v>43737</v>
      </c>
      <c r="C2177" s="17">
        <v>43737</v>
      </c>
      <c r="D2177" t="s">
        <v>0</v>
      </c>
      <c r="E2177" t="s">
        <v>1</v>
      </c>
      <c r="F2177" s="18">
        <v>16415</v>
      </c>
      <c r="G2177" s="18">
        <v>16415</v>
      </c>
      <c r="H2177" t="s">
        <v>2</v>
      </c>
      <c r="I2177" t="s">
        <v>8</v>
      </c>
      <c r="J2177" s="18">
        <v>1370652.5</v>
      </c>
      <c r="K2177" t="s">
        <v>4886</v>
      </c>
      <c r="L2177" t="s">
        <v>9</v>
      </c>
      <c r="M2177" t="s">
        <v>4995</v>
      </c>
      <c r="N2177" t="s">
        <v>3</v>
      </c>
      <c r="O2177" t="s">
        <v>3</v>
      </c>
      <c r="P2177" t="s">
        <v>5</v>
      </c>
      <c r="Q2177" t="s">
        <v>4996</v>
      </c>
      <c r="R2177" t="s">
        <v>3</v>
      </c>
      <c r="S2177" t="s">
        <v>3</v>
      </c>
      <c r="T2177" t="s">
        <v>3</v>
      </c>
      <c r="U2177" t="s">
        <v>3</v>
      </c>
      <c r="V2177" t="s">
        <v>3</v>
      </c>
      <c r="W2177" t="s">
        <v>68</v>
      </c>
      <c r="X2177" s="17"/>
      <c r="Y2177" t="s">
        <v>3</v>
      </c>
      <c r="Z2177" s="17">
        <v>43737</v>
      </c>
      <c r="AA2177" t="s">
        <v>3</v>
      </c>
      <c r="AB2177" t="s">
        <v>4994</v>
      </c>
    </row>
    <row r="2178" spans="1:28" hidden="1">
      <c r="A2178" t="s">
        <v>4997</v>
      </c>
      <c r="B2178" s="17">
        <v>43737</v>
      </c>
      <c r="C2178" s="17">
        <v>43737</v>
      </c>
      <c r="D2178" t="s">
        <v>0</v>
      </c>
      <c r="E2178" t="s">
        <v>1</v>
      </c>
      <c r="F2178" s="18">
        <v>5851</v>
      </c>
      <c r="G2178" s="18">
        <v>5851</v>
      </c>
      <c r="H2178" t="s">
        <v>2</v>
      </c>
      <c r="I2178" t="s">
        <v>8</v>
      </c>
      <c r="J2178" s="18">
        <v>488558.5</v>
      </c>
      <c r="K2178" t="s">
        <v>4886</v>
      </c>
      <c r="L2178" t="s">
        <v>9</v>
      </c>
      <c r="M2178" t="s">
        <v>4998</v>
      </c>
      <c r="N2178" t="s">
        <v>3</v>
      </c>
      <c r="O2178" t="s">
        <v>3</v>
      </c>
      <c r="P2178" t="s">
        <v>5</v>
      </c>
      <c r="Q2178" t="s">
        <v>4999</v>
      </c>
      <c r="R2178" t="s">
        <v>3</v>
      </c>
      <c r="S2178" t="s">
        <v>3</v>
      </c>
      <c r="T2178" t="s">
        <v>3</v>
      </c>
      <c r="U2178" t="s">
        <v>3</v>
      </c>
      <c r="V2178" t="s">
        <v>3</v>
      </c>
      <c r="W2178" t="s">
        <v>68</v>
      </c>
      <c r="X2178" s="17"/>
      <c r="Y2178" t="s">
        <v>3</v>
      </c>
      <c r="Z2178" s="17">
        <v>43737</v>
      </c>
      <c r="AA2178" t="s">
        <v>3</v>
      </c>
      <c r="AB2178" t="s">
        <v>4997</v>
      </c>
    </row>
    <row r="2179" spans="1:28" hidden="1">
      <c r="A2179" t="s">
        <v>5000</v>
      </c>
      <c r="B2179" s="17">
        <v>43737</v>
      </c>
      <c r="C2179" s="17">
        <v>43737</v>
      </c>
      <c r="D2179" t="s">
        <v>0</v>
      </c>
      <c r="E2179" t="s">
        <v>1</v>
      </c>
      <c r="F2179" s="18">
        <v>14214</v>
      </c>
      <c r="G2179" s="18">
        <v>14214</v>
      </c>
      <c r="H2179" t="s">
        <v>2</v>
      </c>
      <c r="I2179" t="s">
        <v>8</v>
      </c>
      <c r="J2179" s="18">
        <v>1186869</v>
      </c>
      <c r="K2179" t="s">
        <v>4604</v>
      </c>
      <c r="L2179" t="s">
        <v>9</v>
      </c>
      <c r="M2179" t="s">
        <v>5001</v>
      </c>
      <c r="N2179" t="s">
        <v>3</v>
      </c>
      <c r="O2179" t="s">
        <v>3</v>
      </c>
      <c r="P2179" t="s">
        <v>5</v>
      </c>
      <c r="Q2179" t="s">
        <v>5002</v>
      </c>
      <c r="R2179" t="s">
        <v>3</v>
      </c>
      <c r="S2179" t="s">
        <v>3</v>
      </c>
      <c r="T2179" t="s">
        <v>3</v>
      </c>
      <c r="U2179" t="s">
        <v>3</v>
      </c>
      <c r="V2179" t="s">
        <v>3</v>
      </c>
      <c r="W2179" t="s">
        <v>68</v>
      </c>
      <c r="X2179" s="17"/>
      <c r="Y2179" t="s">
        <v>3</v>
      </c>
      <c r="Z2179" s="17">
        <v>43737</v>
      </c>
      <c r="AA2179" t="s">
        <v>3</v>
      </c>
      <c r="AB2179" t="s">
        <v>5000</v>
      </c>
    </row>
    <row r="2180" spans="1:28" hidden="1">
      <c r="A2180" t="s">
        <v>5000</v>
      </c>
      <c r="B2180" s="17">
        <v>43737</v>
      </c>
      <c r="C2180" s="17">
        <v>43737</v>
      </c>
      <c r="D2180" t="s">
        <v>0</v>
      </c>
      <c r="E2180" t="s">
        <v>1</v>
      </c>
      <c r="F2180" s="18">
        <v>5230</v>
      </c>
      <c r="G2180" s="18">
        <v>5230</v>
      </c>
      <c r="H2180" t="s">
        <v>2</v>
      </c>
      <c r="I2180" t="s">
        <v>8</v>
      </c>
      <c r="J2180" s="18">
        <v>436705</v>
      </c>
      <c r="K2180" t="s">
        <v>4754</v>
      </c>
      <c r="L2180" t="s">
        <v>9</v>
      </c>
      <c r="M2180" t="s">
        <v>5001</v>
      </c>
      <c r="N2180" t="s">
        <v>3</v>
      </c>
      <c r="O2180" t="s">
        <v>3</v>
      </c>
      <c r="P2180" t="s">
        <v>5</v>
      </c>
      <c r="Q2180" t="s">
        <v>5002</v>
      </c>
      <c r="R2180" t="s">
        <v>3</v>
      </c>
      <c r="S2180" t="s">
        <v>3</v>
      </c>
      <c r="T2180" t="s">
        <v>3</v>
      </c>
      <c r="U2180" t="s">
        <v>3</v>
      </c>
      <c r="V2180" t="s">
        <v>3</v>
      </c>
      <c r="W2180" t="s">
        <v>68</v>
      </c>
      <c r="X2180" s="17">
        <v>44012</v>
      </c>
      <c r="Y2180" t="s">
        <v>4137</v>
      </c>
      <c r="Z2180" s="17">
        <v>43737</v>
      </c>
      <c r="AA2180" t="s">
        <v>3</v>
      </c>
      <c r="AB2180" t="s">
        <v>5000</v>
      </c>
    </row>
    <row r="2181" spans="1:28" hidden="1">
      <c r="A2181" t="s">
        <v>5000</v>
      </c>
      <c r="B2181" s="17">
        <v>43737</v>
      </c>
      <c r="C2181" s="17">
        <v>43737</v>
      </c>
      <c r="D2181" t="s">
        <v>0</v>
      </c>
      <c r="E2181" t="s">
        <v>1</v>
      </c>
      <c r="F2181" s="18">
        <v>48083</v>
      </c>
      <c r="G2181" s="18">
        <v>48083</v>
      </c>
      <c r="H2181" t="s">
        <v>2</v>
      </c>
      <c r="I2181" t="s">
        <v>8</v>
      </c>
      <c r="J2181" s="18">
        <v>4014930.5</v>
      </c>
      <c r="K2181" t="s">
        <v>4886</v>
      </c>
      <c r="L2181" t="s">
        <v>9</v>
      </c>
      <c r="M2181" t="s">
        <v>5001</v>
      </c>
      <c r="N2181" t="s">
        <v>3</v>
      </c>
      <c r="O2181" t="s">
        <v>3</v>
      </c>
      <c r="P2181" t="s">
        <v>5</v>
      </c>
      <c r="Q2181" t="s">
        <v>5002</v>
      </c>
      <c r="R2181" t="s">
        <v>3</v>
      </c>
      <c r="S2181" t="s">
        <v>3</v>
      </c>
      <c r="T2181" t="s">
        <v>3</v>
      </c>
      <c r="U2181" t="s">
        <v>3</v>
      </c>
      <c r="V2181" t="s">
        <v>3</v>
      </c>
      <c r="W2181" t="s">
        <v>68</v>
      </c>
      <c r="X2181" s="17"/>
      <c r="Y2181" t="s">
        <v>3</v>
      </c>
      <c r="Z2181" s="17">
        <v>43737</v>
      </c>
      <c r="AA2181" t="s">
        <v>3</v>
      </c>
      <c r="AB2181" t="s">
        <v>5000</v>
      </c>
    </row>
    <row r="2182" spans="1:28" hidden="1">
      <c r="A2182" t="s">
        <v>5000</v>
      </c>
      <c r="B2182" s="17">
        <v>43737</v>
      </c>
      <c r="C2182" s="17">
        <v>43737</v>
      </c>
      <c r="D2182" t="s">
        <v>0</v>
      </c>
      <c r="E2182" t="s">
        <v>1</v>
      </c>
      <c r="F2182" s="18">
        <v>934</v>
      </c>
      <c r="G2182" s="18">
        <v>934</v>
      </c>
      <c r="H2182" t="s">
        <v>2</v>
      </c>
      <c r="I2182" t="s">
        <v>8</v>
      </c>
      <c r="J2182" s="18">
        <v>77989</v>
      </c>
      <c r="K2182" t="s">
        <v>4736</v>
      </c>
      <c r="L2182" t="s">
        <v>9</v>
      </c>
      <c r="M2182" t="s">
        <v>5001</v>
      </c>
      <c r="N2182" t="s">
        <v>3</v>
      </c>
      <c r="O2182" t="s">
        <v>3</v>
      </c>
      <c r="P2182" t="s">
        <v>5</v>
      </c>
      <c r="Q2182" t="s">
        <v>5002</v>
      </c>
      <c r="R2182" t="s">
        <v>3</v>
      </c>
      <c r="S2182" t="s">
        <v>3</v>
      </c>
      <c r="T2182" t="s">
        <v>3</v>
      </c>
      <c r="U2182" t="s">
        <v>3</v>
      </c>
      <c r="V2182" t="s">
        <v>3</v>
      </c>
      <c r="W2182" t="s">
        <v>68</v>
      </c>
      <c r="X2182" s="17">
        <v>44012</v>
      </c>
      <c r="Y2182" t="s">
        <v>4137</v>
      </c>
      <c r="Z2182" s="17">
        <v>43737</v>
      </c>
      <c r="AA2182" t="s">
        <v>3</v>
      </c>
      <c r="AB2182" t="s">
        <v>5000</v>
      </c>
    </row>
    <row r="2183" spans="1:28" hidden="1">
      <c r="A2183" t="s">
        <v>5000</v>
      </c>
      <c r="B2183" s="17">
        <v>43737</v>
      </c>
      <c r="C2183" s="17">
        <v>43737</v>
      </c>
      <c r="D2183" t="s">
        <v>0</v>
      </c>
      <c r="E2183" t="s">
        <v>1</v>
      </c>
      <c r="F2183" s="18">
        <v>387</v>
      </c>
      <c r="G2183" s="18">
        <v>387</v>
      </c>
      <c r="H2183" t="s">
        <v>2</v>
      </c>
      <c r="I2183" t="s">
        <v>8</v>
      </c>
      <c r="J2183" s="18">
        <v>32306.76</v>
      </c>
      <c r="K2183" t="s">
        <v>4607</v>
      </c>
      <c r="L2183" t="s">
        <v>9</v>
      </c>
      <c r="M2183" t="s">
        <v>5001</v>
      </c>
      <c r="N2183" t="s">
        <v>3</v>
      </c>
      <c r="O2183" t="s">
        <v>3</v>
      </c>
      <c r="P2183" t="s">
        <v>5</v>
      </c>
      <c r="Q2183" t="s">
        <v>5002</v>
      </c>
      <c r="R2183" t="s">
        <v>3</v>
      </c>
      <c r="S2183" t="s">
        <v>3</v>
      </c>
      <c r="T2183" t="s">
        <v>3</v>
      </c>
      <c r="U2183" t="s">
        <v>3</v>
      </c>
      <c r="V2183" t="s">
        <v>3</v>
      </c>
      <c r="W2183" t="s">
        <v>68</v>
      </c>
      <c r="X2183" s="17">
        <v>43769</v>
      </c>
      <c r="Y2183" t="s">
        <v>4160</v>
      </c>
      <c r="Z2183" s="17">
        <v>43737</v>
      </c>
      <c r="AA2183" t="s">
        <v>3</v>
      </c>
      <c r="AB2183" t="s">
        <v>5000</v>
      </c>
    </row>
    <row r="2184" spans="1:28" hidden="1">
      <c r="A2184" t="s">
        <v>5000</v>
      </c>
      <c r="B2184" s="17">
        <v>43737</v>
      </c>
      <c r="C2184" s="17">
        <v>43737</v>
      </c>
      <c r="D2184" t="s">
        <v>0</v>
      </c>
      <c r="E2184" t="s">
        <v>1</v>
      </c>
      <c r="F2184" s="18">
        <v>11737</v>
      </c>
      <c r="G2184" s="18">
        <v>11737</v>
      </c>
      <c r="H2184" t="s">
        <v>2</v>
      </c>
      <c r="I2184" t="s">
        <v>8</v>
      </c>
      <c r="J2184" s="18">
        <v>979804.76</v>
      </c>
      <c r="K2184" t="s">
        <v>4608</v>
      </c>
      <c r="L2184" t="s">
        <v>9</v>
      </c>
      <c r="M2184" t="s">
        <v>5001</v>
      </c>
      <c r="N2184" t="s">
        <v>3</v>
      </c>
      <c r="O2184" t="s">
        <v>3</v>
      </c>
      <c r="P2184" t="s">
        <v>5</v>
      </c>
      <c r="Q2184" t="s">
        <v>5002</v>
      </c>
      <c r="R2184" t="s">
        <v>3</v>
      </c>
      <c r="S2184" t="s">
        <v>3</v>
      </c>
      <c r="T2184" t="s">
        <v>3</v>
      </c>
      <c r="U2184" t="s">
        <v>3</v>
      </c>
      <c r="V2184" t="s">
        <v>3</v>
      </c>
      <c r="W2184" t="s">
        <v>68</v>
      </c>
      <c r="X2184" s="17">
        <v>44012</v>
      </c>
      <c r="Y2184" t="s">
        <v>4137</v>
      </c>
      <c r="Z2184" s="17">
        <v>43737</v>
      </c>
      <c r="AA2184" t="s">
        <v>3</v>
      </c>
      <c r="AB2184" t="s">
        <v>5000</v>
      </c>
    </row>
    <row r="2185" spans="1:28" hidden="1">
      <c r="A2185" t="s">
        <v>4397</v>
      </c>
      <c r="B2185" s="17">
        <v>43738</v>
      </c>
      <c r="C2185" s="17">
        <v>43738</v>
      </c>
      <c r="D2185" t="s">
        <v>38</v>
      </c>
      <c r="E2185" t="s">
        <v>1</v>
      </c>
      <c r="F2185" s="18">
        <v>1185533.8799999999</v>
      </c>
      <c r="G2185" s="18">
        <v>1185533.8799999999</v>
      </c>
      <c r="H2185" t="s">
        <v>2</v>
      </c>
      <c r="I2185" t="s">
        <v>8</v>
      </c>
      <c r="J2185" s="18">
        <v>98992078.980000004</v>
      </c>
      <c r="K2185" t="s">
        <v>4398</v>
      </c>
      <c r="L2185" t="s">
        <v>4</v>
      </c>
      <c r="M2185" t="s">
        <v>4399</v>
      </c>
      <c r="N2185" t="s">
        <v>3</v>
      </c>
      <c r="O2185" t="s">
        <v>3</v>
      </c>
      <c r="P2185" t="s">
        <v>5</v>
      </c>
      <c r="Q2185" t="s">
        <v>4398</v>
      </c>
      <c r="R2185" t="s">
        <v>3</v>
      </c>
      <c r="S2185" t="s">
        <v>3</v>
      </c>
      <c r="T2185" t="s">
        <v>3</v>
      </c>
      <c r="U2185" t="s">
        <v>3</v>
      </c>
      <c r="V2185" t="s">
        <v>3</v>
      </c>
      <c r="W2185" t="s">
        <v>68</v>
      </c>
      <c r="X2185" s="17">
        <v>43738</v>
      </c>
      <c r="Y2185" t="s">
        <v>4397</v>
      </c>
      <c r="Z2185" s="17">
        <v>43738</v>
      </c>
      <c r="AA2185" t="s">
        <v>3</v>
      </c>
      <c r="AB2185" t="s">
        <v>4397</v>
      </c>
    </row>
    <row r="2186" spans="1:28" hidden="1">
      <c r="A2186" t="s">
        <v>5003</v>
      </c>
      <c r="B2186" s="17">
        <v>43738</v>
      </c>
      <c r="C2186" s="17">
        <v>43738</v>
      </c>
      <c r="D2186" t="s">
        <v>0</v>
      </c>
      <c r="E2186" t="s">
        <v>1</v>
      </c>
      <c r="F2186" s="18">
        <v>1277</v>
      </c>
      <c r="G2186" s="18">
        <v>1277</v>
      </c>
      <c r="H2186" t="s">
        <v>2</v>
      </c>
      <c r="I2186" t="s">
        <v>10</v>
      </c>
      <c r="J2186" s="18">
        <v>106629.5</v>
      </c>
      <c r="K2186" t="s">
        <v>4919</v>
      </c>
      <c r="L2186" t="s">
        <v>9</v>
      </c>
      <c r="M2186" t="s">
        <v>5004</v>
      </c>
      <c r="N2186" t="s">
        <v>3</v>
      </c>
      <c r="O2186" t="s">
        <v>3</v>
      </c>
      <c r="P2186" t="s">
        <v>5</v>
      </c>
      <c r="Q2186" t="s">
        <v>5005</v>
      </c>
      <c r="R2186" t="s">
        <v>3</v>
      </c>
      <c r="S2186" t="s">
        <v>3</v>
      </c>
      <c r="T2186" t="s">
        <v>3</v>
      </c>
      <c r="U2186" t="s">
        <v>3</v>
      </c>
      <c r="V2186" t="s">
        <v>3</v>
      </c>
      <c r="W2186" t="s">
        <v>68</v>
      </c>
      <c r="X2186" s="17"/>
      <c r="Y2186" t="s">
        <v>3</v>
      </c>
      <c r="Z2186" s="17">
        <v>43738</v>
      </c>
      <c r="AA2186" t="s">
        <v>3</v>
      </c>
      <c r="AB2186" t="s">
        <v>5003</v>
      </c>
    </row>
    <row r="2187" spans="1:28" hidden="1">
      <c r="A2187" t="s">
        <v>5006</v>
      </c>
      <c r="B2187" s="17">
        <v>43738</v>
      </c>
      <c r="C2187" s="17">
        <v>43738</v>
      </c>
      <c r="D2187" t="s">
        <v>0</v>
      </c>
      <c r="E2187" t="s">
        <v>1</v>
      </c>
      <c r="F2187" s="18">
        <v>1675</v>
      </c>
      <c r="G2187" s="18">
        <v>1675</v>
      </c>
      <c r="H2187" t="s">
        <v>2</v>
      </c>
      <c r="I2187" t="s">
        <v>8</v>
      </c>
      <c r="J2187" s="18">
        <v>139862.5</v>
      </c>
      <c r="K2187" t="s">
        <v>4882</v>
      </c>
      <c r="L2187" t="s">
        <v>4</v>
      </c>
      <c r="M2187" t="s">
        <v>5007</v>
      </c>
      <c r="N2187" t="s">
        <v>3</v>
      </c>
      <c r="O2187" t="s">
        <v>3</v>
      </c>
      <c r="P2187" t="s">
        <v>5</v>
      </c>
      <c r="Q2187" t="s">
        <v>5008</v>
      </c>
      <c r="R2187" t="s">
        <v>3</v>
      </c>
      <c r="S2187" t="s">
        <v>3</v>
      </c>
      <c r="T2187" t="s">
        <v>3</v>
      </c>
      <c r="U2187" t="s">
        <v>3</v>
      </c>
      <c r="V2187" t="s">
        <v>3</v>
      </c>
      <c r="W2187" t="s">
        <v>68</v>
      </c>
      <c r="X2187" s="17"/>
      <c r="Y2187" t="s">
        <v>3</v>
      </c>
      <c r="Z2187" s="17">
        <v>43738</v>
      </c>
      <c r="AA2187" t="s">
        <v>3</v>
      </c>
      <c r="AB2187" t="s">
        <v>5006</v>
      </c>
    </row>
    <row r="2188" spans="1:28" hidden="1">
      <c r="A2188" t="s">
        <v>5050</v>
      </c>
      <c r="B2188" s="17">
        <v>43738</v>
      </c>
      <c r="C2188" s="17">
        <v>43738</v>
      </c>
      <c r="D2188" t="s">
        <v>0</v>
      </c>
      <c r="E2188" t="s">
        <v>1</v>
      </c>
      <c r="F2188" s="18">
        <v>28006</v>
      </c>
      <c r="G2188" s="18">
        <v>28006</v>
      </c>
      <c r="H2188" t="s">
        <v>2</v>
      </c>
      <c r="I2188" t="s">
        <v>8</v>
      </c>
      <c r="J2188" s="18">
        <v>2337940.88</v>
      </c>
      <c r="K2188" t="s">
        <v>4401</v>
      </c>
      <c r="L2188" t="s">
        <v>2332</v>
      </c>
      <c r="M2188" t="s">
        <v>4402</v>
      </c>
      <c r="N2188" t="s">
        <v>3</v>
      </c>
      <c r="O2188" t="s">
        <v>3</v>
      </c>
      <c r="P2188" t="s">
        <v>5</v>
      </c>
      <c r="Q2188" t="s">
        <v>4403</v>
      </c>
      <c r="R2188" t="s">
        <v>3</v>
      </c>
      <c r="S2188" t="s">
        <v>3</v>
      </c>
      <c r="T2188" t="s">
        <v>3</v>
      </c>
      <c r="U2188" t="s">
        <v>3</v>
      </c>
      <c r="V2188" t="s">
        <v>3</v>
      </c>
      <c r="W2188" t="s">
        <v>68</v>
      </c>
      <c r="X2188" s="17">
        <v>43739</v>
      </c>
      <c r="Y2188" t="s">
        <v>4400</v>
      </c>
      <c r="Z2188" s="17">
        <v>43738</v>
      </c>
      <c r="AA2188" t="s">
        <v>3</v>
      </c>
      <c r="AB2188" t="s">
        <v>5050</v>
      </c>
    </row>
    <row r="2189" spans="1:28" hidden="1">
      <c r="A2189" t="s">
        <v>5050</v>
      </c>
      <c r="B2189" s="17">
        <v>43738</v>
      </c>
      <c r="C2189" s="17">
        <v>43738</v>
      </c>
      <c r="D2189" t="s">
        <v>0</v>
      </c>
      <c r="E2189" t="s">
        <v>1</v>
      </c>
      <c r="F2189" s="18">
        <v>-1000000</v>
      </c>
      <c r="G2189" s="18">
        <v>-1000000</v>
      </c>
      <c r="H2189" t="s">
        <v>2</v>
      </c>
      <c r="I2189" t="s">
        <v>8</v>
      </c>
      <c r="J2189" s="18">
        <v>-83480000</v>
      </c>
      <c r="K2189" t="s">
        <v>4401</v>
      </c>
      <c r="L2189" t="s">
        <v>9</v>
      </c>
      <c r="M2189" t="s">
        <v>4402</v>
      </c>
      <c r="N2189" t="s">
        <v>3</v>
      </c>
      <c r="O2189" t="s">
        <v>3</v>
      </c>
      <c r="P2189" t="s">
        <v>5</v>
      </c>
      <c r="Q2189" t="s">
        <v>4403</v>
      </c>
      <c r="R2189" t="s">
        <v>3</v>
      </c>
      <c r="S2189" t="s">
        <v>3</v>
      </c>
      <c r="T2189" t="s">
        <v>3</v>
      </c>
      <c r="U2189" t="s">
        <v>3</v>
      </c>
      <c r="V2189" t="s">
        <v>3</v>
      </c>
      <c r="W2189" t="s">
        <v>68</v>
      </c>
      <c r="X2189" s="17">
        <v>43739</v>
      </c>
      <c r="Y2189" t="s">
        <v>4400</v>
      </c>
      <c r="Z2189" s="17">
        <v>43738</v>
      </c>
      <c r="AA2189" t="s">
        <v>3</v>
      </c>
      <c r="AB2189" t="s">
        <v>5050</v>
      </c>
    </row>
    <row r="2190" spans="1:28" hidden="1">
      <c r="A2190" t="s">
        <v>5065</v>
      </c>
      <c r="B2190" s="17">
        <v>43738</v>
      </c>
      <c r="C2190" s="17">
        <v>43738</v>
      </c>
      <c r="D2190" t="s">
        <v>0</v>
      </c>
      <c r="E2190" t="s">
        <v>1</v>
      </c>
      <c r="F2190" s="18">
        <v>-1185533.8799999999</v>
      </c>
      <c r="G2190" s="18">
        <v>-1185533.8799999999</v>
      </c>
      <c r="H2190" t="s">
        <v>2</v>
      </c>
      <c r="I2190" t="s">
        <v>8</v>
      </c>
      <c r="J2190" s="18">
        <v>-98992078.980000004</v>
      </c>
      <c r="K2190" t="s">
        <v>4398</v>
      </c>
      <c r="L2190" t="s">
        <v>4</v>
      </c>
      <c r="M2190" t="s">
        <v>4399</v>
      </c>
      <c r="N2190" t="s">
        <v>3</v>
      </c>
      <c r="O2190" t="s">
        <v>3</v>
      </c>
      <c r="P2190" t="s">
        <v>5</v>
      </c>
      <c r="Q2190" t="s">
        <v>4398</v>
      </c>
      <c r="R2190" t="s">
        <v>3</v>
      </c>
      <c r="S2190" t="s">
        <v>3</v>
      </c>
      <c r="T2190" t="s">
        <v>3</v>
      </c>
      <c r="U2190" t="s">
        <v>3</v>
      </c>
      <c r="V2190" t="s">
        <v>3</v>
      </c>
      <c r="W2190" t="s">
        <v>68</v>
      </c>
      <c r="X2190" s="17">
        <v>43738</v>
      </c>
      <c r="Y2190" t="s">
        <v>4397</v>
      </c>
      <c r="Z2190" s="17">
        <v>43738</v>
      </c>
      <c r="AA2190" t="s">
        <v>3</v>
      </c>
      <c r="AB2190" t="s">
        <v>5065</v>
      </c>
    </row>
    <row r="2191" spans="1:28" hidden="1">
      <c r="A2191" t="s">
        <v>5066</v>
      </c>
      <c r="B2191" s="17">
        <v>43738</v>
      </c>
      <c r="C2191" s="17">
        <v>43738</v>
      </c>
      <c r="D2191" t="s">
        <v>0</v>
      </c>
      <c r="E2191" t="s">
        <v>1</v>
      </c>
      <c r="F2191" s="18">
        <v>-1157527.8799999999</v>
      </c>
      <c r="G2191" s="18">
        <v>-1157527.8799999999</v>
      </c>
      <c r="H2191" t="s">
        <v>2</v>
      </c>
      <c r="I2191" t="s">
        <v>8</v>
      </c>
      <c r="J2191" s="18">
        <v>-96653577.980000004</v>
      </c>
      <c r="K2191" t="s">
        <v>4398</v>
      </c>
      <c r="L2191" t="s">
        <v>4</v>
      </c>
      <c r="M2191" t="s">
        <v>4399</v>
      </c>
      <c r="N2191" t="s">
        <v>3</v>
      </c>
      <c r="O2191" t="s">
        <v>3</v>
      </c>
      <c r="P2191" t="s">
        <v>5</v>
      </c>
      <c r="Q2191" t="s">
        <v>4398</v>
      </c>
      <c r="R2191" t="s">
        <v>3</v>
      </c>
      <c r="S2191" t="s">
        <v>3</v>
      </c>
      <c r="T2191" t="s">
        <v>3</v>
      </c>
      <c r="U2191" t="s">
        <v>3</v>
      </c>
      <c r="V2191" t="s">
        <v>3</v>
      </c>
      <c r="W2191" t="s">
        <v>68</v>
      </c>
      <c r="X2191" s="17">
        <v>43739</v>
      </c>
      <c r="Y2191" t="s">
        <v>4404</v>
      </c>
      <c r="Z2191" s="17">
        <v>43738</v>
      </c>
      <c r="AA2191" t="s">
        <v>3</v>
      </c>
      <c r="AB2191" t="s">
        <v>5066</v>
      </c>
    </row>
    <row r="2192" spans="1:28" hidden="1">
      <c r="A2192" t="s">
        <v>4386</v>
      </c>
      <c r="B2192" s="17">
        <v>43739</v>
      </c>
      <c r="C2192" s="17">
        <v>43739</v>
      </c>
      <c r="D2192" t="s">
        <v>38</v>
      </c>
      <c r="E2192" t="s">
        <v>1</v>
      </c>
      <c r="F2192" s="18">
        <v>901959.28</v>
      </c>
      <c r="G2192" s="18">
        <v>901959.28</v>
      </c>
      <c r="H2192" t="s">
        <v>2</v>
      </c>
      <c r="I2192" t="s">
        <v>8</v>
      </c>
      <c r="J2192" s="18">
        <v>75313599.900000006</v>
      </c>
      <c r="K2192" t="s">
        <v>4387</v>
      </c>
      <c r="L2192" t="s">
        <v>9</v>
      </c>
      <c r="M2192" t="s">
        <v>4388</v>
      </c>
      <c r="N2192" t="s">
        <v>3</v>
      </c>
      <c r="O2192" t="s">
        <v>3</v>
      </c>
      <c r="P2192" t="s">
        <v>5</v>
      </c>
      <c r="Q2192" t="s">
        <v>4389</v>
      </c>
      <c r="R2192" t="s">
        <v>3</v>
      </c>
      <c r="S2192" t="s">
        <v>3</v>
      </c>
      <c r="T2192" t="s">
        <v>3</v>
      </c>
      <c r="U2192" t="s">
        <v>3</v>
      </c>
      <c r="V2192" t="s">
        <v>3</v>
      </c>
      <c r="W2192" t="s">
        <v>68</v>
      </c>
      <c r="X2192" s="17">
        <v>43739</v>
      </c>
      <c r="Y2192" t="s">
        <v>4386</v>
      </c>
      <c r="Z2192" s="17">
        <v>43739</v>
      </c>
      <c r="AA2192" t="s">
        <v>3</v>
      </c>
      <c r="AB2192" t="s">
        <v>4386</v>
      </c>
    </row>
    <row r="2193" spans="1:28" hidden="1">
      <c r="A2193" t="s">
        <v>4400</v>
      </c>
      <c r="B2193" s="17">
        <v>43739</v>
      </c>
      <c r="C2193" s="17">
        <v>43738</v>
      </c>
      <c r="D2193" t="s">
        <v>38</v>
      </c>
      <c r="E2193" t="s">
        <v>1</v>
      </c>
      <c r="F2193" s="18">
        <v>-28006</v>
      </c>
      <c r="G2193" s="18">
        <v>-28006</v>
      </c>
      <c r="H2193" t="s">
        <v>2</v>
      </c>
      <c r="I2193" t="s">
        <v>8</v>
      </c>
      <c r="J2193" s="18">
        <v>-2337940.88</v>
      </c>
      <c r="K2193" t="s">
        <v>4401</v>
      </c>
      <c r="L2193" t="s">
        <v>2332</v>
      </c>
      <c r="M2193" t="s">
        <v>4402</v>
      </c>
      <c r="N2193" t="s">
        <v>3</v>
      </c>
      <c r="O2193" t="s">
        <v>3</v>
      </c>
      <c r="P2193" t="s">
        <v>5</v>
      </c>
      <c r="Q2193" t="s">
        <v>4403</v>
      </c>
      <c r="R2193" t="s">
        <v>3</v>
      </c>
      <c r="S2193" t="s">
        <v>3</v>
      </c>
      <c r="T2193" t="s">
        <v>3</v>
      </c>
      <c r="U2193" t="s">
        <v>3</v>
      </c>
      <c r="V2193" t="s">
        <v>3</v>
      </c>
      <c r="W2193" t="s">
        <v>68</v>
      </c>
      <c r="X2193" s="17">
        <v>43739</v>
      </c>
      <c r="Y2193" t="s">
        <v>4400</v>
      </c>
      <c r="Z2193" s="17">
        <v>43738</v>
      </c>
      <c r="AA2193" t="s">
        <v>3</v>
      </c>
      <c r="AB2193" t="s">
        <v>4400</v>
      </c>
    </row>
    <row r="2194" spans="1:28" hidden="1">
      <c r="A2194" t="s">
        <v>4400</v>
      </c>
      <c r="B2194" s="17">
        <v>43739</v>
      </c>
      <c r="C2194" s="17">
        <v>43738</v>
      </c>
      <c r="D2194" t="s">
        <v>38</v>
      </c>
      <c r="E2194" t="s">
        <v>1</v>
      </c>
      <c r="F2194" s="18">
        <v>1000000</v>
      </c>
      <c r="G2194" s="18">
        <v>1000000</v>
      </c>
      <c r="H2194" t="s">
        <v>2</v>
      </c>
      <c r="I2194" t="s">
        <v>8</v>
      </c>
      <c r="J2194" s="18">
        <v>83480000</v>
      </c>
      <c r="K2194" t="s">
        <v>4401</v>
      </c>
      <c r="L2194" t="s">
        <v>9</v>
      </c>
      <c r="M2194" t="s">
        <v>4402</v>
      </c>
      <c r="N2194" t="s">
        <v>3</v>
      </c>
      <c r="O2194" t="s">
        <v>3</v>
      </c>
      <c r="P2194" t="s">
        <v>5</v>
      </c>
      <c r="Q2194" t="s">
        <v>4403</v>
      </c>
      <c r="R2194" t="s">
        <v>3</v>
      </c>
      <c r="S2194" t="s">
        <v>3</v>
      </c>
      <c r="T2194" t="s">
        <v>3</v>
      </c>
      <c r="U2194" t="s">
        <v>3</v>
      </c>
      <c r="V2194" t="s">
        <v>3</v>
      </c>
      <c r="W2194" t="s">
        <v>68</v>
      </c>
      <c r="X2194" s="17">
        <v>43739</v>
      </c>
      <c r="Y2194" t="s">
        <v>4400</v>
      </c>
      <c r="Z2194" s="17">
        <v>43738</v>
      </c>
      <c r="AA2194" t="s">
        <v>3</v>
      </c>
      <c r="AB2194" t="s">
        <v>4400</v>
      </c>
    </row>
    <row r="2195" spans="1:28" hidden="1">
      <c r="A2195" t="s">
        <v>4404</v>
      </c>
      <c r="B2195" s="17">
        <v>43739</v>
      </c>
      <c r="C2195" s="17">
        <v>43738</v>
      </c>
      <c r="D2195" t="s">
        <v>38</v>
      </c>
      <c r="E2195" t="s">
        <v>1</v>
      </c>
      <c r="F2195" s="18">
        <v>1157527.8799999999</v>
      </c>
      <c r="G2195" s="18">
        <v>1157527.8799999999</v>
      </c>
      <c r="H2195" t="s">
        <v>2</v>
      </c>
      <c r="I2195" t="s">
        <v>8</v>
      </c>
      <c r="J2195" s="18">
        <v>96653577.980000004</v>
      </c>
      <c r="K2195" t="s">
        <v>4398</v>
      </c>
      <c r="L2195" t="s">
        <v>4</v>
      </c>
      <c r="M2195" t="s">
        <v>4399</v>
      </c>
      <c r="N2195" t="s">
        <v>3</v>
      </c>
      <c r="O2195" t="s">
        <v>3</v>
      </c>
      <c r="P2195" t="s">
        <v>5</v>
      </c>
      <c r="Q2195" t="s">
        <v>4398</v>
      </c>
      <c r="R2195" t="s">
        <v>3</v>
      </c>
      <c r="S2195" t="s">
        <v>3</v>
      </c>
      <c r="T2195" t="s">
        <v>3</v>
      </c>
      <c r="U2195" t="s">
        <v>3</v>
      </c>
      <c r="V2195" t="s">
        <v>3</v>
      </c>
      <c r="W2195" t="s">
        <v>68</v>
      </c>
      <c r="X2195" s="17">
        <v>43739</v>
      </c>
      <c r="Y2195" t="s">
        <v>4404</v>
      </c>
      <c r="Z2195" s="17">
        <v>43738</v>
      </c>
      <c r="AA2195" t="s">
        <v>3</v>
      </c>
      <c r="AB2195" t="s">
        <v>4404</v>
      </c>
    </row>
    <row r="2196" spans="1:28" hidden="1">
      <c r="A2196" t="s">
        <v>5009</v>
      </c>
      <c r="B2196" s="17">
        <v>43739</v>
      </c>
      <c r="C2196" s="17">
        <v>43739</v>
      </c>
      <c r="D2196" t="s">
        <v>0</v>
      </c>
      <c r="E2196" t="s">
        <v>1</v>
      </c>
      <c r="F2196" s="18">
        <v>-315491.13</v>
      </c>
      <c r="G2196" s="18">
        <v>-315491.13</v>
      </c>
      <c r="H2196" t="s">
        <v>2</v>
      </c>
      <c r="I2196" t="s">
        <v>10</v>
      </c>
      <c r="J2196" s="18">
        <v>-26343509.370000001</v>
      </c>
      <c r="K2196" t="s">
        <v>5010</v>
      </c>
      <c r="L2196" t="s">
        <v>4</v>
      </c>
      <c r="M2196" t="s">
        <v>5011</v>
      </c>
      <c r="N2196" t="s">
        <v>3</v>
      </c>
      <c r="O2196" t="s">
        <v>3</v>
      </c>
      <c r="P2196" t="s">
        <v>5</v>
      </c>
      <c r="Q2196" t="s">
        <v>5012</v>
      </c>
      <c r="R2196" t="s">
        <v>3</v>
      </c>
      <c r="S2196" t="s">
        <v>3</v>
      </c>
      <c r="T2196" t="s">
        <v>3</v>
      </c>
      <c r="U2196" t="s">
        <v>3</v>
      </c>
      <c r="V2196" t="s">
        <v>3</v>
      </c>
      <c r="W2196" t="s">
        <v>68</v>
      </c>
      <c r="X2196" s="17"/>
      <c r="Y2196" t="s">
        <v>3</v>
      </c>
      <c r="Z2196" s="17">
        <v>43739</v>
      </c>
      <c r="AA2196" t="s">
        <v>3</v>
      </c>
      <c r="AB2196" t="s">
        <v>5009</v>
      </c>
    </row>
    <row r="2197" spans="1:28" hidden="1">
      <c r="A2197" t="s">
        <v>5013</v>
      </c>
      <c r="B2197" s="17">
        <v>43739</v>
      </c>
      <c r="C2197" s="17">
        <v>43739</v>
      </c>
      <c r="D2197" t="s">
        <v>0</v>
      </c>
      <c r="E2197" t="s">
        <v>1</v>
      </c>
      <c r="F2197" s="18">
        <v>-901959.28</v>
      </c>
      <c r="G2197" s="18">
        <v>-901959.28</v>
      </c>
      <c r="H2197" t="s">
        <v>2</v>
      </c>
      <c r="I2197" t="s">
        <v>8</v>
      </c>
      <c r="J2197" s="18">
        <v>-75313599.900000006</v>
      </c>
      <c r="K2197" t="s">
        <v>5014</v>
      </c>
      <c r="L2197" t="s">
        <v>9</v>
      </c>
      <c r="M2197" t="s">
        <v>4388</v>
      </c>
      <c r="N2197" t="s">
        <v>3</v>
      </c>
      <c r="O2197" t="s">
        <v>3</v>
      </c>
      <c r="P2197" t="s">
        <v>5</v>
      </c>
      <c r="Q2197" t="s">
        <v>4389</v>
      </c>
      <c r="R2197" t="s">
        <v>3</v>
      </c>
      <c r="S2197" t="s">
        <v>3</v>
      </c>
      <c r="T2197" t="s">
        <v>3</v>
      </c>
      <c r="U2197" t="s">
        <v>3</v>
      </c>
      <c r="V2197" t="s">
        <v>3</v>
      </c>
      <c r="W2197" t="s">
        <v>68</v>
      </c>
      <c r="X2197" s="17">
        <v>43739</v>
      </c>
      <c r="Y2197" t="s">
        <v>4386</v>
      </c>
      <c r="Z2197" s="17">
        <v>43739</v>
      </c>
      <c r="AA2197" t="s">
        <v>3</v>
      </c>
      <c r="AB2197" t="s">
        <v>5013</v>
      </c>
    </row>
    <row r="2198" spans="1:28" hidden="1">
      <c r="A2198" t="s">
        <v>5015</v>
      </c>
      <c r="B2198" s="17">
        <v>43739</v>
      </c>
      <c r="C2198" s="17">
        <v>43739</v>
      </c>
      <c r="D2198" t="s">
        <v>0</v>
      </c>
      <c r="E2198" t="s">
        <v>1</v>
      </c>
      <c r="F2198" s="18">
        <v>59939.47</v>
      </c>
      <c r="G2198" s="18">
        <v>59939.47</v>
      </c>
      <c r="H2198" t="s">
        <v>2</v>
      </c>
      <c r="I2198" t="s">
        <v>8</v>
      </c>
      <c r="J2198" s="18">
        <v>5004945.75</v>
      </c>
      <c r="K2198" t="s">
        <v>4882</v>
      </c>
      <c r="L2198" t="s">
        <v>4</v>
      </c>
      <c r="M2198" t="s">
        <v>5016</v>
      </c>
      <c r="N2198" t="s">
        <v>3</v>
      </c>
      <c r="O2198" t="s">
        <v>3</v>
      </c>
      <c r="P2198" t="s">
        <v>5</v>
      </c>
      <c r="Q2198" t="s">
        <v>5017</v>
      </c>
      <c r="R2198" t="s">
        <v>3</v>
      </c>
      <c r="S2198" t="s">
        <v>3</v>
      </c>
      <c r="T2198" t="s">
        <v>3</v>
      </c>
      <c r="U2198" t="s">
        <v>3</v>
      </c>
      <c r="V2198" t="s">
        <v>3</v>
      </c>
      <c r="W2198" t="s">
        <v>68</v>
      </c>
      <c r="X2198" s="17"/>
      <c r="Y2198" t="s">
        <v>3</v>
      </c>
      <c r="Z2198" s="17">
        <v>43739</v>
      </c>
      <c r="AA2198" t="s">
        <v>3</v>
      </c>
      <c r="AB2198" t="s">
        <v>5015</v>
      </c>
    </row>
    <row r="2199" spans="1:28" hidden="1">
      <c r="A2199" t="s">
        <v>5036</v>
      </c>
      <c r="B2199" s="17">
        <v>43739</v>
      </c>
      <c r="C2199" s="17">
        <v>43739</v>
      </c>
      <c r="D2199" t="s">
        <v>0</v>
      </c>
      <c r="E2199" t="s">
        <v>1</v>
      </c>
      <c r="F2199" s="18">
        <v>-901959.28</v>
      </c>
      <c r="G2199" s="18">
        <v>-901959.28</v>
      </c>
      <c r="H2199" t="s">
        <v>2</v>
      </c>
      <c r="I2199" t="s">
        <v>8</v>
      </c>
      <c r="J2199" s="18">
        <v>-75313599.900000006</v>
      </c>
      <c r="K2199" t="s">
        <v>5037</v>
      </c>
      <c r="L2199" t="s">
        <v>4</v>
      </c>
      <c r="M2199" t="s">
        <v>4388</v>
      </c>
      <c r="N2199" t="s">
        <v>3</v>
      </c>
      <c r="O2199" t="s">
        <v>3</v>
      </c>
      <c r="P2199" t="s">
        <v>5</v>
      </c>
      <c r="Q2199" t="s">
        <v>4389</v>
      </c>
      <c r="R2199" t="s">
        <v>3</v>
      </c>
      <c r="S2199" t="s">
        <v>3</v>
      </c>
      <c r="T2199" t="s">
        <v>3</v>
      </c>
      <c r="U2199" t="s">
        <v>3</v>
      </c>
      <c r="V2199" t="s">
        <v>3</v>
      </c>
      <c r="W2199" t="s">
        <v>68</v>
      </c>
      <c r="X2199" s="17"/>
      <c r="Y2199" t="s">
        <v>3</v>
      </c>
      <c r="Z2199" s="17">
        <v>43739</v>
      </c>
      <c r="AA2199" t="s">
        <v>3</v>
      </c>
      <c r="AB2199" t="s">
        <v>5036</v>
      </c>
    </row>
    <row r="2200" spans="1:28" hidden="1">
      <c r="A2200" t="s">
        <v>5018</v>
      </c>
      <c r="B2200" s="17">
        <v>43740</v>
      </c>
      <c r="C2200" s="17">
        <v>43740</v>
      </c>
      <c r="D2200" t="s">
        <v>0</v>
      </c>
      <c r="E2200" t="s">
        <v>1</v>
      </c>
      <c r="F2200" s="18">
        <v>497</v>
      </c>
      <c r="G2200" s="18">
        <v>497</v>
      </c>
      <c r="H2200" t="s">
        <v>2</v>
      </c>
      <c r="I2200" t="s">
        <v>8</v>
      </c>
      <c r="J2200" s="18">
        <v>41499.5</v>
      </c>
      <c r="K2200" t="s">
        <v>4604</v>
      </c>
      <c r="L2200" t="s">
        <v>9</v>
      </c>
      <c r="M2200" t="s">
        <v>5019</v>
      </c>
      <c r="N2200" t="s">
        <v>3</v>
      </c>
      <c r="O2200" t="s">
        <v>3</v>
      </c>
      <c r="P2200" t="s">
        <v>5</v>
      </c>
      <c r="Q2200" t="s">
        <v>5020</v>
      </c>
      <c r="R2200" t="s">
        <v>3</v>
      </c>
      <c r="S2200" t="s">
        <v>3</v>
      </c>
      <c r="T2200" t="s">
        <v>3</v>
      </c>
      <c r="U2200" t="s">
        <v>3</v>
      </c>
      <c r="V2200" t="s">
        <v>3</v>
      </c>
      <c r="W2200" t="s">
        <v>68</v>
      </c>
      <c r="X2200" s="17"/>
      <c r="Y2200" t="s">
        <v>3</v>
      </c>
      <c r="Z2200" s="17">
        <v>43740</v>
      </c>
      <c r="AA2200" t="s">
        <v>3</v>
      </c>
      <c r="AB2200" t="s">
        <v>5018</v>
      </c>
    </row>
    <row r="2201" spans="1:28" hidden="1">
      <c r="A2201" t="s">
        <v>5018</v>
      </c>
      <c r="B2201" s="17">
        <v>43740</v>
      </c>
      <c r="C2201" s="17">
        <v>43740</v>
      </c>
      <c r="D2201" t="s">
        <v>0</v>
      </c>
      <c r="E2201" t="s">
        <v>1</v>
      </c>
      <c r="F2201" s="18">
        <v>10569</v>
      </c>
      <c r="G2201" s="18">
        <v>10569</v>
      </c>
      <c r="H2201" t="s">
        <v>2</v>
      </c>
      <c r="I2201" t="s">
        <v>8</v>
      </c>
      <c r="J2201" s="18">
        <v>882511.5</v>
      </c>
      <c r="K2201" t="s">
        <v>4754</v>
      </c>
      <c r="L2201" t="s">
        <v>9</v>
      </c>
      <c r="M2201" t="s">
        <v>5019</v>
      </c>
      <c r="N2201" t="s">
        <v>3</v>
      </c>
      <c r="O2201" t="s">
        <v>3</v>
      </c>
      <c r="P2201" t="s">
        <v>5</v>
      </c>
      <c r="Q2201" t="s">
        <v>5020</v>
      </c>
      <c r="R2201" t="s">
        <v>3</v>
      </c>
      <c r="S2201" t="s">
        <v>3</v>
      </c>
      <c r="T2201" t="s">
        <v>3</v>
      </c>
      <c r="U2201" t="s">
        <v>3</v>
      </c>
      <c r="V2201" t="s">
        <v>3</v>
      </c>
      <c r="W2201" t="s">
        <v>68</v>
      </c>
      <c r="X2201" s="17">
        <v>44012</v>
      </c>
      <c r="Y2201" t="s">
        <v>4137</v>
      </c>
      <c r="Z2201" s="17">
        <v>43740</v>
      </c>
      <c r="AA2201" t="s">
        <v>3</v>
      </c>
      <c r="AB2201" t="s">
        <v>5018</v>
      </c>
    </row>
    <row r="2202" spans="1:28" hidden="1">
      <c r="A2202" t="s">
        <v>5018</v>
      </c>
      <c r="B2202" s="17">
        <v>43740</v>
      </c>
      <c r="C2202" s="17">
        <v>43740</v>
      </c>
      <c r="D2202" t="s">
        <v>0</v>
      </c>
      <c r="E2202" t="s">
        <v>1</v>
      </c>
      <c r="F2202" s="18">
        <v>16939</v>
      </c>
      <c r="G2202" s="18">
        <v>16939</v>
      </c>
      <c r="H2202" t="s">
        <v>2</v>
      </c>
      <c r="I2202" t="s">
        <v>8</v>
      </c>
      <c r="J2202" s="18">
        <v>1414406.5</v>
      </c>
      <c r="K2202" t="s">
        <v>4886</v>
      </c>
      <c r="L2202" t="s">
        <v>9</v>
      </c>
      <c r="M2202" t="s">
        <v>5019</v>
      </c>
      <c r="N2202" t="s">
        <v>3</v>
      </c>
      <c r="O2202" t="s">
        <v>3</v>
      </c>
      <c r="P2202" t="s">
        <v>5</v>
      </c>
      <c r="Q2202" t="s">
        <v>5020</v>
      </c>
      <c r="R2202" t="s">
        <v>3</v>
      </c>
      <c r="S2202" t="s">
        <v>3</v>
      </c>
      <c r="T2202" t="s">
        <v>3</v>
      </c>
      <c r="U2202" t="s">
        <v>3</v>
      </c>
      <c r="V2202" t="s">
        <v>3</v>
      </c>
      <c r="W2202" t="s">
        <v>68</v>
      </c>
      <c r="X2202" s="17"/>
      <c r="Y2202" t="s">
        <v>3</v>
      </c>
      <c r="Z2202" s="17">
        <v>43740</v>
      </c>
      <c r="AA2202" t="s">
        <v>3</v>
      </c>
      <c r="AB2202" t="s">
        <v>5018</v>
      </c>
    </row>
    <row r="2203" spans="1:28" s="34" customFormat="1" hidden="1">
      <c r="A2203" s="34" t="s">
        <v>5021</v>
      </c>
      <c r="B2203" s="35">
        <v>43740</v>
      </c>
      <c r="C2203" s="35">
        <v>43740</v>
      </c>
      <c r="D2203" s="34" t="s">
        <v>0</v>
      </c>
      <c r="E2203" s="34" t="s">
        <v>1</v>
      </c>
      <c r="F2203" s="36">
        <v>-1000000</v>
      </c>
      <c r="G2203" s="36">
        <v>-1000000</v>
      </c>
      <c r="H2203" s="34" t="s">
        <v>2</v>
      </c>
      <c r="I2203" s="34" t="s">
        <v>8</v>
      </c>
      <c r="J2203" s="36">
        <v>-83500000</v>
      </c>
      <c r="K2203" s="34" t="s">
        <v>5022</v>
      </c>
      <c r="L2203" s="34" t="s">
        <v>9</v>
      </c>
      <c r="M2203" s="34" t="s">
        <v>5023</v>
      </c>
      <c r="N2203" s="34" t="s">
        <v>3</v>
      </c>
      <c r="O2203" s="34" t="s">
        <v>3</v>
      </c>
      <c r="P2203" s="34" t="s">
        <v>5</v>
      </c>
      <c r="Q2203" s="34" t="s">
        <v>5024</v>
      </c>
      <c r="R2203" s="34" t="s">
        <v>3</v>
      </c>
      <c r="S2203" s="34" t="s">
        <v>3</v>
      </c>
      <c r="T2203" s="34" t="s">
        <v>3</v>
      </c>
      <c r="U2203" s="34" t="s">
        <v>3</v>
      </c>
      <c r="V2203" s="34" t="s">
        <v>3</v>
      </c>
      <c r="W2203" s="34" t="s">
        <v>68</v>
      </c>
      <c r="X2203" s="35"/>
      <c r="Y2203" s="34" t="s">
        <v>3</v>
      </c>
      <c r="Z2203" s="35">
        <v>43740</v>
      </c>
      <c r="AA2203" s="34" t="s">
        <v>3</v>
      </c>
      <c r="AB2203" s="34" t="s">
        <v>5021</v>
      </c>
    </row>
    <row r="2204" spans="1:28" hidden="1">
      <c r="A2204" t="s">
        <v>5025</v>
      </c>
      <c r="B2204" s="17">
        <v>43745</v>
      </c>
      <c r="C2204" s="17">
        <v>43745</v>
      </c>
      <c r="D2204" t="s">
        <v>0</v>
      </c>
      <c r="E2204" t="s">
        <v>1</v>
      </c>
      <c r="F2204" s="18">
        <v>671</v>
      </c>
      <c r="G2204" s="18">
        <v>671</v>
      </c>
      <c r="H2204" t="s">
        <v>2</v>
      </c>
      <c r="I2204" t="s">
        <v>10</v>
      </c>
      <c r="J2204" s="18">
        <v>56028.5</v>
      </c>
      <c r="K2204" t="s">
        <v>4919</v>
      </c>
      <c r="L2204" t="s">
        <v>9</v>
      </c>
      <c r="M2204" t="s">
        <v>5026</v>
      </c>
      <c r="N2204" t="s">
        <v>3</v>
      </c>
      <c r="O2204" t="s">
        <v>3</v>
      </c>
      <c r="P2204" t="s">
        <v>5</v>
      </c>
      <c r="Q2204" t="s">
        <v>5027</v>
      </c>
      <c r="R2204" t="s">
        <v>3</v>
      </c>
      <c r="S2204" t="s">
        <v>3</v>
      </c>
      <c r="T2204" t="s">
        <v>3</v>
      </c>
      <c r="U2204" t="s">
        <v>3</v>
      </c>
      <c r="V2204" t="s">
        <v>3</v>
      </c>
      <c r="W2204" t="s">
        <v>68</v>
      </c>
      <c r="X2204" s="17"/>
      <c r="Y2204" t="s">
        <v>3</v>
      </c>
      <c r="Z2204" s="17">
        <v>43745</v>
      </c>
      <c r="AA2204" t="s">
        <v>3</v>
      </c>
      <c r="AB2204" t="s">
        <v>5025</v>
      </c>
    </row>
    <row r="2205" spans="1:28" hidden="1">
      <c r="A2205" t="s">
        <v>5028</v>
      </c>
      <c r="B2205" s="17">
        <v>43745</v>
      </c>
      <c r="C2205" s="17">
        <v>43745</v>
      </c>
      <c r="D2205" t="s">
        <v>0</v>
      </c>
      <c r="E2205" t="s">
        <v>1</v>
      </c>
      <c r="F2205" s="18">
        <v>1464</v>
      </c>
      <c r="G2205" s="18">
        <v>1464</v>
      </c>
      <c r="H2205" t="s">
        <v>2</v>
      </c>
      <c r="I2205" t="s">
        <v>8</v>
      </c>
      <c r="J2205" s="18">
        <v>122244</v>
      </c>
      <c r="K2205" t="s">
        <v>4604</v>
      </c>
      <c r="L2205" t="s">
        <v>9</v>
      </c>
      <c r="M2205" t="s">
        <v>5029</v>
      </c>
      <c r="N2205" t="s">
        <v>3</v>
      </c>
      <c r="O2205" t="s">
        <v>3</v>
      </c>
      <c r="P2205" t="s">
        <v>5</v>
      </c>
      <c r="Q2205" t="s">
        <v>5030</v>
      </c>
      <c r="R2205" t="s">
        <v>3</v>
      </c>
      <c r="S2205" t="s">
        <v>3</v>
      </c>
      <c r="T2205" t="s">
        <v>3</v>
      </c>
      <c r="U2205" t="s">
        <v>3</v>
      </c>
      <c r="V2205" t="s">
        <v>3</v>
      </c>
      <c r="W2205" t="s">
        <v>68</v>
      </c>
      <c r="X2205" s="17"/>
      <c r="Y2205" t="s">
        <v>3</v>
      </c>
      <c r="Z2205" s="17">
        <v>43745</v>
      </c>
      <c r="AA2205" t="s">
        <v>3</v>
      </c>
      <c r="AB2205" t="s">
        <v>5028</v>
      </c>
    </row>
    <row r="2206" spans="1:28" hidden="1">
      <c r="A2206" t="s">
        <v>5028</v>
      </c>
      <c r="B2206" s="17">
        <v>43745</v>
      </c>
      <c r="C2206" s="17">
        <v>43745</v>
      </c>
      <c r="D2206" t="s">
        <v>0</v>
      </c>
      <c r="E2206" t="s">
        <v>1</v>
      </c>
      <c r="F2206" s="18">
        <v>77455</v>
      </c>
      <c r="G2206" s="18">
        <v>77455</v>
      </c>
      <c r="H2206" t="s">
        <v>2</v>
      </c>
      <c r="I2206" t="s">
        <v>8</v>
      </c>
      <c r="J2206" s="18">
        <v>6467492.5</v>
      </c>
      <c r="K2206" t="s">
        <v>4886</v>
      </c>
      <c r="L2206" t="s">
        <v>9</v>
      </c>
      <c r="M2206" t="s">
        <v>5029</v>
      </c>
      <c r="N2206" t="s">
        <v>3</v>
      </c>
      <c r="O2206" t="s">
        <v>3</v>
      </c>
      <c r="P2206" t="s">
        <v>5</v>
      </c>
      <c r="Q2206" t="s">
        <v>5030</v>
      </c>
      <c r="R2206" t="s">
        <v>3</v>
      </c>
      <c r="S2206" t="s">
        <v>3</v>
      </c>
      <c r="T2206" t="s">
        <v>3</v>
      </c>
      <c r="U2206" t="s">
        <v>3</v>
      </c>
      <c r="V2206" t="s">
        <v>3</v>
      </c>
      <c r="W2206" t="s">
        <v>68</v>
      </c>
      <c r="X2206" s="17"/>
      <c r="Y2206" t="s">
        <v>3</v>
      </c>
      <c r="Z2206" s="17">
        <v>43745</v>
      </c>
      <c r="AA2206" t="s">
        <v>3</v>
      </c>
      <c r="AB2206" t="s">
        <v>5028</v>
      </c>
    </row>
    <row r="2207" spans="1:28" hidden="1">
      <c r="A2207" t="s">
        <v>5028</v>
      </c>
      <c r="B2207" s="17">
        <v>43745</v>
      </c>
      <c r="C2207" s="17">
        <v>43745</v>
      </c>
      <c r="D2207" t="s">
        <v>0</v>
      </c>
      <c r="E2207" t="s">
        <v>1</v>
      </c>
      <c r="F2207" s="18">
        <v>27349</v>
      </c>
      <c r="G2207" s="18">
        <v>27349</v>
      </c>
      <c r="H2207" t="s">
        <v>2</v>
      </c>
      <c r="I2207" t="s">
        <v>8</v>
      </c>
      <c r="J2207" s="18">
        <v>2283641.5</v>
      </c>
      <c r="K2207" t="s">
        <v>5031</v>
      </c>
      <c r="L2207" t="s">
        <v>9</v>
      </c>
      <c r="M2207" t="s">
        <v>5029</v>
      </c>
      <c r="N2207" t="s">
        <v>3</v>
      </c>
      <c r="O2207" t="s">
        <v>3</v>
      </c>
      <c r="P2207" t="s">
        <v>5</v>
      </c>
      <c r="Q2207" t="s">
        <v>5030</v>
      </c>
      <c r="R2207" t="s">
        <v>3</v>
      </c>
      <c r="S2207" t="s">
        <v>3</v>
      </c>
      <c r="T2207" t="s">
        <v>3</v>
      </c>
      <c r="U2207" t="s">
        <v>3</v>
      </c>
      <c r="V2207" t="s">
        <v>3</v>
      </c>
      <c r="W2207" t="s">
        <v>68</v>
      </c>
      <c r="X2207" s="17"/>
      <c r="Y2207" t="s">
        <v>3</v>
      </c>
      <c r="Z2207" s="17">
        <v>43745</v>
      </c>
      <c r="AA2207" t="s">
        <v>3</v>
      </c>
      <c r="AB2207" t="s">
        <v>5028</v>
      </c>
    </row>
    <row r="2208" spans="1:28" hidden="1">
      <c r="A2208" t="s">
        <v>5028</v>
      </c>
      <c r="B2208" s="17">
        <v>43745</v>
      </c>
      <c r="C2208" s="17">
        <v>43745</v>
      </c>
      <c r="D2208" t="s">
        <v>0</v>
      </c>
      <c r="E2208" t="s">
        <v>1</v>
      </c>
      <c r="F2208" s="18">
        <v>55</v>
      </c>
      <c r="G2208" s="18">
        <v>55</v>
      </c>
      <c r="H2208" t="s">
        <v>2</v>
      </c>
      <c r="I2208" t="s">
        <v>8</v>
      </c>
      <c r="J2208" s="18">
        <v>4591.3999999999996</v>
      </c>
      <c r="K2208" t="s">
        <v>4607</v>
      </c>
      <c r="L2208" t="s">
        <v>9</v>
      </c>
      <c r="M2208" t="s">
        <v>5029</v>
      </c>
      <c r="N2208" t="s">
        <v>3</v>
      </c>
      <c r="O2208" t="s">
        <v>3</v>
      </c>
      <c r="P2208" t="s">
        <v>5</v>
      </c>
      <c r="Q2208" t="s">
        <v>5030</v>
      </c>
      <c r="R2208" t="s">
        <v>3</v>
      </c>
      <c r="S2208" t="s">
        <v>3</v>
      </c>
      <c r="T2208" t="s">
        <v>3</v>
      </c>
      <c r="U2208" t="s">
        <v>3</v>
      </c>
      <c r="V2208" t="s">
        <v>3</v>
      </c>
      <c r="W2208" t="s">
        <v>68</v>
      </c>
      <c r="X2208" s="17">
        <v>43769</v>
      </c>
      <c r="Y2208" t="s">
        <v>4160</v>
      </c>
      <c r="Z2208" s="17">
        <v>43745</v>
      </c>
      <c r="AA2208" t="s">
        <v>3</v>
      </c>
      <c r="AB2208" t="s">
        <v>5028</v>
      </c>
    </row>
    <row r="2209" spans="1:28" hidden="1">
      <c r="A2209" t="s">
        <v>5028</v>
      </c>
      <c r="B2209" s="17">
        <v>43745</v>
      </c>
      <c r="C2209" s="17">
        <v>43745</v>
      </c>
      <c r="D2209" t="s">
        <v>0</v>
      </c>
      <c r="E2209" t="s">
        <v>1</v>
      </c>
      <c r="F2209" s="18">
        <v>149</v>
      </c>
      <c r="G2209" s="18">
        <v>149</v>
      </c>
      <c r="H2209" t="s">
        <v>2</v>
      </c>
      <c r="I2209" t="s">
        <v>8</v>
      </c>
      <c r="J2209" s="18">
        <v>12438.52</v>
      </c>
      <c r="K2209" t="s">
        <v>4608</v>
      </c>
      <c r="L2209" t="s">
        <v>9</v>
      </c>
      <c r="M2209" t="s">
        <v>5029</v>
      </c>
      <c r="N2209" t="s">
        <v>3</v>
      </c>
      <c r="O2209" t="s">
        <v>3</v>
      </c>
      <c r="P2209" t="s">
        <v>5</v>
      </c>
      <c r="Q2209" t="s">
        <v>5030</v>
      </c>
      <c r="R2209" t="s">
        <v>3</v>
      </c>
      <c r="S2209" t="s">
        <v>3</v>
      </c>
      <c r="T2209" t="s">
        <v>3</v>
      </c>
      <c r="U2209" t="s">
        <v>3</v>
      </c>
      <c r="V2209" t="s">
        <v>3</v>
      </c>
      <c r="W2209" t="s">
        <v>68</v>
      </c>
      <c r="X2209" s="17">
        <v>44012</v>
      </c>
      <c r="Y2209" t="s">
        <v>4137</v>
      </c>
      <c r="Z2209" s="17">
        <v>43745</v>
      </c>
      <c r="AA2209" t="s">
        <v>3</v>
      </c>
      <c r="AB2209" t="s">
        <v>5028</v>
      </c>
    </row>
    <row r="2210" spans="1:28" hidden="1">
      <c r="A2210" t="s">
        <v>5032</v>
      </c>
      <c r="B2210" s="17">
        <v>43747</v>
      </c>
      <c r="C2210" s="17">
        <v>43747</v>
      </c>
      <c r="D2210" t="s">
        <v>0</v>
      </c>
      <c r="E2210" t="s">
        <v>1</v>
      </c>
      <c r="F2210" s="18">
        <v>20420</v>
      </c>
      <c r="G2210" s="18">
        <v>20420</v>
      </c>
      <c r="H2210" t="s">
        <v>2</v>
      </c>
      <c r="I2210" t="s">
        <v>8</v>
      </c>
      <c r="J2210" s="18">
        <v>1705070</v>
      </c>
      <c r="K2210" t="s">
        <v>5033</v>
      </c>
      <c r="L2210" t="s">
        <v>9</v>
      </c>
      <c r="M2210" t="s">
        <v>5034</v>
      </c>
      <c r="N2210" t="s">
        <v>3</v>
      </c>
      <c r="O2210" t="s">
        <v>3</v>
      </c>
      <c r="P2210" t="s">
        <v>5</v>
      </c>
      <c r="Q2210" t="s">
        <v>5035</v>
      </c>
      <c r="R2210" t="s">
        <v>3</v>
      </c>
      <c r="S2210" t="s">
        <v>3</v>
      </c>
      <c r="T2210" t="s">
        <v>3</v>
      </c>
      <c r="U2210" t="s">
        <v>3</v>
      </c>
      <c r="V2210" t="s">
        <v>3</v>
      </c>
      <c r="W2210" t="s">
        <v>68</v>
      </c>
      <c r="X2210" s="17">
        <v>44012</v>
      </c>
      <c r="Y2210" t="s">
        <v>4137</v>
      </c>
      <c r="Z2210" s="17">
        <v>43747</v>
      </c>
      <c r="AA2210" t="s">
        <v>3</v>
      </c>
      <c r="AB2210" t="s">
        <v>5032</v>
      </c>
    </row>
    <row r="2211" spans="1:28" hidden="1">
      <c r="A2211" t="s">
        <v>5032</v>
      </c>
      <c r="B2211" s="17">
        <v>43747</v>
      </c>
      <c r="C2211" s="17">
        <v>43747</v>
      </c>
      <c r="D2211" t="s">
        <v>0</v>
      </c>
      <c r="E2211" t="s">
        <v>1</v>
      </c>
      <c r="F2211" s="18">
        <v>45527</v>
      </c>
      <c r="G2211" s="18">
        <v>45527</v>
      </c>
      <c r="H2211" t="s">
        <v>2</v>
      </c>
      <c r="I2211" t="s">
        <v>8</v>
      </c>
      <c r="J2211" s="18">
        <v>3801504.5</v>
      </c>
      <c r="K2211" t="s">
        <v>4886</v>
      </c>
      <c r="L2211" t="s">
        <v>9</v>
      </c>
      <c r="M2211" t="s">
        <v>5034</v>
      </c>
      <c r="N2211" t="s">
        <v>3</v>
      </c>
      <c r="O2211" t="s">
        <v>3</v>
      </c>
      <c r="P2211" t="s">
        <v>5</v>
      </c>
      <c r="Q2211" t="s">
        <v>5035</v>
      </c>
      <c r="R2211" t="s">
        <v>3</v>
      </c>
      <c r="S2211" t="s">
        <v>3</v>
      </c>
      <c r="T2211" t="s">
        <v>3</v>
      </c>
      <c r="U2211" t="s">
        <v>3</v>
      </c>
      <c r="V2211" t="s">
        <v>3</v>
      </c>
      <c r="W2211" t="s">
        <v>68</v>
      </c>
      <c r="X2211" s="17"/>
      <c r="Y2211" t="s">
        <v>3</v>
      </c>
      <c r="Z2211" s="17">
        <v>43747</v>
      </c>
      <c r="AA2211" t="s">
        <v>3</v>
      </c>
      <c r="AB2211" t="s">
        <v>5032</v>
      </c>
    </row>
    <row r="2212" spans="1:28" hidden="1">
      <c r="A2212" t="s">
        <v>5032</v>
      </c>
      <c r="B2212" s="17">
        <v>43747</v>
      </c>
      <c r="C2212" s="17">
        <v>43747</v>
      </c>
      <c r="D2212" t="s">
        <v>0</v>
      </c>
      <c r="E2212" t="s">
        <v>1</v>
      </c>
      <c r="F2212" s="18">
        <v>112428</v>
      </c>
      <c r="G2212" s="18">
        <v>112428</v>
      </c>
      <c r="H2212" t="s">
        <v>2</v>
      </c>
      <c r="I2212" t="s">
        <v>8</v>
      </c>
      <c r="J2212" s="18">
        <v>9387738</v>
      </c>
      <c r="K2212" t="s">
        <v>5031</v>
      </c>
      <c r="L2212" t="s">
        <v>9</v>
      </c>
      <c r="M2212" t="s">
        <v>5034</v>
      </c>
      <c r="N2212" t="s">
        <v>3</v>
      </c>
      <c r="O2212" t="s">
        <v>3</v>
      </c>
      <c r="P2212" t="s">
        <v>5</v>
      </c>
      <c r="Q2212" t="s">
        <v>5035</v>
      </c>
      <c r="R2212" t="s">
        <v>3</v>
      </c>
      <c r="S2212" t="s">
        <v>3</v>
      </c>
      <c r="T2212" t="s">
        <v>3</v>
      </c>
      <c r="U2212" t="s">
        <v>3</v>
      </c>
      <c r="V2212" t="s">
        <v>3</v>
      </c>
      <c r="W2212" t="s">
        <v>68</v>
      </c>
      <c r="X2212" s="17"/>
      <c r="Y2212" t="s">
        <v>3</v>
      </c>
      <c r="Z2212" s="17">
        <v>43747</v>
      </c>
      <c r="AA2212" t="s">
        <v>3</v>
      </c>
      <c r="AB2212" t="s">
        <v>5032</v>
      </c>
    </row>
    <row r="2213" spans="1:28" hidden="1">
      <c r="A2213" t="s">
        <v>5038</v>
      </c>
      <c r="B2213" s="17">
        <v>43747</v>
      </c>
      <c r="C2213" s="17">
        <v>43747</v>
      </c>
      <c r="D2213" t="s">
        <v>0</v>
      </c>
      <c r="E2213" t="s">
        <v>1</v>
      </c>
      <c r="F2213" s="18">
        <v>6082.59</v>
      </c>
      <c r="G2213" s="18">
        <v>6082.59</v>
      </c>
      <c r="H2213" t="s">
        <v>2</v>
      </c>
      <c r="I2213" t="s">
        <v>8</v>
      </c>
      <c r="J2213" s="18">
        <v>507896.27</v>
      </c>
      <c r="K2213" t="s">
        <v>4387</v>
      </c>
      <c r="L2213" t="s">
        <v>4</v>
      </c>
      <c r="M2213" t="s">
        <v>5039</v>
      </c>
      <c r="N2213" t="s">
        <v>3</v>
      </c>
      <c r="O2213" t="s">
        <v>3</v>
      </c>
      <c r="P2213" t="s">
        <v>5</v>
      </c>
      <c r="Q2213" t="s">
        <v>5040</v>
      </c>
      <c r="R2213" t="s">
        <v>3</v>
      </c>
      <c r="S2213" t="s">
        <v>3</v>
      </c>
      <c r="T2213" t="s">
        <v>3</v>
      </c>
      <c r="U2213" t="s">
        <v>3</v>
      </c>
      <c r="V2213" t="s">
        <v>3</v>
      </c>
      <c r="W2213" t="s">
        <v>68</v>
      </c>
      <c r="X2213" s="17"/>
      <c r="Y2213" t="s">
        <v>3</v>
      </c>
      <c r="Z2213" s="17">
        <v>43747</v>
      </c>
      <c r="AA2213" t="s">
        <v>3</v>
      </c>
      <c r="AB2213" t="s">
        <v>5038</v>
      </c>
    </row>
    <row r="2214" spans="1:28" hidden="1">
      <c r="A2214" t="s">
        <v>5041</v>
      </c>
      <c r="B2214" s="17">
        <v>43747</v>
      </c>
      <c r="C2214" s="17">
        <v>43747</v>
      </c>
      <c r="D2214" t="s">
        <v>0</v>
      </c>
      <c r="E2214" t="s">
        <v>1</v>
      </c>
      <c r="F2214" s="18">
        <v>33177.61</v>
      </c>
      <c r="G2214" s="18">
        <v>33177.61</v>
      </c>
      <c r="H2214" t="s">
        <v>2</v>
      </c>
      <c r="I2214" t="s">
        <v>8</v>
      </c>
      <c r="J2214" s="18">
        <v>2770330.44</v>
      </c>
      <c r="K2214" t="s">
        <v>4387</v>
      </c>
      <c r="L2214" t="s">
        <v>4</v>
      </c>
      <c r="M2214" t="s">
        <v>5042</v>
      </c>
      <c r="N2214" t="s">
        <v>3</v>
      </c>
      <c r="O2214" t="s">
        <v>3</v>
      </c>
      <c r="P2214" t="s">
        <v>5</v>
      </c>
      <c r="Q2214" t="s">
        <v>5043</v>
      </c>
      <c r="R2214" t="s">
        <v>3</v>
      </c>
      <c r="S2214" t="s">
        <v>3</v>
      </c>
      <c r="T2214" t="s">
        <v>3</v>
      </c>
      <c r="U2214" t="s">
        <v>3</v>
      </c>
      <c r="V2214" t="s">
        <v>3</v>
      </c>
      <c r="W2214" t="s">
        <v>68</v>
      </c>
      <c r="X2214" s="17"/>
      <c r="Y2214" t="s">
        <v>3</v>
      </c>
      <c r="Z2214" s="17">
        <v>43747</v>
      </c>
      <c r="AA2214" t="s">
        <v>3</v>
      </c>
      <c r="AB2214" t="s">
        <v>5041</v>
      </c>
    </row>
    <row r="2215" spans="1:28" hidden="1">
      <c r="A2215" t="s">
        <v>5041</v>
      </c>
      <c r="B2215" s="17">
        <v>43747</v>
      </c>
      <c r="C2215" s="17">
        <v>43747</v>
      </c>
      <c r="D2215" t="s">
        <v>0</v>
      </c>
      <c r="E2215" t="s">
        <v>1</v>
      </c>
      <c r="F2215" s="18">
        <v>16862.919999999998</v>
      </c>
      <c r="G2215" s="18">
        <v>16862.919999999998</v>
      </c>
      <c r="H2215" t="s">
        <v>2</v>
      </c>
      <c r="I2215" t="s">
        <v>8</v>
      </c>
      <c r="J2215" s="18">
        <v>1408053.82</v>
      </c>
      <c r="K2215" t="s">
        <v>4882</v>
      </c>
      <c r="L2215" t="s">
        <v>4</v>
      </c>
      <c r="M2215" t="s">
        <v>5042</v>
      </c>
      <c r="N2215" t="s">
        <v>3</v>
      </c>
      <c r="O2215" t="s">
        <v>3</v>
      </c>
      <c r="P2215" t="s">
        <v>5</v>
      </c>
      <c r="Q2215" t="s">
        <v>5043</v>
      </c>
      <c r="R2215" t="s">
        <v>3</v>
      </c>
      <c r="S2215" t="s">
        <v>3</v>
      </c>
      <c r="T2215" t="s">
        <v>3</v>
      </c>
      <c r="U2215" t="s">
        <v>3</v>
      </c>
      <c r="V2215" t="s">
        <v>3</v>
      </c>
      <c r="W2215" t="s">
        <v>68</v>
      </c>
      <c r="X2215" s="17"/>
      <c r="Y2215" t="s">
        <v>3</v>
      </c>
      <c r="Z2215" s="17">
        <v>43747</v>
      </c>
      <c r="AA2215" t="s">
        <v>3</v>
      </c>
      <c r="AB2215" t="s">
        <v>5041</v>
      </c>
    </row>
    <row r="2216" spans="1:28" hidden="1">
      <c r="A2216" t="s">
        <v>5044</v>
      </c>
      <c r="B2216" s="17">
        <v>43747</v>
      </c>
      <c r="C2216" s="17">
        <v>43747</v>
      </c>
      <c r="D2216" t="s">
        <v>0</v>
      </c>
      <c r="E2216" t="s">
        <v>1</v>
      </c>
      <c r="F2216" s="18">
        <v>140892.57</v>
      </c>
      <c r="G2216" s="18">
        <v>140892.57</v>
      </c>
      <c r="H2216" t="s">
        <v>2</v>
      </c>
      <c r="I2216" t="s">
        <v>8</v>
      </c>
      <c r="J2216" s="18">
        <v>11764529.6</v>
      </c>
      <c r="K2216" t="s">
        <v>5045</v>
      </c>
      <c r="L2216" t="s">
        <v>4</v>
      </c>
      <c r="M2216" t="s">
        <v>5046</v>
      </c>
      <c r="N2216" t="s">
        <v>3</v>
      </c>
      <c r="O2216" t="s">
        <v>3</v>
      </c>
      <c r="P2216" t="s">
        <v>5</v>
      </c>
      <c r="Q2216" t="s">
        <v>5047</v>
      </c>
      <c r="R2216" t="s">
        <v>3</v>
      </c>
      <c r="S2216" t="s">
        <v>3</v>
      </c>
      <c r="T2216" t="s">
        <v>3</v>
      </c>
      <c r="U2216" t="s">
        <v>3</v>
      </c>
      <c r="V2216" t="s">
        <v>3</v>
      </c>
      <c r="W2216" t="s">
        <v>68</v>
      </c>
      <c r="X2216" s="17"/>
      <c r="Y2216" t="s">
        <v>3</v>
      </c>
      <c r="Z2216" s="17">
        <v>43747</v>
      </c>
      <c r="AA2216" t="s">
        <v>3</v>
      </c>
      <c r="AB2216" t="s">
        <v>5044</v>
      </c>
    </row>
    <row r="2217" spans="1:28" hidden="1">
      <c r="A2217" t="s">
        <v>5044</v>
      </c>
      <c r="B2217" s="17">
        <v>43747</v>
      </c>
      <c r="C2217" s="17">
        <v>43747</v>
      </c>
      <c r="D2217" t="s">
        <v>0</v>
      </c>
      <c r="E2217" t="s">
        <v>1</v>
      </c>
      <c r="F2217" s="18">
        <v>140030.04999999999</v>
      </c>
      <c r="G2217" s="18">
        <v>140030.04999999999</v>
      </c>
      <c r="H2217" t="s">
        <v>2</v>
      </c>
      <c r="I2217" t="s">
        <v>8</v>
      </c>
      <c r="J2217" s="18">
        <v>11692509.18</v>
      </c>
      <c r="K2217" t="s">
        <v>5048</v>
      </c>
      <c r="L2217" t="s">
        <v>4</v>
      </c>
      <c r="M2217" t="s">
        <v>5046</v>
      </c>
      <c r="N2217" t="s">
        <v>3</v>
      </c>
      <c r="O2217" t="s">
        <v>3</v>
      </c>
      <c r="P2217" t="s">
        <v>5</v>
      </c>
      <c r="Q2217" t="s">
        <v>5047</v>
      </c>
      <c r="R2217" t="s">
        <v>3</v>
      </c>
      <c r="S2217" t="s">
        <v>3</v>
      </c>
      <c r="T2217" t="s">
        <v>3</v>
      </c>
      <c r="U2217" t="s">
        <v>3</v>
      </c>
      <c r="V2217" t="s">
        <v>3</v>
      </c>
      <c r="W2217" t="s">
        <v>68</v>
      </c>
      <c r="X2217" s="17"/>
      <c r="Y2217" t="s">
        <v>3</v>
      </c>
      <c r="Z2217" s="17">
        <v>43747</v>
      </c>
      <c r="AA2217" t="s">
        <v>3</v>
      </c>
      <c r="AB2217" t="s">
        <v>5044</v>
      </c>
    </row>
    <row r="2218" spans="1:28" hidden="1">
      <c r="A2218" t="s">
        <v>5044</v>
      </c>
      <c r="B2218" s="17">
        <v>43747</v>
      </c>
      <c r="C2218" s="17">
        <v>43747</v>
      </c>
      <c r="D2218" t="s">
        <v>0</v>
      </c>
      <c r="E2218" t="s">
        <v>1</v>
      </c>
      <c r="F2218" s="18">
        <v>770.12</v>
      </c>
      <c r="G2218" s="18">
        <v>770.12</v>
      </c>
      <c r="H2218" t="s">
        <v>2</v>
      </c>
      <c r="I2218" t="s">
        <v>8</v>
      </c>
      <c r="J2218" s="18">
        <v>64305.02</v>
      </c>
      <c r="K2218" t="s">
        <v>5049</v>
      </c>
      <c r="L2218" t="s">
        <v>4</v>
      </c>
      <c r="M2218" t="s">
        <v>5046</v>
      </c>
      <c r="N2218" t="s">
        <v>3</v>
      </c>
      <c r="O2218" t="s">
        <v>3</v>
      </c>
      <c r="P2218" t="s">
        <v>5</v>
      </c>
      <c r="Q2218" t="s">
        <v>5047</v>
      </c>
      <c r="R2218" t="s">
        <v>3</v>
      </c>
      <c r="S2218" t="s">
        <v>3</v>
      </c>
      <c r="T2218" t="s">
        <v>3</v>
      </c>
      <c r="U2218" t="s">
        <v>3</v>
      </c>
      <c r="V2218" t="s">
        <v>3</v>
      </c>
      <c r="W2218" t="s">
        <v>68</v>
      </c>
      <c r="X2218" s="17"/>
      <c r="Y2218" t="s">
        <v>3</v>
      </c>
      <c r="Z2218" s="17">
        <v>43747</v>
      </c>
      <c r="AA2218" t="s">
        <v>3</v>
      </c>
      <c r="AB2218" t="s">
        <v>5044</v>
      </c>
    </row>
    <row r="2219" spans="1:28" hidden="1">
      <c r="A2219" t="s">
        <v>5051</v>
      </c>
      <c r="B2219" s="17">
        <v>43748</v>
      </c>
      <c r="C2219" s="17">
        <v>43748</v>
      </c>
      <c r="D2219" t="s">
        <v>0</v>
      </c>
      <c r="E2219" t="s">
        <v>1</v>
      </c>
      <c r="F2219" s="18">
        <v>34121.589999999997</v>
      </c>
      <c r="G2219" s="18">
        <v>34121.589999999997</v>
      </c>
      <c r="H2219" t="s">
        <v>2</v>
      </c>
      <c r="I2219" t="s">
        <v>10</v>
      </c>
      <c r="J2219" s="18">
        <v>2849152.77</v>
      </c>
      <c r="K2219" t="s">
        <v>5052</v>
      </c>
      <c r="L2219" t="s">
        <v>4</v>
      </c>
      <c r="M2219" t="s">
        <v>5053</v>
      </c>
      <c r="N2219" t="s">
        <v>3</v>
      </c>
      <c r="O2219" t="s">
        <v>3</v>
      </c>
      <c r="P2219" t="s">
        <v>5</v>
      </c>
      <c r="Q2219" t="s">
        <v>5054</v>
      </c>
      <c r="R2219" t="s">
        <v>3</v>
      </c>
      <c r="S2219" t="s">
        <v>3</v>
      </c>
      <c r="T2219" t="s">
        <v>3</v>
      </c>
      <c r="U2219" t="s">
        <v>3</v>
      </c>
      <c r="V2219" t="s">
        <v>3</v>
      </c>
      <c r="W2219" t="s">
        <v>68</v>
      </c>
      <c r="X2219" s="17"/>
      <c r="Y2219" t="s">
        <v>3</v>
      </c>
      <c r="Z2219" s="17">
        <v>43748</v>
      </c>
      <c r="AA2219" t="s">
        <v>3</v>
      </c>
      <c r="AB2219" t="s">
        <v>5051</v>
      </c>
    </row>
    <row r="2220" spans="1:28" hidden="1">
      <c r="A2220" t="s">
        <v>5051</v>
      </c>
      <c r="B2220" s="17">
        <v>43748</v>
      </c>
      <c r="C2220" s="17">
        <v>43748</v>
      </c>
      <c r="D2220" t="s">
        <v>0</v>
      </c>
      <c r="E2220" t="s">
        <v>1</v>
      </c>
      <c r="F2220" s="18">
        <v>5888.37</v>
      </c>
      <c r="G2220" s="18">
        <v>5888.37</v>
      </c>
      <c r="H2220" t="s">
        <v>2</v>
      </c>
      <c r="I2220" t="s">
        <v>10</v>
      </c>
      <c r="J2220" s="18">
        <v>491678.9</v>
      </c>
      <c r="K2220" t="s">
        <v>5055</v>
      </c>
      <c r="L2220" t="s">
        <v>4</v>
      </c>
      <c r="M2220" t="s">
        <v>5053</v>
      </c>
      <c r="N2220" t="s">
        <v>3</v>
      </c>
      <c r="O2220" t="s">
        <v>3</v>
      </c>
      <c r="P2220" t="s">
        <v>5</v>
      </c>
      <c r="Q2220" t="s">
        <v>5054</v>
      </c>
      <c r="R2220" t="s">
        <v>3</v>
      </c>
      <c r="S2220" t="s">
        <v>3</v>
      </c>
      <c r="T2220" t="s">
        <v>3</v>
      </c>
      <c r="U2220" t="s">
        <v>3</v>
      </c>
      <c r="V2220" t="s">
        <v>3</v>
      </c>
      <c r="W2220" t="s">
        <v>68</v>
      </c>
      <c r="X2220" s="17"/>
      <c r="Y2220" t="s">
        <v>3</v>
      </c>
      <c r="Z2220" s="17">
        <v>43748</v>
      </c>
      <c r="AA2220" t="s">
        <v>3</v>
      </c>
      <c r="AB2220" t="s">
        <v>5051</v>
      </c>
    </row>
    <row r="2221" spans="1:28" hidden="1">
      <c r="A2221" t="s">
        <v>5051</v>
      </c>
      <c r="B2221" s="17">
        <v>43748</v>
      </c>
      <c r="C2221" s="17">
        <v>43748</v>
      </c>
      <c r="D2221" t="s">
        <v>0</v>
      </c>
      <c r="E2221" t="s">
        <v>1</v>
      </c>
      <c r="F2221" s="18">
        <v>2841.88</v>
      </c>
      <c r="G2221" s="18">
        <v>2841.88</v>
      </c>
      <c r="H2221" t="s">
        <v>2</v>
      </c>
      <c r="I2221" t="s">
        <v>10</v>
      </c>
      <c r="J2221" s="18">
        <v>237296.98</v>
      </c>
      <c r="K2221" t="s">
        <v>5056</v>
      </c>
      <c r="L2221" t="s">
        <v>4</v>
      </c>
      <c r="M2221" t="s">
        <v>5053</v>
      </c>
      <c r="N2221" t="s">
        <v>3</v>
      </c>
      <c r="O2221" t="s">
        <v>3</v>
      </c>
      <c r="P2221" t="s">
        <v>5</v>
      </c>
      <c r="Q2221" t="s">
        <v>5054</v>
      </c>
      <c r="R2221" t="s">
        <v>3</v>
      </c>
      <c r="S2221" t="s">
        <v>3</v>
      </c>
      <c r="T2221" t="s">
        <v>3</v>
      </c>
      <c r="U2221" t="s">
        <v>3</v>
      </c>
      <c r="V2221" t="s">
        <v>3</v>
      </c>
      <c r="W2221" t="s">
        <v>68</v>
      </c>
      <c r="X2221" s="17"/>
      <c r="Y2221" t="s">
        <v>3</v>
      </c>
      <c r="Z2221" s="17">
        <v>43748</v>
      </c>
      <c r="AA2221" t="s">
        <v>3</v>
      </c>
      <c r="AB2221" t="s">
        <v>5051</v>
      </c>
    </row>
    <row r="2222" spans="1:28" hidden="1">
      <c r="A2222" t="s">
        <v>5057</v>
      </c>
      <c r="B2222" s="17">
        <v>43748</v>
      </c>
      <c r="C2222" s="17">
        <v>43748</v>
      </c>
      <c r="D2222" t="s">
        <v>0</v>
      </c>
      <c r="E2222" t="s">
        <v>1</v>
      </c>
      <c r="F2222" s="18">
        <v>3896</v>
      </c>
      <c r="G2222" s="18">
        <v>3896</v>
      </c>
      <c r="H2222" t="s">
        <v>2</v>
      </c>
      <c r="I2222" t="s">
        <v>8</v>
      </c>
      <c r="J2222" s="18">
        <v>325316</v>
      </c>
      <c r="K2222" t="s">
        <v>5058</v>
      </c>
      <c r="L2222" t="s">
        <v>9</v>
      </c>
      <c r="M2222" t="s">
        <v>5059</v>
      </c>
      <c r="N2222" t="s">
        <v>3</v>
      </c>
      <c r="O2222" t="s">
        <v>3</v>
      </c>
      <c r="P2222" t="s">
        <v>5</v>
      </c>
      <c r="Q2222" t="s">
        <v>5060</v>
      </c>
      <c r="R2222" t="s">
        <v>3</v>
      </c>
      <c r="S2222" t="s">
        <v>3</v>
      </c>
      <c r="T2222" t="s">
        <v>3</v>
      </c>
      <c r="U2222" t="s">
        <v>3</v>
      </c>
      <c r="V2222" t="s">
        <v>3</v>
      </c>
      <c r="W2222" t="s">
        <v>68</v>
      </c>
      <c r="X2222" s="17"/>
      <c r="Y2222" t="s">
        <v>3</v>
      </c>
      <c r="Z2222" s="17">
        <v>43748</v>
      </c>
      <c r="AA2222" t="s">
        <v>3</v>
      </c>
      <c r="AB2222" t="s">
        <v>5057</v>
      </c>
    </row>
    <row r="2223" spans="1:28" hidden="1">
      <c r="A2223" t="s">
        <v>5057</v>
      </c>
      <c r="B2223" s="17">
        <v>43748</v>
      </c>
      <c r="C2223" s="17">
        <v>43748</v>
      </c>
      <c r="D2223" t="s">
        <v>0</v>
      </c>
      <c r="E2223" t="s">
        <v>1</v>
      </c>
      <c r="F2223" s="18">
        <v>2</v>
      </c>
      <c r="G2223" s="18">
        <v>2</v>
      </c>
      <c r="H2223" t="s">
        <v>2</v>
      </c>
      <c r="I2223" t="s">
        <v>8</v>
      </c>
      <c r="J2223" s="18">
        <v>167</v>
      </c>
      <c r="K2223" t="s">
        <v>5061</v>
      </c>
      <c r="L2223" t="s">
        <v>9</v>
      </c>
      <c r="M2223" t="s">
        <v>5059</v>
      </c>
      <c r="N2223" t="s">
        <v>3</v>
      </c>
      <c r="O2223" t="s">
        <v>3</v>
      </c>
      <c r="P2223" t="s">
        <v>5</v>
      </c>
      <c r="Q2223" t="s">
        <v>5060</v>
      </c>
      <c r="R2223" t="s">
        <v>3</v>
      </c>
      <c r="S2223" t="s">
        <v>3</v>
      </c>
      <c r="T2223" t="s">
        <v>3</v>
      </c>
      <c r="U2223" t="s">
        <v>3</v>
      </c>
      <c r="V2223" t="s">
        <v>3</v>
      </c>
      <c r="W2223" t="s">
        <v>68</v>
      </c>
      <c r="X2223" s="17"/>
      <c r="Y2223" t="s">
        <v>3</v>
      </c>
      <c r="Z2223" s="17">
        <v>43748</v>
      </c>
      <c r="AA2223" t="s">
        <v>3</v>
      </c>
      <c r="AB2223" t="s">
        <v>5057</v>
      </c>
    </row>
    <row r="2224" spans="1:28" hidden="1">
      <c r="A2224" t="s">
        <v>5062</v>
      </c>
      <c r="B2224" s="17">
        <v>43748</v>
      </c>
      <c r="C2224" s="17">
        <v>43748</v>
      </c>
      <c r="D2224" t="s">
        <v>0</v>
      </c>
      <c r="E2224" t="s">
        <v>1</v>
      </c>
      <c r="F2224" s="18">
        <v>174986.87</v>
      </c>
      <c r="G2224" s="18">
        <v>174986.87</v>
      </c>
      <c r="H2224" t="s">
        <v>2</v>
      </c>
      <c r="I2224" t="s">
        <v>8</v>
      </c>
      <c r="J2224" s="18">
        <v>14611403.65</v>
      </c>
      <c r="K2224" t="s">
        <v>5045</v>
      </c>
      <c r="L2224" t="s">
        <v>4</v>
      </c>
      <c r="M2224" t="s">
        <v>5063</v>
      </c>
      <c r="N2224" t="s">
        <v>3</v>
      </c>
      <c r="O2224" t="s">
        <v>3</v>
      </c>
      <c r="P2224" t="s">
        <v>5</v>
      </c>
      <c r="Q2224" t="s">
        <v>5064</v>
      </c>
      <c r="R2224" t="s">
        <v>3</v>
      </c>
      <c r="S2224" t="s">
        <v>3</v>
      </c>
      <c r="T2224" t="s">
        <v>3</v>
      </c>
      <c r="U2224" t="s">
        <v>3</v>
      </c>
      <c r="V2224" t="s">
        <v>3</v>
      </c>
      <c r="W2224" t="s">
        <v>68</v>
      </c>
      <c r="X2224" s="17"/>
      <c r="Y2224" t="s">
        <v>3</v>
      </c>
      <c r="Z2224" s="17">
        <v>43748</v>
      </c>
      <c r="AA2224" t="s">
        <v>3</v>
      </c>
      <c r="AB2224" t="s">
        <v>5062</v>
      </c>
    </row>
    <row r="2225" spans="1:28" hidden="1">
      <c r="A2225" t="s">
        <v>5062</v>
      </c>
      <c r="B2225" s="17">
        <v>43748</v>
      </c>
      <c r="C2225" s="17">
        <v>43748</v>
      </c>
      <c r="D2225" t="s">
        <v>0</v>
      </c>
      <c r="E2225" t="s">
        <v>1</v>
      </c>
      <c r="F2225" s="18">
        <v>59682.91</v>
      </c>
      <c r="G2225" s="18">
        <v>59682.91</v>
      </c>
      <c r="H2225" t="s">
        <v>2</v>
      </c>
      <c r="I2225" t="s">
        <v>8</v>
      </c>
      <c r="J2225" s="18">
        <v>4983522.99</v>
      </c>
      <c r="K2225" t="s">
        <v>5048</v>
      </c>
      <c r="L2225" t="s">
        <v>4</v>
      </c>
      <c r="M2225" t="s">
        <v>5063</v>
      </c>
      <c r="N2225" t="s">
        <v>3</v>
      </c>
      <c r="O2225" t="s">
        <v>3</v>
      </c>
      <c r="P2225" t="s">
        <v>5</v>
      </c>
      <c r="Q2225" t="s">
        <v>5064</v>
      </c>
      <c r="R2225" t="s">
        <v>3</v>
      </c>
      <c r="S2225" t="s">
        <v>3</v>
      </c>
      <c r="T2225" t="s">
        <v>3</v>
      </c>
      <c r="U2225" t="s">
        <v>3</v>
      </c>
      <c r="V2225" t="s">
        <v>3</v>
      </c>
      <c r="W2225" t="s">
        <v>68</v>
      </c>
      <c r="X2225" s="17"/>
      <c r="Y2225" t="s">
        <v>3</v>
      </c>
      <c r="Z2225" s="17">
        <v>43748</v>
      </c>
      <c r="AA2225" t="s">
        <v>3</v>
      </c>
      <c r="AB2225" t="s">
        <v>5062</v>
      </c>
    </row>
    <row r="2226" spans="1:28" hidden="1">
      <c r="A2226" t="s">
        <v>5067</v>
      </c>
      <c r="B2226" s="17">
        <v>43752</v>
      </c>
      <c r="C2226" s="17">
        <v>43752</v>
      </c>
      <c r="D2226" t="s">
        <v>0</v>
      </c>
      <c r="E2226" t="s">
        <v>1</v>
      </c>
      <c r="F2226" s="18">
        <v>6033</v>
      </c>
      <c r="G2226" s="18">
        <v>6033</v>
      </c>
      <c r="H2226" t="s">
        <v>2</v>
      </c>
      <c r="I2226" t="s">
        <v>8</v>
      </c>
      <c r="J2226" s="18">
        <v>503755.5</v>
      </c>
      <c r="K2226" t="s">
        <v>5068</v>
      </c>
      <c r="L2226" t="s">
        <v>9</v>
      </c>
      <c r="M2226" t="s">
        <v>5069</v>
      </c>
      <c r="N2226" t="s">
        <v>3</v>
      </c>
      <c r="O2226" t="s">
        <v>3</v>
      </c>
      <c r="P2226" t="s">
        <v>5</v>
      </c>
      <c r="Q2226" t="s">
        <v>5070</v>
      </c>
      <c r="R2226" t="s">
        <v>3</v>
      </c>
      <c r="S2226" t="s">
        <v>3</v>
      </c>
      <c r="T2226" t="s">
        <v>3</v>
      </c>
      <c r="U2226" t="s">
        <v>3</v>
      </c>
      <c r="V2226" t="s">
        <v>3</v>
      </c>
      <c r="W2226" t="s">
        <v>68</v>
      </c>
      <c r="X2226" s="17">
        <v>44012</v>
      </c>
      <c r="Y2226" t="s">
        <v>4137</v>
      </c>
      <c r="Z2226" s="17">
        <v>43752</v>
      </c>
      <c r="AA2226" t="s">
        <v>3</v>
      </c>
      <c r="AB2226" t="s">
        <v>5067</v>
      </c>
    </row>
    <row r="2227" spans="1:28" hidden="1">
      <c r="A2227" t="s">
        <v>5067</v>
      </c>
      <c r="B2227" s="17">
        <v>43752</v>
      </c>
      <c r="C2227" s="17">
        <v>43752</v>
      </c>
      <c r="D2227" t="s">
        <v>0</v>
      </c>
      <c r="E2227" t="s">
        <v>1</v>
      </c>
      <c r="F2227" s="18">
        <v>39983</v>
      </c>
      <c r="G2227" s="18">
        <v>39983</v>
      </c>
      <c r="H2227" t="s">
        <v>2</v>
      </c>
      <c r="I2227" t="s">
        <v>8</v>
      </c>
      <c r="J2227" s="18">
        <v>3338580.5</v>
      </c>
      <c r="K2227" t="s">
        <v>5071</v>
      </c>
      <c r="L2227" t="s">
        <v>9</v>
      </c>
      <c r="M2227" t="s">
        <v>5069</v>
      </c>
      <c r="N2227" t="s">
        <v>3</v>
      </c>
      <c r="O2227" t="s">
        <v>3</v>
      </c>
      <c r="P2227" t="s">
        <v>5</v>
      </c>
      <c r="Q2227" t="s">
        <v>5070</v>
      </c>
      <c r="R2227" t="s">
        <v>3</v>
      </c>
      <c r="S2227" t="s">
        <v>3</v>
      </c>
      <c r="T2227" t="s">
        <v>3</v>
      </c>
      <c r="U2227" t="s">
        <v>3</v>
      </c>
      <c r="V2227" t="s">
        <v>3</v>
      </c>
      <c r="W2227" t="s">
        <v>68</v>
      </c>
      <c r="X2227" s="17"/>
      <c r="Y2227" t="s">
        <v>3</v>
      </c>
      <c r="Z2227" s="17">
        <v>43752</v>
      </c>
      <c r="AA2227" t="s">
        <v>3</v>
      </c>
      <c r="AB2227" t="s">
        <v>5067</v>
      </c>
    </row>
    <row r="2228" spans="1:28" hidden="1">
      <c r="A2228" t="s">
        <v>5067</v>
      </c>
      <c r="B2228" s="17">
        <v>43752</v>
      </c>
      <c r="C2228" s="17">
        <v>43752</v>
      </c>
      <c r="D2228" t="s">
        <v>0</v>
      </c>
      <c r="E2228" t="s">
        <v>1</v>
      </c>
      <c r="F2228" s="18">
        <v>58741</v>
      </c>
      <c r="G2228" s="18">
        <v>58741</v>
      </c>
      <c r="H2228" t="s">
        <v>2</v>
      </c>
      <c r="I2228" t="s">
        <v>8</v>
      </c>
      <c r="J2228" s="18">
        <v>4904873.5</v>
      </c>
      <c r="K2228" t="s">
        <v>5072</v>
      </c>
      <c r="L2228" t="s">
        <v>9</v>
      </c>
      <c r="M2228" t="s">
        <v>5069</v>
      </c>
      <c r="N2228" t="s">
        <v>3</v>
      </c>
      <c r="O2228" t="s">
        <v>3</v>
      </c>
      <c r="P2228" t="s">
        <v>5</v>
      </c>
      <c r="Q2228" t="s">
        <v>5070</v>
      </c>
      <c r="R2228" t="s">
        <v>3</v>
      </c>
      <c r="S2228" t="s">
        <v>3</v>
      </c>
      <c r="T2228" t="s">
        <v>3</v>
      </c>
      <c r="U2228" t="s">
        <v>3</v>
      </c>
      <c r="V2228" t="s">
        <v>3</v>
      </c>
      <c r="W2228" t="s">
        <v>68</v>
      </c>
      <c r="X2228" s="17"/>
      <c r="Y2228" t="s">
        <v>3</v>
      </c>
      <c r="Z2228" s="17">
        <v>43752</v>
      </c>
      <c r="AA2228" t="s">
        <v>3</v>
      </c>
      <c r="AB2228" t="s">
        <v>5067</v>
      </c>
    </row>
    <row r="2229" spans="1:28" hidden="1">
      <c r="A2229" t="s">
        <v>5073</v>
      </c>
      <c r="B2229" s="17">
        <v>43752</v>
      </c>
      <c r="C2229" s="17">
        <v>43752</v>
      </c>
      <c r="D2229" t="s">
        <v>0</v>
      </c>
      <c r="E2229" t="s">
        <v>1</v>
      </c>
      <c r="F2229" s="18">
        <v>19927</v>
      </c>
      <c r="G2229" s="18">
        <v>19927</v>
      </c>
      <c r="H2229" t="s">
        <v>2</v>
      </c>
      <c r="I2229" t="s">
        <v>8</v>
      </c>
      <c r="J2229" s="18">
        <v>1663904.5</v>
      </c>
      <c r="K2229" t="s">
        <v>5071</v>
      </c>
      <c r="L2229" t="s">
        <v>9</v>
      </c>
      <c r="M2229" t="s">
        <v>5074</v>
      </c>
      <c r="N2229" t="s">
        <v>3</v>
      </c>
      <c r="O2229" t="s">
        <v>3</v>
      </c>
      <c r="P2229" t="s">
        <v>5</v>
      </c>
      <c r="Q2229" t="s">
        <v>5075</v>
      </c>
      <c r="R2229" t="s">
        <v>3</v>
      </c>
      <c r="S2229" t="s">
        <v>3</v>
      </c>
      <c r="T2229" t="s">
        <v>3</v>
      </c>
      <c r="U2229" t="s">
        <v>3</v>
      </c>
      <c r="V2229" t="s">
        <v>3</v>
      </c>
      <c r="W2229" t="s">
        <v>68</v>
      </c>
      <c r="X2229" s="17"/>
      <c r="Y2229" t="s">
        <v>3</v>
      </c>
      <c r="Z2229" s="17">
        <v>43752</v>
      </c>
      <c r="AA2229" t="s">
        <v>3</v>
      </c>
      <c r="AB2229" t="s">
        <v>5073</v>
      </c>
    </row>
    <row r="2230" spans="1:28" hidden="1">
      <c r="A2230" t="s">
        <v>5076</v>
      </c>
      <c r="B2230" s="17">
        <v>43752</v>
      </c>
      <c r="C2230" s="17">
        <v>43752</v>
      </c>
      <c r="D2230" t="s">
        <v>0</v>
      </c>
      <c r="E2230" t="s">
        <v>1</v>
      </c>
      <c r="F2230" s="18">
        <v>3016</v>
      </c>
      <c r="G2230" s="18">
        <v>3016</v>
      </c>
      <c r="H2230" t="s">
        <v>2</v>
      </c>
      <c r="I2230" t="s">
        <v>8</v>
      </c>
      <c r="J2230" s="18">
        <v>251836</v>
      </c>
      <c r="K2230" t="s">
        <v>5071</v>
      </c>
      <c r="L2230" t="s">
        <v>9</v>
      </c>
      <c r="M2230" t="s">
        <v>5077</v>
      </c>
      <c r="N2230" t="s">
        <v>3</v>
      </c>
      <c r="O2230" t="s">
        <v>3</v>
      </c>
      <c r="P2230" t="s">
        <v>5</v>
      </c>
      <c r="Q2230" t="s">
        <v>5078</v>
      </c>
      <c r="R2230" t="s">
        <v>3</v>
      </c>
      <c r="S2230" t="s">
        <v>3</v>
      </c>
      <c r="T2230" t="s">
        <v>3</v>
      </c>
      <c r="U2230" t="s">
        <v>3</v>
      </c>
      <c r="V2230" t="s">
        <v>3</v>
      </c>
      <c r="W2230" t="s">
        <v>68</v>
      </c>
      <c r="X2230" s="17"/>
      <c r="Y2230" t="s">
        <v>3</v>
      </c>
      <c r="Z2230" s="17">
        <v>43752</v>
      </c>
      <c r="AA2230" t="s">
        <v>3</v>
      </c>
      <c r="AB2230" t="s">
        <v>5076</v>
      </c>
    </row>
    <row r="2231" spans="1:28" hidden="1">
      <c r="A2231" t="s">
        <v>5076</v>
      </c>
      <c r="B2231" s="17">
        <v>43752</v>
      </c>
      <c r="C2231" s="17">
        <v>43752</v>
      </c>
      <c r="D2231" t="s">
        <v>0</v>
      </c>
      <c r="E2231" t="s">
        <v>1</v>
      </c>
      <c r="F2231" s="18">
        <v>55701</v>
      </c>
      <c r="G2231" s="18">
        <v>55701</v>
      </c>
      <c r="H2231" t="s">
        <v>2</v>
      </c>
      <c r="I2231" t="s">
        <v>8</v>
      </c>
      <c r="J2231" s="18">
        <v>4651033.5</v>
      </c>
      <c r="K2231" t="s">
        <v>5072</v>
      </c>
      <c r="L2231" t="s">
        <v>9</v>
      </c>
      <c r="M2231" t="s">
        <v>5077</v>
      </c>
      <c r="N2231" t="s">
        <v>3</v>
      </c>
      <c r="O2231" t="s">
        <v>3</v>
      </c>
      <c r="P2231" t="s">
        <v>5</v>
      </c>
      <c r="Q2231" t="s">
        <v>5078</v>
      </c>
      <c r="R2231" t="s">
        <v>3</v>
      </c>
      <c r="S2231" t="s">
        <v>3</v>
      </c>
      <c r="T2231" t="s">
        <v>3</v>
      </c>
      <c r="U2231" t="s">
        <v>3</v>
      </c>
      <c r="V2231" t="s">
        <v>3</v>
      </c>
      <c r="W2231" t="s">
        <v>68</v>
      </c>
      <c r="X2231" s="17"/>
      <c r="Y2231" t="s">
        <v>3</v>
      </c>
      <c r="Z2231" s="17">
        <v>43752</v>
      </c>
      <c r="AA2231" t="s">
        <v>3</v>
      </c>
      <c r="AB2231" t="s">
        <v>5076</v>
      </c>
    </row>
    <row r="2232" spans="1:28" hidden="1">
      <c r="A2232" t="s">
        <v>5079</v>
      </c>
      <c r="B2232" s="17">
        <v>43753</v>
      </c>
      <c r="C2232" s="17">
        <v>43753</v>
      </c>
      <c r="D2232" t="s">
        <v>0</v>
      </c>
      <c r="E2232" t="s">
        <v>1</v>
      </c>
      <c r="F2232" s="18">
        <v>-104354</v>
      </c>
      <c r="G2232" s="18">
        <v>-104354</v>
      </c>
      <c r="H2232" t="s">
        <v>2</v>
      </c>
      <c r="I2232" t="s">
        <v>8</v>
      </c>
      <c r="J2232" s="18">
        <v>-8713559.0099999998</v>
      </c>
      <c r="K2232" t="s">
        <v>5080</v>
      </c>
      <c r="L2232" t="s">
        <v>9</v>
      </c>
      <c r="M2232" t="s">
        <v>5081</v>
      </c>
      <c r="N2232" t="s">
        <v>3</v>
      </c>
      <c r="O2232" t="s">
        <v>3</v>
      </c>
      <c r="P2232" t="s">
        <v>5</v>
      </c>
      <c r="Q2232" t="s">
        <v>5082</v>
      </c>
      <c r="R2232" t="s">
        <v>3</v>
      </c>
      <c r="S2232" t="s">
        <v>3</v>
      </c>
      <c r="T2232" t="s">
        <v>3</v>
      </c>
      <c r="U2232" t="s">
        <v>3</v>
      </c>
      <c r="V2232" t="s">
        <v>3</v>
      </c>
      <c r="W2232" t="s">
        <v>68</v>
      </c>
      <c r="X2232" s="17"/>
      <c r="Y2232" t="s">
        <v>3</v>
      </c>
      <c r="Z2232" s="17">
        <v>43753</v>
      </c>
      <c r="AA2232" t="s">
        <v>3</v>
      </c>
      <c r="AB2232" t="s">
        <v>5079</v>
      </c>
    </row>
    <row r="2233" spans="1:28" hidden="1">
      <c r="A2233" t="s">
        <v>5083</v>
      </c>
      <c r="B2233" s="17">
        <v>43755</v>
      </c>
      <c r="C2233" s="17">
        <v>43755</v>
      </c>
      <c r="D2233" t="s">
        <v>0</v>
      </c>
      <c r="E2233" t="s">
        <v>1</v>
      </c>
      <c r="F2233" s="18">
        <v>-228518.75</v>
      </c>
      <c r="G2233" s="18">
        <v>-228518.75</v>
      </c>
      <c r="H2233" t="s">
        <v>2</v>
      </c>
      <c r="I2233" t="s">
        <v>10</v>
      </c>
      <c r="J2233" s="18">
        <v>-19081315.640000001</v>
      </c>
      <c r="K2233" t="s">
        <v>5084</v>
      </c>
      <c r="L2233" t="s">
        <v>4</v>
      </c>
      <c r="M2233" t="s">
        <v>5085</v>
      </c>
      <c r="N2233" t="s">
        <v>3</v>
      </c>
      <c r="O2233" t="s">
        <v>3</v>
      </c>
      <c r="P2233" t="s">
        <v>5</v>
      </c>
      <c r="Q2233" t="s">
        <v>5086</v>
      </c>
      <c r="R2233" t="s">
        <v>3</v>
      </c>
      <c r="S2233" t="s">
        <v>3</v>
      </c>
      <c r="T2233" t="s">
        <v>3</v>
      </c>
      <c r="U2233" t="s">
        <v>3</v>
      </c>
      <c r="V2233" t="s">
        <v>3</v>
      </c>
      <c r="W2233" t="s">
        <v>68</v>
      </c>
      <c r="X2233" s="17"/>
      <c r="Y2233" t="s">
        <v>3</v>
      </c>
      <c r="Z2233" s="17">
        <v>43755</v>
      </c>
      <c r="AA2233" t="s">
        <v>3</v>
      </c>
      <c r="AB2233" t="s">
        <v>5083</v>
      </c>
    </row>
    <row r="2234" spans="1:28" hidden="1">
      <c r="A2234" t="s">
        <v>5087</v>
      </c>
      <c r="B2234" s="17">
        <v>43755</v>
      </c>
      <c r="C2234" s="17">
        <v>43755</v>
      </c>
      <c r="D2234" t="s">
        <v>0</v>
      </c>
      <c r="E2234" t="s">
        <v>1</v>
      </c>
      <c r="F2234" s="18">
        <v>-417688.99</v>
      </c>
      <c r="G2234" s="18">
        <v>-417688.99</v>
      </c>
      <c r="H2234" t="s">
        <v>2</v>
      </c>
      <c r="I2234" t="s">
        <v>8</v>
      </c>
      <c r="J2234" s="18">
        <v>-34877030.670000002</v>
      </c>
      <c r="K2234" t="s">
        <v>5088</v>
      </c>
      <c r="L2234" t="s">
        <v>4</v>
      </c>
      <c r="M2234" t="s">
        <v>5089</v>
      </c>
      <c r="N2234" t="s">
        <v>3</v>
      </c>
      <c r="O2234" t="s">
        <v>3</v>
      </c>
      <c r="P2234" t="s">
        <v>5</v>
      </c>
      <c r="Q2234" t="s">
        <v>5090</v>
      </c>
      <c r="R2234" t="s">
        <v>3</v>
      </c>
      <c r="S2234" t="s">
        <v>3</v>
      </c>
      <c r="T2234" t="s">
        <v>3</v>
      </c>
      <c r="U2234" t="s">
        <v>3</v>
      </c>
      <c r="V2234" t="s">
        <v>3</v>
      </c>
      <c r="W2234" t="s">
        <v>68</v>
      </c>
      <c r="X2234" s="17"/>
      <c r="Y2234" t="s">
        <v>3</v>
      </c>
      <c r="Z2234" s="17">
        <v>43755</v>
      </c>
      <c r="AA2234" t="s">
        <v>3</v>
      </c>
      <c r="AB2234" t="s">
        <v>5087</v>
      </c>
    </row>
    <row r="2235" spans="1:28" hidden="1">
      <c r="A2235" t="s">
        <v>5091</v>
      </c>
      <c r="B2235" s="17">
        <v>43755</v>
      </c>
      <c r="C2235" s="17">
        <v>43755</v>
      </c>
      <c r="D2235" t="s">
        <v>0</v>
      </c>
      <c r="E2235" t="s">
        <v>1</v>
      </c>
      <c r="F2235" s="18">
        <v>157199.94</v>
      </c>
      <c r="G2235" s="18">
        <v>157199.94</v>
      </c>
      <c r="H2235" t="s">
        <v>2</v>
      </c>
      <c r="I2235" t="s">
        <v>10</v>
      </c>
      <c r="J2235" s="18">
        <v>13126195</v>
      </c>
      <c r="K2235" t="s">
        <v>5092</v>
      </c>
      <c r="L2235" t="s">
        <v>4</v>
      </c>
      <c r="M2235" t="s">
        <v>5093</v>
      </c>
      <c r="N2235" t="s">
        <v>3</v>
      </c>
      <c r="O2235" t="s">
        <v>3</v>
      </c>
      <c r="P2235" t="s">
        <v>5</v>
      </c>
      <c r="Q2235" t="s">
        <v>5094</v>
      </c>
      <c r="R2235" t="s">
        <v>3</v>
      </c>
      <c r="S2235" t="s">
        <v>3</v>
      </c>
      <c r="T2235" t="s">
        <v>3</v>
      </c>
      <c r="U2235" t="s">
        <v>3</v>
      </c>
      <c r="V2235" t="s">
        <v>3</v>
      </c>
      <c r="W2235" t="s">
        <v>68</v>
      </c>
      <c r="X2235" s="17"/>
      <c r="Y2235" t="s">
        <v>3</v>
      </c>
      <c r="Z2235" s="17">
        <v>43755</v>
      </c>
      <c r="AA2235" t="s">
        <v>3</v>
      </c>
      <c r="AB2235" t="s">
        <v>5091</v>
      </c>
    </row>
    <row r="2236" spans="1:28" hidden="1">
      <c r="A2236" t="s">
        <v>5095</v>
      </c>
      <c r="B2236" s="17">
        <v>43755</v>
      </c>
      <c r="C2236" s="17">
        <v>43755</v>
      </c>
      <c r="D2236" t="s">
        <v>0</v>
      </c>
      <c r="E2236" t="s">
        <v>1</v>
      </c>
      <c r="F2236" s="18">
        <v>540.76</v>
      </c>
      <c r="G2236" s="18">
        <v>540.76</v>
      </c>
      <c r="H2236" t="s">
        <v>2</v>
      </c>
      <c r="I2236" t="s">
        <v>8</v>
      </c>
      <c r="J2236" s="18">
        <v>45153.46</v>
      </c>
      <c r="K2236" t="s">
        <v>4547</v>
      </c>
      <c r="L2236" t="s">
        <v>4</v>
      </c>
      <c r="M2236" t="s">
        <v>5096</v>
      </c>
      <c r="N2236" t="s">
        <v>3</v>
      </c>
      <c r="O2236" t="s">
        <v>3</v>
      </c>
      <c r="P2236" t="s">
        <v>5</v>
      </c>
      <c r="Q2236" t="s">
        <v>5097</v>
      </c>
      <c r="R2236" t="s">
        <v>3</v>
      </c>
      <c r="S2236" t="s">
        <v>3</v>
      </c>
      <c r="T2236" t="s">
        <v>3</v>
      </c>
      <c r="U2236" t="s">
        <v>3</v>
      </c>
      <c r="V2236" t="s">
        <v>3</v>
      </c>
      <c r="W2236" t="s">
        <v>68</v>
      </c>
      <c r="X2236" s="17"/>
      <c r="Y2236" t="s">
        <v>3</v>
      </c>
      <c r="Z2236" s="17">
        <v>43755</v>
      </c>
      <c r="AA2236" t="s">
        <v>3</v>
      </c>
      <c r="AB2236" t="s">
        <v>5095</v>
      </c>
    </row>
    <row r="2237" spans="1:28" hidden="1">
      <c r="A2237" t="s">
        <v>5098</v>
      </c>
      <c r="B2237" s="17">
        <v>43755</v>
      </c>
      <c r="C2237" s="17">
        <v>43755</v>
      </c>
      <c r="D2237" t="s">
        <v>0</v>
      </c>
      <c r="E2237" t="s">
        <v>1</v>
      </c>
      <c r="F2237" s="18">
        <v>34961</v>
      </c>
      <c r="G2237" s="18">
        <v>34961</v>
      </c>
      <c r="H2237" t="s">
        <v>2</v>
      </c>
      <c r="I2237" t="s">
        <v>8</v>
      </c>
      <c r="J2237" s="18">
        <v>2919243.5</v>
      </c>
      <c r="K2237" t="s">
        <v>5072</v>
      </c>
      <c r="L2237" t="s">
        <v>9</v>
      </c>
      <c r="M2237" t="s">
        <v>5099</v>
      </c>
      <c r="N2237" t="s">
        <v>3</v>
      </c>
      <c r="O2237" t="s">
        <v>3</v>
      </c>
      <c r="P2237" t="s">
        <v>5</v>
      </c>
      <c r="Q2237" t="s">
        <v>5100</v>
      </c>
      <c r="R2237" t="s">
        <v>3</v>
      </c>
      <c r="S2237" t="s">
        <v>3</v>
      </c>
      <c r="T2237" t="s">
        <v>3</v>
      </c>
      <c r="U2237" t="s">
        <v>3</v>
      </c>
      <c r="V2237" t="s">
        <v>3</v>
      </c>
      <c r="W2237" t="s">
        <v>68</v>
      </c>
      <c r="X2237" s="17"/>
      <c r="Y2237" t="s">
        <v>3</v>
      </c>
      <c r="Z2237" s="17">
        <v>43755</v>
      </c>
      <c r="AA2237" t="s">
        <v>3</v>
      </c>
      <c r="AB2237" t="s">
        <v>5098</v>
      </c>
    </row>
    <row r="2238" spans="1:28" hidden="1">
      <c r="A2238" t="s">
        <v>5098</v>
      </c>
      <c r="B2238" s="17">
        <v>43755</v>
      </c>
      <c r="C2238" s="17">
        <v>43755</v>
      </c>
      <c r="D2238" t="s">
        <v>0</v>
      </c>
      <c r="E2238" t="s">
        <v>1</v>
      </c>
      <c r="F2238" s="18">
        <v>7895</v>
      </c>
      <c r="G2238" s="18">
        <v>7895</v>
      </c>
      <c r="H2238" t="s">
        <v>2</v>
      </c>
      <c r="I2238" t="s">
        <v>8</v>
      </c>
      <c r="J2238" s="18">
        <v>659232.5</v>
      </c>
      <c r="K2238" t="s">
        <v>5101</v>
      </c>
      <c r="L2238" t="s">
        <v>9</v>
      </c>
      <c r="M2238" t="s">
        <v>5099</v>
      </c>
      <c r="N2238" t="s">
        <v>3</v>
      </c>
      <c r="O2238" t="s">
        <v>3</v>
      </c>
      <c r="P2238" t="s">
        <v>5</v>
      </c>
      <c r="Q2238" t="s">
        <v>5100</v>
      </c>
      <c r="R2238" t="s">
        <v>3</v>
      </c>
      <c r="S2238" t="s">
        <v>3</v>
      </c>
      <c r="T2238" t="s">
        <v>3</v>
      </c>
      <c r="U2238" t="s">
        <v>3</v>
      </c>
      <c r="V2238" t="s">
        <v>3</v>
      </c>
      <c r="W2238" t="s">
        <v>68</v>
      </c>
      <c r="X2238" s="17"/>
      <c r="Y2238" t="s">
        <v>3</v>
      </c>
      <c r="Z2238" s="17">
        <v>43755</v>
      </c>
      <c r="AA2238" t="s">
        <v>3</v>
      </c>
      <c r="AB2238" t="s">
        <v>5098</v>
      </c>
    </row>
    <row r="2239" spans="1:28" hidden="1">
      <c r="A2239" t="s">
        <v>5098</v>
      </c>
      <c r="B2239" s="17">
        <v>43755</v>
      </c>
      <c r="C2239" s="17">
        <v>43755</v>
      </c>
      <c r="D2239" t="s">
        <v>0</v>
      </c>
      <c r="E2239" t="s">
        <v>1</v>
      </c>
      <c r="F2239" s="18">
        <v>70789</v>
      </c>
      <c r="G2239" s="18">
        <v>70789</v>
      </c>
      <c r="H2239" t="s">
        <v>2</v>
      </c>
      <c r="I2239" t="s">
        <v>8</v>
      </c>
      <c r="J2239" s="18">
        <v>5910881.5099999998</v>
      </c>
      <c r="K2239" t="s">
        <v>5102</v>
      </c>
      <c r="L2239" t="s">
        <v>9</v>
      </c>
      <c r="M2239" t="s">
        <v>5099</v>
      </c>
      <c r="N2239" t="s">
        <v>3</v>
      </c>
      <c r="O2239" t="s">
        <v>3</v>
      </c>
      <c r="P2239" t="s">
        <v>5</v>
      </c>
      <c r="Q2239" t="s">
        <v>5100</v>
      </c>
      <c r="R2239" t="s">
        <v>3</v>
      </c>
      <c r="S2239" t="s">
        <v>3</v>
      </c>
      <c r="T2239" t="s">
        <v>3</v>
      </c>
      <c r="U2239" t="s">
        <v>3</v>
      </c>
      <c r="V2239" t="s">
        <v>3</v>
      </c>
      <c r="W2239" t="s">
        <v>68</v>
      </c>
      <c r="X2239" s="17"/>
      <c r="Y2239" t="s">
        <v>3</v>
      </c>
      <c r="Z2239" s="17">
        <v>43755</v>
      </c>
      <c r="AA2239" t="s">
        <v>3</v>
      </c>
      <c r="AB2239" t="s">
        <v>5098</v>
      </c>
    </row>
    <row r="2240" spans="1:28" hidden="1">
      <c r="A2240" t="s">
        <v>5103</v>
      </c>
      <c r="B2240" s="17">
        <v>43755</v>
      </c>
      <c r="C2240" s="17">
        <v>43755</v>
      </c>
      <c r="D2240" t="s">
        <v>0</v>
      </c>
      <c r="E2240" t="s">
        <v>1</v>
      </c>
      <c r="F2240" s="18">
        <v>20808.25</v>
      </c>
      <c r="G2240" s="18">
        <v>20808.25</v>
      </c>
      <c r="H2240" t="s">
        <v>2</v>
      </c>
      <c r="I2240" t="s">
        <v>8</v>
      </c>
      <c r="J2240" s="18">
        <v>1737488.88</v>
      </c>
      <c r="K2240" t="s">
        <v>5104</v>
      </c>
      <c r="L2240" t="s">
        <v>4</v>
      </c>
      <c r="M2240" t="s">
        <v>5105</v>
      </c>
      <c r="N2240" t="s">
        <v>3</v>
      </c>
      <c r="O2240" t="s">
        <v>3</v>
      </c>
      <c r="P2240" t="s">
        <v>5</v>
      </c>
      <c r="Q2240" t="s">
        <v>5106</v>
      </c>
      <c r="R2240" t="s">
        <v>3</v>
      </c>
      <c r="S2240" t="s">
        <v>3</v>
      </c>
      <c r="T2240" t="s">
        <v>3</v>
      </c>
      <c r="U2240" t="s">
        <v>3</v>
      </c>
      <c r="V2240" t="s">
        <v>3</v>
      </c>
      <c r="W2240" t="s">
        <v>68</v>
      </c>
      <c r="X2240" s="17"/>
      <c r="Y2240" t="s">
        <v>3</v>
      </c>
      <c r="Z2240" s="17">
        <v>43755</v>
      </c>
      <c r="AA2240" t="s">
        <v>3</v>
      </c>
      <c r="AB2240" t="s">
        <v>5103</v>
      </c>
    </row>
    <row r="2241" spans="1:28" hidden="1">
      <c r="A2241" t="s">
        <v>5103</v>
      </c>
      <c r="B2241" s="17">
        <v>43755</v>
      </c>
      <c r="C2241" s="17">
        <v>43755</v>
      </c>
      <c r="D2241" t="s">
        <v>0</v>
      </c>
      <c r="E2241" t="s">
        <v>1</v>
      </c>
      <c r="F2241" s="18">
        <v>6321.25</v>
      </c>
      <c r="G2241" s="18">
        <v>6321.25</v>
      </c>
      <c r="H2241" t="s">
        <v>2</v>
      </c>
      <c r="I2241" t="s">
        <v>8</v>
      </c>
      <c r="J2241" s="18">
        <v>527824.38</v>
      </c>
      <c r="K2241" t="s">
        <v>5107</v>
      </c>
      <c r="L2241" t="s">
        <v>4</v>
      </c>
      <c r="M2241" t="s">
        <v>5105</v>
      </c>
      <c r="N2241" t="s">
        <v>3</v>
      </c>
      <c r="O2241" t="s">
        <v>3</v>
      </c>
      <c r="P2241" t="s">
        <v>5</v>
      </c>
      <c r="Q2241" t="s">
        <v>5106</v>
      </c>
      <c r="R2241" t="s">
        <v>3</v>
      </c>
      <c r="S2241" t="s">
        <v>3</v>
      </c>
      <c r="T2241" t="s">
        <v>3</v>
      </c>
      <c r="U2241" t="s">
        <v>3</v>
      </c>
      <c r="V2241" t="s">
        <v>3</v>
      </c>
      <c r="W2241" t="s">
        <v>68</v>
      </c>
      <c r="X2241" s="17"/>
      <c r="Y2241" t="s">
        <v>3</v>
      </c>
      <c r="Z2241" s="17">
        <v>43755</v>
      </c>
      <c r="AA2241" t="s">
        <v>3</v>
      </c>
      <c r="AB2241" t="s">
        <v>5103</v>
      </c>
    </row>
    <row r="2242" spans="1:28" hidden="1">
      <c r="A2242" t="s">
        <v>5108</v>
      </c>
      <c r="B2242" s="17">
        <v>43755</v>
      </c>
      <c r="C2242" s="17">
        <v>43755</v>
      </c>
      <c r="D2242" t="s">
        <v>0</v>
      </c>
      <c r="E2242" t="s">
        <v>1</v>
      </c>
      <c r="F2242" s="18">
        <v>1748</v>
      </c>
      <c r="G2242" s="18">
        <v>1748</v>
      </c>
      <c r="H2242" t="s">
        <v>2</v>
      </c>
      <c r="I2242" t="s">
        <v>8</v>
      </c>
      <c r="J2242" s="18">
        <v>145958</v>
      </c>
      <c r="K2242" t="s">
        <v>4533</v>
      </c>
      <c r="L2242" t="s">
        <v>9</v>
      </c>
      <c r="M2242" t="s">
        <v>5109</v>
      </c>
      <c r="N2242" t="s">
        <v>3</v>
      </c>
      <c r="O2242" t="s">
        <v>3</v>
      </c>
      <c r="P2242" t="s">
        <v>5</v>
      </c>
      <c r="Q2242" t="s">
        <v>5110</v>
      </c>
      <c r="R2242" t="s">
        <v>3</v>
      </c>
      <c r="S2242" t="s">
        <v>3</v>
      </c>
      <c r="T2242" t="s">
        <v>3</v>
      </c>
      <c r="U2242" t="s">
        <v>3</v>
      </c>
      <c r="V2242" t="s">
        <v>3</v>
      </c>
      <c r="W2242" t="s">
        <v>68</v>
      </c>
      <c r="X2242" s="17"/>
      <c r="Y2242" t="s">
        <v>3</v>
      </c>
      <c r="Z2242" s="17">
        <v>43755</v>
      </c>
      <c r="AA2242" t="s">
        <v>3</v>
      </c>
      <c r="AB2242" t="s">
        <v>5108</v>
      </c>
    </row>
    <row r="2243" spans="1:28" hidden="1">
      <c r="A2243" t="s">
        <v>5108</v>
      </c>
      <c r="B2243" s="17">
        <v>43755</v>
      </c>
      <c r="C2243" s="17">
        <v>43755</v>
      </c>
      <c r="D2243" t="s">
        <v>0</v>
      </c>
      <c r="E2243" t="s">
        <v>1</v>
      </c>
      <c r="F2243" s="18">
        <v>87</v>
      </c>
      <c r="G2243" s="18">
        <v>87</v>
      </c>
      <c r="H2243" t="s">
        <v>2</v>
      </c>
      <c r="I2243" t="s">
        <v>8</v>
      </c>
      <c r="J2243" s="18">
        <v>7264.5</v>
      </c>
      <c r="K2243" t="s">
        <v>4754</v>
      </c>
      <c r="L2243" t="s">
        <v>9</v>
      </c>
      <c r="M2243" t="s">
        <v>5109</v>
      </c>
      <c r="N2243" t="s">
        <v>3</v>
      </c>
      <c r="O2243" t="s">
        <v>3</v>
      </c>
      <c r="P2243" t="s">
        <v>5</v>
      </c>
      <c r="Q2243" t="s">
        <v>5110</v>
      </c>
      <c r="R2243" t="s">
        <v>3</v>
      </c>
      <c r="S2243" t="s">
        <v>3</v>
      </c>
      <c r="T2243" t="s">
        <v>3</v>
      </c>
      <c r="U2243" t="s">
        <v>3</v>
      </c>
      <c r="V2243" t="s">
        <v>3</v>
      </c>
      <c r="W2243" t="s">
        <v>68</v>
      </c>
      <c r="X2243" s="17">
        <v>44012</v>
      </c>
      <c r="Y2243" t="s">
        <v>4137</v>
      </c>
      <c r="Z2243" s="17">
        <v>43755</v>
      </c>
      <c r="AA2243" t="s">
        <v>3</v>
      </c>
      <c r="AB2243" t="s">
        <v>5108</v>
      </c>
    </row>
    <row r="2244" spans="1:28" hidden="1">
      <c r="A2244" t="s">
        <v>5108</v>
      </c>
      <c r="B2244" s="17">
        <v>43755</v>
      </c>
      <c r="C2244" s="17">
        <v>43755</v>
      </c>
      <c r="D2244" t="s">
        <v>0</v>
      </c>
      <c r="E2244" t="s">
        <v>1</v>
      </c>
      <c r="F2244" s="18">
        <v>164</v>
      </c>
      <c r="G2244" s="18">
        <v>164</v>
      </c>
      <c r="H2244" t="s">
        <v>2</v>
      </c>
      <c r="I2244" t="s">
        <v>8</v>
      </c>
      <c r="J2244" s="18">
        <v>13694</v>
      </c>
      <c r="K2244" t="s">
        <v>5111</v>
      </c>
      <c r="L2244" t="s">
        <v>9</v>
      </c>
      <c r="M2244" t="s">
        <v>5109</v>
      </c>
      <c r="N2244" t="s">
        <v>3</v>
      </c>
      <c r="O2244" t="s">
        <v>3</v>
      </c>
      <c r="P2244" t="s">
        <v>5</v>
      </c>
      <c r="Q2244" t="s">
        <v>5110</v>
      </c>
      <c r="R2244" t="s">
        <v>3</v>
      </c>
      <c r="S2244" t="s">
        <v>3</v>
      </c>
      <c r="T2244" t="s">
        <v>3</v>
      </c>
      <c r="U2244" t="s">
        <v>3</v>
      </c>
      <c r="V2244" t="s">
        <v>3</v>
      </c>
      <c r="W2244" t="s">
        <v>68</v>
      </c>
      <c r="X2244" s="17">
        <v>44012</v>
      </c>
      <c r="Y2244" t="s">
        <v>4137</v>
      </c>
      <c r="Z2244" s="17">
        <v>43755</v>
      </c>
      <c r="AA2244" t="s">
        <v>3</v>
      </c>
      <c r="AB2244" t="s">
        <v>5108</v>
      </c>
    </row>
    <row r="2245" spans="1:28" hidden="1">
      <c r="A2245" t="s">
        <v>5108</v>
      </c>
      <c r="B2245" s="17">
        <v>43755</v>
      </c>
      <c r="C2245" s="17">
        <v>43755</v>
      </c>
      <c r="D2245" t="s">
        <v>0</v>
      </c>
      <c r="E2245" t="s">
        <v>1</v>
      </c>
      <c r="F2245" s="18">
        <v>682</v>
      </c>
      <c r="G2245" s="18">
        <v>682</v>
      </c>
      <c r="H2245" t="s">
        <v>2</v>
      </c>
      <c r="I2245" t="s">
        <v>8</v>
      </c>
      <c r="J2245" s="18">
        <v>56933.36</v>
      </c>
      <c r="K2245" t="s">
        <v>4521</v>
      </c>
      <c r="L2245" t="s">
        <v>9</v>
      </c>
      <c r="M2245" t="s">
        <v>5109</v>
      </c>
      <c r="N2245" t="s">
        <v>3</v>
      </c>
      <c r="O2245" t="s">
        <v>3</v>
      </c>
      <c r="P2245" t="s">
        <v>5</v>
      </c>
      <c r="Q2245" t="s">
        <v>5110</v>
      </c>
      <c r="R2245" t="s">
        <v>3</v>
      </c>
      <c r="S2245" t="s">
        <v>3</v>
      </c>
      <c r="T2245" t="s">
        <v>3</v>
      </c>
      <c r="U2245" t="s">
        <v>3</v>
      </c>
      <c r="V2245" t="s">
        <v>3</v>
      </c>
      <c r="W2245" t="s">
        <v>68</v>
      </c>
      <c r="X2245" s="17">
        <v>43769</v>
      </c>
      <c r="Y2245" t="s">
        <v>4160</v>
      </c>
      <c r="Z2245" s="17">
        <v>43755</v>
      </c>
      <c r="AA2245" t="s">
        <v>3</v>
      </c>
      <c r="AB2245" t="s">
        <v>5108</v>
      </c>
    </row>
    <row r="2246" spans="1:28" hidden="1">
      <c r="A2246" t="s">
        <v>5112</v>
      </c>
      <c r="B2246" s="17">
        <v>43755</v>
      </c>
      <c r="C2246" s="17">
        <v>43755</v>
      </c>
      <c r="D2246" t="s">
        <v>0</v>
      </c>
      <c r="E2246" t="s">
        <v>1</v>
      </c>
      <c r="F2246" s="18">
        <v>2269.61</v>
      </c>
      <c r="G2246" s="18">
        <v>2269.61</v>
      </c>
      <c r="H2246" t="s">
        <v>2</v>
      </c>
      <c r="I2246" t="s">
        <v>8</v>
      </c>
      <c r="J2246" s="18">
        <v>189512.44</v>
      </c>
      <c r="K2246" t="s">
        <v>5104</v>
      </c>
      <c r="L2246" t="s">
        <v>4</v>
      </c>
      <c r="M2246" t="s">
        <v>5113</v>
      </c>
      <c r="N2246" t="s">
        <v>3</v>
      </c>
      <c r="O2246" t="s">
        <v>3</v>
      </c>
      <c r="P2246" t="s">
        <v>5</v>
      </c>
      <c r="Q2246" t="s">
        <v>5114</v>
      </c>
      <c r="R2246" t="s">
        <v>3</v>
      </c>
      <c r="S2246" t="s">
        <v>3</v>
      </c>
      <c r="T2246" t="s">
        <v>3</v>
      </c>
      <c r="U2246" t="s">
        <v>3</v>
      </c>
      <c r="V2246" t="s">
        <v>3</v>
      </c>
      <c r="W2246" t="s">
        <v>68</v>
      </c>
      <c r="X2246" s="17"/>
      <c r="Y2246" t="s">
        <v>3</v>
      </c>
      <c r="Z2246" s="17">
        <v>43755</v>
      </c>
      <c r="AA2246" t="s">
        <v>3</v>
      </c>
      <c r="AB2246" t="s">
        <v>5112</v>
      </c>
    </row>
    <row r="2247" spans="1:28" hidden="1">
      <c r="A2247" t="s">
        <v>5112</v>
      </c>
      <c r="B2247" s="17">
        <v>43755</v>
      </c>
      <c r="C2247" s="17">
        <v>43755</v>
      </c>
      <c r="D2247" t="s">
        <v>0</v>
      </c>
      <c r="E2247" t="s">
        <v>1</v>
      </c>
      <c r="F2247" s="18">
        <v>15361.04</v>
      </c>
      <c r="G2247" s="18">
        <v>15361.04</v>
      </c>
      <c r="H2247" t="s">
        <v>2</v>
      </c>
      <c r="I2247" t="s">
        <v>8</v>
      </c>
      <c r="J2247" s="18">
        <v>1282646.8400000001</v>
      </c>
      <c r="K2247" t="s">
        <v>5107</v>
      </c>
      <c r="L2247" t="s">
        <v>4</v>
      </c>
      <c r="M2247" t="s">
        <v>5113</v>
      </c>
      <c r="N2247" t="s">
        <v>3</v>
      </c>
      <c r="O2247" t="s">
        <v>3</v>
      </c>
      <c r="P2247" t="s">
        <v>5</v>
      </c>
      <c r="Q2247" t="s">
        <v>5114</v>
      </c>
      <c r="R2247" t="s">
        <v>3</v>
      </c>
      <c r="S2247" t="s">
        <v>3</v>
      </c>
      <c r="T2247" t="s">
        <v>3</v>
      </c>
      <c r="U2247" t="s">
        <v>3</v>
      </c>
      <c r="V2247" t="s">
        <v>3</v>
      </c>
      <c r="W2247" t="s">
        <v>68</v>
      </c>
      <c r="X2247" s="17"/>
      <c r="Y2247" t="s">
        <v>3</v>
      </c>
      <c r="Z2247" s="17">
        <v>43755</v>
      </c>
      <c r="AA2247" t="s">
        <v>3</v>
      </c>
      <c r="AB2247" t="s">
        <v>5112</v>
      </c>
    </row>
    <row r="2248" spans="1:28" hidden="1">
      <c r="A2248" t="s">
        <v>5115</v>
      </c>
      <c r="B2248" s="17">
        <v>43759</v>
      </c>
      <c r="C2248" s="17">
        <v>43759</v>
      </c>
      <c r="D2248" t="s">
        <v>0</v>
      </c>
      <c r="E2248" t="s">
        <v>1</v>
      </c>
      <c r="F2248" s="18">
        <v>919</v>
      </c>
      <c r="G2248" s="18">
        <v>919</v>
      </c>
      <c r="H2248" t="s">
        <v>2</v>
      </c>
      <c r="I2248" t="s">
        <v>10</v>
      </c>
      <c r="J2248" s="18">
        <v>76736.5</v>
      </c>
      <c r="K2248" t="s">
        <v>4919</v>
      </c>
      <c r="L2248" t="s">
        <v>9</v>
      </c>
      <c r="M2248" t="s">
        <v>5116</v>
      </c>
      <c r="N2248" t="s">
        <v>3</v>
      </c>
      <c r="O2248" t="s">
        <v>3</v>
      </c>
      <c r="P2248" t="s">
        <v>5</v>
      </c>
      <c r="Q2248" t="s">
        <v>5117</v>
      </c>
      <c r="R2248" t="s">
        <v>3</v>
      </c>
      <c r="S2248" t="s">
        <v>3</v>
      </c>
      <c r="T2248" t="s">
        <v>3</v>
      </c>
      <c r="U2248" t="s">
        <v>3</v>
      </c>
      <c r="V2248" t="s">
        <v>3</v>
      </c>
      <c r="W2248" t="s">
        <v>68</v>
      </c>
      <c r="X2248" s="17"/>
      <c r="Y2248" t="s">
        <v>3</v>
      </c>
      <c r="Z2248" s="17">
        <v>43759</v>
      </c>
      <c r="AA2248" t="s">
        <v>3</v>
      </c>
      <c r="AB2248" t="s">
        <v>5115</v>
      </c>
    </row>
    <row r="2249" spans="1:28" hidden="1">
      <c r="A2249" t="s">
        <v>5118</v>
      </c>
      <c r="B2249" s="17">
        <v>43759</v>
      </c>
      <c r="C2249" s="17">
        <v>43759</v>
      </c>
      <c r="D2249" t="s">
        <v>0</v>
      </c>
      <c r="E2249" t="s">
        <v>1</v>
      </c>
      <c r="F2249" s="18">
        <v>6728</v>
      </c>
      <c r="G2249" s="18">
        <v>6728</v>
      </c>
      <c r="H2249" t="s">
        <v>2</v>
      </c>
      <c r="I2249" t="s">
        <v>8</v>
      </c>
      <c r="J2249" s="18">
        <v>561788</v>
      </c>
      <c r="K2249" t="s">
        <v>5119</v>
      </c>
      <c r="L2249" t="s">
        <v>9</v>
      </c>
      <c r="M2249" t="s">
        <v>5120</v>
      </c>
      <c r="N2249" t="s">
        <v>3</v>
      </c>
      <c r="O2249" t="s">
        <v>3</v>
      </c>
      <c r="P2249" t="s">
        <v>5</v>
      </c>
      <c r="Q2249" t="s">
        <v>5121</v>
      </c>
      <c r="R2249" t="s">
        <v>3</v>
      </c>
      <c r="S2249" t="s">
        <v>3</v>
      </c>
      <c r="T2249" t="s">
        <v>3</v>
      </c>
      <c r="U2249" t="s">
        <v>3</v>
      </c>
      <c r="V2249" t="s">
        <v>3</v>
      </c>
      <c r="W2249" t="s">
        <v>68</v>
      </c>
      <c r="X2249" s="17"/>
      <c r="Y2249" t="s">
        <v>3</v>
      </c>
      <c r="Z2249" s="17">
        <v>43759</v>
      </c>
      <c r="AA2249" t="s">
        <v>3</v>
      </c>
      <c r="AB2249" t="s">
        <v>5118</v>
      </c>
    </row>
    <row r="2250" spans="1:28" hidden="1">
      <c r="A2250" t="s">
        <v>5122</v>
      </c>
      <c r="B2250" s="17">
        <v>43759</v>
      </c>
      <c r="C2250" s="17">
        <v>43759</v>
      </c>
      <c r="D2250" t="s">
        <v>0</v>
      </c>
      <c r="E2250" t="s">
        <v>1</v>
      </c>
      <c r="F2250" s="18">
        <v>78217.14</v>
      </c>
      <c r="G2250" s="18">
        <v>78217.14</v>
      </c>
      <c r="H2250" t="s">
        <v>2</v>
      </c>
      <c r="I2250" t="s">
        <v>10</v>
      </c>
      <c r="J2250" s="18">
        <v>6531131.1900000004</v>
      </c>
      <c r="K2250" t="s">
        <v>5123</v>
      </c>
      <c r="L2250" t="s">
        <v>4</v>
      </c>
      <c r="M2250" t="s">
        <v>5124</v>
      </c>
      <c r="N2250" t="s">
        <v>3</v>
      </c>
      <c r="O2250" t="s">
        <v>3</v>
      </c>
      <c r="P2250" t="s">
        <v>5</v>
      </c>
      <c r="Q2250" t="s">
        <v>5125</v>
      </c>
      <c r="R2250" t="s">
        <v>3</v>
      </c>
      <c r="S2250" t="s">
        <v>3</v>
      </c>
      <c r="T2250" t="s">
        <v>3</v>
      </c>
      <c r="U2250" t="s">
        <v>3</v>
      </c>
      <c r="V2250" t="s">
        <v>3</v>
      </c>
      <c r="W2250" t="s">
        <v>68</v>
      </c>
      <c r="X2250" s="17"/>
      <c r="Y2250" t="s">
        <v>3</v>
      </c>
      <c r="Z2250" s="17">
        <v>43759</v>
      </c>
      <c r="AA2250" t="s">
        <v>3</v>
      </c>
      <c r="AB2250" t="s">
        <v>5122</v>
      </c>
    </row>
    <row r="2251" spans="1:28" hidden="1">
      <c r="A2251" t="s">
        <v>5122</v>
      </c>
      <c r="B2251" s="17">
        <v>43759</v>
      </c>
      <c r="C2251" s="17">
        <v>43759</v>
      </c>
      <c r="D2251" t="s">
        <v>0</v>
      </c>
      <c r="E2251" t="s">
        <v>1</v>
      </c>
      <c r="F2251" s="18">
        <v>14121.16</v>
      </c>
      <c r="G2251" s="18">
        <v>14121.16</v>
      </c>
      <c r="H2251" t="s">
        <v>2</v>
      </c>
      <c r="I2251" t="s">
        <v>10</v>
      </c>
      <c r="J2251" s="18">
        <v>1179116.8600000001</v>
      </c>
      <c r="K2251" t="s">
        <v>4892</v>
      </c>
      <c r="L2251" t="s">
        <v>4</v>
      </c>
      <c r="M2251" t="s">
        <v>5124</v>
      </c>
      <c r="N2251" t="s">
        <v>3</v>
      </c>
      <c r="O2251" t="s">
        <v>3</v>
      </c>
      <c r="P2251" t="s">
        <v>5</v>
      </c>
      <c r="Q2251" t="s">
        <v>5125</v>
      </c>
      <c r="R2251" t="s">
        <v>3</v>
      </c>
      <c r="S2251" t="s">
        <v>3</v>
      </c>
      <c r="T2251" t="s">
        <v>3</v>
      </c>
      <c r="U2251" t="s">
        <v>3</v>
      </c>
      <c r="V2251" t="s">
        <v>3</v>
      </c>
      <c r="W2251" t="s">
        <v>68</v>
      </c>
      <c r="X2251" s="17"/>
      <c r="Y2251" t="s">
        <v>3</v>
      </c>
      <c r="Z2251" s="17">
        <v>43759</v>
      </c>
      <c r="AA2251" t="s">
        <v>3</v>
      </c>
      <c r="AB2251" t="s">
        <v>5122</v>
      </c>
    </row>
    <row r="2252" spans="1:28" hidden="1">
      <c r="A2252" t="s">
        <v>5126</v>
      </c>
      <c r="B2252" s="17">
        <v>43759</v>
      </c>
      <c r="C2252" s="17">
        <v>43759</v>
      </c>
      <c r="D2252" t="s">
        <v>0</v>
      </c>
      <c r="E2252" t="s">
        <v>1</v>
      </c>
      <c r="F2252" s="18">
        <v>67655.13</v>
      </c>
      <c r="G2252" s="18">
        <v>67655.13</v>
      </c>
      <c r="H2252" t="s">
        <v>2</v>
      </c>
      <c r="I2252" t="s">
        <v>8</v>
      </c>
      <c r="J2252" s="18">
        <v>5649203.3600000003</v>
      </c>
      <c r="K2252" t="s">
        <v>4387</v>
      </c>
      <c r="L2252" t="s">
        <v>4</v>
      </c>
      <c r="M2252" t="s">
        <v>5127</v>
      </c>
      <c r="N2252" t="s">
        <v>3</v>
      </c>
      <c r="O2252" t="s">
        <v>3</v>
      </c>
      <c r="P2252" t="s">
        <v>5</v>
      </c>
      <c r="Q2252" t="s">
        <v>5121</v>
      </c>
      <c r="R2252" t="s">
        <v>3</v>
      </c>
      <c r="S2252" t="s">
        <v>3</v>
      </c>
      <c r="T2252" t="s">
        <v>3</v>
      </c>
      <c r="U2252" t="s">
        <v>3</v>
      </c>
      <c r="V2252" t="s">
        <v>3</v>
      </c>
      <c r="W2252" t="s">
        <v>68</v>
      </c>
      <c r="X2252" s="17"/>
      <c r="Y2252" t="s">
        <v>3</v>
      </c>
      <c r="Z2252" s="17">
        <v>43759</v>
      </c>
      <c r="AA2252" t="s">
        <v>3</v>
      </c>
      <c r="AB2252" t="s">
        <v>5126</v>
      </c>
    </row>
    <row r="2253" spans="1:28" hidden="1">
      <c r="A2253" t="s">
        <v>5126</v>
      </c>
      <c r="B2253" s="17">
        <v>43759</v>
      </c>
      <c r="C2253" s="17">
        <v>43759</v>
      </c>
      <c r="D2253" t="s">
        <v>0</v>
      </c>
      <c r="E2253" t="s">
        <v>1</v>
      </c>
      <c r="F2253" s="18">
        <v>30230.91</v>
      </c>
      <c r="G2253" s="18">
        <v>30230.91</v>
      </c>
      <c r="H2253" t="s">
        <v>2</v>
      </c>
      <c r="I2253" t="s">
        <v>8</v>
      </c>
      <c r="J2253" s="18">
        <v>2524280.9900000002</v>
      </c>
      <c r="K2253" t="s">
        <v>4882</v>
      </c>
      <c r="L2253" t="s">
        <v>4</v>
      </c>
      <c r="M2253" t="s">
        <v>5127</v>
      </c>
      <c r="N2253" t="s">
        <v>3</v>
      </c>
      <c r="O2253" t="s">
        <v>3</v>
      </c>
      <c r="P2253" t="s">
        <v>5</v>
      </c>
      <c r="Q2253" t="s">
        <v>5121</v>
      </c>
      <c r="R2253" t="s">
        <v>3</v>
      </c>
      <c r="S2253" t="s">
        <v>3</v>
      </c>
      <c r="T2253" t="s">
        <v>3</v>
      </c>
      <c r="U2253" t="s">
        <v>3</v>
      </c>
      <c r="V2253" t="s">
        <v>3</v>
      </c>
      <c r="W2253" t="s">
        <v>68</v>
      </c>
      <c r="X2253" s="17"/>
      <c r="Y2253" t="s">
        <v>3</v>
      </c>
      <c r="Z2253" s="17">
        <v>43759</v>
      </c>
      <c r="AA2253" t="s">
        <v>3</v>
      </c>
      <c r="AB2253" t="s">
        <v>5126</v>
      </c>
    </row>
    <row r="2254" spans="1:28" hidden="1">
      <c r="A2254" t="s">
        <v>5128</v>
      </c>
      <c r="B2254" s="17">
        <v>43760</v>
      </c>
      <c r="C2254" s="17">
        <v>43760</v>
      </c>
      <c r="D2254" t="s">
        <v>0</v>
      </c>
      <c r="E2254" t="s">
        <v>1</v>
      </c>
      <c r="F2254" s="18">
        <v>49242.89</v>
      </c>
      <c r="G2254" s="18">
        <v>49242.89</v>
      </c>
      <c r="H2254" t="s">
        <v>2</v>
      </c>
      <c r="I2254" t="s">
        <v>8</v>
      </c>
      <c r="J2254" s="18">
        <v>4111781.32</v>
      </c>
      <c r="K2254" t="s">
        <v>4387</v>
      </c>
      <c r="L2254" t="s">
        <v>4</v>
      </c>
      <c r="M2254" t="s">
        <v>5129</v>
      </c>
      <c r="N2254" t="s">
        <v>3</v>
      </c>
      <c r="O2254" t="s">
        <v>3</v>
      </c>
      <c r="P2254" t="s">
        <v>5</v>
      </c>
      <c r="Q2254" t="s">
        <v>5130</v>
      </c>
      <c r="R2254" t="s">
        <v>3</v>
      </c>
      <c r="S2254" t="s">
        <v>3</v>
      </c>
      <c r="T2254" t="s">
        <v>3</v>
      </c>
      <c r="U2254" t="s">
        <v>3</v>
      </c>
      <c r="V2254" t="s">
        <v>3</v>
      </c>
      <c r="W2254" t="s">
        <v>68</v>
      </c>
      <c r="X2254" s="17"/>
      <c r="Y2254" t="s">
        <v>3</v>
      </c>
      <c r="Z2254" s="17">
        <v>43760</v>
      </c>
      <c r="AA2254" t="s">
        <v>3</v>
      </c>
      <c r="AB2254" t="s">
        <v>5128</v>
      </c>
    </row>
    <row r="2255" spans="1:28" hidden="1">
      <c r="A2255" t="s">
        <v>5128</v>
      </c>
      <c r="B2255" s="17">
        <v>43760</v>
      </c>
      <c r="C2255" s="17">
        <v>43760</v>
      </c>
      <c r="D2255" t="s">
        <v>0</v>
      </c>
      <c r="E2255" t="s">
        <v>1</v>
      </c>
      <c r="F2255" s="18">
        <v>6282.14</v>
      </c>
      <c r="G2255" s="18">
        <v>6282.14</v>
      </c>
      <c r="H2255" t="s">
        <v>2</v>
      </c>
      <c r="I2255" t="s">
        <v>8</v>
      </c>
      <c r="J2255" s="18">
        <v>524558.68999999994</v>
      </c>
      <c r="K2255" t="s">
        <v>5131</v>
      </c>
      <c r="L2255" t="s">
        <v>4</v>
      </c>
      <c r="M2255" t="s">
        <v>5129</v>
      </c>
      <c r="N2255" t="s">
        <v>3</v>
      </c>
      <c r="O2255" t="s">
        <v>3</v>
      </c>
      <c r="P2255" t="s">
        <v>5</v>
      </c>
      <c r="Q2255" t="s">
        <v>5130</v>
      </c>
      <c r="R2255" t="s">
        <v>3</v>
      </c>
      <c r="S2255" t="s">
        <v>3</v>
      </c>
      <c r="T2255" t="s">
        <v>3</v>
      </c>
      <c r="U2255" t="s">
        <v>3</v>
      </c>
      <c r="V2255" t="s">
        <v>3</v>
      </c>
      <c r="W2255" t="s">
        <v>68</v>
      </c>
      <c r="X2255" s="17"/>
      <c r="Y2255" t="s">
        <v>3</v>
      </c>
      <c r="Z2255" s="17">
        <v>43760</v>
      </c>
      <c r="AA2255" t="s">
        <v>3</v>
      </c>
      <c r="AB2255" t="s">
        <v>5128</v>
      </c>
    </row>
    <row r="2256" spans="1:28" hidden="1">
      <c r="A2256" t="s">
        <v>5132</v>
      </c>
      <c r="B2256" s="17">
        <v>43762</v>
      </c>
      <c r="C2256" s="17">
        <v>43762</v>
      </c>
      <c r="D2256" t="s">
        <v>0</v>
      </c>
      <c r="E2256" t="s">
        <v>1</v>
      </c>
      <c r="F2256" s="18">
        <v>596</v>
      </c>
      <c r="G2256" s="18">
        <v>596</v>
      </c>
      <c r="H2256" t="s">
        <v>2</v>
      </c>
      <c r="I2256" t="s">
        <v>10</v>
      </c>
      <c r="J2256" s="18">
        <v>49766</v>
      </c>
      <c r="K2256" t="s">
        <v>4919</v>
      </c>
      <c r="L2256" t="s">
        <v>9</v>
      </c>
      <c r="M2256" t="s">
        <v>5133</v>
      </c>
      <c r="N2256" t="s">
        <v>3</v>
      </c>
      <c r="O2256" t="s">
        <v>3</v>
      </c>
      <c r="P2256" t="s">
        <v>5</v>
      </c>
      <c r="Q2256" t="s">
        <v>5134</v>
      </c>
      <c r="R2256" t="s">
        <v>3</v>
      </c>
      <c r="S2256" t="s">
        <v>3</v>
      </c>
      <c r="T2256" t="s">
        <v>3</v>
      </c>
      <c r="U2256" t="s">
        <v>3</v>
      </c>
      <c r="V2256" t="s">
        <v>3</v>
      </c>
      <c r="W2256" t="s">
        <v>68</v>
      </c>
      <c r="X2256" s="17"/>
      <c r="Y2256" t="s">
        <v>3</v>
      </c>
      <c r="Z2256" s="17">
        <v>43762</v>
      </c>
      <c r="AA2256" t="s">
        <v>3</v>
      </c>
      <c r="AB2256" t="s">
        <v>5132</v>
      </c>
    </row>
    <row r="2257" spans="1:28" hidden="1">
      <c r="A2257" t="s">
        <v>5135</v>
      </c>
      <c r="B2257" s="17">
        <v>43762</v>
      </c>
      <c r="C2257" s="17">
        <v>43762</v>
      </c>
      <c r="D2257" t="s">
        <v>0</v>
      </c>
      <c r="E2257" t="s">
        <v>1</v>
      </c>
      <c r="F2257" s="18">
        <v>651.41</v>
      </c>
      <c r="G2257" s="18">
        <v>651.41</v>
      </c>
      <c r="H2257" t="s">
        <v>2</v>
      </c>
      <c r="I2257" t="s">
        <v>8</v>
      </c>
      <c r="J2257" s="18">
        <v>54392.74</v>
      </c>
      <c r="K2257" t="s">
        <v>5131</v>
      </c>
      <c r="L2257" t="s">
        <v>4</v>
      </c>
      <c r="M2257" t="s">
        <v>5136</v>
      </c>
      <c r="N2257" t="s">
        <v>3</v>
      </c>
      <c r="O2257" t="s">
        <v>3</v>
      </c>
      <c r="P2257" t="s">
        <v>5</v>
      </c>
      <c r="Q2257" t="s">
        <v>5137</v>
      </c>
      <c r="R2257" t="s">
        <v>3</v>
      </c>
      <c r="S2257" t="s">
        <v>3</v>
      </c>
      <c r="T2257" t="s">
        <v>3</v>
      </c>
      <c r="U2257" t="s">
        <v>3</v>
      </c>
      <c r="V2257" t="s">
        <v>3</v>
      </c>
      <c r="W2257" t="s">
        <v>68</v>
      </c>
      <c r="X2257" s="17"/>
      <c r="Y2257" t="s">
        <v>3</v>
      </c>
      <c r="Z2257" s="17">
        <v>43762</v>
      </c>
      <c r="AA2257" t="s">
        <v>3</v>
      </c>
      <c r="AB2257" t="s">
        <v>5135</v>
      </c>
    </row>
    <row r="2258" spans="1:28" hidden="1">
      <c r="A2258" t="s">
        <v>5138</v>
      </c>
      <c r="B2258" s="17">
        <v>43762</v>
      </c>
      <c r="C2258" s="17">
        <v>43762</v>
      </c>
      <c r="D2258" t="s">
        <v>0</v>
      </c>
      <c r="E2258" t="s">
        <v>1</v>
      </c>
      <c r="F2258" s="18">
        <v>611</v>
      </c>
      <c r="G2258" s="18">
        <v>611</v>
      </c>
      <c r="H2258" t="s">
        <v>2</v>
      </c>
      <c r="I2258" t="s">
        <v>8</v>
      </c>
      <c r="J2258" s="18">
        <v>51018.5</v>
      </c>
      <c r="K2258" t="s">
        <v>4604</v>
      </c>
      <c r="L2258" t="s">
        <v>9</v>
      </c>
      <c r="M2258" t="s">
        <v>5139</v>
      </c>
      <c r="N2258" t="s">
        <v>3</v>
      </c>
      <c r="O2258" t="s">
        <v>3</v>
      </c>
      <c r="P2258" t="s">
        <v>5</v>
      </c>
      <c r="Q2258" t="s">
        <v>5140</v>
      </c>
      <c r="R2258" t="s">
        <v>3</v>
      </c>
      <c r="S2258" t="s">
        <v>3</v>
      </c>
      <c r="T2258" t="s">
        <v>3</v>
      </c>
      <c r="U2258" t="s">
        <v>3</v>
      </c>
      <c r="V2258" t="s">
        <v>3</v>
      </c>
      <c r="W2258" t="s">
        <v>68</v>
      </c>
      <c r="X2258" s="17"/>
      <c r="Y2258" t="s">
        <v>3</v>
      </c>
      <c r="Z2258" s="17">
        <v>43762</v>
      </c>
      <c r="AA2258" t="s">
        <v>3</v>
      </c>
      <c r="AB2258" t="s">
        <v>5138</v>
      </c>
    </row>
    <row r="2259" spans="1:28" hidden="1">
      <c r="A2259" t="s">
        <v>5138</v>
      </c>
      <c r="B2259" s="17">
        <v>43762</v>
      </c>
      <c r="C2259" s="17">
        <v>43762</v>
      </c>
      <c r="D2259" t="s">
        <v>0</v>
      </c>
      <c r="E2259" t="s">
        <v>1</v>
      </c>
      <c r="F2259" s="18">
        <v>281</v>
      </c>
      <c r="G2259" s="18">
        <v>281</v>
      </c>
      <c r="H2259" t="s">
        <v>2</v>
      </c>
      <c r="I2259" t="s">
        <v>8</v>
      </c>
      <c r="J2259" s="18">
        <v>23463.5</v>
      </c>
      <c r="K2259" t="s">
        <v>4754</v>
      </c>
      <c r="L2259" t="s">
        <v>9</v>
      </c>
      <c r="M2259" t="s">
        <v>5139</v>
      </c>
      <c r="N2259" t="s">
        <v>3</v>
      </c>
      <c r="O2259" t="s">
        <v>3</v>
      </c>
      <c r="P2259" t="s">
        <v>5</v>
      </c>
      <c r="Q2259" t="s">
        <v>5140</v>
      </c>
      <c r="R2259" t="s">
        <v>3</v>
      </c>
      <c r="S2259" t="s">
        <v>3</v>
      </c>
      <c r="T2259" t="s">
        <v>3</v>
      </c>
      <c r="U2259" t="s">
        <v>3</v>
      </c>
      <c r="V2259" t="s">
        <v>3</v>
      </c>
      <c r="W2259" t="s">
        <v>68</v>
      </c>
      <c r="X2259" s="17">
        <v>44012</v>
      </c>
      <c r="Y2259" t="s">
        <v>4137</v>
      </c>
      <c r="Z2259" s="17">
        <v>43762</v>
      </c>
      <c r="AA2259" t="s">
        <v>3</v>
      </c>
      <c r="AB2259" t="s">
        <v>5138</v>
      </c>
    </row>
    <row r="2260" spans="1:28" hidden="1">
      <c r="A2260" t="s">
        <v>5138</v>
      </c>
      <c r="B2260" s="17">
        <v>43762</v>
      </c>
      <c r="C2260" s="17">
        <v>43762</v>
      </c>
      <c r="D2260" t="s">
        <v>0</v>
      </c>
      <c r="E2260" t="s">
        <v>1</v>
      </c>
      <c r="F2260" s="18">
        <v>62751</v>
      </c>
      <c r="G2260" s="18">
        <v>62751</v>
      </c>
      <c r="H2260" t="s">
        <v>2</v>
      </c>
      <c r="I2260" t="s">
        <v>8</v>
      </c>
      <c r="J2260" s="18">
        <v>5239708.5</v>
      </c>
      <c r="K2260" t="s">
        <v>5031</v>
      </c>
      <c r="L2260" t="s">
        <v>9</v>
      </c>
      <c r="M2260" t="s">
        <v>5139</v>
      </c>
      <c r="N2260" t="s">
        <v>3</v>
      </c>
      <c r="O2260" t="s">
        <v>3</v>
      </c>
      <c r="P2260" t="s">
        <v>5</v>
      </c>
      <c r="Q2260" t="s">
        <v>5140</v>
      </c>
      <c r="R2260" t="s">
        <v>3</v>
      </c>
      <c r="S2260" t="s">
        <v>3</v>
      </c>
      <c r="T2260" t="s">
        <v>3</v>
      </c>
      <c r="U2260" t="s">
        <v>3</v>
      </c>
      <c r="V2260" t="s">
        <v>3</v>
      </c>
      <c r="W2260" t="s">
        <v>68</v>
      </c>
      <c r="X2260" s="17"/>
      <c r="Y2260" t="s">
        <v>3</v>
      </c>
      <c r="Z2260" s="17">
        <v>43762</v>
      </c>
      <c r="AA2260" t="s">
        <v>3</v>
      </c>
      <c r="AB2260" t="s">
        <v>5138</v>
      </c>
    </row>
    <row r="2261" spans="1:28" hidden="1">
      <c r="A2261" t="s">
        <v>5138</v>
      </c>
      <c r="B2261" s="17">
        <v>43762</v>
      </c>
      <c r="C2261" s="17">
        <v>43762</v>
      </c>
      <c r="D2261" t="s">
        <v>0</v>
      </c>
      <c r="E2261" t="s">
        <v>1</v>
      </c>
      <c r="F2261" s="18">
        <v>337</v>
      </c>
      <c r="G2261" s="18">
        <v>337</v>
      </c>
      <c r="H2261" t="s">
        <v>2</v>
      </c>
      <c r="I2261" t="s">
        <v>8</v>
      </c>
      <c r="J2261" s="18">
        <v>28139.5</v>
      </c>
      <c r="K2261" t="s">
        <v>4736</v>
      </c>
      <c r="L2261" t="s">
        <v>9</v>
      </c>
      <c r="M2261" t="s">
        <v>5139</v>
      </c>
      <c r="N2261" t="s">
        <v>3</v>
      </c>
      <c r="O2261" t="s">
        <v>3</v>
      </c>
      <c r="P2261" t="s">
        <v>5</v>
      </c>
      <c r="Q2261" t="s">
        <v>5140</v>
      </c>
      <c r="R2261" t="s">
        <v>3</v>
      </c>
      <c r="S2261" t="s">
        <v>3</v>
      </c>
      <c r="T2261" t="s">
        <v>3</v>
      </c>
      <c r="U2261" t="s">
        <v>3</v>
      </c>
      <c r="V2261" t="s">
        <v>3</v>
      </c>
      <c r="W2261" t="s">
        <v>68</v>
      </c>
      <c r="X2261" s="17">
        <v>44012</v>
      </c>
      <c r="Y2261" t="s">
        <v>4137</v>
      </c>
      <c r="Z2261" s="17">
        <v>43762</v>
      </c>
      <c r="AA2261" t="s">
        <v>3</v>
      </c>
      <c r="AB2261" t="s">
        <v>5138</v>
      </c>
    </row>
    <row r="2262" spans="1:28" hidden="1">
      <c r="A2262" t="s">
        <v>5138</v>
      </c>
      <c r="B2262" s="17">
        <v>43762</v>
      </c>
      <c r="C2262" s="17">
        <v>43762</v>
      </c>
      <c r="D2262" t="s">
        <v>0</v>
      </c>
      <c r="E2262" t="s">
        <v>1</v>
      </c>
      <c r="F2262" s="18">
        <v>55</v>
      </c>
      <c r="G2262" s="18">
        <v>55</v>
      </c>
      <c r="H2262" t="s">
        <v>2</v>
      </c>
      <c r="I2262" t="s">
        <v>8</v>
      </c>
      <c r="J2262" s="18">
        <v>4591.3999999999996</v>
      </c>
      <c r="K2262" t="s">
        <v>4607</v>
      </c>
      <c r="L2262" t="s">
        <v>9</v>
      </c>
      <c r="M2262" t="s">
        <v>5139</v>
      </c>
      <c r="N2262" t="s">
        <v>3</v>
      </c>
      <c r="O2262" t="s">
        <v>3</v>
      </c>
      <c r="P2262" t="s">
        <v>5</v>
      </c>
      <c r="Q2262" t="s">
        <v>5140</v>
      </c>
      <c r="R2262" t="s">
        <v>3</v>
      </c>
      <c r="S2262" t="s">
        <v>3</v>
      </c>
      <c r="T2262" t="s">
        <v>3</v>
      </c>
      <c r="U2262" t="s">
        <v>3</v>
      </c>
      <c r="V2262" t="s">
        <v>3</v>
      </c>
      <c r="W2262" t="s">
        <v>68</v>
      </c>
      <c r="X2262" s="17">
        <v>43769</v>
      </c>
      <c r="Y2262" t="s">
        <v>4160</v>
      </c>
      <c r="Z2262" s="17">
        <v>43762</v>
      </c>
      <c r="AA2262" t="s">
        <v>3</v>
      </c>
      <c r="AB2262" t="s">
        <v>5138</v>
      </c>
    </row>
    <row r="2263" spans="1:28" hidden="1">
      <c r="A2263" t="s">
        <v>5138</v>
      </c>
      <c r="B2263" s="17">
        <v>43762</v>
      </c>
      <c r="C2263" s="17">
        <v>43762</v>
      </c>
      <c r="D2263" t="s">
        <v>0</v>
      </c>
      <c r="E2263" t="s">
        <v>1</v>
      </c>
      <c r="F2263" s="18">
        <v>4378</v>
      </c>
      <c r="G2263" s="18">
        <v>4378</v>
      </c>
      <c r="H2263" t="s">
        <v>2</v>
      </c>
      <c r="I2263" t="s">
        <v>8</v>
      </c>
      <c r="J2263" s="18">
        <v>365563</v>
      </c>
      <c r="K2263" t="s">
        <v>5119</v>
      </c>
      <c r="L2263" t="s">
        <v>9</v>
      </c>
      <c r="M2263" t="s">
        <v>5139</v>
      </c>
      <c r="N2263" t="s">
        <v>3</v>
      </c>
      <c r="O2263" t="s">
        <v>3</v>
      </c>
      <c r="P2263" t="s">
        <v>5</v>
      </c>
      <c r="Q2263" t="s">
        <v>5140</v>
      </c>
      <c r="R2263" t="s">
        <v>3</v>
      </c>
      <c r="S2263" t="s">
        <v>3</v>
      </c>
      <c r="T2263" t="s">
        <v>3</v>
      </c>
      <c r="U2263" t="s">
        <v>3</v>
      </c>
      <c r="V2263" t="s">
        <v>3</v>
      </c>
      <c r="W2263" t="s">
        <v>68</v>
      </c>
      <c r="X2263" s="17"/>
      <c r="Y2263" t="s">
        <v>3</v>
      </c>
      <c r="Z2263" s="17">
        <v>43762</v>
      </c>
      <c r="AA2263" t="s">
        <v>3</v>
      </c>
      <c r="AB2263" t="s">
        <v>5138</v>
      </c>
    </row>
    <row r="2264" spans="1:28" hidden="1">
      <c r="A2264" t="s">
        <v>5141</v>
      </c>
      <c r="B2264" s="17">
        <v>43762</v>
      </c>
      <c r="C2264" s="17">
        <v>43762</v>
      </c>
      <c r="D2264" t="s">
        <v>0</v>
      </c>
      <c r="E2264" t="s">
        <v>1</v>
      </c>
      <c r="F2264" s="18">
        <v>4724</v>
      </c>
      <c r="G2264" s="18">
        <v>4724</v>
      </c>
      <c r="H2264" t="s">
        <v>2</v>
      </c>
      <c r="I2264" t="s">
        <v>8</v>
      </c>
      <c r="J2264" s="18">
        <v>394454</v>
      </c>
      <c r="K2264" t="s">
        <v>4886</v>
      </c>
      <c r="L2264" t="s">
        <v>9</v>
      </c>
      <c r="M2264" t="s">
        <v>5142</v>
      </c>
      <c r="N2264" t="s">
        <v>3</v>
      </c>
      <c r="O2264" t="s">
        <v>3</v>
      </c>
      <c r="P2264" t="s">
        <v>5</v>
      </c>
      <c r="Q2264" t="s">
        <v>5143</v>
      </c>
      <c r="R2264" t="s">
        <v>3</v>
      </c>
      <c r="S2264" t="s">
        <v>3</v>
      </c>
      <c r="T2264" t="s">
        <v>3</v>
      </c>
      <c r="U2264" t="s">
        <v>3</v>
      </c>
      <c r="V2264" t="s">
        <v>3</v>
      </c>
      <c r="W2264" t="s">
        <v>68</v>
      </c>
      <c r="X2264" s="17"/>
      <c r="Y2264" t="s">
        <v>3</v>
      </c>
      <c r="Z2264" s="17">
        <v>43762</v>
      </c>
      <c r="AA2264" t="s">
        <v>3</v>
      </c>
      <c r="AB2264" t="s">
        <v>5141</v>
      </c>
    </row>
    <row r="2265" spans="1:28" hidden="1">
      <c r="A2265" t="s">
        <v>5141</v>
      </c>
      <c r="B2265" s="17">
        <v>43762</v>
      </c>
      <c r="C2265" s="17">
        <v>43762</v>
      </c>
      <c r="D2265" t="s">
        <v>0</v>
      </c>
      <c r="E2265" t="s">
        <v>1</v>
      </c>
      <c r="F2265" s="18">
        <v>12279</v>
      </c>
      <c r="G2265" s="18">
        <v>12279</v>
      </c>
      <c r="H2265" t="s">
        <v>2</v>
      </c>
      <c r="I2265" t="s">
        <v>8</v>
      </c>
      <c r="J2265" s="18">
        <v>1025296.5</v>
      </c>
      <c r="K2265" t="s">
        <v>5031</v>
      </c>
      <c r="L2265" t="s">
        <v>9</v>
      </c>
      <c r="M2265" t="s">
        <v>5142</v>
      </c>
      <c r="N2265" t="s">
        <v>3</v>
      </c>
      <c r="O2265" t="s">
        <v>3</v>
      </c>
      <c r="P2265" t="s">
        <v>5</v>
      </c>
      <c r="Q2265" t="s">
        <v>5143</v>
      </c>
      <c r="R2265" t="s">
        <v>3</v>
      </c>
      <c r="S2265" t="s">
        <v>3</v>
      </c>
      <c r="T2265" t="s">
        <v>3</v>
      </c>
      <c r="U2265" t="s">
        <v>3</v>
      </c>
      <c r="V2265" t="s">
        <v>3</v>
      </c>
      <c r="W2265" t="s">
        <v>68</v>
      </c>
      <c r="X2265" s="17"/>
      <c r="Y2265" t="s">
        <v>3</v>
      </c>
      <c r="Z2265" s="17">
        <v>43762</v>
      </c>
      <c r="AA2265" t="s">
        <v>3</v>
      </c>
      <c r="AB2265" t="s">
        <v>5141</v>
      </c>
    </row>
    <row r="2266" spans="1:28" hidden="1">
      <c r="A2266" t="s">
        <v>5141</v>
      </c>
      <c r="B2266" s="17">
        <v>43762</v>
      </c>
      <c r="C2266" s="17">
        <v>43762</v>
      </c>
      <c r="D2266" t="s">
        <v>0</v>
      </c>
      <c r="E2266" t="s">
        <v>1</v>
      </c>
      <c r="F2266" s="18">
        <v>1196</v>
      </c>
      <c r="G2266" s="18">
        <v>1196</v>
      </c>
      <c r="H2266" t="s">
        <v>2</v>
      </c>
      <c r="I2266" t="s">
        <v>8</v>
      </c>
      <c r="J2266" s="18">
        <v>99866</v>
      </c>
      <c r="K2266" t="s">
        <v>5119</v>
      </c>
      <c r="L2266" t="s">
        <v>9</v>
      </c>
      <c r="M2266" t="s">
        <v>5142</v>
      </c>
      <c r="N2266" t="s">
        <v>3</v>
      </c>
      <c r="O2266" t="s">
        <v>3</v>
      </c>
      <c r="P2266" t="s">
        <v>5</v>
      </c>
      <c r="Q2266" t="s">
        <v>5143</v>
      </c>
      <c r="R2266" t="s">
        <v>3</v>
      </c>
      <c r="S2266" t="s">
        <v>3</v>
      </c>
      <c r="T2266" t="s">
        <v>3</v>
      </c>
      <c r="U2266" t="s">
        <v>3</v>
      </c>
      <c r="V2266" t="s">
        <v>3</v>
      </c>
      <c r="W2266" t="s">
        <v>68</v>
      </c>
      <c r="X2266" s="17"/>
      <c r="Y2266" t="s">
        <v>3</v>
      </c>
      <c r="Z2266" s="17">
        <v>43762</v>
      </c>
      <c r="AA2266" t="s">
        <v>3</v>
      </c>
      <c r="AB2266" t="s">
        <v>5141</v>
      </c>
    </row>
    <row r="2267" spans="1:28" hidden="1">
      <c r="A2267" t="s">
        <v>5144</v>
      </c>
      <c r="B2267" s="17">
        <v>43762</v>
      </c>
      <c r="C2267" s="17">
        <v>43762</v>
      </c>
      <c r="D2267" t="s">
        <v>0</v>
      </c>
      <c r="E2267" t="s">
        <v>1</v>
      </c>
      <c r="F2267" s="18">
        <v>28484</v>
      </c>
      <c r="G2267" s="18">
        <v>28484</v>
      </c>
      <c r="H2267" t="s">
        <v>2</v>
      </c>
      <c r="I2267" t="s">
        <v>8</v>
      </c>
      <c r="J2267" s="18">
        <v>2378414</v>
      </c>
      <c r="K2267" t="s">
        <v>4604</v>
      </c>
      <c r="L2267" t="s">
        <v>9</v>
      </c>
      <c r="M2267" t="s">
        <v>5145</v>
      </c>
      <c r="N2267" t="s">
        <v>3</v>
      </c>
      <c r="O2267" t="s">
        <v>3</v>
      </c>
      <c r="P2267" t="s">
        <v>5</v>
      </c>
      <c r="Q2267" t="s">
        <v>5146</v>
      </c>
      <c r="R2267" t="s">
        <v>3</v>
      </c>
      <c r="S2267" t="s">
        <v>3</v>
      </c>
      <c r="T2267" t="s">
        <v>3</v>
      </c>
      <c r="U2267" t="s">
        <v>3</v>
      </c>
      <c r="V2267" t="s">
        <v>3</v>
      </c>
      <c r="W2267" t="s">
        <v>68</v>
      </c>
      <c r="X2267" s="17"/>
      <c r="Y2267" t="s">
        <v>3</v>
      </c>
      <c r="Z2267" s="17">
        <v>43762</v>
      </c>
      <c r="AA2267" t="s">
        <v>3</v>
      </c>
      <c r="AB2267" t="s">
        <v>5144</v>
      </c>
    </row>
    <row r="2268" spans="1:28" hidden="1">
      <c r="A2268" t="s">
        <v>5144</v>
      </c>
      <c r="B2268" s="17">
        <v>43762</v>
      </c>
      <c r="C2268" s="17">
        <v>43762</v>
      </c>
      <c r="D2268" t="s">
        <v>0</v>
      </c>
      <c r="E2268" t="s">
        <v>1</v>
      </c>
      <c r="F2268" s="18">
        <v>2322</v>
      </c>
      <c r="G2268" s="18">
        <v>2322</v>
      </c>
      <c r="H2268" t="s">
        <v>2</v>
      </c>
      <c r="I2268" t="s">
        <v>8</v>
      </c>
      <c r="J2268" s="18">
        <v>193887</v>
      </c>
      <c r="K2268" t="s">
        <v>4886</v>
      </c>
      <c r="L2268" t="s">
        <v>9</v>
      </c>
      <c r="M2268" t="s">
        <v>5145</v>
      </c>
      <c r="N2268" t="s">
        <v>3</v>
      </c>
      <c r="O2268" t="s">
        <v>3</v>
      </c>
      <c r="P2268" t="s">
        <v>5</v>
      </c>
      <c r="Q2268" t="s">
        <v>5146</v>
      </c>
      <c r="R2268" t="s">
        <v>3</v>
      </c>
      <c r="S2268" t="s">
        <v>3</v>
      </c>
      <c r="T2268" t="s">
        <v>3</v>
      </c>
      <c r="U2268" t="s">
        <v>3</v>
      </c>
      <c r="V2268" t="s">
        <v>3</v>
      </c>
      <c r="W2268" t="s">
        <v>68</v>
      </c>
      <c r="X2268" s="17"/>
      <c r="Y2268" t="s">
        <v>3</v>
      </c>
      <c r="Z2268" s="17">
        <v>43762</v>
      </c>
      <c r="AA2268" t="s">
        <v>3</v>
      </c>
      <c r="AB2268" t="s">
        <v>5144</v>
      </c>
    </row>
    <row r="2269" spans="1:28" hidden="1">
      <c r="A2269" t="s">
        <v>5144</v>
      </c>
      <c r="B2269" s="17">
        <v>43762</v>
      </c>
      <c r="C2269" s="17">
        <v>43762</v>
      </c>
      <c r="D2269" t="s">
        <v>0</v>
      </c>
      <c r="E2269" t="s">
        <v>1</v>
      </c>
      <c r="F2269" s="18">
        <v>40138</v>
      </c>
      <c r="G2269" s="18">
        <v>40138</v>
      </c>
      <c r="H2269" t="s">
        <v>2</v>
      </c>
      <c r="I2269" t="s">
        <v>8</v>
      </c>
      <c r="J2269" s="18">
        <v>3351523</v>
      </c>
      <c r="K2269" t="s">
        <v>5031</v>
      </c>
      <c r="L2269" t="s">
        <v>9</v>
      </c>
      <c r="M2269" t="s">
        <v>5145</v>
      </c>
      <c r="N2269" t="s">
        <v>3</v>
      </c>
      <c r="O2269" t="s">
        <v>3</v>
      </c>
      <c r="P2269" t="s">
        <v>5</v>
      </c>
      <c r="Q2269" t="s">
        <v>5146</v>
      </c>
      <c r="R2269" t="s">
        <v>3</v>
      </c>
      <c r="S2269" t="s">
        <v>3</v>
      </c>
      <c r="T2269" t="s">
        <v>3</v>
      </c>
      <c r="U2269" t="s">
        <v>3</v>
      </c>
      <c r="V2269" t="s">
        <v>3</v>
      </c>
      <c r="W2269" t="s">
        <v>68</v>
      </c>
      <c r="X2269" s="17"/>
      <c r="Y2269" t="s">
        <v>3</v>
      </c>
      <c r="Z2269" s="17">
        <v>43762</v>
      </c>
      <c r="AA2269" t="s">
        <v>3</v>
      </c>
      <c r="AB2269" t="s">
        <v>5144</v>
      </c>
    </row>
    <row r="2270" spans="1:28" hidden="1">
      <c r="A2270" t="s">
        <v>5144</v>
      </c>
      <c r="B2270" s="17">
        <v>43762</v>
      </c>
      <c r="C2270" s="17">
        <v>43762</v>
      </c>
      <c r="D2270" t="s">
        <v>0</v>
      </c>
      <c r="E2270" t="s">
        <v>1</v>
      </c>
      <c r="F2270" s="18">
        <v>111</v>
      </c>
      <c r="G2270" s="18">
        <v>111</v>
      </c>
      <c r="H2270" t="s">
        <v>2</v>
      </c>
      <c r="I2270" t="s">
        <v>8</v>
      </c>
      <c r="J2270" s="18">
        <v>9268.5</v>
      </c>
      <c r="K2270" t="s">
        <v>4736</v>
      </c>
      <c r="L2270" t="s">
        <v>9</v>
      </c>
      <c r="M2270" t="s">
        <v>5145</v>
      </c>
      <c r="N2270" t="s">
        <v>3</v>
      </c>
      <c r="O2270" t="s">
        <v>3</v>
      </c>
      <c r="P2270" t="s">
        <v>5</v>
      </c>
      <c r="Q2270" t="s">
        <v>5146</v>
      </c>
      <c r="R2270" t="s">
        <v>3</v>
      </c>
      <c r="S2270" t="s">
        <v>3</v>
      </c>
      <c r="T2270" t="s">
        <v>3</v>
      </c>
      <c r="U2270" t="s">
        <v>3</v>
      </c>
      <c r="V2270" t="s">
        <v>3</v>
      </c>
      <c r="W2270" t="s">
        <v>68</v>
      </c>
      <c r="X2270" s="17">
        <v>44012</v>
      </c>
      <c r="Y2270" t="s">
        <v>4137</v>
      </c>
      <c r="Z2270" s="17">
        <v>43762</v>
      </c>
      <c r="AA2270" t="s">
        <v>3</v>
      </c>
      <c r="AB2270" t="s">
        <v>5144</v>
      </c>
    </row>
    <row r="2271" spans="1:28" hidden="1">
      <c r="A2271" t="s">
        <v>5144</v>
      </c>
      <c r="B2271" s="17">
        <v>43762</v>
      </c>
      <c r="C2271" s="17">
        <v>43762</v>
      </c>
      <c r="D2271" t="s">
        <v>0</v>
      </c>
      <c r="E2271" t="s">
        <v>1</v>
      </c>
      <c r="F2271" s="18">
        <v>11999</v>
      </c>
      <c r="G2271" s="18">
        <v>11999</v>
      </c>
      <c r="H2271" t="s">
        <v>2</v>
      </c>
      <c r="I2271" t="s">
        <v>8</v>
      </c>
      <c r="J2271" s="18">
        <v>1001676.52</v>
      </c>
      <c r="K2271" t="s">
        <v>4608</v>
      </c>
      <c r="L2271" t="s">
        <v>9</v>
      </c>
      <c r="M2271" t="s">
        <v>5145</v>
      </c>
      <c r="N2271" t="s">
        <v>3</v>
      </c>
      <c r="O2271" t="s">
        <v>3</v>
      </c>
      <c r="P2271" t="s">
        <v>5</v>
      </c>
      <c r="Q2271" t="s">
        <v>5146</v>
      </c>
      <c r="R2271" t="s">
        <v>3</v>
      </c>
      <c r="S2271" t="s">
        <v>3</v>
      </c>
      <c r="T2271" t="s">
        <v>3</v>
      </c>
      <c r="U2271" t="s">
        <v>3</v>
      </c>
      <c r="V2271" t="s">
        <v>3</v>
      </c>
      <c r="W2271" t="s">
        <v>68</v>
      </c>
      <c r="X2271" s="17">
        <v>44012</v>
      </c>
      <c r="Y2271" t="s">
        <v>4137</v>
      </c>
      <c r="Z2271" s="17">
        <v>43762</v>
      </c>
      <c r="AA2271" t="s">
        <v>3</v>
      </c>
      <c r="AB2271" t="s">
        <v>5144</v>
      </c>
    </row>
    <row r="2272" spans="1:28" hidden="1">
      <c r="A2272" t="s">
        <v>5144</v>
      </c>
      <c r="B2272" s="17">
        <v>43762</v>
      </c>
      <c r="C2272" s="17">
        <v>43762</v>
      </c>
      <c r="D2272" t="s">
        <v>0</v>
      </c>
      <c r="E2272" t="s">
        <v>1</v>
      </c>
      <c r="F2272" s="18">
        <v>21070</v>
      </c>
      <c r="G2272" s="18">
        <v>21070</v>
      </c>
      <c r="H2272" t="s">
        <v>2</v>
      </c>
      <c r="I2272" t="s">
        <v>8</v>
      </c>
      <c r="J2272" s="18">
        <v>1759345</v>
      </c>
      <c r="K2272" t="s">
        <v>5119</v>
      </c>
      <c r="L2272" t="s">
        <v>9</v>
      </c>
      <c r="M2272" t="s">
        <v>5145</v>
      </c>
      <c r="N2272" t="s">
        <v>3</v>
      </c>
      <c r="O2272" t="s">
        <v>3</v>
      </c>
      <c r="P2272" t="s">
        <v>5</v>
      </c>
      <c r="Q2272" t="s">
        <v>5146</v>
      </c>
      <c r="R2272" t="s">
        <v>3</v>
      </c>
      <c r="S2272" t="s">
        <v>3</v>
      </c>
      <c r="T2272" t="s">
        <v>3</v>
      </c>
      <c r="U2272" t="s">
        <v>3</v>
      </c>
      <c r="V2272" t="s">
        <v>3</v>
      </c>
      <c r="W2272" t="s">
        <v>68</v>
      </c>
      <c r="X2272" s="17"/>
      <c r="Y2272" t="s">
        <v>3</v>
      </c>
      <c r="Z2272" s="17">
        <v>43762</v>
      </c>
      <c r="AA2272" t="s">
        <v>3</v>
      </c>
      <c r="AB2272" t="s">
        <v>5144</v>
      </c>
    </row>
    <row r="2273" spans="1:28" hidden="1">
      <c r="A2273" t="s">
        <v>5147</v>
      </c>
      <c r="B2273" s="17">
        <v>43766</v>
      </c>
      <c r="C2273" s="17">
        <v>43766</v>
      </c>
      <c r="D2273" t="s">
        <v>0</v>
      </c>
      <c r="E2273" t="s">
        <v>1</v>
      </c>
      <c r="F2273" s="18">
        <v>16432</v>
      </c>
      <c r="G2273" s="18">
        <v>16432</v>
      </c>
      <c r="H2273" t="s">
        <v>2</v>
      </c>
      <c r="I2273" t="s">
        <v>8</v>
      </c>
      <c r="J2273" s="18">
        <v>1372072</v>
      </c>
      <c r="K2273" t="s">
        <v>5031</v>
      </c>
      <c r="L2273" t="s">
        <v>9</v>
      </c>
      <c r="M2273" t="s">
        <v>5148</v>
      </c>
      <c r="N2273" t="s">
        <v>3</v>
      </c>
      <c r="O2273" t="s">
        <v>3</v>
      </c>
      <c r="P2273" t="s">
        <v>5</v>
      </c>
      <c r="Q2273" t="s">
        <v>5149</v>
      </c>
      <c r="R2273" t="s">
        <v>3</v>
      </c>
      <c r="S2273" t="s">
        <v>3</v>
      </c>
      <c r="T2273" t="s">
        <v>3</v>
      </c>
      <c r="U2273" t="s">
        <v>3</v>
      </c>
      <c r="V2273" t="s">
        <v>3</v>
      </c>
      <c r="W2273" t="s">
        <v>68</v>
      </c>
      <c r="X2273" s="17"/>
      <c r="Y2273" t="s">
        <v>3</v>
      </c>
      <c r="Z2273" s="17">
        <v>43766</v>
      </c>
      <c r="AA2273" t="s">
        <v>3</v>
      </c>
      <c r="AB2273" t="s">
        <v>5147</v>
      </c>
    </row>
    <row r="2274" spans="1:28" hidden="1">
      <c r="A2274" t="s">
        <v>5147</v>
      </c>
      <c r="B2274" s="17">
        <v>43766</v>
      </c>
      <c r="C2274" s="17">
        <v>43766</v>
      </c>
      <c r="D2274" t="s">
        <v>0</v>
      </c>
      <c r="E2274" t="s">
        <v>1</v>
      </c>
      <c r="F2274" s="18">
        <v>1330</v>
      </c>
      <c r="G2274" s="18">
        <v>1330</v>
      </c>
      <c r="H2274" t="s">
        <v>2</v>
      </c>
      <c r="I2274" t="s">
        <v>8</v>
      </c>
      <c r="J2274" s="18">
        <v>111055</v>
      </c>
      <c r="K2274" t="s">
        <v>5150</v>
      </c>
      <c r="L2274" t="s">
        <v>9</v>
      </c>
      <c r="M2274" t="s">
        <v>5148</v>
      </c>
      <c r="N2274" t="s">
        <v>3</v>
      </c>
      <c r="O2274" t="s">
        <v>3</v>
      </c>
      <c r="P2274" t="s">
        <v>5</v>
      </c>
      <c r="Q2274" t="s">
        <v>5149</v>
      </c>
      <c r="R2274" t="s">
        <v>3</v>
      </c>
      <c r="S2274" t="s">
        <v>3</v>
      </c>
      <c r="T2274" t="s">
        <v>3</v>
      </c>
      <c r="U2274" t="s">
        <v>3</v>
      </c>
      <c r="V2274" t="s">
        <v>3</v>
      </c>
      <c r="W2274" t="s">
        <v>68</v>
      </c>
      <c r="X2274" s="17"/>
      <c r="Y2274" t="s">
        <v>3</v>
      </c>
      <c r="Z2274" s="17">
        <v>43766</v>
      </c>
      <c r="AA2274" t="s">
        <v>3</v>
      </c>
      <c r="AB2274" t="s">
        <v>5147</v>
      </c>
    </row>
    <row r="2275" spans="1:28" hidden="1">
      <c r="A2275" t="s">
        <v>5151</v>
      </c>
      <c r="B2275" s="17">
        <v>43767</v>
      </c>
      <c r="C2275" s="17">
        <v>43767</v>
      </c>
      <c r="D2275" t="s">
        <v>0</v>
      </c>
      <c r="E2275" t="s">
        <v>1</v>
      </c>
      <c r="F2275" s="18">
        <v>20680.150000000001</v>
      </c>
      <c r="G2275" s="18">
        <v>20680.150000000001</v>
      </c>
      <c r="H2275" t="s">
        <v>2</v>
      </c>
      <c r="I2275" t="s">
        <v>8</v>
      </c>
      <c r="J2275" s="18">
        <v>1726792.53</v>
      </c>
      <c r="K2275" t="s">
        <v>4387</v>
      </c>
      <c r="L2275" t="s">
        <v>4</v>
      </c>
      <c r="M2275" t="s">
        <v>5152</v>
      </c>
      <c r="N2275" t="s">
        <v>3</v>
      </c>
      <c r="O2275" t="s">
        <v>3</v>
      </c>
      <c r="P2275" t="s">
        <v>5</v>
      </c>
      <c r="Q2275" t="s">
        <v>5153</v>
      </c>
      <c r="R2275" t="s">
        <v>3</v>
      </c>
      <c r="S2275" t="s">
        <v>3</v>
      </c>
      <c r="T2275" t="s">
        <v>3</v>
      </c>
      <c r="U2275" t="s">
        <v>3</v>
      </c>
      <c r="V2275" t="s">
        <v>3</v>
      </c>
      <c r="W2275" t="s">
        <v>68</v>
      </c>
      <c r="X2275" s="17"/>
      <c r="Y2275" t="s">
        <v>3</v>
      </c>
      <c r="Z2275" s="17">
        <v>43767</v>
      </c>
      <c r="AA2275" t="s">
        <v>3</v>
      </c>
      <c r="AB2275" t="s">
        <v>5151</v>
      </c>
    </row>
    <row r="2276" spans="1:28" hidden="1">
      <c r="A2276" t="s">
        <v>5154</v>
      </c>
      <c r="B2276" s="17">
        <v>43767</v>
      </c>
      <c r="C2276" s="17">
        <v>43767</v>
      </c>
      <c r="D2276" t="s">
        <v>0</v>
      </c>
      <c r="E2276" t="s">
        <v>1</v>
      </c>
      <c r="F2276" s="18">
        <v>39191.58</v>
      </c>
      <c r="G2276" s="18">
        <v>39191.58</v>
      </c>
      <c r="H2276" t="s">
        <v>2</v>
      </c>
      <c r="I2276" t="s">
        <v>10</v>
      </c>
      <c r="J2276" s="18">
        <v>3272496.93</v>
      </c>
      <c r="K2276" t="s">
        <v>5123</v>
      </c>
      <c r="L2276" t="s">
        <v>4</v>
      </c>
      <c r="M2276" t="s">
        <v>5155</v>
      </c>
      <c r="N2276" t="s">
        <v>3</v>
      </c>
      <c r="O2276" t="s">
        <v>3</v>
      </c>
      <c r="P2276" t="s">
        <v>5</v>
      </c>
      <c r="Q2276" t="s">
        <v>5156</v>
      </c>
      <c r="R2276" t="s">
        <v>3</v>
      </c>
      <c r="S2276" t="s">
        <v>3</v>
      </c>
      <c r="T2276" t="s">
        <v>3</v>
      </c>
      <c r="U2276" t="s">
        <v>3</v>
      </c>
      <c r="V2276" t="s">
        <v>3</v>
      </c>
      <c r="W2276" t="s">
        <v>68</v>
      </c>
      <c r="X2276" s="17"/>
      <c r="Y2276" t="s">
        <v>3</v>
      </c>
      <c r="Z2276" s="17">
        <v>43767</v>
      </c>
      <c r="AA2276" t="s">
        <v>3</v>
      </c>
      <c r="AB2276" t="s">
        <v>5154</v>
      </c>
    </row>
    <row r="2277" spans="1:28" hidden="1">
      <c r="A2277" t="s">
        <v>5154</v>
      </c>
      <c r="B2277" s="17">
        <v>43767</v>
      </c>
      <c r="C2277" s="17">
        <v>43767</v>
      </c>
      <c r="D2277" t="s">
        <v>0</v>
      </c>
      <c r="E2277" t="s">
        <v>1</v>
      </c>
      <c r="F2277" s="18">
        <v>2892.75</v>
      </c>
      <c r="G2277" s="18">
        <v>2892.75</v>
      </c>
      <c r="H2277" t="s">
        <v>2</v>
      </c>
      <c r="I2277" t="s">
        <v>10</v>
      </c>
      <c r="J2277" s="18">
        <v>241544.63</v>
      </c>
      <c r="K2277" t="s">
        <v>4892</v>
      </c>
      <c r="L2277" t="s">
        <v>4</v>
      </c>
      <c r="M2277" t="s">
        <v>5155</v>
      </c>
      <c r="N2277" t="s">
        <v>3</v>
      </c>
      <c r="O2277" t="s">
        <v>3</v>
      </c>
      <c r="P2277" t="s">
        <v>5</v>
      </c>
      <c r="Q2277" t="s">
        <v>5156</v>
      </c>
      <c r="R2277" t="s">
        <v>3</v>
      </c>
      <c r="S2277" t="s">
        <v>3</v>
      </c>
      <c r="T2277" t="s">
        <v>3</v>
      </c>
      <c r="U2277" t="s">
        <v>3</v>
      </c>
      <c r="V2277" t="s">
        <v>3</v>
      </c>
      <c r="W2277" t="s">
        <v>68</v>
      </c>
      <c r="X2277" s="17"/>
      <c r="Y2277" t="s">
        <v>3</v>
      </c>
      <c r="Z2277" s="17">
        <v>43767</v>
      </c>
      <c r="AA2277" t="s">
        <v>3</v>
      </c>
      <c r="AB2277" t="s">
        <v>5154</v>
      </c>
    </row>
    <row r="2278" spans="1:28" hidden="1">
      <c r="A2278" t="s">
        <v>5154</v>
      </c>
      <c r="B2278" s="17">
        <v>43767</v>
      </c>
      <c r="C2278" s="17">
        <v>43767</v>
      </c>
      <c r="D2278" t="s">
        <v>0</v>
      </c>
      <c r="E2278" t="s">
        <v>1</v>
      </c>
      <c r="F2278" s="18">
        <v>47161.32</v>
      </c>
      <c r="G2278" s="18">
        <v>47161.32</v>
      </c>
      <c r="H2278" t="s">
        <v>2</v>
      </c>
      <c r="I2278" t="s">
        <v>10</v>
      </c>
      <c r="J2278" s="18">
        <v>3937970.22</v>
      </c>
      <c r="K2278" t="s">
        <v>5157</v>
      </c>
      <c r="L2278" t="s">
        <v>4</v>
      </c>
      <c r="M2278" t="s">
        <v>5155</v>
      </c>
      <c r="N2278" t="s">
        <v>3</v>
      </c>
      <c r="O2278" t="s">
        <v>3</v>
      </c>
      <c r="P2278" t="s">
        <v>5</v>
      </c>
      <c r="Q2278" t="s">
        <v>5156</v>
      </c>
      <c r="R2278" t="s">
        <v>3</v>
      </c>
      <c r="S2278" t="s">
        <v>3</v>
      </c>
      <c r="T2278" t="s">
        <v>3</v>
      </c>
      <c r="U2278" t="s">
        <v>3</v>
      </c>
      <c r="V2278" t="s">
        <v>3</v>
      </c>
      <c r="W2278" t="s">
        <v>68</v>
      </c>
      <c r="X2278" s="17"/>
      <c r="Y2278" t="s">
        <v>3</v>
      </c>
      <c r="Z2278" s="17">
        <v>43767</v>
      </c>
      <c r="AA2278" t="s">
        <v>3</v>
      </c>
      <c r="AB2278" t="s">
        <v>5154</v>
      </c>
    </row>
    <row r="2279" spans="1:28" hidden="1">
      <c r="A2279" t="s">
        <v>5158</v>
      </c>
      <c r="B2279" s="17">
        <v>43767</v>
      </c>
      <c r="C2279" s="17">
        <v>43767</v>
      </c>
      <c r="D2279" t="s">
        <v>0</v>
      </c>
      <c r="E2279" t="s">
        <v>1</v>
      </c>
      <c r="F2279" s="18">
        <v>1142.3900000000001</v>
      </c>
      <c r="G2279" s="18">
        <v>1142.3900000000001</v>
      </c>
      <c r="H2279" t="s">
        <v>2</v>
      </c>
      <c r="I2279" t="s">
        <v>10</v>
      </c>
      <c r="J2279" s="18">
        <v>95389.57</v>
      </c>
      <c r="K2279" t="s">
        <v>5123</v>
      </c>
      <c r="L2279" t="s">
        <v>4</v>
      </c>
      <c r="M2279" t="s">
        <v>5159</v>
      </c>
      <c r="N2279" t="s">
        <v>3</v>
      </c>
      <c r="O2279" t="s">
        <v>3</v>
      </c>
      <c r="P2279" t="s">
        <v>5</v>
      </c>
      <c r="Q2279" t="s">
        <v>5160</v>
      </c>
      <c r="R2279" t="s">
        <v>3</v>
      </c>
      <c r="S2279" t="s">
        <v>3</v>
      </c>
      <c r="T2279" t="s">
        <v>3</v>
      </c>
      <c r="U2279" t="s">
        <v>3</v>
      </c>
      <c r="V2279" t="s">
        <v>3</v>
      </c>
      <c r="W2279" t="s">
        <v>68</v>
      </c>
      <c r="X2279" s="17"/>
      <c r="Y2279" t="s">
        <v>3</v>
      </c>
      <c r="Z2279" s="17">
        <v>43767</v>
      </c>
      <c r="AA2279" t="s">
        <v>3</v>
      </c>
      <c r="AB2279" t="s">
        <v>5158</v>
      </c>
    </row>
    <row r="2280" spans="1:28" hidden="1">
      <c r="A2280" t="s">
        <v>5158</v>
      </c>
      <c r="B2280" s="17">
        <v>43767</v>
      </c>
      <c r="C2280" s="17">
        <v>43767</v>
      </c>
      <c r="D2280" t="s">
        <v>0</v>
      </c>
      <c r="E2280" t="s">
        <v>1</v>
      </c>
      <c r="F2280" s="18">
        <v>751.58</v>
      </c>
      <c r="G2280" s="18">
        <v>751.58</v>
      </c>
      <c r="H2280" t="s">
        <v>2</v>
      </c>
      <c r="I2280" t="s">
        <v>10</v>
      </c>
      <c r="J2280" s="18">
        <v>62756.93</v>
      </c>
      <c r="K2280" t="s">
        <v>5157</v>
      </c>
      <c r="L2280" t="s">
        <v>4</v>
      </c>
      <c r="M2280" t="s">
        <v>5159</v>
      </c>
      <c r="N2280" t="s">
        <v>3</v>
      </c>
      <c r="O2280" t="s">
        <v>3</v>
      </c>
      <c r="P2280" t="s">
        <v>5</v>
      </c>
      <c r="Q2280" t="s">
        <v>5160</v>
      </c>
      <c r="R2280" t="s">
        <v>3</v>
      </c>
      <c r="S2280" t="s">
        <v>3</v>
      </c>
      <c r="T2280" t="s">
        <v>3</v>
      </c>
      <c r="U2280" t="s">
        <v>3</v>
      </c>
      <c r="V2280" t="s">
        <v>3</v>
      </c>
      <c r="W2280" t="s">
        <v>68</v>
      </c>
      <c r="X2280" s="17"/>
      <c r="Y2280" t="s">
        <v>3</v>
      </c>
      <c r="Z2280" s="17">
        <v>43767</v>
      </c>
      <c r="AA2280" t="s">
        <v>3</v>
      </c>
      <c r="AB2280" t="s">
        <v>5158</v>
      </c>
    </row>
    <row r="2281" spans="1:28" hidden="1">
      <c r="A2281" t="s">
        <v>5161</v>
      </c>
      <c r="B2281" s="17">
        <v>43768</v>
      </c>
      <c r="C2281" s="17">
        <v>43768</v>
      </c>
      <c r="D2281" t="s">
        <v>0</v>
      </c>
      <c r="E2281" t="s">
        <v>1</v>
      </c>
      <c r="F2281" s="18">
        <v>-1193565</v>
      </c>
      <c r="G2281" s="18">
        <v>-1193565</v>
      </c>
      <c r="H2281" t="s">
        <v>2</v>
      </c>
      <c r="I2281" t="s">
        <v>8</v>
      </c>
      <c r="J2281" s="18">
        <v>-99662677.510000005</v>
      </c>
      <c r="K2281" t="s">
        <v>5162</v>
      </c>
      <c r="L2281" t="s">
        <v>9</v>
      </c>
      <c r="M2281" t="s">
        <v>5163</v>
      </c>
      <c r="N2281" t="s">
        <v>3</v>
      </c>
      <c r="O2281" t="s">
        <v>3</v>
      </c>
      <c r="P2281" t="s">
        <v>5</v>
      </c>
      <c r="Q2281" t="s">
        <v>5164</v>
      </c>
      <c r="R2281" t="s">
        <v>3</v>
      </c>
      <c r="S2281" t="s">
        <v>3</v>
      </c>
      <c r="T2281" t="s">
        <v>3</v>
      </c>
      <c r="U2281" t="s">
        <v>3</v>
      </c>
      <c r="V2281" t="s">
        <v>3</v>
      </c>
      <c r="W2281" t="s">
        <v>68</v>
      </c>
      <c r="X2281" s="17"/>
      <c r="Y2281" t="s">
        <v>3</v>
      </c>
      <c r="Z2281" s="17">
        <v>43768</v>
      </c>
      <c r="AA2281" t="s">
        <v>3</v>
      </c>
      <c r="AB2281" t="s">
        <v>5161</v>
      </c>
    </row>
    <row r="2282" spans="1:28" hidden="1">
      <c r="A2282" t="s">
        <v>5165</v>
      </c>
      <c r="B2282" s="17">
        <v>43768</v>
      </c>
      <c r="C2282" s="17">
        <v>43768</v>
      </c>
      <c r="D2282" t="s">
        <v>0</v>
      </c>
      <c r="E2282" t="s">
        <v>1</v>
      </c>
      <c r="F2282" s="18">
        <v>86468</v>
      </c>
      <c r="G2282" s="18">
        <v>86468</v>
      </c>
      <c r="H2282" t="s">
        <v>2</v>
      </c>
      <c r="I2282" t="s">
        <v>8</v>
      </c>
      <c r="J2282" s="18">
        <v>7220078</v>
      </c>
      <c r="K2282" t="s">
        <v>4886</v>
      </c>
      <c r="L2282" t="s">
        <v>9</v>
      </c>
      <c r="M2282" t="s">
        <v>5166</v>
      </c>
      <c r="N2282" t="s">
        <v>3</v>
      </c>
      <c r="O2282" t="s">
        <v>3</v>
      </c>
      <c r="P2282" t="s">
        <v>5</v>
      </c>
      <c r="Q2282" t="s">
        <v>5167</v>
      </c>
      <c r="R2282" t="s">
        <v>3</v>
      </c>
      <c r="S2282" t="s">
        <v>3</v>
      </c>
      <c r="T2282" t="s">
        <v>3</v>
      </c>
      <c r="U2282" t="s">
        <v>3</v>
      </c>
      <c r="V2282" t="s">
        <v>3</v>
      </c>
      <c r="W2282" t="s">
        <v>68</v>
      </c>
      <c r="X2282" s="17"/>
      <c r="Y2282" t="s">
        <v>3</v>
      </c>
      <c r="Z2282" s="17">
        <v>43768</v>
      </c>
      <c r="AA2282" t="s">
        <v>3</v>
      </c>
      <c r="AB2282" t="s">
        <v>5165</v>
      </c>
    </row>
    <row r="2283" spans="1:28" hidden="1">
      <c r="A2283" t="s">
        <v>5165</v>
      </c>
      <c r="B2283" s="17">
        <v>43768</v>
      </c>
      <c r="C2283" s="17">
        <v>43768</v>
      </c>
      <c r="D2283" t="s">
        <v>0</v>
      </c>
      <c r="E2283" t="s">
        <v>1</v>
      </c>
      <c r="F2283" s="18">
        <v>4763</v>
      </c>
      <c r="G2283" s="18">
        <v>4763</v>
      </c>
      <c r="H2283" t="s">
        <v>2</v>
      </c>
      <c r="I2283" t="s">
        <v>8</v>
      </c>
      <c r="J2283" s="18">
        <v>397710.5</v>
      </c>
      <c r="K2283" t="s">
        <v>5031</v>
      </c>
      <c r="L2283" t="s">
        <v>9</v>
      </c>
      <c r="M2283" t="s">
        <v>5166</v>
      </c>
      <c r="N2283" t="s">
        <v>3</v>
      </c>
      <c r="O2283" t="s">
        <v>3</v>
      </c>
      <c r="P2283" t="s">
        <v>5</v>
      </c>
      <c r="Q2283" t="s">
        <v>5167</v>
      </c>
      <c r="R2283" t="s">
        <v>3</v>
      </c>
      <c r="S2283" t="s">
        <v>3</v>
      </c>
      <c r="T2283" t="s">
        <v>3</v>
      </c>
      <c r="U2283" t="s">
        <v>3</v>
      </c>
      <c r="V2283" t="s">
        <v>3</v>
      </c>
      <c r="W2283" t="s">
        <v>68</v>
      </c>
      <c r="X2283" s="17"/>
      <c r="Y2283" t="s">
        <v>3</v>
      </c>
      <c r="Z2283" s="17">
        <v>43768</v>
      </c>
      <c r="AA2283" t="s">
        <v>3</v>
      </c>
      <c r="AB2283" t="s">
        <v>5165</v>
      </c>
    </row>
    <row r="2284" spans="1:28" hidden="1">
      <c r="A2284" t="s">
        <v>5168</v>
      </c>
      <c r="B2284" s="17">
        <v>43768</v>
      </c>
      <c r="C2284" s="17">
        <v>43768</v>
      </c>
      <c r="D2284" t="s">
        <v>0</v>
      </c>
      <c r="E2284" t="s">
        <v>1</v>
      </c>
      <c r="F2284" s="18">
        <v>349</v>
      </c>
      <c r="G2284" s="18">
        <v>349</v>
      </c>
      <c r="H2284" t="s">
        <v>2</v>
      </c>
      <c r="I2284" t="s">
        <v>8</v>
      </c>
      <c r="J2284" s="18">
        <v>29141.5</v>
      </c>
      <c r="K2284" t="s">
        <v>4604</v>
      </c>
      <c r="L2284" t="s">
        <v>9</v>
      </c>
      <c r="M2284" t="s">
        <v>5169</v>
      </c>
      <c r="N2284" t="s">
        <v>3</v>
      </c>
      <c r="O2284" t="s">
        <v>3</v>
      </c>
      <c r="P2284" t="s">
        <v>5</v>
      </c>
      <c r="Q2284" t="s">
        <v>5170</v>
      </c>
      <c r="R2284" t="s">
        <v>3</v>
      </c>
      <c r="S2284" t="s">
        <v>3</v>
      </c>
      <c r="T2284" t="s">
        <v>3</v>
      </c>
      <c r="U2284" t="s">
        <v>3</v>
      </c>
      <c r="V2284" t="s">
        <v>3</v>
      </c>
      <c r="W2284" t="s">
        <v>68</v>
      </c>
      <c r="X2284" s="17"/>
      <c r="Y2284" t="s">
        <v>3</v>
      </c>
      <c r="Z2284" s="17">
        <v>43768</v>
      </c>
      <c r="AA2284" t="s">
        <v>3</v>
      </c>
      <c r="AB2284" t="s">
        <v>5168</v>
      </c>
    </row>
    <row r="2285" spans="1:28" hidden="1">
      <c r="A2285" t="s">
        <v>5168</v>
      </c>
      <c r="B2285" s="17">
        <v>43768</v>
      </c>
      <c r="C2285" s="17">
        <v>43768</v>
      </c>
      <c r="D2285" t="s">
        <v>0</v>
      </c>
      <c r="E2285" t="s">
        <v>1</v>
      </c>
      <c r="F2285" s="18">
        <v>504</v>
      </c>
      <c r="G2285" s="18">
        <v>504</v>
      </c>
      <c r="H2285" t="s">
        <v>2</v>
      </c>
      <c r="I2285" t="s">
        <v>8</v>
      </c>
      <c r="J2285" s="18">
        <v>42084</v>
      </c>
      <c r="K2285" t="s">
        <v>4754</v>
      </c>
      <c r="L2285" t="s">
        <v>9</v>
      </c>
      <c r="M2285" t="s">
        <v>5169</v>
      </c>
      <c r="N2285" t="s">
        <v>3</v>
      </c>
      <c r="O2285" t="s">
        <v>3</v>
      </c>
      <c r="P2285" t="s">
        <v>5</v>
      </c>
      <c r="Q2285" t="s">
        <v>5170</v>
      </c>
      <c r="R2285" t="s">
        <v>3</v>
      </c>
      <c r="S2285" t="s">
        <v>3</v>
      </c>
      <c r="T2285" t="s">
        <v>3</v>
      </c>
      <c r="U2285" t="s">
        <v>3</v>
      </c>
      <c r="V2285" t="s">
        <v>3</v>
      </c>
      <c r="W2285" t="s">
        <v>68</v>
      </c>
      <c r="X2285" s="17">
        <v>44012</v>
      </c>
      <c r="Y2285" t="s">
        <v>4137</v>
      </c>
      <c r="Z2285" s="17">
        <v>43768</v>
      </c>
      <c r="AA2285" t="s">
        <v>3</v>
      </c>
      <c r="AB2285" t="s">
        <v>5168</v>
      </c>
    </row>
    <row r="2286" spans="1:28" hidden="1">
      <c r="A2286" t="s">
        <v>5168</v>
      </c>
      <c r="B2286" s="17">
        <v>43768</v>
      </c>
      <c r="C2286" s="17">
        <v>43768</v>
      </c>
      <c r="D2286" t="s">
        <v>0</v>
      </c>
      <c r="E2286" t="s">
        <v>1</v>
      </c>
      <c r="F2286" s="18">
        <v>726</v>
      </c>
      <c r="G2286" s="18">
        <v>726</v>
      </c>
      <c r="H2286" t="s">
        <v>2</v>
      </c>
      <c r="I2286" t="s">
        <v>8</v>
      </c>
      <c r="J2286" s="18">
        <v>60621</v>
      </c>
      <c r="K2286" t="s">
        <v>4886</v>
      </c>
      <c r="L2286" t="s">
        <v>9</v>
      </c>
      <c r="M2286" t="s">
        <v>5169</v>
      </c>
      <c r="N2286" t="s">
        <v>3</v>
      </c>
      <c r="O2286" t="s">
        <v>3</v>
      </c>
      <c r="P2286" t="s">
        <v>5</v>
      </c>
      <c r="Q2286" t="s">
        <v>5170</v>
      </c>
      <c r="R2286" t="s">
        <v>3</v>
      </c>
      <c r="S2286" t="s">
        <v>3</v>
      </c>
      <c r="T2286" t="s">
        <v>3</v>
      </c>
      <c r="U2286" t="s">
        <v>3</v>
      </c>
      <c r="V2286" t="s">
        <v>3</v>
      </c>
      <c r="W2286" t="s">
        <v>68</v>
      </c>
      <c r="X2286" s="17"/>
      <c r="Y2286" t="s">
        <v>3</v>
      </c>
      <c r="Z2286" s="17">
        <v>43768</v>
      </c>
      <c r="AA2286" t="s">
        <v>3</v>
      </c>
      <c r="AB2286" t="s">
        <v>5168</v>
      </c>
    </row>
    <row r="2287" spans="1:28" hidden="1">
      <c r="A2287" t="s">
        <v>5168</v>
      </c>
      <c r="B2287" s="17">
        <v>43768</v>
      </c>
      <c r="C2287" s="17">
        <v>43768</v>
      </c>
      <c r="D2287" t="s">
        <v>0</v>
      </c>
      <c r="E2287" t="s">
        <v>1</v>
      </c>
      <c r="F2287" s="18">
        <v>337</v>
      </c>
      <c r="G2287" s="18">
        <v>337</v>
      </c>
      <c r="H2287" t="s">
        <v>2</v>
      </c>
      <c r="I2287" t="s">
        <v>8</v>
      </c>
      <c r="J2287" s="18">
        <v>28139.5</v>
      </c>
      <c r="K2287" t="s">
        <v>5031</v>
      </c>
      <c r="L2287" t="s">
        <v>9</v>
      </c>
      <c r="M2287" t="s">
        <v>5169</v>
      </c>
      <c r="N2287" t="s">
        <v>3</v>
      </c>
      <c r="O2287" t="s">
        <v>3</v>
      </c>
      <c r="P2287" t="s">
        <v>5</v>
      </c>
      <c r="Q2287" t="s">
        <v>5170</v>
      </c>
      <c r="R2287" t="s">
        <v>3</v>
      </c>
      <c r="S2287" t="s">
        <v>3</v>
      </c>
      <c r="T2287" t="s">
        <v>3</v>
      </c>
      <c r="U2287" t="s">
        <v>3</v>
      </c>
      <c r="V2287" t="s">
        <v>3</v>
      </c>
      <c r="W2287" t="s">
        <v>68</v>
      </c>
      <c r="X2287" s="17"/>
      <c r="Y2287" t="s">
        <v>3</v>
      </c>
      <c r="Z2287" s="17">
        <v>43768</v>
      </c>
      <c r="AA2287" t="s">
        <v>3</v>
      </c>
      <c r="AB2287" t="s">
        <v>5168</v>
      </c>
    </row>
    <row r="2288" spans="1:28" hidden="1">
      <c r="A2288" t="s">
        <v>5168</v>
      </c>
      <c r="B2288" s="17">
        <v>43768</v>
      </c>
      <c r="C2288" s="17">
        <v>43768</v>
      </c>
      <c r="D2288" t="s">
        <v>0</v>
      </c>
      <c r="E2288" t="s">
        <v>1</v>
      </c>
      <c r="F2288" s="18">
        <v>172661</v>
      </c>
      <c r="G2288" s="18">
        <v>172661</v>
      </c>
      <c r="H2288" t="s">
        <v>2</v>
      </c>
      <c r="I2288" t="s">
        <v>8</v>
      </c>
      <c r="J2288" s="18">
        <v>14417193.5</v>
      </c>
      <c r="K2288" t="s">
        <v>5150</v>
      </c>
      <c r="L2288" t="s">
        <v>9</v>
      </c>
      <c r="M2288" t="s">
        <v>5169</v>
      </c>
      <c r="N2288" t="s">
        <v>3</v>
      </c>
      <c r="O2288" t="s">
        <v>3</v>
      </c>
      <c r="P2288" t="s">
        <v>5</v>
      </c>
      <c r="Q2288" t="s">
        <v>5170</v>
      </c>
      <c r="R2288" t="s">
        <v>3</v>
      </c>
      <c r="S2288" t="s">
        <v>3</v>
      </c>
      <c r="T2288" t="s">
        <v>3</v>
      </c>
      <c r="U2288" t="s">
        <v>3</v>
      </c>
      <c r="V2288" t="s">
        <v>3</v>
      </c>
      <c r="W2288" t="s">
        <v>68</v>
      </c>
      <c r="X2288" s="17"/>
      <c r="Y2288" t="s">
        <v>3</v>
      </c>
      <c r="Z2288" s="17">
        <v>43768</v>
      </c>
      <c r="AA2288" t="s">
        <v>3</v>
      </c>
      <c r="AB2288" t="s">
        <v>5168</v>
      </c>
    </row>
    <row r="2289" spans="1:28" hidden="1">
      <c r="A2289" t="s">
        <v>5168</v>
      </c>
      <c r="B2289" s="17">
        <v>43768</v>
      </c>
      <c r="C2289" s="17">
        <v>43768</v>
      </c>
      <c r="D2289" t="s">
        <v>0</v>
      </c>
      <c r="E2289" t="s">
        <v>1</v>
      </c>
      <c r="F2289" s="18">
        <v>74</v>
      </c>
      <c r="G2289" s="18">
        <v>74</v>
      </c>
      <c r="H2289" t="s">
        <v>2</v>
      </c>
      <c r="I2289" t="s">
        <v>8</v>
      </c>
      <c r="J2289" s="18">
        <v>6177.52</v>
      </c>
      <c r="K2289" t="s">
        <v>4607</v>
      </c>
      <c r="L2289" t="s">
        <v>9</v>
      </c>
      <c r="M2289" t="s">
        <v>5169</v>
      </c>
      <c r="N2289" t="s">
        <v>3</v>
      </c>
      <c r="O2289" t="s">
        <v>3</v>
      </c>
      <c r="P2289" t="s">
        <v>5</v>
      </c>
      <c r="Q2289" t="s">
        <v>5170</v>
      </c>
      <c r="R2289" t="s">
        <v>3</v>
      </c>
      <c r="S2289" t="s">
        <v>3</v>
      </c>
      <c r="T2289" t="s">
        <v>3</v>
      </c>
      <c r="U2289" t="s">
        <v>3</v>
      </c>
      <c r="V2289" t="s">
        <v>3</v>
      </c>
      <c r="W2289" t="s">
        <v>68</v>
      </c>
      <c r="X2289" s="17">
        <v>43769</v>
      </c>
      <c r="Y2289" t="s">
        <v>4160</v>
      </c>
      <c r="Z2289" s="17">
        <v>43768</v>
      </c>
      <c r="AA2289" t="s">
        <v>3</v>
      </c>
      <c r="AB2289" t="s">
        <v>5168</v>
      </c>
    </row>
    <row r="2290" spans="1:28" hidden="1">
      <c r="A2290" t="s">
        <v>5168</v>
      </c>
      <c r="B2290" s="17">
        <v>43768</v>
      </c>
      <c r="C2290" s="17">
        <v>43768</v>
      </c>
      <c r="D2290" t="s">
        <v>0</v>
      </c>
      <c r="E2290" t="s">
        <v>1</v>
      </c>
      <c r="F2290" s="18">
        <v>193</v>
      </c>
      <c r="G2290" s="18">
        <v>193</v>
      </c>
      <c r="H2290" t="s">
        <v>2</v>
      </c>
      <c r="I2290" t="s">
        <v>8</v>
      </c>
      <c r="J2290" s="18">
        <v>16115.5</v>
      </c>
      <c r="K2290" t="s">
        <v>5119</v>
      </c>
      <c r="L2290" t="s">
        <v>9</v>
      </c>
      <c r="M2290" t="s">
        <v>5169</v>
      </c>
      <c r="N2290" t="s">
        <v>3</v>
      </c>
      <c r="O2290" t="s">
        <v>3</v>
      </c>
      <c r="P2290" t="s">
        <v>5</v>
      </c>
      <c r="Q2290" t="s">
        <v>5170</v>
      </c>
      <c r="R2290" t="s">
        <v>3</v>
      </c>
      <c r="S2290" t="s">
        <v>3</v>
      </c>
      <c r="T2290" t="s">
        <v>3</v>
      </c>
      <c r="U2290" t="s">
        <v>3</v>
      </c>
      <c r="V2290" t="s">
        <v>3</v>
      </c>
      <c r="W2290" t="s">
        <v>68</v>
      </c>
      <c r="X2290" s="17"/>
      <c r="Y2290" t="s">
        <v>3</v>
      </c>
      <c r="Z2290" s="17">
        <v>43768</v>
      </c>
      <c r="AA2290" t="s">
        <v>3</v>
      </c>
      <c r="AB2290" t="s">
        <v>5168</v>
      </c>
    </row>
    <row r="2291" spans="1:28" hidden="1">
      <c r="A2291" t="s">
        <v>4005</v>
      </c>
      <c r="B2291" s="17">
        <v>43769</v>
      </c>
      <c r="C2291" s="17">
        <v>43769</v>
      </c>
      <c r="D2291" t="s">
        <v>7</v>
      </c>
      <c r="E2291" t="s">
        <v>1</v>
      </c>
      <c r="F2291" s="18">
        <v>1521369</v>
      </c>
      <c r="G2291" s="18">
        <v>1521369</v>
      </c>
      <c r="H2291" t="s">
        <v>2</v>
      </c>
      <c r="I2291" t="s">
        <v>8</v>
      </c>
      <c r="J2291" s="18">
        <v>127003884.12</v>
      </c>
      <c r="K2291" t="s">
        <v>4492</v>
      </c>
      <c r="L2291" t="s">
        <v>9</v>
      </c>
      <c r="M2291" t="s">
        <v>2418</v>
      </c>
      <c r="N2291" t="s">
        <v>3</v>
      </c>
      <c r="O2291" t="s">
        <v>3</v>
      </c>
      <c r="P2291" t="s">
        <v>5</v>
      </c>
      <c r="Q2291" t="s">
        <v>4492</v>
      </c>
      <c r="R2291" t="s">
        <v>3</v>
      </c>
      <c r="S2291" t="s">
        <v>3</v>
      </c>
      <c r="T2291" t="s">
        <v>3</v>
      </c>
      <c r="U2291" t="s">
        <v>3</v>
      </c>
      <c r="V2291" t="s">
        <v>3</v>
      </c>
      <c r="W2291" t="s">
        <v>68</v>
      </c>
      <c r="X2291" s="17">
        <v>43769</v>
      </c>
      <c r="Y2291" t="s">
        <v>4005</v>
      </c>
      <c r="Z2291" s="17">
        <v>43769</v>
      </c>
      <c r="AA2291" t="s">
        <v>3</v>
      </c>
      <c r="AB2291" t="s">
        <v>4005</v>
      </c>
    </row>
    <row r="2292" spans="1:28" hidden="1">
      <c r="A2292" t="s">
        <v>4005</v>
      </c>
      <c r="B2292" s="17">
        <v>43769</v>
      </c>
      <c r="C2292" s="17">
        <v>43769</v>
      </c>
      <c r="D2292" t="s">
        <v>7</v>
      </c>
      <c r="E2292" t="s">
        <v>1</v>
      </c>
      <c r="F2292" s="18">
        <v>-1521369</v>
      </c>
      <c r="G2292" s="18">
        <v>-1521369</v>
      </c>
      <c r="H2292" t="s">
        <v>2</v>
      </c>
      <c r="I2292" t="s">
        <v>8</v>
      </c>
      <c r="J2292" s="18">
        <v>-127003884.12</v>
      </c>
      <c r="K2292" t="s">
        <v>4492</v>
      </c>
      <c r="L2292" t="s">
        <v>9</v>
      </c>
      <c r="M2292" t="s">
        <v>2418</v>
      </c>
      <c r="N2292" t="s">
        <v>3</v>
      </c>
      <c r="O2292" t="s">
        <v>3</v>
      </c>
      <c r="P2292" t="s">
        <v>5</v>
      </c>
      <c r="Q2292" t="s">
        <v>4492</v>
      </c>
      <c r="R2292" t="s">
        <v>3</v>
      </c>
      <c r="S2292" t="s">
        <v>3</v>
      </c>
      <c r="T2292" t="s">
        <v>3</v>
      </c>
      <c r="U2292" t="s">
        <v>3</v>
      </c>
      <c r="V2292" t="s">
        <v>3</v>
      </c>
      <c r="W2292" t="s">
        <v>68</v>
      </c>
      <c r="X2292" s="17">
        <v>43769</v>
      </c>
      <c r="Y2292" t="s">
        <v>4005</v>
      </c>
      <c r="Z2292" s="17">
        <v>43769</v>
      </c>
      <c r="AA2292" t="s">
        <v>3</v>
      </c>
      <c r="AB2292" t="s">
        <v>4005</v>
      </c>
    </row>
    <row r="2293" spans="1:28" hidden="1">
      <c r="A2293" t="s">
        <v>4160</v>
      </c>
      <c r="B2293" s="17">
        <v>43769</v>
      </c>
      <c r="C2293" s="17">
        <v>43769</v>
      </c>
      <c r="D2293" t="s">
        <v>7</v>
      </c>
      <c r="E2293" t="s">
        <v>1</v>
      </c>
      <c r="F2293" s="18">
        <v>967040</v>
      </c>
      <c r="G2293" s="18">
        <v>967040</v>
      </c>
      <c r="H2293" t="s">
        <v>2</v>
      </c>
      <c r="I2293" t="s">
        <v>8</v>
      </c>
      <c r="J2293" s="18">
        <v>80728499.200000003</v>
      </c>
      <c r="K2293" t="s">
        <v>4493</v>
      </c>
      <c r="L2293" t="s">
        <v>9</v>
      </c>
      <c r="M2293" t="s">
        <v>2418</v>
      </c>
      <c r="N2293" t="s">
        <v>3</v>
      </c>
      <c r="O2293" t="s">
        <v>3</v>
      </c>
      <c r="P2293" t="s">
        <v>5</v>
      </c>
      <c r="Q2293" t="s">
        <v>4493</v>
      </c>
      <c r="R2293" t="s">
        <v>3</v>
      </c>
      <c r="S2293" t="s">
        <v>3</v>
      </c>
      <c r="T2293" t="s">
        <v>3</v>
      </c>
      <c r="U2293" t="s">
        <v>3</v>
      </c>
      <c r="V2293" t="s">
        <v>3</v>
      </c>
      <c r="W2293" t="s">
        <v>68</v>
      </c>
      <c r="X2293" s="17">
        <v>43769</v>
      </c>
      <c r="Y2293" t="s">
        <v>4160</v>
      </c>
      <c r="Z2293" s="17">
        <v>43769</v>
      </c>
      <c r="AA2293" t="s">
        <v>3</v>
      </c>
      <c r="AB2293" t="s">
        <v>4160</v>
      </c>
    </row>
    <row r="2294" spans="1:28" hidden="1">
      <c r="A2294" t="s">
        <v>4160</v>
      </c>
      <c r="B2294" s="17">
        <v>43769</v>
      </c>
      <c r="C2294" s="17">
        <v>43769</v>
      </c>
      <c r="D2294" t="s">
        <v>7</v>
      </c>
      <c r="E2294" t="s">
        <v>1</v>
      </c>
      <c r="F2294" s="18">
        <v>-967040</v>
      </c>
      <c r="G2294" s="18">
        <v>-967040</v>
      </c>
      <c r="H2294" t="s">
        <v>2</v>
      </c>
      <c r="I2294" t="s">
        <v>8</v>
      </c>
      <c r="J2294" s="18">
        <v>-80728499.200000003</v>
      </c>
      <c r="K2294" t="s">
        <v>4493</v>
      </c>
      <c r="L2294" t="s">
        <v>9</v>
      </c>
      <c r="M2294" t="s">
        <v>2418</v>
      </c>
      <c r="N2294" t="s">
        <v>3</v>
      </c>
      <c r="O2294" t="s">
        <v>3</v>
      </c>
      <c r="P2294" t="s">
        <v>5</v>
      </c>
      <c r="Q2294" t="s">
        <v>4493</v>
      </c>
      <c r="R2294" t="s">
        <v>3</v>
      </c>
      <c r="S2294" t="s">
        <v>3</v>
      </c>
      <c r="T2294" t="s">
        <v>3</v>
      </c>
      <c r="U2294" t="s">
        <v>3</v>
      </c>
      <c r="V2294" t="s">
        <v>3</v>
      </c>
      <c r="W2294" t="s">
        <v>68</v>
      </c>
      <c r="X2294" s="17">
        <v>43769</v>
      </c>
      <c r="Y2294" t="s">
        <v>4160</v>
      </c>
      <c r="Z2294" s="17">
        <v>43769</v>
      </c>
      <c r="AA2294" t="s">
        <v>3</v>
      </c>
      <c r="AB2294" t="s">
        <v>4160</v>
      </c>
    </row>
    <row r="2295" spans="1:28" hidden="1">
      <c r="A2295" t="s">
        <v>4012</v>
      </c>
      <c r="B2295" s="17">
        <v>43769</v>
      </c>
      <c r="C2295" s="17">
        <v>43769</v>
      </c>
      <c r="D2295" t="s">
        <v>7</v>
      </c>
      <c r="E2295" t="s">
        <v>1</v>
      </c>
      <c r="F2295" s="18">
        <v>91401</v>
      </c>
      <c r="G2295" s="18">
        <v>91401</v>
      </c>
      <c r="H2295" t="s">
        <v>2</v>
      </c>
      <c r="I2295" t="s">
        <v>10</v>
      </c>
      <c r="J2295" s="18">
        <v>7630155.4800000004</v>
      </c>
      <c r="K2295" t="s">
        <v>4494</v>
      </c>
      <c r="L2295" t="s">
        <v>9</v>
      </c>
      <c r="M2295" t="s">
        <v>2418</v>
      </c>
      <c r="N2295" t="s">
        <v>3</v>
      </c>
      <c r="O2295" t="s">
        <v>3</v>
      </c>
      <c r="P2295" t="s">
        <v>5</v>
      </c>
      <c r="Q2295" t="s">
        <v>4494</v>
      </c>
      <c r="R2295" t="s">
        <v>3</v>
      </c>
      <c r="S2295" t="s">
        <v>3</v>
      </c>
      <c r="T2295" t="s">
        <v>3</v>
      </c>
      <c r="U2295" t="s">
        <v>3</v>
      </c>
      <c r="V2295" t="s">
        <v>3</v>
      </c>
      <c r="W2295" t="s">
        <v>68</v>
      </c>
      <c r="X2295" s="17">
        <v>43769</v>
      </c>
      <c r="Y2295" t="s">
        <v>4012</v>
      </c>
      <c r="Z2295" s="17">
        <v>43769</v>
      </c>
      <c r="AA2295" t="s">
        <v>3</v>
      </c>
      <c r="AB2295" t="s">
        <v>4012</v>
      </c>
    </row>
    <row r="2296" spans="1:28" hidden="1">
      <c r="A2296" t="s">
        <v>4012</v>
      </c>
      <c r="B2296" s="17">
        <v>43769</v>
      </c>
      <c r="C2296" s="17">
        <v>43769</v>
      </c>
      <c r="D2296" t="s">
        <v>7</v>
      </c>
      <c r="E2296" t="s">
        <v>1</v>
      </c>
      <c r="F2296" s="18">
        <v>-91401</v>
      </c>
      <c r="G2296" s="18">
        <v>-91401</v>
      </c>
      <c r="H2296" t="s">
        <v>2</v>
      </c>
      <c r="I2296" t="s">
        <v>10</v>
      </c>
      <c r="J2296" s="18">
        <v>-7630155.4800000004</v>
      </c>
      <c r="K2296" t="s">
        <v>4494</v>
      </c>
      <c r="L2296" t="s">
        <v>9</v>
      </c>
      <c r="M2296" t="s">
        <v>2418</v>
      </c>
      <c r="N2296" t="s">
        <v>3</v>
      </c>
      <c r="O2296" t="s">
        <v>3</v>
      </c>
      <c r="P2296" t="s">
        <v>5</v>
      </c>
      <c r="Q2296" t="s">
        <v>4494</v>
      </c>
      <c r="R2296" t="s">
        <v>3</v>
      </c>
      <c r="S2296" t="s">
        <v>3</v>
      </c>
      <c r="T2296" t="s">
        <v>3</v>
      </c>
      <c r="U2296" t="s">
        <v>3</v>
      </c>
      <c r="V2296" t="s">
        <v>3</v>
      </c>
      <c r="W2296" t="s">
        <v>68</v>
      </c>
      <c r="X2296" s="17">
        <v>43769</v>
      </c>
      <c r="Y2296" t="s">
        <v>4012</v>
      </c>
      <c r="Z2296" s="17">
        <v>43769</v>
      </c>
      <c r="AA2296" t="s">
        <v>3</v>
      </c>
      <c r="AB2296" t="s">
        <v>4012</v>
      </c>
    </row>
    <row r="2297" spans="1:28" hidden="1">
      <c r="A2297" t="s">
        <v>5216</v>
      </c>
      <c r="B2297" s="17">
        <v>43769</v>
      </c>
      <c r="C2297" s="17">
        <v>43769</v>
      </c>
      <c r="D2297" t="s">
        <v>0</v>
      </c>
      <c r="E2297" t="s">
        <v>1</v>
      </c>
      <c r="F2297" s="18">
        <v>437641</v>
      </c>
      <c r="G2297" s="18">
        <v>437641</v>
      </c>
      <c r="H2297" t="s">
        <v>2</v>
      </c>
      <c r="I2297" t="s">
        <v>8</v>
      </c>
      <c r="J2297" s="18">
        <v>36534270.68</v>
      </c>
      <c r="K2297" t="s">
        <v>4410</v>
      </c>
      <c r="L2297" t="s">
        <v>2332</v>
      </c>
      <c r="M2297" t="s">
        <v>4411</v>
      </c>
      <c r="N2297" t="s">
        <v>3</v>
      </c>
      <c r="O2297" t="s">
        <v>3</v>
      </c>
      <c r="P2297" t="s">
        <v>5</v>
      </c>
      <c r="Q2297" t="s">
        <v>4412</v>
      </c>
      <c r="R2297" t="s">
        <v>3</v>
      </c>
      <c r="S2297" t="s">
        <v>3</v>
      </c>
      <c r="T2297" t="s">
        <v>3</v>
      </c>
      <c r="U2297" t="s">
        <v>3</v>
      </c>
      <c r="V2297" t="s">
        <v>3</v>
      </c>
      <c r="W2297" t="s">
        <v>68</v>
      </c>
      <c r="X2297" s="17">
        <v>43770</v>
      </c>
      <c r="Y2297" t="s">
        <v>4409</v>
      </c>
      <c r="Z2297" s="17">
        <v>43769</v>
      </c>
      <c r="AA2297" t="s">
        <v>3</v>
      </c>
      <c r="AB2297" t="s">
        <v>5216</v>
      </c>
    </row>
    <row r="2298" spans="1:28" hidden="1">
      <c r="A2298" t="s">
        <v>5241</v>
      </c>
      <c r="B2298" s="17">
        <v>43769</v>
      </c>
      <c r="C2298" s="17">
        <v>43769</v>
      </c>
      <c r="D2298" t="s">
        <v>0</v>
      </c>
      <c r="E2298" t="s">
        <v>1</v>
      </c>
      <c r="F2298" s="18">
        <v>-157501</v>
      </c>
      <c r="G2298" s="18">
        <v>-157501</v>
      </c>
      <c r="H2298" t="s">
        <v>2</v>
      </c>
      <c r="I2298" t="s">
        <v>8</v>
      </c>
      <c r="J2298" s="18">
        <v>-13151333.5</v>
      </c>
      <c r="K2298" t="s">
        <v>4414</v>
      </c>
      <c r="L2298" t="s">
        <v>4</v>
      </c>
      <c r="M2298" t="s">
        <v>4415</v>
      </c>
      <c r="N2298" t="s">
        <v>3</v>
      </c>
      <c r="O2298" t="s">
        <v>3</v>
      </c>
      <c r="P2298" t="s">
        <v>5</v>
      </c>
      <c r="Q2298" t="s">
        <v>4414</v>
      </c>
      <c r="R2298" t="s">
        <v>3</v>
      </c>
      <c r="S2298" t="s">
        <v>3</v>
      </c>
      <c r="T2298" t="s">
        <v>3</v>
      </c>
      <c r="U2298" t="s">
        <v>3</v>
      </c>
      <c r="V2298" t="s">
        <v>3</v>
      </c>
      <c r="W2298" t="s">
        <v>68</v>
      </c>
      <c r="X2298" s="17">
        <v>43770</v>
      </c>
      <c r="Y2298" t="s">
        <v>4413</v>
      </c>
      <c r="Z2298" s="17">
        <v>43769</v>
      </c>
      <c r="AA2298" t="s">
        <v>3</v>
      </c>
      <c r="AB2298" t="s">
        <v>5241</v>
      </c>
    </row>
    <row r="2299" spans="1:28" hidden="1">
      <c r="A2299" t="s">
        <v>4409</v>
      </c>
      <c r="B2299" s="17">
        <v>43770</v>
      </c>
      <c r="C2299" s="17">
        <v>43769</v>
      </c>
      <c r="D2299" t="s">
        <v>38</v>
      </c>
      <c r="E2299" t="s">
        <v>1</v>
      </c>
      <c r="F2299" s="18">
        <v>-437641</v>
      </c>
      <c r="G2299" s="18">
        <v>-437641</v>
      </c>
      <c r="H2299" t="s">
        <v>2</v>
      </c>
      <c r="I2299" t="s">
        <v>8</v>
      </c>
      <c r="J2299" s="18">
        <v>-36534270.68</v>
      </c>
      <c r="K2299" t="s">
        <v>4410</v>
      </c>
      <c r="L2299" t="s">
        <v>2332</v>
      </c>
      <c r="M2299" t="s">
        <v>4411</v>
      </c>
      <c r="N2299" t="s">
        <v>3</v>
      </c>
      <c r="O2299" t="s">
        <v>3</v>
      </c>
      <c r="P2299" t="s">
        <v>5</v>
      </c>
      <c r="Q2299" t="s">
        <v>4412</v>
      </c>
      <c r="R2299" t="s">
        <v>3</v>
      </c>
      <c r="S2299" t="s">
        <v>3</v>
      </c>
      <c r="T2299" t="s">
        <v>3</v>
      </c>
      <c r="U2299" t="s">
        <v>3</v>
      </c>
      <c r="V2299" t="s">
        <v>3</v>
      </c>
      <c r="W2299" t="s">
        <v>68</v>
      </c>
      <c r="X2299" s="17">
        <v>43770</v>
      </c>
      <c r="Y2299" t="s">
        <v>4409</v>
      </c>
      <c r="Z2299" s="17">
        <v>43769</v>
      </c>
      <c r="AA2299" t="s">
        <v>3</v>
      </c>
      <c r="AB2299" t="s">
        <v>4409</v>
      </c>
    </row>
    <row r="2300" spans="1:28" hidden="1">
      <c r="A2300" t="s">
        <v>4413</v>
      </c>
      <c r="B2300" s="17">
        <v>43770</v>
      </c>
      <c r="C2300" s="17">
        <v>43769</v>
      </c>
      <c r="D2300" t="s">
        <v>38</v>
      </c>
      <c r="E2300" t="s">
        <v>1</v>
      </c>
      <c r="F2300" s="18">
        <v>157501</v>
      </c>
      <c r="G2300" s="18">
        <v>157501</v>
      </c>
      <c r="H2300" t="s">
        <v>2</v>
      </c>
      <c r="I2300" t="s">
        <v>8</v>
      </c>
      <c r="J2300" s="18">
        <v>13151333.5</v>
      </c>
      <c r="K2300" t="s">
        <v>4414</v>
      </c>
      <c r="L2300" t="s">
        <v>4</v>
      </c>
      <c r="M2300" t="s">
        <v>4415</v>
      </c>
      <c r="N2300" t="s">
        <v>3</v>
      </c>
      <c r="O2300" t="s">
        <v>3</v>
      </c>
      <c r="P2300" t="s">
        <v>5</v>
      </c>
      <c r="Q2300" t="s">
        <v>4414</v>
      </c>
      <c r="R2300" t="s">
        <v>3</v>
      </c>
      <c r="S2300" t="s">
        <v>3</v>
      </c>
      <c r="T2300" t="s">
        <v>3</v>
      </c>
      <c r="U2300" t="s">
        <v>3</v>
      </c>
      <c r="V2300" t="s">
        <v>3</v>
      </c>
      <c r="W2300" t="s">
        <v>68</v>
      </c>
      <c r="X2300" s="17">
        <v>43770</v>
      </c>
      <c r="Y2300" t="s">
        <v>4413</v>
      </c>
      <c r="Z2300" s="17">
        <v>43769</v>
      </c>
      <c r="AA2300" t="s">
        <v>3</v>
      </c>
      <c r="AB2300" t="s">
        <v>4413</v>
      </c>
    </row>
    <row r="2301" spans="1:28" hidden="1">
      <c r="A2301" t="s">
        <v>5171</v>
      </c>
      <c r="B2301" s="17">
        <v>43772</v>
      </c>
      <c r="C2301" s="17">
        <v>43772</v>
      </c>
      <c r="D2301" t="s">
        <v>0</v>
      </c>
      <c r="E2301" t="s">
        <v>1</v>
      </c>
      <c r="F2301" s="18">
        <v>16581.03</v>
      </c>
      <c r="G2301" s="18">
        <v>16581.03</v>
      </c>
      <c r="H2301" t="s">
        <v>2</v>
      </c>
      <c r="I2301" t="s">
        <v>10</v>
      </c>
      <c r="J2301" s="18">
        <v>1384516.01</v>
      </c>
      <c r="K2301" t="s">
        <v>5157</v>
      </c>
      <c r="L2301" t="s">
        <v>4</v>
      </c>
      <c r="M2301" t="s">
        <v>5172</v>
      </c>
      <c r="N2301" t="s">
        <v>3</v>
      </c>
      <c r="O2301" t="s">
        <v>3</v>
      </c>
      <c r="P2301" t="s">
        <v>5</v>
      </c>
      <c r="Q2301" t="s">
        <v>5173</v>
      </c>
      <c r="R2301" t="s">
        <v>3</v>
      </c>
      <c r="S2301" t="s">
        <v>3</v>
      </c>
      <c r="T2301" t="s">
        <v>3</v>
      </c>
      <c r="U2301" t="s">
        <v>3</v>
      </c>
      <c r="V2301" t="s">
        <v>3</v>
      </c>
      <c r="W2301" t="s">
        <v>68</v>
      </c>
      <c r="X2301" s="17"/>
      <c r="Y2301" t="s">
        <v>3</v>
      </c>
      <c r="Z2301" s="17">
        <v>43772</v>
      </c>
      <c r="AA2301" t="s">
        <v>3</v>
      </c>
      <c r="AB2301" t="s">
        <v>5171</v>
      </c>
    </row>
    <row r="2302" spans="1:28" hidden="1">
      <c r="A2302" t="s">
        <v>5174</v>
      </c>
      <c r="B2302" s="17">
        <v>43772</v>
      </c>
      <c r="C2302" s="17">
        <v>43772</v>
      </c>
      <c r="D2302" t="s">
        <v>0</v>
      </c>
      <c r="E2302" t="s">
        <v>1</v>
      </c>
      <c r="F2302" s="18">
        <v>-349110.97</v>
      </c>
      <c r="G2302" s="18">
        <v>-349110.97</v>
      </c>
      <c r="H2302" t="s">
        <v>2</v>
      </c>
      <c r="I2302" t="s">
        <v>8</v>
      </c>
      <c r="J2302" s="18">
        <v>-29272954.84</v>
      </c>
      <c r="K2302" t="s">
        <v>5175</v>
      </c>
      <c r="L2302" t="s">
        <v>4</v>
      </c>
      <c r="M2302" t="s">
        <v>5176</v>
      </c>
      <c r="N2302" t="s">
        <v>3</v>
      </c>
      <c r="O2302" t="s">
        <v>3</v>
      </c>
      <c r="P2302" t="s">
        <v>5</v>
      </c>
      <c r="Q2302" t="s">
        <v>5177</v>
      </c>
      <c r="R2302" t="s">
        <v>3</v>
      </c>
      <c r="S2302" t="s">
        <v>3</v>
      </c>
      <c r="T2302" t="s">
        <v>3</v>
      </c>
      <c r="U2302" t="s">
        <v>3</v>
      </c>
      <c r="V2302" t="s">
        <v>3</v>
      </c>
      <c r="W2302" t="s">
        <v>68</v>
      </c>
      <c r="X2302" s="17"/>
      <c r="Y2302" t="s">
        <v>3</v>
      </c>
      <c r="Z2302" s="17">
        <v>43772</v>
      </c>
      <c r="AA2302" t="s">
        <v>3</v>
      </c>
      <c r="AB2302" t="s">
        <v>5174</v>
      </c>
    </row>
    <row r="2303" spans="1:28" hidden="1">
      <c r="A2303" t="s">
        <v>5178</v>
      </c>
      <c r="B2303" s="17">
        <v>43772</v>
      </c>
      <c r="C2303" s="17">
        <v>43772</v>
      </c>
      <c r="D2303" t="s">
        <v>0</v>
      </c>
      <c r="E2303" t="s">
        <v>1</v>
      </c>
      <c r="F2303" s="18">
        <v>-210436.72</v>
      </c>
      <c r="G2303" s="18">
        <v>-210436.72</v>
      </c>
      <c r="H2303" t="s">
        <v>2</v>
      </c>
      <c r="I2303" t="s">
        <v>10</v>
      </c>
      <c r="J2303" s="18">
        <v>-17645118.98</v>
      </c>
      <c r="K2303" t="s">
        <v>5179</v>
      </c>
      <c r="L2303" t="s">
        <v>4</v>
      </c>
      <c r="M2303" t="s">
        <v>5180</v>
      </c>
      <c r="N2303" t="s">
        <v>3</v>
      </c>
      <c r="O2303" t="s">
        <v>3</v>
      </c>
      <c r="P2303" t="s">
        <v>5</v>
      </c>
      <c r="Q2303" t="s">
        <v>5181</v>
      </c>
      <c r="R2303" t="s">
        <v>3</v>
      </c>
      <c r="S2303" t="s">
        <v>3</v>
      </c>
      <c r="T2303" t="s">
        <v>3</v>
      </c>
      <c r="U2303" t="s">
        <v>3</v>
      </c>
      <c r="V2303" t="s">
        <v>3</v>
      </c>
      <c r="W2303" t="s">
        <v>68</v>
      </c>
      <c r="X2303" s="17"/>
      <c r="Y2303" t="s">
        <v>3</v>
      </c>
      <c r="Z2303" s="17">
        <v>43772</v>
      </c>
      <c r="AA2303" t="s">
        <v>3</v>
      </c>
      <c r="AB2303" t="s">
        <v>5178</v>
      </c>
    </row>
    <row r="2304" spans="1:28" hidden="1">
      <c r="A2304" t="s">
        <v>5182</v>
      </c>
      <c r="B2304" s="17">
        <v>43773</v>
      </c>
      <c r="C2304" s="17">
        <v>43773</v>
      </c>
      <c r="D2304" t="s">
        <v>0</v>
      </c>
      <c r="E2304" t="s">
        <v>1</v>
      </c>
      <c r="F2304" s="18">
        <v>17735.8</v>
      </c>
      <c r="G2304" s="18">
        <v>17735.8</v>
      </c>
      <c r="H2304" t="s">
        <v>2</v>
      </c>
      <c r="I2304" t="s">
        <v>10</v>
      </c>
      <c r="J2304" s="18">
        <v>1480939.3</v>
      </c>
      <c r="K2304" t="s">
        <v>5157</v>
      </c>
      <c r="L2304" t="s">
        <v>4</v>
      </c>
      <c r="M2304" t="s">
        <v>5183</v>
      </c>
      <c r="N2304" t="s">
        <v>3</v>
      </c>
      <c r="O2304" t="s">
        <v>3</v>
      </c>
      <c r="P2304" t="s">
        <v>5</v>
      </c>
      <c r="Q2304" t="s">
        <v>5184</v>
      </c>
      <c r="R2304" t="s">
        <v>3</v>
      </c>
      <c r="S2304" t="s">
        <v>3</v>
      </c>
      <c r="T2304" t="s">
        <v>3</v>
      </c>
      <c r="U2304" t="s">
        <v>3</v>
      </c>
      <c r="V2304" t="s">
        <v>3</v>
      </c>
      <c r="W2304" t="s">
        <v>68</v>
      </c>
      <c r="X2304" s="17"/>
      <c r="Y2304" t="s">
        <v>3</v>
      </c>
      <c r="Z2304" s="17">
        <v>43773</v>
      </c>
      <c r="AA2304" t="s">
        <v>3</v>
      </c>
      <c r="AB2304" t="s">
        <v>5182</v>
      </c>
    </row>
    <row r="2305" spans="1:28" hidden="1">
      <c r="A2305" t="s">
        <v>5182</v>
      </c>
      <c r="B2305" s="17">
        <v>43773</v>
      </c>
      <c r="C2305" s="17">
        <v>43773</v>
      </c>
      <c r="D2305" t="s">
        <v>0</v>
      </c>
      <c r="E2305" t="s">
        <v>1</v>
      </c>
      <c r="F2305" s="18">
        <v>37031.120000000003</v>
      </c>
      <c r="G2305" s="18">
        <v>37031.120000000003</v>
      </c>
      <c r="H2305" t="s">
        <v>2</v>
      </c>
      <c r="I2305" t="s">
        <v>10</v>
      </c>
      <c r="J2305" s="18">
        <v>3105059.41</v>
      </c>
      <c r="K2305" t="s">
        <v>5185</v>
      </c>
      <c r="L2305" t="s">
        <v>4</v>
      </c>
      <c r="M2305" t="s">
        <v>5183</v>
      </c>
      <c r="N2305" t="s">
        <v>3</v>
      </c>
      <c r="O2305" t="s">
        <v>3</v>
      </c>
      <c r="P2305" t="s">
        <v>5</v>
      </c>
      <c r="Q2305" t="s">
        <v>5184</v>
      </c>
      <c r="R2305" t="s">
        <v>3</v>
      </c>
      <c r="S2305" t="s">
        <v>3</v>
      </c>
      <c r="T2305" t="s">
        <v>3</v>
      </c>
      <c r="U2305" t="s">
        <v>3</v>
      </c>
      <c r="V2305" t="s">
        <v>3</v>
      </c>
      <c r="W2305" t="s">
        <v>68</v>
      </c>
      <c r="X2305" s="17"/>
      <c r="Y2305" t="s">
        <v>3</v>
      </c>
      <c r="Z2305" s="17">
        <v>43773</v>
      </c>
      <c r="AA2305" t="s">
        <v>3</v>
      </c>
      <c r="AB2305" t="s">
        <v>5182</v>
      </c>
    </row>
    <row r="2306" spans="1:28" hidden="1">
      <c r="A2306" t="s">
        <v>5186</v>
      </c>
      <c r="B2306" s="17">
        <v>43773</v>
      </c>
      <c r="C2306" s="17">
        <v>43773</v>
      </c>
      <c r="D2306" t="s">
        <v>0</v>
      </c>
      <c r="E2306" t="s">
        <v>1</v>
      </c>
      <c r="F2306" s="18">
        <v>3697.96</v>
      </c>
      <c r="G2306" s="18">
        <v>3697.96</v>
      </c>
      <c r="H2306" t="s">
        <v>2</v>
      </c>
      <c r="I2306" t="s">
        <v>10</v>
      </c>
      <c r="J2306" s="18">
        <v>310073.95</v>
      </c>
      <c r="K2306" t="s">
        <v>5185</v>
      </c>
      <c r="L2306" t="s">
        <v>4</v>
      </c>
      <c r="M2306" t="s">
        <v>5187</v>
      </c>
      <c r="N2306" t="s">
        <v>3</v>
      </c>
      <c r="O2306" t="s">
        <v>3</v>
      </c>
      <c r="P2306" t="s">
        <v>5</v>
      </c>
      <c r="Q2306" t="s">
        <v>5188</v>
      </c>
      <c r="R2306" t="s">
        <v>3</v>
      </c>
      <c r="S2306" t="s">
        <v>3</v>
      </c>
      <c r="T2306" t="s">
        <v>3</v>
      </c>
      <c r="U2306" t="s">
        <v>3</v>
      </c>
      <c r="V2306" t="s">
        <v>3</v>
      </c>
      <c r="W2306" t="s">
        <v>68</v>
      </c>
      <c r="X2306" s="17"/>
      <c r="Y2306" t="s">
        <v>3</v>
      </c>
      <c r="Z2306" s="17">
        <v>43773</v>
      </c>
      <c r="AA2306" t="s">
        <v>3</v>
      </c>
      <c r="AB2306" t="s">
        <v>5186</v>
      </c>
    </row>
    <row r="2307" spans="1:28" hidden="1">
      <c r="A2307" t="s">
        <v>5189</v>
      </c>
      <c r="B2307" s="17">
        <v>43774</v>
      </c>
      <c r="C2307" s="17">
        <v>43774</v>
      </c>
      <c r="D2307" t="s">
        <v>0</v>
      </c>
      <c r="E2307" t="s">
        <v>1</v>
      </c>
      <c r="F2307" s="18">
        <v>19366.939999999999</v>
      </c>
      <c r="G2307" s="18">
        <v>19366.939999999999</v>
      </c>
      <c r="H2307" t="s">
        <v>2</v>
      </c>
      <c r="I2307" t="s">
        <v>8</v>
      </c>
      <c r="J2307" s="18">
        <v>1617139.49</v>
      </c>
      <c r="K2307" t="s">
        <v>4387</v>
      </c>
      <c r="L2307" t="s">
        <v>4</v>
      </c>
      <c r="M2307" t="s">
        <v>5190</v>
      </c>
      <c r="N2307" t="s">
        <v>3</v>
      </c>
      <c r="O2307" t="s">
        <v>3</v>
      </c>
      <c r="P2307" t="s">
        <v>5</v>
      </c>
      <c r="Q2307" t="s">
        <v>5191</v>
      </c>
      <c r="R2307" t="s">
        <v>3</v>
      </c>
      <c r="S2307" t="s">
        <v>3</v>
      </c>
      <c r="T2307" t="s">
        <v>3</v>
      </c>
      <c r="U2307" t="s">
        <v>3</v>
      </c>
      <c r="V2307" t="s">
        <v>3</v>
      </c>
      <c r="W2307" t="s">
        <v>68</v>
      </c>
      <c r="X2307" s="17"/>
      <c r="Y2307" t="s">
        <v>3</v>
      </c>
      <c r="Z2307" s="17">
        <v>43774</v>
      </c>
      <c r="AA2307" t="s">
        <v>3</v>
      </c>
      <c r="AB2307" t="s">
        <v>5189</v>
      </c>
    </row>
    <row r="2308" spans="1:28" hidden="1">
      <c r="A2308" t="s">
        <v>5192</v>
      </c>
      <c r="B2308" s="17">
        <v>43774</v>
      </c>
      <c r="C2308" s="17">
        <v>43774</v>
      </c>
      <c r="D2308" t="s">
        <v>0</v>
      </c>
      <c r="E2308" t="s">
        <v>1</v>
      </c>
      <c r="F2308" s="18">
        <v>179703.57</v>
      </c>
      <c r="G2308" s="18">
        <v>179703.57</v>
      </c>
      <c r="H2308" t="s">
        <v>2</v>
      </c>
      <c r="I2308" t="s">
        <v>8</v>
      </c>
      <c r="J2308" s="18">
        <v>15005248.1</v>
      </c>
      <c r="K2308" t="s">
        <v>4387</v>
      </c>
      <c r="L2308" t="s">
        <v>4</v>
      </c>
      <c r="M2308" t="s">
        <v>5193</v>
      </c>
      <c r="N2308" t="s">
        <v>3</v>
      </c>
      <c r="O2308" t="s">
        <v>3</v>
      </c>
      <c r="P2308" t="s">
        <v>5</v>
      </c>
      <c r="Q2308" t="s">
        <v>5194</v>
      </c>
      <c r="R2308" t="s">
        <v>3</v>
      </c>
      <c r="S2308" t="s">
        <v>3</v>
      </c>
      <c r="T2308" t="s">
        <v>3</v>
      </c>
      <c r="U2308" t="s">
        <v>3</v>
      </c>
      <c r="V2308" t="s">
        <v>3</v>
      </c>
      <c r="W2308" t="s">
        <v>68</v>
      </c>
      <c r="X2308" s="17"/>
      <c r="Y2308" t="s">
        <v>3</v>
      </c>
      <c r="Z2308" s="17">
        <v>43774</v>
      </c>
      <c r="AA2308" t="s">
        <v>3</v>
      </c>
      <c r="AB2308" t="s">
        <v>5192</v>
      </c>
    </row>
    <row r="2309" spans="1:28" hidden="1">
      <c r="A2309" t="s">
        <v>5192</v>
      </c>
      <c r="B2309" s="17">
        <v>43774</v>
      </c>
      <c r="C2309" s="17">
        <v>43774</v>
      </c>
      <c r="D2309" t="s">
        <v>0</v>
      </c>
      <c r="E2309" t="s">
        <v>1</v>
      </c>
      <c r="F2309" s="18">
        <v>93279.07</v>
      </c>
      <c r="G2309" s="18">
        <v>93279.07</v>
      </c>
      <c r="H2309" t="s">
        <v>2</v>
      </c>
      <c r="I2309" t="s">
        <v>8</v>
      </c>
      <c r="J2309" s="18">
        <v>7788802.3499999996</v>
      </c>
      <c r="K2309" t="s">
        <v>5131</v>
      </c>
      <c r="L2309" t="s">
        <v>4</v>
      </c>
      <c r="M2309" t="s">
        <v>5193</v>
      </c>
      <c r="N2309" t="s">
        <v>3</v>
      </c>
      <c r="O2309" t="s">
        <v>3</v>
      </c>
      <c r="P2309" t="s">
        <v>5</v>
      </c>
      <c r="Q2309" t="s">
        <v>5194</v>
      </c>
      <c r="R2309" t="s">
        <v>3</v>
      </c>
      <c r="S2309" t="s">
        <v>3</v>
      </c>
      <c r="T2309" t="s">
        <v>3</v>
      </c>
      <c r="U2309" t="s">
        <v>3</v>
      </c>
      <c r="V2309" t="s">
        <v>3</v>
      </c>
      <c r="W2309" t="s">
        <v>68</v>
      </c>
      <c r="X2309" s="17"/>
      <c r="Y2309" t="s">
        <v>3</v>
      </c>
      <c r="Z2309" s="17">
        <v>43774</v>
      </c>
      <c r="AA2309" t="s">
        <v>3</v>
      </c>
      <c r="AB2309" t="s">
        <v>5192</v>
      </c>
    </row>
    <row r="2310" spans="1:28" hidden="1">
      <c r="A2310" t="s">
        <v>5192</v>
      </c>
      <c r="B2310" s="17">
        <v>43774</v>
      </c>
      <c r="C2310" s="17">
        <v>43774</v>
      </c>
      <c r="D2310" t="s">
        <v>0</v>
      </c>
      <c r="E2310" t="s">
        <v>1</v>
      </c>
      <c r="F2310" s="18">
        <v>34668.46</v>
      </c>
      <c r="G2310" s="18">
        <v>34668.46</v>
      </c>
      <c r="H2310" t="s">
        <v>2</v>
      </c>
      <c r="I2310" t="s">
        <v>8</v>
      </c>
      <c r="J2310" s="18">
        <v>2906950.37</v>
      </c>
      <c r="K2310" t="s">
        <v>5195</v>
      </c>
      <c r="L2310" t="s">
        <v>4</v>
      </c>
      <c r="M2310" t="s">
        <v>5193</v>
      </c>
      <c r="N2310" t="s">
        <v>3</v>
      </c>
      <c r="O2310" t="s">
        <v>3</v>
      </c>
      <c r="P2310" t="s">
        <v>5</v>
      </c>
      <c r="Q2310" t="s">
        <v>5194</v>
      </c>
      <c r="R2310" t="s">
        <v>3</v>
      </c>
      <c r="S2310" t="s">
        <v>3</v>
      </c>
      <c r="T2310" t="s">
        <v>3</v>
      </c>
      <c r="U2310" t="s">
        <v>3</v>
      </c>
      <c r="V2310" t="s">
        <v>3</v>
      </c>
      <c r="W2310" t="s">
        <v>68</v>
      </c>
      <c r="X2310" s="17"/>
      <c r="Y2310" t="s">
        <v>3</v>
      </c>
      <c r="Z2310" s="17">
        <v>43774</v>
      </c>
      <c r="AA2310" t="s">
        <v>3</v>
      </c>
      <c r="AB2310" t="s">
        <v>5192</v>
      </c>
    </row>
    <row r="2311" spans="1:28" s="34" customFormat="1">
      <c r="A2311" s="37" t="s">
        <v>5196</v>
      </c>
      <c r="B2311" s="32">
        <v>43774</v>
      </c>
      <c r="C2311" s="32">
        <v>43774</v>
      </c>
      <c r="D2311" s="31" t="s">
        <v>0</v>
      </c>
      <c r="E2311" s="31" t="s">
        <v>1</v>
      </c>
      <c r="F2311" s="33">
        <v>-1000000</v>
      </c>
      <c r="G2311" s="49">
        <v>-1000000</v>
      </c>
      <c r="H2311" s="31" t="s">
        <v>2</v>
      </c>
      <c r="I2311" s="31" t="s">
        <v>8</v>
      </c>
      <c r="J2311" s="49">
        <v>-83850000</v>
      </c>
      <c r="K2311" s="31" t="s">
        <v>5197</v>
      </c>
      <c r="L2311" s="31" t="s">
        <v>9</v>
      </c>
      <c r="M2311" s="31" t="s">
        <v>5198</v>
      </c>
      <c r="N2311" s="31" t="s">
        <v>3</v>
      </c>
      <c r="O2311" s="31" t="s">
        <v>3</v>
      </c>
      <c r="P2311" s="31" t="s">
        <v>5</v>
      </c>
      <c r="Q2311" s="31" t="s">
        <v>5199</v>
      </c>
      <c r="R2311" s="31" t="s">
        <v>3</v>
      </c>
      <c r="S2311" s="31" t="s">
        <v>3</v>
      </c>
      <c r="T2311" s="31" t="s">
        <v>3</v>
      </c>
      <c r="U2311" s="31" t="s">
        <v>3</v>
      </c>
      <c r="V2311" s="31" t="s">
        <v>3</v>
      </c>
      <c r="W2311" s="31" t="s">
        <v>68</v>
      </c>
      <c r="X2311" s="32"/>
      <c r="Y2311" s="31" t="s">
        <v>3</v>
      </c>
      <c r="Z2311" s="32">
        <v>43774</v>
      </c>
      <c r="AA2311" s="31" t="s">
        <v>3</v>
      </c>
      <c r="AB2311" s="31" t="s">
        <v>5196</v>
      </c>
    </row>
    <row r="2312" spans="1:28" hidden="1">
      <c r="A2312" t="s">
        <v>5200</v>
      </c>
      <c r="B2312" s="17">
        <v>43775</v>
      </c>
      <c r="C2312" s="17">
        <v>43775</v>
      </c>
      <c r="D2312" t="s">
        <v>0</v>
      </c>
      <c r="E2312" t="s">
        <v>1</v>
      </c>
      <c r="F2312" s="18">
        <v>26948.38</v>
      </c>
      <c r="G2312" s="18">
        <v>26948.38</v>
      </c>
      <c r="H2312" t="s">
        <v>2</v>
      </c>
      <c r="I2312" t="s">
        <v>8</v>
      </c>
      <c r="J2312" s="18">
        <v>2250189.73</v>
      </c>
      <c r="K2312" t="s">
        <v>4387</v>
      </c>
      <c r="L2312" t="s">
        <v>4</v>
      </c>
      <c r="M2312" t="s">
        <v>5201</v>
      </c>
      <c r="N2312" t="s">
        <v>3</v>
      </c>
      <c r="O2312" t="s">
        <v>3</v>
      </c>
      <c r="P2312" t="s">
        <v>5</v>
      </c>
      <c r="Q2312" t="s">
        <v>5202</v>
      </c>
      <c r="R2312" t="s">
        <v>3</v>
      </c>
      <c r="S2312" t="s">
        <v>3</v>
      </c>
      <c r="T2312" t="s">
        <v>3</v>
      </c>
      <c r="U2312" t="s">
        <v>3</v>
      </c>
      <c r="V2312" t="s">
        <v>3</v>
      </c>
      <c r="W2312" t="s">
        <v>68</v>
      </c>
      <c r="X2312" s="17"/>
      <c r="Y2312" t="s">
        <v>3</v>
      </c>
      <c r="Z2312" s="17">
        <v>43775</v>
      </c>
      <c r="AA2312" t="s">
        <v>3</v>
      </c>
      <c r="AB2312" t="s">
        <v>5200</v>
      </c>
    </row>
    <row r="2313" spans="1:28" hidden="1">
      <c r="A2313" t="s">
        <v>5200</v>
      </c>
      <c r="B2313" s="17">
        <v>43775</v>
      </c>
      <c r="C2313" s="17">
        <v>43775</v>
      </c>
      <c r="D2313" t="s">
        <v>0</v>
      </c>
      <c r="E2313" t="s">
        <v>1</v>
      </c>
      <c r="F2313" s="18">
        <v>93649.43</v>
      </c>
      <c r="G2313" s="18">
        <v>93649.43</v>
      </c>
      <c r="H2313" t="s">
        <v>2</v>
      </c>
      <c r="I2313" t="s">
        <v>8</v>
      </c>
      <c r="J2313" s="18">
        <v>7819727.4100000001</v>
      </c>
      <c r="K2313" t="s">
        <v>5131</v>
      </c>
      <c r="L2313" t="s">
        <v>4</v>
      </c>
      <c r="M2313" t="s">
        <v>5201</v>
      </c>
      <c r="N2313" t="s">
        <v>3</v>
      </c>
      <c r="O2313" t="s">
        <v>3</v>
      </c>
      <c r="P2313" t="s">
        <v>5</v>
      </c>
      <c r="Q2313" t="s">
        <v>5202</v>
      </c>
      <c r="R2313" t="s">
        <v>3</v>
      </c>
      <c r="S2313" t="s">
        <v>3</v>
      </c>
      <c r="T2313" t="s">
        <v>3</v>
      </c>
      <c r="U2313" t="s">
        <v>3</v>
      </c>
      <c r="V2313" t="s">
        <v>3</v>
      </c>
      <c r="W2313" t="s">
        <v>68</v>
      </c>
      <c r="X2313" s="17"/>
      <c r="Y2313" t="s">
        <v>3</v>
      </c>
      <c r="Z2313" s="17">
        <v>43775</v>
      </c>
      <c r="AA2313" t="s">
        <v>3</v>
      </c>
      <c r="AB2313" t="s">
        <v>5200</v>
      </c>
    </row>
    <row r="2314" spans="1:28" hidden="1">
      <c r="A2314" t="s">
        <v>5200</v>
      </c>
      <c r="B2314" s="17">
        <v>43775</v>
      </c>
      <c r="C2314" s="17">
        <v>43775</v>
      </c>
      <c r="D2314" t="s">
        <v>0</v>
      </c>
      <c r="E2314" t="s">
        <v>1</v>
      </c>
      <c r="F2314" s="18">
        <v>77944.86</v>
      </c>
      <c r="G2314" s="18">
        <v>77944.86</v>
      </c>
      <c r="H2314" t="s">
        <v>2</v>
      </c>
      <c r="I2314" t="s">
        <v>8</v>
      </c>
      <c r="J2314" s="18">
        <v>6535676.5099999998</v>
      </c>
      <c r="K2314" t="s">
        <v>5195</v>
      </c>
      <c r="L2314" t="s">
        <v>4</v>
      </c>
      <c r="M2314" t="s">
        <v>5201</v>
      </c>
      <c r="N2314" t="s">
        <v>3</v>
      </c>
      <c r="O2314" t="s">
        <v>3</v>
      </c>
      <c r="P2314" t="s">
        <v>5</v>
      </c>
      <c r="Q2314" t="s">
        <v>5202</v>
      </c>
      <c r="R2314" t="s">
        <v>3</v>
      </c>
      <c r="S2314" t="s">
        <v>3</v>
      </c>
      <c r="T2314" t="s">
        <v>3</v>
      </c>
      <c r="U2314" t="s">
        <v>3</v>
      </c>
      <c r="V2314" t="s">
        <v>3</v>
      </c>
      <c r="W2314" t="s">
        <v>68</v>
      </c>
      <c r="X2314" s="17"/>
      <c r="Y2314" t="s">
        <v>3</v>
      </c>
      <c r="Z2314" s="17">
        <v>43775</v>
      </c>
      <c r="AA2314" t="s">
        <v>3</v>
      </c>
      <c r="AB2314" t="s">
        <v>5200</v>
      </c>
    </row>
    <row r="2315" spans="1:28" hidden="1">
      <c r="A2315" t="s">
        <v>5203</v>
      </c>
      <c r="B2315" s="17">
        <v>43775</v>
      </c>
      <c r="C2315" s="17">
        <v>43775</v>
      </c>
      <c r="D2315" t="s">
        <v>0</v>
      </c>
      <c r="E2315" t="s">
        <v>1</v>
      </c>
      <c r="F2315" s="18">
        <v>1834</v>
      </c>
      <c r="G2315" s="18">
        <v>1834</v>
      </c>
      <c r="H2315" t="s">
        <v>2</v>
      </c>
      <c r="I2315" t="s">
        <v>8</v>
      </c>
      <c r="J2315" s="18">
        <v>153139</v>
      </c>
      <c r="K2315" t="s">
        <v>5031</v>
      </c>
      <c r="L2315" t="s">
        <v>9</v>
      </c>
      <c r="M2315" t="s">
        <v>5204</v>
      </c>
      <c r="N2315" t="s">
        <v>3</v>
      </c>
      <c r="O2315" t="s">
        <v>3</v>
      </c>
      <c r="P2315" t="s">
        <v>5</v>
      </c>
      <c r="Q2315" t="s">
        <v>5205</v>
      </c>
      <c r="R2315" t="s">
        <v>3</v>
      </c>
      <c r="S2315" t="s">
        <v>3</v>
      </c>
      <c r="T2315" t="s">
        <v>3</v>
      </c>
      <c r="U2315" t="s">
        <v>3</v>
      </c>
      <c r="V2315" t="s">
        <v>3</v>
      </c>
      <c r="W2315" t="s">
        <v>68</v>
      </c>
      <c r="X2315" s="17"/>
      <c r="Y2315" t="s">
        <v>3</v>
      </c>
      <c r="Z2315" s="17">
        <v>43775</v>
      </c>
      <c r="AA2315" t="s">
        <v>3</v>
      </c>
      <c r="AB2315" t="s">
        <v>5203</v>
      </c>
    </row>
    <row r="2316" spans="1:28" hidden="1">
      <c r="A2316" t="s">
        <v>5203</v>
      </c>
      <c r="B2316" s="17">
        <v>43775</v>
      </c>
      <c r="C2316" s="17">
        <v>43775</v>
      </c>
      <c r="D2316" t="s">
        <v>0</v>
      </c>
      <c r="E2316" t="s">
        <v>1</v>
      </c>
      <c r="F2316" s="18">
        <v>2319</v>
      </c>
      <c r="G2316" s="18">
        <v>2319</v>
      </c>
      <c r="H2316" t="s">
        <v>2</v>
      </c>
      <c r="I2316" t="s">
        <v>8</v>
      </c>
      <c r="J2316" s="18">
        <v>193636.5</v>
      </c>
      <c r="K2316" t="s">
        <v>5150</v>
      </c>
      <c r="L2316" t="s">
        <v>9</v>
      </c>
      <c r="M2316" t="s">
        <v>5204</v>
      </c>
      <c r="N2316" t="s">
        <v>3</v>
      </c>
      <c r="O2316" t="s">
        <v>3</v>
      </c>
      <c r="P2316" t="s">
        <v>5</v>
      </c>
      <c r="Q2316" t="s">
        <v>5205</v>
      </c>
      <c r="R2316" t="s">
        <v>3</v>
      </c>
      <c r="S2316" t="s">
        <v>3</v>
      </c>
      <c r="T2316" t="s">
        <v>3</v>
      </c>
      <c r="U2316" t="s">
        <v>3</v>
      </c>
      <c r="V2316" t="s">
        <v>3</v>
      </c>
      <c r="W2316" t="s">
        <v>68</v>
      </c>
      <c r="X2316" s="17"/>
      <c r="Y2316" t="s">
        <v>3</v>
      </c>
      <c r="Z2316" s="17">
        <v>43775</v>
      </c>
      <c r="AA2316" t="s">
        <v>3</v>
      </c>
      <c r="AB2316" t="s">
        <v>5203</v>
      </c>
    </row>
    <row r="2317" spans="1:28" hidden="1">
      <c r="A2317" t="s">
        <v>5206</v>
      </c>
      <c r="B2317" s="17">
        <v>43775</v>
      </c>
      <c r="C2317" s="17">
        <v>43775</v>
      </c>
      <c r="D2317" t="s">
        <v>0</v>
      </c>
      <c r="E2317" t="s">
        <v>1</v>
      </c>
      <c r="F2317" s="18">
        <v>8649</v>
      </c>
      <c r="G2317" s="18">
        <v>8649</v>
      </c>
      <c r="H2317" t="s">
        <v>2</v>
      </c>
      <c r="I2317" t="s">
        <v>8</v>
      </c>
      <c r="J2317" s="18">
        <v>722191.5</v>
      </c>
      <c r="K2317" t="s">
        <v>5207</v>
      </c>
      <c r="L2317" t="s">
        <v>9</v>
      </c>
      <c r="M2317" t="s">
        <v>5208</v>
      </c>
      <c r="N2317" t="s">
        <v>3</v>
      </c>
      <c r="O2317" t="s">
        <v>3</v>
      </c>
      <c r="P2317" t="s">
        <v>5</v>
      </c>
      <c r="Q2317" t="s">
        <v>5209</v>
      </c>
      <c r="R2317" t="s">
        <v>3</v>
      </c>
      <c r="S2317" t="s">
        <v>3</v>
      </c>
      <c r="T2317" t="s">
        <v>3</v>
      </c>
      <c r="U2317" t="s">
        <v>3</v>
      </c>
      <c r="V2317" t="s">
        <v>3</v>
      </c>
      <c r="W2317" t="s">
        <v>68</v>
      </c>
      <c r="X2317" s="17"/>
      <c r="Y2317" t="s">
        <v>3</v>
      </c>
      <c r="Z2317" s="17">
        <v>43775</v>
      </c>
      <c r="AA2317" t="s">
        <v>3</v>
      </c>
      <c r="AB2317" t="s">
        <v>5206</v>
      </c>
    </row>
    <row r="2318" spans="1:28" hidden="1">
      <c r="A2318" t="s">
        <v>5206</v>
      </c>
      <c r="B2318" s="17">
        <v>43775</v>
      </c>
      <c r="C2318" s="17">
        <v>43775</v>
      </c>
      <c r="D2318" t="s">
        <v>0</v>
      </c>
      <c r="E2318" t="s">
        <v>1</v>
      </c>
      <c r="F2318" s="18">
        <v>27467</v>
      </c>
      <c r="G2318" s="18">
        <v>27467</v>
      </c>
      <c r="H2318" t="s">
        <v>2</v>
      </c>
      <c r="I2318" t="s">
        <v>8</v>
      </c>
      <c r="J2318" s="18">
        <v>2293494.5</v>
      </c>
      <c r="K2318" t="s">
        <v>5031</v>
      </c>
      <c r="L2318" t="s">
        <v>9</v>
      </c>
      <c r="M2318" t="s">
        <v>5208</v>
      </c>
      <c r="N2318" t="s">
        <v>3</v>
      </c>
      <c r="O2318" t="s">
        <v>3</v>
      </c>
      <c r="P2318" t="s">
        <v>5</v>
      </c>
      <c r="Q2318" t="s">
        <v>5209</v>
      </c>
      <c r="R2318" t="s">
        <v>3</v>
      </c>
      <c r="S2318" t="s">
        <v>3</v>
      </c>
      <c r="T2318" t="s">
        <v>3</v>
      </c>
      <c r="U2318" t="s">
        <v>3</v>
      </c>
      <c r="V2318" t="s">
        <v>3</v>
      </c>
      <c r="W2318" t="s">
        <v>68</v>
      </c>
      <c r="X2318" s="17"/>
      <c r="Y2318" t="s">
        <v>3</v>
      </c>
      <c r="Z2318" s="17">
        <v>43775</v>
      </c>
      <c r="AA2318" t="s">
        <v>3</v>
      </c>
      <c r="AB2318" t="s">
        <v>5206</v>
      </c>
    </row>
    <row r="2319" spans="1:28" hidden="1">
      <c r="A2319" t="s">
        <v>5206</v>
      </c>
      <c r="B2319" s="17">
        <v>43775</v>
      </c>
      <c r="C2319" s="17">
        <v>43775</v>
      </c>
      <c r="D2319" t="s">
        <v>0</v>
      </c>
      <c r="E2319" t="s">
        <v>1</v>
      </c>
      <c r="F2319" s="18">
        <v>27574</v>
      </c>
      <c r="G2319" s="18">
        <v>27574</v>
      </c>
      <c r="H2319" t="s">
        <v>2</v>
      </c>
      <c r="I2319" t="s">
        <v>8</v>
      </c>
      <c r="J2319" s="18">
        <v>2302429</v>
      </c>
      <c r="K2319" t="s">
        <v>5150</v>
      </c>
      <c r="L2319" t="s">
        <v>9</v>
      </c>
      <c r="M2319" t="s">
        <v>5208</v>
      </c>
      <c r="N2319" t="s">
        <v>3</v>
      </c>
      <c r="O2319" t="s">
        <v>3</v>
      </c>
      <c r="P2319" t="s">
        <v>5</v>
      </c>
      <c r="Q2319" t="s">
        <v>5209</v>
      </c>
      <c r="R2319" t="s">
        <v>3</v>
      </c>
      <c r="S2319" t="s">
        <v>3</v>
      </c>
      <c r="T2319" t="s">
        <v>3</v>
      </c>
      <c r="U2319" t="s">
        <v>3</v>
      </c>
      <c r="V2319" t="s">
        <v>3</v>
      </c>
      <c r="W2319" t="s">
        <v>68</v>
      </c>
      <c r="X2319" s="17"/>
      <c r="Y2319" t="s">
        <v>3</v>
      </c>
      <c r="Z2319" s="17">
        <v>43775</v>
      </c>
      <c r="AA2319" t="s">
        <v>3</v>
      </c>
      <c r="AB2319" t="s">
        <v>5206</v>
      </c>
    </row>
    <row r="2320" spans="1:28" hidden="1">
      <c r="A2320" t="s">
        <v>5210</v>
      </c>
      <c r="B2320" s="17">
        <v>43775</v>
      </c>
      <c r="C2320" s="17">
        <v>43775</v>
      </c>
      <c r="D2320" t="s">
        <v>0</v>
      </c>
      <c r="E2320" t="s">
        <v>1</v>
      </c>
      <c r="F2320" s="18">
        <v>155</v>
      </c>
      <c r="G2320" s="18">
        <v>155</v>
      </c>
      <c r="H2320" t="s">
        <v>2</v>
      </c>
      <c r="I2320" t="s">
        <v>8</v>
      </c>
      <c r="J2320" s="18">
        <v>12942.5</v>
      </c>
      <c r="K2320" t="s">
        <v>4754</v>
      </c>
      <c r="L2320" t="s">
        <v>9</v>
      </c>
      <c r="M2320" t="s">
        <v>5211</v>
      </c>
      <c r="N2320" t="s">
        <v>3</v>
      </c>
      <c r="O2320" t="s">
        <v>3</v>
      </c>
      <c r="P2320" t="s">
        <v>5</v>
      </c>
      <c r="Q2320" t="s">
        <v>5212</v>
      </c>
      <c r="R2320" t="s">
        <v>3</v>
      </c>
      <c r="S2320" t="s">
        <v>3</v>
      </c>
      <c r="T2320" t="s">
        <v>3</v>
      </c>
      <c r="U2320" t="s">
        <v>3</v>
      </c>
      <c r="V2320" t="s">
        <v>3</v>
      </c>
      <c r="W2320" t="s">
        <v>68</v>
      </c>
      <c r="X2320" s="17">
        <v>44012</v>
      </c>
      <c r="Y2320" t="s">
        <v>4137</v>
      </c>
      <c r="Z2320" s="17">
        <v>43775</v>
      </c>
      <c r="AA2320" t="s">
        <v>3</v>
      </c>
      <c r="AB2320" t="s">
        <v>5210</v>
      </c>
    </row>
    <row r="2321" spans="1:28" hidden="1">
      <c r="A2321" t="s">
        <v>5210</v>
      </c>
      <c r="B2321" s="17">
        <v>43775</v>
      </c>
      <c r="C2321" s="17">
        <v>43775</v>
      </c>
      <c r="D2321" t="s">
        <v>0</v>
      </c>
      <c r="E2321" t="s">
        <v>1</v>
      </c>
      <c r="F2321" s="18">
        <v>85431</v>
      </c>
      <c r="G2321" s="18">
        <v>85431</v>
      </c>
      <c r="H2321" t="s">
        <v>2</v>
      </c>
      <c r="I2321" t="s">
        <v>8</v>
      </c>
      <c r="J2321" s="18">
        <v>7133488.5</v>
      </c>
      <c r="K2321" t="s">
        <v>5207</v>
      </c>
      <c r="L2321" t="s">
        <v>9</v>
      </c>
      <c r="M2321" t="s">
        <v>5211</v>
      </c>
      <c r="N2321" t="s">
        <v>3</v>
      </c>
      <c r="O2321" t="s">
        <v>3</v>
      </c>
      <c r="P2321" t="s">
        <v>5</v>
      </c>
      <c r="Q2321" t="s">
        <v>5212</v>
      </c>
      <c r="R2321" t="s">
        <v>3</v>
      </c>
      <c r="S2321" t="s">
        <v>3</v>
      </c>
      <c r="T2321" t="s">
        <v>3</v>
      </c>
      <c r="U2321" t="s">
        <v>3</v>
      </c>
      <c r="V2321" t="s">
        <v>3</v>
      </c>
      <c r="W2321" t="s">
        <v>68</v>
      </c>
      <c r="X2321" s="17"/>
      <c r="Y2321" t="s">
        <v>3</v>
      </c>
      <c r="Z2321" s="17">
        <v>43775</v>
      </c>
      <c r="AA2321" t="s">
        <v>3</v>
      </c>
      <c r="AB2321" t="s">
        <v>5210</v>
      </c>
    </row>
    <row r="2322" spans="1:28" hidden="1">
      <c r="A2322" t="s">
        <v>5210</v>
      </c>
      <c r="B2322" s="17">
        <v>43775</v>
      </c>
      <c r="C2322" s="17">
        <v>43775</v>
      </c>
      <c r="D2322" t="s">
        <v>0</v>
      </c>
      <c r="E2322" t="s">
        <v>1</v>
      </c>
      <c r="F2322" s="18">
        <v>1601</v>
      </c>
      <c r="G2322" s="18">
        <v>1601</v>
      </c>
      <c r="H2322" t="s">
        <v>2</v>
      </c>
      <c r="I2322" t="s">
        <v>8</v>
      </c>
      <c r="J2322" s="18">
        <v>133683.5</v>
      </c>
      <c r="K2322" t="s">
        <v>4886</v>
      </c>
      <c r="L2322" t="s">
        <v>9</v>
      </c>
      <c r="M2322" t="s">
        <v>5211</v>
      </c>
      <c r="N2322" t="s">
        <v>3</v>
      </c>
      <c r="O2322" t="s">
        <v>3</v>
      </c>
      <c r="P2322" t="s">
        <v>5</v>
      </c>
      <c r="Q2322" t="s">
        <v>5212</v>
      </c>
      <c r="R2322" t="s">
        <v>3</v>
      </c>
      <c r="S2322" t="s">
        <v>3</v>
      </c>
      <c r="T2322" t="s">
        <v>3</v>
      </c>
      <c r="U2322" t="s">
        <v>3</v>
      </c>
      <c r="V2322" t="s">
        <v>3</v>
      </c>
      <c r="W2322" t="s">
        <v>68</v>
      </c>
      <c r="X2322" s="17"/>
      <c r="Y2322" t="s">
        <v>3</v>
      </c>
      <c r="Z2322" s="17">
        <v>43775</v>
      </c>
      <c r="AA2322" t="s">
        <v>3</v>
      </c>
      <c r="AB2322" t="s">
        <v>5210</v>
      </c>
    </row>
    <row r="2323" spans="1:28" hidden="1">
      <c r="A2323" t="s">
        <v>5210</v>
      </c>
      <c r="B2323" s="17">
        <v>43775</v>
      </c>
      <c r="C2323" s="17">
        <v>43775</v>
      </c>
      <c r="D2323" t="s">
        <v>0</v>
      </c>
      <c r="E2323" t="s">
        <v>1</v>
      </c>
      <c r="F2323" s="18">
        <v>176550</v>
      </c>
      <c r="G2323" s="18">
        <v>176550</v>
      </c>
      <c r="H2323" t="s">
        <v>2</v>
      </c>
      <c r="I2323" t="s">
        <v>8</v>
      </c>
      <c r="J2323" s="18">
        <v>14741925</v>
      </c>
      <c r="K2323" t="s">
        <v>5031</v>
      </c>
      <c r="L2323" t="s">
        <v>9</v>
      </c>
      <c r="M2323" t="s">
        <v>5211</v>
      </c>
      <c r="N2323" t="s">
        <v>3</v>
      </c>
      <c r="O2323" t="s">
        <v>3</v>
      </c>
      <c r="P2323" t="s">
        <v>5</v>
      </c>
      <c r="Q2323" t="s">
        <v>5212</v>
      </c>
      <c r="R2323" t="s">
        <v>3</v>
      </c>
      <c r="S2323" t="s">
        <v>3</v>
      </c>
      <c r="T2323" t="s">
        <v>3</v>
      </c>
      <c r="U2323" t="s">
        <v>3</v>
      </c>
      <c r="V2323" t="s">
        <v>3</v>
      </c>
      <c r="W2323" t="s">
        <v>68</v>
      </c>
      <c r="X2323" s="17"/>
      <c r="Y2323" t="s">
        <v>3</v>
      </c>
      <c r="Z2323" s="17">
        <v>43775</v>
      </c>
      <c r="AA2323" t="s">
        <v>3</v>
      </c>
      <c r="AB2323" t="s">
        <v>5210</v>
      </c>
    </row>
    <row r="2324" spans="1:28" hidden="1">
      <c r="A2324" t="s">
        <v>5210</v>
      </c>
      <c r="B2324" s="17">
        <v>43775</v>
      </c>
      <c r="C2324" s="17">
        <v>43775</v>
      </c>
      <c r="D2324" t="s">
        <v>0</v>
      </c>
      <c r="E2324" t="s">
        <v>1</v>
      </c>
      <c r="F2324" s="18">
        <v>173903</v>
      </c>
      <c r="G2324" s="18">
        <v>173903</v>
      </c>
      <c r="H2324" t="s">
        <v>2</v>
      </c>
      <c r="I2324" t="s">
        <v>8</v>
      </c>
      <c r="J2324" s="18">
        <v>14520900.5</v>
      </c>
      <c r="K2324" t="s">
        <v>5150</v>
      </c>
      <c r="L2324" t="s">
        <v>9</v>
      </c>
      <c r="M2324" t="s">
        <v>5211</v>
      </c>
      <c r="N2324" t="s">
        <v>3</v>
      </c>
      <c r="O2324" t="s">
        <v>3</v>
      </c>
      <c r="P2324" t="s">
        <v>5</v>
      </c>
      <c r="Q2324" t="s">
        <v>5212</v>
      </c>
      <c r="R2324" t="s">
        <v>3</v>
      </c>
      <c r="S2324" t="s">
        <v>3</v>
      </c>
      <c r="T2324" t="s">
        <v>3</v>
      </c>
      <c r="U2324" t="s">
        <v>3</v>
      </c>
      <c r="V2324" t="s">
        <v>3</v>
      </c>
      <c r="W2324" t="s">
        <v>68</v>
      </c>
      <c r="X2324" s="17"/>
      <c r="Y2324" t="s">
        <v>3</v>
      </c>
      <c r="Z2324" s="17">
        <v>43775</v>
      </c>
      <c r="AA2324" t="s">
        <v>3</v>
      </c>
      <c r="AB2324" t="s">
        <v>5210</v>
      </c>
    </row>
    <row r="2325" spans="1:28" hidden="1">
      <c r="A2325" t="s">
        <v>5213</v>
      </c>
      <c r="B2325" s="17">
        <v>43776</v>
      </c>
      <c r="C2325" s="17">
        <v>43776</v>
      </c>
      <c r="D2325" t="s">
        <v>0</v>
      </c>
      <c r="E2325" t="s">
        <v>1</v>
      </c>
      <c r="F2325" s="18">
        <v>735</v>
      </c>
      <c r="G2325" s="18">
        <v>735</v>
      </c>
      <c r="H2325" t="s">
        <v>2</v>
      </c>
      <c r="I2325" t="s">
        <v>8</v>
      </c>
      <c r="J2325" s="18">
        <v>61372.5</v>
      </c>
      <c r="K2325" t="s">
        <v>4754</v>
      </c>
      <c r="L2325" t="s">
        <v>9</v>
      </c>
      <c r="M2325" t="s">
        <v>5214</v>
      </c>
      <c r="N2325" t="s">
        <v>3</v>
      </c>
      <c r="O2325" t="s">
        <v>3</v>
      </c>
      <c r="P2325" t="s">
        <v>5</v>
      </c>
      <c r="Q2325" t="s">
        <v>5215</v>
      </c>
      <c r="R2325" t="s">
        <v>3</v>
      </c>
      <c r="S2325" t="s">
        <v>3</v>
      </c>
      <c r="T2325" t="s">
        <v>3</v>
      </c>
      <c r="U2325" t="s">
        <v>3</v>
      </c>
      <c r="V2325" t="s">
        <v>3</v>
      </c>
      <c r="W2325" t="s">
        <v>68</v>
      </c>
      <c r="X2325" s="17">
        <v>44012</v>
      </c>
      <c r="Y2325" t="s">
        <v>4137</v>
      </c>
      <c r="Z2325" s="17">
        <v>43776</v>
      </c>
      <c r="AA2325" t="s">
        <v>3</v>
      </c>
      <c r="AB2325" t="s">
        <v>5213</v>
      </c>
    </row>
    <row r="2326" spans="1:28" hidden="1">
      <c r="A2326" t="s">
        <v>5213</v>
      </c>
      <c r="B2326" s="17">
        <v>43776</v>
      </c>
      <c r="C2326" s="17">
        <v>43776</v>
      </c>
      <c r="D2326" t="s">
        <v>0</v>
      </c>
      <c r="E2326" t="s">
        <v>1</v>
      </c>
      <c r="F2326" s="18">
        <v>20997</v>
      </c>
      <c r="G2326" s="18">
        <v>20997</v>
      </c>
      <c r="H2326" t="s">
        <v>2</v>
      </c>
      <c r="I2326" t="s">
        <v>8</v>
      </c>
      <c r="J2326" s="18">
        <v>1753249.5</v>
      </c>
      <c r="K2326" t="s">
        <v>5207</v>
      </c>
      <c r="L2326" t="s">
        <v>9</v>
      </c>
      <c r="M2326" t="s">
        <v>5214</v>
      </c>
      <c r="N2326" t="s">
        <v>3</v>
      </c>
      <c r="O2326" t="s">
        <v>3</v>
      </c>
      <c r="P2326" t="s">
        <v>5</v>
      </c>
      <c r="Q2326" t="s">
        <v>5215</v>
      </c>
      <c r="R2326" t="s">
        <v>3</v>
      </c>
      <c r="S2326" t="s">
        <v>3</v>
      </c>
      <c r="T2326" t="s">
        <v>3</v>
      </c>
      <c r="U2326" t="s">
        <v>3</v>
      </c>
      <c r="V2326" t="s">
        <v>3</v>
      </c>
      <c r="W2326" t="s">
        <v>68</v>
      </c>
      <c r="X2326" s="17"/>
      <c r="Y2326" t="s">
        <v>3</v>
      </c>
      <c r="Z2326" s="17">
        <v>43776</v>
      </c>
      <c r="AA2326" t="s">
        <v>3</v>
      </c>
      <c r="AB2326" t="s">
        <v>5213</v>
      </c>
    </row>
    <row r="2327" spans="1:28" hidden="1">
      <c r="A2327" t="s">
        <v>5213</v>
      </c>
      <c r="B2327" s="17">
        <v>43776</v>
      </c>
      <c r="C2327" s="17">
        <v>43776</v>
      </c>
      <c r="D2327" t="s">
        <v>0</v>
      </c>
      <c r="E2327" t="s">
        <v>1</v>
      </c>
      <c r="F2327" s="18">
        <v>2337</v>
      </c>
      <c r="G2327" s="18">
        <v>2337</v>
      </c>
      <c r="H2327" t="s">
        <v>2</v>
      </c>
      <c r="I2327" t="s">
        <v>8</v>
      </c>
      <c r="J2327" s="18">
        <v>195139.5</v>
      </c>
      <c r="K2327" t="s">
        <v>4886</v>
      </c>
      <c r="L2327" t="s">
        <v>9</v>
      </c>
      <c r="M2327" t="s">
        <v>5214</v>
      </c>
      <c r="N2327" t="s">
        <v>3</v>
      </c>
      <c r="O2327" t="s">
        <v>3</v>
      </c>
      <c r="P2327" t="s">
        <v>5</v>
      </c>
      <c r="Q2327" t="s">
        <v>5215</v>
      </c>
      <c r="R2327" t="s">
        <v>3</v>
      </c>
      <c r="S2327" t="s">
        <v>3</v>
      </c>
      <c r="T2327" t="s">
        <v>3</v>
      </c>
      <c r="U2327" t="s">
        <v>3</v>
      </c>
      <c r="V2327" t="s">
        <v>3</v>
      </c>
      <c r="W2327" t="s">
        <v>68</v>
      </c>
      <c r="X2327" s="17"/>
      <c r="Y2327" t="s">
        <v>3</v>
      </c>
      <c r="Z2327" s="17">
        <v>43776</v>
      </c>
      <c r="AA2327" t="s">
        <v>3</v>
      </c>
      <c r="AB2327" t="s">
        <v>5213</v>
      </c>
    </row>
    <row r="2328" spans="1:28" hidden="1">
      <c r="A2328" t="s">
        <v>5213</v>
      </c>
      <c r="B2328" s="17">
        <v>43776</v>
      </c>
      <c r="C2328" s="17">
        <v>43776</v>
      </c>
      <c r="D2328" t="s">
        <v>0</v>
      </c>
      <c r="E2328" t="s">
        <v>1</v>
      </c>
      <c r="F2328" s="18">
        <v>739</v>
      </c>
      <c r="G2328" s="18">
        <v>739</v>
      </c>
      <c r="H2328" t="s">
        <v>2</v>
      </c>
      <c r="I2328" t="s">
        <v>8</v>
      </c>
      <c r="J2328" s="18">
        <v>61706.5</v>
      </c>
      <c r="K2328" t="s">
        <v>5031</v>
      </c>
      <c r="L2328" t="s">
        <v>9</v>
      </c>
      <c r="M2328" t="s">
        <v>5214</v>
      </c>
      <c r="N2328" t="s">
        <v>3</v>
      </c>
      <c r="O2328" t="s">
        <v>3</v>
      </c>
      <c r="P2328" t="s">
        <v>5</v>
      </c>
      <c r="Q2328" t="s">
        <v>5215</v>
      </c>
      <c r="R2328" t="s">
        <v>3</v>
      </c>
      <c r="S2328" t="s">
        <v>3</v>
      </c>
      <c r="T2328" t="s">
        <v>3</v>
      </c>
      <c r="U2328" t="s">
        <v>3</v>
      </c>
      <c r="V2328" t="s">
        <v>3</v>
      </c>
      <c r="W2328" t="s">
        <v>68</v>
      </c>
      <c r="X2328" s="17"/>
      <c r="Y2328" t="s">
        <v>3</v>
      </c>
      <c r="Z2328" s="17">
        <v>43776</v>
      </c>
      <c r="AA2328" t="s">
        <v>3</v>
      </c>
      <c r="AB2328" t="s">
        <v>5213</v>
      </c>
    </row>
    <row r="2329" spans="1:28" hidden="1">
      <c r="A2329" t="s">
        <v>5213</v>
      </c>
      <c r="B2329" s="17">
        <v>43776</v>
      </c>
      <c r="C2329" s="17">
        <v>43776</v>
      </c>
      <c r="D2329" t="s">
        <v>0</v>
      </c>
      <c r="E2329" t="s">
        <v>1</v>
      </c>
      <c r="F2329" s="18">
        <v>42326</v>
      </c>
      <c r="G2329" s="18">
        <v>42326</v>
      </c>
      <c r="H2329" t="s">
        <v>2</v>
      </c>
      <c r="I2329" t="s">
        <v>8</v>
      </c>
      <c r="J2329" s="18">
        <v>3534221</v>
      </c>
      <c r="K2329" t="s">
        <v>5150</v>
      </c>
      <c r="L2329" t="s">
        <v>9</v>
      </c>
      <c r="M2329" t="s">
        <v>5214</v>
      </c>
      <c r="N2329" t="s">
        <v>3</v>
      </c>
      <c r="O2329" t="s">
        <v>3</v>
      </c>
      <c r="P2329" t="s">
        <v>5</v>
      </c>
      <c r="Q2329" t="s">
        <v>5215</v>
      </c>
      <c r="R2329" t="s">
        <v>3</v>
      </c>
      <c r="S2329" t="s">
        <v>3</v>
      </c>
      <c r="T2329" t="s">
        <v>3</v>
      </c>
      <c r="U2329" t="s">
        <v>3</v>
      </c>
      <c r="V2329" t="s">
        <v>3</v>
      </c>
      <c r="W2329" t="s">
        <v>68</v>
      </c>
      <c r="X2329" s="17"/>
      <c r="Y2329" t="s">
        <v>3</v>
      </c>
      <c r="Z2329" s="17">
        <v>43776</v>
      </c>
      <c r="AA2329" t="s">
        <v>3</v>
      </c>
      <c r="AB2329" t="s">
        <v>5213</v>
      </c>
    </row>
    <row r="2330" spans="1:28" hidden="1">
      <c r="A2330" t="s">
        <v>5217</v>
      </c>
      <c r="B2330" s="17">
        <v>43780</v>
      </c>
      <c r="C2330" s="17">
        <v>43780</v>
      </c>
      <c r="D2330" t="s">
        <v>0</v>
      </c>
      <c r="E2330" t="s">
        <v>1</v>
      </c>
      <c r="F2330" s="18">
        <v>3672.5</v>
      </c>
      <c r="G2330" s="18">
        <v>3672.5</v>
      </c>
      <c r="H2330" t="s">
        <v>2</v>
      </c>
      <c r="I2330" t="s">
        <v>10</v>
      </c>
      <c r="J2330" s="18">
        <v>306653.75</v>
      </c>
      <c r="K2330" t="s">
        <v>5123</v>
      </c>
      <c r="L2330" t="s">
        <v>4</v>
      </c>
      <c r="M2330" t="s">
        <v>5218</v>
      </c>
      <c r="N2330" t="s">
        <v>3</v>
      </c>
      <c r="O2330" t="s">
        <v>3</v>
      </c>
      <c r="P2330" t="s">
        <v>5</v>
      </c>
      <c r="Q2330" t="s">
        <v>5219</v>
      </c>
      <c r="R2330" t="s">
        <v>3</v>
      </c>
      <c r="S2330" t="s">
        <v>3</v>
      </c>
      <c r="T2330" t="s">
        <v>3</v>
      </c>
      <c r="U2330" t="s">
        <v>3</v>
      </c>
      <c r="V2330" t="s">
        <v>3</v>
      </c>
      <c r="W2330" t="s">
        <v>68</v>
      </c>
      <c r="X2330" s="17"/>
      <c r="Y2330" t="s">
        <v>3</v>
      </c>
      <c r="Z2330" s="17">
        <v>43780</v>
      </c>
      <c r="AA2330" t="s">
        <v>3</v>
      </c>
      <c r="AB2330" t="s">
        <v>5217</v>
      </c>
    </row>
    <row r="2331" spans="1:28" hidden="1">
      <c r="A2331" t="s">
        <v>5217</v>
      </c>
      <c r="B2331" s="17">
        <v>43780</v>
      </c>
      <c r="C2331" s="17">
        <v>43780</v>
      </c>
      <c r="D2331" t="s">
        <v>0</v>
      </c>
      <c r="E2331" t="s">
        <v>1</v>
      </c>
      <c r="F2331" s="18">
        <v>1016.45</v>
      </c>
      <c r="G2331" s="18">
        <v>1016.45</v>
      </c>
      <c r="H2331" t="s">
        <v>2</v>
      </c>
      <c r="I2331" t="s">
        <v>10</v>
      </c>
      <c r="J2331" s="18">
        <v>84873.58</v>
      </c>
      <c r="K2331" t="s">
        <v>5157</v>
      </c>
      <c r="L2331" t="s">
        <v>4</v>
      </c>
      <c r="M2331" t="s">
        <v>5218</v>
      </c>
      <c r="N2331" t="s">
        <v>3</v>
      </c>
      <c r="O2331" t="s">
        <v>3</v>
      </c>
      <c r="P2331" t="s">
        <v>5</v>
      </c>
      <c r="Q2331" t="s">
        <v>5219</v>
      </c>
      <c r="R2331" t="s">
        <v>3</v>
      </c>
      <c r="S2331" t="s">
        <v>3</v>
      </c>
      <c r="T2331" t="s">
        <v>3</v>
      </c>
      <c r="U2331" t="s">
        <v>3</v>
      </c>
      <c r="V2331" t="s">
        <v>3</v>
      </c>
      <c r="W2331" t="s">
        <v>68</v>
      </c>
      <c r="X2331" s="17"/>
      <c r="Y2331" t="s">
        <v>3</v>
      </c>
      <c r="Z2331" s="17">
        <v>43780</v>
      </c>
      <c r="AA2331" t="s">
        <v>3</v>
      </c>
      <c r="AB2331" t="s">
        <v>5217</v>
      </c>
    </row>
    <row r="2332" spans="1:28" hidden="1">
      <c r="A2332" t="s">
        <v>5217</v>
      </c>
      <c r="B2332" s="17">
        <v>43780</v>
      </c>
      <c r="C2332" s="17">
        <v>43780</v>
      </c>
      <c r="D2332" t="s">
        <v>0</v>
      </c>
      <c r="E2332" t="s">
        <v>1</v>
      </c>
      <c r="F2332" s="18">
        <v>12078.57</v>
      </c>
      <c r="G2332" s="18">
        <v>12078.57</v>
      </c>
      <c r="H2332" t="s">
        <v>2</v>
      </c>
      <c r="I2332" t="s">
        <v>10</v>
      </c>
      <c r="J2332" s="18">
        <v>1012788.09</v>
      </c>
      <c r="K2332" t="s">
        <v>5185</v>
      </c>
      <c r="L2332" t="s">
        <v>4</v>
      </c>
      <c r="M2332" t="s">
        <v>5218</v>
      </c>
      <c r="N2332" t="s">
        <v>3</v>
      </c>
      <c r="O2332" t="s">
        <v>3</v>
      </c>
      <c r="P2332" t="s">
        <v>5</v>
      </c>
      <c r="Q2332" t="s">
        <v>5219</v>
      </c>
      <c r="R2332" t="s">
        <v>3</v>
      </c>
      <c r="S2332" t="s">
        <v>3</v>
      </c>
      <c r="T2332" t="s">
        <v>3</v>
      </c>
      <c r="U2332" t="s">
        <v>3</v>
      </c>
      <c r="V2332" t="s">
        <v>3</v>
      </c>
      <c r="W2332" t="s">
        <v>68</v>
      </c>
      <c r="X2332" s="17"/>
      <c r="Y2332" t="s">
        <v>3</v>
      </c>
      <c r="Z2332" s="17">
        <v>43780</v>
      </c>
      <c r="AA2332" t="s">
        <v>3</v>
      </c>
      <c r="AB2332" t="s">
        <v>5217</v>
      </c>
    </row>
    <row r="2333" spans="1:28" hidden="1">
      <c r="A2333" t="s">
        <v>5220</v>
      </c>
      <c r="B2333" s="17">
        <v>43780</v>
      </c>
      <c r="C2333" s="17">
        <v>43780</v>
      </c>
      <c r="D2333" t="s">
        <v>0</v>
      </c>
      <c r="E2333" t="s">
        <v>1</v>
      </c>
      <c r="F2333" s="18">
        <v>2077.4899999999998</v>
      </c>
      <c r="G2333" s="18">
        <v>2077.4899999999998</v>
      </c>
      <c r="H2333" t="s">
        <v>2</v>
      </c>
      <c r="I2333" t="s">
        <v>10</v>
      </c>
      <c r="J2333" s="18">
        <v>173470.42</v>
      </c>
      <c r="K2333" t="s">
        <v>5157</v>
      </c>
      <c r="L2333" t="s">
        <v>4</v>
      </c>
      <c r="M2333" t="s">
        <v>5221</v>
      </c>
      <c r="N2333" t="s">
        <v>3</v>
      </c>
      <c r="O2333" t="s">
        <v>3</v>
      </c>
      <c r="P2333" t="s">
        <v>5</v>
      </c>
      <c r="Q2333" t="s">
        <v>5222</v>
      </c>
      <c r="R2333" t="s">
        <v>3</v>
      </c>
      <c r="S2333" t="s">
        <v>3</v>
      </c>
      <c r="T2333" t="s">
        <v>3</v>
      </c>
      <c r="U2333" t="s">
        <v>3</v>
      </c>
      <c r="V2333" t="s">
        <v>3</v>
      </c>
      <c r="W2333" t="s">
        <v>68</v>
      </c>
      <c r="X2333" s="17"/>
      <c r="Y2333" t="s">
        <v>3</v>
      </c>
      <c r="Z2333" s="17">
        <v>43780</v>
      </c>
      <c r="AA2333" t="s">
        <v>3</v>
      </c>
      <c r="AB2333" t="s">
        <v>5220</v>
      </c>
    </row>
    <row r="2334" spans="1:28" hidden="1">
      <c r="A2334" t="s">
        <v>5220</v>
      </c>
      <c r="B2334" s="17">
        <v>43780</v>
      </c>
      <c r="C2334" s="17">
        <v>43780</v>
      </c>
      <c r="D2334" t="s">
        <v>0</v>
      </c>
      <c r="E2334" t="s">
        <v>1</v>
      </c>
      <c r="F2334" s="18">
        <v>11477.59</v>
      </c>
      <c r="G2334" s="18">
        <v>11477.59</v>
      </c>
      <c r="H2334" t="s">
        <v>2</v>
      </c>
      <c r="I2334" t="s">
        <v>10</v>
      </c>
      <c r="J2334" s="18">
        <v>962395.92</v>
      </c>
      <c r="K2334" t="s">
        <v>5185</v>
      </c>
      <c r="L2334" t="s">
        <v>4</v>
      </c>
      <c r="M2334" t="s">
        <v>5221</v>
      </c>
      <c r="N2334" t="s">
        <v>3</v>
      </c>
      <c r="O2334" t="s">
        <v>3</v>
      </c>
      <c r="P2334" t="s">
        <v>5</v>
      </c>
      <c r="Q2334" t="s">
        <v>5222</v>
      </c>
      <c r="R2334" t="s">
        <v>3</v>
      </c>
      <c r="S2334" t="s">
        <v>3</v>
      </c>
      <c r="T2334" t="s">
        <v>3</v>
      </c>
      <c r="U2334" t="s">
        <v>3</v>
      </c>
      <c r="V2334" t="s">
        <v>3</v>
      </c>
      <c r="W2334" t="s">
        <v>68</v>
      </c>
      <c r="X2334" s="17"/>
      <c r="Y2334" t="s">
        <v>3</v>
      </c>
      <c r="Z2334" s="17">
        <v>43780</v>
      </c>
      <c r="AA2334" t="s">
        <v>3</v>
      </c>
      <c r="AB2334" t="s">
        <v>5220</v>
      </c>
    </row>
    <row r="2335" spans="1:28" hidden="1">
      <c r="A2335" t="s">
        <v>5223</v>
      </c>
      <c r="B2335" s="17">
        <v>43780</v>
      </c>
      <c r="C2335" s="17">
        <v>43780</v>
      </c>
      <c r="D2335" t="s">
        <v>0</v>
      </c>
      <c r="E2335" t="s">
        <v>1</v>
      </c>
      <c r="F2335" s="18">
        <v>23497.3</v>
      </c>
      <c r="G2335" s="18">
        <v>23497.3</v>
      </c>
      <c r="H2335" t="s">
        <v>2</v>
      </c>
      <c r="I2335" t="s">
        <v>8</v>
      </c>
      <c r="J2335" s="18">
        <v>1962024.55</v>
      </c>
      <c r="K2335" t="s">
        <v>4387</v>
      </c>
      <c r="L2335" t="s">
        <v>4</v>
      </c>
      <c r="M2335" t="s">
        <v>5224</v>
      </c>
      <c r="N2335" t="s">
        <v>3</v>
      </c>
      <c r="O2335" t="s">
        <v>3</v>
      </c>
      <c r="P2335" t="s">
        <v>5</v>
      </c>
      <c r="Q2335" t="s">
        <v>5225</v>
      </c>
      <c r="R2335" t="s">
        <v>3</v>
      </c>
      <c r="S2335" t="s">
        <v>3</v>
      </c>
      <c r="T2335" t="s">
        <v>3</v>
      </c>
      <c r="U2335" t="s">
        <v>3</v>
      </c>
      <c r="V2335" t="s">
        <v>3</v>
      </c>
      <c r="W2335" t="s">
        <v>68</v>
      </c>
      <c r="X2335" s="17"/>
      <c r="Y2335" t="s">
        <v>3</v>
      </c>
      <c r="Z2335" s="17">
        <v>43780</v>
      </c>
      <c r="AA2335" t="s">
        <v>3</v>
      </c>
      <c r="AB2335" t="s">
        <v>5223</v>
      </c>
    </row>
    <row r="2336" spans="1:28" hidden="1">
      <c r="A2336" t="s">
        <v>5223</v>
      </c>
      <c r="B2336" s="17">
        <v>43780</v>
      </c>
      <c r="C2336" s="17">
        <v>43780</v>
      </c>
      <c r="D2336" t="s">
        <v>0</v>
      </c>
      <c r="E2336" t="s">
        <v>1</v>
      </c>
      <c r="F2336" s="18">
        <v>1189.1300000000001</v>
      </c>
      <c r="G2336" s="18">
        <v>1189.1300000000001</v>
      </c>
      <c r="H2336" t="s">
        <v>2</v>
      </c>
      <c r="I2336" t="s">
        <v>8</v>
      </c>
      <c r="J2336" s="18">
        <v>99292.36</v>
      </c>
      <c r="K2336" t="s">
        <v>5131</v>
      </c>
      <c r="L2336" t="s">
        <v>4</v>
      </c>
      <c r="M2336" t="s">
        <v>5224</v>
      </c>
      <c r="N2336" t="s">
        <v>3</v>
      </c>
      <c r="O2336" t="s">
        <v>3</v>
      </c>
      <c r="P2336" t="s">
        <v>5</v>
      </c>
      <c r="Q2336" t="s">
        <v>5225</v>
      </c>
      <c r="R2336" t="s">
        <v>3</v>
      </c>
      <c r="S2336" t="s">
        <v>3</v>
      </c>
      <c r="T2336" t="s">
        <v>3</v>
      </c>
      <c r="U2336" t="s">
        <v>3</v>
      </c>
      <c r="V2336" t="s">
        <v>3</v>
      </c>
      <c r="W2336" t="s">
        <v>68</v>
      </c>
      <c r="X2336" s="17"/>
      <c r="Y2336" t="s">
        <v>3</v>
      </c>
      <c r="Z2336" s="17">
        <v>43780</v>
      </c>
      <c r="AA2336" t="s">
        <v>3</v>
      </c>
      <c r="AB2336" t="s">
        <v>5223</v>
      </c>
    </row>
    <row r="2337" spans="1:28" hidden="1">
      <c r="A2337" t="s">
        <v>5223</v>
      </c>
      <c r="B2337" s="17">
        <v>43780</v>
      </c>
      <c r="C2337" s="17">
        <v>43780</v>
      </c>
      <c r="D2337" t="s">
        <v>0</v>
      </c>
      <c r="E2337" t="s">
        <v>1</v>
      </c>
      <c r="F2337" s="18">
        <v>3616.32</v>
      </c>
      <c r="G2337" s="18">
        <v>3616.32</v>
      </c>
      <c r="H2337" t="s">
        <v>2</v>
      </c>
      <c r="I2337" t="s">
        <v>8</v>
      </c>
      <c r="J2337" s="18">
        <v>303228.43</v>
      </c>
      <c r="K2337" t="s">
        <v>5195</v>
      </c>
      <c r="L2337" t="s">
        <v>4</v>
      </c>
      <c r="M2337" t="s">
        <v>5224</v>
      </c>
      <c r="N2337" t="s">
        <v>3</v>
      </c>
      <c r="O2337" t="s">
        <v>3</v>
      </c>
      <c r="P2337" t="s">
        <v>5</v>
      </c>
      <c r="Q2337" t="s">
        <v>5225</v>
      </c>
      <c r="R2337" t="s">
        <v>3</v>
      </c>
      <c r="S2337" t="s">
        <v>3</v>
      </c>
      <c r="T2337" t="s">
        <v>3</v>
      </c>
      <c r="U2337" t="s">
        <v>3</v>
      </c>
      <c r="V2337" t="s">
        <v>3</v>
      </c>
      <c r="W2337" t="s">
        <v>68</v>
      </c>
      <c r="X2337" s="17"/>
      <c r="Y2337" t="s">
        <v>3</v>
      </c>
      <c r="Z2337" s="17">
        <v>43780</v>
      </c>
      <c r="AA2337" t="s">
        <v>3</v>
      </c>
      <c r="AB2337" t="s">
        <v>5223</v>
      </c>
    </row>
    <row r="2338" spans="1:28" hidden="1">
      <c r="A2338" t="s">
        <v>5226</v>
      </c>
      <c r="B2338" s="17">
        <v>43780</v>
      </c>
      <c r="C2338" s="17">
        <v>43780</v>
      </c>
      <c r="D2338" t="s">
        <v>0</v>
      </c>
      <c r="E2338" t="s">
        <v>1</v>
      </c>
      <c r="F2338" s="18">
        <v>9846.68</v>
      </c>
      <c r="G2338" s="18">
        <v>9846.68</v>
      </c>
      <c r="H2338" t="s">
        <v>2</v>
      </c>
      <c r="I2338" t="s">
        <v>8</v>
      </c>
      <c r="J2338" s="18">
        <v>822197.78</v>
      </c>
      <c r="K2338" t="s">
        <v>4387</v>
      </c>
      <c r="L2338" t="s">
        <v>4</v>
      </c>
      <c r="M2338" t="s">
        <v>5227</v>
      </c>
      <c r="N2338" t="s">
        <v>3</v>
      </c>
      <c r="O2338" t="s">
        <v>3</v>
      </c>
      <c r="P2338" t="s">
        <v>5</v>
      </c>
      <c r="Q2338" t="s">
        <v>5228</v>
      </c>
      <c r="R2338" t="s">
        <v>3</v>
      </c>
      <c r="S2338" t="s">
        <v>3</v>
      </c>
      <c r="T2338" t="s">
        <v>3</v>
      </c>
      <c r="U2338" t="s">
        <v>3</v>
      </c>
      <c r="V2338" t="s">
        <v>3</v>
      </c>
      <c r="W2338" t="s">
        <v>68</v>
      </c>
      <c r="X2338" s="17"/>
      <c r="Y2338" t="s">
        <v>3</v>
      </c>
      <c r="Z2338" s="17">
        <v>43780</v>
      </c>
      <c r="AA2338" t="s">
        <v>3</v>
      </c>
      <c r="AB2338" t="s">
        <v>5226</v>
      </c>
    </row>
    <row r="2339" spans="1:28" hidden="1">
      <c r="A2339" t="s">
        <v>5226</v>
      </c>
      <c r="B2339" s="17">
        <v>43780</v>
      </c>
      <c r="C2339" s="17">
        <v>43780</v>
      </c>
      <c r="D2339" t="s">
        <v>0</v>
      </c>
      <c r="E2339" t="s">
        <v>1</v>
      </c>
      <c r="F2339" s="18">
        <v>9052.57</v>
      </c>
      <c r="G2339" s="18">
        <v>9052.57</v>
      </c>
      <c r="H2339" t="s">
        <v>2</v>
      </c>
      <c r="I2339" t="s">
        <v>8</v>
      </c>
      <c r="J2339" s="18">
        <v>755889.6</v>
      </c>
      <c r="K2339" t="s">
        <v>5131</v>
      </c>
      <c r="L2339" t="s">
        <v>4</v>
      </c>
      <c r="M2339" t="s">
        <v>5227</v>
      </c>
      <c r="N2339" t="s">
        <v>3</v>
      </c>
      <c r="O2339" t="s">
        <v>3</v>
      </c>
      <c r="P2339" t="s">
        <v>5</v>
      </c>
      <c r="Q2339" t="s">
        <v>5228</v>
      </c>
      <c r="R2339" t="s">
        <v>3</v>
      </c>
      <c r="S2339" t="s">
        <v>3</v>
      </c>
      <c r="T2339" t="s">
        <v>3</v>
      </c>
      <c r="U2339" t="s">
        <v>3</v>
      </c>
      <c r="V2339" t="s">
        <v>3</v>
      </c>
      <c r="W2339" t="s">
        <v>68</v>
      </c>
      <c r="X2339" s="17"/>
      <c r="Y2339" t="s">
        <v>3</v>
      </c>
      <c r="Z2339" s="17">
        <v>43780</v>
      </c>
      <c r="AA2339" t="s">
        <v>3</v>
      </c>
      <c r="AB2339" t="s">
        <v>5226</v>
      </c>
    </row>
    <row r="2340" spans="1:28" hidden="1">
      <c r="A2340" t="s">
        <v>5226</v>
      </c>
      <c r="B2340" s="17">
        <v>43780</v>
      </c>
      <c r="C2340" s="17">
        <v>43780</v>
      </c>
      <c r="D2340" t="s">
        <v>0</v>
      </c>
      <c r="E2340" t="s">
        <v>1</v>
      </c>
      <c r="F2340" s="18">
        <v>36851.79</v>
      </c>
      <c r="G2340" s="18">
        <v>36851.79</v>
      </c>
      <c r="H2340" t="s">
        <v>2</v>
      </c>
      <c r="I2340" t="s">
        <v>8</v>
      </c>
      <c r="J2340" s="18">
        <v>3090022.59</v>
      </c>
      <c r="K2340" t="s">
        <v>5195</v>
      </c>
      <c r="L2340" t="s">
        <v>4</v>
      </c>
      <c r="M2340" t="s">
        <v>5227</v>
      </c>
      <c r="N2340" t="s">
        <v>3</v>
      </c>
      <c r="O2340" t="s">
        <v>3</v>
      </c>
      <c r="P2340" t="s">
        <v>5</v>
      </c>
      <c r="Q2340" t="s">
        <v>5228</v>
      </c>
      <c r="R2340" t="s">
        <v>3</v>
      </c>
      <c r="S2340" t="s">
        <v>3</v>
      </c>
      <c r="T2340" t="s">
        <v>3</v>
      </c>
      <c r="U2340" t="s">
        <v>3</v>
      </c>
      <c r="V2340" t="s">
        <v>3</v>
      </c>
      <c r="W2340" t="s">
        <v>68</v>
      </c>
      <c r="X2340" s="17"/>
      <c r="Y2340" t="s">
        <v>3</v>
      </c>
      <c r="Z2340" s="17">
        <v>43780</v>
      </c>
      <c r="AA2340" t="s">
        <v>3</v>
      </c>
      <c r="AB2340" t="s">
        <v>5226</v>
      </c>
    </row>
    <row r="2341" spans="1:28" hidden="1">
      <c r="A2341" t="s">
        <v>5229</v>
      </c>
      <c r="B2341" s="17">
        <v>43780</v>
      </c>
      <c r="C2341" s="17">
        <v>43780</v>
      </c>
      <c r="D2341" t="s">
        <v>0</v>
      </c>
      <c r="E2341" t="s">
        <v>1</v>
      </c>
      <c r="F2341" s="18">
        <v>671.25</v>
      </c>
      <c r="G2341" s="18">
        <v>671.25</v>
      </c>
      <c r="H2341" t="s">
        <v>2</v>
      </c>
      <c r="I2341" t="s">
        <v>8</v>
      </c>
      <c r="J2341" s="18">
        <v>56049.38</v>
      </c>
      <c r="K2341" t="s">
        <v>4387</v>
      </c>
      <c r="L2341" t="s">
        <v>4</v>
      </c>
      <c r="M2341" t="s">
        <v>5230</v>
      </c>
      <c r="N2341" t="s">
        <v>3</v>
      </c>
      <c r="O2341" t="s">
        <v>3</v>
      </c>
      <c r="P2341" t="s">
        <v>5</v>
      </c>
      <c r="Q2341" t="s">
        <v>5231</v>
      </c>
      <c r="R2341" t="s">
        <v>3</v>
      </c>
      <c r="S2341" t="s">
        <v>3</v>
      </c>
      <c r="T2341" t="s">
        <v>3</v>
      </c>
      <c r="U2341" t="s">
        <v>3</v>
      </c>
      <c r="V2341" t="s">
        <v>3</v>
      </c>
      <c r="W2341" t="s">
        <v>68</v>
      </c>
      <c r="X2341" s="17"/>
      <c r="Y2341" t="s">
        <v>3</v>
      </c>
      <c r="Z2341" s="17">
        <v>43780</v>
      </c>
      <c r="AA2341" t="s">
        <v>3</v>
      </c>
      <c r="AB2341" t="s">
        <v>5229</v>
      </c>
    </row>
    <row r="2342" spans="1:28" hidden="1">
      <c r="A2342" t="s">
        <v>5229</v>
      </c>
      <c r="B2342" s="17">
        <v>43780</v>
      </c>
      <c r="C2342" s="17">
        <v>43780</v>
      </c>
      <c r="D2342" t="s">
        <v>0</v>
      </c>
      <c r="E2342" t="s">
        <v>1</v>
      </c>
      <c r="F2342" s="18">
        <v>1579.1</v>
      </c>
      <c r="G2342" s="18">
        <v>1579.1</v>
      </c>
      <c r="H2342" t="s">
        <v>2</v>
      </c>
      <c r="I2342" t="s">
        <v>8</v>
      </c>
      <c r="J2342" s="18">
        <v>131854.85</v>
      </c>
      <c r="K2342" t="s">
        <v>4882</v>
      </c>
      <c r="L2342" t="s">
        <v>4</v>
      </c>
      <c r="M2342" t="s">
        <v>5230</v>
      </c>
      <c r="N2342" t="s">
        <v>3</v>
      </c>
      <c r="O2342" t="s">
        <v>3</v>
      </c>
      <c r="P2342" t="s">
        <v>5</v>
      </c>
      <c r="Q2342" t="s">
        <v>5231</v>
      </c>
      <c r="R2342" t="s">
        <v>3</v>
      </c>
      <c r="S2342" t="s">
        <v>3</v>
      </c>
      <c r="T2342" t="s">
        <v>3</v>
      </c>
      <c r="U2342" t="s">
        <v>3</v>
      </c>
      <c r="V2342" t="s">
        <v>3</v>
      </c>
      <c r="W2342" t="s">
        <v>68</v>
      </c>
      <c r="X2342" s="17"/>
      <c r="Y2342" t="s">
        <v>3</v>
      </c>
      <c r="Z2342" s="17">
        <v>43780</v>
      </c>
      <c r="AA2342" t="s">
        <v>3</v>
      </c>
      <c r="AB2342" t="s">
        <v>5229</v>
      </c>
    </row>
    <row r="2343" spans="1:28" hidden="1">
      <c r="A2343" t="s">
        <v>5232</v>
      </c>
      <c r="B2343" s="17">
        <v>43782</v>
      </c>
      <c r="C2343" s="17">
        <v>43782</v>
      </c>
      <c r="D2343" t="s">
        <v>0</v>
      </c>
      <c r="E2343" t="s">
        <v>1</v>
      </c>
      <c r="F2343" s="18">
        <v>78991.5</v>
      </c>
      <c r="G2343" s="18">
        <v>78991.5</v>
      </c>
      <c r="H2343" t="s">
        <v>2</v>
      </c>
      <c r="I2343" t="s">
        <v>8</v>
      </c>
      <c r="J2343" s="18">
        <v>6595790.25</v>
      </c>
      <c r="K2343" t="s">
        <v>5131</v>
      </c>
      <c r="L2343" t="s">
        <v>4</v>
      </c>
      <c r="M2343" t="s">
        <v>5233</v>
      </c>
      <c r="N2343" t="s">
        <v>3</v>
      </c>
      <c r="O2343" t="s">
        <v>3</v>
      </c>
      <c r="P2343" t="s">
        <v>5</v>
      </c>
      <c r="Q2343" t="s">
        <v>5234</v>
      </c>
      <c r="R2343" t="s">
        <v>3</v>
      </c>
      <c r="S2343" t="s">
        <v>3</v>
      </c>
      <c r="T2343" t="s">
        <v>3</v>
      </c>
      <c r="U2343" t="s">
        <v>3</v>
      </c>
      <c r="V2343" t="s">
        <v>3</v>
      </c>
      <c r="W2343" t="s">
        <v>68</v>
      </c>
      <c r="X2343" s="17"/>
      <c r="Y2343" t="s">
        <v>3</v>
      </c>
      <c r="Z2343" s="17">
        <v>43782</v>
      </c>
      <c r="AA2343" t="s">
        <v>3</v>
      </c>
      <c r="AB2343" t="s">
        <v>5232</v>
      </c>
    </row>
    <row r="2344" spans="1:28" hidden="1">
      <c r="A2344" t="s">
        <v>5232</v>
      </c>
      <c r="B2344" s="17">
        <v>43782</v>
      </c>
      <c r="C2344" s="17">
        <v>43782</v>
      </c>
      <c r="D2344" t="s">
        <v>0</v>
      </c>
      <c r="E2344" t="s">
        <v>1</v>
      </c>
      <c r="F2344" s="18">
        <v>69440.28</v>
      </c>
      <c r="G2344" s="18">
        <v>69440.28</v>
      </c>
      <c r="H2344" t="s">
        <v>2</v>
      </c>
      <c r="I2344" t="s">
        <v>8</v>
      </c>
      <c r="J2344" s="18">
        <v>5822567.4800000004</v>
      </c>
      <c r="K2344" t="s">
        <v>5195</v>
      </c>
      <c r="L2344" t="s">
        <v>4</v>
      </c>
      <c r="M2344" t="s">
        <v>5233</v>
      </c>
      <c r="N2344" t="s">
        <v>3</v>
      </c>
      <c r="O2344" t="s">
        <v>3</v>
      </c>
      <c r="P2344" t="s">
        <v>5</v>
      </c>
      <c r="Q2344" t="s">
        <v>5234</v>
      </c>
      <c r="R2344" t="s">
        <v>3</v>
      </c>
      <c r="S2344" t="s">
        <v>3</v>
      </c>
      <c r="T2344" t="s">
        <v>3</v>
      </c>
      <c r="U2344" t="s">
        <v>3</v>
      </c>
      <c r="V2344" t="s">
        <v>3</v>
      </c>
      <c r="W2344" t="s">
        <v>68</v>
      </c>
      <c r="X2344" s="17"/>
      <c r="Y2344" t="s">
        <v>3</v>
      </c>
      <c r="Z2344" s="17">
        <v>43782</v>
      </c>
      <c r="AA2344" t="s">
        <v>3</v>
      </c>
      <c r="AB2344" t="s">
        <v>5232</v>
      </c>
    </row>
    <row r="2345" spans="1:28" hidden="1">
      <c r="A2345" t="s">
        <v>5235</v>
      </c>
      <c r="B2345" s="17">
        <v>43782</v>
      </c>
      <c r="C2345" s="17">
        <v>43782</v>
      </c>
      <c r="D2345" t="s">
        <v>0</v>
      </c>
      <c r="E2345" t="s">
        <v>1</v>
      </c>
      <c r="F2345" s="18">
        <v>21760</v>
      </c>
      <c r="G2345" s="18">
        <v>21760</v>
      </c>
      <c r="H2345" t="s">
        <v>2</v>
      </c>
      <c r="I2345" t="s">
        <v>8</v>
      </c>
      <c r="J2345" s="18">
        <v>1816960</v>
      </c>
      <c r="K2345" t="s">
        <v>4604</v>
      </c>
      <c r="L2345" t="s">
        <v>9</v>
      </c>
      <c r="M2345" t="s">
        <v>5236</v>
      </c>
      <c r="N2345" t="s">
        <v>3</v>
      </c>
      <c r="O2345" t="s">
        <v>3</v>
      </c>
      <c r="P2345" t="s">
        <v>5</v>
      </c>
      <c r="Q2345" t="s">
        <v>5237</v>
      </c>
      <c r="R2345" t="s">
        <v>3</v>
      </c>
      <c r="S2345" t="s">
        <v>3</v>
      </c>
      <c r="T2345" t="s">
        <v>3</v>
      </c>
      <c r="U2345" t="s">
        <v>3</v>
      </c>
      <c r="V2345" t="s">
        <v>3</v>
      </c>
      <c r="W2345" t="s">
        <v>68</v>
      </c>
      <c r="X2345" s="17"/>
      <c r="Y2345" t="s">
        <v>3</v>
      </c>
      <c r="Z2345" s="17">
        <v>43782</v>
      </c>
      <c r="AA2345" t="s">
        <v>3</v>
      </c>
      <c r="AB2345" t="s">
        <v>5235</v>
      </c>
    </row>
    <row r="2346" spans="1:28" hidden="1">
      <c r="A2346" t="s">
        <v>5235</v>
      </c>
      <c r="B2346" s="17">
        <v>43782</v>
      </c>
      <c r="C2346" s="17">
        <v>43782</v>
      </c>
      <c r="D2346" t="s">
        <v>0</v>
      </c>
      <c r="E2346" t="s">
        <v>1</v>
      </c>
      <c r="F2346" s="18">
        <v>92519</v>
      </c>
      <c r="G2346" s="18">
        <v>92519</v>
      </c>
      <c r="H2346" t="s">
        <v>2</v>
      </c>
      <c r="I2346" t="s">
        <v>8</v>
      </c>
      <c r="J2346" s="18">
        <v>7725336.5</v>
      </c>
      <c r="K2346" t="s">
        <v>5207</v>
      </c>
      <c r="L2346" t="s">
        <v>9</v>
      </c>
      <c r="M2346" t="s">
        <v>5236</v>
      </c>
      <c r="N2346" t="s">
        <v>3</v>
      </c>
      <c r="O2346" t="s">
        <v>3</v>
      </c>
      <c r="P2346" t="s">
        <v>5</v>
      </c>
      <c r="Q2346" t="s">
        <v>5237</v>
      </c>
      <c r="R2346" t="s">
        <v>3</v>
      </c>
      <c r="S2346" t="s">
        <v>3</v>
      </c>
      <c r="T2346" t="s">
        <v>3</v>
      </c>
      <c r="U2346" t="s">
        <v>3</v>
      </c>
      <c r="V2346" t="s">
        <v>3</v>
      </c>
      <c r="W2346" t="s">
        <v>68</v>
      </c>
      <c r="X2346" s="17"/>
      <c r="Y2346" t="s">
        <v>3</v>
      </c>
      <c r="Z2346" s="17">
        <v>43782</v>
      </c>
      <c r="AA2346" t="s">
        <v>3</v>
      </c>
      <c r="AB2346" t="s">
        <v>5235</v>
      </c>
    </row>
    <row r="2347" spans="1:28" hidden="1">
      <c r="A2347" t="s">
        <v>5235</v>
      </c>
      <c r="B2347" s="17">
        <v>43782</v>
      </c>
      <c r="C2347" s="17">
        <v>43782</v>
      </c>
      <c r="D2347" t="s">
        <v>0</v>
      </c>
      <c r="E2347" t="s">
        <v>1</v>
      </c>
      <c r="F2347" s="18">
        <v>5928</v>
      </c>
      <c r="G2347" s="18">
        <v>5928</v>
      </c>
      <c r="H2347" t="s">
        <v>2</v>
      </c>
      <c r="I2347" t="s">
        <v>8</v>
      </c>
      <c r="J2347" s="18">
        <v>494988</v>
      </c>
      <c r="K2347" t="s">
        <v>4886</v>
      </c>
      <c r="L2347" t="s">
        <v>9</v>
      </c>
      <c r="M2347" t="s">
        <v>5236</v>
      </c>
      <c r="N2347" t="s">
        <v>3</v>
      </c>
      <c r="O2347" t="s">
        <v>3</v>
      </c>
      <c r="P2347" t="s">
        <v>5</v>
      </c>
      <c r="Q2347" t="s">
        <v>5237</v>
      </c>
      <c r="R2347" t="s">
        <v>3</v>
      </c>
      <c r="S2347" t="s">
        <v>3</v>
      </c>
      <c r="T2347" t="s">
        <v>3</v>
      </c>
      <c r="U2347" t="s">
        <v>3</v>
      </c>
      <c r="V2347" t="s">
        <v>3</v>
      </c>
      <c r="W2347" t="s">
        <v>68</v>
      </c>
      <c r="X2347" s="17"/>
      <c r="Y2347" t="s">
        <v>3</v>
      </c>
      <c r="Z2347" s="17">
        <v>43782</v>
      </c>
      <c r="AA2347" t="s">
        <v>3</v>
      </c>
      <c r="AB2347" t="s">
        <v>5235</v>
      </c>
    </row>
    <row r="2348" spans="1:28" hidden="1">
      <c r="A2348" t="s">
        <v>5235</v>
      </c>
      <c r="B2348" s="17">
        <v>43782</v>
      </c>
      <c r="C2348" s="17">
        <v>43782</v>
      </c>
      <c r="D2348" t="s">
        <v>0</v>
      </c>
      <c r="E2348" t="s">
        <v>1</v>
      </c>
      <c r="F2348" s="18">
        <v>48789</v>
      </c>
      <c r="G2348" s="18">
        <v>48789</v>
      </c>
      <c r="H2348" t="s">
        <v>2</v>
      </c>
      <c r="I2348" t="s">
        <v>8</v>
      </c>
      <c r="J2348" s="18">
        <v>4073881.5</v>
      </c>
      <c r="K2348" t="s">
        <v>5031</v>
      </c>
      <c r="L2348" t="s">
        <v>9</v>
      </c>
      <c r="M2348" t="s">
        <v>5236</v>
      </c>
      <c r="N2348" t="s">
        <v>3</v>
      </c>
      <c r="O2348" t="s">
        <v>3</v>
      </c>
      <c r="P2348" t="s">
        <v>5</v>
      </c>
      <c r="Q2348" t="s">
        <v>5237</v>
      </c>
      <c r="R2348" t="s">
        <v>3</v>
      </c>
      <c r="S2348" t="s">
        <v>3</v>
      </c>
      <c r="T2348" t="s">
        <v>3</v>
      </c>
      <c r="U2348" t="s">
        <v>3</v>
      </c>
      <c r="V2348" t="s">
        <v>3</v>
      </c>
      <c r="W2348" t="s">
        <v>68</v>
      </c>
      <c r="X2348" s="17"/>
      <c r="Y2348" t="s">
        <v>3</v>
      </c>
      <c r="Z2348" s="17">
        <v>43782</v>
      </c>
      <c r="AA2348" t="s">
        <v>3</v>
      </c>
      <c r="AB2348" t="s">
        <v>5235</v>
      </c>
    </row>
    <row r="2349" spans="1:28" hidden="1">
      <c r="A2349" t="s">
        <v>5235</v>
      </c>
      <c r="B2349" s="17">
        <v>43782</v>
      </c>
      <c r="C2349" s="17">
        <v>43782</v>
      </c>
      <c r="D2349" t="s">
        <v>0</v>
      </c>
      <c r="E2349" t="s">
        <v>1</v>
      </c>
      <c r="F2349" s="18">
        <v>19928</v>
      </c>
      <c r="G2349" s="18">
        <v>19928</v>
      </c>
      <c r="H2349" t="s">
        <v>2</v>
      </c>
      <c r="I2349" t="s">
        <v>8</v>
      </c>
      <c r="J2349" s="18">
        <v>1663988</v>
      </c>
      <c r="K2349" t="s">
        <v>4736</v>
      </c>
      <c r="L2349" t="s">
        <v>9</v>
      </c>
      <c r="M2349" t="s">
        <v>5236</v>
      </c>
      <c r="N2349" t="s">
        <v>3</v>
      </c>
      <c r="O2349" t="s">
        <v>3</v>
      </c>
      <c r="P2349" t="s">
        <v>5</v>
      </c>
      <c r="Q2349" t="s">
        <v>5237</v>
      </c>
      <c r="R2349" t="s">
        <v>3</v>
      </c>
      <c r="S2349" t="s">
        <v>3</v>
      </c>
      <c r="T2349" t="s">
        <v>3</v>
      </c>
      <c r="U2349" t="s">
        <v>3</v>
      </c>
      <c r="V2349" t="s">
        <v>3</v>
      </c>
      <c r="W2349" t="s">
        <v>68</v>
      </c>
      <c r="X2349" s="17">
        <v>44012</v>
      </c>
      <c r="Y2349" t="s">
        <v>4137</v>
      </c>
      <c r="Z2349" s="17">
        <v>43782</v>
      </c>
      <c r="AA2349" t="s">
        <v>3</v>
      </c>
      <c r="AB2349" t="s">
        <v>5235</v>
      </c>
    </row>
    <row r="2350" spans="1:28" hidden="1">
      <c r="A2350" t="s">
        <v>5235</v>
      </c>
      <c r="B2350" s="17">
        <v>43782</v>
      </c>
      <c r="C2350" s="17">
        <v>43782</v>
      </c>
      <c r="D2350" t="s">
        <v>0</v>
      </c>
      <c r="E2350" t="s">
        <v>1</v>
      </c>
      <c r="F2350" s="18">
        <v>57459</v>
      </c>
      <c r="G2350" s="18">
        <v>57459</v>
      </c>
      <c r="H2350" t="s">
        <v>2</v>
      </c>
      <c r="I2350" t="s">
        <v>8</v>
      </c>
      <c r="J2350" s="18">
        <v>4797826.5</v>
      </c>
      <c r="K2350" t="s">
        <v>5150</v>
      </c>
      <c r="L2350" t="s">
        <v>9</v>
      </c>
      <c r="M2350" t="s">
        <v>5236</v>
      </c>
      <c r="N2350" t="s">
        <v>3</v>
      </c>
      <c r="O2350" t="s">
        <v>3</v>
      </c>
      <c r="P2350" t="s">
        <v>5</v>
      </c>
      <c r="Q2350" t="s">
        <v>5237</v>
      </c>
      <c r="R2350" t="s">
        <v>3</v>
      </c>
      <c r="S2350" t="s">
        <v>3</v>
      </c>
      <c r="T2350" t="s">
        <v>3</v>
      </c>
      <c r="U2350" t="s">
        <v>3</v>
      </c>
      <c r="V2350" t="s">
        <v>3</v>
      </c>
      <c r="W2350" t="s">
        <v>68</v>
      </c>
      <c r="X2350" s="17"/>
      <c r="Y2350" t="s">
        <v>3</v>
      </c>
      <c r="Z2350" s="17">
        <v>43782</v>
      </c>
      <c r="AA2350" t="s">
        <v>3</v>
      </c>
      <c r="AB2350" t="s">
        <v>5235</v>
      </c>
    </row>
    <row r="2351" spans="1:28" hidden="1">
      <c r="A2351" t="s">
        <v>5235</v>
      </c>
      <c r="B2351" s="17">
        <v>43782</v>
      </c>
      <c r="C2351" s="17">
        <v>43782</v>
      </c>
      <c r="D2351" t="s">
        <v>0</v>
      </c>
      <c r="E2351" t="s">
        <v>1</v>
      </c>
      <c r="F2351" s="18">
        <v>7895</v>
      </c>
      <c r="G2351" s="18">
        <v>7895</v>
      </c>
      <c r="H2351" t="s">
        <v>2</v>
      </c>
      <c r="I2351" t="s">
        <v>8</v>
      </c>
      <c r="J2351" s="18">
        <v>659232.5</v>
      </c>
      <c r="K2351" t="s">
        <v>5119</v>
      </c>
      <c r="L2351" t="s">
        <v>9</v>
      </c>
      <c r="M2351" t="s">
        <v>5236</v>
      </c>
      <c r="N2351" t="s">
        <v>3</v>
      </c>
      <c r="O2351" t="s">
        <v>3</v>
      </c>
      <c r="P2351" t="s">
        <v>5</v>
      </c>
      <c r="Q2351" t="s">
        <v>5237</v>
      </c>
      <c r="R2351" t="s">
        <v>3</v>
      </c>
      <c r="S2351" t="s">
        <v>3</v>
      </c>
      <c r="T2351" t="s">
        <v>3</v>
      </c>
      <c r="U2351" t="s">
        <v>3</v>
      </c>
      <c r="V2351" t="s">
        <v>3</v>
      </c>
      <c r="W2351" t="s">
        <v>68</v>
      </c>
      <c r="X2351" s="17"/>
      <c r="Y2351" t="s">
        <v>3</v>
      </c>
      <c r="Z2351" s="17">
        <v>43782</v>
      </c>
      <c r="AA2351" t="s">
        <v>3</v>
      </c>
      <c r="AB2351" t="s">
        <v>5235</v>
      </c>
    </row>
    <row r="2352" spans="1:28" hidden="1">
      <c r="A2352" t="s">
        <v>5238</v>
      </c>
      <c r="B2352" s="17">
        <v>43783</v>
      </c>
      <c r="C2352" s="17">
        <v>43783</v>
      </c>
      <c r="D2352" t="s">
        <v>0</v>
      </c>
      <c r="E2352" t="s">
        <v>1</v>
      </c>
      <c r="F2352" s="18">
        <v>90099</v>
      </c>
      <c r="G2352" s="18">
        <v>90099</v>
      </c>
      <c r="H2352" t="s">
        <v>2</v>
      </c>
      <c r="I2352" t="s">
        <v>8</v>
      </c>
      <c r="J2352" s="18">
        <v>7523266.5</v>
      </c>
      <c r="K2352" t="s">
        <v>5207</v>
      </c>
      <c r="L2352" t="s">
        <v>9</v>
      </c>
      <c r="M2352" t="s">
        <v>5239</v>
      </c>
      <c r="N2352" t="s">
        <v>3</v>
      </c>
      <c r="O2352" t="s">
        <v>3</v>
      </c>
      <c r="P2352" t="s">
        <v>5</v>
      </c>
      <c r="Q2352" t="s">
        <v>5240</v>
      </c>
      <c r="R2352" t="s">
        <v>3</v>
      </c>
      <c r="S2352" t="s">
        <v>3</v>
      </c>
      <c r="T2352" t="s">
        <v>3</v>
      </c>
      <c r="U2352" t="s">
        <v>3</v>
      </c>
      <c r="V2352" t="s">
        <v>3</v>
      </c>
      <c r="W2352" t="s">
        <v>68</v>
      </c>
      <c r="X2352" s="17"/>
      <c r="Y2352" t="s">
        <v>3</v>
      </c>
      <c r="Z2352" s="17">
        <v>43783</v>
      </c>
      <c r="AA2352" t="s">
        <v>3</v>
      </c>
      <c r="AB2352" t="s">
        <v>5238</v>
      </c>
    </row>
    <row r="2353" spans="1:28" hidden="1">
      <c r="A2353" t="s">
        <v>5238</v>
      </c>
      <c r="B2353" s="17">
        <v>43783</v>
      </c>
      <c r="C2353" s="17">
        <v>43783</v>
      </c>
      <c r="D2353" t="s">
        <v>0</v>
      </c>
      <c r="E2353" t="s">
        <v>1</v>
      </c>
      <c r="F2353" s="18">
        <v>2603</v>
      </c>
      <c r="G2353" s="18">
        <v>2603</v>
      </c>
      <c r="H2353" t="s">
        <v>2</v>
      </c>
      <c r="I2353" t="s">
        <v>8</v>
      </c>
      <c r="J2353" s="18">
        <v>217350.5</v>
      </c>
      <c r="K2353" t="s">
        <v>5031</v>
      </c>
      <c r="L2353" t="s">
        <v>9</v>
      </c>
      <c r="M2353" t="s">
        <v>5239</v>
      </c>
      <c r="N2353" t="s">
        <v>3</v>
      </c>
      <c r="O2353" t="s">
        <v>3</v>
      </c>
      <c r="P2353" t="s">
        <v>5</v>
      </c>
      <c r="Q2353" t="s">
        <v>5240</v>
      </c>
      <c r="R2353" t="s">
        <v>3</v>
      </c>
      <c r="S2353" t="s">
        <v>3</v>
      </c>
      <c r="T2353" t="s">
        <v>3</v>
      </c>
      <c r="U2353" t="s">
        <v>3</v>
      </c>
      <c r="V2353" t="s">
        <v>3</v>
      </c>
      <c r="W2353" t="s">
        <v>68</v>
      </c>
      <c r="X2353" s="17"/>
      <c r="Y2353" t="s">
        <v>3</v>
      </c>
      <c r="Z2353" s="17">
        <v>43783</v>
      </c>
      <c r="AA2353" t="s">
        <v>3</v>
      </c>
      <c r="AB2353" t="s">
        <v>5238</v>
      </c>
    </row>
    <row r="2354" spans="1:28" hidden="1">
      <c r="A2354" t="s">
        <v>5238</v>
      </c>
      <c r="B2354" s="17">
        <v>43783</v>
      </c>
      <c r="C2354" s="17">
        <v>43783</v>
      </c>
      <c r="D2354" t="s">
        <v>0</v>
      </c>
      <c r="E2354" t="s">
        <v>1</v>
      </c>
      <c r="F2354" s="18">
        <v>49094</v>
      </c>
      <c r="G2354" s="18">
        <v>49094</v>
      </c>
      <c r="H2354" t="s">
        <v>2</v>
      </c>
      <c r="I2354" t="s">
        <v>8</v>
      </c>
      <c r="J2354" s="18">
        <v>4099349</v>
      </c>
      <c r="K2354" t="s">
        <v>5150</v>
      </c>
      <c r="L2354" t="s">
        <v>9</v>
      </c>
      <c r="M2354" t="s">
        <v>5239</v>
      </c>
      <c r="N2354" t="s">
        <v>3</v>
      </c>
      <c r="O2354" t="s">
        <v>3</v>
      </c>
      <c r="P2354" t="s">
        <v>5</v>
      </c>
      <c r="Q2354" t="s">
        <v>5240</v>
      </c>
      <c r="R2354" t="s">
        <v>3</v>
      </c>
      <c r="S2354" t="s">
        <v>3</v>
      </c>
      <c r="T2354" t="s">
        <v>3</v>
      </c>
      <c r="U2354" t="s">
        <v>3</v>
      </c>
      <c r="V2354" t="s">
        <v>3</v>
      </c>
      <c r="W2354" t="s">
        <v>68</v>
      </c>
      <c r="X2354" s="17"/>
      <c r="Y2354" t="s">
        <v>3</v>
      </c>
      <c r="Z2354" s="17">
        <v>43783</v>
      </c>
      <c r="AA2354" t="s">
        <v>3</v>
      </c>
      <c r="AB2354" t="s">
        <v>5238</v>
      </c>
    </row>
    <row r="2355" spans="1:28" hidden="1">
      <c r="A2355" t="s">
        <v>4405</v>
      </c>
      <c r="B2355" s="17">
        <v>43787</v>
      </c>
      <c r="C2355" s="17">
        <v>43787</v>
      </c>
      <c r="D2355" t="s">
        <v>38</v>
      </c>
      <c r="E2355" t="s">
        <v>1</v>
      </c>
      <c r="F2355" s="18">
        <v>29291.53</v>
      </c>
      <c r="G2355" s="18">
        <v>29291.53</v>
      </c>
      <c r="H2355" t="s">
        <v>2</v>
      </c>
      <c r="I2355" t="s">
        <v>8</v>
      </c>
      <c r="J2355" s="18">
        <v>2456094.79</v>
      </c>
      <c r="K2355" t="s">
        <v>4406</v>
      </c>
      <c r="L2355" t="s">
        <v>9</v>
      </c>
      <c r="M2355" t="s">
        <v>4407</v>
      </c>
      <c r="N2355" t="s">
        <v>3</v>
      </c>
      <c r="O2355" t="s">
        <v>3</v>
      </c>
      <c r="P2355" t="s">
        <v>5</v>
      </c>
      <c r="Q2355" t="s">
        <v>4408</v>
      </c>
      <c r="R2355" t="s">
        <v>3</v>
      </c>
      <c r="S2355" t="s">
        <v>3</v>
      </c>
      <c r="T2355" t="s">
        <v>3</v>
      </c>
      <c r="U2355" t="s">
        <v>3</v>
      </c>
      <c r="V2355" t="s">
        <v>3</v>
      </c>
      <c r="W2355" t="s">
        <v>68</v>
      </c>
      <c r="X2355" s="17">
        <v>43787</v>
      </c>
      <c r="Y2355" t="s">
        <v>4405</v>
      </c>
      <c r="Z2355" s="17">
        <v>43787</v>
      </c>
      <c r="AA2355" t="s">
        <v>3</v>
      </c>
      <c r="AB2355" t="s">
        <v>4405</v>
      </c>
    </row>
    <row r="2356" spans="1:28" hidden="1">
      <c r="A2356" t="s">
        <v>5242</v>
      </c>
      <c r="B2356" s="17">
        <v>43787</v>
      </c>
      <c r="C2356" s="17">
        <v>43787</v>
      </c>
      <c r="D2356" t="s">
        <v>0</v>
      </c>
      <c r="E2356" t="s">
        <v>1</v>
      </c>
      <c r="F2356" s="18">
        <v>-29291.53</v>
      </c>
      <c r="G2356" s="18">
        <v>-29291.53</v>
      </c>
      <c r="H2356" t="s">
        <v>2</v>
      </c>
      <c r="I2356" t="s">
        <v>8</v>
      </c>
      <c r="J2356" s="18">
        <v>-2456094.79</v>
      </c>
      <c r="K2356" t="s">
        <v>4406</v>
      </c>
      <c r="L2356" t="s">
        <v>9</v>
      </c>
      <c r="M2356" t="s">
        <v>4407</v>
      </c>
      <c r="N2356" t="s">
        <v>3</v>
      </c>
      <c r="O2356" t="s">
        <v>3</v>
      </c>
      <c r="P2356" t="s">
        <v>5</v>
      </c>
      <c r="Q2356" t="s">
        <v>4408</v>
      </c>
      <c r="R2356" t="s">
        <v>3</v>
      </c>
      <c r="S2356" t="s">
        <v>3</v>
      </c>
      <c r="T2356" t="s">
        <v>3</v>
      </c>
      <c r="U2356" t="s">
        <v>3</v>
      </c>
      <c r="V2356" t="s">
        <v>3</v>
      </c>
      <c r="W2356" t="s">
        <v>68</v>
      </c>
      <c r="X2356" s="17">
        <v>43787</v>
      </c>
      <c r="Y2356" t="s">
        <v>4405</v>
      </c>
      <c r="Z2356" s="17">
        <v>43787</v>
      </c>
      <c r="AA2356" t="s">
        <v>3</v>
      </c>
      <c r="AB2356" t="s">
        <v>5242</v>
      </c>
    </row>
    <row r="2357" spans="1:28" hidden="1">
      <c r="A2357" t="s">
        <v>5243</v>
      </c>
      <c r="B2357" s="17">
        <v>43787</v>
      </c>
      <c r="C2357" s="17">
        <v>43787</v>
      </c>
      <c r="D2357" t="s">
        <v>0</v>
      </c>
      <c r="E2357" t="s">
        <v>1</v>
      </c>
      <c r="F2357" s="18">
        <v>-29317</v>
      </c>
      <c r="G2357" s="18">
        <v>-29317</v>
      </c>
      <c r="H2357" t="s">
        <v>2</v>
      </c>
      <c r="I2357" t="s">
        <v>8</v>
      </c>
      <c r="J2357" s="18">
        <v>-2458230.4500000002</v>
      </c>
      <c r="K2357" t="s">
        <v>4406</v>
      </c>
      <c r="L2357" t="s">
        <v>9</v>
      </c>
      <c r="M2357" t="s">
        <v>4407</v>
      </c>
      <c r="N2357" t="s">
        <v>3</v>
      </c>
      <c r="O2357" t="s">
        <v>3</v>
      </c>
      <c r="P2357" t="s">
        <v>5</v>
      </c>
      <c r="Q2357" t="s">
        <v>4408</v>
      </c>
      <c r="R2357" t="s">
        <v>3</v>
      </c>
      <c r="S2357" t="s">
        <v>3</v>
      </c>
      <c r="T2357" t="s">
        <v>3</v>
      </c>
      <c r="U2357" t="s">
        <v>3</v>
      </c>
      <c r="V2357" t="s">
        <v>3</v>
      </c>
      <c r="W2357" t="s">
        <v>68</v>
      </c>
      <c r="X2357" s="17">
        <v>43793</v>
      </c>
      <c r="Y2357" t="s">
        <v>5244</v>
      </c>
      <c r="Z2357" s="17">
        <v>43787</v>
      </c>
      <c r="AA2357" t="s">
        <v>3</v>
      </c>
      <c r="AB2357" t="s">
        <v>5243</v>
      </c>
    </row>
    <row r="2358" spans="1:28" hidden="1">
      <c r="A2358" t="s">
        <v>5245</v>
      </c>
      <c r="B2358" s="17">
        <v>43788</v>
      </c>
      <c r="C2358" s="17">
        <v>43788</v>
      </c>
      <c r="D2358" t="s">
        <v>0</v>
      </c>
      <c r="E2358" t="s">
        <v>1</v>
      </c>
      <c r="F2358" s="18">
        <v>14194.69</v>
      </c>
      <c r="G2358" s="18">
        <v>14194.69</v>
      </c>
      <c r="H2358" t="s">
        <v>2</v>
      </c>
      <c r="I2358" t="s">
        <v>8</v>
      </c>
      <c r="J2358" s="18">
        <v>1185256.6200000001</v>
      </c>
      <c r="K2358" t="s">
        <v>4387</v>
      </c>
      <c r="L2358" t="s">
        <v>4</v>
      </c>
      <c r="M2358" t="s">
        <v>5246</v>
      </c>
      <c r="N2358" t="s">
        <v>3</v>
      </c>
      <c r="O2358" t="s">
        <v>3</v>
      </c>
      <c r="P2358" t="s">
        <v>5</v>
      </c>
      <c r="Q2358" t="s">
        <v>5247</v>
      </c>
      <c r="R2358" t="s">
        <v>3</v>
      </c>
      <c r="S2358" t="s">
        <v>3</v>
      </c>
      <c r="T2358" t="s">
        <v>3</v>
      </c>
      <c r="U2358" t="s">
        <v>3</v>
      </c>
      <c r="V2358" t="s">
        <v>3</v>
      </c>
      <c r="W2358" t="s">
        <v>68</v>
      </c>
      <c r="X2358" s="17"/>
      <c r="Y2358" t="s">
        <v>3</v>
      </c>
      <c r="Z2358" s="17">
        <v>43788</v>
      </c>
      <c r="AA2358" t="s">
        <v>3</v>
      </c>
      <c r="AB2358" t="s">
        <v>5245</v>
      </c>
    </row>
    <row r="2359" spans="1:28" hidden="1">
      <c r="A2359" t="s">
        <v>5248</v>
      </c>
      <c r="B2359" s="17">
        <v>43789</v>
      </c>
      <c r="C2359" s="17">
        <v>43789</v>
      </c>
      <c r="D2359" t="s">
        <v>0</v>
      </c>
      <c r="E2359" t="s">
        <v>1</v>
      </c>
      <c r="F2359" s="18">
        <v>408</v>
      </c>
      <c r="G2359" s="18">
        <v>408</v>
      </c>
      <c r="H2359" t="s">
        <v>2</v>
      </c>
      <c r="I2359" t="s">
        <v>10</v>
      </c>
      <c r="J2359" s="18">
        <v>34068</v>
      </c>
      <c r="K2359" t="s">
        <v>4919</v>
      </c>
      <c r="L2359" t="s">
        <v>9</v>
      </c>
      <c r="M2359" t="s">
        <v>5249</v>
      </c>
      <c r="N2359" t="s">
        <v>3</v>
      </c>
      <c r="O2359" t="s">
        <v>3</v>
      </c>
      <c r="P2359" t="s">
        <v>5</v>
      </c>
      <c r="Q2359" t="s">
        <v>5250</v>
      </c>
      <c r="R2359" t="s">
        <v>3</v>
      </c>
      <c r="S2359" t="s">
        <v>3</v>
      </c>
      <c r="T2359" t="s">
        <v>3</v>
      </c>
      <c r="U2359" t="s">
        <v>3</v>
      </c>
      <c r="V2359" t="s">
        <v>3</v>
      </c>
      <c r="W2359" t="s">
        <v>68</v>
      </c>
      <c r="X2359" s="17"/>
      <c r="Y2359" t="s">
        <v>3</v>
      </c>
      <c r="Z2359" s="17">
        <v>43789</v>
      </c>
      <c r="AA2359" t="s">
        <v>3</v>
      </c>
      <c r="AB2359" t="s">
        <v>5248</v>
      </c>
    </row>
    <row r="2360" spans="1:28" hidden="1">
      <c r="A2360" t="s">
        <v>5251</v>
      </c>
      <c r="B2360" s="17">
        <v>43789</v>
      </c>
      <c r="C2360" s="17">
        <v>43789</v>
      </c>
      <c r="D2360" t="s">
        <v>0</v>
      </c>
      <c r="E2360" t="s">
        <v>1</v>
      </c>
      <c r="F2360" s="18">
        <v>5060.46</v>
      </c>
      <c r="G2360" s="18">
        <v>5060.46</v>
      </c>
      <c r="H2360" t="s">
        <v>2</v>
      </c>
      <c r="I2360" t="s">
        <v>10</v>
      </c>
      <c r="J2360" s="18">
        <v>424319.57</v>
      </c>
      <c r="K2360" t="s">
        <v>5185</v>
      </c>
      <c r="L2360" t="s">
        <v>4</v>
      </c>
      <c r="M2360" t="s">
        <v>5252</v>
      </c>
      <c r="N2360" t="s">
        <v>3</v>
      </c>
      <c r="O2360" t="s">
        <v>3</v>
      </c>
      <c r="P2360" t="s">
        <v>5</v>
      </c>
      <c r="Q2360" t="s">
        <v>5253</v>
      </c>
      <c r="R2360" t="s">
        <v>3</v>
      </c>
      <c r="S2360" t="s">
        <v>3</v>
      </c>
      <c r="T2360" t="s">
        <v>3</v>
      </c>
      <c r="U2360" t="s">
        <v>3</v>
      </c>
      <c r="V2360" t="s">
        <v>3</v>
      </c>
      <c r="W2360" t="s">
        <v>68</v>
      </c>
      <c r="X2360" s="17"/>
      <c r="Y2360" t="s">
        <v>3</v>
      </c>
      <c r="Z2360" s="17">
        <v>43789</v>
      </c>
      <c r="AA2360" t="s">
        <v>3</v>
      </c>
      <c r="AB2360" t="s">
        <v>5251</v>
      </c>
    </row>
    <row r="2361" spans="1:28" hidden="1">
      <c r="A2361" t="s">
        <v>5254</v>
      </c>
      <c r="B2361" s="17">
        <v>43789</v>
      </c>
      <c r="C2361" s="17">
        <v>43789</v>
      </c>
      <c r="D2361" t="s">
        <v>0</v>
      </c>
      <c r="E2361" t="s">
        <v>1</v>
      </c>
      <c r="F2361" s="18">
        <v>3642</v>
      </c>
      <c r="G2361" s="18">
        <v>3642</v>
      </c>
      <c r="H2361" t="s">
        <v>2</v>
      </c>
      <c r="I2361" t="s">
        <v>8</v>
      </c>
      <c r="J2361" s="18">
        <v>304107</v>
      </c>
      <c r="K2361" t="s">
        <v>5207</v>
      </c>
      <c r="L2361" t="s">
        <v>9</v>
      </c>
      <c r="M2361" t="s">
        <v>5255</v>
      </c>
      <c r="N2361" t="s">
        <v>3</v>
      </c>
      <c r="O2361" t="s">
        <v>3</v>
      </c>
      <c r="P2361" t="s">
        <v>5</v>
      </c>
      <c r="Q2361" t="s">
        <v>5256</v>
      </c>
      <c r="R2361" t="s">
        <v>3</v>
      </c>
      <c r="S2361" t="s">
        <v>3</v>
      </c>
      <c r="T2361" t="s">
        <v>3</v>
      </c>
      <c r="U2361" t="s">
        <v>3</v>
      </c>
      <c r="V2361" t="s">
        <v>3</v>
      </c>
      <c r="W2361" t="s">
        <v>68</v>
      </c>
      <c r="X2361" s="17"/>
      <c r="Y2361" t="s">
        <v>3</v>
      </c>
      <c r="Z2361" s="17">
        <v>43789</v>
      </c>
      <c r="AA2361" t="s">
        <v>3</v>
      </c>
      <c r="AB2361" t="s">
        <v>5254</v>
      </c>
    </row>
    <row r="2362" spans="1:28" hidden="1">
      <c r="A2362" t="s">
        <v>5254</v>
      </c>
      <c r="B2362" s="17">
        <v>43789</v>
      </c>
      <c r="C2362" s="17">
        <v>43789</v>
      </c>
      <c r="D2362" t="s">
        <v>0</v>
      </c>
      <c r="E2362" t="s">
        <v>1</v>
      </c>
      <c r="F2362" s="18">
        <v>2170</v>
      </c>
      <c r="G2362" s="18">
        <v>2170</v>
      </c>
      <c r="H2362" t="s">
        <v>2</v>
      </c>
      <c r="I2362" t="s">
        <v>8</v>
      </c>
      <c r="J2362" s="18">
        <v>181195</v>
      </c>
      <c r="K2362" t="s">
        <v>5031</v>
      </c>
      <c r="L2362" t="s">
        <v>9</v>
      </c>
      <c r="M2362" t="s">
        <v>5255</v>
      </c>
      <c r="N2362" t="s">
        <v>3</v>
      </c>
      <c r="O2362" t="s">
        <v>3</v>
      </c>
      <c r="P2362" t="s">
        <v>5</v>
      </c>
      <c r="Q2362" t="s">
        <v>5256</v>
      </c>
      <c r="R2362" t="s">
        <v>3</v>
      </c>
      <c r="S2362" t="s">
        <v>3</v>
      </c>
      <c r="T2362" t="s">
        <v>3</v>
      </c>
      <c r="U2362" t="s">
        <v>3</v>
      </c>
      <c r="V2362" t="s">
        <v>3</v>
      </c>
      <c r="W2362" t="s">
        <v>68</v>
      </c>
      <c r="X2362" s="17"/>
      <c r="Y2362" t="s">
        <v>3</v>
      </c>
      <c r="Z2362" s="17">
        <v>43789</v>
      </c>
      <c r="AA2362" t="s">
        <v>3</v>
      </c>
      <c r="AB2362" t="s">
        <v>5254</v>
      </c>
    </row>
    <row r="2363" spans="1:28" hidden="1">
      <c r="A2363" t="s">
        <v>5254</v>
      </c>
      <c r="B2363" s="17">
        <v>43789</v>
      </c>
      <c r="C2363" s="17">
        <v>43789</v>
      </c>
      <c r="D2363" t="s">
        <v>0</v>
      </c>
      <c r="E2363" t="s">
        <v>1</v>
      </c>
      <c r="F2363" s="18">
        <v>37</v>
      </c>
      <c r="G2363" s="18">
        <v>37</v>
      </c>
      <c r="H2363" t="s">
        <v>2</v>
      </c>
      <c r="I2363" t="s">
        <v>8</v>
      </c>
      <c r="J2363" s="18">
        <v>3089.5</v>
      </c>
      <c r="K2363" t="s">
        <v>5150</v>
      </c>
      <c r="L2363" t="s">
        <v>9</v>
      </c>
      <c r="M2363" t="s">
        <v>5255</v>
      </c>
      <c r="N2363" t="s">
        <v>3</v>
      </c>
      <c r="O2363" t="s">
        <v>3</v>
      </c>
      <c r="P2363" t="s">
        <v>5</v>
      </c>
      <c r="Q2363" t="s">
        <v>5256</v>
      </c>
      <c r="R2363" t="s">
        <v>3</v>
      </c>
      <c r="S2363" t="s">
        <v>3</v>
      </c>
      <c r="T2363" t="s">
        <v>3</v>
      </c>
      <c r="U2363" t="s">
        <v>3</v>
      </c>
      <c r="V2363" t="s">
        <v>3</v>
      </c>
      <c r="W2363" t="s">
        <v>68</v>
      </c>
      <c r="X2363" s="17"/>
      <c r="Y2363" t="s">
        <v>3</v>
      </c>
      <c r="Z2363" s="17">
        <v>43789</v>
      </c>
      <c r="AA2363" t="s">
        <v>3</v>
      </c>
      <c r="AB2363" t="s">
        <v>5254</v>
      </c>
    </row>
    <row r="2364" spans="1:28" hidden="1">
      <c r="A2364" t="s">
        <v>5257</v>
      </c>
      <c r="B2364" s="17">
        <v>43789</v>
      </c>
      <c r="C2364" s="17">
        <v>43789</v>
      </c>
      <c r="D2364" t="s">
        <v>0</v>
      </c>
      <c r="E2364" t="s">
        <v>1</v>
      </c>
      <c r="F2364" s="18">
        <v>14400.88</v>
      </c>
      <c r="G2364" s="18">
        <v>14400.88</v>
      </c>
      <c r="H2364" t="s">
        <v>2</v>
      </c>
      <c r="I2364" t="s">
        <v>8</v>
      </c>
      <c r="J2364" s="18">
        <v>1202473.48</v>
      </c>
      <c r="K2364" t="s">
        <v>4387</v>
      </c>
      <c r="L2364" t="s">
        <v>4</v>
      </c>
      <c r="M2364" t="s">
        <v>5255</v>
      </c>
      <c r="N2364" t="s">
        <v>3</v>
      </c>
      <c r="O2364" t="s">
        <v>3</v>
      </c>
      <c r="P2364" t="s">
        <v>5</v>
      </c>
      <c r="Q2364" t="s">
        <v>5256</v>
      </c>
      <c r="R2364" t="s">
        <v>3</v>
      </c>
      <c r="S2364" t="s">
        <v>3</v>
      </c>
      <c r="T2364" t="s">
        <v>3</v>
      </c>
      <c r="U2364" t="s">
        <v>3</v>
      </c>
      <c r="V2364" t="s">
        <v>3</v>
      </c>
      <c r="W2364" t="s">
        <v>68</v>
      </c>
      <c r="X2364" s="17"/>
      <c r="Y2364" t="s">
        <v>3</v>
      </c>
      <c r="Z2364" s="17">
        <v>43789</v>
      </c>
      <c r="AA2364" t="s">
        <v>3</v>
      </c>
      <c r="AB2364" t="s">
        <v>5257</v>
      </c>
    </row>
    <row r="2365" spans="1:28" hidden="1">
      <c r="A2365" t="s">
        <v>5257</v>
      </c>
      <c r="B2365" s="17">
        <v>43789</v>
      </c>
      <c r="C2365" s="17">
        <v>43789</v>
      </c>
      <c r="D2365" t="s">
        <v>0</v>
      </c>
      <c r="E2365" t="s">
        <v>1</v>
      </c>
      <c r="F2365" s="18">
        <v>909.29</v>
      </c>
      <c r="G2365" s="18">
        <v>909.29</v>
      </c>
      <c r="H2365" t="s">
        <v>2</v>
      </c>
      <c r="I2365" t="s">
        <v>8</v>
      </c>
      <c r="J2365" s="18">
        <v>75925.72</v>
      </c>
      <c r="K2365" t="s">
        <v>5131</v>
      </c>
      <c r="L2365" t="s">
        <v>4</v>
      </c>
      <c r="M2365" t="s">
        <v>5255</v>
      </c>
      <c r="N2365" t="s">
        <v>3</v>
      </c>
      <c r="O2365" t="s">
        <v>3</v>
      </c>
      <c r="P2365" t="s">
        <v>5</v>
      </c>
      <c r="Q2365" t="s">
        <v>5256</v>
      </c>
      <c r="R2365" t="s">
        <v>3</v>
      </c>
      <c r="S2365" t="s">
        <v>3</v>
      </c>
      <c r="T2365" t="s">
        <v>3</v>
      </c>
      <c r="U2365" t="s">
        <v>3</v>
      </c>
      <c r="V2365" t="s">
        <v>3</v>
      </c>
      <c r="W2365" t="s">
        <v>68</v>
      </c>
      <c r="X2365" s="17"/>
      <c r="Y2365" t="s">
        <v>3</v>
      </c>
      <c r="Z2365" s="17">
        <v>43789</v>
      </c>
      <c r="AA2365" t="s">
        <v>3</v>
      </c>
      <c r="AB2365" t="s">
        <v>5257</v>
      </c>
    </row>
    <row r="2366" spans="1:28" hidden="1">
      <c r="A2366" t="s">
        <v>5258</v>
      </c>
      <c r="B2366" s="17">
        <v>43790</v>
      </c>
      <c r="C2366" s="17">
        <v>43790</v>
      </c>
      <c r="D2366" t="s">
        <v>0</v>
      </c>
      <c r="E2366" t="s">
        <v>1</v>
      </c>
      <c r="F2366" s="18">
        <v>-233314.92</v>
      </c>
      <c r="G2366" s="18">
        <v>-233314.92</v>
      </c>
      <c r="H2366" t="s">
        <v>2</v>
      </c>
      <c r="I2366" t="s">
        <v>10</v>
      </c>
      <c r="J2366" s="18">
        <v>-19563456.039999999</v>
      </c>
      <c r="K2366" t="s">
        <v>5259</v>
      </c>
      <c r="L2366" t="s">
        <v>4</v>
      </c>
      <c r="M2366" t="s">
        <v>5260</v>
      </c>
      <c r="N2366" t="s">
        <v>3</v>
      </c>
      <c r="O2366" t="s">
        <v>3</v>
      </c>
      <c r="P2366" t="s">
        <v>5</v>
      </c>
      <c r="Q2366" t="s">
        <v>5261</v>
      </c>
      <c r="R2366" t="s">
        <v>3</v>
      </c>
      <c r="S2366" t="s">
        <v>3</v>
      </c>
      <c r="T2366" t="s">
        <v>3</v>
      </c>
      <c r="U2366" t="s">
        <v>3</v>
      </c>
      <c r="V2366" t="s">
        <v>3</v>
      </c>
      <c r="W2366" t="s">
        <v>68</v>
      </c>
      <c r="X2366" s="17"/>
      <c r="Y2366" t="s">
        <v>3</v>
      </c>
      <c r="Z2366" s="17">
        <v>43790</v>
      </c>
      <c r="AA2366" t="s">
        <v>3</v>
      </c>
      <c r="AB2366" t="s">
        <v>5258</v>
      </c>
    </row>
    <row r="2367" spans="1:28" hidden="1">
      <c r="A2367" t="s">
        <v>5262</v>
      </c>
      <c r="B2367" s="17">
        <v>43790</v>
      </c>
      <c r="C2367" s="17">
        <v>43790</v>
      </c>
      <c r="D2367" t="s">
        <v>0</v>
      </c>
      <c r="E2367" t="s">
        <v>1</v>
      </c>
      <c r="F2367" s="18">
        <v>-326847.86</v>
      </c>
      <c r="G2367" s="18">
        <v>-326847.86</v>
      </c>
      <c r="H2367" t="s">
        <v>2</v>
      </c>
      <c r="I2367" t="s">
        <v>8</v>
      </c>
      <c r="J2367" s="18">
        <v>-27406193.07</v>
      </c>
      <c r="K2367" t="s">
        <v>5263</v>
      </c>
      <c r="L2367" t="s">
        <v>4</v>
      </c>
      <c r="M2367" t="s">
        <v>5264</v>
      </c>
      <c r="N2367" t="s">
        <v>3</v>
      </c>
      <c r="O2367" t="s">
        <v>3</v>
      </c>
      <c r="P2367" t="s">
        <v>5</v>
      </c>
      <c r="Q2367" t="s">
        <v>5265</v>
      </c>
      <c r="R2367" t="s">
        <v>3</v>
      </c>
      <c r="S2367" t="s">
        <v>3</v>
      </c>
      <c r="T2367" t="s">
        <v>3</v>
      </c>
      <c r="U2367" t="s">
        <v>3</v>
      </c>
      <c r="V2367" t="s">
        <v>3</v>
      </c>
      <c r="W2367" t="s">
        <v>68</v>
      </c>
      <c r="X2367" s="17"/>
      <c r="Y2367" t="s">
        <v>3</v>
      </c>
      <c r="Z2367" s="17">
        <v>43790</v>
      </c>
      <c r="AA2367" t="s">
        <v>3</v>
      </c>
      <c r="AB2367" t="s">
        <v>5262</v>
      </c>
    </row>
    <row r="2368" spans="1:28" hidden="1">
      <c r="A2368" t="s">
        <v>5266</v>
      </c>
      <c r="B2368" s="17">
        <v>43793</v>
      </c>
      <c r="C2368" s="17">
        <v>43793</v>
      </c>
      <c r="D2368" t="s">
        <v>0</v>
      </c>
      <c r="E2368" t="s">
        <v>1</v>
      </c>
      <c r="F2368" s="18">
        <v>3478</v>
      </c>
      <c r="G2368" s="18">
        <v>3478</v>
      </c>
      <c r="H2368" t="s">
        <v>2</v>
      </c>
      <c r="I2368" t="s">
        <v>8</v>
      </c>
      <c r="J2368" s="18">
        <v>291630.3</v>
      </c>
      <c r="K2368" t="s">
        <v>5267</v>
      </c>
      <c r="L2368" t="s">
        <v>9</v>
      </c>
      <c r="M2368" t="s">
        <v>5268</v>
      </c>
      <c r="N2368" t="s">
        <v>3</v>
      </c>
      <c r="O2368" t="s">
        <v>3</v>
      </c>
      <c r="P2368" t="s">
        <v>5</v>
      </c>
      <c r="Q2368" t="s">
        <v>5269</v>
      </c>
      <c r="R2368" t="s">
        <v>3</v>
      </c>
      <c r="S2368" t="s">
        <v>3</v>
      </c>
      <c r="T2368" t="s">
        <v>3</v>
      </c>
      <c r="U2368" t="s">
        <v>3</v>
      </c>
      <c r="V2368" t="s">
        <v>3</v>
      </c>
      <c r="W2368" t="s">
        <v>68</v>
      </c>
      <c r="X2368" s="17"/>
      <c r="Y2368" t="s">
        <v>3</v>
      </c>
      <c r="Z2368" s="17">
        <v>43793</v>
      </c>
      <c r="AA2368" t="s">
        <v>3</v>
      </c>
      <c r="AB2368" t="s">
        <v>5266</v>
      </c>
    </row>
    <row r="2369" spans="1:28" hidden="1">
      <c r="A2369" t="s">
        <v>5244</v>
      </c>
      <c r="B2369" s="17">
        <v>43793</v>
      </c>
      <c r="C2369" s="17">
        <v>43793</v>
      </c>
      <c r="D2369" t="s">
        <v>0</v>
      </c>
      <c r="E2369" t="s">
        <v>1</v>
      </c>
      <c r="F2369" s="18">
        <v>73698</v>
      </c>
      <c r="G2369" s="18">
        <v>73698</v>
      </c>
      <c r="H2369" t="s">
        <v>2</v>
      </c>
      <c r="I2369" t="s">
        <v>8</v>
      </c>
      <c r="J2369" s="18">
        <v>6153783</v>
      </c>
      <c r="K2369" t="s">
        <v>5270</v>
      </c>
      <c r="L2369" t="s">
        <v>9</v>
      </c>
      <c r="M2369" t="s">
        <v>5271</v>
      </c>
      <c r="N2369" t="s">
        <v>3</v>
      </c>
      <c r="O2369" t="s">
        <v>3</v>
      </c>
      <c r="P2369" t="s">
        <v>5</v>
      </c>
      <c r="Q2369" t="s">
        <v>5272</v>
      </c>
      <c r="R2369" t="s">
        <v>3</v>
      </c>
      <c r="S2369" t="s">
        <v>3</v>
      </c>
      <c r="T2369" t="s">
        <v>3</v>
      </c>
      <c r="U2369" t="s">
        <v>3</v>
      </c>
      <c r="V2369" t="s">
        <v>3</v>
      </c>
      <c r="W2369" t="s">
        <v>68</v>
      </c>
      <c r="X2369" s="17"/>
      <c r="Y2369" t="s">
        <v>3</v>
      </c>
      <c r="Z2369" s="17">
        <v>43793</v>
      </c>
      <c r="AA2369" t="s">
        <v>3</v>
      </c>
      <c r="AB2369" t="s">
        <v>5244</v>
      </c>
    </row>
    <row r="2370" spans="1:28" hidden="1">
      <c r="A2370" t="s">
        <v>5244</v>
      </c>
      <c r="B2370" s="17">
        <v>43793</v>
      </c>
      <c r="C2370" s="17">
        <v>43793</v>
      </c>
      <c r="D2370" t="s">
        <v>0</v>
      </c>
      <c r="E2370" t="s">
        <v>1</v>
      </c>
      <c r="F2370" s="18">
        <v>13121</v>
      </c>
      <c r="G2370" s="18">
        <v>13121</v>
      </c>
      <c r="H2370" t="s">
        <v>2</v>
      </c>
      <c r="I2370" t="s">
        <v>8</v>
      </c>
      <c r="J2370" s="18">
        <v>1095603.5</v>
      </c>
      <c r="K2370" t="s">
        <v>5273</v>
      </c>
      <c r="L2370" t="s">
        <v>9</v>
      </c>
      <c r="M2370" t="s">
        <v>5271</v>
      </c>
      <c r="N2370" t="s">
        <v>3</v>
      </c>
      <c r="O2370" t="s">
        <v>3</v>
      </c>
      <c r="P2370" t="s">
        <v>5</v>
      </c>
      <c r="Q2370" t="s">
        <v>5272</v>
      </c>
      <c r="R2370" t="s">
        <v>3</v>
      </c>
      <c r="S2370" t="s">
        <v>3</v>
      </c>
      <c r="T2370" t="s">
        <v>3</v>
      </c>
      <c r="U2370" t="s">
        <v>3</v>
      </c>
      <c r="V2370" t="s">
        <v>3</v>
      </c>
      <c r="W2370" t="s">
        <v>68</v>
      </c>
      <c r="X2370" s="17"/>
      <c r="Y2370" t="s">
        <v>3</v>
      </c>
      <c r="Z2370" s="17">
        <v>43793</v>
      </c>
      <c r="AA2370" t="s">
        <v>3</v>
      </c>
      <c r="AB2370" t="s">
        <v>5244</v>
      </c>
    </row>
    <row r="2371" spans="1:28" hidden="1">
      <c r="A2371" t="s">
        <v>5244</v>
      </c>
      <c r="B2371" s="17">
        <v>43793</v>
      </c>
      <c r="C2371" s="17">
        <v>43793</v>
      </c>
      <c r="D2371" t="s">
        <v>0</v>
      </c>
      <c r="E2371" t="s">
        <v>1</v>
      </c>
      <c r="F2371" s="18">
        <v>23836</v>
      </c>
      <c r="G2371" s="18">
        <v>23836</v>
      </c>
      <c r="H2371" t="s">
        <v>2</v>
      </c>
      <c r="I2371" t="s">
        <v>8</v>
      </c>
      <c r="J2371" s="18">
        <v>1990306</v>
      </c>
      <c r="K2371" t="s">
        <v>5274</v>
      </c>
      <c r="L2371" t="s">
        <v>9</v>
      </c>
      <c r="M2371" t="s">
        <v>5271</v>
      </c>
      <c r="N2371" t="s">
        <v>3</v>
      </c>
      <c r="O2371" t="s">
        <v>3</v>
      </c>
      <c r="P2371" t="s">
        <v>5</v>
      </c>
      <c r="Q2371" t="s">
        <v>5272</v>
      </c>
      <c r="R2371" t="s">
        <v>3</v>
      </c>
      <c r="S2371" t="s">
        <v>3</v>
      </c>
      <c r="T2371" t="s">
        <v>3</v>
      </c>
      <c r="U2371" t="s">
        <v>3</v>
      </c>
      <c r="V2371" t="s">
        <v>3</v>
      </c>
      <c r="W2371" t="s">
        <v>68</v>
      </c>
      <c r="X2371" s="17"/>
      <c r="Y2371" t="s">
        <v>3</v>
      </c>
      <c r="Z2371" s="17">
        <v>43793</v>
      </c>
      <c r="AA2371" t="s">
        <v>3</v>
      </c>
      <c r="AB2371" t="s">
        <v>5244</v>
      </c>
    </row>
    <row r="2372" spans="1:28" hidden="1">
      <c r="A2372" t="s">
        <v>5244</v>
      </c>
      <c r="B2372" s="17">
        <v>43793</v>
      </c>
      <c r="C2372" s="17">
        <v>43793</v>
      </c>
      <c r="D2372" t="s">
        <v>0</v>
      </c>
      <c r="E2372" t="s">
        <v>1</v>
      </c>
      <c r="F2372" s="18">
        <v>7293</v>
      </c>
      <c r="G2372" s="18">
        <v>7293</v>
      </c>
      <c r="H2372" t="s">
        <v>2</v>
      </c>
      <c r="I2372" t="s">
        <v>8</v>
      </c>
      <c r="J2372" s="18">
        <v>611518.05000000005</v>
      </c>
      <c r="K2372" t="s">
        <v>5267</v>
      </c>
      <c r="L2372" t="s">
        <v>9</v>
      </c>
      <c r="M2372" t="s">
        <v>5271</v>
      </c>
      <c r="N2372" t="s">
        <v>3</v>
      </c>
      <c r="O2372" t="s">
        <v>3</v>
      </c>
      <c r="P2372" t="s">
        <v>5</v>
      </c>
      <c r="Q2372" t="s">
        <v>5272</v>
      </c>
      <c r="R2372" t="s">
        <v>3</v>
      </c>
      <c r="S2372" t="s">
        <v>3</v>
      </c>
      <c r="T2372" t="s">
        <v>3</v>
      </c>
      <c r="U2372" t="s">
        <v>3</v>
      </c>
      <c r="V2372" t="s">
        <v>3</v>
      </c>
      <c r="W2372" t="s">
        <v>68</v>
      </c>
      <c r="X2372" s="17"/>
      <c r="Y2372" t="s">
        <v>3</v>
      </c>
      <c r="Z2372" s="17">
        <v>43793</v>
      </c>
      <c r="AA2372" t="s">
        <v>3</v>
      </c>
      <c r="AB2372" t="s">
        <v>5244</v>
      </c>
    </row>
    <row r="2373" spans="1:28" hidden="1">
      <c r="A2373" t="s">
        <v>5244</v>
      </c>
      <c r="B2373" s="17">
        <v>43793</v>
      </c>
      <c r="C2373" s="17">
        <v>43793</v>
      </c>
      <c r="D2373" t="s">
        <v>0</v>
      </c>
      <c r="E2373" t="s">
        <v>1</v>
      </c>
      <c r="F2373" s="18">
        <v>2274</v>
      </c>
      <c r="G2373" s="18">
        <v>2274</v>
      </c>
      <c r="H2373" t="s">
        <v>2</v>
      </c>
      <c r="I2373" t="s">
        <v>8</v>
      </c>
      <c r="J2373" s="18">
        <v>189833.52</v>
      </c>
      <c r="K2373" t="s">
        <v>5275</v>
      </c>
      <c r="L2373" t="s">
        <v>9</v>
      </c>
      <c r="M2373" t="s">
        <v>5271</v>
      </c>
      <c r="N2373" t="s">
        <v>3</v>
      </c>
      <c r="O2373" t="s">
        <v>3</v>
      </c>
      <c r="P2373" t="s">
        <v>5</v>
      </c>
      <c r="Q2373" t="s">
        <v>5272</v>
      </c>
      <c r="R2373" t="s">
        <v>3</v>
      </c>
      <c r="S2373" t="s">
        <v>3</v>
      </c>
      <c r="T2373" t="s">
        <v>3</v>
      </c>
      <c r="U2373" t="s">
        <v>3</v>
      </c>
      <c r="V2373" t="s">
        <v>3</v>
      </c>
      <c r="W2373" t="s">
        <v>68</v>
      </c>
      <c r="X2373" s="17">
        <v>44012</v>
      </c>
      <c r="Y2373" t="s">
        <v>4137</v>
      </c>
      <c r="Z2373" s="17">
        <v>43793</v>
      </c>
      <c r="AA2373" t="s">
        <v>3</v>
      </c>
      <c r="AB2373" t="s">
        <v>5244</v>
      </c>
    </row>
    <row r="2374" spans="1:28" hidden="1">
      <c r="A2374" t="s">
        <v>5244</v>
      </c>
      <c r="B2374" s="17">
        <v>43793</v>
      </c>
      <c r="C2374" s="17">
        <v>43793</v>
      </c>
      <c r="D2374" t="s">
        <v>0</v>
      </c>
      <c r="E2374" t="s">
        <v>1</v>
      </c>
      <c r="F2374" s="18">
        <v>29317</v>
      </c>
      <c r="G2374" s="18">
        <v>29317</v>
      </c>
      <c r="H2374" t="s">
        <v>2</v>
      </c>
      <c r="I2374" t="s">
        <v>8</v>
      </c>
      <c r="J2374" s="18">
        <v>2458230.4500000002</v>
      </c>
      <c r="K2374" t="s">
        <v>5271</v>
      </c>
      <c r="L2374" t="s">
        <v>9</v>
      </c>
      <c r="M2374" t="s">
        <v>5271</v>
      </c>
      <c r="N2374" t="s">
        <v>3</v>
      </c>
      <c r="O2374" t="s">
        <v>3</v>
      </c>
      <c r="P2374" t="s">
        <v>5</v>
      </c>
      <c r="Q2374" t="s">
        <v>5272</v>
      </c>
      <c r="R2374" t="s">
        <v>3</v>
      </c>
      <c r="S2374" t="s">
        <v>3</v>
      </c>
      <c r="T2374" t="s">
        <v>3</v>
      </c>
      <c r="U2374" t="s">
        <v>3</v>
      </c>
      <c r="V2374" t="s">
        <v>3</v>
      </c>
      <c r="W2374" t="s">
        <v>68</v>
      </c>
      <c r="X2374" s="17">
        <v>43793</v>
      </c>
      <c r="Y2374" t="s">
        <v>5244</v>
      </c>
      <c r="Z2374" s="17">
        <v>43793</v>
      </c>
      <c r="AA2374" t="s">
        <v>3</v>
      </c>
      <c r="AB2374" t="s">
        <v>5244</v>
      </c>
    </row>
    <row r="2375" spans="1:28" hidden="1">
      <c r="A2375" t="s">
        <v>5276</v>
      </c>
      <c r="B2375" s="17">
        <v>43795</v>
      </c>
      <c r="C2375" s="17">
        <v>43795</v>
      </c>
      <c r="D2375" t="s">
        <v>0</v>
      </c>
      <c r="E2375" t="s">
        <v>1</v>
      </c>
      <c r="F2375" s="18">
        <v>20762.419999999998</v>
      </c>
      <c r="G2375" s="18">
        <v>20762.419999999998</v>
      </c>
      <c r="H2375" t="s">
        <v>2</v>
      </c>
      <c r="I2375" t="s">
        <v>8</v>
      </c>
      <c r="J2375" s="18">
        <v>1740928.92</v>
      </c>
      <c r="K2375" t="s">
        <v>5277</v>
      </c>
      <c r="L2375" t="s">
        <v>4</v>
      </c>
      <c r="M2375" t="s">
        <v>5278</v>
      </c>
      <c r="N2375" t="s">
        <v>3</v>
      </c>
      <c r="O2375" t="s">
        <v>3</v>
      </c>
      <c r="P2375" t="s">
        <v>5</v>
      </c>
      <c r="Q2375" t="s">
        <v>5279</v>
      </c>
      <c r="R2375" t="s">
        <v>3</v>
      </c>
      <c r="S2375" t="s">
        <v>3</v>
      </c>
      <c r="T2375" t="s">
        <v>3</v>
      </c>
      <c r="U2375" t="s">
        <v>3</v>
      </c>
      <c r="V2375" t="s">
        <v>3</v>
      </c>
      <c r="W2375" t="s">
        <v>68</v>
      </c>
      <c r="X2375" s="17"/>
      <c r="Y2375" t="s">
        <v>3</v>
      </c>
      <c r="Z2375" s="17">
        <v>43795</v>
      </c>
      <c r="AA2375" t="s">
        <v>3</v>
      </c>
      <c r="AB2375" t="s">
        <v>5276</v>
      </c>
    </row>
    <row r="2376" spans="1:28" hidden="1">
      <c r="A2376" t="s">
        <v>5276</v>
      </c>
      <c r="B2376" s="17">
        <v>43795</v>
      </c>
      <c r="C2376" s="17">
        <v>43795</v>
      </c>
      <c r="D2376" t="s">
        <v>0</v>
      </c>
      <c r="E2376" t="s">
        <v>1</v>
      </c>
      <c r="F2376" s="18">
        <v>21708.41</v>
      </c>
      <c r="G2376" s="18">
        <v>21708.41</v>
      </c>
      <c r="H2376" t="s">
        <v>2</v>
      </c>
      <c r="I2376" t="s">
        <v>8</v>
      </c>
      <c r="J2376" s="18">
        <v>1820250.18</v>
      </c>
      <c r="K2376" t="s">
        <v>5280</v>
      </c>
      <c r="L2376" t="s">
        <v>4</v>
      </c>
      <c r="M2376" t="s">
        <v>5278</v>
      </c>
      <c r="N2376" t="s">
        <v>3</v>
      </c>
      <c r="O2376" t="s">
        <v>3</v>
      </c>
      <c r="P2376" t="s">
        <v>5</v>
      </c>
      <c r="Q2376" t="s">
        <v>5279</v>
      </c>
      <c r="R2376" t="s">
        <v>3</v>
      </c>
      <c r="S2376" t="s">
        <v>3</v>
      </c>
      <c r="T2376" t="s">
        <v>3</v>
      </c>
      <c r="U2376" t="s">
        <v>3</v>
      </c>
      <c r="V2376" t="s">
        <v>3</v>
      </c>
      <c r="W2376" t="s">
        <v>68</v>
      </c>
      <c r="X2376" s="17"/>
      <c r="Y2376" t="s">
        <v>3</v>
      </c>
      <c r="Z2376" s="17">
        <v>43795</v>
      </c>
      <c r="AA2376" t="s">
        <v>3</v>
      </c>
      <c r="AB2376" t="s">
        <v>5276</v>
      </c>
    </row>
    <row r="2377" spans="1:28" hidden="1">
      <c r="A2377" t="s">
        <v>5281</v>
      </c>
      <c r="B2377" s="17">
        <v>43795</v>
      </c>
      <c r="C2377" s="17">
        <v>43795</v>
      </c>
      <c r="D2377" t="s">
        <v>0</v>
      </c>
      <c r="E2377" t="s">
        <v>1</v>
      </c>
      <c r="F2377" s="18">
        <v>33645.9</v>
      </c>
      <c r="G2377" s="18">
        <v>33645.9</v>
      </c>
      <c r="H2377" t="s">
        <v>2</v>
      </c>
      <c r="I2377" t="s">
        <v>10</v>
      </c>
      <c r="J2377" s="18">
        <v>2821208.71</v>
      </c>
      <c r="K2377" t="s">
        <v>5282</v>
      </c>
      <c r="L2377" t="s">
        <v>4</v>
      </c>
      <c r="M2377" t="s">
        <v>5283</v>
      </c>
      <c r="N2377" t="s">
        <v>3</v>
      </c>
      <c r="O2377" t="s">
        <v>3</v>
      </c>
      <c r="P2377" t="s">
        <v>5</v>
      </c>
      <c r="Q2377" t="s">
        <v>5284</v>
      </c>
      <c r="R2377" t="s">
        <v>3</v>
      </c>
      <c r="S2377" t="s">
        <v>3</v>
      </c>
      <c r="T2377" t="s">
        <v>3</v>
      </c>
      <c r="U2377" t="s">
        <v>3</v>
      </c>
      <c r="V2377" t="s">
        <v>3</v>
      </c>
      <c r="W2377" t="s">
        <v>68</v>
      </c>
      <c r="X2377" s="17"/>
      <c r="Y2377" t="s">
        <v>3</v>
      </c>
      <c r="Z2377" s="17">
        <v>43795</v>
      </c>
      <c r="AA2377" t="s">
        <v>3</v>
      </c>
      <c r="AB2377" t="s">
        <v>5281</v>
      </c>
    </row>
    <row r="2378" spans="1:28" hidden="1">
      <c r="A2378" t="s">
        <v>5281</v>
      </c>
      <c r="B2378" s="17">
        <v>43795</v>
      </c>
      <c r="C2378" s="17">
        <v>43795</v>
      </c>
      <c r="D2378" t="s">
        <v>0</v>
      </c>
      <c r="E2378" t="s">
        <v>1</v>
      </c>
      <c r="F2378" s="18">
        <v>8249.99</v>
      </c>
      <c r="G2378" s="18">
        <v>8249.99</v>
      </c>
      <c r="H2378" t="s">
        <v>2</v>
      </c>
      <c r="I2378" t="s">
        <v>10</v>
      </c>
      <c r="J2378" s="18">
        <v>688874.17</v>
      </c>
      <c r="K2378" t="s">
        <v>5285</v>
      </c>
      <c r="L2378" t="s">
        <v>4</v>
      </c>
      <c r="M2378" t="s">
        <v>5283</v>
      </c>
      <c r="N2378" t="s">
        <v>3</v>
      </c>
      <c r="O2378" t="s">
        <v>3</v>
      </c>
      <c r="P2378" t="s">
        <v>5</v>
      </c>
      <c r="Q2378" t="s">
        <v>5284</v>
      </c>
      <c r="R2378" t="s">
        <v>3</v>
      </c>
      <c r="S2378" t="s">
        <v>3</v>
      </c>
      <c r="T2378" t="s">
        <v>3</v>
      </c>
      <c r="U2378" t="s">
        <v>3</v>
      </c>
      <c r="V2378" t="s">
        <v>3</v>
      </c>
      <c r="W2378" t="s">
        <v>68</v>
      </c>
      <c r="X2378" s="17"/>
      <c r="Y2378" t="s">
        <v>3</v>
      </c>
      <c r="Z2378" s="17">
        <v>43795</v>
      </c>
      <c r="AA2378" t="s">
        <v>3</v>
      </c>
      <c r="AB2378" t="s">
        <v>5281</v>
      </c>
    </row>
    <row r="2379" spans="1:28" hidden="1">
      <c r="A2379" t="s">
        <v>5281</v>
      </c>
      <c r="B2379" s="17">
        <v>43795</v>
      </c>
      <c r="C2379" s="17">
        <v>43795</v>
      </c>
      <c r="D2379" t="s">
        <v>0</v>
      </c>
      <c r="E2379" t="s">
        <v>1</v>
      </c>
      <c r="F2379" s="18">
        <v>5816.32</v>
      </c>
      <c r="G2379" s="18">
        <v>5816.32</v>
      </c>
      <c r="H2379" t="s">
        <v>2</v>
      </c>
      <c r="I2379" t="s">
        <v>10</v>
      </c>
      <c r="J2379" s="18">
        <v>487698.43</v>
      </c>
      <c r="K2379" t="s">
        <v>5286</v>
      </c>
      <c r="L2379" t="s">
        <v>4</v>
      </c>
      <c r="M2379" t="s">
        <v>5283</v>
      </c>
      <c r="N2379" t="s">
        <v>3</v>
      </c>
      <c r="O2379" t="s">
        <v>3</v>
      </c>
      <c r="P2379" t="s">
        <v>5</v>
      </c>
      <c r="Q2379" t="s">
        <v>5284</v>
      </c>
      <c r="R2379" t="s">
        <v>3</v>
      </c>
      <c r="S2379" t="s">
        <v>3</v>
      </c>
      <c r="T2379" t="s">
        <v>3</v>
      </c>
      <c r="U2379" t="s">
        <v>3</v>
      </c>
      <c r="V2379" t="s">
        <v>3</v>
      </c>
      <c r="W2379" t="s">
        <v>68</v>
      </c>
      <c r="X2379" s="17"/>
      <c r="Y2379" t="s">
        <v>3</v>
      </c>
      <c r="Z2379" s="17">
        <v>43795</v>
      </c>
      <c r="AA2379" t="s">
        <v>3</v>
      </c>
      <c r="AB2379" t="s">
        <v>5281</v>
      </c>
    </row>
    <row r="2380" spans="1:28" hidden="1">
      <c r="A2380" t="s">
        <v>5348</v>
      </c>
      <c r="B2380" s="17">
        <v>43799</v>
      </c>
      <c r="C2380" s="17">
        <v>43799</v>
      </c>
      <c r="D2380" t="s">
        <v>0</v>
      </c>
      <c r="E2380" t="s">
        <v>1</v>
      </c>
      <c r="F2380" s="18">
        <v>-1179923</v>
      </c>
      <c r="G2380" s="18">
        <v>-1179923</v>
      </c>
      <c r="H2380" t="s">
        <v>2</v>
      </c>
      <c r="I2380" t="s">
        <v>8</v>
      </c>
      <c r="J2380" s="18">
        <v>-98499972.040000007</v>
      </c>
      <c r="K2380" t="s">
        <v>4425</v>
      </c>
      <c r="L2380" t="s">
        <v>2332</v>
      </c>
      <c r="M2380" t="s">
        <v>4426</v>
      </c>
      <c r="N2380" t="s">
        <v>3</v>
      </c>
      <c r="O2380" t="s">
        <v>3</v>
      </c>
      <c r="P2380" t="s">
        <v>5</v>
      </c>
      <c r="Q2380" t="s">
        <v>4427</v>
      </c>
      <c r="R2380" t="s">
        <v>3</v>
      </c>
      <c r="S2380" t="s">
        <v>3</v>
      </c>
      <c r="T2380" t="s">
        <v>3</v>
      </c>
      <c r="U2380" t="s">
        <v>3</v>
      </c>
      <c r="V2380" t="s">
        <v>3</v>
      </c>
      <c r="W2380" t="s">
        <v>68</v>
      </c>
      <c r="X2380" s="17">
        <v>43800</v>
      </c>
      <c r="Y2380" t="s">
        <v>4424</v>
      </c>
      <c r="Z2380" s="17">
        <v>43799</v>
      </c>
      <c r="AA2380" t="s">
        <v>3</v>
      </c>
      <c r="AB2380" t="s">
        <v>5348</v>
      </c>
    </row>
    <row r="2381" spans="1:28" hidden="1">
      <c r="A2381" t="s">
        <v>5360</v>
      </c>
      <c r="B2381" s="17">
        <v>43799</v>
      </c>
      <c r="C2381" s="17">
        <v>43799</v>
      </c>
      <c r="D2381" t="s">
        <v>0</v>
      </c>
      <c r="E2381" t="s">
        <v>1</v>
      </c>
      <c r="F2381" s="18">
        <v>-512702.07</v>
      </c>
      <c r="G2381" s="18">
        <v>-512702.07</v>
      </c>
      <c r="H2381" t="s">
        <v>2</v>
      </c>
      <c r="I2381" t="s">
        <v>8</v>
      </c>
      <c r="J2381" s="18">
        <v>-43041338.780000001</v>
      </c>
      <c r="K2381" t="s">
        <v>4429</v>
      </c>
      <c r="L2381" t="s">
        <v>4</v>
      </c>
      <c r="M2381" t="s">
        <v>4430</v>
      </c>
      <c r="N2381" t="s">
        <v>3</v>
      </c>
      <c r="O2381" t="s">
        <v>3</v>
      </c>
      <c r="P2381" t="s">
        <v>5</v>
      </c>
      <c r="Q2381" t="s">
        <v>4429</v>
      </c>
      <c r="R2381" t="s">
        <v>3</v>
      </c>
      <c r="S2381" t="s">
        <v>3</v>
      </c>
      <c r="T2381" t="s">
        <v>3</v>
      </c>
      <c r="U2381" t="s">
        <v>3</v>
      </c>
      <c r="V2381" t="s">
        <v>3</v>
      </c>
      <c r="W2381" t="s">
        <v>68</v>
      </c>
      <c r="X2381" s="17">
        <v>43800</v>
      </c>
      <c r="Y2381" t="s">
        <v>4428</v>
      </c>
      <c r="Z2381" s="17">
        <v>43769</v>
      </c>
      <c r="AA2381" t="s">
        <v>3</v>
      </c>
      <c r="AB2381" t="s">
        <v>5360</v>
      </c>
    </row>
    <row r="2382" spans="1:28" hidden="1">
      <c r="A2382" t="s">
        <v>5360</v>
      </c>
      <c r="B2382" s="17">
        <v>43799</v>
      </c>
      <c r="C2382" s="17">
        <v>43799</v>
      </c>
      <c r="D2382" t="s">
        <v>0</v>
      </c>
      <c r="E2382" t="s">
        <v>1</v>
      </c>
      <c r="F2382" s="18">
        <v>328693.5</v>
      </c>
      <c r="G2382" s="18">
        <v>328693.5</v>
      </c>
      <c r="H2382" t="s">
        <v>2</v>
      </c>
      <c r="I2382" t="s">
        <v>8</v>
      </c>
      <c r="J2382" s="18">
        <v>27593819.329999998</v>
      </c>
      <c r="K2382" t="s">
        <v>4429</v>
      </c>
      <c r="L2382" t="s">
        <v>4</v>
      </c>
      <c r="M2382" t="s">
        <v>4430</v>
      </c>
      <c r="N2382" t="s">
        <v>3</v>
      </c>
      <c r="O2382" t="s">
        <v>3</v>
      </c>
      <c r="P2382" t="s">
        <v>5</v>
      </c>
      <c r="Q2382" t="s">
        <v>4429</v>
      </c>
      <c r="R2382" t="s">
        <v>3</v>
      </c>
      <c r="S2382" t="s">
        <v>3</v>
      </c>
      <c r="T2382" t="s">
        <v>3</v>
      </c>
      <c r="U2382" t="s">
        <v>3</v>
      </c>
      <c r="V2382" t="s">
        <v>3</v>
      </c>
      <c r="W2382" t="s">
        <v>68</v>
      </c>
      <c r="X2382" s="17">
        <v>43800</v>
      </c>
      <c r="Y2382" t="s">
        <v>4428</v>
      </c>
      <c r="Z2382" s="17">
        <v>43799</v>
      </c>
      <c r="AA2382" t="s">
        <v>3</v>
      </c>
      <c r="AB2382" t="s">
        <v>5360</v>
      </c>
    </row>
    <row r="2383" spans="1:28" hidden="1">
      <c r="A2383" t="s">
        <v>4424</v>
      </c>
      <c r="B2383" s="17">
        <v>43800</v>
      </c>
      <c r="C2383" s="17">
        <v>43799</v>
      </c>
      <c r="D2383" t="s">
        <v>38</v>
      </c>
      <c r="E2383" t="s">
        <v>1</v>
      </c>
      <c r="F2383" s="18">
        <v>1179923</v>
      </c>
      <c r="G2383" s="18">
        <v>1179923</v>
      </c>
      <c r="H2383" t="s">
        <v>2</v>
      </c>
      <c r="I2383" t="s">
        <v>8</v>
      </c>
      <c r="J2383" s="18">
        <v>98499972.040000007</v>
      </c>
      <c r="K2383" t="s">
        <v>4425</v>
      </c>
      <c r="L2383" t="s">
        <v>2332</v>
      </c>
      <c r="M2383" t="s">
        <v>4426</v>
      </c>
      <c r="N2383" t="s">
        <v>3</v>
      </c>
      <c r="O2383" t="s">
        <v>3</v>
      </c>
      <c r="P2383" t="s">
        <v>5</v>
      </c>
      <c r="Q2383" t="s">
        <v>4427</v>
      </c>
      <c r="R2383" t="s">
        <v>3</v>
      </c>
      <c r="S2383" t="s">
        <v>3</v>
      </c>
      <c r="T2383" t="s">
        <v>3</v>
      </c>
      <c r="U2383" t="s">
        <v>3</v>
      </c>
      <c r="V2383" t="s">
        <v>3</v>
      </c>
      <c r="W2383" t="s">
        <v>68</v>
      </c>
      <c r="X2383" s="17">
        <v>43800</v>
      </c>
      <c r="Y2383" t="s">
        <v>4424</v>
      </c>
      <c r="Z2383" s="17">
        <v>43799</v>
      </c>
      <c r="AA2383" t="s">
        <v>3</v>
      </c>
      <c r="AB2383" t="s">
        <v>4424</v>
      </c>
    </row>
    <row r="2384" spans="1:28" hidden="1">
      <c r="A2384" t="s">
        <v>4428</v>
      </c>
      <c r="B2384" s="17">
        <v>43800</v>
      </c>
      <c r="C2384" s="17">
        <v>43799</v>
      </c>
      <c r="D2384" t="s">
        <v>38</v>
      </c>
      <c r="E2384" t="s">
        <v>1</v>
      </c>
      <c r="F2384" s="18">
        <v>512702.07</v>
      </c>
      <c r="G2384" s="18">
        <v>512702.07</v>
      </c>
      <c r="H2384" t="s">
        <v>2</v>
      </c>
      <c r="I2384" t="s">
        <v>8</v>
      </c>
      <c r="J2384" s="18">
        <v>43041338.780000001</v>
      </c>
      <c r="K2384" t="s">
        <v>4429</v>
      </c>
      <c r="L2384" t="s">
        <v>4</v>
      </c>
      <c r="M2384" t="s">
        <v>4430</v>
      </c>
      <c r="N2384" t="s">
        <v>3</v>
      </c>
      <c r="O2384" t="s">
        <v>3</v>
      </c>
      <c r="P2384" t="s">
        <v>5</v>
      </c>
      <c r="Q2384" t="s">
        <v>4429</v>
      </c>
      <c r="R2384" t="s">
        <v>3</v>
      </c>
      <c r="S2384" t="s">
        <v>3</v>
      </c>
      <c r="T2384" t="s">
        <v>3</v>
      </c>
      <c r="U2384" t="s">
        <v>3</v>
      </c>
      <c r="V2384" t="s">
        <v>3</v>
      </c>
      <c r="W2384" t="s">
        <v>68</v>
      </c>
      <c r="X2384" s="17">
        <v>43800</v>
      </c>
      <c r="Y2384" t="s">
        <v>4428</v>
      </c>
      <c r="Z2384" s="17">
        <v>43769</v>
      </c>
      <c r="AA2384" t="s">
        <v>3</v>
      </c>
      <c r="AB2384" t="s">
        <v>4428</v>
      </c>
    </row>
    <row r="2385" spans="1:28" hidden="1">
      <c r="A2385" t="s">
        <v>4428</v>
      </c>
      <c r="B2385" s="17">
        <v>43800</v>
      </c>
      <c r="C2385" s="17">
        <v>43799</v>
      </c>
      <c r="D2385" t="s">
        <v>38</v>
      </c>
      <c r="E2385" t="s">
        <v>1</v>
      </c>
      <c r="F2385" s="18">
        <v>-328693.5</v>
      </c>
      <c r="G2385" s="18">
        <v>-328693.5</v>
      </c>
      <c r="H2385" t="s">
        <v>2</v>
      </c>
      <c r="I2385" t="s">
        <v>8</v>
      </c>
      <c r="J2385" s="18">
        <v>-27593819.329999998</v>
      </c>
      <c r="K2385" t="s">
        <v>4429</v>
      </c>
      <c r="L2385" t="s">
        <v>4</v>
      </c>
      <c r="M2385" t="s">
        <v>4430</v>
      </c>
      <c r="N2385" t="s">
        <v>3</v>
      </c>
      <c r="O2385" t="s">
        <v>3</v>
      </c>
      <c r="P2385" t="s">
        <v>5</v>
      </c>
      <c r="Q2385" t="s">
        <v>4429</v>
      </c>
      <c r="R2385" t="s">
        <v>3</v>
      </c>
      <c r="S2385" t="s">
        <v>3</v>
      </c>
      <c r="T2385" t="s">
        <v>3</v>
      </c>
      <c r="U2385" t="s">
        <v>3</v>
      </c>
      <c r="V2385" t="s">
        <v>3</v>
      </c>
      <c r="W2385" t="s">
        <v>68</v>
      </c>
      <c r="X2385" s="17">
        <v>43800</v>
      </c>
      <c r="Y2385" t="s">
        <v>4428</v>
      </c>
      <c r="Z2385" s="17">
        <v>43799</v>
      </c>
      <c r="AA2385" t="s">
        <v>3</v>
      </c>
      <c r="AB2385" t="s">
        <v>4428</v>
      </c>
    </row>
    <row r="2386" spans="1:28" hidden="1">
      <c r="A2386" t="s">
        <v>5287</v>
      </c>
      <c r="B2386" s="17">
        <v>43800</v>
      </c>
      <c r="C2386" s="17">
        <v>43800</v>
      </c>
      <c r="D2386" t="s">
        <v>0</v>
      </c>
      <c r="E2386" t="s">
        <v>1</v>
      </c>
      <c r="F2386" s="18">
        <v>12954.58</v>
      </c>
      <c r="G2386" s="18">
        <v>12954.58</v>
      </c>
      <c r="H2386" t="s">
        <v>2</v>
      </c>
      <c r="I2386" t="s">
        <v>8</v>
      </c>
      <c r="J2386" s="18">
        <v>1081707.43</v>
      </c>
      <c r="K2386" t="s">
        <v>5288</v>
      </c>
      <c r="L2386" t="s">
        <v>4</v>
      </c>
      <c r="M2386" t="s">
        <v>5289</v>
      </c>
      <c r="N2386" t="s">
        <v>3</v>
      </c>
      <c r="O2386" t="s">
        <v>3</v>
      </c>
      <c r="P2386" t="s">
        <v>5</v>
      </c>
      <c r="Q2386" t="s">
        <v>5290</v>
      </c>
      <c r="R2386" t="s">
        <v>3</v>
      </c>
      <c r="S2386" t="s">
        <v>3</v>
      </c>
      <c r="T2386" t="s">
        <v>3</v>
      </c>
      <c r="U2386" t="s">
        <v>3</v>
      </c>
      <c r="V2386" t="s">
        <v>3</v>
      </c>
      <c r="W2386" t="s">
        <v>68</v>
      </c>
      <c r="X2386" s="17"/>
      <c r="Y2386" t="s">
        <v>3</v>
      </c>
      <c r="Z2386" s="17">
        <v>43800</v>
      </c>
      <c r="AA2386" t="s">
        <v>3</v>
      </c>
      <c r="AB2386" t="s">
        <v>5287</v>
      </c>
    </row>
    <row r="2387" spans="1:28" hidden="1">
      <c r="A2387" t="s">
        <v>5287</v>
      </c>
      <c r="B2387" s="17">
        <v>43800</v>
      </c>
      <c r="C2387" s="17">
        <v>43800</v>
      </c>
      <c r="D2387" t="s">
        <v>0</v>
      </c>
      <c r="E2387" t="s">
        <v>1</v>
      </c>
      <c r="F2387" s="18">
        <v>11036.41</v>
      </c>
      <c r="G2387" s="18">
        <v>11036.41</v>
      </c>
      <c r="H2387" t="s">
        <v>2</v>
      </c>
      <c r="I2387" t="s">
        <v>8</v>
      </c>
      <c r="J2387" s="18">
        <v>921540.24</v>
      </c>
      <c r="K2387" t="s">
        <v>5291</v>
      </c>
      <c r="L2387" t="s">
        <v>4</v>
      </c>
      <c r="M2387" t="s">
        <v>5289</v>
      </c>
      <c r="N2387" t="s">
        <v>3</v>
      </c>
      <c r="O2387" t="s">
        <v>3</v>
      </c>
      <c r="P2387" t="s">
        <v>5</v>
      </c>
      <c r="Q2387" t="s">
        <v>5290</v>
      </c>
      <c r="R2387" t="s">
        <v>3</v>
      </c>
      <c r="S2387" t="s">
        <v>3</v>
      </c>
      <c r="T2387" t="s">
        <v>3</v>
      </c>
      <c r="U2387" t="s">
        <v>3</v>
      </c>
      <c r="V2387" t="s">
        <v>3</v>
      </c>
      <c r="W2387" t="s">
        <v>68</v>
      </c>
      <c r="X2387" s="17"/>
      <c r="Y2387" t="s">
        <v>3</v>
      </c>
      <c r="Z2387" s="17">
        <v>43800</v>
      </c>
      <c r="AA2387" t="s">
        <v>3</v>
      </c>
      <c r="AB2387" t="s">
        <v>5287</v>
      </c>
    </row>
    <row r="2388" spans="1:28" hidden="1">
      <c r="A2388" t="s">
        <v>5287</v>
      </c>
      <c r="B2388" s="17">
        <v>43800</v>
      </c>
      <c r="C2388" s="17">
        <v>43800</v>
      </c>
      <c r="D2388" t="s">
        <v>0</v>
      </c>
      <c r="E2388" t="s">
        <v>1</v>
      </c>
      <c r="F2388" s="18">
        <v>9829.98</v>
      </c>
      <c r="G2388" s="18">
        <v>9829.98</v>
      </c>
      <c r="H2388" t="s">
        <v>2</v>
      </c>
      <c r="I2388" t="s">
        <v>8</v>
      </c>
      <c r="J2388" s="18">
        <v>824243.82</v>
      </c>
      <c r="K2388" t="s">
        <v>5277</v>
      </c>
      <c r="L2388" t="s">
        <v>4</v>
      </c>
      <c r="M2388" t="s">
        <v>5289</v>
      </c>
      <c r="N2388" t="s">
        <v>3</v>
      </c>
      <c r="O2388" t="s">
        <v>3</v>
      </c>
      <c r="P2388" t="s">
        <v>5</v>
      </c>
      <c r="Q2388" t="s">
        <v>5290</v>
      </c>
      <c r="R2388" t="s">
        <v>3</v>
      </c>
      <c r="S2388" t="s">
        <v>3</v>
      </c>
      <c r="T2388" t="s">
        <v>3</v>
      </c>
      <c r="U2388" t="s">
        <v>3</v>
      </c>
      <c r="V2388" t="s">
        <v>3</v>
      </c>
      <c r="W2388" t="s">
        <v>68</v>
      </c>
      <c r="X2388" s="17"/>
      <c r="Y2388" t="s">
        <v>3</v>
      </c>
      <c r="Z2388" s="17">
        <v>43800</v>
      </c>
      <c r="AA2388" t="s">
        <v>3</v>
      </c>
      <c r="AB2388" t="s">
        <v>5287</v>
      </c>
    </row>
    <row r="2389" spans="1:28" hidden="1">
      <c r="A2389" t="s">
        <v>5287</v>
      </c>
      <c r="B2389" s="17">
        <v>43800</v>
      </c>
      <c r="C2389" s="17">
        <v>43800</v>
      </c>
      <c r="D2389" t="s">
        <v>0</v>
      </c>
      <c r="E2389" t="s">
        <v>1</v>
      </c>
      <c r="F2389" s="18">
        <v>38509.410000000003</v>
      </c>
      <c r="G2389" s="18">
        <v>38509.410000000003</v>
      </c>
      <c r="H2389" t="s">
        <v>2</v>
      </c>
      <c r="I2389" t="s">
        <v>8</v>
      </c>
      <c r="J2389" s="18">
        <v>3229014.03</v>
      </c>
      <c r="K2389" t="s">
        <v>5280</v>
      </c>
      <c r="L2389" t="s">
        <v>4</v>
      </c>
      <c r="M2389" t="s">
        <v>5289</v>
      </c>
      <c r="N2389" t="s">
        <v>3</v>
      </c>
      <c r="O2389" t="s">
        <v>3</v>
      </c>
      <c r="P2389" t="s">
        <v>5</v>
      </c>
      <c r="Q2389" t="s">
        <v>5290</v>
      </c>
      <c r="R2389" t="s">
        <v>3</v>
      </c>
      <c r="S2389" t="s">
        <v>3</v>
      </c>
      <c r="T2389" t="s">
        <v>3</v>
      </c>
      <c r="U2389" t="s">
        <v>3</v>
      </c>
      <c r="V2389" t="s">
        <v>3</v>
      </c>
      <c r="W2389" t="s">
        <v>68</v>
      </c>
      <c r="X2389" s="17"/>
      <c r="Y2389" t="s">
        <v>3</v>
      </c>
      <c r="Z2389" s="17">
        <v>43800</v>
      </c>
      <c r="AA2389" t="s">
        <v>3</v>
      </c>
      <c r="AB2389" t="s">
        <v>5287</v>
      </c>
    </row>
    <row r="2390" spans="1:28" hidden="1">
      <c r="A2390" t="s">
        <v>5292</v>
      </c>
      <c r="B2390" s="17">
        <v>43800</v>
      </c>
      <c r="C2390" s="17">
        <v>43800</v>
      </c>
      <c r="D2390" t="s">
        <v>0</v>
      </c>
      <c r="E2390" t="s">
        <v>1</v>
      </c>
      <c r="F2390" s="18">
        <v>-218703.01</v>
      </c>
      <c r="G2390" s="18">
        <v>-218703.01</v>
      </c>
      <c r="H2390" t="s">
        <v>2</v>
      </c>
      <c r="I2390" t="s">
        <v>10</v>
      </c>
      <c r="J2390" s="18">
        <v>-18360117.699999999</v>
      </c>
      <c r="K2390" t="s">
        <v>5293</v>
      </c>
      <c r="L2390" t="s">
        <v>4</v>
      </c>
      <c r="M2390" t="s">
        <v>5294</v>
      </c>
      <c r="N2390" t="s">
        <v>3</v>
      </c>
      <c r="O2390" t="s">
        <v>3</v>
      </c>
      <c r="P2390" t="s">
        <v>5</v>
      </c>
      <c r="Q2390" t="s">
        <v>5295</v>
      </c>
      <c r="R2390" t="s">
        <v>3</v>
      </c>
      <c r="S2390" t="s">
        <v>3</v>
      </c>
      <c r="T2390" t="s">
        <v>3</v>
      </c>
      <c r="U2390" t="s">
        <v>3</v>
      </c>
      <c r="V2390" t="s">
        <v>3</v>
      </c>
      <c r="W2390" t="s">
        <v>68</v>
      </c>
      <c r="X2390" s="17"/>
      <c r="Y2390" t="s">
        <v>3</v>
      </c>
      <c r="Z2390" s="17">
        <v>43800</v>
      </c>
      <c r="AA2390" t="s">
        <v>3</v>
      </c>
      <c r="AB2390" t="s">
        <v>5292</v>
      </c>
    </row>
    <row r="2391" spans="1:28" hidden="1">
      <c r="A2391" t="s">
        <v>5296</v>
      </c>
      <c r="B2391" s="17">
        <v>43800</v>
      </c>
      <c r="C2391" s="17">
        <v>43800</v>
      </c>
      <c r="D2391" t="s">
        <v>0</v>
      </c>
      <c r="E2391" t="s">
        <v>1</v>
      </c>
      <c r="F2391" s="18">
        <v>18522.07</v>
      </c>
      <c r="G2391" s="18">
        <v>18522.07</v>
      </c>
      <c r="H2391" t="s">
        <v>2</v>
      </c>
      <c r="I2391" t="s">
        <v>10</v>
      </c>
      <c r="J2391" s="18">
        <v>1553075.57</v>
      </c>
      <c r="K2391" t="s">
        <v>5282</v>
      </c>
      <c r="L2391" t="s">
        <v>4</v>
      </c>
      <c r="M2391" t="s">
        <v>5297</v>
      </c>
      <c r="N2391" t="s">
        <v>3</v>
      </c>
      <c r="O2391" t="s">
        <v>3</v>
      </c>
      <c r="P2391" t="s">
        <v>5</v>
      </c>
      <c r="Q2391" t="s">
        <v>5298</v>
      </c>
      <c r="R2391" t="s">
        <v>3</v>
      </c>
      <c r="S2391" t="s">
        <v>3</v>
      </c>
      <c r="T2391" t="s">
        <v>3</v>
      </c>
      <c r="U2391" t="s">
        <v>3</v>
      </c>
      <c r="V2391" t="s">
        <v>3</v>
      </c>
      <c r="W2391" t="s">
        <v>68</v>
      </c>
      <c r="X2391" s="17"/>
      <c r="Y2391" t="s">
        <v>3</v>
      </c>
      <c r="Z2391" s="17">
        <v>43800</v>
      </c>
      <c r="AA2391" t="s">
        <v>3</v>
      </c>
      <c r="AB2391" t="s">
        <v>5296</v>
      </c>
    </row>
    <row r="2392" spans="1:28" hidden="1">
      <c r="A2392" t="s">
        <v>5296</v>
      </c>
      <c r="B2392" s="17">
        <v>43800</v>
      </c>
      <c r="C2392" s="17">
        <v>43800</v>
      </c>
      <c r="D2392" t="s">
        <v>0</v>
      </c>
      <c r="E2392" t="s">
        <v>1</v>
      </c>
      <c r="F2392" s="18">
        <v>16585.7</v>
      </c>
      <c r="G2392" s="18">
        <v>16585.7</v>
      </c>
      <c r="H2392" t="s">
        <v>2</v>
      </c>
      <c r="I2392" t="s">
        <v>10</v>
      </c>
      <c r="J2392" s="18">
        <v>1384905.95</v>
      </c>
      <c r="K2392" t="s">
        <v>5285</v>
      </c>
      <c r="L2392" t="s">
        <v>4</v>
      </c>
      <c r="M2392" t="s">
        <v>5297</v>
      </c>
      <c r="N2392" t="s">
        <v>3</v>
      </c>
      <c r="O2392" t="s">
        <v>3</v>
      </c>
      <c r="P2392" t="s">
        <v>5</v>
      </c>
      <c r="Q2392" t="s">
        <v>5298</v>
      </c>
      <c r="R2392" t="s">
        <v>3</v>
      </c>
      <c r="S2392" t="s">
        <v>3</v>
      </c>
      <c r="T2392" t="s">
        <v>3</v>
      </c>
      <c r="U2392" t="s">
        <v>3</v>
      </c>
      <c r="V2392" t="s">
        <v>3</v>
      </c>
      <c r="W2392" t="s">
        <v>68</v>
      </c>
      <c r="X2392" s="17"/>
      <c r="Y2392" t="s">
        <v>3</v>
      </c>
      <c r="Z2392" s="17">
        <v>43800</v>
      </c>
      <c r="AA2392" t="s">
        <v>3</v>
      </c>
      <c r="AB2392" t="s">
        <v>5296</v>
      </c>
    </row>
    <row r="2393" spans="1:28" hidden="1">
      <c r="A2393" t="s">
        <v>5296</v>
      </c>
      <c r="B2393" s="17">
        <v>43800</v>
      </c>
      <c r="C2393" s="17">
        <v>43800</v>
      </c>
      <c r="D2393" t="s">
        <v>0</v>
      </c>
      <c r="E2393" t="s">
        <v>1</v>
      </c>
      <c r="F2393" s="18">
        <v>27941.69</v>
      </c>
      <c r="G2393" s="18">
        <v>27941.69</v>
      </c>
      <c r="H2393" t="s">
        <v>2</v>
      </c>
      <c r="I2393" t="s">
        <v>10</v>
      </c>
      <c r="J2393" s="18">
        <v>2342910.71</v>
      </c>
      <c r="K2393" t="s">
        <v>5285</v>
      </c>
      <c r="L2393" t="s">
        <v>4</v>
      </c>
      <c r="M2393" t="s">
        <v>5297</v>
      </c>
      <c r="N2393" t="s">
        <v>3</v>
      </c>
      <c r="O2393" t="s">
        <v>3</v>
      </c>
      <c r="P2393" t="s">
        <v>5</v>
      </c>
      <c r="Q2393" t="s">
        <v>5298</v>
      </c>
      <c r="R2393" t="s">
        <v>3</v>
      </c>
      <c r="S2393" t="s">
        <v>3</v>
      </c>
      <c r="T2393" t="s">
        <v>3</v>
      </c>
      <c r="U2393" t="s">
        <v>3</v>
      </c>
      <c r="V2393" t="s">
        <v>3</v>
      </c>
      <c r="W2393" t="s">
        <v>68</v>
      </c>
      <c r="X2393" s="17"/>
      <c r="Y2393" t="s">
        <v>3</v>
      </c>
      <c r="Z2393" s="17">
        <v>43800</v>
      </c>
      <c r="AA2393" t="s">
        <v>3</v>
      </c>
      <c r="AB2393" t="s">
        <v>5296</v>
      </c>
    </row>
    <row r="2394" spans="1:28" hidden="1">
      <c r="A2394" t="s">
        <v>5299</v>
      </c>
      <c r="B2394" s="17">
        <v>43800</v>
      </c>
      <c r="C2394" s="17">
        <v>43800</v>
      </c>
      <c r="D2394" t="s">
        <v>0</v>
      </c>
      <c r="E2394" t="s">
        <v>1</v>
      </c>
      <c r="F2394" s="18">
        <v>1946</v>
      </c>
      <c r="G2394" s="18">
        <v>1946</v>
      </c>
      <c r="H2394" t="s">
        <v>2</v>
      </c>
      <c r="I2394" t="s">
        <v>10</v>
      </c>
      <c r="J2394" s="18">
        <v>162491</v>
      </c>
      <c r="K2394" t="s">
        <v>5300</v>
      </c>
      <c r="L2394" t="s">
        <v>4</v>
      </c>
      <c r="M2394" t="s">
        <v>5301</v>
      </c>
      <c r="N2394" t="s">
        <v>3</v>
      </c>
      <c r="O2394" t="s">
        <v>3</v>
      </c>
      <c r="P2394" t="s">
        <v>5</v>
      </c>
      <c r="Q2394" t="s">
        <v>5302</v>
      </c>
      <c r="R2394" t="s">
        <v>3</v>
      </c>
      <c r="S2394" t="s">
        <v>3</v>
      </c>
      <c r="T2394" t="s">
        <v>3</v>
      </c>
      <c r="U2394" t="s">
        <v>3</v>
      </c>
      <c r="V2394" t="s">
        <v>3</v>
      </c>
      <c r="W2394" t="s">
        <v>68</v>
      </c>
      <c r="X2394" s="17"/>
      <c r="Y2394" t="s">
        <v>3</v>
      </c>
      <c r="Z2394" s="17">
        <v>43800</v>
      </c>
      <c r="AA2394" t="s">
        <v>3</v>
      </c>
      <c r="AB2394" t="s">
        <v>5299</v>
      </c>
    </row>
    <row r="2395" spans="1:28" hidden="1">
      <c r="A2395" t="s">
        <v>5299</v>
      </c>
      <c r="B2395" s="17">
        <v>43800</v>
      </c>
      <c r="C2395" s="17">
        <v>43800</v>
      </c>
      <c r="D2395" t="s">
        <v>0</v>
      </c>
      <c r="E2395" t="s">
        <v>1</v>
      </c>
      <c r="F2395" s="18">
        <v>11981</v>
      </c>
      <c r="G2395" s="18">
        <v>11981</v>
      </c>
      <c r="H2395" t="s">
        <v>2</v>
      </c>
      <c r="I2395" t="s">
        <v>10</v>
      </c>
      <c r="J2395" s="18">
        <v>1004606.85</v>
      </c>
      <c r="K2395" t="s">
        <v>5282</v>
      </c>
      <c r="L2395" t="s">
        <v>4</v>
      </c>
      <c r="M2395" t="s">
        <v>5301</v>
      </c>
      <c r="N2395" t="s">
        <v>3</v>
      </c>
      <c r="O2395" t="s">
        <v>3</v>
      </c>
      <c r="P2395" t="s">
        <v>5</v>
      </c>
      <c r="Q2395" t="s">
        <v>5302</v>
      </c>
      <c r="R2395" t="s">
        <v>3</v>
      </c>
      <c r="S2395" t="s">
        <v>3</v>
      </c>
      <c r="T2395" t="s">
        <v>3</v>
      </c>
      <c r="U2395" t="s">
        <v>3</v>
      </c>
      <c r="V2395" t="s">
        <v>3</v>
      </c>
      <c r="W2395" t="s">
        <v>68</v>
      </c>
      <c r="X2395" s="17"/>
      <c r="Y2395" t="s">
        <v>3</v>
      </c>
      <c r="Z2395" s="17">
        <v>43800</v>
      </c>
      <c r="AA2395" t="s">
        <v>3</v>
      </c>
      <c r="AB2395" t="s">
        <v>5299</v>
      </c>
    </row>
    <row r="2396" spans="1:28" hidden="1">
      <c r="A2396" t="s">
        <v>5299</v>
      </c>
      <c r="B2396" s="17">
        <v>43800</v>
      </c>
      <c r="C2396" s="17">
        <v>43800</v>
      </c>
      <c r="D2396" t="s">
        <v>0</v>
      </c>
      <c r="E2396" t="s">
        <v>1</v>
      </c>
      <c r="F2396" s="18">
        <v>73172.41</v>
      </c>
      <c r="G2396" s="18">
        <v>73172.41</v>
      </c>
      <c r="H2396" t="s">
        <v>2</v>
      </c>
      <c r="I2396" t="s">
        <v>10</v>
      </c>
      <c r="J2396" s="18">
        <v>6109896.2400000002</v>
      </c>
      <c r="K2396" t="s">
        <v>5285</v>
      </c>
      <c r="L2396" t="s">
        <v>4</v>
      </c>
      <c r="M2396" t="s">
        <v>5301</v>
      </c>
      <c r="N2396" t="s">
        <v>3</v>
      </c>
      <c r="O2396" t="s">
        <v>3</v>
      </c>
      <c r="P2396" t="s">
        <v>5</v>
      </c>
      <c r="Q2396" t="s">
        <v>5302</v>
      </c>
      <c r="R2396" t="s">
        <v>3</v>
      </c>
      <c r="S2396" t="s">
        <v>3</v>
      </c>
      <c r="T2396" t="s">
        <v>3</v>
      </c>
      <c r="U2396" t="s">
        <v>3</v>
      </c>
      <c r="V2396" t="s">
        <v>3</v>
      </c>
      <c r="W2396" t="s">
        <v>68</v>
      </c>
      <c r="X2396" s="17"/>
      <c r="Y2396" t="s">
        <v>3</v>
      </c>
      <c r="Z2396" s="17">
        <v>43800</v>
      </c>
      <c r="AA2396" t="s">
        <v>3</v>
      </c>
      <c r="AB2396" t="s">
        <v>5299</v>
      </c>
    </row>
    <row r="2397" spans="1:28" hidden="1">
      <c r="A2397" t="s">
        <v>5299</v>
      </c>
      <c r="B2397" s="17">
        <v>43800</v>
      </c>
      <c r="C2397" s="17">
        <v>43800</v>
      </c>
      <c r="D2397" t="s">
        <v>0</v>
      </c>
      <c r="E2397" t="s">
        <v>1</v>
      </c>
      <c r="F2397" s="18">
        <v>27284.57</v>
      </c>
      <c r="G2397" s="18">
        <v>27284.57</v>
      </c>
      <c r="H2397" t="s">
        <v>2</v>
      </c>
      <c r="I2397" t="s">
        <v>10</v>
      </c>
      <c r="J2397" s="18">
        <v>2287811.2000000002</v>
      </c>
      <c r="K2397" t="s">
        <v>5286</v>
      </c>
      <c r="L2397" t="s">
        <v>4</v>
      </c>
      <c r="M2397" t="s">
        <v>5301</v>
      </c>
      <c r="N2397" t="s">
        <v>3</v>
      </c>
      <c r="O2397" t="s">
        <v>3</v>
      </c>
      <c r="P2397" t="s">
        <v>5</v>
      </c>
      <c r="Q2397" t="s">
        <v>5302</v>
      </c>
      <c r="R2397" t="s">
        <v>3</v>
      </c>
      <c r="S2397" t="s">
        <v>3</v>
      </c>
      <c r="T2397" t="s">
        <v>3</v>
      </c>
      <c r="U2397" t="s">
        <v>3</v>
      </c>
      <c r="V2397" t="s">
        <v>3</v>
      </c>
      <c r="W2397" t="s">
        <v>68</v>
      </c>
      <c r="X2397" s="17"/>
      <c r="Y2397" t="s">
        <v>3</v>
      </c>
      <c r="Z2397" s="17">
        <v>43800</v>
      </c>
      <c r="AA2397" t="s">
        <v>3</v>
      </c>
      <c r="AB2397" t="s">
        <v>5299</v>
      </c>
    </row>
    <row r="2398" spans="1:28" hidden="1">
      <c r="A2398" t="s">
        <v>5303</v>
      </c>
      <c r="B2398" s="17">
        <v>43801</v>
      </c>
      <c r="C2398" s="17">
        <v>43801</v>
      </c>
      <c r="D2398" t="s">
        <v>0</v>
      </c>
      <c r="E2398" t="s">
        <v>1</v>
      </c>
      <c r="F2398" s="18">
        <v>1767.09</v>
      </c>
      <c r="G2398" s="18">
        <v>1767.09</v>
      </c>
      <c r="H2398" t="s">
        <v>2</v>
      </c>
      <c r="I2398" t="s">
        <v>8</v>
      </c>
      <c r="J2398" s="18">
        <v>147552.01999999999</v>
      </c>
      <c r="K2398" t="s">
        <v>5291</v>
      </c>
      <c r="L2398" t="s">
        <v>4</v>
      </c>
      <c r="M2398" t="s">
        <v>5304</v>
      </c>
      <c r="N2398" t="s">
        <v>3</v>
      </c>
      <c r="O2398" t="s">
        <v>3</v>
      </c>
      <c r="P2398" t="s">
        <v>5</v>
      </c>
      <c r="Q2398" t="s">
        <v>5305</v>
      </c>
      <c r="R2398" t="s">
        <v>3</v>
      </c>
      <c r="S2398" t="s">
        <v>3</v>
      </c>
      <c r="T2398" t="s">
        <v>3</v>
      </c>
      <c r="U2398" t="s">
        <v>3</v>
      </c>
      <c r="V2398" t="s">
        <v>3</v>
      </c>
      <c r="W2398" t="s">
        <v>68</v>
      </c>
      <c r="X2398" s="17"/>
      <c r="Y2398" t="s">
        <v>3</v>
      </c>
      <c r="Z2398" s="17">
        <v>43801</v>
      </c>
      <c r="AA2398" t="s">
        <v>3</v>
      </c>
      <c r="AB2398" t="s">
        <v>5303</v>
      </c>
    </row>
    <row r="2399" spans="1:28" hidden="1">
      <c r="A2399" t="s">
        <v>5303</v>
      </c>
      <c r="B2399" s="17">
        <v>43801</v>
      </c>
      <c r="C2399" s="17">
        <v>43801</v>
      </c>
      <c r="D2399" t="s">
        <v>0</v>
      </c>
      <c r="E2399" t="s">
        <v>1</v>
      </c>
      <c r="F2399" s="18">
        <v>6711.41</v>
      </c>
      <c r="G2399" s="18">
        <v>6711.41</v>
      </c>
      <c r="H2399" t="s">
        <v>2</v>
      </c>
      <c r="I2399" t="s">
        <v>8</v>
      </c>
      <c r="J2399" s="18">
        <v>562751.73</v>
      </c>
      <c r="K2399" t="s">
        <v>5277</v>
      </c>
      <c r="L2399" t="s">
        <v>4</v>
      </c>
      <c r="M2399" t="s">
        <v>5304</v>
      </c>
      <c r="N2399" t="s">
        <v>3</v>
      </c>
      <c r="O2399" t="s">
        <v>3</v>
      </c>
      <c r="P2399" t="s">
        <v>5</v>
      </c>
      <c r="Q2399" t="s">
        <v>5305</v>
      </c>
      <c r="R2399" t="s">
        <v>3</v>
      </c>
      <c r="S2399" t="s">
        <v>3</v>
      </c>
      <c r="T2399" t="s">
        <v>3</v>
      </c>
      <c r="U2399" t="s">
        <v>3</v>
      </c>
      <c r="V2399" t="s">
        <v>3</v>
      </c>
      <c r="W2399" t="s">
        <v>68</v>
      </c>
      <c r="X2399" s="17"/>
      <c r="Y2399" t="s">
        <v>3</v>
      </c>
      <c r="Z2399" s="17">
        <v>43801</v>
      </c>
      <c r="AA2399" t="s">
        <v>3</v>
      </c>
      <c r="AB2399" t="s">
        <v>5303</v>
      </c>
    </row>
    <row r="2400" spans="1:28" hidden="1">
      <c r="A2400" t="s">
        <v>5306</v>
      </c>
      <c r="B2400" s="17">
        <v>43801</v>
      </c>
      <c r="C2400" s="17">
        <v>43801</v>
      </c>
      <c r="D2400" t="s">
        <v>0</v>
      </c>
      <c r="E2400" t="s">
        <v>1</v>
      </c>
      <c r="F2400" s="18">
        <v>1482</v>
      </c>
      <c r="G2400" s="18">
        <v>1482</v>
      </c>
      <c r="H2400" t="s">
        <v>2</v>
      </c>
      <c r="I2400" t="s">
        <v>8</v>
      </c>
      <c r="J2400" s="18">
        <v>124265.7</v>
      </c>
      <c r="K2400" t="s">
        <v>5277</v>
      </c>
      <c r="L2400" t="s">
        <v>4</v>
      </c>
      <c r="M2400" t="s">
        <v>5307</v>
      </c>
      <c r="N2400" t="s">
        <v>3</v>
      </c>
      <c r="O2400" t="s">
        <v>3</v>
      </c>
      <c r="P2400" t="s">
        <v>5</v>
      </c>
      <c r="Q2400" t="s">
        <v>5308</v>
      </c>
      <c r="R2400" t="s">
        <v>3</v>
      </c>
      <c r="S2400" t="s">
        <v>3</v>
      </c>
      <c r="T2400" t="s">
        <v>3</v>
      </c>
      <c r="U2400" t="s">
        <v>3</v>
      </c>
      <c r="V2400" t="s">
        <v>3</v>
      </c>
      <c r="W2400" t="s">
        <v>68</v>
      </c>
      <c r="X2400" s="17"/>
      <c r="Y2400" t="s">
        <v>3</v>
      </c>
      <c r="Z2400" s="17">
        <v>43801</v>
      </c>
      <c r="AA2400" t="s">
        <v>3</v>
      </c>
      <c r="AB2400" t="s">
        <v>5306</v>
      </c>
    </row>
    <row r="2401" spans="1:28" hidden="1">
      <c r="A2401" t="s">
        <v>5309</v>
      </c>
      <c r="B2401" s="17">
        <v>43801</v>
      </c>
      <c r="C2401" s="17">
        <v>43801</v>
      </c>
      <c r="D2401" t="s">
        <v>0</v>
      </c>
      <c r="E2401" t="s">
        <v>1</v>
      </c>
      <c r="F2401" s="18">
        <v>4491.3999999999996</v>
      </c>
      <c r="G2401" s="18">
        <v>4491.3999999999996</v>
      </c>
      <c r="H2401" t="s">
        <v>2</v>
      </c>
      <c r="I2401" t="s">
        <v>8</v>
      </c>
      <c r="J2401" s="18">
        <v>376603.89</v>
      </c>
      <c r="K2401" t="s">
        <v>5310</v>
      </c>
      <c r="L2401" t="s">
        <v>4</v>
      </c>
      <c r="M2401" t="s">
        <v>5311</v>
      </c>
      <c r="N2401" t="s">
        <v>3</v>
      </c>
      <c r="O2401" t="s">
        <v>3</v>
      </c>
      <c r="P2401" t="s">
        <v>5</v>
      </c>
      <c r="Q2401" t="s">
        <v>5312</v>
      </c>
      <c r="R2401" t="s">
        <v>3</v>
      </c>
      <c r="S2401" t="s">
        <v>3</v>
      </c>
      <c r="T2401" t="s">
        <v>3</v>
      </c>
      <c r="U2401" t="s">
        <v>3</v>
      </c>
      <c r="V2401" t="s">
        <v>3</v>
      </c>
      <c r="W2401" t="s">
        <v>68</v>
      </c>
      <c r="X2401" s="17"/>
      <c r="Y2401" t="s">
        <v>3</v>
      </c>
      <c r="Z2401" s="17">
        <v>43801</v>
      </c>
      <c r="AA2401" t="s">
        <v>3</v>
      </c>
      <c r="AB2401" t="s">
        <v>5309</v>
      </c>
    </row>
    <row r="2402" spans="1:28" hidden="1">
      <c r="A2402" t="s">
        <v>5309</v>
      </c>
      <c r="B2402" s="17">
        <v>43801</v>
      </c>
      <c r="C2402" s="17">
        <v>43801</v>
      </c>
      <c r="D2402" t="s">
        <v>0</v>
      </c>
      <c r="E2402" t="s">
        <v>1</v>
      </c>
      <c r="F2402" s="18">
        <v>3387.93</v>
      </c>
      <c r="G2402" s="18">
        <v>3387.93</v>
      </c>
      <c r="H2402" t="s">
        <v>2</v>
      </c>
      <c r="I2402" t="s">
        <v>8</v>
      </c>
      <c r="J2402" s="18">
        <v>284077.93</v>
      </c>
      <c r="K2402" t="s">
        <v>5313</v>
      </c>
      <c r="L2402" t="s">
        <v>4</v>
      </c>
      <c r="M2402" t="s">
        <v>5311</v>
      </c>
      <c r="N2402" t="s">
        <v>3</v>
      </c>
      <c r="O2402" t="s">
        <v>3</v>
      </c>
      <c r="P2402" t="s">
        <v>5</v>
      </c>
      <c r="Q2402" t="s">
        <v>5312</v>
      </c>
      <c r="R2402" t="s">
        <v>3</v>
      </c>
      <c r="S2402" t="s">
        <v>3</v>
      </c>
      <c r="T2402" t="s">
        <v>3</v>
      </c>
      <c r="U2402" t="s">
        <v>3</v>
      </c>
      <c r="V2402" t="s">
        <v>3</v>
      </c>
      <c r="W2402" t="s">
        <v>68</v>
      </c>
      <c r="X2402" s="17"/>
      <c r="Y2402" t="s">
        <v>3</v>
      </c>
      <c r="Z2402" s="17">
        <v>43801</v>
      </c>
      <c r="AA2402" t="s">
        <v>3</v>
      </c>
      <c r="AB2402" t="s">
        <v>5309</v>
      </c>
    </row>
    <row r="2403" spans="1:28" hidden="1">
      <c r="A2403" t="s">
        <v>5314</v>
      </c>
      <c r="B2403" s="17">
        <v>43801</v>
      </c>
      <c r="C2403" s="17">
        <v>43801</v>
      </c>
      <c r="D2403" t="s">
        <v>0</v>
      </c>
      <c r="E2403" t="s">
        <v>1</v>
      </c>
      <c r="F2403" s="18">
        <v>-1179924</v>
      </c>
      <c r="G2403" s="18">
        <v>-1179924</v>
      </c>
      <c r="H2403" t="s">
        <v>2</v>
      </c>
      <c r="I2403" t="s">
        <v>8</v>
      </c>
      <c r="J2403" s="18">
        <v>-99054619.810000002</v>
      </c>
      <c r="K2403" t="s">
        <v>5315</v>
      </c>
      <c r="L2403" t="s">
        <v>9</v>
      </c>
      <c r="M2403" t="s">
        <v>5316</v>
      </c>
      <c r="N2403" t="s">
        <v>3</v>
      </c>
      <c r="O2403" t="s">
        <v>3</v>
      </c>
      <c r="P2403" t="s">
        <v>5</v>
      </c>
      <c r="Q2403" t="s">
        <v>5317</v>
      </c>
      <c r="R2403" t="s">
        <v>3</v>
      </c>
      <c r="S2403" t="s">
        <v>3</v>
      </c>
      <c r="T2403" t="s">
        <v>3</v>
      </c>
      <c r="U2403" t="s">
        <v>3</v>
      </c>
      <c r="V2403" t="s">
        <v>3</v>
      </c>
      <c r="W2403" t="s">
        <v>68</v>
      </c>
      <c r="X2403" s="17"/>
      <c r="Y2403" t="s">
        <v>3</v>
      </c>
      <c r="Z2403" s="17">
        <v>43801</v>
      </c>
      <c r="AA2403" t="s">
        <v>3</v>
      </c>
      <c r="AB2403" t="s">
        <v>5314</v>
      </c>
    </row>
    <row r="2404" spans="1:28" hidden="1">
      <c r="A2404" t="s">
        <v>5318</v>
      </c>
      <c r="B2404" s="17">
        <v>43802</v>
      </c>
      <c r="C2404" s="17">
        <v>43802</v>
      </c>
      <c r="D2404" t="s">
        <v>0</v>
      </c>
      <c r="E2404" t="s">
        <v>1</v>
      </c>
      <c r="F2404" s="18">
        <v>-293999.07</v>
      </c>
      <c r="G2404" s="18">
        <v>-293999.07</v>
      </c>
      <c r="H2404" t="s">
        <v>2</v>
      </c>
      <c r="I2404" t="s">
        <v>8</v>
      </c>
      <c r="J2404" s="18">
        <v>-24681221.940000001</v>
      </c>
      <c r="K2404" t="s">
        <v>5319</v>
      </c>
      <c r="L2404" t="s">
        <v>4</v>
      </c>
      <c r="M2404" t="s">
        <v>5320</v>
      </c>
      <c r="N2404" t="s">
        <v>3</v>
      </c>
      <c r="O2404" t="s">
        <v>3</v>
      </c>
      <c r="P2404" t="s">
        <v>5</v>
      </c>
      <c r="Q2404" t="s">
        <v>5321</v>
      </c>
      <c r="R2404" t="s">
        <v>3</v>
      </c>
      <c r="S2404" t="s">
        <v>3</v>
      </c>
      <c r="T2404" t="s">
        <v>3</v>
      </c>
      <c r="U2404" t="s">
        <v>3</v>
      </c>
      <c r="V2404" t="s">
        <v>3</v>
      </c>
      <c r="W2404" t="s">
        <v>68</v>
      </c>
      <c r="X2404" s="17"/>
      <c r="Y2404" t="s">
        <v>3</v>
      </c>
      <c r="Z2404" s="17">
        <v>43802</v>
      </c>
      <c r="AA2404" t="s">
        <v>3</v>
      </c>
      <c r="AB2404" t="s">
        <v>5318</v>
      </c>
    </row>
    <row r="2405" spans="1:28" hidden="1">
      <c r="A2405" t="s">
        <v>5322</v>
      </c>
      <c r="B2405" s="17">
        <v>43803</v>
      </c>
      <c r="C2405" s="17">
        <v>43803</v>
      </c>
      <c r="D2405" t="s">
        <v>0</v>
      </c>
      <c r="E2405" t="s">
        <v>1</v>
      </c>
      <c r="F2405" s="18">
        <v>25693</v>
      </c>
      <c r="G2405" s="18">
        <v>25693</v>
      </c>
      <c r="H2405" t="s">
        <v>2</v>
      </c>
      <c r="I2405" t="s">
        <v>8</v>
      </c>
      <c r="J2405" s="18">
        <v>2145365.5</v>
      </c>
      <c r="K2405" t="s">
        <v>5323</v>
      </c>
      <c r="L2405" t="s">
        <v>9</v>
      </c>
      <c r="M2405" t="s">
        <v>5324</v>
      </c>
      <c r="N2405" t="s">
        <v>3</v>
      </c>
      <c r="O2405" t="s">
        <v>3</v>
      </c>
      <c r="P2405" t="s">
        <v>5</v>
      </c>
      <c r="Q2405" t="s">
        <v>5325</v>
      </c>
      <c r="R2405" t="s">
        <v>3</v>
      </c>
      <c r="S2405" t="s">
        <v>3</v>
      </c>
      <c r="T2405" t="s">
        <v>3</v>
      </c>
      <c r="U2405" t="s">
        <v>3</v>
      </c>
      <c r="V2405" t="s">
        <v>3</v>
      </c>
      <c r="W2405" t="s">
        <v>68</v>
      </c>
      <c r="X2405" s="17"/>
      <c r="Y2405" t="s">
        <v>3</v>
      </c>
      <c r="Z2405" s="17">
        <v>43803</v>
      </c>
      <c r="AA2405" t="s">
        <v>3</v>
      </c>
      <c r="AB2405" t="s">
        <v>5322</v>
      </c>
    </row>
    <row r="2406" spans="1:28" hidden="1">
      <c r="A2406" t="s">
        <v>5322</v>
      </c>
      <c r="B2406" s="17">
        <v>43803</v>
      </c>
      <c r="C2406" s="17">
        <v>43803</v>
      </c>
      <c r="D2406" t="s">
        <v>0</v>
      </c>
      <c r="E2406" t="s">
        <v>1</v>
      </c>
      <c r="F2406" s="18">
        <v>24596</v>
      </c>
      <c r="G2406" s="18">
        <v>24596</v>
      </c>
      <c r="H2406" t="s">
        <v>2</v>
      </c>
      <c r="I2406" t="s">
        <v>8</v>
      </c>
      <c r="J2406" s="18">
        <v>2064834.2</v>
      </c>
      <c r="K2406" t="s">
        <v>5315</v>
      </c>
      <c r="L2406" t="s">
        <v>9</v>
      </c>
      <c r="M2406" t="s">
        <v>5324</v>
      </c>
      <c r="N2406" t="s">
        <v>3</v>
      </c>
      <c r="O2406" t="s">
        <v>3</v>
      </c>
      <c r="P2406" t="s">
        <v>5</v>
      </c>
      <c r="Q2406" t="s">
        <v>5325</v>
      </c>
      <c r="R2406" t="s">
        <v>3</v>
      </c>
      <c r="S2406" t="s">
        <v>3</v>
      </c>
      <c r="T2406" t="s">
        <v>3</v>
      </c>
      <c r="U2406" t="s">
        <v>3</v>
      </c>
      <c r="V2406" t="s">
        <v>3</v>
      </c>
      <c r="W2406" t="s">
        <v>68</v>
      </c>
      <c r="X2406" s="17"/>
      <c r="Y2406" t="s">
        <v>3</v>
      </c>
      <c r="Z2406" s="17">
        <v>43803</v>
      </c>
      <c r="AA2406" t="s">
        <v>3</v>
      </c>
      <c r="AB2406" t="s">
        <v>5322</v>
      </c>
    </row>
    <row r="2407" spans="1:28" hidden="1">
      <c r="A2407" t="s">
        <v>5322</v>
      </c>
      <c r="B2407" s="17">
        <v>43803</v>
      </c>
      <c r="C2407" s="17">
        <v>43803</v>
      </c>
      <c r="D2407" t="s">
        <v>0</v>
      </c>
      <c r="E2407" t="s">
        <v>1</v>
      </c>
      <c r="F2407" s="18">
        <v>75665</v>
      </c>
      <c r="G2407" s="18">
        <v>75665</v>
      </c>
      <c r="H2407" t="s">
        <v>2</v>
      </c>
      <c r="I2407" t="s">
        <v>8</v>
      </c>
      <c r="J2407" s="18">
        <v>6318027.5</v>
      </c>
      <c r="K2407" t="s">
        <v>5326</v>
      </c>
      <c r="L2407" t="s">
        <v>9</v>
      </c>
      <c r="M2407" t="s">
        <v>5324</v>
      </c>
      <c r="N2407" t="s">
        <v>3</v>
      </c>
      <c r="O2407" t="s">
        <v>3</v>
      </c>
      <c r="P2407" t="s">
        <v>5</v>
      </c>
      <c r="Q2407" t="s">
        <v>5325</v>
      </c>
      <c r="R2407" t="s">
        <v>3</v>
      </c>
      <c r="S2407" t="s">
        <v>3</v>
      </c>
      <c r="T2407" t="s">
        <v>3</v>
      </c>
      <c r="U2407" t="s">
        <v>3</v>
      </c>
      <c r="V2407" t="s">
        <v>3</v>
      </c>
      <c r="W2407" t="s">
        <v>68</v>
      </c>
      <c r="X2407" s="17"/>
      <c r="Y2407" t="s">
        <v>3</v>
      </c>
      <c r="Z2407" s="17">
        <v>43803</v>
      </c>
      <c r="AA2407" t="s">
        <v>3</v>
      </c>
      <c r="AB2407" t="s">
        <v>5322</v>
      </c>
    </row>
    <row r="2408" spans="1:28" hidden="1">
      <c r="A2408" t="s">
        <v>5322</v>
      </c>
      <c r="B2408" s="17">
        <v>43803</v>
      </c>
      <c r="C2408" s="17">
        <v>43803</v>
      </c>
      <c r="D2408" t="s">
        <v>0</v>
      </c>
      <c r="E2408" t="s">
        <v>1</v>
      </c>
      <c r="F2408" s="18">
        <v>44342</v>
      </c>
      <c r="G2408" s="18">
        <v>44342</v>
      </c>
      <c r="H2408" t="s">
        <v>2</v>
      </c>
      <c r="I2408" t="s">
        <v>8</v>
      </c>
      <c r="J2408" s="18">
        <v>3702557</v>
      </c>
      <c r="K2408" t="s">
        <v>5327</v>
      </c>
      <c r="L2408" t="s">
        <v>9</v>
      </c>
      <c r="M2408" t="s">
        <v>5324</v>
      </c>
      <c r="N2408" t="s">
        <v>3</v>
      </c>
      <c r="O2408" t="s">
        <v>3</v>
      </c>
      <c r="P2408" t="s">
        <v>5</v>
      </c>
      <c r="Q2408" t="s">
        <v>5325</v>
      </c>
      <c r="R2408" t="s">
        <v>3</v>
      </c>
      <c r="S2408" t="s">
        <v>3</v>
      </c>
      <c r="T2408" t="s">
        <v>3</v>
      </c>
      <c r="U2408" t="s">
        <v>3</v>
      </c>
      <c r="V2408" t="s">
        <v>3</v>
      </c>
      <c r="W2408" t="s">
        <v>68</v>
      </c>
      <c r="X2408" s="17"/>
      <c r="Y2408" t="s">
        <v>3</v>
      </c>
      <c r="Z2408" s="17">
        <v>43803</v>
      </c>
      <c r="AA2408" t="s">
        <v>3</v>
      </c>
      <c r="AB2408" t="s">
        <v>5322</v>
      </c>
    </row>
    <row r="2409" spans="1:28" hidden="1">
      <c r="A2409" t="s">
        <v>5322</v>
      </c>
      <c r="B2409" s="17">
        <v>43803</v>
      </c>
      <c r="C2409" s="17">
        <v>43803</v>
      </c>
      <c r="D2409" t="s">
        <v>0</v>
      </c>
      <c r="E2409" t="s">
        <v>1</v>
      </c>
      <c r="F2409" s="18">
        <v>25790</v>
      </c>
      <c r="G2409" s="18">
        <v>25790</v>
      </c>
      <c r="H2409" t="s">
        <v>2</v>
      </c>
      <c r="I2409" t="s">
        <v>8</v>
      </c>
      <c r="J2409" s="18">
        <v>2162491.5</v>
      </c>
      <c r="K2409" t="s">
        <v>5328</v>
      </c>
      <c r="L2409" t="s">
        <v>9</v>
      </c>
      <c r="M2409" t="s">
        <v>5324</v>
      </c>
      <c r="N2409" t="s">
        <v>3</v>
      </c>
      <c r="O2409" t="s">
        <v>3</v>
      </c>
      <c r="P2409" t="s">
        <v>5</v>
      </c>
      <c r="Q2409" t="s">
        <v>5325</v>
      </c>
      <c r="R2409" t="s">
        <v>3</v>
      </c>
      <c r="S2409" t="s">
        <v>3</v>
      </c>
      <c r="T2409" t="s">
        <v>3</v>
      </c>
      <c r="U2409" t="s">
        <v>3</v>
      </c>
      <c r="V2409" t="s">
        <v>3</v>
      </c>
      <c r="W2409" t="s">
        <v>68</v>
      </c>
      <c r="X2409" s="17"/>
      <c r="Y2409" t="s">
        <v>3</v>
      </c>
      <c r="Z2409" s="17">
        <v>43803</v>
      </c>
      <c r="AA2409" t="s">
        <v>3</v>
      </c>
      <c r="AB2409" t="s">
        <v>5322</v>
      </c>
    </row>
    <row r="2410" spans="1:28" hidden="1">
      <c r="A2410" t="s">
        <v>5329</v>
      </c>
      <c r="B2410" s="17">
        <v>43803</v>
      </c>
      <c r="C2410" s="17">
        <v>43803</v>
      </c>
      <c r="D2410" t="s">
        <v>0</v>
      </c>
      <c r="E2410" t="s">
        <v>1</v>
      </c>
      <c r="F2410" s="18">
        <v>-1000000</v>
      </c>
      <c r="G2410" s="18">
        <v>-1000000</v>
      </c>
      <c r="H2410" t="s">
        <v>2</v>
      </c>
      <c r="I2410" t="s">
        <v>8</v>
      </c>
      <c r="J2410" s="18">
        <v>-83950000.010000005</v>
      </c>
      <c r="K2410" t="s">
        <v>5330</v>
      </c>
      <c r="L2410" t="s">
        <v>9</v>
      </c>
      <c r="M2410" t="s">
        <v>5023</v>
      </c>
      <c r="N2410" t="s">
        <v>3</v>
      </c>
      <c r="O2410" t="s">
        <v>3</v>
      </c>
      <c r="P2410" t="s">
        <v>5</v>
      </c>
      <c r="Q2410" t="s">
        <v>5331</v>
      </c>
      <c r="R2410" t="s">
        <v>3</v>
      </c>
      <c r="S2410" t="s">
        <v>3</v>
      </c>
      <c r="T2410" t="s">
        <v>3</v>
      </c>
      <c r="U2410" t="s">
        <v>3</v>
      </c>
      <c r="V2410" t="s">
        <v>3</v>
      </c>
      <c r="W2410" t="s">
        <v>68</v>
      </c>
      <c r="X2410" s="17"/>
      <c r="Y2410" t="s">
        <v>3</v>
      </c>
      <c r="Z2410" s="17">
        <v>43803</v>
      </c>
      <c r="AA2410" t="s">
        <v>3</v>
      </c>
      <c r="AB2410" t="s">
        <v>5329</v>
      </c>
    </row>
    <row r="2411" spans="1:28" hidden="1">
      <c r="A2411" t="s">
        <v>5332</v>
      </c>
      <c r="B2411" s="17">
        <v>43803</v>
      </c>
      <c r="C2411" s="17">
        <v>43803</v>
      </c>
      <c r="D2411" t="s">
        <v>0</v>
      </c>
      <c r="E2411" t="s">
        <v>1</v>
      </c>
      <c r="F2411" s="18">
        <v>1101.1099999999999</v>
      </c>
      <c r="G2411" s="18">
        <v>1101.1099999999999</v>
      </c>
      <c r="H2411" t="s">
        <v>2</v>
      </c>
      <c r="I2411" t="s">
        <v>10</v>
      </c>
      <c r="J2411" s="18">
        <v>92328.07</v>
      </c>
      <c r="K2411" t="s">
        <v>5282</v>
      </c>
      <c r="L2411" t="s">
        <v>4</v>
      </c>
      <c r="M2411" t="s">
        <v>5333</v>
      </c>
      <c r="N2411" t="s">
        <v>3</v>
      </c>
      <c r="O2411" t="s">
        <v>3</v>
      </c>
      <c r="P2411" t="s">
        <v>5</v>
      </c>
      <c r="Q2411" t="s">
        <v>5334</v>
      </c>
      <c r="R2411" t="s">
        <v>3</v>
      </c>
      <c r="S2411" t="s">
        <v>3</v>
      </c>
      <c r="T2411" t="s">
        <v>3</v>
      </c>
      <c r="U2411" t="s">
        <v>3</v>
      </c>
      <c r="V2411" t="s">
        <v>3</v>
      </c>
      <c r="W2411" t="s">
        <v>68</v>
      </c>
      <c r="X2411" s="17"/>
      <c r="Y2411" t="s">
        <v>3</v>
      </c>
      <c r="Z2411" s="17">
        <v>43803</v>
      </c>
      <c r="AA2411" t="s">
        <v>3</v>
      </c>
      <c r="AB2411" t="s">
        <v>5332</v>
      </c>
    </row>
    <row r="2412" spans="1:28" hidden="1">
      <c r="A2412" t="s">
        <v>5332</v>
      </c>
      <c r="B2412" s="17">
        <v>43803</v>
      </c>
      <c r="C2412" s="17">
        <v>43803</v>
      </c>
      <c r="D2412" t="s">
        <v>0</v>
      </c>
      <c r="E2412" t="s">
        <v>1</v>
      </c>
      <c r="F2412" s="18">
        <v>6176.23</v>
      </c>
      <c r="G2412" s="18">
        <v>6176.23</v>
      </c>
      <c r="H2412" t="s">
        <v>2</v>
      </c>
      <c r="I2412" t="s">
        <v>10</v>
      </c>
      <c r="J2412" s="18">
        <v>515715.21</v>
      </c>
      <c r="K2412" t="s">
        <v>5285</v>
      </c>
      <c r="L2412" t="s">
        <v>4</v>
      </c>
      <c r="M2412" t="s">
        <v>5333</v>
      </c>
      <c r="N2412" t="s">
        <v>3</v>
      </c>
      <c r="O2412" t="s">
        <v>3</v>
      </c>
      <c r="P2412" t="s">
        <v>5</v>
      </c>
      <c r="Q2412" t="s">
        <v>5334</v>
      </c>
      <c r="R2412" t="s">
        <v>3</v>
      </c>
      <c r="S2412" t="s">
        <v>3</v>
      </c>
      <c r="T2412" t="s">
        <v>3</v>
      </c>
      <c r="U2412" t="s">
        <v>3</v>
      </c>
      <c r="V2412" t="s">
        <v>3</v>
      </c>
      <c r="W2412" t="s">
        <v>68</v>
      </c>
      <c r="X2412" s="17"/>
      <c r="Y2412" t="s">
        <v>3</v>
      </c>
      <c r="Z2412" s="17">
        <v>43803</v>
      </c>
      <c r="AA2412" t="s">
        <v>3</v>
      </c>
      <c r="AB2412" t="s">
        <v>5332</v>
      </c>
    </row>
    <row r="2413" spans="1:28" hidden="1">
      <c r="A2413" t="s">
        <v>5332</v>
      </c>
      <c r="B2413" s="17">
        <v>43803</v>
      </c>
      <c r="C2413" s="17">
        <v>43803</v>
      </c>
      <c r="D2413" t="s">
        <v>0</v>
      </c>
      <c r="E2413" t="s">
        <v>1</v>
      </c>
      <c r="F2413" s="18">
        <v>1419.33</v>
      </c>
      <c r="G2413" s="18">
        <v>1419.33</v>
      </c>
      <c r="H2413" t="s">
        <v>2</v>
      </c>
      <c r="I2413" t="s">
        <v>10</v>
      </c>
      <c r="J2413" s="18">
        <v>119152.75</v>
      </c>
      <c r="K2413" t="s">
        <v>5335</v>
      </c>
      <c r="L2413" t="s">
        <v>4</v>
      </c>
      <c r="M2413" t="s">
        <v>5333</v>
      </c>
      <c r="N2413" t="s">
        <v>3</v>
      </c>
      <c r="O2413" t="s">
        <v>3</v>
      </c>
      <c r="P2413" t="s">
        <v>5</v>
      </c>
      <c r="Q2413" t="s">
        <v>5334</v>
      </c>
      <c r="R2413" t="s">
        <v>3</v>
      </c>
      <c r="S2413" t="s">
        <v>3</v>
      </c>
      <c r="T2413" t="s">
        <v>3</v>
      </c>
      <c r="U2413" t="s">
        <v>3</v>
      </c>
      <c r="V2413" t="s">
        <v>3</v>
      </c>
      <c r="W2413" t="s">
        <v>68</v>
      </c>
      <c r="X2413" s="17"/>
      <c r="Y2413" t="s">
        <v>3</v>
      </c>
      <c r="Z2413" s="17">
        <v>43803</v>
      </c>
      <c r="AA2413" t="s">
        <v>3</v>
      </c>
      <c r="AB2413" t="s">
        <v>5332</v>
      </c>
    </row>
    <row r="2414" spans="1:28" hidden="1">
      <c r="A2414" t="s">
        <v>5332</v>
      </c>
      <c r="B2414" s="17">
        <v>43803</v>
      </c>
      <c r="C2414" s="17">
        <v>43803</v>
      </c>
      <c r="D2414" t="s">
        <v>0</v>
      </c>
      <c r="E2414" t="s">
        <v>1</v>
      </c>
      <c r="F2414" s="18">
        <v>8100.8</v>
      </c>
      <c r="G2414" s="18">
        <v>8100.8</v>
      </c>
      <c r="H2414" t="s">
        <v>2</v>
      </c>
      <c r="I2414" t="s">
        <v>10</v>
      </c>
      <c r="J2414" s="18">
        <v>679252.08</v>
      </c>
      <c r="K2414" t="s">
        <v>5286</v>
      </c>
      <c r="L2414" t="s">
        <v>4</v>
      </c>
      <c r="M2414" t="s">
        <v>5333</v>
      </c>
      <c r="N2414" t="s">
        <v>3</v>
      </c>
      <c r="O2414" t="s">
        <v>3</v>
      </c>
      <c r="P2414" t="s">
        <v>5</v>
      </c>
      <c r="Q2414" t="s">
        <v>5334</v>
      </c>
      <c r="R2414" t="s">
        <v>3</v>
      </c>
      <c r="S2414" t="s">
        <v>3</v>
      </c>
      <c r="T2414" t="s">
        <v>3</v>
      </c>
      <c r="U2414" t="s">
        <v>3</v>
      </c>
      <c r="V2414" t="s">
        <v>3</v>
      </c>
      <c r="W2414" t="s">
        <v>68</v>
      </c>
      <c r="X2414" s="17"/>
      <c r="Y2414" t="s">
        <v>3</v>
      </c>
      <c r="Z2414" s="17">
        <v>43803</v>
      </c>
      <c r="AA2414" t="s">
        <v>3</v>
      </c>
      <c r="AB2414" t="s">
        <v>5332</v>
      </c>
    </row>
    <row r="2415" spans="1:28" hidden="1">
      <c r="A2415" t="s">
        <v>5361</v>
      </c>
      <c r="B2415" s="17">
        <v>43803</v>
      </c>
      <c r="C2415" s="17">
        <v>43803</v>
      </c>
      <c r="D2415" t="s">
        <v>0</v>
      </c>
      <c r="E2415" t="s">
        <v>1</v>
      </c>
      <c r="F2415" s="18">
        <v>3828.59</v>
      </c>
      <c r="G2415" s="18">
        <v>3828.59</v>
      </c>
      <c r="H2415" t="s">
        <v>2</v>
      </c>
      <c r="I2415" t="s">
        <v>8</v>
      </c>
      <c r="J2415" s="18">
        <v>321027.27</v>
      </c>
      <c r="K2415" t="s">
        <v>5277</v>
      </c>
      <c r="L2415" t="s">
        <v>4</v>
      </c>
      <c r="M2415" t="s">
        <v>5362</v>
      </c>
      <c r="N2415" t="s">
        <v>3</v>
      </c>
      <c r="O2415" t="s">
        <v>3</v>
      </c>
      <c r="P2415" t="s">
        <v>5</v>
      </c>
      <c r="Q2415" t="s">
        <v>5363</v>
      </c>
      <c r="R2415" t="s">
        <v>3</v>
      </c>
      <c r="S2415" t="s">
        <v>3</v>
      </c>
      <c r="T2415" t="s">
        <v>3</v>
      </c>
      <c r="U2415" t="s">
        <v>3</v>
      </c>
      <c r="V2415" t="s">
        <v>3</v>
      </c>
      <c r="W2415" t="s">
        <v>68</v>
      </c>
      <c r="X2415" s="17"/>
      <c r="Y2415" t="s">
        <v>3</v>
      </c>
      <c r="Z2415" s="17">
        <v>43803</v>
      </c>
      <c r="AA2415" t="s">
        <v>3</v>
      </c>
      <c r="AB2415" t="s">
        <v>5361</v>
      </c>
    </row>
    <row r="2416" spans="1:28" hidden="1">
      <c r="A2416" t="s">
        <v>5361</v>
      </c>
      <c r="B2416" s="17">
        <v>43803</v>
      </c>
      <c r="C2416" s="17">
        <v>43803</v>
      </c>
      <c r="D2416" t="s">
        <v>0</v>
      </c>
      <c r="E2416" t="s">
        <v>1</v>
      </c>
      <c r="F2416" s="18">
        <v>7928.5</v>
      </c>
      <c r="G2416" s="18">
        <v>7928.5</v>
      </c>
      <c r="H2416" t="s">
        <v>2</v>
      </c>
      <c r="I2416" t="s">
        <v>8</v>
      </c>
      <c r="J2416" s="18">
        <v>664804.73</v>
      </c>
      <c r="K2416" t="s">
        <v>5280</v>
      </c>
      <c r="L2416" t="s">
        <v>4</v>
      </c>
      <c r="M2416" t="s">
        <v>5362</v>
      </c>
      <c r="N2416" t="s">
        <v>3</v>
      </c>
      <c r="O2416" t="s">
        <v>3</v>
      </c>
      <c r="P2416" t="s">
        <v>5</v>
      </c>
      <c r="Q2416" t="s">
        <v>5363</v>
      </c>
      <c r="R2416" t="s">
        <v>3</v>
      </c>
      <c r="S2416" t="s">
        <v>3</v>
      </c>
      <c r="T2416" t="s">
        <v>3</v>
      </c>
      <c r="U2416" t="s">
        <v>3</v>
      </c>
      <c r="V2416" t="s">
        <v>3</v>
      </c>
      <c r="W2416" t="s">
        <v>68</v>
      </c>
      <c r="X2416" s="17"/>
      <c r="Y2416" t="s">
        <v>3</v>
      </c>
      <c r="Z2416" s="17">
        <v>43803</v>
      </c>
      <c r="AA2416" t="s">
        <v>3</v>
      </c>
      <c r="AB2416" t="s">
        <v>5361</v>
      </c>
    </row>
    <row r="2417" spans="1:28" hidden="1">
      <c r="A2417" t="s">
        <v>5361</v>
      </c>
      <c r="B2417" s="17">
        <v>43803</v>
      </c>
      <c r="C2417" s="17">
        <v>43803</v>
      </c>
      <c r="D2417" t="s">
        <v>0</v>
      </c>
      <c r="E2417" t="s">
        <v>1</v>
      </c>
      <c r="F2417" s="18">
        <v>32554.400000000001</v>
      </c>
      <c r="G2417" s="18">
        <v>32554.400000000001</v>
      </c>
      <c r="H2417" t="s">
        <v>2</v>
      </c>
      <c r="I2417" t="s">
        <v>8</v>
      </c>
      <c r="J2417" s="18">
        <v>2732941.88</v>
      </c>
      <c r="K2417" t="s">
        <v>5364</v>
      </c>
      <c r="L2417" t="s">
        <v>4</v>
      </c>
      <c r="M2417" t="s">
        <v>5362</v>
      </c>
      <c r="N2417" t="s">
        <v>3</v>
      </c>
      <c r="O2417" t="s">
        <v>3</v>
      </c>
      <c r="P2417" t="s">
        <v>5</v>
      </c>
      <c r="Q2417" t="s">
        <v>5363</v>
      </c>
      <c r="R2417" t="s">
        <v>3</v>
      </c>
      <c r="S2417" t="s">
        <v>3</v>
      </c>
      <c r="T2417" t="s">
        <v>3</v>
      </c>
      <c r="U2417" t="s">
        <v>3</v>
      </c>
      <c r="V2417" t="s">
        <v>3</v>
      </c>
      <c r="W2417" t="s">
        <v>68</v>
      </c>
      <c r="X2417" s="17"/>
      <c r="Y2417" t="s">
        <v>3</v>
      </c>
      <c r="Z2417" s="17">
        <v>43803</v>
      </c>
      <c r="AA2417" t="s">
        <v>3</v>
      </c>
      <c r="AB2417" t="s">
        <v>5361</v>
      </c>
    </row>
    <row r="2418" spans="1:28" hidden="1">
      <c r="A2418" t="s">
        <v>5336</v>
      </c>
      <c r="B2418" s="17">
        <v>43807</v>
      </c>
      <c r="C2418" s="17">
        <v>43807</v>
      </c>
      <c r="D2418" t="s">
        <v>0</v>
      </c>
      <c r="E2418" t="s">
        <v>1</v>
      </c>
      <c r="F2418" s="18">
        <v>1794.94</v>
      </c>
      <c r="G2418" s="18">
        <v>1794.94</v>
      </c>
      <c r="H2418" t="s">
        <v>2</v>
      </c>
      <c r="I2418" t="s">
        <v>8</v>
      </c>
      <c r="J2418" s="18">
        <v>149877.49</v>
      </c>
      <c r="K2418" t="s">
        <v>5288</v>
      </c>
      <c r="L2418" t="s">
        <v>4</v>
      </c>
      <c r="M2418" t="s">
        <v>5337</v>
      </c>
      <c r="N2418" t="s">
        <v>3</v>
      </c>
      <c r="O2418" t="s">
        <v>3</v>
      </c>
      <c r="P2418" t="s">
        <v>5</v>
      </c>
      <c r="Q2418" t="s">
        <v>5338</v>
      </c>
      <c r="R2418" t="s">
        <v>3</v>
      </c>
      <c r="S2418" t="s">
        <v>3</v>
      </c>
      <c r="T2418" t="s">
        <v>3</v>
      </c>
      <c r="U2418" t="s">
        <v>3</v>
      </c>
      <c r="V2418" t="s">
        <v>3</v>
      </c>
      <c r="W2418" t="s">
        <v>68</v>
      </c>
      <c r="X2418" s="17"/>
      <c r="Y2418" t="s">
        <v>3</v>
      </c>
      <c r="Z2418" s="17">
        <v>43807</v>
      </c>
      <c r="AA2418" t="s">
        <v>3</v>
      </c>
      <c r="AB2418" t="s">
        <v>5336</v>
      </c>
    </row>
    <row r="2419" spans="1:28" hidden="1">
      <c r="A2419" t="s">
        <v>5336</v>
      </c>
      <c r="B2419" s="17">
        <v>43807</v>
      </c>
      <c r="C2419" s="17">
        <v>43807</v>
      </c>
      <c r="D2419" t="s">
        <v>0</v>
      </c>
      <c r="E2419" t="s">
        <v>1</v>
      </c>
      <c r="F2419" s="18">
        <v>9444.9699999999993</v>
      </c>
      <c r="G2419" s="18">
        <v>9444.9699999999993</v>
      </c>
      <c r="H2419" t="s">
        <v>2</v>
      </c>
      <c r="I2419" t="s">
        <v>8</v>
      </c>
      <c r="J2419" s="18">
        <v>788655</v>
      </c>
      <c r="K2419" t="s">
        <v>5291</v>
      </c>
      <c r="L2419" t="s">
        <v>4</v>
      </c>
      <c r="M2419" t="s">
        <v>5337</v>
      </c>
      <c r="N2419" t="s">
        <v>3</v>
      </c>
      <c r="O2419" t="s">
        <v>3</v>
      </c>
      <c r="P2419" t="s">
        <v>5</v>
      </c>
      <c r="Q2419" t="s">
        <v>5338</v>
      </c>
      <c r="R2419" t="s">
        <v>3</v>
      </c>
      <c r="S2419" t="s">
        <v>3</v>
      </c>
      <c r="T2419" t="s">
        <v>3</v>
      </c>
      <c r="U2419" t="s">
        <v>3</v>
      </c>
      <c r="V2419" t="s">
        <v>3</v>
      </c>
      <c r="W2419" t="s">
        <v>68</v>
      </c>
      <c r="X2419" s="17"/>
      <c r="Y2419" t="s">
        <v>3</v>
      </c>
      <c r="Z2419" s="17">
        <v>43807</v>
      </c>
      <c r="AA2419" t="s">
        <v>3</v>
      </c>
      <c r="AB2419" t="s">
        <v>5336</v>
      </c>
    </row>
    <row r="2420" spans="1:28" hidden="1">
      <c r="A2420" t="s">
        <v>5336</v>
      </c>
      <c r="B2420" s="17">
        <v>43807</v>
      </c>
      <c r="C2420" s="17">
        <v>43807</v>
      </c>
      <c r="D2420" t="s">
        <v>0</v>
      </c>
      <c r="E2420" t="s">
        <v>1</v>
      </c>
      <c r="F2420" s="18">
        <v>20168.97</v>
      </c>
      <c r="G2420" s="18">
        <v>20168.97</v>
      </c>
      <c r="H2420" t="s">
        <v>2</v>
      </c>
      <c r="I2420" t="s">
        <v>8</v>
      </c>
      <c r="J2420" s="18">
        <v>1691168.13</v>
      </c>
      <c r="K2420" t="s">
        <v>5277</v>
      </c>
      <c r="L2420" t="s">
        <v>4</v>
      </c>
      <c r="M2420" t="s">
        <v>5337</v>
      </c>
      <c r="N2420" t="s">
        <v>3</v>
      </c>
      <c r="O2420" t="s">
        <v>3</v>
      </c>
      <c r="P2420" t="s">
        <v>5</v>
      </c>
      <c r="Q2420" t="s">
        <v>5338</v>
      </c>
      <c r="R2420" t="s">
        <v>3</v>
      </c>
      <c r="S2420" t="s">
        <v>3</v>
      </c>
      <c r="T2420" t="s">
        <v>3</v>
      </c>
      <c r="U2420" t="s">
        <v>3</v>
      </c>
      <c r="V2420" t="s">
        <v>3</v>
      </c>
      <c r="W2420" t="s">
        <v>68</v>
      </c>
      <c r="X2420" s="17"/>
      <c r="Y2420" t="s">
        <v>3</v>
      </c>
      <c r="Z2420" s="17">
        <v>43807</v>
      </c>
      <c r="AA2420" t="s">
        <v>3</v>
      </c>
      <c r="AB2420" t="s">
        <v>5336</v>
      </c>
    </row>
    <row r="2421" spans="1:28" hidden="1">
      <c r="A2421" t="s">
        <v>5336</v>
      </c>
      <c r="B2421" s="17">
        <v>43807</v>
      </c>
      <c r="C2421" s="17">
        <v>43807</v>
      </c>
      <c r="D2421" t="s">
        <v>0</v>
      </c>
      <c r="E2421" t="s">
        <v>1</v>
      </c>
      <c r="F2421" s="18">
        <v>31285.3</v>
      </c>
      <c r="G2421" s="18">
        <v>31285.3</v>
      </c>
      <c r="H2421" t="s">
        <v>2</v>
      </c>
      <c r="I2421" t="s">
        <v>8</v>
      </c>
      <c r="J2421" s="18">
        <v>2623272.41</v>
      </c>
      <c r="K2421" t="s">
        <v>5280</v>
      </c>
      <c r="L2421" t="s">
        <v>4</v>
      </c>
      <c r="M2421" t="s">
        <v>5337</v>
      </c>
      <c r="N2421" t="s">
        <v>3</v>
      </c>
      <c r="O2421" t="s">
        <v>3</v>
      </c>
      <c r="P2421" t="s">
        <v>5</v>
      </c>
      <c r="Q2421" t="s">
        <v>5338</v>
      </c>
      <c r="R2421" t="s">
        <v>3</v>
      </c>
      <c r="S2421" t="s">
        <v>3</v>
      </c>
      <c r="T2421" t="s">
        <v>3</v>
      </c>
      <c r="U2421" t="s">
        <v>3</v>
      </c>
      <c r="V2421" t="s">
        <v>3</v>
      </c>
      <c r="W2421" t="s">
        <v>68</v>
      </c>
      <c r="X2421" s="17"/>
      <c r="Y2421" t="s">
        <v>3</v>
      </c>
      <c r="Z2421" s="17">
        <v>43807</v>
      </c>
      <c r="AA2421" t="s">
        <v>3</v>
      </c>
      <c r="AB2421" t="s">
        <v>5336</v>
      </c>
    </row>
    <row r="2422" spans="1:28" hidden="1">
      <c r="A2422" t="s">
        <v>5339</v>
      </c>
      <c r="B2422" s="17">
        <v>43807</v>
      </c>
      <c r="C2422" s="17">
        <v>43807</v>
      </c>
      <c r="D2422" t="s">
        <v>0</v>
      </c>
      <c r="E2422" t="s">
        <v>1</v>
      </c>
      <c r="F2422" s="18">
        <v>12297</v>
      </c>
      <c r="G2422" s="18">
        <v>12297</v>
      </c>
      <c r="H2422" t="s">
        <v>2</v>
      </c>
      <c r="I2422" t="s">
        <v>8</v>
      </c>
      <c r="J2422" s="18">
        <v>1031103.45</v>
      </c>
      <c r="K2422" t="s">
        <v>5267</v>
      </c>
      <c r="L2422" t="s">
        <v>9</v>
      </c>
      <c r="M2422" t="s">
        <v>5340</v>
      </c>
      <c r="N2422" t="s">
        <v>3</v>
      </c>
      <c r="O2422" t="s">
        <v>3</v>
      </c>
      <c r="P2422" t="s">
        <v>5</v>
      </c>
      <c r="Q2422" t="s">
        <v>5341</v>
      </c>
      <c r="R2422" t="s">
        <v>3</v>
      </c>
      <c r="S2422" t="s">
        <v>3</v>
      </c>
      <c r="T2422" t="s">
        <v>3</v>
      </c>
      <c r="U2422" t="s">
        <v>3</v>
      </c>
      <c r="V2422" t="s">
        <v>3</v>
      </c>
      <c r="W2422" t="s">
        <v>68</v>
      </c>
      <c r="X2422" s="17"/>
      <c r="Y2422" t="s">
        <v>3</v>
      </c>
      <c r="Z2422" s="17">
        <v>43807</v>
      </c>
      <c r="AA2422" t="s">
        <v>3</v>
      </c>
      <c r="AB2422" t="s">
        <v>5339</v>
      </c>
    </row>
    <row r="2423" spans="1:28" hidden="1">
      <c r="A2423" t="s">
        <v>5342</v>
      </c>
      <c r="B2423" s="17">
        <v>43807</v>
      </c>
      <c r="C2423" s="17">
        <v>43807</v>
      </c>
      <c r="D2423" t="s">
        <v>0</v>
      </c>
      <c r="E2423" t="s">
        <v>1</v>
      </c>
      <c r="F2423" s="18">
        <v>73712.72</v>
      </c>
      <c r="G2423" s="18">
        <v>73712.72</v>
      </c>
      <c r="H2423" t="s">
        <v>2</v>
      </c>
      <c r="I2423" t="s">
        <v>10</v>
      </c>
      <c r="J2423" s="18">
        <v>6180811.5700000003</v>
      </c>
      <c r="K2423" t="s">
        <v>5282</v>
      </c>
      <c r="L2423" t="s">
        <v>4</v>
      </c>
      <c r="M2423" t="s">
        <v>5343</v>
      </c>
      <c r="N2423" t="s">
        <v>3</v>
      </c>
      <c r="O2423" t="s">
        <v>3</v>
      </c>
      <c r="P2423" t="s">
        <v>5</v>
      </c>
      <c r="Q2423" t="s">
        <v>5344</v>
      </c>
      <c r="R2423" t="s">
        <v>3</v>
      </c>
      <c r="S2423" t="s">
        <v>3</v>
      </c>
      <c r="T2423" t="s">
        <v>3</v>
      </c>
      <c r="U2423" t="s">
        <v>3</v>
      </c>
      <c r="V2423" t="s">
        <v>3</v>
      </c>
      <c r="W2423" t="s">
        <v>68</v>
      </c>
      <c r="X2423" s="17"/>
      <c r="Y2423" t="s">
        <v>3</v>
      </c>
      <c r="Z2423" s="17">
        <v>43807</v>
      </c>
      <c r="AA2423" t="s">
        <v>3</v>
      </c>
      <c r="AB2423" t="s">
        <v>5342</v>
      </c>
    </row>
    <row r="2424" spans="1:28" hidden="1">
      <c r="A2424" t="s">
        <v>5342</v>
      </c>
      <c r="B2424" s="17">
        <v>43807</v>
      </c>
      <c r="C2424" s="17">
        <v>43807</v>
      </c>
      <c r="D2424" t="s">
        <v>0</v>
      </c>
      <c r="E2424" t="s">
        <v>1</v>
      </c>
      <c r="F2424" s="18">
        <v>5192.4399999999996</v>
      </c>
      <c r="G2424" s="18">
        <v>5192.4399999999996</v>
      </c>
      <c r="H2424" t="s">
        <v>2</v>
      </c>
      <c r="I2424" t="s">
        <v>10</v>
      </c>
      <c r="J2424" s="18">
        <v>433568.74</v>
      </c>
      <c r="K2424" t="s">
        <v>5285</v>
      </c>
      <c r="L2424" t="s">
        <v>4</v>
      </c>
      <c r="M2424" t="s">
        <v>5343</v>
      </c>
      <c r="N2424" t="s">
        <v>3</v>
      </c>
      <c r="O2424" t="s">
        <v>3</v>
      </c>
      <c r="P2424" t="s">
        <v>5</v>
      </c>
      <c r="Q2424" t="s">
        <v>5344</v>
      </c>
      <c r="R2424" t="s">
        <v>3</v>
      </c>
      <c r="S2424" t="s">
        <v>3</v>
      </c>
      <c r="T2424" t="s">
        <v>3</v>
      </c>
      <c r="U2424" t="s">
        <v>3</v>
      </c>
      <c r="V2424" t="s">
        <v>3</v>
      </c>
      <c r="W2424" t="s">
        <v>68</v>
      </c>
      <c r="X2424" s="17"/>
      <c r="Y2424" t="s">
        <v>3</v>
      </c>
      <c r="Z2424" s="17">
        <v>43807</v>
      </c>
      <c r="AA2424" t="s">
        <v>3</v>
      </c>
      <c r="AB2424" t="s">
        <v>5342</v>
      </c>
    </row>
    <row r="2425" spans="1:28" hidden="1">
      <c r="A2425" t="s">
        <v>5342</v>
      </c>
      <c r="B2425" s="17">
        <v>43807</v>
      </c>
      <c r="C2425" s="17">
        <v>43807</v>
      </c>
      <c r="D2425" t="s">
        <v>0</v>
      </c>
      <c r="E2425" t="s">
        <v>1</v>
      </c>
      <c r="F2425" s="18">
        <v>22152.28</v>
      </c>
      <c r="G2425" s="18">
        <v>22152.28</v>
      </c>
      <c r="H2425" t="s">
        <v>2</v>
      </c>
      <c r="I2425" t="s">
        <v>10</v>
      </c>
      <c r="J2425" s="18">
        <v>1859683.91</v>
      </c>
      <c r="K2425" t="s">
        <v>5335</v>
      </c>
      <c r="L2425" t="s">
        <v>4</v>
      </c>
      <c r="M2425" t="s">
        <v>5343</v>
      </c>
      <c r="N2425" t="s">
        <v>3</v>
      </c>
      <c r="O2425" t="s">
        <v>3</v>
      </c>
      <c r="P2425" t="s">
        <v>5</v>
      </c>
      <c r="Q2425" t="s">
        <v>5344</v>
      </c>
      <c r="R2425" t="s">
        <v>3</v>
      </c>
      <c r="S2425" t="s">
        <v>3</v>
      </c>
      <c r="T2425" t="s">
        <v>3</v>
      </c>
      <c r="U2425" t="s">
        <v>3</v>
      </c>
      <c r="V2425" t="s">
        <v>3</v>
      </c>
      <c r="W2425" t="s">
        <v>68</v>
      </c>
      <c r="X2425" s="17"/>
      <c r="Y2425" t="s">
        <v>3</v>
      </c>
      <c r="Z2425" s="17">
        <v>43807</v>
      </c>
      <c r="AA2425" t="s">
        <v>3</v>
      </c>
      <c r="AB2425" t="s">
        <v>5342</v>
      </c>
    </row>
    <row r="2426" spans="1:28" hidden="1">
      <c r="A2426" t="s">
        <v>5342</v>
      </c>
      <c r="B2426" s="17">
        <v>43807</v>
      </c>
      <c r="C2426" s="17">
        <v>43807</v>
      </c>
      <c r="D2426" t="s">
        <v>0</v>
      </c>
      <c r="E2426" t="s">
        <v>1</v>
      </c>
      <c r="F2426" s="18">
        <v>32670.98</v>
      </c>
      <c r="G2426" s="18">
        <v>32670.98</v>
      </c>
      <c r="H2426" t="s">
        <v>2</v>
      </c>
      <c r="I2426" t="s">
        <v>10</v>
      </c>
      <c r="J2426" s="18">
        <v>2739461.67</v>
      </c>
      <c r="K2426" t="s">
        <v>5286</v>
      </c>
      <c r="L2426" t="s">
        <v>4</v>
      </c>
      <c r="M2426" t="s">
        <v>5343</v>
      </c>
      <c r="N2426" t="s">
        <v>3</v>
      </c>
      <c r="O2426" t="s">
        <v>3</v>
      </c>
      <c r="P2426" t="s">
        <v>5</v>
      </c>
      <c r="Q2426" t="s">
        <v>5344</v>
      </c>
      <c r="R2426" t="s">
        <v>3</v>
      </c>
      <c r="S2426" t="s">
        <v>3</v>
      </c>
      <c r="T2426" t="s">
        <v>3</v>
      </c>
      <c r="U2426" t="s">
        <v>3</v>
      </c>
      <c r="V2426" t="s">
        <v>3</v>
      </c>
      <c r="W2426" t="s">
        <v>68</v>
      </c>
      <c r="X2426" s="17"/>
      <c r="Y2426" t="s">
        <v>3</v>
      </c>
      <c r="Z2426" s="17">
        <v>43807</v>
      </c>
      <c r="AA2426" t="s">
        <v>3</v>
      </c>
      <c r="AB2426" t="s">
        <v>5342</v>
      </c>
    </row>
    <row r="2427" spans="1:28" hidden="1">
      <c r="A2427" t="s">
        <v>5345</v>
      </c>
      <c r="B2427" s="17">
        <v>43809</v>
      </c>
      <c r="C2427" s="17">
        <v>43809</v>
      </c>
      <c r="D2427" t="s">
        <v>0</v>
      </c>
      <c r="E2427" t="s">
        <v>1</v>
      </c>
      <c r="F2427" s="18">
        <v>2049.75</v>
      </c>
      <c r="G2427" s="18">
        <v>2049.75</v>
      </c>
      <c r="H2427" t="s">
        <v>2</v>
      </c>
      <c r="I2427" t="s">
        <v>10</v>
      </c>
      <c r="J2427" s="18">
        <v>172076.51</v>
      </c>
      <c r="K2427" t="s">
        <v>5335</v>
      </c>
      <c r="L2427" t="s">
        <v>4</v>
      </c>
      <c r="M2427" t="s">
        <v>5346</v>
      </c>
      <c r="N2427" t="s">
        <v>3</v>
      </c>
      <c r="O2427" t="s">
        <v>3</v>
      </c>
      <c r="P2427" t="s">
        <v>5</v>
      </c>
      <c r="Q2427" t="s">
        <v>5347</v>
      </c>
      <c r="R2427" t="s">
        <v>3</v>
      </c>
      <c r="S2427" t="s">
        <v>3</v>
      </c>
      <c r="T2427" t="s">
        <v>3</v>
      </c>
      <c r="U2427" t="s">
        <v>3</v>
      </c>
      <c r="V2427" t="s">
        <v>3</v>
      </c>
      <c r="W2427" t="s">
        <v>68</v>
      </c>
      <c r="X2427" s="17"/>
      <c r="Y2427" t="s">
        <v>3</v>
      </c>
      <c r="Z2427" s="17">
        <v>43809</v>
      </c>
      <c r="AA2427" t="s">
        <v>3</v>
      </c>
      <c r="AB2427" t="s">
        <v>5345</v>
      </c>
    </row>
    <row r="2428" spans="1:28" hidden="1">
      <c r="A2428" t="s">
        <v>5349</v>
      </c>
      <c r="B2428" s="17">
        <v>43810</v>
      </c>
      <c r="C2428" s="17">
        <v>43810</v>
      </c>
      <c r="D2428" t="s">
        <v>0</v>
      </c>
      <c r="E2428" t="s">
        <v>1</v>
      </c>
      <c r="F2428" s="18">
        <v>14524</v>
      </c>
      <c r="G2428" s="18">
        <v>14524</v>
      </c>
      <c r="H2428" t="s">
        <v>2</v>
      </c>
      <c r="I2428" t="s">
        <v>8</v>
      </c>
      <c r="J2428" s="18">
        <v>1212754</v>
      </c>
      <c r="K2428" t="s">
        <v>5270</v>
      </c>
      <c r="L2428" t="s">
        <v>9</v>
      </c>
      <c r="M2428" t="s">
        <v>5350</v>
      </c>
      <c r="N2428" t="s">
        <v>3</v>
      </c>
      <c r="O2428" t="s">
        <v>3</v>
      </c>
      <c r="P2428" t="s">
        <v>5</v>
      </c>
      <c r="Q2428" t="s">
        <v>5351</v>
      </c>
      <c r="R2428" t="s">
        <v>3</v>
      </c>
      <c r="S2428" t="s">
        <v>3</v>
      </c>
      <c r="T2428" t="s">
        <v>3</v>
      </c>
      <c r="U2428" t="s">
        <v>3</v>
      </c>
      <c r="V2428" t="s">
        <v>3</v>
      </c>
      <c r="W2428" t="s">
        <v>68</v>
      </c>
      <c r="X2428" s="17"/>
      <c r="Y2428" t="s">
        <v>3</v>
      </c>
      <c r="Z2428" s="17">
        <v>43810</v>
      </c>
      <c r="AA2428" t="s">
        <v>3</v>
      </c>
      <c r="AB2428" t="s">
        <v>5349</v>
      </c>
    </row>
    <row r="2429" spans="1:28" hidden="1">
      <c r="A2429" t="s">
        <v>5349</v>
      </c>
      <c r="B2429" s="17">
        <v>43810</v>
      </c>
      <c r="C2429" s="17">
        <v>43810</v>
      </c>
      <c r="D2429" t="s">
        <v>0</v>
      </c>
      <c r="E2429" t="s">
        <v>1</v>
      </c>
      <c r="F2429" s="18">
        <v>15149</v>
      </c>
      <c r="G2429" s="18">
        <v>15149</v>
      </c>
      <c r="H2429" t="s">
        <v>2</v>
      </c>
      <c r="I2429" t="s">
        <v>8</v>
      </c>
      <c r="J2429" s="18">
        <v>1271758.55</v>
      </c>
      <c r="K2429" t="s">
        <v>5352</v>
      </c>
      <c r="L2429" t="s">
        <v>9</v>
      </c>
      <c r="M2429" t="s">
        <v>5350</v>
      </c>
      <c r="N2429" t="s">
        <v>3</v>
      </c>
      <c r="O2429" t="s">
        <v>3</v>
      </c>
      <c r="P2429" t="s">
        <v>5</v>
      </c>
      <c r="Q2429" t="s">
        <v>5351</v>
      </c>
      <c r="R2429" t="s">
        <v>3</v>
      </c>
      <c r="S2429" t="s">
        <v>3</v>
      </c>
      <c r="T2429" t="s">
        <v>3</v>
      </c>
      <c r="U2429" t="s">
        <v>3</v>
      </c>
      <c r="V2429" t="s">
        <v>3</v>
      </c>
      <c r="W2429" t="s">
        <v>68</v>
      </c>
      <c r="X2429" s="17"/>
      <c r="Y2429" t="s">
        <v>3</v>
      </c>
      <c r="Z2429" s="17">
        <v>43810</v>
      </c>
      <c r="AA2429" t="s">
        <v>3</v>
      </c>
      <c r="AB2429" t="s">
        <v>5349</v>
      </c>
    </row>
    <row r="2430" spans="1:28" hidden="1">
      <c r="A2430" t="s">
        <v>5349</v>
      </c>
      <c r="B2430" s="17">
        <v>43810</v>
      </c>
      <c r="C2430" s="17">
        <v>43810</v>
      </c>
      <c r="D2430" t="s">
        <v>0</v>
      </c>
      <c r="E2430" t="s">
        <v>1</v>
      </c>
      <c r="F2430" s="18">
        <v>933</v>
      </c>
      <c r="G2430" s="18">
        <v>933</v>
      </c>
      <c r="H2430" t="s">
        <v>2</v>
      </c>
      <c r="I2430" t="s">
        <v>8</v>
      </c>
      <c r="J2430" s="18">
        <v>77905.5</v>
      </c>
      <c r="K2430" t="s">
        <v>5353</v>
      </c>
      <c r="L2430" t="s">
        <v>9</v>
      </c>
      <c r="M2430" t="s">
        <v>5350</v>
      </c>
      <c r="N2430" t="s">
        <v>3</v>
      </c>
      <c r="O2430" t="s">
        <v>3</v>
      </c>
      <c r="P2430" t="s">
        <v>5</v>
      </c>
      <c r="Q2430" t="s">
        <v>5351</v>
      </c>
      <c r="R2430" t="s">
        <v>3</v>
      </c>
      <c r="S2430" t="s">
        <v>3</v>
      </c>
      <c r="T2430" t="s">
        <v>3</v>
      </c>
      <c r="U2430" t="s">
        <v>3</v>
      </c>
      <c r="V2430" t="s">
        <v>3</v>
      </c>
      <c r="W2430" t="s">
        <v>68</v>
      </c>
      <c r="X2430" s="17"/>
      <c r="Y2430" t="s">
        <v>3</v>
      </c>
      <c r="Z2430" s="17">
        <v>43810</v>
      </c>
      <c r="AA2430" t="s">
        <v>3</v>
      </c>
      <c r="AB2430" t="s">
        <v>5349</v>
      </c>
    </row>
    <row r="2431" spans="1:28" hidden="1">
      <c r="A2431" t="s">
        <v>5349</v>
      </c>
      <c r="B2431" s="17">
        <v>43810</v>
      </c>
      <c r="C2431" s="17">
        <v>43810</v>
      </c>
      <c r="D2431" t="s">
        <v>0</v>
      </c>
      <c r="E2431" t="s">
        <v>1</v>
      </c>
      <c r="F2431" s="18">
        <v>7189</v>
      </c>
      <c r="G2431" s="18">
        <v>7189</v>
      </c>
      <c r="H2431" t="s">
        <v>2</v>
      </c>
      <c r="I2431" t="s">
        <v>8</v>
      </c>
      <c r="J2431" s="18">
        <v>600281.5</v>
      </c>
      <c r="K2431" t="s">
        <v>5326</v>
      </c>
      <c r="L2431" t="s">
        <v>9</v>
      </c>
      <c r="M2431" t="s">
        <v>5350</v>
      </c>
      <c r="N2431" t="s">
        <v>3</v>
      </c>
      <c r="O2431" t="s">
        <v>3</v>
      </c>
      <c r="P2431" t="s">
        <v>5</v>
      </c>
      <c r="Q2431" t="s">
        <v>5351</v>
      </c>
      <c r="R2431" t="s">
        <v>3</v>
      </c>
      <c r="S2431" t="s">
        <v>3</v>
      </c>
      <c r="T2431" t="s">
        <v>3</v>
      </c>
      <c r="U2431" t="s">
        <v>3</v>
      </c>
      <c r="V2431" t="s">
        <v>3</v>
      </c>
      <c r="W2431" t="s">
        <v>68</v>
      </c>
      <c r="X2431" s="17"/>
      <c r="Y2431" t="s">
        <v>3</v>
      </c>
      <c r="Z2431" s="17">
        <v>43810</v>
      </c>
      <c r="AA2431" t="s">
        <v>3</v>
      </c>
      <c r="AB2431" t="s">
        <v>5349</v>
      </c>
    </row>
    <row r="2432" spans="1:28" hidden="1">
      <c r="A2432" t="s">
        <v>5349</v>
      </c>
      <c r="B2432" s="17">
        <v>43810</v>
      </c>
      <c r="C2432" s="17">
        <v>43810</v>
      </c>
      <c r="D2432" t="s">
        <v>0</v>
      </c>
      <c r="E2432" t="s">
        <v>1</v>
      </c>
      <c r="F2432" s="18">
        <v>5221</v>
      </c>
      <c r="G2432" s="18">
        <v>5221</v>
      </c>
      <c r="H2432" t="s">
        <v>2</v>
      </c>
      <c r="I2432" t="s">
        <v>8</v>
      </c>
      <c r="J2432" s="18">
        <v>437780.85</v>
      </c>
      <c r="K2432" t="s">
        <v>5267</v>
      </c>
      <c r="L2432" t="s">
        <v>9</v>
      </c>
      <c r="M2432" t="s">
        <v>5350</v>
      </c>
      <c r="N2432" t="s">
        <v>3</v>
      </c>
      <c r="O2432" t="s">
        <v>3</v>
      </c>
      <c r="P2432" t="s">
        <v>5</v>
      </c>
      <c r="Q2432" t="s">
        <v>5351</v>
      </c>
      <c r="R2432" t="s">
        <v>3</v>
      </c>
      <c r="S2432" t="s">
        <v>3</v>
      </c>
      <c r="T2432" t="s">
        <v>3</v>
      </c>
      <c r="U2432" t="s">
        <v>3</v>
      </c>
      <c r="V2432" t="s">
        <v>3</v>
      </c>
      <c r="W2432" t="s">
        <v>68</v>
      </c>
      <c r="X2432" s="17"/>
      <c r="Y2432" t="s">
        <v>3</v>
      </c>
      <c r="Z2432" s="17">
        <v>43810</v>
      </c>
      <c r="AA2432" t="s">
        <v>3</v>
      </c>
      <c r="AB2432" t="s">
        <v>5349</v>
      </c>
    </row>
    <row r="2433" spans="1:28" hidden="1">
      <c r="A2433" t="s">
        <v>5354</v>
      </c>
      <c r="B2433" s="17">
        <v>43811</v>
      </c>
      <c r="C2433" s="17">
        <v>43811</v>
      </c>
      <c r="D2433" t="s">
        <v>0</v>
      </c>
      <c r="E2433" t="s">
        <v>1</v>
      </c>
      <c r="F2433" s="18">
        <v>9756</v>
      </c>
      <c r="G2433" s="18">
        <v>9756</v>
      </c>
      <c r="H2433" t="s">
        <v>2</v>
      </c>
      <c r="I2433" t="s">
        <v>8</v>
      </c>
      <c r="J2433" s="18">
        <v>814626</v>
      </c>
      <c r="K2433" t="s">
        <v>5355</v>
      </c>
      <c r="L2433" t="s">
        <v>9</v>
      </c>
      <c r="M2433" t="s">
        <v>5356</v>
      </c>
      <c r="N2433" t="s">
        <v>3</v>
      </c>
      <c r="O2433" t="s">
        <v>3</v>
      </c>
      <c r="P2433" t="s">
        <v>5</v>
      </c>
      <c r="Q2433" t="s">
        <v>5357</v>
      </c>
      <c r="R2433" t="s">
        <v>3</v>
      </c>
      <c r="S2433" t="s">
        <v>3</v>
      </c>
      <c r="T2433" t="s">
        <v>3</v>
      </c>
      <c r="U2433" t="s">
        <v>3</v>
      </c>
      <c r="V2433" t="s">
        <v>3</v>
      </c>
      <c r="W2433" t="s">
        <v>68</v>
      </c>
      <c r="X2433" s="17"/>
      <c r="Y2433" t="s">
        <v>3</v>
      </c>
      <c r="Z2433" s="17">
        <v>43811</v>
      </c>
      <c r="AA2433" t="s">
        <v>3</v>
      </c>
      <c r="AB2433" t="s">
        <v>5354</v>
      </c>
    </row>
    <row r="2434" spans="1:28" hidden="1">
      <c r="A2434" t="s">
        <v>5354</v>
      </c>
      <c r="B2434" s="17">
        <v>43811</v>
      </c>
      <c r="C2434" s="17">
        <v>43811</v>
      </c>
      <c r="D2434" t="s">
        <v>0</v>
      </c>
      <c r="E2434" t="s">
        <v>1</v>
      </c>
      <c r="F2434" s="18">
        <v>25004</v>
      </c>
      <c r="G2434" s="18">
        <v>25004</v>
      </c>
      <c r="H2434" t="s">
        <v>2</v>
      </c>
      <c r="I2434" t="s">
        <v>8</v>
      </c>
      <c r="J2434" s="18">
        <v>2087834</v>
      </c>
      <c r="K2434" t="s">
        <v>5358</v>
      </c>
      <c r="L2434" t="s">
        <v>9</v>
      </c>
      <c r="M2434" t="s">
        <v>5356</v>
      </c>
      <c r="N2434" t="s">
        <v>3</v>
      </c>
      <c r="O2434" t="s">
        <v>3</v>
      </c>
      <c r="P2434" t="s">
        <v>5</v>
      </c>
      <c r="Q2434" t="s">
        <v>5357</v>
      </c>
      <c r="R2434" t="s">
        <v>3</v>
      </c>
      <c r="S2434" t="s">
        <v>3</v>
      </c>
      <c r="T2434" t="s">
        <v>3</v>
      </c>
      <c r="U2434" t="s">
        <v>3</v>
      </c>
      <c r="V2434" t="s">
        <v>3</v>
      </c>
      <c r="W2434" t="s">
        <v>68</v>
      </c>
      <c r="X2434" s="17">
        <v>44012</v>
      </c>
      <c r="Y2434" t="s">
        <v>4137</v>
      </c>
      <c r="Z2434" s="17">
        <v>43811</v>
      </c>
      <c r="AA2434" t="s">
        <v>3</v>
      </c>
      <c r="AB2434" t="s">
        <v>5354</v>
      </c>
    </row>
    <row r="2435" spans="1:28" hidden="1">
      <c r="A2435" t="s">
        <v>5354</v>
      </c>
      <c r="B2435" s="17">
        <v>43811</v>
      </c>
      <c r="C2435" s="17">
        <v>43811</v>
      </c>
      <c r="D2435" t="s">
        <v>0</v>
      </c>
      <c r="E2435" t="s">
        <v>1</v>
      </c>
      <c r="F2435" s="18">
        <v>3861</v>
      </c>
      <c r="G2435" s="18">
        <v>3861</v>
      </c>
      <c r="H2435" t="s">
        <v>2</v>
      </c>
      <c r="I2435" t="s">
        <v>8</v>
      </c>
      <c r="J2435" s="18">
        <v>324130.95</v>
      </c>
      <c r="K2435" t="s">
        <v>5352</v>
      </c>
      <c r="L2435" t="s">
        <v>9</v>
      </c>
      <c r="M2435" t="s">
        <v>5356</v>
      </c>
      <c r="N2435" t="s">
        <v>3</v>
      </c>
      <c r="O2435" t="s">
        <v>3</v>
      </c>
      <c r="P2435" t="s">
        <v>5</v>
      </c>
      <c r="Q2435" t="s">
        <v>5357</v>
      </c>
      <c r="R2435" t="s">
        <v>3</v>
      </c>
      <c r="S2435" t="s">
        <v>3</v>
      </c>
      <c r="T2435" t="s">
        <v>3</v>
      </c>
      <c r="U2435" t="s">
        <v>3</v>
      </c>
      <c r="V2435" t="s">
        <v>3</v>
      </c>
      <c r="W2435" t="s">
        <v>68</v>
      </c>
      <c r="X2435" s="17"/>
      <c r="Y2435" t="s">
        <v>3</v>
      </c>
      <c r="Z2435" s="17">
        <v>43811</v>
      </c>
      <c r="AA2435" t="s">
        <v>3</v>
      </c>
      <c r="AB2435" t="s">
        <v>5354</v>
      </c>
    </row>
    <row r="2436" spans="1:28" hidden="1">
      <c r="A2436" t="s">
        <v>5354</v>
      </c>
      <c r="B2436" s="17">
        <v>43811</v>
      </c>
      <c r="C2436" s="17">
        <v>43811</v>
      </c>
      <c r="D2436" t="s">
        <v>0</v>
      </c>
      <c r="E2436" t="s">
        <v>1</v>
      </c>
      <c r="F2436" s="18">
        <v>13027</v>
      </c>
      <c r="G2436" s="18">
        <v>13027</v>
      </c>
      <c r="H2436" t="s">
        <v>2</v>
      </c>
      <c r="I2436" t="s">
        <v>8</v>
      </c>
      <c r="J2436" s="18">
        <v>1087754.5</v>
      </c>
      <c r="K2436" t="s">
        <v>5273</v>
      </c>
      <c r="L2436" t="s">
        <v>9</v>
      </c>
      <c r="M2436" t="s">
        <v>5356</v>
      </c>
      <c r="N2436" t="s">
        <v>3</v>
      </c>
      <c r="O2436" t="s">
        <v>3</v>
      </c>
      <c r="P2436" t="s">
        <v>5</v>
      </c>
      <c r="Q2436" t="s">
        <v>5357</v>
      </c>
      <c r="R2436" t="s">
        <v>3</v>
      </c>
      <c r="S2436" t="s">
        <v>3</v>
      </c>
      <c r="T2436" t="s">
        <v>3</v>
      </c>
      <c r="U2436" t="s">
        <v>3</v>
      </c>
      <c r="V2436" t="s">
        <v>3</v>
      </c>
      <c r="W2436" t="s">
        <v>68</v>
      </c>
      <c r="X2436" s="17"/>
      <c r="Y2436" t="s">
        <v>3</v>
      </c>
      <c r="Z2436" s="17">
        <v>43811</v>
      </c>
      <c r="AA2436" t="s">
        <v>3</v>
      </c>
      <c r="AB2436" t="s">
        <v>5354</v>
      </c>
    </row>
    <row r="2437" spans="1:28" hidden="1">
      <c r="A2437" t="s">
        <v>5354</v>
      </c>
      <c r="B2437" s="17">
        <v>43811</v>
      </c>
      <c r="C2437" s="17">
        <v>43811</v>
      </c>
      <c r="D2437" t="s">
        <v>0</v>
      </c>
      <c r="E2437" t="s">
        <v>1</v>
      </c>
      <c r="F2437" s="18">
        <v>30807</v>
      </c>
      <c r="G2437" s="18">
        <v>30807</v>
      </c>
      <c r="H2437" t="s">
        <v>2</v>
      </c>
      <c r="I2437" t="s">
        <v>8</v>
      </c>
      <c r="J2437" s="18">
        <v>2572384.5</v>
      </c>
      <c r="K2437" t="s">
        <v>5359</v>
      </c>
      <c r="L2437" t="s">
        <v>9</v>
      </c>
      <c r="M2437" t="s">
        <v>5356</v>
      </c>
      <c r="N2437" t="s">
        <v>3</v>
      </c>
      <c r="O2437" t="s">
        <v>3</v>
      </c>
      <c r="P2437" t="s">
        <v>5</v>
      </c>
      <c r="Q2437" t="s">
        <v>5357</v>
      </c>
      <c r="R2437" t="s">
        <v>3</v>
      </c>
      <c r="S2437" t="s">
        <v>3</v>
      </c>
      <c r="T2437" t="s">
        <v>3</v>
      </c>
      <c r="U2437" t="s">
        <v>3</v>
      </c>
      <c r="V2437" t="s">
        <v>3</v>
      </c>
      <c r="W2437" t="s">
        <v>68</v>
      </c>
      <c r="X2437" s="17">
        <v>44012</v>
      </c>
      <c r="Y2437" t="s">
        <v>4137</v>
      </c>
      <c r="Z2437" s="17">
        <v>43811</v>
      </c>
      <c r="AA2437" t="s">
        <v>3</v>
      </c>
      <c r="AB2437" t="s">
        <v>5354</v>
      </c>
    </row>
    <row r="2438" spans="1:28" hidden="1">
      <c r="A2438" t="s">
        <v>5365</v>
      </c>
      <c r="B2438" s="17">
        <v>43814</v>
      </c>
      <c r="C2438" s="17">
        <v>43814</v>
      </c>
      <c r="D2438" t="s">
        <v>0</v>
      </c>
      <c r="E2438" t="s">
        <v>1</v>
      </c>
      <c r="F2438" s="18">
        <v>4169</v>
      </c>
      <c r="G2438" s="18">
        <v>4169</v>
      </c>
      <c r="H2438" t="s">
        <v>2</v>
      </c>
      <c r="I2438" t="s">
        <v>8</v>
      </c>
      <c r="J2438" s="18">
        <v>348111.5</v>
      </c>
      <c r="K2438" t="s">
        <v>5273</v>
      </c>
      <c r="L2438" t="s">
        <v>9</v>
      </c>
      <c r="M2438" t="s">
        <v>5366</v>
      </c>
      <c r="N2438" t="s">
        <v>3</v>
      </c>
      <c r="O2438" t="s">
        <v>3</v>
      </c>
      <c r="P2438" t="s">
        <v>5</v>
      </c>
      <c r="Q2438" t="s">
        <v>5367</v>
      </c>
      <c r="R2438" t="s">
        <v>3</v>
      </c>
      <c r="S2438" t="s">
        <v>3</v>
      </c>
      <c r="T2438" t="s">
        <v>3</v>
      </c>
      <c r="U2438" t="s">
        <v>3</v>
      </c>
      <c r="V2438" t="s">
        <v>3</v>
      </c>
      <c r="W2438" t="s">
        <v>68</v>
      </c>
      <c r="X2438" s="17"/>
      <c r="Y2438" t="s">
        <v>3</v>
      </c>
      <c r="Z2438" s="17">
        <v>43814</v>
      </c>
      <c r="AA2438" t="s">
        <v>3</v>
      </c>
      <c r="AB2438" t="s">
        <v>5365</v>
      </c>
    </row>
    <row r="2439" spans="1:28" hidden="1">
      <c r="A2439" t="s">
        <v>5365</v>
      </c>
      <c r="B2439" s="17">
        <v>43814</v>
      </c>
      <c r="C2439" s="17">
        <v>43814</v>
      </c>
      <c r="D2439" t="s">
        <v>0</v>
      </c>
      <c r="E2439" t="s">
        <v>1</v>
      </c>
      <c r="F2439" s="18">
        <v>1929</v>
      </c>
      <c r="G2439" s="18">
        <v>1929</v>
      </c>
      <c r="H2439" t="s">
        <v>2</v>
      </c>
      <c r="I2439" t="s">
        <v>8</v>
      </c>
      <c r="J2439" s="18">
        <v>161071.5</v>
      </c>
      <c r="K2439" t="s">
        <v>5274</v>
      </c>
      <c r="L2439" t="s">
        <v>9</v>
      </c>
      <c r="M2439" t="s">
        <v>5366</v>
      </c>
      <c r="N2439" t="s">
        <v>3</v>
      </c>
      <c r="O2439" t="s">
        <v>3</v>
      </c>
      <c r="P2439" t="s">
        <v>5</v>
      </c>
      <c r="Q2439" t="s">
        <v>5367</v>
      </c>
      <c r="R2439" t="s">
        <v>3</v>
      </c>
      <c r="S2439" t="s">
        <v>3</v>
      </c>
      <c r="T2439" t="s">
        <v>3</v>
      </c>
      <c r="U2439" t="s">
        <v>3</v>
      </c>
      <c r="V2439" t="s">
        <v>3</v>
      </c>
      <c r="W2439" t="s">
        <v>68</v>
      </c>
      <c r="X2439" s="17"/>
      <c r="Y2439" t="s">
        <v>3</v>
      </c>
      <c r="Z2439" s="17">
        <v>43814</v>
      </c>
      <c r="AA2439" t="s">
        <v>3</v>
      </c>
      <c r="AB2439" t="s">
        <v>5365</v>
      </c>
    </row>
    <row r="2440" spans="1:28" hidden="1">
      <c r="A2440" t="s">
        <v>5368</v>
      </c>
      <c r="B2440" s="17">
        <v>43814</v>
      </c>
      <c r="C2440" s="17">
        <v>43814</v>
      </c>
      <c r="D2440" t="s">
        <v>0</v>
      </c>
      <c r="E2440" t="s">
        <v>1</v>
      </c>
      <c r="F2440" s="18">
        <v>35380</v>
      </c>
      <c r="G2440" s="18">
        <v>35380</v>
      </c>
      <c r="H2440" t="s">
        <v>2</v>
      </c>
      <c r="I2440" t="s">
        <v>8</v>
      </c>
      <c r="J2440" s="18">
        <v>2954230</v>
      </c>
      <c r="K2440" t="s">
        <v>5270</v>
      </c>
      <c r="L2440" t="s">
        <v>9</v>
      </c>
      <c r="M2440" t="s">
        <v>5369</v>
      </c>
      <c r="N2440" t="s">
        <v>3</v>
      </c>
      <c r="O2440" t="s">
        <v>3</v>
      </c>
      <c r="P2440" t="s">
        <v>5</v>
      </c>
      <c r="Q2440" t="s">
        <v>5370</v>
      </c>
      <c r="R2440" t="s">
        <v>3</v>
      </c>
      <c r="S2440" t="s">
        <v>3</v>
      </c>
      <c r="T2440" t="s">
        <v>3</v>
      </c>
      <c r="U2440" t="s">
        <v>3</v>
      </c>
      <c r="V2440" t="s">
        <v>3</v>
      </c>
      <c r="W2440" t="s">
        <v>68</v>
      </c>
      <c r="X2440" s="17"/>
      <c r="Y2440" t="s">
        <v>3</v>
      </c>
      <c r="Z2440" s="17">
        <v>43814</v>
      </c>
      <c r="AA2440" t="s">
        <v>3</v>
      </c>
      <c r="AB2440" t="s">
        <v>5368</v>
      </c>
    </row>
    <row r="2441" spans="1:28" hidden="1">
      <c r="A2441" t="s">
        <v>5368</v>
      </c>
      <c r="B2441" s="17">
        <v>43814</v>
      </c>
      <c r="C2441" s="17">
        <v>43814</v>
      </c>
      <c r="D2441" t="s">
        <v>0</v>
      </c>
      <c r="E2441" t="s">
        <v>1</v>
      </c>
      <c r="F2441" s="18">
        <v>32718</v>
      </c>
      <c r="G2441" s="18">
        <v>32718</v>
      </c>
      <c r="H2441" t="s">
        <v>2</v>
      </c>
      <c r="I2441" t="s">
        <v>8</v>
      </c>
      <c r="J2441" s="18">
        <v>2746676.1</v>
      </c>
      <c r="K2441" t="s">
        <v>5352</v>
      </c>
      <c r="L2441" t="s">
        <v>9</v>
      </c>
      <c r="M2441" t="s">
        <v>5369</v>
      </c>
      <c r="N2441" t="s">
        <v>3</v>
      </c>
      <c r="O2441" t="s">
        <v>3</v>
      </c>
      <c r="P2441" t="s">
        <v>5</v>
      </c>
      <c r="Q2441" t="s">
        <v>5370</v>
      </c>
      <c r="R2441" t="s">
        <v>3</v>
      </c>
      <c r="S2441" t="s">
        <v>3</v>
      </c>
      <c r="T2441" t="s">
        <v>3</v>
      </c>
      <c r="U2441" t="s">
        <v>3</v>
      </c>
      <c r="V2441" t="s">
        <v>3</v>
      </c>
      <c r="W2441" t="s">
        <v>68</v>
      </c>
      <c r="X2441" s="17"/>
      <c r="Y2441" t="s">
        <v>3</v>
      </c>
      <c r="Z2441" s="17">
        <v>43814</v>
      </c>
      <c r="AA2441" t="s">
        <v>3</v>
      </c>
      <c r="AB2441" t="s">
        <v>5368</v>
      </c>
    </row>
    <row r="2442" spans="1:28" hidden="1">
      <c r="A2442" t="s">
        <v>5368</v>
      </c>
      <c r="B2442" s="17">
        <v>43814</v>
      </c>
      <c r="C2442" s="17">
        <v>43814</v>
      </c>
      <c r="D2442" t="s">
        <v>0</v>
      </c>
      <c r="E2442" t="s">
        <v>1</v>
      </c>
      <c r="F2442" s="18">
        <v>918</v>
      </c>
      <c r="G2442" s="18">
        <v>918</v>
      </c>
      <c r="H2442" t="s">
        <v>2</v>
      </c>
      <c r="I2442" t="s">
        <v>8</v>
      </c>
      <c r="J2442" s="18">
        <v>76653</v>
      </c>
      <c r="K2442" t="s">
        <v>5353</v>
      </c>
      <c r="L2442" t="s">
        <v>9</v>
      </c>
      <c r="M2442" t="s">
        <v>5369</v>
      </c>
      <c r="N2442" t="s">
        <v>3</v>
      </c>
      <c r="O2442" t="s">
        <v>3</v>
      </c>
      <c r="P2442" t="s">
        <v>5</v>
      </c>
      <c r="Q2442" t="s">
        <v>5370</v>
      </c>
      <c r="R2442" t="s">
        <v>3</v>
      </c>
      <c r="S2442" t="s">
        <v>3</v>
      </c>
      <c r="T2442" t="s">
        <v>3</v>
      </c>
      <c r="U2442" t="s">
        <v>3</v>
      </c>
      <c r="V2442" t="s">
        <v>3</v>
      </c>
      <c r="W2442" t="s">
        <v>68</v>
      </c>
      <c r="X2442" s="17"/>
      <c r="Y2442" t="s">
        <v>3</v>
      </c>
      <c r="Z2442" s="17">
        <v>43814</v>
      </c>
      <c r="AA2442" t="s">
        <v>3</v>
      </c>
      <c r="AB2442" t="s">
        <v>5368</v>
      </c>
    </row>
    <row r="2443" spans="1:28" hidden="1">
      <c r="A2443" t="s">
        <v>5368</v>
      </c>
      <c r="B2443" s="17">
        <v>43814</v>
      </c>
      <c r="C2443" s="17">
        <v>43814</v>
      </c>
      <c r="D2443" t="s">
        <v>0</v>
      </c>
      <c r="E2443" t="s">
        <v>1</v>
      </c>
      <c r="F2443" s="18">
        <v>9484</v>
      </c>
      <c r="G2443" s="18">
        <v>9484</v>
      </c>
      <c r="H2443" t="s">
        <v>2</v>
      </c>
      <c r="I2443" t="s">
        <v>8</v>
      </c>
      <c r="J2443" s="18">
        <v>791914</v>
      </c>
      <c r="K2443" t="s">
        <v>5273</v>
      </c>
      <c r="L2443" t="s">
        <v>9</v>
      </c>
      <c r="M2443" t="s">
        <v>5369</v>
      </c>
      <c r="N2443" t="s">
        <v>3</v>
      </c>
      <c r="O2443" t="s">
        <v>3</v>
      </c>
      <c r="P2443" t="s">
        <v>5</v>
      </c>
      <c r="Q2443" t="s">
        <v>5370</v>
      </c>
      <c r="R2443" t="s">
        <v>3</v>
      </c>
      <c r="S2443" t="s">
        <v>3</v>
      </c>
      <c r="T2443" t="s">
        <v>3</v>
      </c>
      <c r="U2443" t="s">
        <v>3</v>
      </c>
      <c r="V2443" t="s">
        <v>3</v>
      </c>
      <c r="W2443" t="s">
        <v>68</v>
      </c>
      <c r="X2443" s="17"/>
      <c r="Y2443" t="s">
        <v>3</v>
      </c>
      <c r="Z2443" s="17">
        <v>43814</v>
      </c>
      <c r="AA2443" t="s">
        <v>3</v>
      </c>
      <c r="AB2443" t="s">
        <v>5368</v>
      </c>
    </row>
    <row r="2444" spans="1:28" hidden="1">
      <c r="A2444" t="s">
        <v>5368</v>
      </c>
      <c r="B2444" s="17">
        <v>43814</v>
      </c>
      <c r="C2444" s="17">
        <v>43814</v>
      </c>
      <c r="D2444" t="s">
        <v>0</v>
      </c>
      <c r="E2444" t="s">
        <v>1</v>
      </c>
      <c r="F2444" s="18">
        <v>28995</v>
      </c>
      <c r="G2444" s="18">
        <v>28995</v>
      </c>
      <c r="H2444" t="s">
        <v>2</v>
      </c>
      <c r="I2444" t="s">
        <v>8</v>
      </c>
      <c r="J2444" s="18">
        <v>2431230.75</v>
      </c>
      <c r="K2444" t="s">
        <v>5267</v>
      </c>
      <c r="L2444" t="s">
        <v>9</v>
      </c>
      <c r="M2444" t="s">
        <v>5369</v>
      </c>
      <c r="N2444" t="s">
        <v>3</v>
      </c>
      <c r="O2444" t="s">
        <v>3</v>
      </c>
      <c r="P2444" t="s">
        <v>5</v>
      </c>
      <c r="Q2444" t="s">
        <v>5370</v>
      </c>
      <c r="R2444" t="s">
        <v>3</v>
      </c>
      <c r="S2444" t="s">
        <v>3</v>
      </c>
      <c r="T2444" t="s">
        <v>3</v>
      </c>
      <c r="U2444" t="s">
        <v>3</v>
      </c>
      <c r="V2444" t="s">
        <v>3</v>
      </c>
      <c r="W2444" t="s">
        <v>68</v>
      </c>
      <c r="X2444" s="17"/>
      <c r="Y2444" t="s">
        <v>3</v>
      </c>
      <c r="Z2444" s="17">
        <v>43814</v>
      </c>
      <c r="AA2444" t="s">
        <v>3</v>
      </c>
      <c r="AB2444" t="s">
        <v>5368</v>
      </c>
    </row>
    <row r="2445" spans="1:28" hidden="1">
      <c r="A2445" t="s">
        <v>5368</v>
      </c>
      <c r="B2445" s="17">
        <v>43814</v>
      </c>
      <c r="C2445" s="17">
        <v>43814</v>
      </c>
      <c r="D2445" t="s">
        <v>0</v>
      </c>
      <c r="E2445" t="s">
        <v>1</v>
      </c>
      <c r="F2445" s="18">
        <v>44184</v>
      </c>
      <c r="G2445" s="18">
        <v>44184</v>
      </c>
      <c r="H2445" t="s">
        <v>2</v>
      </c>
      <c r="I2445" t="s">
        <v>8</v>
      </c>
      <c r="J2445" s="18">
        <v>3709246.8</v>
      </c>
      <c r="K2445" t="s">
        <v>5371</v>
      </c>
      <c r="L2445" t="s">
        <v>9</v>
      </c>
      <c r="M2445" t="s">
        <v>5369</v>
      </c>
      <c r="N2445" t="s">
        <v>3</v>
      </c>
      <c r="O2445" t="s">
        <v>3</v>
      </c>
      <c r="P2445" t="s">
        <v>5</v>
      </c>
      <c r="Q2445" t="s">
        <v>5370</v>
      </c>
      <c r="R2445" t="s">
        <v>3</v>
      </c>
      <c r="S2445" t="s">
        <v>3</v>
      </c>
      <c r="T2445" t="s">
        <v>3</v>
      </c>
      <c r="U2445" t="s">
        <v>3</v>
      </c>
      <c r="V2445" t="s">
        <v>3</v>
      </c>
      <c r="W2445" t="s">
        <v>68</v>
      </c>
      <c r="X2445" s="17"/>
      <c r="Y2445" t="s">
        <v>3</v>
      </c>
      <c r="Z2445" s="17">
        <v>43814</v>
      </c>
      <c r="AA2445" t="s">
        <v>3</v>
      </c>
      <c r="AB2445" t="s">
        <v>5368</v>
      </c>
    </row>
    <row r="2446" spans="1:28" hidden="1">
      <c r="A2446" t="s">
        <v>5372</v>
      </c>
      <c r="B2446" s="17">
        <v>43814</v>
      </c>
      <c r="C2446" s="17">
        <v>43814</v>
      </c>
      <c r="D2446" t="s">
        <v>0</v>
      </c>
      <c r="E2446" t="s">
        <v>1</v>
      </c>
      <c r="F2446" s="18">
        <v>26287.91</v>
      </c>
      <c r="G2446" s="18">
        <v>26287.91</v>
      </c>
      <c r="H2446" t="s">
        <v>2</v>
      </c>
      <c r="I2446" t="s">
        <v>10</v>
      </c>
      <c r="J2446" s="18">
        <v>2204241.25</v>
      </c>
      <c r="K2446" t="s">
        <v>5282</v>
      </c>
      <c r="L2446" t="s">
        <v>4</v>
      </c>
      <c r="M2446" t="s">
        <v>5373</v>
      </c>
      <c r="N2446" t="s">
        <v>3</v>
      </c>
      <c r="O2446" t="s">
        <v>3</v>
      </c>
      <c r="P2446" t="s">
        <v>5</v>
      </c>
      <c r="Q2446" t="s">
        <v>5374</v>
      </c>
      <c r="R2446" t="s">
        <v>3</v>
      </c>
      <c r="S2446" t="s">
        <v>3</v>
      </c>
      <c r="T2446" t="s">
        <v>3</v>
      </c>
      <c r="U2446" t="s">
        <v>3</v>
      </c>
      <c r="V2446" t="s">
        <v>3</v>
      </c>
      <c r="W2446" t="s">
        <v>68</v>
      </c>
      <c r="X2446" s="17"/>
      <c r="Y2446" t="s">
        <v>3</v>
      </c>
      <c r="Z2446" s="17">
        <v>43814</v>
      </c>
      <c r="AA2446" t="s">
        <v>3</v>
      </c>
      <c r="AB2446" t="s">
        <v>5372</v>
      </c>
    </row>
    <row r="2447" spans="1:28" hidden="1">
      <c r="A2447" t="s">
        <v>5372</v>
      </c>
      <c r="B2447" s="17">
        <v>43814</v>
      </c>
      <c r="C2447" s="17">
        <v>43814</v>
      </c>
      <c r="D2447" t="s">
        <v>0</v>
      </c>
      <c r="E2447" t="s">
        <v>1</v>
      </c>
      <c r="F2447" s="18">
        <v>12957.12</v>
      </c>
      <c r="G2447" s="18">
        <v>12957.12</v>
      </c>
      <c r="H2447" t="s">
        <v>2</v>
      </c>
      <c r="I2447" t="s">
        <v>10</v>
      </c>
      <c r="J2447" s="18">
        <v>1081919.52</v>
      </c>
      <c r="K2447" t="s">
        <v>5285</v>
      </c>
      <c r="L2447" t="s">
        <v>4</v>
      </c>
      <c r="M2447" t="s">
        <v>5373</v>
      </c>
      <c r="N2447" t="s">
        <v>3</v>
      </c>
      <c r="O2447" t="s">
        <v>3</v>
      </c>
      <c r="P2447" t="s">
        <v>5</v>
      </c>
      <c r="Q2447" t="s">
        <v>5374</v>
      </c>
      <c r="R2447" t="s">
        <v>3</v>
      </c>
      <c r="S2447" t="s">
        <v>3</v>
      </c>
      <c r="T2447" t="s">
        <v>3</v>
      </c>
      <c r="U2447" t="s">
        <v>3</v>
      </c>
      <c r="V2447" t="s">
        <v>3</v>
      </c>
      <c r="W2447" t="s">
        <v>68</v>
      </c>
      <c r="X2447" s="17"/>
      <c r="Y2447" t="s">
        <v>3</v>
      </c>
      <c r="Z2447" s="17">
        <v>43814</v>
      </c>
      <c r="AA2447" t="s">
        <v>3</v>
      </c>
      <c r="AB2447" t="s">
        <v>5372</v>
      </c>
    </row>
    <row r="2448" spans="1:28" hidden="1">
      <c r="A2448" t="s">
        <v>5372</v>
      </c>
      <c r="B2448" s="17">
        <v>43814</v>
      </c>
      <c r="C2448" s="17">
        <v>43814</v>
      </c>
      <c r="D2448" t="s">
        <v>0</v>
      </c>
      <c r="E2448" t="s">
        <v>1</v>
      </c>
      <c r="F2448" s="18">
        <v>25763.05</v>
      </c>
      <c r="G2448" s="18">
        <v>25763.05</v>
      </c>
      <c r="H2448" t="s">
        <v>2</v>
      </c>
      <c r="I2448" t="s">
        <v>10</v>
      </c>
      <c r="J2448" s="18">
        <v>2162808.0499999998</v>
      </c>
      <c r="K2448" t="s">
        <v>5335</v>
      </c>
      <c r="L2448" t="s">
        <v>4</v>
      </c>
      <c r="M2448" t="s">
        <v>5373</v>
      </c>
      <c r="N2448" t="s">
        <v>3</v>
      </c>
      <c r="O2448" t="s">
        <v>3</v>
      </c>
      <c r="P2448" t="s">
        <v>5</v>
      </c>
      <c r="Q2448" t="s">
        <v>5374</v>
      </c>
      <c r="R2448" t="s">
        <v>3</v>
      </c>
      <c r="S2448" t="s">
        <v>3</v>
      </c>
      <c r="T2448" t="s">
        <v>3</v>
      </c>
      <c r="U2448" t="s">
        <v>3</v>
      </c>
      <c r="V2448" t="s">
        <v>3</v>
      </c>
      <c r="W2448" t="s">
        <v>68</v>
      </c>
      <c r="X2448" s="17"/>
      <c r="Y2448" t="s">
        <v>3</v>
      </c>
      <c r="Z2448" s="17">
        <v>43814</v>
      </c>
      <c r="AA2448" t="s">
        <v>3</v>
      </c>
      <c r="AB2448" t="s">
        <v>5372</v>
      </c>
    </row>
    <row r="2449" spans="1:28" hidden="1">
      <c r="A2449" t="s">
        <v>5372</v>
      </c>
      <c r="B2449" s="17">
        <v>43814</v>
      </c>
      <c r="C2449" s="17">
        <v>43814</v>
      </c>
      <c r="D2449" t="s">
        <v>0</v>
      </c>
      <c r="E2449" t="s">
        <v>1</v>
      </c>
      <c r="F2449" s="18">
        <v>13934.82</v>
      </c>
      <c r="G2449" s="18">
        <v>13934.82</v>
      </c>
      <c r="H2449" t="s">
        <v>2</v>
      </c>
      <c r="I2449" t="s">
        <v>10</v>
      </c>
      <c r="J2449" s="18">
        <v>1168434.6599999999</v>
      </c>
      <c r="K2449" t="s">
        <v>5286</v>
      </c>
      <c r="L2449" t="s">
        <v>4</v>
      </c>
      <c r="M2449" t="s">
        <v>5373</v>
      </c>
      <c r="N2449" t="s">
        <v>3</v>
      </c>
      <c r="O2449" t="s">
        <v>3</v>
      </c>
      <c r="P2449" t="s">
        <v>5</v>
      </c>
      <c r="Q2449" t="s">
        <v>5374</v>
      </c>
      <c r="R2449" t="s">
        <v>3</v>
      </c>
      <c r="S2449" t="s">
        <v>3</v>
      </c>
      <c r="T2449" t="s">
        <v>3</v>
      </c>
      <c r="U2449" t="s">
        <v>3</v>
      </c>
      <c r="V2449" t="s">
        <v>3</v>
      </c>
      <c r="W2449" t="s">
        <v>68</v>
      </c>
      <c r="X2449" s="17"/>
      <c r="Y2449" t="s">
        <v>3</v>
      </c>
      <c r="Z2449" s="17">
        <v>43814</v>
      </c>
      <c r="AA2449" t="s">
        <v>3</v>
      </c>
      <c r="AB2449" t="s">
        <v>5372</v>
      </c>
    </row>
    <row r="2450" spans="1:28" hidden="1">
      <c r="A2450" t="s">
        <v>5375</v>
      </c>
      <c r="B2450" s="17">
        <v>43816</v>
      </c>
      <c r="C2450" s="17">
        <v>43816</v>
      </c>
      <c r="D2450" t="s">
        <v>0</v>
      </c>
      <c r="E2450" t="s">
        <v>1</v>
      </c>
      <c r="F2450" s="18">
        <v>3195.19</v>
      </c>
      <c r="G2450" s="18">
        <v>3195.19</v>
      </c>
      <c r="H2450" t="s">
        <v>2</v>
      </c>
      <c r="I2450" t="s">
        <v>10</v>
      </c>
      <c r="J2450" s="18">
        <v>267916.68</v>
      </c>
      <c r="K2450" t="s">
        <v>5282</v>
      </c>
      <c r="L2450" t="s">
        <v>4</v>
      </c>
      <c r="M2450" t="s">
        <v>5376</v>
      </c>
      <c r="N2450" t="s">
        <v>3</v>
      </c>
      <c r="O2450" t="s">
        <v>3</v>
      </c>
      <c r="P2450" t="s">
        <v>5</v>
      </c>
      <c r="Q2450" t="s">
        <v>5377</v>
      </c>
      <c r="R2450" t="s">
        <v>3</v>
      </c>
      <c r="S2450" t="s">
        <v>3</v>
      </c>
      <c r="T2450" t="s">
        <v>3</v>
      </c>
      <c r="U2450" t="s">
        <v>3</v>
      </c>
      <c r="V2450" t="s">
        <v>3</v>
      </c>
      <c r="W2450" t="s">
        <v>68</v>
      </c>
      <c r="X2450" s="17"/>
      <c r="Y2450" t="s">
        <v>3</v>
      </c>
      <c r="Z2450" s="17">
        <v>43816</v>
      </c>
      <c r="AA2450" t="s">
        <v>3</v>
      </c>
      <c r="AB2450" t="s">
        <v>5375</v>
      </c>
    </row>
    <row r="2451" spans="1:28" hidden="1">
      <c r="A2451" t="s">
        <v>5375</v>
      </c>
      <c r="B2451" s="17">
        <v>43816</v>
      </c>
      <c r="C2451" s="17">
        <v>43816</v>
      </c>
      <c r="D2451" t="s">
        <v>0</v>
      </c>
      <c r="E2451" t="s">
        <v>1</v>
      </c>
      <c r="F2451" s="18">
        <v>15756.62</v>
      </c>
      <c r="G2451" s="18">
        <v>15756.62</v>
      </c>
      <c r="H2451" t="s">
        <v>2</v>
      </c>
      <c r="I2451" t="s">
        <v>10</v>
      </c>
      <c r="J2451" s="18">
        <v>1322768.25</v>
      </c>
      <c r="K2451" t="s">
        <v>5335</v>
      </c>
      <c r="L2451" t="s">
        <v>4</v>
      </c>
      <c r="M2451" t="s">
        <v>5376</v>
      </c>
      <c r="N2451" t="s">
        <v>3</v>
      </c>
      <c r="O2451" t="s">
        <v>3</v>
      </c>
      <c r="P2451" t="s">
        <v>5</v>
      </c>
      <c r="Q2451" t="s">
        <v>5377</v>
      </c>
      <c r="R2451" t="s">
        <v>3</v>
      </c>
      <c r="S2451" t="s">
        <v>3</v>
      </c>
      <c r="T2451" t="s">
        <v>3</v>
      </c>
      <c r="U2451" t="s">
        <v>3</v>
      </c>
      <c r="V2451" t="s">
        <v>3</v>
      </c>
      <c r="W2451" t="s">
        <v>68</v>
      </c>
      <c r="X2451" s="17"/>
      <c r="Y2451" t="s">
        <v>3</v>
      </c>
      <c r="Z2451" s="17">
        <v>43816</v>
      </c>
      <c r="AA2451" t="s">
        <v>3</v>
      </c>
      <c r="AB2451" t="s">
        <v>5375</v>
      </c>
    </row>
    <row r="2452" spans="1:28" hidden="1">
      <c r="A2452" t="s">
        <v>5378</v>
      </c>
      <c r="B2452" s="17">
        <v>43816</v>
      </c>
      <c r="C2452" s="17">
        <v>43816</v>
      </c>
      <c r="D2452" t="s">
        <v>0</v>
      </c>
      <c r="E2452" t="s">
        <v>1</v>
      </c>
      <c r="F2452" s="18">
        <v>3983.28</v>
      </c>
      <c r="G2452" s="18">
        <v>3983.28</v>
      </c>
      <c r="H2452" t="s">
        <v>2</v>
      </c>
      <c r="I2452" t="s">
        <v>10</v>
      </c>
      <c r="J2452" s="18">
        <v>333998.03000000003</v>
      </c>
      <c r="K2452" t="s">
        <v>5282</v>
      </c>
      <c r="L2452" t="s">
        <v>4</v>
      </c>
      <c r="M2452" t="s">
        <v>5379</v>
      </c>
      <c r="N2452" t="s">
        <v>3</v>
      </c>
      <c r="O2452" t="s">
        <v>3</v>
      </c>
      <c r="P2452" t="s">
        <v>5</v>
      </c>
      <c r="Q2452" t="s">
        <v>5380</v>
      </c>
      <c r="R2452" t="s">
        <v>3</v>
      </c>
      <c r="S2452" t="s">
        <v>3</v>
      </c>
      <c r="T2452" t="s">
        <v>3</v>
      </c>
      <c r="U2452" t="s">
        <v>3</v>
      </c>
      <c r="V2452" t="s">
        <v>3</v>
      </c>
      <c r="W2452" t="s">
        <v>68</v>
      </c>
      <c r="X2452" s="17"/>
      <c r="Y2452" t="s">
        <v>3</v>
      </c>
      <c r="Z2452" s="17">
        <v>43816</v>
      </c>
      <c r="AA2452" t="s">
        <v>3</v>
      </c>
      <c r="AB2452" t="s">
        <v>5378</v>
      </c>
    </row>
    <row r="2453" spans="1:28" hidden="1">
      <c r="A2453" t="s">
        <v>5378</v>
      </c>
      <c r="B2453" s="17">
        <v>43816</v>
      </c>
      <c r="C2453" s="17">
        <v>43816</v>
      </c>
      <c r="D2453" t="s">
        <v>0</v>
      </c>
      <c r="E2453" t="s">
        <v>1</v>
      </c>
      <c r="F2453" s="18">
        <v>9752.4599999999991</v>
      </c>
      <c r="G2453" s="18">
        <v>9752.4599999999991</v>
      </c>
      <c r="H2453" t="s">
        <v>2</v>
      </c>
      <c r="I2453" t="s">
        <v>10</v>
      </c>
      <c r="J2453" s="18">
        <v>818719.02</v>
      </c>
      <c r="K2453" t="s">
        <v>5335</v>
      </c>
      <c r="L2453" t="s">
        <v>4</v>
      </c>
      <c r="M2453" t="s">
        <v>5379</v>
      </c>
      <c r="N2453" t="s">
        <v>3</v>
      </c>
      <c r="O2453" t="s">
        <v>3</v>
      </c>
      <c r="P2453" t="s">
        <v>5</v>
      </c>
      <c r="Q2453" t="s">
        <v>5380</v>
      </c>
      <c r="R2453" t="s">
        <v>3</v>
      </c>
      <c r="S2453" t="s">
        <v>3</v>
      </c>
      <c r="T2453" t="s">
        <v>3</v>
      </c>
      <c r="U2453" t="s">
        <v>3</v>
      </c>
      <c r="V2453" t="s">
        <v>3</v>
      </c>
      <c r="W2453" t="s">
        <v>68</v>
      </c>
      <c r="X2453" s="17"/>
      <c r="Y2453" t="s">
        <v>3</v>
      </c>
      <c r="Z2453" s="17">
        <v>43816</v>
      </c>
      <c r="AA2453" t="s">
        <v>3</v>
      </c>
      <c r="AB2453" t="s">
        <v>5378</v>
      </c>
    </row>
    <row r="2454" spans="1:28" hidden="1">
      <c r="A2454" t="s">
        <v>5378</v>
      </c>
      <c r="B2454" s="17">
        <v>43816</v>
      </c>
      <c r="C2454" s="17">
        <v>43816</v>
      </c>
      <c r="D2454" t="s">
        <v>0</v>
      </c>
      <c r="E2454" t="s">
        <v>1</v>
      </c>
      <c r="F2454" s="18">
        <v>934.42</v>
      </c>
      <c r="G2454" s="18">
        <v>934.42</v>
      </c>
      <c r="H2454" t="s">
        <v>2</v>
      </c>
      <c r="I2454" t="s">
        <v>10</v>
      </c>
      <c r="J2454" s="18">
        <v>78351.12</v>
      </c>
      <c r="K2454" t="s">
        <v>5286</v>
      </c>
      <c r="L2454" t="s">
        <v>4</v>
      </c>
      <c r="M2454" t="s">
        <v>5379</v>
      </c>
      <c r="N2454" t="s">
        <v>3</v>
      </c>
      <c r="O2454" t="s">
        <v>3</v>
      </c>
      <c r="P2454" t="s">
        <v>5</v>
      </c>
      <c r="Q2454" t="s">
        <v>5380</v>
      </c>
      <c r="R2454" t="s">
        <v>3</v>
      </c>
      <c r="S2454" t="s">
        <v>3</v>
      </c>
      <c r="T2454" t="s">
        <v>3</v>
      </c>
      <c r="U2454" t="s">
        <v>3</v>
      </c>
      <c r="V2454" t="s">
        <v>3</v>
      </c>
      <c r="W2454" t="s">
        <v>68</v>
      </c>
      <c r="X2454" s="17"/>
      <c r="Y2454" t="s">
        <v>3</v>
      </c>
      <c r="Z2454" s="17">
        <v>43816</v>
      </c>
      <c r="AA2454" t="s">
        <v>3</v>
      </c>
      <c r="AB2454" t="s">
        <v>5378</v>
      </c>
    </row>
    <row r="2455" spans="1:28" hidden="1">
      <c r="A2455" t="s">
        <v>5381</v>
      </c>
      <c r="B2455" s="17">
        <v>43816</v>
      </c>
      <c r="C2455" s="17">
        <v>43816</v>
      </c>
      <c r="D2455" t="s">
        <v>0</v>
      </c>
      <c r="E2455" t="s">
        <v>1</v>
      </c>
      <c r="F2455" s="18">
        <v>8824.89</v>
      </c>
      <c r="G2455" s="18">
        <v>8824.89</v>
      </c>
      <c r="H2455" t="s">
        <v>2</v>
      </c>
      <c r="I2455" t="s">
        <v>8</v>
      </c>
      <c r="J2455" s="18">
        <v>736878.32</v>
      </c>
      <c r="K2455" t="s">
        <v>5291</v>
      </c>
      <c r="L2455" t="s">
        <v>4</v>
      </c>
      <c r="M2455" t="s">
        <v>5382</v>
      </c>
      <c r="N2455" t="s">
        <v>3</v>
      </c>
      <c r="O2455" t="s">
        <v>3</v>
      </c>
      <c r="P2455" t="s">
        <v>5</v>
      </c>
      <c r="Q2455" t="s">
        <v>5383</v>
      </c>
      <c r="R2455" t="s">
        <v>3</v>
      </c>
      <c r="S2455" t="s">
        <v>3</v>
      </c>
      <c r="T2455" t="s">
        <v>3</v>
      </c>
      <c r="U2455" t="s">
        <v>3</v>
      </c>
      <c r="V2455" t="s">
        <v>3</v>
      </c>
      <c r="W2455" t="s">
        <v>68</v>
      </c>
      <c r="X2455" s="17"/>
      <c r="Y2455" t="s">
        <v>3</v>
      </c>
      <c r="Z2455" s="17">
        <v>43816</v>
      </c>
      <c r="AA2455" t="s">
        <v>3</v>
      </c>
      <c r="AB2455" t="s">
        <v>5381</v>
      </c>
    </row>
    <row r="2456" spans="1:28" hidden="1">
      <c r="A2456" t="s">
        <v>5381</v>
      </c>
      <c r="B2456" s="17">
        <v>43816</v>
      </c>
      <c r="C2456" s="17">
        <v>43816</v>
      </c>
      <c r="D2456" t="s">
        <v>0</v>
      </c>
      <c r="E2456" t="s">
        <v>1</v>
      </c>
      <c r="F2456" s="18">
        <v>2199.23</v>
      </c>
      <c r="G2456" s="18">
        <v>2199.23</v>
      </c>
      <c r="H2456" t="s">
        <v>2</v>
      </c>
      <c r="I2456" t="s">
        <v>8</v>
      </c>
      <c r="J2456" s="18">
        <v>184405.44</v>
      </c>
      <c r="K2456" t="s">
        <v>5280</v>
      </c>
      <c r="L2456" t="s">
        <v>4</v>
      </c>
      <c r="M2456" t="s">
        <v>5382</v>
      </c>
      <c r="N2456" t="s">
        <v>3</v>
      </c>
      <c r="O2456" t="s">
        <v>3</v>
      </c>
      <c r="P2456" t="s">
        <v>5</v>
      </c>
      <c r="Q2456" t="s">
        <v>5383</v>
      </c>
      <c r="R2456" t="s">
        <v>3</v>
      </c>
      <c r="S2456" t="s">
        <v>3</v>
      </c>
      <c r="T2456" t="s">
        <v>3</v>
      </c>
      <c r="U2456" t="s">
        <v>3</v>
      </c>
      <c r="V2456" t="s">
        <v>3</v>
      </c>
      <c r="W2456" t="s">
        <v>68</v>
      </c>
      <c r="X2456" s="17"/>
      <c r="Y2456" t="s">
        <v>3</v>
      </c>
      <c r="Z2456" s="17">
        <v>43816</v>
      </c>
      <c r="AA2456" t="s">
        <v>3</v>
      </c>
      <c r="AB2456" t="s">
        <v>5381</v>
      </c>
    </row>
    <row r="2457" spans="1:28" hidden="1">
      <c r="A2457" t="s">
        <v>5384</v>
      </c>
      <c r="B2457" s="17">
        <v>43816</v>
      </c>
      <c r="C2457" s="17">
        <v>43816</v>
      </c>
      <c r="D2457" t="s">
        <v>0</v>
      </c>
      <c r="E2457" t="s">
        <v>1</v>
      </c>
      <c r="F2457" s="18">
        <v>32139.59</v>
      </c>
      <c r="G2457" s="18">
        <v>32139.59</v>
      </c>
      <c r="H2457" t="s">
        <v>2</v>
      </c>
      <c r="I2457" t="s">
        <v>8</v>
      </c>
      <c r="J2457" s="18">
        <v>2683655.77</v>
      </c>
      <c r="K2457" t="s">
        <v>5291</v>
      </c>
      <c r="L2457" t="s">
        <v>4</v>
      </c>
      <c r="M2457" t="s">
        <v>5385</v>
      </c>
      <c r="N2457" t="s">
        <v>3</v>
      </c>
      <c r="O2457" t="s">
        <v>3</v>
      </c>
      <c r="P2457" t="s">
        <v>5</v>
      </c>
      <c r="Q2457" t="s">
        <v>5386</v>
      </c>
      <c r="R2457" t="s">
        <v>3</v>
      </c>
      <c r="S2457" t="s">
        <v>3</v>
      </c>
      <c r="T2457" t="s">
        <v>3</v>
      </c>
      <c r="U2457" t="s">
        <v>3</v>
      </c>
      <c r="V2457" t="s">
        <v>3</v>
      </c>
      <c r="W2457" t="s">
        <v>68</v>
      </c>
      <c r="X2457" s="17"/>
      <c r="Y2457" t="s">
        <v>3</v>
      </c>
      <c r="Z2457" s="17">
        <v>43816</v>
      </c>
      <c r="AA2457" t="s">
        <v>3</v>
      </c>
      <c r="AB2457" t="s">
        <v>5384</v>
      </c>
    </row>
    <row r="2458" spans="1:28" hidden="1">
      <c r="A2458" t="s">
        <v>5384</v>
      </c>
      <c r="B2458" s="17">
        <v>43816</v>
      </c>
      <c r="C2458" s="17">
        <v>43816</v>
      </c>
      <c r="D2458" t="s">
        <v>0</v>
      </c>
      <c r="E2458" t="s">
        <v>1</v>
      </c>
      <c r="F2458" s="18">
        <v>14859.55</v>
      </c>
      <c r="G2458" s="18">
        <v>14859.55</v>
      </c>
      <c r="H2458" t="s">
        <v>2</v>
      </c>
      <c r="I2458" t="s">
        <v>8</v>
      </c>
      <c r="J2458" s="18">
        <v>1245973.27</v>
      </c>
      <c r="K2458" t="s">
        <v>5277</v>
      </c>
      <c r="L2458" t="s">
        <v>4</v>
      </c>
      <c r="M2458" t="s">
        <v>5385</v>
      </c>
      <c r="N2458" t="s">
        <v>3</v>
      </c>
      <c r="O2458" t="s">
        <v>3</v>
      </c>
      <c r="P2458" t="s">
        <v>5</v>
      </c>
      <c r="Q2458" t="s">
        <v>5386</v>
      </c>
      <c r="R2458" t="s">
        <v>3</v>
      </c>
      <c r="S2458" t="s">
        <v>3</v>
      </c>
      <c r="T2458" t="s">
        <v>3</v>
      </c>
      <c r="U2458" t="s">
        <v>3</v>
      </c>
      <c r="V2458" t="s">
        <v>3</v>
      </c>
      <c r="W2458" t="s">
        <v>68</v>
      </c>
      <c r="X2458" s="17"/>
      <c r="Y2458" t="s">
        <v>3</v>
      </c>
      <c r="Z2458" s="17">
        <v>43816</v>
      </c>
      <c r="AA2458" t="s">
        <v>3</v>
      </c>
      <c r="AB2458" t="s">
        <v>5384</v>
      </c>
    </row>
    <row r="2459" spans="1:28" hidden="1">
      <c r="A2459" t="s">
        <v>5384</v>
      </c>
      <c r="B2459" s="17">
        <v>43816</v>
      </c>
      <c r="C2459" s="17">
        <v>43816</v>
      </c>
      <c r="D2459" t="s">
        <v>0</v>
      </c>
      <c r="E2459" t="s">
        <v>1</v>
      </c>
      <c r="F2459" s="18">
        <v>7496.66</v>
      </c>
      <c r="G2459" s="18">
        <v>7496.66</v>
      </c>
      <c r="H2459" t="s">
        <v>2</v>
      </c>
      <c r="I2459" t="s">
        <v>8</v>
      </c>
      <c r="J2459" s="18">
        <v>628594.93999999994</v>
      </c>
      <c r="K2459" t="s">
        <v>5280</v>
      </c>
      <c r="L2459" t="s">
        <v>4</v>
      </c>
      <c r="M2459" t="s">
        <v>5385</v>
      </c>
      <c r="N2459" t="s">
        <v>3</v>
      </c>
      <c r="O2459" t="s">
        <v>3</v>
      </c>
      <c r="P2459" t="s">
        <v>5</v>
      </c>
      <c r="Q2459" t="s">
        <v>5386</v>
      </c>
      <c r="R2459" t="s">
        <v>3</v>
      </c>
      <c r="S2459" t="s">
        <v>3</v>
      </c>
      <c r="T2459" t="s">
        <v>3</v>
      </c>
      <c r="U2459" t="s">
        <v>3</v>
      </c>
      <c r="V2459" t="s">
        <v>3</v>
      </c>
      <c r="W2459" t="s">
        <v>68</v>
      </c>
      <c r="X2459" s="17"/>
      <c r="Y2459" t="s">
        <v>3</v>
      </c>
      <c r="Z2459" s="17">
        <v>43816</v>
      </c>
      <c r="AA2459" t="s">
        <v>3</v>
      </c>
      <c r="AB2459" t="s">
        <v>5384</v>
      </c>
    </row>
    <row r="2460" spans="1:28" hidden="1">
      <c r="A2460" t="s">
        <v>5384</v>
      </c>
      <c r="B2460" s="17">
        <v>43816</v>
      </c>
      <c r="C2460" s="17">
        <v>43816</v>
      </c>
      <c r="D2460" t="s">
        <v>0</v>
      </c>
      <c r="E2460" t="s">
        <v>1</v>
      </c>
      <c r="F2460" s="18">
        <v>18955.86</v>
      </c>
      <c r="G2460" s="18">
        <v>18955.86</v>
      </c>
      <c r="H2460" t="s">
        <v>2</v>
      </c>
      <c r="I2460" t="s">
        <v>8</v>
      </c>
      <c r="J2460" s="18">
        <v>1591344.45</v>
      </c>
      <c r="K2460" t="s">
        <v>5364</v>
      </c>
      <c r="L2460" t="s">
        <v>4</v>
      </c>
      <c r="M2460" t="s">
        <v>5385</v>
      </c>
      <c r="N2460" t="s">
        <v>3</v>
      </c>
      <c r="O2460" t="s">
        <v>3</v>
      </c>
      <c r="P2460" t="s">
        <v>5</v>
      </c>
      <c r="Q2460" t="s">
        <v>5386</v>
      </c>
      <c r="R2460" t="s">
        <v>3</v>
      </c>
      <c r="S2460" t="s">
        <v>3</v>
      </c>
      <c r="T2460" t="s">
        <v>3</v>
      </c>
      <c r="U2460" t="s">
        <v>3</v>
      </c>
      <c r="V2460" t="s">
        <v>3</v>
      </c>
      <c r="W2460" t="s">
        <v>68</v>
      </c>
      <c r="X2460" s="17"/>
      <c r="Y2460" t="s">
        <v>3</v>
      </c>
      <c r="Z2460" s="17">
        <v>43816</v>
      </c>
      <c r="AA2460" t="s">
        <v>3</v>
      </c>
      <c r="AB2460" t="s">
        <v>5384</v>
      </c>
    </row>
    <row r="2461" spans="1:28" hidden="1">
      <c r="A2461" t="s">
        <v>5387</v>
      </c>
      <c r="B2461" s="17">
        <v>43816</v>
      </c>
      <c r="C2461" s="17">
        <v>43816</v>
      </c>
      <c r="D2461" t="s">
        <v>0</v>
      </c>
      <c r="E2461" t="s">
        <v>1</v>
      </c>
      <c r="F2461" s="18">
        <v>5979.91</v>
      </c>
      <c r="G2461" s="18">
        <v>5979.91</v>
      </c>
      <c r="H2461" t="s">
        <v>2</v>
      </c>
      <c r="I2461" t="s">
        <v>8</v>
      </c>
      <c r="J2461" s="18">
        <v>501415.45</v>
      </c>
      <c r="K2461" t="s">
        <v>5277</v>
      </c>
      <c r="L2461" t="s">
        <v>4</v>
      </c>
      <c r="M2461" t="s">
        <v>5388</v>
      </c>
      <c r="N2461" t="s">
        <v>3</v>
      </c>
      <c r="O2461" t="s">
        <v>3</v>
      </c>
      <c r="P2461" t="s">
        <v>5</v>
      </c>
      <c r="Q2461" t="s">
        <v>5389</v>
      </c>
      <c r="R2461" t="s">
        <v>3</v>
      </c>
      <c r="S2461" t="s">
        <v>3</v>
      </c>
      <c r="T2461" t="s">
        <v>3</v>
      </c>
      <c r="U2461" t="s">
        <v>3</v>
      </c>
      <c r="V2461" t="s">
        <v>3</v>
      </c>
      <c r="W2461" t="s">
        <v>68</v>
      </c>
      <c r="X2461" s="17"/>
      <c r="Y2461" t="s">
        <v>3</v>
      </c>
      <c r="Z2461" s="17">
        <v>43816</v>
      </c>
      <c r="AA2461" t="s">
        <v>3</v>
      </c>
      <c r="AB2461" t="s">
        <v>5387</v>
      </c>
    </row>
    <row r="2462" spans="1:28" hidden="1">
      <c r="A2462" t="s">
        <v>5387</v>
      </c>
      <c r="B2462" s="17">
        <v>43816</v>
      </c>
      <c r="C2462" s="17">
        <v>43816</v>
      </c>
      <c r="D2462" t="s">
        <v>0</v>
      </c>
      <c r="E2462" t="s">
        <v>1</v>
      </c>
      <c r="F2462" s="18">
        <v>28641.55</v>
      </c>
      <c r="G2462" s="18">
        <v>28641.55</v>
      </c>
      <c r="H2462" t="s">
        <v>2</v>
      </c>
      <c r="I2462" t="s">
        <v>8</v>
      </c>
      <c r="J2462" s="18">
        <v>2401593.9700000002</v>
      </c>
      <c r="K2462" t="s">
        <v>5280</v>
      </c>
      <c r="L2462" t="s">
        <v>4</v>
      </c>
      <c r="M2462" t="s">
        <v>5388</v>
      </c>
      <c r="N2462" t="s">
        <v>3</v>
      </c>
      <c r="O2462" t="s">
        <v>3</v>
      </c>
      <c r="P2462" t="s">
        <v>5</v>
      </c>
      <c r="Q2462" t="s">
        <v>5389</v>
      </c>
      <c r="R2462" t="s">
        <v>3</v>
      </c>
      <c r="S2462" t="s">
        <v>3</v>
      </c>
      <c r="T2462" t="s">
        <v>3</v>
      </c>
      <c r="U2462" t="s">
        <v>3</v>
      </c>
      <c r="V2462" t="s">
        <v>3</v>
      </c>
      <c r="W2462" t="s">
        <v>68</v>
      </c>
      <c r="X2462" s="17"/>
      <c r="Y2462" t="s">
        <v>3</v>
      </c>
      <c r="Z2462" s="17">
        <v>43816</v>
      </c>
      <c r="AA2462" t="s">
        <v>3</v>
      </c>
      <c r="AB2462" t="s">
        <v>5387</v>
      </c>
    </row>
    <row r="2463" spans="1:28" hidden="1">
      <c r="A2463" t="s">
        <v>5387</v>
      </c>
      <c r="B2463" s="17">
        <v>43816</v>
      </c>
      <c r="C2463" s="17">
        <v>43816</v>
      </c>
      <c r="D2463" t="s">
        <v>0</v>
      </c>
      <c r="E2463" t="s">
        <v>1</v>
      </c>
      <c r="F2463" s="18">
        <v>18528.66</v>
      </c>
      <c r="G2463" s="18">
        <v>18528.66</v>
      </c>
      <c r="H2463" t="s">
        <v>2</v>
      </c>
      <c r="I2463" t="s">
        <v>8</v>
      </c>
      <c r="J2463" s="18">
        <v>1555481.01</v>
      </c>
      <c r="K2463" t="s">
        <v>5364</v>
      </c>
      <c r="L2463" t="s">
        <v>4</v>
      </c>
      <c r="M2463" t="s">
        <v>5388</v>
      </c>
      <c r="N2463" t="s">
        <v>3</v>
      </c>
      <c r="O2463" t="s">
        <v>3</v>
      </c>
      <c r="P2463" t="s">
        <v>5</v>
      </c>
      <c r="Q2463" t="s">
        <v>5389</v>
      </c>
      <c r="R2463" t="s">
        <v>3</v>
      </c>
      <c r="S2463" t="s">
        <v>3</v>
      </c>
      <c r="T2463" t="s">
        <v>3</v>
      </c>
      <c r="U2463" t="s">
        <v>3</v>
      </c>
      <c r="V2463" t="s">
        <v>3</v>
      </c>
      <c r="W2463" t="s">
        <v>68</v>
      </c>
      <c r="X2463" s="17"/>
      <c r="Y2463" t="s">
        <v>3</v>
      </c>
      <c r="Z2463" s="17">
        <v>43816</v>
      </c>
      <c r="AA2463" t="s">
        <v>3</v>
      </c>
      <c r="AB2463" t="s">
        <v>5387</v>
      </c>
    </row>
    <row r="2464" spans="1:28" hidden="1">
      <c r="A2464" t="s">
        <v>5390</v>
      </c>
      <c r="B2464" s="17">
        <v>43816</v>
      </c>
      <c r="C2464" s="17">
        <v>43816</v>
      </c>
      <c r="D2464" t="s">
        <v>0</v>
      </c>
      <c r="E2464" t="s">
        <v>1</v>
      </c>
      <c r="F2464" s="18">
        <v>3560.91</v>
      </c>
      <c r="G2464" s="18">
        <v>3560.91</v>
      </c>
      <c r="H2464" t="s">
        <v>2</v>
      </c>
      <c r="I2464" t="s">
        <v>8</v>
      </c>
      <c r="J2464" s="18">
        <v>298582.3</v>
      </c>
      <c r="K2464" t="s">
        <v>5277</v>
      </c>
      <c r="L2464" t="s">
        <v>4</v>
      </c>
      <c r="M2464" t="s">
        <v>5362</v>
      </c>
      <c r="N2464" t="s">
        <v>3</v>
      </c>
      <c r="O2464" t="s">
        <v>3</v>
      </c>
      <c r="P2464" t="s">
        <v>5</v>
      </c>
      <c r="Q2464" t="s">
        <v>5391</v>
      </c>
      <c r="R2464" t="s">
        <v>3</v>
      </c>
      <c r="S2464" t="s">
        <v>3</v>
      </c>
      <c r="T2464" t="s">
        <v>3</v>
      </c>
      <c r="U2464" t="s">
        <v>3</v>
      </c>
      <c r="V2464" t="s">
        <v>3</v>
      </c>
      <c r="W2464" t="s">
        <v>68</v>
      </c>
      <c r="X2464" s="17"/>
      <c r="Y2464" t="s">
        <v>3</v>
      </c>
      <c r="Z2464" s="17">
        <v>43816</v>
      </c>
      <c r="AA2464" t="s">
        <v>3</v>
      </c>
      <c r="AB2464" t="s">
        <v>5390</v>
      </c>
    </row>
    <row r="2465" spans="1:28" hidden="1">
      <c r="A2465" t="s">
        <v>5390</v>
      </c>
      <c r="B2465" s="17">
        <v>43816</v>
      </c>
      <c r="C2465" s="17">
        <v>43816</v>
      </c>
      <c r="D2465" t="s">
        <v>0</v>
      </c>
      <c r="E2465" t="s">
        <v>1</v>
      </c>
      <c r="F2465" s="18">
        <v>34453.08</v>
      </c>
      <c r="G2465" s="18">
        <v>34453.08</v>
      </c>
      <c r="H2465" t="s">
        <v>2</v>
      </c>
      <c r="I2465" t="s">
        <v>8</v>
      </c>
      <c r="J2465" s="18">
        <v>2888890.76</v>
      </c>
      <c r="K2465" t="s">
        <v>5280</v>
      </c>
      <c r="L2465" t="s">
        <v>4</v>
      </c>
      <c r="M2465" t="s">
        <v>5362</v>
      </c>
      <c r="N2465" t="s">
        <v>3</v>
      </c>
      <c r="O2465" t="s">
        <v>3</v>
      </c>
      <c r="P2465" t="s">
        <v>5</v>
      </c>
      <c r="Q2465" t="s">
        <v>5391</v>
      </c>
      <c r="R2465" t="s">
        <v>3</v>
      </c>
      <c r="S2465" t="s">
        <v>3</v>
      </c>
      <c r="T2465" t="s">
        <v>3</v>
      </c>
      <c r="U2465" t="s">
        <v>3</v>
      </c>
      <c r="V2465" t="s">
        <v>3</v>
      </c>
      <c r="W2465" t="s">
        <v>68</v>
      </c>
      <c r="X2465" s="17"/>
      <c r="Y2465" t="s">
        <v>3</v>
      </c>
      <c r="Z2465" s="17">
        <v>43816</v>
      </c>
      <c r="AA2465" t="s">
        <v>3</v>
      </c>
      <c r="AB2465" t="s">
        <v>5390</v>
      </c>
    </row>
    <row r="2466" spans="1:28" hidden="1">
      <c r="A2466" t="s">
        <v>5390</v>
      </c>
      <c r="B2466" s="17">
        <v>43816</v>
      </c>
      <c r="C2466" s="17">
        <v>43816</v>
      </c>
      <c r="D2466" t="s">
        <v>0</v>
      </c>
      <c r="E2466" t="s">
        <v>1</v>
      </c>
      <c r="F2466" s="18">
        <v>22138.07</v>
      </c>
      <c r="G2466" s="18">
        <v>22138.07</v>
      </c>
      <c r="H2466" t="s">
        <v>2</v>
      </c>
      <c r="I2466" t="s">
        <v>8</v>
      </c>
      <c r="J2466" s="18">
        <v>1858490.98</v>
      </c>
      <c r="K2466" t="s">
        <v>5364</v>
      </c>
      <c r="L2466" t="s">
        <v>4</v>
      </c>
      <c r="M2466" t="s">
        <v>5362</v>
      </c>
      <c r="N2466" t="s">
        <v>3</v>
      </c>
      <c r="O2466" t="s">
        <v>3</v>
      </c>
      <c r="P2466" t="s">
        <v>5</v>
      </c>
      <c r="Q2466" t="s">
        <v>5391</v>
      </c>
      <c r="R2466" t="s">
        <v>3</v>
      </c>
      <c r="S2466" t="s">
        <v>3</v>
      </c>
      <c r="T2466" t="s">
        <v>3</v>
      </c>
      <c r="U2466" t="s">
        <v>3</v>
      </c>
      <c r="V2466" t="s">
        <v>3</v>
      </c>
      <c r="W2466" t="s">
        <v>68</v>
      </c>
      <c r="X2466" s="17"/>
      <c r="Y2466" t="s">
        <v>3</v>
      </c>
      <c r="Z2466" s="17">
        <v>43816</v>
      </c>
      <c r="AA2466" t="s">
        <v>3</v>
      </c>
      <c r="AB2466" t="s">
        <v>5390</v>
      </c>
    </row>
    <row r="2467" spans="1:28" hidden="1">
      <c r="A2467" t="s">
        <v>5392</v>
      </c>
      <c r="B2467" s="17">
        <v>43818</v>
      </c>
      <c r="C2467" s="17">
        <v>43818</v>
      </c>
      <c r="D2467" t="s">
        <v>0</v>
      </c>
      <c r="E2467" t="s">
        <v>1</v>
      </c>
      <c r="F2467" s="18">
        <v>-230993.58</v>
      </c>
      <c r="G2467" s="18">
        <v>-230993.58</v>
      </c>
      <c r="H2467" t="s">
        <v>2</v>
      </c>
      <c r="I2467" t="s">
        <v>10</v>
      </c>
      <c r="J2467" s="18">
        <v>-19391911.039999999</v>
      </c>
      <c r="K2467" t="s">
        <v>5393</v>
      </c>
      <c r="L2467" t="s">
        <v>4</v>
      </c>
      <c r="M2467" t="s">
        <v>5394</v>
      </c>
      <c r="N2467" t="s">
        <v>3</v>
      </c>
      <c r="O2467" t="s">
        <v>3</v>
      </c>
      <c r="P2467" t="s">
        <v>5</v>
      </c>
      <c r="Q2467" t="s">
        <v>5395</v>
      </c>
      <c r="R2467" t="s">
        <v>3</v>
      </c>
      <c r="S2467" t="s">
        <v>3</v>
      </c>
      <c r="T2467" t="s">
        <v>3</v>
      </c>
      <c r="U2467" t="s">
        <v>3</v>
      </c>
      <c r="V2467" t="s">
        <v>3</v>
      </c>
      <c r="W2467" t="s">
        <v>68</v>
      </c>
      <c r="X2467" s="17"/>
      <c r="Y2467" t="s">
        <v>3</v>
      </c>
      <c r="Z2467" s="17">
        <v>43818</v>
      </c>
      <c r="AA2467" t="s">
        <v>3</v>
      </c>
      <c r="AB2467" t="s">
        <v>5392</v>
      </c>
    </row>
    <row r="2468" spans="1:28" hidden="1">
      <c r="A2468" t="s">
        <v>5396</v>
      </c>
      <c r="B2468" s="17">
        <v>43818</v>
      </c>
      <c r="C2468" s="17">
        <v>43818</v>
      </c>
      <c r="D2468" t="s">
        <v>0</v>
      </c>
      <c r="E2468" t="s">
        <v>1</v>
      </c>
      <c r="F2468" s="18">
        <v>-343380.78</v>
      </c>
      <c r="G2468" s="18">
        <v>-343380.78</v>
      </c>
      <c r="H2468" t="s">
        <v>2</v>
      </c>
      <c r="I2468" t="s">
        <v>8</v>
      </c>
      <c r="J2468" s="18">
        <v>-28826816.489999998</v>
      </c>
      <c r="K2468" t="s">
        <v>5397</v>
      </c>
      <c r="L2468" t="s">
        <v>4</v>
      </c>
      <c r="M2468" t="s">
        <v>5398</v>
      </c>
      <c r="N2468" t="s">
        <v>3</v>
      </c>
      <c r="O2468" t="s">
        <v>3</v>
      </c>
      <c r="P2468" t="s">
        <v>5</v>
      </c>
      <c r="Q2468" t="s">
        <v>5399</v>
      </c>
      <c r="R2468" t="s">
        <v>3</v>
      </c>
      <c r="S2468" t="s">
        <v>3</v>
      </c>
      <c r="T2468" t="s">
        <v>3</v>
      </c>
      <c r="U2468" t="s">
        <v>3</v>
      </c>
      <c r="V2468" t="s">
        <v>3</v>
      </c>
      <c r="W2468" t="s">
        <v>68</v>
      </c>
      <c r="X2468" s="17"/>
      <c r="Y2468" t="s">
        <v>3</v>
      </c>
      <c r="Z2468" s="17">
        <v>43818</v>
      </c>
      <c r="AA2468" t="s">
        <v>3</v>
      </c>
      <c r="AB2468" t="s">
        <v>5396</v>
      </c>
    </row>
    <row r="2469" spans="1:28" hidden="1">
      <c r="A2469" t="s">
        <v>5401</v>
      </c>
      <c r="B2469" s="17">
        <v>43821</v>
      </c>
      <c r="C2469" s="17">
        <v>43821</v>
      </c>
      <c r="D2469" t="s">
        <v>0</v>
      </c>
      <c r="E2469" t="s">
        <v>1</v>
      </c>
      <c r="F2469" s="18">
        <v>-355046</v>
      </c>
      <c r="G2469" s="18">
        <v>-355046</v>
      </c>
      <c r="H2469" t="s">
        <v>2</v>
      </c>
      <c r="I2469" t="s">
        <v>8</v>
      </c>
      <c r="J2469" s="18">
        <v>-29806111.699999999</v>
      </c>
      <c r="K2469" t="s">
        <v>4417</v>
      </c>
      <c r="L2469" t="s">
        <v>9</v>
      </c>
      <c r="M2469" t="s">
        <v>4418</v>
      </c>
      <c r="N2469" t="s">
        <v>3</v>
      </c>
      <c r="O2469" t="s">
        <v>3</v>
      </c>
      <c r="P2469" t="s">
        <v>5</v>
      </c>
      <c r="Q2469" t="s">
        <v>4419</v>
      </c>
      <c r="R2469" t="s">
        <v>3</v>
      </c>
      <c r="S2469" t="s">
        <v>3</v>
      </c>
      <c r="T2469" t="s">
        <v>3</v>
      </c>
      <c r="U2469" t="s">
        <v>3</v>
      </c>
      <c r="V2469" t="s">
        <v>3</v>
      </c>
      <c r="W2469" t="s">
        <v>68</v>
      </c>
      <c r="X2469" s="17"/>
      <c r="Y2469" t="s">
        <v>3</v>
      </c>
      <c r="Z2469" s="17">
        <v>43821</v>
      </c>
      <c r="AA2469" t="s">
        <v>3</v>
      </c>
      <c r="AB2469" t="s">
        <v>5401</v>
      </c>
    </row>
    <row r="2470" spans="1:28" hidden="1">
      <c r="A2470" t="s">
        <v>5402</v>
      </c>
      <c r="B2470" s="17">
        <v>43821</v>
      </c>
      <c r="C2470" s="17">
        <v>43821</v>
      </c>
      <c r="D2470" t="s">
        <v>0</v>
      </c>
      <c r="E2470" t="s">
        <v>1</v>
      </c>
      <c r="F2470" s="18">
        <v>9018</v>
      </c>
      <c r="G2470" s="18">
        <v>9018</v>
      </c>
      <c r="H2470" t="s">
        <v>2</v>
      </c>
      <c r="I2470" t="s">
        <v>8</v>
      </c>
      <c r="J2470" s="18">
        <v>753003</v>
      </c>
      <c r="K2470" t="s">
        <v>5355</v>
      </c>
      <c r="L2470" t="s">
        <v>9</v>
      </c>
      <c r="M2470" t="s">
        <v>5403</v>
      </c>
      <c r="N2470" t="s">
        <v>3</v>
      </c>
      <c r="O2470" t="s">
        <v>3</v>
      </c>
      <c r="P2470" t="s">
        <v>5</v>
      </c>
      <c r="Q2470" t="s">
        <v>5404</v>
      </c>
      <c r="R2470" t="s">
        <v>3</v>
      </c>
      <c r="S2470" t="s">
        <v>3</v>
      </c>
      <c r="T2470" t="s">
        <v>3</v>
      </c>
      <c r="U2470" t="s">
        <v>3</v>
      </c>
      <c r="V2470" t="s">
        <v>3</v>
      </c>
      <c r="W2470" t="s">
        <v>68</v>
      </c>
      <c r="X2470" s="17"/>
      <c r="Y2470" t="s">
        <v>3</v>
      </c>
      <c r="Z2470" s="17">
        <v>43821</v>
      </c>
      <c r="AA2470" t="s">
        <v>3</v>
      </c>
      <c r="AB2470" t="s">
        <v>5402</v>
      </c>
    </row>
    <row r="2471" spans="1:28" hidden="1">
      <c r="A2471" t="s">
        <v>5402</v>
      </c>
      <c r="B2471" s="17">
        <v>43821</v>
      </c>
      <c r="C2471" s="17">
        <v>43821</v>
      </c>
      <c r="D2471" t="s">
        <v>0</v>
      </c>
      <c r="E2471" t="s">
        <v>1</v>
      </c>
      <c r="F2471" s="18">
        <v>81060</v>
      </c>
      <c r="G2471" s="18">
        <v>81060</v>
      </c>
      <c r="H2471" t="s">
        <v>2</v>
      </c>
      <c r="I2471" t="s">
        <v>8</v>
      </c>
      <c r="J2471" s="18">
        <v>6768510</v>
      </c>
      <c r="K2471" t="s">
        <v>5270</v>
      </c>
      <c r="L2471" t="s">
        <v>9</v>
      </c>
      <c r="M2471" t="s">
        <v>5403</v>
      </c>
      <c r="N2471" t="s">
        <v>3</v>
      </c>
      <c r="O2471" t="s">
        <v>3</v>
      </c>
      <c r="P2471" t="s">
        <v>5</v>
      </c>
      <c r="Q2471" t="s">
        <v>5404</v>
      </c>
      <c r="R2471" t="s">
        <v>3</v>
      </c>
      <c r="S2471" t="s">
        <v>3</v>
      </c>
      <c r="T2471" t="s">
        <v>3</v>
      </c>
      <c r="U2471" t="s">
        <v>3</v>
      </c>
      <c r="V2471" t="s">
        <v>3</v>
      </c>
      <c r="W2471" t="s">
        <v>68</v>
      </c>
      <c r="X2471" s="17"/>
      <c r="Y2471" t="s">
        <v>3</v>
      </c>
      <c r="Z2471" s="17">
        <v>43821</v>
      </c>
      <c r="AA2471" t="s">
        <v>3</v>
      </c>
      <c r="AB2471" t="s">
        <v>5402</v>
      </c>
    </row>
    <row r="2472" spans="1:28" hidden="1">
      <c r="A2472" t="s">
        <v>5402</v>
      </c>
      <c r="B2472" s="17">
        <v>43821</v>
      </c>
      <c r="C2472" s="17">
        <v>43821</v>
      </c>
      <c r="D2472" t="s">
        <v>0</v>
      </c>
      <c r="E2472" t="s">
        <v>1</v>
      </c>
      <c r="F2472" s="18">
        <v>36033</v>
      </c>
      <c r="G2472" s="18">
        <v>36033</v>
      </c>
      <c r="H2472" t="s">
        <v>2</v>
      </c>
      <c r="I2472" t="s">
        <v>8</v>
      </c>
      <c r="J2472" s="18">
        <v>3024970.35</v>
      </c>
      <c r="K2472" t="s">
        <v>5352</v>
      </c>
      <c r="L2472" t="s">
        <v>9</v>
      </c>
      <c r="M2472" t="s">
        <v>5403</v>
      </c>
      <c r="N2472" t="s">
        <v>3</v>
      </c>
      <c r="O2472" t="s">
        <v>3</v>
      </c>
      <c r="P2472" t="s">
        <v>5</v>
      </c>
      <c r="Q2472" t="s">
        <v>5404</v>
      </c>
      <c r="R2472" t="s">
        <v>3</v>
      </c>
      <c r="S2472" t="s">
        <v>3</v>
      </c>
      <c r="T2472" t="s">
        <v>3</v>
      </c>
      <c r="U2472" t="s">
        <v>3</v>
      </c>
      <c r="V2472" t="s">
        <v>3</v>
      </c>
      <c r="W2472" t="s">
        <v>68</v>
      </c>
      <c r="X2472" s="17"/>
      <c r="Y2472" t="s">
        <v>3</v>
      </c>
      <c r="Z2472" s="17">
        <v>43821</v>
      </c>
      <c r="AA2472" t="s">
        <v>3</v>
      </c>
      <c r="AB2472" t="s">
        <v>5402</v>
      </c>
    </row>
    <row r="2473" spans="1:28" hidden="1">
      <c r="A2473" t="s">
        <v>5402</v>
      </c>
      <c r="B2473" s="17">
        <v>43821</v>
      </c>
      <c r="C2473" s="17">
        <v>43821</v>
      </c>
      <c r="D2473" t="s">
        <v>0</v>
      </c>
      <c r="E2473" t="s">
        <v>1</v>
      </c>
      <c r="F2473" s="18">
        <v>6372</v>
      </c>
      <c r="G2473" s="18">
        <v>6372</v>
      </c>
      <c r="H2473" t="s">
        <v>2</v>
      </c>
      <c r="I2473" t="s">
        <v>8</v>
      </c>
      <c r="J2473" s="18">
        <v>532062</v>
      </c>
      <c r="K2473" t="s">
        <v>5353</v>
      </c>
      <c r="L2473" t="s">
        <v>9</v>
      </c>
      <c r="M2473" t="s">
        <v>5403</v>
      </c>
      <c r="N2473" t="s">
        <v>3</v>
      </c>
      <c r="O2473" t="s">
        <v>3</v>
      </c>
      <c r="P2473" t="s">
        <v>5</v>
      </c>
      <c r="Q2473" t="s">
        <v>5404</v>
      </c>
      <c r="R2473" t="s">
        <v>3</v>
      </c>
      <c r="S2473" t="s">
        <v>3</v>
      </c>
      <c r="T2473" t="s">
        <v>3</v>
      </c>
      <c r="U2473" t="s">
        <v>3</v>
      </c>
      <c r="V2473" t="s">
        <v>3</v>
      </c>
      <c r="W2473" t="s">
        <v>68</v>
      </c>
      <c r="X2473" s="17"/>
      <c r="Y2473" t="s">
        <v>3</v>
      </c>
      <c r="Z2473" s="17">
        <v>43821</v>
      </c>
      <c r="AA2473" t="s">
        <v>3</v>
      </c>
      <c r="AB2473" t="s">
        <v>5402</v>
      </c>
    </row>
    <row r="2474" spans="1:28" hidden="1">
      <c r="A2474" t="s">
        <v>5402</v>
      </c>
      <c r="B2474" s="17">
        <v>43821</v>
      </c>
      <c r="C2474" s="17">
        <v>43821</v>
      </c>
      <c r="D2474" t="s">
        <v>0</v>
      </c>
      <c r="E2474" t="s">
        <v>1</v>
      </c>
      <c r="F2474" s="18">
        <v>8921</v>
      </c>
      <c r="G2474" s="18">
        <v>8921</v>
      </c>
      <c r="H2474" t="s">
        <v>2</v>
      </c>
      <c r="I2474" t="s">
        <v>8</v>
      </c>
      <c r="J2474" s="18">
        <v>744903.5</v>
      </c>
      <c r="K2474" t="s">
        <v>5273</v>
      </c>
      <c r="L2474" t="s">
        <v>9</v>
      </c>
      <c r="M2474" t="s">
        <v>5403</v>
      </c>
      <c r="N2474" t="s">
        <v>3</v>
      </c>
      <c r="O2474" t="s">
        <v>3</v>
      </c>
      <c r="P2474" t="s">
        <v>5</v>
      </c>
      <c r="Q2474" t="s">
        <v>5404</v>
      </c>
      <c r="R2474" t="s">
        <v>3</v>
      </c>
      <c r="S2474" t="s">
        <v>3</v>
      </c>
      <c r="T2474" t="s">
        <v>3</v>
      </c>
      <c r="U2474" t="s">
        <v>3</v>
      </c>
      <c r="V2474" t="s">
        <v>3</v>
      </c>
      <c r="W2474" t="s">
        <v>68</v>
      </c>
      <c r="X2474" s="17"/>
      <c r="Y2474" t="s">
        <v>3</v>
      </c>
      <c r="Z2474" s="17">
        <v>43821</v>
      </c>
      <c r="AA2474" t="s">
        <v>3</v>
      </c>
      <c r="AB2474" t="s">
        <v>5402</v>
      </c>
    </row>
    <row r="2475" spans="1:28" hidden="1">
      <c r="A2475" t="s">
        <v>5402</v>
      </c>
      <c r="B2475" s="17">
        <v>43821</v>
      </c>
      <c r="C2475" s="17">
        <v>43821</v>
      </c>
      <c r="D2475" t="s">
        <v>0</v>
      </c>
      <c r="E2475" t="s">
        <v>1</v>
      </c>
      <c r="F2475" s="18">
        <v>14094</v>
      </c>
      <c r="G2475" s="18">
        <v>14094</v>
      </c>
      <c r="H2475" t="s">
        <v>2</v>
      </c>
      <c r="I2475" t="s">
        <v>8</v>
      </c>
      <c r="J2475" s="18">
        <v>1176849</v>
      </c>
      <c r="K2475" t="s">
        <v>5359</v>
      </c>
      <c r="L2475" t="s">
        <v>9</v>
      </c>
      <c r="M2475" t="s">
        <v>5403</v>
      </c>
      <c r="N2475" t="s">
        <v>3</v>
      </c>
      <c r="O2475" t="s">
        <v>3</v>
      </c>
      <c r="P2475" t="s">
        <v>5</v>
      </c>
      <c r="Q2475" t="s">
        <v>5404</v>
      </c>
      <c r="R2475" t="s">
        <v>3</v>
      </c>
      <c r="S2475" t="s">
        <v>3</v>
      </c>
      <c r="T2475" t="s">
        <v>3</v>
      </c>
      <c r="U2475" t="s">
        <v>3</v>
      </c>
      <c r="V2475" t="s">
        <v>3</v>
      </c>
      <c r="W2475" t="s">
        <v>68</v>
      </c>
      <c r="X2475" s="17">
        <v>44012</v>
      </c>
      <c r="Y2475" t="s">
        <v>4137</v>
      </c>
      <c r="Z2475" s="17">
        <v>43821</v>
      </c>
      <c r="AA2475" t="s">
        <v>3</v>
      </c>
      <c r="AB2475" t="s">
        <v>5402</v>
      </c>
    </row>
    <row r="2476" spans="1:28" hidden="1">
      <c r="A2476" t="s">
        <v>5402</v>
      </c>
      <c r="B2476" s="17">
        <v>43821</v>
      </c>
      <c r="C2476" s="17">
        <v>43821</v>
      </c>
      <c r="D2476" t="s">
        <v>0</v>
      </c>
      <c r="E2476" t="s">
        <v>1</v>
      </c>
      <c r="F2476" s="18">
        <v>122727</v>
      </c>
      <c r="G2476" s="18">
        <v>122727</v>
      </c>
      <c r="H2476" t="s">
        <v>2</v>
      </c>
      <c r="I2476" t="s">
        <v>8</v>
      </c>
      <c r="J2476" s="18">
        <v>10247704.5</v>
      </c>
      <c r="K2476" t="s">
        <v>5274</v>
      </c>
      <c r="L2476" t="s">
        <v>9</v>
      </c>
      <c r="M2476" t="s">
        <v>5403</v>
      </c>
      <c r="N2476" t="s">
        <v>3</v>
      </c>
      <c r="O2476" t="s">
        <v>3</v>
      </c>
      <c r="P2476" t="s">
        <v>5</v>
      </c>
      <c r="Q2476" t="s">
        <v>5404</v>
      </c>
      <c r="R2476" t="s">
        <v>3</v>
      </c>
      <c r="S2476" t="s">
        <v>3</v>
      </c>
      <c r="T2476" t="s">
        <v>3</v>
      </c>
      <c r="U2476" t="s">
        <v>3</v>
      </c>
      <c r="V2476" t="s">
        <v>3</v>
      </c>
      <c r="W2476" t="s">
        <v>68</v>
      </c>
      <c r="X2476" s="17"/>
      <c r="Y2476" t="s">
        <v>3</v>
      </c>
      <c r="Z2476" s="17">
        <v>43821</v>
      </c>
      <c r="AA2476" t="s">
        <v>3</v>
      </c>
      <c r="AB2476" t="s">
        <v>5402</v>
      </c>
    </row>
    <row r="2477" spans="1:28" hidden="1">
      <c r="A2477" t="s">
        <v>5402</v>
      </c>
      <c r="B2477" s="17">
        <v>43821</v>
      </c>
      <c r="C2477" s="17">
        <v>43821</v>
      </c>
      <c r="D2477" t="s">
        <v>0</v>
      </c>
      <c r="E2477" t="s">
        <v>1</v>
      </c>
      <c r="F2477" s="18">
        <v>21050</v>
      </c>
      <c r="G2477" s="18">
        <v>21050</v>
      </c>
      <c r="H2477" t="s">
        <v>2</v>
      </c>
      <c r="I2477" t="s">
        <v>8</v>
      </c>
      <c r="J2477" s="18">
        <v>1765042.5</v>
      </c>
      <c r="K2477" t="s">
        <v>5267</v>
      </c>
      <c r="L2477" t="s">
        <v>9</v>
      </c>
      <c r="M2477" t="s">
        <v>5403</v>
      </c>
      <c r="N2477" t="s">
        <v>3</v>
      </c>
      <c r="O2477" t="s">
        <v>3</v>
      </c>
      <c r="P2477" t="s">
        <v>5</v>
      </c>
      <c r="Q2477" t="s">
        <v>5404</v>
      </c>
      <c r="R2477" t="s">
        <v>3</v>
      </c>
      <c r="S2477" t="s">
        <v>3</v>
      </c>
      <c r="T2477" t="s">
        <v>3</v>
      </c>
      <c r="U2477" t="s">
        <v>3</v>
      </c>
      <c r="V2477" t="s">
        <v>3</v>
      </c>
      <c r="W2477" t="s">
        <v>68</v>
      </c>
      <c r="X2477" s="17"/>
      <c r="Y2477" t="s">
        <v>3</v>
      </c>
      <c r="Z2477" s="17">
        <v>43821</v>
      </c>
      <c r="AA2477" t="s">
        <v>3</v>
      </c>
      <c r="AB2477" t="s">
        <v>5402</v>
      </c>
    </row>
    <row r="2478" spans="1:28" hidden="1">
      <c r="A2478" t="s">
        <v>5402</v>
      </c>
      <c r="B2478" s="17">
        <v>43821</v>
      </c>
      <c r="C2478" s="17">
        <v>43821</v>
      </c>
      <c r="D2478" t="s">
        <v>0</v>
      </c>
      <c r="E2478" t="s">
        <v>1</v>
      </c>
      <c r="F2478" s="18">
        <v>83127</v>
      </c>
      <c r="G2478" s="18">
        <v>83127</v>
      </c>
      <c r="H2478" t="s">
        <v>2</v>
      </c>
      <c r="I2478" t="s">
        <v>8</v>
      </c>
      <c r="J2478" s="18">
        <v>6978511.6500000004</v>
      </c>
      <c r="K2478" t="s">
        <v>5371</v>
      </c>
      <c r="L2478" t="s">
        <v>9</v>
      </c>
      <c r="M2478" t="s">
        <v>5403</v>
      </c>
      <c r="N2478" t="s">
        <v>3</v>
      </c>
      <c r="O2478" t="s">
        <v>3</v>
      </c>
      <c r="P2478" t="s">
        <v>5</v>
      </c>
      <c r="Q2478" t="s">
        <v>5404</v>
      </c>
      <c r="R2478" t="s">
        <v>3</v>
      </c>
      <c r="S2478" t="s">
        <v>3</v>
      </c>
      <c r="T2478" t="s">
        <v>3</v>
      </c>
      <c r="U2478" t="s">
        <v>3</v>
      </c>
      <c r="V2478" t="s">
        <v>3</v>
      </c>
      <c r="W2478" t="s">
        <v>68</v>
      </c>
      <c r="X2478" s="17"/>
      <c r="Y2478" t="s">
        <v>3</v>
      </c>
      <c r="Z2478" s="17">
        <v>43821</v>
      </c>
      <c r="AA2478" t="s">
        <v>3</v>
      </c>
      <c r="AB2478" t="s">
        <v>5402</v>
      </c>
    </row>
    <row r="2479" spans="1:28" hidden="1">
      <c r="A2479" t="s">
        <v>5405</v>
      </c>
      <c r="B2479" s="17">
        <v>43822</v>
      </c>
      <c r="C2479" s="17">
        <v>43822</v>
      </c>
      <c r="D2479" t="s">
        <v>0</v>
      </c>
      <c r="E2479" t="s">
        <v>1</v>
      </c>
      <c r="F2479" s="18">
        <v>1842.62</v>
      </c>
      <c r="G2479" s="18">
        <v>1842.62</v>
      </c>
      <c r="H2479" t="s">
        <v>2</v>
      </c>
      <c r="I2479" t="s">
        <v>8</v>
      </c>
      <c r="J2479" s="18">
        <v>154503.69</v>
      </c>
      <c r="K2479" t="s">
        <v>5277</v>
      </c>
      <c r="L2479" t="s">
        <v>4</v>
      </c>
      <c r="M2479" t="s">
        <v>5406</v>
      </c>
      <c r="N2479" t="s">
        <v>3</v>
      </c>
      <c r="O2479" t="s">
        <v>3</v>
      </c>
      <c r="P2479" t="s">
        <v>5</v>
      </c>
      <c r="Q2479" t="s">
        <v>5407</v>
      </c>
      <c r="R2479" t="s">
        <v>3</v>
      </c>
      <c r="S2479" t="s">
        <v>3</v>
      </c>
      <c r="T2479" t="s">
        <v>3</v>
      </c>
      <c r="U2479" t="s">
        <v>3</v>
      </c>
      <c r="V2479" t="s">
        <v>3</v>
      </c>
      <c r="W2479" t="s">
        <v>68</v>
      </c>
      <c r="X2479" s="17"/>
      <c r="Y2479" t="s">
        <v>3</v>
      </c>
      <c r="Z2479" s="17">
        <v>43822</v>
      </c>
      <c r="AA2479" t="s">
        <v>3</v>
      </c>
      <c r="AB2479" t="s">
        <v>5405</v>
      </c>
    </row>
    <row r="2480" spans="1:28" hidden="1">
      <c r="A2480" t="s">
        <v>5405</v>
      </c>
      <c r="B2480" s="17">
        <v>43822</v>
      </c>
      <c r="C2480" s="17">
        <v>43822</v>
      </c>
      <c r="D2480" t="s">
        <v>0</v>
      </c>
      <c r="E2480" t="s">
        <v>1</v>
      </c>
      <c r="F2480" s="18">
        <v>1270.47</v>
      </c>
      <c r="G2480" s="18">
        <v>1270.47</v>
      </c>
      <c r="H2480" t="s">
        <v>2</v>
      </c>
      <c r="I2480" t="s">
        <v>8</v>
      </c>
      <c r="J2480" s="18">
        <v>106528.91</v>
      </c>
      <c r="K2480" t="s">
        <v>5280</v>
      </c>
      <c r="L2480" t="s">
        <v>4</v>
      </c>
      <c r="M2480" t="s">
        <v>5406</v>
      </c>
      <c r="N2480" t="s">
        <v>3</v>
      </c>
      <c r="O2480" t="s">
        <v>3</v>
      </c>
      <c r="P2480" t="s">
        <v>5</v>
      </c>
      <c r="Q2480" t="s">
        <v>5407</v>
      </c>
      <c r="R2480" t="s">
        <v>3</v>
      </c>
      <c r="S2480" t="s">
        <v>3</v>
      </c>
      <c r="T2480" t="s">
        <v>3</v>
      </c>
      <c r="U2480" t="s">
        <v>3</v>
      </c>
      <c r="V2480" t="s">
        <v>3</v>
      </c>
      <c r="W2480" t="s">
        <v>68</v>
      </c>
      <c r="X2480" s="17"/>
      <c r="Y2480" t="s">
        <v>3</v>
      </c>
      <c r="Z2480" s="17">
        <v>43822</v>
      </c>
      <c r="AA2480" t="s">
        <v>3</v>
      </c>
      <c r="AB2480" t="s">
        <v>5405</v>
      </c>
    </row>
    <row r="2481" spans="1:28" hidden="1">
      <c r="A2481" t="s">
        <v>5405</v>
      </c>
      <c r="B2481" s="17">
        <v>43822</v>
      </c>
      <c r="C2481" s="17">
        <v>43822</v>
      </c>
      <c r="D2481" t="s">
        <v>0</v>
      </c>
      <c r="E2481" t="s">
        <v>1</v>
      </c>
      <c r="F2481" s="18">
        <v>806.15</v>
      </c>
      <c r="G2481" s="18">
        <v>806.15</v>
      </c>
      <c r="H2481" t="s">
        <v>2</v>
      </c>
      <c r="I2481" t="s">
        <v>8</v>
      </c>
      <c r="J2481" s="18">
        <v>67676.289999999994</v>
      </c>
      <c r="K2481" t="s">
        <v>5364</v>
      </c>
      <c r="L2481" t="s">
        <v>4</v>
      </c>
      <c r="M2481" t="s">
        <v>5406</v>
      </c>
      <c r="N2481" t="s">
        <v>3</v>
      </c>
      <c r="O2481" t="s">
        <v>3</v>
      </c>
      <c r="P2481" t="s">
        <v>5</v>
      </c>
      <c r="Q2481" t="s">
        <v>5407</v>
      </c>
      <c r="R2481" t="s">
        <v>3</v>
      </c>
      <c r="S2481" t="s">
        <v>3</v>
      </c>
      <c r="T2481" t="s">
        <v>3</v>
      </c>
      <c r="U2481" t="s">
        <v>3</v>
      </c>
      <c r="V2481" t="s">
        <v>3</v>
      </c>
      <c r="W2481" t="s">
        <v>68</v>
      </c>
      <c r="X2481" s="17"/>
      <c r="Y2481" t="s">
        <v>3</v>
      </c>
      <c r="Z2481" s="17">
        <v>43822</v>
      </c>
      <c r="AA2481" t="s">
        <v>3</v>
      </c>
      <c r="AB2481" t="s">
        <v>5405</v>
      </c>
    </row>
    <row r="2482" spans="1:28" hidden="1">
      <c r="A2482" t="s">
        <v>5408</v>
      </c>
      <c r="B2482" s="17">
        <v>43822</v>
      </c>
      <c r="C2482" s="17">
        <v>43822</v>
      </c>
      <c r="D2482" t="s">
        <v>0</v>
      </c>
      <c r="E2482" t="s">
        <v>1</v>
      </c>
      <c r="F2482" s="18">
        <v>274.67</v>
      </c>
      <c r="G2482" s="18">
        <v>274.67</v>
      </c>
      <c r="H2482" t="s">
        <v>2</v>
      </c>
      <c r="I2482" t="s">
        <v>10</v>
      </c>
      <c r="J2482" s="18">
        <v>23031.08</v>
      </c>
      <c r="K2482" t="s">
        <v>5282</v>
      </c>
      <c r="L2482" t="s">
        <v>4</v>
      </c>
      <c r="M2482" t="s">
        <v>5409</v>
      </c>
      <c r="N2482" t="s">
        <v>3</v>
      </c>
      <c r="O2482" t="s">
        <v>3</v>
      </c>
      <c r="P2482" t="s">
        <v>5</v>
      </c>
      <c r="Q2482" t="s">
        <v>5410</v>
      </c>
      <c r="R2482" t="s">
        <v>3</v>
      </c>
      <c r="S2482" t="s">
        <v>3</v>
      </c>
      <c r="T2482" t="s">
        <v>3</v>
      </c>
      <c r="U2482" t="s">
        <v>3</v>
      </c>
      <c r="V2482" t="s">
        <v>3</v>
      </c>
      <c r="W2482" t="s">
        <v>68</v>
      </c>
      <c r="X2482" s="17"/>
      <c r="Y2482" t="s">
        <v>3</v>
      </c>
      <c r="Z2482" s="17">
        <v>43822</v>
      </c>
      <c r="AA2482" t="s">
        <v>3</v>
      </c>
      <c r="AB2482" t="s">
        <v>5408</v>
      </c>
    </row>
    <row r="2483" spans="1:28" hidden="1">
      <c r="A2483" t="s">
        <v>5408</v>
      </c>
      <c r="B2483" s="17">
        <v>43822</v>
      </c>
      <c r="C2483" s="17">
        <v>43822</v>
      </c>
      <c r="D2483" t="s">
        <v>0</v>
      </c>
      <c r="E2483" t="s">
        <v>1</v>
      </c>
      <c r="F2483" s="18">
        <v>3316.5</v>
      </c>
      <c r="G2483" s="18">
        <v>3316.5</v>
      </c>
      <c r="H2483" t="s">
        <v>2</v>
      </c>
      <c r="I2483" t="s">
        <v>10</v>
      </c>
      <c r="J2483" s="18">
        <v>278420.18</v>
      </c>
      <c r="K2483" t="s">
        <v>5335</v>
      </c>
      <c r="L2483" t="s">
        <v>4</v>
      </c>
      <c r="M2483" t="s">
        <v>5409</v>
      </c>
      <c r="N2483" t="s">
        <v>3</v>
      </c>
      <c r="O2483" t="s">
        <v>3</v>
      </c>
      <c r="P2483" t="s">
        <v>5</v>
      </c>
      <c r="Q2483" t="s">
        <v>5410</v>
      </c>
      <c r="R2483" t="s">
        <v>3</v>
      </c>
      <c r="S2483" t="s">
        <v>3</v>
      </c>
      <c r="T2483" t="s">
        <v>3</v>
      </c>
      <c r="U2483" t="s">
        <v>3</v>
      </c>
      <c r="V2483" t="s">
        <v>3</v>
      </c>
      <c r="W2483" t="s">
        <v>68</v>
      </c>
      <c r="X2483" s="17"/>
      <c r="Y2483" t="s">
        <v>3</v>
      </c>
      <c r="Z2483" s="17">
        <v>43822</v>
      </c>
      <c r="AA2483" t="s">
        <v>3</v>
      </c>
      <c r="AB2483" t="s">
        <v>5408</v>
      </c>
    </row>
    <row r="2484" spans="1:28" hidden="1">
      <c r="A2484" t="s">
        <v>4416</v>
      </c>
      <c r="B2484" s="17">
        <v>43823</v>
      </c>
      <c r="C2484" s="17">
        <v>43823</v>
      </c>
      <c r="D2484" t="s">
        <v>38</v>
      </c>
      <c r="E2484" t="s">
        <v>1</v>
      </c>
      <c r="F2484" s="18">
        <v>355046</v>
      </c>
      <c r="G2484" s="18">
        <v>355046</v>
      </c>
      <c r="H2484" t="s">
        <v>2</v>
      </c>
      <c r="I2484" t="s">
        <v>8</v>
      </c>
      <c r="J2484" s="18">
        <v>29806111.699999999</v>
      </c>
      <c r="K2484" t="s">
        <v>4417</v>
      </c>
      <c r="L2484" t="s">
        <v>9</v>
      </c>
      <c r="M2484" t="s">
        <v>4418</v>
      </c>
      <c r="N2484" t="s">
        <v>3</v>
      </c>
      <c r="O2484" t="s">
        <v>3</v>
      </c>
      <c r="P2484" t="s">
        <v>5</v>
      </c>
      <c r="Q2484" t="s">
        <v>4419</v>
      </c>
      <c r="R2484" t="s">
        <v>3</v>
      </c>
      <c r="S2484" t="s">
        <v>3</v>
      </c>
      <c r="T2484" t="s">
        <v>3</v>
      </c>
      <c r="U2484" t="s">
        <v>3</v>
      </c>
      <c r="V2484" t="s">
        <v>3</v>
      </c>
      <c r="W2484" t="s">
        <v>68</v>
      </c>
      <c r="X2484" s="17">
        <v>43823</v>
      </c>
      <c r="Y2484" t="s">
        <v>4416</v>
      </c>
      <c r="Z2484" s="17">
        <v>43823</v>
      </c>
      <c r="AA2484" t="s">
        <v>3</v>
      </c>
      <c r="AB2484" t="s">
        <v>4416</v>
      </c>
    </row>
    <row r="2485" spans="1:28" hidden="1">
      <c r="A2485" t="s">
        <v>5400</v>
      </c>
      <c r="B2485" s="17">
        <v>43823</v>
      </c>
      <c r="C2485" s="17">
        <v>43823</v>
      </c>
      <c r="D2485" t="s">
        <v>0</v>
      </c>
      <c r="E2485" t="s">
        <v>1</v>
      </c>
      <c r="F2485" s="18">
        <v>-355046</v>
      </c>
      <c r="G2485" s="18">
        <v>-355046</v>
      </c>
      <c r="H2485" t="s">
        <v>2</v>
      </c>
      <c r="I2485" t="s">
        <v>8</v>
      </c>
      <c r="J2485" s="18">
        <v>-29806111.699999999</v>
      </c>
      <c r="K2485" t="s">
        <v>4417</v>
      </c>
      <c r="L2485" t="s">
        <v>9</v>
      </c>
      <c r="M2485" t="s">
        <v>4418</v>
      </c>
      <c r="N2485" t="s">
        <v>3</v>
      </c>
      <c r="O2485" t="s">
        <v>3</v>
      </c>
      <c r="P2485" t="s">
        <v>5</v>
      </c>
      <c r="Q2485" t="s">
        <v>4419</v>
      </c>
      <c r="R2485" t="s">
        <v>3</v>
      </c>
      <c r="S2485" t="s">
        <v>3</v>
      </c>
      <c r="T2485" t="s">
        <v>3</v>
      </c>
      <c r="U2485" t="s">
        <v>3</v>
      </c>
      <c r="V2485" t="s">
        <v>3</v>
      </c>
      <c r="W2485" t="s">
        <v>68</v>
      </c>
      <c r="X2485" s="17">
        <v>43823</v>
      </c>
      <c r="Y2485" t="s">
        <v>4416</v>
      </c>
      <c r="Z2485" s="17">
        <v>43823</v>
      </c>
      <c r="AA2485" t="s">
        <v>3</v>
      </c>
      <c r="AB2485" t="s">
        <v>5400</v>
      </c>
    </row>
    <row r="2486" spans="1:28" hidden="1">
      <c r="A2486" t="s">
        <v>5411</v>
      </c>
      <c r="B2486" s="17">
        <v>43823</v>
      </c>
      <c r="C2486" s="17">
        <v>43823</v>
      </c>
      <c r="D2486" t="s">
        <v>0</v>
      </c>
      <c r="E2486" t="s">
        <v>1</v>
      </c>
      <c r="F2486" s="18">
        <v>68554.5</v>
      </c>
      <c r="G2486" s="18">
        <v>68554.5</v>
      </c>
      <c r="H2486" t="s">
        <v>2</v>
      </c>
      <c r="I2486" t="s">
        <v>8</v>
      </c>
      <c r="J2486" s="18">
        <v>5724300.75</v>
      </c>
      <c r="K2486" t="s">
        <v>5288</v>
      </c>
      <c r="L2486" t="s">
        <v>4</v>
      </c>
      <c r="M2486" t="s">
        <v>5412</v>
      </c>
      <c r="N2486" t="s">
        <v>3</v>
      </c>
      <c r="O2486" t="s">
        <v>3</v>
      </c>
      <c r="P2486" t="s">
        <v>5</v>
      </c>
      <c r="Q2486" t="s">
        <v>5413</v>
      </c>
      <c r="R2486" t="s">
        <v>3</v>
      </c>
      <c r="S2486" t="s">
        <v>3</v>
      </c>
      <c r="T2486" t="s">
        <v>3</v>
      </c>
      <c r="U2486" t="s">
        <v>3</v>
      </c>
      <c r="V2486" t="s">
        <v>3</v>
      </c>
      <c r="W2486" t="s">
        <v>68</v>
      </c>
      <c r="X2486" s="17"/>
      <c r="Y2486" t="s">
        <v>3</v>
      </c>
      <c r="Z2486" s="17">
        <v>43823</v>
      </c>
      <c r="AA2486" t="s">
        <v>3</v>
      </c>
      <c r="AB2486" t="s">
        <v>5411</v>
      </c>
    </row>
    <row r="2487" spans="1:28" hidden="1">
      <c r="A2487" t="s">
        <v>5411</v>
      </c>
      <c r="B2487" s="17">
        <v>43823</v>
      </c>
      <c r="C2487" s="17">
        <v>43823</v>
      </c>
      <c r="D2487" t="s">
        <v>0</v>
      </c>
      <c r="E2487" t="s">
        <v>1</v>
      </c>
      <c r="F2487" s="18">
        <v>6252.26</v>
      </c>
      <c r="G2487" s="18">
        <v>6252.26</v>
      </c>
      <c r="H2487" t="s">
        <v>2</v>
      </c>
      <c r="I2487" t="s">
        <v>8</v>
      </c>
      <c r="J2487" s="18">
        <v>522063.71</v>
      </c>
      <c r="K2487" t="s">
        <v>5414</v>
      </c>
      <c r="L2487" t="s">
        <v>4</v>
      </c>
      <c r="M2487" t="s">
        <v>5412</v>
      </c>
      <c r="N2487" t="s">
        <v>3</v>
      </c>
      <c r="O2487" t="s">
        <v>3</v>
      </c>
      <c r="P2487" t="s">
        <v>5</v>
      </c>
      <c r="Q2487" t="s">
        <v>5413</v>
      </c>
      <c r="R2487" t="s">
        <v>3</v>
      </c>
      <c r="S2487" t="s">
        <v>3</v>
      </c>
      <c r="T2487" t="s">
        <v>3</v>
      </c>
      <c r="U2487" t="s">
        <v>3</v>
      </c>
      <c r="V2487" t="s">
        <v>3</v>
      </c>
      <c r="W2487" t="s">
        <v>68</v>
      </c>
      <c r="X2487" s="17"/>
      <c r="Y2487" t="s">
        <v>3</v>
      </c>
      <c r="Z2487" s="17">
        <v>43823</v>
      </c>
      <c r="AA2487" t="s">
        <v>3</v>
      </c>
      <c r="AB2487" t="s">
        <v>5411</v>
      </c>
    </row>
    <row r="2488" spans="1:28" hidden="1">
      <c r="A2488" t="s">
        <v>5411</v>
      </c>
      <c r="B2488" s="17">
        <v>43823</v>
      </c>
      <c r="C2488" s="17">
        <v>43823</v>
      </c>
      <c r="D2488" t="s">
        <v>0</v>
      </c>
      <c r="E2488" t="s">
        <v>1</v>
      </c>
      <c r="F2488" s="18">
        <v>184.4</v>
      </c>
      <c r="G2488" s="18">
        <v>184.4</v>
      </c>
      <c r="H2488" t="s">
        <v>2</v>
      </c>
      <c r="I2488" t="s">
        <v>8</v>
      </c>
      <c r="J2488" s="18">
        <v>15480.38</v>
      </c>
      <c r="K2488" t="s">
        <v>5415</v>
      </c>
      <c r="L2488" t="s">
        <v>4</v>
      </c>
      <c r="M2488" t="s">
        <v>5412</v>
      </c>
      <c r="N2488" t="s">
        <v>3</v>
      </c>
      <c r="O2488" t="s">
        <v>3</v>
      </c>
      <c r="P2488" t="s">
        <v>5</v>
      </c>
      <c r="Q2488" t="s">
        <v>5413</v>
      </c>
      <c r="R2488" t="s">
        <v>3</v>
      </c>
      <c r="S2488" t="s">
        <v>3</v>
      </c>
      <c r="T2488" t="s">
        <v>3</v>
      </c>
      <c r="U2488" t="s">
        <v>3</v>
      </c>
      <c r="V2488" t="s">
        <v>3</v>
      </c>
      <c r="W2488" t="s">
        <v>68</v>
      </c>
      <c r="X2488" s="17"/>
      <c r="Y2488" t="s">
        <v>3</v>
      </c>
      <c r="Z2488" s="17">
        <v>43823</v>
      </c>
      <c r="AA2488" t="s">
        <v>3</v>
      </c>
      <c r="AB2488" t="s">
        <v>5411</v>
      </c>
    </row>
    <row r="2489" spans="1:28" hidden="1">
      <c r="A2489" t="s">
        <v>5416</v>
      </c>
      <c r="B2489" s="17">
        <v>43823</v>
      </c>
      <c r="C2489" s="17">
        <v>43823</v>
      </c>
      <c r="D2489" t="s">
        <v>0</v>
      </c>
      <c r="E2489" t="s">
        <v>1</v>
      </c>
      <c r="F2489" s="18">
        <v>16098.17</v>
      </c>
      <c r="G2489" s="18">
        <v>16098.17</v>
      </c>
      <c r="H2489" t="s">
        <v>2</v>
      </c>
      <c r="I2489" t="s">
        <v>10</v>
      </c>
      <c r="J2489" s="18">
        <v>1349831.55</v>
      </c>
      <c r="K2489" t="s">
        <v>5282</v>
      </c>
      <c r="L2489" t="s">
        <v>4</v>
      </c>
      <c r="M2489" t="s">
        <v>5417</v>
      </c>
      <c r="N2489" t="s">
        <v>3</v>
      </c>
      <c r="O2489" t="s">
        <v>3</v>
      </c>
      <c r="P2489" t="s">
        <v>5</v>
      </c>
      <c r="Q2489" t="s">
        <v>5418</v>
      </c>
      <c r="R2489" t="s">
        <v>3</v>
      </c>
      <c r="S2489" t="s">
        <v>3</v>
      </c>
      <c r="T2489" t="s">
        <v>3</v>
      </c>
      <c r="U2489" t="s">
        <v>3</v>
      </c>
      <c r="V2489" t="s">
        <v>3</v>
      </c>
      <c r="W2489" t="s">
        <v>68</v>
      </c>
      <c r="X2489" s="17"/>
      <c r="Y2489" t="s">
        <v>3</v>
      </c>
      <c r="Z2489" s="17">
        <v>43823</v>
      </c>
      <c r="AA2489" t="s">
        <v>3</v>
      </c>
      <c r="AB2489" t="s">
        <v>5416</v>
      </c>
    </row>
    <row r="2490" spans="1:28" hidden="1">
      <c r="A2490" t="s">
        <v>5416</v>
      </c>
      <c r="B2490" s="17">
        <v>43823</v>
      </c>
      <c r="C2490" s="17">
        <v>43823</v>
      </c>
      <c r="D2490" t="s">
        <v>0</v>
      </c>
      <c r="E2490" t="s">
        <v>1</v>
      </c>
      <c r="F2490" s="18">
        <v>3721.44</v>
      </c>
      <c r="G2490" s="18">
        <v>3721.44</v>
      </c>
      <c r="H2490" t="s">
        <v>2</v>
      </c>
      <c r="I2490" t="s">
        <v>10</v>
      </c>
      <c r="J2490" s="18">
        <v>312414.89</v>
      </c>
      <c r="K2490" t="s">
        <v>5419</v>
      </c>
      <c r="L2490" t="s">
        <v>4</v>
      </c>
      <c r="M2490" t="s">
        <v>5417</v>
      </c>
      <c r="N2490" t="s">
        <v>3</v>
      </c>
      <c r="O2490" t="s">
        <v>3</v>
      </c>
      <c r="P2490" t="s">
        <v>5</v>
      </c>
      <c r="Q2490" t="s">
        <v>5418</v>
      </c>
      <c r="R2490" t="s">
        <v>3</v>
      </c>
      <c r="S2490" t="s">
        <v>3</v>
      </c>
      <c r="T2490" t="s">
        <v>3</v>
      </c>
      <c r="U2490" t="s">
        <v>3</v>
      </c>
      <c r="V2490" t="s">
        <v>3</v>
      </c>
      <c r="W2490" t="s">
        <v>68</v>
      </c>
      <c r="X2490" s="17"/>
      <c r="Y2490" t="s">
        <v>3</v>
      </c>
      <c r="Z2490" s="17">
        <v>43823</v>
      </c>
      <c r="AA2490" t="s">
        <v>3</v>
      </c>
      <c r="AB2490" t="s">
        <v>5416</v>
      </c>
    </row>
    <row r="2491" spans="1:28" hidden="1">
      <c r="A2491" t="s">
        <v>5416</v>
      </c>
      <c r="B2491" s="17">
        <v>43823</v>
      </c>
      <c r="C2491" s="17">
        <v>43823</v>
      </c>
      <c r="D2491" t="s">
        <v>0</v>
      </c>
      <c r="E2491" t="s">
        <v>1</v>
      </c>
      <c r="F2491" s="18">
        <v>12093.53</v>
      </c>
      <c r="G2491" s="18">
        <v>12093.53</v>
      </c>
      <c r="H2491" t="s">
        <v>2</v>
      </c>
      <c r="I2491" t="s">
        <v>10</v>
      </c>
      <c r="J2491" s="18">
        <v>1015251.84</v>
      </c>
      <c r="K2491" t="s">
        <v>5335</v>
      </c>
      <c r="L2491" t="s">
        <v>4</v>
      </c>
      <c r="M2491" t="s">
        <v>5417</v>
      </c>
      <c r="N2491" t="s">
        <v>3</v>
      </c>
      <c r="O2491" t="s">
        <v>3</v>
      </c>
      <c r="P2491" t="s">
        <v>5</v>
      </c>
      <c r="Q2491" t="s">
        <v>5418</v>
      </c>
      <c r="R2491" t="s">
        <v>3</v>
      </c>
      <c r="S2491" t="s">
        <v>3</v>
      </c>
      <c r="T2491" t="s">
        <v>3</v>
      </c>
      <c r="U2491" t="s">
        <v>3</v>
      </c>
      <c r="V2491" t="s">
        <v>3</v>
      </c>
      <c r="W2491" t="s">
        <v>68</v>
      </c>
      <c r="X2491" s="17"/>
      <c r="Y2491" t="s">
        <v>3</v>
      </c>
      <c r="Z2491" s="17">
        <v>43823</v>
      </c>
      <c r="AA2491" t="s">
        <v>3</v>
      </c>
      <c r="AB2491" t="s">
        <v>5416</v>
      </c>
    </row>
    <row r="2492" spans="1:28" hidden="1">
      <c r="A2492" t="s">
        <v>5420</v>
      </c>
      <c r="B2492" s="17">
        <v>43825</v>
      </c>
      <c r="C2492" s="17">
        <v>43825</v>
      </c>
      <c r="D2492" t="s">
        <v>0</v>
      </c>
      <c r="E2492" t="s">
        <v>1</v>
      </c>
      <c r="F2492" s="18">
        <v>1774</v>
      </c>
      <c r="G2492" s="18">
        <v>1774</v>
      </c>
      <c r="H2492" t="s">
        <v>2</v>
      </c>
      <c r="I2492" t="s">
        <v>8</v>
      </c>
      <c r="J2492" s="18">
        <v>148129</v>
      </c>
      <c r="K2492" t="s">
        <v>5270</v>
      </c>
      <c r="L2492" t="s">
        <v>9</v>
      </c>
      <c r="M2492" t="s">
        <v>5421</v>
      </c>
      <c r="N2492" t="s">
        <v>3</v>
      </c>
      <c r="O2492" t="s">
        <v>3</v>
      </c>
      <c r="P2492" t="s">
        <v>5</v>
      </c>
      <c r="Q2492" t="s">
        <v>5422</v>
      </c>
      <c r="R2492" t="s">
        <v>3</v>
      </c>
      <c r="S2492" t="s">
        <v>3</v>
      </c>
      <c r="T2492" t="s">
        <v>3</v>
      </c>
      <c r="U2492" t="s">
        <v>3</v>
      </c>
      <c r="V2492" t="s">
        <v>3</v>
      </c>
      <c r="W2492" t="s">
        <v>68</v>
      </c>
      <c r="X2492" s="17"/>
      <c r="Y2492" t="s">
        <v>3</v>
      </c>
      <c r="Z2492" s="17">
        <v>43825</v>
      </c>
      <c r="AA2492" t="s">
        <v>3</v>
      </c>
      <c r="AB2492" t="s">
        <v>5420</v>
      </c>
    </row>
    <row r="2493" spans="1:28" hidden="1">
      <c r="A2493" t="s">
        <v>5420</v>
      </c>
      <c r="B2493" s="17">
        <v>43825</v>
      </c>
      <c r="C2493" s="17">
        <v>43825</v>
      </c>
      <c r="D2493" t="s">
        <v>0</v>
      </c>
      <c r="E2493" t="s">
        <v>1</v>
      </c>
      <c r="F2493" s="18">
        <v>28410</v>
      </c>
      <c r="G2493" s="18">
        <v>28410</v>
      </c>
      <c r="H2493" t="s">
        <v>2</v>
      </c>
      <c r="I2493" t="s">
        <v>8</v>
      </c>
      <c r="J2493" s="18">
        <v>2372235</v>
      </c>
      <c r="K2493" t="s">
        <v>5274</v>
      </c>
      <c r="L2493" t="s">
        <v>9</v>
      </c>
      <c r="M2493" t="s">
        <v>5421</v>
      </c>
      <c r="N2493" t="s">
        <v>3</v>
      </c>
      <c r="O2493" t="s">
        <v>3</v>
      </c>
      <c r="P2493" t="s">
        <v>5</v>
      </c>
      <c r="Q2493" t="s">
        <v>5422</v>
      </c>
      <c r="R2493" t="s">
        <v>3</v>
      </c>
      <c r="S2493" t="s">
        <v>3</v>
      </c>
      <c r="T2493" t="s">
        <v>3</v>
      </c>
      <c r="U2493" t="s">
        <v>3</v>
      </c>
      <c r="V2493" t="s">
        <v>3</v>
      </c>
      <c r="W2493" t="s">
        <v>68</v>
      </c>
      <c r="X2493" s="17"/>
      <c r="Y2493" t="s">
        <v>3</v>
      </c>
      <c r="Z2493" s="17">
        <v>43825</v>
      </c>
      <c r="AA2493" t="s">
        <v>3</v>
      </c>
      <c r="AB2493" t="s">
        <v>5420</v>
      </c>
    </row>
    <row r="2494" spans="1:28" hidden="1">
      <c r="A2494" t="s">
        <v>5420</v>
      </c>
      <c r="B2494" s="17">
        <v>43825</v>
      </c>
      <c r="C2494" s="17">
        <v>43825</v>
      </c>
      <c r="D2494" t="s">
        <v>0</v>
      </c>
      <c r="E2494" t="s">
        <v>1</v>
      </c>
      <c r="F2494" s="18">
        <v>304</v>
      </c>
      <c r="G2494" s="18">
        <v>304</v>
      </c>
      <c r="H2494" t="s">
        <v>2</v>
      </c>
      <c r="I2494" t="s">
        <v>8</v>
      </c>
      <c r="J2494" s="18">
        <v>25490.400000000001</v>
      </c>
      <c r="K2494" t="s">
        <v>5267</v>
      </c>
      <c r="L2494" t="s">
        <v>9</v>
      </c>
      <c r="M2494" t="s">
        <v>5421</v>
      </c>
      <c r="N2494" t="s">
        <v>3</v>
      </c>
      <c r="O2494" t="s">
        <v>3</v>
      </c>
      <c r="P2494" t="s">
        <v>5</v>
      </c>
      <c r="Q2494" t="s">
        <v>5422</v>
      </c>
      <c r="R2494" t="s">
        <v>3</v>
      </c>
      <c r="S2494" t="s">
        <v>3</v>
      </c>
      <c r="T2494" t="s">
        <v>3</v>
      </c>
      <c r="U2494" t="s">
        <v>3</v>
      </c>
      <c r="V2494" t="s">
        <v>3</v>
      </c>
      <c r="W2494" t="s">
        <v>68</v>
      </c>
      <c r="X2494" s="17"/>
      <c r="Y2494" t="s">
        <v>3</v>
      </c>
      <c r="Z2494" s="17">
        <v>43825</v>
      </c>
      <c r="AA2494" t="s">
        <v>3</v>
      </c>
      <c r="AB2494" t="s">
        <v>5420</v>
      </c>
    </row>
    <row r="2495" spans="1:28" hidden="1">
      <c r="A2495" t="s">
        <v>5420</v>
      </c>
      <c r="B2495" s="17">
        <v>43825</v>
      </c>
      <c r="C2495" s="17">
        <v>43825</v>
      </c>
      <c r="D2495" t="s">
        <v>0</v>
      </c>
      <c r="E2495" t="s">
        <v>1</v>
      </c>
      <c r="F2495" s="18">
        <v>2913</v>
      </c>
      <c r="G2495" s="18">
        <v>2913</v>
      </c>
      <c r="H2495" t="s">
        <v>2</v>
      </c>
      <c r="I2495" t="s">
        <v>8</v>
      </c>
      <c r="J2495" s="18">
        <v>244546.35</v>
      </c>
      <c r="K2495" t="s">
        <v>5371</v>
      </c>
      <c r="L2495" t="s">
        <v>9</v>
      </c>
      <c r="M2495" t="s">
        <v>5421</v>
      </c>
      <c r="N2495" t="s">
        <v>3</v>
      </c>
      <c r="O2495" t="s">
        <v>3</v>
      </c>
      <c r="P2495" t="s">
        <v>5</v>
      </c>
      <c r="Q2495" t="s">
        <v>5422</v>
      </c>
      <c r="R2495" t="s">
        <v>3</v>
      </c>
      <c r="S2495" t="s">
        <v>3</v>
      </c>
      <c r="T2495" t="s">
        <v>3</v>
      </c>
      <c r="U2495" t="s">
        <v>3</v>
      </c>
      <c r="V2495" t="s">
        <v>3</v>
      </c>
      <c r="W2495" t="s">
        <v>68</v>
      </c>
      <c r="X2495" s="17"/>
      <c r="Y2495" t="s">
        <v>3</v>
      </c>
      <c r="Z2495" s="17">
        <v>43825</v>
      </c>
      <c r="AA2495" t="s">
        <v>3</v>
      </c>
      <c r="AB2495" t="s">
        <v>5420</v>
      </c>
    </row>
    <row r="2496" spans="1:28" hidden="1">
      <c r="A2496" t="s">
        <v>5423</v>
      </c>
      <c r="B2496" s="17">
        <v>43825</v>
      </c>
      <c r="C2496" s="17">
        <v>43825</v>
      </c>
      <c r="D2496" t="s">
        <v>0</v>
      </c>
      <c r="E2496" t="s">
        <v>1</v>
      </c>
      <c r="F2496" s="18">
        <v>4976</v>
      </c>
      <c r="G2496" s="18">
        <v>4976</v>
      </c>
      <c r="H2496" t="s">
        <v>2</v>
      </c>
      <c r="I2496" t="s">
        <v>8</v>
      </c>
      <c r="J2496" s="18">
        <v>415496</v>
      </c>
      <c r="K2496" t="s">
        <v>5270</v>
      </c>
      <c r="L2496" t="s">
        <v>9</v>
      </c>
      <c r="M2496" t="s">
        <v>5424</v>
      </c>
      <c r="N2496" t="s">
        <v>3</v>
      </c>
      <c r="O2496" t="s">
        <v>3</v>
      </c>
      <c r="P2496" t="s">
        <v>5</v>
      </c>
      <c r="Q2496" t="s">
        <v>5425</v>
      </c>
      <c r="R2496" t="s">
        <v>3</v>
      </c>
      <c r="S2496" t="s">
        <v>3</v>
      </c>
      <c r="T2496" t="s">
        <v>3</v>
      </c>
      <c r="U2496" t="s">
        <v>3</v>
      </c>
      <c r="V2496" t="s">
        <v>3</v>
      </c>
      <c r="W2496" t="s">
        <v>68</v>
      </c>
      <c r="X2496" s="17"/>
      <c r="Y2496" t="s">
        <v>3</v>
      </c>
      <c r="Z2496" s="17">
        <v>43825</v>
      </c>
      <c r="AA2496" t="s">
        <v>3</v>
      </c>
      <c r="AB2496" t="s">
        <v>5423</v>
      </c>
    </row>
    <row r="2497" spans="1:28" hidden="1">
      <c r="A2497" t="s">
        <v>5423</v>
      </c>
      <c r="B2497" s="17">
        <v>43825</v>
      </c>
      <c r="C2497" s="17">
        <v>43825</v>
      </c>
      <c r="D2497" t="s">
        <v>0</v>
      </c>
      <c r="E2497" t="s">
        <v>1</v>
      </c>
      <c r="F2497" s="18">
        <v>26330</v>
      </c>
      <c r="G2497" s="18">
        <v>26330</v>
      </c>
      <c r="H2497" t="s">
        <v>2</v>
      </c>
      <c r="I2497" t="s">
        <v>8</v>
      </c>
      <c r="J2497" s="18">
        <v>2210403.5</v>
      </c>
      <c r="K2497" t="s">
        <v>5352</v>
      </c>
      <c r="L2497" t="s">
        <v>9</v>
      </c>
      <c r="M2497" t="s">
        <v>5424</v>
      </c>
      <c r="N2497" t="s">
        <v>3</v>
      </c>
      <c r="O2497" t="s">
        <v>3</v>
      </c>
      <c r="P2497" t="s">
        <v>5</v>
      </c>
      <c r="Q2497" t="s">
        <v>5425</v>
      </c>
      <c r="R2497" t="s">
        <v>3</v>
      </c>
      <c r="S2497" t="s">
        <v>3</v>
      </c>
      <c r="T2497" t="s">
        <v>3</v>
      </c>
      <c r="U2497" t="s">
        <v>3</v>
      </c>
      <c r="V2497" t="s">
        <v>3</v>
      </c>
      <c r="W2497" t="s">
        <v>68</v>
      </c>
      <c r="X2497" s="17"/>
      <c r="Y2497" t="s">
        <v>3</v>
      </c>
      <c r="Z2497" s="17">
        <v>43825</v>
      </c>
      <c r="AA2497" t="s">
        <v>3</v>
      </c>
      <c r="AB2497" t="s">
        <v>5423</v>
      </c>
    </row>
    <row r="2498" spans="1:28" hidden="1">
      <c r="A2498" t="s">
        <v>5423</v>
      </c>
      <c r="B2498" s="17">
        <v>43825</v>
      </c>
      <c r="C2498" s="17">
        <v>43825</v>
      </c>
      <c r="D2498" t="s">
        <v>0</v>
      </c>
      <c r="E2498" t="s">
        <v>1</v>
      </c>
      <c r="F2498" s="18">
        <v>4594</v>
      </c>
      <c r="G2498" s="18">
        <v>4594</v>
      </c>
      <c r="H2498" t="s">
        <v>2</v>
      </c>
      <c r="I2498" t="s">
        <v>8</v>
      </c>
      <c r="J2498" s="18">
        <v>385206.9</v>
      </c>
      <c r="K2498" t="s">
        <v>5267</v>
      </c>
      <c r="L2498" t="s">
        <v>9</v>
      </c>
      <c r="M2498" t="s">
        <v>5424</v>
      </c>
      <c r="N2498" t="s">
        <v>3</v>
      </c>
      <c r="O2498" t="s">
        <v>3</v>
      </c>
      <c r="P2498" t="s">
        <v>5</v>
      </c>
      <c r="Q2498" t="s">
        <v>5425</v>
      </c>
      <c r="R2498" t="s">
        <v>3</v>
      </c>
      <c r="S2498" t="s">
        <v>3</v>
      </c>
      <c r="T2498" t="s">
        <v>3</v>
      </c>
      <c r="U2498" t="s">
        <v>3</v>
      </c>
      <c r="V2498" t="s">
        <v>3</v>
      </c>
      <c r="W2498" t="s">
        <v>68</v>
      </c>
      <c r="X2498" s="17"/>
      <c r="Y2498" t="s">
        <v>3</v>
      </c>
      <c r="Z2498" s="17">
        <v>43825</v>
      </c>
      <c r="AA2498" t="s">
        <v>3</v>
      </c>
      <c r="AB2498" t="s">
        <v>5423</v>
      </c>
    </row>
    <row r="2499" spans="1:28" hidden="1">
      <c r="A2499" t="s">
        <v>5423</v>
      </c>
      <c r="B2499" s="17">
        <v>43825</v>
      </c>
      <c r="C2499" s="17">
        <v>43825</v>
      </c>
      <c r="D2499" t="s">
        <v>0</v>
      </c>
      <c r="E2499" t="s">
        <v>1</v>
      </c>
      <c r="F2499" s="18">
        <v>23314</v>
      </c>
      <c r="G2499" s="18">
        <v>23314</v>
      </c>
      <c r="H2499" t="s">
        <v>2</v>
      </c>
      <c r="I2499" t="s">
        <v>8</v>
      </c>
      <c r="J2499" s="18">
        <v>1957210.3</v>
      </c>
      <c r="K2499" t="s">
        <v>5371</v>
      </c>
      <c r="L2499" t="s">
        <v>9</v>
      </c>
      <c r="M2499" t="s">
        <v>5424</v>
      </c>
      <c r="N2499" t="s">
        <v>3</v>
      </c>
      <c r="O2499" t="s">
        <v>3</v>
      </c>
      <c r="P2499" t="s">
        <v>5</v>
      </c>
      <c r="Q2499" t="s">
        <v>5425</v>
      </c>
      <c r="R2499" t="s">
        <v>3</v>
      </c>
      <c r="S2499" t="s">
        <v>3</v>
      </c>
      <c r="T2499" t="s">
        <v>3</v>
      </c>
      <c r="U2499" t="s">
        <v>3</v>
      </c>
      <c r="V2499" t="s">
        <v>3</v>
      </c>
      <c r="W2499" t="s">
        <v>68</v>
      </c>
      <c r="X2499" s="17"/>
      <c r="Y2499" t="s">
        <v>3</v>
      </c>
      <c r="Z2499" s="17">
        <v>43825</v>
      </c>
      <c r="AA2499" t="s">
        <v>3</v>
      </c>
      <c r="AB2499" t="s">
        <v>5423</v>
      </c>
    </row>
    <row r="2500" spans="1:28" hidden="1">
      <c r="A2500" t="s">
        <v>5426</v>
      </c>
      <c r="B2500" s="17">
        <v>43825</v>
      </c>
      <c r="C2500" s="17">
        <v>43825</v>
      </c>
      <c r="D2500" t="s">
        <v>0</v>
      </c>
      <c r="E2500" t="s">
        <v>1</v>
      </c>
      <c r="F2500" s="18">
        <v>207145</v>
      </c>
      <c r="G2500" s="18">
        <v>207145</v>
      </c>
      <c r="H2500" t="s">
        <v>2</v>
      </c>
      <c r="I2500" t="s">
        <v>8</v>
      </c>
      <c r="J2500" s="18">
        <v>17296607.5</v>
      </c>
      <c r="K2500" t="s">
        <v>5270</v>
      </c>
      <c r="L2500" t="s">
        <v>9</v>
      </c>
      <c r="M2500" t="s">
        <v>5427</v>
      </c>
      <c r="N2500" t="s">
        <v>3</v>
      </c>
      <c r="O2500" t="s">
        <v>3</v>
      </c>
      <c r="P2500" t="s">
        <v>5</v>
      </c>
      <c r="Q2500" t="s">
        <v>5428</v>
      </c>
      <c r="R2500" t="s">
        <v>3</v>
      </c>
      <c r="S2500" t="s">
        <v>3</v>
      </c>
      <c r="T2500" t="s">
        <v>3</v>
      </c>
      <c r="U2500" t="s">
        <v>3</v>
      </c>
      <c r="V2500" t="s">
        <v>3</v>
      </c>
      <c r="W2500" t="s">
        <v>68</v>
      </c>
      <c r="X2500" s="17"/>
      <c r="Y2500" t="s">
        <v>3</v>
      </c>
      <c r="Z2500" s="17">
        <v>43825</v>
      </c>
      <c r="AA2500" t="s">
        <v>3</v>
      </c>
      <c r="AB2500" t="s">
        <v>5426</v>
      </c>
    </row>
    <row r="2501" spans="1:28" hidden="1">
      <c r="A2501" t="s">
        <v>5426</v>
      </c>
      <c r="B2501" s="17">
        <v>43825</v>
      </c>
      <c r="C2501" s="17">
        <v>43825</v>
      </c>
      <c r="D2501" t="s">
        <v>0</v>
      </c>
      <c r="E2501" t="s">
        <v>1</v>
      </c>
      <c r="F2501" s="18">
        <v>68112</v>
      </c>
      <c r="G2501" s="18">
        <v>68112</v>
      </c>
      <c r="H2501" t="s">
        <v>2</v>
      </c>
      <c r="I2501" t="s">
        <v>8</v>
      </c>
      <c r="J2501" s="18">
        <v>5718002.4000000004</v>
      </c>
      <c r="K2501" t="s">
        <v>5352</v>
      </c>
      <c r="L2501" t="s">
        <v>9</v>
      </c>
      <c r="M2501" t="s">
        <v>5427</v>
      </c>
      <c r="N2501" t="s">
        <v>3</v>
      </c>
      <c r="O2501" t="s">
        <v>3</v>
      </c>
      <c r="P2501" t="s">
        <v>5</v>
      </c>
      <c r="Q2501" t="s">
        <v>5428</v>
      </c>
      <c r="R2501" t="s">
        <v>3</v>
      </c>
      <c r="S2501" t="s">
        <v>3</v>
      </c>
      <c r="T2501" t="s">
        <v>3</v>
      </c>
      <c r="U2501" t="s">
        <v>3</v>
      </c>
      <c r="V2501" t="s">
        <v>3</v>
      </c>
      <c r="W2501" t="s">
        <v>68</v>
      </c>
      <c r="X2501" s="17"/>
      <c r="Y2501" t="s">
        <v>3</v>
      </c>
      <c r="Z2501" s="17">
        <v>43825</v>
      </c>
      <c r="AA2501" t="s">
        <v>3</v>
      </c>
      <c r="AB2501" t="s">
        <v>5426</v>
      </c>
    </row>
    <row r="2502" spans="1:28" hidden="1">
      <c r="A2502" t="s">
        <v>5426</v>
      </c>
      <c r="B2502" s="17">
        <v>43825</v>
      </c>
      <c r="C2502" s="17">
        <v>43825</v>
      </c>
      <c r="D2502" t="s">
        <v>0</v>
      </c>
      <c r="E2502" t="s">
        <v>1</v>
      </c>
      <c r="F2502" s="18">
        <v>75230</v>
      </c>
      <c r="G2502" s="18">
        <v>75230</v>
      </c>
      <c r="H2502" t="s">
        <v>2</v>
      </c>
      <c r="I2502" t="s">
        <v>8</v>
      </c>
      <c r="J2502" s="18">
        <v>6281705</v>
      </c>
      <c r="K2502" t="s">
        <v>5273</v>
      </c>
      <c r="L2502" t="s">
        <v>9</v>
      </c>
      <c r="M2502" t="s">
        <v>5427</v>
      </c>
      <c r="N2502" t="s">
        <v>3</v>
      </c>
      <c r="O2502" t="s">
        <v>3</v>
      </c>
      <c r="P2502" t="s">
        <v>5</v>
      </c>
      <c r="Q2502" t="s">
        <v>5428</v>
      </c>
      <c r="R2502" t="s">
        <v>3</v>
      </c>
      <c r="S2502" t="s">
        <v>3</v>
      </c>
      <c r="T2502" t="s">
        <v>3</v>
      </c>
      <c r="U2502" t="s">
        <v>3</v>
      </c>
      <c r="V2502" t="s">
        <v>3</v>
      </c>
      <c r="W2502" t="s">
        <v>68</v>
      </c>
      <c r="X2502" s="17"/>
      <c r="Y2502" t="s">
        <v>3</v>
      </c>
      <c r="Z2502" s="17">
        <v>43825</v>
      </c>
      <c r="AA2502" t="s">
        <v>3</v>
      </c>
      <c r="AB2502" t="s">
        <v>5426</v>
      </c>
    </row>
    <row r="2503" spans="1:28" hidden="1">
      <c r="A2503" t="s">
        <v>5426</v>
      </c>
      <c r="B2503" s="17">
        <v>43825</v>
      </c>
      <c r="C2503" s="17">
        <v>43825</v>
      </c>
      <c r="D2503" t="s">
        <v>0</v>
      </c>
      <c r="E2503" t="s">
        <v>1</v>
      </c>
      <c r="F2503" s="18">
        <v>43974</v>
      </c>
      <c r="G2503" s="18">
        <v>43974</v>
      </c>
      <c r="H2503" t="s">
        <v>2</v>
      </c>
      <c r="I2503" t="s">
        <v>8</v>
      </c>
      <c r="J2503" s="18">
        <v>3671829</v>
      </c>
      <c r="K2503" t="s">
        <v>5274</v>
      </c>
      <c r="L2503" t="s">
        <v>9</v>
      </c>
      <c r="M2503" t="s">
        <v>5427</v>
      </c>
      <c r="N2503" t="s">
        <v>3</v>
      </c>
      <c r="O2503" t="s">
        <v>3</v>
      </c>
      <c r="P2503" t="s">
        <v>5</v>
      </c>
      <c r="Q2503" t="s">
        <v>5428</v>
      </c>
      <c r="R2503" t="s">
        <v>3</v>
      </c>
      <c r="S2503" t="s">
        <v>3</v>
      </c>
      <c r="T2503" t="s">
        <v>3</v>
      </c>
      <c r="U2503" t="s">
        <v>3</v>
      </c>
      <c r="V2503" t="s">
        <v>3</v>
      </c>
      <c r="W2503" t="s">
        <v>68</v>
      </c>
      <c r="X2503" s="17"/>
      <c r="Y2503" t="s">
        <v>3</v>
      </c>
      <c r="Z2503" s="17">
        <v>43825</v>
      </c>
      <c r="AA2503" t="s">
        <v>3</v>
      </c>
      <c r="AB2503" t="s">
        <v>5426</v>
      </c>
    </row>
    <row r="2504" spans="1:28" hidden="1">
      <c r="A2504" t="s">
        <v>5426</v>
      </c>
      <c r="B2504" s="17">
        <v>43825</v>
      </c>
      <c r="C2504" s="17">
        <v>43825</v>
      </c>
      <c r="D2504" t="s">
        <v>0</v>
      </c>
      <c r="E2504" t="s">
        <v>1</v>
      </c>
      <c r="F2504" s="18">
        <v>113829</v>
      </c>
      <c r="G2504" s="18">
        <v>113829</v>
      </c>
      <c r="H2504" t="s">
        <v>2</v>
      </c>
      <c r="I2504" t="s">
        <v>8</v>
      </c>
      <c r="J2504" s="18">
        <v>9544561.6500000004</v>
      </c>
      <c r="K2504" t="s">
        <v>5267</v>
      </c>
      <c r="L2504" t="s">
        <v>9</v>
      </c>
      <c r="M2504" t="s">
        <v>5427</v>
      </c>
      <c r="N2504" t="s">
        <v>3</v>
      </c>
      <c r="O2504" t="s">
        <v>3</v>
      </c>
      <c r="P2504" t="s">
        <v>5</v>
      </c>
      <c r="Q2504" t="s">
        <v>5428</v>
      </c>
      <c r="R2504" t="s">
        <v>3</v>
      </c>
      <c r="S2504" t="s">
        <v>3</v>
      </c>
      <c r="T2504" t="s">
        <v>3</v>
      </c>
      <c r="U2504" t="s">
        <v>3</v>
      </c>
      <c r="V2504" t="s">
        <v>3</v>
      </c>
      <c r="W2504" t="s">
        <v>68</v>
      </c>
      <c r="X2504" s="17"/>
      <c r="Y2504" t="s">
        <v>3</v>
      </c>
      <c r="Z2504" s="17">
        <v>43825</v>
      </c>
      <c r="AA2504" t="s">
        <v>3</v>
      </c>
      <c r="AB2504" t="s">
        <v>5426</v>
      </c>
    </row>
    <row r="2505" spans="1:28" hidden="1">
      <c r="A2505" t="s">
        <v>5426</v>
      </c>
      <c r="B2505" s="17">
        <v>43825</v>
      </c>
      <c r="C2505" s="17">
        <v>43825</v>
      </c>
      <c r="D2505" t="s">
        <v>0</v>
      </c>
      <c r="E2505" t="s">
        <v>1</v>
      </c>
      <c r="F2505" s="18">
        <v>51185</v>
      </c>
      <c r="G2505" s="18">
        <v>51185</v>
      </c>
      <c r="H2505" t="s">
        <v>2</v>
      </c>
      <c r="I2505" t="s">
        <v>8</v>
      </c>
      <c r="J2505" s="18">
        <v>4296980.75</v>
      </c>
      <c r="K2505" t="s">
        <v>5371</v>
      </c>
      <c r="L2505" t="s">
        <v>9</v>
      </c>
      <c r="M2505" t="s">
        <v>5427</v>
      </c>
      <c r="N2505" t="s">
        <v>3</v>
      </c>
      <c r="O2505" t="s">
        <v>3</v>
      </c>
      <c r="P2505" t="s">
        <v>5</v>
      </c>
      <c r="Q2505" t="s">
        <v>5428</v>
      </c>
      <c r="R2505" t="s">
        <v>3</v>
      </c>
      <c r="S2505" t="s">
        <v>3</v>
      </c>
      <c r="T2505" t="s">
        <v>3</v>
      </c>
      <c r="U2505" t="s">
        <v>3</v>
      </c>
      <c r="V2505" t="s">
        <v>3</v>
      </c>
      <c r="W2505" t="s">
        <v>68</v>
      </c>
      <c r="X2505" s="17"/>
      <c r="Y2505" t="s">
        <v>3</v>
      </c>
      <c r="Z2505" s="17">
        <v>43825</v>
      </c>
      <c r="AA2505" t="s">
        <v>3</v>
      </c>
      <c r="AB2505" t="s">
        <v>5426</v>
      </c>
    </row>
    <row r="2506" spans="1:28" hidden="1">
      <c r="A2506" t="s">
        <v>5488</v>
      </c>
      <c r="B2506" s="17">
        <v>43830</v>
      </c>
      <c r="C2506" s="17">
        <v>43830</v>
      </c>
      <c r="D2506" t="s">
        <v>0</v>
      </c>
      <c r="E2506" t="s">
        <v>1</v>
      </c>
      <c r="F2506" s="18">
        <v>-1795608</v>
      </c>
      <c r="G2506" s="18">
        <v>-1795608</v>
      </c>
      <c r="H2506" t="s">
        <v>2</v>
      </c>
      <c r="I2506" t="s">
        <v>8</v>
      </c>
      <c r="J2506" s="18">
        <v>-149897355.84</v>
      </c>
      <c r="K2506" t="s">
        <v>4432</v>
      </c>
      <c r="L2506" t="s">
        <v>2332</v>
      </c>
      <c r="M2506" t="s">
        <v>4433</v>
      </c>
      <c r="N2506" t="s">
        <v>3</v>
      </c>
      <c r="O2506" t="s">
        <v>3</v>
      </c>
      <c r="P2506" t="s">
        <v>5</v>
      </c>
      <c r="Q2506" t="s">
        <v>4434</v>
      </c>
      <c r="R2506" t="s">
        <v>3</v>
      </c>
      <c r="S2506" t="s">
        <v>3</v>
      </c>
      <c r="T2506" t="s">
        <v>3</v>
      </c>
      <c r="U2506" t="s">
        <v>3</v>
      </c>
      <c r="V2506" t="s">
        <v>3</v>
      </c>
      <c r="W2506" t="s">
        <v>68</v>
      </c>
      <c r="X2506" s="17">
        <v>43831</v>
      </c>
      <c r="Y2506" t="s">
        <v>4431</v>
      </c>
      <c r="Z2506" s="17">
        <v>43830</v>
      </c>
      <c r="AA2506" t="s">
        <v>3</v>
      </c>
      <c r="AB2506" t="s">
        <v>5488</v>
      </c>
    </row>
    <row r="2507" spans="1:28" hidden="1">
      <c r="A2507" t="s">
        <v>5488</v>
      </c>
      <c r="B2507" s="17">
        <v>43830</v>
      </c>
      <c r="C2507" s="17">
        <v>43830</v>
      </c>
      <c r="D2507" t="s">
        <v>0</v>
      </c>
      <c r="E2507" t="s">
        <v>1</v>
      </c>
      <c r="F2507" s="18">
        <v>494529</v>
      </c>
      <c r="G2507" s="18">
        <v>494529</v>
      </c>
      <c r="H2507" t="s">
        <v>2</v>
      </c>
      <c r="I2507" t="s">
        <v>8</v>
      </c>
      <c r="J2507" s="18">
        <v>41283280.920000002</v>
      </c>
      <c r="K2507" t="s">
        <v>4432</v>
      </c>
      <c r="L2507" t="s">
        <v>9</v>
      </c>
      <c r="M2507" t="s">
        <v>4433</v>
      </c>
      <c r="N2507" t="s">
        <v>3</v>
      </c>
      <c r="O2507" t="s">
        <v>3</v>
      </c>
      <c r="P2507" t="s">
        <v>5</v>
      </c>
      <c r="Q2507" t="s">
        <v>4434</v>
      </c>
      <c r="R2507" t="s">
        <v>3</v>
      </c>
      <c r="S2507" t="s">
        <v>3</v>
      </c>
      <c r="T2507" t="s">
        <v>3</v>
      </c>
      <c r="U2507" t="s">
        <v>3</v>
      </c>
      <c r="V2507" t="s">
        <v>3</v>
      </c>
      <c r="W2507" t="s">
        <v>68</v>
      </c>
      <c r="X2507" s="17">
        <v>43831</v>
      </c>
      <c r="Y2507" t="s">
        <v>4431</v>
      </c>
      <c r="Z2507" s="17">
        <v>43830</v>
      </c>
      <c r="AA2507" t="s">
        <v>3</v>
      </c>
      <c r="AB2507" t="s">
        <v>5488</v>
      </c>
    </row>
    <row r="2508" spans="1:28" hidden="1">
      <c r="A2508" t="s">
        <v>5492</v>
      </c>
      <c r="B2508" s="17">
        <v>43830</v>
      </c>
      <c r="C2508" s="17">
        <v>43830</v>
      </c>
      <c r="D2508" t="s">
        <v>0</v>
      </c>
      <c r="E2508" t="s">
        <v>1</v>
      </c>
      <c r="F2508" s="18">
        <v>129711.73</v>
      </c>
      <c r="G2508" s="18">
        <v>129711.73</v>
      </c>
      <c r="H2508" t="s">
        <v>2</v>
      </c>
      <c r="I2508" t="s">
        <v>8</v>
      </c>
      <c r="J2508" s="18">
        <v>10889299.73</v>
      </c>
      <c r="K2508" t="s">
        <v>4436</v>
      </c>
      <c r="L2508" t="s">
        <v>4</v>
      </c>
      <c r="M2508" t="s">
        <v>4437</v>
      </c>
      <c r="N2508" t="s">
        <v>3</v>
      </c>
      <c r="O2508" t="s">
        <v>3</v>
      </c>
      <c r="P2508" t="s">
        <v>5</v>
      </c>
      <c r="Q2508" t="s">
        <v>4436</v>
      </c>
      <c r="R2508" t="s">
        <v>3</v>
      </c>
      <c r="S2508" t="s">
        <v>3</v>
      </c>
      <c r="T2508" t="s">
        <v>3</v>
      </c>
      <c r="U2508" t="s">
        <v>3</v>
      </c>
      <c r="V2508" t="s">
        <v>3</v>
      </c>
      <c r="W2508" t="s">
        <v>68</v>
      </c>
      <c r="X2508" s="17">
        <v>43831</v>
      </c>
      <c r="Y2508" t="s">
        <v>4435</v>
      </c>
      <c r="Z2508" s="17">
        <v>43830</v>
      </c>
      <c r="AA2508" t="s">
        <v>3</v>
      </c>
      <c r="AB2508" t="s">
        <v>5492</v>
      </c>
    </row>
    <row r="2509" spans="1:28" hidden="1">
      <c r="A2509" t="s">
        <v>4431</v>
      </c>
      <c r="B2509" s="17">
        <v>43831</v>
      </c>
      <c r="C2509" s="17">
        <v>43830</v>
      </c>
      <c r="D2509" t="s">
        <v>38</v>
      </c>
      <c r="E2509" t="s">
        <v>1</v>
      </c>
      <c r="F2509" s="18">
        <v>1795608</v>
      </c>
      <c r="G2509" s="18">
        <v>1795608</v>
      </c>
      <c r="H2509" t="s">
        <v>2</v>
      </c>
      <c r="I2509" t="s">
        <v>8</v>
      </c>
      <c r="J2509" s="18">
        <v>149897355.84</v>
      </c>
      <c r="K2509" t="s">
        <v>4432</v>
      </c>
      <c r="L2509" t="s">
        <v>2332</v>
      </c>
      <c r="M2509" t="s">
        <v>4433</v>
      </c>
      <c r="N2509" t="s">
        <v>3</v>
      </c>
      <c r="O2509" t="s">
        <v>3</v>
      </c>
      <c r="P2509" t="s">
        <v>5</v>
      </c>
      <c r="Q2509" t="s">
        <v>4434</v>
      </c>
      <c r="R2509" t="s">
        <v>3</v>
      </c>
      <c r="S2509" t="s">
        <v>3</v>
      </c>
      <c r="T2509" t="s">
        <v>3</v>
      </c>
      <c r="U2509" t="s">
        <v>3</v>
      </c>
      <c r="V2509" t="s">
        <v>3</v>
      </c>
      <c r="W2509" t="s">
        <v>68</v>
      </c>
      <c r="X2509" s="17">
        <v>43831</v>
      </c>
      <c r="Y2509" t="s">
        <v>4431</v>
      </c>
      <c r="Z2509" s="17">
        <v>43830</v>
      </c>
      <c r="AA2509" t="s">
        <v>3</v>
      </c>
      <c r="AB2509" t="s">
        <v>4431</v>
      </c>
    </row>
    <row r="2510" spans="1:28" hidden="1">
      <c r="A2510" t="s">
        <v>4431</v>
      </c>
      <c r="B2510" s="17">
        <v>43831</v>
      </c>
      <c r="C2510" s="17">
        <v>43830</v>
      </c>
      <c r="D2510" t="s">
        <v>38</v>
      </c>
      <c r="E2510" t="s">
        <v>1</v>
      </c>
      <c r="F2510" s="18">
        <v>-494529</v>
      </c>
      <c r="G2510" s="18">
        <v>-494529</v>
      </c>
      <c r="H2510" t="s">
        <v>2</v>
      </c>
      <c r="I2510" t="s">
        <v>8</v>
      </c>
      <c r="J2510" s="18">
        <v>-41283280.920000002</v>
      </c>
      <c r="K2510" t="s">
        <v>4432</v>
      </c>
      <c r="L2510" t="s">
        <v>9</v>
      </c>
      <c r="M2510" t="s">
        <v>4433</v>
      </c>
      <c r="N2510" t="s">
        <v>3</v>
      </c>
      <c r="O2510" t="s">
        <v>3</v>
      </c>
      <c r="P2510" t="s">
        <v>5</v>
      </c>
      <c r="Q2510" t="s">
        <v>4434</v>
      </c>
      <c r="R2510" t="s">
        <v>3</v>
      </c>
      <c r="S2510" t="s">
        <v>3</v>
      </c>
      <c r="T2510" t="s">
        <v>3</v>
      </c>
      <c r="U2510" t="s">
        <v>3</v>
      </c>
      <c r="V2510" t="s">
        <v>3</v>
      </c>
      <c r="W2510" t="s">
        <v>68</v>
      </c>
      <c r="X2510" s="17">
        <v>43831</v>
      </c>
      <c r="Y2510" t="s">
        <v>4431</v>
      </c>
      <c r="Z2510" s="17">
        <v>43830</v>
      </c>
      <c r="AA2510" t="s">
        <v>3</v>
      </c>
      <c r="AB2510" t="s">
        <v>4431</v>
      </c>
    </row>
    <row r="2511" spans="1:28" hidden="1">
      <c r="A2511" t="s">
        <v>4435</v>
      </c>
      <c r="B2511" s="17">
        <v>43831</v>
      </c>
      <c r="C2511" s="17">
        <v>43830</v>
      </c>
      <c r="D2511" t="s">
        <v>38</v>
      </c>
      <c r="E2511" t="s">
        <v>1</v>
      </c>
      <c r="F2511" s="18">
        <v>-129711.73</v>
      </c>
      <c r="G2511" s="18">
        <v>-129711.73</v>
      </c>
      <c r="H2511" t="s">
        <v>2</v>
      </c>
      <c r="I2511" t="s">
        <v>8</v>
      </c>
      <c r="J2511" s="18">
        <v>-10889299.73</v>
      </c>
      <c r="K2511" t="s">
        <v>4436</v>
      </c>
      <c r="L2511" t="s">
        <v>4</v>
      </c>
      <c r="M2511" t="s">
        <v>4437</v>
      </c>
      <c r="N2511" t="s">
        <v>3</v>
      </c>
      <c r="O2511" t="s">
        <v>3</v>
      </c>
      <c r="P2511" t="s">
        <v>5</v>
      </c>
      <c r="Q2511" t="s">
        <v>4436</v>
      </c>
      <c r="R2511" t="s">
        <v>3</v>
      </c>
      <c r="S2511" t="s">
        <v>3</v>
      </c>
      <c r="T2511" t="s">
        <v>3</v>
      </c>
      <c r="U2511" t="s">
        <v>3</v>
      </c>
      <c r="V2511" t="s">
        <v>3</v>
      </c>
      <c r="W2511" t="s">
        <v>68</v>
      </c>
      <c r="X2511" s="17">
        <v>43831</v>
      </c>
      <c r="Y2511" t="s">
        <v>4435</v>
      </c>
      <c r="Z2511" s="17">
        <v>43830</v>
      </c>
      <c r="AA2511" t="s">
        <v>3</v>
      </c>
      <c r="AB2511" t="s">
        <v>4435</v>
      </c>
    </row>
    <row r="2512" spans="1:28" hidden="1">
      <c r="A2512" t="s">
        <v>5429</v>
      </c>
      <c r="B2512" s="17">
        <v>43831</v>
      </c>
      <c r="C2512" s="17">
        <v>43831</v>
      </c>
      <c r="D2512" t="s">
        <v>0</v>
      </c>
      <c r="E2512" t="s">
        <v>1</v>
      </c>
      <c r="F2512" s="18">
        <v>-900000</v>
      </c>
      <c r="G2512" s="18">
        <v>-900000</v>
      </c>
      <c r="H2512" t="s">
        <v>2</v>
      </c>
      <c r="I2512" t="s">
        <v>8</v>
      </c>
      <c r="J2512" s="18">
        <v>-75555000</v>
      </c>
      <c r="K2512" t="s">
        <v>5430</v>
      </c>
      <c r="L2512" t="s">
        <v>9</v>
      </c>
      <c r="M2512" t="s">
        <v>5431</v>
      </c>
      <c r="N2512" t="s">
        <v>3</v>
      </c>
      <c r="O2512" t="s">
        <v>3</v>
      </c>
      <c r="P2512" t="s">
        <v>5</v>
      </c>
      <c r="Q2512" t="s">
        <v>5432</v>
      </c>
      <c r="R2512" t="s">
        <v>3</v>
      </c>
      <c r="S2512" t="s">
        <v>3</v>
      </c>
      <c r="T2512" t="s">
        <v>3</v>
      </c>
      <c r="U2512" t="s">
        <v>3</v>
      </c>
      <c r="V2512" t="s">
        <v>3</v>
      </c>
      <c r="W2512" t="s">
        <v>68</v>
      </c>
      <c r="X2512" s="17"/>
      <c r="Y2512" t="s">
        <v>3</v>
      </c>
      <c r="Z2512" s="17">
        <v>43831</v>
      </c>
      <c r="AA2512" t="s">
        <v>3</v>
      </c>
      <c r="AB2512" t="s">
        <v>5429</v>
      </c>
    </row>
    <row r="2513" spans="1:28" hidden="1">
      <c r="A2513" t="s">
        <v>5433</v>
      </c>
      <c r="B2513" s="17">
        <v>43831</v>
      </c>
      <c r="C2513" s="17">
        <v>43831</v>
      </c>
      <c r="D2513" t="s">
        <v>0</v>
      </c>
      <c r="E2513" t="s">
        <v>1</v>
      </c>
      <c r="F2513" s="18">
        <v>-895608</v>
      </c>
      <c r="G2513" s="18">
        <v>-895608</v>
      </c>
      <c r="H2513" t="s">
        <v>2</v>
      </c>
      <c r="I2513" t="s">
        <v>8</v>
      </c>
      <c r="J2513" s="18">
        <v>-75186291.599999994</v>
      </c>
      <c r="K2513" t="s">
        <v>5434</v>
      </c>
      <c r="L2513" t="s">
        <v>9</v>
      </c>
      <c r="M2513" t="s">
        <v>5435</v>
      </c>
      <c r="N2513" t="s">
        <v>3</v>
      </c>
      <c r="O2513" t="s">
        <v>3</v>
      </c>
      <c r="P2513" t="s">
        <v>5</v>
      </c>
      <c r="Q2513" t="s">
        <v>5436</v>
      </c>
      <c r="R2513" t="s">
        <v>3</v>
      </c>
      <c r="S2513" t="s">
        <v>3</v>
      </c>
      <c r="T2513" t="s">
        <v>3</v>
      </c>
      <c r="U2513" t="s">
        <v>3</v>
      </c>
      <c r="V2513" t="s">
        <v>3</v>
      </c>
      <c r="W2513" t="s">
        <v>68</v>
      </c>
      <c r="X2513" s="17"/>
      <c r="Y2513" t="s">
        <v>3</v>
      </c>
      <c r="Z2513" s="17">
        <v>43831</v>
      </c>
      <c r="AA2513" t="s">
        <v>3</v>
      </c>
      <c r="AB2513" t="s">
        <v>5433</v>
      </c>
    </row>
    <row r="2514" spans="1:28" hidden="1">
      <c r="A2514" t="s">
        <v>5437</v>
      </c>
      <c r="B2514" s="17">
        <v>43831</v>
      </c>
      <c r="C2514" s="17">
        <v>43831</v>
      </c>
      <c r="D2514" t="s">
        <v>0</v>
      </c>
      <c r="E2514" t="s">
        <v>1</v>
      </c>
      <c r="F2514" s="18">
        <v>5854.78</v>
      </c>
      <c r="G2514" s="18">
        <v>5854.78</v>
      </c>
      <c r="H2514" t="s">
        <v>2</v>
      </c>
      <c r="I2514" t="s">
        <v>8</v>
      </c>
      <c r="J2514" s="18">
        <v>490923.3</v>
      </c>
      <c r="K2514" t="s">
        <v>5195</v>
      </c>
      <c r="L2514" t="s">
        <v>4</v>
      </c>
      <c r="M2514" t="s">
        <v>5438</v>
      </c>
      <c r="N2514" t="s">
        <v>3</v>
      </c>
      <c r="O2514" t="s">
        <v>3</v>
      </c>
      <c r="P2514" t="s">
        <v>5</v>
      </c>
      <c r="Q2514" t="s">
        <v>5439</v>
      </c>
      <c r="R2514" t="s">
        <v>3</v>
      </c>
      <c r="S2514" t="s">
        <v>3</v>
      </c>
      <c r="T2514" t="s">
        <v>3</v>
      </c>
      <c r="U2514" t="s">
        <v>3</v>
      </c>
      <c r="V2514" t="s">
        <v>3</v>
      </c>
      <c r="W2514" t="s">
        <v>68</v>
      </c>
      <c r="X2514" s="17"/>
      <c r="Y2514" t="s">
        <v>3</v>
      </c>
      <c r="Z2514" s="17">
        <v>43831</v>
      </c>
      <c r="AA2514" t="s">
        <v>3</v>
      </c>
      <c r="AB2514" t="s">
        <v>5437</v>
      </c>
    </row>
    <row r="2515" spans="1:28" hidden="1">
      <c r="A2515" t="s">
        <v>5437</v>
      </c>
      <c r="B2515" s="17">
        <v>43831</v>
      </c>
      <c r="C2515" s="17">
        <v>43831</v>
      </c>
      <c r="D2515" t="s">
        <v>0</v>
      </c>
      <c r="E2515" t="s">
        <v>1</v>
      </c>
      <c r="F2515" s="18">
        <v>33017.94</v>
      </c>
      <c r="G2515" s="18">
        <v>33017.94</v>
      </c>
      <c r="H2515" t="s">
        <v>2</v>
      </c>
      <c r="I2515" t="s">
        <v>8</v>
      </c>
      <c r="J2515" s="18">
        <v>2771856.06</v>
      </c>
      <c r="K2515" t="s">
        <v>5440</v>
      </c>
      <c r="L2515" t="s">
        <v>4</v>
      </c>
      <c r="M2515" t="s">
        <v>5438</v>
      </c>
      <c r="N2515" t="s">
        <v>3</v>
      </c>
      <c r="O2515" t="s">
        <v>3</v>
      </c>
      <c r="P2515" t="s">
        <v>5</v>
      </c>
      <c r="Q2515" t="s">
        <v>5439</v>
      </c>
      <c r="R2515" t="s">
        <v>3</v>
      </c>
      <c r="S2515" t="s">
        <v>3</v>
      </c>
      <c r="T2515" t="s">
        <v>3</v>
      </c>
      <c r="U2515" t="s">
        <v>3</v>
      </c>
      <c r="V2515" t="s">
        <v>3</v>
      </c>
      <c r="W2515" t="s">
        <v>68</v>
      </c>
      <c r="X2515" s="17"/>
      <c r="Y2515" t="s">
        <v>3</v>
      </c>
      <c r="Z2515" s="17">
        <v>43831</v>
      </c>
      <c r="AA2515" t="s">
        <v>3</v>
      </c>
      <c r="AB2515" t="s">
        <v>5437</v>
      </c>
    </row>
    <row r="2516" spans="1:28" hidden="1">
      <c r="A2516" t="s">
        <v>5437</v>
      </c>
      <c r="B2516" s="17">
        <v>43831</v>
      </c>
      <c r="C2516" s="17">
        <v>43831</v>
      </c>
      <c r="D2516" t="s">
        <v>0</v>
      </c>
      <c r="E2516" t="s">
        <v>1</v>
      </c>
      <c r="F2516" s="18">
        <v>6927.63</v>
      </c>
      <c r="G2516" s="18">
        <v>6927.63</v>
      </c>
      <c r="H2516" t="s">
        <v>2</v>
      </c>
      <c r="I2516" t="s">
        <v>8</v>
      </c>
      <c r="J2516" s="18">
        <v>580881.78</v>
      </c>
      <c r="K2516" t="s">
        <v>5441</v>
      </c>
      <c r="L2516" t="s">
        <v>4</v>
      </c>
      <c r="M2516" t="s">
        <v>5438</v>
      </c>
      <c r="N2516" t="s">
        <v>3</v>
      </c>
      <c r="O2516" t="s">
        <v>3</v>
      </c>
      <c r="P2516" t="s">
        <v>5</v>
      </c>
      <c r="Q2516" t="s">
        <v>5439</v>
      </c>
      <c r="R2516" t="s">
        <v>3</v>
      </c>
      <c r="S2516" t="s">
        <v>3</v>
      </c>
      <c r="T2516" t="s">
        <v>3</v>
      </c>
      <c r="U2516" t="s">
        <v>3</v>
      </c>
      <c r="V2516" t="s">
        <v>3</v>
      </c>
      <c r="W2516" t="s">
        <v>68</v>
      </c>
      <c r="X2516" s="17"/>
      <c r="Y2516" t="s">
        <v>3</v>
      </c>
      <c r="Z2516" s="17">
        <v>43831</v>
      </c>
      <c r="AA2516" t="s">
        <v>3</v>
      </c>
      <c r="AB2516" t="s">
        <v>5437</v>
      </c>
    </row>
    <row r="2517" spans="1:28" hidden="1">
      <c r="A2517" t="s">
        <v>5437</v>
      </c>
      <c r="B2517" s="17">
        <v>43831</v>
      </c>
      <c r="C2517" s="17">
        <v>43831</v>
      </c>
      <c r="D2517" t="s">
        <v>0</v>
      </c>
      <c r="E2517" t="s">
        <v>1</v>
      </c>
      <c r="F2517" s="18">
        <v>28472.19</v>
      </c>
      <c r="G2517" s="18">
        <v>28472.19</v>
      </c>
      <c r="H2517" t="s">
        <v>2</v>
      </c>
      <c r="I2517" t="s">
        <v>8</v>
      </c>
      <c r="J2517" s="18">
        <v>2390240.35</v>
      </c>
      <c r="K2517" t="s">
        <v>5442</v>
      </c>
      <c r="L2517" t="s">
        <v>4</v>
      </c>
      <c r="M2517" t="s">
        <v>5438</v>
      </c>
      <c r="N2517" t="s">
        <v>3</v>
      </c>
      <c r="O2517" t="s">
        <v>3</v>
      </c>
      <c r="P2517" t="s">
        <v>5</v>
      </c>
      <c r="Q2517" t="s">
        <v>5439</v>
      </c>
      <c r="R2517" t="s">
        <v>3</v>
      </c>
      <c r="S2517" t="s">
        <v>3</v>
      </c>
      <c r="T2517" t="s">
        <v>3</v>
      </c>
      <c r="U2517" t="s">
        <v>3</v>
      </c>
      <c r="V2517" t="s">
        <v>3</v>
      </c>
      <c r="W2517" t="s">
        <v>68</v>
      </c>
      <c r="X2517" s="17"/>
      <c r="Y2517" t="s">
        <v>3</v>
      </c>
      <c r="Z2517" s="17">
        <v>43831</v>
      </c>
      <c r="AA2517" t="s">
        <v>3</v>
      </c>
      <c r="AB2517" t="s">
        <v>5437</v>
      </c>
    </row>
    <row r="2518" spans="1:28" hidden="1">
      <c r="A2518" t="s">
        <v>5443</v>
      </c>
      <c r="B2518" s="17">
        <v>43831</v>
      </c>
      <c r="C2518" s="17">
        <v>43831</v>
      </c>
      <c r="D2518" t="s">
        <v>0</v>
      </c>
      <c r="E2518" t="s">
        <v>1</v>
      </c>
      <c r="F2518" s="18">
        <v>10111.94</v>
      </c>
      <c r="G2518" s="18">
        <v>10111.94</v>
      </c>
      <c r="H2518" t="s">
        <v>2</v>
      </c>
      <c r="I2518" t="s">
        <v>8</v>
      </c>
      <c r="J2518" s="18">
        <v>848897.36</v>
      </c>
      <c r="K2518" t="s">
        <v>5442</v>
      </c>
      <c r="L2518" t="s">
        <v>4</v>
      </c>
      <c r="M2518" t="s">
        <v>5444</v>
      </c>
      <c r="N2518" t="s">
        <v>3</v>
      </c>
      <c r="O2518" t="s">
        <v>3</v>
      </c>
      <c r="P2518" t="s">
        <v>5</v>
      </c>
      <c r="Q2518" t="s">
        <v>5445</v>
      </c>
      <c r="R2518" t="s">
        <v>3</v>
      </c>
      <c r="S2518" t="s">
        <v>3</v>
      </c>
      <c r="T2518" t="s">
        <v>3</v>
      </c>
      <c r="U2518" t="s">
        <v>3</v>
      </c>
      <c r="V2518" t="s">
        <v>3</v>
      </c>
      <c r="W2518" t="s">
        <v>68</v>
      </c>
      <c r="X2518" s="17"/>
      <c r="Y2518" t="s">
        <v>3</v>
      </c>
      <c r="Z2518" s="17">
        <v>43831</v>
      </c>
      <c r="AA2518" t="s">
        <v>3</v>
      </c>
      <c r="AB2518" t="s">
        <v>5443</v>
      </c>
    </row>
    <row r="2519" spans="1:28" hidden="1">
      <c r="A2519" t="s">
        <v>5446</v>
      </c>
      <c r="B2519" s="17">
        <v>43831</v>
      </c>
      <c r="C2519" s="17">
        <v>43831</v>
      </c>
      <c r="D2519" t="s">
        <v>0</v>
      </c>
      <c r="E2519" t="s">
        <v>1</v>
      </c>
      <c r="F2519" s="18">
        <v>8676.2900000000009</v>
      </c>
      <c r="G2519" s="18">
        <v>8676.2900000000009</v>
      </c>
      <c r="H2519" t="s">
        <v>2</v>
      </c>
      <c r="I2519" t="s">
        <v>8</v>
      </c>
      <c r="J2519" s="18">
        <v>727506.92</v>
      </c>
      <c r="K2519" t="s">
        <v>5195</v>
      </c>
      <c r="L2519" t="s">
        <v>4</v>
      </c>
      <c r="M2519" t="s">
        <v>5447</v>
      </c>
      <c r="N2519" t="s">
        <v>3</v>
      </c>
      <c r="O2519" t="s">
        <v>3</v>
      </c>
      <c r="P2519" t="s">
        <v>5</v>
      </c>
      <c r="Q2519" t="s">
        <v>5448</v>
      </c>
      <c r="R2519" t="s">
        <v>3</v>
      </c>
      <c r="S2519" t="s">
        <v>3</v>
      </c>
      <c r="T2519" t="s">
        <v>3</v>
      </c>
      <c r="U2519" t="s">
        <v>3</v>
      </c>
      <c r="V2519" t="s">
        <v>3</v>
      </c>
      <c r="W2519" t="s">
        <v>68</v>
      </c>
      <c r="X2519" s="17"/>
      <c r="Y2519" t="s">
        <v>3</v>
      </c>
      <c r="Z2519" s="17">
        <v>43831</v>
      </c>
      <c r="AA2519" t="s">
        <v>3</v>
      </c>
      <c r="AB2519" t="s">
        <v>5446</v>
      </c>
    </row>
    <row r="2520" spans="1:28" hidden="1">
      <c r="A2520" t="s">
        <v>5446</v>
      </c>
      <c r="B2520" s="17">
        <v>43831</v>
      </c>
      <c r="C2520" s="17">
        <v>43831</v>
      </c>
      <c r="D2520" t="s">
        <v>0</v>
      </c>
      <c r="E2520" t="s">
        <v>1</v>
      </c>
      <c r="F2520" s="18">
        <v>13676.55</v>
      </c>
      <c r="G2520" s="18">
        <v>13676.55</v>
      </c>
      <c r="H2520" t="s">
        <v>2</v>
      </c>
      <c r="I2520" t="s">
        <v>8</v>
      </c>
      <c r="J2520" s="18">
        <v>1148146.3700000001</v>
      </c>
      <c r="K2520" t="s">
        <v>5440</v>
      </c>
      <c r="L2520" t="s">
        <v>4</v>
      </c>
      <c r="M2520" t="s">
        <v>5447</v>
      </c>
      <c r="N2520" t="s">
        <v>3</v>
      </c>
      <c r="O2520" t="s">
        <v>3</v>
      </c>
      <c r="P2520" t="s">
        <v>5</v>
      </c>
      <c r="Q2520" t="s">
        <v>5448</v>
      </c>
      <c r="R2520" t="s">
        <v>3</v>
      </c>
      <c r="S2520" t="s">
        <v>3</v>
      </c>
      <c r="T2520" t="s">
        <v>3</v>
      </c>
      <c r="U2520" t="s">
        <v>3</v>
      </c>
      <c r="V2520" t="s">
        <v>3</v>
      </c>
      <c r="W2520" t="s">
        <v>68</v>
      </c>
      <c r="X2520" s="17"/>
      <c r="Y2520" t="s">
        <v>3</v>
      </c>
      <c r="Z2520" s="17">
        <v>43831</v>
      </c>
      <c r="AA2520" t="s">
        <v>3</v>
      </c>
      <c r="AB2520" t="s">
        <v>5446</v>
      </c>
    </row>
    <row r="2521" spans="1:28" hidden="1">
      <c r="A2521" t="s">
        <v>5446</v>
      </c>
      <c r="B2521" s="17">
        <v>43831</v>
      </c>
      <c r="C2521" s="17">
        <v>43831</v>
      </c>
      <c r="D2521" t="s">
        <v>0</v>
      </c>
      <c r="E2521" t="s">
        <v>1</v>
      </c>
      <c r="F2521" s="18">
        <v>8541.23</v>
      </c>
      <c r="G2521" s="18">
        <v>8541.23</v>
      </c>
      <c r="H2521" t="s">
        <v>2</v>
      </c>
      <c r="I2521" t="s">
        <v>8</v>
      </c>
      <c r="J2521" s="18">
        <v>716182.14</v>
      </c>
      <c r="K2521" t="s">
        <v>5441</v>
      </c>
      <c r="L2521" t="s">
        <v>4</v>
      </c>
      <c r="M2521" t="s">
        <v>5447</v>
      </c>
      <c r="N2521" t="s">
        <v>3</v>
      </c>
      <c r="O2521" t="s">
        <v>3</v>
      </c>
      <c r="P2521" t="s">
        <v>5</v>
      </c>
      <c r="Q2521" t="s">
        <v>5448</v>
      </c>
      <c r="R2521" t="s">
        <v>3</v>
      </c>
      <c r="S2521" t="s">
        <v>3</v>
      </c>
      <c r="T2521" t="s">
        <v>3</v>
      </c>
      <c r="U2521" t="s">
        <v>3</v>
      </c>
      <c r="V2521" t="s">
        <v>3</v>
      </c>
      <c r="W2521" t="s">
        <v>68</v>
      </c>
      <c r="X2521" s="17"/>
      <c r="Y2521" t="s">
        <v>3</v>
      </c>
      <c r="Z2521" s="17">
        <v>43831</v>
      </c>
      <c r="AA2521" t="s">
        <v>3</v>
      </c>
      <c r="AB2521" t="s">
        <v>5446</v>
      </c>
    </row>
    <row r="2522" spans="1:28" hidden="1">
      <c r="A2522" t="s">
        <v>5446</v>
      </c>
      <c r="B2522" s="17">
        <v>43831</v>
      </c>
      <c r="C2522" s="17">
        <v>43831</v>
      </c>
      <c r="D2522" t="s">
        <v>0</v>
      </c>
      <c r="E2522" t="s">
        <v>1</v>
      </c>
      <c r="F2522" s="18">
        <v>14451.6</v>
      </c>
      <c r="G2522" s="18">
        <v>14451.6</v>
      </c>
      <c r="H2522" t="s">
        <v>2</v>
      </c>
      <c r="I2522" t="s">
        <v>8</v>
      </c>
      <c r="J2522" s="18">
        <v>1213211.82</v>
      </c>
      <c r="K2522" t="s">
        <v>5442</v>
      </c>
      <c r="L2522" t="s">
        <v>4</v>
      </c>
      <c r="M2522" t="s">
        <v>5447</v>
      </c>
      <c r="N2522" t="s">
        <v>3</v>
      </c>
      <c r="O2522" t="s">
        <v>3</v>
      </c>
      <c r="P2522" t="s">
        <v>5</v>
      </c>
      <c r="Q2522" t="s">
        <v>5448</v>
      </c>
      <c r="R2522" t="s">
        <v>3</v>
      </c>
      <c r="S2522" t="s">
        <v>3</v>
      </c>
      <c r="T2522" t="s">
        <v>3</v>
      </c>
      <c r="U2522" t="s">
        <v>3</v>
      </c>
      <c r="V2522" t="s">
        <v>3</v>
      </c>
      <c r="W2522" t="s">
        <v>68</v>
      </c>
      <c r="X2522" s="17"/>
      <c r="Y2522" t="s">
        <v>3</v>
      </c>
      <c r="Z2522" s="17">
        <v>43831</v>
      </c>
      <c r="AA2522" t="s">
        <v>3</v>
      </c>
      <c r="AB2522" t="s">
        <v>5446</v>
      </c>
    </row>
    <row r="2523" spans="1:28" hidden="1">
      <c r="A2523" t="s">
        <v>5449</v>
      </c>
      <c r="B2523" s="17">
        <v>43832</v>
      </c>
      <c r="C2523" s="17">
        <v>43832</v>
      </c>
      <c r="D2523" t="s">
        <v>0</v>
      </c>
      <c r="E2523" t="s">
        <v>1</v>
      </c>
      <c r="F2523" s="18">
        <v>18856</v>
      </c>
      <c r="G2523" s="18">
        <v>18856</v>
      </c>
      <c r="H2523" t="s">
        <v>2</v>
      </c>
      <c r="I2523" t="s">
        <v>8</v>
      </c>
      <c r="J2523" s="18">
        <v>1574476</v>
      </c>
      <c r="K2523" t="s">
        <v>4604</v>
      </c>
      <c r="L2523" t="s">
        <v>9</v>
      </c>
      <c r="M2523" t="s">
        <v>5450</v>
      </c>
      <c r="N2523" t="s">
        <v>3</v>
      </c>
      <c r="O2523" t="s">
        <v>3</v>
      </c>
      <c r="P2523" t="s">
        <v>5</v>
      </c>
      <c r="Q2523" t="s">
        <v>5451</v>
      </c>
      <c r="R2523" t="s">
        <v>3</v>
      </c>
      <c r="S2523" t="s">
        <v>3</v>
      </c>
      <c r="T2523" t="s">
        <v>3</v>
      </c>
      <c r="U2523" t="s">
        <v>3</v>
      </c>
      <c r="V2523" t="s">
        <v>3</v>
      </c>
      <c r="W2523" t="s">
        <v>68</v>
      </c>
      <c r="X2523" s="17"/>
      <c r="Y2523" t="s">
        <v>3</v>
      </c>
      <c r="Z2523" s="17">
        <v>43832</v>
      </c>
      <c r="AA2523" t="s">
        <v>3</v>
      </c>
      <c r="AB2523" t="s">
        <v>5449</v>
      </c>
    </row>
    <row r="2524" spans="1:28" hidden="1">
      <c r="A2524" t="s">
        <v>5449</v>
      </c>
      <c r="B2524" s="17">
        <v>43832</v>
      </c>
      <c r="C2524" s="17">
        <v>43832</v>
      </c>
      <c r="D2524" t="s">
        <v>0</v>
      </c>
      <c r="E2524" t="s">
        <v>1</v>
      </c>
      <c r="F2524" s="18">
        <v>64455</v>
      </c>
      <c r="G2524" s="18">
        <v>64455</v>
      </c>
      <c r="H2524" t="s">
        <v>2</v>
      </c>
      <c r="I2524" t="s">
        <v>8</v>
      </c>
      <c r="J2524" s="18">
        <v>5381992.5</v>
      </c>
      <c r="K2524" t="s">
        <v>5207</v>
      </c>
      <c r="L2524" t="s">
        <v>9</v>
      </c>
      <c r="M2524" t="s">
        <v>5450</v>
      </c>
      <c r="N2524" t="s">
        <v>3</v>
      </c>
      <c r="O2524" t="s">
        <v>3</v>
      </c>
      <c r="P2524" t="s">
        <v>5</v>
      </c>
      <c r="Q2524" t="s">
        <v>5451</v>
      </c>
      <c r="R2524" t="s">
        <v>3</v>
      </c>
      <c r="S2524" t="s">
        <v>3</v>
      </c>
      <c r="T2524" t="s">
        <v>3</v>
      </c>
      <c r="U2524" t="s">
        <v>3</v>
      </c>
      <c r="V2524" t="s">
        <v>3</v>
      </c>
      <c r="W2524" t="s">
        <v>68</v>
      </c>
      <c r="X2524" s="17"/>
      <c r="Y2524" t="s">
        <v>3</v>
      </c>
      <c r="Z2524" s="17">
        <v>43832</v>
      </c>
      <c r="AA2524" t="s">
        <v>3</v>
      </c>
      <c r="AB2524" t="s">
        <v>5449</v>
      </c>
    </row>
    <row r="2525" spans="1:28" hidden="1">
      <c r="A2525" t="s">
        <v>5449</v>
      </c>
      <c r="B2525" s="17">
        <v>43832</v>
      </c>
      <c r="C2525" s="17">
        <v>43832</v>
      </c>
      <c r="D2525" t="s">
        <v>0</v>
      </c>
      <c r="E2525" t="s">
        <v>1</v>
      </c>
      <c r="F2525" s="18">
        <v>60264</v>
      </c>
      <c r="G2525" s="18">
        <v>60264</v>
      </c>
      <c r="H2525" t="s">
        <v>2</v>
      </c>
      <c r="I2525" t="s">
        <v>8</v>
      </c>
      <c r="J2525" s="18">
        <v>5059162.8</v>
      </c>
      <c r="K2525" t="s">
        <v>5452</v>
      </c>
      <c r="L2525" t="s">
        <v>9</v>
      </c>
      <c r="M2525" t="s">
        <v>5450</v>
      </c>
      <c r="N2525" t="s">
        <v>3</v>
      </c>
      <c r="O2525" t="s">
        <v>3</v>
      </c>
      <c r="P2525" t="s">
        <v>5</v>
      </c>
      <c r="Q2525" t="s">
        <v>5451</v>
      </c>
      <c r="R2525" t="s">
        <v>3</v>
      </c>
      <c r="S2525" t="s">
        <v>3</v>
      </c>
      <c r="T2525" t="s">
        <v>3</v>
      </c>
      <c r="U2525" t="s">
        <v>3</v>
      </c>
      <c r="V2525" t="s">
        <v>3</v>
      </c>
      <c r="W2525" t="s">
        <v>68</v>
      </c>
      <c r="X2525" s="17"/>
      <c r="Y2525" t="s">
        <v>3</v>
      </c>
      <c r="Z2525" s="17">
        <v>43832</v>
      </c>
      <c r="AA2525" t="s">
        <v>3</v>
      </c>
      <c r="AB2525" t="s">
        <v>5449</v>
      </c>
    </row>
    <row r="2526" spans="1:28" hidden="1">
      <c r="A2526" t="s">
        <v>5449</v>
      </c>
      <c r="B2526" s="17">
        <v>43832</v>
      </c>
      <c r="C2526" s="17">
        <v>43832</v>
      </c>
      <c r="D2526" t="s">
        <v>0</v>
      </c>
      <c r="E2526" t="s">
        <v>1</v>
      </c>
      <c r="F2526" s="18">
        <v>15018</v>
      </c>
      <c r="G2526" s="18">
        <v>15018</v>
      </c>
      <c r="H2526" t="s">
        <v>2</v>
      </c>
      <c r="I2526" t="s">
        <v>8</v>
      </c>
      <c r="J2526" s="18">
        <v>1254003</v>
      </c>
      <c r="K2526" t="s">
        <v>5031</v>
      </c>
      <c r="L2526" t="s">
        <v>9</v>
      </c>
      <c r="M2526" t="s">
        <v>5450</v>
      </c>
      <c r="N2526" t="s">
        <v>3</v>
      </c>
      <c r="O2526" t="s">
        <v>3</v>
      </c>
      <c r="P2526" t="s">
        <v>5</v>
      </c>
      <c r="Q2526" t="s">
        <v>5451</v>
      </c>
      <c r="R2526" t="s">
        <v>3</v>
      </c>
      <c r="S2526" t="s">
        <v>3</v>
      </c>
      <c r="T2526" t="s">
        <v>3</v>
      </c>
      <c r="U2526" t="s">
        <v>3</v>
      </c>
      <c r="V2526" t="s">
        <v>3</v>
      </c>
      <c r="W2526" t="s">
        <v>68</v>
      </c>
      <c r="X2526" s="17"/>
      <c r="Y2526" t="s">
        <v>3</v>
      </c>
      <c r="Z2526" s="17">
        <v>43832</v>
      </c>
      <c r="AA2526" t="s">
        <v>3</v>
      </c>
      <c r="AB2526" t="s">
        <v>5449</v>
      </c>
    </row>
    <row r="2527" spans="1:28" hidden="1">
      <c r="A2527" t="s">
        <v>5449</v>
      </c>
      <c r="B2527" s="17">
        <v>43832</v>
      </c>
      <c r="C2527" s="17">
        <v>43832</v>
      </c>
      <c r="D2527" t="s">
        <v>0</v>
      </c>
      <c r="E2527" t="s">
        <v>1</v>
      </c>
      <c r="F2527" s="18">
        <v>24986</v>
      </c>
      <c r="G2527" s="18">
        <v>24986</v>
      </c>
      <c r="H2527" t="s">
        <v>2</v>
      </c>
      <c r="I2527" t="s">
        <v>8</v>
      </c>
      <c r="J2527" s="18">
        <v>2086331</v>
      </c>
      <c r="K2527" t="s">
        <v>5150</v>
      </c>
      <c r="L2527" t="s">
        <v>9</v>
      </c>
      <c r="M2527" t="s">
        <v>5450</v>
      </c>
      <c r="N2527" t="s">
        <v>3</v>
      </c>
      <c r="O2527" t="s">
        <v>3</v>
      </c>
      <c r="P2527" t="s">
        <v>5</v>
      </c>
      <c r="Q2527" t="s">
        <v>5451</v>
      </c>
      <c r="R2527" t="s">
        <v>3</v>
      </c>
      <c r="S2527" t="s">
        <v>3</v>
      </c>
      <c r="T2527" t="s">
        <v>3</v>
      </c>
      <c r="U2527" t="s">
        <v>3</v>
      </c>
      <c r="V2527" t="s">
        <v>3</v>
      </c>
      <c r="W2527" t="s">
        <v>68</v>
      </c>
      <c r="X2527" s="17"/>
      <c r="Y2527" t="s">
        <v>3</v>
      </c>
      <c r="Z2527" s="17">
        <v>43832</v>
      </c>
      <c r="AA2527" t="s">
        <v>3</v>
      </c>
      <c r="AB2527" t="s">
        <v>5449</v>
      </c>
    </row>
    <row r="2528" spans="1:28" hidden="1">
      <c r="A2528" t="s">
        <v>5449</v>
      </c>
      <c r="B2528" s="17">
        <v>43832</v>
      </c>
      <c r="C2528" s="17">
        <v>43832</v>
      </c>
      <c r="D2528" t="s">
        <v>0</v>
      </c>
      <c r="E2528" t="s">
        <v>1</v>
      </c>
      <c r="F2528" s="18">
        <v>81088</v>
      </c>
      <c r="G2528" s="18">
        <v>81088</v>
      </c>
      <c r="H2528" t="s">
        <v>2</v>
      </c>
      <c r="I2528" t="s">
        <v>8</v>
      </c>
      <c r="J2528" s="18">
        <v>6799228.7999999998</v>
      </c>
      <c r="K2528" t="s">
        <v>5453</v>
      </c>
      <c r="L2528" t="s">
        <v>9</v>
      </c>
      <c r="M2528" t="s">
        <v>5450</v>
      </c>
      <c r="N2528" t="s">
        <v>3</v>
      </c>
      <c r="O2528" t="s">
        <v>3</v>
      </c>
      <c r="P2528" t="s">
        <v>5</v>
      </c>
      <c r="Q2528" t="s">
        <v>5451</v>
      </c>
      <c r="R2528" t="s">
        <v>3</v>
      </c>
      <c r="S2528" t="s">
        <v>3</v>
      </c>
      <c r="T2528" t="s">
        <v>3</v>
      </c>
      <c r="U2528" t="s">
        <v>3</v>
      </c>
      <c r="V2528" t="s">
        <v>3</v>
      </c>
      <c r="W2528" t="s">
        <v>68</v>
      </c>
      <c r="X2528" s="17"/>
      <c r="Y2528" t="s">
        <v>3</v>
      </c>
      <c r="Z2528" s="17">
        <v>43832</v>
      </c>
      <c r="AA2528" t="s">
        <v>3</v>
      </c>
      <c r="AB2528" t="s">
        <v>5449</v>
      </c>
    </row>
    <row r="2529" spans="1:28" hidden="1">
      <c r="A2529" t="s">
        <v>5449</v>
      </c>
      <c r="B2529" s="17">
        <v>43832</v>
      </c>
      <c r="C2529" s="17">
        <v>43832</v>
      </c>
      <c r="D2529" t="s">
        <v>0</v>
      </c>
      <c r="E2529" t="s">
        <v>1</v>
      </c>
      <c r="F2529" s="18">
        <v>47040</v>
      </c>
      <c r="G2529" s="18">
        <v>47040</v>
      </c>
      <c r="H2529" t="s">
        <v>2</v>
      </c>
      <c r="I2529" t="s">
        <v>8</v>
      </c>
      <c r="J2529" s="18">
        <v>3949008</v>
      </c>
      <c r="K2529" t="s">
        <v>5454</v>
      </c>
      <c r="L2529" t="s">
        <v>9</v>
      </c>
      <c r="M2529" t="s">
        <v>5450</v>
      </c>
      <c r="N2529" t="s">
        <v>3</v>
      </c>
      <c r="O2529" t="s">
        <v>3</v>
      </c>
      <c r="P2529" t="s">
        <v>5</v>
      </c>
      <c r="Q2529" t="s">
        <v>5451</v>
      </c>
      <c r="R2529" t="s">
        <v>3</v>
      </c>
      <c r="S2529" t="s">
        <v>3</v>
      </c>
      <c r="T2529" t="s">
        <v>3</v>
      </c>
      <c r="U2529" t="s">
        <v>3</v>
      </c>
      <c r="V2529" t="s">
        <v>3</v>
      </c>
      <c r="W2529" t="s">
        <v>68</v>
      </c>
      <c r="X2529" s="17"/>
      <c r="Y2529" t="s">
        <v>3</v>
      </c>
      <c r="Z2529" s="17">
        <v>43832</v>
      </c>
      <c r="AA2529" t="s">
        <v>3</v>
      </c>
      <c r="AB2529" t="s">
        <v>5449</v>
      </c>
    </row>
    <row r="2530" spans="1:28" hidden="1">
      <c r="A2530" t="s">
        <v>5449</v>
      </c>
      <c r="B2530" s="17">
        <v>43832</v>
      </c>
      <c r="C2530" s="17">
        <v>43832</v>
      </c>
      <c r="D2530" t="s">
        <v>0</v>
      </c>
      <c r="E2530" t="s">
        <v>1</v>
      </c>
      <c r="F2530" s="18">
        <v>32868</v>
      </c>
      <c r="G2530" s="18">
        <v>32868</v>
      </c>
      <c r="H2530" t="s">
        <v>2</v>
      </c>
      <c r="I2530" t="s">
        <v>8</v>
      </c>
      <c r="J2530" s="18">
        <v>2759268.6</v>
      </c>
      <c r="K2530" t="s">
        <v>5455</v>
      </c>
      <c r="L2530" t="s">
        <v>9</v>
      </c>
      <c r="M2530" t="s">
        <v>5450</v>
      </c>
      <c r="N2530" t="s">
        <v>3</v>
      </c>
      <c r="O2530" t="s">
        <v>3</v>
      </c>
      <c r="P2530" t="s">
        <v>5</v>
      </c>
      <c r="Q2530" t="s">
        <v>5451</v>
      </c>
      <c r="R2530" t="s">
        <v>3</v>
      </c>
      <c r="S2530" t="s">
        <v>3</v>
      </c>
      <c r="T2530" t="s">
        <v>3</v>
      </c>
      <c r="U2530" t="s">
        <v>3</v>
      </c>
      <c r="V2530" t="s">
        <v>3</v>
      </c>
      <c r="W2530" t="s">
        <v>68</v>
      </c>
      <c r="X2530" s="17"/>
      <c r="Y2530" t="s">
        <v>3</v>
      </c>
      <c r="Z2530" s="17">
        <v>43832</v>
      </c>
      <c r="AA2530" t="s">
        <v>3</v>
      </c>
      <c r="AB2530" t="s">
        <v>5449</v>
      </c>
    </row>
    <row r="2531" spans="1:28" hidden="1">
      <c r="A2531" t="s">
        <v>5564</v>
      </c>
      <c r="B2531" s="17">
        <v>43832</v>
      </c>
      <c r="C2531" s="17">
        <v>43832</v>
      </c>
      <c r="D2531" t="s">
        <v>0</v>
      </c>
      <c r="E2531" t="s">
        <v>1</v>
      </c>
      <c r="F2531" s="18">
        <v>9207</v>
      </c>
      <c r="G2531" s="18">
        <v>9207</v>
      </c>
      <c r="H2531" t="s">
        <v>2</v>
      </c>
      <c r="I2531" t="s">
        <v>8</v>
      </c>
      <c r="J2531" s="18">
        <v>768784.5</v>
      </c>
      <c r="K2531" t="s">
        <v>4604</v>
      </c>
      <c r="L2531" t="s">
        <v>9</v>
      </c>
      <c r="M2531" t="s">
        <v>5565</v>
      </c>
      <c r="N2531" t="s">
        <v>3</v>
      </c>
      <c r="O2531" t="s">
        <v>3</v>
      </c>
      <c r="P2531" t="s">
        <v>5</v>
      </c>
      <c r="Q2531" t="s">
        <v>5566</v>
      </c>
      <c r="R2531" t="s">
        <v>3</v>
      </c>
      <c r="S2531" t="s">
        <v>3</v>
      </c>
      <c r="T2531" t="s">
        <v>3</v>
      </c>
      <c r="U2531" t="s">
        <v>3</v>
      </c>
      <c r="V2531" t="s">
        <v>3</v>
      </c>
      <c r="W2531" t="s">
        <v>68</v>
      </c>
      <c r="X2531" s="17"/>
      <c r="Y2531" t="s">
        <v>3</v>
      </c>
      <c r="Z2531" s="17">
        <v>43832</v>
      </c>
      <c r="AA2531" t="s">
        <v>3</v>
      </c>
      <c r="AB2531" t="s">
        <v>5564</v>
      </c>
    </row>
    <row r="2532" spans="1:28" hidden="1">
      <c r="A2532" t="s">
        <v>5564</v>
      </c>
      <c r="B2532" s="17">
        <v>43832</v>
      </c>
      <c r="C2532" s="17">
        <v>43832</v>
      </c>
      <c r="D2532" t="s">
        <v>0</v>
      </c>
      <c r="E2532" t="s">
        <v>1</v>
      </c>
      <c r="F2532" s="18">
        <v>2172</v>
      </c>
      <c r="G2532" s="18">
        <v>2172</v>
      </c>
      <c r="H2532" t="s">
        <v>2</v>
      </c>
      <c r="I2532" t="s">
        <v>8</v>
      </c>
      <c r="J2532" s="18">
        <v>181362</v>
      </c>
      <c r="K2532" t="s">
        <v>5207</v>
      </c>
      <c r="L2532" t="s">
        <v>9</v>
      </c>
      <c r="M2532" t="s">
        <v>5565</v>
      </c>
      <c r="N2532" t="s">
        <v>3</v>
      </c>
      <c r="O2532" t="s">
        <v>3</v>
      </c>
      <c r="P2532" t="s">
        <v>5</v>
      </c>
      <c r="Q2532" t="s">
        <v>5566</v>
      </c>
      <c r="R2532" t="s">
        <v>3</v>
      </c>
      <c r="S2532" t="s">
        <v>3</v>
      </c>
      <c r="T2532" t="s">
        <v>3</v>
      </c>
      <c r="U2532" t="s">
        <v>3</v>
      </c>
      <c r="V2532" t="s">
        <v>3</v>
      </c>
      <c r="W2532" t="s">
        <v>68</v>
      </c>
      <c r="X2532" s="17"/>
      <c r="Y2532" t="s">
        <v>3</v>
      </c>
      <c r="Z2532" s="17">
        <v>43832</v>
      </c>
      <c r="AA2532" t="s">
        <v>3</v>
      </c>
      <c r="AB2532" t="s">
        <v>5564</v>
      </c>
    </row>
    <row r="2533" spans="1:28" hidden="1">
      <c r="A2533" t="s">
        <v>5564</v>
      </c>
      <c r="B2533" s="17">
        <v>43832</v>
      </c>
      <c r="C2533" s="17">
        <v>43832</v>
      </c>
      <c r="D2533" t="s">
        <v>0</v>
      </c>
      <c r="E2533" t="s">
        <v>1</v>
      </c>
      <c r="F2533" s="18">
        <v>4000</v>
      </c>
      <c r="G2533" s="18">
        <v>4000</v>
      </c>
      <c r="H2533" t="s">
        <v>2</v>
      </c>
      <c r="I2533" t="s">
        <v>8</v>
      </c>
      <c r="J2533" s="18">
        <v>334000</v>
      </c>
      <c r="K2533" t="s">
        <v>5031</v>
      </c>
      <c r="L2533" t="s">
        <v>9</v>
      </c>
      <c r="M2533" t="s">
        <v>5565</v>
      </c>
      <c r="N2533" t="s">
        <v>3</v>
      </c>
      <c r="O2533" t="s">
        <v>3</v>
      </c>
      <c r="P2533" t="s">
        <v>5</v>
      </c>
      <c r="Q2533" t="s">
        <v>5566</v>
      </c>
      <c r="R2533" t="s">
        <v>3</v>
      </c>
      <c r="S2533" t="s">
        <v>3</v>
      </c>
      <c r="T2533" t="s">
        <v>3</v>
      </c>
      <c r="U2533" t="s">
        <v>3</v>
      </c>
      <c r="V2533" t="s">
        <v>3</v>
      </c>
      <c r="W2533" t="s">
        <v>68</v>
      </c>
      <c r="X2533" s="17"/>
      <c r="Y2533" t="s">
        <v>3</v>
      </c>
      <c r="Z2533" s="17">
        <v>43832</v>
      </c>
      <c r="AA2533" t="s">
        <v>3</v>
      </c>
      <c r="AB2533" t="s">
        <v>5564</v>
      </c>
    </row>
    <row r="2534" spans="1:28" hidden="1">
      <c r="A2534" t="s">
        <v>5564</v>
      </c>
      <c r="B2534" s="17">
        <v>43832</v>
      </c>
      <c r="C2534" s="17">
        <v>43832</v>
      </c>
      <c r="D2534" t="s">
        <v>0</v>
      </c>
      <c r="E2534" t="s">
        <v>1</v>
      </c>
      <c r="F2534" s="18">
        <v>36316</v>
      </c>
      <c r="G2534" s="18">
        <v>36316</v>
      </c>
      <c r="H2534" t="s">
        <v>2</v>
      </c>
      <c r="I2534" t="s">
        <v>8</v>
      </c>
      <c r="J2534" s="18">
        <v>3032386</v>
      </c>
      <c r="K2534" t="s">
        <v>5150</v>
      </c>
      <c r="L2534" t="s">
        <v>9</v>
      </c>
      <c r="M2534" t="s">
        <v>5565</v>
      </c>
      <c r="N2534" t="s">
        <v>3</v>
      </c>
      <c r="O2534" t="s">
        <v>3</v>
      </c>
      <c r="P2534" t="s">
        <v>5</v>
      </c>
      <c r="Q2534" t="s">
        <v>5566</v>
      </c>
      <c r="R2534" t="s">
        <v>3</v>
      </c>
      <c r="S2534" t="s">
        <v>3</v>
      </c>
      <c r="T2534" t="s">
        <v>3</v>
      </c>
      <c r="U2534" t="s">
        <v>3</v>
      </c>
      <c r="V2534" t="s">
        <v>3</v>
      </c>
      <c r="W2534" t="s">
        <v>68</v>
      </c>
      <c r="X2534" s="17"/>
      <c r="Y2534" t="s">
        <v>3</v>
      </c>
      <c r="Z2534" s="17">
        <v>43832</v>
      </c>
      <c r="AA2534" t="s">
        <v>3</v>
      </c>
      <c r="AB2534" t="s">
        <v>5564</v>
      </c>
    </row>
    <row r="2535" spans="1:28" hidden="1">
      <c r="A2535" t="s">
        <v>5564</v>
      </c>
      <c r="B2535" s="17">
        <v>43832</v>
      </c>
      <c r="C2535" s="17">
        <v>43832</v>
      </c>
      <c r="D2535" t="s">
        <v>0</v>
      </c>
      <c r="E2535" t="s">
        <v>1</v>
      </c>
      <c r="F2535" s="18">
        <v>20786</v>
      </c>
      <c r="G2535" s="18">
        <v>20786</v>
      </c>
      <c r="H2535" t="s">
        <v>2</v>
      </c>
      <c r="I2535" t="s">
        <v>8</v>
      </c>
      <c r="J2535" s="18">
        <v>1742906.1</v>
      </c>
      <c r="K2535" t="s">
        <v>5453</v>
      </c>
      <c r="L2535" t="s">
        <v>9</v>
      </c>
      <c r="M2535" t="s">
        <v>5565</v>
      </c>
      <c r="N2535" t="s">
        <v>3</v>
      </c>
      <c r="O2535" t="s">
        <v>3</v>
      </c>
      <c r="P2535" t="s">
        <v>5</v>
      </c>
      <c r="Q2535" t="s">
        <v>5566</v>
      </c>
      <c r="R2535" t="s">
        <v>3</v>
      </c>
      <c r="S2535" t="s">
        <v>3</v>
      </c>
      <c r="T2535" t="s">
        <v>3</v>
      </c>
      <c r="U2535" t="s">
        <v>3</v>
      </c>
      <c r="V2535" t="s">
        <v>3</v>
      </c>
      <c r="W2535" t="s">
        <v>68</v>
      </c>
      <c r="X2535" s="17"/>
      <c r="Y2535" t="s">
        <v>3</v>
      </c>
      <c r="Z2535" s="17">
        <v>43832</v>
      </c>
      <c r="AA2535" t="s">
        <v>3</v>
      </c>
      <c r="AB2535" t="s">
        <v>5564</v>
      </c>
    </row>
    <row r="2536" spans="1:28" hidden="1">
      <c r="A2536" t="s">
        <v>5564</v>
      </c>
      <c r="B2536" s="17">
        <v>43832</v>
      </c>
      <c r="C2536" s="17">
        <v>43832</v>
      </c>
      <c r="D2536" t="s">
        <v>0</v>
      </c>
      <c r="E2536" t="s">
        <v>1</v>
      </c>
      <c r="F2536" s="18">
        <v>14744</v>
      </c>
      <c r="G2536" s="18">
        <v>14744</v>
      </c>
      <c r="H2536" t="s">
        <v>2</v>
      </c>
      <c r="I2536" t="s">
        <v>8</v>
      </c>
      <c r="J2536" s="18">
        <v>1237758.8</v>
      </c>
      <c r="K2536" t="s">
        <v>5454</v>
      </c>
      <c r="L2536" t="s">
        <v>9</v>
      </c>
      <c r="M2536" t="s">
        <v>5565</v>
      </c>
      <c r="N2536" t="s">
        <v>3</v>
      </c>
      <c r="O2536" t="s">
        <v>3</v>
      </c>
      <c r="P2536" t="s">
        <v>5</v>
      </c>
      <c r="Q2536" t="s">
        <v>5566</v>
      </c>
      <c r="R2536" t="s">
        <v>3</v>
      </c>
      <c r="S2536" t="s">
        <v>3</v>
      </c>
      <c r="T2536" t="s">
        <v>3</v>
      </c>
      <c r="U2536" t="s">
        <v>3</v>
      </c>
      <c r="V2536" t="s">
        <v>3</v>
      </c>
      <c r="W2536" t="s">
        <v>68</v>
      </c>
      <c r="X2536" s="17"/>
      <c r="Y2536" t="s">
        <v>3</v>
      </c>
      <c r="Z2536" s="17">
        <v>43832</v>
      </c>
      <c r="AA2536" t="s">
        <v>3</v>
      </c>
      <c r="AB2536" t="s">
        <v>5564</v>
      </c>
    </row>
    <row r="2537" spans="1:28" hidden="1">
      <c r="A2537" t="s">
        <v>5564</v>
      </c>
      <c r="B2537" s="17">
        <v>43832</v>
      </c>
      <c r="C2537" s="17">
        <v>43832</v>
      </c>
      <c r="D2537" t="s">
        <v>0</v>
      </c>
      <c r="E2537" t="s">
        <v>1</v>
      </c>
      <c r="F2537" s="18">
        <v>43865</v>
      </c>
      <c r="G2537" s="18">
        <v>43865</v>
      </c>
      <c r="H2537" t="s">
        <v>2</v>
      </c>
      <c r="I2537" t="s">
        <v>8</v>
      </c>
      <c r="J2537" s="18">
        <v>3682466.75</v>
      </c>
      <c r="K2537" t="s">
        <v>5455</v>
      </c>
      <c r="L2537" t="s">
        <v>9</v>
      </c>
      <c r="M2537" t="s">
        <v>5565</v>
      </c>
      <c r="N2537" t="s">
        <v>3</v>
      </c>
      <c r="O2537" t="s">
        <v>3</v>
      </c>
      <c r="P2537" t="s">
        <v>5</v>
      </c>
      <c r="Q2537" t="s">
        <v>5566</v>
      </c>
      <c r="R2537" t="s">
        <v>3</v>
      </c>
      <c r="S2537" t="s">
        <v>3</v>
      </c>
      <c r="T2537" t="s">
        <v>3</v>
      </c>
      <c r="U2537" t="s">
        <v>3</v>
      </c>
      <c r="V2537" t="s">
        <v>3</v>
      </c>
      <c r="W2537" t="s">
        <v>68</v>
      </c>
      <c r="X2537" s="17"/>
      <c r="Y2537" t="s">
        <v>3</v>
      </c>
      <c r="Z2537" s="17">
        <v>43832</v>
      </c>
      <c r="AA2537" t="s">
        <v>3</v>
      </c>
      <c r="AB2537" t="s">
        <v>5564</v>
      </c>
    </row>
    <row r="2538" spans="1:28" hidden="1">
      <c r="A2538" t="s">
        <v>5564</v>
      </c>
      <c r="B2538" s="17">
        <v>43832</v>
      </c>
      <c r="C2538" s="17">
        <v>43832</v>
      </c>
      <c r="D2538" t="s">
        <v>0</v>
      </c>
      <c r="E2538" t="s">
        <v>1</v>
      </c>
      <c r="F2538" s="18">
        <v>2967</v>
      </c>
      <c r="G2538" s="18">
        <v>2967</v>
      </c>
      <c r="H2538" t="s">
        <v>2</v>
      </c>
      <c r="I2538" t="s">
        <v>8</v>
      </c>
      <c r="J2538" s="18">
        <v>247685.16</v>
      </c>
      <c r="K2538" t="s">
        <v>4608</v>
      </c>
      <c r="L2538" t="s">
        <v>9</v>
      </c>
      <c r="M2538" t="s">
        <v>5565</v>
      </c>
      <c r="N2538" t="s">
        <v>3</v>
      </c>
      <c r="O2538" t="s">
        <v>3</v>
      </c>
      <c r="P2538" t="s">
        <v>5</v>
      </c>
      <c r="Q2538" t="s">
        <v>5566</v>
      </c>
      <c r="R2538" t="s">
        <v>3</v>
      </c>
      <c r="S2538" t="s">
        <v>3</v>
      </c>
      <c r="T2538" t="s">
        <v>3</v>
      </c>
      <c r="U2538" t="s">
        <v>3</v>
      </c>
      <c r="V2538" t="s">
        <v>3</v>
      </c>
      <c r="W2538" t="s">
        <v>68</v>
      </c>
      <c r="X2538" s="17">
        <v>44012</v>
      </c>
      <c r="Y2538" t="s">
        <v>4137</v>
      </c>
      <c r="Z2538" s="17">
        <v>43832</v>
      </c>
      <c r="AA2538" t="s">
        <v>3</v>
      </c>
      <c r="AB2538" t="s">
        <v>5564</v>
      </c>
    </row>
    <row r="2539" spans="1:28" hidden="1">
      <c r="A2539" t="s">
        <v>5564</v>
      </c>
      <c r="B2539" s="17">
        <v>43832</v>
      </c>
      <c r="C2539" s="17">
        <v>43832</v>
      </c>
      <c r="D2539" t="s">
        <v>0</v>
      </c>
      <c r="E2539" t="s">
        <v>1</v>
      </c>
      <c r="F2539" s="18">
        <v>15896</v>
      </c>
      <c r="G2539" s="18">
        <v>15896</v>
      </c>
      <c r="H2539" t="s">
        <v>2</v>
      </c>
      <c r="I2539" t="s">
        <v>8</v>
      </c>
      <c r="J2539" s="18">
        <v>1334469.2</v>
      </c>
      <c r="K2539" t="s">
        <v>5467</v>
      </c>
      <c r="L2539" t="s">
        <v>9</v>
      </c>
      <c r="M2539" t="s">
        <v>5565</v>
      </c>
      <c r="N2539" t="s">
        <v>3</v>
      </c>
      <c r="O2539" t="s">
        <v>3</v>
      </c>
      <c r="P2539" t="s">
        <v>5</v>
      </c>
      <c r="Q2539" t="s">
        <v>5566</v>
      </c>
      <c r="R2539" t="s">
        <v>3</v>
      </c>
      <c r="S2539" t="s">
        <v>3</v>
      </c>
      <c r="T2539" t="s">
        <v>3</v>
      </c>
      <c r="U2539" t="s">
        <v>3</v>
      </c>
      <c r="V2539" t="s">
        <v>3</v>
      </c>
      <c r="W2539" t="s">
        <v>68</v>
      </c>
      <c r="X2539" s="17"/>
      <c r="Y2539" t="s">
        <v>3</v>
      </c>
      <c r="Z2539" s="17">
        <v>43832</v>
      </c>
      <c r="AA2539" t="s">
        <v>3</v>
      </c>
      <c r="AB2539" t="s">
        <v>5564</v>
      </c>
    </row>
    <row r="2540" spans="1:28" hidden="1">
      <c r="A2540" t="s">
        <v>4420</v>
      </c>
      <c r="B2540" s="17">
        <v>43836</v>
      </c>
      <c r="C2540" s="17">
        <v>43836</v>
      </c>
      <c r="D2540" t="s">
        <v>38</v>
      </c>
      <c r="E2540" t="s">
        <v>1</v>
      </c>
      <c r="F2540" s="18">
        <v>484350.04</v>
      </c>
      <c r="G2540" s="18">
        <v>484350.04</v>
      </c>
      <c r="H2540" t="s">
        <v>2</v>
      </c>
      <c r="I2540" t="s">
        <v>8</v>
      </c>
      <c r="J2540" s="18">
        <v>40661185.859999999</v>
      </c>
      <c r="K2540" t="s">
        <v>4421</v>
      </c>
      <c r="L2540" t="s">
        <v>9</v>
      </c>
      <c r="M2540" t="s">
        <v>4422</v>
      </c>
      <c r="N2540" t="s">
        <v>3</v>
      </c>
      <c r="O2540" t="s">
        <v>3</v>
      </c>
      <c r="P2540" t="s">
        <v>5</v>
      </c>
      <c r="Q2540" t="s">
        <v>4423</v>
      </c>
      <c r="R2540" t="s">
        <v>3</v>
      </c>
      <c r="S2540" t="s">
        <v>3</v>
      </c>
      <c r="T2540" t="s">
        <v>3</v>
      </c>
      <c r="U2540" t="s">
        <v>3</v>
      </c>
      <c r="V2540" t="s">
        <v>3</v>
      </c>
      <c r="W2540" t="s">
        <v>68</v>
      </c>
      <c r="X2540" s="17">
        <v>43836</v>
      </c>
      <c r="Y2540" t="s">
        <v>4420</v>
      </c>
      <c r="Z2540" s="17">
        <v>43836</v>
      </c>
      <c r="AA2540" t="s">
        <v>3</v>
      </c>
      <c r="AB2540" t="s">
        <v>4420</v>
      </c>
    </row>
    <row r="2541" spans="1:28" hidden="1">
      <c r="A2541" t="s">
        <v>5456</v>
      </c>
      <c r="B2541" s="17">
        <v>43836</v>
      </c>
      <c r="C2541" s="17">
        <v>43836</v>
      </c>
      <c r="D2541" t="s">
        <v>0</v>
      </c>
      <c r="E2541" t="s">
        <v>1</v>
      </c>
      <c r="F2541" s="18">
        <v>-484350.04</v>
      </c>
      <c r="G2541" s="18">
        <v>-484350.04</v>
      </c>
      <c r="H2541" t="s">
        <v>2</v>
      </c>
      <c r="I2541" t="s">
        <v>8</v>
      </c>
      <c r="J2541" s="18">
        <v>-40661185.859999999</v>
      </c>
      <c r="K2541" t="s">
        <v>4421</v>
      </c>
      <c r="L2541" t="s">
        <v>9</v>
      </c>
      <c r="M2541" t="s">
        <v>4422</v>
      </c>
      <c r="N2541" t="s">
        <v>3</v>
      </c>
      <c r="O2541" t="s">
        <v>3</v>
      </c>
      <c r="P2541" t="s">
        <v>5</v>
      </c>
      <c r="Q2541" t="s">
        <v>4423</v>
      </c>
      <c r="R2541" t="s">
        <v>3</v>
      </c>
      <c r="S2541" t="s">
        <v>3</v>
      </c>
      <c r="T2541" t="s">
        <v>3</v>
      </c>
      <c r="U2541" t="s">
        <v>3</v>
      </c>
      <c r="V2541" t="s">
        <v>3</v>
      </c>
      <c r="W2541" t="s">
        <v>68</v>
      </c>
      <c r="X2541" s="17">
        <v>43836</v>
      </c>
      <c r="Y2541" t="s">
        <v>4420</v>
      </c>
      <c r="Z2541" s="17">
        <v>43836</v>
      </c>
      <c r="AA2541" t="s">
        <v>3</v>
      </c>
      <c r="AB2541" t="s">
        <v>5456</v>
      </c>
    </row>
    <row r="2542" spans="1:28" hidden="1">
      <c r="A2542" t="s">
        <v>5457</v>
      </c>
      <c r="B2542" s="17">
        <v>43836</v>
      </c>
      <c r="C2542" s="17">
        <v>43836</v>
      </c>
      <c r="D2542" t="s">
        <v>0</v>
      </c>
      <c r="E2542" t="s">
        <v>1</v>
      </c>
      <c r="F2542" s="18">
        <v>-484350.04</v>
      </c>
      <c r="G2542" s="18">
        <v>-484350.04</v>
      </c>
      <c r="H2542" t="s">
        <v>2</v>
      </c>
      <c r="I2542" t="s">
        <v>8</v>
      </c>
      <c r="J2542" s="18">
        <v>-40661185.859999999</v>
      </c>
      <c r="K2542" t="s">
        <v>4421</v>
      </c>
      <c r="L2542" t="s">
        <v>4</v>
      </c>
      <c r="M2542" t="s">
        <v>4422</v>
      </c>
      <c r="N2542" t="s">
        <v>3</v>
      </c>
      <c r="O2542" t="s">
        <v>3</v>
      </c>
      <c r="P2542" t="s">
        <v>5</v>
      </c>
      <c r="Q2542" t="s">
        <v>4423</v>
      </c>
      <c r="R2542" t="s">
        <v>3</v>
      </c>
      <c r="S2542" t="s">
        <v>3</v>
      </c>
      <c r="T2542" t="s">
        <v>3</v>
      </c>
      <c r="U2542" t="s">
        <v>3</v>
      </c>
      <c r="V2542" t="s">
        <v>3</v>
      </c>
      <c r="W2542" t="s">
        <v>68</v>
      </c>
      <c r="X2542" s="17"/>
      <c r="Y2542" t="s">
        <v>3</v>
      </c>
      <c r="Z2542" s="17">
        <v>43836</v>
      </c>
      <c r="AA2542" t="s">
        <v>3</v>
      </c>
      <c r="AB2542" t="s">
        <v>5457</v>
      </c>
    </row>
    <row r="2543" spans="1:28" hidden="1">
      <c r="A2543" t="s">
        <v>5458</v>
      </c>
      <c r="B2543" s="17">
        <v>43836</v>
      </c>
      <c r="C2543" s="17">
        <v>43836</v>
      </c>
      <c r="D2543" t="s">
        <v>0</v>
      </c>
      <c r="E2543" t="s">
        <v>1</v>
      </c>
      <c r="F2543" s="18">
        <v>-189602.26</v>
      </c>
      <c r="G2543" s="18">
        <v>-189602.26</v>
      </c>
      <c r="H2543" t="s">
        <v>2</v>
      </c>
      <c r="I2543" t="s">
        <v>10</v>
      </c>
      <c r="J2543" s="18">
        <v>-15917109.73</v>
      </c>
      <c r="K2543" t="s">
        <v>5459</v>
      </c>
      <c r="L2543" t="s">
        <v>4</v>
      </c>
      <c r="M2543" t="s">
        <v>5180</v>
      </c>
      <c r="N2543" t="s">
        <v>3</v>
      </c>
      <c r="O2543" t="s">
        <v>3</v>
      </c>
      <c r="P2543" t="s">
        <v>5</v>
      </c>
      <c r="Q2543" t="s">
        <v>5460</v>
      </c>
      <c r="R2543" t="s">
        <v>3</v>
      </c>
      <c r="S2543" t="s">
        <v>3</v>
      </c>
      <c r="T2543" t="s">
        <v>3</v>
      </c>
      <c r="U2543" t="s">
        <v>3</v>
      </c>
      <c r="V2543" t="s">
        <v>3</v>
      </c>
      <c r="W2543" t="s">
        <v>68</v>
      </c>
      <c r="X2543" s="17"/>
      <c r="Y2543" t="s">
        <v>3</v>
      </c>
      <c r="Z2543" s="17">
        <v>43836</v>
      </c>
      <c r="AA2543" t="s">
        <v>3</v>
      </c>
      <c r="AB2543" t="s">
        <v>5458</v>
      </c>
    </row>
    <row r="2544" spans="1:28" hidden="1">
      <c r="A2544" t="s">
        <v>5461</v>
      </c>
      <c r="B2544" s="17">
        <v>43836</v>
      </c>
      <c r="C2544" s="17">
        <v>43836</v>
      </c>
      <c r="D2544" t="s">
        <v>0</v>
      </c>
      <c r="E2544" t="s">
        <v>1</v>
      </c>
      <c r="F2544" s="18">
        <v>12637</v>
      </c>
      <c r="G2544" s="18">
        <v>12637</v>
      </c>
      <c r="H2544" t="s">
        <v>2</v>
      </c>
      <c r="I2544" t="s">
        <v>8</v>
      </c>
      <c r="J2544" s="18">
        <v>1055189.5</v>
      </c>
      <c r="K2544" t="s">
        <v>5207</v>
      </c>
      <c r="L2544" t="s">
        <v>9</v>
      </c>
      <c r="M2544" t="s">
        <v>5462</v>
      </c>
      <c r="N2544" t="s">
        <v>3</v>
      </c>
      <c r="O2544" t="s">
        <v>3</v>
      </c>
      <c r="P2544" t="s">
        <v>5</v>
      </c>
      <c r="Q2544" t="s">
        <v>5463</v>
      </c>
      <c r="R2544" t="s">
        <v>3</v>
      </c>
      <c r="S2544" t="s">
        <v>3</v>
      </c>
      <c r="T2544" t="s">
        <v>3</v>
      </c>
      <c r="U2544" t="s">
        <v>3</v>
      </c>
      <c r="V2544" t="s">
        <v>3</v>
      </c>
      <c r="W2544" t="s">
        <v>68</v>
      </c>
      <c r="X2544" s="17"/>
      <c r="Y2544" t="s">
        <v>3</v>
      </c>
      <c r="Z2544" s="17">
        <v>43836</v>
      </c>
      <c r="AA2544" t="s">
        <v>3</v>
      </c>
      <c r="AB2544" t="s">
        <v>5461</v>
      </c>
    </row>
    <row r="2545" spans="1:28" hidden="1">
      <c r="A2545" t="s">
        <v>5461</v>
      </c>
      <c r="B2545" s="17">
        <v>43836</v>
      </c>
      <c r="C2545" s="17">
        <v>43836</v>
      </c>
      <c r="D2545" t="s">
        <v>0</v>
      </c>
      <c r="E2545" t="s">
        <v>1</v>
      </c>
      <c r="F2545" s="18">
        <v>2120</v>
      </c>
      <c r="G2545" s="18">
        <v>2120</v>
      </c>
      <c r="H2545" t="s">
        <v>2</v>
      </c>
      <c r="I2545" t="s">
        <v>8</v>
      </c>
      <c r="J2545" s="18">
        <v>177974</v>
      </c>
      <c r="K2545" t="s">
        <v>5452</v>
      </c>
      <c r="L2545" t="s">
        <v>9</v>
      </c>
      <c r="M2545" t="s">
        <v>5462</v>
      </c>
      <c r="N2545" t="s">
        <v>3</v>
      </c>
      <c r="O2545" t="s">
        <v>3</v>
      </c>
      <c r="P2545" t="s">
        <v>5</v>
      </c>
      <c r="Q2545" t="s">
        <v>5463</v>
      </c>
      <c r="R2545" t="s">
        <v>3</v>
      </c>
      <c r="S2545" t="s">
        <v>3</v>
      </c>
      <c r="T2545" t="s">
        <v>3</v>
      </c>
      <c r="U2545" t="s">
        <v>3</v>
      </c>
      <c r="V2545" t="s">
        <v>3</v>
      </c>
      <c r="W2545" t="s">
        <v>68</v>
      </c>
      <c r="X2545" s="17"/>
      <c r="Y2545" t="s">
        <v>3</v>
      </c>
      <c r="Z2545" s="17">
        <v>43836</v>
      </c>
      <c r="AA2545" t="s">
        <v>3</v>
      </c>
      <c r="AB2545" t="s">
        <v>5461</v>
      </c>
    </row>
    <row r="2546" spans="1:28" hidden="1">
      <c r="A2546" t="s">
        <v>5461</v>
      </c>
      <c r="B2546" s="17">
        <v>43836</v>
      </c>
      <c r="C2546" s="17">
        <v>43836</v>
      </c>
      <c r="D2546" t="s">
        <v>0</v>
      </c>
      <c r="E2546" t="s">
        <v>1</v>
      </c>
      <c r="F2546" s="18">
        <v>884</v>
      </c>
      <c r="G2546" s="18">
        <v>884</v>
      </c>
      <c r="H2546" t="s">
        <v>2</v>
      </c>
      <c r="I2546" t="s">
        <v>8</v>
      </c>
      <c r="J2546" s="18">
        <v>73814</v>
      </c>
      <c r="K2546" t="s">
        <v>5031</v>
      </c>
      <c r="L2546" t="s">
        <v>9</v>
      </c>
      <c r="M2546" t="s">
        <v>5462</v>
      </c>
      <c r="N2546" t="s">
        <v>3</v>
      </c>
      <c r="O2546" t="s">
        <v>3</v>
      </c>
      <c r="P2546" t="s">
        <v>5</v>
      </c>
      <c r="Q2546" t="s">
        <v>5463</v>
      </c>
      <c r="R2546" t="s">
        <v>3</v>
      </c>
      <c r="S2546" t="s">
        <v>3</v>
      </c>
      <c r="T2546" t="s">
        <v>3</v>
      </c>
      <c r="U2546" t="s">
        <v>3</v>
      </c>
      <c r="V2546" t="s">
        <v>3</v>
      </c>
      <c r="W2546" t="s">
        <v>68</v>
      </c>
      <c r="X2546" s="17"/>
      <c r="Y2546" t="s">
        <v>3</v>
      </c>
      <c r="Z2546" s="17">
        <v>43836</v>
      </c>
      <c r="AA2546" t="s">
        <v>3</v>
      </c>
      <c r="AB2546" t="s">
        <v>5461</v>
      </c>
    </row>
    <row r="2547" spans="1:28" hidden="1">
      <c r="A2547" t="s">
        <v>5461</v>
      </c>
      <c r="B2547" s="17">
        <v>43836</v>
      </c>
      <c r="C2547" s="17">
        <v>43836</v>
      </c>
      <c r="D2547" t="s">
        <v>0</v>
      </c>
      <c r="E2547" t="s">
        <v>1</v>
      </c>
      <c r="F2547" s="18">
        <v>1587</v>
      </c>
      <c r="G2547" s="18">
        <v>1587</v>
      </c>
      <c r="H2547" t="s">
        <v>2</v>
      </c>
      <c r="I2547" t="s">
        <v>8</v>
      </c>
      <c r="J2547" s="18">
        <v>132514.5</v>
      </c>
      <c r="K2547" t="s">
        <v>5150</v>
      </c>
      <c r="L2547" t="s">
        <v>9</v>
      </c>
      <c r="M2547" t="s">
        <v>5462</v>
      </c>
      <c r="N2547" t="s">
        <v>3</v>
      </c>
      <c r="O2547" t="s">
        <v>3</v>
      </c>
      <c r="P2547" t="s">
        <v>5</v>
      </c>
      <c r="Q2547" t="s">
        <v>5463</v>
      </c>
      <c r="R2547" t="s">
        <v>3</v>
      </c>
      <c r="S2547" t="s">
        <v>3</v>
      </c>
      <c r="T2547" t="s">
        <v>3</v>
      </c>
      <c r="U2547" t="s">
        <v>3</v>
      </c>
      <c r="V2547" t="s">
        <v>3</v>
      </c>
      <c r="W2547" t="s">
        <v>68</v>
      </c>
      <c r="X2547" s="17"/>
      <c r="Y2547" t="s">
        <v>3</v>
      </c>
      <c r="Z2547" s="17">
        <v>43836</v>
      </c>
      <c r="AA2547" t="s">
        <v>3</v>
      </c>
      <c r="AB2547" t="s">
        <v>5461</v>
      </c>
    </row>
    <row r="2548" spans="1:28" hidden="1">
      <c r="A2548" t="s">
        <v>5461</v>
      </c>
      <c r="B2548" s="17">
        <v>43836</v>
      </c>
      <c r="C2548" s="17">
        <v>43836</v>
      </c>
      <c r="D2548" t="s">
        <v>0</v>
      </c>
      <c r="E2548" t="s">
        <v>1</v>
      </c>
      <c r="F2548" s="18">
        <v>5138</v>
      </c>
      <c r="G2548" s="18">
        <v>5138</v>
      </c>
      <c r="H2548" t="s">
        <v>2</v>
      </c>
      <c r="I2548" t="s">
        <v>8</v>
      </c>
      <c r="J2548" s="18">
        <v>430821.3</v>
      </c>
      <c r="K2548" t="s">
        <v>5453</v>
      </c>
      <c r="L2548" t="s">
        <v>9</v>
      </c>
      <c r="M2548" t="s">
        <v>5462</v>
      </c>
      <c r="N2548" t="s">
        <v>3</v>
      </c>
      <c r="O2548" t="s">
        <v>3</v>
      </c>
      <c r="P2548" t="s">
        <v>5</v>
      </c>
      <c r="Q2548" t="s">
        <v>5463</v>
      </c>
      <c r="R2548" t="s">
        <v>3</v>
      </c>
      <c r="S2548" t="s">
        <v>3</v>
      </c>
      <c r="T2548" t="s">
        <v>3</v>
      </c>
      <c r="U2548" t="s">
        <v>3</v>
      </c>
      <c r="V2548" t="s">
        <v>3</v>
      </c>
      <c r="W2548" t="s">
        <v>68</v>
      </c>
      <c r="X2548" s="17"/>
      <c r="Y2548" t="s">
        <v>3</v>
      </c>
      <c r="Z2548" s="17">
        <v>43836</v>
      </c>
      <c r="AA2548" t="s">
        <v>3</v>
      </c>
      <c r="AB2548" t="s">
        <v>5461</v>
      </c>
    </row>
    <row r="2549" spans="1:28" hidden="1">
      <c r="A2549" t="s">
        <v>5461</v>
      </c>
      <c r="B2549" s="17">
        <v>43836</v>
      </c>
      <c r="C2549" s="17">
        <v>43836</v>
      </c>
      <c r="D2549" t="s">
        <v>0</v>
      </c>
      <c r="E2549" t="s">
        <v>1</v>
      </c>
      <c r="F2549" s="18">
        <v>3485</v>
      </c>
      <c r="G2549" s="18">
        <v>3485</v>
      </c>
      <c r="H2549" t="s">
        <v>2</v>
      </c>
      <c r="I2549" t="s">
        <v>8</v>
      </c>
      <c r="J2549" s="18">
        <v>292565.75</v>
      </c>
      <c r="K2549" t="s">
        <v>5454</v>
      </c>
      <c r="L2549" t="s">
        <v>9</v>
      </c>
      <c r="M2549" t="s">
        <v>5462</v>
      </c>
      <c r="N2549" t="s">
        <v>3</v>
      </c>
      <c r="O2549" t="s">
        <v>3</v>
      </c>
      <c r="P2549" t="s">
        <v>5</v>
      </c>
      <c r="Q2549" t="s">
        <v>5463</v>
      </c>
      <c r="R2549" t="s">
        <v>3</v>
      </c>
      <c r="S2549" t="s">
        <v>3</v>
      </c>
      <c r="T2549" t="s">
        <v>3</v>
      </c>
      <c r="U2549" t="s">
        <v>3</v>
      </c>
      <c r="V2549" t="s">
        <v>3</v>
      </c>
      <c r="W2549" t="s">
        <v>68</v>
      </c>
      <c r="X2549" s="17"/>
      <c r="Y2549" t="s">
        <v>3</v>
      </c>
      <c r="Z2549" s="17">
        <v>43836</v>
      </c>
      <c r="AA2549" t="s">
        <v>3</v>
      </c>
      <c r="AB2549" t="s">
        <v>5461</v>
      </c>
    </row>
    <row r="2550" spans="1:28" hidden="1">
      <c r="A2550" t="s">
        <v>5461</v>
      </c>
      <c r="B2550" s="17">
        <v>43836</v>
      </c>
      <c r="C2550" s="17">
        <v>43836</v>
      </c>
      <c r="D2550" t="s">
        <v>0</v>
      </c>
      <c r="E2550" t="s">
        <v>1</v>
      </c>
      <c r="F2550" s="18">
        <v>4975</v>
      </c>
      <c r="G2550" s="18">
        <v>4975</v>
      </c>
      <c r="H2550" t="s">
        <v>2</v>
      </c>
      <c r="I2550" t="s">
        <v>8</v>
      </c>
      <c r="J2550" s="18">
        <v>417651.25</v>
      </c>
      <c r="K2550" t="s">
        <v>5455</v>
      </c>
      <c r="L2550" t="s">
        <v>9</v>
      </c>
      <c r="M2550" t="s">
        <v>5462</v>
      </c>
      <c r="N2550" t="s">
        <v>3</v>
      </c>
      <c r="O2550" t="s">
        <v>3</v>
      </c>
      <c r="P2550" t="s">
        <v>5</v>
      </c>
      <c r="Q2550" t="s">
        <v>5463</v>
      </c>
      <c r="R2550" t="s">
        <v>3</v>
      </c>
      <c r="S2550" t="s">
        <v>3</v>
      </c>
      <c r="T2550" t="s">
        <v>3</v>
      </c>
      <c r="U2550" t="s">
        <v>3</v>
      </c>
      <c r="V2550" t="s">
        <v>3</v>
      </c>
      <c r="W2550" t="s">
        <v>68</v>
      </c>
      <c r="X2550" s="17"/>
      <c r="Y2550" t="s">
        <v>3</v>
      </c>
      <c r="Z2550" s="17">
        <v>43836</v>
      </c>
      <c r="AA2550" t="s">
        <v>3</v>
      </c>
      <c r="AB2550" t="s">
        <v>5461</v>
      </c>
    </row>
    <row r="2551" spans="1:28" hidden="1">
      <c r="A2551" t="s">
        <v>5464</v>
      </c>
      <c r="B2551" s="17">
        <v>43836</v>
      </c>
      <c r="C2551" s="17">
        <v>43836</v>
      </c>
      <c r="D2551" t="s">
        <v>0</v>
      </c>
      <c r="E2551" t="s">
        <v>1</v>
      </c>
      <c r="F2551" s="18">
        <v>2128</v>
      </c>
      <c r="G2551" s="18">
        <v>2128</v>
      </c>
      <c r="H2551" t="s">
        <v>2</v>
      </c>
      <c r="I2551" t="s">
        <v>8</v>
      </c>
      <c r="J2551" s="18">
        <v>178645.6</v>
      </c>
      <c r="K2551" t="s">
        <v>5452</v>
      </c>
      <c r="L2551" t="s">
        <v>9</v>
      </c>
      <c r="M2551" t="s">
        <v>5465</v>
      </c>
      <c r="N2551" t="s">
        <v>3</v>
      </c>
      <c r="O2551" t="s">
        <v>3</v>
      </c>
      <c r="P2551" t="s">
        <v>5</v>
      </c>
      <c r="Q2551" t="s">
        <v>5466</v>
      </c>
      <c r="R2551" t="s">
        <v>3</v>
      </c>
      <c r="S2551" t="s">
        <v>3</v>
      </c>
      <c r="T2551" t="s">
        <v>3</v>
      </c>
      <c r="U2551" t="s">
        <v>3</v>
      </c>
      <c r="V2551" t="s">
        <v>3</v>
      </c>
      <c r="W2551" t="s">
        <v>68</v>
      </c>
      <c r="X2551" s="17"/>
      <c r="Y2551" t="s">
        <v>3</v>
      </c>
      <c r="Z2551" s="17">
        <v>43836</v>
      </c>
      <c r="AA2551" t="s">
        <v>3</v>
      </c>
      <c r="AB2551" t="s">
        <v>5464</v>
      </c>
    </row>
    <row r="2552" spans="1:28" hidden="1">
      <c r="A2552" t="s">
        <v>5464</v>
      </c>
      <c r="B2552" s="17">
        <v>43836</v>
      </c>
      <c r="C2552" s="17">
        <v>43836</v>
      </c>
      <c r="D2552" t="s">
        <v>0</v>
      </c>
      <c r="E2552" t="s">
        <v>1</v>
      </c>
      <c r="F2552" s="18">
        <v>30094</v>
      </c>
      <c r="G2552" s="18">
        <v>30094</v>
      </c>
      <c r="H2552" t="s">
        <v>2</v>
      </c>
      <c r="I2552" t="s">
        <v>8</v>
      </c>
      <c r="J2552" s="18">
        <v>2526391.2999999998</v>
      </c>
      <c r="K2552" t="s">
        <v>5455</v>
      </c>
      <c r="L2552" t="s">
        <v>9</v>
      </c>
      <c r="M2552" t="s">
        <v>5465</v>
      </c>
      <c r="N2552" t="s">
        <v>3</v>
      </c>
      <c r="O2552" t="s">
        <v>3</v>
      </c>
      <c r="P2552" t="s">
        <v>5</v>
      </c>
      <c r="Q2552" t="s">
        <v>5466</v>
      </c>
      <c r="R2552" t="s">
        <v>3</v>
      </c>
      <c r="S2552" t="s">
        <v>3</v>
      </c>
      <c r="T2552" t="s">
        <v>3</v>
      </c>
      <c r="U2552" t="s">
        <v>3</v>
      </c>
      <c r="V2552" t="s">
        <v>3</v>
      </c>
      <c r="W2552" t="s">
        <v>68</v>
      </c>
      <c r="X2552" s="17"/>
      <c r="Y2552" t="s">
        <v>3</v>
      </c>
      <c r="Z2552" s="17">
        <v>43836</v>
      </c>
      <c r="AA2552" t="s">
        <v>3</v>
      </c>
      <c r="AB2552" t="s">
        <v>5464</v>
      </c>
    </row>
    <row r="2553" spans="1:28" hidden="1">
      <c r="A2553" t="s">
        <v>5464</v>
      </c>
      <c r="B2553" s="17">
        <v>43836</v>
      </c>
      <c r="C2553" s="17">
        <v>43836</v>
      </c>
      <c r="D2553" t="s">
        <v>0</v>
      </c>
      <c r="E2553" t="s">
        <v>1</v>
      </c>
      <c r="F2553" s="18">
        <v>17545</v>
      </c>
      <c r="G2553" s="18">
        <v>17545</v>
      </c>
      <c r="H2553" t="s">
        <v>2</v>
      </c>
      <c r="I2553" t="s">
        <v>8</v>
      </c>
      <c r="J2553" s="18">
        <v>1472902.75</v>
      </c>
      <c r="K2553" t="s">
        <v>5467</v>
      </c>
      <c r="L2553" t="s">
        <v>9</v>
      </c>
      <c r="M2553" t="s">
        <v>5465</v>
      </c>
      <c r="N2553" t="s">
        <v>3</v>
      </c>
      <c r="O2553" t="s">
        <v>3</v>
      </c>
      <c r="P2553" t="s">
        <v>5</v>
      </c>
      <c r="Q2553" t="s">
        <v>5466</v>
      </c>
      <c r="R2553" t="s">
        <v>3</v>
      </c>
      <c r="S2553" t="s">
        <v>3</v>
      </c>
      <c r="T2553" t="s">
        <v>3</v>
      </c>
      <c r="U2553" t="s">
        <v>3</v>
      </c>
      <c r="V2553" t="s">
        <v>3</v>
      </c>
      <c r="W2553" t="s">
        <v>68</v>
      </c>
      <c r="X2553" s="17"/>
      <c r="Y2553" t="s">
        <v>3</v>
      </c>
      <c r="Z2553" s="17">
        <v>43836</v>
      </c>
      <c r="AA2553" t="s">
        <v>3</v>
      </c>
      <c r="AB2553" t="s">
        <v>5464</v>
      </c>
    </row>
    <row r="2554" spans="1:28" hidden="1">
      <c r="A2554" t="s">
        <v>5468</v>
      </c>
      <c r="B2554" s="17">
        <v>43836</v>
      </c>
      <c r="C2554" s="17">
        <v>43836</v>
      </c>
      <c r="D2554" t="s">
        <v>0</v>
      </c>
      <c r="E2554" t="s">
        <v>1</v>
      </c>
      <c r="F2554" s="18">
        <v>21149.63</v>
      </c>
      <c r="G2554" s="18">
        <v>21149.63</v>
      </c>
      <c r="H2554" t="s">
        <v>2</v>
      </c>
      <c r="I2554" t="s">
        <v>8</v>
      </c>
      <c r="J2554" s="18">
        <v>1775511.44</v>
      </c>
      <c r="K2554" t="s">
        <v>5469</v>
      </c>
      <c r="L2554" t="s">
        <v>4</v>
      </c>
      <c r="M2554" t="s">
        <v>5470</v>
      </c>
      <c r="N2554" t="s">
        <v>3</v>
      </c>
      <c r="O2554" t="s">
        <v>3</v>
      </c>
      <c r="P2554" t="s">
        <v>5</v>
      </c>
      <c r="Q2554" t="s">
        <v>5471</v>
      </c>
      <c r="R2554" t="s">
        <v>3</v>
      </c>
      <c r="S2554" t="s">
        <v>3</v>
      </c>
      <c r="T2554" t="s">
        <v>3</v>
      </c>
      <c r="U2554" t="s">
        <v>3</v>
      </c>
      <c r="V2554" t="s">
        <v>3</v>
      </c>
      <c r="W2554" t="s">
        <v>68</v>
      </c>
      <c r="X2554" s="17"/>
      <c r="Y2554" t="s">
        <v>3</v>
      </c>
      <c r="Z2554" s="17">
        <v>43836</v>
      </c>
      <c r="AA2554" t="s">
        <v>3</v>
      </c>
      <c r="AB2554" t="s">
        <v>5468</v>
      </c>
    </row>
    <row r="2555" spans="1:28" hidden="1">
      <c r="A2555" t="s">
        <v>5468</v>
      </c>
      <c r="B2555" s="17">
        <v>43836</v>
      </c>
      <c r="C2555" s="17">
        <v>43836</v>
      </c>
      <c r="D2555" t="s">
        <v>0</v>
      </c>
      <c r="E2555" t="s">
        <v>1</v>
      </c>
      <c r="F2555" s="18">
        <v>350.04</v>
      </c>
      <c r="G2555" s="18">
        <v>350.04</v>
      </c>
      <c r="H2555" t="s">
        <v>2</v>
      </c>
      <c r="I2555" t="s">
        <v>8</v>
      </c>
      <c r="J2555" s="18">
        <v>29350.85</v>
      </c>
      <c r="K2555" t="s">
        <v>5195</v>
      </c>
      <c r="L2555" t="s">
        <v>4</v>
      </c>
      <c r="M2555" t="s">
        <v>5470</v>
      </c>
      <c r="N2555" t="s">
        <v>3</v>
      </c>
      <c r="O2555" t="s">
        <v>3</v>
      </c>
      <c r="P2555" t="s">
        <v>5</v>
      </c>
      <c r="Q2555" t="s">
        <v>5471</v>
      </c>
      <c r="R2555" t="s">
        <v>3</v>
      </c>
      <c r="S2555" t="s">
        <v>3</v>
      </c>
      <c r="T2555" t="s">
        <v>3</v>
      </c>
      <c r="U2555" t="s">
        <v>3</v>
      </c>
      <c r="V2555" t="s">
        <v>3</v>
      </c>
      <c r="W2555" t="s">
        <v>68</v>
      </c>
      <c r="X2555" s="17"/>
      <c r="Y2555" t="s">
        <v>3</v>
      </c>
      <c r="Z2555" s="17">
        <v>43836</v>
      </c>
      <c r="AA2555" t="s">
        <v>3</v>
      </c>
      <c r="AB2555" t="s">
        <v>5468</v>
      </c>
    </row>
    <row r="2556" spans="1:28" hidden="1">
      <c r="A2556" t="s">
        <v>5468</v>
      </c>
      <c r="B2556" s="17">
        <v>43836</v>
      </c>
      <c r="C2556" s="17">
        <v>43836</v>
      </c>
      <c r="D2556" t="s">
        <v>0</v>
      </c>
      <c r="E2556" t="s">
        <v>1</v>
      </c>
      <c r="F2556" s="18">
        <v>6217</v>
      </c>
      <c r="G2556" s="18">
        <v>6217</v>
      </c>
      <c r="H2556" t="s">
        <v>2</v>
      </c>
      <c r="I2556" t="s">
        <v>8</v>
      </c>
      <c r="J2556" s="18">
        <v>521917.15</v>
      </c>
      <c r="K2556" t="s">
        <v>5440</v>
      </c>
      <c r="L2556" t="s">
        <v>4</v>
      </c>
      <c r="M2556" t="s">
        <v>5470</v>
      </c>
      <c r="N2556" t="s">
        <v>3</v>
      </c>
      <c r="O2556" t="s">
        <v>3</v>
      </c>
      <c r="P2556" t="s">
        <v>5</v>
      </c>
      <c r="Q2556" t="s">
        <v>5471</v>
      </c>
      <c r="R2556" t="s">
        <v>3</v>
      </c>
      <c r="S2556" t="s">
        <v>3</v>
      </c>
      <c r="T2556" t="s">
        <v>3</v>
      </c>
      <c r="U2556" t="s">
        <v>3</v>
      </c>
      <c r="V2556" t="s">
        <v>3</v>
      </c>
      <c r="W2556" t="s">
        <v>68</v>
      </c>
      <c r="X2556" s="17"/>
      <c r="Y2556" t="s">
        <v>3</v>
      </c>
      <c r="Z2556" s="17">
        <v>43836</v>
      </c>
      <c r="AA2556" t="s">
        <v>3</v>
      </c>
      <c r="AB2556" t="s">
        <v>5468</v>
      </c>
    </row>
    <row r="2557" spans="1:28" hidden="1">
      <c r="A2557" t="s">
        <v>5472</v>
      </c>
      <c r="B2557" s="17">
        <v>43836</v>
      </c>
      <c r="C2557" s="17">
        <v>43836</v>
      </c>
      <c r="D2557" t="s">
        <v>0</v>
      </c>
      <c r="E2557" t="s">
        <v>1</v>
      </c>
      <c r="F2557" s="18">
        <v>271.24</v>
      </c>
      <c r="G2557" s="18">
        <v>271.24</v>
      </c>
      <c r="H2557" t="s">
        <v>2</v>
      </c>
      <c r="I2557" t="s">
        <v>8</v>
      </c>
      <c r="J2557" s="18">
        <v>22770.6</v>
      </c>
      <c r="K2557" t="s">
        <v>5469</v>
      </c>
      <c r="L2557" t="s">
        <v>4</v>
      </c>
      <c r="M2557" t="s">
        <v>5473</v>
      </c>
      <c r="N2557" t="s">
        <v>3</v>
      </c>
      <c r="O2557" t="s">
        <v>3</v>
      </c>
      <c r="P2557" t="s">
        <v>5</v>
      </c>
      <c r="Q2557" t="s">
        <v>5474</v>
      </c>
      <c r="R2557" t="s">
        <v>3</v>
      </c>
      <c r="S2557" t="s">
        <v>3</v>
      </c>
      <c r="T2557" t="s">
        <v>3</v>
      </c>
      <c r="U2557" t="s">
        <v>3</v>
      </c>
      <c r="V2557" t="s">
        <v>3</v>
      </c>
      <c r="W2557" t="s">
        <v>68</v>
      </c>
      <c r="X2557" s="17"/>
      <c r="Y2557" t="s">
        <v>3</v>
      </c>
      <c r="Z2557" s="17">
        <v>43836</v>
      </c>
      <c r="AA2557" t="s">
        <v>3</v>
      </c>
      <c r="AB2557" t="s">
        <v>5472</v>
      </c>
    </row>
    <row r="2558" spans="1:28" hidden="1">
      <c r="A2558" t="s">
        <v>5472</v>
      </c>
      <c r="B2558" s="17">
        <v>43836</v>
      </c>
      <c r="C2558" s="17">
        <v>43836</v>
      </c>
      <c r="D2558" t="s">
        <v>0</v>
      </c>
      <c r="E2558" t="s">
        <v>1</v>
      </c>
      <c r="F2558" s="18">
        <v>7868.59</v>
      </c>
      <c r="G2558" s="18">
        <v>7868.59</v>
      </c>
      <c r="H2558" t="s">
        <v>2</v>
      </c>
      <c r="I2558" t="s">
        <v>8</v>
      </c>
      <c r="J2558" s="18">
        <v>660568.13</v>
      </c>
      <c r="K2558" t="s">
        <v>5440</v>
      </c>
      <c r="L2558" t="s">
        <v>4</v>
      </c>
      <c r="M2558" t="s">
        <v>5473</v>
      </c>
      <c r="N2558" t="s">
        <v>3</v>
      </c>
      <c r="O2558" t="s">
        <v>3</v>
      </c>
      <c r="P2558" t="s">
        <v>5</v>
      </c>
      <c r="Q2558" t="s">
        <v>5474</v>
      </c>
      <c r="R2558" t="s">
        <v>3</v>
      </c>
      <c r="S2558" t="s">
        <v>3</v>
      </c>
      <c r="T2558" t="s">
        <v>3</v>
      </c>
      <c r="U2558" t="s">
        <v>3</v>
      </c>
      <c r="V2558" t="s">
        <v>3</v>
      </c>
      <c r="W2558" t="s">
        <v>68</v>
      </c>
      <c r="X2558" s="17"/>
      <c r="Y2558" t="s">
        <v>3</v>
      </c>
      <c r="Z2558" s="17">
        <v>43836</v>
      </c>
      <c r="AA2558" t="s">
        <v>3</v>
      </c>
      <c r="AB2558" t="s">
        <v>5472</v>
      </c>
    </row>
    <row r="2559" spans="1:28" hidden="1">
      <c r="A2559" t="s">
        <v>5472</v>
      </c>
      <c r="B2559" s="17">
        <v>43836</v>
      </c>
      <c r="C2559" s="17">
        <v>43836</v>
      </c>
      <c r="D2559" t="s">
        <v>0</v>
      </c>
      <c r="E2559" t="s">
        <v>1</v>
      </c>
      <c r="F2559" s="18">
        <v>6055.99</v>
      </c>
      <c r="G2559" s="18">
        <v>6055.99</v>
      </c>
      <c r="H2559" t="s">
        <v>2</v>
      </c>
      <c r="I2559" t="s">
        <v>8</v>
      </c>
      <c r="J2559" s="18">
        <v>508400.36</v>
      </c>
      <c r="K2559" t="s">
        <v>5442</v>
      </c>
      <c r="L2559" t="s">
        <v>4</v>
      </c>
      <c r="M2559" t="s">
        <v>5473</v>
      </c>
      <c r="N2559" t="s">
        <v>3</v>
      </c>
      <c r="O2559" t="s">
        <v>3</v>
      </c>
      <c r="P2559" t="s">
        <v>5</v>
      </c>
      <c r="Q2559" t="s">
        <v>5474</v>
      </c>
      <c r="R2559" t="s">
        <v>3</v>
      </c>
      <c r="S2559" t="s">
        <v>3</v>
      </c>
      <c r="T2559" t="s">
        <v>3</v>
      </c>
      <c r="U2559" t="s">
        <v>3</v>
      </c>
      <c r="V2559" t="s">
        <v>3</v>
      </c>
      <c r="W2559" t="s">
        <v>68</v>
      </c>
      <c r="X2559" s="17"/>
      <c r="Y2559" t="s">
        <v>3</v>
      </c>
      <c r="Z2559" s="17">
        <v>43836</v>
      </c>
      <c r="AA2559" t="s">
        <v>3</v>
      </c>
      <c r="AB2559" t="s">
        <v>5472</v>
      </c>
    </row>
    <row r="2560" spans="1:28" hidden="1">
      <c r="A2560" t="s">
        <v>5475</v>
      </c>
      <c r="B2560" s="17">
        <v>43836</v>
      </c>
      <c r="C2560" s="17">
        <v>43836</v>
      </c>
      <c r="D2560" t="s">
        <v>0</v>
      </c>
      <c r="E2560" t="s">
        <v>1</v>
      </c>
      <c r="F2560" s="18">
        <v>29221</v>
      </c>
      <c r="G2560" s="18">
        <v>29221</v>
      </c>
      <c r="H2560" t="s">
        <v>2</v>
      </c>
      <c r="I2560" t="s">
        <v>10</v>
      </c>
      <c r="J2560" s="18">
        <v>2450180.85</v>
      </c>
      <c r="K2560" t="s">
        <v>5476</v>
      </c>
      <c r="L2560" t="s">
        <v>4</v>
      </c>
      <c r="M2560" t="s">
        <v>5477</v>
      </c>
      <c r="N2560" t="s">
        <v>3</v>
      </c>
      <c r="O2560" t="s">
        <v>3</v>
      </c>
      <c r="P2560" t="s">
        <v>5</v>
      </c>
      <c r="Q2560" t="s">
        <v>5478</v>
      </c>
      <c r="R2560" t="s">
        <v>3</v>
      </c>
      <c r="S2560" t="s">
        <v>3</v>
      </c>
      <c r="T2560" t="s">
        <v>3</v>
      </c>
      <c r="U2560" t="s">
        <v>3</v>
      </c>
      <c r="V2560" t="s">
        <v>3</v>
      </c>
      <c r="W2560" t="s">
        <v>68</v>
      </c>
      <c r="X2560" s="17"/>
      <c r="Y2560" t="s">
        <v>3</v>
      </c>
      <c r="Z2560" s="17">
        <v>43836</v>
      </c>
      <c r="AA2560" t="s">
        <v>3</v>
      </c>
      <c r="AB2560" t="s">
        <v>5475</v>
      </c>
    </row>
    <row r="2561" spans="1:28" hidden="1">
      <c r="A2561" t="s">
        <v>5475</v>
      </c>
      <c r="B2561" s="17">
        <v>43836</v>
      </c>
      <c r="C2561" s="17">
        <v>43836</v>
      </c>
      <c r="D2561" t="s">
        <v>0</v>
      </c>
      <c r="E2561" t="s">
        <v>1</v>
      </c>
      <c r="F2561" s="18">
        <v>15934</v>
      </c>
      <c r="G2561" s="18">
        <v>15934</v>
      </c>
      <c r="H2561" t="s">
        <v>2</v>
      </c>
      <c r="I2561" t="s">
        <v>10</v>
      </c>
      <c r="J2561" s="18">
        <v>1337659.3</v>
      </c>
      <c r="K2561" t="s">
        <v>5479</v>
      </c>
      <c r="L2561" t="s">
        <v>4</v>
      </c>
      <c r="M2561" t="s">
        <v>5477</v>
      </c>
      <c r="N2561" t="s">
        <v>3</v>
      </c>
      <c r="O2561" t="s">
        <v>3</v>
      </c>
      <c r="P2561" t="s">
        <v>5</v>
      </c>
      <c r="Q2561" t="s">
        <v>5478</v>
      </c>
      <c r="R2561" t="s">
        <v>3</v>
      </c>
      <c r="S2561" t="s">
        <v>3</v>
      </c>
      <c r="T2561" t="s">
        <v>3</v>
      </c>
      <c r="U2561" t="s">
        <v>3</v>
      </c>
      <c r="V2561" t="s">
        <v>3</v>
      </c>
      <c r="W2561" t="s">
        <v>68</v>
      </c>
      <c r="X2561" s="17"/>
      <c r="Y2561" t="s">
        <v>3</v>
      </c>
      <c r="Z2561" s="17">
        <v>43836</v>
      </c>
      <c r="AA2561" t="s">
        <v>3</v>
      </c>
      <c r="AB2561" t="s">
        <v>5475</v>
      </c>
    </row>
    <row r="2562" spans="1:28" hidden="1">
      <c r="A2562" t="s">
        <v>5475</v>
      </c>
      <c r="B2562" s="17">
        <v>43836</v>
      </c>
      <c r="C2562" s="17">
        <v>43836</v>
      </c>
      <c r="D2562" t="s">
        <v>0</v>
      </c>
      <c r="E2562" t="s">
        <v>1</v>
      </c>
      <c r="F2562" s="18">
        <v>29694</v>
      </c>
      <c r="G2562" s="18">
        <v>29694</v>
      </c>
      <c r="H2562" t="s">
        <v>2</v>
      </c>
      <c r="I2562" t="s">
        <v>10</v>
      </c>
      <c r="J2562" s="18">
        <v>2492811.2999999998</v>
      </c>
      <c r="K2562" t="s">
        <v>5480</v>
      </c>
      <c r="L2562" t="s">
        <v>4</v>
      </c>
      <c r="M2562" t="s">
        <v>5477</v>
      </c>
      <c r="N2562" t="s">
        <v>3</v>
      </c>
      <c r="O2562" t="s">
        <v>3</v>
      </c>
      <c r="P2562" t="s">
        <v>5</v>
      </c>
      <c r="Q2562" t="s">
        <v>5478</v>
      </c>
      <c r="R2562" t="s">
        <v>3</v>
      </c>
      <c r="S2562" t="s">
        <v>3</v>
      </c>
      <c r="T2562" t="s">
        <v>3</v>
      </c>
      <c r="U2562" t="s">
        <v>3</v>
      </c>
      <c r="V2562" t="s">
        <v>3</v>
      </c>
      <c r="W2562" t="s">
        <v>68</v>
      </c>
      <c r="X2562" s="17"/>
      <c r="Y2562" t="s">
        <v>3</v>
      </c>
      <c r="Z2562" s="17">
        <v>43836</v>
      </c>
      <c r="AA2562" t="s">
        <v>3</v>
      </c>
      <c r="AB2562" t="s">
        <v>5475</v>
      </c>
    </row>
    <row r="2563" spans="1:28" hidden="1">
      <c r="A2563" t="s">
        <v>5481</v>
      </c>
      <c r="B2563" s="17">
        <v>43838</v>
      </c>
      <c r="C2563" s="17">
        <v>43838</v>
      </c>
      <c r="D2563" t="s">
        <v>0</v>
      </c>
      <c r="E2563" t="s">
        <v>1</v>
      </c>
      <c r="F2563" s="18">
        <v>38360</v>
      </c>
      <c r="G2563" s="18">
        <v>38360</v>
      </c>
      <c r="H2563" t="s">
        <v>2</v>
      </c>
      <c r="I2563" t="s">
        <v>8</v>
      </c>
      <c r="J2563" s="18">
        <v>3203060</v>
      </c>
      <c r="K2563" t="s">
        <v>5207</v>
      </c>
      <c r="L2563" t="s">
        <v>9</v>
      </c>
      <c r="M2563" t="s">
        <v>5482</v>
      </c>
      <c r="N2563" t="s">
        <v>3</v>
      </c>
      <c r="O2563" t="s">
        <v>3</v>
      </c>
      <c r="P2563" t="s">
        <v>5</v>
      </c>
      <c r="Q2563" t="s">
        <v>5483</v>
      </c>
      <c r="R2563" t="s">
        <v>3</v>
      </c>
      <c r="S2563" t="s">
        <v>3</v>
      </c>
      <c r="T2563" t="s">
        <v>3</v>
      </c>
      <c r="U2563" t="s">
        <v>3</v>
      </c>
      <c r="V2563" t="s">
        <v>3</v>
      </c>
      <c r="W2563" t="s">
        <v>68</v>
      </c>
      <c r="X2563" s="17"/>
      <c r="Y2563" t="s">
        <v>3</v>
      </c>
      <c r="Z2563" s="17">
        <v>43838</v>
      </c>
      <c r="AA2563" t="s">
        <v>3</v>
      </c>
      <c r="AB2563" t="s">
        <v>5481</v>
      </c>
    </row>
    <row r="2564" spans="1:28" hidden="1">
      <c r="A2564" t="s">
        <v>5481</v>
      </c>
      <c r="B2564" s="17">
        <v>43838</v>
      </c>
      <c r="C2564" s="17">
        <v>43838</v>
      </c>
      <c r="D2564" t="s">
        <v>0</v>
      </c>
      <c r="E2564" t="s">
        <v>1</v>
      </c>
      <c r="F2564" s="18">
        <v>99322</v>
      </c>
      <c r="G2564" s="18">
        <v>99322</v>
      </c>
      <c r="H2564" t="s">
        <v>2</v>
      </c>
      <c r="I2564" t="s">
        <v>8</v>
      </c>
      <c r="J2564" s="18">
        <v>8338081.9000000004</v>
      </c>
      <c r="K2564" t="s">
        <v>5452</v>
      </c>
      <c r="L2564" t="s">
        <v>9</v>
      </c>
      <c r="M2564" t="s">
        <v>5482</v>
      </c>
      <c r="N2564" t="s">
        <v>3</v>
      </c>
      <c r="O2564" t="s">
        <v>3</v>
      </c>
      <c r="P2564" t="s">
        <v>5</v>
      </c>
      <c r="Q2564" t="s">
        <v>5483</v>
      </c>
      <c r="R2564" t="s">
        <v>3</v>
      </c>
      <c r="S2564" t="s">
        <v>3</v>
      </c>
      <c r="T2564" t="s">
        <v>3</v>
      </c>
      <c r="U2564" t="s">
        <v>3</v>
      </c>
      <c r="V2564" t="s">
        <v>3</v>
      </c>
      <c r="W2564" t="s">
        <v>68</v>
      </c>
      <c r="X2564" s="17"/>
      <c r="Y2564" t="s">
        <v>3</v>
      </c>
      <c r="Z2564" s="17">
        <v>43838</v>
      </c>
      <c r="AA2564" t="s">
        <v>3</v>
      </c>
      <c r="AB2564" t="s">
        <v>5481</v>
      </c>
    </row>
    <row r="2565" spans="1:28" hidden="1">
      <c r="A2565" t="s">
        <v>5481</v>
      </c>
      <c r="B2565" s="17">
        <v>43838</v>
      </c>
      <c r="C2565" s="17">
        <v>43838</v>
      </c>
      <c r="D2565" t="s">
        <v>0</v>
      </c>
      <c r="E2565" t="s">
        <v>1</v>
      </c>
      <c r="F2565" s="18">
        <v>106470</v>
      </c>
      <c r="G2565" s="18">
        <v>106470</v>
      </c>
      <c r="H2565" t="s">
        <v>2</v>
      </c>
      <c r="I2565" t="s">
        <v>8</v>
      </c>
      <c r="J2565" s="18">
        <v>8927509.5</v>
      </c>
      <c r="K2565" t="s">
        <v>5453</v>
      </c>
      <c r="L2565" t="s">
        <v>9</v>
      </c>
      <c r="M2565" t="s">
        <v>5482</v>
      </c>
      <c r="N2565" t="s">
        <v>3</v>
      </c>
      <c r="O2565" t="s">
        <v>3</v>
      </c>
      <c r="P2565" t="s">
        <v>5</v>
      </c>
      <c r="Q2565" t="s">
        <v>5483</v>
      </c>
      <c r="R2565" t="s">
        <v>3</v>
      </c>
      <c r="S2565" t="s">
        <v>3</v>
      </c>
      <c r="T2565" t="s">
        <v>3</v>
      </c>
      <c r="U2565" t="s">
        <v>3</v>
      </c>
      <c r="V2565" t="s">
        <v>3</v>
      </c>
      <c r="W2565" t="s">
        <v>68</v>
      </c>
      <c r="X2565" s="17"/>
      <c r="Y2565" t="s">
        <v>3</v>
      </c>
      <c r="Z2565" s="17">
        <v>43838</v>
      </c>
      <c r="AA2565" t="s">
        <v>3</v>
      </c>
      <c r="AB2565" t="s">
        <v>5481</v>
      </c>
    </row>
    <row r="2566" spans="1:28" hidden="1">
      <c r="A2566" t="s">
        <v>5481</v>
      </c>
      <c r="B2566" s="17">
        <v>43838</v>
      </c>
      <c r="C2566" s="17">
        <v>43838</v>
      </c>
      <c r="D2566" t="s">
        <v>0</v>
      </c>
      <c r="E2566" t="s">
        <v>1</v>
      </c>
      <c r="F2566" s="18">
        <v>68927</v>
      </c>
      <c r="G2566" s="18">
        <v>68927</v>
      </c>
      <c r="H2566" t="s">
        <v>2</v>
      </c>
      <c r="I2566" t="s">
        <v>8</v>
      </c>
      <c r="J2566" s="18">
        <v>5786421.6500000004</v>
      </c>
      <c r="K2566" t="s">
        <v>5454</v>
      </c>
      <c r="L2566" t="s">
        <v>9</v>
      </c>
      <c r="M2566" t="s">
        <v>5482</v>
      </c>
      <c r="N2566" t="s">
        <v>3</v>
      </c>
      <c r="O2566" t="s">
        <v>3</v>
      </c>
      <c r="P2566" t="s">
        <v>5</v>
      </c>
      <c r="Q2566" t="s">
        <v>5483</v>
      </c>
      <c r="R2566" t="s">
        <v>3</v>
      </c>
      <c r="S2566" t="s">
        <v>3</v>
      </c>
      <c r="T2566" t="s">
        <v>3</v>
      </c>
      <c r="U2566" t="s">
        <v>3</v>
      </c>
      <c r="V2566" t="s">
        <v>3</v>
      </c>
      <c r="W2566" t="s">
        <v>68</v>
      </c>
      <c r="X2566" s="17"/>
      <c r="Y2566" t="s">
        <v>3</v>
      </c>
      <c r="Z2566" s="17">
        <v>43838</v>
      </c>
      <c r="AA2566" t="s">
        <v>3</v>
      </c>
      <c r="AB2566" t="s">
        <v>5481</v>
      </c>
    </row>
    <row r="2567" spans="1:28" hidden="1">
      <c r="A2567" t="s">
        <v>5481</v>
      </c>
      <c r="B2567" s="17">
        <v>43838</v>
      </c>
      <c r="C2567" s="17">
        <v>43838</v>
      </c>
      <c r="D2567" t="s">
        <v>0</v>
      </c>
      <c r="E2567" t="s">
        <v>1</v>
      </c>
      <c r="F2567" s="18">
        <v>18087</v>
      </c>
      <c r="G2567" s="18">
        <v>18087</v>
      </c>
      <c r="H2567" t="s">
        <v>2</v>
      </c>
      <c r="I2567" t="s">
        <v>8</v>
      </c>
      <c r="J2567" s="18">
        <v>1518403.65</v>
      </c>
      <c r="K2567" t="s">
        <v>5455</v>
      </c>
      <c r="L2567" t="s">
        <v>9</v>
      </c>
      <c r="M2567" t="s">
        <v>5482</v>
      </c>
      <c r="N2567" t="s">
        <v>3</v>
      </c>
      <c r="O2567" t="s">
        <v>3</v>
      </c>
      <c r="P2567" t="s">
        <v>5</v>
      </c>
      <c r="Q2567" t="s">
        <v>5483</v>
      </c>
      <c r="R2567" t="s">
        <v>3</v>
      </c>
      <c r="S2567" t="s">
        <v>3</v>
      </c>
      <c r="T2567" t="s">
        <v>3</v>
      </c>
      <c r="U2567" t="s">
        <v>3</v>
      </c>
      <c r="V2567" t="s">
        <v>3</v>
      </c>
      <c r="W2567" t="s">
        <v>68</v>
      </c>
      <c r="X2567" s="17"/>
      <c r="Y2567" t="s">
        <v>3</v>
      </c>
      <c r="Z2567" s="17">
        <v>43838</v>
      </c>
      <c r="AA2567" t="s">
        <v>3</v>
      </c>
      <c r="AB2567" t="s">
        <v>5481</v>
      </c>
    </row>
    <row r="2568" spans="1:28" hidden="1">
      <c r="A2568" t="s">
        <v>5481</v>
      </c>
      <c r="B2568" s="17">
        <v>43838</v>
      </c>
      <c r="C2568" s="17">
        <v>43838</v>
      </c>
      <c r="D2568" t="s">
        <v>0</v>
      </c>
      <c r="E2568" t="s">
        <v>1</v>
      </c>
      <c r="F2568" s="18">
        <v>41454</v>
      </c>
      <c r="G2568" s="18">
        <v>41454</v>
      </c>
      <c r="H2568" t="s">
        <v>2</v>
      </c>
      <c r="I2568" t="s">
        <v>8</v>
      </c>
      <c r="J2568" s="18">
        <v>3480063.3</v>
      </c>
      <c r="K2568" t="s">
        <v>5467</v>
      </c>
      <c r="L2568" t="s">
        <v>9</v>
      </c>
      <c r="M2568" t="s">
        <v>5482</v>
      </c>
      <c r="N2568" t="s">
        <v>3</v>
      </c>
      <c r="O2568" t="s">
        <v>3</v>
      </c>
      <c r="P2568" t="s">
        <v>5</v>
      </c>
      <c r="Q2568" t="s">
        <v>5483</v>
      </c>
      <c r="R2568" t="s">
        <v>3</v>
      </c>
      <c r="S2568" t="s">
        <v>3</v>
      </c>
      <c r="T2568" t="s">
        <v>3</v>
      </c>
      <c r="U2568" t="s">
        <v>3</v>
      </c>
      <c r="V2568" t="s">
        <v>3</v>
      </c>
      <c r="W2568" t="s">
        <v>68</v>
      </c>
      <c r="X2568" s="17"/>
      <c r="Y2568" t="s">
        <v>3</v>
      </c>
      <c r="Z2568" s="17">
        <v>43838</v>
      </c>
      <c r="AA2568" t="s">
        <v>3</v>
      </c>
      <c r="AB2568" t="s">
        <v>5481</v>
      </c>
    </row>
    <row r="2569" spans="1:28" hidden="1">
      <c r="A2569" t="s">
        <v>5484</v>
      </c>
      <c r="B2569" s="17">
        <v>43838</v>
      </c>
      <c r="C2569" s="17">
        <v>43838</v>
      </c>
      <c r="D2569" t="s">
        <v>0</v>
      </c>
      <c r="E2569" t="s">
        <v>1</v>
      </c>
      <c r="F2569" s="18">
        <v>18283.87</v>
      </c>
      <c r="G2569" s="18">
        <v>18283.87</v>
      </c>
      <c r="H2569" t="s">
        <v>2</v>
      </c>
      <c r="I2569" t="s">
        <v>8</v>
      </c>
      <c r="J2569" s="18">
        <v>1534930.89</v>
      </c>
      <c r="K2569" t="s">
        <v>5440</v>
      </c>
      <c r="L2569" t="s">
        <v>4</v>
      </c>
      <c r="M2569" t="s">
        <v>5485</v>
      </c>
      <c r="N2569" t="s">
        <v>3</v>
      </c>
      <c r="O2569" t="s">
        <v>3</v>
      </c>
      <c r="P2569" t="s">
        <v>5</v>
      </c>
      <c r="Q2569" t="s">
        <v>5486</v>
      </c>
      <c r="R2569" t="s">
        <v>3</v>
      </c>
      <c r="S2569" t="s">
        <v>3</v>
      </c>
      <c r="T2569" t="s">
        <v>3</v>
      </c>
      <c r="U2569" t="s">
        <v>3</v>
      </c>
      <c r="V2569" t="s">
        <v>3</v>
      </c>
      <c r="W2569" t="s">
        <v>68</v>
      </c>
      <c r="X2569" s="17"/>
      <c r="Y2569" t="s">
        <v>3</v>
      </c>
      <c r="Z2569" s="17">
        <v>43838</v>
      </c>
      <c r="AA2569" t="s">
        <v>3</v>
      </c>
      <c r="AB2569" t="s">
        <v>5484</v>
      </c>
    </row>
    <row r="2570" spans="1:28" hidden="1">
      <c r="A2570" t="s">
        <v>5484</v>
      </c>
      <c r="B2570" s="17">
        <v>43838</v>
      </c>
      <c r="C2570" s="17">
        <v>43838</v>
      </c>
      <c r="D2570" t="s">
        <v>0</v>
      </c>
      <c r="E2570" t="s">
        <v>1</v>
      </c>
      <c r="F2570" s="18">
        <v>734.21</v>
      </c>
      <c r="G2570" s="18">
        <v>734.21</v>
      </c>
      <c r="H2570" t="s">
        <v>2</v>
      </c>
      <c r="I2570" t="s">
        <v>8</v>
      </c>
      <c r="J2570" s="18">
        <v>61563.51</v>
      </c>
      <c r="K2570" t="s">
        <v>5441</v>
      </c>
      <c r="L2570" t="s">
        <v>4</v>
      </c>
      <c r="M2570" t="s">
        <v>5485</v>
      </c>
      <c r="N2570" t="s">
        <v>3</v>
      </c>
      <c r="O2570" t="s">
        <v>3</v>
      </c>
      <c r="P2570" t="s">
        <v>5</v>
      </c>
      <c r="Q2570" t="s">
        <v>5486</v>
      </c>
      <c r="R2570" t="s">
        <v>3</v>
      </c>
      <c r="S2570" t="s">
        <v>3</v>
      </c>
      <c r="T2570" t="s">
        <v>3</v>
      </c>
      <c r="U2570" t="s">
        <v>3</v>
      </c>
      <c r="V2570" t="s">
        <v>3</v>
      </c>
      <c r="W2570" t="s">
        <v>68</v>
      </c>
      <c r="X2570" s="17"/>
      <c r="Y2570" t="s">
        <v>3</v>
      </c>
      <c r="Z2570" s="17">
        <v>43838</v>
      </c>
      <c r="AA2570" t="s">
        <v>3</v>
      </c>
      <c r="AB2570" t="s">
        <v>5484</v>
      </c>
    </row>
    <row r="2571" spans="1:28" hidden="1">
      <c r="A2571" t="s">
        <v>5484</v>
      </c>
      <c r="B2571" s="17">
        <v>43838</v>
      </c>
      <c r="C2571" s="17">
        <v>43838</v>
      </c>
      <c r="D2571" t="s">
        <v>0</v>
      </c>
      <c r="E2571" t="s">
        <v>1</v>
      </c>
      <c r="F2571" s="18">
        <v>8663.57</v>
      </c>
      <c r="G2571" s="18">
        <v>8663.57</v>
      </c>
      <c r="H2571" t="s">
        <v>2</v>
      </c>
      <c r="I2571" t="s">
        <v>8</v>
      </c>
      <c r="J2571" s="18">
        <v>727306.7</v>
      </c>
      <c r="K2571" t="s">
        <v>5442</v>
      </c>
      <c r="L2571" t="s">
        <v>4</v>
      </c>
      <c r="M2571" t="s">
        <v>5485</v>
      </c>
      <c r="N2571" t="s">
        <v>3</v>
      </c>
      <c r="O2571" t="s">
        <v>3</v>
      </c>
      <c r="P2571" t="s">
        <v>5</v>
      </c>
      <c r="Q2571" t="s">
        <v>5486</v>
      </c>
      <c r="R2571" t="s">
        <v>3</v>
      </c>
      <c r="S2571" t="s">
        <v>3</v>
      </c>
      <c r="T2571" t="s">
        <v>3</v>
      </c>
      <c r="U2571" t="s">
        <v>3</v>
      </c>
      <c r="V2571" t="s">
        <v>3</v>
      </c>
      <c r="W2571" t="s">
        <v>68</v>
      </c>
      <c r="X2571" s="17"/>
      <c r="Y2571" t="s">
        <v>3</v>
      </c>
      <c r="Z2571" s="17">
        <v>43838</v>
      </c>
      <c r="AA2571" t="s">
        <v>3</v>
      </c>
      <c r="AB2571" t="s">
        <v>5484</v>
      </c>
    </row>
    <row r="2572" spans="1:28" hidden="1">
      <c r="A2572" t="s">
        <v>5484</v>
      </c>
      <c r="B2572" s="17">
        <v>43838</v>
      </c>
      <c r="C2572" s="17">
        <v>43838</v>
      </c>
      <c r="D2572" t="s">
        <v>0</v>
      </c>
      <c r="E2572" t="s">
        <v>1</v>
      </c>
      <c r="F2572" s="18">
        <v>5637.22</v>
      </c>
      <c r="G2572" s="18">
        <v>5637.22</v>
      </c>
      <c r="H2572" t="s">
        <v>2</v>
      </c>
      <c r="I2572" t="s">
        <v>10</v>
      </c>
      <c r="J2572" s="18">
        <v>473244.62</v>
      </c>
      <c r="K2572" t="s">
        <v>5487</v>
      </c>
      <c r="L2572" t="s">
        <v>4</v>
      </c>
      <c r="M2572" t="s">
        <v>5485</v>
      </c>
      <c r="N2572" t="s">
        <v>3</v>
      </c>
      <c r="O2572" t="s">
        <v>3</v>
      </c>
      <c r="P2572" t="s">
        <v>5</v>
      </c>
      <c r="Q2572" t="s">
        <v>5486</v>
      </c>
      <c r="R2572" t="s">
        <v>3</v>
      </c>
      <c r="S2572" t="s">
        <v>3</v>
      </c>
      <c r="T2572" t="s">
        <v>3</v>
      </c>
      <c r="U2572" t="s">
        <v>3</v>
      </c>
      <c r="V2572" t="s">
        <v>3</v>
      </c>
      <c r="W2572" t="s">
        <v>68</v>
      </c>
      <c r="X2572" s="17"/>
      <c r="Y2572" t="s">
        <v>3</v>
      </c>
      <c r="Z2572" s="17">
        <v>43838</v>
      </c>
      <c r="AA2572" t="s">
        <v>3</v>
      </c>
      <c r="AB2572" t="s">
        <v>5484</v>
      </c>
    </row>
    <row r="2573" spans="1:28" hidden="1">
      <c r="A2573" t="s">
        <v>5489</v>
      </c>
      <c r="B2573" s="17">
        <v>43839</v>
      </c>
      <c r="C2573" s="17">
        <v>43839</v>
      </c>
      <c r="D2573" t="s">
        <v>0</v>
      </c>
      <c r="E2573" t="s">
        <v>1</v>
      </c>
      <c r="F2573" s="18">
        <v>15053.67</v>
      </c>
      <c r="G2573" s="18">
        <v>15053.67</v>
      </c>
      <c r="H2573" t="s">
        <v>2</v>
      </c>
      <c r="I2573" t="s">
        <v>10</v>
      </c>
      <c r="J2573" s="18">
        <v>1262250.23</v>
      </c>
      <c r="K2573" t="s">
        <v>5476</v>
      </c>
      <c r="L2573" t="s">
        <v>4</v>
      </c>
      <c r="M2573" t="s">
        <v>5490</v>
      </c>
      <c r="N2573" t="s">
        <v>3</v>
      </c>
      <c r="O2573" t="s">
        <v>3</v>
      </c>
      <c r="P2573" t="s">
        <v>5</v>
      </c>
      <c r="Q2573" t="s">
        <v>5491</v>
      </c>
      <c r="R2573" t="s">
        <v>3</v>
      </c>
      <c r="S2573" t="s">
        <v>3</v>
      </c>
      <c r="T2573" t="s">
        <v>3</v>
      </c>
      <c r="U2573" t="s">
        <v>3</v>
      </c>
      <c r="V2573" t="s">
        <v>3</v>
      </c>
      <c r="W2573" t="s">
        <v>68</v>
      </c>
      <c r="X2573" s="17"/>
      <c r="Y2573" t="s">
        <v>3</v>
      </c>
      <c r="Z2573" s="17">
        <v>43839</v>
      </c>
      <c r="AA2573" t="s">
        <v>3</v>
      </c>
      <c r="AB2573" t="s">
        <v>5489</v>
      </c>
    </row>
    <row r="2574" spans="1:28" hidden="1">
      <c r="A2574" t="s">
        <v>5489</v>
      </c>
      <c r="B2574" s="17">
        <v>43839</v>
      </c>
      <c r="C2574" s="17">
        <v>43839</v>
      </c>
      <c r="D2574" t="s">
        <v>0</v>
      </c>
      <c r="E2574" t="s">
        <v>1</v>
      </c>
      <c r="F2574" s="18">
        <v>21976.43</v>
      </c>
      <c r="G2574" s="18">
        <v>21976.43</v>
      </c>
      <c r="H2574" t="s">
        <v>2</v>
      </c>
      <c r="I2574" t="s">
        <v>10</v>
      </c>
      <c r="J2574" s="18">
        <v>1844921.3</v>
      </c>
      <c r="K2574" t="s">
        <v>5479</v>
      </c>
      <c r="L2574" t="s">
        <v>4</v>
      </c>
      <c r="M2574" t="s">
        <v>5490</v>
      </c>
      <c r="N2574" t="s">
        <v>3</v>
      </c>
      <c r="O2574" t="s">
        <v>3</v>
      </c>
      <c r="P2574" t="s">
        <v>5</v>
      </c>
      <c r="Q2574" t="s">
        <v>5491</v>
      </c>
      <c r="R2574" t="s">
        <v>3</v>
      </c>
      <c r="S2574" t="s">
        <v>3</v>
      </c>
      <c r="T2574" t="s">
        <v>3</v>
      </c>
      <c r="U2574" t="s">
        <v>3</v>
      </c>
      <c r="V2574" t="s">
        <v>3</v>
      </c>
      <c r="W2574" t="s">
        <v>68</v>
      </c>
      <c r="X2574" s="17"/>
      <c r="Y2574" t="s">
        <v>3</v>
      </c>
      <c r="Z2574" s="17">
        <v>43839</v>
      </c>
      <c r="AA2574" t="s">
        <v>3</v>
      </c>
      <c r="AB2574" t="s">
        <v>5489</v>
      </c>
    </row>
    <row r="2575" spans="1:28" hidden="1">
      <c r="A2575" t="s">
        <v>5489</v>
      </c>
      <c r="B2575" s="17">
        <v>43839</v>
      </c>
      <c r="C2575" s="17">
        <v>43839</v>
      </c>
      <c r="D2575" t="s">
        <v>0</v>
      </c>
      <c r="E2575" t="s">
        <v>1</v>
      </c>
      <c r="F2575" s="18">
        <v>17416.32</v>
      </c>
      <c r="G2575" s="18">
        <v>17416.32</v>
      </c>
      <c r="H2575" t="s">
        <v>2</v>
      </c>
      <c r="I2575" t="s">
        <v>10</v>
      </c>
      <c r="J2575" s="18">
        <v>1462100.06</v>
      </c>
      <c r="K2575" t="s">
        <v>5480</v>
      </c>
      <c r="L2575" t="s">
        <v>4</v>
      </c>
      <c r="M2575" t="s">
        <v>5490</v>
      </c>
      <c r="N2575" t="s">
        <v>3</v>
      </c>
      <c r="O2575" t="s">
        <v>3</v>
      </c>
      <c r="P2575" t="s">
        <v>5</v>
      </c>
      <c r="Q2575" t="s">
        <v>5491</v>
      </c>
      <c r="R2575" t="s">
        <v>3</v>
      </c>
      <c r="S2575" t="s">
        <v>3</v>
      </c>
      <c r="T2575" t="s">
        <v>3</v>
      </c>
      <c r="U2575" t="s">
        <v>3</v>
      </c>
      <c r="V2575" t="s">
        <v>3</v>
      </c>
      <c r="W2575" t="s">
        <v>68</v>
      </c>
      <c r="X2575" s="17"/>
      <c r="Y2575" t="s">
        <v>3</v>
      </c>
      <c r="Z2575" s="17">
        <v>43839</v>
      </c>
      <c r="AA2575" t="s">
        <v>3</v>
      </c>
      <c r="AB2575" t="s">
        <v>5489</v>
      </c>
    </row>
    <row r="2576" spans="1:28" hidden="1">
      <c r="A2576" t="s">
        <v>5489</v>
      </c>
      <c r="B2576" s="17">
        <v>43839</v>
      </c>
      <c r="C2576" s="17">
        <v>43839</v>
      </c>
      <c r="D2576" t="s">
        <v>0</v>
      </c>
      <c r="E2576" t="s">
        <v>1</v>
      </c>
      <c r="F2576" s="18">
        <v>14785.36</v>
      </c>
      <c r="G2576" s="18">
        <v>14785.36</v>
      </c>
      <c r="H2576" t="s">
        <v>2</v>
      </c>
      <c r="I2576" t="s">
        <v>10</v>
      </c>
      <c r="J2576" s="18">
        <v>1241230.97</v>
      </c>
      <c r="K2576" t="s">
        <v>5487</v>
      </c>
      <c r="L2576" t="s">
        <v>4</v>
      </c>
      <c r="M2576" t="s">
        <v>5490</v>
      </c>
      <c r="N2576" t="s">
        <v>3</v>
      </c>
      <c r="O2576" t="s">
        <v>3</v>
      </c>
      <c r="P2576" t="s">
        <v>5</v>
      </c>
      <c r="Q2576" t="s">
        <v>5491</v>
      </c>
      <c r="R2576" t="s">
        <v>3</v>
      </c>
      <c r="S2576" t="s">
        <v>3</v>
      </c>
      <c r="T2576" t="s">
        <v>3</v>
      </c>
      <c r="U2576" t="s">
        <v>3</v>
      </c>
      <c r="V2576" t="s">
        <v>3</v>
      </c>
      <c r="W2576" t="s">
        <v>68</v>
      </c>
      <c r="X2576" s="17"/>
      <c r="Y2576" t="s">
        <v>3</v>
      </c>
      <c r="Z2576" s="17">
        <v>43839</v>
      </c>
      <c r="AA2576" t="s">
        <v>3</v>
      </c>
      <c r="AB2576" t="s">
        <v>5489</v>
      </c>
    </row>
    <row r="2577" spans="1:28" hidden="1">
      <c r="A2577" t="s">
        <v>5493</v>
      </c>
      <c r="B2577" s="17">
        <v>43839</v>
      </c>
      <c r="C2577" s="17">
        <v>43839</v>
      </c>
      <c r="D2577" t="s">
        <v>0</v>
      </c>
      <c r="E2577" t="s">
        <v>1</v>
      </c>
      <c r="F2577" s="18">
        <v>21839.45</v>
      </c>
      <c r="G2577" s="18">
        <v>21839.45</v>
      </c>
      <c r="H2577" t="s">
        <v>2</v>
      </c>
      <c r="I2577" t="s">
        <v>8</v>
      </c>
      <c r="J2577" s="18">
        <v>1833421.83</v>
      </c>
      <c r="K2577" t="s">
        <v>5469</v>
      </c>
      <c r="L2577" t="s">
        <v>4</v>
      </c>
      <c r="M2577" t="s">
        <v>5494</v>
      </c>
      <c r="N2577" t="s">
        <v>3</v>
      </c>
      <c r="O2577" t="s">
        <v>3</v>
      </c>
      <c r="P2577" t="s">
        <v>5</v>
      </c>
      <c r="Q2577" t="s">
        <v>5495</v>
      </c>
      <c r="R2577" t="s">
        <v>3</v>
      </c>
      <c r="S2577" t="s">
        <v>3</v>
      </c>
      <c r="T2577" t="s">
        <v>3</v>
      </c>
      <c r="U2577" t="s">
        <v>3</v>
      </c>
      <c r="V2577" t="s">
        <v>3</v>
      </c>
      <c r="W2577" t="s">
        <v>68</v>
      </c>
      <c r="X2577" s="17"/>
      <c r="Y2577" t="s">
        <v>3</v>
      </c>
      <c r="Z2577" s="17">
        <v>43839</v>
      </c>
      <c r="AA2577" t="s">
        <v>3</v>
      </c>
      <c r="AB2577" t="s">
        <v>5493</v>
      </c>
    </row>
    <row r="2578" spans="1:28" hidden="1">
      <c r="A2578" t="s">
        <v>5493</v>
      </c>
      <c r="B2578" s="17">
        <v>43839</v>
      </c>
      <c r="C2578" s="17">
        <v>43839</v>
      </c>
      <c r="D2578" t="s">
        <v>0</v>
      </c>
      <c r="E2578" t="s">
        <v>1</v>
      </c>
      <c r="F2578" s="18">
        <v>2059.39</v>
      </c>
      <c r="G2578" s="18">
        <v>2059.39</v>
      </c>
      <c r="H2578" t="s">
        <v>2</v>
      </c>
      <c r="I2578" t="s">
        <v>8</v>
      </c>
      <c r="J2578" s="18">
        <v>172679.85</v>
      </c>
      <c r="K2578" t="s">
        <v>5195</v>
      </c>
      <c r="L2578" t="s">
        <v>4</v>
      </c>
      <c r="M2578" t="s">
        <v>5494</v>
      </c>
      <c r="N2578" t="s">
        <v>3</v>
      </c>
      <c r="O2578" t="s">
        <v>3</v>
      </c>
      <c r="P2578" t="s">
        <v>5</v>
      </c>
      <c r="Q2578" t="s">
        <v>5495</v>
      </c>
      <c r="R2578" t="s">
        <v>3</v>
      </c>
      <c r="S2578" t="s">
        <v>3</v>
      </c>
      <c r="T2578" t="s">
        <v>3</v>
      </c>
      <c r="U2578" t="s">
        <v>3</v>
      </c>
      <c r="V2578" t="s">
        <v>3</v>
      </c>
      <c r="W2578" t="s">
        <v>68</v>
      </c>
      <c r="X2578" s="17"/>
      <c r="Y2578" t="s">
        <v>3</v>
      </c>
      <c r="Z2578" s="17">
        <v>43839</v>
      </c>
      <c r="AA2578" t="s">
        <v>3</v>
      </c>
      <c r="AB2578" t="s">
        <v>5493</v>
      </c>
    </row>
    <row r="2579" spans="1:28" hidden="1">
      <c r="A2579" t="s">
        <v>5493</v>
      </c>
      <c r="B2579" s="17">
        <v>43839</v>
      </c>
      <c r="C2579" s="17">
        <v>43839</v>
      </c>
      <c r="D2579" t="s">
        <v>0</v>
      </c>
      <c r="E2579" t="s">
        <v>1</v>
      </c>
      <c r="F2579" s="18">
        <v>6631.81</v>
      </c>
      <c r="G2579" s="18">
        <v>6631.81</v>
      </c>
      <c r="H2579" t="s">
        <v>2</v>
      </c>
      <c r="I2579" t="s">
        <v>8</v>
      </c>
      <c r="J2579" s="18">
        <v>556740.44999999995</v>
      </c>
      <c r="K2579" t="s">
        <v>5440</v>
      </c>
      <c r="L2579" t="s">
        <v>4</v>
      </c>
      <c r="M2579" t="s">
        <v>5494</v>
      </c>
      <c r="N2579" t="s">
        <v>3</v>
      </c>
      <c r="O2579" t="s">
        <v>3</v>
      </c>
      <c r="P2579" t="s">
        <v>5</v>
      </c>
      <c r="Q2579" t="s">
        <v>5495</v>
      </c>
      <c r="R2579" t="s">
        <v>3</v>
      </c>
      <c r="S2579" t="s">
        <v>3</v>
      </c>
      <c r="T2579" t="s">
        <v>3</v>
      </c>
      <c r="U2579" t="s">
        <v>3</v>
      </c>
      <c r="V2579" t="s">
        <v>3</v>
      </c>
      <c r="W2579" t="s">
        <v>68</v>
      </c>
      <c r="X2579" s="17"/>
      <c r="Y2579" t="s">
        <v>3</v>
      </c>
      <c r="Z2579" s="17">
        <v>43839</v>
      </c>
      <c r="AA2579" t="s">
        <v>3</v>
      </c>
      <c r="AB2579" t="s">
        <v>5493</v>
      </c>
    </row>
    <row r="2580" spans="1:28" hidden="1">
      <c r="A2580" t="s">
        <v>5493</v>
      </c>
      <c r="B2580" s="17">
        <v>43839</v>
      </c>
      <c r="C2580" s="17">
        <v>43839</v>
      </c>
      <c r="D2580" t="s">
        <v>0</v>
      </c>
      <c r="E2580" t="s">
        <v>1</v>
      </c>
      <c r="F2580" s="18">
        <v>11874.49</v>
      </c>
      <c r="G2580" s="18">
        <v>11874.49</v>
      </c>
      <c r="H2580" t="s">
        <v>2</v>
      </c>
      <c r="I2580" t="s">
        <v>8</v>
      </c>
      <c r="J2580" s="18">
        <v>996863.44</v>
      </c>
      <c r="K2580" t="s">
        <v>5442</v>
      </c>
      <c r="L2580" t="s">
        <v>4</v>
      </c>
      <c r="M2580" t="s">
        <v>5494</v>
      </c>
      <c r="N2580" t="s">
        <v>3</v>
      </c>
      <c r="O2580" t="s">
        <v>3</v>
      </c>
      <c r="P2580" t="s">
        <v>5</v>
      </c>
      <c r="Q2580" t="s">
        <v>5495</v>
      </c>
      <c r="R2580" t="s">
        <v>3</v>
      </c>
      <c r="S2580" t="s">
        <v>3</v>
      </c>
      <c r="T2580" t="s">
        <v>3</v>
      </c>
      <c r="U2580" t="s">
        <v>3</v>
      </c>
      <c r="V2580" t="s">
        <v>3</v>
      </c>
      <c r="W2580" t="s">
        <v>68</v>
      </c>
      <c r="X2580" s="17"/>
      <c r="Y2580" t="s">
        <v>3</v>
      </c>
      <c r="Z2580" s="17">
        <v>43839</v>
      </c>
      <c r="AA2580" t="s">
        <v>3</v>
      </c>
      <c r="AB2580" t="s">
        <v>5493</v>
      </c>
    </row>
    <row r="2581" spans="1:28" hidden="1">
      <c r="A2581" t="s">
        <v>5496</v>
      </c>
      <c r="B2581" s="17">
        <v>43839</v>
      </c>
      <c r="C2581" s="17">
        <v>43839</v>
      </c>
      <c r="D2581" t="s">
        <v>0</v>
      </c>
      <c r="E2581" t="s">
        <v>1</v>
      </c>
      <c r="F2581" s="18">
        <v>5155</v>
      </c>
      <c r="G2581" s="18">
        <v>5155</v>
      </c>
      <c r="H2581" t="s">
        <v>2</v>
      </c>
      <c r="I2581" t="s">
        <v>8</v>
      </c>
      <c r="J2581" s="18">
        <v>430442.5</v>
      </c>
      <c r="K2581" t="s">
        <v>5207</v>
      </c>
      <c r="L2581" t="s">
        <v>9</v>
      </c>
      <c r="M2581" t="s">
        <v>5497</v>
      </c>
      <c r="N2581" t="s">
        <v>3</v>
      </c>
      <c r="O2581" t="s">
        <v>3</v>
      </c>
      <c r="P2581" t="s">
        <v>5</v>
      </c>
      <c r="Q2581" t="s">
        <v>5498</v>
      </c>
      <c r="R2581" t="s">
        <v>3</v>
      </c>
      <c r="S2581" t="s">
        <v>3</v>
      </c>
      <c r="T2581" t="s">
        <v>3</v>
      </c>
      <c r="U2581" t="s">
        <v>3</v>
      </c>
      <c r="V2581" t="s">
        <v>3</v>
      </c>
      <c r="W2581" t="s">
        <v>68</v>
      </c>
      <c r="X2581" s="17"/>
      <c r="Y2581" t="s">
        <v>3</v>
      </c>
      <c r="Z2581" s="17">
        <v>43839</v>
      </c>
      <c r="AA2581" t="s">
        <v>3</v>
      </c>
      <c r="AB2581" t="s">
        <v>5496</v>
      </c>
    </row>
    <row r="2582" spans="1:28" hidden="1">
      <c r="A2582" t="s">
        <v>5496</v>
      </c>
      <c r="B2582" s="17">
        <v>43839</v>
      </c>
      <c r="C2582" s="17">
        <v>43839</v>
      </c>
      <c r="D2582" t="s">
        <v>0</v>
      </c>
      <c r="E2582" t="s">
        <v>1</v>
      </c>
      <c r="F2582" s="18">
        <v>38287</v>
      </c>
      <c r="G2582" s="18">
        <v>38287</v>
      </c>
      <c r="H2582" t="s">
        <v>2</v>
      </c>
      <c r="I2582" t="s">
        <v>8</v>
      </c>
      <c r="J2582" s="18">
        <v>3214193.65</v>
      </c>
      <c r="K2582" t="s">
        <v>5452</v>
      </c>
      <c r="L2582" t="s">
        <v>9</v>
      </c>
      <c r="M2582" t="s">
        <v>5497</v>
      </c>
      <c r="N2582" t="s">
        <v>3</v>
      </c>
      <c r="O2582" t="s">
        <v>3</v>
      </c>
      <c r="P2582" t="s">
        <v>5</v>
      </c>
      <c r="Q2582" t="s">
        <v>5498</v>
      </c>
      <c r="R2582" t="s">
        <v>3</v>
      </c>
      <c r="S2582" t="s">
        <v>3</v>
      </c>
      <c r="T2582" t="s">
        <v>3</v>
      </c>
      <c r="U2582" t="s">
        <v>3</v>
      </c>
      <c r="V2582" t="s">
        <v>3</v>
      </c>
      <c r="W2582" t="s">
        <v>68</v>
      </c>
      <c r="X2582" s="17"/>
      <c r="Y2582" t="s">
        <v>3</v>
      </c>
      <c r="Z2582" s="17">
        <v>43839</v>
      </c>
      <c r="AA2582" t="s">
        <v>3</v>
      </c>
      <c r="AB2582" t="s">
        <v>5496</v>
      </c>
    </row>
    <row r="2583" spans="1:28" hidden="1">
      <c r="A2583" t="s">
        <v>5496</v>
      </c>
      <c r="B2583" s="17">
        <v>43839</v>
      </c>
      <c r="C2583" s="17">
        <v>43839</v>
      </c>
      <c r="D2583" t="s">
        <v>0</v>
      </c>
      <c r="E2583" t="s">
        <v>1</v>
      </c>
      <c r="F2583" s="18">
        <v>675</v>
      </c>
      <c r="G2583" s="18">
        <v>675</v>
      </c>
      <c r="H2583" t="s">
        <v>2</v>
      </c>
      <c r="I2583" t="s">
        <v>8</v>
      </c>
      <c r="J2583" s="18">
        <v>56362.5</v>
      </c>
      <c r="K2583" t="s">
        <v>5150</v>
      </c>
      <c r="L2583" t="s">
        <v>9</v>
      </c>
      <c r="M2583" t="s">
        <v>5497</v>
      </c>
      <c r="N2583" t="s">
        <v>3</v>
      </c>
      <c r="O2583" t="s">
        <v>3</v>
      </c>
      <c r="P2583" t="s">
        <v>5</v>
      </c>
      <c r="Q2583" t="s">
        <v>5498</v>
      </c>
      <c r="R2583" t="s">
        <v>3</v>
      </c>
      <c r="S2583" t="s">
        <v>3</v>
      </c>
      <c r="T2583" t="s">
        <v>3</v>
      </c>
      <c r="U2583" t="s">
        <v>3</v>
      </c>
      <c r="V2583" t="s">
        <v>3</v>
      </c>
      <c r="W2583" t="s">
        <v>68</v>
      </c>
      <c r="X2583" s="17"/>
      <c r="Y2583" t="s">
        <v>3</v>
      </c>
      <c r="Z2583" s="17">
        <v>43839</v>
      </c>
      <c r="AA2583" t="s">
        <v>3</v>
      </c>
      <c r="AB2583" t="s">
        <v>5496</v>
      </c>
    </row>
    <row r="2584" spans="1:28" hidden="1">
      <c r="A2584" t="s">
        <v>5496</v>
      </c>
      <c r="B2584" s="17">
        <v>43839</v>
      </c>
      <c r="C2584" s="17">
        <v>43839</v>
      </c>
      <c r="D2584" t="s">
        <v>0</v>
      </c>
      <c r="E2584" t="s">
        <v>1</v>
      </c>
      <c r="F2584" s="18">
        <v>65699</v>
      </c>
      <c r="G2584" s="18">
        <v>65699</v>
      </c>
      <c r="H2584" t="s">
        <v>2</v>
      </c>
      <c r="I2584" t="s">
        <v>8</v>
      </c>
      <c r="J2584" s="18">
        <v>5508861.1500000004</v>
      </c>
      <c r="K2584" t="s">
        <v>5453</v>
      </c>
      <c r="L2584" t="s">
        <v>9</v>
      </c>
      <c r="M2584" t="s">
        <v>5497</v>
      </c>
      <c r="N2584" t="s">
        <v>3</v>
      </c>
      <c r="O2584" t="s">
        <v>3</v>
      </c>
      <c r="P2584" t="s">
        <v>5</v>
      </c>
      <c r="Q2584" t="s">
        <v>5498</v>
      </c>
      <c r="R2584" t="s">
        <v>3</v>
      </c>
      <c r="S2584" t="s">
        <v>3</v>
      </c>
      <c r="T2584" t="s">
        <v>3</v>
      </c>
      <c r="U2584" t="s">
        <v>3</v>
      </c>
      <c r="V2584" t="s">
        <v>3</v>
      </c>
      <c r="W2584" t="s">
        <v>68</v>
      </c>
      <c r="X2584" s="17"/>
      <c r="Y2584" t="s">
        <v>3</v>
      </c>
      <c r="Z2584" s="17">
        <v>43839</v>
      </c>
      <c r="AA2584" t="s">
        <v>3</v>
      </c>
      <c r="AB2584" t="s">
        <v>5496</v>
      </c>
    </row>
    <row r="2585" spans="1:28" hidden="1">
      <c r="A2585" t="s">
        <v>5496</v>
      </c>
      <c r="B2585" s="17">
        <v>43839</v>
      </c>
      <c r="C2585" s="17">
        <v>43839</v>
      </c>
      <c r="D2585" t="s">
        <v>0</v>
      </c>
      <c r="E2585" t="s">
        <v>1</v>
      </c>
      <c r="F2585" s="18">
        <v>46936</v>
      </c>
      <c r="G2585" s="18">
        <v>46936</v>
      </c>
      <c r="H2585" t="s">
        <v>2</v>
      </c>
      <c r="I2585" t="s">
        <v>8</v>
      </c>
      <c r="J2585" s="18">
        <v>3940277.2</v>
      </c>
      <c r="K2585" t="s">
        <v>5454</v>
      </c>
      <c r="L2585" t="s">
        <v>9</v>
      </c>
      <c r="M2585" t="s">
        <v>5497</v>
      </c>
      <c r="N2585" t="s">
        <v>3</v>
      </c>
      <c r="O2585" t="s">
        <v>3</v>
      </c>
      <c r="P2585" t="s">
        <v>5</v>
      </c>
      <c r="Q2585" t="s">
        <v>5498</v>
      </c>
      <c r="R2585" t="s">
        <v>3</v>
      </c>
      <c r="S2585" t="s">
        <v>3</v>
      </c>
      <c r="T2585" t="s">
        <v>3</v>
      </c>
      <c r="U2585" t="s">
        <v>3</v>
      </c>
      <c r="V2585" t="s">
        <v>3</v>
      </c>
      <c r="W2585" t="s">
        <v>68</v>
      </c>
      <c r="X2585" s="17"/>
      <c r="Y2585" t="s">
        <v>3</v>
      </c>
      <c r="Z2585" s="17">
        <v>43839</v>
      </c>
      <c r="AA2585" t="s">
        <v>3</v>
      </c>
      <c r="AB2585" t="s">
        <v>5496</v>
      </c>
    </row>
    <row r="2586" spans="1:28" hidden="1">
      <c r="A2586" t="s">
        <v>5496</v>
      </c>
      <c r="B2586" s="17">
        <v>43839</v>
      </c>
      <c r="C2586" s="17">
        <v>43839</v>
      </c>
      <c r="D2586" t="s">
        <v>0</v>
      </c>
      <c r="E2586" t="s">
        <v>1</v>
      </c>
      <c r="F2586" s="18">
        <v>8715</v>
      </c>
      <c r="G2586" s="18">
        <v>8715</v>
      </c>
      <c r="H2586" t="s">
        <v>2</v>
      </c>
      <c r="I2586" t="s">
        <v>8</v>
      </c>
      <c r="J2586" s="18">
        <v>731624.25</v>
      </c>
      <c r="K2586" t="s">
        <v>5455</v>
      </c>
      <c r="L2586" t="s">
        <v>9</v>
      </c>
      <c r="M2586" t="s">
        <v>5497</v>
      </c>
      <c r="N2586" t="s">
        <v>3</v>
      </c>
      <c r="O2586" t="s">
        <v>3</v>
      </c>
      <c r="P2586" t="s">
        <v>5</v>
      </c>
      <c r="Q2586" t="s">
        <v>5498</v>
      </c>
      <c r="R2586" t="s">
        <v>3</v>
      </c>
      <c r="S2586" t="s">
        <v>3</v>
      </c>
      <c r="T2586" t="s">
        <v>3</v>
      </c>
      <c r="U2586" t="s">
        <v>3</v>
      </c>
      <c r="V2586" t="s">
        <v>3</v>
      </c>
      <c r="W2586" t="s">
        <v>68</v>
      </c>
      <c r="X2586" s="17"/>
      <c r="Y2586" t="s">
        <v>3</v>
      </c>
      <c r="Z2586" s="17">
        <v>43839</v>
      </c>
      <c r="AA2586" t="s">
        <v>3</v>
      </c>
      <c r="AB2586" t="s">
        <v>5496</v>
      </c>
    </row>
    <row r="2587" spans="1:28" hidden="1">
      <c r="A2587" t="s">
        <v>5496</v>
      </c>
      <c r="B2587" s="17">
        <v>43839</v>
      </c>
      <c r="C2587" s="17">
        <v>43839</v>
      </c>
      <c r="D2587" t="s">
        <v>0</v>
      </c>
      <c r="E2587" t="s">
        <v>1</v>
      </c>
      <c r="F2587" s="18">
        <v>44898</v>
      </c>
      <c r="G2587" s="18">
        <v>44898</v>
      </c>
      <c r="H2587" t="s">
        <v>2</v>
      </c>
      <c r="I2587" t="s">
        <v>8</v>
      </c>
      <c r="J2587" s="18">
        <v>3769187.1</v>
      </c>
      <c r="K2587" t="s">
        <v>5467</v>
      </c>
      <c r="L2587" t="s">
        <v>9</v>
      </c>
      <c r="M2587" t="s">
        <v>5497</v>
      </c>
      <c r="N2587" t="s">
        <v>3</v>
      </c>
      <c r="O2587" t="s">
        <v>3</v>
      </c>
      <c r="P2587" t="s">
        <v>5</v>
      </c>
      <c r="Q2587" t="s">
        <v>5498</v>
      </c>
      <c r="R2587" t="s">
        <v>3</v>
      </c>
      <c r="S2587" t="s">
        <v>3</v>
      </c>
      <c r="T2587" t="s">
        <v>3</v>
      </c>
      <c r="U2587" t="s">
        <v>3</v>
      </c>
      <c r="V2587" t="s">
        <v>3</v>
      </c>
      <c r="W2587" t="s">
        <v>68</v>
      </c>
      <c r="X2587" s="17"/>
      <c r="Y2587" t="s">
        <v>3</v>
      </c>
      <c r="Z2587" s="17">
        <v>43839</v>
      </c>
      <c r="AA2587" t="s">
        <v>3</v>
      </c>
      <c r="AB2587" t="s">
        <v>5496</v>
      </c>
    </row>
    <row r="2588" spans="1:28" hidden="1">
      <c r="A2588" t="s">
        <v>5574</v>
      </c>
      <c r="B2588" s="17">
        <v>43839</v>
      </c>
      <c r="C2588" s="17">
        <v>43839</v>
      </c>
      <c r="D2588" t="s">
        <v>0</v>
      </c>
      <c r="E2588" t="s">
        <v>1</v>
      </c>
      <c r="F2588" s="18">
        <v>12505</v>
      </c>
      <c r="G2588" s="18">
        <v>12505</v>
      </c>
      <c r="H2588" t="s">
        <v>2</v>
      </c>
      <c r="I2588" t="s">
        <v>8</v>
      </c>
      <c r="J2588" s="18">
        <v>1044167.5</v>
      </c>
      <c r="K2588" t="s">
        <v>5207</v>
      </c>
      <c r="L2588" t="s">
        <v>9</v>
      </c>
      <c r="M2588" t="s">
        <v>5575</v>
      </c>
      <c r="N2588" t="s">
        <v>3</v>
      </c>
      <c r="O2588" t="s">
        <v>3</v>
      </c>
      <c r="P2588" t="s">
        <v>5</v>
      </c>
      <c r="Q2588" t="s">
        <v>5576</v>
      </c>
      <c r="R2588" t="s">
        <v>3</v>
      </c>
      <c r="S2588" t="s">
        <v>3</v>
      </c>
      <c r="T2588" t="s">
        <v>3</v>
      </c>
      <c r="U2588" t="s">
        <v>3</v>
      </c>
      <c r="V2588" t="s">
        <v>3</v>
      </c>
      <c r="W2588" t="s">
        <v>68</v>
      </c>
      <c r="X2588" s="17"/>
      <c r="Y2588" t="s">
        <v>3</v>
      </c>
      <c r="Z2588" s="17">
        <v>43839</v>
      </c>
      <c r="AA2588" t="s">
        <v>3</v>
      </c>
      <c r="AB2588" t="s">
        <v>5574</v>
      </c>
    </row>
    <row r="2589" spans="1:28" hidden="1">
      <c r="A2589" t="s">
        <v>5574</v>
      </c>
      <c r="B2589" s="17">
        <v>43839</v>
      </c>
      <c r="C2589" s="17">
        <v>43839</v>
      </c>
      <c r="D2589" t="s">
        <v>0</v>
      </c>
      <c r="E2589" t="s">
        <v>1</v>
      </c>
      <c r="F2589" s="18">
        <v>77085</v>
      </c>
      <c r="G2589" s="18">
        <v>77085</v>
      </c>
      <c r="H2589" t="s">
        <v>2</v>
      </c>
      <c r="I2589" t="s">
        <v>8</v>
      </c>
      <c r="J2589" s="18">
        <v>6471285.75</v>
      </c>
      <c r="K2589" t="s">
        <v>5452</v>
      </c>
      <c r="L2589" t="s">
        <v>9</v>
      </c>
      <c r="M2589" t="s">
        <v>5575</v>
      </c>
      <c r="N2589" t="s">
        <v>3</v>
      </c>
      <c r="O2589" t="s">
        <v>3</v>
      </c>
      <c r="P2589" t="s">
        <v>5</v>
      </c>
      <c r="Q2589" t="s">
        <v>5576</v>
      </c>
      <c r="R2589" t="s">
        <v>3</v>
      </c>
      <c r="S2589" t="s">
        <v>3</v>
      </c>
      <c r="T2589" t="s">
        <v>3</v>
      </c>
      <c r="U2589" t="s">
        <v>3</v>
      </c>
      <c r="V2589" t="s">
        <v>3</v>
      </c>
      <c r="W2589" t="s">
        <v>68</v>
      </c>
      <c r="X2589" s="17"/>
      <c r="Y2589" t="s">
        <v>3</v>
      </c>
      <c r="Z2589" s="17">
        <v>43839</v>
      </c>
      <c r="AA2589" t="s">
        <v>3</v>
      </c>
      <c r="AB2589" t="s">
        <v>5574</v>
      </c>
    </row>
    <row r="2590" spans="1:28" hidden="1">
      <c r="A2590" t="s">
        <v>5574</v>
      </c>
      <c r="B2590" s="17">
        <v>43839</v>
      </c>
      <c r="C2590" s="17">
        <v>43839</v>
      </c>
      <c r="D2590" t="s">
        <v>0</v>
      </c>
      <c r="E2590" t="s">
        <v>1</v>
      </c>
      <c r="F2590" s="18">
        <v>37496</v>
      </c>
      <c r="G2590" s="18">
        <v>37496</v>
      </c>
      <c r="H2590" t="s">
        <v>2</v>
      </c>
      <c r="I2590" t="s">
        <v>8</v>
      </c>
      <c r="J2590" s="18">
        <v>3144039.6</v>
      </c>
      <c r="K2590" t="s">
        <v>5453</v>
      </c>
      <c r="L2590" t="s">
        <v>9</v>
      </c>
      <c r="M2590" t="s">
        <v>5575</v>
      </c>
      <c r="N2590" t="s">
        <v>3</v>
      </c>
      <c r="O2590" t="s">
        <v>3</v>
      </c>
      <c r="P2590" t="s">
        <v>5</v>
      </c>
      <c r="Q2590" t="s">
        <v>5576</v>
      </c>
      <c r="R2590" t="s">
        <v>3</v>
      </c>
      <c r="S2590" t="s">
        <v>3</v>
      </c>
      <c r="T2590" t="s">
        <v>3</v>
      </c>
      <c r="U2590" t="s">
        <v>3</v>
      </c>
      <c r="V2590" t="s">
        <v>3</v>
      </c>
      <c r="W2590" t="s">
        <v>68</v>
      </c>
      <c r="X2590" s="17"/>
      <c r="Y2590" t="s">
        <v>3</v>
      </c>
      <c r="Z2590" s="17">
        <v>43839</v>
      </c>
      <c r="AA2590" t="s">
        <v>3</v>
      </c>
      <c r="AB2590" t="s">
        <v>5574</v>
      </c>
    </row>
    <row r="2591" spans="1:28" hidden="1">
      <c r="A2591" t="s">
        <v>5574</v>
      </c>
      <c r="B2591" s="17">
        <v>43839</v>
      </c>
      <c r="C2591" s="17">
        <v>43839</v>
      </c>
      <c r="D2591" t="s">
        <v>0</v>
      </c>
      <c r="E2591" t="s">
        <v>1</v>
      </c>
      <c r="F2591" s="18">
        <v>13971</v>
      </c>
      <c r="G2591" s="18">
        <v>13971</v>
      </c>
      <c r="H2591" t="s">
        <v>2</v>
      </c>
      <c r="I2591" t="s">
        <v>8</v>
      </c>
      <c r="J2591" s="18">
        <v>1172865.45</v>
      </c>
      <c r="K2591" t="s">
        <v>5454</v>
      </c>
      <c r="L2591" t="s">
        <v>9</v>
      </c>
      <c r="M2591" t="s">
        <v>5575</v>
      </c>
      <c r="N2591" t="s">
        <v>3</v>
      </c>
      <c r="O2591" t="s">
        <v>3</v>
      </c>
      <c r="P2591" t="s">
        <v>5</v>
      </c>
      <c r="Q2591" t="s">
        <v>5576</v>
      </c>
      <c r="R2591" t="s">
        <v>3</v>
      </c>
      <c r="S2591" t="s">
        <v>3</v>
      </c>
      <c r="T2591" t="s">
        <v>3</v>
      </c>
      <c r="U2591" t="s">
        <v>3</v>
      </c>
      <c r="V2591" t="s">
        <v>3</v>
      </c>
      <c r="W2591" t="s">
        <v>68</v>
      </c>
      <c r="X2591" s="17"/>
      <c r="Y2591" t="s">
        <v>3</v>
      </c>
      <c r="Z2591" s="17">
        <v>43839</v>
      </c>
      <c r="AA2591" t="s">
        <v>3</v>
      </c>
      <c r="AB2591" t="s">
        <v>5574</v>
      </c>
    </row>
    <row r="2592" spans="1:28" hidden="1">
      <c r="A2592" t="s">
        <v>5574</v>
      </c>
      <c r="B2592" s="17">
        <v>43839</v>
      </c>
      <c r="C2592" s="17">
        <v>43839</v>
      </c>
      <c r="D2592" t="s">
        <v>0</v>
      </c>
      <c r="E2592" t="s">
        <v>1</v>
      </c>
      <c r="F2592" s="18">
        <v>598</v>
      </c>
      <c r="G2592" s="18">
        <v>598</v>
      </c>
      <c r="H2592" t="s">
        <v>2</v>
      </c>
      <c r="I2592" t="s">
        <v>8</v>
      </c>
      <c r="J2592" s="18">
        <v>50202.1</v>
      </c>
      <c r="K2592" t="s">
        <v>5455</v>
      </c>
      <c r="L2592" t="s">
        <v>9</v>
      </c>
      <c r="M2592" t="s">
        <v>5575</v>
      </c>
      <c r="N2592" t="s">
        <v>3</v>
      </c>
      <c r="O2592" t="s">
        <v>3</v>
      </c>
      <c r="P2592" t="s">
        <v>5</v>
      </c>
      <c r="Q2592" t="s">
        <v>5576</v>
      </c>
      <c r="R2592" t="s">
        <v>3</v>
      </c>
      <c r="S2592" t="s">
        <v>3</v>
      </c>
      <c r="T2592" t="s">
        <v>3</v>
      </c>
      <c r="U2592" t="s">
        <v>3</v>
      </c>
      <c r="V2592" t="s">
        <v>3</v>
      </c>
      <c r="W2592" t="s">
        <v>68</v>
      </c>
      <c r="X2592" s="17"/>
      <c r="Y2592" t="s">
        <v>3</v>
      </c>
      <c r="Z2592" s="17">
        <v>43839</v>
      </c>
      <c r="AA2592" t="s">
        <v>3</v>
      </c>
      <c r="AB2592" t="s">
        <v>5574</v>
      </c>
    </row>
    <row r="2593" spans="1:28" hidden="1">
      <c r="A2593" t="s">
        <v>5574</v>
      </c>
      <c r="B2593" s="17">
        <v>43839</v>
      </c>
      <c r="C2593" s="17">
        <v>43839</v>
      </c>
      <c r="D2593" t="s">
        <v>0</v>
      </c>
      <c r="E2593" t="s">
        <v>1</v>
      </c>
      <c r="F2593" s="18">
        <v>38636</v>
      </c>
      <c r="G2593" s="18">
        <v>38636</v>
      </c>
      <c r="H2593" t="s">
        <v>2</v>
      </c>
      <c r="I2593" t="s">
        <v>8</v>
      </c>
      <c r="J2593" s="18">
        <v>3243492.2</v>
      </c>
      <c r="K2593" t="s">
        <v>5467</v>
      </c>
      <c r="L2593" t="s">
        <v>9</v>
      </c>
      <c r="M2593" t="s">
        <v>5575</v>
      </c>
      <c r="N2593" t="s">
        <v>3</v>
      </c>
      <c r="O2593" t="s">
        <v>3</v>
      </c>
      <c r="P2593" t="s">
        <v>5</v>
      </c>
      <c r="Q2593" t="s">
        <v>5576</v>
      </c>
      <c r="R2593" t="s">
        <v>3</v>
      </c>
      <c r="S2593" t="s">
        <v>3</v>
      </c>
      <c r="T2593" t="s">
        <v>3</v>
      </c>
      <c r="U2593" t="s">
        <v>3</v>
      </c>
      <c r="V2593" t="s">
        <v>3</v>
      </c>
      <c r="W2593" t="s">
        <v>68</v>
      </c>
      <c r="X2593" s="17"/>
      <c r="Y2593" t="s">
        <v>3</v>
      </c>
      <c r="Z2593" s="17">
        <v>43839</v>
      </c>
      <c r="AA2593" t="s">
        <v>3</v>
      </c>
      <c r="AB2593" t="s">
        <v>5574</v>
      </c>
    </row>
    <row r="2594" spans="1:28" hidden="1">
      <c r="A2594" t="s">
        <v>5499</v>
      </c>
      <c r="B2594" s="17">
        <v>43843</v>
      </c>
      <c r="C2594" s="17">
        <v>43843</v>
      </c>
      <c r="D2594" t="s">
        <v>0</v>
      </c>
      <c r="E2594" t="s">
        <v>1</v>
      </c>
      <c r="F2594" s="18">
        <v>149004</v>
      </c>
      <c r="G2594" s="18">
        <v>149004</v>
      </c>
      <c r="H2594" t="s">
        <v>2</v>
      </c>
      <c r="I2594" t="s">
        <v>8</v>
      </c>
      <c r="J2594" s="18">
        <v>12508885.800000001</v>
      </c>
      <c r="K2594" t="s">
        <v>5452</v>
      </c>
      <c r="L2594" t="s">
        <v>9</v>
      </c>
      <c r="M2594" t="s">
        <v>5500</v>
      </c>
      <c r="N2594" t="s">
        <v>3</v>
      </c>
      <c r="O2594" t="s">
        <v>3</v>
      </c>
      <c r="P2594" t="s">
        <v>5</v>
      </c>
      <c r="Q2594" t="s">
        <v>5501</v>
      </c>
      <c r="R2594" t="s">
        <v>3</v>
      </c>
      <c r="S2594" t="s">
        <v>3</v>
      </c>
      <c r="T2594" t="s">
        <v>3</v>
      </c>
      <c r="U2594" t="s">
        <v>3</v>
      </c>
      <c r="V2594" t="s">
        <v>3</v>
      </c>
      <c r="W2594" t="s">
        <v>68</v>
      </c>
      <c r="X2594" s="17"/>
      <c r="Y2594" t="s">
        <v>3</v>
      </c>
      <c r="Z2594" s="17">
        <v>43843</v>
      </c>
      <c r="AA2594" t="s">
        <v>3</v>
      </c>
      <c r="AB2594" t="s">
        <v>5499</v>
      </c>
    </row>
    <row r="2595" spans="1:28" hidden="1">
      <c r="A2595" t="s">
        <v>5499</v>
      </c>
      <c r="B2595" s="17">
        <v>43843</v>
      </c>
      <c r="C2595" s="17">
        <v>43843</v>
      </c>
      <c r="D2595" t="s">
        <v>0</v>
      </c>
      <c r="E2595" t="s">
        <v>1</v>
      </c>
      <c r="F2595" s="18">
        <v>137136</v>
      </c>
      <c r="G2595" s="18">
        <v>137136</v>
      </c>
      <c r="H2595" t="s">
        <v>2</v>
      </c>
      <c r="I2595" t="s">
        <v>8</v>
      </c>
      <c r="J2595" s="18">
        <v>11498853.6</v>
      </c>
      <c r="K2595" t="s">
        <v>5453</v>
      </c>
      <c r="L2595" t="s">
        <v>9</v>
      </c>
      <c r="M2595" t="s">
        <v>5500</v>
      </c>
      <c r="N2595" t="s">
        <v>3</v>
      </c>
      <c r="O2595" t="s">
        <v>3</v>
      </c>
      <c r="P2595" t="s">
        <v>5</v>
      </c>
      <c r="Q2595" t="s">
        <v>5501</v>
      </c>
      <c r="R2595" t="s">
        <v>3</v>
      </c>
      <c r="S2595" t="s">
        <v>3</v>
      </c>
      <c r="T2595" t="s">
        <v>3</v>
      </c>
      <c r="U2595" t="s">
        <v>3</v>
      </c>
      <c r="V2595" t="s">
        <v>3</v>
      </c>
      <c r="W2595" t="s">
        <v>68</v>
      </c>
      <c r="X2595" s="17"/>
      <c r="Y2595" t="s">
        <v>3</v>
      </c>
      <c r="Z2595" s="17">
        <v>43843</v>
      </c>
      <c r="AA2595" t="s">
        <v>3</v>
      </c>
      <c r="AB2595" t="s">
        <v>5499</v>
      </c>
    </row>
    <row r="2596" spans="1:28" hidden="1">
      <c r="A2596" t="s">
        <v>5499</v>
      </c>
      <c r="B2596" s="17">
        <v>43843</v>
      </c>
      <c r="C2596" s="17">
        <v>43843</v>
      </c>
      <c r="D2596" t="s">
        <v>0</v>
      </c>
      <c r="E2596" t="s">
        <v>1</v>
      </c>
      <c r="F2596" s="18">
        <v>119360</v>
      </c>
      <c r="G2596" s="18">
        <v>119360</v>
      </c>
      <c r="H2596" t="s">
        <v>2</v>
      </c>
      <c r="I2596" t="s">
        <v>8</v>
      </c>
      <c r="J2596" s="18">
        <v>10020272</v>
      </c>
      <c r="K2596" t="s">
        <v>5454</v>
      </c>
      <c r="L2596" t="s">
        <v>9</v>
      </c>
      <c r="M2596" t="s">
        <v>5500</v>
      </c>
      <c r="N2596" t="s">
        <v>3</v>
      </c>
      <c r="O2596" t="s">
        <v>3</v>
      </c>
      <c r="P2596" t="s">
        <v>5</v>
      </c>
      <c r="Q2596" t="s">
        <v>5501</v>
      </c>
      <c r="R2596" t="s">
        <v>3</v>
      </c>
      <c r="S2596" t="s">
        <v>3</v>
      </c>
      <c r="T2596" t="s">
        <v>3</v>
      </c>
      <c r="U2596" t="s">
        <v>3</v>
      </c>
      <c r="V2596" t="s">
        <v>3</v>
      </c>
      <c r="W2596" t="s">
        <v>68</v>
      </c>
      <c r="X2596" s="17"/>
      <c r="Y2596" t="s">
        <v>3</v>
      </c>
      <c r="Z2596" s="17">
        <v>43843</v>
      </c>
      <c r="AA2596" t="s">
        <v>3</v>
      </c>
      <c r="AB2596" t="s">
        <v>5499</v>
      </c>
    </row>
    <row r="2597" spans="1:28" hidden="1">
      <c r="A2597" t="s">
        <v>5499</v>
      </c>
      <c r="B2597" s="17">
        <v>43843</v>
      </c>
      <c r="C2597" s="17">
        <v>43843</v>
      </c>
      <c r="D2597" t="s">
        <v>0</v>
      </c>
      <c r="E2597" t="s">
        <v>1</v>
      </c>
      <c r="F2597" s="18">
        <v>18907</v>
      </c>
      <c r="G2597" s="18">
        <v>18907</v>
      </c>
      <c r="H2597" t="s">
        <v>2</v>
      </c>
      <c r="I2597" t="s">
        <v>8</v>
      </c>
      <c r="J2597" s="18">
        <v>1587242.65</v>
      </c>
      <c r="K2597" t="s">
        <v>5455</v>
      </c>
      <c r="L2597" t="s">
        <v>9</v>
      </c>
      <c r="M2597" t="s">
        <v>5500</v>
      </c>
      <c r="N2597" t="s">
        <v>3</v>
      </c>
      <c r="O2597" t="s">
        <v>3</v>
      </c>
      <c r="P2597" t="s">
        <v>5</v>
      </c>
      <c r="Q2597" t="s">
        <v>5501</v>
      </c>
      <c r="R2597" t="s">
        <v>3</v>
      </c>
      <c r="S2597" t="s">
        <v>3</v>
      </c>
      <c r="T2597" t="s">
        <v>3</v>
      </c>
      <c r="U2597" t="s">
        <v>3</v>
      </c>
      <c r="V2597" t="s">
        <v>3</v>
      </c>
      <c r="W2597" t="s">
        <v>68</v>
      </c>
      <c r="X2597" s="17"/>
      <c r="Y2597" t="s">
        <v>3</v>
      </c>
      <c r="Z2597" s="17">
        <v>43843</v>
      </c>
      <c r="AA2597" t="s">
        <v>3</v>
      </c>
      <c r="AB2597" t="s">
        <v>5499</v>
      </c>
    </row>
    <row r="2598" spans="1:28" hidden="1">
      <c r="A2598" t="s">
        <v>5502</v>
      </c>
      <c r="B2598" s="17">
        <v>43844</v>
      </c>
      <c r="C2598" s="17">
        <v>43844</v>
      </c>
      <c r="D2598" t="s">
        <v>0</v>
      </c>
      <c r="E2598" t="s">
        <v>1</v>
      </c>
      <c r="F2598" s="18">
        <v>108.87</v>
      </c>
      <c r="G2598" s="18">
        <v>108.87</v>
      </c>
      <c r="H2598" t="s">
        <v>2</v>
      </c>
      <c r="I2598" t="s">
        <v>10</v>
      </c>
      <c r="J2598" s="18">
        <v>9139.64</v>
      </c>
      <c r="K2598" t="s">
        <v>5479</v>
      </c>
      <c r="L2598" t="s">
        <v>4</v>
      </c>
      <c r="M2598" t="s">
        <v>5503</v>
      </c>
      <c r="N2598" t="s">
        <v>3</v>
      </c>
      <c r="O2598" t="s">
        <v>3</v>
      </c>
      <c r="P2598" t="s">
        <v>5</v>
      </c>
      <c r="Q2598" t="s">
        <v>5504</v>
      </c>
      <c r="R2598" t="s">
        <v>3</v>
      </c>
      <c r="S2598" t="s">
        <v>3</v>
      </c>
      <c r="T2598" t="s">
        <v>3</v>
      </c>
      <c r="U2598" t="s">
        <v>3</v>
      </c>
      <c r="V2598" t="s">
        <v>3</v>
      </c>
      <c r="W2598" t="s">
        <v>68</v>
      </c>
      <c r="X2598" s="17"/>
      <c r="Y2598" t="s">
        <v>3</v>
      </c>
      <c r="Z2598" s="17">
        <v>43844</v>
      </c>
      <c r="AA2598" t="s">
        <v>3</v>
      </c>
      <c r="AB2598" t="s">
        <v>5502</v>
      </c>
    </row>
    <row r="2599" spans="1:28" hidden="1">
      <c r="A2599" t="s">
        <v>5502</v>
      </c>
      <c r="B2599" s="17">
        <v>43844</v>
      </c>
      <c r="C2599" s="17">
        <v>43844</v>
      </c>
      <c r="D2599" t="s">
        <v>0</v>
      </c>
      <c r="E2599" t="s">
        <v>1</v>
      </c>
      <c r="F2599" s="18">
        <v>204.45</v>
      </c>
      <c r="G2599" s="18">
        <v>204.45</v>
      </c>
      <c r="H2599" t="s">
        <v>2</v>
      </c>
      <c r="I2599" t="s">
        <v>10</v>
      </c>
      <c r="J2599" s="18">
        <v>17163.580000000002</v>
      </c>
      <c r="K2599" t="s">
        <v>5480</v>
      </c>
      <c r="L2599" t="s">
        <v>4</v>
      </c>
      <c r="M2599" t="s">
        <v>5503</v>
      </c>
      <c r="N2599" t="s">
        <v>3</v>
      </c>
      <c r="O2599" t="s">
        <v>3</v>
      </c>
      <c r="P2599" t="s">
        <v>5</v>
      </c>
      <c r="Q2599" t="s">
        <v>5504</v>
      </c>
      <c r="R2599" t="s">
        <v>3</v>
      </c>
      <c r="S2599" t="s">
        <v>3</v>
      </c>
      <c r="T2599" t="s">
        <v>3</v>
      </c>
      <c r="U2599" t="s">
        <v>3</v>
      </c>
      <c r="V2599" t="s">
        <v>3</v>
      </c>
      <c r="W2599" t="s">
        <v>68</v>
      </c>
      <c r="X2599" s="17"/>
      <c r="Y2599" t="s">
        <v>3</v>
      </c>
      <c r="Z2599" s="17">
        <v>43844</v>
      </c>
      <c r="AA2599" t="s">
        <v>3</v>
      </c>
      <c r="AB2599" t="s">
        <v>5502</v>
      </c>
    </row>
    <row r="2600" spans="1:28" hidden="1">
      <c r="A2600" t="s">
        <v>5502</v>
      </c>
      <c r="B2600" s="17">
        <v>43844</v>
      </c>
      <c r="C2600" s="17">
        <v>43844</v>
      </c>
      <c r="D2600" t="s">
        <v>0</v>
      </c>
      <c r="E2600" t="s">
        <v>1</v>
      </c>
      <c r="F2600" s="18">
        <v>2178.67</v>
      </c>
      <c r="G2600" s="18">
        <v>2178.67</v>
      </c>
      <c r="H2600" t="s">
        <v>2</v>
      </c>
      <c r="I2600" t="s">
        <v>10</v>
      </c>
      <c r="J2600" s="18">
        <v>182899.35</v>
      </c>
      <c r="K2600" t="s">
        <v>5487</v>
      </c>
      <c r="L2600" t="s">
        <v>4</v>
      </c>
      <c r="M2600" t="s">
        <v>5503</v>
      </c>
      <c r="N2600" t="s">
        <v>3</v>
      </c>
      <c r="O2600" t="s">
        <v>3</v>
      </c>
      <c r="P2600" t="s">
        <v>5</v>
      </c>
      <c r="Q2600" t="s">
        <v>5504</v>
      </c>
      <c r="R2600" t="s">
        <v>3</v>
      </c>
      <c r="S2600" t="s">
        <v>3</v>
      </c>
      <c r="T2600" t="s">
        <v>3</v>
      </c>
      <c r="U2600" t="s">
        <v>3</v>
      </c>
      <c r="V2600" t="s">
        <v>3</v>
      </c>
      <c r="W2600" t="s">
        <v>68</v>
      </c>
      <c r="X2600" s="17"/>
      <c r="Y2600" t="s">
        <v>3</v>
      </c>
      <c r="Z2600" s="17">
        <v>43844</v>
      </c>
      <c r="AA2600" t="s">
        <v>3</v>
      </c>
      <c r="AB2600" t="s">
        <v>5502</v>
      </c>
    </row>
    <row r="2601" spans="1:28" hidden="1">
      <c r="A2601" t="s">
        <v>5505</v>
      </c>
      <c r="B2601" s="17">
        <v>43844</v>
      </c>
      <c r="C2601" s="17">
        <v>43844</v>
      </c>
      <c r="D2601" t="s">
        <v>0</v>
      </c>
      <c r="E2601" t="s">
        <v>1</v>
      </c>
      <c r="F2601" s="18">
        <v>18567</v>
      </c>
      <c r="G2601" s="18">
        <v>18567</v>
      </c>
      <c r="H2601" t="s">
        <v>2</v>
      </c>
      <c r="I2601" t="s">
        <v>8</v>
      </c>
      <c r="J2601" s="18">
        <v>1550344.5</v>
      </c>
      <c r="K2601" t="s">
        <v>5207</v>
      </c>
      <c r="L2601" t="s">
        <v>9</v>
      </c>
      <c r="M2601" t="s">
        <v>5506</v>
      </c>
      <c r="N2601" t="s">
        <v>3</v>
      </c>
      <c r="O2601" t="s">
        <v>3</v>
      </c>
      <c r="P2601" t="s">
        <v>5</v>
      </c>
      <c r="Q2601" t="s">
        <v>5507</v>
      </c>
      <c r="R2601" t="s">
        <v>3</v>
      </c>
      <c r="S2601" t="s">
        <v>3</v>
      </c>
      <c r="T2601" t="s">
        <v>3</v>
      </c>
      <c r="U2601" t="s">
        <v>3</v>
      </c>
      <c r="V2601" t="s">
        <v>3</v>
      </c>
      <c r="W2601" t="s">
        <v>68</v>
      </c>
      <c r="X2601" s="17"/>
      <c r="Y2601" t="s">
        <v>3</v>
      </c>
      <c r="Z2601" s="17">
        <v>43844</v>
      </c>
      <c r="AA2601" t="s">
        <v>3</v>
      </c>
      <c r="AB2601" t="s">
        <v>5505</v>
      </c>
    </row>
    <row r="2602" spans="1:28" hidden="1">
      <c r="A2602" t="s">
        <v>5505</v>
      </c>
      <c r="B2602" s="17">
        <v>43844</v>
      </c>
      <c r="C2602" s="17">
        <v>43844</v>
      </c>
      <c r="D2602" t="s">
        <v>0</v>
      </c>
      <c r="E2602" t="s">
        <v>1</v>
      </c>
      <c r="F2602" s="18">
        <v>368</v>
      </c>
      <c r="G2602" s="18">
        <v>368</v>
      </c>
      <c r="H2602" t="s">
        <v>2</v>
      </c>
      <c r="I2602" t="s">
        <v>8</v>
      </c>
      <c r="J2602" s="18">
        <v>30893.599999999999</v>
      </c>
      <c r="K2602" t="s">
        <v>5452</v>
      </c>
      <c r="L2602" t="s">
        <v>9</v>
      </c>
      <c r="M2602" t="s">
        <v>5506</v>
      </c>
      <c r="N2602" t="s">
        <v>3</v>
      </c>
      <c r="O2602" t="s">
        <v>3</v>
      </c>
      <c r="P2602" t="s">
        <v>5</v>
      </c>
      <c r="Q2602" t="s">
        <v>5507</v>
      </c>
      <c r="R2602" t="s">
        <v>3</v>
      </c>
      <c r="S2602" t="s">
        <v>3</v>
      </c>
      <c r="T2602" t="s">
        <v>3</v>
      </c>
      <c r="U2602" t="s">
        <v>3</v>
      </c>
      <c r="V2602" t="s">
        <v>3</v>
      </c>
      <c r="W2602" t="s">
        <v>68</v>
      </c>
      <c r="X2602" s="17"/>
      <c r="Y2602" t="s">
        <v>3</v>
      </c>
      <c r="Z2602" s="17">
        <v>43844</v>
      </c>
      <c r="AA2602" t="s">
        <v>3</v>
      </c>
      <c r="AB2602" t="s">
        <v>5505</v>
      </c>
    </row>
    <row r="2603" spans="1:28" hidden="1">
      <c r="A2603" t="s">
        <v>5505</v>
      </c>
      <c r="B2603" s="17">
        <v>43844</v>
      </c>
      <c r="C2603" s="17">
        <v>43844</v>
      </c>
      <c r="D2603" t="s">
        <v>0</v>
      </c>
      <c r="E2603" t="s">
        <v>1</v>
      </c>
      <c r="F2603" s="18">
        <v>15540</v>
      </c>
      <c r="G2603" s="18">
        <v>15540</v>
      </c>
      <c r="H2603" t="s">
        <v>2</v>
      </c>
      <c r="I2603" t="s">
        <v>8</v>
      </c>
      <c r="J2603" s="18">
        <v>1303029</v>
      </c>
      <c r="K2603" t="s">
        <v>5453</v>
      </c>
      <c r="L2603" t="s">
        <v>9</v>
      </c>
      <c r="M2603" t="s">
        <v>5506</v>
      </c>
      <c r="N2603" t="s">
        <v>3</v>
      </c>
      <c r="O2603" t="s">
        <v>3</v>
      </c>
      <c r="P2603" t="s">
        <v>5</v>
      </c>
      <c r="Q2603" t="s">
        <v>5507</v>
      </c>
      <c r="R2603" t="s">
        <v>3</v>
      </c>
      <c r="S2603" t="s">
        <v>3</v>
      </c>
      <c r="T2603" t="s">
        <v>3</v>
      </c>
      <c r="U2603" t="s">
        <v>3</v>
      </c>
      <c r="V2603" t="s">
        <v>3</v>
      </c>
      <c r="W2603" t="s">
        <v>68</v>
      </c>
      <c r="X2603" s="17"/>
      <c r="Y2603" t="s">
        <v>3</v>
      </c>
      <c r="Z2603" s="17">
        <v>43844</v>
      </c>
      <c r="AA2603" t="s">
        <v>3</v>
      </c>
      <c r="AB2603" t="s">
        <v>5505</v>
      </c>
    </row>
    <row r="2604" spans="1:28" hidden="1">
      <c r="A2604" t="s">
        <v>5505</v>
      </c>
      <c r="B2604" s="17">
        <v>43844</v>
      </c>
      <c r="C2604" s="17">
        <v>43844</v>
      </c>
      <c r="D2604" t="s">
        <v>0</v>
      </c>
      <c r="E2604" t="s">
        <v>1</v>
      </c>
      <c r="F2604" s="18">
        <v>10009</v>
      </c>
      <c r="G2604" s="18">
        <v>10009</v>
      </c>
      <c r="H2604" t="s">
        <v>2</v>
      </c>
      <c r="I2604" t="s">
        <v>8</v>
      </c>
      <c r="J2604" s="18">
        <v>840255.55</v>
      </c>
      <c r="K2604" t="s">
        <v>5454</v>
      </c>
      <c r="L2604" t="s">
        <v>9</v>
      </c>
      <c r="M2604" t="s">
        <v>5506</v>
      </c>
      <c r="N2604" t="s">
        <v>3</v>
      </c>
      <c r="O2604" t="s">
        <v>3</v>
      </c>
      <c r="P2604" t="s">
        <v>5</v>
      </c>
      <c r="Q2604" t="s">
        <v>5507</v>
      </c>
      <c r="R2604" t="s">
        <v>3</v>
      </c>
      <c r="S2604" t="s">
        <v>3</v>
      </c>
      <c r="T2604" t="s">
        <v>3</v>
      </c>
      <c r="U2604" t="s">
        <v>3</v>
      </c>
      <c r="V2604" t="s">
        <v>3</v>
      </c>
      <c r="W2604" t="s">
        <v>68</v>
      </c>
      <c r="X2604" s="17"/>
      <c r="Y2604" t="s">
        <v>3</v>
      </c>
      <c r="Z2604" s="17">
        <v>43844</v>
      </c>
      <c r="AA2604" t="s">
        <v>3</v>
      </c>
      <c r="AB2604" t="s">
        <v>5505</v>
      </c>
    </row>
    <row r="2605" spans="1:28" hidden="1">
      <c r="A2605" t="s">
        <v>5505</v>
      </c>
      <c r="B2605" s="17">
        <v>43844</v>
      </c>
      <c r="C2605" s="17">
        <v>43844</v>
      </c>
      <c r="D2605" t="s">
        <v>0</v>
      </c>
      <c r="E2605" t="s">
        <v>1</v>
      </c>
      <c r="F2605" s="18">
        <v>20474</v>
      </c>
      <c r="G2605" s="18">
        <v>20474</v>
      </c>
      <c r="H2605" t="s">
        <v>2</v>
      </c>
      <c r="I2605" t="s">
        <v>8</v>
      </c>
      <c r="J2605" s="18">
        <v>1718792.3</v>
      </c>
      <c r="K2605" t="s">
        <v>5455</v>
      </c>
      <c r="L2605" t="s">
        <v>9</v>
      </c>
      <c r="M2605" t="s">
        <v>5506</v>
      </c>
      <c r="N2605" t="s">
        <v>3</v>
      </c>
      <c r="O2605" t="s">
        <v>3</v>
      </c>
      <c r="P2605" t="s">
        <v>5</v>
      </c>
      <c r="Q2605" t="s">
        <v>5507</v>
      </c>
      <c r="R2605" t="s">
        <v>3</v>
      </c>
      <c r="S2605" t="s">
        <v>3</v>
      </c>
      <c r="T2605" t="s">
        <v>3</v>
      </c>
      <c r="U2605" t="s">
        <v>3</v>
      </c>
      <c r="V2605" t="s">
        <v>3</v>
      </c>
      <c r="W2605" t="s">
        <v>68</v>
      </c>
      <c r="X2605" s="17"/>
      <c r="Y2605" t="s">
        <v>3</v>
      </c>
      <c r="Z2605" s="17">
        <v>43844</v>
      </c>
      <c r="AA2605" t="s">
        <v>3</v>
      </c>
      <c r="AB2605" t="s">
        <v>5505</v>
      </c>
    </row>
    <row r="2606" spans="1:28" hidden="1">
      <c r="A2606" t="s">
        <v>5508</v>
      </c>
      <c r="B2606" s="17">
        <v>43844</v>
      </c>
      <c r="C2606" s="17">
        <v>43844</v>
      </c>
      <c r="D2606" t="s">
        <v>0</v>
      </c>
      <c r="E2606" t="s">
        <v>1</v>
      </c>
      <c r="F2606" s="18">
        <v>9749</v>
      </c>
      <c r="G2606" s="18">
        <v>9749</v>
      </c>
      <c r="H2606" t="s">
        <v>2</v>
      </c>
      <c r="I2606" t="s">
        <v>8</v>
      </c>
      <c r="J2606" s="18">
        <v>818428.55</v>
      </c>
      <c r="K2606" t="s">
        <v>5455</v>
      </c>
      <c r="L2606" t="s">
        <v>9</v>
      </c>
      <c r="M2606" t="s">
        <v>5509</v>
      </c>
      <c r="N2606" t="s">
        <v>3</v>
      </c>
      <c r="O2606" t="s">
        <v>3</v>
      </c>
      <c r="P2606" t="s">
        <v>5</v>
      </c>
      <c r="Q2606" t="s">
        <v>5510</v>
      </c>
      <c r="R2606" t="s">
        <v>3</v>
      </c>
      <c r="S2606" t="s">
        <v>3</v>
      </c>
      <c r="T2606" t="s">
        <v>3</v>
      </c>
      <c r="U2606" t="s">
        <v>3</v>
      </c>
      <c r="V2606" t="s">
        <v>3</v>
      </c>
      <c r="W2606" t="s">
        <v>68</v>
      </c>
      <c r="X2606" s="17"/>
      <c r="Y2606" t="s">
        <v>3</v>
      </c>
      <c r="Z2606" s="17">
        <v>43844</v>
      </c>
      <c r="AA2606" t="s">
        <v>3</v>
      </c>
      <c r="AB2606" t="s">
        <v>5508</v>
      </c>
    </row>
    <row r="2607" spans="1:28" hidden="1">
      <c r="A2607" t="s">
        <v>5511</v>
      </c>
      <c r="B2607" s="17">
        <v>43844</v>
      </c>
      <c r="C2607" s="17">
        <v>43844</v>
      </c>
      <c r="D2607" t="s">
        <v>0</v>
      </c>
      <c r="E2607" t="s">
        <v>1</v>
      </c>
      <c r="F2607" s="18">
        <v>24088.83</v>
      </c>
      <c r="G2607" s="18">
        <v>24088.83</v>
      </c>
      <c r="H2607" t="s">
        <v>2</v>
      </c>
      <c r="I2607" t="s">
        <v>8</v>
      </c>
      <c r="J2607" s="18">
        <v>2022257.28</v>
      </c>
      <c r="K2607" t="s">
        <v>5469</v>
      </c>
      <c r="L2607" t="s">
        <v>4</v>
      </c>
      <c r="M2607" t="s">
        <v>5512</v>
      </c>
      <c r="N2607" t="s">
        <v>3</v>
      </c>
      <c r="O2607" t="s">
        <v>3</v>
      </c>
      <c r="P2607" t="s">
        <v>5</v>
      </c>
      <c r="Q2607" t="s">
        <v>5513</v>
      </c>
      <c r="R2607" t="s">
        <v>3</v>
      </c>
      <c r="S2607" t="s">
        <v>3</v>
      </c>
      <c r="T2607" t="s">
        <v>3</v>
      </c>
      <c r="U2607" t="s">
        <v>3</v>
      </c>
      <c r="V2607" t="s">
        <v>3</v>
      </c>
      <c r="W2607" t="s">
        <v>68</v>
      </c>
      <c r="X2607" s="17"/>
      <c r="Y2607" t="s">
        <v>3</v>
      </c>
      <c r="Z2607" s="17">
        <v>43844</v>
      </c>
      <c r="AA2607" t="s">
        <v>3</v>
      </c>
      <c r="AB2607" t="s">
        <v>5511</v>
      </c>
    </row>
    <row r="2608" spans="1:28" hidden="1">
      <c r="A2608" t="s">
        <v>5511</v>
      </c>
      <c r="B2608" s="17">
        <v>43844</v>
      </c>
      <c r="C2608" s="17">
        <v>43844</v>
      </c>
      <c r="D2608" t="s">
        <v>0</v>
      </c>
      <c r="E2608" t="s">
        <v>1</v>
      </c>
      <c r="F2608" s="18">
        <v>985.96</v>
      </c>
      <c r="G2608" s="18">
        <v>985.96</v>
      </c>
      <c r="H2608" t="s">
        <v>2</v>
      </c>
      <c r="I2608" t="s">
        <v>8</v>
      </c>
      <c r="J2608" s="18">
        <v>82771.34</v>
      </c>
      <c r="K2608" t="s">
        <v>5440</v>
      </c>
      <c r="L2608" t="s">
        <v>4</v>
      </c>
      <c r="M2608" t="s">
        <v>5512</v>
      </c>
      <c r="N2608" t="s">
        <v>3</v>
      </c>
      <c r="O2608" t="s">
        <v>3</v>
      </c>
      <c r="P2608" t="s">
        <v>5</v>
      </c>
      <c r="Q2608" t="s">
        <v>5513</v>
      </c>
      <c r="R2608" t="s">
        <v>3</v>
      </c>
      <c r="S2608" t="s">
        <v>3</v>
      </c>
      <c r="T2608" t="s">
        <v>3</v>
      </c>
      <c r="U2608" t="s">
        <v>3</v>
      </c>
      <c r="V2608" t="s">
        <v>3</v>
      </c>
      <c r="W2608" t="s">
        <v>68</v>
      </c>
      <c r="X2608" s="17"/>
      <c r="Y2608" t="s">
        <v>3</v>
      </c>
      <c r="Z2608" s="17">
        <v>43844</v>
      </c>
      <c r="AA2608" t="s">
        <v>3</v>
      </c>
      <c r="AB2608" t="s">
        <v>5511</v>
      </c>
    </row>
    <row r="2609" spans="1:28" hidden="1">
      <c r="A2609" t="s">
        <v>5511</v>
      </c>
      <c r="B2609" s="17">
        <v>43844</v>
      </c>
      <c r="C2609" s="17">
        <v>43844</v>
      </c>
      <c r="D2609" t="s">
        <v>0</v>
      </c>
      <c r="E2609" t="s">
        <v>1</v>
      </c>
      <c r="F2609" s="18">
        <v>154.12</v>
      </c>
      <c r="G2609" s="18">
        <v>154.12</v>
      </c>
      <c r="H2609" t="s">
        <v>2</v>
      </c>
      <c r="I2609" t="s">
        <v>8</v>
      </c>
      <c r="J2609" s="18">
        <v>12938.37</v>
      </c>
      <c r="K2609" t="s">
        <v>5442</v>
      </c>
      <c r="L2609" t="s">
        <v>4</v>
      </c>
      <c r="M2609" t="s">
        <v>5512</v>
      </c>
      <c r="N2609" t="s">
        <v>3</v>
      </c>
      <c r="O2609" t="s">
        <v>3</v>
      </c>
      <c r="P2609" t="s">
        <v>5</v>
      </c>
      <c r="Q2609" t="s">
        <v>5513</v>
      </c>
      <c r="R2609" t="s">
        <v>3</v>
      </c>
      <c r="S2609" t="s">
        <v>3</v>
      </c>
      <c r="T2609" t="s">
        <v>3</v>
      </c>
      <c r="U2609" t="s">
        <v>3</v>
      </c>
      <c r="V2609" t="s">
        <v>3</v>
      </c>
      <c r="W2609" t="s">
        <v>68</v>
      </c>
      <c r="X2609" s="17"/>
      <c r="Y2609" t="s">
        <v>3</v>
      </c>
      <c r="Z2609" s="17">
        <v>43844</v>
      </c>
      <c r="AA2609" t="s">
        <v>3</v>
      </c>
      <c r="AB2609" t="s">
        <v>5511</v>
      </c>
    </row>
    <row r="2610" spans="1:28" hidden="1">
      <c r="A2610" t="s">
        <v>5514</v>
      </c>
      <c r="B2610" s="17">
        <v>43844</v>
      </c>
      <c r="C2610" s="17">
        <v>43844</v>
      </c>
      <c r="D2610" t="s">
        <v>0</v>
      </c>
      <c r="E2610" t="s">
        <v>1</v>
      </c>
      <c r="F2610" s="18">
        <v>14212</v>
      </c>
      <c r="G2610" s="18">
        <v>14212</v>
      </c>
      <c r="H2610" t="s">
        <v>2</v>
      </c>
      <c r="I2610" t="s">
        <v>8</v>
      </c>
      <c r="J2610" s="18">
        <v>1186702</v>
      </c>
      <c r="K2610" t="s">
        <v>5207</v>
      </c>
      <c r="L2610" t="s">
        <v>9</v>
      </c>
      <c r="M2610" t="s">
        <v>5515</v>
      </c>
      <c r="N2610" t="s">
        <v>3</v>
      </c>
      <c r="O2610" t="s">
        <v>3</v>
      </c>
      <c r="P2610" t="s">
        <v>5</v>
      </c>
      <c r="Q2610" t="s">
        <v>5516</v>
      </c>
      <c r="R2610" t="s">
        <v>3</v>
      </c>
      <c r="S2610" t="s">
        <v>3</v>
      </c>
      <c r="T2610" t="s">
        <v>3</v>
      </c>
      <c r="U2610" t="s">
        <v>3</v>
      </c>
      <c r="V2610" t="s">
        <v>3</v>
      </c>
      <c r="W2610" t="s">
        <v>68</v>
      </c>
      <c r="X2610" s="17"/>
      <c r="Y2610" t="s">
        <v>3</v>
      </c>
      <c r="Z2610" s="17">
        <v>43844</v>
      </c>
      <c r="AA2610" t="s">
        <v>3</v>
      </c>
      <c r="AB2610" t="s">
        <v>5514</v>
      </c>
    </row>
    <row r="2611" spans="1:28" hidden="1">
      <c r="A2611" t="s">
        <v>5514</v>
      </c>
      <c r="B2611" s="17">
        <v>43844</v>
      </c>
      <c r="C2611" s="17">
        <v>43844</v>
      </c>
      <c r="D2611" t="s">
        <v>0</v>
      </c>
      <c r="E2611" t="s">
        <v>1</v>
      </c>
      <c r="F2611" s="18">
        <v>6822</v>
      </c>
      <c r="G2611" s="18">
        <v>6822</v>
      </c>
      <c r="H2611" t="s">
        <v>2</v>
      </c>
      <c r="I2611" t="s">
        <v>8</v>
      </c>
      <c r="J2611" s="18">
        <v>572706.9</v>
      </c>
      <c r="K2611" t="s">
        <v>5452</v>
      </c>
      <c r="L2611" t="s">
        <v>9</v>
      </c>
      <c r="M2611" t="s">
        <v>5515</v>
      </c>
      <c r="N2611" t="s">
        <v>3</v>
      </c>
      <c r="O2611" t="s">
        <v>3</v>
      </c>
      <c r="P2611" t="s">
        <v>5</v>
      </c>
      <c r="Q2611" t="s">
        <v>5516</v>
      </c>
      <c r="R2611" t="s">
        <v>3</v>
      </c>
      <c r="S2611" t="s">
        <v>3</v>
      </c>
      <c r="T2611" t="s">
        <v>3</v>
      </c>
      <c r="U2611" t="s">
        <v>3</v>
      </c>
      <c r="V2611" t="s">
        <v>3</v>
      </c>
      <c r="W2611" t="s">
        <v>68</v>
      </c>
      <c r="X2611" s="17"/>
      <c r="Y2611" t="s">
        <v>3</v>
      </c>
      <c r="Z2611" s="17">
        <v>43844</v>
      </c>
      <c r="AA2611" t="s">
        <v>3</v>
      </c>
      <c r="AB2611" t="s">
        <v>5514</v>
      </c>
    </row>
    <row r="2612" spans="1:28" hidden="1">
      <c r="A2612" t="s">
        <v>5514</v>
      </c>
      <c r="B2612" s="17">
        <v>43844</v>
      </c>
      <c r="C2612" s="17">
        <v>43844</v>
      </c>
      <c r="D2612" t="s">
        <v>0</v>
      </c>
      <c r="E2612" t="s">
        <v>1</v>
      </c>
      <c r="F2612" s="18">
        <v>3225</v>
      </c>
      <c r="G2612" s="18">
        <v>3225</v>
      </c>
      <c r="H2612" t="s">
        <v>2</v>
      </c>
      <c r="I2612" t="s">
        <v>8</v>
      </c>
      <c r="J2612" s="18">
        <v>269287.5</v>
      </c>
      <c r="K2612" t="s">
        <v>4736</v>
      </c>
      <c r="L2612" t="s">
        <v>9</v>
      </c>
      <c r="M2612" t="s">
        <v>5515</v>
      </c>
      <c r="N2612" t="s">
        <v>3</v>
      </c>
      <c r="O2612" t="s">
        <v>3</v>
      </c>
      <c r="P2612" t="s">
        <v>5</v>
      </c>
      <c r="Q2612" t="s">
        <v>5516</v>
      </c>
      <c r="R2612" t="s">
        <v>3</v>
      </c>
      <c r="S2612" t="s">
        <v>3</v>
      </c>
      <c r="T2612" t="s">
        <v>3</v>
      </c>
      <c r="U2612" t="s">
        <v>3</v>
      </c>
      <c r="V2612" t="s">
        <v>3</v>
      </c>
      <c r="W2612" t="s">
        <v>68</v>
      </c>
      <c r="X2612" s="17">
        <v>44012</v>
      </c>
      <c r="Y2612" t="s">
        <v>4137</v>
      </c>
      <c r="Z2612" s="17">
        <v>43844</v>
      </c>
      <c r="AA2612" t="s">
        <v>3</v>
      </c>
      <c r="AB2612" t="s">
        <v>5514</v>
      </c>
    </row>
    <row r="2613" spans="1:28" hidden="1">
      <c r="A2613" t="s">
        <v>5514</v>
      </c>
      <c r="B2613" s="17">
        <v>43844</v>
      </c>
      <c r="C2613" s="17">
        <v>43844</v>
      </c>
      <c r="D2613" t="s">
        <v>0</v>
      </c>
      <c r="E2613" t="s">
        <v>1</v>
      </c>
      <c r="F2613" s="18">
        <v>17332</v>
      </c>
      <c r="G2613" s="18">
        <v>17332</v>
      </c>
      <c r="H2613" t="s">
        <v>2</v>
      </c>
      <c r="I2613" t="s">
        <v>8</v>
      </c>
      <c r="J2613" s="18">
        <v>1447222</v>
      </c>
      <c r="K2613" t="s">
        <v>5150</v>
      </c>
      <c r="L2613" t="s">
        <v>9</v>
      </c>
      <c r="M2613" t="s">
        <v>5515</v>
      </c>
      <c r="N2613" t="s">
        <v>3</v>
      </c>
      <c r="O2613" t="s">
        <v>3</v>
      </c>
      <c r="P2613" t="s">
        <v>5</v>
      </c>
      <c r="Q2613" t="s">
        <v>5516</v>
      </c>
      <c r="R2613" t="s">
        <v>3</v>
      </c>
      <c r="S2613" t="s">
        <v>3</v>
      </c>
      <c r="T2613" t="s">
        <v>3</v>
      </c>
      <c r="U2613" t="s">
        <v>3</v>
      </c>
      <c r="V2613" t="s">
        <v>3</v>
      </c>
      <c r="W2613" t="s">
        <v>68</v>
      </c>
      <c r="X2613" s="17"/>
      <c r="Y2613" t="s">
        <v>3</v>
      </c>
      <c r="Z2613" s="17">
        <v>43844</v>
      </c>
      <c r="AA2613" t="s">
        <v>3</v>
      </c>
      <c r="AB2613" t="s">
        <v>5514</v>
      </c>
    </row>
    <row r="2614" spans="1:28" hidden="1">
      <c r="A2614" t="s">
        <v>5514</v>
      </c>
      <c r="B2614" s="17">
        <v>43844</v>
      </c>
      <c r="C2614" s="17">
        <v>43844</v>
      </c>
      <c r="D2614" t="s">
        <v>0</v>
      </c>
      <c r="E2614" t="s">
        <v>1</v>
      </c>
      <c r="F2614" s="18">
        <v>41526</v>
      </c>
      <c r="G2614" s="18">
        <v>41526</v>
      </c>
      <c r="H2614" t="s">
        <v>2</v>
      </c>
      <c r="I2614" t="s">
        <v>8</v>
      </c>
      <c r="J2614" s="18">
        <v>3481955.1</v>
      </c>
      <c r="K2614" t="s">
        <v>5453</v>
      </c>
      <c r="L2614" t="s">
        <v>9</v>
      </c>
      <c r="M2614" t="s">
        <v>5515</v>
      </c>
      <c r="N2614" t="s">
        <v>3</v>
      </c>
      <c r="O2614" t="s">
        <v>3</v>
      </c>
      <c r="P2614" t="s">
        <v>5</v>
      </c>
      <c r="Q2614" t="s">
        <v>5516</v>
      </c>
      <c r="R2614" t="s">
        <v>3</v>
      </c>
      <c r="S2614" t="s">
        <v>3</v>
      </c>
      <c r="T2614" t="s">
        <v>3</v>
      </c>
      <c r="U2614" t="s">
        <v>3</v>
      </c>
      <c r="V2614" t="s">
        <v>3</v>
      </c>
      <c r="W2614" t="s">
        <v>68</v>
      </c>
      <c r="X2614" s="17"/>
      <c r="Y2614" t="s">
        <v>3</v>
      </c>
      <c r="Z2614" s="17">
        <v>43844</v>
      </c>
      <c r="AA2614" t="s">
        <v>3</v>
      </c>
      <c r="AB2614" t="s">
        <v>5514</v>
      </c>
    </row>
    <row r="2615" spans="1:28" hidden="1">
      <c r="A2615" t="s">
        <v>5514</v>
      </c>
      <c r="B2615" s="17">
        <v>43844</v>
      </c>
      <c r="C2615" s="17">
        <v>43844</v>
      </c>
      <c r="D2615" t="s">
        <v>0</v>
      </c>
      <c r="E2615" t="s">
        <v>1</v>
      </c>
      <c r="F2615" s="18">
        <v>18020</v>
      </c>
      <c r="G2615" s="18">
        <v>18020</v>
      </c>
      <c r="H2615" t="s">
        <v>2</v>
      </c>
      <c r="I2615" t="s">
        <v>8</v>
      </c>
      <c r="J2615" s="18">
        <v>1512779</v>
      </c>
      <c r="K2615" t="s">
        <v>5454</v>
      </c>
      <c r="L2615" t="s">
        <v>9</v>
      </c>
      <c r="M2615" t="s">
        <v>5515</v>
      </c>
      <c r="N2615" t="s">
        <v>3</v>
      </c>
      <c r="O2615" t="s">
        <v>3</v>
      </c>
      <c r="P2615" t="s">
        <v>5</v>
      </c>
      <c r="Q2615" t="s">
        <v>5516</v>
      </c>
      <c r="R2615" t="s">
        <v>3</v>
      </c>
      <c r="S2615" t="s">
        <v>3</v>
      </c>
      <c r="T2615" t="s">
        <v>3</v>
      </c>
      <c r="U2615" t="s">
        <v>3</v>
      </c>
      <c r="V2615" t="s">
        <v>3</v>
      </c>
      <c r="W2615" t="s">
        <v>68</v>
      </c>
      <c r="X2615" s="17"/>
      <c r="Y2615" t="s">
        <v>3</v>
      </c>
      <c r="Z2615" s="17">
        <v>43844</v>
      </c>
      <c r="AA2615" t="s">
        <v>3</v>
      </c>
      <c r="AB2615" t="s">
        <v>5514</v>
      </c>
    </row>
    <row r="2616" spans="1:28" hidden="1">
      <c r="A2616" t="s">
        <v>5514</v>
      </c>
      <c r="B2616" s="17">
        <v>43844</v>
      </c>
      <c r="C2616" s="17">
        <v>43844</v>
      </c>
      <c r="D2616" t="s">
        <v>0</v>
      </c>
      <c r="E2616" t="s">
        <v>1</v>
      </c>
      <c r="F2616" s="18">
        <v>786</v>
      </c>
      <c r="G2616" s="18">
        <v>786</v>
      </c>
      <c r="H2616" t="s">
        <v>2</v>
      </c>
      <c r="I2616" t="s">
        <v>8</v>
      </c>
      <c r="J2616" s="18">
        <v>65984.7</v>
      </c>
      <c r="K2616" t="s">
        <v>5467</v>
      </c>
      <c r="L2616" t="s">
        <v>9</v>
      </c>
      <c r="M2616" t="s">
        <v>5515</v>
      </c>
      <c r="N2616" t="s">
        <v>3</v>
      </c>
      <c r="O2616" t="s">
        <v>3</v>
      </c>
      <c r="P2616" t="s">
        <v>5</v>
      </c>
      <c r="Q2616" t="s">
        <v>5516</v>
      </c>
      <c r="R2616" t="s">
        <v>3</v>
      </c>
      <c r="S2616" t="s">
        <v>3</v>
      </c>
      <c r="T2616" t="s">
        <v>3</v>
      </c>
      <c r="U2616" t="s">
        <v>3</v>
      </c>
      <c r="V2616" t="s">
        <v>3</v>
      </c>
      <c r="W2616" t="s">
        <v>68</v>
      </c>
      <c r="X2616" s="17"/>
      <c r="Y2616" t="s">
        <v>3</v>
      </c>
      <c r="Z2616" s="17">
        <v>43844</v>
      </c>
      <c r="AA2616" t="s">
        <v>3</v>
      </c>
      <c r="AB2616" t="s">
        <v>5514</v>
      </c>
    </row>
    <row r="2617" spans="1:28" hidden="1">
      <c r="A2617" t="s">
        <v>5517</v>
      </c>
      <c r="B2617" s="17">
        <v>43844</v>
      </c>
      <c r="C2617" s="17">
        <v>43844</v>
      </c>
      <c r="D2617" t="s">
        <v>0</v>
      </c>
      <c r="E2617" t="s">
        <v>1</v>
      </c>
      <c r="F2617" s="18">
        <v>3133.2</v>
      </c>
      <c r="G2617" s="18">
        <v>3133.2</v>
      </c>
      <c r="H2617" t="s">
        <v>2</v>
      </c>
      <c r="I2617" t="s">
        <v>8</v>
      </c>
      <c r="J2617" s="18">
        <v>263032.14</v>
      </c>
      <c r="K2617" t="s">
        <v>5469</v>
      </c>
      <c r="L2617" t="s">
        <v>4</v>
      </c>
      <c r="M2617" t="s">
        <v>5518</v>
      </c>
      <c r="N2617" t="s">
        <v>3</v>
      </c>
      <c r="O2617" t="s">
        <v>3</v>
      </c>
      <c r="P2617" t="s">
        <v>5</v>
      </c>
      <c r="Q2617" t="s">
        <v>5519</v>
      </c>
      <c r="R2617" t="s">
        <v>3</v>
      </c>
      <c r="S2617" t="s">
        <v>3</v>
      </c>
      <c r="T2617" t="s">
        <v>3</v>
      </c>
      <c r="U2617" t="s">
        <v>3</v>
      </c>
      <c r="V2617" t="s">
        <v>3</v>
      </c>
      <c r="W2617" t="s">
        <v>68</v>
      </c>
      <c r="X2617" s="17"/>
      <c r="Y2617" t="s">
        <v>3</v>
      </c>
      <c r="Z2617" s="17">
        <v>43844</v>
      </c>
      <c r="AA2617" t="s">
        <v>3</v>
      </c>
      <c r="AB2617" t="s">
        <v>5517</v>
      </c>
    </row>
    <row r="2618" spans="1:28" hidden="1">
      <c r="A2618" t="s">
        <v>5517</v>
      </c>
      <c r="B2618" s="17">
        <v>43844</v>
      </c>
      <c r="C2618" s="17">
        <v>43844</v>
      </c>
      <c r="D2618" t="s">
        <v>0</v>
      </c>
      <c r="E2618" t="s">
        <v>1</v>
      </c>
      <c r="F2618" s="18">
        <v>19556.259999999998</v>
      </c>
      <c r="G2618" s="18">
        <v>19556.259999999998</v>
      </c>
      <c r="H2618" t="s">
        <v>2</v>
      </c>
      <c r="I2618" t="s">
        <v>8</v>
      </c>
      <c r="J2618" s="18">
        <v>1641748.03</v>
      </c>
      <c r="K2618" t="s">
        <v>5440</v>
      </c>
      <c r="L2618" t="s">
        <v>4</v>
      </c>
      <c r="M2618" t="s">
        <v>5518</v>
      </c>
      <c r="N2618" t="s">
        <v>3</v>
      </c>
      <c r="O2618" t="s">
        <v>3</v>
      </c>
      <c r="P2618" t="s">
        <v>5</v>
      </c>
      <c r="Q2618" t="s">
        <v>5519</v>
      </c>
      <c r="R2618" t="s">
        <v>3</v>
      </c>
      <c r="S2618" t="s">
        <v>3</v>
      </c>
      <c r="T2618" t="s">
        <v>3</v>
      </c>
      <c r="U2618" t="s">
        <v>3</v>
      </c>
      <c r="V2618" t="s">
        <v>3</v>
      </c>
      <c r="W2618" t="s">
        <v>68</v>
      </c>
      <c r="X2618" s="17"/>
      <c r="Y2618" t="s">
        <v>3</v>
      </c>
      <c r="Z2618" s="17">
        <v>43844</v>
      </c>
      <c r="AA2618" t="s">
        <v>3</v>
      </c>
      <c r="AB2618" t="s">
        <v>5517</v>
      </c>
    </row>
    <row r="2619" spans="1:28" hidden="1">
      <c r="A2619" t="s">
        <v>5517</v>
      </c>
      <c r="B2619" s="17">
        <v>43844</v>
      </c>
      <c r="C2619" s="17">
        <v>43844</v>
      </c>
      <c r="D2619" t="s">
        <v>0</v>
      </c>
      <c r="E2619" t="s">
        <v>1</v>
      </c>
      <c r="F2619" s="18">
        <v>1762.1</v>
      </c>
      <c r="G2619" s="18">
        <v>1762.1</v>
      </c>
      <c r="H2619" t="s">
        <v>2</v>
      </c>
      <c r="I2619" t="s">
        <v>8</v>
      </c>
      <c r="J2619" s="18">
        <v>147752.09</v>
      </c>
      <c r="K2619" t="s">
        <v>5441</v>
      </c>
      <c r="L2619" t="s">
        <v>4</v>
      </c>
      <c r="M2619" t="s">
        <v>5518</v>
      </c>
      <c r="N2619" t="s">
        <v>3</v>
      </c>
      <c r="O2619" t="s">
        <v>3</v>
      </c>
      <c r="P2619" t="s">
        <v>5</v>
      </c>
      <c r="Q2619" t="s">
        <v>5519</v>
      </c>
      <c r="R2619" t="s">
        <v>3</v>
      </c>
      <c r="S2619" t="s">
        <v>3</v>
      </c>
      <c r="T2619" t="s">
        <v>3</v>
      </c>
      <c r="U2619" t="s">
        <v>3</v>
      </c>
      <c r="V2619" t="s">
        <v>3</v>
      </c>
      <c r="W2619" t="s">
        <v>68</v>
      </c>
      <c r="X2619" s="17"/>
      <c r="Y2619" t="s">
        <v>3</v>
      </c>
      <c r="Z2619" s="17">
        <v>43844</v>
      </c>
      <c r="AA2619" t="s">
        <v>3</v>
      </c>
      <c r="AB2619" t="s">
        <v>5517</v>
      </c>
    </row>
    <row r="2620" spans="1:28" hidden="1">
      <c r="A2620" t="s">
        <v>5517</v>
      </c>
      <c r="B2620" s="17">
        <v>43844</v>
      </c>
      <c r="C2620" s="17">
        <v>43844</v>
      </c>
      <c r="D2620" t="s">
        <v>0</v>
      </c>
      <c r="E2620" t="s">
        <v>1</v>
      </c>
      <c r="F2620" s="18">
        <v>7827.42</v>
      </c>
      <c r="G2620" s="18">
        <v>7827.42</v>
      </c>
      <c r="H2620" t="s">
        <v>2</v>
      </c>
      <c r="I2620" t="s">
        <v>8</v>
      </c>
      <c r="J2620" s="18">
        <v>657111.91</v>
      </c>
      <c r="K2620" t="s">
        <v>5442</v>
      </c>
      <c r="L2620" t="s">
        <v>4</v>
      </c>
      <c r="M2620" t="s">
        <v>5518</v>
      </c>
      <c r="N2620" t="s">
        <v>3</v>
      </c>
      <c r="O2620" t="s">
        <v>3</v>
      </c>
      <c r="P2620" t="s">
        <v>5</v>
      </c>
      <c r="Q2620" t="s">
        <v>5519</v>
      </c>
      <c r="R2620" t="s">
        <v>3</v>
      </c>
      <c r="S2620" t="s">
        <v>3</v>
      </c>
      <c r="T2620" t="s">
        <v>3</v>
      </c>
      <c r="U2620" t="s">
        <v>3</v>
      </c>
      <c r="V2620" t="s">
        <v>3</v>
      </c>
      <c r="W2620" t="s">
        <v>68</v>
      </c>
      <c r="X2620" s="17"/>
      <c r="Y2620" t="s">
        <v>3</v>
      </c>
      <c r="Z2620" s="17">
        <v>43844</v>
      </c>
      <c r="AA2620" t="s">
        <v>3</v>
      </c>
      <c r="AB2620" t="s">
        <v>5517</v>
      </c>
    </row>
    <row r="2621" spans="1:28" hidden="1">
      <c r="A2621" t="s">
        <v>5520</v>
      </c>
      <c r="B2621" s="17">
        <v>43845</v>
      </c>
      <c r="C2621" s="17">
        <v>43845</v>
      </c>
      <c r="D2621" t="s">
        <v>0</v>
      </c>
      <c r="E2621" t="s">
        <v>1</v>
      </c>
      <c r="F2621" s="18">
        <v>207.75</v>
      </c>
      <c r="G2621" s="18">
        <v>207.75</v>
      </c>
      <c r="H2621" t="s">
        <v>2</v>
      </c>
      <c r="I2621" t="s">
        <v>10</v>
      </c>
      <c r="J2621" s="18">
        <v>17419.84</v>
      </c>
      <c r="K2621" t="s">
        <v>5476</v>
      </c>
      <c r="L2621" t="s">
        <v>4</v>
      </c>
      <c r="M2621" t="s">
        <v>5521</v>
      </c>
      <c r="N2621" t="s">
        <v>3</v>
      </c>
      <c r="O2621" t="s">
        <v>3</v>
      </c>
      <c r="P2621" t="s">
        <v>5</v>
      </c>
      <c r="Q2621" t="s">
        <v>5522</v>
      </c>
      <c r="R2621" t="s">
        <v>3</v>
      </c>
      <c r="S2621" t="s">
        <v>3</v>
      </c>
      <c r="T2621" t="s">
        <v>3</v>
      </c>
      <c r="U2621" t="s">
        <v>3</v>
      </c>
      <c r="V2621" t="s">
        <v>3</v>
      </c>
      <c r="W2621" t="s">
        <v>68</v>
      </c>
      <c r="X2621" s="17"/>
      <c r="Y2621" t="s">
        <v>3</v>
      </c>
      <c r="Z2621" s="17">
        <v>43845</v>
      </c>
      <c r="AA2621" t="s">
        <v>3</v>
      </c>
      <c r="AB2621" t="s">
        <v>5520</v>
      </c>
    </row>
    <row r="2622" spans="1:28" hidden="1">
      <c r="A2622" t="s">
        <v>5520</v>
      </c>
      <c r="B2622" s="17">
        <v>43845</v>
      </c>
      <c r="C2622" s="17">
        <v>43845</v>
      </c>
      <c r="D2622" t="s">
        <v>0</v>
      </c>
      <c r="E2622" t="s">
        <v>1</v>
      </c>
      <c r="F2622" s="18">
        <v>19468.73</v>
      </c>
      <c r="G2622" s="18">
        <v>19468.73</v>
      </c>
      <c r="H2622" t="s">
        <v>2</v>
      </c>
      <c r="I2622" t="s">
        <v>10</v>
      </c>
      <c r="J2622" s="18">
        <v>1634399.88</v>
      </c>
      <c r="K2622" t="s">
        <v>5479</v>
      </c>
      <c r="L2622" t="s">
        <v>4</v>
      </c>
      <c r="M2622" t="s">
        <v>5521</v>
      </c>
      <c r="N2622" t="s">
        <v>3</v>
      </c>
      <c r="O2622" t="s">
        <v>3</v>
      </c>
      <c r="P2622" t="s">
        <v>5</v>
      </c>
      <c r="Q2622" t="s">
        <v>5522</v>
      </c>
      <c r="R2622" t="s">
        <v>3</v>
      </c>
      <c r="S2622" t="s">
        <v>3</v>
      </c>
      <c r="T2622" t="s">
        <v>3</v>
      </c>
      <c r="U2622" t="s">
        <v>3</v>
      </c>
      <c r="V2622" t="s">
        <v>3</v>
      </c>
      <c r="W2622" t="s">
        <v>68</v>
      </c>
      <c r="X2622" s="17"/>
      <c r="Y2622" t="s">
        <v>3</v>
      </c>
      <c r="Z2622" s="17">
        <v>43845</v>
      </c>
      <c r="AA2622" t="s">
        <v>3</v>
      </c>
      <c r="AB2622" t="s">
        <v>5520</v>
      </c>
    </row>
    <row r="2623" spans="1:28" hidden="1">
      <c r="A2623" t="s">
        <v>5520</v>
      </c>
      <c r="B2623" s="17">
        <v>43845</v>
      </c>
      <c r="C2623" s="17">
        <v>43845</v>
      </c>
      <c r="D2623" t="s">
        <v>0</v>
      </c>
      <c r="E2623" t="s">
        <v>1</v>
      </c>
      <c r="F2623" s="18">
        <v>16187.15</v>
      </c>
      <c r="G2623" s="18">
        <v>16187.15</v>
      </c>
      <c r="H2623" t="s">
        <v>2</v>
      </c>
      <c r="I2623" t="s">
        <v>10</v>
      </c>
      <c r="J2623" s="18">
        <v>1358911.24</v>
      </c>
      <c r="K2623" t="s">
        <v>5480</v>
      </c>
      <c r="L2623" t="s">
        <v>4</v>
      </c>
      <c r="M2623" t="s">
        <v>5521</v>
      </c>
      <c r="N2623" t="s">
        <v>3</v>
      </c>
      <c r="O2623" t="s">
        <v>3</v>
      </c>
      <c r="P2623" t="s">
        <v>5</v>
      </c>
      <c r="Q2623" t="s">
        <v>5522</v>
      </c>
      <c r="R2623" t="s">
        <v>3</v>
      </c>
      <c r="S2623" t="s">
        <v>3</v>
      </c>
      <c r="T2623" t="s">
        <v>3</v>
      </c>
      <c r="U2623" t="s">
        <v>3</v>
      </c>
      <c r="V2623" t="s">
        <v>3</v>
      </c>
      <c r="W2623" t="s">
        <v>68</v>
      </c>
      <c r="X2623" s="17"/>
      <c r="Y2623" t="s">
        <v>3</v>
      </c>
      <c r="Z2623" s="17">
        <v>43845</v>
      </c>
      <c r="AA2623" t="s">
        <v>3</v>
      </c>
      <c r="AB2623" t="s">
        <v>5520</v>
      </c>
    </row>
    <row r="2624" spans="1:28" hidden="1">
      <c r="A2624" t="s">
        <v>5520</v>
      </c>
      <c r="B2624" s="17">
        <v>43845</v>
      </c>
      <c r="C2624" s="17">
        <v>43845</v>
      </c>
      <c r="D2624" t="s">
        <v>0</v>
      </c>
      <c r="E2624" t="s">
        <v>1</v>
      </c>
      <c r="F2624" s="18">
        <v>11.09</v>
      </c>
      <c r="G2624" s="18">
        <v>11.09</v>
      </c>
      <c r="H2624" t="s">
        <v>2</v>
      </c>
      <c r="I2624" t="s">
        <v>10</v>
      </c>
      <c r="J2624" s="18">
        <v>929.9</v>
      </c>
      <c r="K2624" t="s">
        <v>5185</v>
      </c>
      <c r="L2624" t="s">
        <v>4</v>
      </c>
      <c r="M2624" t="s">
        <v>5521</v>
      </c>
      <c r="N2624" t="s">
        <v>3</v>
      </c>
      <c r="O2624" t="s">
        <v>3</v>
      </c>
      <c r="P2624" t="s">
        <v>5</v>
      </c>
      <c r="Q2624" t="s">
        <v>5522</v>
      </c>
      <c r="R2624" t="s">
        <v>3</v>
      </c>
      <c r="S2624" t="s">
        <v>3</v>
      </c>
      <c r="T2624" t="s">
        <v>3</v>
      </c>
      <c r="U2624" t="s">
        <v>3</v>
      </c>
      <c r="V2624" t="s">
        <v>3</v>
      </c>
      <c r="W2624" t="s">
        <v>68</v>
      </c>
      <c r="X2624" s="17"/>
      <c r="Y2624" t="s">
        <v>3</v>
      </c>
      <c r="Z2624" s="17">
        <v>43845</v>
      </c>
      <c r="AA2624" t="s">
        <v>3</v>
      </c>
      <c r="AB2624" t="s">
        <v>5520</v>
      </c>
    </row>
    <row r="2625" spans="1:28" hidden="1">
      <c r="A2625" t="s">
        <v>5523</v>
      </c>
      <c r="B2625" s="17">
        <v>43845</v>
      </c>
      <c r="C2625" s="17">
        <v>43845</v>
      </c>
      <c r="D2625" t="s">
        <v>0</v>
      </c>
      <c r="E2625" t="s">
        <v>1</v>
      </c>
      <c r="F2625" s="18">
        <v>9643.35</v>
      </c>
      <c r="G2625" s="18">
        <v>9643.35</v>
      </c>
      <c r="H2625" t="s">
        <v>2</v>
      </c>
      <c r="I2625" t="s">
        <v>10</v>
      </c>
      <c r="J2625" s="18">
        <v>808594.9</v>
      </c>
      <c r="K2625" t="s">
        <v>5476</v>
      </c>
      <c r="L2625" t="s">
        <v>4</v>
      </c>
      <c r="M2625" t="s">
        <v>5524</v>
      </c>
      <c r="N2625" t="s">
        <v>3</v>
      </c>
      <c r="O2625" t="s">
        <v>3</v>
      </c>
      <c r="P2625" t="s">
        <v>5</v>
      </c>
      <c r="Q2625" t="s">
        <v>5525</v>
      </c>
      <c r="R2625" t="s">
        <v>3</v>
      </c>
      <c r="S2625" t="s">
        <v>3</v>
      </c>
      <c r="T2625" t="s">
        <v>3</v>
      </c>
      <c r="U2625" t="s">
        <v>3</v>
      </c>
      <c r="V2625" t="s">
        <v>3</v>
      </c>
      <c r="W2625" t="s">
        <v>68</v>
      </c>
      <c r="X2625" s="17"/>
      <c r="Y2625" t="s">
        <v>3</v>
      </c>
      <c r="Z2625" s="17">
        <v>43845</v>
      </c>
      <c r="AA2625" t="s">
        <v>3</v>
      </c>
      <c r="AB2625" t="s">
        <v>5523</v>
      </c>
    </row>
    <row r="2626" spans="1:28" hidden="1">
      <c r="A2626" t="s">
        <v>5523</v>
      </c>
      <c r="B2626" s="17">
        <v>43845</v>
      </c>
      <c r="C2626" s="17">
        <v>43845</v>
      </c>
      <c r="D2626" t="s">
        <v>0</v>
      </c>
      <c r="E2626" t="s">
        <v>1</v>
      </c>
      <c r="F2626" s="18">
        <v>4671.72</v>
      </c>
      <c r="G2626" s="18">
        <v>4671.72</v>
      </c>
      <c r="H2626" t="s">
        <v>2</v>
      </c>
      <c r="I2626" t="s">
        <v>10</v>
      </c>
      <c r="J2626" s="18">
        <v>392190.89</v>
      </c>
      <c r="K2626" t="s">
        <v>5479</v>
      </c>
      <c r="L2626" t="s">
        <v>4</v>
      </c>
      <c r="M2626" t="s">
        <v>5524</v>
      </c>
      <c r="N2626" t="s">
        <v>3</v>
      </c>
      <c r="O2626" t="s">
        <v>3</v>
      </c>
      <c r="P2626" t="s">
        <v>5</v>
      </c>
      <c r="Q2626" t="s">
        <v>5525</v>
      </c>
      <c r="R2626" t="s">
        <v>3</v>
      </c>
      <c r="S2626" t="s">
        <v>3</v>
      </c>
      <c r="T2626" t="s">
        <v>3</v>
      </c>
      <c r="U2626" t="s">
        <v>3</v>
      </c>
      <c r="V2626" t="s">
        <v>3</v>
      </c>
      <c r="W2626" t="s">
        <v>68</v>
      </c>
      <c r="X2626" s="17"/>
      <c r="Y2626" t="s">
        <v>3</v>
      </c>
      <c r="Z2626" s="17">
        <v>43845</v>
      </c>
      <c r="AA2626" t="s">
        <v>3</v>
      </c>
      <c r="AB2626" t="s">
        <v>5523</v>
      </c>
    </row>
    <row r="2627" spans="1:28" hidden="1">
      <c r="A2627" t="s">
        <v>5523</v>
      </c>
      <c r="B2627" s="17">
        <v>43845</v>
      </c>
      <c r="C2627" s="17">
        <v>43845</v>
      </c>
      <c r="D2627" t="s">
        <v>0</v>
      </c>
      <c r="E2627" t="s">
        <v>1</v>
      </c>
      <c r="F2627" s="18">
        <v>701.73</v>
      </c>
      <c r="G2627" s="18">
        <v>701.73</v>
      </c>
      <c r="H2627" t="s">
        <v>2</v>
      </c>
      <c r="I2627" t="s">
        <v>10</v>
      </c>
      <c r="J2627" s="18">
        <v>58910.23</v>
      </c>
      <c r="K2627" t="s">
        <v>5480</v>
      </c>
      <c r="L2627" t="s">
        <v>4</v>
      </c>
      <c r="M2627" t="s">
        <v>5524</v>
      </c>
      <c r="N2627" t="s">
        <v>3</v>
      </c>
      <c r="O2627" t="s">
        <v>3</v>
      </c>
      <c r="P2627" t="s">
        <v>5</v>
      </c>
      <c r="Q2627" t="s">
        <v>5525</v>
      </c>
      <c r="R2627" t="s">
        <v>3</v>
      </c>
      <c r="S2627" t="s">
        <v>3</v>
      </c>
      <c r="T2627" t="s">
        <v>3</v>
      </c>
      <c r="U2627" t="s">
        <v>3</v>
      </c>
      <c r="V2627" t="s">
        <v>3</v>
      </c>
      <c r="W2627" t="s">
        <v>68</v>
      </c>
      <c r="X2627" s="17"/>
      <c r="Y2627" t="s">
        <v>3</v>
      </c>
      <c r="Z2627" s="17">
        <v>43845</v>
      </c>
      <c r="AA2627" t="s">
        <v>3</v>
      </c>
      <c r="AB2627" t="s">
        <v>5523</v>
      </c>
    </row>
    <row r="2628" spans="1:28" hidden="1">
      <c r="A2628" t="s">
        <v>5523</v>
      </c>
      <c r="B2628" s="17">
        <v>43845</v>
      </c>
      <c r="C2628" s="17">
        <v>43845</v>
      </c>
      <c r="D2628" t="s">
        <v>0</v>
      </c>
      <c r="E2628" t="s">
        <v>1</v>
      </c>
      <c r="F2628" s="18">
        <v>5829.31</v>
      </c>
      <c r="G2628" s="18">
        <v>5829.31</v>
      </c>
      <c r="H2628" t="s">
        <v>2</v>
      </c>
      <c r="I2628" t="s">
        <v>10</v>
      </c>
      <c r="J2628" s="18">
        <v>488787.64</v>
      </c>
      <c r="K2628" t="s">
        <v>5185</v>
      </c>
      <c r="L2628" t="s">
        <v>4</v>
      </c>
      <c r="M2628" t="s">
        <v>5524</v>
      </c>
      <c r="N2628" t="s">
        <v>3</v>
      </c>
      <c r="O2628" t="s">
        <v>3</v>
      </c>
      <c r="P2628" t="s">
        <v>5</v>
      </c>
      <c r="Q2628" t="s">
        <v>5525</v>
      </c>
      <c r="R2628" t="s">
        <v>3</v>
      </c>
      <c r="S2628" t="s">
        <v>3</v>
      </c>
      <c r="T2628" t="s">
        <v>3</v>
      </c>
      <c r="U2628" t="s">
        <v>3</v>
      </c>
      <c r="V2628" t="s">
        <v>3</v>
      </c>
      <c r="W2628" t="s">
        <v>68</v>
      </c>
      <c r="X2628" s="17"/>
      <c r="Y2628" t="s">
        <v>3</v>
      </c>
      <c r="Z2628" s="17">
        <v>43845</v>
      </c>
      <c r="AA2628" t="s">
        <v>3</v>
      </c>
      <c r="AB2628" t="s">
        <v>5523</v>
      </c>
    </row>
    <row r="2629" spans="1:28" hidden="1">
      <c r="A2629" t="s">
        <v>5523</v>
      </c>
      <c r="B2629" s="17">
        <v>43845</v>
      </c>
      <c r="C2629" s="17">
        <v>43845</v>
      </c>
      <c r="D2629" t="s">
        <v>0</v>
      </c>
      <c r="E2629" t="s">
        <v>1</v>
      </c>
      <c r="F2629" s="18">
        <v>10801.47</v>
      </c>
      <c r="G2629" s="18">
        <v>10801.47</v>
      </c>
      <c r="H2629" t="s">
        <v>2</v>
      </c>
      <c r="I2629" t="s">
        <v>10</v>
      </c>
      <c r="J2629" s="18">
        <v>906783.41</v>
      </c>
      <c r="K2629" t="s">
        <v>5487</v>
      </c>
      <c r="L2629" t="s">
        <v>4</v>
      </c>
      <c r="M2629" t="s">
        <v>5524</v>
      </c>
      <c r="N2629" t="s">
        <v>3</v>
      </c>
      <c r="O2629" t="s">
        <v>3</v>
      </c>
      <c r="P2629" t="s">
        <v>5</v>
      </c>
      <c r="Q2629" t="s">
        <v>5525</v>
      </c>
      <c r="R2629" t="s">
        <v>3</v>
      </c>
      <c r="S2629" t="s">
        <v>3</v>
      </c>
      <c r="T2629" t="s">
        <v>3</v>
      </c>
      <c r="U2629" t="s">
        <v>3</v>
      </c>
      <c r="V2629" t="s">
        <v>3</v>
      </c>
      <c r="W2629" t="s">
        <v>68</v>
      </c>
      <c r="X2629" s="17"/>
      <c r="Y2629" t="s">
        <v>3</v>
      </c>
      <c r="Z2629" s="17">
        <v>43845</v>
      </c>
      <c r="AA2629" t="s">
        <v>3</v>
      </c>
      <c r="AB2629" t="s">
        <v>5523</v>
      </c>
    </row>
    <row r="2630" spans="1:28" hidden="1">
      <c r="A2630" t="s">
        <v>5526</v>
      </c>
      <c r="B2630" s="17">
        <v>43845</v>
      </c>
      <c r="C2630" s="17">
        <v>43845</v>
      </c>
      <c r="D2630" t="s">
        <v>0</v>
      </c>
      <c r="E2630" t="s">
        <v>1</v>
      </c>
      <c r="F2630" s="18">
        <v>18733.939999999999</v>
      </c>
      <c r="G2630" s="18">
        <v>18733.939999999999</v>
      </c>
      <c r="H2630" t="s">
        <v>2</v>
      </c>
      <c r="I2630" t="s">
        <v>8</v>
      </c>
      <c r="J2630" s="18">
        <v>1572714.26</v>
      </c>
      <c r="K2630" t="s">
        <v>5469</v>
      </c>
      <c r="L2630" t="s">
        <v>4</v>
      </c>
      <c r="M2630" t="s">
        <v>5527</v>
      </c>
      <c r="N2630" t="s">
        <v>3</v>
      </c>
      <c r="O2630" t="s">
        <v>3</v>
      </c>
      <c r="P2630" t="s">
        <v>5</v>
      </c>
      <c r="Q2630" t="s">
        <v>5528</v>
      </c>
      <c r="R2630" t="s">
        <v>3</v>
      </c>
      <c r="S2630" t="s">
        <v>3</v>
      </c>
      <c r="T2630" t="s">
        <v>3</v>
      </c>
      <c r="U2630" t="s">
        <v>3</v>
      </c>
      <c r="V2630" t="s">
        <v>3</v>
      </c>
      <c r="W2630" t="s">
        <v>68</v>
      </c>
      <c r="X2630" s="17"/>
      <c r="Y2630" t="s">
        <v>3</v>
      </c>
      <c r="Z2630" s="17">
        <v>43845</v>
      </c>
      <c r="AA2630" t="s">
        <v>3</v>
      </c>
      <c r="AB2630" t="s">
        <v>5526</v>
      </c>
    </row>
    <row r="2631" spans="1:28" hidden="1">
      <c r="A2631" t="s">
        <v>5526</v>
      </c>
      <c r="B2631" s="17">
        <v>43845</v>
      </c>
      <c r="C2631" s="17">
        <v>43845</v>
      </c>
      <c r="D2631" t="s">
        <v>0</v>
      </c>
      <c r="E2631" t="s">
        <v>1</v>
      </c>
      <c r="F2631" s="18">
        <v>7245.2</v>
      </c>
      <c r="G2631" s="18">
        <v>7245.2</v>
      </c>
      <c r="H2631" t="s">
        <v>2</v>
      </c>
      <c r="I2631" t="s">
        <v>8</v>
      </c>
      <c r="J2631" s="18">
        <v>607510.02</v>
      </c>
      <c r="K2631" t="s">
        <v>5195</v>
      </c>
      <c r="L2631" t="s">
        <v>4</v>
      </c>
      <c r="M2631" t="s">
        <v>5527</v>
      </c>
      <c r="N2631" t="s">
        <v>3</v>
      </c>
      <c r="O2631" t="s">
        <v>3</v>
      </c>
      <c r="P2631" t="s">
        <v>5</v>
      </c>
      <c r="Q2631" t="s">
        <v>5528</v>
      </c>
      <c r="R2631" t="s">
        <v>3</v>
      </c>
      <c r="S2631" t="s">
        <v>3</v>
      </c>
      <c r="T2631" t="s">
        <v>3</v>
      </c>
      <c r="U2631" t="s">
        <v>3</v>
      </c>
      <c r="V2631" t="s">
        <v>3</v>
      </c>
      <c r="W2631" t="s">
        <v>68</v>
      </c>
      <c r="X2631" s="17"/>
      <c r="Y2631" t="s">
        <v>3</v>
      </c>
      <c r="Z2631" s="17">
        <v>43845</v>
      </c>
      <c r="AA2631" t="s">
        <v>3</v>
      </c>
      <c r="AB2631" t="s">
        <v>5526</v>
      </c>
    </row>
    <row r="2632" spans="1:28" hidden="1">
      <c r="A2632" t="s">
        <v>5526</v>
      </c>
      <c r="B2632" s="17">
        <v>43845</v>
      </c>
      <c r="C2632" s="17">
        <v>43845</v>
      </c>
      <c r="D2632" t="s">
        <v>0</v>
      </c>
      <c r="E2632" t="s">
        <v>1</v>
      </c>
      <c r="F2632" s="18">
        <v>12555.61</v>
      </c>
      <c r="G2632" s="18">
        <v>12555.61</v>
      </c>
      <c r="H2632" t="s">
        <v>2</v>
      </c>
      <c r="I2632" t="s">
        <v>8</v>
      </c>
      <c r="J2632" s="18">
        <v>1054043.46</v>
      </c>
      <c r="K2632" t="s">
        <v>5440</v>
      </c>
      <c r="L2632" t="s">
        <v>4</v>
      </c>
      <c r="M2632" t="s">
        <v>5527</v>
      </c>
      <c r="N2632" t="s">
        <v>3</v>
      </c>
      <c r="O2632" t="s">
        <v>3</v>
      </c>
      <c r="P2632" t="s">
        <v>5</v>
      </c>
      <c r="Q2632" t="s">
        <v>5528</v>
      </c>
      <c r="R2632" t="s">
        <v>3</v>
      </c>
      <c r="S2632" t="s">
        <v>3</v>
      </c>
      <c r="T2632" t="s">
        <v>3</v>
      </c>
      <c r="U2632" t="s">
        <v>3</v>
      </c>
      <c r="V2632" t="s">
        <v>3</v>
      </c>
      <c r="W2632" t="s">
        <v>68</v>
      </c>
      <c r="X2632" s="17"/>
      <c r="Y2632" t="s">
        <v>3</v>
      </c>
      <c r="Z2632" s="17">
        <v>43845</v>
      </c>
      <c r="AA2632" t="s">
        <v>3</v>
      </c>
      <c r="AB2632" t="s">
        <v>5526</v>
      </c>
    </row>
    <row r="2633" spans="1:28" hidden="1">
      <c r="A2633" t="s">
        <v>5526</v>
      </c>
      <c r="B2633" s="17">
        <v>43845</v>
      </c>
      <c r="C2633" s="17">
        <v>43845</v>
      </c>
      <c r="D2633" t="s">
        <v>0</v>
      </c>
      <c r="E2633" t="s">
        <v>1</v>
      </c>
      <c r="F2633" s="18">
        <v>9913.44</v>
      </c>
      <c r="G2633" s="18">
        <v>9913.44</v>
      </c>
      <c r="H2633" t="s">
        <v>2</v>
      </c>
      <c r="I2633" t="s">
        <v>8</v>
      </c>
      <c r="J2633" s="18">
        <v>831241.94</v>
      </c>
      <c r="K2633" t="s">
        <v>5441</v>
      </c>
      <c r="L2633" t="s">
        <v>4</v>
      </c>
      <c r="M2633" t="s">
        <v>5527</v>
      </c>
      <c r="N2633" t="s">
        <v>3</v>
      </c>
      <c r="O2633" t="s">
        <v>3</v>
      </c>
      <c r="P2633" t="s">
        <v>5</v>
      </c>
      <c r="Q2633" t="s">
        <v>5528</v>
      </c>
      <c r="R2633" t="s">
        <v>3</v>
      </c>
      <c r="S2633" t="s">
        <v>3</v>
      </c>
      <c r="T2633" t="s">
        <v>3</v>
      </c>
      <c r="U2633" t="s">
        <v>3</v>
      </c>
      <c r="V2633" t="s">
        <v>3</v>
      </c>
      <c r="W2633" t="s">
        <v>68</v>
      </c>
      <c r="X2633" s="17"/>
      <c r="Y2633" t="s">
        <v>3</v>
      </c>
      <c r="Z2633" s="17">
        <v>43845</v>
      </c>
      <c r="AA2633" t="s">
        <v>3</v>
      </c>
      <c r="AB2633" t="s">
        <v>5526</v>
      </c>
    </row>
    <row r="2634" spans="1:28" hidden="1">
      <c r="A2634" t="s">
        <v>5526</v>
      </c>
      <c r="B2634" s="17">
        <v>43845</v>
      </c>
      <c r="C2634" s="17">
        <v>43845</v>
      </c>
      <c r="D2634" t="s">
        <v>0</v>
      </c>
      <c r="E2634" t="s">
        <v>1</v>
      </c>
      <c r="F2634" s="18">
        <v>9434.8799999999992</v>
      </c>
      <c r="G2634" s="18">
        <v>9434.8799999999992</v>
      </c>
      <c r="H2634" t="s">
        <v>2</v>
      </c>
      <c r="I2634" t="s">
        <v>8</v>
      </c>
      <c r="J2634" s="18">
        <v>792058.18</v>
      </c>
      <c r="K2634" t="s">
        <v>5442</v>
      </c>
      <c r="L2634" t="s">
        <v>4</v>
      </c>
      <c r="M2634" t="s">
        <v>5527</v>
      </c>
      <c r="N2634" t="s">
        <v>3</v>
      </c>
      <c r="O2634" t="s">
        <v>3</v>
      </c>
      <c r="P2634" t="s">
        <v>5</v>
      </c>
      <c r="Q2634" t="s">
        <v>5528</v>
      </c>
      <c r="R2634" t="s">
        <v>3</v>
      </c>
      <c r="S2634" t="s">
        <v>3</v>
      </c>
      <c r="T2634" t="s">
        <v>3</v>
      </c>
      <c r="U2634" t="s">
        <v>3</v>
      </c>
      <c r="V2634" t="s">
        <v>3</v>
      </c>
      <c r="W2634" t="s">
        <v>68</v>
      </c>
      <c r="X2634" s="17"/>
      <c r="Y2634" t="s">
        <v>3</v>
      </c>
      <c r="Z2634" s="17">
        <v>43845</v>
      </c>
      <c r="AA2634" t="s">
        <v>3</v>
      </c>
      <c r="AB2634" t="s">
        <v>5526</v>
      </c>
    </row>
    <row r="2635" spans="1:28" hidden="1">
      <c r="A2635" t="s">
        <v>5529</v>
      </c>
      <c r="B2635" s="17">
        <v>43845</v>
      </c>
      <c r="C2635" s="17">
        <v>43845</v>
      </c>
      <c r="D2635" t="s">
        <v>0</v>
      </c>
      <c r="E2635" t="s">
        <v>1</v>
      </c>
      <c r="F2635" s="18">
        <v>4231.79</v>
      </c>
      <c r="G2635" s="18">
        <v>4231.79</v>
      </c>
      <c r="H2635" t="s">
        <v>2</v>
      </c>
      <c r="I2635" t="s">
        <v>8</v>
      </c>
      <c r="J2635" s="18">
        <v>353354.47</v>
      </c>
      <c r="K2635" t="s">
        <v>4387</v>
      </c>
      <c r="L2635" t="s">
        <v>4</v>
      </c>
      <c r="M2635" t="s">
        <v>5530</v>
      </c>
      <c r="N2635" t="s">
        <v>3</v>
      </c>
      <c r="O2635" t="s">
        <v>3</v>
      </c>
      <c r="P2635" t="s">
        <v>5</v>
      </c>
      <c r="Q2635" t="s">
        <v>5531</v>
      </c>
      <c r="R2635" t="s">
        <v>3</v>
      </c>
      <c r="S2635" t="s">
        <v>3</v>
      </c>
      <c r="T2635" t="s">
        <v>3</v>
      </c>
      <c r="U2635" t="s">
        <v>3</v>
      </c>
      <c r="V2635" t="s">
        <v>3</v>
      </c>
      <c r="W2635" t="s">
        <v>68</v>
      </c>
      <c r="X2635" s="17"/>
      <c r="Y2635" t="s">
        <v>3</v>
      </c>
      <c r="Z2635" s="17">
        <v>43845</v>
      </c>
      <c r="AA2635" t="s">
        <v>3</v>
      </c>
      <c r="AB2635" t="s">
        <v>5529</v>
      </c>
    </row>
    <row r="2636" spans="1:28" hidden="1">
      <c r="A2636" t="s">
        <v>5529</v>
      </c>
      <c r="B2636" s="17">
        <v>43845</v>
      </c>
      <c r="C2636" s="17">
        <v>43845</v>
      </c>
      <c r="D2636" t="s">
        <v>0</v>
      </c>
      <c r="E2636" t="s">
        <v>1</v>
      </c>
      <c r="F2636" s="18">
        <v>562</v>
      </c>
      <c r="G2636" s="18">
        <v>562</v>
      </c>
      <c r="H2636" t="s">
        <v>2</v>
      </c>
      <c r="I2636" t="s">
        <v>8</v>
      </c>
      <c r="J2636" s="18">
        <v>46927</v>
      </c>
      <c r="K2636" t="s">
        <v>4882</v>
      </c>
      <c r="L2636" t="s">
        <v>4</v>
      </c>
      <c r="M2636" t="s">
        <v>5530</v>
      </c>
      <c r="N2636" t="s">
        <v>3</v>
      </c>
      <c r="O2636" t="s">
        <v>3</v>
      </c>
      <c r="P2636" t="s">
        <v>5</v>
      </c>
      <c r="Q2636" t="s">
        <v>5531</v>
      </c>
      <c r="R2636" t="s">
        <v>3</v>
      </c>
      <c r="S2636" t="s">
        <v>3</v>
      </c>
      <c r="T2636" t="s">
        <v>3</v>
      </c>
      <c r="U2636" t="s">
        <v>3</v>
      </c>
      <c r="V2636" t="s">
        <v>3</v>
      </c>
      <c r="W2636" t="s">
        <v>68</v>
      </c>
      <c r="X2636" s="17"/>
      <c r="Y2636" t="s">
        <v>3</v>
      </c>
      <c r="Z2636" s="17">
        <v>43845</v>
      </c>
      <c r="AA2636" t="s">
        <v>3</v>
      </c>
      <c r="AB2636" t="s">
        <v>5529</v>
      </c>
    </row>
    <row r="2637" spans="1:28" hidden="1">
      <c r="A2637" t="s">
        <v>5529</v>
      </c>
      <c r="B2637" s="17">
        <v>43845</v>
      </c>
      <c r="C2637" s="17">
        <v>43845</v>
      </c>
      <c r="D2637" t="s">
        <v>0</v>
      </c>
      <c r="E2637" t="s">
        <v>1</v>
      </c>
      <c r="F2637" s="18">
        <v>23550.45</v>
      </c>
      <c r="G2637" s="18">
        <v>23550.45</v>
      </c>
      <c r="H2637" t="s">
        <v>2</v>
      </c>
      <c r="I2637" t="s">
        <v>8</v>
      </c>
      <c r="J2637" s="18">
        <v>1974705.23</v>
      </c>
      <c r="K2637" t="s">
        <v>5195</v>
      </c>
      <c r="L2637" t="s">
        <v>4</v>
      </c>
      <c r="M2637" t="s">
        <v>5530</v>
      </c>
      <c r="N2637" t="s">
        <v>3</v>
      </c>
      <c r="O2637" t="s">
        <v>3</v>
      </c>
      <c r="P2637" t="s">
        <v>5</v>
      </c>
      <c r="Q2637" t="s">
        <v>5531</v>
      </c>
      <c r="R2637" t="s">
        <v>3</v>
      </c>
      <c r="S2637" t="s">
        <v>3</v>
      </c>
      <c r="T2637" t="s">
        <v>3</v>
      </c>
      <c r="U2637" t="s">
        <v>3</v>
      </c>
      <c r="V2637" t="s">
        <v>3</v>
      </c>
      <c r="W2637" t="s">
        <v>68</v>
      </c>
      <c r="X2637" s="17"/>
      <c r="Y2637" t="s">
        <v>3</v>
      </c>
      <c r="Z2637" s="17">
        <v>43845</v>
      </c>
      <c r="AA2637" t="s">
        <v>3</v>
      </c>
      <c r="AB2637" t="s">
        <v>5529</v>
      </c>
    </row>
    <row r="2638" spans="1:28" hidden="1">
      <c r="A2638" t="s">
        <v>5529</v>
      </c>
      <c r="B2638" s="17">
        <v>43845</v>
      </c>
      <c r="C2638" s="17">
        <v>43845</v>
      </c>
      <c r="D2638" t="s">
        <v>0</v>
      </c>
      <c r="E2638" t="s">
        <v>1</v>
      </c>
      <c r="F2638" s="18">
        <v>495.38</v>
      </c>
      <c r="G2638" s="18">
        <v>495.38</v>
      </c>
      <c r="H2638" t="s">
        <v>2</v>
      </c>
      <c r="I2638" t="s">
        <v>8</v>
      </c>
      <c r="J2638" s="18">
        <v>41587.15</v>
      </c>
      <c r="K2638" t="s">
        <v>5440</v>
      </c>
      <c r="L2638" t="s">
        <v>4</v>
      </c>
      <c r="M2638" t="s">
        <v>5530</v>
      </c>
      <c r="N2638" t="s">
        <v>3</v>
      </c>
      <c r="O2638" t="s">
        <v>3</v>
      </c>
      <c r="P2638" t="s">
        <v>5</v>
      </c>
      <c r="Q2638" t="s">
        <v>5531</v>
      </c>
      <c r="R2638" t="s">
        <v>3</v>
      </c>
      <c r="S2638" t="s">
        <v>3</v>
      </c>
      <c r="T2638" t="s">
        <v>3</v>
      </c>
      <c r="U2638" t="s">
        <v>3</v>
      </c>
      <c r="V2638" t="s">
        <v>3</v>
      </c>
      <c r="W2638" t="s">
        <v>68</v>
      </c>
      <c r="X2638" s="17"/>
      <c r="Y2638" t="s">
        <v>3</v>
      </c>
      <c r="Z2638" s="17">
        <v>43845</v>
      </c>
      <c r="AA2638" t="s">
        <v>3</v>
      </c>
      <c r="AB2638" t="s">
        <v>5529</v>
      </c>
    </row>
    <row r="2639" spans="1:28" hidden="1">
      <c r="A2639" t="s">
        <v>5529</v>
      </c>
      <c r="B2639" s="17">
        <v>43845</v>
      </c>
      <c r="C2639" s="17">
        <v>43845</v>
      </c>
      <c r="D2639" t="s">
        <v>0</v>
      </c>
      <c r="E2639" t="s">
        <v>1</v>
      </c>
      <c r="F2639" s="18">
        <v>25528.22</v>
      </c>
      <c r="G2639" s="18">
        <v>25528.22</v>
      </c>
      <c r="H2639" t="s">
        <v>2</v>
      </c>
      <c r="I2639" t="s">
        <v>8</v>
      </c>
      <c r="J2639" s="18">
        <v>2140541.25</v>
      </c>
      <c r="K2639" t="s">
        <v>5441</v>
      </c>
      <c r="L2639" t="s">
        <v>4</v>
      </c>
      <c r="M2639" t="s">
        <v>5530</v>
      </c>
      <c r="N2639" t="s">
        <v>3</v>
      </c>
      <c r="O2639" t="s">
        <v>3</v>
      </c>
      <c r="P2639" t="s">
        <v>5</v>
      </c>
      <c r="Q2639" t="s">
        <v>5531</v>
      </c>
      <c r="R2639" t="s">
        <v>3</v>
      </c>
      <c r="S2639" t="s">
        <v>3</v>
      </c>
      <c r="T2639" t="s">
        <v>3</v>
      </c>
      <c r="U2639" t="s">
        <v>3</v>
      </c>
      <c r="V2639" t="s">
        <v>3</v>
      </c>
      <c r="W2639" t="s">
        <v>68</v>
      </c>
      <c r="X2639" s="17"/>
      <c r="Y2639" t="s">
        <v>3</v>
      </c>
      <c r="Z2639" s="17">
        <v>43845</v>
      </c>
      <c r="AA2639" t="s">
        <v>3</v>
      </c>
      <c r="AB2639" t="s">
        <v>5529</v>
      </c>
    </row>
    <row r="2640" spans="1:28" hidden="1">
      <c r="A2640" t="s">
        <v>5529</v>
      </c>
      <c r="B2640" s="17">
        <v>43845</v>
      </c>
      <c r="C2640" s="17">
        <v>43845</v>
      </c>
      <c r="D2640" t="s">
        <v>0</v>
      </c>
      <c r="E2640" t="s">
        <v>1</v>
      </c>
      <c r="F2640" s="18">
        <v>6964.95</v>
      </c>
      <c r="G2640" s="18">
        <v>6964.95</v>
      </c>
      <c r="H2640" t="s">
        <v>2</v>
      </c>
      <c r="I2640" t="s">
        <v>8</v>
      </c>
      <c r="J2640" s="18">
        <v>584707.55000000005</v>
      </c>
      <c r="K2640" t="s">
        <v>5442</v>
      </c>
      <c r="L2640" t="s">
        <v>4</v>
      </c>
      <c r="M2640" t="s">
        <v>5530</v>
      </c>
      <c r="N2640" t="s">
        <v>3</v>
      </c>
      <c r="O2640" t="s">
        <v>3</v>
      </c>
      <c r="P2640" t="s">
        <v>5</v>
      </c>
      <c r="Q2640" t="s">
        <v>5531</v>
      </c>
      <c r="R2640" t="s">
        <v>3</v>
      </c>
      <c r="S2640" t="s">
        <v>3</v>
      </c>
      <c r="T2640" t="s">
        <v>3</v>
      </c>
      <c r="U2640" t="s">
        <v>3</v>
      </c>
      <c r="V2640" t="s">
        <v>3</v>
      </c>
      <c r="W2640" t="s">
        <v>68</v>
      </c>
      <c r="X2640" s="17"/>
      <c r="Y2640" t="s">
        <v>3</v>
      </c>
      <c r="Z2640" s="17">
        <v>43845</v>
      </c>
      <c r="AA2640" t="s">
        <v>3</v>
      </c>
      <c r="AB2640" t="s">
        <v>5529</v>
      </c>
    </row>
    <row r="2641" spans="1:28" hidden="1">
      <c r="A2641" t="s">
        <v>5532</v>
      </c>
      <c r="B2641" s="17">
        <v>43845</v>
      </c>
      <c r="C2641" s="17">
        <v>43845</v>
      </c>
      <c r="D2641" t="s">
        <v>0</v>
      </c>
      <c r="E2641" t="s">
        <v>1</v>
      </c>
      <c r="F2641" s="18">
        <v>3348</v>
      </c>
      <c r="G2641" s="18">
        <v>3348</v>
      </c>
      <c r="H2641" t="s">
        <v>2</v>
      </c>
      <c r="I2641" t="s">
        <v>8</v>
      </c>
      <c r="J2641" s="18">
        <v>281064.59999999998</v>
      </c>
      <c r="K2641" t="s">
        <v>5452</v>
      </c>
      <c r="L2641" t="s">
        <v>9</v>
      </c>
      <c r="M2641" t="s">
        <v>5533</v>
      </c>
      <c r="N2641" t="s">
        <v>3</v>
      </c>
      <c r="O2641" t="s">
        <v>3</v>
      </c>
      <c r="P2641" t="s">
        <v>5</v>
      </c>
      <c r="Q2641" t="s">
        <v>5534</v>
      </c>
      <c r="R2641" t="s">
        <v>3</v>
      </c>
      <c r="S2641" t="s">
        <v>3</v>
      </c>
      <c r="T2641" t="s">
        <v>3</v>
      </c>
      <c r="U2641" t="s">
        <v>3</v>
      </c>
      <c r="V2641" t="s">
        <v>3</v>
      </c>
      <c r="W2641" t="s">
        <v>68</v>
      </c>
      <c r="X2641" s="17"/>
      <c r="Y2641" t="s">
        <v>3</v>
      </c>
      <c r="Z2641" s="17">
        <v>43845</v>
      </c>
      <c r="AA2641" t="s">
        <v>3</v>
      </c>
      <c r="AB2641" t="s">
        <v>5532</v>
      </c>
    </row>
    <row r="2642" spans="1:28" hidden="1">
      <c r="A2642" t="s">
        <v>5532</v>
      </c>
      <c r="B2642" s="17">
        <v>43845</v>
      </c>
      <c r="C2642" s="17">
        <v>43845</v>
      </c>
      <c r="D2642" t="s">
        <v>0</v>
      </c>
      <c r="E2642" t="s">
        <v>1</v>
      </c>
      <c r="F2642" s="18">
        <v>12039</v>
      </c>
      <c r="G2642" s="18">
        <v>12039</v>
      </c>
      <c r="H2642" t="s">
        <v>2</v>
      </c>
      <c r="I2642" t="s">
        <v>8</v>
      </c>
      <c r="J2642" s="18">
        <v>1010674.05</v>
      </c>
      <c r="K2642" t="s">
        <v>5455</v>
      </c>
      <c r="L2642" t="s">
        <v>9</v>
      </c>
      <c r="M2642" t="s">
        <v>5533</v>
      </c>
      <c r="N2642" t="s">
        <v>3</v>
      </c>
      <c r="O2642" t="s">
        <v>3</v>
      </c>
      <c r="P2642" t="s">
        <v>5</v>
      </c>
      <c r="Q2642" t="s">
        <v>5534</v>
      </c>
      <c r="R2642" t="s">
        <v>3</v>
      </c>
      <c r="S2642" t="s">
        <v>3</v>
      </c>
      <c r="T2642" t="s">
        <v>3</v>
      </c>
      <c r="U2642" t="s">
        <v>3</v>
      </c>
      <c r="V2642" t="s">
        <v>3</v>
      </c>
      <c r="W2642" t="s">
        <v>68</v>
      </c>
      <c r="X2642" s="17"/>
      <c r="Y2642" t="s">
        <v>3</v>
      </c>
      <c r="Z2642" s="17">
        <v>43845</v>
      </c>
      <c r="AA2642" t="s">
        <v>3</v>
      </c>
      <c r="AB2642" t="s">
        <v>5532</v>
      </c>
    </row>
    <row r="2643" spans="1:28" hidden="1">
      <c r="A2643" t="s">
        <v>5532</v>
      </c>
      <c r="B2643" s="17">
        <v>43845</v>
      </c>
      <c r="C2643" s="17">
        <v>43845</v>
      </c>
      <c r="D2643" t="s">
        <v>0</v>
      </c>
      <c r="E2643" t="s">
        <v>1</v>
      </c>
      <c r="F2643" s="18">
        <v>6581</v>
      </c>
      <c r="G2643" s="18">
        <v>6581</v>
      </c>
      <c r="H2643" t="s">
        <v>2</v>
      </c>
      <c r="I2643" t="s">
        <v>8</v>
      </c>
      <c r="J2643" s="18">
        <v>552474.94999999995</v>
      </c>
      <c r="K2643" t="s">
        <v>5467</v>
      </c>
      <c r="L2643" t="s">
        <v>9</v>
      </c>
      <c r="M2643" t="s">
        <v>5533</v>
      </c>
      <c r="N2643" t="s">
        <v>3</v>
      </c>
      <c r="O2643" t="s">
        <v>3</v>
      </c>
      <c r="P2643" t="s">
        <v>5</v>
      </c>
      <c r="Q2643" t="s">
        <v>5534</v>
      </c>
      <c r="R2643" t="s">
        <v>3</v>
      </c>
      <c r="S2643" t="s">
        <v>3</v>
      </c>
      <c r="T2643" t="s">
        <v>3</v>
      </c>
      <c r="U2643" t="s">
        <v>3</v>
      </c>
      <c r="V2643" t="s">
        <v>3</v>
      </c>
      <c r="W2643" t="s">
        <v>68</v>
      </c>
      <c r="X2643" s="17"/>
      <c r="Y2643" t="s">
        <v>3</v>
      </c>
      <c r="Z2643" s="17">
        <v>43845</v>
      </c>
      <c r="AA2643" t="s">
        <v>3</v>
      </c>
      <c r="AB2643" t="s">
        <v>5532</v>
      </c>
    </row>
    <row r="2644" spans="1:28" hidden="1">
      <c r="A2644" t="s">
        <v>5535</v>
      </c>
      <c r="B2644" s="17">
        <v>43845</v>
      </c>
      <c r="C2644" s="17">
        <v>43845</v>
      </c>
      <c r="D2644" t="s">
        <v>0</v>
      </c>
      <c r="E2644" t="s">
        <v>1</v>
      </c>
      <c r="F2644" s="18">
        <v>41895</v>
      </c>
      <c r="G2644" s="18">
        <v>41895</v>
      </c>
      <c r="H2644" t="s">
        <v>2</v>
      </c>
      <c r="I2644" t="s">
        <v>8</v>
      </c>
      <c r="J2644" s="18">
        <v>3517085.25</v>
      </c>
      <c r="K2644" t="s">
        <v>5455</v>
      </c>
      <c r="L2644" t="s">
        <v>9</v>
      </c>
      <c r="M2644" t="s">
        <v>5536</v>
      </c>
      <c r="N2644" t="s">
        <v>3</v>
      </c>
      <c r="O2644" t="s">
        <v>3</v>
      </c>
      <c r="P2644" t="s">
        <v>5</v>
      </c>
      <c r="Q2644" t="s">
        <v>5537</v>
      </c>
      <c r="R2644" t="s">
        <v>3</v>
      </c>
      <c r="S2644" t="s">
        <v>3</v>
      </c>
      <c r="T2644" t="s">
        <v>3</v>
      </c>
      <c r="U2644" t="s">
        <v>3</v>
      </c>
      <c r="V2644" t="s">
        <v>3</v>
      </c>
      <c r="W2644" t="s">
        <v>68</v>
      </c>
      <c r="X2644" s="17"/>
      <c r="Y2644" t="s">
        <v>3</v>
      </c>
      <c r="Z2644" s="17">
        <v>43845</v>
      </c>
      <c r="AA2644" t="s">
        <v>3</v>
      </c>
      <c r="AB2644" t="s">
        <v>5535</v>
      </c>
    </row>
    <row r="2645" spans="1:28" hidden="1">
      <c r="A2645" t="s">
        <v>5535</v>
      </c>
      <c r="B2645" s="17">
        <v>43845</v>
      </c>
      <c r="C2645" s="17">
        <v>43845</v>
      </c>
      <c r="D2645" t="s">
        <v>0</v>
      </c>
      <c r="E2645" t="s">
        <v>1</v>
      </c>
      <c r="F2645" s="18">
        <v>35329</v>
      </c>
      <c r="G2645" s="18">
        <v>35329</v>
      </c>
      <c r="H2645" t="s">
        <v>2</v>
      </c>
      <c r="I2645" t="s">
        <v>8</v>
      </c>
      <c r="J2645" s="18">
        <v>2965869.55</v>
      </c>
      <c r="K2645" t="s">
        <v>5467</v>
      </c>
      <c r="L2645" t="s">
        <v>9</v>
      </c>
      <c r="M2645" t="s">
        <v>5536</v>
      </c>
      <c r="N2645" t="s">
        <v>3</v>
      </c>
      <c r="O2645" t="s">
        <v>3</v>
      </c>
      <c r="P2645" t="s">
        <v>5</v>
      </c>
      <c r="Q2645" t="s">
        <v>5537</v>
      </c>
      <c r="R2645" t="s">
        <v>3</v>
      </c>
      <c r="S2645" t="s">
        <v>3</v>
      </c>
      <c r="T2645" t="s">
        <v>3</v>
      </c>
      <c r="U2645" t="s">
        <v>3</v>
      </c>
      <c r="V2645" t="s">
        <v>3</v>
      </c>
      <c r="W2645" t="s">
        <v>68</v>
      </c>
      <c r="X2645" s="17"/>
      <c r="Y2645" t="s">
        <v>3</v>
      </c>
      <c r="Z2645" s="17">
        <v>43845</v>
      </c>
      <c r="AA2645" t="s">
        <v>3</v>
      </c>
      <c r="AB2645" t="s">
        <v>5535</v>
      </c>
    </row>
    <row r="2646" spans="1:28" hidden="1">
      <c r="A2646" t="s">
        <v>5538</v>
      </c>
      <c r="B2646" s="17">
        <v>43845</v>
      </c>
      <c r="C2646" s="17">
        <v>43845</v>
      </c>
      <c r="D2646" t="s">
        <v>0</v>
      </c>
      <c r="E2646" t="s">
        <v>1</v>
      </c>
      <c r="F2646" s="18">
        <v>399</v>
      </c>
      <c r="G2646" s="18">
        <v>399</v>
      </c>
      <c r="H2646" t="s">
        <v>2</v>
      </c>
      <c r="I2646" t="s">
        <v>8</v>
      </c>
      <c r="J2646" s="18">
        <v>33496.050000000003</v>
      </c>
      <c r="K2646" t="s">
        <v>5455</v>
      </c>
      <c r="L2646" t="s">
        <v>9</v>
      </c>
      <c r="M2646" t="s">
        <v>5539</v>
      </c>
      <c r="N2646" t="s">
        <v>3</v>
      </c>
      <c r="O2646" t="s">
        <v>3</v>
      </c>
      <c r="P2646" t="s">
        <v>5</v>
      </c>
      <c r="Q2646" t="s">
        <v>5540</v>
      </c>
      <c r="R2646" t="s">
        <v>3</v>
      </c>
      <c r="S2646" t="s">
        <v>3</v>
      </c>
      <c r="T2646" t="s">
        <v>3</v>
      </c>
      <c r="U2646" t="s">
        <v>3</v>
      </c>
      <c r="V2646" t="s">
        <v>3</v>
      </c>
      <c r="W2646" t="s">
        <v>68</v>
      </c>
      <c r="X2646" s="17"/>
      <c r="Y2646" t="s">
        <v>3</v>
      </c>
      <c r="Z2646" s="17">
        <v>43845</v>
      </c>
      <c r="AA2646" t="s">
        <v>3</v>
      </c>
      <c r="AB2646" t="s">
        <v>5538</v>
      </c>
    </row>
    <row r="2647" spans="1:28" hidden="1">
      <c r="A2647" t="s">
        <v>5538</v>
      </c>
      <c r="B2647" s="17">
        <v>43845</v>
      </c>
      <c r="C2647" s="17">
        <v>43845</v>
      </c>
      <c r="D2647" t="s">
        <v>0</v>
      </c>
      <c r="E2647" t="s">
        <v>1</v>
      </c>
      <c r="F2647" s="18">
        <v>4975</v>
      </c>
      <c r="G2647" s="18">
        <v>4975</v>
      </c>
      <c r="H2647" t="s">
        <v>2</v>
      </c>
      <c r="I2647" t="s">
        <v>8</v>
      </c>
      <c r="J2647" s="18">
        <v>417651.25</v>
      </c>
      <c r="K2647" t="s">
        <v>5467</v>
      </c>
      <c r="L2647" t="s">
        <v>9</v>
      </c>
      <c r="M2647" t="s">
        <v>5539</v>
      </c>
      <c r="N2647" t="s">
        <v>3</v>
      </c>
      <c r="O2647" t="s">
        <v>3</v>
      </c>
      <c r="P2647" t="s">
        <v>5</v>
      </c>
      <c r="Q2647" t="s">
        <v>5540</v>
      </c>
      <c r="R2647" t="s">
        <v>3</v>
      </c>
      <c r="S2647" t="s">
        <v>3</v>
      </c>
      <c r="T2647" t="s">
        <v>3</v>
      </c>
      <c r="U2647" t="s">
        <v>3</v>
      </c>
      <c r="V2647" t="s">
        <v>3</v>
      </c>
      <c r="W2647" t="s">
        <v>68</v>
      </c>
      <c r="X2647" s="17"/>
      <c r="Y2647" t="s">
        <v>3</v>
      </c>
      <c r="Z2647" s="17">
        <v>43845</v>
      </c>
      <c r="AA2647" t="s">
        <v>3</v>
      </c>
      <c r="AB2647" t="s">
        <v>5538</v>
      </c>
    </row>
    <row r="2648" spans="1:28" hidden="1">
      <c r="A2648" t="s">
        <v>5541</v>
      </c>
      <c r="B2648" s="17">
        <v>43846</v>
      </c>
      <c r="C2648" s="17">
        <v>43846</v>
      </c>
      <c r="D2648" t="s">
        <v>0</v>
      </c>
      <c r="E2648" t="s">
        <v>1</v>
      </c>
      <c r="F2648" s="18">
        <v>-45325</v>
      </c>
      <c r="G2648" s="18">
        <v>-45325</v>
      </c>
      <c r="H2648" t="s">
        <v>2</v>
      </c>
      <c r="I2648" t="s">
        <v>10</v>
      </c>
      <c r="J2648" s="18">
        <v>-3805033.75</v>
      </c>
      <c r="K2648" t="s">
        <v>5542</v>
      </c>
      <c r="L2648" t="s">
        <v>9</v>
      </c>
      <c r="M2648" t="s">
        <v>5543</v>
      </c>
      <c r="N2648" t="s">
        <v>3</v>
      </c>
      <c r="O2648" t="s">
        <v>3</v>
      </c>
      <c r="P2648" t="s">
        <v>5</v>
      </c>
      <c r="Q2648" t="s">
        <v>5544</v>
      </c>
      <c r="R2648" t="s">
        <v>3</v>
      </c>
      <c r="S2648" t="s">
        <v>3</v>
      </c>
      <c r="T2648" t="s">
        <v>3</v>
      </c>
      <c r="U2648" t="s">
        <v>3</v>
      </c>
      <c r="V2648" t="s">
        <v>3</v>
      </c>
      <c r="W2648" t="s">
        <v>68</v>
      </c>
      <c r="X2648" s="17"/>
      <c r="Y2648" t="s">
        <v>3</v>
      </c>
      <c r="Z2648" s="17">
        <v>43846</v>
      </c>
      <c r="AA2648" t="s">
        <v>3</v>
      </c>
      <c r="AB2648" t="s">
        <v>5541</v>
      </c>
    </row>
    <row r="2649" spans="1:28" hidden="1">
      <c r="A2649" t="s">
        <v>5607</v>
      </c>
      <c r="B2649" s="17">
        <v>43846</v>
      </c>
      <c r="C2649" s="17">
        <v>43846</v>
      </c>
      <c r="D2649" t="s">
        <v>0</v>
      </c>
      <c r="E2649" t="s">
        <v>1</v>
      </c>
      <c r="F2649" s="18">
        <v>-71530</v>
      </c>
      <c r="G2649" s="18">
        <v>-71530</v>
      </c>
      <c r="H2649" t="s">
        <v>2</v>
      </c>
      <c r="I2649" t="s">
        <v>8</v>
      </c>
      <c r="J2649" s="18">
        <v>-6004943.5</v>
      </c>
      <c r="K2649" t="s">
        <v>5608</v>
      </c>
      <c r="L2649" t="s">
        <v>9</v>
      </c>
      <c r="M2649" t="s">
        <v>5609</v>
      </c>
      <c r="N2649" t="s">
        <v>3</v>
      </c>
      <c r="O2649" t="s">
        <v>3</v>
      </c>
      <c r="P2649" t="s">
        <v>5</v>
      </c>
      <c r="Q2649" t="s">
        <v>5610</v>
      </c>
      <c r="R2649" t="s">
        <v>3</v>
      </c>
      <c r="S2649" t="s">
        <v>3</v>
      </c>
      <c r="T2649" t="s">
        <v>3</v>
      </c>
      <c r="U2649" t="s">
        <v>3</v>
      </c>
      <c r="V2649" t="s">
        <v>3</v>
      </c>
      <c r="W2649" t="s">
        <v>68</v>
      </c>
      <c r="X2649" s="17"/>
      <c r="Y2649" t="s">
        <v>3</v>
      </c>
      <c r="Z2649" s="17">
        <v>43846</v>
      </c>
      <c r="AA2649" t="s">
        <v>3</v>
      </c>
      <c r="AB2649" t="s">
        <v>5607</v>
      </c>
    </row>
    <row r="2650" spans="1:28" hidden="1">
      <c r="A2650" t="s">
        <v>5545</v>
      </c>
      <c r="B2650" s="17">
        <v>43849</v>
      </c>
      <c r="C2650" s="17">
        <v>43849</v>
      </c>
      <c r="D2650" t="s">
        <v>0</v>
      </c>
      <c r="E2650" t="s">
        <v>1</v>
      </c>
      <c r="F2650" s="18">
        <v>2797.72</v>
      </c>
      <c r="G2650" s="18">
        <v>2797.72</v>
      </c>
      <c r="H2650" t="s">
        <v>2</v>
      </c>
      <c r="I2650" t="s">
        <v>10</v>
      </c>
      <c r="J2650" s="18">
        <v>234868.59</v>
      </c>
      <c r="K2650" t="s">
        <v>5487</v>
      </c>
      <c r="L2650" t="s">
        <v>4</v>
      </c>
      <c r="M2650" t="s">
        <v>5546</v>
      </c>
      <c r="N2650" t="s">
        <v>3</v>
      </c>
      <c r="O2650" t="s">
        <v>3</v>
      </c>
      <c r="P2650" t="s">
        <v>5</v>
      </c>
      <c r="Q2650" t="s">
        <v>5547</v>
      </c>
      <c r="R2650" t="s">
        <v>3</v>
      </c>
      <c r="S2650" t="s">
        <v>3</v>
      </c>
      <c r="T2650" t="s">
        <v>3</v>
      </c>
      <c r="U2650" t="s">
        <v>3</v>
      </c>
      <c r="V2650" t="s">
        <v>3</v>
      </c>
      <c r="W2650" t="s">
        <v>68</v>
      </c>
      <c r="X2650" s="17"/>
      <c r="Y2650" t="s">
        <v>3</v>
      </c>
      <c r="Z2650" s="17">
        <v>43849</v>
      </c>
      <c r="AA2650" t="s">
        <v>3</v>
      </c>
      <c r="AB2650" t="s">
        <v>5545</v>
      </c>
    </row>
    <row r="2651" spans="1:28" hidden="1">
      <c r="A2651" t="s">
        <v>5548</v>
      </c>
      <c r="B2651" s="17">
        <v>43849</v>
      </c>
      <c r="C2651" s="17">
        <v>43849</v>
      </c>
      <c r="D2651" t="s">
        <v>0</v>
      </c>
      <c r="E2651" t="s">
        <v>1</v>
      </c>
      <c r="F2651" s="18">
        <v>4297.71</v>
      </c>
      <c r="G2651" s="18">
        <v>4297.71</v>
      </c>
      <c r="H2651" t="s">
        <v>2</v>
      </c>
      <c r="I2651" t="s">
        <v>10</v>
      </c>
      <c r="J2651" s="18">
        <v>360362.98</v>
      </c>
      <c r="K2651" t="s">
        <v>5476</v>
      </c>
      <c r="L2651" t="s">
        <v>4</v>
      </c>
      <c r="M2651" t="s">
        <v>5549</v>
      </c>
      <c r="N2651" t="s">
        <v>3</v>
      </c>
      <c r="O2651" t="s">
        <v>3</v>
      </c>
      <c r="P2651" t="s">
        <v>5</v>
      </c>
      <c r="Q2651" t="s">
        <v>5550</v>
      </c>
      <c r="R2651" t="s">
        <v>3</v>
      </c>
      <c r="S2651" t="s">
        <v>3</v>
      </c>
      <c r="T2651" t="s">
        <v>3</v>
      </c>
      <c r="U2651" t="s">
        <v>3</v>
      </c>
      <c r="V2651" t="s">
        <v>3</v>
      </c>
      <c r="W2651" t="s">
        <v>68</v>
      </c>
      <c r="X2651" s="17"/>
      <c r="Y2651" t="s">
        <v>3</v>
      </c>
      <c r="Z2651" s="17">
        <v>43849</v>
      </c>
      <c r="AA2651" t="s">
        <v>3</v>
      </c>
      <c r="AB2651" t="s">
        <v>5548</v>
      </c>
    </row>
    <row r="2652" spans="1:28" hidden="1">
      <c r="A2652" t="s">
        <v>5548</v>
      </c>
      <c r="B2652" s="17">
        <v>43849</v>
      </c>
      <c r="C2652" s="17">
        <v>43849</v>
      </c>
      <c r="D2652" t="s">
        <v>0</v>
      </c>
      <c r="E2652" t="s">
        <v>1</v>
      </c>
      <c r="F2652" s="18">
        <v>29546.16</v>
      </c>
      <c r="G2652" s="18">
        <v>29546.16</v>
      </c>
      <c r="H2652" t="s">
        <v>2</v>
      </c>
      <c r="I2652" t="s">
        <v>10</v>
      </c>
      <c r="J2652" s="18">
        <v>2480400.13</v>
      </c>
      <c r="K2652" t="s">
        <v>5479</v>
      </c>
      <c r="L2652" t="s">
        <v>4</v>
      </c>
      <c r="M2652" t="s">
        <v>5549</v>
      </c>
      <c r="N2652" t="s">
        <v>3</v>
      </c>
      <c r="O2652" t="s">
        <v>3</v>
      </c>
      <c r="P2652" t="s">
        <v>5</v>
      </c>
      <c r="Q2652" t="s">
        <v>5550</v>
      </c>
      <c r="R2652" t="s">
        <v>3</v>
      </c>
      <c r="S2652" t="s">
        <v>3</v>
      </c>
      <c r="T2652" t="s">
        <v>3</v>
      </c>
      <c r="U2652" t="s">
        <v>3</v>
      </c>
      <c r="V2652" t="s">
        <v>3</v>
      </c>
      <c r="W2652" t="s">
        <v>68</v>
      </c>
      <c r="X2652" s="17"/>
      <c r="Y2652" t="s">
        <v>3</v>
      </c>
      <c r="Z2652" s="17">
        <v>43849</v>
      </c>
      <c r="AA2652" t="s">
        <v>3</v>
      </c>
      <c r="AB2652" t="s">
        <v>5548</v>
      </c>
    </row>
    <row r="2653" spans="1:28" hidden="1">
      <c r="A2653" t="s">
        <v>5548</v>
      </c>
      <c r="B2653" s="17">
        <v>43849</v>
      </c>
      <c r="C2653" s="17">
        <v>43849</v>
      </c>
      <c r="D2653" t="s">
        <v>0</v>
      </c>
      <c r="E2653" t="s">
        <v>1</v>
      </c>
      <c r="F2653" s="18">
        <v>20860.96</v>
      </c>
      <c r="G2653" s="18">
        <v>20860.96</v>
      </c>
      <c r="H2653" t="s">
        <v>2</v>
      </c>
      <c r="I2653" t="s">
        <v>10</v>
      </c>
      <c r="J2653" s="18">
        <v>1741890.16</v>
      </c>
      <c r="K2653" t="s">
        <v>5157</v>
      </c>
      <c r="L2653" t="s">
        <v>4</v>
      </c>
      <c r="M2653" t="s">
        <v>5549</v>
      </c>
      <c r="N2653" t="s">
        <v>3</v>
      </c>
      <c r="O2653" t="s">
        <v>3</v>
      </c>
      <c r="P2653" t="s">
        <v>5</v>
      </c>
      <c r="Q2653" t="s">
        <v>5550</v>
      </c>
      <c r="R2653" t="s">
        <v>3</v>
      </c>
      <c r="S2653" t="s">
        <v>3</v>
      </c>
      <c r="T2653" t="s">
        <v>3</v>
      </c>
      <c r="U2653" t="s">
        <v>3</v>
      </c>
      <c r="V2653" t="s">
        <v>3</v>
      </c>
      <c r="W2653" t="s">
        <v>68</v>
      </c>
      <c r="X2653" s="17"/>
      <c r="Y2653" t="s">
        <v>3</v>
      </c>
      <c r="Z2653" s="17">
        <v>43849</v>
      </c>
      <c r="AA2653" t="s">
        <v>3</v>
      </c>
      <c r="AB2653" t="s">
        <v>5548</v>
      </c>
    </row>
    <row r="2654" spans="1:28" hidden="1">
      <c r="A2654" t="s">
        <v>5548</v>
      </c>
      <c r="B2654" s="17">
        <v>43849</v>
      </c>
      <c r="C2654" s="17">
        <v>43849</v>
      </c>
      <c r="D2654" t="s">
        <v>0</v>
      </c>
      <c r="E2654" t="s">
        <v>1</v>
      </c>
      <c r="F2654" s="18">
        <v>10555.78</v>
      </c>
      <c r="G2654" s="18">
        <v>10555.78</v>
      </c>
      <c r="H2654" t="s">
        <v>2</v>
      </c>
      <c r="I2654" t="s">
        <v>10</v>
      </c>
      <c r="J2654" s="18">
        <v>886157.73</v>
      </c>
      <c r="K2654" t="s">
        <v>5480</v>
      </c>
      <c r="L2654" t="s">
        <v>4</v>
      </c>
      <c r="M2654" t="s">
        <v>5549</v>
      </c>
      <c r="N2654" t="s">
        <v>3</v>
      </c>
      <c r="O2654" t="s">
        <v>3</v>
      </c>
      <c r="P2654" t="s">
        <v>5</v>
      </c>
      <c r="Q2654" t="s">
        <v>5550</v>
      </c>
      <c r="R2654" t="s">
        <v>3</v>
      </c>
      <c r="S2654" t="s">
        <v>3</v>
      </c>
      <c r="T2654" t="s">
        <v>3</v>
      </c>
      <c r="U2654" t="s">
        <v>3</v>
      </c>
      <c r="V2654" t="s">
        <v>3</v>
      </c>
      <c r="W2654" t="s">
        <v>68</v>
      </c>
      <c r="X2654" s="17"/>
      <c r="Y2654" t="s">
        <v>3</v>
      </c>
      <c r="Z2654" s="17">
        <v>43849</v>
      </c>
      <c r="AA2654" t="s">
        <v>3</v>
      </c>
      <c r="AB2654" t="s">
        <v>5548</v>
      </c>
    </row>
    <row r="2655" spans="1:28" hidden="1">
      <c r="A2655" t="s">
        <v>5548</v>
      </c>
      <c r="B2655" s="17">
        <v>43849</v>
      </c>
      <c r="C2655" s="17">
        <v>43849</v>
      </c>
      <c r="D2655" t="s">
        <v>0</v>
      </c>
      <c r="E2655" t="s">
        <v>1</v>
      </c>
      <c r="F2655" s="18">
        <v>18567.240000000002</v>
      </c>
      <c r="G2655" s="18">
        <v>18567.240000000002</v>
      </c>
      <c r="H2655" t="s">
        <v>2</v>
      </c>
      <c r="I2655" t="s">
        <v>10</v>
      </c>
      <c r="J2655" s="18">
        <v>1556863.07</v>
      </c>
      <c r="K2655" t="s">
        <v>5185</v>
      </c>
      <c r="L2655" t="s">
        <v>4</v>
      </c>
      <c r="M2655" t="s">
        <v>5549</v>
      </c>
      <c r="N2655" t="s">
        <v>3</v>
      </c>
      <c r="O2655" t="s">
        <v>3</v>
      </c>
      <c r="P2655" t="s">
        <v>5</v>
      </c>
      <c r="Q2655" t="s">
        <v>5550</v>
      </c>
      <c r="R2655" t="s">
        <v>3</v>
      </c>
      <c r="S2655" t="s">
        <v>3</v>
      </c>
      <c r="T2655" t="s">
        <v>3</v>
      </c>
      <c r="U2655" t="s">
        <v>3</v>
      </c>
      <c r="V2655" t="s">
        <v>3</v>
      </c>
      <c r="W2655" t="s">
        <v>68</v>
      </c>
      <c r="X2655" s="17"/>
      <c r="Y2655" t="s">
        <v>3</v>
      </c>
      <c r="Z2655" s="17">
        <v>43849</v>
      </c>
      <c r="AA2655" t="s">
        <v>3</v>
      </c>
      <c r="AB2655" t="s">
        <v>5548</v>
      </c>
    </row>
    <row r="2656" spans="1:28" hidden="1">
      <c r="A2656" t="s">
        <v>5548</v>
      </c>
      <c r="B2656" s="17">
        <v>43849</v>
      </c>
      <c r="C2656" s="17">
        <v>43849</v>
      </c>
      <c r="D2656" t="s">
        <v>0</v>
      </c>
      <c r="E2656" t="s">
        <v>1</v>
      </c>
      <c r="F2656" s="18">
        <v>5377.7</v>
      </c>
      <c r="G2656" s="18">
        <v>5377.7</v>
      </c>
      <c r="H2656" t="s">
        <v>2</v>
      </c>
      <c r="I2656" t="s">
        <v>10</v>
      </c>
      <c r="J2656" s="18">
        <v>451457.92</v>
      </c>
      <c r="K2656" t="s">
        <v>5487</v>
      </c>
      <c r="L2656" t="s">
        <v>4</v>
      </c>
      <c r="M2656" t="s">
        <v>5549</v>
      </c>
      <c r="N2656" t="s">
        <v>3</v>
      </c>
      <c r="O2656" t="s">
        <v>3</v>
      </c>
      <c r="P2656" t="s">
        <v>5</v>
      </c>
      <c r="Q2656" t="s">
        <v>5550</v>
      </c>
      <c r="R2656" t="s">
        <v>3</v>
      </c>
      <c r="S2656" t="s">
        <v>3</v>
      </c>
      <c r="T2656" t="s">
        <v>3</v>
      </c>
      <c r="U2656" t="s">
        <v>3</v>
      </c>
      <c r="V2656" t="s">
        <v>3</v>
      </c>
      <c r="W2656" t="s">
        <v>68</v>
      </c>
      <c r="X2656" s="17"/>
      <c r="Y2656" t="s">
        <v>3</v>
      </c>
      <c r="Z2656" s="17">
        <v>43849</v>
      </c>
      <c r="AA2656" t="s">
        <v>3</v>
      </c>
      <c r="AB2656" t="s">
        <v>5548</v>
      </c>
    </row>
    <row r="2657" spans="1:28" hidden="1">
      <c r="A2657" t="s">
        <v>5551</v>
      </c>
      <c r="B2657" s="17">
        <v>43849</v>
      </c>
      <c r="C2657" s="17">
        <v>43849</v>
      </c>
      <c r="D2657" t="s">
        <v>0</v>
      </c>
      <c r="E2657" t="s">
        <v>1</v>
      </c>
      <c r="F2657" s="18">
        <v>1119.6199999999999</v>
      </c>
      <c r="G2657" s="18">
        <v>1119.6199999999999</v>
      </c>
      <c r="H2657" t="s">
        <v>2</v>
      </c>
      <c r="I2657" t="s">
        <v>8</v>
      </c>
      <c r="J2657" s="18">
        <v>93488.27</v>
      </c>
      <c r="K2657" t="s">
        <v>4387</v>
      </c>
      <c r="L2657" t="s">
        <v>4</v>
      </c>
      <c r="M2657" t="s">
        <v>5552</v>
      </c>
      <c r="N2657" t="s">
        <v>3</v>
      </c>
      <c r="O2657" t="s">
        <v>3</v>
      </c>
      <c r="P2657" t="s">
        <v>5</v>
      </c>
      <c r="Q2657" t="s">
        <v>5553</v>
      </c>
      <c r="R2657" t="s">
        <v>3</v>
      </c>
      <c r="S2657" t="s">
        <v>3</v>
      </c>
      <c r="T2657" t="s">
        <v>3</v>
      </c>
      <c r="U2657" t="s">
        <v>3</v>
      </c>
      <c r="V2657" t="s">
        <v>3</v>
      </c>
      <c r="W2657" t="s">
        <v>68</v>
      </c>
      <c r="X2657" s="17"/>
      <c r="Y2657" t="s">
        <v>3</v>
      </c>
      <c r="Z2657" s="17">
        <v>43849</v>
      </c>
      <c r="AA2657" t="s">
        <v>3</v>
      </c>
      <c r="AB2657" t="s">
        <v>5551</v>
      </c>
    </row>
    <row r="2658" spans="1:28" hidden="1">
      <c r="A2658" t="s">
        <v>5551</v>
      </c>
      <c r="B2658" s="17">
        <v>43849</v>
      </c>
      <c r="C2658" s="17">
        <v>43849</v>
      </c>
      <c r="D2658" t="s">
        <v>0</v>
      </c>
      <c r="E2658" t="s">
        <v>1</v>
      </c>
      <c r="F2658" s="18">
        <v>5622.82</v>
      </c>
      <c r="G2658" s="18">
        <v>5622.82</v>
      </c>
      <c r="H2658" t="s">
        <v>2</v>
      </c>
      <c r="I2658" t="s">
        <v>8</v>
      </c>
      <c r="J2658" s="18">
        <v>469505.47</v>
      </c>
      <c r="K2658" t="s">
        <v>4882</v>
      </c>
      <c r="L2658" t="s">
        <v>4</v>
      </c>
      <c r="M2658" t="s">
        <v>5552</v>
      </c>
      <c r="N2658" t="s">
        <v>3</v>
      </c>
      <c r="O2658" t="s">
        <v>3</v>
      </c>
      <c r="P2658" t="s">
        <v>5</v>
      </c>
      <c r="Q2658" t="s">
        <v>5553</v>
      </c>
      <c r="R2658" t="s">
        <v>3</v>
      </c>
      <c r="S2658" t="s">
        <v>3</v>
      </c>
      <c r="T2658" t="s">
        <v>3</v>
      </c>
      <c r="U2658" t="s">
        <v>3</v>
      </c>
      <c r="V2658" t="s">
        <v>3</v>
      </c>
      <c r="W2658" t="s">
        <v>68</v>
      </c>
      <c r="X2658" s="17"/>
      <c r="Y2658" t="s">
        <v>3</v>
      </c>
      <c r="Z2658" s="17">
        <v>43849</v>
      </c>
      <c r="AA2658" t="s">
        <v>3</v>
      </c>
      <c r="AB2658" t="s">
        <v>5551</v>
      </c>
    </row>
    <row r="2659" spans="1:28" hidden="1">
      <c r="A2659" t="s">
        <v>5551</v>
      </c>
      <c r="B2659" s="17">
        <v>43849</v>
      </c>
      <c r="C2659" s="17">
        <v>43849</v>
      </c>
      <c r="D2659" t="s">
        <v>0</v>
      </c>
      <c r="E2659" t="s">
        <v>1</v>
      </c>
      <c r="F2659" s="18">
        <v>32348.6</v>
      </c>
      <c r="G2659" s="18">
        <v>32348.6</v>
      </c>
      <c r="H2659" t="s">
        <v>2</v>
      </c>
      <c r="I2659" t="s">
        <v>8</v>
      </c>
      <c r="J2659" s="18">
        <v>2701108.1</v>
      </c>
      <c r="K2659" t="s">
        <v>5131</v>
      </c>
      <c r="L2659" t="s">
        <v>4</v>
      </c>
      <c r="M2659" t="s">
        <v>5552</v>
      </c>
      <c r="N2659" t="s">
        <v>3</v>
      </c>
      <c r="O2659" t="s">
        <v>3</v>
      </c>
      <c r="P2659" t="s">
        <v>5</v>
      </c>
      <c r="Q2659" t="s">
        <v>5553</v>
      </c>
      <c r="R2659" t="s">
        <v>3</v>
      </c>
      <c r="S2659" t="s">
        <v>3</v>
      </c>
      <c r="T2659" t="s">
        <v>3</v>
      </c>
      <c r="U2659" t="s">
        <v>3</v>
      </c>
      <c r="V2659" t="s">
        <v>3</v>
      </c>
      <c r="W2659" t="s">
        <v>68</v>
      </c>
      <c r="X2659" s="17"/>
      <c r="Y2659" t="s">
        <v>3</v>
      </c>
      <c r="Z2659" s="17">
        <v>43849</v>
      </c>
      <c r="AA2659" t="s">
        <v>3</v>
      </c>
      <c r="AB2659" t="s">
        <v>5551</v>
      </c>
    </row>
    <row r="2660" spans="1:28" hidden="1">
      <c r="A2660" t="s">
        <v>5551</v>
      </c>
      <c r="B2660" s="17">
        <v>43849</v>
      </c>
      <c r="C2660" s="17">
        <v>43849</v>
      </c>
      <c r="D2660" t="s">
        <v>0</v>
      </c>
      <c r="E2660" t="s">
        <v>1</v>
      </c>
      <c r="F2660" s="18">
        <v>27176.59</v>
      </c>
      <c r="G2660" s="18">
        <v>27176.59</v>
      </c>
      <c r="H2660" t="s">
        <v>2</v>
      </c>
      <c r="I2660" t="s">
        <v>8</v>
      </c>
      <c r="J2660" s="18">
        <v>2278757.0699999998</v>
      </c>
      <c r="K2660" t="s">
        <v>5195</v>
      </c>
      <c r="L2660" t="s">
        <v>4</v>
      </c>
      <c r="M2660" t="s">
        <v>5552</v>
      </c>
      <c r="N2660" t="s">
        <v>3</v>
      </c>
      <c r="O2660" t="s">
        <v>3</v>
      </c>
      <c r="P2660" t="s">
        <v>5</v>
      </c>
      <c r="Q2660" t="s">
        <v>5553</v>
      </c>
      <c r="R2660" t="s">
        <v>3</v>
      </c>
      <c r="S2660" t="s">
        <v>3</v>
      </c>
      <c r="T2660" t="s">
        <v>3</v>
      </c>
      <c r="U2660" t="s">
        <v>3</v>
      </c>
      <c r="V2660" t="s">
        <v>3</v>
      </c>
      <c r="W2660" t="s">
        <v>68</v>
      </c>
      <c r="X2660" s="17"/>
      <c r="Y2660" t="s">
        <v>3</v>
      </c>
      <c r="Z2660" s="17">
        <v>43849</v>
      </c>
      <c r="AA2660" t="s">
        <v>3</v>
      </c>
      <c r="AB2660" t="s">
        <v>5551</v>
      </c>
    </row>
    <row r="2661" spans="1:28" hidden="1">
      <c r="A2661" t="s">
        <v>5551</v>
      </c>
      <c r="B2661" s="17">
        <v>43849</v>
      </c>
      <c r="C2661" s="17">
        <v>43849</v>
      </c>
      <c r="D2661" t="s">
        <v>0</v>
      </c>
      <c r="E2661" t="s">
        <v>1</v>
      </c>
      <c r="F2661" s="18">
        <v>8284.73</v>
      </c>
      <c r="G2661" s="18">
        <v>8284.73</v>
      </c>
      <c r="H2661" t="s">
        <v>2</v>
      </c>
      <c r="I2661" t="s">
        <v>8</v>
      </c>
      <c r="J2661" s="18">
        <v>695503.08</v>
      </c>
      <c r="K2661" t="s">
        <v>5442</v>
      </c>
      <c r="L2661" t="s">
        <v>4</v>
      </c>
      <c r="M2661" t="s">
        <v>5552</v>
      </c>
      <c r="N2661" t="s">
        <v>3</v>
      </c>
      <c r="O2661" t="s">
        <v>3</v>
      </c>
      <c r="P2661" t="s">
        <v>5</v>
      </c>
      <c r="Q2661" t="s">
        <v>5553</v>
      </c>
      <c r="R2661" t="s">
        <v>3</v>
      </c>
      <c r="S2661" t="s">
        <v>3</v>
      </c>
      <c r="T2661" t="s">
        <v>3</v>
      </c>
      <c r="U2661" t="s">
        <v>3</v>
      </c>
      <c r="V2661" t="s">
        <v>3</v>
      </c>
      <c r="W2661" t="s">
        <v>68</v>
      </c>
      <c r="X2661" s="17"/>
      <c r="Y2661" t="s">
        <v>3</v>
      </c>
      <c r="Z2661" s="17">
        <v>43849</v>
      </c>
      <c r="AA2661" t="s">
        <v>3</v>
      </c>
      <c r="AB2661" t="s">
        <v>5551</v>
      </c>
    </row>
    <row r="2662" spans="1:28" hidden="1">
      <c r="A2662" t="s">
        <v>5554</v>
      </c>
      <c r="B2662" s="17">
        <v>43849</v>
      </c>
      <c r="C2662" s="17">
        <v>43849</v>
      </c>
      <c r="D2662" t="s">
        <v>0</v>
      </c>
      <c r="E2662" t="s">
        <v>1</v>
      </c>
      <c r="F2662" s="18">
        <v>1932.07</v>
      </c>
      <c r="G2662" s="18">
        <v>1932.07</v>
      </c>
      <c r="H2662" t="s">
        <v>2</v>
      </c>
      <c r="I2662" t="s">
        <v>8</v>
      </c>
      <c r="J2662" s="18">
        <v>162197.28</v>
      </c>
      <c r="K2662" t="s">
        <v>5469</v>
      </c>
      <c r="L2662" t="s">
        <v>4</v>
      </c>
      <c r="M2662" t="s">
        <v>5555</v>
      </c>
      <c r="N2662" t="s">
        <v>3</v>
      </c>
      <c r="O2662" t="s">
        <v>3</v>
      </c>
      <c r="P2662" t="s">
        <v>5</v>
      </c>
      <c r="Q2662" t="s">
        <v>5556</v>
      </c>
      <c r="R2662" t="s">
        <v>3</v>
      </c>
      <c r="S2662" t="s">
        <v>3</v>
      </c>
      <c r="T2662" t="s">
        <v>3</v>
      </c>
      <c r="U2662" t="s">
        <v>3</v>
      </c>
      <c r="V2662" t="s">
        <v>3</v>
      </c>
      <c r="W2662" t="s">
        <v>68</v>
      </c>
      <c r="X2662" s="17"/>
      <c r="Y2662" t="s">
        <v>3</v>
      </c>
      <c r="Z2662" s="17">
        <v>43849</v>
      </c>
      <c r="AA2662" t="s">
        <v>3</v>
      </c>
      <c r="AB2662" t="s">
        <v>5554</v>
      </c>
    </row>
    <row r="2663" spans="1:28" hidden="1">
      <c r="A2663" t="s">
        <v>5554</v>
      </c>
      <c r="B2663" s="17">
        <v>43849</v>
      </c>
      <c r="C2663" s="17">
        <v>43849</v>
      </c>
      <c r="D2663" t="s">
        <v>0</v>
      </c>
      <c r="E2663" t="s">
        <v>1</v>
      </c>
      <c r="F2663" s="18">
        <v>1958.68</v>
      </c>
      <c r="G2663" s="18">
        <v>1958.68</v>
      </c>
      <c r="H2663" t="s">
        <v>2</v>
      </c>
      <c r="I2663" t="s">
        <v>8</v>
      </c>
      <c r="J2663" s="18">
        <v>163549.78</v>
      </c>
      <c r="K2663" t="s">
        <v>5131</v>
      </c>
      <c r="L2663" t="s">
        <v>4</v>
      </c>
      <c r="M2663" t="s">
        <v>5555</v>
      </c>
      <c r="N2663" t="s">
        <v>3</v>
      </c>
      <c r="O2663" t="s">
        <v>3</v>
      </c>
      <c r="P2663" t="s">
        <v>5</v>
      </c>
      <c r="Q2663" t="s">
        <v>5556</v>
      </c>
      <c r="R2663" t="s">
        <v>3</v>
      </c>
      <c r="S2663" t="s">
        <v>3</v>
      </c>
      <c r="T2663" t="s">
        <v>3</v>
      </c>
      <c r="U2663" t="s">
        <v>3</v>
      </c>
      <c r="V2663" t="s">
        <v>3</v>
      </c>
      <c r="W2663" t="s">
        <v>68</v>
      </c>
      <c r="X2663" s="17"/>
      <c r="Y2663" t="s">
        <v>3</v>
      </c>
      <c r="Z2663" s="17">
        <v>43849</v>
      </c>
      <c r="AA2663" t="s">
        <v>3</v>
      </c>
      <c r="AB2663" t="s">
        <v>5554</v>
      </c>
    </row>
    <row r="2664" spans="1:28" hidden="1">
      <c r="A2664" t="s">
        <v>5554</v>
      </c>
      <c r="B2664" s="17">
        <v>43849</v>
      </c>
      <c r="C2664" s="17">
        <v>43849</v>
      </c>
      <c r="D2664" t="s">
        <v>0</v>
      </c>
      <c r="E2664" t="s">
        <v>1</v>
      </c>
      <c r="F2664" s="18">
        <v>504.54</v>
      </c>
      <c r="G2664" s="18">
        <v>504.54</v>
      </c>
      <c r="H2664" t="s">
        <v>2</v>
      </c>
      <c r="I2664" t="s">
        <v>8</v>
      </c>
      <c r="J2664" s="18">
        <v>42305.68</v>
      </c>
      <c r="K2664" t="s">
        <v>5195</v>
      </c>
      <c r="L2664" t="s">
        <v>4</v>
      </c>
      <c r="M2664" t="s">
        <v>5555</v>
      </c>
      <c r="N2664" t="s">
        <v>3</v>
      </c>
      <c r="O2664" t="s">
        <v>3</v>
      </c>
      <c r="P2664" t="s">
        <v>5</v>
      </c>
      <c r="Q2664" t="s">
        <v>5556</v>
      </c>
      <c r="R2664" t="s">
        <v>3</v>
      </c>
      <c r="S2664" t="s">
        <v>3</v>
      </c>
      <c r="T2664" t="s">
        <v>3</v>
      </c>
      <c r="U2664" t="s">
        <v>3</v>
      </c>
      <c r="V2664" t="s">
        <v>3</v>
      </c>
      <c r="W2664" t="s">
        <v>68</v>
      </c>
      <c r="X2664" s="17"/>
      <c r="Y2664" t="s">
        <v>3</v>
      </c>
      <c r="Z2664" s="17">
        <v>43849</v>
      </c>
      <c r="AA2664" t="s">
        <v>3</v>
      </c>
      <c r="AB2664" t="s">
        <v>5554</v>
      </c>
    </row>
    <row r="2665" spans="1:28" hidden="1">
      <c r="A2665" t="s">
        <v>5554</v>
      </c>
      <c r="B2665" s="17">
        <v>43849</v>
      </c>
      <c r="C2665" s="17">
        <v>43849</v>
      </c>
      <c r="D2665" t="s">
        <v>0</v>
      </c>
      <c r="E2665" t="s">
        <v>1</v>
      </c>
      <c r="F2665" s="18">
        <v>15911.36</v>
      </c>
      <c r="G2665" s="18">
        <v>15911.36</v>
      </c>
      <c r="H2665" t="s">
        <v>2</v>
      </c>
      <c r="I2665" t="s">
        <v>8</v>
      </c>
      <c r="J2665" s="18">
        <v>1335758.67</v>
      </c>
      <c r="K2665" t="s">
        <v>5440</v>
      </c>
      <c r="L2665" t="s">
        <v>4</v>
      </c>
      <c r="M2665" t="s">
        <v>5555</v>
      </c>
      <c r="N2665" t="s">
        <v>3</v>
      </c>
      <c r="O2665" t="s">
        <v>3</v>
      </c>
      <c r="P2665" t="s">
        <v>5</v>
      </c>
      <c r="Q2665" t="s">
        <v>5556</v>
      </c>
      <c r="R2665" t="s">
        <v>3</v>
      </c>
      <c r="S2665" t="s">
        <v>3</v>
      </c>
      <c r="T2665" t="s">
        <v>3</v>
      </c>
      <c r="U2665" t="s">
        <v>3</v>
      </c>
      <c r="V2665" t="s">
        <v>3</v>
      </c>
      <c r="W2665" t="s">
        <v>68</v>
      </c>
      <c r="X2665" s="17"/>
      <c r="Y2665" t="s">
        <v>3</v>
      </c>
      <c r="Z2665" s="17">
        <v>43849</v>
      </c>
      <c r="AA2665" t="s">
        <v>3</v>
      </c>
      <c r="AB2665" t="s">
        <v>5554</v>
      </c>
    </row>
    <row r="2666" spans="1:28" hidden="1">
      <c r="A2666" t="s">
        <v>5554</v>
      </c>
      <c r="B2666" s="17">
        <v>43849</v>
      </c>
      <c r="C2666" s="17">
        <v>43849</v>
      </c>
      <c r="D2666" t="s">
        <v>0</v>
      </c>
      <c r="E2666" t="s">
        <v>1</v>
      </c>
      <c r="F2666" s="18">
        <v>161.86000000000001</v>
      </c>
      <c r="G2666" s="18">
        <v>161.86000000000001</v>
      </c>
      <c r="H2666" t="s">
        <v>2</v>
      </c>
      <c r="I2666" t="s">
        <v>8</v>
      </c>
      <c r="J2666" s="18">
        <v>13588.15</v>
      </c>
      <c r="K2666" t="s">
        <v>5442</v>
      </c>
      <c r="L2666" t="s">
        <v>4</v>
      </c>
      <c r="M2666" t="s">
        <v>5555</v>
      </c>
      <c r="N2666" t="s">
        <v>3</v>
      </c>
      <c r="O2666" t="s">
        <v>3</v>
      </c>
      <c r="P2666" t="s">
        <v>5</v>
      </c>
      <c r="Q2666" t="s">
        <v>5556</v>
      </c>
      <c r="R2666" t="s">
        <v>3</v>
      </c>
      <c r="S2666" t="s">
        <v>3</v>
      </c>
      <c r="T2666" t="s">
        <v>3</v>
      </c>
      <c r="U2666" t="s">
        <v>3</v>
      </c>
      <c r="V2666" t="s">
        <v>3</v>
      </c>
      <c r="W2666" t="s">
        <v>68</v>
      </c>
      <c r="X2666" s="17"/>
      <c r="Y2666" t="s">
        <v>3</v>
      </c>
      <c r="Z2666" s="17">
        <v>43849</v>
      </c>
      <c r="AA2666" t="s">
        <v>3</v>
      </c>
      <c r="AB2666" t="s">
        <v>5554</v>
      </c>
    </row>
    <row r="2667" spans="1:28" hidden="1">
      <c r="A2667" t="s">
        <v>5557</v>
      </c>
      <c r="B2667" s="17">
        <v>43849</v>
      </c>
      <c r="C2667" s="17">
        <v>43849</v>
      </c>
      <c r="D2667" t="s">
        <v>0</v>
      </c>
      <c r="E2667" t="s">
        <v>1</v>
      </c>
      <c r="F2667" s="18">
        <v>10100.61</v>
      </c>
      <c r="G2667" s="18">
        <v>10100.61</v>
      </c>
      <c r="H2667" t="s">
        <v>2</v>
      </c>
      <c r="I2667" t="s">
        <v>8</v>
      </c>
      <c r="J2667" s="18">
        <v>847946.21</v>
      </c>
      <c r="K2667" t="s">
        <v>5469</v>
      </c>
      <c r="L2667" t="s">
        <v>4</v>
      </c>
      <c r="M2667" t="s">
        <v>5558</v>
      </c>
      <c r="N2667" t="s">
        <v>3</v>
      </c>
      <c r="O2667" t="s">
        <v>3</v>
      </c>
      <c r="P2667" t="s">
        <v>5</v>
      </c>
      <c r="Q2667" t="s">
        <v>5559</v>
      </c>
      <c r="R2667" t="s">
        <v>3</v>
      </c>
      <c r="S2667" t="s">
        <v>3</v>
      </c>
      <c r="T2667" t="s">
        <v>3</v>
      </c>
      <c r="U2667" t="s">
        <v>3</v>
      </c>
      <c r="V2667" t="s">
        <v>3</v>
      </c>
      <c r="W2667" t="s">
        <v>68</v>
      </c>
      <c r="X2667" s="17"/>
      <c r="Y2667" t="s">
        <v>3</v>
      </c>
      <c r="Z2667" s="17">
        <v>43849</v>
      </c>
      <c r="AA2667" t="s">
        <v>3</v>
      </c>
      <c r="AB2667" t="s">
        <v>5557</v>
      </c>
    </row>
    <row r="2668" spans="1:28" hidden="1">
      <c r="A2668" t="s">
        <v>5557</v>
      </c>
      <c r="B2668" s="17">
        <v>43849</v>
      </c>
      <c r="C2668" s="17">
        <v>43849</v>
      </c>
      <c r="D2668" t="s">
        <v>0</v>
      </c>
      <c r="E2668" t="s">
        <v>1</v>
      </c>
      <c r="F2668" s="18">
        <v>36890.97</v>
      </c>
      <c r="G2668" s="18">
        <v>36890.97</v>
      </c>
      <c r="H2668" t="s">
        <v>2</v>
      </c>
      <c r="I2668" t="s">
        <v>8</v>
      </c>
      <c r="J2668" s="18">
        <v>3096996.93</v>
      </c>
      <c r="K2668" t="s">
        <v>5440</v>
      </c>
      <c r="L2668" t="s">
        <v>4</v>
      </c>
      <c r="M2668" t="s">
        <v>5558</v>
      </c>
      <c r="N2668" t="s">
        <v>3</v>
      </c>
      <c r="O2668" t="s">
        <v>3</v>
      </c>
      <c r="P2668" t="s">
        <v>5</v>
      </c>
      <c r="Q2668" t="s">
        <v>5559</v>
      </c>
      <c r="R2668" t="s">
        <v>3</v>
      </c>
      <c r="S2668" t="s">
        <v>3</v>
      </c>
      <c r="T2668" t="s">
        <v>3</v>
      </c>
      <c r="U2668" t="s">
        <v>3</v>
      </c>
      <c r="V2668" t="s">
        <v>3</v>
      </c>
      <c r="W2668" t="s">
        <v>68</v>
      </c>
      <c r="X2668" s="17"/>
      <c r="Y2668" t="s">
        <v>3</v>
      </c>
      <c r="Z2668" s="17">
        <v>43849</v>
      </c>
      <c r="AA2668" t="s">
        <v>3</v>
      </c>
      <c r="AB2668" t="s">
        <v>5557</v>
      </c>
    </row>
    <row r="2669" spans="1:28" hidden="1">
      <c r="A2669" t="s">
        <v>5557</v>
      </c>
      <c r="B2669" s="17">
        <v>43849</v>
      </c>
      <c r="C2669" s="17">
        <v>43849</v>
      </c>
      <c r="D2669" t="s">
        <v>0</v>
      </c>
      <c r="E2669" t="s">
        <v>1</v>
      </c>
      <c r="F2669" s="18">
        <v>4809.0600000000004</v>
      </c>
      <c r="G2669" s="18">
        <v>4809.0600000000004</v>
      </c>
      <c r="H2669" t="s">
        <v>2</v>
      </c>
      <c r="I2669" t="s">
        <v>8</v>
      </c>
      <c r="J2669" s="18">
        <v>403239.67999999999</v>
      </c>
      <c r="K2669" t="s">
        <v>5441</v>
      </c>
      <c r="L2669" t="s">
        <v>4</v>
      </c>
      <c r="M2669" t="s">
        <v>5558</v>
      </c>
      <c r="N2669" t="s">
        <v>3</v>
      </c>
      <c r="O2669" t="s">
        <v>3</v>
      </c>
      <c r="P2669" t="s">
        <v>5</v>
      </c>
      <c r="Q2669" t="s">
        <v>5559</v>
      </c>
      <c r="R2669" t="s">
        <v>3</v>
      </c>
      <c r="S2669" t="s">
        <v>3</v>
      </c>
      <c r="T2669" t="s">
        <v>3</v>
      </c>
      <c r="U2669" t="s">
        <v>3</v>
      </c>
      <c r="V2669" t="s">
        <v>3</v>
      </c>
      <c r="W2669" t="s">
        <v>68</v>
      </c>
      <c r="X2669" s="17"/>
      <c r="Y2669" t="s">
        <v>3</v>
      </c>
      <c r="Z2669" s="17">
        <v>43849</v>
      </c>
      <c r="AA2669" t="s">
        <v>3</v>
      </c>
      <c r="AB2669" t="s">
        <v>5557</v>
      </c>
    </row>
    <row r="2670" spans="1:28" hidden="1">
      <c r="A2670" t="s">
        <v>5557</v>
      </c>
      <c r="B2670" s="17">
        <v>43849</v>
      </c>
      <c r="C2670" s="17">
        <v>43849</v>
      </c>
      <c r="D2670" t="s">
        <v>0</v>
      </c>
      <c r="E2670" t="s">
        <v>1</v>
      </c>
      <c r="F2670" s="18">
        <v>16806.3</v>
      </c>
      <c r="G2670" s="18">
        <v>16806.3</v>
      </c>
      <c r="H2670" t="s">
        <v>2</v>
      </c>
      <c r="I2670" t="s">
        <v>8</v>
      </c>
      <c r="J2670" s="18">
        <v>1410888.89</v>
      </c>
      <c r="K2670" t="s">
        <v>5442</v>
      </c>
      <c r="L2670" t="s">
        <v>4</v>
      </c>
      <c r="M2670" t="s">
        <v>5558</v>
      </c>
      <c r="N2670" t="s">
        <v>3</v>
      </c>
      <c r="O2670" t="s">
        <v>3</v>
      </c>
      <c r="P2670" t="s">
        <v>5</v>
      </c>
      <c r="Q2670" t="s">
        <v>5559</v>
      </c>
      <c r="R2670" t="s">
        <v>3</v>
      </c>
      <c r="S2670" t="s">
        <v>3</v>
      </c>
      <c r="T2670" t="s">
        <v>3</v>
      </c>
      <c r="U2670" t="s">
        <v>3</v>
      </c>
      <c r="V2670" t="s">
        <v>3</v>
      </c>
      <c r="W2670" t="s">
        <v>68</v>
      </c>
      <c r="X2670" s="17"/>
      <c r="Y2670" t="s">
        <v>3</v>
      </c>
      <c r="Z2670" s="17">
        <v>43849</v>
      </c>
      <c r="AA2670" t="s">
        <v>3</v>
      </c>
      <c r="AB2670" t="s">
        <v>5557</v>
      </c>
    </row>
    <row r="2671" spans="1:28" hidden="1">
      <c r="A2671" t="s">
        <v>5560</v>
      </c>
      <c r="B2671" s="17">
        <v>43849</v>
      </c>
      <c r="C2671" s="17">
        <v>43849</v>
      </c>
      <c r="D2671" t="s">
        <v>0</v>
      </c>
      <c r="E2671" t="s">
        <v>1</v>
      </c>
      <c r="F2671" s="18">
        <v>-142547.43</v>
      </c>
      <c r="G2671" s="18">
        <v>-142547.43</v>
      </c>
      <c r="H2671" t="s">
        <v>2</v>
      </c>
      <c r="I2671" t="s">
        <v>10</v>
      </c>
      <c r="J2671" s="18">
        <v>-11966856.76</v>
      </c>
      <c r="K2671" t="s">
        <v>5561</v>
      </c>
      <c r="L2671" t="s">
        <v>4</v>
      </c>
      <c r="M2671" t="s">
        <v>5562</v>
      </c>
      <c r="N2671" t="s">
        <v>3</v>
      </c>
      <c r="O2671" t="s">
        <v>3</v>
      </c>
      <c r="P2671" t="s">
        <v>5</v>
      </c>
      <c r="Q2671" t="s">
        <v>5563</v>
      </c>
      <c r="R2671" t="s">
        <v>3</v>
      </c>
      <c r="S2671" t="s">
        <v>3</v>
      </c>
      <c r="T2671" t="s">
        <v>3</v>
      </c>
      <c r="U2671" t="s">
        <v>3</v>
      </c>
      <c r="V2671" t="s">
        <v>3</v>
      </c>
      <c r="W2671" t="s">
        <v>68</v>
      </c>
      <c r="X2671" s="17"/>
      <c r="Y2671" t="s">
        <v>3</v>
      </c>
      <c r="Z2671" s="17">
        <v>43849</v>
      </c>
      <c r="AA2671" t="s">
        <v>3</v>
      </c>
      <c r="AB2671" t="s">
        <v>5560</v>
      </c>
    </row>
    <row r="2672" spans="1:28" hidden="1">
      <c r="A2672" t="s">
        <v>5567</v>
      </c>
      <c r="B2672" s="17">
        <v>43849</v>
      </c>
      <c r="C2672" s="17">
        <v>43849</v>
      </c>
      <c r="D2672" t="s">
        <v>0</v>
      </c>
      <c r="E2672" t="s">
        <v>1</v>
      </c>
      <c r="F2672" s="18">
        <v>150372</v>
      </c>
      <c r="G2672" s="18">
        <v>150372</v>
      </c>
      <c r="H2672" t="s">
        <v>2</v>
      </c>
      <c r="I2672" t="s">
        <v>8</v>
      </c>
      <c r="J2672" s="18">
        <v>12556062</v>
      </c>
      <c r="K2672" t="s">
        <v>5207</v>
      </c>
      <c r="L2672" t="s">
        <v>9</v>
      </c>
      <c r="M2672" t="s">
        <v>5568</v>
      </c>
      <c r="N2672" t="s">
        <v>3</v>
      </c>
      <c r="O2672" t="s">
        <v>3</v>
      </c>
      <c r="P2672" t="s">
        <v>5</v>
      </c>
      <c r="Q2672" t="s">
        <v>5569</v>
      </c>
      <c r="R2672" t="s">
        <v>3</v>
      </c>
      <c r="S2672" t="s">
        <v>3</v>
      </c>
      <c r="T2672" t="s">
        <v>3</v>
      </c>
      <c r="U2672" t="s">
        <v>3</v>
      </c>
      <c r="V2672" t="s">
        <v>3</v>
      </c>
      <c r="W2672" t="s">
        <v>68</v>
      </c>
      <c r="X2672" s="17"/>
      <c r="Y2672" t="s">
        <v>3</v>
      </c>
      <c r="Z2672" s="17">
        <v>43849</v>
      </c>
      <c r="AA2672" t="s">
        <v>3</v>
      </c>
      <c r="AB2672" t="s">
        <v>5567</v>
      </c>
    </row>
    <row r="2673" spans="1:28" hidden="1">
      <c r="A2673" t="s">
        <v>5567</v>
      </c>
      <c r="B2673" s="17">
        <v>43849</v>
      </c>
      <c r="C2673" s="17">
        <v>43849</v>
      </c>
      <c r="D2673" t="s">
        <v>0</v>
      </c>
      <c r="E2673" t="s">
        <v>1</v>
      </c>
      <c r="F2673" s="18">
        <v>16265</v>
      </c>
      <c r="G2673" s="18">
        <v>16265</v>
      </c>
      <c r="H2673" t="s">
        <v>2</v>
      </c>
      <c r="I2673" t="s">
        <v>8</v>
      </c>
      <c r="J2673" s="18">
        <v>1365446.75</v>
      </c>
      <c r="K2673" t="s">
        <v>5452</v>
      </c>
      <c r="L2673" t="s">
        <v>9</v>
      </c>
      <c r="M2673" t="s">
        <v>5568</v>
      </c>
      <c r="N2673" t="s">
        <v>3</v>
      </c>
      <c r="O2673" t="s">
        <v>3</v>
      </c>
      <c r="P2673" t="s">
        <v>5</v>
      </c>
      <c r="Q2673" t="s">
        <v>5569</v>
      </c>
      <c r="R2673" t="s">
        <v>3</v>
      </c>
      <c r="S2673" t="s">
        <v>3</v>
      </c>
      <c r="T2673" t="s">
        <v>3</v>
      </c>
      <c r="U2673" t="s">
        <v>3</v>
      </c>
      <c r="V2673" t="s">
        <v>3</v>
      </c>
      <c r="W2673" t="s">
        <v>68</v>
      </c>
      <c r="X2673" s="17"/>
      <c r="Y2673" t="s">
        <v>3</v>
      </c>
      <c r="Z2673" s="17">
        <v>43849</v>
      </c>
      <c r="AA2673" t="s">
        <v>3</v>
      </c>
      <c r="AB2673" t="s">
        <v>5567</v>
      </c>
    </row>
    <row r="2674" spans="1:28" hidden="1">
      <c r="A2674" t="s">
        <v>5567</v>
      </c>
      <c r="B2674" s="17">
        <v>43849</v>
      </c>
      <c r="C2674" s="17">
        <v>43849</v>
      </c>
      <c r="D2674" t="s">
        <v>0</v>
      </c>
      <c r="E2674" t="s">
        <v>1</v>
      </c>
      <c r="F2674" s="18">
        <v>1206</v>
      </c>
      <c r="G2674" s="18">
        <v>1206</v>
      </c>
      <c r="H2674" t="s">
        <v>2</v>
      </c>
      <c r="I2674" t="s">
        <v>8</v>
      </c>
      <c r="J2674" s="18">
        <v>100701</v>
      </c>
      <c r="K2674" t="s">
        <v>5031</v>
      </c>
      <c r="L2674" t="s">
        <v>9</v>
      </c>
      <c r="M2674" t="s">
        <v>5568</v>
      </c>
      <c r="N2674" t="s">
        <v>3</v>
      </c>
      <c r="O2674" t="s">
        <v>3</v>
      </c>
      <c r="P2674" t="s">
        <v>5</v>
      </c>
      <c r="Q2674" t="s">
        <v>5569</v>
      </c>
      <c r="R2674" t="s">
        <v>3</v>
      </c>
      <c r="S2674" t="s">
        <v>3</v>
      </c>
      <c r="T2674" t="s">
        <v>3</v>
      </c>
      <c r="U2674" t="s">
        <v>3</v>
      </c>
      <c r="V2674" t="s">
        <v>3</v>
      </c>
      <c r="W2674" t="s">
        <v>68</v>
      </c>
      <c r="X2674" s="17"/>
      <c r="Y2674" t="s">
        <v>3</v>
      </c>
      <c r="Z2674" s="17">
        <v>43849</v>
      </c>
      <c r="AA2674" t="s">
        <v>3</v>
      </c>
      <c r="AB2674" t="s">
        <v>5567</v>
      </c>
    </row>
    <row r="2675" spans="1:28" hidden="1">
      <c r="A2675" t="s">
        <v>5567</v>
      </c>
      <c r="B2675" s="17">
        <v>43849</v>
      </c>
      <c r="C2675" s="17">
        <v>43849</v>
      </c>
      <c r="D2675" t="s">
        <v>0</v>
      </c>
      <c r="E2675" t="s">
        <v>1</v>
      </c>
      <c r="F2675" s="18">
        <v>17843</v>
      </c>
      <c r="G2675" s="18">
        <v>17843</v>
      </c>
      <c r="H2675" t="s">
        <v>2</v>
      </c>
      <c r="I2675" t="s">
        <v>8</v>
      </c>
      <c r="J2675" s="18">
        <v>1489890.5</v>
      </c>
      <c r="K2675" t="s">
        <v>5150</v>
      </c>
      <c r="L2675" t="s">
        <v>9</v>
      </c>
      <c r="M2675" t="s">
        <v>5568</v>
      </c>
      <c r="N2675" t="s">
        <v>3</v>
      </c>
      <c r="O2675" t="s">
        <v>3</v>
      </c>
      <c r="P2675" t="s">
        <v>5</v>
      </c>
      <c r="Q2675" t="s">
        <v>5569</v>
      </c>
      <c r="R2675" t="s">
        <v>3</v>
      </c>
      <c r="S2675" t="s">
        <v>3</v>
      </c>
      <c r="T2675" t="s">
        <v>3</v>
      </c>
      <c r="U2675" t="s">
        <v>3</v>
      </c>
      <c r="V2675" t="s">
        <v>3</v>
      </c>
      <c r="W2675" t="s">
        <v>68</v>
      </c>
      <c r="X2675" s="17"/>
      <c r="Y2675" t="s">
        <v>3</v>
      </c>
      <c r="Z2675" s="17">
        <v>43849</v>
      </c>
      <c r="AA2675" t="s">
        <v>3</v>
      </c>
      <c r="AB2675" t="s">
        <v>5567</v>
      </c>
    </row>
    <row r="2676" spans="1:28" hidden="1">
      <c r="A2676" t="s">
        <v>5567</v>
      </c>
      <c r="B2676" s="17">
        <v>43849</v>
      </c>
      <c r="C2676" s="17">
        <v>43849</v>
      </c>
      <c r="D2676" t="s">
        <v>0</v>
      </c>
      <c r="E2676" t="s">
        <v>1</v>
      </c>
      <c r="F2676" s="18">
        <v>70729</v>
      </c>
      <c r="G2676" s="18">
        <v>70729</v>
      </c>
      <c r="H2676" t="s">
        <v>2</v>
      </c>
      <c r="I2676" t="s">
        <v>8</v>
      </c>
      <c r="J2676" s="18">
        <v>5930626.6500000004</v>
      </c>
      <c r="K2676" t="s">
        <v>5453</v>
      </c>
      <c r="L2676" t="s">
        <v>9</v>
      </c>
      <c r="M2676" t="s">
        <v>5568</v>
      </c>
      <c r="N2676" t="s">
        <v>3</v>
      </c>
      <c r="O2676" t="s">
        <v>3</v>
      </c>
      <c r="P2676" t="s">
        <v>5</v>
      </c>
      <c r="Q2676" t="s">
        <v>5569</v>
      </c>
      <c r="R2676" t="s">
        <v>3</v>
      </c>
      <c r="S2676" t="s">
        <v>3</v>
      </c>
      <c r="T2676" t="s">
        <v>3</v>
      </c>
      <c r="U2676" t="s">
        <v>3</v>
      </c>
      <c r="V2676" t="s">
        <v>3</v>
      </c>
      <c r="W2676" t="s">
        <v>68</v>
      </c>
      <c r="X2676" s="17"/>
      <c r="Y2676" t="s">
        <v>3</v>
      </c>
      <c r="Z2676" s="17">
        <v>43849</v>
      </c>
      <c r="AA2676" t="s">
        <v>3</v>
      </c>
      <c r="AB2676" t="s">
        <v>5567</v>
      </c>
    </row>
    <row r="2677" spans="1:28" hidden="1">
      <c r="A2677" t="s">
        <v>5567</v>
      </c>
      <c r="B2677" s="17">
        <v>43849</v>
      </c>
      <c r="C2677" s="17">
        <v>43849</v>
      </c>
      <c r="D2677" t="s">
        <v>0</v>
      </c>
      <c r="E2677" t="s">
        <v>1</v>
      </c>
      <c r="F2677" s="18">
        <v>12999</v>
      </c>
      <c r="G2677" s="18">
        <v>12999</v>
      </c>
      <c r="H2677" t="s">
        <v>2</v>
      </c>
      <c r="I2677" t="s">
        <v>8</v>
      </c>
      <c r="J2677" s="18">
        <v>1091266.05</v>
      </c>
      <c r="K2677" t="s">
        <v>5454</v>
      </c>
      <c r="L2677" t="s">
        <v>9</v>
      </c>
      <c r="M2677" t="s">
        <v>5568</v>
      </c>
      <c r="N2677" t="s">
        <v>3</v>
      </c>
      <c r="O2677" t="s">
        <v>3</v>
      </c>
      <c r="P2677" t="s">
        <v>5</v>
      </c>
      <c r="Q2677" t="s">
        <v>5569</v>
      </c>
      <c r="R2677" t="s">
        <v>3</v>
      </c>
      <c r="S2677" t="s">
        <v>3</v>
      </c>
      <c r="T2677" t="s">
        <v>3</v>
      </c>
      <c r="U2677" t="s">
        <v>3</v>
      </c>
      <c r="V2677" t="s">
        <v>3</v>
      </c>
      <c r="W2677" t="s">
        <v>68</v>
      </c>
      <c r="X2677" s="17"/>
      <c r="Y2677" t="s">
        <v>3</v>
      </c>
      <c r="Z2677" s="17">
        <v>43849</v>
      </c>
      <c r="AA2677" t="s">
        <v>3</v>
      </c>
      <c r="AB2677" t="s">
        <v>5567</v>
      </c>
    </row>
    <row r="2678" spans="1:28" hidden="1">
      <c r="A2678" t="s">
        <v>5567</v>
      </c>
      <c r="B2678" s="17">
        <v>43849</v>
      </c>
      <c r="C2678" s="17">
        <v>43849</v>
      </c>
      <c r="D2678" t="s">
        <v>0</v>
      </c>
      <c r="E2678" t="s">
        <v>1</v>
      </c>
      <c r="F2678" s="18">
        <v>48363</v>
      </c>
      <c r="G2678" s="18">
        <v>48363</v>
      </c>
      <c r="H2678" t="s">
        <v>2</v>
      </c>
      <c r="I2678" t="s">
        <v>8</v>
      </c>
      <c r="J2678" s="18">
        <v>4060073.85</v>
      </c>
      <c r="K2678" t="s">
        <v>5455</v>
      </c>
      <c r="L2678" t="s">
        <v>9</v>
      </c>
      <c r="M2678" t="s">
        <v>5568</v>
      </c>
      <c r="N2678" t="s">
        <v>3</v>
      </c>
      <c r="O2678" t="s">
        <v>3</v>
      </c>
      <c r="P2678" t="s">
        <v>5</v>
      </c>
      <c r="Q2678" t="s">
        <v>5569</v>
      </c>
      <c r="R2678" t="s">
        <v>3</v>
      </c>
      <c r="S2678" t="s">
        <v>3</v>
      </c>
      <c r="T2678" t="s">
        <v>3</v>
      </c>
      <c r="U2678" t="s">
        <v>3</v>
      </c>
      <c r="V2678" t="s">
        <v>3</v>
      </c>
      <c r="W2678" t="s">
        <v>68</v>
      </c>
      <c r="X2678" s="17"/>
      <c r="Y2678" t="s">
        <v>3</v>
      </c>
      <c r="Z2678" s="17">
        <v>43849</v>
      </c>
      <c r="AA2678" t="s">
        <v>3</v>
      </c>
      <c r="AB2678" t="s">
        <v>5567</v>
      </c>
    </row>
    <row r="2679" spans="1:28" hidden="1">
      <c r="A2679" t="s">
        <v>5567</v>
      </c>
      <c r="B2679" s="17">
        <v>43849</v>
      </c>
      <c r="C2679" s="17">
        <v>43849</v>
      </c>
      <c r="D2679" t="s">
        <v>0</v>
      </c>
      <c r="E2679" t="s">
        <v>1</v>
      </c>
      <c r="F2679" s="18">
        <v>12981</v>
      </c>
      <c r="G2679" s="18">
        <v>12981</v>
      </c>
      <c r="H2679" t="s">
        <v>2</v>
      </c>
      <c r="I2679" t="s">
        <v>8</v>
      </c>
      <c r="J2679" s="18">
        <v>1089754.95</v>
      </c>
      <c r="K2679" t="s">
        <v>5467</v>
      </c>
      <c r="L2679" t="s">
        <v>9</v>
      </c>
      <c r="M2679" t="s">
        <v>5568</v>
      </c>
      <c r="N2679" t="s">
        <v>3</v>
      </c>
      <c r="O2679" t="s">
        <v>3</v>
      </c>
      <c r="P2679" t="s">
        <v>5</v>
      </c>
      <c r="Q2679" t="s">
        <v>5569</v>
      </c>
      <c r="R2679" t="s">
        <v>3</v>
      </c>
      <c r="S2679" t="s">
        <v>3</v>
      </c>
      <c r="T2679" t="s">
        <v>3</v>
      </c>
      <c r="U2679" t="s">
        <v>3</v>
      </c>
      <c r="V2679" t="s">
        <v>3</v>
      </c>
      <c r="W2679" t="s">
        <v>68</v>
      </c>
      <c r="X2679" s="17"/>
      <c r="Y2679" t="s">
        <v>3</v>
      </c>
      <c r="Z2679" s="17">
        <v>43849</v>
      </c>
      <c r="AA2679" t="s">
        <v>3</v>
      </c>
      <c r="AB2679" t="s">
        <v>5567</v>
      </c>
    </row>
    <row r="2680" spans="1:28" hidden="1">
      <c r="A2680" t="s">
        <v>5570</v>
      </c>
      <c r="B2680" s="17">
        <v>43849</v>
      </c>
      <c r="C2680" s="17">
        <v>43849</v>
      </c>
      <c r="D2680" t="s">
        <v>0</v>
      </c>
      <c r="E2680" t="s">
        <v>1</v>
      </c>
      <c r="F2680" s="18">
        <v>-514408.88</v>
      </c>
      <c r="G2680" s="18">
        <v>-514408.88</v>
      </c>
      <c r="H2680" t="s">
        <v>2</v>
      </c>
      <c r="I2680" t="s">
        <v>8</v>
      </c>
      <c r="J2680" s="18">
        <v>-43184625.479999997</v>
      </c>
      <c r="K2680" t="s">
        <v>5571</v>
      </c>
      <c r="L2680" t="s">
        <v>4</v>
      </c>
      <c r="M2680" t="s">
        <v>5572</v>
      </c>
      <c r="N2680" t="s">
        <v>3</v>
      </c>
      <c r="O2680" t="s">
        <v>3</v>
      </c>
      <c r="P2680" t="s">
        <v>5</v>
      </c>
      <c r="Q2680" t="s">
        <v>5573</v>
      </c>
      <c r="R2680" t="s">
        <v>3</v>
      </c>
      <c r="S2680" t="s">
        <v>3</v>
      </c>
      <c r="T2680" t="s">
        <v>3</v>
      </c>
      <c r="U2680" t="s">
        <v>3</v>
      </c>
      <c r="V2680" t="s">
        <v>3</v>
      </c>
      <c r="W2680" t="s">
        <v>68</v>
      </c>
      <c r="X2680" s="17"/>
      <c r="Y2680" t="s">
        <v>3</v>
      </c>
      <c r="Z2680" s="17">
        <v>43849</v>
      </c>
      <c r="AA2680" t="s">
        <v>3</v>
      </c>
      <c r="AB2680" t="s">
        <v>5570</v>
      </c>
    </row>
    <row r="2681" spans="1:28" hidden="1">
      <c r="A2681" t="s">
        <v>5577</v>
      </c>
      <c r="B2681" s="17">
        <v>43851</v>
      </c>
      <c r="C2681" s="17">
        <v>43851</v>
      </c>
      <c r="D2681" t="s">
        <v>0</v>
      </c>
      <c r="E2681" t="s">
        <v>1</v>
      </c>
      <c r="F2681" s="18">
        <v>35335</v>
      </c>
      <c r="G2681" s="18">
        <v>35335</v>
      </c>
      <c r="H2681" t="s">
        <v>2</v>
      </c>
      <c r="I2681" t="s">
        <v>8</v>
      </c>
      <c r="J2681" s="18">
        <v>2950472.5</v>
      </c>
      <c r="K2681" t="s">
        <v>5150</v>
      </c>
      <c r="L2681" t="s">
        <v>9</v>
      </c>
      <c r="M2681" t="s">
        <v>5578</v>
      </c>
      <c r="N2681" t="s">
        <v>3</v>
      </c>
      <c r="O2681" t="s">
        <v>3</v>
      </c>
      <c r="P2681" t="s">
        <v>5</v>
      </c>
      <c r="Q2681" t="s">
        <v>5579</v>
      </c>
      <c r="R2681" t="s">
        <v>3</v>
      </c>
      <c r="S2681" t="s">
        <v>3</v>
      </c>
      <c r="T2681" t="s">
        <v>3</v>
      </c>
      <c r="U2681" t="s">
        <v>3</v>
      </c>
      <c r="V2681" t="s">
        <v>3</v>
      </c>
      <c r="W2681" t="s">
        <v>68</v>
      </c>
      <c r="X2681" s="17"/>
      <c r="Y2681" t="s">
        <v>3</v>
      </c>
      <c r="Z2681" s="17">
        <v>43851</v>
      </c>
      <c r="AA2681" t="s">
        <v>3</v>
      </c>
      <c r="AB2681" t="s">
        <v>5577</v>
      </c>
    </row>
    <row r="2682" spans="1:28" hidden="1">
      <c r="A2682" t="s">
        <v>5577</v>
      </c>
      <c r="B2682" s="17">
        <v>43851</v>
      </c>
      <c r="C2682" s="17">
        <v>43851</v>
      </c>
      <c r="D2682" t="s">
        <v>0</v>
      </c>
      <c r="E2682" t="s">
        <v>1</v>
      </c>
      <c r="F2682" s="18">
        <v>15591</v>
      </c>
      <c r="G2682" s="18">
        <v>15591</v>
      </c>
      <c r="H2682" t="s">
        <v>2</v>
      </c>
      <c r="I2682" t="s">
        <v>8</v>
      </c>
      <c r="J2682" s="18">
        <v>1308864.45</v>
      </c>
      <c r="K2682" t="s">
        <v>5455</v>
      </c>
      <c r="L2682" t="s">
        <v>9</v>
      </c>
      <c r="M2682" t="s">
        <v>5578</v>
      </c>
      <c r="N2682" t="s">
        <v>3</v>
      </c>
      <c r="O2682" t="s">
        <v>3</v>
      </c>
      <c r="P2682" t="s">
        <v>5</v>
      </c>
      <c r="Q2682" t="s">
        <v>5579</v>
      </c>
      <c r="R2682" t="s">
        <v>3</v>
      </c>
      <c r="S2682" t="s">
        <v>3</v>
      </c>
      <c r="T2682" t="s">
        <v>3</v>
      </c>
      <c r="U2682" t="s">
        <v>3</v>
      </c>
      <c r="V2682" t="s">
        <v>3</v>
      </c>
      <c r="W2682" t="s">
        <v>68</v>
      </c>
      <c r="X2682" s="17"/>
      <c r="Y2682" t="s">
        <v>3</v>
      </c>
      <c r="Z2682" s="17">
        <v>43851</v>
      </c>
      <c r="AA2682" t="s">
        <v>3</v>
      </c>
      <c r="AB2682" t="s">
        <v>5577</v>
      </c>
    </row>
    <row r="2683" spans="1:28" hidden="1">
      <c r="A2683" t="s">
        <v>5577</v>
      </c>
      <c r="B2683" s="17">
        <v>43851</v>
      </c>
      <c r="C2683" s="17">
        <v>43851</v>
      </c>
      <c r="D2683" t="s">
        <v>0</v>
      </c>
      <c r="E2683" t="s">
        <v>1</v>
      </c>
      <c r="F2683" s="18">
        <v>17498</v>
      </c>
      <c r="G2683" s="18">
        <v>17498</v>
      </c>
      <c r="H2683" t="s">
        <v>2</v>
      </c>
      <c r="I2683" t="s">
        <v>8</v>
      </c>
      <c r="J2683" s="18">
        <v>1468957.1</v>
      </c>
      <c r="K2683" t="s">
        <v>5580</v>
      </c>
      <c r="L2683" t="s">
        <v>9</v>
      </c>
      <c r="M2683" t="s">
        <v>5578</v>
      </c>
      <c r="N2683" t="s">
        <v>3</v>
      </c>
      <c r="O2683" t="s">
        <v>3</v>
      </c>
      <c r="P2683" t="s">
        <v>5</v>
      </c>
      <c r="Q2683" t="s">
        <v>5579</v>
      </c>
      <c r="R2683" t="s">
        <v>3</v>
      </c>
      <c r="S2683" t="s">
        <v>3</v>
      </c>
      <c r="T2683" t="s">
        <v>3</v>
      </c>
      <c r="U2683" t="s">
        <v>3</v>
      </c>
      <c r="V2683" t="s">
        <v>3</v>
      </c>
      <c r="W2683" t="s">
        <v>68</v>
      </c>
      <c r="X2683" s="17"/>
      <c r="Y2683" t="s">
        <v>3</v>
      </c>
      <c r="Z2683" s="17">
        <v>43851</v>
      </c>
      <c r="AA2683" t="s">
        <v>3</v>
      </c>
      <c r="AB2683" t="s">
        <v>5577</v>
      </c>
    </row>
    <row r="2684" spans="1:28" hidden="1">
      <c r="A2684" t="s">
        <v>5581</v>
      </c>
      <c r="B2684" s="17">
        <v>43851</v>
      </c>
      <c r="C2684" s="17">
        <v>43851</v>
      </c>
      <c r="D2684" t="s">
        <v>0</v>
      </c>
      <c r="E2684" t="s">
        <v>1</v>
      </c>
      <c r="F2684" s="18">
        <v>1856</v>
      </c>
      <c r="G2684" s="18">
        <v>1856</v>
      </c>
      <c r="H2684" t="s">
        <v>2</v>
      </c>
      <c r="I2684" t="s">
        <v>8</v>
      </c>
      <c r="J2684" s="18">
        <v>155811.20000000001</v>
      </c>
      <c r="K2684" t="s">
        <v>5455</v>
      </c>
      <c r="L2684" t="s">
        <v>9</v>
      </c>
      <c r="M2684" t="s">
        <v>5582</v>
      </c>
      <c r="N2684" t="s">
        <v>3</v>
      </c>
      <c r="O2684" t="s">
        <v>3</v>
      </c>
      <c r="P2684" t="s">
        <v>5</v>
      </c>
      <c r="Q2684" t="s">
        <v>5583</v>
      </c>
      <c r="R2684" t="s">
        <v>3</v>
      </c>
      <c r="S2684" t="s">
        <v>3</v>
      </c>
      <c r="T2684" t="s">
        <v>3</v>
      </c>
      <c r="U2684" t="s">
        <v>3</v>
      </c>
      <c r="V2684" t="s">
        <v>3</v>
      </c>
      <c r="W2684" t="s">
        <v>68</v>
      </c>
      <c r="X2684" s="17"/>
      <c r="Y2684" t="s">
        <v>3</v>
      </c>
      <c r="Z2684" s="17">
        <v>43851</v>
      </c>
      <c r="AA2684" t="s">
        <v>3</v>
      </c>
      <c r="AB2684" t="s">
        <v>5581</v>
      </c>
    </row>
    <row r="2685" spans="1:28" hidden="1">
      <c r="A2685" t="s">
        <v>5611</v>
      </c>
      <c r="B2685" s="17">
        <v>43851</v>
      </c>
      <c r="C2685" s="17">
        <v>43851</v>
      </c>
      <c r="D2685" t="s">
        <v>0</v>
      </c>
      <c r="E2685" t="s">
        <v>1</v>
      </c>
      <c r="F2685" s="18">
        <v>3504</v>
      </c>
      <c r="G2685" s="18">
        <v>3504</v>
      </c>
      <c r="H2685" t="s">
        <v>2</v>
      </c>
      <c r="I2685" t="s">
        <v>8</v>
      </c>
      <c r="J2685" s="18">
        <v>292584</v>
      </c>
      <c r="K2685" t="s">
        <v>5150</v>
      </c>
      <c r="L2685" t="s">
        <v>9</v>
      </c>
      <c r="M2685" t="s">
        <v>5612</v>
      </c>
      <c r="N2685" t="s">
        <v>3</v>
      </c>
      <c r="O2685" t="s">
        <v>3</v>
      </c>
      <c r="P2685" t="s">
        <v>5</v>
      </c>
      <c r="Q2685" t="s">
        <v>5613</v>
      </c>
      <c r="R2685" t="s">
        <v>3</v>
      </c>
      <c r="S2685" t="s">
        <v>3</v>
      </c>
      <c r="T2685" t="s">
        <v>3</v>
      </c>
      <c r="U2685" t="s">
        <v>3</v>
      </c>
      <c r="V2685" t="s">
        <v>3</v>
      </c>
      <c r="W2685" t="s">
        <v>68</v>
      </c>
      <c r="X2685" s="17"/>
      <c r="Y2685" t="s">
        <v>3</v>
      </c>
      <c r="Z2685" s="17">
        <v>43851</v>
      </c>
      <c r="AA2685" t="s">
        <v>3</v>
      </c>
      <c r="AB2685" t="s">
        <v>5611</v>
      </c>
    </row>
    <row r="2686" spans="1:28" hidden="1">
      <c r="A2686" t="s">
        <v>5611</v>
      </c>
      <c r="B2686" s="17">
        <v>43851</v>
      </c>
      <c r="C2686" s="17">
        <v>43851</v>
      </c>
      <c r="D2686" t="s">
        <v>0</v>
      </c>
      <c r="E2686" t="s">
        <v>1</v>
      </c>
      <c r="F2686" s="18">
        <v>900</v>
      </c>
      <c r="G2686" s="18">
        <v>900</v>
      </c>
      <c r="H2686" t="s">
        <v>2</v>
      </c>
      <c r="I2686" t="s">
        <v>8</v>
      </c>
      <c r="J2686" s="18">
        <v>75555</v>
      </c>
      <c r="K2686" t="s">
        <v>5614</v>
      </c>
      <c r="L2686" t="s">
        <v>9</v>
      </c>
      <c r="M2686" t="s">
        <v>5612</v>
      </c>
      <c r="N2686" t="s">
        <v>3</v>
      </c>
      <c r="O2686" t="s">
        <v>3</v>
      </c>
      <c r="P2686" t="s">
        <v>5</v>
      </c>
      <c r="Q2686" t="s">
        <v>5613</v>
      </c>
      <c r="R2686" t="s">
        <v>3</v>
      </c>
      <c r="S2686" t="s">
        <v>3</v>
      </c>
      <c r="T2686" t="s">
        <v>3</v>
      </c>
      <c r="U2686" t="s">
        <v>3</v>
      </c>
      <c r="V2686" t="s">
        <v>3</v>
      </c>
      <c r="W2686" t="s">
        <v>68</v>
      </c>
      <c r="X2686" s="17"/>
      <c r="Y2686" t="s">
        <v>3</v>
      </c>
      <c r="Z2686" s="17">
        <v>43851</v>
      </c>
      <c r="AA2686" t="s">
        <v>3</v>
      </c>
      <c r="AB2686" t="s">
        <v>5611</v>
      </c>
    </row>
    <row r="2687" spans="1:28" hidden="1">
      <c r="A2687" t="s">
        <v>5584</v>
      </c>
      <c r="B2687" s="17">
        <v>43852</v>
      </c>
      <c r="C2687" s="17">
        <v>43852</v>
      </c>
      <c r="D2687" t="s">
        <v>0</v>
      </c>
      <c r="E2687" t="s">
        <v>1</v>
      </c>
      <c r="F2687" s="18">
        <v>283.38</v>
      </c>
      <c r="G2687" s="18">
        <v>283.38</v>
      </c>
      <c r="H2687" t="s">
        <v>2</v>
      </c>
      <c r="I2687" t="s">
        <v>8</v>
      </c>
      <c r="J2687" s="18">
        <v>23789.75</v>
      </c>
      <c r="K2687" t="s">
        <v>5585</v>
      </c>
      <c r="L2687" t="s">
        <v>4</v>
      </c>
      <c r="M2687" t="s">
        <v>5586</v>
      </c>
      <c r="N2687" t="s">
        <v>3</v>
      </c>
      <c r="O2687" t="s">
        <v>3</v>
      </c>
      <c r="P2687" t="s">
        <v>5</v>
      </c>
      <c r="Q2687" t="s">
        <v>5587</v>
      </c>
      <c r="R2687" t="s">
        <v>3</v>
      </c>
      <c r="S2687" t="s">
        <v>3</v>
      </c>
      <c r="T2687" t="s">
        <v>3</v>
      </c>
      <c r="U2687" t="s">
        <v>3</v>
      </c>
      <c r="V2687" t="s">
        <v>3</v>
      </c>
      <c r="W2687" t="s">
        <v>68</v>
      </c>
      <c r="X2687" s="17"/>
      <c r="Y2687" t="s">
        <v>3</v>
      </c>
      <c r="Z2687" s="17">
        <v>43852</v>
      </c>
      <c r="AA2687" t="s">
        <v>3</v>
      </c>
      <c r="AB2687" t="s">
        <v>5584</v>
      </c>
    </row>
    <row r="2688" spans="1:28" hidden="1">
      <c r="A2688" t="s">
        <v>5584</v>
      </c>
      <c r="B2688" s="17">
        <v>43852</v>
      </c>
      <c r="C2688" s="17">
        <v>43852</v>
      </c>
      <c r="D2688" t="s">
        <v>0</v>
      </c>
      <c r="E2688" t="s">
        <v>1</v>
      </c>
      <c r="F2688" s="18">
        <v>5670.87</v>
      </c>
      <c r="G2688" s="18">
        <v>5670.87</v>
      </c>
      <c r="H2688" t="s">
        <v>2</v>
      </c>
      <c r="I2688" t="s">
        <v>8</v>
      </c>
      <c r="J2688" s="18">
        <v>476069.54</v>
      </c>
      <c r="K2688" t="s">
        <v>5442</v>
      </c>
      <c r="L2688" t="s">
        <v>4</v>
      </c>
      <c r="M2688" t="s">
        <v>5586</v>
      </c>
      <c r="N2688" t="s">
        <v>3</v>
      </c>
      <c r="O2688" t="s">
        <v>3</v>
      </c>
      <c r="P2688" t="s">
        <v>5</v>
      </c>
      <c r="Q2688" t="s">
        <v>5587</v>
      </c>
      <c r="R2688" t="s">
        <v>3</v>
      </c>
      <c r="S2688" t="s">
        <v>3</v>
      </c>
      <c r="T2688" t="s">
        <v>3</v>
      </c>
      <c r="U2688" t="s">
        <v>3</v>
      </c>
      <c r="V2688" t="s">
        <v>3</v>
      </c>
      <c r="W2688" t="s">
        <v>68</v>
      </c>
      <c r="X2688" s="17"/>
      <c r="Y2688" t="s">
        <v>3</v>
      </c>
      <c r="Z2688" s="17">
        <v>43852</v>
      </c>
      <c r="AA2688" t="s">
        <v>3</v>
      </c>
      <c r="AB2688" t="s">
        <v>5584</v>
      </c>
    </row>
    <row r="2689" spans="1:28" hidden="1">
      <c r="A2689" t="s">
        <v>5588</v>
      </c>
      <c r="B2689" s="17">
        <v>43852</v>
      </c>
      <c r="C2689" s="17">
        <v>43852</v>
      </c>
      <c r="D2689" t="s">
        <v>0</v>
      </c>
      <c r="E2689" t="s">
        <v>1</v>
      </c>
      <c r="F2689" s="18">
        <v>2368.59</v>
      </c>
      <c r="G2689" s="18">
        <v>2368.59</v>
      </c>
      <c r="H2689" t="s">
        <v>2</v>
      </c>
      <c r="I2689" t="s">
        <v>8</v>
      </c>
      <c r="J2689" s="18">
        <v>198843.13</v>
      </c>
      <c r="K2689" t="s">
        <v>5589</v>
      </c>
      <c r="L2689" t="s">
        <v>4</v>
      </c>
      <c r="M2689" t="s">
        <v>5590</v>
      </c>
      <c r="N2689" t="s">
        <v>3</v>
      </c>
      <c r="O2689" t="s">
        <v>3</v>
      </c>
      <c r="P2689" t="s">
        <v>5</v>
      </c>
      <c r="Q2689" t="s">
        <v>5591</v>
      </c>
      <c r="R2689" t="s">
        <v>3</v>
      </c>
      <c r="S2689" t="s">
        <v>3</v>
      </c>
      <c r="T2689" t="s">
        <v>3</v>
      </c>
      <c r="U2689" t="s">
        <v>3</v>
      </c>
      <c r="V2689" t="s">
        <v>3</v>
      </c>
      <c r="W2689" t="s">
        <v>68</v>
      </c>
      <c r="X2689" s="17"/>
      <c r="Y2689" t="s">
        <v>3</v>
      </c>
      <c r="Z2689" s="17">
        <v>43852</v>
      </c>
      <c r="AA2689" t="s">
        <v>3</v>
      </c>
      <c r="AB2689" t="s">
        <v>5588</v>
      </c>
    </row>
    <row r="2690" spans="1:28" hidden="1">
      <c r="A2690" t="s">
        <v>5588</v>
      </c>
      <c r="B2690" s="17">
        <v>43852</v>
      </c>
      <c r="C2690" s="17">
        <v>43852</v>
      </c>
      <c r="D2690" t="s">
        <v>0</v>
      </c>
      <c r="E2690" t="s">
        <v>1</v>
      </c>
      <c r="F2690" s="18">
        <v>333.75</v>
      </c>
      <c r="G2690" s="18">
        <v>333.75</v>
      </c>
      <c r="H2690" t="s">
        <v>2</v>
      </c>
      <c r="I2690" t="s">
        <v>8</v>
      </c>
      <c r="J2690" s="18">
        <v>28018.31</v>
      </c>
      <c r="K2690" t="s">
        <v>5442</v>
      </c>
      <c r="L2690" t="s">
        <v>4</v>
      </c>
      <c r="M2690" t="s">
        <v>5590</v>
      </c>
      <c r="N2690" t="s">
        <v>3</v>
      </c>
      <c r="O2690" t="s">
        <v>3</v>
      </c>
      <c r="P2690" t="s">
        <v>5</v>
      </c>
      <c r="Q2690" t="s">
        <v>5591</v>
      </c>
      <c r="R2690" t="s">
        <v>3</v>
      </c>
      <c r="S2690" t="s">
        <v>3</v>
      </c>
      <c r="T2690" t="s">
        <v>3</v>
      </c>
      <c r="U2690" t="s">
        <v>3</v>
      </c>
      <c r="V2690" t="s">
        <v>3</v>
      </c>
      <c r="W2690" t="s">
        <v>68</v>
      </c>
      <c r="X2690" s="17"/>
      <c r="Y2690" t="s">
        <v>3</v>
      </c>
      <c r="Z2690" s="17">
        <v>43852</v>
      </c>
      <c r="AA2690" t="s">
        <v>3</v>
      </c>
      <c r="AB2690" t="s">
        <v>5588</v>
      </c>
    </row>
    <row r="2691" spans="1:28" hidden="1">
      <c r="A2691" t="s">
        <v>5592</v>
      </c>
      <c r="B2691" s="17">
        <v>43856</v>
      </c>
      <c r="C2691" s="17">
        <v>43856</v>
      </c>
      <c r="D2691" t="s">
        <v>0</v>
      </c>
      <c r="E2691" t="s">
        <v>1</v>
      </c>
      <c r="F2691" s="18">
        <v>5087.99</v>
      </c>
      <c r="G2691" s="18">
        <v>5087.99</v>
      </c>
      <c r="H2691" t="s">
        <v>2</v>
      </c>
      <c r="I2691" t="s">
        <v>8</v>
      </c>
      <c r="J2691" s="18">
        <v>427136.76</v>
      </c>
      <c r="K2691" t="s">
        <v>5440</v>
      </c>
      <c r="L2691" t="s">
        <v>4</v>
      </c>
      <c r="M2691" t="s">
        <v>5593</v>
      </c>
      <c r="N2691" t="s">
        <v>3</v>
      </c>
      <c r="O2691" t="s">
        <v>3</v>
      </c>
      <c r="P2691" t="s">
        <v>5</v>
      </c>
      <c r="Q2691" t="s">
        <v>5594</v>
      </c>
      <c r="R2691" t="s">
        <v>3</v>
      </c>
      <c r="S2691" t="s">
        <v>3</v>
      </c>
      <c r="T2691" t="s">
        <v>3</v>
      </c>
      <c r="U2691" t="s">
        <v>3</v>
      </c>
      <c r="V2691" t="s">
        <v>3</v>
      </c>
      <c r="W2691" t="s">
        <v>68</v>
      </c>
      <c r="X2691" s="17"/>
      <c r="Y2691" t="s">
        <v>3</v>
      </c>
      <c r="Z2691" s="17">
        <v>43856</v>
      </c>
      <c r="AA2691" t="s">
        <v>3</v>
      </c>
      <c r="AB2691" t="s">
        <v>5592</v>
      </c>
    </row>
    <row r="2692" spans="1:28" hidden="1">
      <c r="A2692" t="s">
        <v>5592</v>
      </c>
      <c r="B2692" s="17">
        <v>43856</v>
      </c>
      <c r="C2692" s="17">
        <v>43856</v>
      </c>
      <c r="D2692" t="s">
        <v>0</v>
      </c>
      <c r="E2692" t="s">
        <v>1</v>
      </c>
      <c r="F2692" s="18">
        <v>6831.78</v>
      </c>
      <c r="G2692" s="18">
        <v>6831.78</v>
      </c>
      <c r="H2692" t="s">
        <v>2</v>
      </c>
      <c r="I2692" t="s">
        <v>8</v>
      </c>
      <c r="J2692" s="18">
        <v>572844.75</v>
      </c>
      <c r="K2692" t="s">
        <v>5441</v>
      </c>
      <c r="L2692" t="s">
        <v>4</v>
      </c>
      <c r="M2692" t="s">
        <v>5593</v>
      </c>
      <c r="N2692" t="s">
        <v>3</v>
      </c>
      <c r="O2692" t="s">
        <v>3</v>
      </c>
      <c r="P2692" t="s">
        <v>5</v>
      </c>
      <c r="Q2692" t="s">
        <v>5594</v>
      </c>
      <c r="R2692" t="s">
        <v>3</v>
      </c>
      <c r="S2692" t="s">
        <v>3</v>
      </c>
      <c r="T2692" t="s">
        <v>3</v>
      </c>
      <c r="U2692" t="s">
        <v>3</v>
      </c>
      <c r="V2692" t="s">
        <v>3</v>
      </c>
      <c r="W2692" t="s">
        <v>68</v>
      </c>
      <c r="X2692" s="17"/>
      <c r="Y2692" t="s">
        <v>3</v>
      </c>
      <c r="Z2692" s="17">
        <v>43856</v>
      </c>
      <c r="AA2692" t="s">
        <v>3</v>
      </c>
      <c r="AB2692" t="s">
        <v>5592</v>
      </c>
    </row>
    <row r="2693" spans="1:28" hidden="1">
      <c r="A2693" t="s">
        <v>5592</v>
      </c>
      <c r="B2693" s="17">
        <v>43856</v>
      </c>
      <c r="C2693" s="17">
        <v>43856</v>
      </c>
      <c r="D2693" t="s">
        <v>0</v>
      </c>
      <c r="E2693" t="s">
        <v>1</v>
      </c>
      <c r="F2693" s="18">
        <v>3399.71</v>
      </c>
      <c r="G2693" s="18">
        <v>3399.71</v>
      </c>
      <c r="H2693" t="s">
        <v>2</v>
      </c>
      <c r="I2693" t="s">
        <v>8</v>
      </c>
      <c r="J2693" s="18">
        <v>285405.65000000002</v>
      </c>
      <c r="K2693" t="s">
        <v>5442</v>
      </c>
      <c r="L2693" t="s">
        <v>4</v>
      </c>
      <c r="M2693" t="s">
        <v>5593</v>
      </c>
      <c r="N2693" t="s">
        <v>3</v>
      </c>
      <c r="O2693" t="s">
        <v>3</v>
      </c>
      <c r="P2693" t="s">
        <v>5</v>
      </c>
      <c r="Q2693" t="s">
        <v>5594</v>
      </c>
      <c r="R2693" t="s">
        <v>3</v>
      </c>
      <c r="S2693" t="s">
        <v>3</v>
      </c>
      <c r="T2693" t="s">
        <v>3</v>
      </c>
      <c r="U2693" t="s">
        <v>3</v>
      </c>
      <c r="V2693" t="s">
        <v>3</v>
      </c>
      <c r="W2693" t="s">
        <v>68</v>
      </c>
      <c r="X2693" s="17"/>
      <c r="Y2693" t="s">
        <v>3</v>
      </c>
      <c r="Z2693" s="17">
        <v>43856</v>
      </c>
      <c r="AA2693" t="s">
        <v>3</v>
      </c>
      <c r="AB2693" t="s">
        <v>5592</v>
      </c>
    </row>
    <row r="2694" spans="1:28" hidden="1">
      <c r="A2694" t="s">
        <v>5595</v>
      </c>
      <c r="B2694" s="17">
        <v>43858</v>
      </c>
      <c r="C2694" s="17">
        <v>43858</v>
      </c>
      <c r="D2694" t="s">
        <v>0</v>
      </c>
      <c r="E2694" t="s">
        <v>1</v>
      </c>
      <c r="F2694" s="18">
        <v>19549.669999999998</v>
      </c>
      <c r="G2694" s="18">
        <v>19549.669999999998</v>
      </c>
      <c r="H2694" t="s">
        <v>2</v>
      </c>
      <c r="I2694" t="s">
        <v>8</v>
      </c>
      <c r="J2694" s="18">
        <v>1641194.8</v>
      </c>
      <c r="K2694" t="s">
        <v>5585</v>
      </c>
      <c r="L2694" t="s">
        <v>4</v>
      </c>
      <c r="M2694" t="s">
        <v>5596</v>
      </c>
      <c r="N2694" t="s">
        <v>3</v>
      </c>
      <c r="O2694" t="s">
        <v>3</v>
      </c>
      <c r="P2694" t="s">
        <v>5</v>
      </c>
      <c r="Q2694" t="s">
        <v>5597</v>
      </c>
      <c r="R2694" t="s">
        <v>3</v>
      </c>
      <c r="S2694" t="s">
        <v>3</v>
      </c>
      <c r="T2694" t="s">
        <v>3</v>
      </c>
      <c r="U2694" t="s">
        <v>3</v>
      </c>
      <c r="V2694" t="s">
        <v>3</v>
      </c>
      <c r="W2694" t="s">
        <v>68</v>
      </c>
      <c r="X2694" s="17"/>
      <c r="Y2694" t="s">
        <v>3</v>
      </c>
      <c r="Z2694" s="17">
        <v>43858</v>
      </c>
      <c r="AA2694" t="s">
        <v>3</v>
      </c>
      <c r="AB2694" t="s">
        <v>5595</v>
      </c>
    </row>
    <row r="2695" spans="1:28" hidden="1">
      <c r="A2695" t="s">
        <v>5598</v>
      </c>
      <c r="B2695" s="17">
        <v>43858</v>
      </c>
      <c r="C2695" s="17">
        <v>43858</v>
      </c>
      <c r="D2695" t="s">
        <v>0</v>
      </c>
      <c r="E2695" t="s">
        <v>1</v>
      </c>
      <c r="F2695" s="18">
        <v>26281</v>
      </c>
      <c r="G2695" s="18">
        <v>26281</v>
      </c>
      <c r="H2695" t="s">
        <v>2</v>
      </c>
      <c r="I2695" t="s">
        <v>10</v>
      </c>
      <c r="J2695" s="18">
        <v>2206289.9500000002</v>
      </c>
      <c r="K2695" t="s">
        <v>5599</v>
      </c>
      <c r="L2695" t="s">
        <v>9</v>
      </c>
      <c r="M2695" t="s">
        <v>5600</v>
      </c>
      <c r="N2695" t="s">
        <v>3</v>
      </c>
      <c r="O2695" t="s">
        <v>3</v>
      </c>
      <c r="P2695" t="s">
        <v>5</v>
      </c>
      <c r="Q2695" t="s">
        <v>5601</v>
      </c>
      <c r="R2695" t="s">
        <v>3</v>
      </c>
      <c r="S2695" t="s">
        <v>3</v>
      </c>
      <c r="T2695" t="s">
        <v>3</v>
      </c>
      <c r="U2695" t="s">
        <v>3</v>
      </c>
      <c r="V2695" t="s">
        <v>3</v>
      </c>
      <c r="W2695" t="s">
        <v>68</v>
      </c>
      <c r="X2695" s="17"/>
      <c r="Y2695" t="s">
        <v>3</v>
      </c>
      <c r="Z2695" s="17">
        <v>43858</v>
      </c>
      <c r="AA2695" t="s">
        <v>3</v>
      </c>
      <c r="AB2695" t="s">
        <v>5598</v>
      </c>
    </row>
    <row r="2696" spans="1:28" hidden="1">
      <c r="A2696" t="s">
        <v>5602</v>
      </c>
      <c r="B2696" s="17">
        <v>43858</v>
      </c>
      <c r="C2696" s="17">
        <v>43858</v>
      </c>
      <c r="D2696" t="s">
        <v>0</v>
      </c>
      <c r="E2696" t="s">
        <v>1</v>
      </c>
      <c r="F2696" s="18">
        <v>10791</v>
      </c>
      <c r="G2696" s="18">
        <v>10791</v>
      </c>
      <c r="H2696" t="s">
        <v>2</v>
      </c>
      <c r="I2696" t="s">
        <v>8</v>
      </c>
      <c r="J2696" s="18">
        <v>901048.5</v>
      </c>
      <c r="K2696" t="s">
        <v>5207</v>
      </c>
      <c r="L2696" t="s">
        <v>9</v>
      </c>
      <c r="M2696" t="s">
        <v>5603</v>
      </c>
      <c r="N2696" t="s">
        <v>3</v>
      </c>
      <c r="O2696" t="s">
        <v>3</v>
      </c>
      <c r="P2696" t="s">
        <v>5</v>
      </c>
      <c r="Q2696" t="s">
        <v>5604</v>
      </c>
      <c r="R2696" t="s">
        <v>3</v>
      </c>
      <c r="S2696" t="s">
        <v>3</v>
      </c>
      <c r="T2696" t="s">
        <v>3</v>
      </c>
      <c r="U2696" t="s">
        <v>3</v>
      </c>
      <c r="V2696" t="s">
        <v>3</v>
      </c>
      <c r="W2696" t="s">
        <v>68</v>
      </c>
      <c r="X2696" s="17"/>
      <c r="Y2696" t="s">
        <v>3</v>
      </c>
      <c r="Z2696" s="17">
        <v>43858</v>
      </c>
      <c r="AA2696" t="s">
        <v>3</v>
      </c>
      <c r="AB2696" t="s">
        <v>5602</v>
      </c>
    </row>
    <row r="2697" spans="1:28" hidden="1">
      <c r="A2697" t="s">
        <v>5602</v>
      </c>
      <c r="B2697" s="17">
        <v>43858</v>
      </c>
      <c r="C2697" s="17">
        <v>43858</v>
      </c>
      <c r="D2697" t="s">
        <v>0</v>
      </c>
      <c r="E2697" t="s">
        <v>1</v>
      </c>
      <c r="F2697" s="18">
        <v>275223</v>
      </c>
      <c r="G2697" s="18">
        <v>275223</v>
      </c>
      <c r="H2697" t="s">
        <v>2</v>
      </c>
      <c r="I2697" t="s">
        <v>8</v>
      </c>
      <c r="J2697" s="18">
        <v>23104970.850000001</v>
      </c>
      <c r="K2697" t="s">
        <v>5452</v>
      </c>
      <c r="L2697" t="s">
        <v>9</v>
      </c>
      <c r="M2697" t="s">
        <v>5603</v>
      </c>
      <c r="N2697" t="s">
        <v>3</v>
      </c>
      <c r="O2697" t="s">
        <v>3</v>
      </c>
      <c r="P2697" t="s">
        <v>5</v>
      </c>
      <c r="Q2697" t="s">
        <v>5604</v>
      </c>
      <c r="R2697" t="s">
        <v>3</v>
      </c>
      <c r="S2697" t="s">
        <v>3</v>
      </c>
      <c r="T2697" t="s">
        <v>3</v>
      </c>
      <c r="U2697" t="s">
        <v>3</v>
      </c>
      <c r="V2697" t="s">
        <v>3</v>
      </c>
      <c r="W2697" t="s">
        <v>68</v>
      </c>
      <c r="X2697" s="17"/>
      <c r="Y2697" t="s">
        <v>3</v>
      </c>
      <c r="Z2697" s="17">
        <v>43858</v>
      </c>
      <c r="AA2697" t="s">
        <v>3</v>
      </c>
      <c r="AB2697" t="s">
        <v>5602</v>
      </c>
    </row>
    <row r="2698" spans="1:28" hidden="1">
      <c r="A2698" t="s">
        <v>5602</v>
      </c>
      <c r="B2698" s="17">
        <v>43858</v>
      </c>
      <c r="C2698" s="17">
        <v>43858</v>
      </c>
      <c r="D2698" t="s">
        <v>0</v>
      </c>
      <c r="E2698" t="s">
        <v>1</v>
      </c>
      <c r="F2698" s="18">
        <v>2745</v>
      </c>
      <c r="G2698" s="18">
        <v>2745</v>
      </c>
      <c r="H2698" t="s">
        <v>2</v>
      </c>
      <c r="I2698" t="s">
        <v>8</v>
      </c>
      <c r="J2698" s="18">
        <v>229207.5</v>
      </c>
      <c r="K2698" t="s">
        <v>4886</v>
      </c>
      <c r="L2698" t="s">
        <v>9</v>
      </c>
      <c r="M2698" t="s">
        <v>5603</v>
      </c>
      <c r="N2698" t="s">
        <v>3</v>
      </c>
      <c r="O2698" t="s">
        <v>3</v>
      </c>
      <c r="P2698" t="s">
        <v>5</v>
      </c>
      <c r="Q2698" t="s">
        <v>5604</v>
      </c>
      <c r="R2698" t="s">
        <v>3</v>
      </c>
      <c r="S2698" t="s">
        <v>3</v>
      </c>
      <c r="T2698" t="s">
        <v>3</v>
      </c>
      <c r="U2698" t="s">
        <v>3</v>
      </c>
      <c r="V2698" t="s">
        <v>3</v>
      </c>
      <c r="W2698" t="s">
        <v>68</v>
      </c>
      <c r="X2698" s="17"/>
      <c r="Y2698" t="s">
        <v>3</v>
      </c>
      <c r="Z2698" s="17">
        <v>43858</v>
      </c>
      <c r="AA2698" t="s">
        <v>3</v>
      </c>
      <c r="AB2698" t="s">
        <v>5602</v>
      </c>
    </row>
    <row r="2699" spans="1:28" hidden="1">
      <c r="A2699" t="s">
        <v>5602</v>
      </c>
      <c r="B2699" s="17">
        <v>43858</v>
      </c>
      <c r="C2699" s="17">
        <v>43858</v>
      </c>
      <c r="D2699" t="s">
        <v>0</v>
      </c>
      <c r="E2699" t="s">
        <v>1</v>
      </c>
      <c r="F2699" s="18">
        <v>6111</v>
      </c>
      <c r="G2699" s="18">
        <v>6111</v>
      </c>
      <c r="H2699" t="s">
        <v>2</v>
      </c>
      <c r="I2699" t="s">
        <v>8</v>
      </c>
      <c r="J2699" s="18">
        <v>510268.5</v>
      </c>
      <c r="K2699" t="s">
        <v>5031</v>
      </c>
      <c r="L2699" t="s">
        <v>9</v>
      </c>
      <c r="M2699" t="s">
        <v>5603</v>
      </c>
      <c r="N2699" t="s">
        <v>3</v>
      </c>
      <c r="O2699" t="s">
        <v>3</v>
      </c>
      <c r="P2699" t="s">
        <v>5</v>
      </c>
      <c r="Q2699" t="s">
        <v>5604</v>
      </c>
      <c r="R2699" t="s">
        <v>3</v>
      </c>
      <c r="S2699" t="s">
        <v>3</v>
      </c>
      <c r="T2699" t="s">
        <v>3</v>
      </c>
      <c r="U2699" t="s">
        <v>3</v>
      </c>
      <c r="V2699" t="s">
        <v>3</v>
      </c>
      <c r="W2699" t="s">
        <v>68</v>
      </c>
      <c r="X2699" s="17"/>
      <c r="Y2699" t="s">
        <v>3</v>
      </c>
      <c r="Z2699" s="17">
        <v>43858</v>
      </c>
      <c r="AA2699" t="s">
        <v>3</v>
      </c>
      <c r="AB2699" t="s">
        <v>5602</v>
      </c>
    </row>
    <row r="2700" spans="1:28" hidden="1">
      <c r="A2700" t="s">
        <v>5602</v>
      </c>
      <c r="B2700" s="17">
        <v>43858</v>
      </c>
      <c r="C2700" s="17">
        <v>43858</v>
      </c>
      <c r="D2700" t="s">
        <v>0</v>
      </c>
      <c r="E2700" t="s">
        <v>1</v>
      </c>
      <c r="F2700" s="18">
        <v>4541</v>
      </c>
      <c r="G2700" s="18">
        <v>4541</v>
      </c>
      <c r="H2700" t="s">
        <v>2</v>
      </c>
      <c r="I2700" t="s">
        <v>8</v>
      </c>
      <c r="J2700" s="18">
        <v>379173.5</v>
      </c>
      <c r="K2700" t="s">
        <v>5150</v>
      </c>
      <c r="L2700" t="s">
        <v>9</v>
      </c>
      <c r="M2700" t="s">
        <v>5603</v>
      </c>
      <c r="N2700" t="s">
        <v>3</v>
      </c>
      <c r="O2700" t="s">
        <v>3</v>
      </c>
      <c r="P2700" t="s">
        <v>5</v>
      </c>
      <c r="Q2700" t="s">
        <v>5604</v>
      </c>
      <c r="R2700" t="s">
        <v>3</v>
      </c>
      <c r="S2700" t="s">
        <v>3</v>
      </c>
      <c r="T2700" t="s">
        <v>3</v>
      </c>
      <c r="U2700" t="s">
        <v>3</v>
      </c>
      <c r="V2700" t="s">
        <v>3</v>
      </c>
      <c r="W2700" t="s">
        <v>68</v>
      </c>
      <c r="X2700" s="17"/>
      <c r="Y2700" t="s">
        <v>3</v>
      </c>
      <c r="Z2700" s="17">
        <v>43858</v>
      </c>
      <c r="AA2700" t="s">
        <v>3</v>
      </c>
      <c r="AB2700" t="s">
        <v>5602</v>
      </c>
    </row>
    <row r="2701" spans="1:28" hidden="1">
      <c r="A2701" t="s">
        <v>5602</v>
      </c>
      <c r="B2701" s="17">
        <v>43858</v>
      </c>
      <c r="C2701" s="17">
        <v>43858</v>
      </c>
      <c r="D2701" t="s">
        <v>0</v>
      </c>
      <c r="E2701" t="s">
        <v>1</v>
      </c>
      <c r="F2701" s="18">
        <v>62214</v>
      </c>
      <c r="G2701" s="18">
        <v>62214</v>
      </c>
      <c r="H2701" t="s">
        <v>2</v>
      </c>
      <c r="I2701" t="s">
        <v>8</v>
      </c>
      <c r="J2701" s="18">
        <v>5216643.9000000004</v>
      </c>
      <c r="K2701" t="s">
        <v>5453</v>
      </c>
      <c r="L2701" t="s">
        <v>9</v>
      </c>
      <c r="M2701" t="s">
        <v>5603</v>
      </c>
      <c r="N2701" t="s">
        <v>3</v>
      </c>
      <c r="O2701" t="s">
        <v>3</v>
      </c>
      <c r="P2701" t="s">
        <v>5</v>
      </c>
      <c r="Q2701" t="s">
        <v>5604</v>
      </c>
      <c r="R2701" t="s">
        <v>3</v>
      </c>
      <c r="S2701" t="s">
        <v>3</v>
      </c>
      <c r="T2701" t="s">
        <v>3</v>
      </c>
      <c r="U2701" t="s">
        <v>3</v>
      </c>
      <c r="V2701" t="s">
        <v>3</v>
      </c>
      <c r="W2701" t="s">
        <v>68</v>
      </c>
      <c r="X2701" s="17"/>
      <c r="Y2701" t="s">
        <v>3</v>
      </c>
      <c r="Z2701" s="17">
        <v>43858</v>
      </c>
      <c r="AA2701" t="s">
        <v>3</v>
      </c>
      <c r="AB2701" t="s">
        <v>5602</v>
      </c>
    </row>
    <row r="2702" spans="1:28" hidden="1">
      <c r="A2702" t="s">
        <v>5602</v>
      </c>
      <c r="B2702" s="17">
        <v>43858</v>
      </c>
      <c r="C2702" s="17">
        <v>43858</v>
      </c>
      <c r="D2702" t="s">
        <v>0</v>
      </c>
      <c r="E2702" t="s">
        <v>1</v>
      </c>
      <c r="F2702" s="18">
        <v>310237</v>
      </c>
      <c r="G2702" s="18">
        <v>310237</v>
      </c>
      <c r="H2702" t="s">
        <v>2</v>
      </c>
      <c r="I2702" t="s">
        <v>8</v>
      </c>
      <c r="J2702" s="18">
        <v>26044396.149999999</v>
      </c>
      <c r="K2702" t="s">
        <v>5605</v>
      </c>
      <c r="L2702" t="s">
        <v>9</v>
      </c>
      <c r="M2702" t="s">
        <v>5603</v>
      </c>
      <c r="N2702" t="s">
        <v>3</v>
      </c>
      <c r="O2702" t="s">
        <v>3</v>
      </c>
      <c r="P2702" t="s">
        <v>5</v>
      </c>
      <c r="Q2702" t="s">
        <v>5604</v>
      </c>
      <c r="R2702" t="s">
        <v>3</v>
      </c>
      <c r="S2702" t="s">
        <v>3</v>
      </c>
      <c r="T2702" t="s">
        <v>3</v>
      </c>
      <c r="U2702" t="s">
        <v>3</v>
      </c>
      <c r="V2702" t="s">
        <v>3</v>
      </c>
      <c r="W2702" t="s">
        <v>68</v>
      </c>
      <c r="X2702" s="17"/>
      <c r="Y2702" t="s">
        <v>3</v>
      </c>
      <c r="Z2702" s="17">
        <v>43858</v>
      </c>
      <c r="AA2702" t="s">
        <v>3</v>
      </c>
      <c r="AB2702" t="s">
        <v>5602</v>
      </c>
    </row>
    <row r="2703" spans="1:28" hidden="1">
      <c r="A2703" t="s">
        <v>5602</v>
      </c>
      <c r="B2703" s="17">
        <v>43858</v>
      </c>
      <c r="C2703" s="17">
        <v>43858</v>
      </c>
      <c r="D2703" t="s">
        <v>0</v>
      </c>
      <c r="E2703" t="s">
        <v>1</v>
      </c>
      <c r="F2703" s="18">
        <v>169083</v>
      </c>
      <c r="G2703" s="18">
        <v>169083</v>
      </c>
      <c r="H2703" t="s">
        <v>2</v>
      </c>
      <c r="I2703" t="s">
        <v>8</v>
      </c>
      <c r="J2703" s="18">
        <v>14194517.85</v>
      </c>
      <c r="K2703" t="s">
        <v>5606</v>
      </c>
      <c r="L2703" t="s">
        <v>9</v>
      </c>
      <c r="M2703" t="s">
        <v>5603</v>
      </c>
      <c r="N2703" t="s">
        <v>3</v>
      </c>
      <c r="O2703" t="s">
        <v>3</v>
      </c>
      <c r="P2703" t="s">
        <v>5</v>
      </c>
      <c r="Q2703" t="s">
        <v>5604</v>
      </c>
      <c r="R2703" t="s">
        <v>3</v>
      </c>
      <c r="S2703" t="s">
        <v>3</v>
      </c>
      <c r="T2703" t="s">
        <v>3</v>
      </c>
      <c r="U2703" t="s">
        <v>3</v>
      </c>
      <c r="V2703" t="s">
        <v>3</v>
      </c>
      <c r="W2703" t="s">
        <v>68</v>
      </c>
      <c r="X2703" s="17"/>
      <c r="Y2703" t="s">
        <v>3</v>
      </c>
      <c r="Z2703" s="17">
        <v>43858</v>
      </c>
      <c r="AA2703" t="s">
        <v>3</v>
      </c>
      <c r="AB2703" t="s">
        <v>5602</v>
      </c>
    </row>
    <row r="2704" spans="1:28" hidden="1">
      <c r="A2704" t="s">
        <v>5602</v>
      </c>
      <c r="B2704" s="17">
        <v>43858</v>
      </c>
      <c r="C2704" s="17">
        <v>43858</v>
      </c>
      <c r="D2704" t="s">
        <v>0</v>
      </c>
      <c r="E2704" t="s">
        <v>1</v>
      </c>
      <c r="F2704" s="18">
        <v>103044</v>
      </c>
      <c r="G2704" s="18">
        <v>103044</v>
      </c>
      <c r="H2704" t="s">
        <v>2</v>
      </c>
      <c r="I2704" t="s">
        <v>8</v>
      </c>
      <c r="J2704" s="18">
        <v>8650543.8000000007</v>
      </c>
      <c r="K2704" t="s">
        <v>5455</v>
      </c>
      <c r="L2704" t="s">
        <v>9</v>
      </c>
      <c r="M2704" t="s">
        <v>5603</v>
      </c>
      <c r="N2704" t="s">
        <v>3</v>
      </c>
      <c r="O2704" t="s">
        <v>3</v>
      </c>
      <c r="P2704" t="s">
        <v>5</v>
      </c>
      <c r="Q2704" t="s">
        <v>5604</v>
      </c>
      <c r="R2704" t="s">
        <v>3</v>
      </c>
      <c r="S2704" t="s">
        <v>3</v>
      </c>
      <c r="T2704" t="s">
        <v>3</v>
      </c>
      <c r="U2704" t="s">
        <v>3</v>
      </c>
      <c r="V2704" t="s">
        <v>3</v>
      </c>
      <c r="W2704" t="s">
        <v>68</v>
      </c>
      <c r="X2704" s="17"/>
      <c r="Y2704" t="s">
        <v>3</v>
      </c>
      <c r="Z2704" s="17">
        <v>43858</v>
      </c>
      <c r="AA2704" t="s">
        <v>3</v>
      </c>
      <c r="AB2704" t="s">
        <v>5602</v>
      </c>
    </row>
    <row r="2705" spans="1:28" hidden="1">
      <c r="A2705" t="s">
        <v>5602</v>
      </c>
      <c r="B2705" s="17">
        <v>43858</v>
      </c>
      <c r="C2705" s="17">
        <v>43858</v>
      </c>
      <c r="D2705" t="s">
        <v>0</v>
      </c>
      <c r="E2705" t="s">
        <v>1</v>
      </c>
      <c r="F2705" s="18">
        <v>14903</v>
      </c>
      <c r="G2705" s="18">
        <v>14903</v>
      </c>
      <c r="H2705" t="s">
        <v>2</v>
      </c>
      <c r="I2705" t="s">
        <v>8</v>
      </c>
      <c r="J2705" s="18">
        <v>1251106.8500000001</v>
      </c>
      <c r="K2705" t="s">
        <v>5467</v>
      </c>
      <c r="L2705" t="s">
        <v>9</v>
      </c>
      <c r="M2705" t="s">
        <v>5603</v>
      </c>
      <c r="N2705" t="s">
        <v>3</v>
      </c>
      <c r="O2705" t="s">
        <v>3</v>
      </c>
      <c r="P2705" t="s">
        <v>5</v>
      </c>
      <c r="Q2705" t="s">
        <v>5604</v>
      </c>
      <c r="R2705" t="s">
        <v>3</v>
      </c>
      <c r="S2705" t="s">
        <v>3</v>
      </c>
      <c r="T2705" t="s">
        <v>3</v>
      </c>
      <c r="U2705" t="s">
        <v>3</v>
      </c>
      <c r="V2705" t="s">
        <v>3</v>
      </c>
      <c r="W2705" t="s">
        <v>68</v>
      </c>
      <c r="X2705" s="17"/>
      <c r="Y2705" t="s">
        <v>3</v>
      </c>
      <c r="Z2705" s="17">
        <v>43858</v>
      </c>
      <c r="AA2705" t="s">
        <v>3</v>
      </c>
      <c r="AB2705" t="s">
        <v>5602</v>
      </c>
    </row>
    <row r="2706" spans="1:28" hidden="1">
      <c r="A2706" t="s">
        <v>5615</v>
      </c>
      <c r="B2706" s="17">
        <v>43859</v>
      </c>
      <c r="C2706" s="17">
        <v>43859</v>
      </c>
      <c r="D2706" t="s">
        <v>0</v>
      </c>
      <c r="E2706" t="s">
        <v>1</v>
      </c>
      <c r="F2706" s="18">
        <v>59226.25</v>
      </c>
      <c r="G2706" s="18">
        <v>59226.25</v>
      </c>
      <c r="H2706" t="s">
        <v>2</v>
      </c>
      <c r="I2706" t="s">
        <v>10</v>
      </c>
      <c r="J2706" s="18">
        <v>4972043.6900000004</v>
      </c>
      <c r="K2706" t="s">
        <v>5479</v>
      </c>
      <c r="L2706" t="s">
        <v>4</v>
      </c>
      <c r="M2706" t="s">
        <v>5616</v>
      </c>
      <c r="N2706" t="s">
        <v>3</v>
      </c>
      <c r="O2706" t="s">
        <v>3</v>
      </c>
      <c r="P2706" t="s">
        <v>5</v>
      </c>
      <c r="Q2706" t="s">
        <v>5617</v>
      </c>
      <c r="R2706" t="s">
        <v>3</v>
      </c>
      <c r="S2706" t="s">
        <v>3</v>
      </c>
      <c r="T2706" t="s">
        <v>3</v>
      </c>
      <c r="U2706" t="s">
        <v>3</v>
      </c>
      <c r="V2706" t="s">
        <v>3</v>
      </c>
      <c r="W2706" t="s">
        <v>68</v>
      </c>
      <c r="X2706" s="17"/>
      <c r="Y2706" t="s">
        <v>3</v>
      </c>
      <c r="Z2706" s="17">
        <v>43859</v>
      </c>
      <c r="AA2706" t="s">
        <v>3</v>
      </c>
      <c r="AB2706" t="s">
        <v>5615</v>
      </c>
    </row>
    <row r="2707" spans="1:28" hidden="1">
      <c r="A2707" t="s">
        <v>5615</v>
      </c>
      <c r="B2707" s="17">
        <v>43859</v>
      </c>
      <c r="C2707" s="17">
        <v>43859</v>
      </c>
      <c r="D2707" t="s">
        <v>0</v>
      </c>
      <c r="E2707" t="s">
        <v>1</v>
      </c>
      <c r="F2707" s="18">
        <v>700.33</v>
      </c>
      <c r="G2707" s="18">
        <v>700.33</v>
      </c>
      <c r="H2707" t="s">
        <v>2</v>
      </c>
      <c r="I2707" t="s">
        <v>10</v>
      </c>
      <c r="J2707" s="18">
        <v>58792.7</v>
      </c>
      <c r="K2707" t="s">
        <v>5480</v>
      </c>
      <c r="L2707" t="s">
        <v>4</v>
      </c>
      <c r="M2707" t="s">
        <v>5616</v>
      </c>
      <c r="N2707" t="s">
        <v>3</v>
      </c>
      <c r="O2707" t="s">
        <v>3</v>
      </c>
      <c r="P2707" t="s">
        <v>5</v>
      </c>
      <c r="Q2707" t="s">
        <v>5617</v>
      </c>
      <c r="R2707" t="s">
        <v>3</v>
      </c>
      <c r="S2707" t="s">
        <v>3</v>
      </c>
      <c r="T2707" t="s">
        <v>3</v>
      </c>
      <c r="U2707" t="s">
        <v>3</v>
      </c>
      <c r="V2707" t="s">
        <v>3</v>
      </c>
      <c r="W2707" t="s">
        <v>68</v>
      </c>
      <c r="X2707" s="17"/>
      <c r="Y2707" t="s">
        <v>3</v>
      </c>
      <c r="Z2707" s="17">
        <v>43859</v>
      </c>
      <c r="AA2707" t="s">
        <v>3</v>
      </c>
      <c r="AB2707" t="s">
        <v>5615</v>
      </c>
    </row>
    <row r="2708" spans="1:28" hidden="1">
      <c r="A2708" t="s">
        <v>5615</v>
      </c>
      <c r="B2708" s="17">
        <v>43859</v>
      </c>
      <c r="C2708" s="17">
        <v>43859</v>
      </c>
      <c r="D2708" t="s">
        <v>0</v>
      </c>
      <c r="E2708" t="s">
        <v>1</v>
      </c>
      <c r="F2708" s="18">
        <v>100539.3</v>
      </c>
      <c r="G2708" s="18">
        <v>100539.3</v>
      </c>
      <c r="H2708" t="s">
        <v>2</v>
      </c>
      <c r="I2708" t="s">
        <v>10</v>
      </c>
      <c r="J2708" s="18">
        <v>8440274.2400000002</v>
      </c>
      <c r="K2708" t="s">
        <v>5487</v>
      </c>
      <c r="L2708" t="s">
        <v>4</v>
      </c>
      <c r="M2708" t="s">
        <v>5616</v>
      </c>
      <c r="N2708" t="s">
        <v>3</v>
      </c>
      <c r="O2708" t="s">
        <v>3</v>
      </c>
      <c r="P2708" t="s">
        <v>5</v>
      </c>
      <c r="Q2708" t="s">
        <v>5617</v>
      </c>
      <c r="R2708" t="s">
        <v>3</v>
      </c>
      <c r="S2708" t="s">
        <v>3</v>
      </c>
      <c r="T2708" t="s">
        <v>3</v>
      </c>
      <c r="U2708" t="s">
        <v>3</v>
      </c>
      <c r="V2708" t="s">
        <v>3</v>
      </c>
      <c r="W2708" t="s">
        <v>68</v>
      </c>
      <c r="X2708" s="17"/>
      <c r="Y2708" t="s">
        <v>3</v>
      </c>
      <c r="Z2708" s="17">
        <v>43859</v>
      </c>
      <c r="AA2708" t="s">
        <v>3</v>
      </c>
      <c r="AB2708" t="s">
        <v>5615</v>
      </c>
    </row>
    <row r="2709" spans="1:28" hidden="1">
      <c r="A2709" t="s">
        <v>5615</v>
      </c>
      <c r="B2709" s="17">
        <v>43859</v>
      </c>
      <c r="C2709" s="17">
        <v>43859</v>
      </c>
      <c r="D2709" t="s">
        <v>0</v>
      </c>
      <c r="E2709" t="s">
        <v>1</v>
      </c>
      <c r="F2709" s="18">
        <v>32278.09</v>
      </c>
      <c r="G2709" s="18">
        <v>32278.09</v>
      </c>
      <c r="H2709" t="s">
        <v>2</v>
      </c>
      <c r="I2709" t="s">
        <v>10</v>
      </c>
      <c r="J2709" s="18">
        <v>2709745.66</v>
      </c>
      <c r="K2709" t="s">
        <v>5618</v>
      </c>
      <c r="L2709" t="s">
        <v>4</v>
      </c>
      <c r="M2709" t="s">
        <v>5616</v>
      </c>
      <c r="N2709" t="s">
        <v>3</v>
      </c>
      <c r="O2709" t="s">
        <v>3</v>
      </c>
      <c r="P2709" t="s">
        <v>5</v>
      </c>
      <c r="Q2709" t="s">
        <v>5617</v>
      </c>
      <c r="R2709" t="s">
        <v>3</v>
      </c>
      <c r="S2709" t="s">
        <v>3</v>
      </c>
      <c r="T2709" t="s">
        <v>3</v>
      </c>
      <c r="U2709" t="s">
        <v>3</v>
      </c>
      <c r="V2709" t="s">
        <v>3</v>
      </c>
      <c r="W2709" t="s">
        <v>68</v>
      </c>
      <c r="X2709" s="17"/>
      <c r="Y2709" t="s">
        <v>3</v>
      </c>
      <c r="Z2709" s="17">
        <v>43859</v>
      </c>
      <c r="AA2709" t="s">
        <v>3</v>
      </c>
      <c r="AB2709" t="s">
        <v>5615</v>
      </c>
    </row>
    <row r="2710" spans="1:28" hidden="1">
      <c r="A2710" t="s">
        <v>5619</v>
      </c>
      <c r="B2710" s="17">
        <v>43859</v>
      </c>
      <c r="C2710" s="17">
        <v>43859</v>
      </c>
      <c r="D2710" t="s">
        <v>0</v>
      </c>
      <c r="E2710" t="s">
        <v>1</v>
      </c>
      <c r="F2710" s="18">
        <v>3916.81</v>
      </c>
      <c r="G2710" s="18">
        <v>3916.81</v>
      </c>
      <c r="H2710" t="s">
        <v>2</v>
      </c>
      <c r="I2710" t="s">
        <v>10</v>
      </c>
      <c r="J2710" s="18">
        <v>328816.2</v>
      </c>
      <c r="K2710" t="s">
        <v>5479</v>
      </c>
      <c r="L2710" t="s">
        <v>4</v>
      </c>
      <c r="M2710" t="s">
        <v>5620</v>
      </c>
      <c r="N2710" t="s">
        <v>3</v>
      </c>
      <c r="O2710" t="s">
        <v>3</v>
      </c>
      <c r="P2710" t="s">
        <v>5</v>
      </c>
      <c r="Q2710" t="s">
        <v>5621</v>
      </c>
      <c r="R2710" t="s">
        <v>3</v>
      </c>
      <c r="S2710" t="s">
        <v>3</v>
      </c>
      <c r="T2710" t="s">
        <v>3</v>
      </c>
      <c r="U2710" t="s">
        <v>3</v>
      </c>
      <c r="V2710" t="s">
        <v>3</v>
      </c>
      <c r="W2710" t="s">
        <v>68</v>
      </c>
      <c r="X2710" s="17"/>
      <c r="Y2710" t="s">
        <v>3</v>
      </c>
      <c r="Z2710" s="17">
        <v>43859</v>
      </c>
      <c r="AA2710" t="s">
        <v>3</v>
      </c>
      <c r="AB2710" t="s">
        <v>5619</v>
      </c>
    </row>
    <row r="2711" spans="1:28" hidden="1">
      <c r="A2711" t="s">
        <v>5619</v>
      </c>
      <c r="B2711" s="17">
        <v>43859</v>
      </c>
      <c r="C2711" s="17">
        <v>43859</v>
      </c>
      <c r="D2711" t="s">
        <v>0</v>
      </c>
      <c r="E2711" t="s">
        <v>1</v>
      </c>
      <c r="F2711" s="18">
        <v>5767.08</v>
      </c>
      <c r="G2711" s="18">
        <v>5767.08</v>
      </c>
      <c r="H2711" t="s">
        <v>2</v>
      </c>
      <c r="I2711" t="s">
        <v>10</v>
      </c>
      <c r="J2711" s="18">
        <v>484146.37</v>
      </c>
      <c r="K2711" t="s">
        <v>5487</v>
      </c>
      <c r="L2711" t="s">
        <v>4</v>
      </c>
      <c r="M2711" t="s">
        <v>5620</v>
      </c>
      <c r="N2711" t="s">
        <v>3</v>
      </c>
      <c r="O2711" t="s">
        <v>3</v>
      </c>
      <c r="P2711" t="s">
        <v>5</v>
      </c>
      <c r="Q2711" t="s">
        <v>5621</v>
      </c>
      <c r="R2711" t="s">
        <v>3</v>
      </c>
      <c r="S2711" t="s">
        <v>3</v>
      </c>
      <c r="T2711" t="s">
        <v>3</v>
      </c>
      <c r="U2711" t="s">
        <v>3</v>
      </c>
      <c r="V2711" t="s">
        <v>3</v>
      </c>
      <c r="W2711" t="s">
        <v>68</v>
      </c>
      <c r="X2711" s="17"/>
      <c r="Y2711" t="s">
        <v>3</v>
      </c>
      <c r="Z2711" s="17">
        <v>43859</v>
      </c>
      <c r="AA2711" t="s">
        <v>3</v>
      </c>
      <c r="AB2711" t="s">
        <v>5619</v>
      </c>
    </row>
    <row r="2712" spans="1:28" hidden="1">
      <c r="A2712" t="s">
        <v>5619</v>
      </c>
      <c r="B2712" s="17">
        <v>43859</v>
      </c>
      <c r="C2712" s="17">
        <v>43859</v>
      </c>
      <c r="D2712" t="s">
        <v>0</v>
      </c>
      <c r="E2712" t="s">
        <v>1</v>
      </c>
      <c r="F2712" s="18">
        <v>7008.84</v>
      </c>
      <c r="G2712" s="18">
        <v>7008.84</v>
      </c>
      <c r="H2712" t="s">
        <v>2</v>
      </c>
      <c r="I2712" t="s">
        <v>10</v>
      </c>
      <c r="J2712" s="18">
        <v>588392.12</v>
      </c>
      <c r="K2712" t="s">
        <v>5618</v>
      </c>
      <c r="L2712" t="s">
        <v>4</v>
      </c>
      <c r="M2712" t="s">
        <v>5620</v>
      </c>
      <c r="N2712" t="s">
        <v>3</v>
      </c>
      <c r="O2712" t="s">
        <v>3</v>
      </c>
      <c r="P2712" t="s">
        <v>5</v>
      </c>
      <c r="Q2712" t="s">
        <v>5621</v>
      </c>
      <c r="R2712" t="s">
        <v>3</v>
      </c>
      <c r="S2712" t="s">
        <v>3</v>
      </c>
      <c r="T2712" t="s">
        <v>3</v>
      </c>
      <c r="U2712" t="s">
        <v>3</v>
      </c>
      <c r="V2712" t="s">
        <v>3</v>
      </c>
      <c r="W2712" t="s">
        <v>68</v>
      </c>
      <c r="X2712" s="17"/>
      <c r="Y2712" t="s">
        <v>3</v>
      </c>
      <c r="Z2712" s="17">
        <v>43859</v>
      </c>
      <c r="AA2712" t="s">
        <v>3</v>
      </c>
      <c r="AB2712" t="s">
        <v>5619</v>
      </c>
    </row>
    <row r="2713" spans="1:28" hidden="1">
      <c r="A2713" t="s">
        <v>5622</v>
      </c>
      <c r="B2713" s="17">
        <v>43859</v>
      </c>
      <c r="C2713" s="17">
        <v>43859</v>
      </c>
      <c r="D2713" t="s">
        <v>0</v>
      </c>
      <c r="E2713" t="s">
        <v>1</v>
      </c>
      <c r="F2713" s="18">
        <v>26732.67</v>
      </c>
      <c r="G2713" s="18">
        <v>26732.67</v>
      </c>
      <c r="H2713" t="s">
        <v>2</v>
      </c>
      <c r="I2713" t="s">
        <v>8</v>
      </c>
      <c r="J2713" s="18">
        <v>2226831.41</v>
      </c>
      <c r="K2713" t="s">
        <v>5623</v>
      </c>
      <c r="L2713" t="s">
        <v>4</v>
      </c>
      <c r="M2713" t="s">
        <v>5624</v>
      </c>
      <c r="N2713" t="s">
        <v>3</v>
      </c>
      <c r="O2713" t="s">
        <v>3</v>
      </c>
      <c r="P2713" t="s">
        <v>5</v>
      </c>
      <c r="Q2713" t="s">
        <v>5625</v>
      </c>
      <c r="R2713" t="s">
        <v>3</v>
      </c>
      <c r="S2713" t="s">
        <v>3</v>
      </c>
      <c r="T2713" t="s">
        <v>3</v>
      </c>
      <c r="U2713" t="s">
        <v>3</v>
      </c>
      <c r="V2713" t="s">
        <v>3</v>
      </c>
      <c r="W2713" t="s">
        <v>68</v>
      </c>
      <c r="X2713" s="17"/>
      <c r="Y2713" t="s">
        <v>3</v>
      </c>
      <c r="Z2713" s="17">
        <v>43859</v>
      </c>
      <c r="AA2713" t="s">
        <v>3</v>
      </c>
      <c r="AB2713" t="s">
        <v>5622</v>
      </c>
    </row>
    <row r="2714" spans="1:28" hidden="1">
      <c r="A2714" t="s">
        <v>5622</v>
      </c>
      <c r="B2714" s="17">
        <v>43859</v>
      </c>
      <c r="C2714" s="17">
        <v>43859</v>
      </c>
      <c r="D2714" t="s">
        <v>0</v>
      </c>
      <c r="E2714" t="s">
        <v>1</v>
      </c>
      <c r="F2714" s="18">
        <v>301.83999999999997</v>
      </c>
      <c r="G2714" s="18">
        <v>301.83999999999997</v>
      </c>
      <c r="H2714" t="s">
        <v>2</v>
      </c>
      <c r="I2714" t="s">
        <v>8</v>
      </c>
      <c r="J2714" s="18">
        <v>25203.64</v>
      </c>
      <c r="K2714" t="s">
        <v>4882</v>
      </c>
      <c r="L2714" t="s">
        <v>4</v>
      </c>
      <c r="M2714" t="s">
        <v>5624</v>
      </c>
      <c r="N2714" t="s">
        <v>3</v>
      </c>
      <c r="O2714" t="s">
        <v>3</v>
      </c>
      <c r="P2714" t="s">
        <v>5</v>
      </c>
      <c r="Q2714" t="s">
        <v>5625</v>
      </c>
      <c r="R2714" t="s">
        <v>3</v>
      </c>
      <c r="S2714" t="s">
        <v>3</v>
      </c>
      <c r="T2714" t="s">
        <v>3</v>
      </c>
      <c r="U2714" t="s">
        <v>3</v>
      </c>
      <c r="V2714" t="s">
        <v>3</v>
      </c>
      <c r="W2714" t="s">
        <v>68</v>
      </c>
      <c r="X2714" s="17"/>
      <c r="Y2714" t="s">
        <v>3</v>
      </c>
      <c r="Z2714" s="17">
        <v>43859</v>
      </c>
      <c r="AA2714" t="s">
        <v>3</v>
      </c>
      <c r="AB2714" t="s">
        <v>5622</v>
      </c>
    </row>
    <row r="2715" spans="1:28" hidden="1">
      <c r="A2715" t="s">
        <v>5622</v>
      </c>
      <c r="B2715" s="17">
        <v>43859</v>
      </c>
      <c r="C2715" s="17">
        <v>43859</v>
      </c>
      <c r="D2715" t="s">
        <v>0</v>
      </c>
      <c r="E2715" t="s">
        <v>1</v>
      </c>
      <c r="F2715" s="18">
        <v>30230.7</v>
      </c>
      <c r="G2715" s="18">
        <v>30230.7</v>
      </c>
      <c r="H2715" t="s">
        <v>2</v>
      </c>
      <c r="I2715" t="s">
        <v>8</v>
      </c>
      <c r="J2715" s="18">
        <v>2537867.27</v>
      </c>
      <c r="K2715" t="s">
        <v>5585</v>
      </c>
      <c r="L2715" t="s">
        <v>4</v>
      </c>
      <c r="M2715" t="s">
        <v>5624</v>
      </c>
      <c r="N2715" t="s">
        <v>3</v>
      </c>
      <c r="O2715" t="s">
        <v>3</v>
      </c>
      <c r="P2715" t="s">
        <v>5</v>
      </c>
      <c r="Q2715" t="s">
        <v>5625</v>
      </c>
      <c r="R2715" t="s">
        <v>3</v>
      </c>
      <c r="S2715" t="s">
        <v>3</v>
      </c>
      <c r="T2715" t="s">
        <v>3</v>
      </c>
      <c r="U2715" t="s">
        <v>3</v>
      </c>
      <c r="V2715" t="s">
        <v>3</v>
      </c>
      <c r="W2715" t="s">
        <v>68</v>
      </c>
      <c r="X2715" s="17"/>
      <c r="Y2715" t="s">
        <v>3</v>
      </c>
      <c r="Z2715" s="17">
        <v>43859</v>
      </c>
      <c r="AA2715" t="s">
        <v>3</v>
      </c>
      <c r="AB2715" t="s">
        <v>5622</v>
      </c>
    </row>
    <row r="2716" spans="1:28" hidden="1">
      <c r="A2716" t="s">
        <v>5622</v>
      </c>
      <c r="B2716" s="17">
        <v>43859</v>
      </c>
      <c r="C2716" s="17">
        <v>43859</v>
      </c>
      <c r="D2716" t="s">
        <v>0</v>
      </c>
      <c r="E2716" t="s">
        <v>1</v>
      </c>
      <c r="F2716" s="18">
        <v>1783.3</v>
      </c>
      <c r="G2716" s="18">
        <v>1783.3</v>
      </c>
      <c r="H2716" t="s">
        <v>2</v>
      </c>
      <c r="I2716" t="s">
        <v>8</v>
      </c>
      <c r="J2716" s="18">
        <v>148905.54999999999</v>
      </c>
      <c r="K2716" t="s">
        <v>4742</v>
      </c>
      <c r="L2716" t="s">
        <v>4</v>
      </c>
      <c r="M2716" t="s">
        <v>5624</v>
      </c>
      <c r="N2716" t="s">
        <v>3</v>
      </c>
      <c r="O2716" t="s">
        <v>3</v>
      </c>
      <c r="P2716" t="s">
        <v>5</v>
      </c>
      <c r="Q2716" t="s">
        <v>5625</v>
      </c>
      <c r="R2716" t="s">
        <v>3</v>
      </c>
      <c r="S2716" t="s">
        <v>3</v>
      </c>
      <c r="T2716" t="s">
        <v>3</v>
      </c>
      <c r="U2716" t="s">
        <v>3</v>
      </c>
      <c r="V2716" t="s">
        <v>3</v>
      </c>
      <c r="W2716" t="s">
        <v>68</v>
      </c>
      <c r="X2716" s="17"/>
      <c r="Y2716" t="s">
        <v>3</v>
      </c>
      <c r="Z2716" s="17">
        <v>43859</v>
      </c>
      <c r="AA2716" t="s">
        <v>3</v>
      </c>
      <c r="AB2716" t="s">
        <v>5622</v>
      </c>
    </row>
    <row r="2717" spans="1:28" hidden="1">
      <c r="A2717" t="s">
        <v>5629</v>
      </c>
      <c r="B2717" s="17">
        <v>43859</v>
      </c>
      <c r="C2717" s="17">
        <v>43859</v>
      </c>
      <c r="D2717" t="s">
        <v>0</v>
      </c>
      <c r="E2717" t="s">
        <v>1</v>
      </c>
      <c r="F2717" s="18">
        <v>1549.57</v>
      </c>
      <c r="G2717" s="18">
        <v>1549.57</v>
      </c>
      <c r="H2717" t="s">
        <v>2</v>
      </c>
      <c r="I2717" t="s">
        <v>8</v>
      </c>
      <c r="J2717" s="18">
        <v>130086.39999999999</v>
      </c>
      <c r="K2717" t="s">
        <v>5469</v>
      </c>
      <c r="L2717" t="s">
        <v>4</v>
      </c>
      <c r="M2717" t="s">
        <v>5630</v>
      </c>
      <c r="N2717" t="s">
        <v>3</v>
      </c>
      <c r="O2717" t="s">
        <v>3</v>
      </c>
      <c r="P2717" t="s">
        <v>5</v>
      </c>
      <c r="Q2717" t="s">
        <v>5631</v>
      </c>
      <c r="R2717" t="s">
        <v>3</v>
      </c>
      <c r="S2717" t="s">
        <v>3</v>
      </c>
      <c r="T2717" t="s">
        <v>3</v>
      </c>
      <c r="U2717" t="s">
        <v>3</v>
      </c>
      <c r="V2717" t="s">
        <v>3</v>
      </c>
      <c r="W2717" t="s">
        <v>68</v>
      </c>
      <c r="X2717" s="17"/>
      <c r="Y2717" t="s">
        <v>3</v>
      </c>
      <c r="Z2717" s="17">
        <v>43859</v>
      </c>
      <c r="AA2717" t="s">
        <v>3</v>
      </c>
      <c r="AB2717" t="s">
        <v>5629</v>
      </c>
    </row>
    <row r="2718" spans="1:28" hidden="1">
      <c r="A2718" t="s">
        <v>5629</v>
      </c>
      <c r="B2718" s="17">
        <v>43859</v>
      </c>
      <c r="C2718" s="17">
        <v>43859</v>
      </c>
      <c r="D2718" t="s">
        <v>0</v>
      </c>
      <c r="E2718" t="s">
        <v>1</v>
      </c>
      <c r="F2718" s="18">
        <v>22596.09</v>
      </c>
      <c r="G2718" s="18">
        <v>22596.09</v>
      </c>
      <c r="H2718" t="s">
        <v>2</v>
      </c>
      <c r="I2718" t="s">
        <v>8</v>
      </c>
      <c r="J2718" s="18">
        <v>1894682.15</v>
      </c>
      <c r="K2718" t="s">
        <v>5441</v>
      </c>
      <c r="L2718" t="s">
        <v>4</v>
      </c>
      <c r="M2718" t="s">
        <v>5630</v>
      </c>
      <c r="N2718" t="s">
        <v>3</v>
      </c>
      <c r="O2718" t="s">
        <v>3</v>
      </c>
      <c r="P2718" t="s">
        <v>5</v>
      </c>
      <c r="Q2718" t="s">
        <v>5631</v>
      </c>
      <c r="R2718" t="s">
        <v>3</v>
      </c>
      <c r="S2718" t="s">
        <v>3</v>
      </c>
      <c r="T2718" t="s">
        <v>3</v>
      </c>
      <c r="U2718" t="s">
        <v>3</v>
      </c>
      <c r="V2718" t="s">
        <v>3</v>
      </c>
      <c r="W2718" t="s">
        <v>68</v>
      </c>
      <c r="X2718" s="17"/>
      <c r="Y2718" t="s">
        <v>3</v>
      </c>
      <c r="Z2718" s="17">
        <v>43859</v>
      </c>
      <c r="AA2718" t="s">
        <v>3</v>
      </c>
      <c r="AB2718" t="s">
        <v>5629</v>
      </c>
    </row>
    <row r="2719" spans="1:28" hidden="1">
      <c r="A2719" t="s">
        <v>5629</v>
      </c>
      <c r="B2719" s="17">
        <v>43859</v>
      </c>
      <c r="C2719" s="17">
        <v>43859</v>
      </c>
      <c r="D2719" t="s">
        <v>0</v>
      </c>
      <c r="E2719" t="s">
        <v>1</v>
      </c>
      <c r="F2719" s="18">
        <v>49939.57</v>
      </c>
      <c r="G2719" s="18">
        <v>49939.57</v>
      </c>
      <c r="H2719" t="s">
        <v>2</v>
      </c>
      <c r="I2719" t="s">
        <v>8</v>
      </c>
      <c r="J2719" s="18">
        <v>4192426.9</v>
      </c>
      <c r="K2719" t="s">
        <v>5442</v>
      </c>
      <c r="L2719" t="s">
        <v>4</v>
      </c>
      <c r="M2719" t="s">
        <v>5630</v>
      </c>
      <c r="N2719" t="s">
        <v>3</v>
      </c>
      <c r="O2719" t="s">
        <v>3</v>
      </c>
      <c r="P2719" t="s">
        <v>5</v>
      </c>
      <c r="Q2719" t="s">
        <v>5631</v>
      </c>
      <c r="R2719" t="s">
        <v>3</v>
      </c>
      <c r="S2719" t="s">
        <v>3</v>
      </c>
      <c r="T2719" t="s">
        <v>3</v>
      </c>
      <c r="U2719" t="s">
        <v>3</v>
      </c>
      <c r="V2719" t="s">
        <v>3</v>
      </c>
      <c r="W2719" t="s">
        <v>68</v>
      </c>
      <c r="X2719" s="17"/>
      <c r="Y2719" t="s">
        <v>3</v>
      </c>
      <c r="Z2719" s="17">
        <v>43859</v>
      </c>
      <c r="AA2719" t="s">
        <v>3</v>
      </c>
      <c r="AB2719" t="s">
        <v>5629</v>
      </c>
    </row>
    <row r="2720" spans="1:28" hidden="1">
      <c r="A2720" t="s">
        <v>5626</v>
      </c>
      <c r="B2720" s="17">
        <v>43860</v>
      </c>
      <c r="C2720" s="17">
        <v>43860</v>
      </c>
      <c r="D2720" t="s">
        <v>0</v>
      </c>
      <c r="E2720" t="s">
        <v>1</v>
      </c>
      <c r="F2720" s="18">
        <v>16188.17</v>
      </c>
      <c r="G2720" s="18">
        <v>16188.17</v>
      </c>
      <c r="H2720" t="s">
        <v>2</v>
      </c>
      <c r="I2720" t="s">
        <v>8</v>
      </c>
      <c r="J2720" s="18">
        <v>1358996.87</v>
      </c>
      <c r="K2720" t="s">
        <v>5585</v>
      </c>
      <c r="L2720" t="s">
        <v>4</v>
      </c>
      <c r="M2720" t="s">
        <v>5627</v>
      </c>
      <c r="N2720" t="s">
        <v>3</v>
      </c>
      <c r="O2720" t="s">
        <v>3</v>
      </c>
      <c r="P2720" t="s">
        <v>5</v>
      </c>
      <c r="Q2720" t="s">
        <v>5628</v>
      </c>
      <c r="R2720" t="s">
        <v>3</v>
      </c>
      <c r="S2720" t="s">
        <v>3</v>
      </c>
      <c r="T2720" t="s">
        <v>3</v>
      </c>
      <c r="U2720" t="s">
        <v>3</v>
      </c>
      <c r="V2720" t="s">
        <v>3</v>
      </c>
      <c r="W2720" t="s">
        <v>68</v>
      </c>
      <c r="X2720" s="17"/>
      <c r="Y2720" t="s">
        <v>3</v>
      </c>
      <c r="Z2720" s="17">
        <v>43860</v>
      </c>
      <c r="AA2720" t="s">
        <v>3</v>
      </c>
      <c r="AB2720" t="s">
        <v>5626</v>
      </c>
    </row>
    <row r="2721" spans="1:28" hidden="1">
      <c r="A2721" t="s">
        <v>5626</v>
      </c>
      <c r="B2721" s="17">
        <v>43860</v>
      </c>
      <c r="C2721" s="17">
        <v>43860</v>
      </c>
      <c r="D2721" t="s">
        <v>0</v>
      </c>
      <c r="E2721" t="s">
        <v>1</v>
      </c>
      <c r="F2721" s="18">
        <v>16067.7</v>
      </c>
      <c r="G2721" s="18">
        <v>16067.7</v>
      </c>
      <c r="H2721" t="s">
        <v>2</v>
      </c>
      <c r="I2721" t="s">
        <v>8</v>
      </c>
      <c r="J2721" s="18">
        <v>1348883.42</v>
      </c>
      <c r="K2721" t="s">
        <v>5469</v>
      </c>
      <c r="L2721" t="s">
        <v>4</v>
      </c>
      <c r="M2721" t="s">
        <v>5627</v>
      </c>
      <c r="N2721" t="s">
        <v>3</v>
      </c>
      <c r="O2721" t="s">
        <v>3</v>
      </c>
      <c r="P2721" t="s">
        <v>5</v>
      </c>
      <c r="Q2721" t="s">
        <v>5628</v>
      </c>
      <c r="R2721" t="s">
        <v>3</v>
      </c>
      <c r="S2721" t="s">
        <v>3</v>
      </c>
      <c r="T2721" t="s">
        <v>3</v>
      </c>
      <c r="U2721" t="s">
        <v>3</v>
      </c>
      <c r="V2721" t="s">
        <v>3</v>
      </c>
      <c r="W2721" t="s">
        <v>68</v>
      </c>
      <c r="X2721" s="17"/>
      <c r="Y2721" t="s">
        <v>3</v>
      </c>
      <c r="Z2721" s="17">
        <v>43860</v>
      </c>
      <c r="AA2721" t="s">
        <v>3</v>
      </c>
      <c r="AB2721" t="s">
        <v>5626</v>
      </c>
    </row>
    <row r="2722" spans="1:28" hidden="1">
      <c r="A2722" t="s">
        <v>5626</v>
      </c>
      <c r="B2722" s="17">
        <v>43860</v>
      </c>
      <c r="C2722" s="17">
        <v>43860</v>
      </c>
      <c r="D2722" t="s">
        <v>0</v>
      </c>
      <c r="E2722" t="s">
        <v>1</v>
      </c>
      <c r="F2722" s="18">
        <v>1953.53</v>
      </c>
      <c r="G2722" s="18">
        <v>1953.53</v>
      </c>
      <c r="H2722" t="s">
        <v>2</v>
      </c>
      <c r="I2722" t="s">
        <v>8</v>
      </c>
      <c r="J2722" s="18">
        <v>163998.84</v>
      </c>
      <c r="K2722" t="s">
        <v>5440</v>
      </c>
      <c r="L2722" t="s">
        <v>4</v>
      </c>
      <c r="M2722" t="s">
        <v>5627</v>
      </c>
      <c r="N2722" t="s">
        <v>3</v>
      </c>
      <c r="O2722" t="s">
        <v>3</v>
      </c>
      <c r="P2722" t="s">
        <v>5</v>
      </c>
      <c r="Q2722" t="s">
        <v>5628</v>
      </c>
      <c r="R2722" t="s">
        <v>3</v>
      </c>
      <c r="S2722" t="s">
        <v>3</v>
      </c>
      <c r="T2722" t="s">
        <v>3</v>
      </c>
      <c r="U2722" t="s">
        <v>3</v>
      </c>
      <c r="V2722" t="s">
        <v>3</v>
      </c>
      <c r="W2722" t="s">
        <v>68</v>
      </c>
      <c r="X2722" s="17"/>
      <c r="Y2722" t="s">
        <v>3</v>
      </c>
      <c r="Z2722" s="17">
        <v>43860</v>
      </c>
      <c r="AA2722" t="s">
        <v>3</v>
      </c>
      <c r="AB2722" t="s">
        <v>5626</v>
      </c>
    </row>
    <row r="2723" spans="1:28" hidden="1">
      <c r="A2723" t="s">
        <v>5676</v>
      </c>
      <c r="B2723" s="17">
        <v>43861</v>
      </c>
      <c r="C2723" s="17">
        <v>43861</v>
      </c>
      <c r="D2723" t="s">
        <v>0</v>
      </c>
      <c r="E2723" t="s">
        <v>1</v>
      </c>
      <c r="F2723" s="18">
        <v>23551</v>
      </c>
      <c r="G2723" s="18">
        <v>23551</v>
      </c>
      <c r="H2723" t="s">
        <v>2</v>
      </c>
      <c r="I2723" t="s">
        <v>8</v>
      </c>
      <c r="J2723" s="18">
        <v>1977106.45</v>
      </c>
      <c r="K2723" t="s">
        <v>4443</v>
      </c>
      <c r="L2723" t="s">
        <v>4</v>
      </c>
      <c r="M2723" t="s">
        <v>4444</v>
      </c>
      <c r="N2723" t="s">
        <v>3</v>
      </c>
      <c r="O2723" t="s">
        <v>3</v>
      </c>
      <c r="P2723" t="s">
        <v>5</v>
      </c>
      <c r="Q2723" t="s">
        <v>4443</v>
      </c>
      <c r="R2723" t="s">
        <v>3</v>
      </c>
      <c r="S2723" t="s">
        <v>3</v>
      </c>
      <c r="T2723" t="s">
        <v>3</v>
      </c>
      <c r="U2723" t="s">
        <v>3</v>
      </c>
      <c r="V2723" t="s">
        <v>3</v>
      </c>
      <c r="W2723" t="s">
        <v>68</v>
      </c>
      <c r="X2723" s="17">
        <v>43890</v>
      </c>
      <c r="Y2723" t="s">
        <v>4442</v>
      </c>
      <c r="Z2723" s="17">
        <v>43861</v>
      </c>
      <c r="AA2723" t="s">
        <v>3</v>
      </c>
      <c r="AB2723" t="s">
        <v>5676</v>
      </c>
    </row>
    <row r="2724" spans="1:28" hidden="1">
      <c r="A2724" t="s">
        <v>5697</v>
      </c>
      <c r="B2724" s="17">
        <v>43861</v>
      </c>
      <c r="C2724" s="17">
        <v>43861</v>
      </c>
      <c r="D2724" t="s">
        <v>0</v>
      </c>
      <c r="E2724" t="s">
        <v>1</v>
      </c>
      <c r="F2724" s="18">
        <v>-2159776</v>
      </c>
      <c r="G2724" s="18">
        <v>-2159776</v>
      </c>
      <c r="H2724" t="s">
        <v>2</v>
      </c>
      <c r="I2724" t="s">
        <v>8</v>
      </c>
      <c r="J2724" s="18">
        <v>-180298100.47999999</v>
      </c>
      <c r="K2724" t="s">
        <v>4439</v>
      </c>
      <c r="L2724" t="s">
        <v>2332</v>
      </c>
      <c r="M2724" t="s">
        <v>4440</v>
      </c>
      <c r="N2724" t="s">
        <v>3</v>
      </c>
      <c r="O2724" t="s">
        <v>3</v>
      </c>
      <c r="P2724" t="s">
        <v>5</v>
      </c>
      <c r="Q2724" t="s">
        <v>4441</v>
      </c>
      <c r="R2724" t="s">
        <v>3</v>
      </c>
      <c r="S2724" t="s">
        <v>3</v>
      </c>
      <c r="T2724" t="s">
        <v>3</v>
      </c>
      <c r="U2724" t="s">
        <v>3</v>
      </c>
      <c r="V2724" t="s">
        <v>3</v>
      </c>
      <c r="W2724" t="s">
        <v>68</v>
      </c>
      <c r="X2724" s="17">
        <v>43890</v>
      </c>
      <c r="Y2724" t="s">
        <v>4438</v>
      </c>
      <c r="Z2724" s="17">
        <v>43861</v>
      </c>
      <c r="AA2724" t="s">
        <v>3</v>
      </c>
      <c r="AB2724" t="s">
        <v>5697</v>
      </c>
    </row>
    <row r="2725" spans="1:28" hidden="1">
      <c r="A2725" t="s">
        <v>5697</v>
      </c>
      <c r="B2725" s="17">
        <v>43861</v>
      </c>
      <c r="C2725" s="17">
        <v>43861</v>
      </c>
      <c r="D2725" t="s">
        <v>0</v>
      </c>
      <c r="E2725" t="s">
        <v>1</v>
      </c>
      <c r="F2725" s="18">
        <v>97969</v>
      </c>
      <c r="G2725" s="18">
        <v>97969</v>
      </c>
      <c r="H2725" t="s">
        <v>2</v>
      </c>
      <c r="I2725" t="s">
        <v>8</v>
      </c>
      <c r="J2725" s="18">
        <v>8178452.1200000001</v>
      </c>
      <c r="K2725" t="s">
        <v>4439</v>
      </c>
      <c r="L2725" t="s">
        <v>9</v>
      </c>
      <c r="M2725" t="s">
        <v>4440</v>
      </c>
      <c r="N2725" t="s">
        <v>3</v>
      </c>
      <c r="O2725" t="s">
        <v>3</v>
      </c>
      <c r="P2725" t="s">
        <v>5</v>
      </c>
      <c r="Q2725" t="s">
        <v>4441</v>
      </c>
      <c r="R2725" t="s">
        <v>3</v>
      </c>
      <c r="S2725" t="s">
        <v>3</v>
      </c>
      <c r="T2725" t="s">
        <v>3</v>
      </c>
      <c r="U2725" t="s">
        <v>3</v>
      </c>
      <c r="V2725" t="s">
        <v>3</v>
      </c>
      <c r="W2725" t="s">
        <v>68</v>
      </c>
      <c r="X2725" s="17">
        <v>43890</v>
      </c>
      <c r="Y2725" t="s">
        <v>4438</v>
      </c>
      <c r="Z2725" s="17">
        <v>43861</v>
      </c>
      <c r="AA2725" t="s">
        <v>3</v>
      </c>
      <c r="AB2725" t="s">
        <v>5697</v>
      </c>
    </row>
    <row r="2726" spans="1:28" hidden="1">
      <c r="A2726" t="s">
        <v>5632</v>
      </c>
      <c r="B2726" s="17">
        <v>43863</v>
      </c>
      <c r="C2726" s="17">
        <v>43863</v>
      </c>
      <c r="D2726" t="s">
        <v>0</v>
      </c>
      <c r="E2726" t="s">
        <v>1</v>
      </c>
      <c r="F2726" s="18">
        <v>352.26</v>
      </c>
      <c r="G2726" s="18">
        <v>352.26</v>
      </c>
      <c r="H2726" t="s">
        <v>2</v>
      </c>
      <c r="I2726" t="s">
        <v>8</v>
      </c>
      <c r="J2726" s="18">
        <v>29572.23</v>
      </c>
      <c r="K2726" t="s">
        <v>5585</v>
      </c>
      <c r="L2726" t="s">
        <v>4</v>
      </c>
      <c r="M2726" t="s">
        <v>5633</v>
      </c>
      <c r="N2726" t="s">
        <v>3</v>
      </c>
      <c r="O2726" t="s">
        <v>3</v>
      </c>
      <c r="P2726" t="s">
        <v>5</v>
      </c>
      <c r="Q2726" t="s">
        <v>5634</v>
      </c>
      <c r="R2726" t="s">
        <v>3</v>
      </c>
      <c r="S2726" t="s">
        <v>3</v>
      </c>
      <c r="T2726" t="s">
        <v>3</v>
      </c>
      <c r="U2726" t="s">
        <v>3</v>
      </c>
      <c r="V2726" t="s">
        <v>3</v>
      </c>
      <c r="W2726" t="s">
        <v>68</v>
      </c>
      <c r="X2726" s="17"/>
      <c r="Y2726" t="s">
        <v>3</v>
      </c>
      <c r="Z2726" s="17">
        <v>43863</v>
      </c>
      <c r="AA2726" t="s">
        <v>3</v>
      </c>
      <c r="AB2726" t="s">
        <v>5632</v>
      </c>
    </row>
    <row r="2727" spans="1:28" hidden="1">
      <c r="A2727" t="s">
        <v>5632</v>
      </c>
      <c r="B2727" s="17">
        <v>43863</v>
      </c>
      <c r="C2727" s="17">
        <v>43863</v>
      </c>
      <c r="D2727" t="s">
        <v>0</v>
      </c>
      <c r="E2727" t="s">
        <v>1</v>
      </c>
      <c r="F2727" s="18">
        <v>948.4</v>
      </c>
      <c r="G2727" s="18">
        <v>948.4</v>
      </c>
      <c r="H2727" t="s">
        <v>2</v>
      </c>
      <c r="I2727" t="s">
        <v>8</v>
      </c>
      <c r="J2727" s="18">
        <v>79618.179999999993</v>
      </c>
      <c r="K2727" t="s">
        <v>5469</v>
      </c>
      <c r="L2727" t="s">
        <v>4</v>
      </c>
      <c r="M2727" t="s">
        <v>5633</v>
      </c>
      <c r="N2727" t="s">
        <v>3</v>
      </c>
      <c r="O2727" t="s">
        <v>3</v>
      </c>
      <c r="P2727" t="s">
        <v>5</v>
      </c>
      <c r="Q2727" t="s">
        <v>5634</v>
      </c>
      <c r="R2727" t="s">
        <v>3</v>
      </c>
      <c r="S2727" t="s">
        <v>3</v>
      </c>
      <c r="T2727" t="s">
        <v>3</v>
      </c>
      <c r="U2727" t="s">
        <v>3</v>
      </c>
      <c r="V2727" t="s">
        <v>3</v>
      </c>
      <c r="W2727" t="s">
        <v>68</v>
      </c>
      <c r="X2727" s="17"/>
      <c r="Y2727" t="s">
        <v>3</v>
      </c>
      <c r="Z2727" s="17">
        <v>43863</v>
      </c>
      <c r="AA2727" t="s">
        <v>3</v>
      </c>
      <c r="AB2727" t="s">
        <v>5632</v>
      </c>
    </row>
    <row r="2728" spans="1:28" hidden="1">
      <c r="A2728" t="s">
        <v>5632</v>
      </c>
      <c r="B2728" s="17">
        <v>43863</v>
      </c>
      <c r="C2728" s="17">
        <v>43863</v>
      </c>
      <c r="D2728" t="s">
        <v>0</v>
      </c>
      <c r="E2728" t="s">
        <v>1</v>
      </c>
      <c r="F2728" s="18">
        <v>1805.36</v>
      </c>
      <c r="G2728" s="18">
        <v>1805.36</v>
      </c>
      <c r="H2728" t="s">
        <v>2</v>
      </c>
      <c r="I2728" t="s">
        <v>8</v>
      </c>
      <c r="J2728" s="18">
        <v>151559.97</v>
      </c>
      <c r="K2728" t="s">
        <v>5440</v>
      </c>
      <c r="L2728" t="s">
        <v>4</v>
      </c>
      <c r="M2728" t="s">
        <v>5633</v>
      </c>
      <c r="N2728" t="s">
        <v>3</v>
      </c>
      <c r="O2728" t="s">
        <v>3</v>
      </c>
      <c r="P2728" t="s">
        <v>5</v>
      </c>
      <c r="Q2728" t="s">
        <v>5634</v>
      </c>
      <c r="R2728" t="s">
        <v>3</v>
      </c>
      <c r="S2728" t="s">
        <v>3</v>
      </c>
      <c r="T2728" t="s">
        <v>3</v>
      </c>
      <c r="U2728" t="s">
        <v>3</v>
      </c>
      <c r="V2728" t="s">
        <v>3</v>
      </c>
      <c r="W2728" t="s">
        <v>68</v>
      </c>
      <c r="X2728" s="17"/>
      <c r="Y2728" t="s">
        <v>3</v>
      </c>
      <c r="Z2728" s="17">
        <v>43863</v>
      </c>
      <c r="AA2728" t="s">
        <v>3</v>
      </c>
      <c r="AB2728" t="s">
        <v>5632</v>
      </c>
    </row>
    <row r="2729" spans="1:28" hidden="1">
      <c r="A2729" t="s">
        <v>5635</v>
      </c>
      <c r="B2729" s="17">
        <v>43863</v>
      </c>
      <c r="C2729" s="17">
        <v>43863</v>
      </c>
      <c r="D2729" t="s">
        <v>0</v>
      </c>
      <c r="E2729" t="s">
        <v>1</v>
      </c>
      <c r="F2729" s="18">
        <v>-59512</v>
      </c>
      <c r="G2729" s="18">
        <v>-59512</v>
      </c>
      <c r="H2729" t="s">
        <v>2</v>
      </c>
      <c r="I2729" t="s">
        <v>10</v>
      </c>
      <c r="J2729" s="18">
        <v>-4996032.41</v>
      </c>
      <c r="K2729" t="s">
        <v>5636</v>
      </c>
      <c r="L2729" t="s">
        <v>9</v>
      </c>
      <c r="M2729" t="s">
        <v>5637</v>
      </c>
      <c r="N2729" t="s">
        <v>3</v>
      </c>
      <c r="O2729" t="s">
        <v>3</v>
      </c>
      <c r="P2729" t="s">
        <v>5</v>
      </c>
      <c r="Q2729" t="s">
        <v>5638</v>
      </c>
      <c r="R2729" t="s">
        <v>3</v>
      </c>
      <c r="S2729" t="s">
        <v>3</v>
      </c>
      <c r="T2729" t="s">
        <v>3</v>
      </c>
      <c r="U2729" t="s">
        <v>3</v>
      </c>
      <c r="V2729" t="s">
        <v>3</v>
      </c>
      <c r="W2729" t="s">
        <v>68</v>
      </c>
      <c r="X2729" s="17"/>
      <c r="Y2729" t="s">
        <v>3</v>
      </c>
      <c r="Z2729" s="17">
        <v>43863</v>
      </c>
      <c r="AA2729" t="s">
        <v>3</v>
      </c>
      <c r="AB2729" t="s">
        <v>5635</v>
      </c>
    </row>
    <row r="2730" spans="1:28" hidden="1">
      <c r="A2730" t="s">
        <v>5639</v>
      </c>
      <c r="B2730" s="17">
        <v>43863</v>
      </c>
      <c r="C2730" s="17">
        <v>43863</v>
      </c>
      <c r="D2730" t="s">
        <v>0</v>
      </c>
      <c r="E2730" t="s">
        <v>1</v>
      </c>
      <c r="F2730" s="18">
        <v>-1000000</v>
      </c>
      <c r="G2730" s="18">
        <v>-1000000</v>
      </c>
      <c r="H2730" t="s">
        <v>2</v>
      </c>
      <c r="I2730" t="s">
        <v>8</v>
      </c>
      <c r="J2730" s="18">
        <v>-83950000.010000005</v>
      </c>
      <c r="K2730" t="s">
        <v>5640</v>
      </c>
      <c r="L2730" t="s">
        <v>9</v>
      </c>
      <c r="M2730" t="s">
        <v>5641</v>
      </c>
      <c r="N2730" t="s">
        <v>3</v>
      </c>
      <c r="O2730" t="s">
        <v>3</v>
      </c>
      <c r="P2730" t="s">
        <v>5</v>
      </c>
      <c r="Q2730" t="s">
        <v>5642</v>
      </c>
      <c r="R2730" t="s">
        <v>3</v>
      </c>
      <c r="S2730" t="s">
        <v>3</v>
      </c>
      <c r="T2730" t="s">
        <v>3</v>
      </c>
      <c r="U2730" t="s">
        <v>3</v>
      </c>
      <c r="V2730" t="s">
        <v>3</v>
      </c>
      <c r="W2730" t="s">
        <v>68</v>
      </c>
      <c r="X2730" s="17"/>
      <c r="Y2730" t="s">
        <v>3</v>
      </c>
      <c r="Z2730" s="17">
        <v>43863</v>
      </c>
      <c r="AA2730" t="s">
        <v>3</v>
      </c>
      <c r="AB2730" t="s">
        <v>5639</v>
      </c>
    </row>
    <row r="2731" spans="1:28" s="34" customFormat="1">
      <c r="A2731" s="37" t="s">
        <v>5643</v>
      </c>
      <c r="B2731" s="32">
        <v>43863</v>
      </c>
      <c r="C2731" s="32">
        <v>43863</v>
      </c>
      <c r="D2731" s="31" t="s">
        <v>0</v>
      </c>
      <c r="E2731" s="31" t="s">
        <v>1</v>
      </c>
      <c r="F2731" s="33">
        <v>-1100265</v>
      </c>
      <c r="G2731" s="49">
        <v>-1100265</v>
      </c>
      <c r="H2731" s="31" t="s">
        <v>2</v>
      </c>
      <c r="I2731" s="31" t="s">
        <v>8</v>
      </c>
      <c r="J2731" s="49">
        <v>-92367246.75</v>
      </c>
      <c r="K2731" s="31" t="s">
        <v>5644</v>
      </c>
      <c r="L2731" s="31" t="s">
        <v>9</v>
      </c>
      <c r="M2731" s="31" t="s">
        <v>5645</v>
      </c>
      <c r="N2731" s="31" t="s">
        <v>3</v>
      </c>
      <c r="O2731" s="31" t="s">
        <v>3</v>
      </c>
      <c r="P2731" s="31" t="s">
        <v>5</v>
      </c>
      <c r="Q2731" s="31" t="s">
        <v>5646</v>
      </c>
      <c r="R2731" s="31" t="s">
        <v>3</v>
      </c>
      <c r="S2731" s="31" t="s">
        <v>3</v>
      </c>
      <c r="T2731" s="31" t="s">
        <v>3</v>
      </c>
      <c r="U2731" s="31" t="s">
        <v>3</v>
      </c>
      <c r="V2731" s="31" t="s">
        <v>3</v>
      </c>
      <c r="W2731" s="31" t="s">
        <v>68</v>
      </c>
      <c r="X2731" s="32"/>
      <c r="Y2731" s="31" t="s">
        <v>3</v>
      </c>
      <c r="Z2731" s="32">
        <v>43863</v>
      </c>
      <c r="AA2731" s="31" t="s">
        <v>3</v>
      </c>
      <c r="AB2731" s="31" t="s">
        <v>5643</v>
      </c>
    </row>
    <row r="2732" spans="1:28" hidden="1">
      <c r="A2732" t="s">
        <v>5647</v>
      </c>
      <c r="B2732" s="17">
        <v>43865</v>
      </c>
      <c r="C2732" s="17">
        <v>43865</v>
      </c>
      <c r="D2732" t="s">
        <v>0</v>
      </c>
      <c r="E2732" t="s">
        <v>1</v>
      </c>
      <c r="F2732" s="18">
        <v>-118766.17</v>
      </c>
      <c r="G2732" s="18">
        <v>-118766.17</v>
      </c>
      <c r="H2732" t="s">
        <v>2</v>
      </c>
      <c r="I2732" t="s">
        <v>10</v>
      </c>
      <c r="J2732" s="18">
        <v>-9970419.9800000004</v>
      </c>
      <c r="K2732" t="s">
        <v>5648</v>
      </c>
      <c r="L2732" t="s">
        <v>4</v>
      </c>
      <c r="M2732" t="s">
        <v>5649</v>
      </c>
      <c r="N2732" t="s">
        <v>3</v>
      </c>
      <c r="O2732" t="s">
        <v>3</v>
      </c>
      <c r="P2732" t="s">
        <v>5</v>
      </c>
      <c r="Q2732" t="s">
        <v>5650</v>
      </c>
      <c r="R2732" t="s">
        <v>3</v>
      </c>
      <c r="S2732" t="s">
        <v>3</v>
      </c>
      <c r="T2732" t="s">
        <v>3</v>
      </c>
      <c r="U2732" t="s">
        <v>3</v>
      </c>
      <c r="V2732" t="s">
        <v>3</v>
      </c>
      <c r="W2732" t="s">
        <v>68</v>
      </c>
      <c r="X2732" s="17"/>
      <c r="Y2732" t="s">
        <v>3</v>
      </c>
      <c r="Z2732" s="17">
        <v>43865</v>
      </c>
      <c r="AA2732" t="s">
        <v>3</v>
      </c>
      <c r="AB2732" t="s">
        <v>5647</v>
      </c>
    </row>
    <row r="2733" spans="1:28" hidden="1">
      <c r="A2733" t="s">
        <v>5651</v>
      </c>
      <c r="B2733" s="17">
        <v>43865</v>
      </c>
      <c r="C2733" s="17">
        <v>43865</v>
      </c>
      <c r="D2733" t="s">
        <v>0</v>
      </c>
      <c r="E2733" t="s">
        <v>1</v>
      </c>
      <c r="F2733" s="18">
        <v>-367148.66</v>
      </c>
      <c r="G2733" s="18">
        <v>-367148.66</v>
      </c>
      <c r="H2733" t="s">
        <v>2</v>
      </c>
      <c r="I2733" t="s">
        <v>8</v>
      </c>
      <c r="J2733" s="18">
        <v>-30822130.010000002</v>
      </c>
      <c r="K2733" t="s">
        <v>5652</v>
      </c>
      <c r="L2733" t="s">
        <v>4</v>
      </c>
      <c r="M2733" t="s">
        <v>5653</v>
      </c>
      <c r="N2733" t="s">
        <v>3</v>
      </c>
      <c r="O2733" t="s">
        <v>3</v>
      </c>
      <c r="P2733" t="s">
        <v>5</v>
      </c>
      <c r="Q2733" t="s">
        <v>5654</v>
      </c>
      <c r="R2733" t="s">
        <v>3</v>
      </c>
      <c r="S2733" t="s">
        <v>3</v>
      </c>
      <c r="T2733" t="s">
        <v>3</v>
      </c>
      <c r="U2733" t="s">
        <v>3</v>
      </c>
      <c r="V2733" t="s">
        <v>3</v>
      </c>
      <c r="W2733" t="s">
        <v>68</v>
      </c>
      <c r="X2733" s="17"/>
      <c r="Y2733" t="s">
        <v>3</v>
      </c>
      <c r="Z2733" s="17">
        <v>43865</v>
      </c>
      <c r="AA2733" t="s">
        <v>3</v>
      </c>
      <c r="AB2733" t="s">
        <v>5651</v>
      </c>
    </row>
    <row r="2734" spans="1:28" hidden="1">
      <c r="A2734" t="s">
        <v>5655</v>
      </c>
      <c r="B2734" s="17">
        <v>43865</v>
      </c>
      <c r="C2734" s="17">
        <v>43865</v>
      </c>
      <c r="D2734" t="s">
        <v>0</v>
      </c>
      <c r="E2734" t="s">
        <v>1</v>
      </c>
      <c r="F2734" s="18">
        <v>524.79</v>
      </c>
      <c r="G2734" s="18">
        <v>524.79</v>
      </c>
      <c r="H2734" t="s">
        <v>2</v>
      </c>
      <c r="I2734" t="s">
        <v>10</v>
      </c>
      <c r="J2734" s="18">
        <v>44056.12</v>
      </c>
      <c r="K2734" t="s">
        <v>5479</v>
      </c>
      <c r="L2734" t="s">
        <v>4</v>
      </c>
      <c r="M2734" t="s">
        <v>5656</v>
      </c>
      <c r="N2734" t="s">
        <v>3</v>
      </c>
      <c r="O2734" t="s">
        <v>3</v>
      </c>
      <c r="P2734" t="s">
        <v>5</v>
      </c>
      <c r="Q2734" t="s">
        <v>5657</v>
      </c>
      <c r="R2734" t="s">
        <v>3</v>
      </c>
      <c r="S2734" t="s">
        <v>3</v>
      </c>
      <c r="T2734" t="s">
        <v>3</v>
      </c>
      <c r="U2734" t="s">
        <v>3</v>
      </c>
      <c r="V2734" t="s">
        <v>3</v>
      </c>
      <c r="W2734" t="s">
        <v>68</v>
      </c>
      <c r="X2734" s="17"/>
      <c r="Y2734" t="s">
        <v>3</v>
      </c>
      <c r="Z2734" s="17">
        <v>43865</v>
      </c>
      <c r="AA2734" t="s">
        <v>3</v>
      </c>
      <c r="AB2734" t="s">
        <v>5655</v>
      </c>
    </row>
    <row r="2735" spans="1:28" hidden="1">
      <c r="A2735" t="s">
        <v>5655</v>
      </c>
      <c r="B2735" s="17">
        <v>43865</v>
      </c>
      <c r="C2735" s="17">
        <v>43865</v>
      </c>
      <c r="D2735" t="s">
        <v>0</v>
      </c>
      <c r="E2735" t="s">
        <v>1</v>
      </c>
      <c r="F2735" s="18">
        <v>8567.84</v>
      </c>
      <c r="G2735" s="18">
        <v>8567.84</v>
      </c>
      <c r="H2735" t="s">
        <v>2</v>
      </c>
      <c r="I2735" t="s">
        <v>10</v>
      </c>
      <c r="J2735" s="18">
        <v>719270.17</v>
      </c>
      <c r="K2735" t="s">
        <v>5487</v>
      </c>
      <c r="L2735" t="s">
        <v>4</v>
      </c>
      <c r="M2735" t="s">
        <v>5656</v>
      </c>
      <c r="N2735" t="s">
        <v>3</v>
      </c>
      <c r="O2735" t="s">
        <v>3</v>
      </c>
      <c r="P2735" t="s">
        <v>5</v>
      </c>
      <c r="Q2735" t="s">
        <v>5657</v>
      </c>
      <c r="R2735" t="s">
        <v>3</v>
      </c>
      <c r="S2735" t="s">
        <v>3</v>
      </c>
      <c r="T2735" t="s">
        <v>3</v>
      </c>
      <c r="U2735" t="s">
        <v>3</v>
      </c>
      <c r="V2735" t="s">
        <v>3</v>
      </c>
      <c r="W2735" t="s">
        <v>68</v>
      </c>
      <c r="X2735" s="17"/>
      <c r="Y2735" t="s">
        <v>3</v>
      </c>
      <c r="Z2735" s="17">
        <v>43865</v>
      </c>
      <c r="AA2735" t="s">
        <v>3</v>
      </c>
      <c r="AB2735" t="s">
        <v>5655</v>
      </c>
    </row>
    <row r="2736" spans="1:28" hidden="1">
      <c r="A2736" t="s">
        <v>5655</v>
      </c>
      <c r="B2736" s="17">
        <v>43865</v>
      </c>
      <c r="C2736" s="17">
        <v>43865</v>
      </c>
      <c r="D2736" t="s">
        <v>0</v>
      </c>
      <c r="E2736" t="s">
        <v>1</v>
      </c>
      <c r="F2736" s="18">
        <v>995.67</v>
      </c>
      <c r="G2736" s="18">
        <v>995.67</v>
      </c>
      <c r="H2736" t="s">
        <v>2</v>
      </c>
      <c r="I2736" t="s">
        <v>10</v>
      </c>
      <c r="J2736" s="18">
        <v>83586.5</v>
      </c>
      <c r="K2736" t="s">
        <v>5618</v>
      </c>
      <c r="L2736" t="s">
        <v>4</v>
      </c>
      <c r="M2736" t="s">
        <v>5656</v>
      </c>
      <c r="N2736" t="s">
        <v>3</v>
      </c>
      <c r="O2736" t="s">
        <v>3</v>
      </c>
      <c r="P2736" t="s">
        <v>5</v>
      </c>
      <c r="Q2736" t="s">
        <v>5657</v>
      </c>
      <c r="R2736" t="s">
        <v>3</v>
      </c>
      <c r="S2736" t="s">
        <v>3</v>
      </c>
      <c r="T2736" t="s">
        <v>3</v>
      </c>
      <c r="U2736" t="s">
        <v>3</v>
      </c>
      <c r="V2736" t="s">
        <v>3</v>
      </c>
      <c r="W2736" t="s">
        <v>68</v>
      </c>
      <c r="X2736" s="17"/>
      <c r="Y2736" t="s">
        <v>3</v>
      </c>
      <c r="Z2736" s="17">
        <v>43865</v>
      </c>
      <c r="AA2736" t="s">
        <v>3</v>
      </c>
      <c r="AB2736" t="s">
        <v>5655</v>
      </c>
    </row>
    <row r="2737" spans="1:28" hidden="1">
      <c r="A2737" t="s">
        <v>5658</v>
      </c>
      <c r="B2737" s="17">
        <v>43865</v>
      </c>
      <c r="C2737" s="17">
        <v>43865</v>
      </c>
      <c r="D2737" t="s">
        <v>0</v>
      </c>
      <c r="E2737" t="s">
        <v>1</v>
      </c>
      <c r="F2737" s="18">
        <v>2565.08</v>
      </c>
      <c r="G2737" s="18">
        <v>2565.08</v>
      </c>
      <c r="H2737" t="s">
        <v>2</v>
      </c>
      <c r="I2737" t="s">
        <v>8</v>
      </c>
      <c r="J2737" s="18">
        <v>215338.47</v>
      </c>
      <c r="K2737" t="s">
        <v>5585</v>
      </c>
      <c r="L2737" t="s">
        <v>4</v>
      </c>
      <c r="M2737" t="s">
        <v>5659</v>
      </c>
      <c r="N2737" t="s">
        <v>3</v>
      </c>
      <c r="O2737" t="s">
        <v>3</v>
      </c>
      <c r="P2737" t="s">
        <v>5</v>
      </c>
      <c r="Q2737" t="s">
        <v>5660</v>
      </c>
      <c r="R2737" t="s">
        <v>3</v>
      </c>
      <c r="S2737" t="s">
        <v>3</v>
      </c>
      <c r="T2737" t="s">
        <v>3</v>
      </c>
      <c r="U2737" t="s">
        <v>3</v>
      </c>
      <c r="V2737" t="s">
        <v>3</v>
      </c>
      <c r="W2737" t="s">
        <v>68</v>
      </c>
      <c r="X2737" s="17"/>
      <c r="Y2737" t="s">
        <v>3</v>
      </c>
      <c r="Z2737" s="17">
        <v>43865</v>
      </c>
      <c r="AA2737" t="s">
        <v>3</v>
      </c>
      <c r="AB2737" t="s">
        <v>5658</v>
      </c>
    </row>
    <row r="2738" spans="1:28" hidden="1">
      <c r="A2738" t="s">
        <v>5658</v>
      </c>
      <c r="B2738" s="17">
        <v>43865</v>
      </c>
      <c r="C2738" s="17">
        <v>43865</v>
      </c>
      <c r="D2738" t="s">
        <v>0</v>
      </c>
      <c r="E2738" t="s">
        <v>1</v>
      </c>
      <c r="F2738" s="18">
        <v>3530.63</v>
      </c>
      <c r="G2738" s="18">
        <v>3530.63</v>
      </c>
      <c r="H2738" t="s">
        <v>2</v>
      </c>
      <c r="I2738" t="s">
        <v>8</v>
      </c>
      <c r="J2738" s="18">
        <v>296396.39</v>
      </c>
      <c r="K2738" t="s">
        <v>5469</v>
      </c>
      <c r="L2738" t="s">
        <v>4</v>
      </c>
      <c r="M2738" t="s">
        <v>5659</v>
      </c>
      <c r="N2738" t="s">
        <v>3</v>
      </c>
      <c r="O2738" t="s">
        <v>3</v>
      </c>
      <c r="P2738" t="s">
        <v>5</v>
      </c>
      <c r="Q2738" t="s">
        <v>5660</v>
      </c>
      <c r="R2738" t="s">
        <v>3</v>
      </c>
      <c r="S2738" t="s">
        <v>3</v>
      </c>
      <c r="T2738" t="s">
        <v>3</v>
      </c>
      <c r="U2738" t="s">
        <v>3</v>
      </c>
      <c r="V2738" t="s">
        <v>3</v>
      </c>
      <c r="W2738" t="s">
        <v>68</v>
      </c>
      <c r="X2738" s="17"/>
      <c r="Y2738" t="s">
        <v>3</v>
      </c>
      <c r="Z2738" s="17">
        <v>43865</v>
      </c>
      <c r="AA2738" t="s">
        <v>3</v>
      </c>
      <c r="AB2738" t="s">
        <v>5658</v>
      </c>
    </row>
    <row r="2739" spans="1:28" hidden="1">
      <c r="A2739" t="s">
        <v>5658</v>
      </c>
      <c r="B2739" s="17">
        <v>43865</v>
      </c>
      <c r="C2739" s="17">
        <v>43865</v>
      </c>
      <c r="D2739" t="s">
        <v>0</v>
      </c>
      <c r="E2739" t="s">
        <v>1</v>
      </c>
      <c r="F2739" s="18">
        <v>3743.82</v>
      </c>
      <c r="G2739" s="18">
        <v>3743.82</v>
      </c>
      <c r="H2739" t="s">
        <v>2</v>
      </c>
      <c r="I2739" t="s">
        <v>8</v>
      </c>
      <c r="J2739" s="18">
        <v>314293.69</v>
      </c>
      <c r="K2739" t="s">
        <v>5440</v>
      </c>
      <c r="L2739" t="s">
        <v>4</v>
      </c>
      <c r="M2739" t="s">
        <v>5659</v>
      </c>
      <c r="N2739" t="s">
        <v>3</v>
      </c>
      <c r="O2739" t="s">
        <v>3</v>
      </c>
      <c r="P2739" t="s">
        <v>5</v>
      </c>
      <c r="Q2739" t="s">
        <v>5660</v>
      </c>
      <c r="R2739" t="s">
        <v>3</v>
      </c>
      <c r="S2739" t="s">
        <v>3</v>
      </c>
      <c r="T2739" t="s">
        <v>3</v>
      </c>
      <c r="U2739" t="s">
        <v>3</v>
      </c>
      <c r="V2739" t="s">
        <v>3</v>
      </c>
      <c r="W2739" t="s">
        <v>68</v>
      </c>
      <c r="X2739" s="17"/>
      <c r="Y2739" t="s">
        <v>3</v>
      </c>
      <c r="Z2739" s="17">
        <v>43865</v>
      </c>
      <c r="AA2739" t="s">
        <v>3</v>
      </c>
      <c r="AB2739" t="s">
        <v>5658</v>
      </c>
    </row>
    <row r="2740" spans="1:28" hidden="1">
      <c r="A2740" t="s">
        <v>5658</v>
      </c>
      <c r="B2740" s="17">
        <v>43865</v>
      </c>
      <c r="C2740" s="17">
        <v>43865</v>
      </c>
      <c r="D2740" t="s">
        <v>0</v>
      </c>
      <c r="E2740" t="s">
        <v>1</v>
      </c>
      <c r="F2740" s="18">
        <v>535.99</v>
      </c>
      <c r="G2740" s="18">
        <v>535.99</v>
      </c>
      <c r="H2740" t="s">
        <v>2</v>
      </c>
      <c r="I2740" t="s">
        <v>8</v>
      </c>
      <c r="J2740" s="18">
        <v>44996.36</v>
      </c>
      <c r="K2740" t="s">
        <v>5442</v>
      </c>
      <c r="L2740" t="s">
        <v>4</v>
      </c>
      <c r="M2740" t="s">
        <v>5659</v>
      </c>
      <c r="N2740" t="s">
        <v>3</v>
      </c>
      <c r="O2740" t="s">
        <v>3</v>
      </c>
      <c r="P2740" t="s">
        <v>5</v>
      </c>
      <c r="Q2740" t="s">
        <v>5660</v>
      </c>
      <c r="R2740" t="s">
        <v>3</v>
      </c>
      <c r="S2740" t="s">
        <v>3</v>
      </c>
      <c r="T2740" t="s">
        <v>3</v>
      </c>
      <c r="U2740" t="s">
        <v>3</v>
      </c>
      <c r="V2740" t="s">
        <v>3</v>
      </c>
      <c r="W2740" t="s">
        <v>68</v>
      </c>
      <c r="X2740" s="17"/>
      <c r="Y2740" t="s">
        <v>3</v>
      </c>
      <c r="Z2740" s="17">
        <v>43865</v>
      </c>
      <c r="AA2740" t="s">
        <v>3</v>
      </c>
      <c r="AB2740" t="s">
        <v>5658</v>
      </c>
    </row>
    <row r="2741" spans="1:28" hidden="1">
      <c r="A2741" t="s">
        <v>5661</v>
      </c>
      <c r="B2741" s="17">
        <v>43865</v>
      </c>
      <c r="C2741" s="17">
        <v>43865</v>
      </c>
      <c r="D2741" t="s">
        <v>0</v>
      </c>
      <c r="E2741" t="s">
        <v>1</v>
      </c>
      <c r="F2741" s="18">
        <v>1368</v>
      </c>
      <c r="G2741" s="18">
        <v>1368</v>
      </c>
      <c r="H2741" t="s">
        <v>2</v>
      </c>
      <c r="I2741" t="s">
        <v>8</v>
      </c>
      <c r="J2741" s="18">
        <v>114228</v>
      </c>
      <c r="K2741" t="s">
        <v>5207</v>
      </c>
      <c r="L2741" t="s">
        <v>9</v>
      </c>
      <c r="M2741" t="s">
        <v>5662</v>
      </c>
      <c r="N2741" t="s">
        <v>3</v>
      </c>
      <c r="O2741" t="s">
        <v>3</v>
      </c>
      <c r="P2741" t="s">
        <v>5</v>
      </c>
      <c r="Q2741" t="s">
        <v>5663</v>
      </c>
      <c r="R2741" t="s">
        <v>3</v>
      </c>
      <c r="S2741" t="s">
        <v>3</v>
      </c>
      <c r="T2741" t="s">
        <v>3</v>
      </c>
      <c r="U2741" t="s">
        <v>3</v>
      </c>
      <c r="V2741" t="s">
        <v>3</v>
      </c>
      <c r="W2741" t="s">
        <v>68</v>
      </c>
      <c r="X2741" s="17"/>
      <c r="Y2741" t="s">
        <v>3</v>
      </c>
      <c r="Z2741" s="17">
        <v>43865</v>
      </c>
      <c r="AA2741" t="s">
        <v>3</v>
      </c>
      <c r="AB2741" t="s">
        <v>5661</v>
      </c>
    </row>
    <row r="2742" spans="1:28" hidden="1">
      <c r="A2742" t="s">
        <v>5661</v>
      </c>
      <c r="B2742" s="17">
        <v>43865</v>
      </c>
      <c r="C2742" s="17">
        <v>43865</v>
      </c>
      <c r="D2742" t="s">
        <v>0</v>
      </c>
      <c r="E2742" t="s">
        <v>1</v>
      </c>
      <c r="F2742" s="18">
        <v>1804</v>
      </c>
      <c r="G2742" s="18">
        <v>1804</v>
      </c>
      <c r="H2742" t="s">
        <v>2</v>
      </c>
      <c r="I2742" t="s">
        <v>8</v>
      </c>
      <c r="J2742" s="18">
        <v>150634</v>
      </c>
      <c r="K2742" t="s">
        <v>5150</v>
      </c>
      <c r="L2742" t="s">
        <v>9</v>
      </c>
      <c r="M2742" t="s">
        <v>5662</v>
      </c>
      <c r="N2742" t="s">
        <v>3</v>
      </c>
      <c r="O2742" t="s">
        <v>3</v>
      </c>
      <c r="P2742" t="s">
        <v>5</v>
      </c>
      <c r="Q2742" t="s">
        <v>5663</v>
      </c>
      <c r="R2742" t="s">
        <v>3</v>
      </c>
      <c r="S2742" t="s">
        <v>3</v>
      </c>
      <c r="T2742" t="s">
        <v>3</v>
      </c>
      <c r="U2742" t="s">
        <v>3</v>
      </c>
      <c r="V2742" t="s">
        <v>3</v>
      </c>
      <c r="W2742" t="s">
        <v>68</v>
      </c>
      <c r="X2742" s="17"/>
      <c r="Y2742" t="s">
        <v>3</v>
      </c>
      <c r="Z2742" s="17">
        <v>43865</v>
      </c>
      <c r="AA2742" t="s">
        <v>3</v>
      </c>
      <c r="AB2742" t="s">
        <v>5661</v>
      </c>
    </row>
    <row r="2743" spans="1:28" hidden="1">
      <c r="A2743" t="s">
        <v>5661</v>
      </c>
      <c r="B2743" s="17">
        <v>43865</v>
      </c>
      <c r="C2743" s="17">
        <v>43865</v>
      </c>
      <c r="D2743" t="s">
        <v>0</v>
      </c>
      <c r="E2743" t="s">
        <v>1</v>
      </c>
      <c r="F2743" s="18">
        <v>2545</v>
      </c>
      <c r="G2743" s="18">
        <v>2545</v>
      </c>
      <c r="H2743" t="s">
        <v>2</v>
      </c>
      <c r="I2743" t="s">
        <v>8</v>
      </c>
      <c r="J2743" s="18">
        <v>213652.75</v>
      </c>
      <c r="K2743" t="s">
        <v>5614</v>
      </c>
      <c r="L2743" t="s">
        <v>9</v>
      </c>
      <c r="M2743" t="s">
        <v>5662</v>
      </c>
      <c r="N2743" t="s">
        <v>3</v>
      </c>
      <c r="O2743" t="s">
        <v>3</v>
      </c>
      <c r="P2743" t="s">
        <v>5</v>
      </c>
      <c r="Q2743" t="s">
        <v>5663</v>
      </c>
      <c r="R2743" t="s">
        <v>3</v>
      </c>
      <c r="S2743" t="s">
        <v>3</v>
      </c>
      <c r="T2743" t="s">
        <v>3</v>
      </c>
      <c r="U2743" t="s">
        <v>3</v>
      </c>
      <c r="V2743" t="s">
        <v>3</v>
      </c>
      <c r="W2743" t="s">
        <v>68</v>
      </c>
      <c r="X2743" s="17"/>
      <c r="Y2743" t="s">
        <v>3</v>
      </c>
      <c r="Z2743" s="17">
        <v>43865</v>
      </c>
      <c r="AA2743" t="s">
        <v>3</v>
      </c>
      <c r="AB2743" t="s">
        <v>5661</v>
      </c>
    </row>
    <row r="2744" spans="1:28" hidden="1">
      <c r="A2744" t="s">
        <v>5664</v>
      </c>
      <c r="B2744" s="17">
        <v>43867</v>
      </c>
      <c r="C2744" s="17">
        <v>43867</v>
      </c>
      <c r="D2744" t="s">
        <v>0</v>
      </c>
      <c r="E2744" t="s">
        <v>1</v>
      </c>
      <c r="F2744" s="18">
        <v>434</v>
      </c>
      <c r="G2744" s="18">
        <v>434</v>
      </c>
      <c r="H2744" t="s">
        <v>2</v>
      </c>
      <c r="I2744" t="s">
        <v>8</v>
      </c>
      <c r="J2744" s="18">
        <v>36434.300000000003</v>
      </c>
      <c r="K2744" t="s">
        <v>5606</v>
      </c>
      <c r="L2744" t="s">
        <v>9</v>
      </c>
      <c r="M2744" t="s">
        <v>5665</v>
      </c>
      <c r="N2744" t="s">
        <v>3</v>
      </c>
      <c r="O2744" t="s">
        <v>3</v>
      </c>
      <c r="P2744" t="s">
        <v>5</v>
      </c>
      <c r="Q2744" t="s">
        <v>5666</v>
      </c>
      <c r="R2744" t="s">
        <v>3</v>
      </c>
      <c r="S2744" t="s">
        <v>3</v>
      </c>
      <c r="T2744" t="s">
        <v>3</v>
      </c>
      <c r="U2744" t="s">
        <v>3</v>
      </c>
      <c r="V2744" t="s">
        <v>3</v>
      </c>
      <c r="W2744" t="s">
        <v>68</v>
      </c>
      <c r="X2744" s="17"/>
      <c r="Y2744" t="s">
        <v>3</v>
      </c>
      <c r="Z2744" s="17">
        <v>43867</v>
      </c>
      <c r="AA2744" t="s">
        <v>3</v>
      </c>
      <c r="AB2744" t="s">
        <v>5664</v>
      </c>
    </row>
    <row r="2745" spans="1:28" hidden="1">
      <c r="A2745" t="s">
        <v>5664</v>
      </c>
      <c r="B2745" s="17">
        <v>43867</v>
      </c>
      <c r="C2745" s="17">
        <v>43867</v>
      </c>
      <c r="D2745" t="s">
        <v>0</v>
      </c>
      <c r="E2745" t="s">
        <v>1</v>
      </c>
      <c r="F2745" s="18">
        <v>429</v>
      </c>
      <c r="G2745" s="18">
        <v>429</v>
      </c>
      <c r="H2745" t="s">
        <v>2</v>
      </c>
      <c r="I2745" t="s">
        <v>8</v>
      </c>
      <c r="J2745" s="18">
        <v>36014.550000000003</v>
      </c>
      <c r="K2745" t="s">
        <v>5455</v>
      </c>
      <c r="L2745" t="s">
        <v>9</v>
      </c>
      <c r="M2745" t="s">
        <v>5665</v>
      </c>
      <c r="N2745" t="s">
        <v>3</v>
      </c>
      <c r="O2745" t="s">
        <v>3</v>
      </c>
      <c r="P2745" t="s">
        <v>5</v>
      </c>
      <c r="Q2745" t="s">
        <v>5666</v>
      </c>
      <c r="R2745" t="s">
        <v>3</v>
      </c>
      <c r="S2745" t="s">
        <v>3</v>
      </c>
      <c r="T2745" t="s">
        <v>3</v>
      </c>
      <c r="U2745" t="s">
        <v>3</v>
      </c>
      <c r="V2745" t="s">
        <v>3</v>
      </c>
      <c r="W2745" t="s">
        <v>68</v>
      </c>
      <c r="X2745" s="17"/>
      <c r="Y2745" t="s">
        <v>3</v>
      </c>
      <c r="Z2745" s="17">
        <v>43867</v>
      </c>
      <c r="AA2745" t="s">
        <v>3</v>
      </c>
      <c r="AB2745" t="s">
        <v>5664</v>
      </c>
    </row>
    <row r="2746" spans="1:28" hidden="1">
      <c r="A2746" t="s">
        <v>5667</v>
      </c>
      <c r="B2746" s="17">
        <v>43867</v>
      </c>
      <c r="C2746" s="17">
        <v>43867</v>
      </c>
      <c r="D2746" t="s">
        <v>0</v>
      </c>
      <c r="E2746" t="s">
        <v>1</v>
      </c>
      <c r="F2746" s="18">
        <v>2905.85</v>
      </c>
      <c r="G2746" s="18">
        <v>2905.85</v>
      </c>
      <c r="H2746" t="s">
        <v>2</v>
      </c>
      <c r="I2746" t="s">
        <v>8</v>
      </c>
      <c r="J2746" s="18">
        <v>243946.11</v>
      </c>
      <c r="K2746" t="s">
        <v>5585</v>
      </c>
      <c r="L2746" t="s">
        <v>4</v>
      </c>
      <c r="M2746" t="s">
        <v>5668</v>
      </c>
      <c r="N2746" t="s">
        <v>3</v>
      </c>
      <c r="O2746" t="s">
        <v>3</v>
      </c>
      <c r="P2746" t="s">
        <v>5</v>
      </c>
      <c r="Q2746" t="s">
        <v>5669</v>
      </c>
      <c r="R2746" t="s">
        <v>3</v>
      </c>
      <c r="S2746" t="s">
        <v>3</v>
      </c>
      <c r="T2746" t="s">
        <v>3</v>
      </c>
      <c r="U2746" t="s">
        <v>3</v>
      </c>
      <c r="V2746" t="s">
        <v>3</v>
      </c>
      <c r="W2746" t="s">
        <v>68</v>
      </c>
      <c r="X2746" s="17"/>
      <c r="Y2746" t="s">
        <v>3</v>
      </c>
      <c r="Z2746" s="17">
        <v>43867</v>
      </c>
      <c r="AA2746" t="s">
        <v>3</v>
      </c>
      <c r="AB2746" t="s">
        <v>5667</v>
      </c>
    </row>
    <row r="2747" spans="1:28" hidden="1">
      <c r="A2747" t="s">
        <v>5667</v>
      </c>
      <c r="B2747" s="17">
        <v>43867</v>
      </c>
      <c r="C2747" s="17">
        <v>43867</v>
      </c>
      <c r="D2747" t="s">
        <v>0</v>
      </c>
      <c r="E2747" t="s">
        <v>1</v>
      </c>
      <c r="F2747" s="18">
        <v>15517.79</v>
      </c>
      <c r="G2747" s="18">
        <v>15517.79</v>
      </c>
      <c r="H2747" t="s">
        <v>2</v>
      </c>
      <c r="I2747" t="s">
        <v>8</v>
      </c>
      <c r="J2747" s="18">
        <v>1302718.47</v>
      </c>
      <c r="K2747" t="s">
        <v>5469</v>
      </c>
      <c r="L2747" t="s">
        <v>4</v>
      </c>
      <c r="M2747" t="s">
        <v>5668</v>
      </c>
      <c r="N2747" t="s">
        <v>3</v>
      </c>
      <c r="O2747" t="s">
        <v>3</v>
      </c>
      <c r="P2747" t="s">
        <v>5</v>
      </c>
      <c r="Q2747" t="s">
        <v>5669</v>
      </c>
      <c r="R2747" t="s">
        <v>3</v>
      </c>
      <c r="S2747" t="s">
        <v>3</v>
      </c>
      <c r="T2747" t="s">
        <v>3</v>
      </c>
      <c r="U2747" t="s">
        <v>3</v>
      </c>
      <c r="V2747" t="s">
        <v>3</v>
      </c>
      <c r="W2747" t="s">
        <v>68</v>
      </c>
      <c r="X2747" s="17"/>
      <c r="Y2747" t="s">
        <v>3</v>
      </c>
      <c r="Z2747" s="17">
        <v>43867</v>
      </c>
      <c r="AA2747" t="s">
        <v>3</v>
      </c>
      <c r="AB2747" t="s">
        <v>5667</v>
      </c>
    </row>
    <row r="2748" spans="1:28" hidden="1">
      <c r="A2748" t="s">
        <v>5667</v>
      </c>
      <c r="B2748" s="17">
        <v>43867</v>
      </c>
      <c r="C2748" s="17">
        <v>43867</v>
      </c>
      <c r="D2748" t="s">
        <v>0</v>
      </c>
      <c r="E2748" t="s">
        <v>1</v>
      </c>
      <c r="F2748" s="18">
        <v>13813.88</v>
      </c>
      <c r="G2748" s="18">
        <v>13813.88</v>
      </c>
      <c r="H2748" t="s">
        <v>2</v>
      </c>
      <c r="I2748" t="s">
        <v>8</v>
      </c>
      <c r="J2748" s="18">
        <v>1159675.23</v>
      </c>
      <c r="K2748" t="s">
        <v>5440</v>
      </c>
      <c r="L2748" t="s">
        <v>4</v>
      </c>
      <c r="M2748" t="s">
        <v>5668</v>
      </c>
      <c r="N2748" t="s">
        <v>3</v>
      </c>
      <c r="O2748" t="s">
        <v>3</v>
      </c>
      <c r="P2748" t="s">
        <v>5</v>
      </c>
      <c r="Q2748" t="s">
        <v>5669</v>
      </c>
      <c r="R2748" t="s">
        <v>3</v>
      </c>
      <c r="S2748" t="s">
        <v>3</v>
      </c>
      <c r="T2748" t="s">
        <v>3</v>
      </c>
      <c r="U2748" t="s">
        <v>3</v>
      </c>
      <c r="V2748" t="s">
        <v>3</v>
      </c>
      <c r="W2748" t="s">
        <v>68</v>
      </c>
      <c r="X2748" s="17"/>
      <c r="Y2748" t="s">
        <v>3</v>
      </c>
      <c r="Z2748" s="17">
        <v>43867</v>
      </c>
      <c r="AA2748" t="s">
        <v>3</v>
      </c>
      <c r="AB2748" t="s">
        <v>5667</v>
      </c>
    </row>
    <row r="2749" spans="1:28" hidden="1">
      <c r="A2749" t="s">
        <v>5667</v>
      </c>
      <c r="B2749" s="17">
        <v>43867</v>
      </c>
      <c r="C2749" s="17">
        <v>43867</v>
      </c>
      <c r="D2749" t="s">
        <v>0</v>
      </c>
      <c r="E2749" t="s">
        <v>1</v>
      </c>
      <c r="F2749" s="18">
        <v>2692.91</v>
      </c>
      <c r="G2749" s="18">
        <v>2692.91</v>
      </c>
      <c r="H2749" t="s">
        <v>2</v>
      </c>
      <c r="I2749" t="s">
        <v>8</v>
      </c>
      <c r="J2749" s="18">
        <v>225800.5</v>
      </c>
      <c r="K2749" t="s">
        <v>5670</v>
      </c>
      <c r="L2749" t="s">
        <v>4</v>
      </c>
      <c r="M2749" t="s">
        <v>5668</v>
      </c>
      <c r="N2749" t="s">
        <v>3</v>
      </c>
      <c r="O2749" t="s">
        <v>3</v>
      </c>
      <c r="P2749" t="s">
        <v>5</v>
      </c>
      <c r="Q2749" t="s">
        <v>5669</v>
      </c>
      <c r="R2749" t="s">
        <v>3</v>
      </c>
      <c r="S2749" t="s">
        <v>3</v>
      </c>
      <c r="T2749" t="s">
        <v>3</v>
      </c>
      <c r="U2749" t="s">
        <v>3</v>
      </c>
      <c r="V2749" t="s">
        <v>3</v>
      </c>
      <c r="W2749" t="s">
        <v>68</v>
      </c>
      <c r="X2749" s="17"/>
      <c r="Y2749" t="s">
        <v>3</v>
      </c>
      <c r="Z2749" s="17">
        <v>43867</v>
      </c>
      <c r="AA2749" t="s">
        <v>3</v>
      </c>
      <c r="AB2749" t="s">
        <v>5667</v>
      </c>
    </row>
    <row r="2750" spans="1:28" hidden="1">
      <c r="A2750" t="s">
        <v>5671</v>
      </c>
      <c r="B2750" s="17">
        <v>43867</v>
      </c>
      <c r="C2750" s="17">
        <v>43867</v>
      </c>
      <c r="D2750" t="s">
        <v>0</v>
      </c>
      <c r="E2750" t="s">
        <v>1</v>
      </c>
      <c r="F2750" s="18">
        <v>40293</v>
      </c>
      <c r="G2750" s="18">
        <v>40293</v>
      </c>
      <c r="H2750" t="s">
        <v>2</v>
      </c>
      <c r="I2750" t="s">
        <v>8</v>
      </c>
      <c r="J2750" s="18">
        <v>3364465.5</v>
      </c>
      <c r="K2750" t="s">
        <v>5207</v>
      </c>
      <c r="L2750" t="s">
        <v>9</v>
      </c>
      <c r="M2750" t="s">
        <v>5672</v>
      </c>
      <c r="N2750" t="s">
        <v>3</v>
      </c>
      <c r="O2750" t="s">
        <v>3</v>
      </c>
      <c r="P2750" t="s">
        <v>5</v>
      </c>
      <c r="Q2750" t="s">
        <v>5673</v>
      </c>
      <c r="R2750" t="s">
        <v>3</v>
      </c>
      <c r="S2750" t="s">
        <v>3</v>
      </c>
      <c r="T2750" t="s">
        <v>3</v>
      </c>
      <c r="U2750" t="s">
        <v>3</v>
      </c>
      <c r="V2750" t="s">
        <v>3</v>
      </c>
      <c r="W2750" t="s">
        <v>68</v>
      </c>
      <c r="X2750" s="17"/>
      <c r="Y2750" t="s">
        <v>3</v>
      </c>
      <c r="Z2750" s="17">
        <v>43867</v>
      </c>
      <c r="AA2750" t="s">
        <v>3</v>
      </c>
      <c r="AB2750" t="s">
        <v>5671</v>
      </c>
    </row>
    <row r="2751" spans="1:28" hidden="1">
      <c r="A2751" t="s">
        <v>5671</v>
      </c>
      <c r="B2751" s="17">
        <v>43867</v>
      </c>
      <c r="C2751" s="17">
        <v>43867</v>
      </c>
      <c r="D2751" t="s">
        <v>0</v>
      </c>
      <c r="E2751" t="s">
        <v>1</v>
      </c>
      <c r="F2751" s="18">
        <v>63296</v>
      </c>
      <c r="G2751" s="18">
        <v>63296</v>
      </c>
      <c r="H2751" t="s">
        <v>2</v>
      </c>
      <c r="I2751" t="s">
        <v>8</v>
      </c>
      <c r="J2751" s="18">
        <v>5313699.2</v>
      </c>
      <c r="K2751" t="s">
        <v>5452</v>
      </c>
      <c r="L2751" t="s">
        <v>9</v>
      </c>
      <c r="M2751" t="s">
        <v>5672</v>
      </c>
      <c r="N2751" t="s">
        <v>3</v>
      </c>
      <c r="O2751" t="s">
        <v>3</v>
      </c>
      <c r="P2751" t="s">
        <v>5</v>
      </c>
      <c r="Q2751" t="s">
        <v>5673</v>
      </c>
      <c r="R2751" t="s">
        <v>3</v>
      </c>
      <c r="S2751" t="s">
        <v>3</v>
      </c>
      <c r="T2751" t="s">
        <v>3</v>
      </c>
      <c r="U2751" t="s">
        <v>3</v>
      </c>
      <c r="V2751" t="s">
        <v>3</v>
      </c>
      <c r="W2751" t="s">
        <v>68</v>
      </c>
      <c r="X2751" s="17"/>
      <c r="Y2751" t="s">
        <v>3</v>
      </c>
      <c r="Z2751" s="17">
        <v>43867</v>
      </c>
      <c r="AA2751" t="s">
        <v>3</v>
      </c>
      <c r="AB2751" t="s">
        <v>5671</v>
      </c>
    </row>
    <row r="2752" spans="1:28" hidden="1">
      <c r="A2752" t="s">
        <v>5671</v>
      </c>
      <c r="B2752" s="17">
        <v>43867</v>
      </c>
      <c r="C2752" s="17">
        <v>43867</v>
      </c>
      <c r="D2752" t="s">
        <v>0</v>
      </c>
      <c r="E2752" t="s">
        <v>1</v>
      </c>
      <c r="F2752" s="18">
        <v>137857</v>
      </c>
      <c r="G2752" s="18">
        <v>137857</v>
      </c>
      <c r="H2752" t="s">
        <v>2</v>
      </c>
      <c r="I2752" t="s">
        <v>8</v>
      </c>
      <c r="J2752" s="18">
        <v>11573095.15</v>
      </c>
      <c r="K2752" t="s">
        <v>5674</v>
      </c>
      <c r="L2752" t="s">
        <v>9</v>
      </c>
      <c r="M2752" t="s">
        <v>5672</v>
      </c>
      <c r="N2752" t="s">
        <v>3</v>
      </c>
      <c r="O2752" t="s">
        <v>3</v>
      </c>
      <c r="P2752" t="s">
        <v>5</v>
      </c>
      <c r="Q2752" t="s">
        <v>5673</v>
      </c>
      <c r="R2752" t="s">
        <v>3</v>
      </c>
      <c r="S2752" t="s">
        <v>3</v>
      </c>
      <c r="T2752" t="s">
        <v>3</v>
      </c>
      <c r="U2752" t="s">
        <v>3</v>
      </c>
      <c r="V2752" t="s">
        <v>3</v>
      </c>
      <c r="W2752" t="s">
        <v>68</v>
      </c>
      <c r="X2752" s="17"/>
      <c r="Y2752" t="s">
        <v>3</v>
      </c>
      <c r="Z2752" s="17">
        <v>43867</v>
      </c>
      <c r="AA2752" t="s">
        <v>3</v>
      </c>
      <c r="AB2752" t="s">
        <v>5671</v>
      </c>
    </row>
    <row r="2753" spans="1:28" hidden="1">
      <c r="A2753" t="s">
        <v>5671</v>
      </c>
      <c r="B2753" s="17">
        <v>43867</v>
      </c>
      <c r="C2753" s="17">
        <v>43867</v>
      </c>
      <c r="D2753" t="s">
        <v>0</v>
      </c>
      <c r="E2753" t="s">
        <v>1</v>
      </c>
      <c r="F2753" s="18">
        <v>34706</v>
      </c>
      <c r="G2753" s="18">
        <v>34706</v>
      </c>
      <c r="H2753" t="s">
        <v>2</v>
      </c>
      <c r="I2753" t="s">
        <v>8</v>
      </c>
      <c r="J2753" s="18">
        <v>2910098.1</v>
      </c>
      <c r="K2753" t="s">
        <v>5453</v>
      </c>
      <c r="L2753" t="s">
        <v>9</v>
      </c>
      <c r="M2753" t="s">
        <v>5672</v>
      </c>
      <c r="N2753" t="s">
        <v>3</v>
      </c>
      <c r="O2753" t="s">
        <v>3</v>
      </c>
      <c r="P2753" t="s">
        <v>5</v>
      </c>
      <c r="Q2753" t="s">
        <v>5673</v>
      </c>
      <c r="R2753" t="s">
        <v>3</v>
      </c>
      <c r="S2753" t="s">
        <v>3</v>
      </c>
      <c r="T2753" t="s">
        <v>3</v>
      </c>
      <c r="U2753" t="s">
        <v>3</v>
      </c>
      <c r="V2753" t="s">
        <v>3</v>
      </c>
      <c r="W2753" t="s">
        <v>68</v>
      </c>
      <c r="X2753" s="17"/>
      <c r="Y2753" t="s">
        <v>3</v>
      </c>
      <c r="Z2753" s="17">
        <v>43867</v>
      </c>
      <c r="AA2753" t="s">
        <v>3</v>
      </c>
      <c r="AB2753" t="s">
        <v>5671</v>
      </c>
    </row>
    <row r="2754" spans="1:28" hidden="1">
      <c r="A2754" t="s">
        <v>5671</v>
      </c>
      <c r="B2754" s="17">
        <v>43867</v>
      </c>
      <c r="C2754" s="17">
        <v>43867</v>
      </c>
      <c r="D2754" t="s">
        <v>0</v>
      </c>
      <c r="E2754" t="s">
        <v>1</v>
      </c>
      <c r="F2754" s="18">
        <v>64079</v>
      </c>
      <c r="G2754" s="18">
        <v>64079</v>
      </c>
      <c r="H2754" t="s">
        <v>2</v>
      </c>
      <c r="I2754" t="s">
        <v>8</v>
      </c>
      <c r="J2754" s="18">
        <v>5379432.0499999998</v>
      </c>
      <c r="K2754" t="s">
        <v>5454</v>
      </c>
      <c r="L2754" t="s">
        <v>9</v>
      </c>
      <c r="M2754" t="s">
        <v>5672</v>
      </c>
      <c r="N2754" t="s">
        <v>3</v>
      </c>
      <c r="O2754" t="s">
        <v>3</v>
      </c>
      <c r="P2754" t="s">
        <v>5</v>
      </c>
      <c r="Q2754" t="s">
        <v>5673</v>
      </c>
      <c r="R2754" t="s">
        <v>3</v>
      </c>
      <c r="S2754" t="s">
        <v>3</v>
      </c>
      <c r="T2754" t="s">
        <v>3</v>
      </c>
      <c r="U2754" t="s">
        <v>3</v>
      </c>
      <c r="V2754" t="s">
        <v>3</v>
      </c>
      <c r="W2754" t="s">
        <v>68</v>
      </c>
      <c r="X2754" s="17"/>
      <c r="Y2754" t="s">
        <v>3</v>
      </c>
      <c r="Z2754" s="17">
        <v>43867</v>
      </c>
      <c r="AA2754" t="s">
        <v>3</v>
      </c>
      <c r="AB2754" t="s">
        <v>5671</v>
      </c>
    </row>
    <row r="2755" spans="1:28" hidden="1">
      <c r="A2755" t="s">
        <v>5671</v>
      </c>
      <c r="B2755" s="17">
        <v>43867</v>
      </c>
      <c r="C2755" s="17">
        <v>43867</v>
      </c>
      <c r="D2755" t="s">
        <v>0</v>
      </c>
      <c r="E2755" t="s">
        <v>1</v>
      </c>
      <c r="F2755" s="18">
        <v>50448</v>
      </c>
      <c r="G2755" s="18">
        <v>50448</v>
      </c>
      <c r="H2755" t="s">
        <v>2</v>
      </c>
      <c r="I2755" t="s">
        <v>8</v>
      </c>
      <c r="J2755" s="18">
        <v>4235109.5999999996</v>
      </c>
      <c r="K2755" t="s">
        <v>5606</v>
      </c>
      <c r="L2755" t="s">
        <v>9</v>
      </c>
      <c r="M2755" t="s">
        <v>5672</v>
      </c>
      <c r="N2755" t="s">
        <v>3</v>
      </c>
      <c r="O2755" t="s">
        <v>3</v>
      </c>
      <c r="P2755" t="s">
        <v>5</v>
      </c>
      <c r="Q2755" t="s">
        <v>5673</v>
      </c>
      <c r="R2755" t="s">
        <v>3</v>
      </c>
      <c r="S2755" t="s">
        <v>3</v>
      </c>
      <c r="T2755" t="s">
        <v>3</v>
      </c>
      <c r="U2755" t="s">
        <v>3</v>
      </c>
      <c r="V2755" t="s">
        <v>3</v>
      </c>
      <c r="W2755" t="s">
        <v>68</v>
      </c>
      <c r="X2755" s="17"/>
      <c r="Y2755" t="s">
        <v>3</v>
      </c>
      <c r="Z2755" s="17">
        <v>43867</v>
      </c>
      <c r="AA2755" t="s">
        <v>3</v>
      </c>
      <c r="AB2755" t="s">
        <v>5671</v>
      </c>
    </row>
    <row r="2756" spans="1:28" hidden="1">
      <c r="A2756" t="s">
        <v>5671</v>
      </c>
      <c r="B2756" s="17">
        <v>43867</v>
      </c>
      <c r="C2756" s="17">
        <v>43867</v>
      </c>
      <c r="D2756" t="s">
        <v>0</v>
      </c>
      <c r="E2756" t="s">
        <v>1</v>
      </c>
      <c r="F2756" s="18">
        <v>26555</v>
      </c>
      <c r="G2756" s="18">
        <v>26555</v>
      </c>
      <c r="H2756" t="s">
        <v>2</v>
      </c>
      <c r="I2756" t="s">
        <v>8</v>
      </c>
      <c r="J2756" s="18">
        <v>2229292.25</v>
      </c>
      <c r="K2756" t="s">
        <v>5455</v>
      </c>
      <c r="L2756" t="s">
        <v>9</v>
      </c>
      <c r="M2756" t="s">
        <v>5672</v>
      </c>
      <c r="N2756" t="s">
        <v>3</v>
      </c>
      <c r="O2756" t="s">
        <v>3</v>
      </c>
      <c r="P2756" t="s">
        <v>5</v>
      </c>
      <c r="Q2756" t="s">
        <v>5673</v>
      </c>
      <c r="R2756" t="s">
        <v>3</v>
      </c>
      <c r="S2756" t="s">
        <v>3</v>
      </c>
      <c r="T2756" t="s">
        <v>3</v>
      </c>
      <c r="U2756" t="s">
        <v>3</v>
      </c>
      <c r="V2756" t="s">
        <v>3</v>
      </c>
      <c r="W2756" t="s">
        <v>68</v>
      </c>
      <c r="X2756" s="17"/>
      <c r="Y2756" t="s">
        <v>3</v>
      </c>
      <c r="Z2756" s="17">
        <v>43867</v>
      </c>
      <c r="AA2756" t="s">
        <v>3</v>
      </c>
      <c r="AB2756" t="s">
        <v>5671</v>
      </c>
    </row>
    <row r="2757" spans="1:28" hidden="1">
      <c r="A2757" t="s">
        <v>5671</v>
      </c>
      <c r="B2757" s="17">
        <v>43867</v>
      </c>
      <c r="C2757" s="17">
        <v>43867</v>
      </c>
      <c r="D2757" t="s">
        <v>0</v>
      </c>
      <c r="E2757" t="s">
        <v>1</v>
      </c>
      <c r="F2757" s="18">
        <v>6393</v>
      </c>
      <c r="G2757" s="18">
        <v>6393</v>
      </c>
      <c r="H2757" t="s">
        <v>2</v>
      </c>
      <c r="I2757" t="s">
        <v>8</v>
      </c>
      <c r="J2757" s="18">
        <v>536692.35</v>
      </c>
      <c r="K2757" t="s">
        <v>5675</v>
      </c>
      <c r="L2757" t="s">
        <v>9</v>
      </c>
      <c r="M2757" t="s">
        <v>5672</v>
      </c>
      <c r="N2757" t="s">
        <v>3</v>
      </c>
      <c r="O2757" t="s">
        <v>3</v>
      </c>
      <c r="P2757" t="s">
        <v>5</v>
      </c>
      <c r="Q2757" t="s">
        <v>5673</v>
      </c>
      <c r="R2757" t="s">
        <v>3</v>
      </c>
      <c r="S2757" t="s">
        <v>3</v>
      </c>
      <c r="T2757" t="s">
        <v>3</v>
      </c>
      <c r="U2757" t="s">
        <v>3</v>
      </c>
      <c r="V2757" t="s">
        <v>3</v>
      </c>
      <c r="W2757" t="s">
        <v>68</v>
      </c>
      <c r="X2757" s="17"/>
      <c r="Y2757" t="s">
        <v>3</v>
      </c>
      <c r="Z2757" s="17">
        <v>43867</v>
      </c>
      <c r="AA2757" t="s">
        <v>3</v>
      </c>
      <c r="AB2757" t="s">
        <v>5671</v>
      </c>
    </row>
    <row r="2758" spans="1:28" hidden="1">
      <c r="A2758" t="s">
        <v>5671</v>
      </c>
      <c r="B2758" s="17">
        <v>43867</v>
      </c>
      <c r="C2758" s="17">
        <v>43867</v>
      </c>
      <c r="D2758" t="s">
        <v>0</v>
      </c>
      <c r="E2758" t="s">
        <v>1</v>
      </c>
      <c r="F2758" s="18">
        <v>2696</v>
      </c>
      <c r="G2758" s="18">
        <v>2696</v>
      </c>
      <c r="H2758" t="s">
        <v>2</v>
      </c>
      <c r="I2758" t="s">
        <v>8</v>
      </c>
      <c r="J2758" s="18">
        <v>226329.2</v>
      </c>
      <c r="K2758" t="s">
        <v>5614</v>
      </c>
      <c r="L2758" t="s">
        <v>9</v>
      </c>
      <c r="M2758" t="s">
        <v>5672</v>
      </c>
      <c r="N2758" t="s">
        <v>3</v>
      </c>
      <c r="O2758" t="s">
        <v>3</v>
      </c>
      <c r="P2758" t="s">
        <v>5</v>
      </c>
      <c r="Q2758" t="s">
        <v>5673</v>
      </c>
      <c r="R2758" t="s">
        <v>3</v>
      </c>
      <c r="S2758" t="s">
        <v>3</v>
      </c>
      <c r="T2758" t="s">
        <v>3</v>
      </c>
      <c r="U2758" t="s">
        <v>3</v>
      </c>
      <c r="V2758" t="s">
        <v>3</v>
      </c>
      <c r="W2758" t="s">
        <v>68</v>
      </c>
      <c r="X2758" s="17"/>
      <c r="Y2758" t="s">
        <v>3</v>
      </c>
      <c r="Z2758" s="17">
        <v>43867</v>
      </c>
      <c r="AA2758" t="s">
        <v>3</v>
      </c>
      <c r="AB2758" t="s">
        <v>5671</v>
      </c>
    </row>
    <row r="2759" spans="1:28" hidden="1">
      <c r="A2759" t="s">
        <v>5677</v>
      </c>
      <c r="B2759" s="17">
        <v>43871</v>
      </c>
      <c r="C2759" s="17">
        <v>43871</v>
      </c>
      <c r="D2759" t="s">
        <v>0</v>
      </c>
      <c r="E2759" t="s">
        <v>1</v>
      </c>
      <c r="F2759" s="18">
        <v>2004</v>
      </c>
      <c r="G2759" s="18">
        <v>2004</v>
      </c>
      <c r="H2759" t="s">
        <v>2</v>
      </c>
      <c r="I2759" t="s">
        <v>10</v>
      </c>
      <c r="J2759" s="18">
        <v>168235.8</v>
      </c>
      <c r="K2759" t="s">
        <v>5599</v>
      </c>
      <c r="L2759" t="s">
        <v>9</v>
      </c>
      <c r="M2759" t="s">
        <v>5678</v>
      </c>
      <c r="N2759" t="s">
        <v>3</v>
      </c>
      <c r="O2759" t="s">
        <v>3</v>
      </c>
      <c r="P2759" t="s">
        <v>5</v>
      </c>
      <c r="Q2759" t="s">
        <v>5679</v>
      </c>
      <c r="R2759" t="s">
        <v>3</v>
      </c>
      <c r="S2759" t="s">
        <v>3</v>
      </c>
      <c r="T2759" t="s">
        <v>3</v>
      </c>
      <c r="U2759" t="s">
        <v>3</v>
      </c>
      <c r="V2759" t="s">
        <v>3</v>
      </c>
      <c r="W2759" t="s">
        <v>68</v>
      </c>
      <c r="X2759" s="17"/>
      <c r="Y2759" t="s">
        <v>3</v>
      </c>
      <c r="Z2759" s="17">
        <v>43871</v>
      </c>
      <c r="AA2759" t="s">
        <v>3</v>
      </c>
      <c r="AB2759" t="s">
        <v>5677</v>
      </c>
    </row>
    <row r="2760" spans="1:28" hidden="1">
      <c r="A2760" t="s">
        <v>5680</v>
      </c>
      <c r="B2760" s="17">
        <v>43871</v>
      </c>
      <c r="C2760" s="17">
        <v>43871</v>
      </c>
      <c r="D2760" t="s">
        <v>0</v>
      </c>
      <c r="E2760" t="s">
        <v>1</v>
      </c>
      <c r="F2760" s="18">
        <v>56700</v>
      </c>
      <c r="G2760" s="18">
        <v>56700</v>
      </c>
      <c r="H2760" t="s">
        <v>2</v>
      </c>
      <c r="I2760" t="s">
        <v>8</v>
      </c>
      <c r="J2760" s="18">
        <v>4759965</v>
      </c>
      <c r="K2760" t="s">
        <v>5674</v>
      </c>
      <c r="L2760" t="s">
        <v>9</v>
      </c>
      <c r="M2760" t="s">
        <v>5681</v>
      </c>
      <c r="N2760" t="s">
        <v>3</v>
      </c>
      <c r="O2760" t="s">
        <v>3</v>
      </c>
      <c r="P2760" t="s">
        <v>5</v>
      </c>
      <c r="Q2760" t="s">
        <v>5682</v>
      </c>
      <c r="R2760" t="s">
        <v>3</v>
      </c>
      <c r="S2760" t="s">
        <v>3</v>
      </c>
      <c r="T2760" t="s">
        <v>3</v>
      </c>
      <c r="U2760" t="s">
        <v>3</v>
      </c>
      <c r="V2760" t="s">
        <v>3</v>
      </c>
      <c r="W2760" t="s">
        <v>68</v>
      </c>
      <c r="X2760" s="17"/>
      <c r="Y2760" t="s">
        <v>3</v>
      </c>
      <c r="Z2760" s="17">
        <v>43871</v>
      </c>
      <c r="AA2760" t="s">
        <v>3</v>
      </c>
      <c r="AB2760" t="s">
        <v>5680</v>
      </c>
    </row>
    <row r="2761" spans="1:28" hidden="1">
      <c r="A2761" t="s">
        <v>5683</v>
      </c>
      <c r="B2761" s="17">
        <v>43871</v>
      </c>
      <c r="C2761" s="17">
        <v>43871</v>
      </c>
      <c r="D2761" t="s">
        <v>0</v>
      </c>
      <c r="E2761" t="s">
        <v>1</v>
      </c>
      <c r="F2761" s="18">
        <v>42008</v>
      </c>
      <c r="G2761" s="18">
        <v>42008</v>
      </c>
      <c r="H2761" t="s">
        <v>2</v>
      </c>
      <c r="I2761" t="s">
        <v>8</v>
      </c>
      <c r="J2761" s="18">
        <v>3526571.6</v>
      </c>
      <c r="K2761" t="s">
        <v>5606</v>
      </c>
      <c r="L2761" t="s">
        <v>9</v>
      </c>
      <c r="M2761" t="s">
        <v>5684</v>
      </c>
      <c r="N2761" t="s">
        <v>3</v>
      </c>
      <c r="O2761" t="s">
        <v>3</v>
      </c>
      <c r="P2761" t="s">
        <v>5</v>
      </c>
      <c r="Q2761" t="s">
        <v>5685</v>
      </c>
      <c r="R2761" t="s">
        <v>3</v>
      </c>
      <c r="S2761" t="s">
        <v>3</v>
      </c>
      <c r="T2761" t="s">
        <v>3</v>
      </c>
      <c r="U2761" t="s">
        <v>3</v>
      </c>
      <c r="V2761" t="s">
        <v>3</v>
      </c>
      <c r="W2761" t="s">
        <v>68</v>
      </c>
      <c r="X2761" s="17"/>
      <c r="Y2761" t="s">
        <v>3</v>
      </c>
      <c r="Z2761" s="17">
        <v>43871</v>
      </c>
      <c r="AA2761" t="s">
        <v>3</v>
      </c>
      <c r="AB2761" t="s">
        <v>5683</v>
      </c>
    </row>
    <row r="2762" spans="1:28" hidden="1">
      <c r="A2762" t="s">
        <v>5683</v>
      </c>
      <c r="B2762" s="17">
        <v>43871</v>
      </c>
      <c r="C2762" s="17">
        <v>43871</v>
      </c>
      <c r="D2762" t="s">
        <v>0</v>
      </c>
      <c r="E2762" t="s">
        <v>1</v>
      </c>
      <c r="F2762" s="18">
        <v>4754</v>
      </c>
      <c r="G2762" s="18">
        <v>4754</v>
      </c>
      <c r="H2762" t="s">
        <v>2</v>
      </c>
      <c r="I2762" t="s">
        <v>8</v>
      </c>
      <c r="J2762" s="18">
        <v>399098.3</v>
      </c>
      <c r="K2762" t="s">
        <v>5455</v>
      </c>
      <c r="L2762" t="s">
        <v>9</v>
      </c>
      <c r="M2762" t="s">
        <v>5684</v>
      </c>
      <c r="N2762" t="s">
        <v>3</v>
      </c>
      <c r="O2762" t="s">
        <v>3</v>
      </c>
      <c r="P2762" t="s">
        <v>5</v>
      </c>
      <c r="Q2762" t="s">
        <v>5685</v>
      </c>
      <c r="R2762" t="s">
        <v>3</v>
      </c>
      <c r="S2762" t="s">
        <v>3</v>
      </c>
      <c r="T2762" t="s">
        <v>3</v>
      </c>
      <c r="U2762" t="s">
        <v>3</v>
      </c>
      <c r="V2762" t="s">
        <v>3</v>
      </c>
      <c r="W2762" t="s">
        <v>68</v>
      </c>
      <c r="X2762" s="17"/>
      <c r="Y2762" t="s">
        <v>3</v>
      </c>
      <c r="Z2762" s="17">
        <v>43871</v>
      </c>
      <c r="AA2762" t="s">
        <v>3</v>
      </c>
      <c r="AB2762" t="s">
        <v>5683</v>
      </c>
    </row>
    <row r="2763" spans="1:28" hidden="1">
      <c r="A2763" t="s">
        <v>5686</v>
      </c>
      <c r="B2763" s="17">
        <v>43871</v>
      </c>
      <c r="C2763" s="17">
        <v>43871</v>
      </c>
      <c r="D2763" t="s">
        <v>0</v>
      </c>
      <c r="E2763" t="s">
        <v>1</v>
      </c>
      <c r="F2763" s="18">
        <v>2437</v>
      </c>
      <c r="G2763" s="18">
        <v>2437</v>
      </c>
      <c r="H2763" t="s">
        <v>2</v>
      </c>
      <c r="I2763" t="s">
        <v>8</v>
      </c>
      <c r="J2763" s="18">
        <v>203489.5</v>
      </c>
      <c r="K2763" t="s">
        <v>4754</v>
      </c>
      <c r="L2763" t="s">
        <v>9</v>
      </c>
      <c r="M2763" t="s">
        <v>5687</v>
      </c>
      <c r="N2763" t="s">
        <v>3</v>
      </c>
      <c r="O2763" t="s">
        <v>3</v>
      </c>
      <c r="P2763" t="s">
        <v>5</v>
      </c>
      <c r="Q2763" t="s">
        <v>5688</v>
      </c>
      <c r="R2763" t="s">
        <v>3</v>
      </c>
      <c r="S2763" t="s">
        <v>3</v>
      </c>
      <c r="T2763" t="s">
        <v>3</v>
      </c>
      <c r="U2763" t="s">
        <v>3</v>
      </c>
      <c r="V2763" t="s">
        <v>3</v>
      </c>
      <c r="W2763" t="s">
        <v>68</v>
      </c>
      <c r="X2763" s="17">
        <v>44012</v>
      </c>
      <c r="Y2763" t="s">
        <v>4137</v>
      </c>
      <c r="Z2763" s="17">
        <v>43871</v>
      </c>
      <c r="AA2763" t="s">
        <v>3</v>
      </c>
      <c r="AB2763" t="s">
        <v>5686</v>
      </c>
    </row>
    <row r="2764" spans="1:28" hidden="1">
      <c r="A2764" t="s">
        <v>5686</v>
      </c>
      <c r="B2764" s="17">
        <v>43871</v>
      </c>
      <c r="C2764" s="17">
        <v>43871</v>
      </c>
      <c r="D2764" t="s">
        <v>0</v>
      </c>
      <c r="E2764" t="s">
        <v>1</v>
      </c>
      <c r="F2764" s="18">
        <v>20308</v>
      </c>
      <c r="G2764" s="18">
        <v>20308</v>
      </c>
      <c r="H2764" t="s">
        <v>2</v>
      </c>
      <c r="I2764" t="s">
        <v>8</v>
      </c>
      <c r="J2764" s="18">
        <v>1695718</v>
      </c>
      <c r="K2764" t="s">
        <v>4886</v>
      </c>
      <c r="L2764" t="s">
        <v>9</v>
      </c>
      <c r="M2764" t="s">
        <v>5687</v>
      </c>
      <c r="N2764" t="s">
        <v>3</v>
      </c>
      <c r="O2764" t="s">
        <v>3</v>
      </c>
      <c r="P2764" t="s">
        <v>5</v>
      </c>
      <c r="Q2764" t="s">
        <v>5688</v>
      </c>
      <c r="R2764" t="s">
        <v>3</v>
      </c>
      <c r="S2764" t="s">
        <v>3</v>
      </c>
      <c r="T2764" t="s">
        <v>3</v>
      </c>
      <c r="U2764" t="s">
        <v>3</v>
      </c>
      <c r="V2764" t="s">
        <v>3</v>
      </c>
      <c r="W2764" t="s">
        <v>68</v>
      </c>
      <c r="X2764" s="17"/>
      <c r="Y2764" t="s">
        <v>3</v>
      </c>
      <c r="Z2764" s="17">
        <v>43871</v>
      </c>
      <c r="AA2764" t="s">
        <v>3</v>
      </c>
      <c r="AB2764" t="s">
        <v>5686</v>
      </c>
    </row>
    <row r="2765" spans="1:28" hidden="1">
      <c r="A2765" t="s">
        <v>5686</v>
      </c>
      <c r="B2765" s="17">
        <v>43871</v>
      </c>
      <c r="C2765" s="17">
        <v>43871</v>
      </c>
      <c r="D2765" t="s">
        <v>0</v>
      </c>
      <c r="E2765" t="s">
        <v>1</v>
      </c>
      <c r="F2765" s="18">
        <v>22745</v>
      </c>
      <c r="G2765" s="18">
        <v>22745</v>
      </c>
      <c r="H2765" t="s">
        <v>2</v>
      </c>
      <c r="I2765" t="s">
        <v>8</v>
      </c>
      <c r="J2765" s="18">
        <v>1909442.75</v>
      </c>
      <c r="K2765" t="s">
        <v>5614</v>
      </c>
      <c r="L2765" t="s">
        <v>9</v>
      </c>
      <c r="M2765" t="s">
        <v>5687</v>
      </c>
      <c r="N2765" t="s">
        <v>3</v>
      </c>
      <c r="O2765" t="s">
        <v>3</v>
      </c>
      <c r="P2765" t="s">
        <v>5</v>
      </c>
      <c r="Q2765" t="s">
        <v>5688</v>
      </c>
      <c r="R2765" t="s">
        <v>3</v>
      </c>
      <c r="S2765" t="s">
        <v>3</v>
      </c>
      <c r="T2765" t="s">
        <v>3</v>
      </c>
      <c r="U2765" t="s">
        <v>3</v>
      </c>
      <c r="V2765" t="s">
        <v>3</v>
      </c>
      <c r="W2765" t="s">
        <v>68</v>
      </c>
      <c r="X2765" s="17"/>
      <c r="Y2765" t="s">
        <v>3</v>
      </c>
      <c r="Z2765" s="17">
        <v>43871</v>
      </c>
      <c r="AA2765" t="s">
        <v>3</v>
      </c>
      <c r="AB2765" t="s">
        <v>5686</v>
      </c>
    </row>
    <row r="2766" spans="1:28" hidden="1">
      <c r="A2766" t="s">
        <v>5689</v>
      </c>
      <c r="B2766" s="17">
        <v>43872</v>
      </c>
      <c r="C2766" s="17">
        <v>43872</v>
      </c>
      <c r="D2766" t="s">
        <v>0</v>
      </c>
      <c r="E2766" t="s">
        <v>1</v>
      </c>
      <c r="F2766" s="18">
        <v>10343</v>
      </c>
      <c r="G2766" s="18">
        <v>10343</v>
      </c>
      <c r="H2766" t="s">
        <v>2</v>
      </c>
      <c r="I2766" t="s">
        <v>8</v>
      </c>
      <c r="J2766" s="18">
        <v>868294.85</v>
      </c>
      <c r="K2766" t="s">
        <v>5690</v>
      </c>
      <c r="L2766" t="s">
        <v>9</v>
      </c>
      <c r="M2766" t="s">
        <v>5691</v>
      </c>
      <c r="N2766" t="s">
        <v>3</v>
      </c>
      <c r="O2766" t="s">
        <v>3</v>
      </c>
      <c r="P2766" t="s">
        <v>5</v>
      </c>
      <c r="Q2766" t="s">
        <v>5692</v>
      </c>
      <c r="R2766" t="s">
        <v>3</v>
      </c>
      <c r="S2766" t="s">
        <v>3</v>
      </c>
      <c r="T2766" t="s">
        <v>3</v>
      </c>
      <c r="U2766" t="s">
        <v>3</v>
      </c>
      <c r="V2766" t="s">
        <v>3</v>
      </c>
      <c r="W2766" t="s">
        <v>68</v>
      </c>
      <c r="X2766" s="17"/>
      <c r="Y2766" t="s">
        <v>3</v>
      </c>
      <c r="Z2766" s="17">
        <v>43872</v>
      </c>
      <c r="AA2766" t="s">
        <v>3</v>
      </c>
      <c r="AB2766" t="s">
        <v>5689</v>
      </c>
    </row>
    <row r="2767" spans="1:28" hidden="1">
      <c r="A2767" t="s">
        <v>5689</v>
      </c>
      <c r="B2767" s="17">
        <v>43872</v>
      </c>
      <c r="C2767" s="17">
        <v>43872</v>
      </c>
      <c r="D2767" t="s">
        <v>0</v>
      </c>
      <c r="E2767" t="s">
        <v>1</v>
      </c>
      <c r="F2767" s="18">
        <v>10856</v>
      </c>
      <c r="G2767" s="18">
        <v>10856</v>
      </c>
      <c r="H2767" t="s">
        <v>2</v>
      </c>
      <c r="I2767" t="s">
        <v>8</v>
      </c>
      <c r="J2767" s="18">
        <v>911361.2</v>
      </c>
      <c r="K2767" t="s">
        <v>5693</v>
      </c>
      <c r="L2767" t="s">
        <v>9</v>
      </c>
      <c r="M2767" t="s">
        <v>5691</v>
      </c>
      <c r="N2767" t="s">
        <v>3</v>
      </c>
      <c r="O2767" t="s">
        <v>3</v>
      </c>
      <c r="P2767" t="s">
        <v>5</v>
      </c>
      <c r="Q2767" t="s">
        <v>5692</v>
      </c>
      <c r="R2767" t="s">
        <v>3</v>
      </c>
      <c r="S2767" t="s">
        <v>3</v>
      </c>
      <c r="T2767" t="s">
        <v>3</v>
      </c>
      <c r="U2767" t="s">
        <v>3</v>
      </c>
      <c r="V2767" t="s">
        <v>3</v>
      </c>
      <c r="W2767" t="s">
        <v>68</v>
      </c>
      <c r="X2767" s="17"/>
      <c r="Y2767" t="s">
        <v>3</v>
      </c>
      <c r="Z2767" s="17">
        <v>43872</v>
      </c>
      <c r="AA2767" t="s">
        <v>3</v>
      </c>
      <c r="AB2767" t="s">
        <v>5689</v>
      </c>
    </row>
    <row r="2768" spans="1:28" hidden="1">
      <c r="A2768" t="s">
        <v>5689</v>
      </c>
      <c r="B2768" s="17">
        <v>43872</v>
      </c>
      <c r="C2768" s="17">
        <v>43872</v>
      </c>
      <c r="D2768" t="s">
        <v>0</v>
      </c>
      <c r="E2768" t="s">
        <v>1</v>
      </c>
      <c r="F2768" s="18">
        <v>11031</v>
      </c>
      <c r="G2768" s="18">
        <v>11031</v>
      </c>
      <c r="H2768" t="s">
        <v>2</v>
      </c>
      <c r="I2768" t="s">
        <v>8</v>
      </c>
      <c r="J2768" s="18">
        <v>926052.45</v>
      </c>
      <c r="K2768" t="s">
        <v>5694</v>
      </c>
      <c r="L2768" t="s">
        <v>9</v>
      </c>
      <c r="M2768" t="s">
        <v>5691</v>
      </c>
      <c r="N2768" t="s">
        <v>3</v>
      </c>
      <c r="O2768" t="s">
        <v>3</v>
      </c>
      <c r="P2768" t="s">
        <v>5</v>
      </c>
      <c r="Q2768" t="s">
        <v>5692</v>
      </c>
      <c r="R2768" t="s">
        <v>3</v>
      </c>
      <c r="S2768" t="s">
        <v>3</v>
      </c>
      <c r="T2768" t="s">
        <v>3</v>
      </c>
      <c r="U2768" t="s">
        <v>3</v>
      </c>
      <c r="V2768" t="s">
        <v>3</v>
      </c>
      <c r="W2768" t="s">
        <v>68</v>
      </c>
      <c r="X2768" s="17"/>
      <c r="Y2768" t="s">
        <v>3</v>
      </c>
      <c r="Z2768" s="17">
        <v>43872</v>
      </c>
      <c r="AA2768" t="s">
        <v>3</v>
      </c>
      <c r="AB2768" t="s">
        <v>5689</v>
      </c>
    </row>
    <row r="2769" spans="1:28" hidden="1">
      <c r="A2769" t="s">
        <v>5689</v>
      </c>
      <c r="B2769" s="17">
        <v>43872</v>
      </c>
      <c r="C2769" s="17">
        <v>43872</v>
      </c>
      <c r="D2769" t="s">
        <v>0</v>
      </c>
      <c r="E2769" t="s">
        <v>1</v>
      </c>
      <c r="F2769" s="18">
        <v>2424</v>
      </c>
      <c r="G2769" s="18">
        <v>2424</v>
      </c>
      <c r="H2769" t="s">
        <v>2</v>
      </c>
      <c r="I2769" t="s">
        <v>8</v>
      </c>
      <c r="J2769" s="18">
        <v>203494.8</v>
      </c>
      <c r="K2769" t="s">
        <v>5695</v>
      </c>
      <c r="L2769" t="s">
        <v>9</v>
      </c>
      <c r="M2769" t="s">
        <v>5691</v>
      </c>
      <c r="N2769" t="s">
        <v>3</v>
      </c>
      <c r="O2769" t="s">
        <v>3</v>
      </c>
      <c r="P2769" t="s">
        <v>5</v>
      </c>
      <c r="Q2769" t="s">
        <v>5692</v>
      </c>
      <c r="R2769" t="s">
        <v>3</v>
      </c>
      <c r="S2769" t="s">
        <v>3</v>
      </c>
      <c r="T2769" t="s">
        <v>3</v>
      </c>
      <c r="U2769" t="s">
        <v>3</v>
      </c>
      <c r="V2769" t="s">
        <v>3</v>
      </c>
      <c r="W2769" t="s">
        <v>68</v>
      </c>
      <c r="X2769" s="17"/>
      <c r="Y2769" t="s">
        <v>3</v>
      </c>
      <c r="Z2769" s="17">
        <v>43872</v>
      </c>
      <c r="AA2769" t="s">
        <v>3</v>
      </c>
      <c r="AB2769" t="s">
        <v>5689</v>
      </c>
    </row>
    <row r="2770" spans="1:28" hidden="1">
      <c r="A2770" t="s">
        <v>5689</v>
      </c>
      <c r="B2770" s="17">
        <v>43872</v>
      </c>
      <c r="C2770" s="17">
        <v>43872</v>
      </c>
      <c r="D2770" t="s">
        <v>0</v>
      </c>
      <c r="E2770" t="s">
        <v>1</v>
      </c>
      <c r="F2770" s="18">
        <v>494</v>
      </c>
      <c r="G2770" s="18">
        <v>494</v>
      </c>
      <c r="H2770" t="s">
        <v>2</v>
      </c>
      <c r="I2770" t="s">
        <v>8</v>
      </c>
      <c r="J2770" s="18">
        <v>41471.300000000003</v>
      </c>
      <c r="K2770" t="s">
        <v>5696</v>
      </c>
      <c r="L2770" t="s">
        <v>9</v>
      </c>
      <c r="M2770" t="s">
        <v>5691</v>
      </c>
      <c r="N2770" t="s">
        <v>3</v>
      </c>
      <c r="O2770" t="s">
        <v>3</v>
      </c>
      <c r="P2770" t="s">
        <v>5</v>
      </c>
      <c r="Q2770" t="s">
        <v>5692</v>
      </c>
      <c r="R2770" t="s">
        <v>3</v>
      </c>
      <c r="S2770" t="s">
        <v>3</v>
      </c>
      <c r="T2770" t="s">
        <v>3</v>
      </c>
      <c r="U2770" t="s">
        <v>3</v>
      </c>
      <c r="V2770" t="s">
        <v>3</v>
      </c>
      <c r="W2770" t="s">
        <v>68</v>
      </c>
      <c r="X2770" s="17"/>
      <c r="Y2770" t="s">
        <v>3</v>
      </c>
      <c r="Z2770" s="17">
        <v>43872</v>
      </c>
      <c r="AA2770" t="s">
        <v>3</v>
      </c>
      <c r="AB2770" t="s">
        <v>5689</v>
      </c>
    </row>
    <row r="2771" spans="1:28" hidden="1">
      <c r="A2771" t="s">
        <v>5698</v>
      </c>
      <c r="B2771" s="17">
        <v>43872</v>
      </c>
      <c r="C2771" s="17">
        <v>43872</v>
      </c>
      <c r="D2771" t="s">
        <v>0</v>
      </c>
      <c r="E2771" t="s">
        <v>1</v>
      </c>
      <c r="F2771" s="18">
        <v>33048</v>
      </c>
      <c r="G2771" s="18">
        <v>33048</v>
      </c>
      <c r="H2771" t="s">
        <v>2</v>
      </c>
      <c r="I2771" t="s">
        <v>8</v>
      </c>
      <c r="J2771" s="18">
        <v>2774379.6</v>
      </c>
      <c r="K2771" t="s">
        <v>5690</v>
      </c>
      <c r="L2771" t="s">
        <v>9</v>
      </c>
      <c r="M2771" t="s">
        <v>5699</v>
      </c>
      <c r="N2771" t="s">
        <v>3</v>
      </c>
      <c r="O2771" t="s">
        <v>3</v>
      </c>
      <c r="P2771" t="s">
        <v>5</v>
      </c>
      <c r="Q2771" t="s">
        <v>5700</v>
      </c>
      <c r="R2771" t="s">
        <v>3</v>
      </c>
      <c r="S2771" t="s">
        <v>3</v>
      </c>
      <c r="T2771" t="s">
        <v>3</v>
      </c>
      <c r="U2771" t="s">
        <v>3</v>
      </c>
      <c r="V2771" t="s">
        <v>3</v>
      </c>
      <c r="W2771" t="s">
        <v>68</v>
      </c>
      <c r="X2771" s="17"/>
      <c r="Y2771" t="s">
        <v>3</v>
      </c>
      <c r="Z2771" s="17">
        <v>43872</v>
      </c>
      <c r="AA2771" t="s">
        <v>3</v>
      </c>
      <c r="AB2771" t="s">
        <v>5698</v>
      </c>
    </row>
    <row r="2772" spans="1:28" hidden="1">
      <c r="A2772" t="s">
        <v>5698</v>
      </c>
      <c r="B2772" s="17">
        <v>43872</v>
      </c>
      <c r="C2772" s="17">
        <v>43872</v>
      </c>
      <c r="D2772" t="s">
        <v>0</v>
      </c>
      <c r="E2772" t="s">
        <v>1</v>
      </c>
      <c r="F2772" s="18">
        <v>14806</v>
      </c>
      <c r="G2772" s="18">
        <v>14806</v>
      </c>
      <c r="H2772" t="s">
        <v>2</v>
      </c>
      <c r="I2772" t="s">
        <v>8</v>
      </c>
      <c r="J2772" s="18">
        <v>1242963.7</v>
      </c>
      <c r="K2772" t="s">
        <v>5693</v>
      </c>
      <c r="L2772" t="s">
        <v>9</v>
      </c>
      <c r="M2772" t="s">
        <v>5699</v>
      </c>
      <c r="N2772" t="s">
        <v>3</v>
      </c>
      <c r="O2772" t="s">
        <v>3</v>
      </c>
      <c r="P2772" t="s">
        <v>5</v>
      </c>
      <c r="Q2772" t="s">
        <v>5700</v>
      </c>
      <c r="R2772" t="s">
        <v>3</v>
      </c>
      <c r="S2772" t="s">
        <v>3</v>
      </c>
      <c r="T2772" t="s">
        <v>3</v>
      </c>
      <c r="U2772" t="s">
        <v>3</v>
      </c>
      <c r="V2772" t="s">
        <v>3</v>
      </c>
      <c r="W2772" t="s">
        <v>68</v>
      </c>
      <c r="X2772" s="17"/>
      <c r="Y2772" t="s">
        <v>3</v>
      </c>
      <c r="Z2772" s="17">
        <v>43872</v>
      </c>
      <c r="AA2772" t="s">
        <v>3</v>
      </c>
      <c r="AB2772" t="s">
        <v>5698</v>
      </c>
    </row>
    <row r="2773" spans="1:28" hidden="1">
      <c r="A2773" t="s">
        <v>5701</v>
      </c>
      <c r="B2773" s="17">
        <v>43872</v>
      </c>
      <c r="C2773" s="17">
        <v>43872</v>
      </c>
      <c r="D2773" t="s">
        <v>0</v>
      </c>
      <c r="E2773" t="s">
        <v>1</v>
      </c>
      <c r="F2773" s="18">
        <v>8772</v>
      </c>
      <c r="G2773" s="18">
        <v>8772</v>
      </c>
      <c r="H2773" t="s">
        <v>2</v>
      </c>
      <c r="I2773" t="s">
        <v>8</v>
      </c>
      <c r="J2773" s="18">
        <v>736409.4</v>
      </c>
      <c r="K2773" t="s">
        <v>5690</v>
      </c>
      <c r="L2773" t="s">
        <v>9</v>
      </c>
      <c r="M2773" t="s">
        <v>5702</v>
      </c>
      <c r="N2773" t="s">
        <v>3</v>
      </c>
      <c r="O2773" t="s">
        <v>3</v>
      </c>
      <c r="P2773" t="s">
        <v>5</v>
      </c>
      <c r="Q2773" t="s">
        <v>5703</v>
      </c>
      <c r="R2773" t="s">
        <v>3</v>
      </c>
      <c r="S2773" t="s">
        <v>3</v>
      </c>
      <c r="T2773" t="s">
        <v>3</v>
      </c>
      <c r="U2773" t="s">
        <v>3</v>
      </c>
      <c r="V2773" t="s">
        <v>3</v>
      </c>
      <c r="W2773" t="s">
        <v>68</v>
      </c>
      <c r="X2773" s="17"/>
      <c r="Y2773" t="s">
        <v>3</v>
      </c>
      <c r="Z2773" s="17">
        <v>43872</v>
      </c>
      <c r="AA2773" t="s">
        <v>3</v>
      </c>
      <c r="AB2773" t="s">
        <v>5701</v>
      </c>
    </row>
    <row r="2774" spans="1:28" hidden="1">
      <c r="A2774" t="s">
        <v>5701</v>
      </c>
      <c r="B2774" s="17">
        <v>43872</v>
      </c>
      <c r="C2774" s="17">
        <v>43872</v>
      </c>
      <c r="D2774" t="s">
        <v>0</v>
      </c>
      <c r="E2774" t="s">
        <v>1</v>
      </c>
      <c r="F2774" s="18">
        <v>50371</v>
      </c>
      <c r="G2774" s="18">
        <v>50371</v>
      </c>
      <c r="H2774" t="s">
        <v>2</v>
      </c>
      <c r="I2774" t="s">
        <v>8</v>
      </c>
      <c r="J2774" s="18">
        <v>4228645.45</v>
      </c>
      <c r="K2774" t="s">
        <v>5693</v>
      </c>
      <c r="L2774" t="s">
        <v>9</v>
      </c>
      <c r="M2774" t="s">
        <v>5702</v>
      </c>
      <c r="N2774" t="s">
        <v>3</v>
      </c>
      <c r="O2774" t="s">
        <v>3</v>
      </c>
      <c r="P2774" t="s">
        <v>5</v>
      </c>
      <c r="Q2774" t="s">
        <v>5703</v>
      </c>
      <c r="R2774" t="s">
        <v>3</v>
      </c>
      <c r="S2774" t="s">
        <v>3</v>
      </c>
      <c r="T2774" t="s">
        <v>3</v>
      </c>
      <c r="U2774" t="s">
        <v>3</v>
      </c>
      <c r="V2774" t="s">
        <v>3</v>
      </c>
      <c r="W2774" t="s">
        <v>68</v>
      </c>
      <c r="X2774" s="17"/>
      <c r="Y2774" t="s">
        <v>3</v>
      </c>
      <c r="Z2774" s="17">
        <v>43872</v>
      </c>
      <c r="AA2774" t="s">
        <v>3</v>
      </c>
      <c r="AB2774" t="s">
        <v>5701</v>
      </c>
    </row>
    <row r="2775" spans="1:28" hidden="1">
      <c r="A2775" t="s">
        <v>5701</v>
      </c>
      <c r="B2775" s="17">
        <v>43872</v>
      </c>
      <c r="C2775" s="17">
        <v>43872</v>
      </c>
      <c r="D2775" t="s">
        <v>0</v>
      </c>
      <c r="E2775" t="s">
        <v>1</v>
      </c>
      <c r="F2775" s="18">
        <v>8246</v>
      </c>
      <c r="G2775" s="18">
        <v>8246</v>
      </c>
      <c r="H2775" t="s">
        <v>2</v>
      </c>
      <c r="I2775" t="s">
        <v>8</v>
      </c>
      <c r="J2775" s="18">
        <v>692251.7</v>
      </c>
      <c r="K2775" t="s">
        <v>5694</v>
      </c>
      <c r="L2775" t="s">
        <v>9</v>
      </c>
      <c r="M2775" t="s">
        <v>5702</v>
      </c>
      <c r="N2775" t="s">
        <v>3</v>
      </c>
      <c r="O2775" t="s">
        <v>3</v>
      </c>
      <c r="P2775" t="s">
        <v>5</v>
      </c>
      <c r="Q2775" t="s">
        <v>5703</v>
      </c>
      <c r="R2775" t="s">
        <v>3</v>
      </c>
      <c r="S2775" t="s">
        <v>3</v>
      </c>
      <c r="T2775" t="s">
        <v>3</v>
      </c>
      <c r="U2775" t="s">
        <v>3</v>
      </c>
      <c r="V2775" t="s">
        <v>3</v>
      </c>
      <c r="W2775" t="s">
        <v>68</v>
      </c>
      <c r="X2775" s="17"/>
      <c r="Y2775" t="s">
        <v>3</v>
      </c>
      <c r="Z2775" s="17">
        <v>43872</v>
      </c>
      <c r="AA2775" t="s">
        <v>3</v>
      </c>
      <c r="AB2775" t="s">
        <v>5701</v>
      </c>
    </row>
    <row r="2776" spans="1:28" hidden="1">
      <c r="A2776" t="s">
        <v>5704</v>
      </c>
      <c r="B2776" s="17">
        <v>43872</v>
      </c>
      <c r="C2776" s="17">
        <v>43872</v>
      </c>
      <c r="D2776" t="s">
        <v>0</v>
      </c>
      <c r="E2776" t="s">
        <v>1</v>
      </c>
      <c r="F2776" s="18">
        <v>5276</v>
      </c>
      <c r="G2776" s="18">
        <v>5276</v>
      </c>
      <c r="H2776" t="s">
        <v>2</v>
      </c>
      <c r="I2776" t="s">
        <v>10</v>
      </c>
      <c r="J2776" s="18">
        <v>442920.2</v>
      </c>
      <c r="K2776" t="s">
        <v>5696</v>
      </c>
      <c r="L2776" t="s">
        <v>9</v>
      </c>
      <c r="M2776" t="s">
        <v>5705</v>
      </c>
      <c r="N2776" t="s">
        <v>3</v>
      </c>
      <c r="O2776" t="s">
        <v>3</v>
      </c>
      <c r="P2776" t="s">
        <v>5</v>
      </c>
      <c r="Q2776" t="s">
        <v>5706</v>
      </c>
      <c r="R2776" t="s">
        <v>3</v>
      </c>
      <c r="S2776" t="s">
        <v>3</v>
      </c>
      <c r="T2776" t="s">
        <v>3</v>
      </c>
      <c r="U2776" t="s">
        <v>3</v>
      </c>
      <c r="V2776" t="s">
        <v>3</v>
      </c>
      <c r="W2776" t="s">
        <v>68</v>
      </c>
      <c r="X2776" s="17"/>
      <c r="Y2776" t="s">
        <v>3</v>
      </c>
      <c r="Z2776" s="17">
        <v>43872</v>
      </c>
      <c r="AA2776" t="s">
        <v>3</v>
      </c>
      <c r="AB2776" t="s">
        <v>5704</v>
      </c>
    </row>
    <row r="2777" spans="1:28" hidden="1">
      <c r="A2777" t="s">
        <v>5704</v>
      </c>
      <c r="B2777" s="17">
        <v>43872</v>
      </c>
      <c r="C2777" s="17">
        <v>43872</v>
      </c>
      <c r="D2777" t="s">
        <v>0</v>
      </c>
      <c r="E2777" t="s">
        <v>1</v>
      </c>
      <c r="F2777" s="18">
        <v>829</v>
      </c>
      <c r="G2777" s="18">
        <v>829</v>
      </c>
      <c r="H2777" t="s">
        <v>2</v>
      </c>
      <c r="I2777" t="s">
        <v>10</v>
      </c>
      <c r="J2777" s="18">
        <v>69594.55</v>
      </c>
      <c r="K2777" t="s">
        <v>5707</v>
      </c>
      <c r="L2777" t="s">
        <v>9</v>
      </c>
      <c r="M2777" t="s">
        <v>5705</v>
      </c>
      <c r="N2777" t="s">
        <v>3</v>
      </c>
      <c r="O2777" t="s">
        <v>3</v>
      </c>
      <c r="P2777" t="s">
        <v>5</v>
      </c>
      <c r="Q2777" t="s">
        <v>5706</v>
      </c>
      <c r="R2777" t="s">
        <v>3</v>
      </c>
      <c r="S2777" t="s">
        <v>3</v>
      </c>
      <c r="T2777" t="s">
        <v>3</v>
      </c>
      <c r="U2777" t="s">
        <v>3</v>
      </c>
      <c r="V2777" t="s">
        <v>3</v>
      </c>
      <c r="W2777" t="s">
        <v>68</v>
      </c>
      <c r="X2777" s="17"/>
      <c r="Y2777" t="s">
        <v>3</v>
      </c>
      <c r="Z2777" s="17">
        <v>43872</v>
      </c>
      <c r="AA2777" t="s">
        <v>3</v>
      </c>
      <c r="AB2777" t="s">
        <v>5704</v>
      </c>
    </row>
    <row r="2778" spans="1:28" hidden="1">
      <c r="A2778" t="s">
        <v>5708</v>
      </c>
      <c r="B2778" s="17">
        <v>43873</v>
      </c>
      <c r="C2778" s="17">
        <v>43873</v>
      </c>
      <c r="D2778" t="s">
        <v>0</v>
      </c>
      <c r="E2778" t="s">
        <v>1</v>
      </c>
      <c r="F2778" s="18">
        <v>17462.18</v>
      </c>
      <c r="G2778" s="18">
        <v>17462.18</v>
      </c>
      <c r="H2778" t="s">
        <v>2</v>
      </c>
      <c r="I2778" t="s">
        <v>10</v>
      </c>
      <c r="J2778" s="18">
        <v>1465950.01</v>
      </c>
      <c r="K2778" t="s">
        <v>5709</v>
      </c>
      <c r="L2778" t="s">
        <v>4</v>
      </c>
      <c r="M2778" t="s">
        <v>5710</v>
      </c>
      <c r="N2778" t="s">
        <v>3</v>
      </c>
      <c r="O2778" t="s">
        <v>3</v>
      </c>
      <c r="P2778" t="s">
        <v>5</v>
      </c>
      <c r="Q2778" t="s">
        <v>5711</v>
      </c>
      <c r="R2778" t="s">
        <v>3</v>
      </c>
      <c r="S2778" t="s">
        <v>3</v>
      </c>
      <c r="T2778" t="s">
        <v>3</v>
      </c>
      <c r="U2778" t="s">
        <v>3</v>
      </c>
      <c r="V2778" t="s">
        <v>3</v>
      </c>
      <c r="W2778" t="s">
        <v>68</v>
      </c>
      <c r="X2778" s="17"/>
      <c r="Y2778" t="s">
        <v>3</v>
      </c>
      <c r="Z2778" s="17">
        <v>43873</v>
      </c>
      <c r="AA2778" t="s">
        <v>3</v>
      </c>
      <c r="AB2778" t="s">
        <v>5708</v>
      </c>
    </row>
    <row r="2779" spans="1:28" hidden="1">
      <c r="A2779" t="s">
        <v>5708</v>
      </c>
      <c r="B2779" s="17">
        <v>43873</v>
      </c>
      <c r="C2779" s="17">
        <v>43873</v>
      </c>
      <c r="D2779" t="s">
        <v>0</v>
      </c>
      <c r="E2779" t="s">
        <v>1</v>
      </c>
      <c r="F2779" s="18">
        <v>24274.44</v>
      </c>
      <c r="G2779" s="18">
        <v>24274.44</v>
      </c>
      <c r="H2779" t="s">
        <v>2</v>
      </c>
      <c r="I2779" t="s">
        <v>10</v>
      </c>
      <c r="J2779" s="18">
        <v>2037839.24</v>
      </c>
      <c r="K2779" t="s">
        <v>5712</v>
      </c>
      <c r="L2779" t="s">
        <v>4</v>
      </c>
      <c r="M2779" t="s">
        <v>5710</v>
      </c>
      <c r="N2779" t="s">
        <v>3</v>
      </c>
      <c r="O2779" t="s">
        <v>3</v>
      </c>
      <c r="P2779" t="s">
        <v>5</v>
      </c>
      <c r="Q2779" t="s">
        <v>5711</v>
      </c>
      <c r="R2779" t="s">
        <v>3</v>
      </c>
      <c r="S2779" t="s">
        <v>3</v>
      </c>
      <c r="T2779" t="s">
        <v>3</v>
      </c>
      <c r="U2779" t="s">
        <v>3</v>
      </c>
      <c r="V2779" t="s">
        <v>3</v>
      </c>
      <c r="W2779" t="s">
        <v>68</v>
      </c>
      <c r="X2779" s="17"/>
      <c r="Y2779" t="s">
        <v>3</v>
      </c>
      <c r="Z2779" s="17">
        <v>43873</v>
      </c>
      <c r="AA2779" t="s">
        <v>3</v>
      </c>
      <c r="AB2779" t="s">
        <v>5708</v>
      </c>
    </row>
    <row r="2780" spans="1:28" hidden="1">
      <c r="A2780" t="s">
        <v>5708</v>
      </c>
      <c r="B2780" s="17">
        <v>43873</v>
      </c>
      <c r="C2780" s="17">
        <v>43873</v>
      </c>
      <c r="D2780" t="s">
        <v>0</v>
      </c>
      <c r="E2780" t="s">
        <v>1</v>
      </c>
      <c r="F2780" s="18">
        <v>3303.63</v>
      </c>
      <c r="G2780" s="18">
        <v>3303.63</v>
      </c>
      <c r="H2780" t="s">
        <v>2</v>
      </c>
      <c r="I2780" t="s">
        <v>10</v>
      </c>
      <c r="J2780" s="18">
        <v>277339.74</v>
      </c>
      <c r="K2780" t="s">
        <v>5713</v>
      </c>
      <c r="L2780" t="s">
        <v>4</v>
      </c>
      <c r="M2780" t="s">
        <v>5710</v>
      </c>
      <c r="N2780" t="s">
        <v>3</v>
      </c>
      <c r="O2780" t="s">
        <v>3</v>
      </c>
      <c r="P2780" t="s">
        <v>5</v>
      </c>
      <c r="Q2780" t="s">
        <v>5711</v>
      </c>
      <c r="R2780" t="s">
        <v>3</v>
      </c>
      <c r="S2780" t="s">
        <v>3</v>
      </c>
      <c r="T2780" t="s">
        <v>3</v>
      </c>
      <c r="U2780" t="s">
        <v>3</v>
      </c>
      <c r="V2780" t="s">
        <v>3</v>
      </c>
      <c r="W2780" t="s">
        <v>68</v>
      </c>
      <c r="X2780" s="17"/>
      <c r="Y2780" t="s">
        <v>3</v>
      </c>
      <c r="Z2780" s="17">
        <v>43873</v>
      </c>
      <c r="AA2780" t="s">
        <v>3</v>
      </c>
      <c r="AB2780" t="s">
        <v>5708</v>
      </c>
    </row>
    <row r="2781" spans="1:28" hidden="1">
      <c r="A2781" t="s">
        <v>5708</v>
      </c>
      <c r="B2781" s="17">
        <v>43873</v>
      </c>
      <c r="C2781" s="17">
        <v>43873</v>
      </c>
      <c r="D2781" t="s">
        <v>0</v>
      </c>
      <c r="E2781" t="s">
        <v>1</v>
      </c>
      <c r="F2781" s="18">
        <v>375.24</v>
      </c>
      <c r="G2781" s="18">
        <v>375.24</v>
      </c>
      <c r="H2781" t="s">
        <v>2</v>
      </c>
      <c r="I2781" t="s">
        <v>10</v>
      </c>
      <c r="J2781" s="18">
        <v>31501.4</v>
      </c>
      <c r="K2781" t="s">
        <v>5714</v>
      </c>
      <c r="L2781" t="s">
        <v>4</v>
      </c>
      <c r="M2781" t="s">
        <v>5710</v>
      </c>
      <c r="N2781" t="s">
        <v>3</v>
      </c>
      <c r="O2781" t="s">
        <v>3</v>
      </c>
      <c r="P2781" t="s">
        <v>5</v>
      </c>
      <c r="Q2781" t="s">
        <v>5711</v>
      </c>
      <c r="R2781" t="s">
        <v>3</v>
      </c>
      <c r="S2781" t="s">
        <v>3</v>
      </c>
      <c r="T2781" t="s">
        <v>3</v>
      </c>
      <c r="U2781" t="s">
        <v>3</v>
      </c>
      <c r="V2781" t="s">
        <v>3</v>
      </c>
      <c r="W2781" t="s">
        <v>68</v>
      </c>
      <c r="X2781" s="17"/>
      <c r="Y2781" t="s">
        <v>3</v>
      </c>
      <c r="Z2781" s="17">
        <v>43873</v>
      </c>
      <c r="AA2781" t="s">
        <v>3</v>
      </c>
      <c r="AB2781" t="s">
        <v>5708</v>
      </c>
    </row>
    <row r="2782" spans="1:28" hidden="1">
      <c r="A2782" t="s">
        <v>5715</v>
      </c>
      <c r="B2782" s="17">
        <v>43873</v>
      </c>
      <c r="C2782" s="17">
        <v>43873</v>
      </c>
      <c r="D2782" t="s">
        <v>0</v>
      </c>
      <c r="E2782" t="s">
        <v>1</v>
      </c>
      <c r="F2782" s="18">
        <v>14420.89</v>
      </c>
      <c r="G2782" s="18">
        <v>14420.89</v>
      </c>
      <c r="H2782" t="s">
        <v>2</v>
      </c>
      <c r="I2782" t="s">
        <v>10</v>
      </c>
      <c r="J2782" s="18">
        <v>1210633.72</v>
      </c>
      <c r="K2782" t="s">
        <v>5709</v>
      </c>
      <c r="L2782" t="s">
        <v>4</v>
      </c>
      <c r="M2782" t="s">
        <v>5716</v>
      </c>
      <c r="N2782" t="s">
        <v>3</v>
      </c>
      <c r="O2782" t="s">
        <v>3</v>
      </c>
      <c r="P2782" t="s">
        <v>5</v>
      </c>
      <c r="Q2782" t="s">
        <v>5717</v>
      </c>
      <c r="R2782" t="s">
        <v>3</v>
      </c>
      <c r="S2782" t="s">
        <v>3</v>
      </c>
      <c r="T2782" t="s">
        <v>3</v>
      </c>
      <c r="U2782" t="s">
        <v>3</v>
      </c>
      <c r="V2782" t="s">
        <v>3</v>
      </c>
      <c r="W2782" t="s">
        <v>68</v>
      </c>
      <c r="X2782" s="17"/>
      <c r="Y2782" t="s">
        <v>3</v>
      </c>
      <c r="Z2782" s="17">
        <v>43873</v>
      </c>
      <c r="AA2782" t="s">
        <v>3</v>
      </c>
      <c r="AB2782" t="s">
        <v>5715</v>
      </c>
    </row>
    <row r="2783" spans="1:28" hidden="1">
      <c r="A2783" t="s">
        <v>5715</v>
      </c>
      <c r="B2783" s="17">
        <v>43873</v>
      </c>
      <c r="C2783" s="17">
        <v>43873</v>
      </c>
      <c r="D2783" t="s">
        <v>0</v>
      </c>
      <c r="E2783" t="s">
        <v>1</v>
      </c>
      <c r="F2783" s="18">
        <v>26046.69</v>
      </c>
      <c r="G2783" s="18">
        <v>26046.69</v>
      </c>
      <c r="H2783" t="s">
        <v>2</v>
      </c>
      <c r="I2783" t="s">
        <v>10</v>
      </c>
      <c r="J2783" s="18">
        <v>2186619.63</v>
      </c>
      <c r="K2783" t="s">
        <v>5713</v>
      </c>
      <c r="L2783" t="s">
        <v>4</v>
      </c>
      <c r="M2783" t="s">
        <v>5716</v>
      </c>
      <c r="N2783" t="s">
        <v>3</v>
      </c>
      <c r="O2783" t="s">
        <v>3</v>
      </c>
      <c r="P2783" t="s">
        <v>5</v>
      </c>
      <c r="Q2783" t="s">
        <v>5717</v>
      </c>
      <c r="R2783" t="s">
        <v>3</v>
      </c>
      <c r="S2783" t="s">
        <v>3</v>
      </c>
      <c r="T2783" t="s">
        <v>3</v>
      </c>
      <c r="U2783" t="s">
        <v>3</v>
      </c>
      <c r="V2783" t="s">
        <v>3</v>
      </c>
      <c r="W2783" t="s">
        <v>68</v>
      </c>
      <c r="X2783" s="17"/>
      <c r="Y2783" t="s">
        <v>3</v>
      </c>
      <c r="Z2783" s="17">
        <v>43873</v>
      </c>
      <c r="AA2783" t="s">
        <v>3</v>
      </c>
      <c r="AB2783" t="s">
        <v>5715</v>
      </c>
    </row>
    <row r="2784" spans="1:28" hidden="1">
      <c r="A2784" t="s">
        <v>5718</v>
      </c>
      <c r="B2784" s="17">
        <v>43873</v>
      </c>
      <c r="C2784" s="17">
        <v>43873</v>
      </c>
      <c r="D2784" t="s">
        <v>0</v>
      </c>
      <c r="E2784" t="s">
        <v>1</v>
      </c>
      <c r="F2784" s="18">
        <v>9444.3799999999992</v>
      </c>
      <c r="G2784" s="18">
        <v>9444.3799999999992</v>
      </c>
      <c r="H2784" t="s">
        <v>2</v>
      </c>
      <c r="I2784" t="s">
        <v>8</v>
      </c>
      <c r="J2784" s="18">
        <v>792855.7</v>
      </c>
      <c r="K2784" t="s">
        <v>5719</v>
      </c>
      <c r="L2784" t="s">
        <v>4</v>
      </c>
      <c r="M2784" t="s">
        <v>5720</v>
      </c>
      <c r="N2784" t="s">
        <v>3</v>
      </c>
      <c r="O2784" t="s">
        <v>3</v>
      </c>
      <c r="P2784" t="s">
        <v>5</v>
      </c>
      <c r="Q2784" t="s">
        <v>5720</v>
      </c>
      <c r="R2784" t="s">
        <v>3</v>
      </c>
      <c r="S2784" t="s">
        <v>3</v>
      </c>
      <c r="T2784" t="s">
        <v>3</v>
      </c>
      <c r="U2784" t="s">
        <v>3</v>
      </c>
      <c r="V2784" t="s">
        <v>3</v>
      </c>
      <c r="W2784" t="s">
        <v>68</v>
      </c>
      <c r="X2784" s="17"/>
      <c r="Y2784" t="s">
        <v>3</v>
      </c>
      <c r="Z2784" s="17">
        <v>43873</v>
      </c>
      <c r="AA2784" t="s">
        <v>3</v>
      </c>
      <c r="AB2784" t="s">
        <v>5718</v>
      </c>
    </row>
    <row r="2785" spans="1:28" hidden="1">
      <c r="A2785" t="s">
        <v>5718</v>
      </c>
      <c r="B2785" s="17">
        <v>43873</v>
      </c>
      <c r="C2785" s="17">
        <v>43873</v>
      </c>
      <c r="D2785" t="s">
        <v>0</v>
      </c>
      <c r="E2785" t="s">
        <v>1</v>
      </c>
      <c r="F2785" s="18">
        <v>35507.300000000003</v>
      </c>
      <c r="G2785" s="18">
        <v>35507.300000000003</v>
      </c>
      <c r="H2785" t="s">
        <v>2</v>
      </c>
      <c r="I2785" t="s">
        <v>8</v>
      </c>
      <c r="J2785" s="18">
        <v>2980837.84</v>
      </c>
      <c r="K2785" t="s">
        <v>5721</v>
      </c>
      <c r="L2785" t="s">
        <v>4</v>
      </c>
      <c r="M2785" t="s">
        <v>5720</v>
      </c>
      <c r="N2785" t="s">
        <v>3</v>
      </c>
      <c r="O2785" t="s">
        <v>3</v>
      </c>
      <c r="P2785" t="s">
        <v>5</v>
      </c>
      <c r="Q2785" t="s">
        <v>5720</v>
      </c>
      <c r="R2785" t="s">
        <v>3</v>
      </c>
      <c r="S2785" t="s">
        <v>3</v>
      </c>
      <c r="T2785" t="s">
        <v>3</v>
      </c>
      <c r="U2785" t="s">
        <v>3</v>
      </c>
      <c r="V2785" t="s">
        <v>3</v>
      </c>
      <c r="W2785" t="s">
        <v>68</v>
      </c>
      <c r="X2785" s="17"/>
      <c r="Y2785" t="s">
        <v>3</v>
      </c>
      <c r="Z2785" s="17">
        <v>43873</v>
      </c>
      <c r="AA2785" t="s">
        <v>3</v>
      </c>
      <c r="AB2785" t="s">
        <v>5718</v>
      </c>
    </row>
    <row r="2786" spans="1:28" hidden="1">
      <c r="A2786" t="s">
        <v>5718</v>
      </c>
      <c r="B2786" s="17">
        <v>43873</v>
      </c>
      <c r="C2786" s="17">
        <v>43873</v>
      </c>
      <c r="D2786" t="s">
        <v>0</v>
      </c>
      <c r="E2786" t="s">
        <v>1</v>
      </c>
      <c r="F2786" s="18">
        <v>15795.81</v>
      </c>
      <c r="G2786" s="18">
        <v>15795.81</v>
      </c>
      <c r="H2786" t="s">
        <v>2</v>
      </c>
      <c r="I2786" t="s">
        <v>8</v>
      </c>
      <c r="J2786" s="18">
        <v>1326058.25</v>
      </c>
      <c r="K2786" t="s">
        <v>5722</v>
      </c>
      <c r="L2786" t="s">
        <v>4</v>
      </c>
      <c r="M2786" t="s">
        <v>5720</v>
      </c>
      <c r="N2786" t="s">
        <v>3</v>
      </c>
      <c r="O2786" t="s">
        <v>3</v>
      </c>
      <c r="P2786" t="s">
        <v>5</v>
      </c>
      <c r="Q2786" t="s">
        <v>5720</v>
      </c>
      <c r="R2786" t="s">
        <v>3</v>
      </c>
      <c r="S2786" t="s">
        <v>3</v>
      </c>
      <c r="T2786" t="s">
        <v>3</v>
      </c>
      <c r="U2786" t="s">
        <v>3</v>
      </c>
      <c r="V2786" t="s">
        <v>3</v>
      </c>
      <c r="W2786" t="s">
        <v>68</v>
      </c>
      <c r="X2786" s="17"/>
      <c r="Y2786" t="s">
        <v>3</v>
      </c>
      <c r="Z2786" s="17">
        <v>43873</v>
      </c>
      <c r="AA2786" t="s">
        <v>3</v>
      </c>
      <c r="AB2786" t="s">
        <v>5718</v>
      </c>
    </row>
    <row r="2787" spans="1:28" hidden="1">
      <c r="A2787" t="s">
        <v>5718</v>
      </c>
      <c r="B2787" s="17">
        <v>43873</v>
      </c>
      <c r="C2787" s="17">
        <v>43873</v>
      </c>
      <c r="D2787" t="s">
        <v>0</v>
      </c>
      <c r="E2787" t="s">
        <v>1</v>
      </c>
      <c r="F2787" s="18">
        <v>14879.15</v>
      </c>
      <c r="G2787" s="18">
        <v>14879.15</v>
      </c>
      <c r="H2787" t="s">
        <v>2</v>
      </c>
      <c r="I2787" t="s">
        <v>8</v>
      </c>
      <c r="J2787" s="18">
        <v>1249104.6399999999</v>
      </c>
      <c r="K2787" t="s">
        <v>5723</v>
      </c>
      <c r="L2787" t="s">
        <v>4</v>
      </c>
      <c r="M2787" t="s">
        <v>5720</v>
      </c>
      <c r="N2787" t="s">
        <v>3</v>
      </c>
      <c r="O2787" t="s">
        <v>3</v>
      </c>
      <c r="P2787" t="s">
        <v>5</v>
      </c>
      <c r="Q2787" t="s">
        <v>5720</v>
      </c>
      <c r="R2787" t="s">
        <v>3</v>
      </c>
      <c r="S2787" t="s">
        <v>3</v>
      </c>
      <c r="T2787" t="s">
        <v>3</v>
      </c>
      <c r="U2787" t="s">
        <v>3</v>
      </c>
      <c r="V2787" t="s">
        <v>3</v>
      </c>
      <c r="W2787" t="s">
        <v>68</v>
      </c>
      <c r="X2787" s="17"/>
      <c r="Y2787" t="s">
        <v>3</v>
      </c>
      <c r="Z2787" s="17">
        <v>43873</v>
      </c>
      <c r="AA2787" t="s">
        <v>3</v>
      </c>
      <c r="AB2787" t="s">
        <v>5718</v>
      </c>
    </row>
    <row r="2788" spans="1:28" hidden="1">
      <c r="A2788" t="s">
        <v>5718</v>
      </c>
      <c r="B2788" s="17">
        <v>43873</v>
      </c>
      <c r="C2788" s="17">
        <v>43873</v>
      </c>
      <c r="D2788" t="s">
        <v>0</v>
      </c>
      <c r="E2788" t="s">
        <v>1</v>
      </c>
      <c r="F2788" s="18">
        <v>3679.92</v>
      </c>
      <c r="G2788" s="18">
        <v>3679.92</v>
      </c>
      <c r="H2788" t="s">
        <v>2</v>
      </c>
      <c r="I2788" t="s">
        <v>8</v>
      </c>
      <c r="J2788" s="18">
        <v>308929.28000000003</v>
      </c>
      <c r="K2788" t="s">
        <v>5724</v>
      </c>
      <c r="L2788" t="s">
        <v>4</v>
      </c>
      <c r="M2788" t="s">
        <v>5720</v>
      </c>
      <c r="N2788" t="s">
        <v>3</v>
      </c>
      <c r="O2788" t="s">
        <v>3</v>
      </c>
      <c r="P2788" t="s">
        <v>5</v>
      </c>
      <c r="Q2788" t="s">
        <v>5720</v>
      </c>
      <c r="R2788" t="s">
        <v>3</v>
      </c>
      <c r="S2788" t="s">
        <v>3</v>
      </c>
      <c r="T2788" t="s">
        <v>3</v>
      </c>
      <c r="U2788" t="s">
        <v>3</v>
      </c>
      <c r="V2788" t="s">
        <v>3</v>
      </c>
      <c r="W2788" t="s">
        <v>68</v>
      </c>
      <c r="X2788" s="17"/>
      <c r="Y2788" t="s">
        <v>3</v>
      </c>
      <c r="Z2788" s="17">
        <v>43873</v>
      </c>
      <c r="AA2788" t="s">
        <v>3</v>
      </c>
      <c r="AB2788" t="s">
        <v>5718</v>
      </c>
    </row>
    <row r="2789" spans="1:28" hidden="1">
      <c r="A2789" t="s">
        <v>5725</v>
      </c>
      <c r="B2789" s="17">
        <v>43873</v>
      </c>
      <c r="C2789" s="17">
        <v>43873</v>
      </c>
      <c r="D2789" t="s">
        <v>0</v>
      </c>
      <c r="E2789" t="s">
        <v>1</v>
      </c>
      <c r="F2789" s="18">
        <v>604</v>
      </c>
      <c r="G2789" s="18">
        <v>604</v>
      </c>
      <c r="H2789" t="s">
        <v>2</v>
      </c>
      <c r="I2789" t="s">
        <v>8</v>
      </c>
      <c r="J2789" s="18">
        <v>50705.8</v>
      </c>
      <c r="K2789" t="s">
        <v>5726</v>
      </c>
      <c r="L2789" t="s">
        <v>9</v>
      </c>
      <c r="M2789" t="s">
        <v>5727</v>
      </c>
      <c r="N2789" t="s">
        <v>3</v>
      </c>
      <c r="O2789" t="s">
        <v>3</v>
      </c>
      <c r="P2789" t="s">
        <v>5</v>
      </c>
      <c r="Q2789" t="s">
        <v>5728</v>
      </c>
      <c r="R2789" t="s">
        <v>3</v>
      </c>
      <c r="S2789" t="s">
        <v>3</v>
      </c>
      <c r="T2789" t="s">
        <v>3</v>
      </c>
      <c r="U2789" t="s">
        <v>3</v>
      </c>
      <c r="V2789" t="s">
        <v>3</v>
      </c>
      <c r="W2789" t="s">
        <v>68</v>
      </c>
      <c r="X2789" s="17"/>
      <c r="Y2789" t="s">
        <v>3</v>
      </c>
      <c r="Z2789" s="17">
        <v>43873</v>
      </c>
      <c r="AA2789" t="s">
        <v>3</v>
      </c>
      <c r="AB2789" t="s">
        <v>5725</v>
      </c>
    </row>
    <row r="2790" spans="1:28" hidden="1">
      <c r="A2790" t="s">
        <v>5725</v>
      </c>
      <c r="B2790" s="17">
        <v>43873</v>
      </c>
      <c r="C2790" s="17">
        <v>43873</v>
      </c>
      <c r="D2790" t="s">
        <v>0</v>
      </c>
      <c r="E2790" t="s">
        <v>1</v>
      </c>
      <c r="F2790" s="18">
        <v>233176</v>
      </c>
      <c r="G2790" s="18">
        <v>233176</v>
      </c>
      <c r="H2790" t="s">
        <v>2</v>
      </c>
      <c r="I2790" t="s">
        <v>8</v>
      </c>
      <c r="J2790" s="18">
        <v>19575125.199999999</v>
      </c>
      <c r="K2790" t="s">
        <v>5690</v>
      </c>
      <c r="L2790" t="s">
        <v>9</v>
      </c>
      <c r="M2790" t="s">
        <v>5727</v>
      </c>
      <c r="N2790" t="s">
        <v>3</v>
      </c>
      <c r="O2790" t="s">
        <v>3</v>
      </c>
      <c r="P2790" t="s">
        <v>5</v>
      </c>
      <c r="Q2790" t="s">
        <v>5728</v>
      </c>
      <c r="R2790" t="s">
        <v>3</v>
      </c>
      <c r="S2790" t="s">
        <v>3</v>
      </c>
      <c r="T2790" t="s">
        <v>3</v>
      </c>
      <c r="U2790" t="s">
        <v>3</v>
      </c>
      <c r="V2790" t="s">
        <v>3</v>
      </c>
      <c r="W2790" t="s">
        <v>68</v>
      </c>
      <c r="X2790" s="17"/>
      <c r="Y2790" t="s">
        <v>3</v>
      </c>
      <c r="Z2790" s="17">
        <v>43873</v>
      </c>
      <c r="AA2790" t="s">
        <v>3</v>
      </c>
      <c r="AB2790" t="s">
        <v>5725</v>
      </c>
    </row>
    <row r="2791" spans="1:28" hidden="1">
      <c r="A2791" t="s">
        <v>5725</v>
      </c>
      <c r="B2791" s="17">
        <v>43873</v>
      </c>
      <c r="C2791" s="17">
        <v>43873</v>
      </c>
      <c r="D2791" t="s">
        <v>0</v>
      </c>
      <c r="E2791" t="s">
        <v>1</v>
      </c>
      <c r="F2791" s="18">
        <v>8867</v>
      </c>
      <c r="G2791" s="18">
        <v>8867</v>
      </c>
      <c r="H2791" t="s">
        <v>2</v>
      </c>
      <c r="I2791" t="s">
        <v>8</v>
      </c>
      <c r="J2791" s="18">
        <v>740394.5</v>
      </c>
      <c r="K2791" t="s">
        <v>5729</v>
      </c>
      <c r="L2791" t="s">
        <v>9</v>
      </c>
      <c r="M2791" t="s">
        <v>5727</v>
      </c>
      <c r="N2791" t="s">
        <v>3</v>
      </c>
      <c r="O2791" t="s">
        <v>3</v>
      </c>
      <c r="P2791" t="s">
        <v>5</v>
      </c>
      <c r="Q2791" t="s">
        <v>5728</v>
      </c>
      <c r="R2791" t="s">
        <v>3</v>
      </c>
      <c r="S2791" t="s">
        <v>3</v>
      </c>
      <c r="T2791" t="s">
        <v>3</v>
      </c>
      <c r="U2791" t="s">
        <v>3</v>
      </c>
      <c r="V2791" t="s">
        <v>3</v>
      </c>
      <c r="W2791" t="s">
        <v>68</v>
      </c>
      <c r="X2791" s="17"/>
      <c r="Y2791" t="s">
        <v>3</v>
      </c>
      <c r="Z2791" s="17">
        <v>43873</v>
      </c>
      <c r="AA2791" t="s">
        <v>3</v>
      </c>
      <c r="AB2791" t="s">
        <v>5725</v>
      </c>
    </row>
    <row r="2792" spans="1:28" hidden="1">
      <c r="A2792" t="s">
        <v>5725</v>
      </c>
      <c r="B2792" s="17">
        <v>43873</v>
      </c>
      <c r="C2792" s="17">
        <v>43873</v>
      </c>
      <c r="D2792" t="s">
        <v>0</v>
      </c>
      <c r="E2792" t="s">
        <v>1</v>
      </c>
      <c r="F2792" s="18">
        <v>8670</v>
      </c>
      <c r="G2792" s="18">
        <v>8670</v>
      </c>
      <c r="H2792" t="s">
        <v>2</v>
      </c>
      <c r="I2792" t="s">
        <v>8</v>
      </c>
      <c r="J2792" s="18">
        <v>723945</v>
      </c>
      <c r="K2792" t="s">
        <v>5730</v>
      </c>
      <c r="L2792" t="s">
        <v>9</v>
      </c>
      <c r="M2792" t="s">
        <v>5727</v>
      </c>
      <c r="N2792" t="s">
        <v>3</v>
      </c>
      <c r="O2792" t="s">
        <v>3</v>
      </c>
      <c r="P2792" t="s">
        <v>5</v>
      </c>
      <c r="Q2792" t="s">
        <v>5728</v>
      </c>
      <c r="R2792" t="s">
        <v>3</v>
      </c>
      <c r="S2792" t="s">
        <v>3</v>
      </c>
      <c r="T2792" t="s">
        <v>3</v>
      </c>
      <c r="U2792" t="s">
        <v>3</v>
      </c>
      <c r="V2792" t="s">
        <v>3</v>
      </c>
      <c r="W2792" t="s">
        <v>68</v>
      </c>
      <c r="X2792" s="17"/>
      <c r="Y2792" t="s">
        <v>3</v>
      </c>
      <c r="Z2792" s="17">
        <v>43873</v>
      </c>
      <c r="AA2792" t="s">
        <v>3</v>
      </c>
      <c r="AB2792" t="s">
        <v>5725</v>
      </c>
    </row>
    <row r="2793" spans="1:28" hidden="1">
      <c r="A2793" t="s">
        <v>5725</v>
      </c>
      <c r="B2793" s="17">
        <v>43873</v>
      </c>
      <c r="C2793" s="17">
        <v>43873</v>
      </c>
      <c r="D2793" t="s">
        <v>0</v>
      </c>
      <c r="E2793" t="s">
        <v>1</v>
      </c>
      <c r="F2793" s="18">
        <v>43732</v>
      </c>
      <c r="G2793" s="18">
        <v>43732</v>
      </c>
      <c r="H2793" t="s">
        <v>2</v>
      </c>
      <c r="I2793" t="s">
        <v>8</v>
      </c>
      <c r="J2793" s="18">
        <v>3671301.4</v>
      </c>
      <c r="K2793" t="s">
        <v>5694</v>
      </c>
      <c r="L2793" t="s">
        <v>9</v>
      </c>
      <c r="M2793" t="s">
        <v>5727</v>
      </c>
      <c r="N2793" t="s">
        <v>3</v>
      </c>
      <c r="O2793" t="s">
        <v>3</v>
      </c>
      <c r="P2793" t="s">
        <v>5</v>
      </c>
      <c r="Q2793" t="s">
        <v>5728</v>
      </c>
      <c r="R2793" t="s">
        <v>3</v>
      </c>
      <c r="S2793" t="s">
        <v>3</v>
      </c>
      <c r="T2793" t="s">
        <v>3</v>
      </c>
      <c r="U2793" t="s">
        <v>3</v>
      </c>
      <c r="V2793" t="s">
        <v>3</v>
      </c>
      <c r="W2793" t="s">
        <v>68</v>
      </c>
      <c r="X2793" s="17"/>
      <c r="Y2793" t="s">
        <v>3</v>
      </c>
      <c r="Z2793" s="17">
        <v>43873</v>
      </c>
      <c r="AA2793" t="s">
        <v>3</v>
      </c>
      <c r="AB2793" t="s">
        <v>5725</v>
      </c>
    </row>
    <row r="2794" spans="1:28" hidden="1">
      <c r="A2794" t="s">
        <v>5725</v>
      </c>
      <c r="B2794" s="17">
        <v>43873</v>
      </c>
      <c r="C2794" s="17">
        <v>43873</v>
      </c>
      <c r="D2794" t="s">
        <v>0</v>
      </c>
      <c r="E2794" t="s">
        <v>1</v>
      </c>
      <c r="F2794" s="18">
        <v>31006</v>
      </c>
      <c r="G2794" s="18">
        <v>31006</v>
      </c>
      <c r="H2794" t="s">
        <v>2</v>
      </c>
      <c r="I2794" t="s">
        <v>8</v>
      </c>
      <c r="J2794" s="18">
        <v>2602953.7000000002</v>
      </c>
      <c r="K2794" t="s">
        <v>5695</v>
      </c>
      <c r="L2794" t="s">
        <v>9</v>
      </c>
      <c r="M2794" t="s">
        <v>5727</v>
      </c>
      <c r="N2794" t="s">
        <v>3</v>
      </c>
      <c r="O2794" t="s">
        <v>3</v>
      </c>
      <c r="P2794" t="s">
        <v>5</v>
      </c>
      <c r="Q2794" t="s">
        <v>5728</v>
      </c>
      <c r="R2794" t="s">
        <v>3</v>
      </c>
      <c r="S2794" t="s">
        <v>3</v>
      </c>
      <c r="T2794" t="s">
        <v>3</v>
      </c>
      <c r="U2794" t="s">
        <v>3</v>
      </c>
      <c r="V2794" t="s">
        <v>3</v>
      </c>
      <c r="W2794" t="s">
        <v>68</v>
      </c>
      <c r="X2794" s="17"/>
      <c r="Y2794" t="s">
        <v>3</v>
      </c>
      <c r="Z2794" s="17">
        <v>43873</v>
      </c>
      <c r="AA2794" t="s">
        <v>3</v>
      </c>
      <c r="AB2794" t="s">
        <v>5725</v>
      </c>
    </row>
    <row r="2795" spans="1:28" hidden="1">
      <c r="A2795" t="s">
        <v>5731</v>
      </c>
      <c r="B2795" s="17">
        <v>43873</v>
      </c>
      <c r="C2795" s="17">
        <v>43873</v>
      </c>
      <c r="D2795" t="s">
        <v>0</v>
      </c>
      <c r="E2795" t="s">
        <v>1</v>
      </c>
      <c r="F2795" s="18">
        <v>182</v>
      </c>
      <c r="G2795" s="18">
        <v>182</v>
      </c>
      <c r="H2795" t="s">
        <v>2</v>
      </c>
      <c r="I2795" t="s">
        <v>8</v>
      </c>
      <c r="J2795" s="18">
        <v>15278.9</v>
      </c>
      <c r="K2795" t="s">
        <v>5726</v>
      </c>
      <c r="L2795" t="s">
        <v>9</v>
      </c>
      <c r="M2795" t="s">
        <v>5732</v>
      </c>
      <c r="N2795" t="s">
        <v>3</v>
      </c>
      <c r="O2795" t="s">
        <v>3</v>
      </c>
      <c r="P2795" t="s">
        <v>5</v>
      </c>
      <c r="Q2795" t="s">
        <v>5733</v>
      </c>
      <c r="R2795" t="s">
        <v>3</v>
      </c>
      <c r="S2795" t="s">
        <v>3</v>
      </c>
      <c r="T2795" t="s">
        <v>3</v>
      </c>
      <c r="U2795" t="s">
        <v>3</v>
      </c>
      <c r="V2795" t="s">
        <v>3</v>
      </c>
      <c r="W2795" t="s">
        <v>68</v>
      </c>
      <c r="X2795" s="17"/>
      <c r="Y2795" t="s">
        <v>3</v>
      </c>
      <c r="Z2795" s="17">
        <v>43873</v>
      </c>
      <c r="AA2795" t="s">
        <v>3</v>
      </c>
      <c r="AB2795" t="s">
        <v>5731</v>
      </c>
    </row>
    <row r="2796" spans="1:28" hidden="1">
      <c r="A2796" t="s">
        <v>5731</v>
      </c>
      <c r="B2796" s="17">
        <v>43873</v>
      </c>
      <c r="C2796" s="17">
        <v>43873</v>
      </c>
      <c r="D2796" t="s">
        <v>0</v>
      </c>
      <c r="E2796" t="s">
        <v>1</v>
      </c>
      <c r="F2796" s="18">
        <v>670</v>
      </c>
      <c r="G2796" s="18">
        <v>670</v>
      </c>
      <c r="H2796" t="s">
        <v>2</v>
      </c>
      <c r="I2796" t="s">
        <v>8</v>
      </c>
      <c r="J2796" s="18">
        <v>56246.5</v>
      </c>
      <c r="K2796" t="s">
        <v>5690</v>
      </c>
      <c r="L2796" t="s">
        <v>9</v>
      </c>
      <c r="M2796" t="s">
        <v>5732</v>
      </c>
      <c r="N2796" t="s">
        <v>3</v>
      </c>
      <c r="O2796" t="s">
        <v>3</v>
      </c>
      <c r="P2796" t="s">
        <v>5</v>
      </c>
      <c r="Q2796" t="s">
        <v>5733</v>
      </c>
      <c r="R2796" t="s">
        <v>3</v>
      </c>
      <c r="S2796" t="s">
        <v>3</v>
      </c>
      <c r="T2796" t="s">
        <v>3</v>
      </c>
      <c r="U2796" t="s">
        <v>3</v>
      </c>
      <c r="V2796" t="s">
        <v>3</v>
      </c>
      <c r="W2796" t="s">
        <v>68</v>
      </c>
      <c r="X2796" s="17"/>
      <c r="Y2796" t="s">
        <v>3</v>
      </c>
      <c r="Z2796" s="17">
        <v>43873</v>
      </c>
      <c r="AA2796" t="s">
        <v>3</v>
      </c>
      <c r="AB2796" t="s">
        <v>5731</v>
      </c>
    </row>
    <row r="2797" spans="1:28" hidden="1">
      <c r="A2797" t="s">
        <v>5734</v>
      </c>
      <c r="B2797" s="17">
        <v>43874</v>
      </c>
      <c r="C2797" s="17">
        <v>43874</v>
      </c>
      <c r="D2797" t="s">
        <v>0</v>
      </c>
      <c r="E2797" t="s">
        <v>1</v>
      </c>
      <c r="F2797" s="18">
        <v>5040.21</v>
      </c>
      <c r="G2797" s="18">
        <v>5040.21</v>
      </c>
      <c r="H2797" t="s">
        <v>2</v>
      </c>
      <c r="I2797" t="s">
        <v>10</v>
      </c>
      <c r="J2797" s="18">
        <v>423125.63</v>
      </c>
      <c r="K2797" t="s">
        <v>5709</v>
      </c>
      <c r="L2797" t="s">
        <v>4</v>
      </c>
      <c r="M2797" t="s">
        <v>5735</v>
      </c>
      <c r="N2797" t="s">
        <v>3</v>
      </c>
      <c r="O2797" t="s">
        <v>3</v>
      </c>
      <c r="P2797" t="s">
        <v>5</v>
      </c>
      <c r="Q2797" t="s">
        <v>5736</v>
      </c>
      <c r="R2797" t="s">
        <v>3</v>
      </c>
      <c r="S2797" t="s">
        <v>3</v>
      </c>
      <c r="T2797" t="s">
        <v>3</v>
      </c>
      <c r="U2797" t="s">
        <v>3</v>
      </c>
      <c r="V2797" t="s">
        <v>3</v>
      </c>
      <c r="W2797" t="s">
        <v>68</v>
      </c>
      <c r="X2797" s="17"/>
      <c r="Y2797" t="s">
        <v>3</v>
      </c>
      <c r="Z2797" s="17">
        <v>43874</v>
      </c>
      <c r="AA2797" t="s">
        <v>3</v>
      </c>
      <c r="AB2797" t="s">
        <v>5734</v>
      </c>
    </row>
    <row r="2798" spans="1:28" hidden="1">
      <c r="A2798" t="s">
        <v>5734</v>
      </c>
      <c r="B2798" s="17">
        <v>43874</v>
      </c>
      <c r="C2798" s="17">
        <v>43874</v>
      </c>
      <c r="D2798" t="s">
        <v>0</v>
      </c>
      <c r="E2798" t="s">
        <v>1</v>
      </c>
      <c r="F2798" s="18">
        <v>6798.27</v>
      </c>
      <c r="G2798" s="18">
        <v>6798.27</v>
      </c>
      <c r="H2798" t="s">
        <v>2</v>
      </c>
      <c r="I2798" t="s">
        <v>10</v>
      </c>
      <c r="J2798" s="18">
        <v>570714.77</v>
      </c>
      <c r="K2798" t="s">
        <v>5713</v>
      </c>
      <c r="L2798" t="s">
        <v>4</v>
      </c>
      <c r="M2798" t="s">
        <v>5735</v>
      </c>
      <c r="N2798" t="s">
        <v>3</v>
      </c>
      <c r="O2798" t="s">
        <v>3</v>
      </c>
      <c r="P2798" t="s">
        <v>5</v>
      </c>
      <c r="Q2798" t="s">
        <v>5736</v>
      </c>
      <c r="R2798" t="s">
        <v>3</v>
      </c>
      <c r="S2798" t="s">
        <v>3</v>
      </c>
      <c r="T2798" t="s">
        <v>3</v>
      </c>
      <c r="U2798" t="s">
        <v>3</v>
      </c>
      <c r="V2798" t="s">
        <v>3</v>
      </c>
      <c r="W2798" t="s">
        <v>68</v>
      </c>
      <c r="X2798" s="17"/>
      <c r="Y2798" t="s">
        <v>3</v>
      </c>
      <c r="Z2798" s="17">
        <v>43874</v>
      </c>
      <c r="AA2798" t="s">
        <v>3</v>
      </c>
      <c r="AB2798" t="s">
        <v>5734</v>
      </c>
    </row>
    <row r="2799" spans="1:28" hidden="1">
      <c r="A2799" t="s">
        <v>5737</v>
      </c>
      <c r="B2799" s="17">
        <v>43877</v>
      </c>
      <c r="C2799" s="17">
        <v>43877</v>
      </c>
      <c r="D2799" t="s">
        <v>0</v>
      </c>
      <c r="E2799" t="s">
        <v>1</v>
      </c>
      <c r="F2799" s="18">
        <v>6494.43</v>
      </c>
      <c r="G2799" s="18">
        <v>6494.43</v>
      </c>
      <c r="H2799" t="s">
        <v>2</v>
      </c>
      <c r="I2799" t="s">
        <v>10</v>
      </c>
      <c r="J2799" s="18">
        <v>545207.4</v>
      </c>
      <c r="K2799" t="s">
        <v>5714</v>
      </c>
      <c r="L2799" t="s">
        <v>4</v>
      </c>
      <c r="M2799" t="s">
        <v>5738</v>
      </c>
      <c r="N2799" t="s">
        <v>3</v>
      </c>
      <c r="O2799" t="s">
        <v>3</v>
      </c>
      <c r="P2799" t="s">
        <v>5</v>
      </c>
      <c r="Q2799" t="s">
        <v>5739</v>
      </c>
      <c r="R2799" t="s">
        <v>3</v>
      </c>
      <c r="S2799" t="s">
        <v>3</v>
      </c>
      <c r="T2799" t="s">
        <v>3</v>
      </c>
      <c r="U2799" t="s">
        <v>3</v>
      </c>
      <c r="V2799" t="s">
        <v>3</v>
      </c>
      <c r="W2799" t="s">
        <v>68</v>
      </c>
      <c r="X2799" s="17"/>
      <c r="Y2799" t="s">
        <v>3</v>
      </c>
      <c r="Z2799" s="17">
        <v>43877</v>
      </c>
      <c r="AA2799" t="s">
        <v>3</v>
      </c>
      <c r="AB2799" t="s">
        <v>5737</v>
      </c>
    </row>
    <row r="2800" spans="1:28" hidden="1">
      <c r="A2800" t="s">
        <v>5740</v>
      </c>
      <c r="B2800" s="17">
        <v>43877</v>
      </c>
      <c r="C2800" s="17">
        <v>43877</v>
      </c>
      <c r="D2800" t="s">
        <v>0</v>
      </c>
      <c r="E2800" t="s">
        <v>1</v>
      </c>
      <c r="F2800" s="18">
        <v>2579</v>
      </c>
      <c r="G2800" s="18">
        <v>2579</v>
      </c>
      <c r="H2800" t="s">
        <v>2</v>
      </c>
      <c r="I2800" t="s">
        <v>10</v>
      </c>
      <c r="J2800" s="18">
        <v>216507.05</v>
      </c>
      <c r="K2800" t="s">
        <v>5707</v>
      </c>
      <c r="L2800" t="s">
        <v>9</v>
      </c>
      <c r="M2800" t="s">
        <v>5741</v>
      </c>
      <c r="N2800" t="s">
        <v>3</v>
      </c>
      <c r="O2800" t="s">
        <v>3</v>
      </c>
      <c r="P2800" t="s">
        <v>5</v>
      </c>
      <c r="Q2800" t="s">
        <v>5742</v>
      </c>
      <c r="R2800" t="s">
        <v>3</v>
      </c>
      <c r="S2800" t="s">
        <v>3</v>
      </c>
      <c r="T2800" t="s">
        <v>3</v>
      </c>
      <c r="U2800" t="s">
        <v>3</v>
      </c>
      <c r="V2800" t="s">
        <v>3</v>
      </c>
      <c r="W2800" t="s">
        <v>68</v>
      </c>
      <c r="X2800" s="17"/>
      <c r="Y2800" t="s">
        <v>3</v>
      </c>
      <c r="Z2800" s="17">
        <v>43877</v>
      </c>
      <c r="AA2800" t="s">
        <v>3</v>
      </c>
      <c r="AB2800" t="s">
        <v>5740</v>
      </c>
    </row>
    <row r="2801" spans="1:28" hidden="1">
      <c r="A2801" t="s">
        <v>5743</v>
      </c>
      <c r="B2801" s="17">
        <v>43877</v>
      </c>
      <c r="C2801" s="17">
        <v>43877</v>
      </c>
      <c r="D2801" t="s">
        <v>0</v>
      </c>
      <c r="E2801" t="s">
        <v>1</v>
      </c>
      <c r="F2801" s="18">
        <v>12385.38</v>
      </c>
      <c r="G2801" s="18">
        <v>12385.38</v>
      </c>
      <c r="H2801" t="s">
        <v>2</v>
      </c>
      <c r="I2801" t="s">
        <v>8</v>
      </c>
      <c r="J2801" s="18">
        <v>1039752.65</v>
      </c>
      <c r="K2801" t="s">
        <v>5744</v>
      </c>
      <c r="L2801" t="s">
        <v>4</v>
      </c>
      <c r="M2801" t="s">
        <v>5745</v>
      </c>
      <c r="N2801" t="s">
        <v>3</v>
      </c>
      <c r="O2801" t="s">
        <v>3</v>
      </c>
      <c r="P2801" t="s">
        <v>5</v>
      </c>
      <c r="Q2801" t="s">
        <v>5746</v>
      </c>
      <c r="R2801" t="s">
        <v>3</v>
      </c>
      <c r="S2801" t="s">
        <v>3</v>
      </c>
      <c r="T2801" t="s">
        <v>3</v>
      </c>
      <c r="U2801" t="s">
        <v>3</v>
      </c>
      <c r="V2801" t="s">
        <v>3</v>
      </c>
      <c r="W2801" t="s">
        <v>68</v>
      </c>
      <c r="X2801" s="17"/>
      <c r="Y2801" t="s">
        <v>3</v>
      </c>
      <c r="Z2801" s="17">
        <v>43877</v>
      </c>
      <c r="AA2801" t="s">
        <v>3</v>
      </c>
      <c r="AB2801" t="s">
        <v>5743</v>
      </c>
    </row>
    <row r="2802" spans="1:28" hidden="1">
      <c r="A2802" t="s">
        <v>5743</v>
      </c>
      <c r="B2802" s="17">
        <v>43877</v>
      </c>
      <c r="C2802" s="17">
        <v>43877</v>
      </c>
      <c r="D2802" t="s">
        <v>0</v>
      </c>
      <c r="E2802" t="s">
        <v>1</v>
      </c>
      <c r="F2802" s="18">
        <v>21372.52</v>
      </c>
      <c r="G2802" s="18">
        <v>21372.52</v>
      </c>
      <c r="H2802" t="s">
        <v>2</v>
      </c>
      <c r="I2802" t="s">
        <v>8</v>
      </c>
      <c r="J2802" s="18">
        <v>1794223.05</v>
      </c>
      <c r="K2802" t="s">
        <v>5721</v>
      </c>
      <c r="L2802" t="s">
        <v>4</v>
      </c>
      <c r="M2802" t="s">
        <v>5745</v>
      </c>
      <c r="N2802" t="s">
        <v>3</v>
      </c>
      <c r="O2802" t="s">
        <v>3</v>
      </c>
      <c r="P2802" t="s">
        <v>5</v>
      </c>
      <c r="Q2802" t="s">
        <v>5746</v>
      </c>
      <c r="R2802" t="s">
        <v>3</v>
      </c>
      <c r="S2802" t="s">
        <v>3</v>
      </c>
      <c r="T2802" t="s">
        <v>3</v>
      </c>
      <c r="U2802" t="s">
        <v>3</v>
      </c>
      <c r="V2802" t="s">
        <v>3</v>
      </c>
      <c r="W2802" t="s">
        <v>68</v>
      </c>
      <c r="X2802" s="17"/>
      <c r="Y2802" t="s">
        <v>3</v>
      </c>
      <c r="Z2802" s="17">
        <v>43877</v>
      </c>
      <c r="AA2802" t="s">
        <v>3</v>
      </c>
      <c r="AB2802" t="s">
        <v>5743</v>
      </c>
    </row>
    <row r="2803" spans="1:28" hidden="1">
      <c r="A2803" t="s">
        <v>5743</v>
      </c>
      <c r="B2803" s="17">
        <v>43877</v>
      </c>
      <c r="C2803" s="17">
        <v>43877</v>
      </c>
      <c r="D2803" t="s">
        <v>0</v>
      </c>
      <c r="E2803" t="s">
        <v>1</v>
      </c>
      <c r="F2803" s="18">
        <v>10181.59</v>
      </c>
      <c r="G2803" s="18">
        <v>10181.59</v>
      </c>
      <c r="H2803" t="s">
        <v>2</v>
      </c>
      <c r="I2803" t="s">
        <v>8</v>
      </c>
      <c r="J2803" s="18">
        <v>854744.48</v>
      </c>
      <c r="K2803" t="s">
        <v>5722</v>
      </c>
      <c r="L2803" t="s">
        <v>4</v>
      </c>
      <c r="M2803" t="s">
        <v>5745</v>
      </c>
      <c r="N2803" t="s">
        <v>3</v>
      </c>
      <c r="O2803" t="s">
        <v>3</v>
      </c>
      <c r="P2803" t="s">
        <v>5</v>
      </c>
      <c r="Q2803" t="s">
        <v>5746</v>
      </c>
      <c r="R2803" t="s">
        <v>3</v>
      </c>
      <c r="S2803" t="s">
        <v>3</v>
      </c>
      <c r="T2803" t="s">
        <v>3</v>
      </c>
      <c r="U2803" t="s">
        <v>3</v>
      </c>
      <c r="V2803" t="s">
        <v>3</v>
      </c>
      <c r="W2803" t="s">
        <v>68</v>
      </c>
      <c r="X2803" s="17"/>
      <c r="Y2803" t="s">
        <v>3</v>
      </c>
      <c r="Z2803" s="17">
        <v>43877</v>
      </c>
      <c r="AA2803" t="s">
        <v>3</v>
      </c>
      <c r="AB2803" t="s">
        <v>5743</v>
      </c>
    </row>
    <row r="2804" spans="1:28" hidden="1">
      <c r="A2804" t="s">
        <v>5743</v>
      </c>
      <c r="B2804" s="17">
        <v>43877</v>
      </c>
      <c r="C2804" s="17">
        <v>43877</v>
      </c>
      <c r="D2804" t="s">
        <v>0</v>
      </c>
      <c r="E2804" t="s">
        <v>1</v>
      </c>
      <c r="F2804" s="18">
        <v>10946.17</v>
      </c>
      <c r="G2804" s="18">
        <v>10946.17</v>
      </c>
      <c r="H2804" t="s">
        <v>2</v>
      </c>
      <c r="I2804" t="s">
        <v>8</v>
      </c>
      <c r="J2804" s="18">
        <v>918930.97</v>
      </c>
      <c r="K2804" t="s">
        <v>5723</v>
      </c>
      <c r="L2804" t="s">
        <v>4</v>
      </c>
      <c r="M2804" t="s">
        <v>5745</v>
      </c>
      <c r="N2804" t="s">
        <v>3</v>
      </c>
      <c r="O2804" t="s">
        <v>3</v>
      </c>
      <c r="P2804" t="s">
        <v>5</v>
      </c>
      <c r="Q2804" t="s">
        <v>5746</v>
      </c>
      <c r="R2804" t="s">
        <v>3</v>
      </c>
      <c r="S2804" t="s">
        <v>3</v>
      </c>
      <c r="T2804" t="s">
        <v>3</v>
      </c>
      <c r="U2804" t="s">
        <v>3</v>
      </c>
      <c r="V2804" t="s">
        <v>3</v>
      </c>
      <c r="W2804" t="s">
        <v>68</v>
      </c>
      <c r="X2804" s="17"/>
      <c r="Y2804" t="s">
        <v>3</v>
      </c>
      <c r="Z2804" s="17">
        <v>43877</v>
      </c>
      <c r="AA2804" t="s">
        <v>3</v>
      </c>
      <c r="AB2804" t="s">
        <v>5743</v>
      </c>
    </row>
    <row r="2805" spans="1:28" hidden="1">
      <c r="A2805" t="s">
        <v>5743</v>
      </c>
      <c r="B2805" s="17">
        <v>43877</v>
      </c>
      <c r="C2805" s="17">
        <v>43877</v>
      </c>
      <c r="D2805" t="s">
        <v>0</v>
      </c>
      <c r="E2805" t="s">
        <v>1</v>
      </c>
      <c r="F2805" s="18">
        <v>4982.09</v>
      </c>
      <c r="G2805" s="18">
        <v>4982.09</v>
      </c>
      <c r="H2805" t="s">
        <v>2</v>
      </c>
      <c r="I2805" t="s">
        <v>8</v>
      </c>
      <c r="J2805" s="18">
        <v>418246.46</v>
      </c>
      <c r="K2805" t="s">
        <v>5724</v>
      </c>
      <c r="L2805" t="s">
        <v>4</v>
      </c>
      <c r="M2805" t="s">
        <v>5745</v>
      </c>
      <c r="N2805" t="s">
        <v>3</v>
      </c>
      <c r="O2805" t="s">
        <v>3</v>
      </c>
      <c r="P2805" t="s">
        <v>5</v>
      </c>
      <c r="Q2805" t="s">
        <v>5746</v>
      </c>
      <c r="R2805" t="s">
        <v>3</v>
      </c>
      <c r="S2805" t="s">
        <v>3</v>
      </c>
      <c r="T2805" t="s">
        <v>3</v>
      </c>
      <c r="U2805" t="s">
        <v>3</v>
      </c>
      <c r="V2805" t="s">
        <v>3</v>
      </c>
      <c r="W2805" t="s">
        <v>68</v>
      </c>
      <c r="X2805" s="17"/>
      <c r="Y2805" t="s">
        <v>3</v>
      </c>
      <c r="Z2805" s="17">
        <v>43877</v>
      </c>
      <c r="AA2805" t="s">
        <v>3</v>
      </c>
      <c r="AB2805" t="s">
        <v>5743</v>
      </c>
    </row>
    <row r="2806" spans="1:28" hidden="1">
      <c r="A2806" t="s">
        <v>5754</v>
      </c>
      <c r="B2806" s="17">
        <v>43878</v>
      </c>
      <c r="C2806" s="17">
        <v>43878</v>
      </c>
      <c r="D2806" t="s">
        <v>0</v>
      </c>
      <c r="E2806" t="s">
        <v>1</v>
      </c>
      <c r="F2806" s="18">
        <v>10439.91</v>
      </c>
      <c r="G2806" s="18">
        <v>10439.91</v>
      </c>
      <c r="H2806" t="s">
        <v>2</v>
      </c>
      <c r="I2806" t="s">
        <v>8</v>
      </c>
      <c r="J2806" s="18">
        <v>876430.44</v>
      </c>
      <c r="K2806" t="s">
        <v>5719</v>
      </c>
      <c r="L2806" t="s">
        <v>4</v>
      </c>
      <c r="M2806" t="s">
        <v>5755</v>
      </c>
      <c r="N2806" t="s">
        <v>3</v>
      </c>
      <c r="O2806" t="s">
        <v>3</v>
      </c>
      <c r="P2806" t="s">
        <v>5</v>
      </c>
      <c r="Q2806" t="s">
        <v>5756</v>
      </c>
      <c r="R2806" t="s">
        <v>3</v>
      </c>
      <c r="S2806" t="s">
        <v>3</v>
      </c>
      <c r="T2806" t="s">
        <v>3</v>
      </c>
      <c r="U2806" t="s">
        <v>3</v>
      </c>
      <c r="V2806" t="s">
        <v>3</v>
      </c>
      <c r="W2806" t="s">
        <v>68</v>
      </c>
      <c r="X2806" s="17"/>
      <c r="Y2806" t="s">
        <v>3</v>
      </c>
      <c r="Z2806" s="17">
        <v>43878</v>
      </c>
      <c r="AA2806" t="s">
        <v>3</v>
      </c>
      <c r="AB2806" t="s">
        <v>5754</v>
      </c>
    </row>
    <row r="2807" spans="1:28" hidden="1">
      <c r="A2807" t="s">
        <v>5754</v>
      </c>
      <c r="B2807" s="17">
        <v>43878</v>
      </c>
      <c r="C2807" s="17">
        <v>43878</v>
      </c>
      <c r="D2807" t="s">
        <v>0</v>
      </c>
      <c r="E2807" t="s">
        <v>1</v>
      </c>
      <c r="F2807" s="18">
        <v>21301.4</v>
      </c>
      <c r="G2807" s="18">
        <v>21301.4</v>
      </c>
      <c r="H2807" t="s">
        <v>2</v>
      </c>
      <c r="I2807" t="s">
        <v>8</v>
      </c>
      <c r="J2807" s="18">
        <v>1788252.53</v>
      </c>
      <c r="K2807" t="s">
        <v>5721</v>
      </c>
      <c r="L2807" t="s">
        <v>4</v>
      </c>
      <c r="M2807" t="s">
        <v>5755</v>
      </c>
      <c r="N2807" t="s">
        <v>3</v>
      </c>
      <c r="O2807" t="s">
        <v>3</v>
      </c>
      <c r="P2807" t="s">
        <v>5</v>
      </c>
      <c r="Q2807" t="s">
        <v>5756</v>
      </c>
      <c r="R2807" t="s">
        <v>3</v>
      </c>
      <c r="S2807" t="s">
        <v>3</v>
      </c>
      <c r="T2807" t="s">
        <v>3</v>
      </c>
      <c r="U2807" t="s">
        <v>3</v>
      </c>
      <c r="V2807" t="s">
        <v>3</v>
      </c>
      <c r="W2807" t="s">
        <v>68</v>
      </c>
      <c r="X2807" s="17"/>
      <c r="Y2807" t="s">
        <v>3</v>
      </c>
      <c r="Z2807" s="17">
        <v>43878</v>
      </c>
      <c r="AA2807" t="s">
        <v>3</v>
      </c>
      <c r="AB2807" t="s">
        <v>5754</v>
      </c>
    </row>
    <row r="2808" spans="1:28" hidden="1">
      <c r="A2808" t="s">
        <v>5754</v>
      </c>
      <c r="B2808" s="17">
        <v>43878</v>
      </c>
      <c r="C2808" s="17">
        <v>43878</v>
      </c>
      <c r="D2808" t="s">
        <v>0</v>
      </c>
      <c r="E2808" t="s">
        <v>1</v>
      </c>
      <c r="F2808" s="18">
        <v>20865.919999999998</v>
      </c>
      <c r="G2808" s="18">
        <v>20865.919999999998</v>
      </c>
      <c r="H2808" t="s">
        <v>2</v>
      </c>
      <c r="I2808" t="s">
        <v>8</v>
      </c>
      <c r="J2808" s="18">
        <v>1751693.98</v>
      </c>
      <c r="K2808" t="s">
        <v>5722</v>
      </c>
      <c r="L2808" t="s">
        <v>4</v>
      </c>
      <c r="M2808" t="s">
        <v>5755</v>
      </c>
      <c r="N2808" t="s">
        <v>3</v>
      </c>
      <c r="O2808" t="s">
        <v>3</v>
      </c>
      <c r="P2808" t="s">
        <v>5</v>
      </c>
      <c r="Q2808" t="s">
        <v>5756</v>
      </c>
      <c r="R2808" t="s">
        <v>3</v>
      </c>
      <c r="S2808" t="s">
        <v>3</v>
      </c>
      <c r="T2808" t="s">
        <v>3</v>
      </c>
      <c r="U2808" t="s">
        <v>3</v>
      </c>
      <c r="V2808" t="s">
        <v>3</v>
      </c>
      <c r="W2808" t="s">
        <v>68</v>
      </c>
      <c r="X2808" s="17"/>
      <c r="Y2808" t="s">
        <v>3</v>
      </c>
      <c r="Z2808" s="17">
        <v>43878</v>
      </c>
      <c r="AA2808" t="s">
        <v>3</v>
      </c>
      <c r="AB2808" t="s">
        <v>5754</v>
      </c>
    </row>
    <row r="2809" spans="1:28" hidden="1">
      <c r="A2809" t="s">
        <v>5754</v>
      </c>
      <c r="B2809" s="17">
        <v>43878</v>
      </c>
      <c r="C2809" s="17">
        <v>43878</v>
      </c>
      <c r="D2809" t="s">
        <v>0</v>
      </c>
      <c r="E2809" t="s">
        <v>1</v>
      </c>
      <c r="F2809" s="18">
        <v>3766.16</v>
      </c>
      <c r="G2809" s="18">
        <v>3766.16</v>
      </c>
      <c r="H2809" t="s">
        <v>2</v>
      </c>
      <c r="I2809" t="s">
        <v>8</v>
      </c>
      <c r="J2809" s="18">
        <v>316169.13</v>
      </c>
      <c r="K2809" t="s">
        <v>5723</v>
      </c>
      <c r="L2809" t="s">
        <v>4</v>
      </c>
      <c r="M2809" t="s">
        <v>5755</v>
      </c>
      <c r="N2809" t="s">
        <v>3</v>
      </c>
      <c r="O2809" t="s">
        <v>3</v>
      </c>
      <c r="P2809" t="s">
        <v>5</v>
      </c>
      <c r="Q2809" t="s">
        <v>5756</v>
      </c>
      <c r="R2809" t="s">
        <v>3</v>
      </c>
      <c r="S2809" t="s">
        <v>3</v>
      </c>
      <c r="T2809" t="s">
        <v>3</v>
      </c>
      <c r="U2809" t="s">
        <v>3</v>
      </c>
      <c r="V2809" t="s">
        <v>3</v>
      </c>
      <c r="W2809" t="s">
        <v>68</v>
      </c>
      <c r="X2809" s="17"/>
      <c r="Y2809" t="s">
        <v>3</v>
      </c>
      <c r="Z2809" s="17">
        <v>43878</v>
      </c>
      <c r="AA2809" t="s">
        <v>3</v>
      </c>
      <c r="AB2809" t="s">
        <v>5754</v>
      </c>
    </row>
    <row r="2810" spans="1:28" hidden="1">
      <c r="A2810" t="s">
        <v>5754</v>
      </c>
      <c r="B2810" s="17">
        <v>43878</v>
      </c>
      <c r="C2810" s="17">
        <v>43878</v>
      </c>
      <c r="D2810" t="s">
        <v>0</v>
      </c>
      <c r="E2810" t="s">
        <v>1</v>
      </c>
      <c r="F2810" s="18">
        <v>14011</v>
      </c>
      <c r="G2810" s="18">
        <v>14011</v>
      </c>
      <c r="H2810" t="s">
        <v>2</v>
      </c>
      <c r="I2810" t="s">
        <v>8</v>
      </c>
      <c r="J2810" s="18">
        <v>1174822.3500000001</v>
      </c>
      <c r="K2810" t="s">
        <v>5670</v>
      </c>
      <c r="L2810" t="s">
        <v>4</v>
      </c>
      <c r="M2810" t="s">
        <v>5755</v>
      </c>
      <c r="N2810" t="s">
        <v>3</v>
      </c>
      <c r="O2810" t="s">
        <v>3</v>
      </c>
      <c r="P2810" t="s">
        <v>5</v>
      </c>
      <c r="Q2810" t="s">
        <v>5756</v>
      </c>
      <c r="R2810" t="s">
        <v>3</v>
      </c>
      <c r="S2810" t="s">
        <v>3</v>
      </c>
      <c r="T2810" t="s">
        <v>3</v>
      </c>
      <c r="U2810" t="s">
        <v>3</v>
      </c>
      <c r="V2810" t="s">
        <v>3</v>
      </c>
      <c r="W2810" t="s">
        <v>68</v>
      </c>
      <c r="X2810" s="17"/>
      <c r="Y2810" t="s">
        <v>3</v>
      </c>
      <c r="Z2810" s="17">
        <v>43878</v>
      </c>
      <c r="AA2810" t="s">
        <v>3</v>
      </c>
      <c r="AB2810" t="s">
        <v>5754</v>
      </c>
    </row>
    <row r="2811" spans="1:28" hidden="1">
      <c r="A2811" t="s">
        <v>5757</v>
      </c>
      <c r="B2811" s="17">
        <v>43878</v>
      </c>
      <c r="C2811" s="17">
        <v>43878</v>
      </c>
      <c r="D2811" t="s">
        <v>0</v>
      </c>
      <c r="E2811" t="s">
        <v>1</v>
      </c>
      <c r="F2811" s="18">
        <v>4629</v>
      </c>
      <c r="G2811" s="18">
        <v>4629</v>
      </c>
      <c r="H2811" t="s">
        <v>2</v>
      </c>
      <c r="I2811" t="s">
        <v>8</v>
      </c>
      <c r="J2811" s="18">
        <v>386521.5</v>
      </c>
      <c r="K2811" t="s">
        <v>5758</v>
      </c>
      <c r="L2811" t="s">
        <v>9</v>
      </c>
      <c r="M2811" t="s">
        <v>5759</v>
      </c>
      <c r="N2811" t="s">
        <v>3</v>
      </c>
      <c r="O2811" t="s">
        <v>3</v>
      </c>
      <c r="P2811" t="s">
        <v>5</v>
      </c>
      <c r="Q2811" t="s">
        <v>5760</v>
      </c>
      <c r="R2811" t="s">
        <v>3</v>
      </c>
      <c r="S2811" t="s">
        <v>3</v>
      </c>
      <c r="T2811" t="s">
        <v>3</v>
      </c>
      <c r="U2811" t="s">
        <v>3</v>
      </c>
      <c r="V2811" t="s">
        <v>3</v>
      </c>
      <c r="W2811" t="s">
        <v>68</v>
      </c>
      <c r="X2811" s="17"/>
      <c r="Y2811" t="s">
        <v>3</v>
      </c>
      <c r="Z2811" s="17">
        <v>43878</v>
      </c>
      <c r="AA2811" t="s">
        <v>3</v>
      </c>
      <c r="AB2811" t="s">
        <v>5757</v>
      </c>
    </row>
    <row r="2812" spans="1:28" hidden="1">
      <c r="A2812" t="s">
        <v>5757</v>
      </c>
      <c r="B2812" s="17">
        <v>43878</v>
      </c>
      <c r="C2812" s="17">
        <v>43878</v>
      </c>
      <c r="D2812" t="s">
        <v>0</v>
      </c>
      <c r="E2812" t="s">
        <v>1</v>
      </c>
      <c r="F2812" s="18">
        <v>16287</v>
      </c>
      <c r="G2812" s="18">
        <v>16287</v>
      </c>
      <c r="H2812" t="s">
        <v>2</v>
      </c>
      <c r="I2812" t="s">
        <v>8</v>
      </c>
      <c r="J2812" s="18">
        <v>1359964.5</v>
      </c>
      <c r="K2812" t="s">
        <v>5729</v>
      </c>
      <c r="L2812" t="s">
        <v>9</v>
      </c>
      <c r="M2812" t="s">
        <v>5759</v>
      </c>
      <c r="N2812" t="s">
        <v>3</v>
      </c>
      <c r="O2812" t="s">
        <v>3</v>
      </c>
      <c r="P2812" t="s">
        <v>5</v>
      </c>
      <c r="Q2812" t="s">
        <v>5760</v>
      </c>
      <c r="R2812" t="s">
        <v>3</v>
      </c>
      <c r="S2812" t="s">
        <v>3</v>
      </c>
      <c r="T2812" t="s">
        <v>3</v>
      </c>
      <c r="U2812" t="s">
        <v>3</v>
      </c>
      <c r="V2812" t="s">
        <v>3</v>
      </c>
      <c r="W2812" t="s">
        <v>68</v>
      </c>
      <c r="X2812" s="17"/>
      <c r="Y2812" t="s">
        <v>3</v>
      </c>
      <c r="Z2812" s="17">
        <v>43878</v>
      </c>
      <c r="AA2812" t="s">
        <v>3</v>
      </c>
      <c r="AB2812" t="s">
        <v>5757</v>
      </c>
    </row>
    <row r="2813" spans="1:28" hidden="1">
      <c r="A2813" t="s">
        <v>5757</v>
      </c>
      <c r="B2813" s="17">
        <v>43878</v>
      </c>
      <c r="C2813" s="17">
        <v>43878</v>
      </c>
      <c r="D2813" t="s">
        <v>0</v>
      </c>
      <c r="E2813" t="s">
        <v>1</v>
      </c>
      <c r="F2813" s="18">
        <v>31825</v>
      </c>
      <c r="G2813" s="18">
        <v>31825</v>
      </c>
      <c r="H2813" t="s">
        <v>2</v>
      </c>
      <c r="I2813" t="s">
        <v>8</v>
      </c>
      <c r="J2813" s="18">
        <v>2657387.5</v>
      </c>
      <c r="K2813" t="s">
        <v>5730</v>
      </c>
      <c r="L2813" t="s">
        <v>9</v>
      </c>
      <c r="M2813" t="s">
        <v>5759</v>
      </c>
      <c r="N2813" t="s">
        <v>3</v>
      </c>
      <c r="O2813" t="s">
        <v>3</v>
      </c>
      <c r="P2813" t="s">
        <v>5</v>
      </c>
      <c r="Q2813" t="s">
        <v>5760</v>
      </c>
      <c r="R2813" t="s">
        <v>3</v>
      </c>
      <c r="S2813" t="s">
        <v>3</v>
      </c>
      <c r="T2813" t="s">
        <v>3</v>
      </c>
      <c r="U2813" t="s">
        <v>3</v>
      </c>
      <c r="V2813" t="s">
        <v>3</v>
      </c>
      <c r="W2813" t="s">
        <v>68</v>
      </c>
      <c r="X2813" s="17"/>
      <c r="Y2813" t="s">
        <v>3</v>
      </c>
      <c r="Z2813" s="17">
        <v>43878</v>
      </c>
      <c r="AA2813" t="s">
        <v>3</v>
      </c>
      <c r="AB2813" t="s">
        <v>5757</v>
      </c>
    </row>
    <row r="2814" spans="1:28" hidden="1">
      <c r="A2814" t="s">
        <v>5757</v>
      </c>
      <c r="B2814" s="17">
        <v>43878</v>
      </c>
      <c r="C2814" s="17">
        <v>43878</v>
      </c>
      <c r="D2814" t="s">
        <v>0</v>
      </c>
      <c r="E2814" t="s">
        <v>1</v>
      </c>
      <c r="F2814" s="18">
        <v>7054</v>
      </c>
      <c r="G2814" s="18">
        <v>7054</v>
      </c>
      <c r="H2814" t="s">
        <v>2</v>
      </c>
      <c r="I2814" t="s">
        <v>8</v>
      </c>
      <c r="J2814" s="18">
        <v>591477.9</v>
      </c>
      <c r="K2814" t="s">
        <v>5761</v>
      </c>
      <c r="L2814" t="s">
        <v>9</v>
      </c>
      <c r="M2814" t="s">
        <v>5759</v>
      </c>
      <c r="N2814" t="s">
        <v>3</v>
      </c>
      <c r="O2814" t="s">
        <v>3</v>
      </c>
      <c r="P2814" t="s">
        <v>5</v>
      </c>
      <c r="Q2814" t="s">
        <v>5760</v>
      </c>
      <c r="R2814" t="s">
        <v>3</v>
      </c>
      <c r="S2814" t="s">
        <v>3</v>
      </c>
      <c r="T2814" t="s">
        <v>3</v>
      </c>
      <c r="U2814" t="s">
        <v>3</v>
      </c>
      <c r="V2814" t="s">
        <v>3</v>
      </c>
      <c r="W2814" t="s">
        <v>68</v>
      </c>
      <c r="X2814" s="17"/>
      <c r="Y2814" t="s">
        <v>3</v>
      </c>
      <c r="Z2814" s="17">
        <v>43878</v>
      </c>
      <c r="AA2814" t="s">
        <v>3</v>
      </c>
      <c r="AB2814" t="s">
        <v>5757</v>
      </c>
    </row>
    <row r="2815" spans="1:28" hidden="1">
      <c r="A2815" t="s">
        <v>5762</v>
      </c>
      <c r="B2815" s="17">
        <v>43878</v>
      </c>
      <c r="C2815" s="17">
        <v>43878</v>
      </c>
      <c r="D2815" t="s">
        <v>0</v>
      </c>
      <c r="E2815" t="s">
        <v>1</v>
      </c>
      <c r="F2815" s="18">
        <v>2495</v>
      </c>
      <c r="G2815" s="18">
        <v>2495</v>
      </c>
      <c r="H2815" t="s">
        <v>2</v>
      </c>
      <c r="I2815" t="s">
        <v>8</v>
      </c>
      <c r="J2815" s="18">
        <v>208332.5</v>
      </c>
      <c r="K2815" t="s">
        <v>5758</v>
      </c>
      <c r="L2815" t="s">
        <v>9</v>
      </c>
      <c r="M2815" t="s">
        <v>5763</v>
      </c>
      <c r="N2815" t="s">
        <v>3</v>
      </c>
      <c r="O2815" t="s">
        <v>3</v>
      </c>
      <c r="P2815" t="s">
        <v>5</v>
      </c>
      <c r="Q2815" t="s">
        <v>5764</v>
      </c>
      <c r="R2815" t="s">
        <v>3</v>
      </c>
      <c r="S2815" t="s">
        <v>3</v>
      </c>
      <c r="T2815" t="s">
        <v>3</v>
      </c>
      <c r="U2815" t="s">
        <v>3</v>
      </c>
      <c r="V2815" t="s">
        <v>3</v>
      </c>
      <c r="W2815" t="s">
        <v>68</v>
      </c>
      <c r="X2815" s="17"/>
      <c r="Y2815" t="s">
        <v>3</v>
      </c>
      <c r="Z2815" s="17">
        <v>43878</v>
      </c>
      <c r="AA2815" t="s">
        <v>3</v>
      </c>
      <c r="AB2815" t="s">
        <v>5762</v>
      </c>
    </row>
    <row r="2816" spans="1:28" hidden="1">
      <c r="A2816" t="s">
        <v>5762</v>
      </c>
      <c r="B2816" s="17">
        <v>43878</v>
      </c>
      <c r="C2816" s="17">
        <v>43878</v>
      </c>
      <c r="D2816" t="s">
        <v>0</v>
      </c>
      <c r="E2816" t="s">
        <v>1</v>
      </c>
      <c r="F2816" s="18">
        <v>371</v>
      </c>
      <c r="G2816" s="18">
        <v>371</v>
      </c>
      <c r="H2816" t="s">
        <v>2</v>
      </c>
      <c r="I2816" t="s">
        <v>8</v>
      </c>
      <c r="J2816" s="18">
        <v>31145.45</v>
      </c>
      <c r="K2816" t="s">
        <v>5690</v>
      </c>
      <c r="L2816" t="s">
        <v>9</v>
      </c>
      <c r="M2816" t="s">
        <v>5763</v>
      </c>
      <c r="N2816" t="s">
        <v>3</v>
      </c>
      <c r="O2816" t="s">
        <v>3</v>
      </c>
      <c r="P2816" t="s">
        <v>5</v>
      </c>
      <c r="Q2816" t="s">
        <v>5764</v>
      </c>
      <c r="R2816" t="s">
        <v>3</v>
      </c>
      <c r="S2816" t="s">
        <v>3</v>
      </c>
      <c r="T2816" t="s">
        <v>3</v>
      </c>
      <c r="U2816" t="s">
        <v>3</v>
      </c>
      <c r="V2816" t="s">
        <v>3</v>
      </c>
      <c r="W2816" t="s">
        <v>68</v>
      </c>
      <c r="X2816" s="17"/>
      <c r="Y2816" t="s">
        <v>3</v>
      </c>
      <c r="Z2816" s="17">
        <v>43878</v>
      </c>
      <c r="AA2816" t="s">
        <v>3</v>
      </c>
      <c r="AB2816" t="s">
        <v>5762</v>
      </c>
    </row>
    <row r="2817" spans="1:28" hidden="1">
      <c r="A2817" t="s">
        <v>5762</v>
      </c>
      <c r="B2817" s="17">
        <v>43878</v>
      </c>
      <c r="C2817" s="17">
        <v>43878</v>
      </c>
      <c r="D2817" t="s">
        <v>0</v>
      </c>
      <c r="E2817" t="s">
        <v>1</v>
      </c>
      <c r="F2817" s="18">
        <v>1196</v>
      </c>
      <c r="G2817" s="18">
        <v>1196</v>
      </c>
      <c r="H2817" t="s">
        <v>2</v>
      </c>
      <c r="I2817" t="s">
        <v>8</v>
      </c>
      <c r="J2817" s="18">
        <v>99866</v>
      </c>
      <c r="K2817" t="s">
        <v>5730</v>
      </c>
      <c r="L2817" t="s">
        <v>9</v>
      </c>
      <c r="M2817" t="s">
        <v>5763</v>
      </c>
      <c r="N2817" t="s">
        <v>3</v>
      </c>
      <c r="O2817" t="s">
        <v>3</v>
      </c>
      <c r="P2817" t="s">
        <v>5</v>
      </c>
      <c r="Q2817" t="s">
        <v>5764</v>
      </c>
      <c r="R2817" t="s">
        <v>3</v>
      </c>
      <c r="S2817" t="s">
        <v>3</v>
      </c>
      <c r="T2817" t="s">
        <v>3</v>
      </c>
      <c r="U2817" t="s">
        <v>3</v>
      </c>
      <c r="V2817" t="s">
        <v>3</v>
      </c>
      <c r="W2817" t="s">
        <v>68</v>
      </c>
      <c r="X2817" s="17"/>
      <c r="Y2817" t="s">
        <v>3</v>
      </c>
      <c r="Z2817" s="17">
        <v>43878</v>
      </c>
      <c r="AA2817" t="s">
        <v>3</v>
      </c>
      <c r="AB2817" t="s">
        <v>5762</v>
      </c>
    </row>
    <row r="2818" spans="1:28" hidden="1">
      <c r="A2818" t="s">
        <v>5747</v>
      </c>
      <c r="B2818" s="17">
        <v>43879</v>
      </c>
      <c r="C2818" s="17">
        <v>43879</v>
      </c>
      <c r="D2818" t="s">
        <v>0</v>
      </c>
      <c r="E2818" t="s">
        <v>1</v>
      </c>
      <c r="F2818" s="18">
        <v>17266.61</v>
      </c>
      <c r="G2818" s="18">
        <v>17266.61</v>
      </c>
      <c r="H2818" t="s">
        <v>2</v>
      </c>
      <c r="I2818" t="s">
        <v>10</v>
      </c>
      <c r="J2818" s="18">
        <v>1449531.91</v>
      </c>
      <c r="K2818" t="s">
        <v>5709</v>
      </c>
      <c r="L2818" t="s">
        <v>4</v>
      </c>
      <c r="M2818" t="s">
        <v>5748</v>
      </c>
      <c r="N2818" t="s">
        <v>3</v>
      </c>
      <c r="O2818" t="s">
        <v>3</v>
      </c>
      <c r="P2818" t="s">
        <v>5</v>
      </c>
      <c r="Q2818" t="s">
        <v>5749</v>
      </c>
      <c r="R2818" t="s">
        <v>3</v>
      </c>
      <c r="S2818" t="s">
        <v>3</v>
      </c>
      <c r="T2818" t="s">
        <v>3</v>
      </c>
      <c r="U2818" t="s">
        <v>3</v>
      </c>
      <c r="V2818" t="s">
        <v>3</v>
      </c>
      <c r="W2818" t="s">
        <v>68</v>
      </c>
      <c r="X2818" s="17"/>
      <c r="Y2818" t="s">
        <v>3</v>
      </c>
      <c r="Z2818" s="17">
        <v>43879</v>
      </c>
      <c r="AA2818" t="s">
        <v>3</v>
      </c>
      <c r="AB2818" t="s">
        <v>5747</v>
      </c>
    </row>
    <row r="2819" spans="1:28" hidden="1">
      <c r="A2819" t="s">
        <v>5747</v>
      </c>
      <c r="B2819" s="17">
        <v>43879</v>
      </c>
      <c r="C2819" s="17">
        <v>43879</v>
      </c>
      <c r="D2819" t="s">
        <v>0</v>
      </c>
      <c r="E2819" t="s">
        <v>1</v>
      </c>
      <c r="F2819" s="18">
        <v>27058.99</v>
      </c>
      <c r="G2819" s="18">
        <v>27058.99</v>
      </c>
      <c r="H2819" t="s">
        <v>2</v>
      </c>
      <c r="I2819" t="s">
        <v>10</v>
      </c>
      <c r="J2819" s="18">
        <v>2271602.21</v>
      </c>
      <c r="K2819" t="s">
        <v>5712</v>
      </c>
      <c r="L2819" t="s">
        <v>4</v>
      </c>
      <c r="M2819" t="s">
        <v>5748</v>
      </c>
      <c r="N2819" t="s">
        <v>3</v>
      </c>
      <c r="O2819" t="s">
        <v>3</v>
      </c>
      <c r="P2819" t="s">
        <v>5</v>
      </c>
      <c r="Q2819" t="s">
        <v>5749</v>
      </c>
      <c r="R2819" t="s">
        <v>3</v>
      </c>
      <c r="S2819" t="s">
        <v>3</v>
      </c>
      <c r="T2819" t="s">
        <v>3</v>
      </c>
      <c r="U2819" t="s">
        <v>3</v>
      </c>
      <c r="V2819" t="s">
        <v>3</v>
      </c>
      <c r="W2819" t="s">
        <v>68</v>
      </c>
      <c r="X2819" s="17"/>
      <c r="Y2819" t="s">
        <v>3</v>
      </c>
      <c r="Z2819" s="17">
        <v>43879</v>
      </c>
      <c r="AA2819" t="s">
        <v>3</v>
      </c>
      <c r="AB2819" t="s">
        <v>5747</v>
      </c>
    </row>
    <row r="2820" spans="1:28" hidden="1">
      <c r="A2820" t="s">
        <v>5747</v>
      </c>
      <c r="B2820" s="17">
        <v>43879</v>
      </c>
      <c r="C2820" s="17">
        <v>43879</v>
      </c>
      <c r="D2820" t="s">
        <v>0</v>
      </c>
      <c r="E2820" t="s">
        <v>1</v>
      </c>
      <c r="F2820" s="18">
        <v>1493.82</v>
      </c>
      <c r="G2820" s="18">
        <v>1493.82</v>
      </c>
      <c r="H2820" t="s">
        <v>2</v>
      </c>
      <c r="I2820" t="s">
        <v>10</v>
      </c>
      <c r="J2820" s="18">
        <v>125406.19</v>
      </c>
      <c r="K2820" t="s">
        <v>5713</v>
      </c>
      <c r="L2820" t="s">
        <v>4</v>
      </c>
      <c r="M2820" t="s">
        <v>5748</v>
      </c>
      <c r="N2820" t="s">
        <v>3</v>
      </c>
      <c r="O2820" t="s">
        <v>3</v>
      </c>
      <c r="P2820" t="s">
        <v>5</v>
      </c>
      <c r="Q2820" t="s">
        <v>5749</v>
      </c>
      <c r="R2820" t="s">
        <v>3</v>
      </c>
      <c r="S2820" t="s">
        <v>3</v>
      </c>
      <c r="T2820" t="s">
        <v>3</v>
      </c>
      <c r="U2820" t="s">
        <v>3</v>
      </c>
      <c r="V2820" t="s">
        <v>3</v>
      </c>
      <c r="W2820" t="s">
        <v>68</v>
      </c>
      <c r="X2820" s="17"/>
      <c r="Y2820" t="s">
        <v>3</v>
      </c>
      <c r="Z2820" s="17">
        <v>43879</v>
      </c>
      <c r="AA2820" t="s">
        <v>3</v>
      </c>
      <c r="AB2820" t="s">
        <v>5747</v>
      </c>
    </row>
    <row r="2821" spans="1:28" hidden="1">
      <c r="A2821" t="s">
        <v>5747</v>
      </c>
      <c r="B2821" s="17">
        <v>43879</v>
      </c>
      <c r="C2821" s="17">
        <v>43879</v>
      </c>
      <c r="D2821" t="s">
        <v>0</v>
      </c>
      <c r="E2821" t="s">
        <v>1</v>
      </c>
      <c r="F2821" s="18">
        <v>591.62</v>
      </c>
      <c r="G2821" s="18">
        <v>591.62</v>
      </c>
      <c r="H2821" t="s">
        <v>2</v>
      </c>
      <c r="I2821" t="s">
        <v>10</v>
      </c>
      <c r="J2821" s="18">
        <v>49666.5</v>
      </c>
      <c r="K2821" t="s">
        <v>5714</v>
      </c>
      <c r="L2821" t="s">
        <v>4</v>
      </c>
      <c r="M2821" t="s">
        <v>5748</v>
      </c>
      <c r="N2821" t="s">
        <v>3</v>
      </c>
      <c r="O2821" t="s">
        <v>3</v>
      </c>
      <c r="P2821" t="s">
        <v>5</v>
      </c>
      <c r="Q2821" t="s">
        <v>5749</v>
      </c>
      <c r="R2821" t="s">
        <v>3</v>
      </c>
      <c r="S2821" t="s">
        <v>3</v>
      </c>
      <c r="T2821" t="s">
        <v>3</v>
      </c>
      <c r="U2821" t="s">
        <v>3</v>
      </c>
      <c r="V2821" t="s">
        <v>3</v>
      </c>
      <c r="W2821" t="s">
        <v>68</v>
      </c>
      <c r="X2821" s="17"/>
      <c r="Y2821" t="s">
        <v>3</v>
      </c>
      <c r="Z2821" s="17">
        <v>43879</v>
      </c>
      <c r="AA2821" t="s">
        <v>3</v>
      </c>
      <c r="AB2821" t="s">
        <v>5747</v>
      </c>
    </row>
    <row r="2822" spans="1:28" hidden="1">
      <c r="A2822" t="s">
        <v>5750</v>
      </c>
      <c r="B2822" s="17">
        <v>43879</v>
      </c>
      <c r="C2822" s="17">
        <v>43879</v>
      </c>
      <c r="D2822" t="s">
        <v>0</v>
      </c>
      <c r="E2822" t="s">
        <v>1</v>
      </c>
      <c r="F2822" s="18">
        <v>-34279</v>
      </c>
      <c r="G2822" s="18">
        <v>-34279</v>
      </c>
      <c r="H2822" t="s">
        <v>2</v>
      </c>
      <c r="I2822" t="s">
        <v>10</v>
      </c>
      <c r="J2822" s="18">
        <v>-2877722.05</v>
      </c>
      <c r="K2822" t="s">
        <v>5751</v>
      </c>
      <c r="L2822" t="s">
        <v>9</v>
      </c>
      <c r="M2822" t="s">
        <v>5752</v>
      </c>
      <c r="N2822" t="s">
        <v>3</v>
      </c>
      <c r="O2822" t="s">
        <v>3</v>
      </c>
      <c r="P2822" t="s">
        <v>5</v>
      </c>
      <c r="Q2822" t="s">
        <v>5753</v>
      </c>
      <c r="R2822" t="s">
        <v>3</v>
      </c>
      <c r="S2822" t="s">
        <v>3</v>
      </c>
      <c r="T2822" t="s">
        <v>3</v>
      </c>
      <c r="U2822" t="s">
        <v>3</v>
      </c>
      <c r="V2822" t="s">
        <v>3</v>
      </c>
      <c r="W2822" t="s">
        <v>68</v>
      </c>
      <c r="X2822" s="17"/>
      <c r="Y2822" t="s">
        <v>3</v>
      </c>
      <c r="Z2822" s="17">
        <v>43879</v>
      </c>
      <c r="AA2822" t="s">
        <v>3</v>
      </c>
      <c r="AB2822" t="s">
        <v>5750</v>
      </c>
    </row>
    <row r="2823" spans="1:28" hidden="1">
      <c r="A2823" t="s">
        <v>5765</v>
      </c>
      <c r="B2823" s="17">
        <v>43879</v>
      </c>
      <c r="C2823" s="17">
        <v>43879</v>
      </c>
      <c r="D2823" t="s">
        <v>0</v>
      </c>
      <c r="E2823" t="s">
        <v>1</v>
      </c>
      <c r="F2823" s="18">
        <v>-150644.78</v>
      </c>
      <c r="G2823" s="18">
        <v>-150644.78</v>
      </c>
      <c r="H2823" t="s">
        <v>2</v>
      </c>
      <c r="I2823" t="s">
        <v>10</v>
      </c>
      <c r="J2823" s="18">
        <v>-12646629.279999999</v>
      </c>
      <c r="K2823" t="s">
        <v>5766</v>
      </c>
      <c r="L2823" t="s">
        <v>4</v>
      </c>
      <c r="M2823" t="s">
        <v>5767</v>
      </c>
      <c r="N2823" t="s">
        <v>3</v>
      </c>
      <c r="O2823" t="s">
        <v>3</v>
      </c>
      <c r="P2823" t="s">
        <v>5</v>
      </c>
      <c r="Q2823" t="s">
        <v>5768</v>
      </c>
      <c r="R2823" t="s">
        <v>3</v>
      </c>
      <c r="S2823" t="s">
        <v>3</v>
      </c>
      <c r="T2823" t="s">
        <v>3</v>
      </c>
      <c r="U2823" t="s">
        <v>3</v>
      </c>
      <c r="V2823" t="s">
        <v>3</v>
      </c>
      <c r="W2823" t="s">
        <v>68</v>
      </c>
      <c r="X2823" s="17"/>
      <c r="Y2823" t="s">
        <v>3</v>
      </c>
      <c r="Z2823" s="17">
        <v>43879</v>
      </c>
      <c r="AA2823" t="s">
        <v>3</v>
      </c>
      <c r="AB2823" t="s">
        <v>5765</v>
      </c>
    </row>
    <row r="2824" spans="1:28" hidden="1">
      <c r="A2824" t="s">
        <v>5769</v>
      </c>
      <c r="B2824" s="17">
        <v>43879</v>
      </c>
      <c r="C2824" s="17">
        <v>43879</v>
      </c>
      <c r="D2824" t="s">
        <v>0</v>
      </c>
      <c r="E2824" t="s">
        <v>1</v>
      </c>
      <c r="F2824" s="18">
        <v>11764</v>
      </c>
      <c r="G2824" s="18">
        <v>11764</v>
      </c>
      <c r="H2824" t="s">
        <v>2</v>
      </c>
      <c r="I2824" t="s">
        <v>10</v>
      </c>
      <c r="J2824" s="18">
        <v>987587.8</v>
      </c>
      <c r="K2824" t="s">
        <v>5770</v>
      </c>
      <c r="L2824" t="s">
        <v>9</v>
      </c>
      <c r="M2824" t="s">
        <v>5771</v>
      </c>
      <c r="N2824" t="s">
        <v>3</v>
      </c>
      <c r="O2824" t="s">
        <v>3</v>
      </c>
      <c r="P2824" t="s">
        <v>5</v>
      </c>
      <c r="Q2824" t="s">
        <v>5772</v>
      </c>
      <c r="R2824" t="s">
        <v>3</v>
      </c>
      <c r="S2824" t="s">
        <v>3</v>
      </c>
      <c r="T2824" t="s">
        <v>3</v>
      </c>
      <c r="U2824" t="s">
        <v>3</v>
      </c>
      <c r="V2824" t="s">
        <v>3</v>
      </c>
      <c r="W2824" t="s">
        <v>68</v>
      </c>
      <c r="X2824" s="17"/>
      <c r="Y2824" t="s">
        <v>3</v>
      </c>
      <c r="Z2824" s="17">
        <v>43879</v>
      </c>
      <c r="AA2824" t="s">
        <v>3</v>
      </c>
      <c r="AB2824" t="s">
        <v>5769</v>
      </c>
    </row>
    <row r="2825" spans="1:28" hidden="1">
      <c r="A2825" t="s">
        <v>5773</v>
      </c>
      <c r="B2825" s="17">
        <v>43879</v>
      </c>
      <c r="C2825" s="17">
        <v>43879</v>
      </c>
      <c r="D2825" t="s">
        <v>0</v>
      </c>
      <c r="E2825" t="s">
        <v>1</v>
      </c>
      <c r="F2825" s="18">
        <v>1172</v>
      </c>
      <c r="G2825" s="18">
        <v>1172</v>
      </c>
      <c r="H2825" t="s">
        <v>2</v>
      </c>
      <c r="I2825" t="s">
        <v>10</v>
      </c>
      <c r="J2825" s="18">
        <v>98389.4</v>
      </c>
      <c r="K2825" t="s">
        <v>5707</v>
      </c>
      <c r="L2825" t="s">
        <v>9</v>
      </c>
      <c r="M2825" t="s">
        <v>5774</v>
      </c>
      <c r="N2825" t="s">
        <v>3</v>
      </c>
      <c r="O2825" t="s">
        <v>3</v>
      </c>
      <c r="P2825" t="s">
        <v>5</v>
      </c>
      <c r="Q2825" t="s">
        <v>5775</v>
      </c>
      <c r="R2825" t="s">
        <v>3</v>
      </c>
      <c r="S2825" t="s">
        <v>3</v>
      </c>
      <c r="T2825" t="s">
        <v>3</v>
      </c>
      <c r="U2825" t="s">
        <v>3</v>
      </c>
      <c r="V2825" t="s">
        <v>3</v>
      </c>
      <c r="W2825" t="s">
        <v>68</v>
      </c>
      <c r="X2825" s="17"/>
      <c r="Y2825" t="s">
        <v>3</v>
      </c>
      <c r="Z2825" s="17">
        <v>43879</v>
      </c>
      <c r="AA2825" t="s">
        <v>3</v>
      </c>
      <c r="AB2825" t="s">
        <v>5773</v>
      </c>
    </row>
    <row r="2826" spans="1:28" hidden="1">
      <c r="A2826" t="s">
        <v>5776</v>
      </c>
      <c r="B2826" s="17">
        <v>43879</v>
      </c>
      <c r="C2826" s="17">
        <v>43879</v>
      </c>
      <c r="D2826" t="s">
        <v>0</v>
      </c>
      <c r="E2826" t="s">
        <v>1</v>
      </c>
      <c r="F2826" s="18">
        <v>84133</v>
      </c>
      <c r="G2826" s="18">
        <v>84133</v>
      </c>
      <c r="H2826" t="s">
        <v>2</v>
      </c>
      <c r="I2826" t="s">
        <v>8</v>
      </c>
      <c r="J2826" s="18">
        <v>7062965.3499999996</v>
      </c>
      <c r="K2826" t="s">
        <v>5690</v>
      </c>
      <c r="L2826" t="s">
        <v>9</v>
      </c>
      <c r="M2826" t="s">
        <v>5777</v>
      </c>
      <c r="N2826" t="s">
        <v>3</v>
      </c>
      <c r="O2826" t="s">
        <v>3</v>
      </c>
      <c r="P2826" t="s">
        <v>5</v>
      </c>
      <c r="Q2826" t="s">
        <v>5778</v>
      </c>
      <c r="R2826" t="s">
        <v>3</v>
      </c>
      <c r="S2826" t="s">
        <v>3</v>
      </c>
      <c r="T2826" t="s">
        <v>3</v>
      </c>
      <c r="U2826" t="s">
        <v>3</v>
      </c>
      <c r="V2826" t="s">
        <v>3</v>
      </c>
      <c r="W2826" t="s">
        <v>68</v>
      </c>
      <c r="X2826" s="17"/>
      <c r="Y2826" t="s">
        <v>3</v>
      </c>
      <c r="Z2826" s="17">
        <v>43879</v>
      </c>
      <c r="AA2826" t="s">
        <v>3</v>
      </c>
      <c r="AB2826" t="s">
        <v>5776</v>
      </c>
    </row>
    <row r="2827" spans="1:28" hidden="1">
      <c r="A2827" t="s">
        <v>5776</v>
      </c>
      <c r="B2827" s="17">
        <v>43879</v>
      </c>
      <c r="C2827" s="17">
        <v>43879</v>
      </c>
      <c r="D2827" t="s">
        <v>0</v>
      </c>
      <c r="E2827" t="s">
        <v>1</v>
      </c>
      <c r="F2827" s="18">
        <v>17598</v>
      </c>
      <c r="G2827" s="18">
        <v>17598</v>
      </c>
      <c r="H2827" t="s">
        <v>2</v>
      </c>
      <c r="I2827" t="s">
        <v>8</v>
      </c>
      <c r="J2827" s="18">
        <v>1477352.1</v>
      </c>
      <c r="K2827" t="s">
        <v>5693</v>
      </c>
      <c r="L2827" t="s">
        <v>9</v>
      </c>
      <c r="M2827" t="s">
        <v>5777</v>
      </c>
      <c r="N2827" t="s">
        <v>3</v>
      </c>
      <c r="O2827" t="s">
        <v>3</v>
      </c>
      <c r="P2827" t="s">
        <v>5</v>
      </c>
      <c r="Q2827" t="s">
        <v>5778</v>
      </c>
      <c r="R2827" t="s">
        <v>3</v>
      </c>
      <c r="S2827" t="s">
        <v>3</v>
      </c>
      <c r="T2827" t="s">
        <v>3</v>
      </c>
      <c r="U2827" t="s">
        <v>3</v>
      </c>
      <c r="V2827" t="s">
        <v>3</v>
      </c>
      <c r="W2827" t="s">
        <v>68</v>
      </c>
      <c r="X2827" s="17"/>
      <c r="Y2827" t="s">
        <v>3</v>
      </c>
      <c r="Z2827" s="17">
        <v>43879</v>
      </c>
      <c r="AA2827" t="s">
        <v>3</v>
      </c>
      <c r="AB2827" t="s">
        <v>5776</v>
      </c>
    </row>
    <row r="2828" spans="1:28" hidden="1">
      <c r="A2828" t="s">
        <v>5776</v>
      </c>
      <c r="B2828" s="17">
        <v>43879</v>
      </c>
      <c r="C2828" s="17">
        <v>43879</v>
      </c>
      <c r="D2828" t="s">
        <v>0</v>
      </c>
      <c r="E2828" t="s">
        <v>1</v>
      </c>
      <c r="F2828" s="18">
        <v>41196</v>
      </c>
      <c r="G2828" s="18">
        <v>41196</v>
      </c>
      <c r="H2828" t="s">
        <v>2</v>
      </c>
      <c r="I2828" t="s">
        <v>8</v>
      </c>
      <c r="J2828" s="18">
        <v>3458404.2</v>
      </c>
      <c r="K2828" t="s">
        <v>5694</v>
      </c>
      <c r="L2828" t="s">
        <v>9</v>
      </c>
      <c r="M2828" t="s">
        <v>5777</v>
      </c>
      <c r="N2828" t="s">
        <v>3</v>
      </c>
      <c r="O2828" t="s">
        <v>3</v>
      </c>
      <c r="P2828" t="s">
        <v>5</v>
      </c>
      <c r="Q2828" t="s">
        <v>5778</v>
      </c>
      <c r="R2828" t="s">
        <v>3</v>
      </c>
      <c r="S2828" t="s">
        <v>3</v>
      </c>
      <c r="T2828" t="s">
        <v>3</v>
      </c>
      <c r="U2828" t="s">
        <v>3</v>
      </c>
      <c r="V2828" t="s">
        <v>3</v>
      </c>
      <c r="W2828" t="s">
        <v>68</v>
      </c>
      <c r="X2828" s="17"/>
      <c r="Y2828" t="s">
        <v>3</v>
      </c>
      <c r="Z2828" s="17">
        <v>43879</v>
      </c>
      <c r="AA2828" t="s">
        <v>3</v>
      </c>
      <c r="AB2828" t="s">
        <v>5776</v>
      </c>
    </row>
    <row r="2829" spans="1:28" s="34" customFormat="1">
      <c r="A2829" s="37" t="s">
        <v>5779</v>
      </c>
      <c r="B2829" s="32">
        <v>43879</v>
      </c>
      <c r="C2829" s="32">
        <v>43879</v>
      </c>
      <c r="D2829" s="31" t="s">
        <v>0</v>
      </c>
      <c r="E2829" s="31" t="s">
        <v>1</v>
      </c>
      <c r="F2829" s="33">
        <v>-423436.66</v>
      </c>
      <c r="G2829" s="49">
        <v>-423436.66</v>
      </c>
      <c r="H2829" s="31" t="s">
        <v>2</v>
      </c>
      <c r="I2829" s="31" t="s">
        <v>8</v>
      </c>
      <c r="J2829" s="49">
        <v>-35547507.619999997</v>
      </c>
      <c r="K2829" s="31" t="s">
        <v>5780</v>
      </c>
      <c r="L2829" s="31" t="s">
        <v>4</v>
      </c>
      <c r="M2829" s="31" t="s">
        <v>5781</v>
      </c>
      <c r="N2829" s="31" t="s">
        <v>3</v>
      </c>
      <c r="O2829" s="31" t="s">
        <v>3</v>
      </c>
      <c r="P2829" s="31" t="s">
        <v>5</v>
      </c>
      <c r="Q2829" s="31" t="s">
        <v>5782</v>
      </c>
      <c r="R2829" s="31" t="s">
        <v>3</v>
      </c>
      <c r="S2829" s="31" t="s">
        <v>3</v>
      </c>
      <c r="T2829" s="31" t="s">
        <v>3</v>
      </c>
      <c r="U2829" s="31" t="s">
        <v>3</v>
      </c>
      <c r="V2829" s="31" t="s">
        <v>3</v>
      </c>
      <c r="W2829" s="31" t="s">
        <v>68</v>
      </c>
      <c r="X2829" s="32"/>
      <c r="Y2829" s="31" t="s">
        <v>3</v>
      </c>
      <c r="Z2829" s="32">
        <v>43879</v>
      </c>
      <c r="AA2829" s="31" t="s">
        <v>3</v>
      </c>
      <c r="AB2829" s="31" t="s">
        <v>5779</v>
      </c>
    </row>
    <row r="2830" spans="1:28" hidden="1">
      <c r="A2830" t="s">
        <v>5783</v>
      </c>
      <c r="B2830" s="17">
        <v>43879</v>
      </c>
      <c r="C2830" s="17">
        <v>43879</v>
      </c>
      <c r="D2830" t="s">
        <v>0</v>
      </c>
      <c r="E2830" t="s">
        <v>1</v>
      </c>
      <c r="F2830" s="18">
        <v>978.9</v>
      </c>
      <c r="G2830" s="18">
        <v>978.9</v>
      </c>
      <c r="H2830" t="s">
        <v>2</v>
      </c>
      <c r="I2830" t="s">
        <v>8</v>
      </c>
      <c r="J2830" s="18">
        <v>82178.66</v>
      </c>
      <c r="K2830" t="s">
        <v>5719</v>
      </c>
      <c r="L2830" t="s">
        <v>4</v>
      </c>
      <c r="M2830" t="s">
        <v>5784</v>
      </c>
      <c r="N2830" t="s">
        <v>3</v>
      </c>
      <c r="O2830" t="s">
        <v>3</v>
      </c>
      <c r="P2830" t="s">
        <v>5</v>
      </c>
      <c r="Q2830" t="s">
        <v>5785</v>
      </c>
      <c r="R2830" t="s">
        <v>3</v>
      </c>
      <c r="S2830" t="s">
        <v>3</v>
      </c>
      <c r="T2830" t="s">
        <v>3</v>
      </c>
      <c r="U2830" t="s">
        <v>3</v>
      </c>
      <c r="V2830" t="s">
        <v>3</v>
      </c>
      <c r="W2830" t="s">
        <v>68</v>
      </c>
      <c r="X2830" s="17"/>
      <c r="Y2830" t="s">
        <v>3</v>
      </c>
      <c r="Z2830" s="17">
        <v>43879</v>
      </c>
      <c r="AA2830" t="s">
        <v>3</v>
      </c>
      <c r="AB2830" t="s">
        <v>5783</v>
      </c>
    </row>
    <row r="2831" spans="1:28" hidden="1">
      <c r="A2831" t="s">
        <v>5783</v>
      </c>
      <c r="B2831" s="17">
        <v>43879</v>
      </c>
      <c r="C2831" s="17">
        <v>43879</v>
      </c>
      <c r="D2831" t="s">
        <v>0</v>
      </c>
      <c r="E2831" t="s">
        <v>1</v>
      </c>
      <c r="F2831" s="18">
        <v>6046.11</v>
      </c>
      <c r="G2831" s="18">
        <v>6046.11</v>
      </c>
      <c r="H2831" t="s">
        <v>2</v>
      </c>
      <c r="I2831" t="s">
        <v>8</v>
      </c>
      <c r="J2831" s="18">
        <v>507570.93</v>
      </c>
      <c r="K2831" t="s">
        <v>5721</v>
      </c>
      <c r="L2831" t="s">
        <v>4</v>
      </c>
      <c r="M2831" t="s">
        <v>5784</v>
      </c>
      <c r="N2831" t="s">
        <v>3</v>
      </c>
      <c r="O2831" t="s">
        <v>3</v>
      </c>
      <c r="P2831" t="s">
        <v>5</v>
      </c>
      <c r="Q2831" t="s">
        <v>5785</v>
      </c>
      <c r="R2831" t="s">
        <v>3</v>
      </c>
      <c r="S2831" t="s">
        <v>3</v>
      </c>
      <c r="T2831" t="s">
        <v>3</v>
      </c>
      <c r="U2831" t="s">
        <v>3</v>
      </c>
      <c r="V2831" t="s">
        <v>3</v>
      </c>
      <c r="W2831" t="s">
        <v>68</v>
      </c>
      <c r="X2831" s="17"/>
      <c r="Y2831" t="s">
        <v>3</v>
      </c>
      <c r="Z2831" s="17">
        <v>43879</v>
      </c>
      <c r="AA2831" t="s">
        <v>3</v>
      </c>
      <c r="AB2831" t="s">
        <v>5783</v>
      </c>
    </row>
    <row r="2832" spans="1:28" hidden="1">
      <c r="A2832" t="s">
        <v>5783</v>
      </c>
      <c r="B2832" s="17">
        <v>43879</v>
      </c>
      <c r="C2832" s="17">
        <v>43879</v>
      </c>
      <c r="D2832" t="s">
        <v>0</v>
      </c>
      <c r="E2832" t="s">
        <v>1</v>
      </c>
      <c r="F2832" s="18">
        <v>3570.08</v>
      </c>
      <c r="G2832" s="18">
        <v>3570.08</v>
      </c>
      <c r="H2832" t="s">
        <v>2</v>
      </c>
      <c r="I2832" t="s">
        <v>8</v>
      </c>
      <c r="J2832" s="18">
        <v>299708.21999999997</v>
      </c>
      <c r="K2832" t="s">
        <v>5723</v>
      </c>
      <c r="L2832" t="s">
        <v>4</v>
      </c>
      <c r="M2832" t="s">
        <v>5784</v>
      </c>
      <c r="N2832" t="s">
        <v>3</v>
      </c>
      <c r="O2832" t="s">
        <v>3</v>
      </c>
      <c r="P2832" t="s">
        <v>5</v>
      </c>
      <c r="Q2832" t="s">
        <v>5785</v>
      </c>
      <c r="R2832" t="s">
        <v>3</v>
      </c>
      <c r="S2832" t="s">
        <v>3</v>
      </c>
      <c r="T2832" t="s">
        <v>3</v>
      </c>
      <c r="U2832" t="s">
        <v>3</v>
      </c>
      <c r="V2832" t="s">
        <v>3</v>
      </c>
      <c r="W2832" t="s">
        <v>68</v>
      </c>
      <c r="X2832" s="17"/>
      <c r="Y2832" t="s">
        <v>3</v>
      </c>
      <c r="Z2832" s="17">
        <v>43879</v>
      </c>
      <c r="AA2832" t="s">
        <v>3</v>
      </c>
      <c r="AB2832" t="s">
        <v>5783</v>
      </c>
    </row>
    <row r="2833" spans="1:28" hidden="1">
      <c r="A2833" t="s">
        <v>5786</v>
      </c>
      <c r="B2833" s="17">
        <v>43879</v>
      </c>
      <c r="C2833" s="17">
        <v>43879</v>
      </c>
      <c r="D2833" t="s">
        <v>0</v>
      </c>
      <c r="E2833" t="s">
        <v>1</v>
      </c>
      <c r="F2833" s="18">
        <v>9842.41</v>
      </c>
      <c r="G2833" s="18">
        <v>9842.41</v>
      </c>
      <c r="H2833" t="s">
        <v>2</v>
      </c>
      <c r="I2833" t="s">
        <v>8</v>
      </c>
      <c r="J2833" s="18">
        <v>826270.32</v>
      </c>
      <c r="K2833" t="s">
        <v>5719</v>
      </c>
      <c r="L2833" t="s">
        <v>4</v>
      </c>
      <c r="M2833" t="s">
        <v>5787</v>
      </c>
      <c r="N2833" t="s">
        <v>3</v>
      </c>
      <c r="O2833" t="s">
        <v>3</v>
      </c>
      <c r="P2833" t="s">
        <v>5</v>
      </c>
      <c r="Q2833" t="s">
        <v>5788</v>
      </c>
      <c r="R2833" t="s">
        <v>3</v>
      </c>
      <c r="S2833" t="s">
        <v>3</v>
      </c>
      <c r="T2833" t="s">
        <v>3</v>
      </c>
      <c r="U2833" t="s">
        <v>3</v>
      </c>
      <c r="V2833" t="s">
        <v>3</v>
      </c>
      <c r="W2833" t="s">
        <v>68</v>
      </c>
      <c r="X2833" s="17"/>
      <c r="Y2833" t="s">
        <v>3</v>
      </c>
      <c r="Z2833" s="17">
        <v>43879</v>
      </c>
      <c r="AA2833" t="s">
        <v>3</v>
      </c>
      <c r="AB2833" t="s">
        <v>5786</v>
      </c>
    </row>
    <row r="2834" spans="1:28" hidden="1">
      <c r="A2834" t="s">
        <v>5786</v>
      </c>
      <c r="B2834" s="17">
        <v>43879</v>
      </c>
      <c r="C2834" s="17">
        <v>43879</v>
      </c>
      <c r="D2834" t="s">
        <v>0</v>
      </c>
      <c r="E2834" t="s">
        <v>1</v>
      </c>
      <c r="F2834" s="18">
        <v>17002.64</v>
      </c>
      <c r="G2834" s="18">
        <v>17002.64</v>
      </c>
      <c r="H2834" t="s">
        <v>2</v>
      </c>
      <c r="I2834" t="s">
        <v>8</v>
      </c>
      <c r="J2834" s="18">
        <v>1427371.63</v>
      </c>
      <c r="K2834" t="s">
        <v>5721</v>
      </c>
      <c r="L2834" t="s">
        <v>4</v>
      </c>
      <c r="M2834" t="s">
        <v>5787</v>
      </c>
      <c r="N2834" t="s">
        <v>3</v>
      </c>
      <c r="O2834" t="s">
        <v>3</v>
      </c>
      <c r="P2834" t="s">
        <v>5</v>
      </c>
      <c r="Q2834" t="s">
        <v>5788</v>
      </c>
      <c r="R2834" t="s">
        <v>3</v>
      </c>
      <c r="S2834" t="s">
        <v>3</v>
      </c>
      <c r="T2834" t="s">
        <v>3</v>
      </c>
      <c r="U2834" t="s">
        <v>3</v>
      </c>
      <c r="V2834" t="s">
        <v>3</v>
      </c>
      <c r="W2834" t="s">
        <v>68</v>
      </c>
      <c r="X2834" s="17"/>
      <c r="Y2834" t="s">
        <v>3</v>
      </c>
      <c r="Z2834" s="17">
        <v>43879</v>
      </c>
      <c r="AA2834" t="s">
        <v>3</v>
      </c>
      <c r="AB2834" t="s">
        <v>5786</v>
      </c>
    </row>
    <row r="2835" spans="1:28" hidden="1">
      <c r="A2835" t="s">
        <v>5786</v>
      </c>
      <c r="B2835" s="17">
        <v>43879</v>
      </c>
      <c r="C2835" s="17">
        <v>43879</v>
      </c>
      <c r="D2835" t="s">
        <v>0</v>
      </c>
      <c r="E2835" t="s">
        <v>1</v>
      </c>
      <c r="F2835" s="18">
        <v>951.97</v>
      </c>
      <c r="G2835" s="18">
        <v>951.97</v>
      </c>
      <c r="H2835" t="s">
        <v>2</v>
      </c>
      <c r="I2835" t="s">
        <v>8</v>
      </c>
      <c r="J2835" s="18">
        <v>79917.88</v>
      </c>
      <c r="K2835" t="s">
        <v>5722</v>
      </c>
      <c r="L2835" t="s">
        <v>4</v>
      </c>
      <c r="M2835" t="s">
        <v>5787</v>
      </c>
      <c r="N2835" t="s">
        <v>3</v>
      </c>
      <c r="O2835" t="s">
        <v>3</v>
      </c>
      <c r="P2835" t="s">
        <v>5</v>
      </c>
      <c r="Q2835" t="s">
        <v>5788</v>
      </c>
      <c r="R2835" t="s">
        <v>3</v>
      </c>
      <c r="S2835" t="s">
        <v>3</v>
      </c>
      <c r="T2835" t="s">
        <v>3</v>
      </c>
      <c r="U2835" t="s">
        <v>3</v>
      </c>
      <c r="V2835" t="s">
        <v>3</v>
      </c>
      <c r="W2835" t="s">
        <v>68</v>
      </c>
      <c r="X2835" s="17"/>
      <c r="Y2835" t="s">
        <v>3</v>
      </c>
      <c r="Z2835" s="17">
        <v>43879</v>
      </c>
      <c r="AA2835" t="s">
        <v>3</v>
      </c>
      <c r="AB2835" t="s">
        <v>5786</v>
      </c>
    </row>
    <row r="2836" spans="1:28" hidden="1">
      <c r="A2836" t="s">
        <v>5786</v>
      </c>
      <c r="B2836" s="17">
        <v>43879</v>
      </c>
      <c r="C2836" s="17">
        <v>43879</v>
      </c>
      <c r="D2836" t="s">
        <v>0</v>
      </c>
      <c r="E2836" t="s">
        <v>1</v>
      </c>
      <c r="F2836" s="18">
        <v>1829.87</v>
      </c>
      <c r="G2836" s="18">
        <v>1829.87</v>
      </c>
      <c r="H2836" t="s">
        <v>2</v>
      </c>
      <c r="I2836" t="s">
        <v>8</v>
      </c>
      <c r="J2836" s="18">
        <v>153617.59</v>
      </c>
      <c r="K2836" t="s">
        <v>5723</v>
      </c>
      <c r="L2836" t="s">
        <v>4</v>
      </c>
      <c r="M2836" t="s">
        <v>5787</v>
      </c>
      <c r="N2836" t="s">
        <v>3</v>
      </c>
      <c r="O2836" t="s">
        <v>3</v>
      </c>
      <c r="P2836" t="s">
        <v>5</v>
      </c>
      <c r="Q2836" t="s">
        <v>5788</v>
      </c>
      <c r="R2836" t="s">
        <v>3</v>
      </c>
      <c r="S2836" t="s">
        <v>3</v>
      </c>
      <c r="T2836" t="s">
        <v>3</v>
      </c>
      <c r="U2836" t="s">
        <v>3</v>
      </c>
      <c r="V2836" t="s">
        <v>3</v>
      </c>
      <c r="W2836" t="s">
        <v>68</v>
      </c>
      <c r="X2836" s="17"/>
      <c r="Y2836" t="s">
        <v>3</v>
      </c>
      <c r="Z2836" s="17">
        <v>43879</v>
      </c>
      <c r="AA2836" t="s">
        <v>3</v>
      </c>
      <c r="AB2836" t="s">
        <v>5786</v>
      </c>
    </row>
    <row r="2837" spans="1:28" hidden="1">
      <c r="A2837" t="s">
        <v>5836</v>
      </c>
      <c r="B2837" s="17">
        <v>43879</v>
      </c>
      <c r="C2837" s="17">
        <v>43879</v>
      </c>
      <c r="D2837" t="s">
        <v>0</v>
      </c>
      <c r="E2837" t="s">
        <v>1</v>
      </c>
      <c r="F2837" s="18">
        <v>5800.4</v>
      </c>
      <c r="G2837" s="18">
        <v>5800.4</v>
      </c>
      <c r="H2837" t="s">
        <v>2</v>
      </c>
      <c r="I2837" t="s">
        <v>8</v>
      </c>
      <c r="J2837" s="18">
        <v>486943.58</v>
      </c>
      <c r="K2837" t="s">
        <v>5719</v>
      </c>
      <c r="L2837" t="s">
        <v>4</v>
      </c>
      <c r="M2837" t="s">
        <v>5837</v>
      </c>
      <c r="N2837" t="s">
        <v>3</v>
      </c>
      <c r="O2837" t="s">
        <v>3</v>
      </c>
      <c r="P2837" t="s">
        <v>5</v>
      </c>
      <c r="Q2837" t="s">
        <v>5838</v>
      </c>
      <c r="R2837" t="s">
        <v>3</v>
      </c>
      <c r="S2837" t="s">
        <v>3</v>
      </c>
      <c r="T2837" t="s">
        <v>3</v>
      </c>
      <c r="U2837" t="s">
        <v>3</v>
      </c>
      <c r="V2837" t="s">
        <v>3</v>
      </c>
      <c r="W2837" t="s">
        <v>68</v>
      </c>
      <c r="X2837" s="17"/>
      <c r="Y2837" t="s">
        <v>3</v>
      </c>
      <c r="Z2837" s="17">
        <v>43879</v>
      </c>
      <c r="AA2837" t="s">
        <v>3</v>
      </c>
      <c r="AB2837" t="s">
        <v>5836</v>
      </c>
    </row>
    <row r="2838" spans="1:28" hidden="1">
      <c r="A2838" t="s">
        <v>5836</v>
      </c>
      <c r="B2838" s="17">
        <v>43879</v>
      </c>
      <c r="C2838" s="17">
        <v>43879</v>
      </c>
      <c r="D2838" t="s">
        <v>0</v>
      </c>
      <c r="E2838" t="s">
        <v>1</v>
      </c>
      <c r="F2838" s="18">
        <v>10018.219999999999</v>
      </c>
      <c r="G2838" s="18">
        <v>10018.219999999999</v>
      </c>
      <c r="H2838" t="s">
        <v>2</v>
      </c>
      <c r="I2838" t="s">
        <v>8</v>
      </c>
      <c r="J2838" s="18">
        <v>841029.57</v>
      </c>
      <c r="K2838" t="s">
        <v>5722</v>
      </c>
      <c r="L2838" t="s">
        <v>4</v>
      </c>
      <c r="M2838" t="s">
        <v>5837</v>
      </c>
      <c r="N2838" t="s">
        <v>3</v>
      </c>
      <c r="O2838" t="s">
        <v>3</v>
      </c>
      <c r="P2838" t="s">
        <v>5</v>
      </c>
      <c r="Q2838" t="s">
        <v>5838</v>
      </c>
      <c r="R2838" t="s">
        <v>3</v>
      </c>
      <c r="S2838" t="s">
        <v>3</v>
      </c>
      <c r="T2838" t="s">
        <v>3</v>
      </c>
      <c r="U2838" t="s">
        <v>3</v>
      </c>
      <c r="V2838" t="s">
        <v>3</v>
      </c>
      <c r="W2838" t="s">
        <v>68</v>
      </c>
      <c r="X2838" s="17"/>
      <c r="Y2838" t="s">
        <v>3</v>
      </c>
      <c r="Z2838" s="17">
        <v>43879</v>
      </c>
      <c r="AA2838" t="s">
        <v>3</v>
      </c>
      <c r="AB2838" t="s">
        <v>5836</v>
      </c>
    </row>
    <row r="2839" spans="1:28" hidden="1">
      <c r="A2839" t="s">
        <v>5789</v>
      </c>
      <c r="B2839" s="17">
        <v>43880</v>
      </c>
      <c r="C2839" s="17">
        <v>43880</v>
      </c>
      <c r="D2839" t="s">
        <v>0</v>
      </c>
      <c r="E2839" t="s">
        <v>1</v>
      </c>
      <c r="F2839" s="18">
        <v>4042.09</v>
      </c>
      <c r="G2839" s="18">
        <v>4042.09</v>
      </c>
      <c r="H2839" t="s">
        <v>2</v>
      </c>
      <c r="I2839" t="s">
        <v>10</v>
      </c>
      <c r="J2839" s="18">
        <v>339333.46</v>
      </c>
      <c r="K2839" t="s">
        <v>5790</v>
      </c>
      <c r="L2839" t="s">
        <v>4</v>
      </c>
      <c r="M2839" t="s">
        <v>5791</v>
      </c>
      <c r="N2839" t="s">
        <v>3</v>
      </c>
      <c r="O2839" t="s">
        <v>3</v>
      </c>
      <c r="P2839" t="s">
        <v>5</v>
      </c>
      <c r="Q2839" t="s">
        <v>5792</v>
      </c>
      <c r="R2839" t="s">
        <v>3</v>
      </c>
      <c r="S2839" t="s">
        <v>3</v>
      </c>
      <c r="T2839" t="s">
        <v>3</v>
      </c>
      <c r="U2839" t="s">
        <v>3</v>
      </c>
      <c r="V2839" t="s">
        <v>3</v>
      </c>
      <c r="W2839" t="s">
        <v>68</v>
      </c>
      <c r="X2839" s="17"/>
      <c r="Y2839" t="s">
        <v>3</v>
      </c>
      <c r="Z2839" s="17">
        <v>43880</v>
      </c>
      <c r="AA2839" t="s">
        <v>3</v>
      </c>
      <c r="AB2839" t="s">
        <v>5789</v>
      </c>
    </row>
    <row r="2840" spans="1:28" hidden="1">
      <c r="A2840" t="s">
        <v>5793</v>
      </c>
      <c r="B2840" s="17">
        <v>43880</v>
      </c>
      <c r="C2840" s="17">
        <v>43880</v>
      </c>
      <c r="D2840" t="s">
        <v>0</v>
      </c>
      <c r="E2840" t="s">
        <v>1</v>
      </c>
      <c r="F2840" s="18">
        <v>26877</v>
      </c>
      <c r="G2840" s="18">
        <v>26877</v>
      </c>
      <c r="H2840" t="s">
        <v>2</v>
      </c>
      <c r="I2840" t="s">
        <v>8</v>
      </c>
      <c r="J2840" s="18">
        <v>2256324.15</v>
      </c>
      <c r="K2840" t="s">
        <v>5690</v>
      </c>
      <c r="L2840" t="s">
        <v>9</v>
      </c>
      <c r="M2840" t="s">
        <v>5794</v>
      </c>
      <c r="N2840" t="s">
        <v>3</v>
      </c>
      <c r="O2840" t="s">
        <v>3</v>
      </c>
      <c r="P2840" t="s">
        <v>5</v>
      </c>
      <c r="Q2840" t="s">
        <v>5795</v>
      </c>
      <c r="R2840" t="s">
        <v>3</v>
      </c>
      <c r="S2840" t="s">
        <v>3</v>
      </c>
      <c r="T2840" t="s">
        <v>3</v>
      </c>
      <c r="U2840" t="s">
        <v>3</v>
      </c>
      <c r="V2840" t="s">
        <v>3</v>
      </c>
      <c r="W2840" t="s">
        <v>68</v>
      </c>
      <c r="X2840" s="17"/>
      <c r="Y2840" t="s">
        <v>3</v>
      </c>
      <c r="Z2840" s="17">
        <v>43880</v>
      </c>
      <c r="AA2840" t="s">
        <v>3</v>
      </c>
      <c r="AB2840" t="s">
        <v>5793</v>
      </c>
    </row>
    <row r="2841" spans="1:28" hidden="1">
      <c r="A2841" t="s">
        <v>5793</v>
      </c>
      <c r="B2841" s="17">
        <v>43880</v>
      </c>
      <c r="C2841" s="17">
        <v>43880</v>
      </c>
      <c r="D2841" t="s">
        <v>0</v>
      </c>
      <c r="E2841" t="s">
        <v>1</v>
      </c>
      <c r="F2841" s="18">
        <v>4985</v>
      </c>
      <c r="G2841" s="18">
        <v>4985</v>
      </c>
      <c r="H2841" t="s">
        <v>2</v>
      </c>
      <c r="I2841" t="s">
        <v>8</v>
      </c>
      <c r="J2841" s="18">
        <v>418490.75</v>
      </c>
      <c r="K2841" t="s">
        <v>5693</v>
      </c>
      <c r="L2841" t="s">
        <v>9</v>
      </c>
      <c r="M2841" t="s">
        <v>5794</v>
      </c>
      <c r="N2841" t="s">
        <v>3</v>
      </c>
      <c r="O2841" t="s">
        <v>3</v>
      </c>
      <c r="P2841" t="s">
        <v>5</v>
      </c>
      <c r="Q2841" t="s">
        <v>5795</v>
      </c>
      <c r="R2841" t="s">
        <v>3</v>
      </c>
      <c r="S2841" t="s">
        <v>3</v>
      </c>
      <c r="T2841" t="s">
        <v>3</v>
      </c>
      <c r="U2841" t="s">
        <v>3</v>
      </c>
      <c r="V2841" t="s">
        <v>3</v>
      </c>
      <c r="W2841" t="s">
        <v>68</v>
      </c>
      <c r="X2841" s="17"/>
      <c r="Y2841" t="s">
        <v>3</v>
      </c>
      <c r="Z2841" s="17">
        <v>43880</v>
      </c>
      <c r="AA2841" t="s">
        <v>3</v>
      </c>
      <c r="AB2841" t="s">
        <v>5793</v>
      </c>
    </row>
    <row r="2842" spans="1:28" hidden="1">
      <c r="A2842" t="s">
        <v>5793</v>
      </c>
      <c r="B2842" s="17">
        <v>43880</v>
      </c>
      <c r="C2842" s="17">
        <v>43880</v>
      </c>
      <c r="D2842" t="s">
        <v>0</v>
      </c>
      <c r="E2842" t="s">
        <v>1</v>
      </c>
      <c r="F2842" s="18">
        <v>17755</v>
      </c>
      <c r="G2842" s="18">
        <v>17755</v>
      </c>
      <c r="H2842" t="s">
        <v>2</v>
      </c>
      <c r="I2842" t="s">
        <v>8</v>
      </c>
      <c r="J2842" s="18">
        <v>1490532.25</v>
      </c>
      <c r="K2842" t="s">
        <v>5796</v>
      </c>
      <c r="L2842" t="s">
        <v>9</v>
      </c>
      <c r="M2842" t="s">
        <v>5794</v>
      </c>
      <c r="N2842" t="s">
        <v>3</v>
      </c>
      <c r="O2842" t="s">
        <v>3</v>
      </c>
      <c r="P2842" t="s">
        <v>5</v>
      </c>
      <c r="Q2842" t="s">
        <v>5795</v>
      </c>
      <c r="R2842" t="s">
        <v>3</v>
      </c>
      <c r="S2842" t="s">
        <v>3</v>
      </c>
      <c r="T2842" t="s">
        <v>3</v>
      </c>
      <c r="U2842" t="s">
        <v>3</v>
      </c>
      <c r="V2842" t="s">
        <v>3</v>
      </c>
      <c r="W2842" t="s">
        <v>68</v>
      </c>
      <c r="X2842" s="17"/>
      <c r="Y2842" t="s">
        <v>3</v>
      </c>
      <c r="Z2842" s="17">
        <v>43880</v>
      </c>
      <c r="AA2842" t="s">
        <v>3</v>
      </c>
      <c r="AB2842" t="s">
        <v>5793</v>
      </c>
    </row>
    <row r="2843" spans="1:28" hidden="1">
      <c r="A2843" t="s">
        <v>5793</v>
      </c>
      <c r="B2843" s="17">
        <v>43880</v>
      </c>
      <c r="C2843" s="17">
        <v>43880</v>
      </c>
      <c r="D2843" t="s">
        <v>0</v>
      </c>
      <c r="E2843" t="s">
        <v>1</v>
      </c>
      <c r="F2843" s="18">
        <v>8614</v>
      </c>
      <c r="G2843" s="18">
        <v>8614</v>
      </c>
      <c r="H2843" t="s">
        <v>2</v>
      </c>
      <c r="I2843" t="s">
        <v>8</v>
      </c>
      <c r="J2843" s="18">
        <v>723145.3</v>
      </c>
      <c r="K2843" t="s">
        <v>5675</v>
      </c>
      <c r="L2843" t="s">
        <v>9</v>
      </c>
      <c r="M2843" t="s">
        <v>5794</v>
      </c>
      <c r="N2843" t="s">
        <v>3</v>
      </c>
      <c r="O2843" t="s">
        <v>3</v>
      </c>
      <c r="P2843" t="s">
        <v>5</v>
      </c>
      <c r="Q2843" t="s">
        <v>5795</v>
      </c>
      <c r="R2843" t="s">
        <v>3</v>
      </c>
      <c r="S2843" t="s">
        <v>3</v>
      </c>
      <c r="T2843" t="s">
        <v>3</v>
      </c>
      <c r="U2843" t="s">
        <v>3</v>
      </c>
      <c r="V2843" t="s">
        <v>3</v>
      </c>
      <c r="W2843" t="s">
        <v>68</v>
      </c>
      <c r="X2843" s="17"/>
      <c r="Y2843" t="s">
        <v>3</v>
      </c>
      <c r="Z2843" s="17">
        <v>43880</v>
      </c>
      <c r="AA2843" t="s">
        <v>3</v>
      </c>
      <c r="AB2843" t="s">
        <v>5793</v>
      </c>
    </row>
    <row r="2844" spans="1:28" hidden="1">
      <c r="A2844" t="s">
        <v>5793</v>
      </c>
      <c r="B2844" s="17">
        <v>43880</v>
      </c>
      <c r="C2844" s="17">
        <v>43880</v>
      </c>
      <c r="D2844" t="s">
        <v>0</v>
      </c>
      <c r="E2844" t="s">
        <v>1</v>
      </c>
      <c r="F2844" s="18">
        <v>1819</v>
      </c>
      <c r="G2844" s="18">
        <v>1819</v>
      </c>
      <c r="H2844" t="s">
        <v>2</v>
      </c>
      <c r="I2844" t="s">
        <v>8</v>
      </c>
      <c r="J2844" s="18">
        <v>152705.04999999999</v>
      </c>
      <c r="K2844" t="s">
        <v>5797</v>
      </c>
      <c r="L2844" t="s">
        <v>9</v>
      </c>
      <c r="M2844" t="s">
        <v>5794</v>
      </c>
      <c r="N2844" t="s">
        <v>3</v>
      </c>
      <c r="O2844" t="s">
        <v>3</v>
      </c>
      <c r="P2844" t="s">
        <v>5</v>
      </c>
      <c r="Q2844" t="s">
        <v>5795</v>
      </c>
      <c r="R2844" t="s">
        <v>3</v>
      </c>
      <c r="S2844" t="s">
        <v>3</v>
      </c>
      <c r="T2844" t="s">
        <v>3</v>
      </c>
      <c r="U2844" t="s">
        <v>3</v>
      </c>
      <c r="V2844" t="s">
        <v>3</v>
      </c>
      <c r="W2844" t="s">
        <v>68</v>
      </c>
      <c r="X2844" s="17"/>
      <c r="Y2844" t="s">
        <v>3</v>
      </c>
      <c r="Z2844" s="17">
        <v>43880</v>
      </c>
      <c r="AA2844" t="s">
        <v>3</v>
      </c>
      <c r="AB2844" t="s">
        <v>5793</v>
      </c>
    </row>
    <row r="2845" spans="1:28" hidden="1">
      <c r="A2845" t="s">
        <v>5798</v>
      </c>
      <c r="B2845" s="17">
        <v>43880</v>
      </c>
      <c r="C2845" s="17">
        <v>43880</v>
      </c>
      <c r="D2845" t="s">
        <v>0</v>
      </c>
      <c r="E2845" t="s">
        <v>1</v>
      </c>
      <c r="F2845" s="18">
        <v>3164.06</v>
      </c>
      <c r="G2845" s="18">
        <v>3164.06</v>
      </c>
      <c r="H2845" t="s">
        <v>2</v>
      </c>
      <c r="I2845" t="s">
        <v>8</v>
      </c>
      <c r="J2845" s="18">
        <v>265622.84000000003</v>
      </c>
      <c r="K2845" t="s">
        <v>5719</v>
      </c>
      <c r="L2845" t="s">
        <v>4</v>
      </c>
      <c r="M2845" t="s">
        <v>5799</v>
      </c>
      <c r="N2845" t="s">
        <v>3</v>
      </c>
      <c r="O2845" t="s">
        <v>3</v>
      </c>
      <c r="P2845" t="s">
        <v>5</v>
      </c>
      <c r="Q2845" t="s">
        <v>5800</v>
      </c>
      <c r="R2845" t="s">
        <v>3</v>
      </c>
      <c r="S2845" t="s">
        <v>3</v>
      </c>
      <c r="T2845" t="s">
        <v>3</v>
      </c>
      <c r="U2845" t="s">
        <v>3</v>
      </c>
      <c r="V2845" t="s">
        <v>3</v>
      </c>
      <c r="W2845" t="s">
        <v>68</v>
      </c>
      <c r="X2845" s="17"/>
      <c r="Y2845" t="s">
        <v>3</v>
      </c>
      <c r="Z2845" s="17">
        <v>43880</v>
      </c>
      <c r="AA2845" t="s">
        <v>3</v>
      </c>
      <c r="AB2845" t="s">
        <v>5798</v>
      </c>
    </row>
    <row r="2846" spans="1:28" hidden="1">
      <c r="A2846" t="s">
        <v>5798</v>
      </c>
      <c r="B2846" s="17">
        <v>43880</v>
      </c>
      <c r="C2846" s="17">
        <v>43880</v>
      </c>
      <c r="D2846" t="s">
        <v>0</v>
      </c>
      <c r="E2846" t="s">
        <v>1</v>
      </c>
      <c r="F2846" s="18">
        <v>28033.040000000001</v>
      </c>
      <c r="G2846" s="18">
        <v>28033.040000000001</v>
      </c>
      <c r="H2846" t="s">
        <v>2</v>
      </c>
      <c r="I2846" t="s">
        <v>8</v>
      </c>
      <c r="J2846" s="18">
        <v>2353373.71</v>
      </c>
      <c r="K2846" t="s">
        <v>5721</v>
      </c>
      <c r="L2846" t="s">
        <v>4</v>
      </c>
      <c r="M2846" t="s">
        <v>5799</v>
      </c>
      <c r="N2846" t="s">
        <v>3</v>
      </c>
      <c r="O2846" t="s">
        <v>3</v>
      </c>
      <c r="P2846" t="s">
        <v>5</v>
      </c>
      <c r="Q2846" t="s">
        <v>5800</v>
      </c>
      <c r="R2846" t="s">
        <v>3</v>
      </c>
      <c r="S2846" t="s">
        <v>3</v>
      </c>
      <c r="T2846" t="s">
        <v>3</v>
      </c>
      <c r="U2846" t="s">
        <v>3</v>
      </c>
      <c r="V2846" t="s">
        <v>3</v>
      </c>
      <c r="W2846" t="s">
        <v>68</v>
      </c>
      <c r="X2846" s="17"/>
      <c r="Y2846" t="s">
        <v>3</v>
      </c>
      <c r="Z2846" s="17">
        <v>43880</v>
      </c>
      <c r="AA2846" t="s">
        <v>3</v>
      </c>
      <c r="AB2846" t="s">
        <v>5798</v>
      </c>
    </row>
    <row r="2847" spans="1:28" hidden="1">
      <c r="A2847" t="s">
        <v>5801</v>
      </c>
      <c r="B2847" s="17">
        <v>43880</v>
      </c>
      <c r="C2847" s="17">
        <v>43880</v>
      </c>
      <c r="D2847" t="s">
        <v>0</v>
      </c>
      <c r="E2847" t="s">
        <v>1</v>
      </c>
      <c r="F2847" s="18">
        <v>36720.86</v>
      </c>
      <c r="G2847" s="18">
        <v>36720.86</v>
      </c>
      <c r="H2847" t="s">
        <v>2</v>
      </c>
      <c r="I2847" t="s">
        <v>8</v>
      </c>
      <c r="J2847" s="18">
        <v>3082716.2</v>
      </c>
      <c r="K2847" t="s">
        <v>5719</v>
      </c>
      <c r="L2847" t="s">
        <v>4</v>
      </c>
      <c r="M2847" t="s">
        <v>5802</v>
      </c>
      <c r="N2847" t="s">
        <v>3</v>
      </c>
      <c r="O2847" t="s">
        <v>3</v>
      </c>
      <c r="P2847" t="s">
        <v>5</v>
      </c>
      <c r="Q2847" t="s">
        <v>5803</v>
      </c>
      <c r="R2847" t="s">
        <v>3</v>
      </c>
      <c r="S2847" t="s">
        <v>3</v>
      </c>
      <c r="T2847" t="s">
        <v>3</v>
      </c>
      <c r="U2847" t="s">
        <v>3</v>
      </c>
      <c r="V2847" t="s">
        <v>3</v>
      </c>
      <c r="W2847" t="s">
        <v>68</v>
      </c>
      <c r="X2847" s="17"/>
      <c r="Y2847" t="s">
        <v>3</v>
      </c>
      <c r="Z2847" s="17">
        <v>43880</v>
      </c>
      <c r="AA2847" t="s">
        <v>3</v>
      </c>
      <c r="AB2847" t="s">
        <v>5801</v>
      </c>
    </row>
    <row r="2848" spans="1:28" hidden="1">
      <c r="A2848" t="s">
        <v>5801</v>
      </c>
      <c r="B2848" s="17">
        <v>43880</v>
      </c>
      <c r="C2848" s="17">
        <v>43880</v>
      </c>
      <c r="D2848" t="s">
        <v>0</v>
      </c>
      <c r="E2848" t="s">
        <v>1</v>
      </c>
      <c r="F2848" s="18">
        <v>69575.509999999995</v>
      </c>
      <c r="G2848" s="18">
        <v>69575.509999999995</v>
      </c>
      <c r="H2848" t="s">
        <v>2</v>
      </c>
      <c r="I2848" t="s">
        <v>8</v>
      </c>
      <c r="J2848" s="18">
        <v>5840864.0599999996</v>
      </c>
      <c r="K2848" t="s">
        <v>5721</v>
      </c>
      <c r="L2848" t="s">
        <v>4</v>
      </c>
      <c r="M2848" t="s">
        <v>5802</v>
      </c>
      <c r="N2848" t="s">
        <v>3</v>
      </c>
      <c r="O2848" t="s">
        <v>3</v>
      </c>
      <c r="P2848" t="s">
        <v>5</v>
      </c>
      <c r="Q2848" t="s">
        <v>5803</v>
      </c>
      <c r="R2848" t="s">
        <v>3</v>
      </c>
      <c r="S2848" t="s">
        <v>3</v>
      </c>
      <c r="T2848" t="s">
        <v>3</v>
      </c>
      <c r="U2848" t="s">
        <v>3</v>
      </c>
      <c r="V2848" t="s">
        <v>3</v>
      </c>
      <c r="W2848" t="s">
        <v>68</v>
      </c>
      <c r="X2848" s="17"/>
      <c r="Y2848" t="s">
        <v>3</v>
      </c>
      <c r="Z2848" s="17">
        <v>43880</v>
      </c>
      <c r="AA2848" t="s">
        <v>3</v>
      </c>
      <c r="AB2848" t="s">
        <v>5801</v>
      </c>
    </row>
    <row r="2849" spans="1:28" hidden="1">
      <c r="A2849" t="s">
        <v>5851</v>
      </c>
      <c r="B2849" s="17">
        <v>43880</v>
      </c>
      <c r="C2849" s="17">
        <v>43880</v>
      </c>
      <c r="D2849" t="s">
        <v>0</v>
      </c>
      <c r="E2849" t="s">
        <v>1</v>
      </c>
      <c r="F2849" s="18">
        <v>13437.47</v>
      </c>
      <c r="G2849" s="18">
        <v>13437.47</v>
      </c>
      <c r="H2849" t="s">
        <v>2</v>
      </c>
      <c r="I2849" t="s">
        <v>8</v>
      </c>
      <c r="J2849" s="18">
        <v>1128075.6100000001</v>
      </c>
      <c r="K2849" t="s">
        <v>5719</v>
      </c>
      <c r="L2849" t="s">
        <v>4</v>
      </c>
      <c r="M2849" t="s">
        <v>5852</v>
      </c>
      <c r="N2849" t="s">
        <v>3</v>
      </c>
      <c r="O2849" t="s">
        <v>3</v>
      </c>
      <c r="P2849" t="s">
        <v>5</v>
      </c>
      <c r="Q2849" t="s">
        <v>5853</v>
      </c>
      <c r="R2849" t="s">
        <v>3</v>
      </c>
      <c r="S2849" t="s">
        <v>3</v>
      </c>
      <c r="T2849" t="s">
        <v>3</v>
      </c>
      <c r="U2849" t="s">
        <v>3</v>
      </c>
      <c r="V2849" t="s">
        <v>3</v>
      </c>
      <c r="W2849" t="s">
        <v>68</v>
      </c>
      <c r="X2849" s="17"/>
      <c r="Y2849" t="s">
        <v>3</v>
      </c>
      <c r="Z2849" s="17">
        <v>43880</v>
      </c>
      <c r="AA2849" t="s">
        <v>3</v>
      </c>
      <c r="AB2849" t="s">
        <v>5851</v>
      </c>
    </row>
    <row r="2850" spans="1:28" hidden="1">
      <c r="A2850" t="s">
        <v>5851</v>
      </c>
      <c r="B2850" s="17">
        <v>43880</v>
      </c>
      <c r="C2850" s="17">
        <v>43880</v>
      </c>
      <c r="D2850" t="s">
        <v>0</v>
      </c>
      <c r="E2850" t="s">
        <v>1</v>
      </c>
      <c r="F2850" s="18">
        <v>8513.39</v>
      </c>
      <c r="G2850" s="18">
        <v>8513.39</v>
      </c>
      <c r="H2850" t="s">
        <v>2</v>
      </c>
      <c r="I2850" t="s">
        <v>8</v>
      </c>
      <c r="J2850" s="18">
        <v>714699.09</v>
      </c>
      <c r="K2850" t="s">
        <v>5721</v>
      </c>
      <c r="L2850" t="s">
        <v>4</v>
      </c>
      <c r="M2850" t="s">
        <v>5852</v>
      </c>
      <c r="N2850" t="s">
        <v>3</v>
      </c>
      <c r="O2850" t="s">
        <v>3</v>
      </c>
      <c r="P2850" t="s">
        <v>5</v>
      </c>
      <c r="Q2850" t="s">
        <v>5853</v>
      </c>
      <c r="R2850" t="s">
        <v>3</v>
      </c>
      <c r="S2850" t="s">
        <v>3</v>
      </c>
      <c r="T2850" t="s">
        <v>3</v>
      </c>
      <c r="U2850" t="s">
        <v>3</v>
      </c>
      <c r="V2850" t="s">
        <v>3</v>
      </c>
      <c r="W2850" t="s">
        <v>68</v>
      </c>
      <c r="X2850" s="17"/>
      <c r="Y2850" t="s">
        <v>3</v>
      </c>
      <c r="Z2850" s="17">
        <v>43880</v>
      </c>
      <c r="AA2850" t="s">
        <v>3</v>
      </c>
      <c r="AB2850" t="s">
        <v>5851</v>
      </c>
    </row>
    <row r="2851" spans="1:28" hidden="1">
      <c r="A2851" t="s">
        <v>5851</v>
      </c>
      <c r="B2851" s="17">
        <v>43880</v>
      </c>
      <c r="C2851" s="17">
        <v>43880</v>
      </c>
      <c r="D2851" t="s">
        <v>0</v>
      </c>
      <c r="E2851" t="s">
        <v>1</v>
      </c>
      <c r="F2851" s="18">
        <v>529.29999999999995</v>
      </c>
      <c r="G2851" s="18">
        <v>529.29999999999995</v>
      </c>
      <c r="H2851" t="s">
        <v>2</v>
      </c>
      <c r="I2851" t="s">
        <v>8</v>
      </c>
      <c r="J2851" s="18">
        <v>44434.74</v>
      </c>
      <c r="K2851" t="s">
        <v>5812</v>
      </c>
      <c r="L2851" t="s">
        <v>4</v>
      </c>
      <c r="M2851" t="s">
        <v>5852</v>
      </c>
      <c r="N2851" t="s">
        <v>3</v>
      </c>
      <c r="O2851" t="s">
        <v>3</v>
      </c>
      <c r="P2851" t="s">
        <v>5</v>
      </c>
      <c r="Q2851" t="s">
        <v>5853</v>
      </c>
      <c r="R2851" t="s">
        <v>3</v>
      </c>
      <c r="S2851" t="s">
        <v>3</v>
      </c>
      <c r="T2851" t="s">
        <v>3</v>
      </c>
      <c r="U2851" t="s">
        <v>3</v>
      </c>
      <c r="V2851" t="s">
        <v>3</v>
      </c>
      <c r="W2851" t="s">
        <v>68</v>
      </c>
      <c r="X2851" s="17"/>
      <c r="Y2851" t="s">
        <v>3</v>
      </c>
      <c r="Z2851" s="17">
        <v>43880</v>
      </c>
      <c r="AA2851" t="s">
        <v>3</v>
      </c>
      <c r="AB2851" t="s">
        <v>5851</v>
      </c>
    </row>
    <row r="2852" spans="1:28" hidden="1">
      <c r="A2852" t="s">
        <v>5804</v>
      </c>
      <c r="B2852" s="17">
        <v>43881</v>
      </c>
      <c r="C2852" s="17">
        <v>43881</v>
      </c>
      <c r="D2852" t="s">
        <v>0</v>
      </c>
      <c r="E2852" t="s">
        <v>1</v>
      </c>
      <c r="F2852" s="18">
        <v>31147</v>
      </c>
      <c r="G2852" s="18">
        <v>31147</v>
      </c>
      <c r="H2852" t="s">
        <v>2</v>
      </c>
      <c r="I2852" t="s">
        <v>8</v>
      </c>
      <c r="J2852" s="18">
        <v>2600774.5</v>
      </c>
      <c r="K2852" t="s">
        <v>5758</v>
      </c>
      <c r="L2852" t="s">
        <v>9</v>
      </c>
      <c r="M2852" t="s">
        <v>5805</v>
      </c>
      <c r="N2852" t="s">
        <v>3</v>
      </c>
      <c r="O2852" t="s">
        <v>3</v>
      </c>
      <c r="P2852" t="s">
        <v>5</v>
      </c>
      <c r="Q2852" t="s">
        <v>5806</v>
      </c>
      <c r="R2852" t="s">
        <v>3</v>
      </c>
      <c r="S2852" t="s">
        <v>3</v>
      </c>
      <c r="T2852" t="s">
        <v>3</v>
      </c>
      <c r="U2852" t="s">
        <v>3</v>
      </c>
      <c r="V2852" t="s">
        <v>3</v>
      </c>
      <c r="W2852" t="s">
        <v>68</v>
      </c>
      <c r="X2852" s="17"/>
      <c r="Y2852" t="s">
        <v>3</v>
      </c>
      <c r="Z2852" s="17">
        <v>43881</v>
      </c>
      <c r="AA2852" t="s">
        <v>3</v>
      </c>
      <c r="AB2852" t="s">
        <v>5804</v>
      </c>
    </row>
    <row r="2853" spans="1:28" hidden="1">
      <c r="A2853" t="s">
        <v>5804</v>
      </c>
      <c r="B2853" s="17">
        <v>43881</v>
      </c>
      <c r="C2853" s="17">
        <v>43881</v>
      </c>
      <c r="D2853" t="s">
        <v>0</v>
      </c>
      <c r="E2853" t="s">
        <v>1</v>
      </c>
      <c r="F2853" s="18">
        <v>49942</v>
      </c>
      <c r="G2853" s="18">
        <v>49942</v>
      </c>
      <c r="H2853" t="s">
        <v>2</v>
      </c>
      <c r="I2853" t="s">
        <v>8</v>
      </c>
      <c r="J2853" s="18">
        <v>4192630.9</v>
      </c>
      <c r="K2853" t="s">
        <v>5726</v>
      </c>
      <c r="L2853" t="s">
        <v>9</v>
      </c>
      <c r="M2853" t="s">
        <v>5805</v>
      </c>
      <c r="N2853" t="s">
        <v>3</v>
      </c>
      <c r="O2853" t="s">
        <v>3</v>
      </c>
      <c r="P2853" t="s">
        <v>5</v>
      </c>
      <c r="Q2853" t="s">
        <v>5806</v>
      </c>
      <c r="R2853" t="s">
        <v>3</v>
      </c>
      <c r="S2853" t="s">
        <v>3</v>
      </c>
      <c r="T2853" t="s">
        <v>3</v>
      </c>
      <c r="U2853" t="s">
        <v>3</v>
      </c>
      <c r="V2853" t="s">
        <v>3</v>
      </c>
      <c r="W2853" t="s">
        <v>68</v>
      </c>
      <c r="X2853" s="17"/>
      <c r="Y2853" t="s">
        <v>3</v>
      </c>
      <c r="Z2853" s="17">
        <v>43881</v>
      </c>
      <c r="AA2853" t="s">
        <v>3</v>
      </c>
      <c r="AB2853" t="s">
        <v>5804</v>
      </c>
    </row>
    <row r="2854" spans="1:28" hidden="1">
      <c r="A2854" t="s">
        <v>5804</v>
      </c>
      <c r="B2854" s="17">
        <v>43881</v>
      </c>
      <c r="C2854" s="17">
        <v>43881</v>
      </c>
      <c r="D2854" t="s">
        <v>0</v>
      </c>
      <c r="E2854" t="s">
        <v>1</v>
      </c>
      <c r="F2854" s="18">
        <v>61991</v>
      </c>
      <c r="G2854" s="18">
        <v>61991</v>
      </c>
      <c r="H2854" t="s">
        <v>2</v>
      </c>
      <c r="I2854" t="s">
        <v>8</v>
      </c>
      <c r="J2854" s="18">
        <v>5204144.45</v>
      </c>
      <c r="K2854" t="s">
        <v>5690</v>
      </c>
      <c r="L2854" t="s">
        <v>9</v>
      </c>
      <c r="M2854" t="s">
        <v>5805</v>
      </c>
      <c r="N2854" t="s">
        <v>3</v>
      </c>
      <c r="O2854" t="s">
        <v>3</v>
      </c>
      <c r="P2854" t="s">
        <v>5</v>
      </c>
      <c r="Q2854" t="s">
        <v>5806</v>
      </c>
      <c r="R2854" t="s">
        <v>3</v>
      </c>
      <c r="S2854" t="s">
        <v>3</v>
      </c>
      <c r="T2854" t="s">
        <v>3</v>
      </c>
      <c r="U2854" t="s">
        <v>3</v>
      </c>
      <c r="V2854" t="s">
        <v>3</v>
      </c>
      <c r="W2854" t="s">
        <v>68</v>
      </c>
      <c r="X2854" s="17"/>
      <c r="Y2854" t="s">
        <v>3</v>
      </c>
      <c r="Z2854" s="17">
        <v>43881</v>
      </c>
      <c r="AA2854" t="s">
        <v>3</v>
      </c>
      <c r="AB2854" t="s">
        <v>5804</v>
      </c>
    </row>
    <row r="2855" spans="1:28" hidden="1">
      <c r="A2855" t="s">
        <v>5804</v>
      </c>
      <c r="B2855" s="17">
        <v>43881</v>
      </c>
      <c r="C2855" s="17">
        <v>43881</v>
      </c>
      <c r="D2855" t="s">
        <v>0</v>
      </c>
      <c r="E2855" t="s">
        <v>1</v>
      </c>
      <c r="F2855" s="18">
        <v>77829</v>
      </c>
      <c r="G2855" s="18">
        <v>77829</v>
      </c>
      <c r="H2855" t="s">
        <v>2</v>
      </c>
      <c r="I2855" t="s">
        <v>8</v>
      </c>
      <c r="J2855" s="18">
        <v>6525961.6500000004</v>
      </c>
      <c r="K2855" t="s">
        <v>5761</v>
      </c>
      <c r="L2855" t="s">
        <v>9</v>
      </c>
      <c r="M2855" t="s">
        <v>5805</v>
      </c>
      <c r="N2855" t="s">
        <v>3</v>
      </c>
      <c r="O2855" t="s">
        <v>3</v>
      </c>
      <c r="P2855" t="s">
        <v>5</v>
      </c>
      <c r="Q2855" t="s">
        <v>5806</v>
      </c>
      <c r="R2855" t="s">
        <v>3</v>
      </c>
      <c r="S2855" t="s">
        <v>3</v>
      </c>
      <c r="T2855" t="s">
        <v>3</v>
      </c>
      <c r="U2855" t="s">
        <v>3</v>
      </c>
      <c r="V2855" t="s">
        <v>3</v>
      </c>
      <c r="W2855" t="s">
        <v>68</v>
      </c>
      <c r="X2855" s="17"/>
      <c r="Y2855" t="s">
        <v>3</v>
      </c>
      <c r="Z2855" s="17">
        <v>43881</v>
      </c>
      <c r="AA2855" t="s">
        <v>3</v>
      </c>
      <c r="AB2855" t="s">
        <v>5804</v>
      </c>
    </row>
    <row r="2856" spans="1:28" hidden="1">
      <c r="A2856" t="s">
        <v>5804</v>
      </c>
      <c r="B2856" s="17">
        <v>43881</v>
      </c>
      <c r="C2856" s="17">
        <v>43881</v>
      </c>
      <c r="D2856" t="s">
        <v>0</v>
      </c>
      <c r="E2856" t="s">
        <v>1</v>
      </c>
      <c r="F2856" s="18">
        <v>30349</v>
      </c>
      <c r="G2856" s="18">
        <v>30349</v>
      </c>
      <c r="H2856" t="s">
        <v>2</v>
      </c>
      <c r="I2856" t="s">
        <v>8</v>
      </c>
      <c r="J2856" s="18">
        <v>2547798.5499999998</v>
      </c>
      <c r="K2856" t="s">
        <v>5807</v>
      </c>
      <c r="L2856" t="s">
        <v>9</v>
      </c>
      <c r="M2856" t="s">
        <v>5805</v>
      </c>
      <c r="N2856" t="s">
        <v>3</v>
      </c>
      <c r="O2856" t="s">
        <v>3</v>
      </c>
      <c r="P2856" t="s">
        <v>5</v>
      </c>
      <c r="Q2856" t="s">
        <v>5806</v>
      </c>
      <c r="R2856" t="s">
        <v>3</v>
      </c>
      <c r="S2856" t="s">
        <v>3</v>
      </c>
      <c r="T2856" t="s">
        <v>3</v>
      </c>
      <c r="U2856" t="s">
        <v>3</v>
      </c>
      <c r="V2856" t="s">
        <v>3</v>
      </c>
      <c r="W2856" t="s">
        <v>68</v>
      </c>
      <c r="X2856" s="17"/>
      <c r="Y2856" t="s">
        <v>3</v>
      </c>
      <c r="Z2856" s="17">
        <v>43881</v>
      </c>
      <c r="AA2856" t="s">
        <v>3</v>
      </c>
      <c r="AB2856" t="s">
        <v>5804</v>
      </c>
    </row>
    <row r="2857" spans="1:28" hidden="1">
      <c r="A2857" t="s">
        <v>5804</v>
      </c>
      <c r="B2857" s="17">
        <v>43881</v>
      </c>
      <c r="C2857" s="17">
        <v>43881</v>
      </c>
      <c r="D2857" t="s">
        <v>0</v>
      </c>
      <c r="E2857" t="s">
        <v>1</v>
      </c>
      <c r="F2857" s="18">
        <v>24872</v>
      </c>
      <c r="G2857" s="18">
        <v>24872</v>
      </c>
      <c r="H2857" t="s">
        <v>2</v>
      </c>
      <c r="I2857" t="s">
        <v>8</v>
      </c>
      <c r="J2857" s="18">
        <v>2088004.4</v>
      </c>
      <c r="K2857" t="s">
        <v>5808</v>
      </c>
      <c r="L2857" t="s">
        <v>9</v>
      </c>
      <c r="M2857" t="s">
        <v>5805</v>
      </c>
      <c r="N2857" t="s">
        <v>3</v>
      </c>
      <c r="O2857" t="s">
        <v>3</v>
      </c>
      <c r="P2857" t="s">
        <v>5</v>
      </c>
      <c r="Q2857" t="s">
        <v>5806</v>
      </c>
      <c r="R2857" t="s">
        <v>3</v>
      </c>
      <c r="S2857" t="s">
        <v>3</v>
      </c>
      <c r="T2857" t="s">
        <v>3</v>
      </c>
      <c r="U2857" t="s">
        <v>3</v>
      </c>
      <c r="V2857" t="s">
        <v>3</v>
      </c>
      <c r="W2857" t="s">
        <v>68</v>
      </c>
      <c r="X2857" s="17"/>
      <c r="Y2857" t="s">
        <v>3</v>
      </c>
      <c r="Z2857" s="17">
        <v>43881</v>
      </c>
      <c r="AA2857" t="s">
        <v>3</v>
      </c>
      <c r="AB2857" t="s">
        <v>5804</v>
      </c>
    </row>
    <row r="2858" spans="1:28" hidden="1">
      <c r="A2858" t="s">
        <v>5804</v>
      </c>
      <c r="B2858" s="17">
        <v>43881</v>
      </c>
      <c r="C2858" s="17">
        <v>43881</v>
      </c>
      <c r="D2858" t="s">
        <v>0</v>
      </c>
      <c r="E2858" t="s">
        <v>1</v>
      </c>
      <c r="F2858" s="18">
        <v>128336</v>
      </c>
      <c r="G2858" s="18">
        <v>128336</v>
      </c>
      <c r="H2858" t="s">
        <v>2</v>
      </c>
      <c r="I2858" t="s">
        <v>8</v>
      </c>
      <c r="J2858" s="18">
        <v>10773807.199999999</v>
      </c>
      <c r="K2858" t="s">
        <v>5693</v>
      </c>
      <c r="L2858" t="s">
        <v>9</v>
      </c>
      <c r="M2858" t="s">
        <v>5805</v>
      </c>
      <c r="N2858" t="s">
        <v>3</v>
      </c>
      <c r="O2858" t="s">
        <v>3</v>
      </c>
      <c r="P2858" t="s">
        <v>5</v>
      </c>
      <c r="Q2858" t="s">
        <v>5806</v>
      </c>
      <c r="R2858" t="s">
        <v>3</v>
      </c>
      <c r="S2858" t="s">
        <v>3</v>
      </c>
      <c r="T2858" t="s">
        <v>3</v>
      </c>
      <c r="U2858" t="s">
        <v>3</v>
      </c>
      <c r="V2858" t="s">
        <v>3</v>
      </c>
      <c r="W2858" t="s">
        <v>68</v>
      </c>
      <c r="X2858" s="17"/>
      <c r="Y2858" t="s">
        <v>3</v>
      </c>
      <c r="Z2858" s="17">
        <v>43881</v>
      </c>
      <c r="AA2858" t="s">
        <v>3</v>
      </c>
      <c r="AB2858" t="s">
        <v>5804</v>
      </c>
    </row>
    <row r="2859" spans="1:28" hidden="1">
      <c r="A2859" t="s">
        <v>5804</v>
      </c>
      <c r="B2859" s="17">
        <v>43881</v>
      </c>
      <c r="C2859" s="17">
        <v>43881</v>
      </c>
      <c r="D2859" t="s">
        <v>0</v>
      </c>
      <c r="E2859" t="s">
        <v>1</v>
      </c>
      <c r="F2859" s="18">
        <v>36731</v>
      </c>
      <c r="G2859" s="18">
        <v>36731</v>
      </c>
      <c r="H2859" t="s">
        <v>2</v>
      </c>
      <c r="I2859" t="s">
        <v>8</v>
      </c>
      <c r="J2859" s="18">
        <v>3083567.45</v>
      </c>
      <c r="K2859" t="s">
        <v>5694</v>
      </c>
      <c r="L2859" t="s">
        <v>9</v>
      </c>
      <c r="M2859" t="s">
        <v>5805</v>
      </c>
      <c r="N2859" t="s">
        <v>3</v>
      </c>
      <c r="O2859" t="s">
        <v>3</v>
      </c>
      <c r="P2859" t="s">
        <v>5</v>
      </c>
      <c r="Q2859" t="s">
        <v>5806</v>
      </c>
      <c r="R2859" t="s">
        <v>3</v>
      </c>
      <c r="S2859" t="s">
        <v>3</v>
      </c>
      <c r="T2859" t="s">
        <v>3</v>
      </c>
      <c r="U2859" t="s">
        <v>3</v>
      </c>
      <c r="V2859" t="s">
        <v>3</v>
      </c>
      <c r="W2859" t="s">
        <v>68</v>
      </c>
      <c r="X2859" s="17"/>
      <c r="Y2859" t="s">
        <v>3</v>
      </c>
      <c r="Z2859" s="17">
        <v>43881</v>
      </c>
      <c r="AA2859" t="s">
        <v>3</v>
      </c>
      <c r="AB2859" t="s">
        <v>5804</v>
      </c>
    </row>
    <row r="2860" spans="1:28" hidden="1">
      <c r="A2860" t="s">
        <v>5809</v>
      </c>
      <c r="B2860" s="17">
        <v>43881</v>
      </c>
      <c r="C2860" s="17">
        <v>43881</v>
      </c>
      <c r="D2860" t="s">
        <v>0</v>
      </c>
      <c r="E2860" t="s">
        <v>1</v>
      </c>
      <c r="F2860" s="18">
        <v>26600.28</v>
      </c>
      <c r="G2860" s="18">
        <v>26600.28</v>
      </c>
      <c r="H2860" t="s">
        <v>2</v>
      </c>
      <c r="I2860" t="s">
        <v>8</v>
      </c>
      <c r="J2860" s="18">
        <v>2233093.5099999998</v>
      </c>
      <c r="K2860" t="s">
        <v>5719</v>
      </c>
      <c r="L2860" t="s">
        <v>4</v>
      </c>
      <c r="M2860" t="s">
        <v>5810</v>
      </c>
      <c r="N2860" t="s">
        <v>3</v>
      </c>
      <c r="O2860" t="s">
        <v>3</v>
      </c>
      <c r="P2860" t="s">
        <v>5</v>
      </c>
      <c r="Q2860" t="s">
        <v>5811</v>
      </c>
      <c r="R2860" t="s">
        <v>3</v>
      </c>
      <c r="S2860" t="s">
        <v>3</v>
      </c>
      <c r="T2860" t="s">
        <v>3</v>
      </c>
      <c r="U2860" t="s">
        <v>3</v>
      </c>
      <c r="V2860" t="s">
        <v>3</v>
      </c>
      <c r="W2860" t="s">
        <v>68</v>
      </c>
      <c r="X2860" s="17"/>
      <c r="Y2860" t="s">
        <v>3</v>
      </c>
      <c r="Z2860" s="17">
        <v>43881</v>
      </c>
      <c r="AA2860" t="s">
        <v>3</v>
      </c>
      <c r="AB2860" t="s">
        <v>5809</v>
      </c>
    </row>
    <row r="2861" spans="1:28" hidden="1">
      <c r="A2861" t="s">
        <v>5809</v>
      </c>
      <c r="B2861" s="17">
        <v>43881</v>
      </c>
      <c r="C2861" s="17">
        <v>43881</v>
      </c>
      <c r="D2861" t="s">
        <v>0</v>
      </c>
      <c r="E2861" t="s">
        <v>1</v>
      </c>
      <c r="F2861" s="18">
        <v>55959.67</v>
      </c>
      <c r="G2861" s="18">
        <v>55959.67</v>
      </c>
      <c r="H2861" t="s">
        <v>2</v>
      </c>
      <c r="I2861" t="s">
        <v>8</v>
      </c>
      <c r="J2861" s="18">
        <v>4697814.3</v>
      </c>
      <c r="K2861" t="s">
        <v>5812</v>
      </c>
      <c r="L2861" t="s">
        <v>4</v>
      </c>
      <c r="M2861" t="s">
        <v>5810</v>
      </c>
      <c r="N2861" t="s">
        <v>3</v>
      </c>
      <c r="O2861" t="s">
        <v>3</v>
      </c>
      <c r="P2861" t="s">
        <v>5</v>
      </c>
      <c r="Q2861" t="s">
        <v>5811</v>
      </c>
      <c r="R2861" t="s">
        <v>3</v>
      </c>
      <c r="S2861" t="s">
        <v>3</v>
      </c>
      <c r="T2861" t="s">
        <v>3</v>
      </c>
      <c r="U2861" t="s">
        <v>3</v>
      </c>
      <c r="V2861" t="s">
        <v>3</v>
      </c>
      <c r="W2861" t="s">
        <v>68</v>
      </c>
      <c r="X2861" s="17"/>
      <c r="Y2861" t="s">
        <v>3</v>
      </c>
      <c r="Z2861" s="17">
        <v>43881</v>
      </c>
      <c r="AA2861" t="s">
        <v>3</v>
      </c>
      <c r="AB2861" t="s">
        <v>5809</v>
      </c>
    </row>
    <row r="2862" spans="1:28" hidden="1">
      <c r="A2862" t="s">
        <v>5813</v>
      </c>
      <c r="B2862" s="17">
        <v>43884</v>
      </c>
      <c r="C2862" s="17">
        <v>43884</v>
      </c>
      <c r="D2862" t="s">
        <v>0</v>
      </c>
      <c r="E2862" t="s">
        <v>1</v>
      </c>
      <c r="F2862" s="18">
        <v>3175</v>
      </c>
      <c r="G2862" s="18">
        <v>3175</v>
      </c>
      <c r="H2862" t="s">
        <v>2</v>
      </c>
      <c r="I2862" t="s">
        <v>8</v>
      </c>
      <c r="J2862" s="18">
        <v>266541.25</v>
      </c>
      <c r="K2862" t="s">
        <v>5726</v>
      </c>
      <c r="L2862" t="s">
        <v>9</v>
      </c>
      <c r="M2862" t="s">
        <v>5814</v>
      </c>
      <c r="N2862" t="s">
        <v>3</v>
      </c>
      <c r="O2862" t="s">
        <v>3</v>
      </c>
      <c r="P2862" t="s">
        <v>5</v>
      </c>
      <c r="Q2862" t="s">
        <v>5815</v>
      </c>
      <c r="R2862" t="s">
        <v>3</v>
      </c>
      <c r="S2862" t="s">
        <v>3</v>
      </c>
      <c r="T2862" t="s">
        <v>3</v>
      </c>
      <c r="U2862" t="s">
        <v>3</v>
      </c>
      <c r="V2862" t="s">
        <v>3</v>
      </c>
      <c r="W2862" t="s">
        <v>68</v>
      </c>
      <c r="X2862" s="17"/>
      <c r="Y2862" t="s">
        <v>3</v>
      </c>
      <c r="Z2862" s="17">
        <v>43884</v>
      </c>
      <c r="AA2862" t="s">
        <v>3</v>
      </c>
      <c r="AB2862" t="s">
        <v>5813</v>
      </c>
    </row>
    <row r="2863" spans="1:28" hidden="1">
      <c r="A2863" t="s">
        <v>5813</v>
      </c>
      <c r="B2863" s="17">
        <v>43884</v>
      </c>
      <c r="C2863" s="17">
        <v>43884</v>
      </c>
      <c r="D2863" t="s">
        <v>0</v>
      </c>
      <c r="E2863" t="s">
        <v>1</v>
      </c>
      <c r="F2863" s="18">
        <v>220</v>
      </c>
      <c r="G2863" s="18">
        <v>220</v>
      </c>
      <c r="H2863" t="s">
        <v>2</v>
      </c>
      <c r="I2863" t="s">
        <v>8</v>
      </c>
      <c r="J2863" s="18">
        <v>18469</v>
      </c>
      <c r="K2863" t="s">
        <v>5690</v>
      </c>
      <c r="L2863" t="s">
        <v>9</v>
      </c>
      <c r="M2863" t="s">
        <v>5814</v>
      </c>
      <c r="N2863" t="s">
        <v>3</v>
      </c>
      <c r="O2863" t="s">
        <v>3</v>
      </c>
      <c r="P2863" t="s">
        <v>5</v>
      </c>
      <c r="Q2863" t="s">
        <v>5815</v>
      </c>
      <c r="R2863" t="s">
        <v>3</v>
      </c>
      <c r="S2863" t="s">
        <v>3</v>
      </c>
      <c r="T2863" t="s">
        <v>3</v>
      </c>
      <c r="U2863" t="s">
        <v>3</v>
      </c>
      <c r="V2863" t="s">
        <v>3</v>
      </c>
      <c r="W2863" t="s">
        <v>68</v>
      </c>
      <c r="X2863" s="17"/>
      <c r="Y2863" t="s">
        <v>3</v>
      </c>
      <c r="Z2863" s="17">
        <v>43884</v>
      </c>
      <c r="AA2863" t="s">
        <v>3</v>
      </c>
      <c r="AB2863" t="s">
        <v>5813</v>
      </c>
    </row>
    <row r="2864" spans="1:28" hidden="1">
      <c r="A2864" t="s">
        <v>5813</v>
      </c>
      <c r="B2864" s="17">
        <v>43884</v>
      </c>
      <c r="C2864" s="17">
        <v>43884</v>
      </c>
      <c r="D2864" t="s">
        <v>0</v>
      </c>
      <c r="E2864" t="s">
        <v>1</v>
      </c>
      <c r="F2864" s="18">
        <v>5357</v>
      </c>
      <c r="G2864" s="18">
        <v>5357</v>
      </c>
      <c r="H2864" t="s">
        <v>2</v>
      </c>
      <c r="I2864" t="s">
        <v>8</v>
      </c>
      <c r="J2864" s="18">
        <v>449720.15</v>
      </c>
      <c r="K2864" t="s">
        <v>5807</v>
      </c>
      <c r="L2864" t="s">
        <v>9</v>
      </c>
      <c r="M2864" t="s">
        <v>5814</v>
      </c>
      <c r="N2864" t="s">
        <v>3</v>
      </c>
      <c r="O2864" t="s">
        <v>3</v>
      </c>
      <c r="P2864" t="s">
        <v>5</v>
      </c>
      <c r="Q2864" t="s">
        <v>5815</v>
      </c>
      <c r="R2864" t="s">
        <v>3</v>
      </c>
      <c r="S2864" t="s">
        <v>3</v>
      </c>
      <c r="T2864" t="s">
        <v>3</v>
      </c>
      <c r="U2864" t="s">
        <v>3</v>
      </c>
      <c r="V2864" t="s">
        <v>3</v>
      </c>
      <c r="W2864" t="s">
        <v>68</v>
      </c>
      <c r="X2864" s="17"/>
      <c r="Y2864" t="s">
        <v>3</v>
      </c>
      <c r="Z2864" s="17">
        <v>43884</v>
      </c>
      <c r="AA2864" t="s">
        <v>3</v>
      </c>
      <c r="AB2864" t="s">
        <v>5813</v>
      </c>
    </row>
    <row r="2865" spans="1:28" hidden="1">
      <c r="A2865" t="s">
        <v>5813</v>
      </c>
      <c r="B2865" s="17">
        <v>43884</v>
      </c>
      <c r="C2865" s="17">
        <v>43884</v>
      </c>
      <c r="D2865" t="s">
        <v>0</v>
      </c>
      <c r="E2865" t="s">
        <v>1</v>
      </c>
      <c r="F2865" s="18">
        <v>4514</v>
      </c>
      <c r="G2865" s="18">
        <v>4514</v>
      </c>
      <c r="H2865" t="s">
        <v>2</v>
      </c>
      <c r="I2865" t="s">
        <v>8</v>
      </c>
      <c r="J2865" s="18">
        <v>378950.3</v>
      </c>
      <c r="K2865" t="s">
        <v>5808</v>
      </c>
      <c r="L2865" t="s">
        <v>9</v>
      </c>
      <c r="M2865" t="s">
        <v>5814</v>
      </c>
      <c r="N2865" t="s">
        <v>3</v>
      </c>
      <c r="O2865" t="s">
        <v>3</v>
      </c>
      <c r="P2865" t="s">
        <v>5</v>
      </c>
      <c r="Q2865" t="s">
        <v>5815</v>
      </c>
      <c r="R2865" t="s">
        <v>3</v>
      </c>
      <c r="S2865" t="s">
        <v>3</v>
      </c>
      <c r="T2865" t="s">
        <v>3</v>
      </c>
      <c r="U2865" t="s">
        <v>3</v>
      </c>
      <c r="V2865" t="s">
        <v>3</v>
      </c>
      <c r="W2865" t="s">
        <v>68</v>
      </c>
      <c r="X2865" s="17"/>
      <c r="Y2865" t="s">
        <v>3</v>
      </c>
      <c r="Z2865" s="17">
        <v>43884</v>
      </c>
      <c r="AA2865" t="s">
        <v>3</v>
      </c>
      <c r="AB2865" t="s">
        <v>5813</v>
      </c>
    </row>
    <row r="2866" spans="1:28" hidden="1">
      <c r="A2866" t="s">
        <v>5813</v>
      </c>
      <c r="B2866" s="17">
        <v>43884</v>
      </c>
      <c r="C2866" s="17">
        <v>43884</v>
      </c>
      <c r="D2866" t="s">
        <v>0</v>
      </c>
      <c r="E2866" t="s">
        <v>1</v>
      </c>
      <c r="F2866" s="18">
        <v>29</v>
      </c>
      <c r="G2866" s="18">
        <v>29</v>
      </c>
      <c r="H2866" t="s">
        <v>2</v>
      </c>
      <c r="I2866" t="s">
        <v>8</v>
      </c>
      <c r="J2866" s="18">
        <v>2434.5500000000002</v>
      </c>
      <c r="K2866" t="s">
        <v>5693</v>
      </c>
      <c r="L2866" t="s">
        <v>9</v>
      </c>
      <c r="M2866" t="s">
        <v>5814</v>
      </c>
      <c r="N2866" t="s">
        <v>3</v>
      </c>
      <c r="O2866" t="s">
        <v>3</v>
      </c>
      <c r="P2866" t="s">
        <v>5</v>
      </c>
      <c r="Q2866" t="s">
        <v>5815</v>
      </c>
      <c r="R2866" t="s">
        <v>3</v>
      </c>
      <c r="S2866" t="s">
        <v>3</v>
      </c>
      <c r="T2866" t="s">
        <v>3</v>
      </c>
      <c r="U2866" t="s">
        <v>3</v>
      </c>
      <c r="V2866" t="s">
        <v>3</v>
      </c>
      <c r="W2866" t="s">
        <v>68</v>
      </c>
      <c r="X2866" s="17"/>
      <c r="Y2866" t="s">
        <v>3</v>
      </c>
      <c r="Z2866" s="17">
        <v>43884</v>
      </c>
      <c r="AA2866" t="s">
        <v>3</v>
      </c>
      <c r="AB2866" t="s">
        <v>5813</v>
      </c>
    </row>
    <row r="2867" spans="1:28" hidden="1">
      <c r="A2867" t="s">
        <v>5813</v>
      </c>
      <c r="B2867" s="17">
        <v>43884</v>
      </c>
      <c r="C2867" s="17">
        <v>43884</v>
      </c>
      <c r="D2867" t="s">
        <v>0</v>
      </c>
      <c r="E2867" t="s">
        <v>1</v>
      </c>
      <c r="F2867" s="18">
        <v>29507</v>
      </c>
      <c r="G2867" s="18">
        <v>29507</v>
      </c>
      <c r="H2867" t="s">
        <v>2</v>
      </c>
      <c r="I2867" t="s">
        <v>8</v>
      </c>
      <c r="J2867" s="18">
        <v>2477112.65</v>
      </c>
      <c r="K2867" t="s">
        <v>5694</v>
      </c>
      <c r="L2867" t="s">
        <v>9</v>
      </c>
      <c r="M2867" t="s">
        <v>5814</v>
      </c>
      <c r="N2867" t="s">
        <v>3</v>
      </c>
      <c r="O2867" t="s">
        <v>3</v>
      </c>
      <c r="P2867" t="s">
        <v>5</v>
      </c>
      <c r="Q2867" t="s">
        <v>5815</v>
      </c>
      <c r="R2867" t="s">
        <v>3</v>
      </c>
      <c r="S2867" t="s">
        <v>3</v>
      </c>
      <c r="T2867" t="s">
        <v>3</v>
      </c>
      <c r="U2867" t="s">
        <v>3</v>
      </c>
      <c r="V2867" t="s">
        <v>3</v>
      </c>
      <c r="W2867" t="s">
        <v>68</v>
      </c>
      <c r="X2867" s="17"/>
      <c r="Y2867" t="s">
        <v>3</v>
      </c>
      <c r="Z2867" s="17">
        <v>43884</v>
      </c>
      <c r="AA2867" t="s">
        <v>3</v>
      </c>
      <c r="AB2867" t="s">
        <v>5813</v>
      </c>
    </row>
    <row r="2868" spans="1:28" hidden="1">
      <c r="A2868" t="s">
        <v>5813</v>
      </c>
      <c r="B2868" s="17">
        <v>43884</v>
      </c>
      <c r="C2868" s="17">
        <v>43884</v>
      </c>
      <c r="D2868" t="s">
        <v>0</v>
      </c>
      <c r="E2868" t="s">
        <v>1</v>
      </c>
      <c r="F2868" s="18">
        <v>1916</v>
      </c>
      <c r="G2868" s="18">
        <v>1916</v>
      </c>
      <c r="H2868" t="s">
        <v>2</v>
      </c>
      <c r="I2868" t="s">
        <v>8</v>
      </c>
      <c r="J2868" s="18">
        <v>160848.20000000001</v>
      </c>
      <c r="K2868" t="s">
        <v>5695</v>
      </c>
      <c r="L2868" t="s">
        <v>9</v>
      </c>
      <c r="M2868" t="s">
        <v>5814</v>
      </c>
      <c r="N2868" t="s">
        <v>3</v>
      </c>
      <c r="O2868" t="s">
        <v>3</v>
      </c>
      <c r="P2868" t="s">
        <v>5</v>
      </c>
      <c r="Q2868" t="s">
        <v>5815</v>
      </c>
      <c r="R2868" t="s">
        <v>3</v>
      </c>
      <c r="S2868" t="s">
        <v>3</v>
      </c>
      <c r="T2868" t="s">
        <v>3</v>
      </c>
      <c r="U2868" t="s">
        <v>3</v>
      </c>
      <c r="V2868" t="s">
        <v>3</v>
      </c>
      <c r="W2868" t="s">
        <v>68</v>
      </c>
      <c r="X2868" s="17"/>
      <c r="Y2868" t="s">
        <v>3</v>
      </c>
      <c r="Z2868" s="17">
        <v>43884</v>
      </c>
      <c r="AA2868" t="s">
        <v>3</v>
      </c>
      <c r="AB2868" t="s">
        <v>5813</v>
      </c>
    </row>
    <row r="2869" spans="1:28" hidden="1">
      <c r="A2869" t="s">
        <v>5816</v>
      </c>
      <c r="B2869" s="17">
        <v>43885</v>
      </c>
      <c r="C2869" s="17">
        <v>43885</v>
      </c>
      <c r="D2869" t="s">
        <v>0</v>
      </c>
      <c r="E2869" t="s">
        <v>1</v>
      </c>
      <c r="F2869" s="18">
        <v>1099.54</v>
      </c>
      <c r="G2869" s="18">
        <v>1099.54</v>
      </c>
      <c r="H2869" t="s">
        <v>2</v>
      </c>
      <c r="I2869" t="s">
        <v>8</v>
      </c>
      <c r="J2869" s="18">
        <v>92306.38</v>
      </c>
      <c r="K2869" t="s">
        <v>5719</v>
      </c>
      <c r="L2869" t="s">
        <v>4</v>
      </c>
      <c r="M2869" t="s">
        <v>5817</v>
      </c>
      <c r="N2869" t="s">
        <v>3</v>
      </c>
      <c r="O2869" t="s">
        <v>3</v>
      </c>
      <c r="P2869" t="s">
        <v>5</v>
      </c>
      <c r="Q2869" t="s">
        <v>5818</v>
      </c>
      <c r="R2869" t="s">
        <v>3</v>
      </c>
      <c r="S2869" t="s">
        <v>3</v>
      </c>
      <c r="T2869" t="s">
        <v>3</v>
      </c>
      <c r="U2869" t="s">
        <v>3</v>
      </c>
      <c r="V2869" t="s">
        <v>3</v>
      </c>
      <c r="W2869" t="s">
        <v>68</v>
      </c>
      <c r="X2869" s="17"/>
      <c r="Y2869" t="s">
        <v>3</v>
      </c>
      <c r="Z2869" s="17">
        <v>43885</v>
      </c>
      <c r="AA2869" t="s">
        <v>3</v>
      </c>
      <c r="AB2869" t="s">
        <v>5816</v>
      </c>
    </row>
    <row r="2870" spans="1:28" hidden="1">
      <c r="A2870" t="s">
        <v>5816</v>
      </c>
      <c r="B2870" s="17">
        <v>43885</v>
      </c>
      <c r="C2870" s="17">
        <v>43885</v>
      </c>
      <c r="D2870" t="s">
        <v>0</v>
      </c>
      <c r="E2870" t="s">
        <v>1</v>
      </c>
      <c r="F2870" s="18">
        <v>16225.7</v>
      </c>
      <c r="G2870" s="18">
        <v>16225.7</v>
      </c>
      <c r="H2870" t="s">
        <v>2</v>
      </c>
      <c r="I2870" t="s">
        <v>8</v>
      </c>
      <c r="J2870" s="18">
        <v>1362147.52</v>
      </c>
      <c r="K2870" t="s">
        <v>5721</v>
      </c>
      <c r="L2870" t="s">
        <v>4</v>
      </c>
      <c r="M2870" t="s">
        <v>5817</v>
      </c>
      <c r="N2870" t="s">
        <v>3</v>
      </c>
      <c r="O2870" t="s">
        <v>3</v>
      </c>
      <c r="P2870" t="s">
        <v>5</v>
      </c>
      <c r="Q2870" t="s">
        <v>5818</v>
      </c>
      <c r="R2870" t="s">
        <v>3</v>
      </c>
      <c r="S2870" t="s">
        <v>3</v>
      </c>
      <c r="T2870" t="s">
        <v>3</v>
      </c>
      <c r="U2870" t="s">
        <v>3</v>
      </c>
      <c r="V2870" t="s">
        <v>3</v>
      </c>
      <c r="W2870" t="s">
        <v>68</v>
      </c>
      <c r="X2870" s="17"/>
      <c r="Y2870" t="s">
        <v>3</v>
      </c>
      <c r="Z2870" s="17">
        <v>43885</v>
      </c>
      <c r="AA2870" t="s">
        <v>3</v>
      </c>
      <c r="AB2870" t="s">
        <v>5816</v>
      </c>
    </row>
    <row r="2871" spans="1:28" hidden="1">
      <c r="A2871" t="s">
        <v>5816</v>
      </c>
      <c r="B2871" s="17">
        <v>43885</v>
      </c>
      <c r="C2871" s="17">
        <v>43885</v>
      </c>
      <c r="D2871" t="s">
        <v>0</v>
      </c>
      <c r="E2871" t="s">
        <v>1</v>
      </c>
      <c r="F2871" s="18">
        <v>19786.7</v>
      </c>
      <c r="G2871" s="18">
        <v>19786.7</v>
      </c>
      <c r="H2871" t="s">
        <v>2</v>
      </c>
      <c r="I2871" t="s">
        <v>8</v>
      </c>
      <c r="J2871" s="18">
        <v>1661093.47</v>
      </c>
      <c r="K2871" t="s">
        <v>5819</v>
      </c>
      <c r="L2871" t="s">
        <v>4</v>
      </c>
      <c r="M2871" t="s">
        <v>5817</v>
      </c>
      <c r="N2871" t="s">
        <v>3</v>
      </c>
      <c r="O2871" t="s">
        <v>3</v>
      </c>
      <c r="P2871" t="s">
        <v>5</v>
      </c>
      <c r="Q2871" t="s">
        <v>5818</v>
      </c>
      <c r="R2871" t="s">
        <v>3</v>
      </c>
      <c r="S2871" t="s">
        <v>3</v>
      </c>
      <c r="T2871" t="s">
        <v>3</v>
      </c>
      <c r="U2871" t="s">
        <v>3</v>
      </c>
      <c r="V2871" t="s">
        <v>3</v>
      </c>
      <c r="W2871" t="s">
        <v>68</v>
      </c>
      <c r="X2871" s="17"/>
      <c r="Y2871" t="s">
        <v>3</v>
      </c>
      <c r="Z2871" s="17">
        <v>43885</v>
      </c>
      <c r="AA2871" t="s">
        <v>3</v>
      </c>
      <c r="AB2871" t="s">
        <v>5816</v>
      </c>
    </row>
    <row r="2872" spans="1:28" hidden="1">
      <c r="A2872" t="s">
        <v>5816</v>
      </c>
      <c r="B2872" s="17">
        <v>43885</v>
      </c>
      <c r="C2872" s="17">
        <v>43885</v>
      </c>
      <c r="D2872" t="s">
        <v>0</v>
      </c>
      <c r="E2872" t="s">
        <v>1</v>
      </c>
      <c r="F2872" s="18">
        <v>863.7</v>
      </c>
      <c r="G2872" s="18">
        <v>863.7</v>
      </c>
      <c r="H2872" t="s">
        <v>2</v>
      </c>
      <c r="I2872" t="s">
        <v>8</v>
      </c>
      <c r="J2872" s="18">
        <v>72507.62</v>
      </c>
      <c r="K2872" t="s">
        <v>5722</v>
      </c>
      <c r="L2872" t="s">
        <v>4</v>
      </c>
      <c r="M2872" t="s">
        <v>5817</v>
      </c>
      <c r="N2872" t="s">
        <v>3</v>
      </c>
      <c r="O2872" t="s">
        <v>3</v>
      </c>
      <c r="P2872" t="s">
        <v>5</v>
      </c>
      <c r="Q2872" t="s">
        <v>5818</v>
      </c>
      <c r="R2872" t="s">
        <v>3</v>
      </c>
      <c r="S2872" t="s">
        <v>3</v>
      </c>
      <c r="T2872" t="s">
        <v>3</v>
      </c>
      <c r="U2872" t="s">
        <v>3</v>
      </c>
      <c r="V2872" t="s">
        <v>3</v>
      </c>
      <c r="W2872" t="s">
        <v>68</v>
      </c>
      <c r="X2872" s="17"/>
      <c r="Y2872" t="s">
        <v>3</v>
      </c>
      <c r="Z2872" s="17">
        <v>43885</v>
      </c>
      <c r="AA2872" t="s">
        <v>3</v>
      </c>
      <c r="AB2872" t="s">
        <v>5816</v>
      </c>
    </row>
    <row r="2873" spans="1:28" hidden="1">
      <c r="A2873" t="s">
        <v>5816</v>
      </c>
      <c r="B2873" s="17">
        <v>43885</v>
      </c>
      <c r="C2873" s="17">
        <v>43885</v>
      </c>
      <c r="D2873" t="s">
        <v>0</v>
      </c>
      <c r="E2873" t="s">
        <v>1</v>
      </c>
      <c r="F2873" s="18">
        <v>71831.22</v>
      </c>
      <c r="G2873" s="18">
        <v>71831.22</v>
      </c>
      <c r="H2873" t="s">
        <v>2</v>
      </c>
      <c r="I2873" t="s">
        <v>8</v>
      </c>
      <c r="J2873" s="18">
        <v>6030230.9199999999</v>
      </c>
      <c r="K2873" t="s">
        <v>5723</v>
      </c>
      <c r="L2873" t="s">
        <v>4</v>
      </c>
      <c r="M2873" t="s">
        <v>5817</v>
      </c>
      <c r="N2873" t="s">
        <v>3</v>
      </c>
      <c r="O2873" t="s">
        <v>3</v>
      </c>
      <c r="P2873" t="s">
        <v>5</v>
      </c>
      <c r="Q2873" t="s">
        <v>5818</v>
      </c>
      <c r="R2873" t="s">
        <v>3</v>
      </c>
      <c r="S2873" t="s">
        <v>3</v>
      </c>
      <c r="T2873" t="s">
        <v>3</v>
      </c>
      <c r="U2873" t="s">
        <v>3</v>
      </c>
      <c r="V2873" t="s">
        <v>3</v>
      </c>
      <c r="W2873" t="s">
        <v>68</v>
      </c>
      <c r="X2873" s="17"/>
      <c r="Y2873" t="s">
        <v>3</v>
      </c>
      <c r="Z2873" s="17">
        <v>43885</v>
      </c>
      <c r="AA2873" t="s">
        <v>3</v>
      </c>
      <c r="AB2873" t="s">
        <v>5816</v>
      </c>
    </row>
    <row r="2874" spans="1:28" hidden="1">
      <c r="A2874" t="s">
        <v>5816</v>
      </c>
      <c r="B2874" s="17">
        <v>43885</v>
      </c>
      <c r="C2874" s="17">
        <v>43885</v>
      </c>
      <c r="D2874" t="s">
        <v>0</v>
      </c>
      <c r="E2874" t="s">
        <v>1</v>
      </c>
      <c r="F2874" s="18">
        <v>19916.54</v>
      </c>
      <c r="G2874" s="18">
        <v>19916.54</v>
      </c>
      <c r="H2874" t="s">
        <v>2</v>
      </c>
      <c r="I2874" t="s">
        <v>8</v>
      </c>
      <c r="J2874" s="18">
        <v>1671993.53</v>
      </c>
      <c r="K2874" t="s">
        <v>5724</v>
      </c>
      <c r="L2874" t="s">
        <v>4</v>
      </c>
      <c r="M2874" t="s">
        <v>5817</v>
      </c>
      <c r="N2874" t="s">
        <v>3</v>
      </c>
      <c r="O2874" t="s">
        <v>3</v>
      </c>
      <c r="P2874" t="s">
        <v>5</v>
      </c>
      <c r="Q2874" t="s">
        <v>5818</v>
      </c>
      <c r="R2874" t="s">
        <v>3</v>
      </c>
      <c r="S2874" t="s">
        <v>3</v>
      </c>
      <c r="T2874" t="s">
        <v>3</v>
      </c>
      <c r="U2874" t="s">
        <v>3</v>
      </c>
      <c r="V2874" t="s">
        <v>3</v>
      </c>
      <c r="W2874" t="s">
        <v>68</v>
      </c>
      <c r="X2874" s="17"/>
      <c r="Y2874" t="s">
        <v>3</v>
      </c>
      <c r="Z2874" s="17">
        <v>43885</v>
      </c>
      <c r="AA2874" t="s">
        <v>3</v>
      </c>
      <c r="AB2874" t="s">
        <v>5816</v>
      </c>
    </row>
    <row r="2875" spans="1:28" hidden="1">
      <c r="A2875" t="s">
        <v>5820</v>
      </c>
      <c r="B2875" s="17">
        <v>43885</v>
      </c>
      <c r="C2875" s="17">
        <v>43885</v>
      </c>
      <c r="D2875" t="s">
        <v>0</v>
      </c>
      <c r="E2875" t="s">
        <v>1</v>
      </c>
      <c r="F2875" s="18">
        <v>6139.4</v>
      </c>
      <c r="G2875" s="18">
        <v>6139.4</v>
      </c>
      <c r="H2875" t="s">
        <v>2</v>
      </c>
      <c r="I2875" t="s">
        <v>8</v>
      </c>
      <c r="J2875" s="18">
        <v>515402.63</v>
      </c>
      <c r="K2875" t="s">
        <v>5719</v>
      </c>
      <c r="L2875" t="s">
        <v>4</v>
      </c>
      <c r="M2875" t="s">
        <v>5821</v>
      </c>
      <c r="N2875" t="s">
        <v>3</v>
      </c>
      <c r="O2875" t="s">
        <v>3</v>
      </c>
      <c r="P2875" t="s">
        <v>5</v>
      </c>
      <c r="Q2875" t="s">
        <v>5822</v>
      </c>
      <c r="R2875" t="s">
        <v>3</v>
      </c>
      <c r="S2875" t="s">
        <v>3</v>
      </c>
      <c r="T2875" t="s">
        <v>3</v>
      </c>
      <c r="U2875" t="s">
        <v>3</v>
      </c>
      <c r="V2875" t="s">
        <v>3</v>
      </c>
      <c r="W2875" t="s">
        <v>68</v>
      </c>
      <c r="X2875" s="17"/>
      <c r="Y2875" t="s">
        <v>3</v>
      </c>
      <c r="Z2875" s="17">
        <v>43885</v>
      </c>
      <c r="AA2875" t="s">
        <v>3</v>
      </c>
      <c r="AB2875" t="s">
        <v>5820</v>
      </c>
    </row>
    <row r="2876" spans="1:28" hidden="1">
      <c r="A2876" t="s">
        <v>5820</v>
      </c>
      <c r="B2876" s="17">
        <v>43885</v>
      </c>
      <c r="C2876" s="17">
        <v>43885</v>
      </c>
      <c r="D2876" t="s">
        <v>0</v>
      </c>
      <c r="E2876" t="s">
        <v>1</v>
      </c>
      <c r="F2876" s="18">
        <v>1452.72</v>
      </c>
      <c r="G2876" s="18">
        <v>1452.72</v>
      </c>
      <c r="H2876" t="s">
        <v>2</v>
      </c>
      <c r="I2876" t="s">
        <v>8</v>
      </c>
      <c r="J2876" s="18">
        <v>121955.84</v>
      </c>
      <c r="K2876" t="s">
        <v>5721</v>
      </c>
      <c r="L2876" t="s">
        <v>4</v>
      </c>
      <c r="M2876" t="s">
        <v>5821</v>
      </c>
      <c r="N2876" t="s">
        <v>3</v>
      </c>
      <c r="O2876" t="s">
        <v>3</v>
      </c>
      <c r="P2876" t="s">
        <v>5</v>
      </c>
      <c r="Q2876" t="s">
        <v>5822</v>
      </c>
      <c r="R2876" t="s">
        <v>3</v>
      </c>
      <c r="S2876" t="s">
        <v>3</v>
      </c>
      <c r="T2876" t="s">
        <v>3</v>
      </c>
      <c r="U2876" t="s">
        <v>3</v>
      </c>
      <c r="V2876" t="s">
        <v>3</v>
      </c>
      <c r="W2876" t="s">
        <v>68</v>
      </c>
      <c r="X2876" s="17"/>
      <c r="Y2876" t="s">
        <v>3</v>
      </c>
      <c r="Z2876" s="17">
        <v>43885</v>
      </c>
      <c r="AA2876" t="s">
        <v>3</v>
      </c>
      <c r="AB2876" t="s">
        <v>5820</v>
      </c>
    </row>
    <row r="2877" spans="1:28" hidden="1">
      <c r="A2877" t="s">
        <v>5820</v>
      </c>
      <c r="B2877" s="17">
        <v>43885</v>
      </c>
      <c r="C2877" s="17">
        <v>43885</v>
      </c>
      <c r="D2877" t="s">
        <v>0</v>
      </c>
      <c r="E2877" t="s">
        <v>1</v>
      </c>
      <c r="F2877" s="18">
        <v>43133.7</v>
      </c>
      <c r="G2877" s="18">
        <v>43133.7</v>
      </c>
      <c r="H2877" t="s">
        <v>2</v>
      </c>
      <c r="I2877" t="s">
        <v>8</v>
      </c>
      <c r="J2877" s="18">
        <v>3621074.12</v>
      </c>
      <c r="K2877" t="s">
        <v>5812</v>
      </c>
      <c r="L2877" t="s">
        <v>4</v>
      </c>
      <c r="M2877" t="s">
        <v>5821</v>
      </c>
      <c r="N2877" t="s">
        <v>3</v>
      </c>
      <c r="O2877" t="s">
        <v>3</v>
      </c>
      <c r="P2877" t="s">
        <v>5</v>
      </c>
      <c r="Q2877" t="s">
        <v>5822</v>
      </c>
      <c r="R2877" t="s">
        <v>3</v>
      </c>
      <c r="S2877" t="s">
        <v>3</v>
      </c>
      <c r="T2877" t="s">
        <v>3</v>
      </c>
      <c r="U2877" t="s">
        <v>3</v>
      </c>
      <c r="V2877" t="s">
        <v>3</v>
      </c>
      <c r="W2877" t="s">
        <v>68</v>
      </c>
      <c r="X2877" s="17"/>
      <c r="Y2877" t="s">
        <v>3</v>
      </c>
      <c r="Z2877" s="17">
        <v>43885</v>
      </c>
      <c r="AA2877" t="s">
        <v>3</v>
      </c>
      <c r="AB2877" t="s">
        <v>5820</v>
      </c>
    </row>
    <row r="2878" spans="1:28" hidden="1">
      <c r="A2878" t="s">
        <v>5823</v>
      </c>
      <c r="B2878" s="17">
        <v>43885</v>
      </c>
      <c r="C2878" s="17">
        <v>43885</v>
      </c>
      <c r="D2878" t="s">
        <v>0</v>
      </c>
      <c r="E2878" t="s">
        <v>1</v>
      </c>
      <c r="F2878" s="18">
        <v>4613.38</v>
      </c>
      <c r="G2878" s="18">
        <v>4613.38</v>
      </c>
      <c r="H2878" t="s">
        <v>2</v>
      </c>
      <c r="I2878" t="s">
        <v>8</v>
      </c>
      <c r="J2878" s="18">
        <v>387293.25</v>
      </c>
      <c r="K2878" t="s">
        <v>5719</v>
      </c>
      <c r="L2878" t="s">
        <v>4</v>
      </c>
      <c r="M2878" t="s">
        <v>5824</v>
      </c>
      <c r="N2878" t="s">
        <v>3</v>
      </c>
      <c r="O2878" t="s">
        <v>3</v>
      </c>
      <c r="P2878" t="s">
        <v>5</v>
      </c>
      <c r="Q2878" t="s">
        <v>5825</v>
      </c>
      <c r="R2878" t="s">
        <v>3</v>
      </c>
      <c r="S2878" t="s">
        <v>3</v>
      </c>
      <c r="T2878" t="s">
        <v>3</v>
      </c>
      <c r="U2878" t="s">
        <v>3</v>
      </c>
      <c r="V2878" t="s">
        <v>3</v>
      </c>
      <c r="W2878" t="s">
        <v>68</v>
      </c>
      <c r="X2878" s="17"/>
      <c r="Y2878" t="s">
        <v>3</v>
      </c>
      <c r="Z2878" s="17">
        <v>43885</v>
      </c>
      <c r="AA2878" t="s">
        <v>3</v>
      </c>
      <c r="AB2878" t="s">
        <v>5823</v>
      </c>
    </row>
    <row r="2879" spans="1:28" hidden="1">
      <c r="A2879" t="s">
        <v>5823</v>
      </c>
      <c r="B2879" s="17">
        <v>43885</v>
      </c>
      <c r="C2879" s="17">
        <v>43885</v>
      </c>
      <c r="D2879" t="s">
        <v>0</v>
      </c>
      <c r="E2879" t="s">
        <v>1</v>
      </c>
      <c r="F2879" s="18">
        <v>4162.83</v>
      </c>
      <c r="G2879" s="18">
        <v>4162.83</v>
      </c>
      <c r="H2879" t="s">
        <v>2</v>
      </c>
      <c r="I2879" t="s">
        <v>8</v>
      </c>
      <c r="J2879" s="18">
        <v>349469.58</v>
      </c>
      <c r="K2879" t="s">
        <v>5723</v>
      </c>
      <c r="L2879" t="s">
        <v>4</v>
      </c>
      <c r="M2879" t="s">
        <v>5824</v>
      </c>
      <c r="N2879" t="s">
        <v>3</v>
      </c>
      <c r="O2879" t="s">
        <v>3</v>
      </c>
      <c r="P2879" t="s">
        <v>5</v>
      </c>
      <c r="Q2879" t="s">
        <v>5825</v>
      </c>
      <c r="R2879" t="s">
        <v>3</v>
      </c>
      <c r="S2879" t="s">
        <v>3</v>
      </c>
      <c r="T2879" t="s">
        <v>3</v>
      </c>
      <c r="U2879" t="s">
        <v>3</v>
      </c>
      <c r="V2879" t="s">
        <v>3</v>
      </c>
      <c r="W2879" t="s">
        <v>68</v>
      </c>
      <c r="X2879" s="17"/>
      <c r="Y2879" t="s">
        <v>3</v>
      </c>
      <c r="Z2879" s="17">
        <v>43885</v>
      </c>
      <c r="AA2879" t="s">
        <v>3</v>
      </c>
      <c r="AB2879" t="s">
        <v>5823</v>
      </c>
    </row>
    <row r="2880" spans="1:28" hidden="1">
      <c r="A2880" t="s">
        <v>5826</v>
      </c>
      <c r="B2880" s="17">
        <v>43885</v>
      </c>
      <c r="C2880" s="17">
        <v>43885</v>
      </c>
      <c r="D2880" t="s">
        <v>0</v>
      </c>
      <c r="E2880" t="s">
        <v>1</v>
      </c>
      <c r="F2880" s="18">
        <v>11768</v>
      </c>
      <c r="G2880" s="18">
        <v>11768</v>
      </c>
      <c r="H2880" t="s">
        <v>2</v>
      </c>
      <c r="I2880" t="s">
        <v>8</v>
      </c>
      <c r="J2880" s="18">
        <v>987923.6</v>
      </c>
      <c r="K2880" t="s">
        <v>5690</v>
      </c>
      <c r="L2880" t="s">
        <v>9</v>
      </c>
      <c r="M2880" t="s">
        <v>5827</v>
      </c>
      <c r="N2880" t="s">
        <v>3</v>
      </c>
      <c r="O2880" t="s">
        <v>3</v>
      </c>
      <c r="P2880" t="s">
        <v>5</v>
      </c>
      <c r="Q2880" t="s">
        <v>5828</v>
      </c>
      <c r="R2880" t="s">
        <v>3</v>
      </c>
      <c r="S2880" t="s">
        <v>3</v>
      </c>
      <c r="T2880" t="s">
        <v>3</v>
      </c>
      <c r="U2880" t="s">
        <v>3</v>
      </c>
      <c r="V2880" t="s">
        <v>3</v>
      </c>
      <c r="W2880" t="s">
        <v>68</v>
      </c>
      <c r="X2880" s="17"/>
      <c r="Y2880" t="s">
        <v>3</v>
      </c>
      <c r="Z2880" s="17">
        <v>43885</v>
      </c>
      <c r="AA2880" t="s">
        <v>3</v>
      </c>
      <c r="AB2880" t="s">
        <v>5826</v>
      </c>
    </row>
    <row r="2881" spans="1:28" hidden="1">
      <c r="A2881" t="s">
        <v>5826</v>
      </c>
      <c r="B2881" s="17">
        <v>43885</v>
      </c>
      <c r="C2881" s="17">
        <v>43885</v>
      </c>
      <c r="D2881" t="s">
        <v>0</v>
      </c>
      <c r="E2881" t="s">
        <v>1</v>
      </c>
      <c r="F2881" s="18">
        <v>34649</v>
      </c>
      <c r="G2881" s="18">
        <v>34649</v>
      </c>
      <c r="H2881" t="s">
        <v>2</v>
      </c>
      <c r="I2881" t="s">
        <v>8</v>
      </c>
      <c r="J2881" s="18">
        <v>2908783.55</v>
      </c>
      <c r="K2881" t="s">
        <v>5808</v>
      </c>
      <c r="L2881" t="s">
        <v>9</v>
      </c>
      <c r="M2881" t="s">
        <v>5827</v>
      </c>
      <c r="N2881" t="s">
        <v>3</v>
      </c>
      <c r="O2881" t="s">
        <v>3</v>
      </c>
      <c r="P2881" t="s">
        <v>5</v>
      </c>
      <c r="Q2881" t="s">
        <v>5828</v>
      </c>
      <c r="R2881" t="s">
        <v>3</v>
      </c>
      <c r="S2881" t="s">
        <v>3</v>
      </c>
      <c r="T2881" t="s">
        <v>3</v>
      </c>
      <c r="U2881" t="s">
        <v>3</v>
      </c>
      <c r="V2881" t="s">
        <v>3</v>
      </c>
      <c r="W2881" t="s">
        <v>68</v>
      </c>
      <c r="X2881" s="17"/>
      <c r="Y2881" t="s">
        <v>3</v>
      </c>
      <c r="Z2881" s="17">
        <v>43885</v>
      </c>
      <c r="AA2881" t="s">
        <v>3</v>
      </c>
      <c r="AB2881" t="s">
        <v>5826</v>
      </c>
    </row>
    <row r="2882" spans="1:28" hidden="1">
      <c r="A2882" t="s">
        <v>5829</v>
      </c>
      <c r="B2882" s="17">
        <v>43885</v>
      </c>
      <c r="C2882" s="17">
        <v>43885</v>
      </c>
      <c r="D2882" t="s">
        <v>0</v>
      </c>
      <c r="E2882" t="s">
        <v>1</v>
      </c>
      <c r="F2882" s="18">
        <v>24963</v>
      </c>
      <c r="G2882" s="18">
        <v>24963</v>
      </c>
      <c r="H2882" t="s">
        <v>2</v>
      </c>
      <c r="I2882" t="s">
        <v>10</v>
      </c>
      <c r="J2882" s="18">
        <v>2095643.85</v>
      </c>
      <c r="K2882" t="s">
        <v>5707</v>
      </c>
      <c r="L2882" t="s">
        <v>9</v>
      </c>
      <c r="M2882" t="s">
        <v>5830</v>
      </c>
      <c r="N2882" t="s">
        <v>3</v>
      </c>
      <c r="O2882" t="s">
        <v>3</v>
      </c>
      <c r="P2882" t="s">
        <v>5</v>
      </c>
      <c r="Q2882" t="s">
        <v>5831</v>
      </c>
      <c r="R2882" t="s">
        <v>3</v>
      </c>
      <c r="S2882" t="s">
        <v>3</v>
      </c>
      <c r="T2882" t="s">
        <v>3</v>
      </c>
      <c r="U2882" t="s">
        <v>3</v>
      </c>
      <c r="V2882" t="s">
        <v>3</v>
      </c>
      <c r="W2882" t="s">
        <v>68</v>
      </c>
      <c r="X2882" s="17"/>
      <c r="Y2882" t="s">
        <v>3</v>
      </c>
      <c r="Z2882" s="17">
        <v>43885</v>
      </c>
      <c r="AA2882" t="s">
        <v>3</v>
      </c>
      <c r="AB2882" t="s">
        <v>5829</v>
      </c>
    </row>
    <row r="2883" spans="1:28" hidden="1">
      <c r="A2883" t="s">
        <v>5829</v>
      </c>
      <c r="B2883" s="17">
        <v>43885</v>
      </c>
      <c r="C2883" s="17">
        <v>43885</v>
      </c>
      <c r="D2883" t="s">
        <v>0</v>
      </c>
      <c r="E2883" t="s">
        <v>1</v>
      </c>
      <c r="F2883" s="18">
        <v>1183</v>
      </c>
      <c r="G2883" s="18">
        <v>1183</v>
      </c>
      <c r="H2883" t="s">
        <v>2</v>
      </c>
      <c r="I2883" t="s">
        <v>10</v>
      </c>
      <c r="J2883" s="18">
        <v>99312.85</v>
      </c>
      <c r="K2883" t="s">
        <v>5832</v>
      </c>
      <c r="L2883" t="s">
        <v>9</v>
      </c>
      <c r="M2883" t="s">
        <v>5830</v>
      </c>
      <c r="N2883" t="s">
        <v>3</v>
      </c>
      <c r="O2883" t="s">
        <v>3</v>
      </c>
      <c r="P2883" t="s">
        <v>5</v>
      </c>
      <c r="Q2883" t="s">
        <v>5831</v>
      </c>
      <c r="R2883" t="s">
        <v>3</v>
      </c>
      <c r="S2883" t="s">
        <v>3</v>
      </c>
      <c r="T2883" t="s">
        <v>3</v>
      </c>
      <c r="U2883" t="s">
        <v>3</v>
      </c>
      <c r="V2883" t="s">
        <v>3</v>
      </c>
      <c r="W2883" t="s">
        <v>68</v>
      </c>
      <c r="X2883" s="17"/>
      <c r="Y2883" t="s">
        <v>3</v>
      </c>
      <c r="Z2883" s="17">
        <v>43885</v>
      </c>
      <c r="AA2883" t="s">
        <v>3</v>
      </c>
      <c r="AB2883" t="s">
        <v>5829</v>
      </c>
    </row>
    <row r="2884" spans="1:28" hidden="1">
      <c r="A2884" t="s">
        <v>5833</v>
      </c>
      <c r="B2884" s="17">
        <v>43885</v>
      </c>
      <c r="C2884" s="17">
        <v>43885</v>
      </c>
      <c r="D2884" t="s">
        <v>0</v>
      </c>
      <c r="E2884" t="s">
        <v>1</v>
      </c>
      <c r="F2884" s="18">
        <v>3229.62</v>
      </c>
      <c r="G2884" s="18">
        <v>3229.62</v>
      </c>
      <c r="H2884" t="s">
        <v>2</v>
      </c>
      <c r="I2884" t="s">
        <v>10</v>
      </c>
      <c r="J2884" s="18">
        <v>271126.59999999998</v>
      </c>
      <c r="K2884" t="s">
        <v>5709</v>
      </c>
      <c r="L2884" t="s">
        <v>4</v>
      </c>
      <c r="M2884" t="s">
        <v>5834</v>
      </c>
      <c r="N2884" t="s">
        <v>3</v>
      </c>
      <c r="O2884" t="s">
        <v>3</v>
      </c>
      <c r="P2884" t="s">
        <v>5</v>
      </c>
      <c r="Q2884" t="s">
        <v>5835</v>
      </c>
      <c r="R2884" t="s">
        <v>3</v>
      </c>
      <c r="S2884" t="s">
        <v>3</v>
      </c>
      <c r="T2884" t="s">
        <v>3</v>
      </c>
      <c r="U2884" t="s">
        <v>3</v>
      </c>
      <c r="V2884" t="s">
        <v>3</v>
      </c>
      <c r="W2884" t="s">
        <v>68</v>
      </c>
      <c r="X2884" s="17"/>
      <c r="Y2884" t="s">
        <v>3</v>
      </c>
      <c r="Z2884" s="17">
        <v>43885</v>
      </c>
      <c r="AA2884" t="s">
        <v>3</v>
      </c>
      <c r="AB2884" t="s">
        <v>5833</v>
      </c>
    </row>
    <row r="2885" spans="1:28" hidden="1">
      <c r="A2885" t="s">
        <v>5833</v>
      </c>
      <c r="B2885" s="17">
        <v>43885</v>
      </c>
      <c r="C2885" s="17">
        <v>43885</v>
      </c>
      <c r="D2885" t="s">
        <v>0</v>
      </c>
      <c r="E2885" t="s">
        <v>1</v>
      </c>
      <c r="F2885" s="18">
        <v>716.54</v>
      </c>
      <c r="G2885" s="18">
        <v>716.54</v>
      </c>
      <c r="H2885" t="s">
        <v>2</v>
      </c>
      <c r="I2885" t="s">
        <v>10</v>
      </c>
      <c r="J2885" s="18">
        <v>60153.53</v>
      </c>
      <c r="K2885" t="s">
        <v>5713</v>
      </c>
      <c r="L2885" t="s">
        <v>4</v>
      </c>
      <c r="M2885" t="s">
        <v>5834</v>
      </c>
      <c r="N2885" t="s">
        <v>3</v>
      </c>
      <c r="O2885" t="s">
        <v>3</v>
      </c>
      <c r="P2885" t="s">
        <v>5</v>
      </c>
      <c r="Q2885" t="s">
        <v>5835</v>
      </c>
      <c r="R2885" t="s">
        <v>3</v>
      </c>
      <c r="S2885" t="s">
        <v>3</v>
      </c>
      <c r="T2885" t="s">
        <v>3</v>
      </c>
      <c r="U2885" t="s">
        <v>3</v>
      </c>
      <c r="V2885" t="s">
        <v>3</v>
      </c>
      <c r="W2885" t="s">
        <v>68</v>
      </c>
      <c r="X2885" s="17"/>
      <c r="Y2885" t="s">
        <v>3</v>
      </c>
      <c r="Z2885" s="17">
        <v>43885</v>
      </c>
      <c r="AA2885" t="s">
        <v>3</v>
      </c>
      <c r="AB2885" t="s">
        <v>5833</v>
      </c>
    </row>
    <row r="2886" spans="1:28" hidden="1">
      <c r="A2886" t="s">
        <v>5833</v>
      </c>
      <c r="B2886" s="17">
        <v>43885</v>
      </c>
      <c r="C2886" s="17">
        <v>43885</v>
      </c>
      <c r="D2886" t="s">
        <v>0</v>
      </c>
      <c r="E2886" t="s">
        <v>1</v>
      </c>
      <c r="F2886" s="18">
        <v>30618.080000000002</v>
      </c>
      <c r="G2886" s="18">
        <v>30618.080000000002</v>
      </c>
      <c r="H2886" t="s">
        <v>2</v>
      </c>
      <c r="I2886" t="s">
        <v>10</v>
      </c>
      <c r="J2886" s="18">
        <v>2570387.8199999998</v>
      </c>
      <c r="K2886" t="s">
        <v>5714</v>
      </c>
      <c r="L2886" t="s">
        <v>4</v>
      </c>
      <c r="M2886" t="s">
        <v>5834</v>
      </c>
      <c r="N2886" t="s">
        <v>3</v>
      </c>
      <c r="O2886" t="s">
        <v>3</v>
      </c>
      <c r="P2886" t="s">
        <v>5</v>
      </c>
      <c r="Q2886" t="s">
        <v>5835</v>
      </c>
      <c r="R2886" t="s">
        <v>3</v>
      </c>
      <c r="S2886" t="s">
        <v>3</v>
      </c>
      <c r="T2886" t="s">
        <v>3</v>
      </c>
      <c r="U2886" t="s">
        <v>3</v>
      </c>
      <c r="V2886" t="s">
        <v>3</v>
      </c>
      <c r="W2886" t="s">
        <v>68</v>
      </c>
      <c r="X2886" s="17"/>
      <c r="Y2886" t="s">
        <v>3</v>
      </c>
      <c r="Z2886" s="17">
        <v>43885</v>
      </c>
      <c r="AA2886" t="s">
        <v>3</v>
      </c>
      <c r="AB2886" t="s">
        <v>5833</v>
      </c>
    </row>
    <row r="2887" spans="1:28" hidden="1">
      <c r="A2887" t="s">
        <v>5833</v>
      </c>
      <c r="B2887" s="17">
        <v>43885</v>
      </c>
      <c r="C2887" s="17">
        <v>43885</v>
      </c>
      <c r="D2887" t="s">
        <v>0</v>
      </c>
      <c r="E2887" t="s">
        <v>1</v>
      </c>
      <c r="F2887" s="18">
        <v>41740.660000000003</v>
      </c>
      <c r="G2887" s="18">
        <v>41740.660000000003</v>
      </c>
      <c r="H2887" t="s">
        <v>2</v>
      </c>
      <c r="I2887" t="s">
        <v>10</v>
      </c>
      <c r="J2887" s="18">
        <v>3504128.41</v>
      </c>
      <c r="K2887" t="s">
        <v>5790</v>
      </c>
      <c r="L2887" t="s">
        <v>4</v>
      </c>
      <c r="M2887" t="s">
        <v>5834</v>
      </c>
      <c r="N2887" t="s">
        <v>3</v>
      </c>
      <c r="O2887" t="s">
        <v>3</v>
      </c>
      <c r="P2887" t="s">
        <v>5</v>
      </c>
      <c r="Q2887" t="s">
        <v>5835</v>
      </c>
      <c r="R2887" t="s">
        <v>3</v>
      </c>
      <c r="S2887" t="s">
        <v>3</v>
      </c>
      <c r="T2887" t="s">
        <v>3</v>
      </c>
      <c r="U2887" t="s">
        <v>3</v>
      </c>
      <c r="V2887" t="s">
        <v>3</v>
      </c>
      <c r="W2887" t="s">
        <v>68</v>
      </c>
      <c r="X2887" s="17"/>
      <c r="Y2887" t="s">
        <v>3</v>
      </c>
      <c r="Z2887" s="17">
        <v>43885</v>
      </c>
      <c r="AA2887" t="s">
        <v>3</v>
      </c>
      <c r="AB2887" t="s">
        <v>5833</v>
      </c>
    </row>
    <row r="2888" spans="1:28" hidden="1">
      <c r="A2888" t="s">
        <v>5839</v>
      </c>
      <c r="B2888" s="17">
        <v>43887</v>
      </c>
      <c r="C2888" s="17">
        <v>43887</v>
      </c>
      <c r="D2888" t="s">
        <v>0</v>
      </c>
      <c r="E2888" t="s">
        <v>1</v>
      </c>
      <c r="F2888" s="18">
        <v>4810</v>
      </c>
      <c r="G2888" s="18">
        <v>4810</v>
      </c>
      <c r="H2888" t="s">
        <v>2</v>
      </c>
      <c r="I2888" t="s">
        <v>8</v>
      </c>
      <c r="J2888" s="18">
        <v>403799.5</v>
      </c>
      <c r="K2888" t="s">
        <v>5808</v>
      </c>
      <c r="L2888" t="s">
        <v>9</v>
      </c>
      <c r="M2888" t="s">
        <v>5840</v>
      </c>
      <c r="N2888" t="s">
        <v>3</v>
      </c>
      <c r="O2888" t="s">
        <v>3</v>
      </c>
      <c r="P2888" t="s">
        <v>5</v>
      </c>
      <c r="Q2888" t="s">
        <v>5841</v>
      </c>
      <c r="R2888" t="s">
        <v>3</v>
      </c>
      <c r="S2888" t="s">
        <v>3</v>
      </c>
      <c r="T2888" t="s">
        <v>3</v>
      </c>
      <c r="U2888" t="s">
        <v>3</v>
      </c>
      <c r="V2888" t="s">
        <v>3</v>
      </c>
      <c r="W2888" t="s">
        <v>68</v>
      </c>
      <c r="X2888" s="17"/>
      <c r="Y2888" t="s">
        <v>3</v>
      </c>
      <c r="Z2888" s="17">
        <v>43887</v>
      </c>
      <c r="AA2888" t="s">
        <v>3</v>
      </c>
      <c r="AB2888" t="s">
        <v>5839</v>
      </c>
    </row>
    <row r="2889" spans="1:28" hidden="1">
      <c r="A2889" t="s">
        <v>5842</v>
      </c>
      <c r="B2889" s="17">
        <v>43887</v>
      </c>
      <c r="C2889" s="17">
        <v>43887</v>
      </c>
      <c r="D2889" t="s">
        <v>0</v>
      </c>
      <c r="E2889" t="s">
        <v>1</v>
      </c>
      <c r="F2889" s="18">
        <v>48497.8</v>
      </c>
      <c r="G2889" s="18">
        <v>48497.8</v>
      </c>
      <c r="H2889" t="s">
        <v>2</v>
      </c>
      <c r="I2889" t="s">
        <v>8</v>
      </c>
      <c r="J2889" s="18">
        <v>4071390.31</v>
      </c>
      <c r="K2889" t="s">
        <v>5719</v>
      </c>
      <c r="L2889" t="s">
        <v>4</v>
      </c>
      <c r="M2889" t="s">
        <v>5843</v>
      </c>
      <c r="N2889" t="s">
        <v>3</v>
      </c>
      <c r="O2889" t="s">
        <v>3</v>
      </c>
      <c r="P2889" t="s">
        <v>5</v>
      </c>
      <c r="Q2889" t="s">
        <v>5844</v>
      </c>
      <c r="R2889" t="s">
        <v>3</v>
      </c>
      <c r="S2889" t="s">
        <v>3</v>
      </c>
      <c r="T2889" t="s">
        <v>3</v>
      </c>
      <c r="U2889" t="s">
        <v>3</v>
      </c>
      <c r="V2889" t="s">
        <v>3</v>
      </c>
      <c r="W2889" t="s">
        <v>68</v>
      </c>
      <c r="X2889" s="17"/>
      <c r="Y2889" t="s">
        <v>3</v>
      </c>
      <c r="Z2889" s="17">
        <v>43887</v>
      </c>
      <c r="AA2889" t="s">
        <v>3</v>
      </c>
      <c r="AB2889" t="s">
        <v>5842</v>
      </c>
    </row>
    <row r="2890" spans="1:28" hidden="1">
      <c r="A2890" t="s">
        <v>5842</v>
      </c>
      <c r="B2890" s="17">
        <v>43887</v>
      </c>
      <c r="C2890" s="17">
        <v>43887</v>
      </c>
      <c r="D2890" t="s">
        <v>0</v>
      </c>
      <c r="E2890" t="s">
        <v>1</v>
      </c>
      <c r="F2890" s="18">
        <v>5378.8</v>
      </c>
      <c r="G2890" s="18">
        <v>5378.8</v>
      </c>
      <c r="H2890" t="s">
        <v>2</v>
      </c>
      <c r="I2890" t="s">
        <v>8</v>
      </c>
      <c r="J2890" s="18">
        <v>451550.26</v>
      </c>
      <c r="K2890" t="s">
        <v>5721</v>
      </c>
      <c r="L2890" t="s">
        <v>4</v>
      </c>
      <c r="M2890" t="s">
        <v>5843</v>
      </c>
      <c r="N2890" t="s">
        <v>3</v>
      </c>
      <c r="O2890" t="s">
        <v>3</v>
      </c>
      <c r="P2890" t="s">
        <v>5</v>
      </c>
      <c r="Q2890" t="s">
        <v>5844</v>
      </c>
      <c r="R2890" t="s">
        <v>3</v>
      </c>
      <c r="S2890" t="s">
        <v>3</v>
      </c>
      <c r="T2890" t="s">
        <v>3</v>
      </c>
      <c r="U2890" t="s">
        <v>3</v>
      </c>
      <c r="V2890" t="s">
        <v>3</v>
      </c>
      <c r="W2890" t="s">
        <v>68</v>
      </c>
      <c r="X2890" s="17"/>
      <c r="Y2890" t="s">
        <v>3</v>
      </c>
      <c r="Z2890" s="17">
        <v>43887</v>
      </c>
      <c r="AA2890" t="s">
        <v>3</v>
      </c>
      <c r="AB2890" t="s">
        <v>5842</v>
      </c>
    </row>
    <row r="2891" spans="1:28" hidden="1">
      <c r="A2891" t="s">
        <v>5842</v>
      </c>
      <c r="B2891" s="17">
        <v>43887</v>
      </c>
      <c r="C2891" s="17">
        <v>43887</v>
      </c>
      <c r="D2891" t="s">
        <v>0</v>
      </c>
      <c r="E2891" t="s">
        <v>1</v>
      </c>
      <c r="F2891" s="18">
        <v>4457.87</v>
      </c>
      <c r="G2891" s="18">
        <v>4457.87</v>
      </c>
      <c r="H2891" t="s">
        <v>2</v>
      </c>
      <c r="I2891" t="s">
        <v>8</v>
      </c>
      <c r="J2891" s="18">
        <v>374238.19</v>
      </c>
      <c r="K2891" t="s">
        <v>5812</v>
      </c>
      <c r="L2891" t="s">
        <v>4</v>
      </c>
      <c r="M2891" t="s">
        <v>5843</v>
      </c>
      <c r="N2891" t="s">
        <v>3</v>
      </c>
      <c r="O2891" t="s">
        <v>3</v>
      </c>
      <c r="P2891" t="s">
        <v>5</v>
      </c>
      <c r="Q2891" t="s">
        <v>5844</v>
      </c>
      <c r="R2891" t="s">
        <v>3</v>
      </c>
      <c r="S2891" t="s">
        <v>3</v>
      </c>
      <c r="T2891" t="s">
        <v>3</v>
      </c>
      <c r="U2891" t="s">
        <v>3</v>
      </c>
      <c r="V2891" t="s">
        <v>3</v>
      </c>
      <c r="W2891" t="s">
        <v>68</v>
      </c>
      <c r="X2891" s="17"/>
      <c r="Y2891" t="s">
        <v>3</v>
      </c>
      <c r="Z2891" s="17">
        <v>43887</v>
      </c>
      <c r="AA2891" t="s">
        <v>3</v>
      </c>
      <c r="AB2891" t="s">
        <v>5842</v>
      </c>
    </row>
    <row r="2892" spans="1:28" hidden="1">
      <c r="A2892" t="s">
        <v>5842</v>
      </c>
      <c r="B2892" s="17">
        <v>43887</v>
      </c>
      <c r="C2892" s="17">
        <v>43887</v>
      </c>
      <c r="D2892" t="s">
        <v>0</v>
      </c>
      <c r="E2892" t="s">
        <v>1</v>
      </c>
      <c r="F2892" s="18">
        <v>6460.54</v>
      </c>
      <c r="G2892" s="18">
        <v>6460.54</v>
      </c>
      <c r="H2892" t="s">
        <v>2</v>
      </c>
      <c r="I2892" t="s">
        <v>8</v>
      </c>
      <c r="J2892" s="18">
        <v>542362.32999999996</v>
      </c>
      <c r="K2892" t="s">
        <v>5722</v>
      </c>
      <c r="L2892" t="s">
        <v>4</v>
      </c>
      <c r="M2892" t="s">
        <v>5843</v>
      </c>
      <c r="N2892" t="s">
        <v>3</v>
      </c>
      <c r="O2892" t="s">
        <v>3</v>
      </c>
      <c r="P2892" t="s">
        <v>5</v>
      </c>
      <c r="Q2892" t="s">
        <v>5844</v>
      </c>
      <c r="R2892" t="s">
        <v>3</v>
      </c>
      <c r="S2892" t="s">
        <v>3</v>
      </c>
      <c r="T2892" t="s">
        <v>3</v>
      </c>
      <c r="U2892" t="s">
        <v>3</v>
      </c>
      <c r="V2892" t="s">
        <v>3</v>
      </c>
      <c r="W2892" t="s">
        <v>68</v>
      </c>
      <c r="X2892" s="17"/>
      <c r="Y2892" t="s">
        <v>3</v>
      </c>
      <c r="Z2892" s="17">
        <v>43887</v>
      </c>
      <c r="AA2892" t="s">
        <v>3</v>
      </c>
      <c r="AB2892" t="s">
        <v>5842</v>
      </c>
    </row>
    <row r="2893" spans="1:28" hidden="1">
      <c r="A2893" t="s">
        <v>5848</v>
      </c>
      <c r="B2893" s="17">
        <v>43887</v>
      </c>
      <c r="C2893" s="17">
        <v>43887</v>
      </c>
      <c r="D2893" t="s">
        <v>0</v>
      </c>
      <c r="E2893" t="s">
        <v>1</v>
      </c>
      <c r="F2893" s="18">
        <v>1623</v>
      </c>
      <c r="G2893" s="18">
        <v>1623</v>
      </c>
      <c r="H2893" t="s">
        <v>2</v>
      </c>
      <c r="I2893" t="s">
        <v>8</v>
      </c>
      <c r="J2893" s="18">
        <v>135520.5</v>
      </c>
      <c r="K2893" t="s">
        <v>5758</v>
      </c>
      <c r="L2893" t="s">
        <v>9</v>
      </c>
      <c r="M2893" t="s">
        <v>5849</v>
      </c>
      <c r="N2893" t="s">
        <v>3</v>
      </c>
      <c r="O2893" t="s">
        <v>3</v>
      </c>
      <c r="P2893" t="s">
        <v>5</v>
      </c>
      <c r="Q2893" t="s">
        <v>5850</v>
      </c>
      <c r="R2893" t="s">
        <v>3</v>
      </c>
      <c r="S2893" t="s">
        <v>3</v>
      </c>
      <c r="T2893" t="s">
        <v>3</v>
      </c>
      <c r="U2893" t="s">
        <v>3</v>
      </c>
      <c r="V2893" t="s">
        <v>3</v>
      </c>
      <c r="W2893" t="s">
        <v>68</v>
      </c>
      <c r="X2893" s="17"/>
      <c r="Y2893" t="s">
        <v>3</v>
      </c>
      <c r="Z2893" s="17">
        <v>43887</v>
      </c>
      <c r="AA2893" t="s">
        <v>3</v>
      </c>
      <c r="AB2893" t="s">
        <v>5848</v>
      </c>
    </row>
    <row r="2894" spans="1:28" hidden="1">
      <c r="A2894" t="s">
        <v>5848</v>
      </c>
      <c r="B2894" s="17">
        <v>43887</v>
      </c>
      <c r="C2894" s="17">
        <v>43887</v>
      </c>
      <c r="D2894" t="s">
        <v>0</v>
      </c>
      <c r="E2894" t="s">
        <v>1</v>
      </c>
      <c r="F2894" s="18">
        <v>1612</v>
      </c>
      <c r="G2894" s="18">
        <v>1612</v>
      </c>
      <c r="H2894" t="s">
        <v>2</v>
      </c>
      <c r="I2894" t="s">
        <v>8</v>
      </c>
      <c r="J2894" s="18">
        <v>135327.4</v>
      </c>
      <c r="K2894" t="s">
        <v>5726</v>
      </c>
      <c r="L2894" t="s">
        <v>9</v>
      </c>
      <c r="M2894" t="s">
        <v>5849</v>
      </c>
      <c r="N2894" t="s">
        <v>3</v>
      </c>
      <c r="O2894" t="s">
        <v>3</v>
      </c>
      <c r="P2894" t="s">
        <v>5</v>
      </c>
      <c r="Q2894" t="s">
        <v>5850</v>
      </c>
      <c r="R2894" t="s">
        <v>3</v>
      </c>
      <c r="S2894" t="s">
        <v>3</v>
      </c>
      <c r="T2894" t="s">
        <v>3</v>
      </c>
      <c r="U2894" t="s">
        <v>3</v>
      </c>
      <c r="V2894" t="s">
        <v>3</v>
      </c>
      <c r="W2894" t="s">
        <v>68</v>
      </c>
      <c r="X2894" s="17"/>
      <c r="Y2894" t="s">
        <v>3</v>
      </c>
      <c r="Z2894" s="17">
        <v>43887</v>
      </c>
      <c r="AA2894" t="s">
        <v>3</v>
      </c>
      <c r="AB2894" t="s">
        <v>5848</v>
      </c>
    </row>
    <row r="2895" spans="1:28" hidden="1">
      <c r="A2895" t="s">
        <v>5848</v>
      </c>
      <c r="B2895" s="17">
        <v>43887</v>
      </c>
      <c r="C2895" s="17">
        <v>43887</v>
      </c>
      <c r="D2895" t="s">
        <v>0</v>
      </c>
      <c r="E2895" t="s">
        <v>1</v>
      </c>
      <c r="F2895" s="18">
        <v>3267</v>
      </c>
      <c r="G2895" s="18">
        <v>3267</v>
      </c>
      <c r="H2895" t="s">
        <v>2</v>
      </c>
      <c r="I2895" t="s">
        <v>8</v>
      </c>
      <c r="J2895" s="18">
        <v>274264.65000000002</v>
      </c>
      <c r="K2895" t="s">
        <v>5690</v>
      </c>
      <c r="L2895" t="s">
        <v>9</v>
      </c>
      <c r="M2895" t="s">
        <v>5849</v>
      </c>
      <c r="N2895" t="s">
        <v>3</v>
      </c>
      <c r="O2895" t="s">
        <v>3</v>
      </c>
      <c r="P2895" t="s">
        <v>5</v>
      </c>
      <c r="Q2895" t="s">
        <v>5850</v>
      </c>
      <c r="R2895" t="s">
        <v>3</v>
      </c>
      <c r="S2895" t="s">
        <v>3</v>
      </c>
      <c r="T2895" t="s">
        <v>3</v>
      </c>
      <c r="U2895" t="s">
        <v>3</v>
      </c>
      <c r="V2895" t="s">
        <v>3</v>
      </c>
      <c r="W2895" t="s">
        <v>68</v>
      </c>
      <c r="X2895" s="17"/>
      <c r="Y2895" t="s">
        <v>3</v>
      </c>
      <c r="Z2895" s="17">
        <v>43887</v>
      </c>
      <c r="AA2895" t="s">
        <v>3</v>
      </c>
      <c r="AB2895" t="s">
        <v>5848</v>
      </c>
    </row>
    <row r="2896" spans="1:28" hidden="1">
      <c r="A2896" t="s">
        <v>5848</v>
      </c>
      <c r="B2896" s="17">
        <v>43887</v>
      </c>
      <c r="C2896" s="17">
        <v>43887</v>
      </c>
      <c r="D2896" t="s">
        <v>0</v>
      </c>
      <c r="E2896" t="s">
        <v>1</v>
      </c>
      <c r="F2896" s="18">
        <v>29600</v>
      </c>
      <c r="G2896" s="18">
        <v>29600</v>
      </c>
      <c r="H2896" t="s">
        <v>2</v>
      </c>
      <c r="I2896" t="s">
        <v>8</v>
      </c>
      <c r="J2896" s="18">
        <v>2484920</v>
      </c>
      <c r="K2896" t="s">
        <v>5808</v>
      </c>
      <c r="L2896" t="s">
        <v>9</v>
      </c>
      <c r="M2896" t="s">
        <v>5849</v>
      </c>
      <c r="N2896" t="s">
        <v>3</v>
      </c>
      <c r="O2896" t="s">
        <v>3</v>
      </c>
      <c r="P2896" t="s">
        <v>5</v>
      </c>
      <c r="Q2896" t="s">
        <v>5850</v>
      </c>
      <c r="R2896" t="s">
        <v>3</v>
      </c>
      <c r="S2896" t="s">
        <v>3</v>
      </c>
      <c r="T2896" t="s">
        <v>3</v>
      </c>
      <c r="U2896" t="s">
        <v>3</v>
      </c>
      <c r="V2896" t="s">
        <v>3</v>
      </c>
      <c r="W2896" t="s">
        <v>68</v>
      </c>
      <c r="X2896" s="17"/>
      <c r="Y2896" t="s">
        <v>3</v>
      </c>
      <c r="Z2896" s="17">
        <v>43887</v>
      </c>
      <c r="AA2896" t="s">
        <v>3</v>
      </c>
      <c r="AB2896" t="s">
        <v>5848</v>
      </c>
    </row>
    <row r="2897" spans="1:28" hidden="1">
      <c r="A2897" t="s">
        <v>5848</v>
      </c>
      <c r="B2897" s="17">
        <v>43887</v>
      </c>
      <c r="C2897" s="17">
        <v>43887</v>
      </c>
      <c r="D2897" t="s">
        <v>0</v>
      </c>
      <c r="E2897" t="s">
        <v>1</v>
      </c>
      <c r="F2897" s="18">
        <v>14980</v>
      </c>
      <c r="G2897" s="18">
        <v>14980</v>
      </c>
      <c r="H2897" t="s">
        <v>2</v>
      </c>
      <c r="I2897" t="s">
        <v>8</v>
      </c>
      <c r="J2897" s="18">
        <v>1257571</v>
      </c>
      <c r="K2897" t="s">
        <v>5693</v>
      </c>
      <c r="L2897" t="s">
        <v>9</v>
      </c>
      <c r="M2897" t="s">
        <v>5849</v>
      </c>
      <c r="N2897" t="s">
        <v>3</v>
      </c>
      <c r="O2897" t="s">
        <v>3</v>
      </c>
      <c r="P2897" t="s">
        <v>5</v>
      </c>
      <c r="Q2897" t="s">
        <v>5850</v>
      </c>
      <c r="R2897" t="s">
        <v>3</v>
      </c>
      <c r="S2897" t="s">
        <v>3</v>
      </c>
      <c r="T2897" t="s">
        <v>3</v>
      </c>
      <c r="U2897" t="s">
        <v>3</v>
      </c>
      <c r="V2897" t="s">
        <v>3</v>
      </c>
      <c r="W2897" t="s">
        <v>68</v>
      </c>
      <c r="X2897" s="17"/>
      <c r="Y2897" t="s">
        <v>3</v>
      </c>
      <c r="Z2897" s="17">
        <v>43887</v>
      </c>
      <c r="AA2897" t="s">
        <v>3</v>
      </c>
      <c r="AB2897" t="s">
        <v>5848</v>
      </c>
    </row>
    <row r="2898" spans="1:28" hidden="1">
      <c r="A2898" t="s">
        <v>5848</v>
      </c>
      <c r="B2898" s="17">
        <v>43887</v>
      </c>
      <c r="C2898" s="17">
        <v>43887</v>
      </c>
      <c r="D2898" t="s">
        <v>0</v>
      </c>
      <c r="E2898" t="s">
        <v>1</v>
      </c>
      <c r="F2898" s="18">
        <v>34694</v>
      </c>
      <c r="G2898" s="18">
        <v>34694</v>
      </c>
      <c r="H2898" t="s">
        <v>2</v>
      </c>
      <c r="I2898" t="s">
        <v>8</v>
      </c>
      <c r="J2898" s="18">
        <v>2912561.3</v>
      </c>
      <c r="K2898" t="s">
        <v>5694</v>
      </c>
      <c r="L2898" t="s">
        <v>9</v>
      </c>
      <c r="M2898" t="s">
        <v>5849</v>
      </c>
      <c r="N2898" t="s">
        <v>3</v>
      </c>
      <c r="O2898" t="s">
        <v>3</v>
      </c>
      <c r="P2898" t="s">
        <v>5</v>
      </c>
      <c r="Q2898" t="s">
        <v>5850</v>
      </c>
      <c r="R2898" t="s">
        <v>3</v>
      </c>
      <c r="S2898" t="s">
        <v>3</v>
      </c>
      <c r="T2898" t="s">
        <v>3</v>
      </c>
      <c r="U2898" t="s">
        <v>3</v>
      </c>
      <c r="V2898" t="s">
        <v>3</v>
      </c>
      <c r="W2898" t="s">
        <v>68</v>
      </c>
      <c r="X2898" s="17"/>
      <c r="Y2898" t="s">
        <v>3</v>
      </c>
      <c r="Z2898" s="17">
        <v>43887</v>
      </c>
      <c r="AA2898" t="s">
        <v>3</v>
      </c>
      <c r="AB2898" t="s">
        <v>5848</v>
      </c>
    </row>
    <row r="2899" spans="1:28" hidden="1">
      <c r="A2899" t="s">
        <v>5848</v>
      </c>
      <c r="B2899" s="17">
        <v>43887</v>
      </c>
      <c r="C2899" s="17">
        <v>43887</v>
      </c>
      <c r="D2899" t="s">
        <v>0</v>
      </c>
      <c r="E2899" t="s">
        <v>1</v>
      </c>
      <c r="F2899" s="18">
        <v>32486</v>
      </c>
      <c r="G2899" s="18">
        <v>32486</v>
      </c>
      <c r="H2899" t="s">
        <v>2</v>
      </c>
      <c r="I2899" t="s">
        <v>8</v>
      </c>
      <c r="J2899" s="18">
        <v>2727199.7</v>
      </c>
      <c r="K2899" t="s">
        <v>5695</v>
      </c>
      <c r="L2899" t="s">
        <v>9</v>
      </c>
      <c r="M2899" t="s">
        <v>5849</v>
      </c>
      <c r="N2899" t="s">
        <v>3</v>
      </c>
      <c r="O2899" t="s">
        <v>3</v>
      </c>
      <c r="P2899" t="s">
        <v>5</v>
      </c>
      <c r="Q2899" t="s">
        <v>5850</v>
      </c>
      <c r="R2899" t="s">
        <v>3</v>
      </c>
      <c r="S2899" t="s">
        <v>3</v>
      </c>
      <c r="T2899" t="s">
        <v>3</v>
      </c>
      <c r="U2899" t="s">
        <v>3</v>
      </c>
      <c r="V2899" t="s">
        <v>3</v>
      </c>
      <c r="W2899" t="s">
        <v>68</v>
      </c>
      <c r="X2899" s="17"/>
      <c r="Y2899" t="s">
        <v>3</v>
      </c>
      <c r="Z2899" s="17">
        <v>43887</v>
      </c>
      <c r="AA2899" t="s">
        <v>3</v>
      </c>
      <c r="AB2899" t="s">
        <v>5848</v>
      </c>
    </row>
    <row r="2900" spans="1:28" hidden="1">
      <c r="A2900" t="s">
        <v>5848</v>
      </c>
      <c r="B2900" s="17">
        <v>43887</v>
      </c>
      <c r="C2900" s="17">
        <v>43887</v>
      </c>
      <c r="D2900" t="s">
        <v>0</v>
      </c>
      <c r="E2900" t="s">
        <v>1</v>
      </c>
      <c r="F2900" s="18">
        <v>2931</v>
      </c>
      <c r="G2900" s="18">
        <v>2931</v>
      </c>
      <c r="H2900" t="s">
        <v>2</v>
      </c>
      <c r="I2900" t="s">
        <v>8</v>
      </c>
      <c r="J2900" s="18">
        <v>246057.45</v>
      </c>
      <c r="K2900" t="s">
        <v>5696</v>
      </c>
      <c r="L2900" t="s">
        <v>9</v>
      </c>
      <c r="M2900" t="s">
        <v>5849</v>
      </c>
      <c r="N2900" t="s">
        <v>3</v>
      </c>
      <c r="O2900" t="s">
        <v>3</v>
      </c>
      <c r="P2900" t="s">
        <v>5</v>
      </c>
      <c r="Q2900" t="s">
        <v>5850</v>
      </c>
      <c r="R2900" t="s">
        <v>3</v>
      </c>
      <c r="S2900" t="s">
        <v>3</v>
      </c>
      <c r="T2900" t="s">
        <v>3</v>
      </c>
      <c r="U2900" t="s">
        <v>3</v>
      </c>
      <c r="V2900" t="s">
        <v>3</v>
      </c>
      <c r="W2900" t="s">
        <v>68</v>
      </c>
      <c r="X2900" s="17"/>
      <c r="Y2900" t="s">
        <v>3</v>
      </c>
      <c r="Z2900" s="17">
        <v>43887</v>
      </c>
      <c r="AA2900" t="s">
        <v>3</v>
      </c>
      <c r="AB2900" t="s">
        <v>5848</v>
      </c>
    </row>
    <row r="2901" spans="1:28" hidden="1">
      <c r="A2901" t="s">
        <v>5845</v>
      </c>
      <c r="B2901" s="17">
        <v>43888</v>
      </c>
      <c r="C2901" s="17">
        <v>43888</v>
      </c>
      <c r="D2901" t="s">
        <v>0</v>
      </c>
      <c r="E2901" t="s">
        <v>1</v>
      </c>
      <c r="F2901" s="18">
        <v>8769</v>
      </c>
      <c r="G2901" s="18">
        <v>8769</v>
      </c>
      <c r="H2901" t="s">
        <v>2</v>
      </c>
      <c r="I2901" t="s">
        <v>10</v>
      </c>
      <c r="J2901" s="18">
        <v>736157.55</v>
      </c>
      <c r="K2901" t="s">
        <v>5707</v>
      </c>
      <c r="L2901" t="s">
        <v>9</v>
      </c>
      <c r="M2901" t="s">
        <v>5846</v>
      </c>
      <c r="N2901" t="s">
        <v>3</v>
      </c>
      <c r="O2901" t="s">
        <v>3</v>
      </c>
      <c r="P2901" t="s">
        <v>5</v>
      </c>
      <c r="Q2901" t="s">
        <v>5847</v>
      </c>
      <c r="R2901" t="s">
        <v>3</v>
      </c>
      <c r="S2901" t="s">
        <v>3</v>
      </c>
      <c r="T2901" t="s">
        <v>3</v>
      </c>
      <c r="U2901" t="s">
        <v>3</v>
      </c>
      <c r="V2901" t="s">
        <v>3</v>
      </c>
      <c r="W2901" t="s">
        <v>68</v>
      </c>
      <c r="X2901" s="17"/>
      <c r="Y2901" t="s">
        <v>3</v>
      </c>
      <c r="Z2901" s="17">
        <v>43888</v>
      </c>
      <c r="AA2901" t="s">
        <v>3</v>
      </c>
      <c r="AB2901" t="s">
        <v>5845</v>
      </c>
    </row>
    <row r="2902" spans="1:28" hidden="1">
      <c r="A2902" t="s">
        <v>5845</v>
      </c>
      <c r="B2902" s="17">
        <v>43888</v>
      </c>
      <c r="C2902" s="17">
        <v>43888</v>
      </c>
      <c r="D2902" t="s">
        <v>0</v>
      </c>
      <c r="E2902" t="s">
        <v>1</v>
      </c>
      <c r="F2902" s="18">
        <v>3288</v>
      </c>
      <c r="G2902" s="18">
        <v>3288</v>
      </c>
      <c r="H2902" t="s">
        <v>2</v>
      </c>
      <c r="I2902" t="s">
        <v>10</v>
      </c>
      <c r="J2902" s="18">
        <v>276027.59999999998</v>
      </c>
      <c r="K2902" t="s">
        <v>5832</v>
      </c>
      <c r="L2902" t="s">
        <v>9</v>
      </c>
      <c r="M2902" t="s">
        <v>5846</v>
      </c>
      <c r="N2902" t="s">
        <v>3</v>
      </c>
      <c r="O2902" t="s">
        <v>3</v>
      </c>
      <c r="P2902" t="s">
        <v>5</v>
      </c>
      <c r="Q2902" t="s">
        <v>5847</v>
      </c>
      <c r="R2902" t="s">
        <v>3</v>
      </c>
      <c r="S2902" t="s">
        <v>3</v>
      </c>
      <c r="T2902" t="s">
        <v>3</v>
      </c>
      <c r="U2902" t="s">
        <v>3</v>
      </c>
      <c r="V2902" t="s">
        <v>3</v>
      </c>
      <c r="W2902" t="s">
        <v>68</v>
      </c>
      <c r="X2902" s="17"/>
      <c r="Y2902" t="s">
        <v>3</v>
      </c>
      <c r="Z2902" s="17">
        <v>43888</v>
      </c>
      <c r="AA2902" t="s">
        <v>3</v>
      </c>
      <c r="AB2902" t="s">
        <v>5845</v>
      </c>
    </row>
    <row r="2903" spans="1:28" hidden="1">
      <c r="A2903" t="s">
        <v>4438</v>
      </c>
      <c r="B2903" s="17">
        <v>43890</v>
      </c>
      <c r="C2903" s="17">
        <v>43861</v>
      </c>
      <c r="D2903" t="s">
        <v>38</v>
      </c>
      <c r="E2903" t="s">
        <v>1</v>
      </c>
      <c r="F2903" s="18">
        <v>2159776</v>
      </c>
      <c r="G2903" s="18">
        <v>2159776</v>
      </c>
      <c r="H2903" t="s">
        <v>2</v>
      </c>
      <c r="I2903" t="s">
        <v>8</v>
      </c>
      <c r="J2903" s="18">
        <v>180298100.47999999</v>
      </c>
      <c r="K2903" t="s">
        <v>4439</v>
      </c>
      <c r="L2903" t="s">
        <v>2332</v>
      </c>
      <c r="M2903" t="s">
        <v>4440</v>
      </c>
      <c r="N2903" t="s">
        <v>3</v>
      </c>
      <c r="O2903" t="s">
        <v>3</v>
      </c>
      <c r="P2903" t="s">
        <v>5</v>
      </c>
      <c r="Q2903" t="s">
        <v>4441</v>
      </c>
      <c r="R2903" t="s">
        <v>3</v>
      </c>
      <c r="S2903" t="s">
        <v>3</v>
      </c>
      <c r="T2903" t="s">
        <v>3</v>
      </c>
      <c r="U2903" t="s">
        <v>3</v>
      </c>
      <c r="V2903" t="s">
        <v>3</v>
      </c>
      <c r="W2903" t="s">
        <v>68</v>
      </c>
      <c r="X2903" s="17">
        <v>43890</v>
      </c>
      <c r="Y2903" t="s">
        <v>4438</v>
      </c>
      <c r="Z2903" s="17">
        <v>43861</v>
      </c>
      <c r="AA2903" t="s">
        <v>3</v>
      </c>
      <c r="AB2903" t="s">
        <v>4438</v>
      </c>
    </row>
    <row r="2904" spans="1:28" hidden="1">
      <c r="A2904" t="s">
        <v>4438</v>
      </c>
      <c r="B2904" s="17">
        <v>43890</v>
      </c>
      <c r="C2904" s="17">
        <v>43861</v>
      </c>
      <c r="D2904" t="s">
        <v>38</v>
      </c>
      <c r="E2904" t="s">
        <v>1</v>
      </c>
      <c r="F2904" s="18">
        <v>-97969</v>
      </c>
      <c r="G2904" s="18">
        <v>-97969</v>
      </c>
      <c r="H2904" t="s">
        <v>2</v>
      </c>
      <c r="I2904" t="s">
        <v>8</v>
      </c>
      <c r="J2904" s="18">
        <v>-8178452.1200000001</v>
      </c>
      <c r="K2904" t="s">
        <v>4439</v>
      </c>
      <c r="L2904" t="s">
        <v>9</v>
      </c>
      <c r="M2904" t="s">
        <v>4440</v>
      </c>
      <c r="N2904" t="s">
        <v>3</v>
      </c>
      <c r="O2904" t="s">
        <v>3</v>
      </c>
      <c r="P2904" t="s">
        <v>5</v>
      </c>
      <c r="Q2904" t="s">
        <v>4441</v>
      </c>
      <c r="R2904" t="s">
        <v>3</v>
      </c>
      <c r="S2904" t="s">
        <v>3</v>
      </c>
      <c r="T2904" t="s">
        <v>3</v>
      </c>
      <c r="U2904" t="s">
        <v>3</v>
      </c>
      <c r="V2904" t="s">
        <v>3</v>
      </c>
      <c r="W2904" t="s">
        <v>68</v>
      </c>
      <c r="X2904" s="17">
        <v>43890</v>
      </c>
      <c r="Y2904" t="s">
        <v>4438</v>
      </c>
      <c r="Z2904" s="17">
        <v>43861</v>
      </c>
      <c r="AA2904" t="s">
        <v>3</v>
      </c>
      <c r="AB2904" t="s">
        <v>4438</v>
      </c>
    </row>
    <row r="2905" spans="1:28" hidden="1">
      <c r="A2905" t="s">
        <v>4442</v>
      </c>
      <c r="B2905" s="17">
        <v>43890</v>
      </c>
      <c r="C2905" s="17">
        <v>43861</v>
      </c>
      <c r="D2905" t="s">
        <v>38</v>
      </c>
      <c r="E2905" t="s">
        <v>1</v>
      </c>
      <c r="F2905" s="18">
        <v>-23551</v>
      </c>
      <c r="G2905" s="18">
        <v>-23551</v>
      </c>
      <c r="H2905" t="s">
        <v>2</v>
      </c>
      <c r="I2905" t="s">
        <v>8</v>
      </c>
      <c r="J2905" s="18">
        <v>-1977106.45</v>
      </c>
      <c r="K2905" t="s">
        <v>4443</v>
      </c>
      <c r="L2905" t="s">
        <v>4</v>
      </c>
      <c r="M2905" t="s">
        <v>4444</v>
      </c>
      <c r="N2905" t="s">
        <v>3</v>
      </c>
      <c r="O2905" t="s">
        <v>3</v>
      </c>
      <c r="P2905" t="s">
        <v>5</v>
      </c>
      <c r="Q2905" t="s">
        <v>4443</v>
      </c>
      <c r="R2905" t="s">
        <v>3</v>
      </c>
      <c r="S2905" t="s">
        <v>3</v>
      </c>
      <c r="T2905" t="s">
        <v>3</v>
      </c>
      <c r="U2905" t="s">
        <v>3</v>
      </c>
      <c r="V2905" t="s">
        <v>3</v>
      </c>
      <c r="W2905" t="s">
        <v>68</v>
      </c>
      <c r="X2905" s="17">
        <v>43890</v>
      </c>
      <c r="Y2905" t="s">
        <v>4442</v>
      </c>
      <c r="Z2905" s="17">
        <v>43861</v>
      </c>
      <c r="AA2905" t="s">
        <v>3</v>
      </c>
      <c r="AB2905" t="s">
        <v>4442</v>
      </c>
    </row>
    <row r="2906" spans="1:28" hidden="1">
      <c r="A2906" t="s">
        <v>5924</v>
      </c>
      <c r="B2906" s="17">
        <v>43890</v>
      </c>
      <c r="C2906" s="17">
        <v>43890</v>
      </c>
      <c r="D2906" t="s">
        <v>0</v>
      </c>
      <c r="E2906" t="s">
        <v>1</v>
      </c>
      <c r="F2906" s="18">
        <v>-1580836</v>
      </c>
      <c r="G2906" s="18">
        <v>-1580836</v>
      </c>
      <c r="H2906" t="s">
        <v>2</v>
      </c>
      <c r="I2906" t="s">
        <v>8</v>
      </c>
      <c r="J2906" s="18">
        <v>-131968189.28</v>
      </c>
      <c r="K2906" t="s">
        <v>4446</v>
      </c>
      <c r="L2906" t="s">
        <v>2332</v>
      </c>
      <c r="M2906" t="s">
        <v>4447</v>
      </c>
      <c r="N2906" t="s">
        <v>3</v>
      </c>
      <c r="O2906" t="s">
        <v>3</v>
      </c>
      <c r="P2906" t="s">
        <v>5</v>
      </c>
      <c r="Q2906" t="s">
        <v>4448</v>
      </c>
      <c r="R2906" t="s">
        <v>3</v>
      </c>
      <c r="S2906" t="s">
        <v>3</v>
      </c>
      <c r="T2906" t="s">
        <v>3</v>
      </c>
      <c r="U2906" t="s">
        <v>3</v>
      </c>
      <c r="V2906" t="s">
        <v>3</v>
      </c>
      <c r="W2906" t="s">
        <v>68</v>
      </c>
      <c r="X2906" s="17">
        <v>43891</v>
      </c>
      <c r="Y2906" t="s">
        <v>4445</v>
      </c>
      <c r="Z2906" s="17">
        <v>43890</v>
      </c>
      <c r="AA2906" t="s">
        <v>3</v>
      </c>
      <c r="AB2906" t="s">
        <v>5924</v>
      </c>
    </row>
    <row r="2907" spans="1:28" hidden="1">
      <c r="A2907" t="s">
        <v>5924</v>
      </c>
      <c r="B2907" s="17">
        <v>43890</v>
      </c>
      <c r="C2907" s="17">
        <v>43890</v>
      </c>
      <c r="D2907" t="s">
        <v>0</v>
      </c>
      <c r="E2907" t="s">
        <v>1</v>
      </c>
      <c r="F2907" s="18">
        <v>2429</v>
      </c>
      <c r="G2907" s="18">
        <v>2429</v>
      </c>
      <c r="H2907" t="s">
        <v>2</v>
      </c>
      <c r="I2907" t="s">
        <v>8</v>
      </c>
      <c r="J2907" s="18">
        <v>202772.92</v>
      </c>
      <c r="K2907" t="s">
        <v>4446</v>
      </c>
      <c r="L2907" t="s">
        <v>9</v>
      </c>
      <c r="M2907" t="s">
        <v>4447</v>
      </c>
      <c r="N2907" t="s">
        <v>3</v>
      </c>
      <c r="O2907" t="s">
        <v>3</v>
      </c>
      <c r="P2907" t="s">
        <v>5</v>
      </c>
      <c r="Q2907" t="s">
        <v>4448</v>
      </c>
      <c r="R2907" t="s">
        <v>3</v>
      </c>
      <c r="S2907" t="s">
        <v>3</v>
      </c>
      <c r="T2907" t="s">
        <v>3</v>
      </c>
      <c r="U2907" t="s">
        <v>3</v>
      </c>
      <c r="V2907" t="s">
        <v>3</v>
      </c>
      <c r="W2907" t="s">
        <v>68</v>
      </c>
      <c r="X2907" s="17">
        <v>43891</v>
      </c>
      <c r="Y2907" t="s">
        <v>4445</v>
      </c>
      <c r="Z2907" s="17">
        <v>43890</v>
      </c>
      <c r="AA2907" t="s">
        <v>3</v>
      </c>
      <c r="AB2907" t="s">
        <v>5924</v>
      </c>
    </row>
    <row r="2908" spans="1:28" hidden="1">
      <c r="A2908" t="s">
        <v>5925</v>
      </c>
      <c r="B2908" s="17">
        <v>43890</v>
      </c>
      <c r="C2908" s="17">
        <v>43890</v>
      </c>
      <c r="D2908" t="s">
        <v>0</v>
      </c>
      <c r="E2908" t="s">
        <v>1</v>
      </c>
      <c r="F2908" s="18">
        <v>178852.54</v>
      </c>
      <c r="G2908" s="18">
        <v>178852.54</v>
      </c>
      <c r="H2908" t="s">
        <v>2</v>
      </c>
      <c r="I2908" t="s">
        <v>8</v>
      </c>
      <c r="J2908" s="18">
        <v>15014670.73</v>
      </c>
      <c r="K2908" t="s">
        <v>4450</v>
      </c>
      <c r="L2908" t="s">
        <v>4</v>
      </c>
      <c r="M2908" t="s">
        <v>4451</v>
      </c>
      <c r="N2908" t="s">
        <v>3</v>
      </c>
      <c r="O2908" t="s">
        <v>3</v>
      </c>
      <c r="P2908" t="s">
        <v>5</v>
      </c>
      <c r="Q2908" t="s">
        <v>4450</v>
      </c>
      <c r="R2908" t="s">
        <v>3</v>
      </c>
      <c r="S2908" t="s">
        <v>3</v>
      </c>
      <c r="T2908" t="s">
        <v>3</v>
      </c>
      <c r="U2908" t="s">
        <v>3</v>
      </c>
      <c r="V2908" t="s">
        <v>3</v>
      </c>
      <c r="W2908" t="s">
        <v>68</v>
      </c>
      <c r="X2908" s="17">
        <v>43891</v>
      </c>
      <c r="Y2908" t="s">
        <v>4449</v>
      </c>
      <c r="Z2908" s="17">
        <v>43890</v>
      </c>
      <c r="AA2908" t="s">
        <v>3</v>
      </c>
      <c r="AB2908" t="s">
        <v>5925</v>
      </c>
    </row>
    <row r="2909" spans="1:28" hidden="1">
      <c r="A2909" t="s">
        <v>4445</v>
      </c>
      <c r="B2909" s="17">
        <v>43891</v>
      </c>
      <c r="C2909" s="17">
        <v>43890</v>
      </c>
      <c r="D2909" t="s">
        <v>38</v>
      </c>
      <c r="E2909" t="s">
        <v>1</v>
      </c>
      <c r="F2909" s="18">
        <v>1580836</v>
      </c>
      <c r="G2909" s="18">
        <v>1580836</v>
      </c>
      <c r="H2909" t="s">
        <v>2</v>
      </c>
      <c r="I2909" t="s">
        <v>8</v>
      </c>
      <c r="J2909" s="18">
        <v>131968189.28</v>
      </c>
      <c r="K2909" t="s">
        <v>4446</v>
      </c>
      <c r="L2909" t="s">
        <v>2332</v>
      </c>
      <c r="M2909" t="s">
        <v>4447</v>
      </c>
      <c r="N2909" t="s">
        <v>3</v>
      </c>
      <c r="O2909" t="s">
        <v>3</v>
      </c>
      <c r="P2909" t="s">
        <v>5</v>
      </c>
      <c r="Q2909" t="s">
        <v>4448</v>
      </c>
      <c r="R2909" t="s">
        <v>3</v>
      </c>
      <c r="S2909" t="s">
        <v>3</v>
      </c>
      <c r="T2909" t="s">
        <v>3</v>
      </c>
      <c r="U2909" t="s">
        <v>3</v>
      </c>
      <c r="V2909" t="s">
        <v>3</v>
      </c>
      <c r="W2909" t="s">
        <v>68</v>
      </c>
      <c r="X2909" s="17">
        <v>43891</v>
      </c>
      <c r="Y2909" t="s">
        <v>4445</v>
      </c>
      <c r="Z2909" s="17">
        <v>43890</v>
      </c>
      <c r="AA2909" t="s">
        <v>3</v>
      </c>
      <c r="AB2909" t="s">
        <v>4445</v>
      </c>
    </row>
    <row r="2910" spans="1:28" hidden="1">
      <c r="A2910" t="s">
        <v>4445</v>
      </c>
      <c r="B2910" s="17">
        <v>43891</v>
      </c>
      <c r="C2910" s="17">
        <v>43890</v>
      </c>
      <c r="D2910" t="s">
        <v>38</v>
      </c>
      <c r="E2910" t="s">
        <v>1</v>
      </c>
      <c r="F2910" s="18">
        <v>-2429</v>
      </c>
      <c r="G2910" s="18">
        <v>-2429</v>
      </c>
      <c r="H2910" t="s">
        <v>2</v>
      </c>
      <c r="I2910" t="s">
        <v>8</v>
      </c>
      <c r="J2910" s="18">
        <v>-202772.92</v>
      </c>
      <c r="K2910" t="s">
        <v>4446</v>
      </c>
      <c r="L2910" t="s">
        <v>9</v>
      </c>
      <c r="M2910" t="s">
        <v>4447</v>
      </c>
      <c r="N2910" t="s">
        <v>3</v>
      </c>
      <c r="O2910" t="s">
        <v>3</v>
      </c>
      <c r="P2910" t="s">
        <v>5</v>
      </c>
      <c r="Q2910" t="s">
        <v>4448</v>
      </c>
      <c r="R2910" t="s">
        <v>3</v>
      </c>
      <c r="S2910" t="s">
        <v>3</v>
      </c>
      <c r="T2910" t="s">
        <v>3</v>
      </c>
      <c r="U2910" t="s">
        <v>3</v>
      </c>
      <c r="V2910" t="s">
        <v>3</v>
      </c>
      <c r="W2910" t="s">
        <v>68</v>
      </c>
      <c r="X2910" s="17">
        <v>43891</v>
      </c>
      <c r="Y2910" t="s">
        <v>4445</v>
      </c>
      <c r="Z2910" s="17">
        <v>43890</v>
      </c>
      <c r="AA2910" t="s">
        <v>3</v>
      </c>
      <c r="AB2910" t="s">
        <v>4445</v>
      </c>
    </row>
    <row r="2911" spans="1:28" hidden="1">
      <c r="A2911" t="s">
        <v>4449</v>
      </c>
      <c r="B2911" s="17">
        <v>43891</v>
      </c>
      <c r="C2911" s="17">
        <v>43890</v>
      </c>
      <c r="D2911" t="s">
        <v>38</v>
      </c>
      <c r="E2911" t="s">
        <v>1</v>
      </c>
      <c r="F2911" s="18">
        <v>-178852.54</v>
      </c>
      <c r="G2911" s="18">
        <v>-178852.54</v>
      </c>
      <c r="H2911" t="s">
        <v>2</v>
      </c>
      <c r="I2911" t="s">
        <v>8</v>
      </c>
      <c r="J2911" s="18">
        <v>-15014670.73</v>
      </c>
      <c r="K2911" t="s">
        <v>4450</v>
      </c>
      <c r="L2911" t="s">
        <v>4</v>
      </c>
      <c r="M2911" t="s">
        <v>4451</v>
      </c>
      <c r="N2911" t="s">
        <v>3</v>
      </c>
      <c r="O2911" t="s">
        <v>3</v>
      </c>
      <c r="P2911" t="s">
        <v>5</v>
      </c>
      <c r="Q2911" t="s">
        <v>4450</v>
      </c>
      <c r="R2911" t="s">
        <v>3</v>
      </c>
      <c r="S2911" t="s">
        <v>3</v>
      </c>
      <c r="T2911" t="s">
        <v>3</v>
      </c>
      <c r="U2911" t="s">
        <v>3</v>
      </c>
      <c r="V2911" t="s">
        <v>3</v>
      </c>
      <c r="W2911" t="s">
        <v>68</v>
      </c>
      <c r="X2911" s="17">
        <v>43891</v>
      </c>
      <c r="Y2911" t="s">
        <v>4449</v>
      </c>
      <c r="Z2911" s="17">
        <v>43890</v>
      </c>
      <c r="AA2911" t="s">
        <v>3</v>
      </c>
      <c r="AB2911" t="s">
        <v>4449</v>
      </c>
    </row>
    <row r="2912" spans="1:28" hidden="1">
      <c r="A2912" t="s">
        <v>5854</v>
      </c>
      <c r="B2912" s="17">
        <v>43891</v>
      </c>
      <c r="C2912" s="17">
        <v>43891</v>
      </c>
      <c r="D2912" t="s">
        <v>0</v>
      </c>
      <c r="E2912" t="s">
        <v>1</v>
      </c>
      <c r="F2912" s="18">
        <v>15747.6</v>
      </c>
      <c r="G2912" s="18">
        <v>15747.6</v>
      </c>
      <c r="H2912" t="s">
        <v>2</v>
      </c>
      <c r="I2912" t="s">
        <v>8</v>
      </c>
      <c r="J2912" s="18">
        <v>1322011.02</v>
      </c>
      <c r="K2912" t="s">
        <v>5855</v>
      </c>
      <c r="L2912" t="s">
        <v>4</v>
      </c>
      <c r="M2912" t="s">
        <v>5856</v>
      </c>
      <c r="N2912" t="s">
        <v>3</v>
      </c>
      <c r="O2912" t="s">
        <v>3</v>
      </c>
      <c r="P2912" t="s">
        <v>5</v>
      </c>
      <c r="Q2912" t="s">
        <v>5857</v>
      </c>
      <c r="R2912" t="s">
        <v>3</v>
      </c>
      <c r="S2912" t="s">
        <v>3</v>
      </c>
      <c r="T2912" t="s">
        <v>3</v>
      </c>
      <c r="U2912" t="s">
        <v>3</v>
      </c>
      <c r="V2912" t="s">
        <v>3</v>
      </c>
      <c r="W2912" t="s">
        <v>68</v>
      </c>
      <c r="X2912" s="17"/>
      <c r="Y2912" t="s">
        <v>3</v>
      </c>
      <c r="Z2912" s="17">
        <v>43891</v>
      </c>
      <c r="AA2912" t="s">
        <v>3</v>
      </c>
      <c r="AB2912" t="s">
        <v>5854</v>
      </c>
    </row>
    <row r="2913" spans="1:28" hidden="1">
      <c r="A2913" t="s">
        <v>5854</v>
      </c>
      <c r="B2913" s="17">
        <v>43891</v>
      </c>
      <c r="C2913" s="17">
        <v>43891</v>
      </c>
      <c r="D2913" t="s">
        <v>0</v>
      </c>
      <c r="E2913" t="s">
        <v>1</v>
      </c>
      <c r="F2913" s="18">
        <v>1941.31</v>
      </c>
      <c r="G2913" s="18">
        <v>1941.31</v>
      </c>
      <c r="H2913" t="s">
        <v>2</v>
      </c>
      <c r="I2913" t="s">
        <v>8</v>
      </c>
      <c r="J2913" s="18">
        <v>162972.97</v>
      </c>
      <c r="K2913" t="s">
        <v>5858</v>
      </c>
      <c r="L2913" t="s">
        <v>4</v>
      </c>
      <c r="M2913" t="s">
        <v>5856</v>
      </c>
      <c r="N2913" t="s">
        <v>3</v>
      </c>
      <c r="O2913" t="s">
        <v>3</v>
      </c>
      <c r="P2913" t="s">
        <v>5</v>
      </c>
      <c r="Q2913" t="s">
        <v>5857</v>
      </c>
      <c r="R2913" t="s">
        <v>3</v>
      </c>
      <c r="S2913" t="s">
        <v>3</v>
      </c>
      <c r="T2913" t="s">
        <v>3</v>
      </c>
      <c r="U2913" t="s">
        <v>3</v>
      </c>
      <c r="V2913" t="s">
        <v>3</v>
      </c>
      <c r="W2913" t="s">
        <v>68</v>
      </c>
      <c r="X2913" s="17"/>
      <c r="Y2913" t="s">
        <v>3</v>
      </c>
      <c r="Z2913" s="17">
        <v>43891</v>
      </c>
      <c r="AA2913" t="s">
        <v>3</v>
      </c>
      <c r="AB2913" t="s">
        <v>5854</v>
      </c>
    </row>
    <row r="2914" spans="1:28" hidden="1">
      <c r="A2914" t="s">
        <v>5854</v>
      </c>
      <c r="B2914" s="17">
        <v>43891</v>
      </c>
      <c r="C2914" s="17">
        <v>43891</v>
      </c>
      <c r="D2914" t="s">
        <v>0</v>
      </c>
      <c r="E2914" t="s">
        <v>1</v>
      </c>
      <c r="F2914" s="18">
        <v>5218.5600000000004</v>
      </c>
      <c r="G2914" s="18">
        <v>5218.5600000000004</v>
      </c>
      <c r="H2914" t="s">
        <v>2</v>
      </c>
      <c r="I2914" t="s">
        <v>8</v>
      </c>
      <c r="J2914" s="18">
        <v>438098.11</v>
      </c>
      <c r="K2914" t="s">
        <v>5859</v>
      </c>
      <c r="L2914" t="s">
        <v>4</v>
      </c>
      <c r="M2914" t="s">
        <v>5856</v>
      </c>
      <c r="N2914" t="s">
        <v>3</v>
      </c>
      <c r="O2914" t="s">
        <v>3</v>
      </c>
      <c r="P2914" t="s">
        <v>5</v>
      </c>
      <c r="Q2914" t="s">
        <v>5857</v>
      </c>
      <c r="R2914" t="s">
        <v>3</v>
      </c>
      <c r="S2914" t="s">
        <v>3</v>
      </c>
      <c r="T2914" t="s">
        <v>3</v>
      </c>
      <c r="U2914" t="s">
        <v>3</v>
      </c>
      <c r="V2914" t="s">
        <v>3</v>
      </c>
      <c r="W2914" t="s">
        <v>68</v>
      </c>
      <c r="X2914" s="17"/>
      <c r="Y2914" t="s">
        <v>3</v>
      </c>
      <c r="Z2914" s="17">
        <v>43891</v>
      </c>
      <c r="AA2914" t="s">
        <v>3</v>
      </c>
      <c r="AB2914" t="s">
        <v>5854</v>
      </c>
    </row>
    <row r="2915" spans="1:28" hidden="1">
      <c r="A2915" t="s">
        <v>5860</v>
      </c>
      <c r="B2915" s="17">
        <v>43892</v>
      </c>
      <c r="C2915" s="17">
        <v>43892</v>
      </c>
      <c r="D2915" t="s">
        <v>0</v>
      </c>
      <c r="E2915" t="s">
        <v>1</v>
      </c>
      <c r="F2915" s="18">
        <v>-1000000</v>
      </c>
      <c r="G2915" s="18">
        <v>-1000000</v>
      </c>
      <c r="H2915" t="s">
        <v>2</v>
      </c>
      <c r="I2915" t="s">
        <v>8</v>
      </c>
      <c r="J2915" s="18">
        <v>-83950000</v>
      </c>
      <c r="K2915" t="s">
        <v>5861</v>
      </c>
      <c r="L2915" t="s">
        <v>9</v>
      </c>
      <c r="M2915" t="s">
        <v>5862</v>
      </c>
      <c r="N2915" t="s">
        <v>3</v>
      </c>
      <c r="O2915" t="s">
        <v>3</v>
      </c>
      <c r="P2915" t="s">
        <v>5</v>
      </c>
      <c r="Q2915" t="s">
        <v>5863</v>
      </c>
      <c r="R2915" t="s">
        <v>3</v>
      </c>
      <c r="S2915" t="s">
        <v>3</v>
      </c>
      <c r="T2915" t="s">
        <v>3</v>
      </c>
      <c r="U2915" t="s">
        <v>3</v>
      </c>
      <c r="V2915" t="s">
        <v>3</v>
      </c>
      <c r="W2915" t="s">
        <v>68</v>
      </c>
      <c r="X2915" s="17"/>
      <c r="Y2915" t="s">
        <v>3</v>
      </c>
      <c r="Z2915" s="17">
        <v>43892</v>
      </c>
      <c r="AA2915" t="s">
        <v>3</v>
      </c>
      <c r="AB2915" t="s">
        <v>5860</v>
      </c>
    </row>
    <row r="2916" spans="1:28" hidden="1">
      <c r="A2916" t="s">
        <v>5864</v>
      </c>
      <c r="B2916" s="17">
        <v>43892</v>
      </c>
      <c r="C2916" s="17">
        <v>43892</v>
      </c>
      <c r="D2916" t="s">
        <v>0</v>
      </c>
      <c r="E2916" t="s">
        <v>1</v>
      </c>
      <c r="F2916" s="18">
        <v>-576559</v>
      </c>
      <c r="G2916" s="18">
        <v>-576559</v>
      </c>
      <c r="H2916" t="s">
        <v>2</v>
      </c>
      <c r="I2916" t="s">
        <v>8</v>
      </c>
      <c r="J2916" s="18">
        <v>-48402128.049999997</v>
      </c>
      <c r="K2916" t="s">
        <v>5865</v>
      </c>
      <c r="L2916" t="s">
        <v>9</v>
      </c>
      <c r="M2916" t="s">
        <v>5866</v>
      </c>
      <c r="N2916" t="s">
        <v>3</v>
      </c>
      <c r="O2916" t="s">
        <v>3</v>
      </c>
      <c r="P2916" t="s">
        <v>5</v>
      </c>
      <c r="Q2916" t="s">
        <v>5867</v>
      </c>
      <c r="R2916" t="s">
        <v>3</v>
      </c>
      <c r="S2916" t="s">
        <v>3</v>
      </c>
      <c r="T2916" t="s">
        <v>3</v>
      </c>
      <c r="U2916" t="s">
        <v>3</v>
      </c>
      <c r="V2916" t="s">
        <v>3</v>
      </c>
      <c r="W2916" t="s">
        <v>68</v>
      </c>
      <c r="X2916" s="17"/>
      <c r="Y2916" t="s">
        <v>3</v>
      </c>
      <c r="Z2916" s="17">
        <v>43892</v>
      </c>
      <c r="AA2916" t="s">
        <v>3</v>
      </c>
      <c r="AB2916" t="s">
        <v>5864</v>
      </c>
    </row>
    <row r="2917" spans="1:28" hidden="1">
      <c r="A2917" t="s">
        <v>5868</v>
      </c>
      <c r="B2917" s="17">
        <v>43892</v>
      </c>
      <c r="C2917" s="17">
        <v>43892</v>
      </c>
      <c r="D2917" t="s">
        <v>0</v>
      </c>
      <c r="E2917" t="s">
        <v>1</v>
      </c>
      <c r="F2917" s="18">
        <v>-4277</v>
      </c>
      <c r="G2917" s="18">
        <v>-4277</v>
      </c>
      <c r="H2917" t="s">
        <v>2</v>
      </c>
      <c r="I2917" t="s">
        <v>10</v>
      </c>
      <c r="J2917" s="18">
        <v>-359054.15</v>
      </c>
      <c r="K2917" t="s">
        <v>5869</v>
      </c>
      <c r="L2917" t="s">
        <v>9</v>
      </c>
      <c r="M2917" t="s">
        <v>5870</v>
      </c>
      <c r="N2917" t="s">
        <v>3</v>
      </c>
      <c r="O2917" t="s">
        <v>3</v>
      </c>
      <c r="P2917" t="s">
        <v>5</v>
      </c>
      <c r="Q2917" t="s">
        <v>5871</v>
      </c>
      <c r="R2917" t="s">
        <v>3</v>
      </c>
      <c r="S2917" t="s">
        <v>3</v>
      </c>
      <c r="T2917" t="s">
        <v>3</v>
      </c>
      <c r="U2917" t="s">
        <v>3</v>
      </c>
      <c r="V2917" t="s">
        <v>3</v>
      </c>
      <c r="W2917" t="s">
        <v>68</v>
      </c>
      <c r="X2917" s="17"/>
      <c r="Y2917" t="s">
        <v>3</v>
      </c>
      <c r="Z2917" s="17">
        <v>43892</v>
      </c>
      <c r="AA2917" t="s">
        <v>3</v>
      </c>
      <c r="AB2917" t="s">
        <v>5868</v>
      </c>
    </row>
    <row r="2918" spans="1:28" hidden="1">
      <c r="A2918" t="s">
        <v>5872</v>
      </c>
      <c r="B2918" s="17">
        <v>43892</v>
      </c>
      <c r="C2918" s="17">
        <v>43892</v>
      </c>
      <c r="D2918" t="s">
        <v>0</v>
      </c>
      <c r="E2918" t="s">
        <v>1</v>
      </c>
      <c r="F2918" s="18">
        <v>2430</v>
      </c>
      <c r="G2918" s="18">
        <v>2430</v>
      </c>
      <c r="H2918" t="s">
        <v>2</v>
      </c>
      <c r="I2918" t="s">
        <v>10</v>
      </c>
      <c r="J2918" s="18">
        <v>203998.5</v>
      </c>
      <c r="K2918" t="s">
        <v>5873</v>
      </c>
      <c r="L2918" t="s">
        <v>9</v>
      </c>
      <c r="M2918" t="s">
        <v>5874</v>
      </c>
      <c r="N2918" t="s">
        <v>3</v>
      </c>
      <c r="O2918" t="s">
        <v>3</v>
      </c>
      <c r="P2918" t="s">
        <v>5</v>
      </c>
      <c r="Q2918" t="s">
        <v>5875</v>
      </c>
      <c r="R2918" t="s">
        <v>3</v>
      </c>
      <c r="S2918" t="s">
        <v>3</v>
      </c>
      <c r="T2918" t="s">
        <v>3</v>
      </c>
      <c r="U2918" t="s">
        <v>3</v>
      </c>
      <c r="V2918" t="s">
        <v>3</v>
      </c>
      <c r="W2918" t="s">
        <v>68</v>
      </c>
      <c r="X2918" s="17"/>
      <c r="Y2918" t="s">
        <v>3</v>
      </c>
      <c r="Z2918" s="17">
        <v>43892</v>
      </c>
      <c r="AA2918" t="s">
        <v>3</v>
      </c>
      <c r="AB2918" t="s">
        <v>5872</v>
      </c>
    </row>
    <row r="2919" spans="1:28" hidden="1">
      <c r="A2919" t="s">
        <v>5876</v>
      </c>
      <c r="B2919" s="17">
        <v>43893</v>
      </c>
      <c r="C2919" s="17">
        <v>43893</v>
      </c>
      <c r="D2919" t="s">
        <v>0</v>
      </c>
      <c r="E2919" t="s">
        <v>1</v>
      </c>
      <c r="F2919" s="18">
        <v>-90728.77</v>
      </c>
      <c r="G2919" s="18">
        <v>-90728.77</v>
      </c>
      <c r="H2919" t="s">
        <v>2</v>
      </c>
      <c r="I2919" t="s">
        <v>10</v>
      </c>
      <c r="J2919" s="18">
        <v>-7616680.2400000002</v>
      </c>
      <c r="K2919" t="s">
        <v>5877</v>
      </c>
      <c r="L2919" t="s">
        <v>4</v>
      </c>
      <c r="M2919" t="s">
        <v>5878</v>
      </c>
      <c r="N2919" t="s">
        <v>3</v>
      </c>
      <c r="O2919" t="s">
        <v>3</v>
      </c>
      <c r="P2919" t="s">
        <v>5</v>
      </c>
      <c r="Q2919" t="s">
        <v>5879</v>
      </c>
      <c r="R2919" t="s">
        <v>3</v>
      </c>
      <c r="S2919" t="s">
        <v>3</v>
      </c>
      <c r="T2919" t="s">
        <v>3</v>
      </c>
      <c r="U2919" t="s">
        <v>3</v>
      </c>
      <c r="V2919" t="s">
        <v>3</v>
      </c>
      <c r="W2919" t="s">
        <v>68</v>
      </c>
      <c r="X2919" s="17"/>
      <c r="Y2919" t="s">
        <v>3</v>
      </c>
      <c r="Z2919" s="17">
        <v>43893</v>
      </c>
      <c r="AA2919" t="s">
        <v>3</v>
      </c>
      <c r="AB2919" t="s">
        <v>5876</v>
      </c>
    </row>
    <row r="2920" spans="1:28" hidden="1">
      <c r="A2920" t="s">
        <v>5880</v>
      </c>
      <c r="B2920" s="17">
        <v>43893</v>
      </c>
      <c r="C2920" s="17">
        <v>43893</v>
      </c>
      <c r="D2920" t="s">
        <v>0</v>
      </c>
      <c r="E2920" t="s">
        <v>1</v>
      </c>
      <c r="F2920" s="18">
        <v>-116687.5</v>
      </c>
      <c r="G2920" s="18">
        <v>-116687.5</v>
      </c>
      <c r="H2920" t="s">
        <v>2</v>
      </c>
      <c r="I2920" t="s">
        <v>8</v>
      </c>
      <c r="J2920" s="18">
        <v>-9795915.6300000008</v>
      </c>
      <c r="K2920" t="s">
        <v>5881</v>
      </c>
      <c r="L2920" t="s">
        <v>4</v>
      </c>
      <c r="M2920" t="s">
        <v>5882</v>
      </c>
      <c r="N2920" t="s">
        <v>3</v>
      </c>
      <c r="O2920" t="s">
        <v>3</v>
      </c>
      <c r="P2920" t="s">
        <v>5</v>
      </c>
      <c r="Q2920" t="s">
        <v>5883</v>
      </c>
      <c r="R2920" t="s">
        <v>3</v>
      </c>
      <c r="S2920" t="s">
        <v>3</v>
      </c>
      <c r="T2920" t="s">
        <v>3</v>
      </c>
      <c r="U2920" t="s">
        <v>3</v>
      </c>
      <c r="V2920" t="s">
        <v>3</v>
      </c>
      <c r="W2920" t="s">
        <v>68</v>
      </c>
      <c r="X2920" s="17"/>
      <c r="Y2920" t="s">
        <v>3</v>
      </c>
      <c r="Z2920" s="17">
        <v>43893</v>
      </c>
      <c r="AA2920" t="s">
        <v>3</v>
      </c>
      <c r="AB2920" t="s">
        <v>5880</v>
      </c>
    </row>
    <row r="2921" spans="1:28" hidden="1">
      <c r="A2921" t="s">
        <v>5884</v>
      </c>
      <c r="B2921" s="17">
        <v>43893</v>
      </c>
      <c r="C2921" s="17">
        <v>43893</v>
      </c>
      <c r="D2921" t="s">
        <v>0</v>
      </c>
      <c r="E2921" t="s">
        <v>1</v>
      </c>
      <c r="F2921" s="18">
        <v>6549.08</v>
      </c>
      <c r="G2921" s="18">
        <v>6549.08</v>
      </c>
      <c r="H2921" t="s">
        <v>2</v>
      </c>
      <c r="I2921" t="s">
        <v>8</v>
      </c>
      <c r="J2921" s="18">
        <v>549795.27</v>
      </c>
      <c r="K2921" t="s">
        <v>5855</v>
      </c>
      <c r="L2921" t="s">
        <v>4</v>
      </c>
      <c r="M2921" t="s">
        <v>5885</v>
      </c>
      <c r="N2921" t="s">
        <v>3</v>
      </c>
      <c r="O2921" t="s">
        <v>3</v>
      </c>
      <c r="P2921" t="s">
        <v>5</v>
      </c>
      <c r="Q2921" t="s">
        <v>5886</v>
      </c>
      <c r="R2921" t="s">
        <v>3</v>
      </c>
      <c r="S2921" t="s">
        <v>3</v>
      </c>
      <c r="T2921" t="s">
        <v>3</v>
      </c>
      <c r="U2921" t="s">
        <v>3</v>
      </c>
      <c r="V2921" t="s">
        <v>3</v>
      </c>
      <c r="W2921" t="s">
        <v>68</v>
      </c>
      <c r="X2921" s="17"/>
      <c r="Y2921" t="s">
        <v>3</v>
      </c>
      <c r="Z2921" s="17">
        <v>43893</v>
      </c>
      <c r="AA2921" t="s">
        <v>3</v>
      </c>
      <c r="AB2921" t="s">
        <v>5884</v>
      </c>
    </row>
    <row r="2922" spans="1:28" hidden="1">
      <c r="A2922" t="s">
        <v>5884</v>
      </c>
      <c r="B2922" s="17">
        <v>43893</v>
      </c>
      <c r="C2922" s="17">
        <v>43893</v>
      </c>
      <c r="D2922" t="s">
        <v>0</v>
      </c>
      <c r="E2922" t="s">
        <v>1</v>
      </c>
      <c r="F2922" s="18">
        <v>18178.009999999998</v>
      </c>
      <c r="G2922" s="18">
        <v>18178.009999999998</v>
      </c>
      <c r="H2922" t="s">
        <v>2</v>
      </c>
      <c r="I2922" t="s">
        <v>8</v>
      </c>
      <c r="J2922" s="18">
        <v>1526043.94</v>
      </c>
      <c r="K2922" t="s">
        <v>5887</v>
      </c>
      <c r="L2922" t="s">
        <v>4</v>
      </c>
      <c r="M2922" t="s">
        <v>5885</v>
      </c>
      <c r="N2922" t="s">
        <v>3</v>
      </c>
      <c r="O2922" t="s">
        <v>3</v>
      </c>
      <c r="P2922" t="s">
        <v>5</v>
      </c>
      <c r="Q2922" t="s">
        <v>5886</v>
      </c>
      <c r="R2922" t="s">
        <v>3</v>
      </c>
      <c r="S2922" t="s">
        <v>3</v>
      </c>
      <c r="T2922" t="s">
        <v>3</v>
      </c>
      <c r="U2922" t="s">
        <v>3</v>
      </c>
      <c r="V2922" t="s">
        <v>3</v>
      </c>
      <c r="W2922" t="s">
        <v>68</v>
      </c>
      <c r="X2922" s="17"/>
      <c r="Y2922" t="s">
        <v>3</v>
      </c>
      <c r="Z2922" s="17">
        <v>43893</v>
      </c>
      <c r="AA2922" t="s">
        <v>3</v>
      </c>
      <c r="AB2922" t="s">
        <v>5884</v>
      </c>
    </row>
    <row r="2923" spans="1:28" hidden="1">
      <c r="A2923" t="s">
        <v>5884</v>
      </c>
      <c r="B2923" s="17">
        <v>43893</v>
      </c>
      <c r="C2923" s="17">
        <v>43893</v>
      </c>
      <c r="D2923" t="s">
        <v>0</v>
      </c>
      <c r="E2923" t="s">
        <v>1</v>
      </c>
      <c r="F2923" s="18">
        <v>922</v>
      </c>
      <c r="G2923" s="18">
        <v>922</v>
      </c>
      <c r="H2923" t="s">
        <v>2</v>
      </c>
      <c r="I2923" t="s">
        <v>8</v>
      </c>
      <c r="J2923" s="18">
        <v>77401.899999999994</v>
      </c>
      <c r="K2923" t="s">
        <v>5888</v>
      </c>
      <c r="L2923" t="s">
        <v>4</v>
      </c>
      <c r="M2923" t="s">
        <v>5885</v>
      </c>
      <c r="N2923" t="s">
        <v>3</v>
      </c>
      <c r="O2923" t="s">
        <v>3</v>
      </c>
      <c r="P2923" t="s">
        <v>5</v>
      </c>
      <c r="Q2923" t="s">
        <v>5886</v>
      </c>
      <c r="R2923" t="s">
        <v>3</v>
      </c>
      <c r="S2923" t="s">
        <v>3</v>
      </c>
      <c r="T2923" t="s">
        <v>3</v>
      </c>
      <c r="U2923" t="s">
        <v>3</v>
      </c>
      <c r="V2923" t="s">
        <v>3</v>
      </c>
      <c r="W2923" t="s">
        <v>68</v>
      </c>
      <c r="X2923" s="17"/>
      <c r="Y2923" t="s">
        <v>3</v>
      </c>
      <c r="Z2923" s="17">
        <v>43893</v>
      </c>
      <c r="AA2923" t="s">
        <v>3</v>
      </c>
      <c r="AB2923" t="s">
        <v>5884</v>
      </c>
    </row>
    <row r="2924" spans="1:28" hidden="1">
      <c r="A2924" t="s">
        <v>5884</v>
      </c>
      <c r="B2924" s="17">
        <v>43893</v>
      </c>
      <c r="C2924" s="17">
        <v>43893</v>
      </c>
      <c r="D2924" t="s">
        <v>0</v>
      </c>
      <c r="E2924" t="s">
        <v>1</v>
      </c>
      <c r="F2924" s="18">
        <v>8120</v>
      </c>
      <c r="G2924" s="18">
        <v>8120</v>
      </c>
      <c r="H2924" t="s">
        <v>2</v>
      </c>
      <c r="I2924" t="s">
        <v>8</v>
      </c>
      <c r="J2924" s="18">
        <v>681674</v>
      </c>
      <c r="K2924" t="s">
        <v>5889</v>
      </c>
      <c r="L2924" t="s">
        <v>4</v>
      </c>
      <c r="M2924" t="s">
        <v>5885</v>
      </c>
      <c r="N2924" t="s">
        <v>3</v>
      </c>
      <c r="O2924" t="s">
        <v>3</v>
      </c>
      <c r="P2924" t="s">
        <v>5</v>
      </c>
      <c r="Q2924" t="s">
        <v>5886</v>
      </c>
      <c r="R2924" t="s">
        <v>3</v>
      </c>
      <c r="S2924" t="s">
        <v>3</v>
      </c>
      <c r="T2924" t="s">
        <v>3</v>
      </c>
      <c r="U2924" t="s">
        <v>3</v>
      </c>
      <c r="V2924" t="s">
        <v>3</v>
      </c>
      <c r="W2924" t="s">
        <v>68</v>
      </c>
      <c r="X2924" s="17"/>
      <c r="Y2924" t="s">
        <v>3</v>
      </c>
      <c r="Z2924" s="17">
        <v>43893</v>
      </c>
      <c r="AA2924" t="s">
        <v>3</v>
      </c>
      <c r="AB2924" t="s">
        <v>5884</v>
      </c>
    </row>
    <row r="2925" spans="1:28" hidden="1">
      <c r="A2925" t="s">
        <v>5890</v>
      </c>
      <c r="B2925" s="17">
        <v>43893</v>
      </c>
      <c r="C2925" s="17">
        <v>43893</v>
      </c>
      <c r="D2925" t="s">
        <v>0</v>
      </c>
      <c r="E2925" t="s">
        <v>1</v>
      </c>
      <c r="F2925" s="18">
        <v>52753.42</v>
      </c>
      <c r="G2925" s="18">
        <v>52753.42</v>
      </c>
      <c r="H2925" t="s">
        <v>2</v>
      </c>
      <c r="I2925" t="s">
        <v>8</v>
      </c>
      <c r="J2925" s="18">
        <v>4428649.6100000003</v>
      </c>
      <c r="K2925" t="s">
        <v>5855</v>
      </c>
      <c r="L2925" t="s">
        <v>4</v>
      </c>
      <c r="M2925" t="s">
        <v>5891</v>
      </c>
      <c r="N2925" t="s">
        <v>3</v>
      </c>
      <c r="O2925" t="s">
        <v>3</v>
      </c>
      <c r="P2925" t="s">
        <v>5</v>
      </c>
      <c r="Q2925" t="s">
        <v>5892</v>
      </c>
      <c r="R2925" t="s">
        <v>3</v>
      </c>
      <c r="S2925" t="s">
        <v>3</v>
      </c>
      <c r="T2925" t="s">
        <v>3</v>
      </c>
      <c r="U2925" t="s">
        <v>3</v>
      </c>
      <c r="V2925" t="s">
        <v>3</v>
      </c>
      <c r="W2925" t="s">
        <v>68</v>
      </c>
      <c r="X2925" s="17"/>
      <c r="Y2925" t="s">
        <v>3</v>
      </c>
      <c r="Z2925" s="17">
        <v>43893</v>
      </c>
      <c r="AA2925" t="s">
        <v>3</v>
      </c>
      <c r="AB2925" t="s">
        <v>5890</v>
      </c>
    </row>
    <row r="2926" spans="1:28" hidden="1">
      <c r="A2926" t="s">
        <v>5890</v>
      </c>
      <c r="B2926" s="17">
        <v>43893</v>
      </c>
      <c r="C2926" s="17">
        <v>43893</v>
      </c>
      <c r="D2926" t="s">
        <v>0</v>
      </c>
      <c r="E2926" t="s">
        <v>1</v>
      </c>
      <c r="F2926" s="18">
        <v>42078.879999999997</v>
      </c>
      <c r="G2926" s="18">
        <v>42078.879999999997</v>
      </c>
      <c r="H2926" t="s">
        <v>2</v>
      </c>
      <c r="I2926" t="s">
        <v>8</v>
      </c>
      <c r="J2926" s="18">
        <v>3532521.98</v>
      </c>
      <c r="K2926" t="s">
        <v>5887</v>
      </c>
      <c r="L2926" t="s">
        <v>4</v>
      </c>
      <c r="M2926" t="s">
        <v>5891</v>
      </c>
      <c r="N2926" t="s">
        <v>3</v>
      </c>
      <c r="O2926" t="s">
        <v>3</v>
      </c>
      <c r="P2926" t="s">
        <v>5</v>
      </c>
      <c r="Q2926" t="s">
        <v>5892</v>
      </c>
      <c r="R2926" t="s">
        <v>3</v>
      </c>
      <c r="S2926" t="s">
        <v>3</v>
      </c>
      <c r="T2926" t="s">
        <v>3</v>
      </c>
      <c r="U2926" t="s">
        <v>3</v>
      </c>
      <c r="V2926" t="s">
        <v>3</v>
      </c>
      <c r="W2926" t="s">
        <v>68</v>
      </c>
      <c r="X2926" s="17"/>
      <c r="Y2926" t="s">
        <v>3</v>
      </c>
      <c r="Z2926" s="17">
        <v>43893</v>
      </c>
      <c r="AA2926" t="s">
        <v>3</v>
      </c>
      <c r="AB2926" t="s">
        <v>5890</v>
      </c>
    </row>
    <row r="2927" spans="1:28" hidden="1">
      <c r="A2927" t="s">
        <v>5890</v>
      </c>
      <c r="B2927" s="17">
        <v>43893</v>
      </c>
      <c r="C2927" s="17">
        <v>43893</v>
      </c>
      <c r="D2927" t="s">
        <v>0</v>
      </c>
      <c r="E2927" t="s">
        <v>1</v>
      </c>
      <c r="F2927" s="18">
        <v>18069.21</v>
      </c>
      <c r="G2927" s="18">
        <v>18069.21</v>
      </c>
      <c r="H2927" t="s">
        <v>2</v>
      </c>
      <c r="I2927" t="s">
        <v>8</v>
      </c>
      <c r="J2927" s="18">
        <v>1516910.18</v>
      </c>
      <c r="K2927" t="s">
        <v>5859</v>
      </c>
      <c r="L2927" t="s">
        <v>4</v>
      </c>
      <c r="M2927" t="s">
        <v>5891</v>
      </c>
      <c r="N2927" t="s">
        <v>3</v>
      </c>
      <c r="O2927" t="s">
        <v>3</v>
      </c>
      <c r="P2927" t="s">
        <v>5</v>
      </c>
      <c r="Q2927" t="s">
        <v>5892</v>
      </c>
      <c r="R2927" t="s">
        <v>3</v>
      </c>
      <c r="S2927" t="s">
        <v>3</v>
      </c>
      <c r="T2927" t="s">
        <v>3</v>
      </c>
      <c r="U2927" t="s">
        <v>3</v>
      </c>
      <c r="V2927" t="s">
        <v>3</v>
      </c>
      <c r="W2927" t="s">
        <v>68</v>
      </c>
      <c r="X2927" s="17"/>
      <c r="Y2927" t="s">
        <v>3</v>
      </c>
      <c r="Z2927" s="17">
        <v>43893</v>
      </c>
      <c r="AA2927" t="s">
        <v>3</v>
      </c>
      <c r="AB2927" t="s">
        <v>5890</v>
      </c>
    </row>
    <row r="2928" spans="1:28" hidden="1">
      <c r="A2928" t="s">
        <v>5890</v>
      </c>
      <c r="B2928" s="17">
        <v>43893</v>
      </c>
      <c r="C2928" s="17">
        <v>43893</v>
      </c>
      <c r="D2928" t="s">
        <v>0</v>
      </c>
      <c r="E2928" t="s">
        <v>1</v>
      </c>
      <c r="F2928" s="18">
        <v>9292.2099999999991</v>
      </c>
      <c r="G2928" s="18">
        <v>9292.2099999999991</v>
      </c>
      <c r="H2928" t="s">
        <v>2</v>
      </c>
      <c r="I2928" t="s">
        <v>8</v>
      </c>
      <c r="J2928" s="18">
        <v>780081.03</v>
      </c>
      <c r="K2928" t="s">
        <v>5888</v>
      </c>
      <c r="L2928" t="s">
        <v>4</v>
      </c>
      <c r="M2928" t="s">
        <v>5891</v>
      </c>
      <c r="N2928" t="s">
        <v>3</v>
      </c>
      <c r="O2928" t="s">
        <v>3</v>
      </c>
      <c r="P2928" t="s">
        <v>5</v>
      </c>
      <c r="Q2928" t="s">
        <v>5892</v>
      </c>
      <c r="R2928" t="s">
        <v>3</v>
      </c>
      <c r="S2928" t="s">
        <v>3</v>
      </c>
      <c r="T2928" t="s">
        <v>3</v>
      </c>
      <c r="U2928" t="s">
        <v>3</v>
      </c>
      <c r="V2928" t="s">
        <v>3</v>
      </c>
      <c r="W2928" t="s">
        <v>68</v>
      </c>
      <c r="X2928" s="17"/>
      <c r="Y2928" t="s">
        <v>3</v>
      </c>
      <c r="Z2928" s="17">
        <v>43893</v>
      </c>
      <c r="AA2928" t="s">
        <v>3</v>
      </c>
      <c r="AB2928" t="s">
        <v>5890</v>
      </c>
    </row>
    <row r="2929" spans="1:28" hidden="1">
      <c r="A2929" t="s">
        <v>5900</v>
      </c>
      <c r="B2929" s="17">
        <v>43893</v>
      </c>
      <c r="C2929" s="17">
        <v>43893</v>
      </c>
      <c r="D2929" t="s">
        <v>0</v>
      </c>
      <c r="E2929" t="s">
        <v>1</v>
      </c>
      <c r="F2929" s="18">
        <v>391</v>
      </c>
      <c r="G2929" s="18">
        <v>391</v>
      </c>
      <c r="H2929" t="s">
        <v>2</v>
      </c>
      <c r="I2929" t="s">
        <v>8</v>
      </c>
      <c r="J2929" s="18">
        <v>32648.5</v>
      </c>
      <c r="K2929" t="s">
        <v>5901</v>
      </c>
      <c r="L2929" t="s">
        <v>9</v>
      </c>
      <c r="M2929" t="s">
        <v>5902</v>
      </c>
      <c r="N2929" t="s">
        <v>3</v>
      </c>
      <c r="O2929" t="s">
        <v>3</v>
      </c>
      <c r="P2929" t="s">
        <v>5</v>
      </c>
      <c r="Q2929" t="s">
        <v>5903</v>
      </c>
      <c r="R2929" t="s">
        <v>3</v>
      </c>
      <c r="S2929" t="s">
        <v>3</v>
      </c>
      <c r="T2929" t="s">
        <v>3</v>
      </c>
      <c r="U2929" t="s">
        <v>3</v>
      </c>
      <c r="V2929" t="s">
        <v>3</v>
      </c>
      <c r="W2929" t="s">
        <v>68</v>
      </c>
      <c r="X2929" s="17"/>
      <c r="Y2929" t="s">
        <v>3</v>
      </c>
      <c r="Z2929" s="17">
        <v>43893</v>
      </c>
      <c r="AA2929" t="s">
        <v>3</v>
      </c>
      <c r="AB2929" t="s">
        <v>5900</v>
      </c>
    </row>
    <row r="2930" spans="1:28" hidden="1">
      <c r="A2930" t="s">
        <v>5900</v>
      </c>
      <c r="B2930" s="17">
        <v>43893</v>
      </c>
      <c r="C2930" s="17">
        <v>43893</v>
      </c>
      <c r="D2930" t="s">
        <v>0</v>
      </c>
      <c r="E2930" t="s">
        <v>1</v>
      </c>
      <c r="F2930" s="18">
        <v>35880</v>
      </c>
      <c r="G2930" s="18">
        <v>35880</v>
      </c>
      <c r="H2930" t="s">
        <v>2</v>
      </c>
      <c r="I2930" t="s">
        <v>8</v>
      </c>
      <c r="J2930" s="18">
        <v>3012126</v>
      </c>
      <c r="K2930" t="s">
        <v>5904</v>
      </c>
      <c r="L2930" t="s">
        <v>9</v>
      </c>
      <c r="M2930" t="s">
        <v>5902</v>
      </c>
      <c r="N2930" t="s">
        <v>3</v>
      </c>
      <c r="O2930" t="s">
        <v>3</v>
      </c>
      <c r="P2930" t="s">
        <v>5</v>
      </c>
      <c r="Q2930" t="s">
        <v>5903</v>
      </c>
      <c r="R2930" t="s">
        <v>3</v>
      </c>
      <c r="S2930" t="s">
        <v>3</v>
      </c>
      <c r="T2930" t="s">
        <v>3</v>
      </c>
      <c r="U2930" t="s">
        <v>3</v>
      </c>
      <c r="V2930" t="s">
        <v>3</v>
      </c>
      <c r="W2930" t="s">
        <v>68</v>
      </c>
      <c r="X2930" s="17"/>
      <c r="Y2930" t="s">
        <v>3</v>
      </c>
      <c r="Z2930" s="17">
        <v>43893</v>
      </c>
      <c r="AA2930" t="s">
        <v>3</v>
      </c>
      <c r="AB2930" t="s">
        <v>5900</v>
      </c>
    </row>
    <row r="2931" spans="1:28" hidden="1">
      <c r="A2931" t="s">
        <v>5900</v>
      </c>
      <c r="B2931" s="17">
        <v>43893</v>
      </c>
      <c r="C2931" s="17">
        <v>43893</v>
      </c>
      <c r="D2931" t="s">
        <v>0</v>
      </c>
      <c r="E2931" t="s">
        <v>1</v>
      </c>
      <c r="F2931" s="18">
        <v>6800</v>
      </c>
      <c r="G2931" s="18">
        <v>6800</v>
      </c>
      <c r="H2931" t="s">
        <v>2</v>
      </c>
      <c r="I2931" t="s">
        <v>8</v>
      </c>
      <c r="J2931" s="18">
        <v>570860</v>
      </c>
      <c r="K2931" t="s">
        <v>5905</v>
      </c>
      <c r="L2931" t="s">
        <v>9</v>
      </c>
      <c r="M2931" t="s">
        <v>5902</v>
      </c>
      <c r="N2931" t="s">
        <v>3</v>
      </c>
      <c r="O2931" t="s">
        <v>3</v>
      </c>
      <c r="P2931" t="s">
        <v>5</v>
      </c>
      <c r="Q2931" t="s">
        <v>5903</v>
      </c>
      <c r="R2931" t="s">
        <v>3</v>
      </c>
      <c r="S2931" t="s">
        <v>3</v>
      </c>
      <c r="T2931" t="s">
        <v>3</v>
      </c>
      <c r="U2931" t="s">
        <v>3</v>
      </c>
      <c r="V2931" t="s">
        <v>3</v>
      </c>
      <c r="W2931" t="s">
        <v>68</v>
      </c>
      <c r="X2931" s="17"/>
      <c r="Y2931" t="s">
        <v>3</v>
      </c>
      <c r="Z2931" s="17">
        <v>43893</v>
      </c>
      <c r="AA2931" t="s">
        <v>3</v>
      </c>
      <c r="AB2931" t="s">
        <v>5900</v>
      </c>
    </row>
    <row r="2932" spans="1:28" hidden="1">
      <c r="A2932" t="s">
        <v>5900</v>
      </c>
      <c r="B2932" s="17">
        <v>43893</v>
      </c>
      <c r="C2932" s="17">
        <v>43893</v>
      </c>
      <c r="D2932" t="s">
        <v>0</v>
      </c>
      <c r="E2932" t="s">
        <v>1</v>
      </c>
      <c r="F2932" s="18">
        <v>20784</v>
      </c>
      <c r="G2932" s="18">
        <v>20784</v>
      </c>
      <c r="H2932" t="s">
        <v>2</v>
      </c>
      <c r="I2932" t="s">
        <v>8</v>
      </c>
      <c r="J2932" s="18">
        <v>1735464</v>
      </c>
      <c r="K2932" t="s">
        <v>5906</v>
      </c>
      <c r="L2932" t="s">
        <v>9</v>
      </c>
      <c r="M2932" t="s">
        <v>5902</v>
      </c>
      <c r="N2932" t="s">
        <v>3</v>
      </c>
      <c r="O2932" t="s">
        <v>3</v>
      </c>
      <c r="P2932" t="s">
        <v>5</v>
      </c>
      <c r="Q2932" t="s">
        <v>5903</v>
      </c>
      <c r="R2932" t="s">
        <v>3</v>
      </c>
      <c r="S2932" t="s">
        <v>3</v>
      </c>
      <c r="T2932" t="s">
        <v>3</v>
      </c>
      <c r="U2932" t="s">
        <v>3</v>
      </c>
      <c r="V2932" t="s">
        <v>3</v>
      </c>
      <c r="W2932" t="s">
        <v>68</v>
      </c>
      <c r="X2932" s="17"/>
      <c r="Y2932" t="s">
        <v>3</v>
      </c>
      <c r="Z2932" s="17">
        <v>43893</v>
      </c>
      <c r="AA2932" t="s">
        <v>3</v>
      </c>
      <c r="AB2932" t="s">
        <v>5900</v>
      </c>
    </row>
    <row r="2933" spans="1:28" hidden="1">
      <c r="A2933" t="s">
        <v>5900</v>
      </c>
      <c r="B2933" s="17">
        <v>43893</v>
      </c>
      <c r="C2933" s="17">
        <v>43893</v>
      </c>
      <c r="D2933" t="s">
        <v>0</v>
      </c>
      <c r="E2933" t="s">
        <v>1</v>
      </c>
      <c r="F2933" s="18">
        <v>1990</v>
      </c>
      <c r="G2933" s="18">
        <v>1990</v>
      </c>
      <c r="H2933" t="s">
        <v>2</v>
      </c>
      <c r="I2933" t="s">
        <v>8</v>
      </c>
      <c r="J2933" s="18">
        <v>166165</v>
      </c>
      <c r="K2933" t="s">
        <v>5907</v>
      </c>
      <c r="L2933" t="s">
        <v>9</v>
      </c>
      <c r="M2933" t="s">
        <v>5902</v>
      </c>
      <c r="N2933" t="s">
        <v>3</v>
      </c>
      <c r="O2933" t="s">
        <v>3</v>
      </c>
      <c r="P2933" t="s">
        <v>5</v>
      </c>
      <c r="Q2933" t="s">
        <v>5903</v>
      </c>
      <c r="R2933" t="s">
        <v>3</v>
      </c>
      <c r="S2933" t="s">
        <v>3</v>
      </c>
      <c r="T2933" t="s">
        <v>3</v>
      </c>
      <c r="U2933" t="s">
        <v>3</v>
      </c>
      <c r="V2933" t="s">
        <v>3</v>
      </c>
      <c r="W2933" t="s">
        <v>68</v>
      </c>
      <c r="X2933" s="17"/>
      <c r="Y2933" t="s">
        <v>3</v>
      </c>
      <c r="Z2933" s="17">
        <v>43893</v>
      </c>
      <c r="AA2933" t="s">
        <v>3</v>
      </c>
      <c r="AB2933" t="s">
        <v>5900</v>
      </c>
    </row>
    <row r="2934" spans="1:28" hidden="1">
      <c r="A2934" t="s">
        <v>5900</v>
      </c>
      <c r="B2934" s="17">
        <v>43893</v>
      </c>
      <c r="C2934" s="17">
        <v>43893</v>
      </c>
      <c r="D2934" t="s">
        <v>0</v>
      </c>
      <c r="E2934" t="s">
        <v>1</v>
      </c>
      <c r="F2934" s="18">
        <v>58065</v>
      </c>
      <c r="G2934" s="18">
        <v>58065</v>
      </c>
      <c r="H2934" t="s">
        <v>2</v>
      </c>
      <c r="I2934" t="s">
        <v>8</v>
      </c>
      <c r="J2934" s="18">
        <v>4874556.75</v>
      </c>
      <c r="K2934" t="s">
        <v>5908</v>
      </c>
      <c r="L2934" t="s">
        <v>9</v>
      </c>
      <c r="M2934" t="s">
        <v>5902</v>
      </c>
      <c r="N2934" t="s">
        <v>3</v>
      </c>
      <c r="O2934" t="s">
        <v>3</v>
      </c>
      <c r="P2934" t="s">
        <v>5</v>
      </c>
      <c r="Q2934" t="s">
        <v>5903</v>
      </c>
      <c r="R2934" t="s">
        <v>3</v>
      </c>
      <c r="S2934" t="s">
        <v>3</v>
      </c>
      <c r="T2934" t="s">
        <v>3</v>
      </c>
      <c r="U2934" t="s">
        <v>3</v>
      </c>
      <c r="V2934" t="s">
        <v>3</v>
      </c>
      <c r="W2934" t="s">
        <v>68</v>
      </c>
      <c r="X2934" s="17"/>
      <c r="Y2934" t="s">
        <v>3</v>
      </c>
      <c r="Z2934" s="17">
        <v>43893</v>
      </c>
      <c r="AA2934" t="s">
        <v>3</v>
      </c>
      <c r="AB2934" t="s">
        <v>5900</v>
      </c>
    </row>
    <row r="2935" spans="1:28" hidden="1">
      <c r="A2935" t="s">
        <v>5900</v>
      </c>
      <c r="B2935" s="17">
        <v>43893</v>
      </c>
      <c r="C2935" s="17">
        <v>43893</v>
      </c>
      <c r="D2935" t="s">
        <v>0</v>
      </c>
      <c r="E2935" t="s">
        <v>1</v>
      </c>
      <c r="F2935" s="18">
        <v>10965</v>
      </c>
      <c r="G2935" s="18">
        <v>10965</v>
      </c>
      <c r="H2935" t="s">
        <v>2</v>
      </c>
      <c r="I2935" t="s">
        <v>8</v>
      </c>
      <c r="J2935" s="18">
        <v>920511.75</v>
      </c>
      <c r="K2935" t="s">
        <v>5909</v>
      </c>
      <c r="L2935" t="s">
        <v>9</v>
      </c>
      <c r="M2935" t="s">
        <v>5902</v>
      </c>
      <c r="N2935" t="s">
        <v>3</v>
      </c>
      <c r="O2935" t="s">
        <v>3</v>
      </c>
      <c r="P2935" t="s">
        <v>5</v>
      </c>
      <c r="Q2935" t="s">
        <v>5903</v>
      </c>
      <c r="R2935" t="s">
        <v>3</v>
      </c>
      <c r="S2935" t="s">
        <v>3</v>
      </c>
      <c r="T2935" t="s">
        <v>3</v>
      </c>
      <c r="U2935" t="s">
        <v>3</v>
      </c>
      <c r="V2935" t="s">
        <v>3</v>
      </c>
      <c r="W2935" t="s">
        <v>68</v>
      </c>
      <c r="X2935" s="17"/>
      <c r="Y2935" t="s">
        <v>3</v>
      </c>
      <c r="Z2935" s="17">
        <v>43893</v>
      </c>
      <c r="AA2935" t="s">
        <v>3</v>
      </c>
      <c r="AB2935" t="s">
        <v>5900</v>
      </c>
    </row>
    <row r="2936" spans="1:28" hidden="1">
      <c r="A2936" t="s">
        <v>5900</v>
      </c>
      <c r="B2936" s="17">
        <v>43893</v>
      </c>
      <c r="C2936" s="17">
        <v>43893</v>
      </c>
      <c r="D2936" t="s">
        <v>0</v>
      </c>
      <c r="E2936" t="s">
        <v>1</v>
      </c>
      <c r="F2936" s="18">
        <v>50238</v>
      </c>
      <c r="G2936" s="18">
        <v>50238</v>
      </c>
      <c r="H2936" t="s">
        <v>2</v>
      </c>
      <c r="I2936" t="s">
        <v>8</v>
      </c>
      <c r="J2936" s="18">
        <v>4217480.0999999996</v>
      </c>
      <c r="K2936" t="s">
        <v>5910</v>
      </c>
      <c r="L2936" t="s">
        <v>9</v>
      </c>
      <c r="M2936" t="s">
        <v>5902</v>
      </c>
      <c r="N2936" t="s">
        <v>3</v>
      </c>
      <c r="O2936" t="s">
        <v>3</v>
      </c>
      <c r="P2936" t="s">
        <v>5</v>
      </c>
      <c r="Q2936" t="s">
        <v>5903</v>
      </c>
      <c r="R2936" t="s">
        <v>3</v>
      </c>
      <c r="S2936" t="s">
        <v>3</v>
      </c>
      <c r="T2936" t="s">
        <v>3</v>
      </c>
      <c r="U2936" t="s">
        <v>3</v>
      </c>
      <c r="V2936" t="s">
        <v>3</v>
      </c>
      <c r="W2936" t="s">
        <v>68</v>
      </c>
      <c r="X2936" s="17"/>
      <c r="Y2936" t="s">
        <v>3</v>
      </c>
      <c r="Z2936" s="17">
        <v>43893</v>
      </c>
      <c r="AA2936" t="s">
        <v>3</v>
      </c>
      <c r="AB2936" t="s">
        <v>5900</v>
      </c>
    </row>
    <row r="2937" spans="1:28" hidden="1">
      <c r="A2937" t="s">
        <v>5900</v>
      </c>
      <c r="B2937" s="17">
        <v>43893</v>
      </c>
      <c r="C2937" s="17">
        <v>43893</v>
      </c>
      <c r="D2937" t="s">
        <v>0</v>
      </c>
      <c r="E2937" t="s">
        <v>1</v>
      </c>
      <c r="F2937" s="18">
        <v>85422</v>
      </c>
      <c r="G2937" s="18">
        <v>85422</v>
      </c>
      <c r="H2937" t="s">
        <v>2</v>
      </c>
      <c r="I2937" t="s">
        <v>8</v>
      </c>
      <c r="J2937" s="18">
        <v>7171176.9000000004</v>
      </c>
      <c r="K2937" t="s">
        <v>5911</v>
      </c>
      <c r="L2937" t="s">
        <v>9</v>
      </c>
      <c r="M2937" t="s">
        <v>5902</v>
      </c>
      <c r="N2937" t="s">
        <v>3</v>
      </c>
      <c r="O2937" t="s">
        <v>3</v>
      </c>
      <c r="P2937" t="s">
        <v>5</v>
      </c>
      <c r="Q2937" t="s">
        <v>5903</v>
      </c>
      <c r="R2937" t="s">
        <v>3</v>
      </c>
      <c r="S2937" t="s">
        <v>3</v>
      </c>
      <c r="T2937" t="s">
        <v>3</v>
      </c>
      <c r="U2937" t="s">
        <v>3</v>
      </c>
      <c r="V2937" t="s">
        <v>3</v>
      </c>
      <c r="W2937" t="s">
        <v>68</v>
      </c>
      <c r="X2937" s="17"/>
      <c r="Y2937" t="s">
        <v>3</v>
      </c>
      <c r="Z2937" s="17">
        <v>43893</v>
      </c>
      <c r="AA2937" t="s">
        <v>3</v>
      </c>
      <c r="AB2937" t="s">
        <v>5900</v>
      </c>
    </row>
    <row r="2938" spans="1:28" hidden="1">
      <c r="A2938" t="s">
        <v>5900</v>
      </c>
      <c r="B2938" s="17">
        <v>43893</v>
      </c>
      <c r="C2938" s="17">
        <v>43893</v>
      </c>
      <c r="D2938" t="s">
        <v>0</v>
      </c>
      <c r="E2938" t="s">
        <v>1</v>
      </c>
      <c r="F2938" s="18">
        <v>17421</v>
      </c>
      <c r="G2938" s="18">
        <v>17421</v>
      </c>
      <c r="H2938" t="s">
        <v>2</v>
      </c>
      <c r="I2938" t="s">
        <v>8</v>
      </c>
      <c r="J2938" s="18">
        <v>1462492.95</v>
      </c>
      <c r="K2938" t="s">
        <v>5912</v>
      </c>
      <c r="L2938" t="s">
        <v>9</v>
      </c>
      <c r="M2938" t="s">
        <v>5902</v>
      </c>
      <c r="N2938" t="s">
        <v>3</v>
      </c>
      <c r="O2938" t="s">
        <v>3</v>
      </c>
      <c r="P2938" t="s">
        <v>5</v>
      </c>
      <c r="Q2938" t="s">
        <v>5903</v>
      </c>
      <c r="R2938" t="s">
        <v>3</v>
      </c>
      <c r="S2938" t="s">
        <v>3</v>
      </c>
      <c r="T2938" t="s">
        <v>3</v>
      </c>
      <c r="U2938" t="s">
        <v>3</v>
      </c>
      <c r="V2938" t="s">
        <v>3</v>
      </c>
      <c r="W2938" t="s">
        <v>68</v>
      </c>
      <c r="X2938" s="17"/>
      <c r="Y2938" t="s">
        <v>3</v>
      </c>
      <c r="Z2938" s="17">
        <v>43893</v>
      </c>
      <c r="AA2938" t="s">
        <v>3</v>
      </c>
      <c r="AB2938" t="s">
        <v>5900</v>
      </c>
    </row>
    <row r="2939" spans="1:28" hidden="1">
      <c r="A2939" t="s">
        <v>5900</v>
      </c>
      <c r="B2939" s="17">
        <v>43893</v>
      </c>
      <c r="C2939" s="17">
        <v>43893</v>
      </c>
      <c r="D2939" t="s">
        <v>0</v>
      </c>
      <c r="E2939" t="s">
        <v>1</v>
      </c>
      <c r="F2939" s="18">
        <v>2021</v>
      </c>
      <c r="G2939" s="18">
        <v>2021</v>
      </c>
      <c r="H2939" t="s">
        <v>2</v>
      </c>
      <c r="I2939" t="s">
        <v>8</v>
      </c>
      <c r="J2939" s="18">
        <v>169662.95</v>
      </c>
      <c r="K2939" t="s">
        <v>5913</v>
      </c>
      <c r="L2939" t="s">
        <v>9</v>
      </c>
      <c r="M2939" t="s">
        <v>5902</v>
      </c>
      <c r="N2939" t="s">
        <v>3</v>
      </c>
      <c r="O2939" t="s">
        <v>3</v>
      </c>
      <c r="P2939" t="s">
        <v>5</v>
      </c>
      <c r="Q2939" t="s">
        <v>5903</v>
      </c>
      <c r="R2939" t="s">
        <v>3</v>
      </c>
      <c r="S2939" t="s">
        <v>3</v>
      </c>
      <c r="T2939" t="s">
        <v>3</v>
      </c>
      <c r="U2939" t="s">
        <v>3</v>
      </c>
      <c r="V2939" t="s">
        <v>3</v>
      </c>
      <c r="W2939" t="s">
        <v>68</v>
      </c>
      <c r="X2939" s="17"/>
      <c r="Y2939" t="s">
        <v>3</v>
      </c>
      <c r="Z2939" s="17">
        <v>43893</v>
      </c>
      <c r="AA2939" t="s">
        <v>3</v>
      </c>
      <c r="AB2939" t="s">
        <v>5900</v>
      </c>
    </row>
    <row r="2940" spans="1:28" hidden="1">
      <c r="A2940" t="s">
        <v>5893</v>
      </c>
      <c r="B2940" s="17">
        <v>43894</v>
      </c>
      <c r="C2940" s="17">
        <v>43894</v>
      </c>
      <c r="D2940" t="s">
        <v>0</v>
      </c>
      <c r="E2940" t="s">
        <v>1</v>
      </c>
      <c r="F2940" s="18">
        <v>3827.17</v>
      </c>
      <c r="G2940" s="18">
        <v>3827.17</v>
      </c>
      <c r="H2940" t="s">
        <v>2</v>
      </c>
      <c r="I2940" t="s">
        <v>10</v>
      </c>
      <c r="J2940" s="18">
        <v>321290.92</v>
      </c>
      <c r="K2940" t="s">
        <v>5894</v>
      </c>
      <c r="L2940" t="s">
        <v>4</v>
      </c>
      <c r="M2940" t="s">
        <v>5895</v>
      </c>
      <c r="N2940" t="s">
        <v>3</v>
      </c>
      <c r="O2940" t="s">
        <v>3</v>
      </c>
      <c r="P2940" t="s">
        <v>5</v>
      </c>
      <c r="Q2940" t="s">
        <v>5896</v>
      </c>
      <c r="R2940" t="s">
        <v>3</v>
      </c>
      <c r="S2940" t="s">
        <v>3</v>
      </c>
      <c r="T2940" t="s">
        <v>3</v>
      </c>
      <c r="U2940" t="s">
        <v>3</v>
      </c>
      <c r="V2940" t="s">
        <v>3</v>
      </c>
      <c r="W2940" t="s">
        <v>68</v>
      </c>
      <c r="X2940" s="17"/>
      <c r="Y2940" t="s">
        <v>3</v>
      </c>
      <c r="Z2940" s="17">
        <v>43894</v>
      </c>
      <c r="AA2940" t="s">
        <v>3</v>
      </c>
      <c r="AB2940" t="s">
        <v>5893</v>
      </c>
    </row>
    <row r="2941" spans="1:28" hidden="1">
      <c r="A2941" t="s">
        <v>5897</v>
      </c>
      <c r="B2941" s="17">
        <v>43894</v>
      </c>
      <c r="C2941" s="17">
        <v>43894</v>
      </c>
      <c r="D2941" t="s">
        <v>0</v>
      </c>
      <c r="E2941" t="s">
        <v>1</v>
      </c>
      <c r="F2941" s="18">
        <v>1531.39</v>
      </c>
      <c r="G2941" s="18">
        <v>1531.39</v>
      </c>
      <c r="H2941" t="s">
        <v>2</v>
      </c>
      <c r="I2941" t="s">
        <v>8</v>
      </c>
      <c r="J2941" s="18">
        <v>128560.19</v>
      </c>
      <c r="K2941" t="s">
        <v>5855</v>
      </c>
      <c r="L2941" t="s">
        <v>4</v>
      </c>
      <c r="M2941" t="s">
        <v>5898</v>
      </c>
      <c r="N2941" t="s">
        <v>3</v>
      </c>
      <c r="O2941" t="s">
        <v>3</v>
      </c>
      <c r="P2941" t="s">
        <v>5</v>
      </c>
      <c r="Q2941" t="s">
        <v>5899</v>
      </c>
      <c r="R2941" t="s">
        <v>3</v>
      </c>
      <c r="S2941" t="s">
        <v>3</v>
      </c>
      <c r="T2941" t="s">
        <v>3</v>
      </c>
      <c r="U2941" t="s">
        <v>3</v>
      </c>
      <c r="V2941" t="s">
        <v>3</v>
      </c>
      <c r="W2941" t="s">
        <v>68</v>
      </c>
      <c r="X2941" s="17"/>
      <c r="Y2941" t="s">
        <v>3</v>
      </c>
      <c r="Z2941" s="17">
        <v>43894</v>
      </c>
      <c r="AA2941" t="s">
        <v>3</v>
      </c>
      <c r="AB2941" t="s">
        <v>5897</v>
      </c>
    </row>
    <row r="2942" spans="1:28" hidden="1">
      <c r="A2942" t="s">
        <v>5897</v>
      </c>
      <c r="B2942" s="17">
        <v>43894</v>
      </c>
      <c r="C2942" s="17">
        <v>43894</v>
      </c>
      <c r="D2942" t="s">
        <v>0</v>
      </c>
      <c r="E2942" t="s">
        <v>1</v>
      </c>
      <c r="F2942" s="18">
        <v>2730.33</v>
      </c>
      <c r="G2942" s="18">
        <v>2730.33</v>
      </c>
      <c r="H2942" t="s">
        <v>2</v>
      </c>
      <c r="I2942" t="s">
        <v>8</v>
      </c>
      <c r="J2942" s="18">
        <v>229211.2</v>
      </c>
      <c r="K2942" t="s">
        <v>5858</v>
      </c>
      <c r="L2942" t="s">
        <v>4</v>
      </c>
      <c r="M2942" t="s">
        <v>5898</v>
      </c>
      <c r="N2942" t="s">
        <v>3</v>
      </c>
      <c r="O2942" t="s">
        <v>3</v>
      </c>
      <c r="P2942" t="s">
        <v>5</v>
      </c>
      <c r="Q2942" t="s">
        <v>5899</v>
      </c>
      <c r="R2942" t="s">
        <v>3</v>
      </c>
      <c r="S2942" t="s">
        <v>3</v>
      </c>
      <c r="T2942" t="s">
        <v>3</v>
      </c>
      <c r="U2942" t="s">
        <v>3</v>
      </c>
      <c r="V2942" t="s">
        <v>3</v>
      </c>
      <c r="W2942" t="s">
        <v>68</v>
      </c>
      <c r="X2942" s="17"/>
      <c r="Y2942" t="s">
        <v>3</v>
      </c>
      <c r="Z2942" s="17">
        <v>43894</v>
      </c>
      <c r="AA2942" t="s">
        <v>3</v>
      </c>
      <c r="AB2942" t="s">
        <v>5897</v>
      </c>
    </row>
    <row r="2943" spans="1:28" hidden="1">
      <c r="A2943" t="s">
        <v>5897</v>
      </c>
      <c r="B2943" s="17">
        <v>43894</v>
      </c>
      <c r="C2943" s="17">
        <v>43894</v>
      </c>
      <c r="D2943" t="s">
        <v>0</v>
      </c>
      <c r="E2943" t="s">
        <v>1</v>
      </c>
      <c r="F2943" s="18">
        <v>1670.41</v>
      </c>
      <c r="G2943" s="18">
        <v>1670.41</v>
      </c>
      <c r="H2943" t="s">
        <v>2</v>
      </c>
      <c r="I2943" t="s">
        <v>8</v>
      </c>
      <c r="J2943" s="18">
        <v>140230.92000000001</v>
      </c>
      <c r="K2943" t="s">
        <v>5859</v>
      </c>
      <c r="L2943" t="s">
        <v>4</v>
      </c>
      <c r="M2943" t="s">
        <v>5898</v>
      </c>
      <c r="N2943" t="s">
        <v>3</v>
      </c>
      <c r="O2943" t="s">
        <v>3</v>
      </c>
      <c r="P2943" t="s">
        <v>5</v>
      </c>
      <c r="Q2943" t="s">
        <v>5899</v>
      </c>
      <c r="R2943" t="s">
        <v>3</v>
      </c>
      <c r="S2943" t="s">
        <v>3</v>
      </c>
      <c r="T2943" t="s">
        <v>3</v>
      </c>
      <c r="U2943" t="s">
        <v>3</v>
      </c>
      <c r="V2943" t="s">
        <v>3</v>
      </c>
      <c r="W2943" t="s">
        <v>68</v>
      </c>
      <c r="X2943" s="17"/>
      <c r="Y2943" t="s">
        <v>3</v>
      </c>
      <c r="Z2943" s="17">
        <v>43894</v>
      </c>
      <c r="AA2943" t="s">
        <v>3</v>
      </c>
      <c r="AB2943" t="s">
        <v>5897</v>
      </c>
    </row>
    <row r="2944" spans="1:28" hidden="1">
      <c r="A2944" t="s">
        <v>5914</v>
      </c>
      <c r="B2944" s="17">
        <v>43895</v>
      </c>
      <c r="C2944" s="17">
        <v>43895</v>
      </c>
      <c r="D2944" t="s">
        <v>0</v>
      </c>
      <c r="E2944" t="s">
        <v>1</v>
      </c>
      <c r="F2944" s="18">
        <v>18722</v>
      </c>
      <c r="G2944" s="18">
        <v>18722</v>
      </c>
      <c r="H2944" t="s">
        <v>2</v>
      </c>
      <c r="I2944" t="s">
        <v>8</v>
      </c>
      <c r="J2944" s="18">
        <v>1571711.9</v>
      </c>
      <c r="K2944" t="s">
        <v>5905</v>
      </c>
      <c r="L2944" t="s">
        <v>9</v>
      </c>
      <c r="M2944" t="s">
        <v>5915</v>
      </c>
      <c r="N2944" t="s">
        <v>3</v>
      </c>
      <c r="O2944" t="s">
        <v>3</v>
      </c>
      <c r="P2944" t="s">
        <v>5</v>
      </c>
      <c r="Q2944" t="s">
        <v>5916</v>
      </c>
      <c r="R2944" t="s">
        <v>3</v>
      </c>
      <c r="S2944" t="s">
        <v>3</v>
      </c>
      <c r="T2944" t="s">
        <v>3</v>
      </c>
      <c r="U2944" t="s">
        <v>3</v>
      </c>
      <c r="V2944" t="s">
        <v>3</v>
      </c>
      <c r="W2944" t="s">
        <v>68</v>
      </c>
      <c r="X2944" s="17"/>
      <c r="Y2944" t="s">
        <v>3</v>
      </c>
      <c r="Z2944" s="17">
        <v>43895</v>
      </c>
      <c r="AA2944" t="s">
        <v>3</v>
      </c>
      <c r="AB2944" t="s">
        <v>5914</v>
      </c>
    </row>
    <row r="2945" spans="1:28" hidden="1">
      <c r="A2945" t="s">
        <v>5914</v>
      </c>
      <c r="B2945" s="17">
        <v>43895</v>
      </c>
      <c r="C2945" s="17">
        <v>43895</v>
      </c>
      <c r="D2945" t="s">
        <v>0</v>
      </c>
      <c r="E2945" t="s">
        <v>1</v>
      </c>
      <c r="F2945" s="18">
        <v>31216</v>
      </c>
      <c r="G2945" s="18">
        <v>31216</v>
      </c>
      <c r="H2945" t="s">
        <v>2</v>
      </c>
      <c r="I2945" t="s">
        <v>8</v>
      </c>
      <c r="J2945" s="18">
        <v>2620583.2000000002</v>
      </c>
      <c r="K2945" t="s">
        <v>5909</v>
      </c>
      <c r="L2945" t="s">
        <v>9</v>
      </c>
      <c r="M2945" t="s">
        <v>5915</v>
      </c>
      <c r="N2945" t="s">
        <v>3</v>
      </c>
      <c r="O2945" t="s">
        <v>3</v>
      </c>
      <c r="P2945" t="s">
        <v>5</v>
      </c>
      <c r="Q2945" t="s">
        <v>5916</v>
      </c>
      <c r="R2945" t="s">
        <v>3</v>
      </c>
      <c r="S2945" t="s">
        <v>3</v>
      </c>
      <c r="T2945" t="s">
        <v>3</v>
      </c>
      <c r="U2945" t="s">
        <v>3</v>
      </c>
      <c r="V2945" t="s">
        <v>3</v>
      </c>
      <c r="W2945" t="s">
        <v>68</v>
      </c>
      <c r="X2945" s="17"/>
      <c r="Y2945" t="s">
        <v>3</v>
      </c>
      <c r="Z2945" s="17">
        <v>43895</v>
      </c>
      <c r="AA2945" t="s">
        <v>3</v>
      </c>
      <c r="AB2945" t="s">
        <v>5914</v>
      </c>
    </row>
    <row r="2946" spans="1:28" hidden="1">
      <c r="A2946" t="s">
        <v>5914</v>
      </c>
      <c r="B2946" s="17">
        <v>43895</v>
      </c>
      <c r="C2946" s="17">
        <v>43895</v>
      </c>
      <c r="D2946" t="s">
        <v>0</v>
      </c>
      <c r="E2946" t="s">
        <v>1</v>
      </c>
      <c r="F2946" s="18">
        <v>2516</v>
      </c>
      <c r="G2946" s="18">
        <v>2516</v>
      </c>
      <c r="H2946" t="s">
        <v>2</v>
      </c>
      <c r="I2946" t="s">
        <v>8</v>
      </c>
      <c r="J2946" s="18">
        <v>211218.2</v>
      </c>
      <c r="K2946" t="s">
        <v>5910</v>
      </c>
      <c r="L2946" t="s">
        <v>9</v>
      </c>
      <c r="M2946" t="s">
        <v>5915</v>
      </c>
      <c r="N2946" t="s">
        <v>3</v>
      </c>
      <c r="O2946" t="s">
        <v>3</v>
      </c>
      <c r="P2946" t="s">
        <v>5</v>
      </c>
      <c r="Q2946" t="s">
        <v>5916</v>
      </c>
      <c r="R2946" t="s">
        <v>3</v>
      </c>
      <c r="S2946" t="s">
        <v>3</v>
      </c>
      <c r="T2946" t="s">
        <v>3</v>
      </c>
      <c r="U2946" t="s">
        <v>3</v>
      </c>
      <c r="V2946" t="s">
        <v>3</v>
      </c>
      <c r="W2946" t="s">
        <v>68</v>
      </c>
      <c r="X2946" s="17"/>
      <c r="Y2946" t="s">
        <v>3</v>
      </c>
      <c r="Z2946" s="17">
        <v>43895</v>
      </c>
      <c r="AA2946" t="s">
        <v>3</v>
      </c>
      <c r="AB2946" t="s">
        <v>5914</v>
      </c>
    </row>
    <row r="2947" spans="1:28" hidden="1">
      <c r="A2947" t="s">
        <v>5914</v>
      </c>
      <c r="B2947" s="17">
        <v>43895</v>
      </c>
      <c r="C2947" s="17">
        <v>43895</v>
      </c>
      <c r="D2947" t="s">
        <v>0</v>
      </c>
      <c r="E2947" t="s">
        <v>1</v>
      </c>
      <c r="F2947" s="18">
        <v>12340</v>
      </c>
      <c r="G2947" s="18">
        <v>12340</v>
      </c>
      <c r="H2947" t="s">
        <v>2</v>
      </c>
      <c r="I2947" t="s">
        <v>8</v>
      </c>
      <c r="J2947" s="18">
        <v>1035943</v>
      </c>
      <c r="K2947" t="s">
        <v>5911</v>
      </c>
      <c r="L2947" t="s">
        <v>9</v>
      </c>
      <c r="M2947" t="s">
        <v>5915</v>
      </c>
      <c r="N2947" t="s">
        <v>3</v>
      </c>
      <c r="O2947" t="s">
        <v>3</v>
      </c>
      <c r="P2947" t="s">
        <v>5</v>
      </c>
      <c r="Q2947" t="s">
        <v>5916</v>
      </c>
      <c r="R2947" t="s">
        <v>3</v>
      </c>
      <c r="S2947" t="s">
        <v>3</v>
      </c>
      <c r="T2947" t="s">
        <v>3</v>
      </c>
      <c r="U2947" t="s">
        <v>3</v>
      </c>
      <c r="V2947" t="s">
        <v>3</v>
      </c>
      <c r="W2947" t="s">
        <v>68</v>
      </c>
      <c r="X2947" s="17"/>
      <c r="Y2947" t="s">
        <v>3</v>
      </c>
      <c r="Z2947" s="17">
        <v>43895</v>
      </c>
      <c r="AA2947" t="s">
        <v>3</v>
      </c>
      <c r="AB2947" t="s">
        <v>5914</v>
      </c>
    </row>
    <row r="2948" spans="1:28" hidden="1">
      <c r="A2948" t="s">
        <v>5914</v>
      </c>
      <c r="B2948" s="17">
        <v>43895</v>
      </c>
      <c r="C2948" s="17">
        <v>43895</v>
      </c>
      <c r="D2948" t="s">
        <v>0</v>
      </c>
      <c r="E2948" t="s">
        <v>1</v>
      </c>
      <c r="F2948" s="18">
        <v>7529</v>
      </c>
      <c r="G2948" s="18">
        <v>7529</v>
      </c>
      <c r="H2948" t="s">
        <v>2</v>
      </c>
      <c r="I2948" t="s">
        <v>8</v>
      </c>
      <c r="J2948" s="18">
        <v>632059.55000000005</v>
      </c>
      <c r="K2948" t="s">
        <v>5917</v>
      </c>
      <c r="L2948" t="s">
        <v>9</v>
      </c>
      <c r="M2948" t="s">
        <v>5915</v>
      </c>
      <c r="N2948" t="s">
        <v>3</v>
      </c>
      <c r="O2948" t="s">
        <v>3</v>
      </c>
      <c r="P2948" t="s">
        <v>5</v>
      </c>
      <c r="Q2948" t="s">
        <v>5916</v>
      </c>
      <c r="R2948" t="s">
        <v>3</v>
      </c>
      <c r="S2948" t="s">
        <v>3</v>
      </c>
      <c r="T2948" t="s">
        <v>3</v>
      </c>
      <c r="U2948" t="s">
        <v>3</v>
      </c>
      <c r="V2948" t="s">
        <v>3</v>
      </c>
      <c r="W2948" t="s">
        <v>68</v>
      </c>
      <c r="X2948" s="17"/>
      <c r="Y2948" t="s">
        <v>3</v>
      </c>
      <c r="Z2948" s="17">
        <v>43895</v>
      </c>
      <c r="AA2948" t="s">
        <v>3</v>
      </c>
      <c r="AB2948" t="s">
        <v>5914</v>
      </c>
    </row>
    <row r="2949" spans="1:28" hidden="1">
      <c r="A2949" t="s">
        <v>5918</v>
      </c>
      <c r="B2949" s="17">
        <v>43895</v>
      </c>
      <c r="C2949" s="17">
        <v>43895</v>
      </c>
      <c r="D2949" t="s">
        <v>0</v>
      </c>
      <c r="E2949" t="s">
        <v>1</v>
      </c>
      <c r="F2949" s="18">
        <v>4850</v>
      </c>
      <c r="G2949" s="18">
        <v>4850</v>
      </c>
      <c r="H2949" t="s">
        <v>2</v>
      </c>
      <c r="I2949" t="s">
        <v>10</v>
      </c>
      <c r="J2949" s="18">
        <v>407157.5</v>
      </c>
      <c r="K2949" t="s">
        <v>5919</v>
      </c>
      <c r="L2949" t="s">
        <v>9</v>
      </c>
      <c r="M2949" t="s">
        <v>5920</v>
      </c>
      <c r="N2949" t="s">
        <v>3</v>
      </c>
      <c r="O2949" t="s">
        <v>3</v>
      </c>
      <c r="P2949" t="s">
        <v>5</v>
      </c>
      <c r="Q2949" t="s">
        <v>5921</v>
      </c>
      <c r="R2949" t="s">
        <v>3</v>
      </c>
      <c r="S2949" t="s">
        <v>3</v>
      </c>
      <c r="T2949" t="s">
        <v>3</v>
      </c>
      <c r="U2949" t="s">
        <v>3</v>
      </c>
      <c r="V2949" t="s">
        <v>3</v>
      </c>
      <c r="W2949" t="s">
        <v>68</v>
      </c>
      <c r="X2949" s="17"/>
      <c r="Y2949" t="s">
        <v>3</v>
      </c>
      <c r="Z2949" s="17">
        <v>43895</v>
      </c>
      <c r="AA2949" t="s">
        <v>3</v>
      </c>
      <c r="AB2949" t="s">
        <v>5918</v>
      </c>
    </row>
    <row r="2950" spans="1:28" hidden="1">
      <c r="A2950" t="s">
        <v>5918</v>
      </c>
      <c r="B2950" s="17">
        <v>43895</v>
      </c>
      <c r="C2950" s="17">
        <v>43895</v>
      </c>
      <c r="D2950" t="s">
        <v>0</v>
      </c>
      <c r="E2950" t="s">
        <v>1</v>
      </c>
      <c r="F2950" s="18">
        <v>12735</v>
      </c>
      <c r="G2950" s="18">
        <v>12735</v>
      </c>
      <c r="H2950" t="s">
        <v>2</v>
      </c>
      <c r="I2950" t="s">
        <v>10</v>
      </c>
      <c r="J2950" s="18">
        <v>1069103.25</v>
      </c>
      <c r="K2950" t="s">
        <v>5922</v>
      </c>
      <c r="L2950" t="s">
        <v>9</v>
      </c>
      <c r="M2950" t="s">
        <v>5920</v>
      </c>
      <c r="N2950" t="s">
        <v>3</v>
      </c>
      <c r="O2950" t="s">
        <v>3</v>
      </c>
      <c r="P2950" t="s">
        <v>5</v>
      </c>
      <c r="Q2950" t="s">
        <v>5921</v>
      </c>
      <c r="R2950" t="s">
        <v>3</v>
      </c>
      <c r="S2950" t="s">
        <v>3</v>
      </c>
      <c r="T2950" t="s">
        <v>3</v>
      </c>
      <c r="U2950" t="s">
        <v>3</v>
      </c>
      <c r="V2950" t="s">
        <v>3</v>
      </c>
      <c r="W2950" t="s">
        <v>68</v>
      </c>
      <c r="X2950" s="17"/>
      <c r="Y2950" t="s">
        <v>3</v>
      </c>
      <c r="Z2950" s="17">
        <v>43895</v>
      </c>
      <c r="AA2950" t="s">
        <v>3</v>
      </c>
      <c r="AB2950" t="s">
        <v>5918</v>
      </c>
    </row>
    <row r="2951" spans="1:28" hidden="1">
      <c r="A2951" t="s">
        <v>5918</v>
      </c>
      <c r="B2951" s="17">
        <v>43895</v>
      </c>
      <c r="C2951" s="17">
        <v>43895</v>
      </c>
      <c r="D2951" t="s">
        <v>0</v>
      </c>
      <c r="E2951" t="s">
        <v>1</v>
      </c>
      <c r="F2951" s="18">
        <v>1336</v>
      </c>
      <c r="G2951" s="18">
        <v>1336</v>
      </c>
      <c r="H2951" t="s">
        <v>2</v>
      </c>
      <c r="I2951" t="s">
        <v>10</v>
      </c>
      <c r="J2951" s="18">
        <v>112157.2</v>
      </c>
      <c r="K2951" t="s">
        <v>5923</v>
      </c>
      <c r="L2951" t="s">
        <v>9</v>
      </c>
      <c r="M2951" t="s">
        <v>5920</v>
      </c>
      <c r="N2951" t="s">
        <v>3</v>
      </c>
      <c r="O2951" t="s">
        <v>3</v>
      </c>
      <c r="P2951" t="s">
        <v>5</v>
      </c>
      <c r="Q2951" t="s">
        <v>5921</v>
      </c>
      <c r="R2951" t="s">
        <v>3</v>
      </c>
      <c r="S2951" t="s">
        <v>3</v>
      </c>
      <c r="T2951" t="s">
        <v>3</v>
      </c>
      <c r="U2951" t="s">
        <v>3</v>
      </c>
      <c r="V2951" t="s">
        <v>3</v>
      </c>
      <c r="W2951" t="s">
        <v>68</v>
      </c>
      <c r="X2951" s="17"/>
      <c r="Y2951" t="s">
        <v>3</v>
      </c>
      <c r="Z2951" s="17">
        <v>43895</v>
      </c>
      <c r="AA2951" t="s">
        <v>3</v>
      </c>
      <c r="AB2951" t="s">
        <v>5918</v>
      </c>
    </row>
    <row r="2952" spans="1:28" hidden="1">
      <c r="A2952" t="s">
        <v>5926</v>
      </c>
      <c r="B2952" s="17">
        <v>43899</v>
      </c>
      <c r="C2952" s="17">
        <v>43899</v>
      </c>
      <c r="D2952" t="s">
        <v>0</v>
      </c>
      <c r="E2952" t="s">
        <v>1</v>
      </c>
      <c r="F2952" s="18">
        <v>1262.05</v>
      </c>
      <c r="G2952" s="18">
        <v>1262.05</v>
      </c>
      <c r="H2952" t="s">
        <v>2</v>
      </c>
      <c r="I2952" t="s">
        <v>10</v>
      </c>
      <c r="J2952" s="18">
        <v>105949.1</v>
      </c>
      <c r="K2952" t="s">
        <v>5894</v>
      </c>
      <c r="L2952" t="s">
        <v>4</v>
      </c>
      <c r="M2952" t="s">
        <v>5927</v>
      </c>
      <c r="N2952" t="s">
        <v>3</v>
      </c>
      <c r="O2952" t="s">
        <v>3</v>
      </c>
      <c r="P2952" t="s">
        <v>5</v>
      </c>
      <c r="Q2952" t="s">
        <v>5928</v>
      </c>
      <c r="R2952" t="s">
        <v>3</v>
      </c>
      <c r="S2952" t="s">
        <v>3</v>
      </c>
      <c r="T2952" t="s">
        <v>3</v>
      </c>
      <c r="U2952" t="s">
        <v>3</v>
      </c>
      <c r="V2952" t="s">
        <v>3</v>
      </c>
      <c r="W2952" t="s">
        <v>68</v>
      </c>
      <c r="X2952" s="17"/>
      <c r="Y2952" t="s">
        <v>3</v>
      </c>
      <c r="Z2952" s="17">
        <v>43899</v>
      </c>
      <c r="AA2952" t="s">
        <v>3</v>
      </c>
      <c r="AB2952" t="s">
        <v>5926</v>
      </c>
    </row>
    <row r="2953" spans="1:28" hidden="1">
      <c r="A2953" t="s">
        <v>5926</v>
      </c>
      <c r="B2953" s="17">
        <v>43899</v>
      </c>
      <c r="C2953" s="17">
        <v>43899</v>
      </c>
      <c r="D2953" t="s">
        <v>0</v>
      </c>
      <c r="E2953" t="s">
        <v>1</v>
      </c>
      <c r="F2953" s="18">
        <v>26631.119999999999</v>
      </c>
      <c r="G2953" s="18">
        <v>26631.119999999999</v>
      </c>
      <c r="H2953" t="s">
        <v>2</v>
      </c>
      <c r="I2953" t="s">
        <v>10</v>
      </c>
      <c r="J2953" s="18">
        <v>2235682.5299999998</v>
      </c>
      <c r="K2953" t="s">
        <v>5929</v>
      </c>
      <c r="L2953" t="s">
        <v>4</v>
      </c>
      <c r="M2953" t="s">
        <v>5927</v>
      </c>
      <c r="N2953" t="s">
        <v>3</v>
      </c>
      <c r="O2953" t="s">
        <v>3</v>
      </c>
      <c r="P2953" t="s">
        <v>5</v>
      </c>
      <c r="Q2953" t="s">
        <v>5928</v>
      </c>
      <c r="R2953" t="s">
        <v>3</v>
      </c>
      <c r="S2953" t="s">
        <v>3</v>
      </c>
      <c r="T2953" t="s">
        <v>3</v>
      </c>
      <c r="U2953" t="s">
        <v>3</v>
      </c>
      <c r="V2953" t="s">
        <v>3</v>
      </c>
      <c r="W2953" t="s">
        <v>68</v>
      </c>
      <c r="X2953" s="17"/>
      <c r="Y2953" t="s">
        <v>3</v>
      </c>
      <c r="Z2953" s="17">
        <v>43899</v>
      </c>
      <c r="AA2953" t="s">
        <v>3</v>
      </c>
      <c r="AB2953" t="s">
        <v>5926</v>
      </c>
    </row>
    <row r="2954" spans="1:28" hidden="1">
      <c r="A2954" t="s">
        <v>5926</v>
      </c>
      <c r="B2954" s="17">
        <v>43899</v>
      </c>
      <c r="C2954" s="17">
        <v>43899</v>
      </c>
      <c r="D2954" t="s">
        <v>0</v>
      </c>
      <c r="E2954" t="s">
        <v>1</v>
      </c>
      <c r="F2954" s="18">
        <v>36362.160000000003</v>
      </c>
      <c r="G2954" s="18">
        <v>36362.160000000003</v>
      </c>
      <c r="H2954" t="s">
        <v>2</v>
      </c>
      <c r="I2954" t="s">
        <v>10</v>
      </c>
      <c r="J2954" s="18">
        <v>3052603.33</v>
      </c>
      <c r="K2954" t="s">
        <v>5930</v>
      </c>
      <c r="L2954" t="s">
        <v>4</v>
      </c>
      <c r="M2954" t="s">
        <v>5927</v>
      </c>
      <c r="N2954" t="s">
        <v>3</v>
      </c>
      <c r="O2954" t="s">
        <v>3</v>
      </c>
      <c r="P2954" t="s">
        <v>5</v>
      </c>
      <c r="Q2954" t="s">
        <v>5928</v>
      </c>
      <c r="R2954" t="s">
        <v>3</v>
      </c>
      <c r="S2954" t="s">
        <v>3</v>
      </c>
      <c r="T2954" t="s">
        <v>3</v>
      </c>
      <c r="U2954" t="s">
        <v>3</v>
      </c>
      <c r="V2954" t="s">
        <v>3</v>
      </c>
      <c r="W2954" t="s">
        <v>68</v>
      </c>
      <c r="X2954" s="17"/>
      <c r="Y2954" t="s">
        <v>3</v>
      </c>
      <c r="Z2954" s="17">
        <v>43899</v>
      </c>
      <c r="AA2954" t="s">
        <v>3</v>
      </c>
      <c r="AB2954" t="s">
        <v>5926</v>
      </c>
    </row>
    <row r="2955" spans="1:28" hidden="1">
      <c r="A2955" t="s">
        <v>5926</v>
      </c>
      <c r="B2955" s="17">
        <v>43899</v>
      </c>
      <c r="C2955" s="17">
        <v>43899</v>
      </c>
      <c r="D2955" t="s">
        <v>0</v>
      </c>
      <c r="E2955" t="s">
        <v>1</v>
      </c>
      <c r="F2955" s="18">
        <v>4982.6099999999997</v>
      </c>
      <c r="G2955" s="18">
        <v>4982.6099999999997</v>
      </c>
      <c r="H2955" t="s">
        <v>2</v>
      </c>
      <c r="I2955" t="s">
        <v>10</v>
      </c>
      <c r="J2955" s="18">
        <v>418290.11</v>
      </c>
      <c r="K2955" t="s">
        <v>5931</v>
      </c>
      <c r="L2955" t="s">
        <v>4</v>
      </c>
      <c r="M2955" t="s">
        <v>5927</v>
      </c>
      <c r="N2955" t="s">
        <v>3</v>
      </c>
      <c r="O2955" t="s">
        <v>3</v>
      </c>
      <c r="P2955" t="s">
        <v>5</v>
      </c>
      <c r="Q2955" t="s">
        <v>5928</v>
      </c>
      <c r="R2955" t="s">
        <v>3</v>
      </c>
      <c r="S2955" t="s">
        <v>3</v>
      </c>
      <c r="T2955" t="s">
        <v>3</v>
      </c>
      <c r="U2955" t="s">
        <v>3</v>
      </c>
      <c r="V2955" t="s">
        <v>3</v>
      </c>
      <c r="W2955" t="s">
        <v>68</v>
      </c>
      <c r="X2955" s="17"/>
      <c r="Y2955" t="s">
        <v>3</v>
      </c>
      <c r="Z2955" s="17">
        <v>43899</v>
      </c>
      <c r="AA2955" t="s">
        <v>3</v>
      </c>
      <c r="AB2955" t="s">
        <v>5926</v>
      </c>
    </row>
    <row r="2956" spans="1:28" hidden="1">
      <c r="A2956" t="s">
        <v>5932</v>
      </c>
      <c r="B2956" s="17">
        <v>43899</v>
      </c>
      <c r="C2956" s="17">
        <v>43899</v>
      </c>
      <c r="D2956" t="s">
        <v>0</v>
      </c>
      <c r="E2956" t="s">
        <v>1</v>
      </c>
      <c r="F2956" s="18">
        <v>21664</v>
      </c>
      <c r="G2956" s="18">
        <v>21664</v>
      </c>
      <c r="H2956" t="s">
        <v>2</v>
      </c>
      <c r="I2956" t="s">
        <v>8</v>
      </c>
      <c r="J2956" s="18">
        <v>1818692.8</v>
      </c>
      <c r="K2956" t="s">
        <v>5855</v>
      </c>
      <c r="L2956" t="s">
        <v>4</v>
      </c>
      <c r="M2956" t="s">
        <v>5933</v>
      </c>
      <c r="N2956" t="s">
        <v>3</v>
      </c>
      <c r="O2956" t="s">
        <v>3</v>
      </c>
      <c r="P2956" t="s">
        <v>5</v>
      </c>
      <c r="Q2956" t="s">
        <v>5934</v>
      </c>
      <c r="R2956" t="s">
        <v>3</v>
      </c>
      <c r="S2956" t="s">
        <v>3</v>
      </c>
      <c r="T2956" t="s">
        <v>3</v>
      </c>
      <c r="U2956" t="s">
        <v>3</v>
      </c>
      <c r="V2956" t="s">
        <v>3</v>
      </c>
      <c r="W2956" t="s">
        <v>68</v>
      </c>
      <c r="X2956" s="17"/>
      <c r="Y2956" t="s">
        <v>3</v>
      </c>
      <c r="Z2956" s="17">
        <v>43899</v>
      </c>
      <c r="AA2956" t="s">
        <v>3</v>
      </c>
      <c r="AB2956" t="s">
        <v>5932</v>
      </c>
    </row>
    <row r="2957" spans="1:28" hidden="1">
      <c r="A2957" t="s">
        <v>5932</v>
      </c>
      <c r="B2957" s="17">
        <v>43899</v>
      </c>
      <c r="C2957" s="17">
        <v>43899</v>
      </c>
      <c r="D2957" t="s">
        <v>0</v>
      </c>
      <c r="E2957" t="s">
        <v>1</v>
      </c>
      <c r="F2957" s="18">
        <v>5388.97</v>
      </c>
      <c r="G2957" s="18">
        <v>5388.97</v>
      </c>
      <c r="H2957" t="s">
        <v>2</v>
      </c>
      <c r="I2957" t="s">
        <v>8</v>
      </c>
      <c r="J2957" s="18">
        <v>452404.03</v>
      </c>
      <c r="K2957" t="s">
        <v>5887</v>
      </c>
      <c r="L2957" t="s">
        <v>4</v>
      </c>
      <c r="M2957" t="s">
        <v>5933</v>
      </c>
      <c r="N2957" t="s">
        <v>3</v>
      </c>
      <c r="O2957" t="s">
        <v>3</v>
      </c>
      <c r="P2957" t="s">
        <v>5</v>
      </c>
      <c r="Q2957" t="s">
        <v>5934</v>
      </c>
      <c r="R2957" t="s">
        <v>3</v>
      </c>
      <c r="S2957" t="s">
        <v>3</v>
      </c>
      <c r="T2957" t="s">
        <v>3</v>
      </c>
      <c r="U2957" t="s">
        <v>3</v>
      </c>
      <c r="V2957" t="s">
        <v>3</v>
      </c>
      <c r="W2957" t="s">
        <v>68</v>
      </c>
      <c r="X2957" s="17"/>
      <c r="Y2957" t="s">
        <v>3</v>
      </c>
      <c r="Z2957" s="17">
        <v>43899</v>
      </c>
      <c r="AA2957" t="s">
        <v>3</v>
      </c>
      <c r="AB2957" t="s">
        <v>5932</v>
      </c>
    </row>
    <row r="2958" spans="1:28" hidden="1">
      <c r="A2958" t="s">
        <v>5932</v>
      </c>
      <c r="B2958" s="17">
        <v>43899</v>
      </c>
      <c r="C2958" s="17">
        <v>43899</v>
      </c>
      <c r="D2958" t="s">
        <v>0</v>
      </c>
      <c r="E2958" t="s">
        <v>1</v>
      </c>
      <c r="F2958" s="18">
        <v>13304.73</v>
      </c>
      <c r="G2958" s="18">
        <v>13304.73</v>
      </c>
      <c r="H2958" t="s">
        <v>2</v>
      </c>
      <c r="I2958" t="s">
        <v>8</v>
      </c>
      <c r="J2958" s="18">
        <v>1116932.08</v>
      </c>
      <c r="K2958" t="s">
        <v>5858</v>
      </c>
      <c r="L2958" t="s">
        <v>4</v>
      </c>
      <c r="M2958" t="s">
        <v>5933</v>
      </c>
      <c r="N2958" t="s">
        <v>3</v>
      </c>
      <c r="O2958" t="s">
        <v>3</v>
      </c>
      <c r="P2958" t="s">
        <v>5</v>
      </c>
      <c r="Q2958" t="s">
        <v>5934</v>
      </c>
      <c r="R2958" t="s">
        <v>3</v>
      </c>
      <c r="S2958" t="s">
        <v>3</v>
      </c>
      <c r="T2958" t="s">
        <v>3</v>
      </c>
      <c r="U2958" t="s">
        <v>3</v>
      </c>
      <c r="V2958" t="s">
        <v>3</v>
      </c>
      <c r="W2958" t="s">
        <v>68</v>
      </c>
      <c r="X2958" s="17"/>
      <c r="Y2958" t="s">
        <v>3</v>
      </c>
      <c r="Z2958" s="17">
        <v>43899</v>
      </c>
      <c r="AA2958" t="s">
        <v>3</v>
      </c>
      <c r="AB2958" t="s">
        <v>5932</v>
      </c>
    </row>
    <row r="2959" spans="1:28" hidden="1">
      <c r="A2959" t="s">
        <v>5932</v>
      </c>
      <c r="B2959" s="17">
        <v>43899</v>
      </c>
      <c r="C2959" s="17">
        <v>43899</v>
      </c>
      <c r="D2959" t="s">
        <v>0</v>
      </c>
      <c r="E2959" t="s">
        <v>1</v>
      </c>
      <c r="F2959" s="18">
        <v>28371.71</v>
      </c>
      <c r="G2959" s="18">
        <v>28371.71</v>
      </c>
      <c r="H2959" t="s">
        <v>2</v>
      </c>
      <c r="I2959" t="s">
        <v>8</v>
      </c>
      <c r="J2959" s="18">
        <v>2381805.0499999998</v>
      </c>
      <c r="K2959" t="s">
        <v>5859</v>
      </c>
      <c r="L2959" t="s">
        <v>4</v>
      </c>
      <c r="M2959" t="s">
        <v>5933</v>
      </c>
      <c r="N2959" t="s">
        <v>3</v>
      </c>
      <c r="O2959" t="s">
        <v>3</v>
      </c>
      <c r="P2959" t="s">
        <v>5</v>
      </c>
      <c r="Q2959" t="s">
        <v>5934</v>
      </c>
      <c r="R2959" t="s">
        <v>3</v>
      </c>
      <c r="S2959" t="s">
        <v>3</v>
      </c>
      <c r="T2959" t="s">
        <v>3</v>
      </c>
      <c r="U2959" t="s">
        <v>3</v>
      </c>
      <c r="V2959" t="s">
        <v>3</v>
      </c>
      <c r="W2959" t="s">
        <v>68</v>
      </c>
      <c r="X2959" s="17"/>
      <c r="Y2959" t="s">
        <v>3</v>
      </c>
      <c r="Z2959" s="17">
        <v>43899</v>
      </c>
      <c r="AA2959" t="s">
        <v>3</v>
      </c>
      <c r="AB2959" t="s">
        <v>5932</v>
      </c>
    </row>
    <row r="2960" spans="1:28" hidden="1">
      <c r="A2960" t="s">
        <v>5932</v>
      </c>
      <c r="B2960" s="17">
        <v>43899</v>
      </c>
      <c r="C2960" s="17">
        <v>43899</v>
      </c>
      <c r="D2960" t="s">
        <v>0</v>
      </c>
      <c r="E2960" t="s">
        <v>1</v>
      </c>
      <c r="F2960" s="18">
        <v>11705.38</v>
      </c>
      <c r="G2960" s="18">
        <v>11705.38</v>
      </c>
      <c r="H2960" t="s">
        <v>2</v>
      </c>
      <c r="I2960" t="s">
        <v>8</v>
      </c>
      <c r="J2960" s="18">
        <v>982666.65</v>
      </c>
      <c r="K2960" t="s">
        <v>5888</v>
      </c>
      <c r="L2960" t="s">
        <v>4</v>
      </c>
      <c r="M2960" t="s">
        <v>5933</v>
      </c>
      <c r="N2960" t="s">
        <v>3</v>
      </c>
      <c r="O2960" t="s">
        <v>3</v>
      </c>
      <c r="P2960" t="s">
        <v>5</v>
      </c>
      <c r="Q2960" t="s">
        <v>5934</v>
      </c>
      <c r="R2960" t="s">
        <v>3</v>
      </c>
      <c r="S2960" t="s">
        <v>3</v>
      </c>
      <c r="T2960" t="s">
        <v>3</v>
      </c>
      <c r="U2960" t="s">
        <v>3</v>
      </c>
      <c r="V2960" t="s">
        <v>3</v>
      </c>
      <c r="W2960" t="s">
        <v>68</v>
      </c>
      <c r="X2960" s="17"/>
      <c r="Y2960" t="s">
        <v>3</v>
      </c>
      <c r="Z2960" s="17">
        <v>43899</v>
      </c>
      <c r="AA2960" t="s">
        <v>3</v>
      </c>
      <c r="AB2960" t="s">
        <v>5932</v>
      </c>
    </row>
    <row r="2961" spans="1:28" hidden="1">
      <c r="A2961" t="s">
        <v>5932</v>
      </c>
      <c r="B2961" s="17">
        <v>43899</v>
      </c>
      <c r="C2961" s="17">
        <v>43899</v>
      </c>
      <c r="D2961" t="s">
        <v>0</v>
      </c>
      <c r="E2961" t="s">
        <v>1</v>
      </c>
      <c r="F2961" s="18">
        <v>3986.96</v>
      </c>
      <c r="G2961" s="18">
        <v>3986.96</v>
      </c>
      <c r="H2961" t="s">
        <v>2</v>
      </c>
      <c r="I2961" t="s">
        <v>8</v>
      </c>
      <c r="J2961" s="18">
        <v>334705.28999999998</v>
      </c>
      <c r="K2961" t="s">
        <v>5935</v>
      </c>
      <c r="L2961" t="s">
        <v>4</v>
      </c>
      <c r="M2961" t="s">
        <v>5933</v>
      </c>
      <c r="N2961" t="s">
        <v>3</v>
      </c>
      <c r="O2961" t="s">
        <v>3</v>
      </c>
      <c r="P2961" t="s">
        <v>5</v>
      </c>
      <c r="Q2961" t="s">
        <v>5934</v>
      </c>
      <c r="R2961" t="s">
        <v>3</v>
      </c>
      <c r="S2961" t="s">
        <v>3</v>
      </c>
      <c r="T2961" t="s">
        <v>3</v>
      </c>
      <c r="U2961" t="s">
        <v>3</v>
      </c>
      <c r="V2961" t="s">
        <v>3</v>
      </c>
      <c r="W2961" t="s">
        <v>68</v>
      </c>
      <c r="X2961" s="17"/>
      <c r="Y2961" t="s">
        <v>3</v>
      </c>
      <c r="Z2961" s="17">
        <v>43899</v>
      </c>
      <c r="AA2961" t="s">
        <v>3</v>
      </c>
      <c r="AB2961" t="s">
        <v>5932</v>
      </c>
    </row>
    <row r="2962" spans="1:28" hidden="1">
      <c r="A2962" t="s">
        <v>5936</v>
      </c>
      <c r="B2962" s="17">
        <v>43899</v>
      </c>
      <c r="C2962" s="17">
        <v>43899</v>
      </c>
      <c r="D2962" t="s">
        <v>0</v>
      </c>
      <c r="E2962" t="s">
        <v>1</v>
      </c>
      <c r="F2962" s="18">
        <v>27723.71</v>
      </c>
      <c r="G2962" s="18">
        <v>27723.71</v>
      </c>
      <c r="H2962" t="s">
        <v>2</v>
      </c>
      <c r="I2962" t="s">
        <v>8</v>
      </c>
      <c r="J2962" s="18">
        <v>2327405.4500000002</v>
      </c>
      <c r="K2962" t="s">
        <v>5855</v>
      </c>
      <c r="L2962" t="s">
        <v>4</v>
      </c>
      <c r="M2962" t="s">
        <v>5937</v>
      </c>
      <c r="N2962" t="s">
        <v>3</v>
      </c>
      <c r="O2962" t="s">
        <v>3</v>
      </c>
      <c r="P2962" t="s">
        <v>5</v>
      </c>
      <c r="Q2962" t="s">
        <v>5938</v>
      </c>
      <c r="R2962" t="s">
        <v>3</v>
      </c>
      <c r="S2962" t="s">
        <v>3</v>
      </c>
      <c r="T2962" t="s">
        <v>3</v>
      </c>
      <c r="U2962" t="s">
        <v>3</v>
      </c>
      <c r="V2962" t="s">
        <v>3</v>
      </c>
      <c r="W2962" t="s">
        <v>68</v>
      </c>
      <c r="X2962" s="17"/>
      <c r="Y2962" t="s">
        <v>3</v>
      </c>
      <c r="Z2962" s="17">
        <v>43899</v>
      </c>
      <c r="AA2962" t="s">
        <v>3</v>
      </c>
      <c r="AB2962" t="s">
        <v>5936</v>
      </c>
    </row>
    <row r="2963" spans="1:28" hidden="1">
      <c r="A2963" t="s">
        <v>5936</v>
      </c>
      <c r="B2963" s="17">
        <v>43899</v>
      </c>
      <c r="C2963" s="17">
        <v>43899</v>
      </c>
      <c r="D2963" t="s">
        <v>0</v>
      </c>
      <c r="E2963" t="s">
        <v>1</v>
      </c>
      <c r="F2963" s="18">
        <v>7699.54</v>
      </c>
      <c r="G2963" s="18">
        <v>7699.54</v>
      </c>
      <c r="H2963" t="s">
        <v>2</v>
      </c>
      <c r="I2963" t="s">
        <v>8</v>
      </c>
      <c r="J2963" s="18">
        <v>646376.38</v>
      </c>
      <c r="K2963" t="s">
        <v>5887</v>
      </c>
      <c r="L2963" t="s">
        <v>4</v>
      </c>
      <c r="M2963" t="s">
        <v>5937</v>
      </c>
      <c r="N2963" t="s">
        <v>3</v>
      </c>
      <c r="O2963" t="s">
        <v>3</v>
      </c>
      <c r="P2963" t="s">
        <v>5</v>
      </c>
      <c r="Q2963" t="s">
        <v>5938</v>
      </c>
      <c r="R2963" t="s">
        <v>3</v>
      </c>
      <c r="S2963" t="s">
        <v>3</v>
      </c>
      <c r="T2963" t="s">
        <v>3</v>
      </c>
      <c r="U2963" t="s">
        <v>3</v>
      </c>
      <c r="V2963" t="s">
        <v>3</v>
      </c>
      <c r="W2963" t="s">
        <v>68</v>
      </c>
      <c r="X2963" s="17"/>
      <c r="Y2963" t="s">
        <v>3</v>
      </c>
      <c r="Z2963" s="17">
        <v>43899</v>
      </c>
      <c r="AA2963" t="s">
        <v>3</v>
      </c>
      <c r="AB2963" t="s">
        <v>5936</v>
      </c>
    </row>
    <row r="2964" spans="1:28" hidden="1">
      <c r="A2964" t="s">
        <v>5936</v>
      </c>
      <c r="B2964" s="17">
        <v>43899</v>
      </c>
      <c r="C2964" s="17">
        <v>43899</v>
      </c>
      <c r="D2964" t="s">
        <v>0</v>
      </c>
      <c r="E2964" t="s">
        <v>1</v>
      </c>
      <c r="F2964" s="18">
        <v>13445.74</v>
      </c>
      <c r="G2964" s="18">
        <v>13445.74</v>
      </c>
      <c r="H2964" t="s">
        <v>2</v>
      </c>
      <c r="I2964" t="s">
        <v>8</v>
      </c>
      <c r="J2964" s="18">
        <v>1128769.8700000001</v>
      </c>
      <c r="K2964" t="s">
        <v>5858</v>
      </c>
      <c r="L2964" t="s">
        <v>4</v>
      </c>
      <c r="M2964" t="s">
        <v>5937</v>
      </c>
      <c r="N2964" t="s">
        <v>3</v>
      </c>
      <c r="O2964" t="s">
        <v>3</v>
      </c>
      <c r="P2964" t="s">
        <v>5</v>
      </c>
      <c r="Q2964" t="s">
        <v>5938</v>
      </c>
      <c r="R2964" t="s">
        <v>3</v>
      </c>
      <c r="S2964" t="s">
        <v>3</v>
      </c>
      <c r="T2964" t="s">
        <v>3</v>
      </c>
      <c r="U2964" t="s">
        <v>3</v>
      </c>
      <c r="V2964" t="s">
        <v>3</v>
      </c>
      <c r="W2964" t="s">
        <v>68</v>
      </c>
      <c r="X2964" s="17"/>
      <c r="Y2964" t="s">
        <v>3</v>
      </c>
      <c r="Z2964" s="17">
        <v>43899</v>
      </c>
      <c r="AA2964" t="s">
        <v>3</v>
      </c>
      <c r="AB2964" t="s">
        <v>5936</v>
      </c>
    </row>
    <row r="2965" spans="1:28" hidden="1">
      <c r="A2965" t="s">
        <v>5936</v>
      </c>
      <c r="B2965" s="17">
        <v>43899</v>
      </c>
      <c r="C2965" s="17">
        <v>43899</v>
      </c>
      <c r="D2965" t="s">
        <v>0</v>
      </c>
      <c r="E2965" t="s">
        <v>1</v>
      </c>
      <c r="F2965" s="18">
        <v>24519.3</v>
      </c>
      <c r="G2965" s="18">
        <v>24519.3</v>
      </c>
      <c r="H2965" t="s">
        <v>2</v>
      </c>
      <c r="I2965" t="s">
        <v>8</v>
      </c>
      <c r="J2965" s="18">
        <v>2058395.24</v>
      </c>
      <c r="K2965" t="s">
        <v>5859</v>
      </c>
      <c r="L2965" t="s">
        <v>4</v>
      </c>
      <c r="M2965" t="s">
        <v>5937</v>
      </c>
      <c r="N2965" t="s">
        <v>3</v>
      </c>
      <c r="O2965" t="s">
        <v>3</v>
      </c>
      <c r="P2965" t="s">
        <v>5</v>
      </c>
      <c r="Q2965" t="s">
        <v>5938</v>
      </c>
      <c r="R2965" t="s">
        <v>3</v>
      </c>
      <c r="S2965" t="s">
        <v>3</v>
      </c>
      <c r="T2965" t="s">
        <v>3</v>
      </c>
      <c r="U2965" t="s">
        <v>3</v>
      </c>
      <c r="V2965" t="s">
        <v>3</v>
      </c>
      <c r="W2965" t="s">
        <v>68</v>
      </c>
      <c r="X2965" s="17"/>
      <c r="Y2965" t="s">
        <v>3</v>
      </c>
      <c r="Z2965" s="17">
        <v>43899</v>
      </c>
      <c r="AA2965" t="s">
        <v>3</v>
      </c>
      <c r="AB2965" t="s">
        <v>5936</v>
      </c>
    </row>
    <row r="2966" spans="1:28" hidden="1">
      <c r="A2966" t="s">
        <v>5936</v>
      </c>
      <c r="B2966" s="17">
        <v>43899</v>
      </c>
      <c r="C2966" s="17">
        <v>43899</v>
      </c>
      <c r="D2966" t="s">
        <v>0</v>
      </c>
      <c r="E2966" t="s">
        <v>1</v>
      </c>
      <c r="F2966" s="18">
        <v>5484.3</v>
      </c>
      <c r="G2966" s="18">
        <v>5484.3</v>
      </c>
      <c r="H2966" t="s">
        <v>2</v>
      </c>
      <c r="I2966" t="s">
        <v>8</v>
      </c>
      <c r="J2966" s="18">
        <v>460406.99</v>
      </c>
      <c r="K2966" t="s">
        <v>5935</v>
      </c>
      <c r="L2966" t="s">
        <v>4</v>
      </c>
      <c r="M2966" t="s">
        <v>5937</v>
      </c>
      <c r="N2966" t="s">
        <v>3</v>
      </c>
      <c r="O2966" t="s">
        <v>3</v>
      </c>
      <c r="P2966" t="s">
        <v>5</v>
      </c>
      <c r="Q2966" t="s">
        <v>5938</v>
      </c>
      <c r="R2966" t="s">
        <v>3</v>
      </c>
      <c r="S2966" t="s">
        <v>3</v>
      </c>
      <c r="T2966" t="s">
        <v>3</v>
      </c>
      <c r="U2966" t="s">
        <v>3</v>
      </c>
      <c r="V2966" t="s">
        <v>3</v>
      </c>
      <c r="W2966" t="s">
        <v>68</v>
      </c>
      <c r="X2966" s="17"/>
      <c r="Y2966" t="s">
        <v>3</v>
      </c>
      <c r="Z2966" s="17">
        <v>43899</v>
      </c>
      <c r="AA2966" t="s">
        <v>3</v>
      </c>
      <c r="AB2966" t="s">
        <v>5936</v>
      </c>
    </row>
    <row r="2967" spans="1:28" hidden="1">
      <c r="A2967" t="s">
        <v>5939</v>
      </c>
      <c r="B2967" s="17">
        <v>43901</v>
      </c>
      <c r="C2967" s="17">
        <v>43901</v>
      </c>
      <c r="D2967" t="s">
        <v>0</v>
      </c>
      <c r="E2967" t="s">
        <v>1</v>
      </c>
      <c r="F2967" s="18">
        <v>5623</v>
      </c>
      <c r="G2967" s="18">
        <v>5623</v>
      </c>
      <c r="H2967" t="s">
        <v>2</v>
      </c>
      <c r="I2967" t="s">
        <v>10</v>
      </c>
      <c r="J2967" s="18">
        <v>472050.85</v>
      </c>
      <c r="K2967" t="s">
        <v>5873</v>
      </c>
      <c r="L2967" t="s">
        <v>9</v>
      </c>
      <c r="M2967" t="s">
        <v>5940</v>
      </c>
      <c r="N2967" t="s">
        <v>3</v>
      </c>
      <c r="O2967" t="s">
        <v>3</v>
      </c>
      <c r="P2967" t="s">
        <v>5</v>
      </c>
      <c r="Q2967" t="s">
        <v>5941</v>
      </c>
      <c r="R2967" t="s">
        <v>3</v>
      </c>
      <c r="S2967" t="s">
        <v>3</v>
      </c>
      <c r="T2967" t="s">
        <v>3</v>
      </c>
      <c r="U2967" t="s">
        <v>3</v>
      </c>
      <c r="V2967" t="s">
        <v>3</v>
      </c>
      <c r="W2967" t="s">
        <v>68</v>
      </c>
      <c r="X2967" s="17"/>
      <c r="Y2967" t="s">
        <v>3</v>
      </c>
      <c r="Z2967" s="17">
        <v>43901</v>
      </c>
      <c r="AA2967" t="s">
        <v>3</v>
      </c>
      <c r="AB2967" t="s">
        <v>5939</v>
      </c>
    </row>
    <row r="2968" spans="1:28" hidden="1">
      <c r="A2968" t="s">
        <v>5939</v>
      </c>
      <c r="B2968" s="17">
        <v>43901</v>
      </c>
      <c r="C2968" s="17">
        <v>43901</v>
      </c>
      <c r="D2968" t="s">
        <v>0</v>
      </c>
      <c r="E2968" t="s">
        <v>1</v>
      </c>
      <c r="F2968" s="18">
        <v>14156</v>
      </c>
      <c r="G2968" s="18">
        <v>14156</v>
      </c>
      <c r="H2968" t="s">
        <v>2</v>
      </c>
      <c r="I2968" t="s">
        <v>10</v>
      </c>
      <c r="J2968" s="18">
        <v>1188396.2</v>
      </c>
      <c r="K2968" t="s">
        <v>5942</v>
      </c>
      <c r="L2968" t="s">
        <v>9</v>
      </c>
      <c r="M2968" t="s">
        <v>5940</v>
      </c>
      <c r="N2968" t="s">
        <v>3</v>
      </c>
      <c r="O2968" t="s">
        <v>3</v>
      </c>
      <c r="P2968" t="s">
        <v>5</v>
      </c>
      <c r="Q2968" t="s">
        <v>5941</v>
      </c>
      <c r="R2968" t="s">
        <v>3</v>
      </c>
      <c r="S2968" t="s">
        <v>3</v>
      </c>
      <c r="T2968" t="s">
        <v>3</v>
      </c>
      <c r="U2968" t="s">
        <v>3</v>
      </c>
      <c r="V2968" t="s">
        <v>3</v>
      </c>
      <c r="W2968" t="s">
        <v>68</v>
      </c>
      <c r="X2968" s="17"/>
      <c r="Y2968" t="s">
        <v>3</v>
      </c>
      <c r="Z2968" s="17">
        <v>43901</v>
      </c>
      <c r="AA2968" t="s">
        <v>3</v>
      </c>
      <c r="AB2968" t="s">
        <v>5939</v>
      </c>
    </row>
    <row r="2969" spans="1:28" hidden="1">
      <c r="A2969" t="s">
        <v>5939</v>
      </c>
      <c r="B2969" s="17">
        <v>43901</v>
      </c>
      <c r="C2969" s="17">
        <v>43901</v>
      </c>
      <c r="D2969" t="s">
        <v>0</v>
      </c>
      <c r="E2969" t="s">
        <v>1</v>
      </c>
      <c r="F2969" s="18">
        <v>594</v>
      </c>
      <c r="G2969" s="18">
        <v>594</v>
      </c>
      <c r="H2969" t="s">
        <v>2</v>
      </c>
      <c r="I2969" t="s">
        <v>10</v>
      </c>
      <c r="J2969" s="18">
        <v>49866.3</v>
      </c>
      <c r="K2969" t="s">
        <v>5943</v>
      </c>
      <c r="L2969" t="s">
        <v>9</v>
      </c>
      <c r="M2969" t="s">
        <v>5940</v>
      </c>
      <c r="N2969" t="s">
        <v>3</v>
      </c>
      <c r="O2969" t="s">
        <v>3</v>
      </c>
      <c r="P2969" t="s">
        <v>5</v>
      </c>
      <c r="Q2969" t="s">
        <v>5941</v>
      </c>
      <c r="R2969" t="s">
        <v>3</v>
      </c>
      <c r="S2969" t="s">
        <v>3</v>
      </c>
      <c r="T2969" t="s">
        <v>3</v>
      </c>
      <c r="U2969" t="s">
        <v>3</v>
      </c>
      <c r="V2969" t="s">
        <v>3</v>
      </c>
      <c r="W2969" t="s">
        <v>68</v>
      </c>
      <c r="X2969" s="17"/>
      <c r="Y2969" t="s">
        <v>3</v>
      </c>
      <c r="Z2969" s="17">
        <v>43901</v>
      </c>
      <c r="AA2969" t="s">
        <v>3</v>
      </c>
      <c r="AB2969" t="s">
        <v>5939</v>
      </c>
    </row>
    <row r="2970" spans="1:28" hidden="1">
      <c r="A2970" t="s">
        <v>5944</v>
      </c>
      <c r="B2970" s="17">
        <v>43901</v>
      </c>
      <c r="C2970" s="17">
        <v>43901</v>
      </c>
      <c r="D2970" t="s">
        <v>0</v>
      </c>
      <c r="E2970" t="s">
        <v>1</v>
      </c>
      <c r="F2970" s="18">
        <v>7918.35</v>
      </c>
      <c r="G2970" s="18">
        <v>7918.35</v>
      </c>
      <c r="H2970" t="s">
        <v>2</v>
      </c>
      <c r="I2970" t="s">
        <v>8</v>
      </c>
      <c r="J2970" s="18">
        <v>664745.48</v>
      </c>
      <c r="K2970" t="s">
        <v>5855</v>
      </c>
      <c r="L2970" t="s">
        <v>4</v>
      </c>
      <c r="M2970" t="s">
        <v>5945</v>
      </c>
      <c r="N2970" t="s">
        <v>3</v>
      </c>
      <c r="O2970" t="s">
        <v>3</v>
      </c>
      <c r="P2970" t="s">
        <v>5</v>
      </c>
      <c r="Q2970" t="s">
        <v>5946</v>
      </c>
      <c r="R2970" t="s">
        <v>3</v>
      </c>
      <c r="S2970" t="s">
        <v>3</v>
      </c>
      <c r="T2970" t="s">
        <v>3</v>
      </c>
      <c r="U2970" t="s">
        <v>3</v>
      </c>
      <c r="V2970" t="s">
        <v>3</v>
      </c>
      <c r="W2970" t="s">
        <v>68</v>
      </c>
      <c r="X2970" s="17"/>
      <c r="Y2970" t="s">
        <v>3</v>
      </c>
      <c r="Z2970" s="17">
        <v>43901</v>
      </c>
      <c r="AA2970" t="s">
        <v>3</v>
      </c>
      <c r="AB2970" t="s">
        <v>5944</v>
      </c>
    </row>
    <row r="2971" spans="1:28" hidden="1">
      <c r="A2971" t="s">
        <v>5944</v>
      </c>
      <c r="B2971" s="17">
        <v>43901</v>
      </c>
      <c r="C2971" s="17">
        <v>43901</v>
      </c>
      <c r="D2971" t="s">
        <v>0</v>
      </c>
      <c r="E2971" t="s">
        <v>1</v>
      </c>
      <c r="F2971" s="18">
        <v>661.36</v>
      </c>
      <c r="G2971" s="18">
        <v>661.36</v>
      </c>
      <c r="H2971" t="s">
        <v>2</v>
      </c>
      <c r="I2971" t="s">
        <v>8</v>
      </c>
      <c r="J2971" s="18">
        <v>55521.17</v>
      </c>
      <c r="K2971" t="s">
        <v>5858</v>
      </c>
      <c r="L2971" t="s">
        <v>4</v>
      </c>
      <c r="M2971" t="s">
        <v>5945</v>
      </c>
      <c r="N2971" t="s">
        <v>3</v>
      </c>
      <c r="O2971" t="s">
        <v>3</v>
      </c>
      <c r="P2971" t="s">
        <v>5</v>
      </c>
      <c r="Q2971" t="s">
        <v>5946</v>
      </c>
      <c r="R2971" t="s">
        <v>3</v>
      </c>
      <c r="S2971" t="s">
        <v>3</v>
      </c>
      <c r="T2971" t="s">
        <v>3</v>
      </c>
      <c r="U2971" t="s">
        <v>3</v>
      </c>
      <c r="V2971" t="s">
        <v>3</v>
      </c>
      <c r="W2971" t="s">
        <v>68</v>
      </c>
      <c r="X2971" s="17"/>
      <c r="Y2971" t="s">
        <v>3</v>
      </c>
      <c r="Z2971" s="17">
        <v>43901</v>
      </c>
      <c r="AA2971" t="s">
        <v>3</v>
      </c>
      <c r="AB2971" t="s">
        <v>5944</v>
      </c>
    </row>
    <row r="2972" spans="1:28" hidden="1">
      <c r="A2972" t="s">
        <v>5944</v>
      </c>
      <c r="B2972" s="17">
        <v>43901</v>
      </c>
      <c r="C2972" s="17">
        <v>43901</v>
      </c>
      <c r="D2972" t="s">
        <v>0</v>
      </c>
      <c r="E2972" t="s">
        <v>1</v>
      </c>
      <c r="F2972" s="18">
        <v>2595.81</v>
      </c>
      <c r="G2972" s="18">
        <v>2595.81</v>
      </c>
      <c r="H2972" t="s">
        <v>2</v>
      </c>
      <c r="I2972" t="s">
        <v>8</v>
      </c>
      <c r="J2972" s="18">
        <v>217918.25</v>
      </c>
      <c r="K2972" t="s">
        <v>5859</v>
      </c>
      <c r="L2972" t="s">
        <v>4</v>
      </c>
      <c r="M2972" t="s">
        <v>5945</v>
      </c>
      <c r="N2972" t="s">
        <v>3</v>
      </c>
      <c r="O2972" t="s">
        <v>3</v>
      </c>
      <c r="P2972" t="s">
        <v>5</v>
      </c>
      <c r="Q2972" t="s">
        <v>5946</v>
      </c>
      <c r="R2972" t="s">
        <v>3</v>
      </c>
      <c r="S2972" t="s">
        <v>3</v>
      </c>
      <c r="T2972" t="s">
        <v>3</v>
      </c>
      <c r="U2972" t="s">
        <v>3</v>
      </c>
      <c r="V2972" t="s">
        <v>3</v>
      </c>
      <c r="W2972" t="s">
        <v>68</v>
      </c>
      <c r="X2972" s="17"/>
      <c r="Y2972" t="s">
        <v>3</v>
      </c>
      <c r="Z2972" s="17">
        <v>43901</v>
      </c>
      <c r="AA2972" t="s">
        <v>3</v>
      </c>
      <c r="AB2972" t="s">
        <v>5944</v>
      </c>
    </row>
    <row r="2973" spans="1:28" hidden="1">
      <c r="A2973" t="s">
        <v>5944</v>
      </c>
      <c r="B2973" s="17">
        <v>43901</v>
      </c>
      <c r="C2973" s="17">
        <v>43901</v>
      </c>
      <c r="D2973" t="s">
        <v>0</v>
      </c>
      <c r="E2973" t="s">
        <v>1</v>
      </c>
      <c r="F2973" s="18">
        <v>1526.98</v>
      </c>
      <c r="G2973" s="18">
        <v>1526.98</v>
      </c>
      <c r="H2973" t="s">
        <v>2</v>
      </c>
      <c r="I2973" t="s">
        <v>8</v>
      </c>
      <c r="J2973" s="18">
        <v>128189.97</v>
      </c>
      <c r="K2973" t="s">
        <v>5935</v>
      </c>
      <c r="L2973" t="s">
        <v>4</v>
      </c>
      <c r="M2973" t="s">
        <v>5945</v>
      </c>
      <c r="N2973" t="s">
        <v>3</v>
      </c>
      <c r="O2973" t="s">
        <v>3</v>
      </c>
      <c r="P2973" t="s">
        <v>5</v>
      </c>
      <c r="Q2973" t="s">
        <v>5946</v>
      </c>
      <c r="R2973" t="s">
        <v>3</v>
      </c>
      <c r="S2973" t="s">
        <v>3</v>
      </c>
      <c r="T2973" t="s">
        <v>3</v>
      </c>
      <c r="U2973" t="s">
        <v>3</v>
      </c>
      <c r="V2973" t="s">
        <v>3</v>
      </c>
      <c r="W2973" t="s">
        <v>68</v>
      </c>
      <c r="X2973" s="17"/>
      <c r="Y2973" t="s">
        <v>3</v>
      </c>
      <c r="Z2973" s="17">
        <v>43901</v>
      </c>
      <c r="AA2973" t="s">
        <v>3</v>
      </c>
      <c r="AB2973" t="s">
        <v>5944</v>
      </c>
    </row>
    <row r="2974" spans="1:28" hidden="1">
      <c r="A2974" t="s">
        <v>5947</v>
      </c>
      <c r="B2974" s="17">
        <v>43901</v>
      </c>
      <c r="C2974" s="17">
        <v>43901</v>
      </c>
      <c r="D2974" t="s">
        <v>0</v>
      </c>
      <c r="E2974" t="s">
        <v>1</v>
      </c>
      <c r="F2974" s="18">
        <v>26105.57</v>
      </c>
      <c r="G2974" s="18">
        <v>26105.57</v>
      </c>
      <c r="H2974" t="s">
        <v>2</v>
      </c>
      <c r="I2974" t="s">
        <v>8</v>
      </c>
      <c r="J2974" s="18">
        <v>2191562.6</v>
      </c>
      <c r="K2974" t="s">
        <v>5855</v>
      </c>
      <c r="L2974" t="s">
        <v>4</v>
      </c>
      <c r="M2974" t="s">
        <v>5948</v>
      </c>
      <c r="N2974" t="s">
        <v>3</v>
      </c>
      <c r="O2974" t="s">
        <v>3</v>
      </c>
      <c r="P2974" t="s">
        <v>5</v>
      </c>
      <c r="Q2974" t="s">
        <v>5949</v>
      </c>
      <c r="R2974" t="s">
        <v>3</v>
      </c>
      <c r="S2974" t="s">
        <v>3</v>
      </c>
      <c r="T2974" t="s">
        <v>3</v>
      </c>
      <c r="U2974" t="s">
        <v>3</v>
      </c>
      <c r="V2974" t="s">
        <v>3</v>
      </c>
      <c r="W2974" t="s">
        <v>68</v>
      </c>
      <c r="X2974" s="17"/>
      <c r="Y2974" t="s">
        <v>3</v>
      </c>
      <c r="Z2974" s="17">
        <v>43901</v>
      </c>
      <c r="AA2974" t="s">
        <v>3</v>
      </c>
      <c r="AB2974" t="s">
        <v>5947</v>
      </c>
    </row>
    <row r="2975" spans="1:28" hidden="1">
      <c r="A2975" t="s">
        <v>5947</v>
      </c>
      <c r="B2975" s="17">
        <v>43901</v>
      </c>
      <c r="C2975" s="17">
        <v>43901</v>
      </c>
      <c r="D2975" t="s">
        <v>0</v>
      </c>
      <c r="E2975" t="s">
        <v>1</v>
      </c>
      <c r="F2975" s="18">
        <v>8015.88</v>
      </c>
      <c r="G2975" s="18">
        <v>8015.88</v>
      </c>
      <c r="H2975" t="s">
        <v>2</v>
      </c>
      <c r="I2975" t="s">
        <v>8</v>
      </c>
      <c r="J2975" s="18">
        <v>672933.13</v>
      </c>
      <c r="K2975" t="s">
        <v>5887</v>
      </c>
      <c r="L2975" t="s">
        <v>4</v>
      </c>
      <c r="M2975" t="s">
        <v>5948</v>
      </c>
      <c r="N2975" t="s">
        <v>3</v>
      </c>
      <c r="O2975" t="s">
        <v>3</v>
      </c>
      <c r="P2975" t="s">
        <v>5</v>
      </c>
      <c r="Q2975" t="s">
        <v>5949</v>
      </c>
      <c r="R2975" t="s">
        <v>3</v>
      </c>
      <c r="S2975" t="s">
        <v>3</v>
      </c>
      <c r="T2975" t="s">
        <v>3</v>
      </c>
      <c r="U2975" t="s">
        <v>3</v>
      </c>
      <c r="V2975" t="s">
        <v>3</v>
      </c>
      <c r="W2975" t="s">
        <v>68</v>
      </c>
      <c r="X2975" s="17"/>
      <c r="Y2975" t="s">
        <v>3</v>
      </c>
      <c r="Z2975" s="17">
        <v>43901</v>
      </c>
      <c r="AA2975" t="s">
        <v>3</v>
      </c>
      <c r="AB2975" t="s">
        <v>5947</v>
      </c>
    </row>
    <row r="2976" spans="1:28" hidden="1">
      <c r="A2976" t="s">
        <v>5947</v>
      </c>
      <c r="B2976" s="17">
        <v>43901</v>
      </c>
      <c r="C2976" s="17">
        <v>43901</v>
      </c>
      <c r="D2976" t="s">
        <v>0</v>
      </c>
      <c r="E2976" t="s">
        <v>1</v>
      </c>
      <c r="F2976" s="18">
        <v>9759.67</v>
      </c>
      <c r="G2976" s="18">
        <v>9759.67</v>
      </c>
      <c r="H2976" t="s">
        <v>2</v>
      </c>
      <c r="I2976" t="s">
        <v>8</v>
      </c>
      <c r="J2976" s="18">
        <v>819324.3</v>
      </c>
      <c r="K2976" t="s">
        <v>5858</v>
      </c>
      <c r="L2976" t="s">
        <v>4</v>
      </c>
      <c r="M2976" t="s">
        <v>5948</v>
      </c>
      <c r="N2976" t="s">
        <v>3</v>
      </c>
      <c r="O2976" t="s">
        <v>3</v>
      </c>
      <c r="P2976" t="s">
        <v>5</v>
      </c>
      <c r="Q2976" t="s">
        <v>5949</v>
      </c>
      <c r="R2976" t="s">
        <v>3</v>
      </c>
      <c r="S2976" t="s">
        <v>3</v>
      </c>
      <c r="T2976" t="s">
        <v>3</v>
      </c>
      <c r="U2976" t="s">
        <v>3</v>
      </c>
      <c r="V2976" t="s">
        <v>3</v>
      </c>
      <c r="W2976" t="s">
        <v>68</v>
      </c>
      <c r="X2976" s="17"/>
      <c r="Y2976" t="s">
        <v>3</v>
      </c>
      <c r="Z2976" s="17">
        <v>43901</v>
      </c>
      <c r="AA2976" t="s">
        <v>3</v>
      </c>
      <c r="AB2976" t="s">
        <v>5947</v>
      </c>
    </row>
    <row r="2977" spans="1:28" hidden="1">
      <c r="A2977" t="s">
        <v>5947</v>
      </c>
      <c r="B2977" s="17">
        <v>43901</v>
      </c>
      <c r="C2977" s="17">
        <v>43901</v>
      </c>
      <c r="D2977" t="s">
        <v>0</v>
      </c>
      <c r="E2977" t="s">
        <v>1</v>
      </c>
      <c r="F2977" s="18">
        <v>21555.06</v>
      </c>
      <c r="G2977" s="18">
        <v>21555.06</v>
      </c>
      <c r="H2977" t="s">
        <v>2</v>
      </c>
      <c r="I2977" t="s">
        <v>8</v>
      </c>
      <c r="J2977" s="18">
        <v>1809547.29</v>
      </c>
      <c r="K2977" t="s">
        <v>5859</v>
      </c>
      <c r="L2977" t="s">
        <v>4</v>
      </c>
      <c r="M2977" t="s">
        <v>5948</v>
      </c>
      <c r="N2977" t="s">
        <v>3</v>
      </c>
      <c r="O2977" t="s">
        <v>3</v>
      </c>
      <c r="P2977" t="s">
        <v>5</v>
      </c>
      <c r="Q2977" t="s">
        <v>5949</v>
      </c>
      <c r="R2977" t="s">
        <v>3</v>
      </c>
      <c r="S2977" t="s">
        <v>3</v>
      </c>
      <c r="T2977" t="s">
        <v>3</v>
      </c>
      <c r="U2977" t="s">
        <v>3</v>
      </c>
      <c r="V2977" t="s">
        <v>3</v>
      </c>
      <c r="W2977" t="s">
        <v>68</v>
      </c>
      <c r="X2977" s="17"/>
      <c r="Y2977" t="s">
        <v>3</v>
      </c>
      <c r="Z2977" s="17">
        <v>43901</v>
      </c>
      <c r="AA2977" t="s">
        <v>3</v>
      </c>
      <c r="AB2977" t="s">
        <v>5947</v>
      </c>
    </row>
    <row r="2978" spans="1:28" hidden="1">
      <c r="A2978" t="s">
        <v>5947</v>
      </c>
      <c r="B2978" s="17">
        <v>43901</v>
      </c>
      <c r="C2978" s="17">
        <v>43901</v>
      </c>
      <c r="D2978" t="s">
        <v>0</v>
      </c>
      <c r="E2978" t="s">
        <v>1</v>
      </c>
      <c r="F2978" s="18">
        <v>366.84</v>
      </c>
      <c r="G2978" s="18">
        <v>366.84</v>
      </c>
      <c r="H2978" t="s">
        <v>2</v>
      </c>
      <c r="I2978" t="s">
        <v>8</v>
      </c>
      <c r="J2978" s="18">
        <v>30796.22</v>
      </c>
      <c r="K2978" t="s">
        <v>5888</v>
      </c>
      <c r="L2978" t="s">
        <v>4</v>
      </c>
      <c r="M2978" t="s">
        <v>5948</v>
      </c>
      <c r="N2978" t="s">
        <v>3</v>
      </c>
      <c r="O2978" t="s">
        <v>3</v>
      </c>
      <c r="P2978" t="s">
        <v>5</v>
      </c>
      <c r="Q2978" t="s">
        <v>5949</v>
      </c>
      <c r="R2978" t="s">
        <v>3</v>
      </c>
      <c r="S2978" t="s">
        <v>3</v>
      </c>
      <c r="T2978" t="s">
        <v>3</v>
      </c>
      <c r="U2978" t="s">
        <v>3</v>
      </c>
      <c r="V2978" t="s">
        <v>3</v>
      </c>
      <c r="W2978" t="s">
        <v>68</v>
      </c>
      <c r="X2978" s="17"/>
      <c r="Y2978" t="s">
        <v>3</v>
      </c>
      <c r="Z2978" s="17">
        <v>43901</v>
      </c>
      <c r="AA2978" t="s">
        <v>3</v>
      </c>
      <c r="AB2978" t="s">
        <v>5947</v>
      </c>
    </row>
    <row r="2979" spans="1:28" hidden="1">
      <c r="A2979" t="s">
        <v>5947</v>
      </c>
      <c r="B2979" s="17">
        <v>43901</v>
      </c>
      <c r="C2979" s="17">
        <v>43901</v>
      </c>
      <c r="D2979" t="s">
        <v>0</v>
      </c>
      <c r="E2979" t="s">
        <v>1</v>
      </c>
      <c r="F2979" s="18">
        <v>1907.57</v>
      </c>
      <c r="G2979" s="18">
        <v>1907.57</v>
      </c>
      <c r="H2979" t="s">
        <v>2</v>
      </c>
      <c r="I2979" t="s">
        <v>8</v>
      </c>
      <c r="J2979" s="18">
        <v>160140.5</v>
      </c>
      <c r="K2979" t="s">
        <v>5889</v>
      </c>
      <c r="L2979" t="s">
        <v>4</v>
      </c>
      <c r="M2979" t="s">
        <v>5948</v>
      </c>
      <c r="N2979" t="s">
        <v>3</v>
      </c>
      <c r="O2979" t="s">
        <v>3</v>
      </c>
      <c r="P2979" t="s">
        <v>5</v>
      </c>
      <c r="Q2979" t="s">
        <v>5949</v>
      </c>
      <c r="R2979" t="s">
        <v>3</v>
      </c>
      <c r="S2979" t="s">
        <v>3</v>
      </c>
      <c r="T2979" t="s">
        <v>3</v>
      </c>
      <c r="U2979" t="s">
        <v>3</v>
      </c>
      <c r="V2979" t="s">
        <v>3</v>
      </c>
      <c r="W2979" t="s">
        <v>68</v>
      </c>
      <c r="X2979" s="17"/>
      <c r="Y2979" t="s">
        <v>3</v>
      </c>
      <c r="Z2979" s="17">
        <v>43901</v>
      </c>
      <c r="AA2979" t="s">
        <v>3</v>
      </c>
      <c r="AB2979" t="s">
        <v>5947</v>
      </c>
    </row>
    <row r="2980" spans="1:28" hidden="1">
      <c r="A2980" t="s">
        <v>5947</v>
      </c>
      <c r="B2980" s="17">
        <v>43901</v>
      </c>
      <c r="C2980" s="17">
        <v>43901</v>
      </c>
      <c r="D2980" t="s">
        <v>0</v>
      </c>
      <c r="E2980" t="s">
        <v>1</v>
      </c>
      <c r="F2980" s="18">
        <v>12311.71</v>
      </c>
      <c r="G2980" s="18">
        <v>12311.71</v>
      </c>
      <c r="H2980" t="s">
        <v>2</v>
      </c>
      <c r="I2980" t="s">
        <v>8</v>
      </c>
      <c r="J2980" s="18">
        <v>1033568.06</v>
      </c>
      <c r="K2980" t="s">
        <v>5935</v>
      </c>
      <c r="L2980" t="s">
        <v>4</v>
      </c>
      <c r="M2980" t="s">
        <v>5948</v>
      </c>
      <c r="N2980" t="s">
        <v>3</v>
      </c>
      <c r="O2980" t="s">
        <v>3</v>
      </c>
      <c r="P2980" t="s">
        <v>5</v>
      </c>
      <c r="Q2980" t="s">
        <v>5949</v>
      </c>
      <c r="R2980" t="s">
        <v>3</v>
      </c>
      <c r="S2980" t="s">
        <v>3</v>
      </c>
      <c r="T2980" t="s">
        <v>3</v>
      </c>
      <c r="U2980" t="s">
        <v>3</v>
      </c>
      <c r="V2980" t="s">
        <v>3</v>
      </c>
      <c r="W2980" t="s">
        <v>68</v>
      </c>
      <c r="X2980" s="17"/>
      <c r="Y2980" t="s">
        <v>3</v>
      </c>
      <c r="Z2980" s="17">
        <v>43901</v>
      </c>
      <c r="AA2980" t="s">
        <v>3</v>
      </c>
      <c r="AB2980" t="s">
        <v>5947</v>
      </c>
    </row>
    <row r="2981" spans="1:28" hidden="1">
      <c r="A2981" t="s">
        <v>5950</v>
      </c>
      <c r="B2981" s="17">
        <v>43901</v>
      </c>
      <c r="C2981" s="17">
        <v>43901</v>
      </c>
      <c r="D2981" t="s">
        <v>0</v>
      </c>
      <c r="E2981" t="s">
        <v>1</v>
      </c>
      <c r="F2981" s="18">
        <v>1870</v>
      </c>
      <c r="G2981" s="18">
        <v>1870</v>
      </c>
      <c r="H2981" t="s">
        <v>2</v>
      </c>
      <c r="I2981" t="s">
        <v>8</v>
      </c>
      <c r="J2981" s="18">
        <v>156986.5</v>
      </c>
      <c r="K2981" t="s">
        <v>5904</v>
      </c>
      <c r="L2981" t="s">
        <v>9</v>
      </c>
      <c r="M2981" t="s">
        <v>5951</v>
      </c>
      <c r="N2981" t="s">
        <v>3</v>
      </c>
      <c r="O2981" t="s">
        <v>3</v>
      </c>
      <c r="P2981" t="s">
        <v>5</v>
      </c>
      <c r="Q2981" t="s">
        <v>5952</v>
      </c>
      <c r="R2981" t="s">
        <v>3</v>
      </c>
      <c r="S2981" t="s">
        <v>3</v>
      </c>
      <c r="T2981" t="s">
        <v>3</v>
      </c>
      <c r="U2981" t="s">
        <v>3</v>
      </c>
      <c r="V2981" t="s">
        <v>3</v>
      </c>
      <c r="W2981" t="s">
        <v>68</v>
      </c>
      <c r="X2981" s="17"/>
      <c r="Y2981" t="s">
        <v>3</v>
      </c>
      <c r="Z2981" s="17">
        <v>43901</v>
      </c>
      <c r="AA2981" t="s">
        <v>3</v>
      </c>
      <c r="AB2981" t="s">
        <v>5950</v>
      </c>
    </row>
    <row r="2982" spans="1:28" hidden="1">
      <c r="A2982" t="s">
        <v>5950</v>
      </c>
      <c r="B2982" s="17">
        <v>43901</v>
      </c>
      <c r="C2982" s="17">
        <v>43901</v>
      </c>
      <c r="D2982" t="s">
        <v>0</v>
      </c>
      <c r="E2982" t="s">
        <v>1</v>
      </c>
      <c r="F2982" s="18">
        <v>12332</v>
      </c>
      <c r="G2982" s="18">
        <v>12332</v>
      </c>
      <c r="H2982" t="s">
        <v>2</v>
      </c>
      <c r="I2982" t="s">
        <v>8</v>
      </c>
      <c r="J2982" s="18">
        <v>1035271.4</v>
      </c>
      <c r="K2982" t="s">
        <v>5905</v>
      </c>
      <c r="L2982" t="s">
        <v>9</v>
      </c>
      <c r="M2982" t="s">
        <v>5951</v>
      </c>
      <c r="N2982" t="s">
        <v>3</v>
      </c>
      <c r="O2982" t="s">
        <v>3</v>
      </c>
      <c r="P2982" t="s">
        <v>5</v>
      </c>
      <c r="Q2982" t="s">
        <v>5952</v>
      </c>
      <c r="R2982" t="s">
        <v>3</v>
      </c>
      <c r="S2982" t="s">
        <v>3</v>
      </c>
      <c r="T2982" t="s">
        <v>3</v>
      </c>
      <c r="U2982" t="s">
        <v>3</v>
      </c>
      <c r="V2982" t="s">
        <v>3</v>
      </c>
      <c r="W2982" t="s">
        <v>68</v>
      </c>
      <c r="X2982" s="17"/>
      <c r="Y2982" t="s">
        <v>3</v>
      </c>
      <c r="Z2982" s="17">
        <v>43901</v>
      </c>
      <c r="AA2982" t="s">
        <v>3</v>
      </c>
      <c r="AB2982" t="s">
        <v>5950</v>
      </c>
    </row>
    <row r="2983" spans="1:28" hidden="1">
      <c r="A2983" t="s">
        <v>5950</v>
      </c>
      <c r="B2983" s="17">
        <v>43901</v>
      </c>
      <c r="C2983" s="17">
        <v>43901</v>
      </c>
      <c r="D2983" t="s">
        <v>0</v>
      </c>
      <c r="E2983" t="s">
        <v>1</v>
      </c>
      <c r="F2983" s="18">
        <v>3457</v>
      </c>
      <c r="G2983" s="18">
        <v>3457</v>
      </c>
      <c r="H2983" t="s">
        <v>2</v>
      </c>
      <c r="I2983" t="s">
        <v>8</v>
      </c>
      <c r="J2983" s="18">
        <v>288659.5</v>
      </c>
      <c r="K2983" t="s">
        <v>5906</v>
      </c>
      <c r="L2983" t="s">
        <v>9</v>
      </c>
      <c r="M2983" t="s">
        <v>5951</v>
      </c>
      <c r="N2983" t="s">
        <v>3</v>
      </c>
      <c r="O2983" t="s">
        <v>3</v>
      </c>
      <c r="P2983" t="s">
        <v>5</v>
      </c>
      <c r="Q2983" t="s">
        <v>5952</v>
      </c>
      <c r="R2983" t="s">
        <v>3</v>
      </c>
      <c r="S2983" t="s">
        <v>3</v>
      </c>
      <c r="T2983" t="s">
        <v>3</v>
      </c>
      <c r="U2983" t="s">
        <v>3</v>
      </c>
      <c r="V2983" t="s">
        <v>3</v>
      </c>
      <c r="W2983" t="s">
        <v>68</v>
      </c>
      <c r="X2983" s="17"/>
      <c r="Y2983" t="s">
        <v>3</v>
      </c>
      <c r="Z2983" s="17">
        <v>43901</v>
      </c>
      <c r="AA2983" t="s">
        <v>3</v>
      </c>
      <c r="AB2983" t="s">
        <v>5950</v>
      </c>
    </row>
    <row r="2984" spans="1:28" hidden="1">
      <c r="A2984" t="s">
        <v>5950</v>
      </c>
      <c r="B2984" s="17">
        <v>43901</v>
      </c>
      <c r="C2984" s="17">
        <v>43901</v>
      </c>
      <c r="D2984" t="s">
        <v>0</v>
      </c>
      <c r="E2984" t="s">
        <v>1</v>
      </c>
      <c r="F2984" s="18">
        <v>6367</v>
      </c>
      <c r="G2984" s="18">
        <v>6367</v>
      </c>
      <c r="H2984" t="s">
        <v>2</v>
      </c>
      <c r="I2984" t="s">
        <v>8</v>
      </c>
      <c r="J2984" s="18">
        <v>531644.5</v>
      </c>
      <c r="K2984" t="s">
        <v>5907</v>
      </c>
      <c r="L2984" t="s">
        <v>9</v>
      </c>
      <c r="M2984" t="s">
        <v>5951</v>
      </c>
      <c r="N2984" t="s">
        <v>3</v>
      </c>
      <c r="O2984" t="s">
        <v>3</v>
      </c>
      <c r="P2984" t="s">
        <v>5</v>
      </c>
      <c r="Q2984" t="s">
        <v>5952</v>
      </c>
      <c r="R2984" t="s">
        <v>3</v>
      </c>
      <c r="S2984" t="s">
        <v>3</v>
      </c>
      <c r="T2984" t="s">
        <v>3</v>
      </c>
      <c r="U2984" t="s">
        <v>3</v>
      </c>
      <c r="V2984" t="s">
        <v>3</v>
      </c>
      <c r="W2984" t="s">
        <v>68</v>
      </c>
      <c r="X2984" s="17"/>
      <c r="Y2984" t="s">
        <v>3</v>
      </c>
      <c r="Z2984" s="17">
        <v>43901</v>
      </c>
      <c r="AA2984" t="s">
        <v>3</v>
      </c>
      <c r="AB2984" t="s">
        <v>5950</v>
      </c>
    </row>
    <row r="2985" spans="1:28" hidden="1">
      <c r="A2985" t="s">
        <v>5950</v>
      </c>
      <c r="B2985" s="17">
        <v>43901</v>
      </c>
      <c r="C2985" s="17">
        <v>43901</v>
      </c>
      <c r="D2985" t="s">
        <v>0</v>
      </c>
      <c r="E2985" t="s">
        <v>1</v>
      </c>
      <c r="F2985" s="18">
        <v>144877</v>
      </c>
      <c r="G2985" s="18">
        <v>144877</v>
      </c>
      <c r="H2985" t="s">
        <v>2</v>
      </c>
      <c r="I2985" t="s">
        <v>8</v>
      </c>
      <c r="J2985" s="18">
        <v>12162424.15</v>
      </c>
      <c r="K2985" t="s">
        <v>5909</v>
      </c>
      <c r="L2985" t="s">
        <v>9</v>
      </c>
      <c r="M2985" t="s">
        <v>5951</v>
      </c>
      <c r="N2985" t="s">
        <v>3</v>
      </c>
      <c r="O2985" t="s">
        <v>3</v>
      </c>
      <c r="P2985" t="s">
        <v>5</v>
      </c>
      <c r="Q2985" t="s">
        <v>5952</v>
      </c>
      <c r="R2985" t="s">
        <v>3</v>
      </c>
      <c r="S2985" t="s">
        <v>3</v>
      </c>
      <c r="T2985" t="s">
        <v>3</v>
      </c>
      <c r="U2985" t="s">
        <v>3</v>
      </c>
      <c r="V2985" t="s">
        <v>3</v>
      </c>
      <c r="W2985" t="s">
        <v>68</v>
      </c>
      <c r="X2985" s="17"/>
      <c r="Y2985" t="s">
        <v>3</v>
      </c>
      <c r="Z2985" s="17">
        <v>43901</v>
      </c>
      <c r="AA2985" t="s">
        <v>3</v>
      </c>
      <c r="AB2985" t="s">
        <v>5950</v>
      </c>
    </row>
    <row r="2986" spans="1:28" hidden="1">
      <c r="A2986" t="s">
        <v>5950</v>
      </c>
      <c r="B2986" s="17">
        <v>43901</v>
      </c>
      <c r="C2986" s="17">
        <v>43901</v>
      </c>
      <c r="D2986" t="s">
        <v>0</v>
      </c>
      <c r="E2986" t="s">
        <v>1</v>
      </c>
      <c r="F2986" s="18">
        <v>715</v>
      </c>
      <c r="G2986" s="18">
        <v>715</v>
      </c>
      <c r="H2986" t="s">
        <v>2</v>
      </c>
      <c r="I2986" t="s">
        <v>8</v>
      </c>
      <c r="J2986" s="18">
        <v>60024.25</v>
      </c>
      <c r="K2986" t="s">
        <v>5911</v>
      </c>
      <c r="L2986" t="s">
        <v>9</v>
      </c>
      <c r="M2986" t="s">
        <v>5951</v>
      </c>
      <c r="N2986" t="s">
        <v>3</v>
      </c>
      <c r="O2986" t="s">
        <v>3</v>
      </c>
      <c r="P2986" t="s">
        <v>5</v>
      </c>
      <c r="Q2986" t="s">
        <v>5952</v>
      </c>
      <c r="R2986" t="s">
        <v>3</v>
      </c>
      <c r="S2986" t="s">
        <v>3</v>
      </c>
      <c r="T2986" t="s">
        <v>3</v>
      </c>
      <c r="U2986" t="s">
        <v>3</v>
      </c>
      <c r="V2986" t="s">
        <v>3</v>
      </c>
      <c r="W2986" t="s">
        <v>68</v>
      </c>
      <c r="X2986" s="17"/>
      <c r="Y2986" t="s">
        <v>3</v>
      </c>
      <c r="Z2986" s="17">
        <v>43901</v>
      </c>
      <c r="AA2986" t="s">
        <v>3</v>
      </c>
      <c r="AB2986" t="s">
        <v>5950</v>
      </c>
    </row>
    <row r="2987" spans="1:28" hidden="1">
      <c r="A2987" t="s">
        <v>5950</v>
      </c>
      <c r="B2987" s="17">
        <v>43901</v>
      </c>
      <c r="C2987" s="17">
        <v>43901</v>
      </c>
      <c r="D2987" t="s">
        <v>0</v>
      </c>
      <c r="E2987" t="s">
        <v>1</v>
      </c>
      <c r="F2987" s="18">
        <v>2720</v>
      </c>
      <c r="G2987" s="18">
        <v>2720</v>
      </c>
      <c r="H2987" t="s">
        <v>2</v>
      </c>
      <c r="I2987" t="s">
        <v>8</v>
      </c>
      <c r="J2987" s="18">
        <v>228344</v>
      </c>
      <c r="K2987" t="s">
        <v>5912</v>
      </c>
      <c r="L2987" t="s">
        <v>9</v>
      </c>
      <c r="M2987" t="s">
        <v>5951</v>
      </c>
      <c r="N2987" t="s">
        <v>3</v>
      </c>
      <c r="O2987" t="s">
        <v>3</v>
      </c>
      <c r="P2987" t="s">
        <v>5</v>
      </c>
      <c r="Q2987" t="s">
        <v>5952</v>
      </c>
      <c r="R2987" t="s">
        <v>3</v>
      </c>
      <c r="S2987" t="s">
        <v>3</v>
      </c>
      <c r="T2987" t="s">
        <v>3</v>
      </c>
      <c r="U2987" t="s">
        <v>3</v>
      </c>
      <c r="V2987" t="s">
        <v>3</v>
      </c>
      <c r="W2987" t="s">
        <v>68</v>
      </c>
      <c r="X2987" s="17"/>
      <c r="Y2987" t="s">
        <v>3</v>
      </c>
      <c r="Z2987" s="17">
        <v>43901</v>
      </c>
      <c r="AA2987" t="s">
        <v>3</v>
      </c>
      <c r="AB2987" t="s">
        <v>5950</v>
      </c>
    </row>
    <row r="2988" spans="1:28" hidden="1">
      <c r="A2988" t="s">
        <v>5953</v>
      </c>
      <c r="B2988" s="17">
        <v>43902</v>
      </c>
      <c r="C2988" s="17">
        <v>43902</v>
      </c>
      <c r="D2988" t="s">
        <v>0</v>
      </c>
      <c r="E2988" t="s">
        <v>1</v>
      </c>
      <c r="F2988" s="18">
        <v>4030.74</v>
      </c>
      <c r="G2988" s="18">
        <v>4030.74</v>
      </c>
      <c r="H2988" t="s">
        <v>2</v>
      </c>
      <c r="I2988" t="s">
        <v>8</v>
      </c>
      <c r="J2988" s="18">
        <v>338380.62</v>
      </c>
      <c r="K2988" t="s">
        <v>5887</v>
      </c>
      <c r="L2988" t="s">
        <v>4</v>
      </c>
      <c r="M2988" t="s">
        <v>5954</v>
      </c>
      <c r="N2988" t="s">
        <v>3</v>
      </c>
      <c r="O2988" t="s">
        <v>3</v>
      </c>
      <c r="P2988" t="s">
        <v>5</v>
      </c>
      <c r="Q2988" t="s">
        <v>5955</v>
      </c>
      <c r="R2988" t="s">
        <v>3</v>
      </c>
      <c r="S2988" t="s">
        <v>3</v>
      </c>
      <c r="T2988" t="s">
        <v>3</v>
      </c>
      <c r="U2988" t="s">
        <v>3</v>
      </c>
      <c r="V2988" t="s">
        <v>3</v>
      </c>
      <c r="W2988" t="s">
        <v>68</v>
      </c>
      <c r="X2988" s="17"/>
      <c r="Y2988" t="s">
        <v>3</v>
      </c>
      <c r="Z2988" s="17">
        <v>43902</v>
      </c>
      <c r="AA2988" t="s">
        <v>3</v>
      </c>
      <c r="AB2988" t="s">
        <v>5953</v>
      </c>
    </row>
    <row r="2989" spans="1:28" hidden="1">
      <c r="A2989" t="s">
        <v>5953</v>
      </c>
      <c r="B2989" s="17">
        <v>43902</v>
      </c>
      <c r="C2989" s="17">
        <v>43902</v>
      </c>
      <c r="D2989" t="s">
        <v>0</v>
      </c>
      <c r="E2989" t="s">
        <v>1</v>
      </c>
      <c r="F2989" s="18">
        <v>35012.71</v>
      </c>
      <c r="G2989" s="18">
        <v>35012.71</v>
      </c>
      <c r="H2989" t="s">
        <v>2</v>
      </c>
      <c r="I2989" t="s">
        <v>8</v>
      </c>
      <c r="J2989" s="18">
        <v>2939317.01</v>
      </c>
      <c r="K2989" t="s">
        <v>5858</v>
      </c>
      <c r="L2989" t="s">
        <v>4</v>
      </c>
      <c r="M2989" t="s">
        <v>5954</v>
      </c>
      <c r="N2989" t="s">
        <v>3</v>
      </c>
      <c r="O2989" t="s">
        <v>3</v>
      </c>
      <c r="P2989" t="s">
        <v>5</v>
      </c>
      <c r="Q2989" t="s">
        <v>5955</v>
      </c>
      <c r="R2989" t="s">
        <v>3</v>
      </c>
      <c r="S2989" t="s">
        <v>3</v>
      </c>
      <c r="T2989" t="s">
        <v>3</v>
      </c>
      <c r="U2989" t="s">
        <v>3</v>
      </c>
      <c r="V2989" t="s">
        <v>3</v>
      </c>
      <c r="W2989" t="s">
        <v>68</v>
      </c>
      <c r="X2989" s="17"/>
      <c r="Y2989" t="s">
        <v>3</v>
      </c>
      <c r="Z2989" s="17">
        <v>43902</v>
      </c>
      <c r="AA2989" t="s">
        <v>3</v>
      </c>
      <c r="AB2989" t="s">
        <v>5953</v>
      </c>
    </row>
    <row r="2990" spans="1:28" hidden="1">
      <c r="A2990" t="s">
        <v>5953</v>
      </c>
      <c r="B2990" s="17">
        <v>43902</v>
      </c>
      <c r="C2990" s="17">
        <v>43902</v>
      </c>
      <c r="D2990" t="s">
        <v>0</v>
      </c>
      <c r="E2990" t="s">
        <v>1</v>
      </c>
      <c r="F2990" s="18">
        <v>6045.87</v>
      </c>
      <c r="G2990" s="18">
        <v>6045.87</v>
      </c>
      <c r="H2990" t="s">
        <v>2</v>
      </c>
      <c r="I2990" t="s">
        <v>8</v>
      </c>
      <c r="J2990" s="18">
        <v>507550.79</v>
      </c>
      <c r="K2990" t="s">
        <v>5859</v>
      </c>
      <c r="L2990" t="s">
        <v>4</v>
      </c>
      <c r="M2990" t="s">
        <v>5954</v>
      </c>
      <c r="N2990" t="s">
        <v>3</v>
      </c>
      <c r="O2990" t="s">
        <v>3</v>
      </c>
      <c r="P2990" t="s">
        <v>5</v>
      </c>
      <c r="Q2990" t="s">
        <v>5955</v>
      </c>
      <c r="R2990" t="s">
        <v>3</v>
      </c>
      <c r="S2990" t="s">
        <v>3</v>
      </c>
      <c r="T2990" t="s">
        <v>3</v>
      </c>
      <c r="U2990" t="s">
        <v>3</v>
      </c>
      <c r="V2990" t="s">
        <v>3</v>
      </c>
      <c r="W2990" t="s">
        <v>68</v>
      </c>
      <c r="X2990" s="17"/>
      <c r="Y2990" t="s">
        <v>3</v>
      </c>
      <c r="Z2990" s="17">
        <v>43902</v>
      </c>
      <c r="AA2990" t="s">
        <v>3</v>
      </c>
      <c r="AB2990" t="s">
        <v>5953</v>
      </c>
    </row>
    <row r="2991" spans="1:28" hidden="1">
      <c r="A2991" t="s">
        <v>5953</v>
      </c>
      <c r="B2991" s="17">
        <v>43902</v>
      </c>
      <c r="C2991" s="17">
        <v>43902</v>
      </c>
      <c r="D2991" t="s">
        <v>0</v>
      </c>
      <c r="E2991" t="s">
        <v>1</v>
      </c>
      <c r="F2991" s="18">
        <v>11467.28</v>
      </c>
      <c r="G2991" s="18">
        <v>11467.28</v>
      </c>
      <c r="H2991" t="s">
        <v>2</v>
      </c>
      <c r="I2991" t="s">
        <v>8</v>
      </c>
      <c r="J2991" s="18">
        <v>962678.16</v>
      </c>
      <c r="K2991" t="s">
        <v>5888</v>
      </c>
      <c r="L2991" t="s">
        <v>4</v>
      </c>
      <c r="M2991" t="s">
        <v>5954</v>
      </c>
      <c r="N2991" t="s">
        <v>3</v>
      </c>
      <c r="O2991" t="s">
        <v>3</v>
      </c>
      <c r="P2991" t="s">
        <v>5</v>
      </c>
      <c r="Q2991" t="s">
        <v>5955</v>
      </c>
      <c r="R2991" t="s">
        <v>3</v>
      </c>
      <c r="S2991" t="s">
        <v>3</v>
      </c>
      <c r="T2991" t="s">
        <v>3</v>
      </c>
      <c r="U2991" t="s">
        <v>3</v>
      </c>
      <c r="V2991" t="s">
        <v>3</v>
      </c>
      <c r="W2991" t="s">
        <v>68</v>
      </c>
      <c r="X2991" s="17"/>
      <c r="Y2991" t="s">
        <v>3</v>
      </c>
      <c r="Z2991" s="17">
        <v>43902</v>
      </c>
      <c r="AA2991" t="s">
        <v>3</v>
      </c>
      <c r="AB2991" t="s">
        <v>5953</v>
      </c>
    </row>
    <row r="2992" spans="1:28" hidden="1">
      <c r="A2992" t="s">
        <v>5953</v>
      </c>
      <c r="B2992" s="17">
        <v>43902</v>
      </c>
      <c r="C2992" s="17">
        <v>43902</v>
      </c>
      <c r="D2992" t="s">
        <v>0</v>
      </c>
      <c r="E2992" t="s">
        <v>1</v>
      </c>
      <c r="F2992" s="18">
        <v>4632.7700000000004</v>
      </c>
      <c r="G2992" s="18">
        <v>4632.7700000000004</v>
      </c>
      <c r="H2992" t="s">
        <v>2</v>
      </c>
      <c r="I2992" t="s">
        <v>8</v>
      </c>
      <c r="J2992" s="18">
        <v>388921.04</v>
      </c>
      <c r="K2992" t="s">
        <v>5889</v>
      </c>
      <c r="L2992" t="s">
        <v>4</v>
      </c>
      <c r="M2992" t="s">
        <v>5954</v>
      </c>
      <c r="N2992" t="s">
        <v>3</v>
      </c>
      <c r="O2992" t="s">
        <v>3</v>
      </c>
      <c r="P2992" t="s">
        <v>5</v>
      </c>
      <c r="Q2992" t="s">
        <v>5955</v>
      </c>
      <c r="R2992" t="s">
        <v>3</v>
      </c>
      <c r="S2992" t="s">
        <v>3</v>
      </c>
      <c r="T2992" t="s">
        <v>3</v>
      </c>
      <c r="U2992" t="s">
        <v>3</v>
      </c>
      <c r="V2992" t="s">
        <v>3</v>
      </c>
      <c r="W2992" t="s">
        <v>68</v>
      </c>
      <c r="X2992" s="17"/>
      <c r="Y2992" t="s">
        <v>3</v>
      </c>
      <c r="Z2992" s="17">
        <v>43902</v>
      </c>
      <c r="AA2992" t="s">
        <v>3</v>
      </c>
      <c r="AB2992" t="s">
        <v>5953</v>
      </c>
    </row>
    <row r="2993" spans="1:28" hidden="1">
      <c r="A2993" t="s">
        <v>5953</v>
      </c>
      <c r="B2993" s="17">
        <v>43902</v>
      </c>
      <c r="C2993" s="17">
        <v>43902</v>
      </c>
      <c r="D2993" t="s">
        <v>0</v>
      </c>
      <c r="E2993" t="s">
        <v>1</v>
      </c>
      <c r="F2993" s="18">
        <v>4939.3900000000003</v>
      </c>
      <c r="G2993" s="18">
        <v>4939.3900000000003</v>
      </c>
      <c r="H2993" t="s">
        <v>2</v>
      </c>
      <c r="I2993" t="s">
        <v>8</v>
      </c>
      <c r="J2993" s="18">
        <v>414661.79</v>
      </c>
      <c r="K2993" t="s">
        <v>5935</v>
      </c>
      <c r="L2993" t="s">
        <v>4</v>
      </c>
      <c r="M2993" t="s">
        <v>5954</v>
      </c>
      <c r="N2993" t="s">
        <v>3</v>
      </c>
      <c r="O2993" t="s">
        <v>3</v>
      </c>
      <c r="P2993" t="s">
        <v>5</v>
      </c>
      <c r="Q2993" t="s">
        <v>5955</v>
      </c>
      <c r="R2993" t="s">
        <v>3</v>
      </c>
      <c r="S2993" t="s">
        <v>3</v>
      </c>
      <c r="T2993" t="s">
        <v>3</v>
      </c>
      <c r="U2993" t="s">
        <v>3</v>
      </c>
      <c r="V2993" t="s">
        <v>3</v>
      </c>
      <c r="W2993" t="s">
        <v>68</v>
      </c>
      <c r="X2993" s="17"/>
      <c r="Y2993" t="s">
        <v>3</v>
      </c>
      <c r="Z2993" s="17">
        <v>43902</v>
      </c>
      <c r="AA2993" t="s">
        <v>3</v>
      </c>
      <c r="AB2993" t="s">
        <v>5953</v>
      </c>
    </row>
    <row r="2994" spans="1:28" hidden="1">
      <c r="A2994" t="s">
        <v>5956</v>
      </c>
      <c r="B2994" s="17">
        <v>43902</v>
      </c>
      <c r="C2994" s="17">
        <v>43902</v>
      </c>
      <c r="D2994" t="s">
        <v>0</v>
      </c>
      <c r="E2994" t="s">
        <v>1</v>
      </c>
      <c r="F2994" s="18">
        <v>8838</v>
      </c>
      <c r="G2994" s="18">
        <v>8838</v>
      </c>
      <c r="H2994" t="s">
        <v>2</v>
      </c>
      <c r="I2994" t="s">
        <v>8</v>
      </c>
      <c r="J2994" s="18">
        <v>741950.1</v>
      </c>
      <c r="K2994" t="s">
        <v>5957</v>
      </c>
      <c r="L2994" t="s">
        <v>9</v>
      </c>
      <c r="M2994" t="s">
        <v>5954</v>
      </c>
      <c r="N2994" t="s">
        <v>3</v>
      </c>
      <c r="O2994" t="s">
        <v>3</v>
      </c>
      <c r="P2994" t="s">
        <v>5</v>
      </c>
      <c r="Q2994" t="s">
        <v>5958</v>
      </c>
      <c r="R2994" t="s">
        <v>3</v>
      </c>
      <c r="S2994" t="s">
        <v>3</v>
      </c>
      <c r="T2994" t="s">
        <v>3</v>
      </c>
      <c r="U2994" t="s">
        <v>3</v>
      </c>
      <c r="V2994" t="s">
        <v>3</v>
      </c>
      <c r="W2994" t="s">
        <v>68</v>
      </c>
      <c r="X2994" s="17"/>
      <c r="Y2994" t="s">
        <v>3</v>
      </c>
      <c r="Z2994" s="17">
        <v>43902</v>
      </c>
      <c r="AA2994" t="s">
        <v>3</v>
      </c>
      <c r="AB2994" t="s">
        <v>5956</v>
      </c>
    </row>
    <row r="2995" spans="1:28" hidden="1">
      <c r="A2995" t="s">
        <v>5956</v>
      </c>
      <c r="B2995" s="17">
        <v>43902</v>
      </c>
      <c r="C2995" s="17">
        <v>43902</v>
      </c>
      <c r="D2995" t="s">
        <v>0</v>
      </c>
      <c r="E2995" t="s">
        <v>1</v>
      </c>
      <c r="F2995" s="18">
        <v>25164</v>
      </c>
      <c r="G2995" s="18">
        <v>25164</v>
      </c>
      <c r="H2995" t="s">
        <v>2</v>
      </c>
      <c r="I2995" t="s">
        <v>8</v>
      </c>
      <c r="J2995" s="18">
        <v>2112517.7999999998</v>
      </c>
      <c r="K2995" t="s">
        <v>5959</v>
      </c>
      <c r="L2995" t="s">
        <v>9</v>
      </c>
      <c r="M2995" t="s">
        <v>5954</v>
      </c>
      <c r="N2995" t="s">
        <v>3</v>
      </c>
      <c r="O2995" t="s">
        <v>3</v>
      </c>
      <c r="P2995" t="s">
        <v>5</v>
      </c>
      <c r="Q2995" t="s">
        <v>5958</v>
      </c>
      <c r="R2995" t="s">
        <v>3</v>
      </c>
      <c r="S2995" t="s">
        <v>3</v>
      </c>
      <c r="T2995" t="s">
        <v>3</v>
      </c>
      <c r="U2995" t="s">
        <v>3</v>
      </c>
      <c r="V2995" t="s">
        <v>3</v>
      </c>
      <c r="W2995" t="s">
        <v>68</v>
      </c>
      <c r="X2995" s="17"/>
      <c r="Y2995" t="s">
        <v>3</v>
      </c>
      <c r="Z2995" s="17">
        <v>43902</v>
      </c>
      <c r="AA2995" t="s">
        <v>3</v>
      </c>
      <c r="AB2995" t="s">
        <v>5956</v>
      </c>
    </row>
    <row r="2996" spans="1:28" hidden="1">
      <c r="A2996" t="s">
        <v>5956</v>
      </c>
      <c r="B2996" s="17">
        <v>43902</v>
      </c>
      <c r="C2996" s="17">
        <v>43902</v>
      </c>
      <c r="D2996" t="s">
        <v>0</v>
      </c>
      <c r="E2996" t="s">
        <v>1</v>
      </c>
      <c r="F2996" s="18">
        <v>7564</v>
      </c>
      <c r="G2996" s="18">
        <v>7564</v>
      </c>
      <c r="H2996" t="s">
        <v>2</v>
      </c>
      <c r="I2996" t="s">
        <v>8</v>
      </c>
      <c r="J2996" s="18">
        <v>634997.80000000005</v>
      </c>
      <c r="K2996" t="s">
        <v>5960</v>
      </c>
      <c r="L2996" t="s">
        <v>9</v>
      </c>
      <c r="M2996" t="s">
        <v>5954</v>
      </c>
      <c r="N2996" t="s">
        <v>3</v>
      </c>
      <c r="O2996" t="s">
        <v>3</v>
      </c>
      <c r="P2996" t="s">
        <v>5</v>
      </c>
      <c r="Q2996" t="s">
        <v>5958</v>
      </c>
      <c r="R2996" t="s">
        <v>3</v>
      </c>
      <c r="S2996" t="s">
        <v>3</v>
      </c>
      <c r="T2996" t="s">
        <v>3</v>
      </c>
      <c r="U2996" t="s">
        <v>3</v>
      </c>
      <c r="V2996" t="s">
        <v>3</v>
      </c>
      <c r="W2996" t="s">
        <v>68</v>
      </c>
      <c r="X2996" s="17"/>
      <c r="Y2996" t="s">
        <v>3</v>
      </c>
      <c r="Z2996" s="17">
        <v>43902</v>
      </c>
      <c r="AA2996" t="s">
        <v>3</v>
      </c>
      <c r="AB2996" t="s">
        <v>5956</v>
      </c>
    </row>
    <row r="2997" spans="1:28" hidden="1">
      <c r="A2997" t="s">
        <v>5956</v>
      </c>
      <c r="B2997" s="17">
        <v>43902</v>
      </c>
      <c r="C2997" s="17">
        <v>43902</v>
      </c>
      <c r="D2997" t="s">
        <v>0</v>
      </c>
      <c r="E2997" t="s">
        <v>1</v>
      </c>
      <c r="F2997" s="18">
        <v>3343</v>
      </c>
      <c r="G2997" s="18">
        <v>3343</v>
      </c>
      <c r="H2997" t="s">
        <v>2</v>
      </c>
      <c r="I2997" t="s">
        <v>8</v>
      </c>
      <c r="J2997" s="18">
        <v>280644.84999999998</v>
      </c>
      <c r="K2997" t="s">
        <v>5961</v>
      </c>
      <c r="L2997" t="s">
        <v>9</v>
      </c>
      <c r="M2997" t="s">
        <v>5954</v>
      </c>
      <c r="N2997" t="s">
        <v>3</v>
      </c>
      <c r="O2997" t="s">
        <v>3</v>
      </c>
      <c r="P2997" t="s">
        <v>5</v>
      </c>
      <c r="Q2997" t="s">
        <v>5958</v>
      </c>
      <c r="R2997" t="s">
        <v>3</v>
      </c>
      <c r="S2997" t="s">
        <v>3</v>
      </c>
      <c r="T2997" t="s">
        <v>3</v>
      </c>
      <c r="U2997" t="s">
        <v>3</v>
      </c>
      <c r="V2997" t="s">
        <v>3</v>
      </c>
      <c r="W2997" t="s">
        <v>68</v>
      </c>
      <c r="X2997" s="17"/>
      <c r="Y2997" t="s">
        <v>3</v>
      </c>
      <c r="Z2997" s="17">
        <v>43902</v>
      </c>
      <c r="AA2997" t="s">
        <v>3</v>
      </c>
      <c r="AB2997" t="s">
        <v>5956</v>
      </c>
    </row>
    <row r="2998" spans="1:28" hidden="1">
      <c r="A2998" t="s">
        <v>5956</v>
      </c>
      <c r="B2998" s="17">
        <v>43902</v>
      </c>
      <c r="C2998" s="17">
        <v>43902</v>
      </c>
      <c r="D2998" t="s">
        <v>0</v>
      </c>
      <c r="E2998" t="s">
        <v>1</v>
      </c>
      <c r="F2998" s="18">
        <v>858</v>
      </c>
      <c r="G2998" s="18">
        <v>858</v>
      </c>
      <c r="H2998" t="s">
        <v>2</v>
      </c>
      <c r="I2998" t="s">
        <v>8</v>
      </c>
      <c r="J2998" s="18">
        <v>72029.100000000006</v>
      </c>
      <c r="K2998" t="s">
        <v>5962</v>
      </c>
      <c r="L2998" t="s">
        <v>9</v>
      </c>
      <c r="M2998" t="s">
        <v>5954</v>
      </c>
      <c r="N2998" t="s">
        <v>3</v>
      </c>
      <c r="O2998" t="s">
        <v>3</v>
      </c>
      <c r="P2998" t="s">
        <v>5</v>
      </c>
      <c r="Q2998" t="s">
        <v>5958</v>
      </c>
      <c r="R2998" t="s">
        <v>3</v>
      </c>
      <c r="S2998" t="s">
        <v>3</v>
      </c>
      <c r="T2998" t="s">
        <v>3</v>
      </c>
      <c r="U2998" t="s">
        <v>3</v>
      </c>
      <c r="V2998" t="s">
        <v>3</v>
      </c>
      <c r="W2998" t="s">
        <v>68</v>
      </c>
      <c r="X2998" s="17"/>
      <c r="Y2998" t="s">
        <v>3</v>
      </c>
      <c r="Z2998" s="17">
        <v>43902</v>
      </c>
      <c r="AA2998" t="s">
        <v>3</v>
      </c>
      <c r="AB2998" t="s">
        <v>5956</v>
      </c>
    </row>
    <row r="2999" spans="1:28" hidden="1">
      <c r="A2999" t="s">
        <v>5963</v>
      </c>
      <c r="B2999" s="17">
        <v>43906</v>
      </c>
      <c r="C2999" s="17">
        <v>43906</v>
      </c>
      <c r="D2999" t="s">
        <v>0</v>
      </c>
      <c r="E2999" t="s">
        <v>1</v>
      </c>
      <c r="F2999" s="18">
        <v>309</v>
      </c>
      <c r="G2999" s="18">
        <v>309</v>
      </c>
      <c r="H2999" t="s">
        <v>2</v>
      </c>
      <c r="I2999" t="s">
        <v>10</v>
      </c>
      <c r="J2999" s="18">
        <v>25940.55</v>
      </c>
      <c r="K2999" t="s">
        <v>5873</v>
      </c>
      <c r="L2999" t="s">
        <v>9</v>
      </c>
      <c r="M2999" t="s">
        <v>5964</v>
      </c>
      <c r="N2999" t="s">
        <v>3</v>
      </c>
      <c r="O2999" t="s">
        <v>3</v>
      </c>
      <c r="P2999" t="s">
        <v>5</v>
      </c>
      <c r="Q2999" t="s">
        <v>5965</v>
      </c>
      <c r="R2999" t="s">
        <v>3</v>
      </c>
      <c r="S2999" t="s">
        <v>3</v>
      </c>
      <c r="T2999" t="s">
        <v>3</v>
      </c>
      <c r="U2999" t="s">
        <v>3</v>
      </c>
      <c r="V2999" t="s">
        <v>3</v>
      </c>
      <c r="W2999" t="s">
        <v>68</v>
      </c>
      <c r="X2999" s="17"/>
      <c r="Y2999" t="s">
        <v>3</v>
      </c>
      <c r="Z2999" s="17">
        <v>43906</v>
      </c>
      <c r="AA2999" t="s">
        <v>3</v>
      </c>
      <c r="AB2999" t="s">
        <v>5963</v>
      </c>
    </row>
    <row r="3000" spans="1:28" hidden="1">
      <c r="A3000" t="s">
        <v>5963</v>
      </c>
      <c r="B3000" s="17">
        <v>43906</v>
      </c>
      <c r="C3000" s="17">
        <v>43906</v>
      </c>
      <c r="D3000" t="s">
        <v>0</v>
      </c>
      <c r="E3000" t="s">
        <v>1</v>
      </c>
      <c r="F3000" s="18">
        <v>1379</v>
      </c>
      <c r="G3000" s="18">
        <v>1379</v>
      </c>
      <c r="H3000" t="s">
        <v>2</v>
      </c>
      <c r="I3000" t="s">
        <v>10</v>
      </c>
      <c r="J3000" s="18">
        <v>115767.05</v>
      </c>
      <c r="K3000" t="s">
        <v>5942</v>
      </c>
      <c r="L3000" t="s">
        <v>9</v>
      </c>
      <c r="M3000" t="s">
        <v>5964</v>
      </c>
      <c r="N3000" t="s">
        <v>3</v>
      </c>
      <c r="O3000" t="s">
        <v>3</v>
      </c>
      <c r="P3000" t="s">
        <v>5</v>
      </c>
      <c r="Q3000" t="s">
        <v>5965</v>
      </c>
      <c r="R3000" t="s">
        <v>3</v>
      </c>
      <c r="S3000" t="s">
        <v>3</v>
      </c>
      <c r="T3000" t="s">
        <v>3</v>
      </c>
      <c r="U3000" t="s">
        <v>3</v>
      </c>
      <c r="V3000" t="s">
        <v>3</v>
      </c>
      <c r="W3000" t="s">
        <v>68</v>
      </c>
      <c r="X3000" s="17"/>
      <c r="Y3000" t="s">
        <v>3</v>
      </c>
      <c r="Z3000" s="17">
        <v>43906</v>
      </c>
      <c r="AA3000" t="s">
        <v>3</v>
      </c>
      <c r="AB3000" t="s">
        <v>5963</v>
      </c>
    </row>
    <row r="3001" spans="1:28" hidden="1">
      <c r="A3001" t="s">
        <v>5966</v>
      </c>
      <c r="B3001" s="17">
        <v>43906</v>
      </c>
      <c r="C3001" s="17">
        <v>43906</v>
      </c>
      <c r="D3001" t="s">
        <v>0</v>
      </c>
      <c r="E3001" t="s">
        <v>1</v>
      </c>
      <c r="F3001" s="18">
        <v>1086</v>
      </c>
      <c r="G3001" s="18">
        <v>1086</v>
      </c>
      <c r="H3001" t="s">
        <v>2</v>
      </c>
      <c r="I3001" t="s">
        <v>10</v>
      </c>
      <c r="J3001" s="18">
        <v>91169.7</v>
      </c>
      <c r="K3001" t="s">
        <v>5942</v>
      </c>
      <c r="L3001" t="s">
        <v>9</v>
      </c>
      <c r="M3001" t="s">
        <v>5967</v>
      </c>
      <c r="N3001" t="s">
        <v>3</v>
      </c>
      <c r="O3001" t="s">
        <v>3</v>
      </c>
      <c r="P3001" t="s">
        <v>5</v>
      </c>
      <c r="Q3001" t="s">
        <v>5968</v>
      </c>
      <c r="R3001" t="s">
        <v>3</v>
      </c>
      <c r="S3001" t="s">
        <v>3</v>
      </c>
      <c r="T3001" t="s">
        <v>3</v>
      </c>
      <c r="U3001" t="s">
        <v>3</v>
      </c>
      <c r="V3001" t="s">
        <v>3</v>
      </c>
      <c r="W3001" t="s">
        <v>68</v>
      </c>
      <c r="X3001" s="17"/>
      <c r="Y3001" t="s">
        <v>3</v>
      </c>
      <c r="Z3001" s="17">
        <v>43906</v>
      </c>
      <c r="AA3001" t="s">
        <v>3</v>
      </c>
      <c r="AB3001" t="s">
        <v>5966</v>
      </c>
    </row>
    <row r="3002" spans="1:28" hidden="1">
      <c r="A3002" t="s">
        <v>5966</v>
      </c>
      <c r="B3002" s="17">
        <v>43906</v>
      </c>
      <c r="C3002" s="17">
        <v>43906</v>
      </c>
      <c r="D3002" t="s">
        <v>0</v>
      </c>
      <c r="E3002" t="s">
        <v>1</v>
      </c>
      <c r="F3002" s="18">
        <v>876</v>
      </c>
      <c r="G3002" s="18">
        <v>876</v>
      </c>
      <c r="H3002" t="s">
        <v>2</v>
      </c>
      <c r="I3002" t="s">
        <v>10</v>
      </c>
      <c r="J3002" s="18">
        <v>73540.2</v>
      </c>
      <c r="K3002" t="s">
        <v>5943</v>
      </c>
      <c r="L3002" t="s">
        <v>9</v>
      </c>
      <c r="M3002" t="s">
        <v>5967</v>
      </c>
      <c r="N3002" t="s">
        <v>3</v>
      </c>
      <c r="O3002" t="s">
        <v>3</v>
      </c>
      <c r="P3002" t="s">
        <v>5</v>
      </c>
      <c r="Q3002" t="s">
        <v>5968</v>
      </c>
      <c r="R3002" t="s">
        <v>3</v>
      </c>
      <c r="S3002" t="s">
        <v>3</v>
      </c>
      <c r="T3002" t="s">
        <v>3</v>
      </c>
      <c r="U3002" t="s">
        <v>3</v>
      </c>
      <c r="V3002" t="s">
        <v>3</v>
      </c>
      <c r="W3002" t="s">
        <v>68</v>
      </c>
      <c r="X3002" s="17"/>
      <c r="Y3002" t="s">
        <v>3</v>
      </c>
      <c r="Z3002" s="17">
        <v>43906</v>
      </c>
      <c r="AA3002" t="s">
        <v>3</v>
      </c>
      <c r="AB3002" t="s">
        <v>5966</v>
      </c>
    </row>
    <row r="3003" spans="1:28" hidden="1">
      <c r="A3003" t="s">
        <v>5969</v>
      </c>
      <c r="B3003" s="17">
        <v>43906</v>
      </c>
      <c r="C3003" s="17">
        <v>43906</v>
      </c>
      <c r="D3003" t="s">
        <v>0</v>
      </c>
      <c r="E3003" t="s">
        <v>1</v>
      </c>
      <c r="F3003" s="18">
        <v>3306</v>
      </c>
      <c r="G3003" s="18">
        <v>3306</v>
      </c>
      <c r="H3003" t="s">
        <v>2</v>
      </c>
      <c r="I3003" t="s">
        <v>8</v>
      </c>
      <c r="J3003" s="18">
        <v>277538.7</v>
      </c>
      <c r="K3003" t="s">
        <v>5912</v>
      </c>
      <c r="L3003" t="s">
        <v>9</v>
      </c>
      <c r="M3003" t="s">
        <v>5970</v>
      </c>
      <c r="N3003" t="s">
        <v>3</v>
      </c>
      <c r="O3003" t="s">
        <v>3</v>
      </c>
      <c r="P3003" t="s">
        <v>5</v>
      </c>
      <c r="Q3003" t="s">
        <v>5971</v>
      </c>
      <c r="R3003" t="s">
        <v>3</v>
      </c>
      <c r="S3003" t="s">
        <v>3</v>
      </c>
      <c r="T3003" t="s">
        <v>3</v>
      </c>
      <c r="U3003" t="s">
        <v>3</v>
      </c>
      <c r="V3003" t="s">
        <v>3</v>
      </c>
      <c r="W3003" t="s">
        <v>68</v>
      </c>
      <c r="X3003" s="17"/>
      <c r="Y3003" t="s">
        <v>3</v>
      </c>
      <c r="Z3003" s="17">
        <v>43906</v>
      </c>
      <c r="AA3003" t="s">
        <v>3</v>
      </c>
      <c r="AB3003" t="s">
        <v>5969</v>
      </c>
    </row>
    <row r="3004" spans="1:28" hidden="1">
      <c r="A3004" t="s">
        <v>5972</v>
      </c>
      <c r="B3004" s="17">
        <v>43906</v>
      </c>
      <c r="C3004" s="17">
        <v>43906</v>
      </c>
      <c r="D3004" t="s">
        <v>0</v>
      </c>
      <c r="E3004" t="s">
        <v>1</v>
      </c>
      <c r="F3004" s="18">
        <v>18105</v>
      </c>
      <c r="G3004" s="18">
        <v>18105</v>
      </c>
      <c r="H3004" t="s">
        <v>2</v>
      </c>
      <c r="I3004" t="s">
        <v>8</v>
      </c>
      <c r="J3004" s="18">
        <v>1511767.5</v>
      </c>
      <c r="K3004" t="s">
        <v>5901</v>
      </c>
      <c r="L3004" t="s">
        <v>9</v>
      </c>
      <c r="M3004" t="s">
        <v>5973</v>
      </c>
      <c r="N3004" t="s">
        <v>3</v>
      </c>
      <c r="O3004" t="s">
        <v>3</v>
      </c>
      <c r="P3004" t="s">
        <v>5</v>
      </c>
      <c r="Q3004" t="s">
        <v>5974</v>
      </c>
      <c r="R3004" t="s">
        <v>3</v>
      </c>
      <c r="S3004" t="s">
        <v>3</v>
      </c>
      <c r="T3004" t="s">
        <v>3</v>
      </c>
      <c r="U3004" t="s">
        <v>3</v>
      </c>
      <c r="V3004" t="s">
        <v>3</v>
      </c>
      <c r="W3004" t="s">
        <v>68</v>
      </c>
      <c r="X3004" s="17"/>
      <c r="Y3004" t="s">
        <v>3</v>
      </c>
      <c r="Z3004" s="17">
        <v>43906</v>
      </c>
      <c r="AA3004" t="s">
        <v>3</v>
      </c>
      <c r="AB3004" t="s">
        <v>5972</v>
      </c>
    </row>
    <row r="3005" spans="1:28" hidden="1">
      <c r="A3005" t="s">
        <v>5972</v>
      </c>
      <c r="B3005" s="17">
        <v>43906</v>
      </c>
      <c r="C3005" s="17">
        <v>43906</v>
      </c>
      <c r="D3005" t="s">
        <v>0</v>
      </c>
      <c r="E3005" t="s">
        <v>1</v>
      </c>
      <c r="F3005" s="18">
        <v>1786</v>
      </c>
      <c r="G3005" s="18">
        <v>1786</v>
      </c>
      <c r="H3005" t="s">
        <v>2</v>
      </c>
      <c r="I3005" t="s">
        <v>8</v>
      </c>
      <c r="J3005" s="18">
        <v>149131</v>
      </c>
      <c r="K3005" t="s">
        <v>5906</v>
      </c>
      <c r="L3005" t="s">
        <v>9</v>
      </c>
      <c r="M3005" t="s">
        <v>5973</v>
      </c>
      <c r="N3005" t="s">
        <v>3</v>
      </c>
      <c r="O3005" t="s">
        <v>3</v>
      </c>
      <c r="P3005" t="s">
        <v>5</v>
      </c>
      <c r="Q3005" t="s">
        <v>5974</v>
      </c>
      <c r="R3005" t="s">
        <v>3</v>
      </c>
      <c r="S3005" t="s">
        <v>3</v>
      </c>
      <c r="T3005" t="s">
        <v>3</v>
      </c>
      <c r="U3005" t="s">
        <v>3</v>
      </c>
      <c r="V3005" t="s">
        <v>3</v>
      </c>
      <c r="W3005" t="s">
        <v>68</v>
      </c>
      <c r="X3005" s="17"/>
      <c r="Y3005" t="s">
        <v>3</v>
      </c>
      <c r="Z3005" s="17">
        <v>43906</v>
      </c>
      <c r="AA3005" t="s">
        <v>3</v>
      </c>
      <c r="AB3005" t="s">
        <v>5972</v>
      </c>
    </row>
    <row r="3006" spans="1:28" hidden="1">
      <c r="A3006" t="s">
        <v>5975</v>
      </c>
      <c r="B3006" s="17">
        <v>43906</v>
      </c>
      <c r="C3006" s="17">
        <v>43906</v>
      </c>
      <c r="D3006" t="s">
        <v>0</v>
      </c>
      <c r="E3006" t="s">
        <v>1</v>
      </c>
      <c r="F3006" s="18">
        <v>2165</v>
      </c>
      <c r="G3006" s="18">
        <v>2165</v>
      </c>
      <c r="H3006" t="s">
        <v>2</v>
      </c>
      <c r="I3006" t="s">
        <v>8</v>
      </c>
      <c r="J3006" s="18">
        <v>181751.75</v>
      </c>
      <c r="K3006" t="s">
        <v>5904</v>
      </c>
      <c r="L3006" t="s">
        <v>9</v>
      </c>
      <c r="M3006" t="s">
        <v>5976</v>
      </c>
      <c r="N3006" t="s">
        <v>3</v>
      </c>
      <c r="O3006" t="s">
        <v>3</v>
      </c>
      <c r="P3006" t="s">
        <v>5</v>
      </c>
      <c r="Q3006" t="s">
        <v>5977</v>
      </c>
      <c r="R3006" t="s">
        <v>3</v>
      </c>
      <c r="S3006" t="s">
        <v>3</v>
      </c>
      <c r="T3006" t="s">
        <v>3</v>
      </c>
      <c r="U3006" t="s">
        <v>3</v>
      </c>
      <c r="V3006" t="s">
        <v>3</v>
      </c>
      <c r="W3006" t="s">
        <v>68</v>
      </c>
      <c r="X3006" s="17"/>
      <c r="Y3006" t="s">
        <v>3</v>
      </c>
      <c r="Z3006" s="17">
        <v>43906</v>
      </c>
      <c r="AA3006" t="s">
        <v>3</v>
      </c>
      <c r="AB3006" t="s">
        <v>5975</v>
      </c>
    </row>
    <row r="3007" spans="1:28" hidden="1">
      <c r="A3007" t="s">
        <v>5975</v>
      </c>
      <c r="B3007" s="17">
        <v>43906</v>
      </c>
      <c r="C3007" s="17">
        <v>43906</v>
      </c>
      <c r="D3007" t="s">
        <v>0</v>
      </c>
      <c r="E3007" t="s">
        <v>1</v>
      </c>
      <c r="F3007" s="18">
        <v>4900</v>
      </c>
      <c r="G3007" s="18">
        <v>4900</v>
      </c>
      <c r="H3007" t="s">
        <v>2</v>
      </c>
      <c r="I3007" t="s">
        <v>8</v>
      </c>
      <c r="J3007" s="18">
        <v>411355</v>
      </c>
      <c r="K3007" t="s">
        <v>5905</v>
      </c>
      <c r="L3007" t="s">
        <v>9</v>
      </c>
      <c r="M3007" t="s">
        <v>5976</v>
      </c>
      <c r="N3007" t="s">
        <v>3</v>
      </c>
      <c r="O3007" t="s">
        <v>3</v>
      </c>
      <c r="P3007" t="s">
        <v>5</v>
      </c>
      <c r="Q3007" t="s">
        <v>5977</v>
      </c>
      <c r="R3007" t="s">
        <v>3</v>
      </c>
      <c r="S3007" t="s">
        <v>3</v>
      </c>
      <c r="T3007" t="s">
        <v>3</v>
      </c>
      <c r="U3007" t="s">
        <v>3</v>
      </c>
      <c r="V3007" t="s">
        <v>3</v>
      </c>
      <c r="W3007" t="s">
        <v>68</v>
      </c>
      <c r="X3007" s="17"/>
      <c r="Y3007" t="s">
        <v>3</v>
      </c>
      <c r="Z3007" s="17">
        <v>43906</v>
      </c>
      <c r="AA3007" t="s">
        <v>3</v>
      </c>
      <c r="AB3007" t="s">
        <v>5975</v>
      </c>
    </row>
    <row r="3008" spans="1:28" hidden="1">
      <c r="A3008" t="s">
        <v>5975</v>
      </c>
      <c r="B3008" s="17">
        <v>43906</v>
      </c>
      <c r="C3008" s="17">
        <v>43906</v>
      </c>
      <c r="D3008" t="s">
        <v>0</v>
      </c>
      <c r="E3008" t="s">
        <v>1</v>
      </c>
      <c r="F3008" s="18">
        <v>22604</v>
      </c>
      <c r="G3008" s="18">
        <v>22604</v>
      </c>
      <c r="H3008" t="s">
        <v>2</v>
      </c>
      <c r="I3008" t="s">
        <v>8</v>
      </c>
      <c r="J3008" s="18">
        <v>1887434</v>
      </c>
      <c r="K3008" t="s">
        <v>5906</v>
      </c>
      <c r="L3008" t="s">
        <v>9</v>
      </c>
      <c r="M3008" t="s">
        <v>5976</v>
      </c>
      <c r="N3008" t="s">
        <v>3</v>
      </c>
      <c r="O3008" t="s">
        <v>3</v>
      </c>
      <c r="P3008" t="s">
        <v>5</v>
      </c>
      <c r="Q3008" t="s">
        <v>5977</v>
      </c>
      <c r="R3008" t="s">
        <v>3</v>
      </c>
      <c r="S3008" t="s">
        <v>3</v>
      </c>
      <c r="T3008" t="s">
        <v>3</v>
      </c>
      <c r="U3008" t="s">
        <v>3</v>
      </c>
      <c r="V3008" t="s">
        <v>3</v>
      </c>
      <c r="W3008" t="s">
        <v>68</v>
      </c>
      <c r="X3008" s="17"/>
      <c r="Y3008" t="s">
        <v>3</v>
      </c>
      <c r="Z3008" s="17">
        <v>43906</v>
      </c>
      <c r="AA3008" t="s">
        <v>3</v>
      </c>
      <c r="AB3008" t="s">
        <v>5975</v>
      </c>
    </row>
    <row r="3009" spans="1:28" hidden="1">
      <c r="A3009" t="s">
        <v>5975</v>
      </c>
      <c r="B3009" s="17">
        <v>43906</v>
      </c>
      <c r="C3009" s="17">
        <v>43906</v>
      </c>
      <c r="D3009" t="s">
        <v>0</v>
      </c>
      <c r="E3009" t="s">
        <v>1</v>
      </c>
      <c r="F3009" s="18">
        <v>22673</v>
      </c>
      <c r="G3009" s="18">
        <v>22673</v>
      </c>
      <c r="H3009" t="s">
        <v>2</v>
      </c>
      <c r="I3009" t="s">
        <v>8</v>
      </c>
      <c r="J3009" s="18">
        <v>1901131.05</v>
      </c>
      <c r="K3009" t="s">
        <v>5978</v>
      </c>
      <c r="L3009" t="s">
        <v>9</v>
      </c>
      <c r="M3009" t="s">
        <v>5976</v>
      </c>
      <c r="N3009" t="s">
        <v>3</v>
      </c>
      <c r="O3009" t="s">
        <v>3</v>
      </c>
      <c r="P3009" t="s">
        <v>5</v>
      </c>
      <c r="Q3009" t="s">
        <v>5977</v>
      </c>
      <c r="R3009" t="s">
        <v>3</v>
      </c>
      <c r="S3009" t="s">
        <v>3</v>
      </c>
      <c r="T3009" t="s">
        <v>3</v>
      </c>
      <c r="U3009" t="s">
        <v>3</v>
      </c>
      <c r="V3009" t="s">
        <v>3</v>
      </c>
      <c r="W3009" t="s">
        <v>68</v>
      </c>
      <c r="X3009" s="17"/>
      <c r="Y3009" t="s">
        <v>3</v>
      </c>
      <c r="Z3009" s="17">
        <v>43906</v>
      </c>
      <c r="AA3009" t="s">
        <v>3</v>
      </c>
      <c r="AB3009" t="s">
        <v>5975</v>
      </c>
    </row>
    <row r="3010" spans="1:28" hidden="1">
      <c r="A3010" t="s">
        <v>5975</v>
      </c>
      <c r="B3010" s="17">
        <v>43906</v>
      </c>
      <c r="C3010" s="17">
        <v>43906</v>
      </c>
      <c r="D3010" t="s">
        <v>0</v>
      </c>
      <c r="E3010" t="s">
        <v>1</v>
      </c>
      <c r="F3010" s="18">
        <v>2758</v>
      </c>
      <c r="G3010" s="18">
        <v>2758</v>
      </c>
      <c r="H3010" t="s">
        <v>2</v>
      </c>
      <c r="I3010" t="s">
        <v>8</v>
      </c>
      <c r="J3010" s="18">
        <v>231534.1</v>
      </c>
      <c r="K3010" t="s">
        <v>5909</v>
      </c>
      <c r="L3010" t="s">
        <v>9</v>
      </c>
      <c r="M3010" t="s">
        <v>5976</v>
      </c>
      <c r="N3010" t="s">
        <v>3</v>
      </c>
      <c r="O3010" t="s">
        <v>3</v>
      </c>
      <c r="P3010" t="s">
        <v>5</v>
      </c>
      <c r="Q3010" t="s">
        <v>5977</v>
      </c>
      <c r="R3010" t="s">
        <v>3</v>
      </c>
      <c r="S3010" t="s">
        <v>3</v>
      </c>
      <c r="T3010" t="s">
        <v>3</v>
      </c>
      <c r="U3010" t="s">
        <v>3</v>
      </c>
      <c r="V3010" t="s">
        <v>3</v>
      </c>
      <c r="W3010" t="s">
        <v>68</v>
      </c>
      <c r="X3010" s="17"/>
      <c r="Y3010" t="s">
        <v>3</v>
      </c>
      <c r="Z3010" s="17">
        <v>43906</v>
      </c>
      <c r="AA3010" t="s">
        <v>3</v>
      </c>
      <c r="AB3010" t="s">
        <v>5975</v>
      </c>
    </row>
    <row r="3011" spans="1:28" hidden="1">
      <c r="A3011" t="s">
        <v>5975</v>
      </c>
      <c r="B3011" s="17">
        <v>43906</v>
      </c>
      <c r="C3011" s="17">
        <v>43906</v>
      </c>
      <c r="D3011" t="s">
        <v>0</v>
      </c>
      <c r="E3011" t="s">
        <v>1</v>
      </c>
      <c r="F3011" s="18">
        <v>128</v>
      </c>
      <c r="G3011" s="18">
        <v>128</v>
      </c>
      <c r="H3011" t="s">
        <v>2</v>
      </c>
      <c r="I3011" t="s">
        <v>8</v>
      </c>
      <c r="J3011" s="18">
        <v>10745.6</v>
      </c>
      <c r="K3011" t="s">
        <v>5910</v>
      </c>
      <c r="L3011" t="s">
        <v>9</v>
      </c>
      <c r="M3011" t="s">
        <v>5976</v>
      </c>
      <c r="N3011" t="s">
        <v>3</v>
      </c>
      <c r="O3011" t="s">
        <v>3</v>
      </c>
      <c r="P3011" t="s">
        <v>5</v>
      </c>
      <c r="Q3011" t="s">
        <v>5977</v>
      </c>
      <c r="R3011" t="s">
        <v>3</v>
      </c>
      <c r="S3011" t="s">
        <v>3</v>
      </c>
      <c r="T3011" t="s">
        <v>3</v>
      </c>
      <c r="U3011" t="s">
        <v>3</v>
      </c>
      <c r="V3011" t="s">
        <v>3</v>
      </c>
      <c r="W3011" t="s">
        <v>68</v>
      </c>
      <c r="X3011" s="17"/>
      <c r="Y3011" t="s">
        <v>3</v>
      </c>
      <c r="Z3011" s="17">
        <v>43906</v>
      </c>
      <c r="AA3011" t="s">
        <v>3</v>
      </c>
      <c r="AB3011" t="s">
        <v>5975</v>
      </c>
    </row>
    <row r="3012" spans="1:28" hidden="1">
      <c r="A3012" t="s">
        <v>5975</v>
      </c>
      <c r="B3012" s="17">
        <v>43906</v>
      </c>
      <c r="C3012" s="17">
        <v>43906</v>
      </c>
      <c r="D3012" t="s">
        <v>0</v>
      </c>
      <c r="E3012" t="s">
        <v>1</v>
      </c>
      <c r="F3012" s="18">
        <v>130</v>
      </c>
      <c r="G3012" s="18">
        <v>130</v>
      </c>
      <c r="H3012" t="s">
        <v>2</v>
      </c>
      <c r="I3012" t="s">
        <v>8</v>
      </c>
      <c r="J3012" s="18">
        <v>10913.5</v>
      </c>
      <c r="K3012" t="s">
        <v>5912</v>
      </c>
      <c r="L3012" t="s">
        <v>9</v>
      </c>
      <c r="M3012" t="s">
        <v>5976</v>
      </c>
      <c r="N3012" t="s">
        <v>3</v>
      </c>
      <c r="O3012" t="s">
        <v>3</v>
      </c>
      <c r="P3012" t="s">
        <v>5</v>
      </c>
      <c r="Q3012" t="s">
        <v>5977</v>
      </c>
      <c r="R3012" t="s">
        <v>3</v>
      </c>
      <c r="S3012" t="s">
        <v>3</v>
      </c>
      <c r="T3012" t="s">
        <v>3</v>
      </c>
      <c r="U3012" t="s">
        <v>3</v>
      </c>
      <c r="V3012" t="s">
        <v>3</v>
      </c>
      <c r="W3012" t="s">
        <v>68</v>
      </c>
      <c r="X3012" s="17"/>
      <c r="Y3012" t="s">
        <v>3</v>
      </c>
      <c r="Z3012" s="17">
        <v>43906</v>
      </c>
      <c r="AA3012" t="s">
        <v>3</v>
      </c>
      <c r="AB3012" t="s">
        <v>5975</v>
      </c>
    </row>
    <row r="3013" spans="1:28" hidden="1">
      <c r="A3013" t="s">
        <v>5979</v>
      </c>
      <c r="B3013" s="17">
        <v>43906</v>
      </c>
      <c r="C3013" s="17">
        <v>43906</v>
      </c>
      <c r="D3013" t="s">
        <v>0</v>
      </c>
      <c r="E3013" t="s">
        <v>1</v>
      </c>
      <c r="F3013" s="18">
        <v>26245</v>
      </c>
      <c r="G3013" s="18">
        <v>26245</v>
      </c>
      <c r="H3013" t="s">
        <v>2</v>
      </c>
      <c r="I3013" t="s">
        <v>8</v>
      </c>
      <c r="J3013" s="18">
        <v>2203267.75</v>
      </c>
      <c r="K3013" t="s">
        <v>5904</v>
      </c>
      <c r="L3013" t="s">
        <v>9</v>
      </c>
      <c r="M3013" t="s">
        <v>5980</v>
      </c>
      <c r="N3013" t="s">
        <v>3</v>
      </c>
      <c r="O3013" t="s">
        <v>3</v>
      </c>
      <c r="P3013" t="s">
        <v>5</v>
      </c>
      <c r="Q3013" t="s">
        <v>5981</v>
      </c>
      <c r="R3013" t="s">
        <v>3</v>
      </c>
      <c r="S3013" t="s">
        <v>3</v>
      </c>
      <c r="T3013" t="s">
        <v>3</v>
      </c>
      <c r="U3013" t="s">
        <v>3</v>
      </c>
      <c r="V3013" t="s">
        <v>3</v>
      </c>
      <c r="W3013" t="s">
        <v>68</v>
      </c>
      <c r="X3013" s="17"/>
      <c r="Y3013" t="s">
        <v>3</v>
      </c>
      <c r="Z3013" s="17">
        <v>43906</v>
      </c>
      <c r="AA3013" t="s">
        <v>3</v>
      </c>
      <c r="AB3013" t="s">
        <v>5979</v>
      </c>
    </row>
    <row r="3014" spans="1:28" hidden="1">
      <c r="A3014" t="s">
        <v>5979</v>
      </c>
      <c r="B3014" s="17">
        <v>43906</v>
      </c>
      <c r="C3014" s="17">
        <v>43906</v>
      </c>
      <c r="D3014" t="s">
        <v>0</v>
      </c>
      <c r="E3014" t="s">
        <v>1</v>
      </c>
      <c r="F3014" s="18">
        <v>39907</v>
      </c>
      <c r="G3014" s="18">
        <v>39907</v>
      </c>
      <c r="H3014" t="s">
        <v>2</v>
      </c>
      <c r="I3014" t="s">
        <v>8</v>
      </c>
      <c r="J3014" s="18">
        <v>3350192.65</v>
      </c>
      <c r="K3014" t="s">
        <v>5905</v>
      </c>
      <c r="L3014" t="s">
        <v>9</v>
      </c>
      <c r="M3014" t="s">
        <v>5980</v>
      </c>
      <c r="N3014" t="s">
        <v>3</v>
      </c>
      <c r="O3014" t="s">
        <v>3</v>
      </c>
      <c r="P3014" t="s">
        <v>5</v>
      </c>
      <c r="Q3014" t="s">
        <v>5981</v>
      </c>
      <c r="R3014" t="s">
        <v>3</v>
      </c>
      <c r="S3014" t="s">
        <v>3</v>
      </c>
      <c r="T3014" t="s">
        <v>3</v>
      </c>
      <c r="U3014" t="s">
        <v>3</v>
      </c>
      <c r="V3014" t="s">
        <v>3</v>
      </c>
      <c r="W3014" t="s">
        <v>68</v>
      </c>
      <c r="X3014" s="17"/>
      <c r="Y3014" t="s">
        <v>3</v>
      </c>
      <c r="Z3014" s="17">
        <v>43906</v>
      </c>
      <c r="AA3014" t="s">
        <v>3</v>
      </c>
      <c r="AB3014" t="s">
        <v>5979</v>
      </c>
    </row>
    <row r="3015" spans="1:28" hidden="1">
      <c r="A3015" t="s">
        <v>5979</v>
      </c>
      <c r="B3015" s="17">
        <v>43906</v>
      </c>
      <c r="C3015" s="17">
        <v>43906</v>
      </c>
      <c r="D3015" t="s">
        <v>0</v>
      </c>
      <c r="E3015" t="s">
        <v>1</v>
      </c>
      <c r="F3015" s="18">
        <v>8553</v>
      </c>
      <c r="G3015" s="18">
        <v>8553</v>
      </c>
      <c r="H3015" t="s">
        <v>2</v>
      </c>
      <c r="I3015" t="s">
        <v>8</v>
      </c>
      <c r="J3015" s="18">
        <v>718024.35</v>
      </c>
      <c r="K3015" t="s">
        <v>5982</v>
      </c>
      <c r="L3015" t="s">
        <v>9</v>
      </c>
      <c r="M3015" t="s">
        <v>5980</v>
      </c>
      <c r="N3015" t="s">
        <v>3</v>
      </c>
      <c r="O3015" t="s">
        <v>3</v>
      </c>
      <c r="P3015" t="s">
        <v>5</v>
      </c>
      <c r="Q3015" t="s">
        <v>5981</v>
      </c>
      <c r="R3015" t="s">
        <v>3</v>
      </c>
      <c r="S3015" t="s">
        <v>3</v>
      </c>
      <c r="T3015" t="s">
        <v>3</v>
      </c>
      <c r="U3015" t="s">
        <v>3</v>
      </c>
      <c r="V3015" t="s">
        <v>3</v>
      </c>
      <c r="W3015" t="s">
        <v>68</v>
      </c>
      <c r="X3015" s="17"/>
      <c r="Y3015" t="s">
        <v>3</v>
      </c>
      <c r="Z3015" s="17">
        <v>43906</v>
      </c>
      <c r="AA3015" t="s">
        <v>3</v>
      </c>
      <c r="AB3015" t="s">
        <v>5979</v>
      </c>
    </row>
    <row r="3016" spans="1:28" hidden="1">
      <c r="A3016" t="s">
        <v>5979</v>
      </c>
      <c r="B3016" s="17">
        <v>43906</v>
      </c>
      <c r="C3016" s="17">
        <v>43906</v>
      </c>
      <c r="D3016" t="s">
        <v>0</v>
      </c>
      <c r="E3016" t="s">
        <v>1</v>
      </c>
      <c r="F3016" s="18">
        <v>117591</v>
      </c>
      <c r="G3016" s="18">
        <v>117591</v>
      </c>
      <c r="H3016" t="s">
        <v>2</v>
      </c>
      <c r="I3016" t="s">
        <v>8</v>
      </c>
      <c r="J3016" s="18">
        <v>9871764.4499999993</v>
      </c>
      <c r="K3016" t="s">
        <v>5909</v>
      </c>
      <c r="L3016" t="s">
        <v>9</v>
      </c>
      <c r="M3016" t="s">
        <v>5980</v>
      </c>
      <c r="N3016" t="s">
        <v>3</v>
      </c>
      <c r="O3016" t="s">
        <v>3</v>
      </c>
      <c r="P3016" t="s">
        <v>5</v>
      </c>
      <c r="Q3016" t="s">
        <v>5981</v>
      </c>
      <c r="R3016" t="s">
        <v>3</v>
      </c>
      <c r="S3016" t="s">
        <v>3</v>
      </c>
      <c r="T3016" t="s">
        <v>3</v>
      </c>
      <c r="U3016" t="s">
        <v>3</v>
      </c>
      <c r="V3016" t="s">
        <v>3</v>
      </c>
      <c r="W3016" t="s">
        <v>68</v>
      </c>
      <c r="X3016" s="17"/>
      <c r="Y3016" t="s">
        <v>3</v>
      </c>
      <c r="Z3016" s="17">
        <v>43906</v>
      </c>
      <c r="AA3016" t="s">
        <v>3</v>
      </c>
      <c r="AB3016" t="s">
        <v>5979</v>
      </c>
    </row>
    <row r="3017" spans="1:28" hidden="1">
      <c r="A3017" t="s">
        <v>5979</v>
      </c>
      <c r="B3017" s="17">
        <v>43906</v>
      </c>
      <c r="C3017" s="17">
        <v>43906</v>
      </c>
      <c r="D3017" t="s">
        <v>0</v>
      </c>
      <c r="E3017" t="s">
        <v>1</v>
      </c>
      <c r="F3017" s="18">
        <v>200392</v>
      </c>
      <c r="G3017" s="18">
        <v>200392</v>
      </c>
      <c r="H3017" t="s">
        <v>2</v>
      </c>
      <c r="I3017" t="s">
        <v>8</v>
      </c>
      <c r="J3017" s="18">
        <v>16822908.399999999</v>
      </c>
      <c r="K3017" t="s">
        <v>5910</v>
      </c>
      <c r="L3017" t="s">
        <v>9</v>
      </c>
      <c r="M3017" t="s">
        <v>5980</v>
      </c>
      <c r="N3017" t="s">
        <v>3</v>
      </c>
      <c r="O3017" t="s">
        <v>3</v>
      </c>
      <c r="P3017" t="s">
        <v>5</v>
      </c>
      <c r="Q3017" t="s">
        <v>5981</v>
      </c>
      <c r="R3017" t="s">
        <v>3</v>
      </c>
      <c r="S3017" t="s">
        <v>3</v>
      </c>
      <c r="T3017" t="s">
        <v>3</v>
      </c>
      <c r="U3017" t="s">
        <v>3</v>
      </c>
      <c r="V3017" t="s">
        <v>3</v>
      </c>
      <c r="W3017" t="s">
        <v>68</v>
      </c>
      <c r="X3017" s="17"/>
      <c r="Y3017" t="s">
        <v>3</v>
      </c>
      <c r="Z3017" s="17">
        <v>43906</v>
      </c>
      <c r="AA3017" t="s">
        <v>3</v>
      </c>
      <c r="AB3017" t="s">
        <v>5979</v>
      </c>
    </row>
    <row r="3018" spans="1:28" hidden="1">
      <c r="A3018" t="s">
        <v>5979</v>
      </c>
      <c r="B3018" s="17">
        <v>43906</v>
      </c>
      <c r="C3018" s="17">
        <v>43906</v>
      </c>
      <c r="D3018" t="s">
        <v>0</v>
      </c>
      <c r="E3018" t="s">
        <v>1</v>
      </c>
      <c r="F3018" s="18">
        <v>67632</v>
      </c>
      <c r="G3018" s="18">
        <v>67632</v>
      </c>
      <c r="H3018" t="s">
        <v>2</v>
      </c>
      <c r="I3018" t="s">
        <v>8</v>
      </c>
      <c r="J3018" s="18">
        <v>5677706.4000000004</v>
      </c>
      <c r="K3018" t="s">
        <v>5911</v>
      </c>
      <c r="L3018" t="s">
        <v>9</v>
      </c>
      <c r="M3018" t="s">
        <v>5980</v>
      </c>
      <c r="N3018" t="s">
        <v>3</v>
      </c>
      <c r="O3018" t="s">
        <v>3</v>
      </c>
      <c r="P3018" t="s">
        <v>5</v>
      </c>
      <c r="Q3018" t="s">
        <v>5981</v>
      </c>
      <c r="R3018" t="s">
        <v>3</v>
      </c>
      <c r="S3018" t="s">
        <v>3</v>
      </c>
      <c r="T3018" t="s">
        <v>3</v>
      </c>
      <c r="U3018" t="s">
        <v>3</v>
      </c>
      <c r="V3018" t="s">
        <v>3</v>
      </c>
      <c r="W3018" t="s">
        <v>68</v>
      </c>
      <c r="X3018" s="17"/>
      <c r="Y3018" t="s">
        <v>3</v>
      </c>
      <c r="Z3018" s="17">
        <v>43906</v>
      </c>
      <c r="AA3018" t="s">
        <v>3</v>
      </c>
      <c r="AB3018" t="s">
        <v>5979</v>
      </c>
    </row>
    <row r="3019" spans="1:28" hidden="1">
      <c r="A3019" t="s">
        <v>5979</v>
      </c>
      <c r="B3019" s="17">
        <v>43906</v>
      </c>
      <c r="C3019" s="17">
        <v>43906</v>
      </c>
      <c r="D3019" t="s">
        <v>0</v>
      </c>
      <c r="E3019" t="s">
        <v>1</v>
      </c>
      <c r="F3019" s="18">
        <v>9450</v>
      </c>
      <c r="G3019" s="18">
        <v>9450</v>
      </c>
      <c r="H3019" t="s">
        <v>2</v>
      </c>
      <c r="I3019" t="s">
        <v>8</v>
      </c>
      <c r="J3019" s="18">
        <v>793327.5</v>
      </c>
      <c r="K3019" t="s">
        <v>5983</v>
      </c>
      <c r="L3019" t="s">
        <v>9</v>
      </c>
      <c r="M3019" t="s">
        <v>5980</v>
      </c>
      <c r="N3019" t="s">
        <v>3</v>
      </c>
      <c r="O3019" t="s">
        <v>3</v>
      </c>
      <c r="P3019" t="s">
        <v>5</v>
      </c>
      <c r="Q3019" t="s">
        <v>5981</v>
      </c>
      <c r="R3019" t="s">
        <v>3</v>
      </c>
      <c r="S3019" t="s">
        <v>3</v>
      </c>
      <c r="T3019" t="s">
        <v>3</v>
      </c>
      <c r="U3019" t="s">
        <v>3</v>
      </c>
      <c r="V3019" t="s">
        <v>3</v>
      </c>
      <c r="W3019" t="s">
        <v>68</v>
      </c>
      <c r="X3019" s="17"/>
      <c r="Y3019" t="s">
        <v>3</v>
      </c>
      <c r="Z3019" s="17">
        <v>43906</v>
      </c>
      <c r="AA3019" t="s">
        <v>3</v>
      </c>
      <c r="AB3019" t="s">
        <v>5979</v>
      </c>
    </row>
    <row r="3020" spans="1:28" hidden="1">
      <c r="A3020" t="s">
        <v>5984</v>
      </c>
      <c r="B3020" s="17">
        <v>43906</v>
      </c>
      <c r="C3020" s="17">
        <v>43906</v>
      </c>
      <c r="D3020" t="s">
        <v>0</v>
      </c>
      <c r="E3020" t="s">
        <v>1</v>
      </c>
      <c r="F3020" s="18">
        <v>12932.8</v>
      </c>
      <c r="G3020" s="18">
        <v>12932.8</v>
      </c>
      <c r="H3020" t="s">
        <v>2</v>
      </c>
      <c r="I3020" t="s">
        <v>8</v>
      </c>
      <c r="J3020" s="18">
        <v>1085708.56</v>
      </c>
      <c r="K3020" t="s">
        <v>5855</v>
      </c>
      <c r="L3020" t="s">
        <v>4</v>
      </c>
      <c r="M3020" t="s">
        <v>5985</v>
      </c>
      <c r="N3020" t="s">
        <v>3</v>
      </c>
      <c r="O3020" t="s">
        <v>3</v>
      </c>
      <c r="P3020" t="s">
        <v>5</v>
      </c>
      <c r="Q3020" t="s">
        <v>5986</v>
      </c>
      <c r="R3020" t="s">
        <v>3</v>
      </c>
      <c r="S3020" t="s">
        <v>3</v>
      </c>
      <c r="T3020" t="s">
        <v>3</v>
      </c>
      <c r="U3020" t="s">
        <v>3</v>
      </c>
      <c r="V3020" t="s">
        <v>3</v>
      </c>
      <c r="W3020" t="s">
        <v>68</v>
      </c>
      <c r="X3020" s="17"/>
      <c r="Y3020" t="s">
        <v>3</v>
      </c>
      <c r="Z3020" s="17">
        <v>43906</v>
      </c>
      <c r="AA3020" t="s">
        <v>3</v>
      </c>
      <c r="AB3020" t="s">
        <v>5984</v>
      </c>
    </row>
    <row r="3021" spans="1:28" hidden="1">
      <c r="A3021" t="s">
        <v>5984</v>
      </c>
      <c r="B3021" s="17">
        <v>43906</v>
      </c>
      <c r="C3021" s="17">
        <v>43906</v>
      </c>
      <c r="D3021" t="s">
        <v>0</v>
      </c>
      <c r="E3021" t="s">
        <v>1</v>
      </c>
      <c r="F3021" s="18">
        <v>597.54</v>
      </c>
      <c r="G3021" s="18">
        <v>597.54</v>
      </c>
      <c r="H3021" t="s">
        <v>2</v>
      </c>
      <c r="I3021" t="s">
        <v>8</v>
      </c>
      <c r="J3021" s="18">
        <v>50163.48</v>
      </c>
      <c r="K3021" t="s">
        <v>5887</v>
      </c>
      <c r="L3021" t="s">
        <v>4</v>
      </c>
      <c r="M3021" t="s">
        <v>5985</v>
      </c>
      <c r="N3021" t="s">
        <v>3</v>
      </c>
      <c r="O3021" t="s">
        <v>3</v>
      </c>
      <c r="P3021" t="s">
        <v>5</v>
      </c>
      <c r="Q3021" t="s">
        <v>5986</v>
      </c>
      <c r="R3021" t="s">
        <v>3</v>
      </c>
      <c r="S3021" t="s">
        <v>3</v>
      </c>
      <c r="T3021" t="s">
        <v>3</v>
      </c>
      <c r="U3021" t="s">
        <v>3</v>
      </c>
      <c r="V3021" t="s">
        <v>3</v>
      </c>
      <c r="W3021" t="s">
        <v>68</v>
      </c>
      <c r="X3021" s="17"/>
      <c r="Y3021" t="s">
        <v>3</v>
      </c>
      <c r="Z3021" s="17">
        <v>43906</v>
      </c>
      <c r="AA3021" t="s">
        <v>3</v>
      </c>
      <c r="AB3021" t="s">
        <v>5984</v>
      </c>
    </row>
    <row r="3022" spans="1:28" hidden="1">
      <c r="A3022" t="s">
        <v>5984</v>
      </c>
      <c r="B3022" s="17">
        <v>43906</v>
      </c>
      <c r="C3022" s="17">
        <v>43906</v>
      </c>
      <c r="D3022" t="s">
        <v>0</v>
      </c>
      <c r="E3022" t="s">
        <v>1</v>
      </c>
      <c r="F3022" s="18">
        <v>9643.69</v>
      </c>
      <c r="G3022" s="18">
        <v>9643.69</v>
      </c>
      <c r="H3022" t="s">
        <v>2</v>
      </c>
      <c r="I3022" t="s">
        <v>8</v>
      </c>
      <c r="J3022" s="18">
        <v>809587.78</v>
      </c>
      <c r="K3022" t="s">
        <v>5858</v>
      </c>
      <c r="L3022" t="s">
        <v>4</v>
      </c>
      <c r="M3022" t="s">
        <v>5985</v>
      </c>
      <c r="N3022" t="s">
        <v>3</v>
      </c>
      <c r="O3022" t="s">
        <v>3</v>
      </c>
      <c r="P3022" t="s">
        <v>5</v>
      </c>
      <c r="Q3022" t="s">
        <v>5986</v>
      </c>
      <c r="R3022" t="s">
        <v>3</v>
      </c>
      <c r="S3022" t="s">
        <v>3</v>
      </c>
      <c r="T3022" t="s">
        <v>3</v>
      </c>
      <c r="U3022" t="s">
        <v>3</v>
      </c>
      <c r="V3022" t="s">
        <v>3</v>
      </c>
      <c r="W3022" t="s">
        <v>68</v>
      </c>
      <c r="X3022" s="17"/>
      <c r="Y3022" t="s">
        <v>3</v>
      </c>
      <c r="Z3022" s="17">
        <v>43906</v>
      </c>
      <c r="AA3022" t="s">
        <v>3</v>
      </c>
      <c r="AB3022" t="s">
        <v>5984</v>
      </c>
    </row>
    <row r="3023" spans="1:28" hidden="1">
      <c r="A3023" t="s">
        <v>5984</v>
      </c>
      <c r="B3023" s="17">
        <v>43906</v>
      </c>
      <c r="C3023" s="17">
        <v>43906</v>
      </c>
      <c r="D3023" t="s">
        <v>0</v>
      </c>
      <c r="E3023" t="s">
        <v>1</v>
      </c>
      <c r="F3023" s="18">
        <v>7897.14</v>
      </c>
      <c r="G3023" s="18">
        <v>7897.14</v>
      </c>
      <c r="H3023" t="s">
        <v>2</v>
      </c>
      <c r="I3023" t="s">
        <v>8</v>
      </c>
      <c r="J3023" s="18">
        <v>662964.9</v>
      </c>
      <c r="K3023" t="s">
        <v>5859</v>
      </c>
      <c r="L3023" t="s">
        <v>4</v>
      </c>
      <c r="M3023" t="s">
        <v>5985</v>
      </c>
      <c r="N3023" t="s">
        <v>3</v>
      </c>
      <c r="O3023" t="s">
        <v>3</v>
      </c>
      <c r="P3023" t="s">
        <v>5</v>
      </c>
      <c r="Q3023" t="s">
        <v>5986</v>
      </c>
      <c r="R3023" t="s">
        <v>3</v>
      </c>
      <c r="S3023" t="s">
        <v>3</v>
      </c>
      <c r="T3023" t="s">
        <v>3</v>
      </c>
      <c r="U3023" t="s">
        <v>3</v>
      </c>
      <c r="V3023" t="s">
        <v>3</v>
      </c>
      <c r="W3023" t="s">
        <v>68</v>
      </c>
      <c r="X3023" s="17"/>
      <c r="Y3023" t="s">
        <v>3</v>
      </c>
      <c r="Z3023" s="17">
        <v>43906</v>
      </c>
      <c r="AA3023" t="s">
        <v>3</v>
      </c>
      <c r="AB3023" t="s">
        <v>5984</v>
      </c>
    </row>
    <row r="3024" spans="1:28" hidden="1">
      <c r="A3024" t="s">
        <v>5984</v>
      </c>
      <c r="B3024" s="17">
        <v>43906</v>
      </c>
      <c r="C3024" s="17">
        <v>43906</v>
      </c>
      <c r="D3024" t="s">
        <v>0</v>
      </c>
      <c r="E3024" t="s">
        <v>1</v>
      </c>
      <c r="F3024" s="18">
        <v>65.19</v>
      </c>
      <c r="G3024" s="18">
        <v>65.19</v>
      </c>
      <c r="H3024" t="s">
        <v>2</v>
      </c>
      <c r="I3024" t="s">
        <v>8</v>
      </c>
      <c r="J3024" s="18">
        <v>5472.7</v>
      </c>
      <c r="K3024" t="s">
        <v>5935</v>
      </c>
      <c r="L3024" t="s">
        <v>4</v>
      </c>
      <c r="M3024" t="s">
        <v>5985</v>
      </c>
      <c r="N3024" t="s">
        <v>3</v>
      </c>
      <c r="O3024" t="s">
        <v>3</v>
      </c>
      <c r="P3024" t="s">
        <v>5</v>
      </c>
      <c r="Q3024" t="s">
        <v>5986</v>
      </c>
      <c r="R3024" t="s">
        <v>3</v>
      </c>
      <c r="S3024" t="s">
        <v>3</v>
      </c>
      <c r="T3024" t="s">
        <v>3</v>
      </c>
      <c r="U3024" t="s">
        <v>3</v>
      </c>
      <c r="V3024" t="s">
        <v>3</v>
      </c>
      <c r="W3024" t="s">
        <v>68</v>
      </c>
      <c r="X3024" s="17"/>
      <c r="Y3024" t="s">
        <v>3</v>
      </c>
      <c r="Z3024" s="17">
        <v>43906</v>
      </c>
      <c r="AA3024" t="s">
        <v>3</v>
      </c>
      <c r="AB3024" t="s">
        <v>5984</v>
      </c>
    </row>
    <row r="3025" spans="1:28" hidden="1">
      <c r="A3025" t="s">
        <v>5987</v>
      </c>
      <c r="B3025" s="17">
        <v>43906</v>
      </c>
      <c r="C3025" s="17">
        <v>43906</v>
      </c>
      <c r="D3025" t="s">
        <v>0</v>
      </c>
      <c r="E3025" t="s">
        <v>1</v>
      </c>
      <c r="F3025" s="18">
        <v>35300.44</v>
      </c>
      <c r="G3025" s="18">
        <v>35300.44</v>
      </c>
      <c r="H3025" t="s">
        <v>2</v>
      </c>
      <c r="I3025" t="s">
        <v>10</v>
      </c>
      <c r="J3025" s="18">
        <v>2963471.94</v>
      </c>
      <c r="K3025" t="s">
        <v>5894</v>
      </c>
      <c r="L3025" t="s">
        <v>4</v>
      </c>
      <c r="M3025" t="s">
        <v>5988</v>
      </c>
      <c r="N3025" t="s">
        <v>3</v>
      </c>
      <c r="O3025" t="s">
        <v>3</v>
      </c>
      <c r="P3025" t="s">
        <v>5</v>
      </c>
      <c r="Q3025" t="s">
        <v>5989</v>
      </c>
      <c r="R3025" t="s">
        <v>3</v>
      </c>
      <c r="S3025" t="s">
        <v>3</v>
      </c>
      <c r="T3025" t="s">
        <v>3</v>
      </c>
      <c r="U3025" t="s">
        <v>3</v>
      </c>
      <c r="V3025" t="s">
        <v>3</v>
      </c>
      <c r="W3025" t="s">
        <v>68</v>
      </c>
      <c r="X3025" s="17"/>
      <c r="Y3025" t="s">
        <v>3</v>
      </c>
      <c r="Z3025" s="17">
        <v>43906</v>
      </c>
      <c r="AA3025" t="s">
        <v>3</v>
      </c>
      <c r="AB3025" t="s">
        <v>5987</v>
      </c>
    </row>
    <row r="3026" spans="1:28" hidden="1">
      <c r="A3026" t="s">
        <v>5987</v>
      </c>
      <c r="B3026" s="17">
        <v>43906</v>
      </c>
      <c r="C3026" s="17">
        <v>43906</v>
      </c>
      <c r="D3026" t="s">
        <v>0</v>
      </c>
      <c r="E3026" t="s">
        <v>1</v>
      </c>
      <c r="F3026" s="18">
        <v>3402.43</v>
      </c>
      <c r="G3026" s="18">
        <v>3402.43</v>
      </c>
      <c r="H3026" t="s">
        <v>2</v>
      </c>
      <c r="I3026" t="s">
        <v>10</v>
      </c>
      <c r="J3026" s="18">
        <v>285634</v>
      </c>
      <c r="K3026" t="s">
        <v>5931</v>
      </c>
      <c r="L3026" t="s">
        <v>4</v>
      </c>
      <c r="M3026" t="s">
        <v>5988</v>
      </c>
      <c r="N3026" t="s">
        <v>3</v>
      </c>
      <c r="O3026" t="s">
        <v>3</v>
      </c>
      <c r="P3026" t="s">
        <v>5</v>
      </c>
      <c r="Q3026" t="s">
        <v>5989</v>
      </c>
      <c r="R3026" t="s">
        <v>3</v>
      </c>
      <c r="S3026" t="s">
        <v>3</v>
      </c>
      <c r="T3026" t="s">
        <v>3</v>
      </c>
      <c r="U3026" t="s">
        <v>3</v>
      </c>
      <c r="V3026" t="s">
        <v>3</v>
      </c>
      <c r="W3026" t="s">
        <v>68</v>
      </c>
      <c r="X3026" s="17"/>
      <c r="Y3026" t="s">
        <v>3</v>
      </c>
      <c r="Z3026" s="17">
        <v>43906</v>
      </c>
      <c r="AA3026" t="s">
        <v>3</v>
      </c>
      <c r="AB3026" t="s">
        <v>5987</v>
      </c>
    </row>
    <row r="3027" spans="1:28" hidden="1">
      <c r="A3027" t="s">
        <v>5990</v>
      </c>
      <c r="B3027" s="17">
        <v>43906</v>
      </c>
      <c r="C3027" s="17">
        <v>43906</v>
      </c>
      <c r="D3027" t="s">
        <v>0</v>
      </c>
      <c r="E3027" t="s">
        <v>1</v>
      </c>
      <c r="F3027" s="18">
        <v>27901.53</v>
      </c>
      <c r="G3027" s="18">
        <v>27901.53</v>
      </c>
      <c r="H3027" t="s">
        <v>2</v>
      </c>
      <c r="I3027" t="s">
        <v>10</v>
      </c>
      <c r="J3027" s="18">
        <v>2342333.4399999999</v>
      </c>
      <c r="K3027" t="s">
        <v>5894</v>
      </c>
      <c r="L3027" t="s">
        <v>4</v>
      </c>
      <c r="M3027" t="s">
        <v>5991</v>
      </c>
      <c r="N3027" t="s">
        <v>3</v>
      </c>
      <c r="O3027" t="s">
        <v>3</v>
      </c>
      <c r="P3027" t="s">
        <v>5</v>
      </c>
      <c r="Q3027" t="s">
        <v>5992</v>
      </c>
      <c r="R3027" t="s">
        <v>3</v>
      </c>
      <c r="S3027" t="s">
        <v>3</v>
      </c>
      <c r="T3027" t="s">
        <v>3</v>
      </c>
      <c r="U3027" t="s">
        <v>3</v>
      </c>
      <c r="V3027" t="s">
        <v>3</v>
      </c>
      <c r="W3027" t="s">
        <v>68</v>
      </c>
      <c r="X3027" s="17"/>
      <c r="Y3027" t="s">
        <v>3</v>
      </c>
      <c r="Z3027" s="17">
        <v>43906</v>
      </c>
      <c r="AA3027" t="s">
        <v>3</v>
      </c>
      <c r="AB3027" t="s">
        <v>5990</v>
      </c>
    </row>
    <row r="3028" spans="1:28" hidden="1">
      <c r="A3028" t="s">
        <v>5990</v>
      </c>
      <c r="B3028" s="17">
        <v>43906</v>
      </c>
      <c r="C3028" s="17">
        <v>43906</v>
      </c>
      <c r="D3028" t="s">
        <v>0</v>
      </c>
      <c r="E3028" t="s">
        <v>1</v>
      </c>
      <c r="F3028" s="18">
        <v>1180.79</v>
      </c>
      <c r="G3028" s="18">
        <v>1180.79</v>
      </c>
      <c r="H3028" t="s">
        <v>2</v>
      </c>
      <c r="I3028" t="s">
        <v>10</v>
      </c>
      <c r="J3028" s="18">
        <v>99127.32</v>
      </c>
      <c r="K3028" t="s">
        <v>5930</v>
      </c>
      <c r="L3028" t="s">
        <v>4</v>
      </c>
      <c r="M3028" t="s">
        <v>5991</v>
      </c>
      <c r="N3028" t="s">
        <v>3</v>
      </c>
      <c r="O3028" t="s">
        <v>3</v>
      </c>
      <c r="P3028" t="s">
        <v>5</v>
      </c>
      <c r="Q3028" t="s">
        <v>5992</v>
      </c>
      <c r="R3028" t="s">
        <v>3</v>
      </c>
      <c r="S3028" t="s">
        <v>3</v>
      </c>
      <c r="T3028" t="s">
        <v>3</v>
      </c>
      <c r="U3028" t="s">
        <v>3</v>
      </c>
      <c r="V3028" t="s">
        <v>3</v>
      </c>
      <c r="W3028" t="s">
        <v>68</v>
      </c>
      <c r="X3028" s="17"/>
      <c r="Y3028" t="s">
        <v>3</v>
      </c>
      <c r="Z3028" s="17">
        <v>43906</v>
      </c>
      <c r="AA3028" t="s">
        <v>3</v>
      </c>
      <c r="AB3028" t="s">
        <v>5990</v>
      </c>
    </row>
    <row r="3029" spans="1:28" hidden="1">
      <c r="A3029" t="s">
        <v>5990</v>
      </c>
      <c r="B3029" s="17">
        <v>43906</v>
      </c>
      <c r="C3029" s="17">
        <v>43906</v>
      </c>
      <c r="D3029" t="s">
        <v>0</v>
      </c>
      <c r="E3029" t="s">
        <v>1</v>
      </c>
      <c r="F3029" s="18">
        <v>6122.59</v>
      </c>
      <c r="G3029" s="18">
        <v>6122.59</v>
      </c>
      <c r="H3029" t="s">
        <v>2</v>
      </c>
      <c r="I3029" t="s">
        <v>10</v>
      </c>
      <c r="J3029" s="18">
        <v>513991.43</v>
      </c>
      <c r="K3029" t="s">
        <v>5931</v>
      </c>
      <c r="L3029" t="s">
        <v>4</v>
      </c>
      <c r="M3029" t="s">
        <v>5991</v>
      </c>
      <c r="N3029" t="s">
        <v>3</v>
      </c>
      <c r="O3029" t="s">
        <v>3</v>
      </c>
      <c r="P3029" t="s">
        <v>5</v>
      </c>
      <c r="Q3029" t="s">
        <v>5992</v>
      </c>
      <c r="R3029" t="s">
        <v>3</v>
      </c>
      <c r="S3029" t="s">
        <v>3</v>
      </c>
      <c r="T3029" t="s">
        <v>3</v>
      </c>
      <c r="U3029" t="s">
        <v>3</v>
      </c>
      <c r="V3029" t="s">
        <v>3</v>
      </c>
      <c r="W3029" t="s">
        <v>68</v>
      </c>
      <c r="X3029" s="17"/>
      <c r="Y3029" t="s">
        <v>3</v>
      </c>
      <c r="Z3029" s="17">
        <v>43906</v>
      </c>
      <c r="AA3029" t="s">
        <v>3</v>
      </c>
      <c r="AB3029" t="s">
        <v>5990</v>
      </c>
    </row>
    <row r="3030" spans="1:28" hidden="1">
      <c r="A3030" t="s">
        <v>5993</v>
      </c>
      <c r="B3030" s="17">
        <v>43906</v>
      </c>
      <c r="C3030" s="17">
        <v>43906</v>
      </c>
      <c r="D3030" t="s">
        <v>0</v>
      </c>
      <c r="E3030" t="s">
        <v>1</v>
      </c>
      <c r="F3030" s="18">
        <v>-173386</v>
      </c>
      <c r="G3030" s="18">
        <v>-173386</v>
      </c>
      <c r="H3030" t="s">
        <v>2</v>
      </c>
      <c r="I3030" t="s">
        <v>8</v>
      </c>
      <c r="J3030" s="18">
        <v>-14555754.699999999</v>
      </c>
      <c r="K3030" t="s">
        <v>5994</v>
      </c>
      <c r="L3030" t="s">
        <v>9</v>
      </c>
      <c r="M3030" t="s">
        <v>5995</v>
      </c>
      <c r="N3030" t="s">
        <v>3</v>
      </c>
      <c r="O3030" t="s">
        <v>3</v>
      </c>
      <c r="P3030" t="s">
        <v>5</v>
      </c>
      <c r="Q3030" t="s">
        <v>5996</v>
      </c>
      <c r="R3030" t="s">
        <v>3</v>
      </c>
      <c r="S3030" t="s">
        <v>3</v>
      </c>
      <c r="T3030" t="s">
        <v>3</v>
      </c>
      <c r="U3030" t="s">
        <v>3</v>
      </c>
      <c r="V3030" t="s">
        <v>3</v>
      </c>
      <c r="W3030" t="s">
        <v>68</v>
      </c>
      <c r="X3030" s="17"/>
      <c r="Y3030" t="s">
        <v>3</v>
      </c>
      <c r="Z3030" s="17">
        <v>43906</v>
      </c>
      <c r="AA3030" t="s">
        <v>3</v>
      </c>
      <c r="AB3030" t="s">
        <v>5993</v>
      </c>
    </row>
    <row r="3031" spans="1:28" hidden="1">
      <c r="A3031" t="s">
        <v>5997</v>
      </c>
      <c r="B3031" s="17">
        <v>43909</v>
      </c>
      <c r="C3031" s="17">
        <v>43909</v>
      </c>
      <c r="D3031" t="s">
        <v>0</v>
      </c>
      <c r="E3031" t="s">
        <v>1</v>
      </c>
      <c r="F3031" s="18">
        <v>-148149.57999999999</v>
      </c>
      <c r="G3031" s="18">
        <v>-148149.57999999999</v>
      </c>
      <c r="H3031" t="s">
        <v>2</v>
      </c>
      <c r="I3031" t="s">
        <v>10</v>
      </c>
      <c r="J3031" s="18">
        <v>-12437157.25</v>
      </c>
      <c r="K3031" t="s">
        <v>5998</v>
      </c>
      <c r="L3031" t="s">
        <v>4</v>
      </c>
      <c r="M3031" t="s">
        <v>5999</v>
      </c>
      <c r="N3031" t="s">
        <v>3</v>
      </c>
      <c r="O3031" t="s">
        <v>3</v>
      </c>
      <c r="P3031" t="s">
        <v>5</v>
      </c>
      <c r="Q3031" t="s">
        <v>6000</v>
      </c>
      <c r="R3031" t="s">
        <v>3</v>
      </c>
      <c r="S3031" t="s">
        <v>3</v>
      </c>
      <c r="T3031" t="s">
        <v>3</v>
      </c>
      <c r="U3031" t="s">
        <v>3</v>
      </c>
      <c r="V3031" t="s">
        <v>3</v>
      </c>
      <c r="W3031" t="s">
        <v>68</v>
      </c>
      <c r="X3031" s="17"/>
      <c r="Y3031" t="s">
        <v>3</v>
      </c>
      <c r="Z3031" s="17">
        <v>43909</v>
      </c>
      <c r="AA3031" t="s">
        <v>3</v>
      </c>
      <c r="AB3031" t="s">
        <v>5997</v>
      </c>
    </row>
    <row r="3032" spans="1:28" hidden="1">
      <c r="A3032" t="s">
        <v>6001</v>
      </c>
      <c r="B3032" s="17">
        <v>43909</v>
      </c>
      <c r="C3032" s="17">
        <v>43909</v>
      </c>
      <c r="D3032" t="s">
        <v>0</v>
      </c>
      <c r="E3032" t="s">
        <v>1</v>
      </c>
      <c r="F3032" s="18">
        <v>-78404.429999999993</v>
      </c>
      <c r="G3032" s="18">
        <v>-78404.429999999993</v>
      </c>
      <c r="H3032" t="s">
        <v>2</v>
      </c>
      <c r="I3032" t="s">
        <v>8</v>
      </c>
      <c r="J3032" s="18">
        <v>-6582051.9000000004</v>
      </c>
      <c r="K3032" t="s">
        <v>6002</v>
      </c>
      <c r="L3032" t="s">
        <v>4</v>
      </c>
      <c r="M3032" t="s">
        <v>6003</v>
      </c>
      <c r="N3032" t="s">
        <v>3</v>
      </c>
      <c r="O3032" t="s">
        <v>3</v>
      </c>
      <c r="P3032" t="s">
        <v>5</v>
      </c>
      <c r="Q3032" t="s">
        <v>6004</v>
      </c>
      <c r="R3032" t="s">
        <v>3</v>
      </c>
      <c r="S3032" t="s">
        <v>3</v>
      </c>
      <c r="T3032" t="s">
        <v>3</v>
      </c>
      <c r="U3032" t="s">
        <v>3</v>
      </c>
      <c r="V3032" t="s">
        <v>3</v>
      </c>
      <c r="W3032" t="s">
        <v>68</v>
      </c>
      <c r="X3032" s="17"/>
      <c r="Y3032" t="s">
        <v>3</v>
      </c>
      <c r="Z3032" s="17">
        <v>43909</v>
      </c>
      <c r="AA3032" t="s">
        <v>3</v>
      </c>
      <c r="AB3032" t="s">
        <v>6001</v>
      </c>
    </row>
    <row r="3033" spans="1:28" hidden="1">
      <c r="A3033" t="s">
        <v>6005</v>
      </c>
      <c r="B3033" s="17">
        <v>43909</v>
      </c>
      <c r="C3033" s="17">
        <v>43909</v>
      </c>
      <c r="D3033" t="s">
        <v>0</v>
      </c>
      <c r="E3033" t="s">
        <v>1</v>
      </c>
      <c r="F3033" s="18">
        <v>28292</v>
      </c>
      <c r="G3033" s="18">
        <v>28292</v>
      </c>
      <c r="H3033" t="s">
        <v>2</v>
      </c>
      <c r="I3033" t="s">
        <v>8</v>
      </c>
      <c r="J3033" s="18">
        <v>2375113.4</v>
      </c>
      <c r="K3033" t="s">
        <v>5905</v>
      </c>
      <c r="L3033" t="s">
        <v>9</v>
      </c>
      <c r="M3033" t="s">
        <v>6006</v>
      </c>
      <c r="N3033" t="s">
        <v>3</v>
      </c>
      <c r="O3033" t="s">
        <v>3</v>
      </c>
      <c r="P3033" t="s">
        <v>5</v>
      </c>
      <c r="Q3033" t="s">
        <v>6007</v>
      </c>
      <c r="R3033" t="s">
        <v>3</v>
      </c>
      <c r="S3033" t="s">
        <v>3</v>
      </c>
      <c r="T3033" t="s">
        <v>3</v>
      </c>
      <c r="U3033" t="s">
        <v>3</v>
      </c>
      <c r="V3033" t="s">
        <v>3</v>
      </c>
      <c r="W3033" t="s">
        <v>68</v>
      </c>
      <c r="X3033" s="17"/>
      <c r="Y3033" t="s">
        <v>3</v>
      </c>
      <c r="Z3033" s="17">
        <v>43909</v>
      </c>
      <c r="AA3033" t="s">
        <v>3</v>
      </c>
      <c r="AB3033" t="s">
        <v>6005</v>
      </c>
    </row>
    <row r="3034" spans="1:28" hidden="1">
      <c r="A3034" t="s">
        <v>6005</v>
      </c>
      <c r="B3034" s="17">
        <v>43909</v>
      </c>
      <c r="C3034" s="17">
        <v>43909</v>
      </c>
      <c r="D3034" t="s">
        <v>0</v>
      </c>
      <c r="E3034" t="s">
        <v>1</v>
      </c>
      <c r="F3034" s="18">
        <v>18994</v>
      </c>
      <c r="G3034" s="18">
        <v>18994</v>
      </c>
      <c r="H3034" t="s">
        <v>2</v>
      </c>
      <c r="I3034" t="s">
        <v>8</v>
      </c>
      <c r="J3034" s="18">
        <v>1594546.3</v>
      </c>
      <c r="K3034" t="s">
        <v>5909</v>
      </c>
      <c r="L3034" t="s">
        <v>9</v>
      </c>
      <c r="M3034" t="s">
        <v>6006</v>
      </c>
      <c r="N3034" t="s">
        <v>3</v>
      </c>
      <c r="O3034" t="s">
        <v>3</v>
      </c>
      <c r="P3034" t="s">
        <v>5</v>
      </c>
      <c r="Q3034" t="s">
        <v>6007</v>
      </c>
      <c r="R3034" t="s">
        <v>3</v>
      </c>
      <c r="S3034" t="s">
        <v>3</v>
      </c>
      <c r="T3034" t="s">
        <v>3</v>
      </c>
      <c r="U3034" t="s">
        <v>3</v>
      </c>
      <c r="V3034" t="s">
        <v>3</v>
      </c>
      <c r="W3034" t="s">
        <v>68</v>
      </c>
      <c r="X3034" s="17"/>
      <c r="Y3034" t="s">
        <v>3</v>
      </c>
      <c r="Z3034" s="17">
        <v>43909</v>
      </c>
      <c r="AA3034" t="s">
        <v>3</v>
      </c>
      <c r="AB3034" t="s">
        <v>6005</v>
      </c>
    </row>
    <row r="3035" spans="1:28" hidden="1">
      <c r="A3035" t="s">
        <v>6005</v>
      </c>
      <c r="B3035" s="17">
        <v>43909</v>
      </c>
      <c r="C3035" s="17">
        <v>43909</v>
      </c>
      <c r="D3035" t="s">
        <v>0</v>
      </c>
      <c r="E3035" t="s">
        <v>1</v>
      </c>
      <c r="F3035" s="18">
        <v>10328</v>
      </c>
      <c r="G3035" s="18">
        <v>10328</v>
      </c>
      <c r="H3035" t="s">
        <v>2</v>
      </c>
      <c r="I3035" t="s">
        <v>8</v>
      </c>
      <c r="J3035" s="18">
        <v>867035.6</v>
      </c>
      <c r="K3035" t="s">
        <v>5910</v>
      </c>
      <c r="L3035" t="s">
        <v>9</v>
      </c>
      <c r="M3035" t="s">
        <v>6006</v>
      </c>
      <c r="N3035" t="s">
        <v>3</v>
      </c>
      <c r="O3035" t="s">
        <v>3</v>
      </c>
      <c r="P3035" t="s">
        <v>5</v>
      </c>
      <c r="Q3035" t="s">
        <v>6007</v>
      </c>
      <c r="R3035" t="s">
        <v>3</v>
      </c>
      <c r="S3035" t="s">
        <v>3</v>
      </c>
      <c r="T3035" t="s">
        <v>3</v>
      </c>
      <c r="U3035" t="s">
        <v>3</v>
      </c>
      <c r="V3035" t="s">
        <v>3</v>
      </c>
      <c r="W3035" t="s">
        <v>68</v>
      </c>
      <c r="X3035" s="17"/>
      <c r="Y3035" t="s">
        <v>3</v>
      </c>
      <c r="Z3035" s="17">
        <v>43909</v>
      </c>
      <c r="AA3035" t="s">
        <v>3</v>
      </c>
      <c r="AB3035" t="s">
        <v>6005</v>
      </c>
    </row>
    <row r="3036" spans="1:28" hidden="1">
      <c r="A3036" t="s">
        <v>6005</v>
      </c>
      <c r="B3036" s="17">
        <v>43909</v>
      </c>
      <c r="C3036" s="17">
        <v>43909</v>
      </c>
      <c r="D3036" t="s">
        <v>0</v>
      </c>
      <c r="E3036" t="s">
        <v>1</v>
      </c>
      <c r="F3036" s="18">
        <v>2354</v>
      </c>
      <c r="G3036" s="18">
        <v>2354</v>
      </c>
      <c r="H3036" t="s">
        <v>2</v>
      </c>
      <c r="I3036" t="s">
        <v>8</v>
      </c>
      <c r="J3036" s="18">
        <v>197618.3</v>
      </c>
      <c r="K3036" t="s">
        <v>5911</v>
      </c>
      <c r="L3036" t="s">
        <v>9</v>
      </c>
      <c r="M3036" t="s">
        <v>6006</v>
      </c>
      <c r="N3036" t="s">
        <v>3</v>
      </c>
      <c r="O3036" t="s">
        <v>3</v>
      </c>
      <c r="P3036" t="s">
        <v>5</v>
      </c>
      <c r="Q3036" t="s">
        <v>6007</v>
      </c>
      <c r="R3036" t="s">
        <v>3</v>
      </c>
      <c r="S3036" t="s">
        <v>3</v>
      </c>
      <c r="T3036" t="s">
        <v>3</v>
      </c>
      <c r="U3036" t="s">
        <v>3</v>
      </c>
      <c r="V3036" t="s">
        <v>3</v>
      </c>
      <c r="W3036" t="s">
        <v>68</v>
      </c>
      <c r="X3036" s="17"/>
      <c r="Y3036" t="s">
        <v>3</v>
      </c>
      <c r="Z3036" s="17">
        <v>43909</v>
      </c>
      <c r="AA3036" t="s">
        <v>3</v>
      </c>
      <c r="AB3036" t="s">
        <v>6005</v>
      </c>
    </row>
    <row r="3037" spans="1:28" hidden="1">
      <c r="A3037" t="s">
        <v>6005</v>
      </c>
      <c r="B3037" s="17">
        <v>43909</v>
      </c>
      <c r="C3037" s="17">
        <v>43909</v>
      </c>
      <c r="D3037" t="s">
        <v>0</v>
      </c>
      <c r="E3037" t="s">
        <v>1</v>
      </c>
      <c r="F3037" s="18">
        <v>45</v>
      </c>
      <c r="G3037" s="18">
        <v>45</v>
      </c>
      <c r="H3037" t="s">
        <v>2</v>
      </c>
      <c r="I3037" t="s">
        <v>8</v>
      </c>
      <c r="J3037" s="18">
        <v>3777.75</v>
      </c>
      <c r="K3037" t="s">
        <v>5913</v>
      </c>
      <c r="L3037" t="s">
        <v>9</v>
      </c>
      <c r="M3037" t="s">
        <v>6006</v>
      </c>
      <c r="N3037" t="s">
        <v>3</v>
      </c>
      <c r="O3037" t="s">
        <v>3</v>
      </c>
      <c r="P3037" t="s">
        <v>5</v>
      </c>
      <c r="Q3037" t="s">
        <v>6007</v>
      </c>
      <c r="R3037" t="s">
        <v>3</v>
      </c>
      <c r="S3037" t="s">
        <v>3</v>
      </c>
      <c r="T3037" t="s">
        <v>3</v>
      </c>
      <c r="U3037" t="s">
        <v>3</v>
      </c>
      <c r="V3037" t="s">
        <v>3</v>
      </c>
      <c r="W3037" t="s">
        <v>68</v>
      </c>
      <c r="X3037" s="17"/>
      <c r="Y3037" t="s">
        <v>3</v>
      </c>
      <c r="Z3037" s="17">
        <v>43909</v>
      </c>
      <c r="AA3037" t="s">
        <v>3</v>
      </c>
      <c r="AB3037" t="s">
        <v>6005</v>
      </c>
    </row>
    <row r="3038" spans="1:28" hidden="1">
      <c r="A3038" t="s">
        <v>6008</v>
      </c>
      <c r="B3038" s="17">
        <v>43909</v>
      </c>
      <c r="C3038" s="17">
        <v>43909</v>
      </c>
      <c r="D3038" t="s">
        <v>0</v>
      </c>
      <c r="E3038" t="s">
        <v>1</v>
      </c>
      <c r="F3038" s="18">
        <v>639</v>
      </c>
      <c r="G3038" s="18">
        <v>639</v>
      </c>
      <c r="H3038" t="s">
        <v>2</v>
      </c>
      <c r="I3038" t="s">
        <v>8</v>
      </c>
      <c r="J3038" s="18">
        <v>53644.05</v>
      </c>
      <c r="K3038" t="s">
        <v>5909</v>
      </c>
      <c r="L3038" t="s">
        <v>9</v>
      </c>
      <c r="M3038" t="s">
        <v>6009</v>
      </c>
      <c r="N3038" t="s">
        <v>3</v>
      </c>
      <c r="O3038" t="s">
        <v>3</v>
      </c>
      <c r="P3038" t="s">
        <v>5</v>
      </c>
      <c r="Q3038" t="s">
        <v>6010</v>
      </c>
      <c r="R3038" t="s">
        <v>3</v>
      </c>
      <c r="S3038" t="s">
        <v>3</v>
      </c>
      <c r="T3038" t="s">
        <v>3</v>
      </c>
      <c r="U3038" t="s">
        <v>3</v>
      </c>
      <c r="V3038" t="s">
        <v>3</v>
      </c>
      <c r="W3038" t="s">
        <v>68</v>
      </c>
      <c r="X3038" s="17"/>
      <c r="Y3038" t="s">
        <v>3</v>
      </c>
      <c r="Z3038" s="17">
        <v>43909</v>
      </c>
      <c r="AA3038" t="s">
        <v>3</v>
      </c>
      <c r="AB3038" t="s">
        <v>6008</v>
      </c>
    </row>
    <row r="3039" spans="1:28" hidden="1">
      <c r="A3039" t="s">
        <v>6011</v>
      </c>
      <c r="B3039" s="17">
        <v>43909</v>
      </c>
      <c r="C3039" s="17">
        <v>43909</v>
      </c>
      <c r="D3039" t="s">
        <v>0</v>
      </c>
      <c r="E3039" t="s">
        <v>1</v>
      </c>
      <c r="F3039" s="18">
        <v>5712</v>
      </c>
      <c r="G3039" s="18">
        <v>5712</v>
      </c>
      <c r="H3039" t="s">
        <v>2</v>
      </c>
      <c r="I3039" t="s">
        <v>8</v>
      </c>
      <c r="J3039" s="18">
        <v>476952</v>
      </c>
      <c r="K3039" t="s">
        <v>5901</v>
      </c>
      <c r="L3039" t="s">
        <v>9</v>
      </c>
      <c r="M3039" t="s">
        <v>6012</v>
      </c>
      <c r="N3039" t="s">
        <v>3</v>
      </c>
      <c r="O3039" t="s">
        <v>3</v>
      </c>
      <c r="P3039" t="s">
        <v>5</v>
      </c>
      <c r="Q3039" t="s">
        <v>6013</v>
      </c>
      <c r="R3039" t="s">
        <v>3</v>
      </c>
      <c r="S3039" t="s">
        <v>3</v>
      </c>
      <c r="T3039" t="s">
        <v>3</v>
      </c>
      <c r="U3039" t="s">
        <v>3</v>
      </c>
      <c r="V3039" t="s">
        <v>3</v>
      </c>
      <c r="W3039" t="s">
        <v>68</v>
      </c>
      <c r="X3039" s="17"/>
      <c r="Y3039" t="s">
        <v>3</v>
      </c>
      <c r="Z3039" s="17">
        <v>43909</v>
      </c>
      <c r="AA3039" t="s">
        <v>3</v>
      </c>
      <c r="AB3039" t="s">
        <v>6011</v>
      </c>
    </row>
    <row r="3040" spans="1:28" hidden="1">
      <c r="A3040" t="s">
        <v>6011</v>
      </c>
      <c r="B3040" s="17">
        <v>43909</v>
      </c>
      <c r="C3040" s="17">
        <v>43909</v>
      </c>
      <c r="D3040" t="s">
        <v>0</v>
      </c>
      <c r="E3040" t="s">
        <v>1</v>
      </c>
      <c r="F3040" s="18">
        <v>7162</v>
      </c>
      <c r="G3040" s="18">
        <v>7162</v>
      </c>
      <c r="H3040" t="s">
        <v>2</v>
      </c>
      <c r="I3040" t="s">
        <v>8</v>
      </c>
      <c r="J3040" s="18">
        <v>598027</v>
      </c>
      <c r="K3040" t="s">
        <v>5907</v>
      </c>
      <c r="L3040" t="s">
        <v>9</v>
      </c>
      <c r="M3040" t="s">
        <v>6012</v>
      </c>
      <c r="N3040" t="s">
        <v>3</v>
      </c>
      <c r="O3040" t="s">
        <v>3</v>
      </c>
      <c r="P3040" t="s">
        <v>5</v>
      </c>
      <c r="Q3040" t="s">
        <v>6013</v>
      </c>
      <c r="R3040" t="s">
        <v>3</v>
      </c>
      <c r="S3040" t="s">
        <v>3</v>
      </c>
      <c r="T3040" t="s">
        <v>3</v>
      </c>
      <c r="U3040" t="s">
        <v>3</v>
      </c>
      <c r="V3040" t="s">
        <v>3</v>
      </c>
      <c r="W3040" t="s">
        <v>68</v>
      </c>
      <c r="X3040" s="17"/>
      <c r="Y3040" t="s">
        <v>3</v>
      </c>
      <c r="Z3040" s="17">
        <v>43909</v>
      </c>
      <c r="AA3040" t="s">
        <v>3</v>
      </c>
      <c r="AB3040" t="s">
        <v>6011</v>
      </c>
    </row>
    <row r="3041" spans="1:28" hidden="1">
      <c r="A3041" t="s">
        <v>6011</v>
      </c>
      <c r="B3041" s="17">
        <v>43909</v>
      </c>
      <c r="C3041" s="17">
        <v>43909</v>
      </c>
      <c r="D3041" t="s">
        <v>0</v>
      </c>
      <c r="E3041" t="s">
        <v>1</v>
      </c>
      <c r="F3041" s="18">
        <v>7540</v>
      </c>
      <c r="G3041" s="18">
        <v>7540</v>
      </c>
      <c r="H3041" t="s">
        <v>2</v>
      </c>
      <c r="I3041" t="s">
        <v>8</v>
      </c>
      <c r="J3041" s="18">
        <v>632983</v>
      </c>
      <c r="K3041" t="s">
        <v>5909</v>
      </c>
      <c r="L3041" t="s">
        <v>9</v>
      </c>
      <c r="M3041" t="s">
        <v>6012</v>
      </c>
      <c r="N3041" t="s">
        <v>3</v>
      </c>
      <c r="O3041" t="s">
        <v>3</v>
      </c>
      <c r="P3041" t="s">
        <v>5</v>
      </c>
      <c r="Q3041" t="s">
        <v>6013</v>
      </c>
      <c r="R3041" t="s">
        <v>3</v>
      </c>
      <c r="S3041" t="s">
        <v>3</v>
      </c>
      <c r="T3041" t="s">
        <v>3</v>
      </c>
      <c r="U3041" t="s">
        <v>3</v>
      </c>
      <c r="V3041" t="s">
        <v>3</v>
      </c>
      <c r="W3041" t="s">
        <v>68</v>
      </c>
      <c r="X3041" s="17"/>
      <c r="Y3041" t="s">
        <v>3</v>
      </c>
      <c r="Z3041" s="17">
        <v>43909</v>
      </c>
      <c r="AA3041" t="s">
        <v>3</v>
      </c>
      <c r="AB3041" t="s">
        <v>6011</v>
      </c>
    </row>
    <row r="3042" spans="1:28" hidden="1">
      <c r="A3042" t="s">
        <v>6014</v>
      </c>
      <c r="B3042" s="17">
        <v>43909</v>
      </c>
      <c r="C3042" s="17">
        <v>43909</v>
      </c>
      <c r="D3042" t="s">
        <v>0</v>
      </c>
      <c r="E3042" t="s">
        <v>1</v>
      </c>
      <c r="F3042" s="18">
        <v>1348</v>
      </c>
      <c r="G3042" s="18">
        <v>1348</v>
      </c>
      <c r="H3042" t="s">
        <v>2</v>
      </c>
      <c r="I3042" t="s">
        <v>8</v>
      </c>
      <c r="J3042" s="18">
        <v>113164.6</v>
      </c>
      <c r="K3042" t="s">
        <v>5909</v>
      </c>
      <c r="L3042" t="s">
        <v>9</v>
      </c>
      <c r="M3042" t="s">
        <v>6015</v>
      </c>
      <c r="N3042" t="s">
        <v>3</v>
      </c>
      <c r="O3042" t="s">
        <v>3</v>
      </c>
      <c r="P3042" t="s">
        <v>5</v>
      </c>
      <c r="Q3042" t="s">
        <v>6016</v>
      </c>
      <c r="R3042" t="s">
        <v>3</v>
      </c>
      <c r="S3042" t="s">
        <v>3</v>
      </c>
      <c r="T3042" t="s">
        <v>3</v>
      </c>
      <c r="U3042" t="s">
        <v>3</v>
      </c>
      <c r="V3042" t="s">
        <v>3</v>
      </c>
      <c r="W3042" t="s">
        <v>68</v>
      </c>
      <c r="X3042" s="17"/>
      <c r="Y3042" t="s">
        <v>3</v>
      </c>
      <c r="Z3042" s="17">
        <v>43909</v>
      </c>
      <c r="AA3042" t="s">
        <v>3</v>
      </c>
      <c r="AB3042" t="s">
        <v>6014</v>
      </c>
    </row>
    <row r="3043" spans="1:28" hidden="1">
      <c r="A3043" t="s">
        <v>6017</v>
      </c>
      <c r="B3043" s="17">
        <v>43913</v>
      </c>
      <c r="C3043" s="17">
        <v>43913</v>
      </c>
      <c r="D3043" t="s">
        <v>0</v>
      </c>
      <c r="E3043" t="s">
        <v>1</v>
      </c>
      <c r="F3043" s="18">
        <v>31006.560000000001</v>
      </c>
      <c r="G3043" s="18">
        <v>31006.560000000001</v>
      </c>
      <c r="H3043" t="s">
        <v>2</v>
      </c>
      <c r="I3043" t="s">
        <v>10</v>
      </c>
      <c r="J3043" s="18">
        <v>2603000.71</v>
      </c>
      <c r="K3043" t="s">
        <v>5894</v>
      </c>
      <c r="L3043" t="s">
        <v>4</v>
      </c>
      <c r="M3043" t="s">
        <v>6018</v>
      </c>
      <c r="N3043" t="s">
        <v>3</v>
      </c>
      <c r="O3043" t="s">
        <v>3</v>
      </c>
      <c r="P3043" t="s">
        <v>5</v>
      </c>
      <c r="Q3043" t="s">
        <v>6019</v>
      </c>
      <c r="R3043" t="s">
        <v>3</v>
      </c>
      <c r="S3043" t="s">
        <v>3</v>
      </c>
      <c r="T3043" t="s">
        <v>3</v>
      </c>
      <c r="U3043" t="s">
        <v>3</v>
      </c>
      <c r="V3043" t="s">
        <v>3</v>
      </c>
      <c r="W3043" t="s">
        <v>68</v>
      </c>
      <c r="X3043" s="17"/>
      <c r="Y3043" t="s">
        <v>3</v>
      </c>
      <c r="Z3043" s="17">
        <v>43913</v>
      </c>
      <c r="AA3043" t="s">
        <v>3</v>
      </c>
      <c r="AB3043" t="s">
        <v>6017</v>
      </c>
    </row>
    <row r="3044" spans="1:28" hidden="1">
      <c r="A3044" t="s">
        <v>6017</v>
      </c>
      <c r="B3044" s="17">
        <v>43913</v>
      </c>
      <c r="C3044" s="17">
        <v>43913</v>
      </c>
      <c r="D3044" t="s">
        <v>0</v>
      </c>
      <c r="E3044" t="s">
        <v>1</v>
      </c>
      <c r="F3044" s="18">
        <v>11545.43</v>
      </c>
      <c r="G3044" s="18">
        <v>11545.43</v>
      </c>
      <c r="H3044" t="s">
        <v>2</v>
      </c>
      <c r="I3044" t="s">
        <v>10</v>
      </c>
      <c r="J3044" s="18">
        <v>969238.85</v>
      </c>
      <c r="K3044" t="s">
        <v>5931</v>
      </c>
      <c r="L3044" t="s">
        <v>4</v>
      </c>
      <c r="M3044" t="s">
        <v>6018</v>
      </c>
      <c r="N3044" t="s">
        <v>3</v>
      </c>
      <c r="O3044" t="s">
        <v>3</v>
      </c>
      <c r="P3044" t="s">
        <v>5</v>
      </c>
      <c r="Q3044" t="s">
        <v>6019</v>
      </c>
      <c r="R3044" t="s">
        <v>3</v>
      </c>
      <c r="S3044" t="s">
        <v>3</v>
      </c>
      <c r="T3044" t="s">
        <v>3</v>
      </c>
      <c r="U3044" t="s">
        <v>3</v>
      </c>
      <c r="V3044" t="s">
        <v>3</v>
      </c>
      <c r="W3044" t="s">
        <v>68</v>
      </c>
      <c r="X3044" s="17"/>
      <c r="Y3044" t="s">
        <v>3</v>
      </c>
      <c r="Z3044" s="17">
        <v>43913</v>
      </c>
      <c r="AA3044" t="s">
        <v>3</v>
      </c>
      <c r="AB3044" t="s">
        <v>6017</v>
      </c>
    </row>
    <row r="3045" spans="1:28" hidden="1">
      <c r="A3045" t="s">
        <v>6020</v>
      </c>
      <c r="B3045" s="17">
        <v>43913</v>
      </c>
      <c r="C3045" s="17">
        <v>43913</v>
      </c>
      <c r="D3045" t="s">
        <v>0</v>
      </c>
      <c r="E3045" t="s">
        <v>1</v>
      </c>
      <c r="F3045" s="18">
        <v>13836.79</v>
      </c>
      <c r="G3045" s="18">
        <v>13836.79</v>
      </c>
      <c r="H3045" t="s">
        <v>2</v>
      </c>
      <c r="I3045" t="s">
        <v>10</v>
      </c>
      <c r="J3045" s="18">
        <v>1161598.52</v>
      </c>
      <c r="K3045" t="s">
        <v>5894</v>
      </c>
      <c r="L3045" t="s">
        <v>4</v>
      </c>
      <c r="M3045" t="s">
        <v>6021</v>
      </c>
      <c r="N3045" t="s">
        <v>3</v>
      </c>
      <c r="O3045" t="s">
        <v>3</v>
      </c>
      <c r="P3045" t="s">
        <v>5</v>
      </c>
      <c r="Q3045" t="s">
        <v>6022</v>
      </c>
      <c r="R3045" t="s">
        <v>3</v>
      </c>
      <c r="S3045" t="s">
        <v>3</v>
      </c>
      <c r="T3045" t="s">
        <v>3</v>
      </c>
      <c r="U3045" t="s">
        <v>3</v>
      </c>
      <c r="V3045" t="s">
        <v>3</v>
      </c>
      <c r="W3045" t="s">
        <v>68</v>
      </c>
      <c r="X3045" s="17"/>
      <c r="Y3045" t="s">
        <v>3</v>
      </c>
      <c r="Z3045" s="17">
        <v>43913</v>
      </c>
      <c r="AA3045" t="s">
        <v>3</v>
      </c>
      <c r="AB3045" t="s">
        <v>6020</v>
      </c>
    </row>
    <row r="3046" spans="1:28" hidden="1">
      <c r="A3046" t="s">
        <v>6020</v>
      </c>
      <c r="B3046" s="17">
        <v>43913</v>
      </c>
      <c r="C3046" s="17">
        <v>43913</v>
      </c>
      <c r="D3046" t="s">
        <v>0</v>
      </c>
      <c r="E3046" t="s">
        <v>1</v>
      </c>
      <c r="F3046" s="18">
        <v>18569.3</v>
      </c>
      <c r="G3046" s="18">
        <v>18569.3</v>
      </c>
      <c r="H3046" t="s">
        <v>2</v>
      </c>
      <c r="I3046" t="s">
        <v>10</v>
      </c>
      <c r="J3046" s="18">
        <v>1558892.73</v>
      </c>
      <c r="K3046" t="s">
        <v>5931</v>
      </c>
      <c r="L3046" t="s">
        <v>4</v>
      </c>
      <c r="M3046" t="s">
        <v>6021</v>
      </c>
      <c r="N3046" t="s">
        <v>3</v>
      </c>
      <c r="O3046" t="s">
        <v>3</v>
      </c>
      <c r="P3046" t="s">
        <v>5</v>
      </c>
      <c r="Q3046" t="s">
        <v>6022</v>
      </c>
      <c r="R3046" t="s">
        <v>3</v>
      </c>
      <c r="S3046" t="s">
        <v>3</v>
      </c>
      <c r="T3046" t="s">
        <v>3</v>
      </c>
      <c r="U3046" t="s">
        <v>3</v>
      </c>
      <c r="V3046" t="s">
        <v>3</v>
      </c>
      <c r="W3046" t="s">
        <v>68</v>
      </c>
      <c r="X3046" s="17"/>
      <c r="Y3046" t="s">
        <v>3</v>
      </c>
      <c r="Z3046" s="17">
        <v>43913</v>
      </c>
      <c r="AA3046" t="s">
        <v>3</v>
      </c>
      <c r="AB3046" t="s">
        <v>6020</v>
      </c>
    </row>
    <row r="3047" spans="1:28" hidden="1">
      <c r="A3047" t="s">
        <v>6023</v>
      </c>
      <c r="B3047" s="17">
        <v>43913</v>
      </c>
      <c r="C3047" s="17">
        <v>43913</v>
      </c>
      <c r="D3047" t="s">
        <v>0</v>
      </c>
      <c r="E3047" t="s">
        <v>1</v>
      </c>
      <c r="F3047" s="18">
        <v>7988</v>
      </c>
      <c r="G3047" s="18">
        <v>7988</v>
      </c>
      <c r="H3047" t="s">
        <v>2</v>
      </c>
      <c r="I3047" t="s">
        <v>10</v>
      </c>
      <c r="J3047" s="18">
        <v>670592.6</v>
      </c>
      <c r="K3047" t="s">
        <v>5873</v>
      </c>
      <c r="L3047" t="s">
        <v>9</v>
      </c>
      <c r="M3047" t="s">
        <v>6024</v>
      </c>
      <c r="N3047" t="s">
        <v>3</v>
      </c>
      <c r="O3047" t="s">
        <v>3</v>
      </c>
      <c r="P3047" t="s">
        <v>5</v>
      </c>
      <c r="Q3047" t="s">
        <v>6025</v>
      </c>
      <c r="R3047" t="s">
        <v>3</v>
      </c>
      <c r="S3047" t="s">
        <v>3</v>
      </c>
      <c r="T3047" t="s">
        <v>3</v>
      </c>
      <c r="U3047" t="s">
        <v>3</v>
      </c>
      <c r="V3047" t="s">
        <v>3</v>
      </c>
      <c r="W3047" t="s">
        <v>68</v>
      </c>
      <c r="X3047" s="17"/>
      <c r="Y3047" t="s">
        <v>3</v>
      </c>
      <c r="Z3047" s="17">
        <v>43913</v>
      </c>
      <c r="AA3047" t="s">
        <v>3</v>
      </c>
      <c r="AB3047" t="s">
        <v>6023</v>
      </c>
    </row>
    <row r="3048" spans="1:28" hidden="1">
      <c r="A3048" t="s">
        <v>6023</v>
      </c>
      <c r="B3048" s="17">
        <v>43913</v>
      </c>
      <c r="C3048" s="17">
        <v>43913</v>
      </c>
      <c r="D3048" t="s">
        <v>0</v>
      </c>
      <c r="E3048" t="s">
        <v>1</v>
      </c>
      <c r="F3048" s="18">
        <v>452</v>
      </c>
      <c r="G3048" s="18">
        <v>452</v>
      </c>
      <c r="H3048" t="s">
        <v>2</v>
      </c>
      <c r="I3048" t="s">
        <v>10</v>
      </c>
      <c r="J3048" s="18">
        <v>37945.4</v>
      </c>
      <c r="K3048" t="s">
        <v>5942</v>
      </c>
      <c r="L3048" t="s">
        <v>9</v>
      </c>
      <c r="M3048" t="s">
        <v>6024</v>
      </c>
      <c r="N3048" t="s">
        <v>3</v>
      </c>
      <c r="O3048" t="s">
        <v>3</v>
      </c>
      <c r="P3048" t="s">
        <v>5</v>
      </c>
      <c r="Q3048" t="s">
        <v>6025</v>
      </c>
      <c r="R3048" t="s">
        <v>3</v>
      </c>
      <c r="S3048" t="s">
        <v>3</v>
      </c>
      <c r="T3048" t="s">
        <v>3</v>
      </c>
      <c r="U3048" t="s">
        <v>3</v>
      </c>
      <c r="V3048" t="s">
        <v>3</v>
      </c>
      <c r="W3048" t="s">
        <v>68</v>
      </c>
      <c r="X3048" s="17"/>
      <c r="Y3048" t="s">
        <v>3</v>
      </c>
      <c r="Z3048" s="17">
        <v>43913</v>
      </c>
      <c r="AA3048" t="s">
        <v>3</v>
      </c>
      <c r="AB3048" t="s">
        <v>6023</v>
      </c>
    </row>
    <row r="3049" spans="1:28" hidden="1">
      <c r="A3049" t="s">
        <v>6023</v>
      </c>
      <c r="B3049" s="17">
        <v>43913</v>
      </c>
      <c r="C3049" s="17">
        <v>43913</v>
      </c>
      <c r="D3049" t="s">
        <v>0</v>
      </c>
      <c r="E3049" t="s">
        <v>1</v>
      </c>
      <c r="F3049" s="18">
        <v>1246</v>
      </c>
      <c r="G3049" s="18">
        <v>1246</v>
      </c>
      <c r="H3049" t="s">
        <v>2</v>
      </c>
      <c r="I3049" t="s">
        <v>10</v>
      </c>
      <c r="J3049" s="18">
        <v>104601.7</v>
      </c>
      <c r="K3049" t="s">
        <v>5943</v>
      </c>
      <c r="L3049" t="s">
        <v>9</v>
      </c>
      <c r="M3049" t="s">
        <v>6024</v>
      </c>
      <c r="N3049" t="s">
        <v>3</v>
      </c>
      <c r="O3049" t="s">
        <v>3</v>
      </c>
      <c r="P3049" t="s">
        <v>5</v>
      </c>
      <c r="Q3049" t="s">
        <v>6025</v>
      </c>
      <c r="R3049" t="s">
        <v>3</v>
      </c>
      <c r="S3049" t="s">
        <v>3</v>
      </c>
      <c r="T3049" t="s">
        <v>3</v>
      </c>
      <c r="U3049" t="s">
        <v>3</v>
      </c>
      <c r="V3049" t="s">
        <v>3</v>
      </c>
      <c r="W3049" t="s">
        <v>68</v>
      </c>
      <c r="X3049" s="17"/>
      <c r="Y3049" t="s">
        <v>3</v>
      </c>
      <c r="Z3049" s="17">
        <v>43913</v>
      </c>
      <c r="AA3049" t="s">
        <v>3</v>
      </c>
      <c r="AB3049" t="s">
        <v>6023</v>
      </c>
    </row>
    <row r="3050" spans="1:28" hidden="1">
      <c r="A3050" t="s">
        <v>6026</v>
      </c>
      <c r="B3050" s="17">
        <v>43913</v>
      </c>
      <c r="C3050" s="17">
        <v>43913</v>
      </c>
      <c r="D3050" t="s">
        <v>0</v>
      </c>
      <c r="E3050" t="s">
        <v>1</v>
      </c>
      <c r="F3050" s="18">
        <v>9868.48</v>
      </c>
      <c r="G3050" s="18">
        <v>9868.48</v>
      </c>
      <c r="H3050" t="s">
        <v>2</v>
      </c>
      <c r="I3050" t="s">
        <v>8</v>
      </c>
      <c r="J3050" s="18">
        <v>828458.9</v>
      </c>
      <c r="K3050" t="s">
        <v>5855</v>
      </c>
      <c r="L3050" t="s">
        <v>4</v>
      </c>
      <c r="M3050" t="s">
        <v>6027</v>
      </c>
      <c r="N3050" t="s">
        <v>3</v>
      </c>
      <c r="O3050" t="s">
        <v>3</v>
      </c>
      <c r="P3050" t="s">
        <v>5</v>
      </c>
      <c r="Q3050" t="s">
        <v>6028</v>
      </c>
      <c r="R3050" t="s">
        <v>3</v>
      </c>
      <c r="S3050" t="s">
        <v>3</v>
      </c>
      <c r="T3050" t="s">
        <v>3</v>
      </c>
      <c r="U3050" t="s">
        <v>3</v>
      </c>
      <c r="V3050" t="s">
        <v>3</v>
      </c>
      <c r="W3050" t="s">
        <v>68</v>
      </c>
      <c r="X3050" s="17"/>
      <c r="Y3050" t="s">
        <v>3</v>
      </c>
      <c r="Z3050" s="17">
        <v>43913</v>
      </c>
      <c r="AA3050" t="s">
        <v>3</v>
      </c>
      <c r="AB3050" t="s">
        <v>6026</v>
      </c>
    </row>
    <row r="3051" spans="1:28" hidden="1">
      <c r="A3051" t="s">
        <v>6026</v>
      </c>
      <c r="B3051" s="17">
        <v>43913</v>
      </c>
      <c r="C3051" s="17">
        <v>43913</v>
      </c>
      <c r="D3051" t="s">
        <v>0</v>
      </c>
      <c r="E3051" t="s">
        <v>1</v>
      </c>
      <c r="F3051" s="18">
        <v>30464.49</v>
      </c>
      <c r="G3051" s="18">
        <v>30464.49</v>
      </c>
      <c r="H3051" t="s">
        <v>2</v>
      </c>
      <c r="I3051" t="s">
        <v>8</v>
      </c>
      <c r="J3051" s="18">
        <v>2557493.94</v>
      </c>
      <c r="K3051" t="s">
        <v>5858</v>
      </c>
      <c r="L3051" t="s">
        <v>4</v>
      </c>
      <c r="M3051" t="s">
        <v>6027</v>
      </c>
      <c r="N3051" t="s">
        <v>3</v>
      </c>
      <c r="O3051" t="s">
        <v>3</v>
      </c>
      <c r="P3051" t="s">
        <v>5</v>
      </c>
      <c r="Q3051" t="s">
        <v>6028</v>
      </c>
      <c r="R3051" t="s">
        <v>3</v>
      </c>
      <c r="S3051" t="s">
        <v>3</v>
      </c>
      <c r="T3051" t="s">
        <v>3</v>
      </c>
      <c r="U3051" t="s">
        <v>3</v>
      </c>
      <c r="V3051" t="s">
        <v>3</v>
      </c>
      <c r="W3051" t="s">
        <v>68</v>
      </c>
      <c r="X3051" s="17"/>
      <c r="Y3051" t="s">
        <v>3</v>
      </c>
      <c r="Z3051" s="17">
        <v>43913</v>
      </c>
      <c r="AA3051" t="s">
        <v>3</v>
      </c>
      <c r="AB3051" t="s">
        <v>6026</v>
      </c>
    </row>
    <row r="3052" spans="1:28" hidden="1">
      <c r="A3052" t="s">
        <v>6026</v>
      </c>
      <c r="B3052" s="17">
        <v>43913</v>
      </c>
      <c r="C3052" s="17">
        <v>43913</v>
      </c>
      <c r="D3052" t="s">
        <v>0</v>
      </c>
      <c r="E3052" t="s">
        <v>1</v>
      </c>
      <c r="F3052" s="18">
        <v>52933.21</v>
      </c>
      <c r="G3052" s="18">
        <v>52933.21</v>
      </c>
      <c r="H3052" t="s">
        <v>2</v>
      </c>
      <c r="I3052" t="s">
        <v>8</v>
      </c>
      <c r="J3052" s="18">
        <v>4443742.9800000004</v>
      </c>
      <c r="K3052" t="s">
        <v>5859</v>
      </c>
      <c r="L3052" t="s">
        <v>4</v>
      </c>
      <c r="M3052" t="s">
        <v>6027</v>
      </c>
      <c r="N3052" t="s">
        <v>3</v>
      </c>
      <c r="O3052" t="s">
        <v>3</v>
      </c>
      <c r="P3052" t="s">
        <v>5</v>
      </c>
      <c r="Q3052" t="s">
        <v>6028</v>
      </c>
      <c r="R3052" t="s">
        <v>3</v>
      </c>
      <c r="S3052" t="s">
        <v>3</v>
      </c>
      <c r="T3052" t="s">
        <v>3</v>
      </c>
      <c r="U3052" t="s">
        <v>3</v>
      </c>
      <c r="V3052" t="s">
        <v>3</v>
      </c>
      <c r="W3052" t="s">
        <v>68</v>
      </c>
      <c r="X3052" s="17"/>
      <c r="Y3052" t="s">
        <v>3</v>
      </c>
      <c r="Z3052" s="17">
        <v>43913</v>
      </c>
      <c r="AA3052" t="s">
        <v>3</v>
      </c>
      <c r="AB3052" t="s">
        <v>6026</v>
      </c>
    </row>
    <row r="3053" spans="1:28" hidden="1">
      <c r="A3053" t="s">
        <v>6029</v>
      </c>
      <c r="B3053" s="17">
        <v>43913</v>
      </c>
      <c r="C3053" s="17">
        <v>43913</v>
      </c>
      <c r="D3053" t="s">
        <v>0</v>
      </c>
      <c r="E3053" t="s">
        <v>1</v>
      </c>
      <c r="F3053" s="18">
        <v>1157.72</v>
      </c>
      <c r="G3053" s="18">
        <v>1157.72</v>
      </c>
      <c r="H3053" t="s">
        <v>2</v>
      </c>
      <c r="I3053" t="s">
        <v>8</v>
      </c>
      <c r="J3053" s="18">
        <v>97190.59</v>
      </c>
      <c r="K3053" t="s">
        <v>5855</v>
      </c>
      <c r="L3053" t="s">
        <v>4</v>
      </c>
      <c r="M3053" t="s">
        <v>6030</v>
      </c>
      <c r="N3053" t="s">
        <v>3</v>
      </c>
      <c r="O3053" t="s">
        <v>3</v>
      </c>
      <c r="P3053" t="s">
        <v>5</v>
      </c>
      <c r="Q3053" t="s">
        <v>6031</v>
      </c>
      <c r="R3053" t="s">
        <v>3</v>
      </c>
      <c r="S3053" t="s">
        <v>3</v>
      </c>
      <c r="T3053" t="s">
        <v>3</v>
      </c>
      <c r="U3053" t="s">
        <v>3</v>
      </c>
      <c r="V3053" t="s">
        <v>3</v>
      </c>
      <c r="W3053" t="s">
        <v>68</v>
      </c>
      <c r="X3053" s="17"/>
      <c r="Y3053" t="s">
        <v>3</v>
      </c>
      <c r="Z3053" s="17">
        <v>43913</v>
      </c>
      <c r="AA3053" t="s">
        <v>3</v>
      </c>
      <c r="AB3053" t="s">
        <v>6029</v>
      </c>
    </row>
    <row r="3054" spans="1:28" hidden="1">
      <c r="A3054" t="s">
        <v>6029</v>
      </c>
      <c r="B3054" s="17">
        <v>43913</v>
      </c>
      <c r="C3054" s="17">
        <v>43913</v>
      </c>
      <c r="D3054" t="s">
        <v>0</v>
      </c>
      <c r="E3054" t="s">
        <v>1</v>
      </c>
      <c r="F3054" s="18">
        <v>928.42</v>
      </c>
      <c r="G3054" s="18">
        <v>928.42</v>
      </c>
      <c r="H3054" t="s">
        <v>2</v>
      </c>
      <c r="I3054" t="s">
        <v>8</v>
      </c>
      <c r="J3054" s="18">
        <v>77940.86</v>
      </c>
      <c r="K3054" t="s">
        <v>5858</v>
      </c>
      <c r="L3054" t="s">
        <v>4</v>
      </c>
      <c r="M3054" t="s">
        <v>6030</v>
      </c>
      <c r="N3054" t="s">
        <v>3</v>
      </c>
      <c r="O3054" t="s">
        <v>3</v>
      </c>
      <c r="P3054" t="s">
        <v>5</v>
      </c>
      <c r="Q3054" t="s">
        <v>6031</v>
      </c>
      <c r="R3054" t="s">
        <v>3</v>
      </c>
      <c r="S3054" t="s">
        <v>3</v>
      </c>
      <c r="T3054" t="s">
        <v>3</v>
      </c>
      <c r="U3054" t="s">
        <v>3</v>
      </c>
      <c r="V3054" t="s">
        <v>3</v>
      </c>
      <c r="W3054" t="s">
        <v>68</v>
      </c>
      <c r="X3054" s="17"/>
      <c r="Y3054" t="s">
        <v>3</v>
      </c>
      <c r="Z3054" s="17">
        <v>43913</v>
      </c>
      <c r="AA3054" t="s">
        <v>3</v>
      </c>
      <c r="AB3054" t="s">
        <v>6029</v>
      </c>
    </row>
    <row r="3055" spans="1:28" hidden="1">
      <c r="A3055" t="s">
        <v>6029</v>
      </c>
      <c r="B3055" s="17">
        <v>43913</v>
      </c>
      <c r="C3055" s="17">
        <v>43913</v>
      </c>
      <c r="D3055" t="s">
        <v>0</v>
      </c>
      <c r="E3055" t="s">
        <v>1</v>
      </c>
      <c r="F3055" s="18">
        <v>11327.12</v>
      </c>
      <c r="G3055" s="18">
        <v>11327.12</v>
      </c>
      <c r="H3055" t="s">
        <v>2</v>
      </c>
      <c r="I3055" t="s">
        <v>8</v>
      </c>
      <c r="J3055" s="18">
        <v>950911.72</v>
      </c>
      <c r="K3055" t="s">
        <v>5859</v>
      </c>
      <c r="L3055" t="s">
        <v>4</v>
      </c>
      <c r="M3055" t="s">
        <v>6030</v>
      </c>
      <c r="N3055" t="s">
        <v>3</v>
      </c>
      <c r="O3055" t="s">
        <v>3</v>
      </c>
      <c r="P3055" t="s">
        <v>5</v>
      </c>
      <c r="Q3055" t="s">
        <v>6031</v>
      </c>
      <c r="R3055" t="s">
        <v>3</v>
      </c>
      <c r="S3055" t="s">
        <v>3</v>
      </c>
      <c r="T3055" t="s">
        <v>3</v>
      </c>
      <c r="U3055" t="s">
        <v>3</v>
      </c>
      <c r="V3055" t="s">
        <v>3</v>
      </c>
      <c r="W3055" t="s">
        <v>68</v>
      </c>
      <c r="X3055" s="17"/>
      <c r="Y3055" t="s">
        <v>3</v>
      </c>
      <c r="Z3055" s="17">
        <v>43913</v>
      </c>
      <c r="AA3055" t="s">
        <v>3</v>
      </c>
      <c r="AB3055" t="s">
        <v>6029</v>
      </c>
    </row>
    <row r="3056" spans="1:28" hidden="1">
      <c r="A3056" t="s">
        <v>6029</v>
      </c>
      <c r="B3056" s="17">
        <v>43913</v>
      </c>
      <c r="C3056" s="17">
        <v>43913</v>
      </c>
      <c r="D3056" t="s">
        <v>0</v>
      </c>
      <c r="E3056" t="s">
        <v>1</v>
      </c>
      <c r="F3056" s="18">
        <v>13220</v>
      </c>
      <c r="G3056" s="18">
        <v>13220</v>
      </c>
      <c r="H3056" t="s">
        <v>2</v>
      </c>
      <c r="I3056" t="s">
        <v>8</v>
      </c>
      <c r="J3056" s="18">
        <v>1109819</v>
      </c>
      <c r="K3056" t="s">
        <v>5888</v>
      </c>
      <c r="L3056" t="s">
        <v>4</v>
      </c>
      <c r="M3056" t="s">
        <v>6030</v>
      </c>
      <c r="N3056" t="s">
        <v>3</v>
      </c>
      <c r="O3056" t="s">
        <v>3</v>
      </c>
      <c r="P3056" t="s">
        <v>5</v>
      </c>
      <c r="Q3056" t="s">
        <v>6031</v>
      </c>
      <c r="R3056" t="s">
        <v>3</v>
      </c>
      <c r="S3056" t="s">
        <v>3</v>
      </c>
      <c r="T3056" t="s">
        <v>3</v>
      </c>
      <c r="U3056" t="s">
        <v>3</v>
      </c>
      <c r="V3056" t="s">
        <v>3</v>
      </c>
      <c r="W3056" t="s">
        <v>68</v>
      </c>
      <c r="X3056" s="17"/>
      <c r="Y3056" t="s">
        <v>3</v>
      </c>
      <c r="Z3056" s="17">
        <v>43913</v>
      </c>
      <c r="AA3056" t="s">
        <v>3</v>
      </c>
      <c r="AB3056" t="s">
        <v>6029</v>
      </c>
    </row>
    <row r="3057" spans="1:28" hidden="1">
      <c r="A3057" t="s">
        <v>6032</v>
      </c>
      <c r="B3057" s="17">
        <v>43913</v>
      </c>
      <c r="C3057" s="17">
        <v>43913</v>
      </c>
      <c r="D3057" t="s">
        <v>0</v>
      </c>
      <c r="E3057" t="s">
        <v>1</v>
      </c>
      <c r="F3057" s="18">
        <v>23247.37</v>
      </c>
      <c r="G3057" s="18">
        <v>23247.37</v>
      </c>
      <c r="H3057" t="s">
        <v>2</v>
      </c>
      <c r="I3057" t="s">
        <v>8</v>
      </c>
      <c r="J3057" s="18">
        <v>1951616.71</v>
      </c>
      <c r="K3057" t="s">
        <v>5855</v>
      </c>
      <c r="L3057" t="s">
        <v>4</v>
      </c>
      <c r="M3057" t="s">
        <v>6019</v>
      </c>
      <c r="N3057" t="s">
        <v>3</v>
      </c>
      <c r="O3057" t="s">
        <v>3</v>
      </c>
      <c r="P3057" t="s">
        <v>5</v>
      </c>
      <c r="Q3057" t="s">
        <v>6022</v>
      </c>
      <c r="R3057" t="s">
        <v>3</v>
      </c>
      <c r="S3057" t="s">
        <v>3</v>
      </c>
      <c r="T3057" t="s">
        <v>3</v>
      </c>
      <c r="U3057" t="s">
        <v>3</v>
      </c>
      <c r="V3057" t="s">
        <v>3</v>
      </c>
      <c r="W3057" t="s">
        <v>68</v>
      </c>
      <c r="X3057" s="17"/>
      <c r="Y3057" t="s">
        <v>3</v>
      </c>
      <c r="Z3057" s="17">
        <v>43913</v>
      </c>
      <c r="AA3057" t="s">
        <v>3</v>
      </c>
      <c r="AB3057" t="s">
        <v>6032</v>
      </c>
    </row>
    <row r="3058" spans="1:28" hidden="1">
      <c r="A3058" t="s">
        <v>6033</v>
      </c>
      <c r="B3058" s="17">
        <v>43913</v>
      </c>
      <c r="C3058" s="17">
        <v>43913</v>
      </c>
      <c r="D3058" t="s">
        <v>0</v>
      </c>
      <c r="E3058" t="s">
        <v>1</v>
      </c>
      <c r="F3058" s="18">
        <v>26211.23</v>
      </c>
      <c r="G3058" s="18">
        <v>26211.23</v>
      </c>
      <c r="H3058" t="s">
        <v>2</v>
      </c>
      <c r="I3058" t="s">
        <v>8</v>
      </c>
      <c r="J3058" s="18">
        <v>2200432.7599999998</v>
      </c>
      <c r="K3058" t="s">
        <v>5858</v>
      </c>
      <c r="L3058" t="s">
        <v>4</v>
      </c>
      <c r="M3058" t="s">
        <v>6034</v>
      </c>
      <c r="N3058" t="s">
        <v>3</v>
      </c>
      <c r="O3058" t="s">
        <v>3</v>
      </c>
      <c r="P3058" t="s">
        <v>5</v>
      </c>
      <c r="Q3058" t="s">
        <v>6035</v>
      </c>
      <c r="R3058" t="s">
        <v>3</v>
      </c>
      <c r="S3058" t="s">
        <v>3</v>
      </c>
      <c r="T3058" t="s">
        <v>3</v>
      </c>
      <c r="U3058" t="s">
        <v>3</v>
      </c>
      <c r="V3058" t="s">
        <v>3</v>
      </c>
      <c r="W3058" t="s">
        <v>68</v>
      </c>
      <c r="X3058" s="17"/>
      <c r="Y3058" t="s">
        <v>3</v>
      </c>
      <c r="Z3058" s="17">
        <v>43913</v>
      </c>
      <c r="AA3058" t="s">
        <v>3</v>
      </c>
      <c r="AB3058" t="s">
        <v>6033</v>
      </c>
    </row>
    <row r="3059" spans="1:28" hidden="1">
      <c r="A3059" t="s">
        <v>6033</v>
      </c>
      <c r="B3059" s="17">
        <v>43913</v>
      </c>
      <c r="C3059" s="17">
        <v>43913</v>
      </c>
      <c r="D3059" t="s">
        <v>0</v>
      </c>
      <c r="E3059" t="s">
        <v>1</v>
      </c>
      <c r="F3059" s="18">
        <v>454.25</v>
      </c>
      <c r="G3059" s="18">
        <v>454.25</v>
      </c>
      <c r="H3059" t="s">
        <v>2</v>
      </c>
      <c r="I3059" t="s">
        <v>8</v>
      </c>
      <c r="J3059" s="18">
        <v>37793.599999999999</v>
      </c>
      <c r="K3059" t="s">
        <v>6036</v>
      </c>
      <c r="L3059" t="s">
        <v>4</v>
      </c>
      <c r="M3059" t="s">
        <v>6034</v>
      </c>
      <c r="N3059" t="s">
        <v>3</v>
      </c>
      <c r="O3059" t="s">
        <v>3</v>
      </c>
      <c r="P3059" t="s">
        <v>5</v>
      </c>
      <c r="Q3059" t="s">
        <v>6035</v>
      </c>
      <c r="R3059" t="s">
        <v>3</v>
      </c>
      <c r="S3059" t="s">
        <v>3</v>
      </c>
      <c r="T3059" t="s">
        <v>3</v>
      </c>
      <c r="U3059" t="s">
        <v>3</v>
      </c>
      <c r="V3059" t="s">
        <v>3</v>
      </c>
      <c r="W3059" t="s">
        <v>68</v>
      </c>
      <c r="X3059" s="17"/>
      <c r="Y3059" t="s">
        <v>3</v>
      </c>
      <c r="Z3059" s="17">
        <v>43913</v>
      </c>
      <c r="AA3059" t="s">
        <v>3</v>
      </c>
      <c r="AB3059" t="s">
        <v>6033</v>
      </c>
    </row>
    <row r="3060" spans="1:28" hidden="1">
      <c r="A3060" t="s">
        <v>6033</v>
      </c>
      <c r="B3060" s="17">
        <v>43913</v>
      </c>
      <c r="C3060" s="17">
        <v>43913</v>
      </c>
      <c r="D3060" t="s">
        <v>0</v>
      </c>
      <c r="E3060" t="s">
        <v>1</v>
      </c>
      <c r="F3060" s="18">
        <v>1138.02</v>
      </c>
      <c r="G3060" s="18">
        <v>1138.02</v>
      </c>
      <c r="H3060" t="s">
        <v>2</v>
      </c>
      <c r="I3060" t="s">
        <v>8</v>
      </c>
      <c r="J3060" s="18">
        <v>95536.78</v>
      </c>
      <c r="K3060" t="s">
        <v>6037</v>
      </c>
      <c r="L3060" t="s">
        <v>4</v>
      </c>
      <c r="M3060" t="s">
        <v>6034</v>
      </c>
      <c r="N3060" t="s">
        <v>3</v>
      </c>
      <c r="O3060" t="s">
        <v>3</v>
      </c>
      <c r="P3060" t="s">
        <v>5</v>
      </c>
      <c r="Q3060" t="s">
        <v>6035</v>
      </c>
      <c r="R3060" t="s">
        <v>3</v>
      </c>
      <c r="S3060" t="s">
        <v>3</v>
      </c>
      <c r="T3060" t="s">
        <v>3</v>
      </c>
      <c r="U3060" t="s">
        <v>3</v>
      </c>
      <c r="V3060" t="s">
        <v>3</v>
      </c>
      <c r="W3060" t="s">
        <v>68</v>
      </c>
      <c r="X3060" s="17"/>
      <c r="Y3060" t="s">
        <v>3</v>
      </c>
      <c r="Z3060" s="17">
        <v>43913</v>
      </c>
      <c r="AA3060" t="s">
        <v>3</v>
      </c>
      <c r="AB3060" t="s">
        <v>6033</v>
      </c>
    </row>
    <row r="3061" spans="1:28" hidden="1">
      <c r="A3061" t="s">
        <v>6038</v>
      </c>
      <c r="B3061" s="17">
        <v>43913</v>
      </c>
      <c r="C3061" s="17">
        <v>43913</v>
      </c>
      <c r="D3061" t="s">
        <v>0</v>
      </c>
      <c r="E3061" t="s">
        <v>1</v>
      </c>
      <c r="F3061" s="18">
        <v>690.98</v>
      </c>
      <c r="G3061" s="18">
        <v>690.98</v>
      </c>
      <c r="H3061" t="s">
        <v>2</v>
      </c>
      <c r="I3061" t="s">
        <v>8</v>
      </c>
      <c r="J3061" s="18">
        <v>58007.77</v>
      </c>
      <c r="K3061" t="s">
        <v>5858</v>
      </c>
      <c r="L3061" t="s">
        <v>4</v>
      </c>
      <c r="M3061" t="s">
        <v>6039</v>
      </c>
      <c r="N3061" t="s">
        <v>3</v>
      </c>
      <c r="O3061" t="s">
        <v>3</v>
      </c>
      <c r="P3061" t="s">
        <v>5</v>
      </c>
      <c r="Q3061" t="s">
        <v>6040</v>
      </c>
      <c r="R3061" t="s">
        <v>3</v>
      </c>
      <c r="S3061" t="s">
        <v>3</v>
      </c>
      <c r="T3061" t="s">
        <v>3</v>
      </c>
      <c r="U3061" t="s">
        <v>3</v>
      </c>
      <c r="V3061" t="s">
        <v>3</v>
      </c>
      <c r="W3061" t="s">
        <v>68</v>
      </c>
      <c r="X3061" s="17"/>
      <c r="Y3061" t="s">
        <v>3</v>
      </c>
      <c r="Z3061" s="17">
        <v>43913</v>
      </c>
      <c r="AA3061" t="s">
        <v>3</v>
      </c>
      <c r="AB3061" t="s">
        <v>6038</v>
      </c>
    </row>
    <row r="3062" spans="1:28" hidden="1">
      <c r="A3062" t="s">
        <v>6041</v>
      </c>
      <c r="B3062" s="17">
        <v>43914</v>
      </c>
      <c r="C3062" s="17">
        <v>43914</v>
      </c>
      <c r="D3062" t="s">
        <v>0</v>
      </c>
      <c r="E3062" t="s">
        <v>1</v>
      </c>
      <c r="F3062" s="18">
        <v>8273.08</v>
      </c>
      <c r="G3062" s="18">
        <v>8273.08</v>
      </c>
      <c r="H3062" t="s">
        <v>2</v>
      </c>
      <c r="I3062" t="s">
        <v>8</v>
      </c>
      <c r="J3062" s="18">
        <v>694525.07</v>
      </c>
      <c r="K3062" t="s">
        <v>5858</v>
      </c>
      <c r="L3062" t="s">
        <v>4</v>
      </c>
      <c r="M3062" t="s">
        <v>6042</v>
      </c>
      <c r="N3062" t="s">
        <v>3</v>
      </c>
      <c r="O3062" t="s">
        <v>3</v>
      </c>
      <c r="P3062" t="s">
        <v>5</v>
      </c>
      <c r="Q3062" t="s">
        <v>6043</v>
      </c>
      <c r="R3062" t="s">
        <v>3</v>
      </c>
      <c r="S3062" t="s">
        <v>3</v>
      </c>
      <c r="T3062" t="s">
        <v>3</v>
      </c>
      <c r="U3062" t="s">
        <v>3</v>
      </c>
      <c r="V3062" t="s">
        <v>3</v>
      </c>
      <c r="W3062" t="s">
        <v>68</v>
      </c>
      <c r="X3062" s="17"/>
      <c r="Y3062" t="s">
        <v>3</v>
      </c>
      <c r="Z3062" s="17">
        <v>43914</v>
      </c>
      <c r="AA3062" t="s">
        <v>3</v>
      </c>
      <c r="AB3062" t="s">
        <v>6041</v>
      </c>
    </row>
    <row r="3063" spans="1:28" hidden="1">
      <c r="A3063" t="s">
        <v>6044</v>
      </c>
      <c r="B3063" s="17">
        <v>43914</v>
      </c>
      <c r="C3063" s="17">
        <v>43914</v>
      </c>
      <c r="D3063" t="s">
        <v>0</v>
      </c>
      <c r="E3063" t="s">
        <v>1</v>
      </c>
      <c r="F3063" s="18">
        <v>947</v>
      </c>
      <c r="G3063" s="18">
        <v>947</v>
      </c>
      <c r="H3063" t="s">
        <v>2</v>
      </c>
      <c r="I3063" t="s">
        <v>8</v>
      </c>
      <c r="J3063" s="18">
        <v>79074.5</v>
      </c>
      <c r="K3063" t="s">
        <v>5901</v>
      </c>
      <c r="L3063" t="s">
        <v>9</v>
      </c>
      <c r="M3063" t="s">
        <v>6045</v>
      </c>
      <c r="N3063" t="s">
        <v>3</v>
      </c>
      <c r="O3063" t="s">
        <v>3</v>
      </c>
      <c r="P3063" t="s">
        <v>5</v>
      </c>
      <c r="Q3063" t="s">
        <v>6046</v>
      </c>
      <c r="R3063" t="s">
        <v>3</v>
      </c>
      <c r="S3063" t="s">
        <v>3</v>
      </c>
      <c r="T3063" t="s">
        <v>3</v>
      </c>
      <c r="U3063" t="s">
        <v>3</v>
      </c>
      <c r="V3063" t="s">
        <v>3</v>
      </c>
      <c r="W3063" t="s">
        <v>68</v>
      </c>
      <c r="X3063" s="17"/>
      <c r="Y3063" t="s">
        <v>3</v>
      </c>
      <c r="Z3063" s="17">
        <v>43914</v>
      </c>
      <c r="AA3063" t="s">
        <v>3</v>
      </c>
      <c r="AB3063" t="s">
        <v>6044</v>
      </c>
    </row>
    <row r="3064" spans="1:28" hidden="1">
      <c r="A3064" t="s">
        <v>6044</v>
      </c>
      <c r="B3064" s="17">
        <v>43914</v>
      </c>
      <c r="C3064" s="17">
        <v>43914</v>
      </c>
      <c r="D3064" t="s">
        <v>0</v>
      </c>
      <c r="E3064" t="s">
        <v>1</v>
      </c>
      <c r="F3064" s="18">
        <v>53990</v>
      </c>
      <c r="G3064" s="18">
        <v>53990</v>
      </c>
      <c r="H3064" t="s">
        <v>2</v>
      </c>
      <c r="I3064" t="s">
        <v>8</v>
      </c>
      <c r="J3064" s="18">
        <v>4532460.5</v>
      </c>
      <c r="K3064" t="s">
        <v>5905</v>
      </c>
      <c r="L3064" t="s">
        <v>9</v>
      </c>
      <c r="M3064" t="s">
        <v>6045</v>
      </c>
      <c r="N3064" t="s">
        <v>3</v>
      </c>
      <c r="O3064" t="s">
        <v>3</v>
      </c>
      <c r="P3064" t="s">
        <v>5</v>
      </c>
      <c r="Q3064" t="s">
        <v>6046</v>
      </c>
      <c r="R3064" t="s">
        <v>3</v>
      </c>
      <c r="S3064" t="s">
        <v>3</v>
      </c>
      <c r="T3064" t="s">
        <v>3</v>
      </c>
      <c r="U3064" t="s">
        <v>3</v>
      </c>
      <c r="V3064" t="s">
        <v>3</v>
      </c>
      <c r="W3064" t="s">
        <v>68</v>
      </c>
      <c r="X3064" s="17"/>
      <c r="Y3064" t="s">
        <v>3</v>
      </c>
      <c r="Z3064" s="17">
        <v>43914</v>
      </c>
      <c r="AA3064" t="s">
        <v>3</v>
      </c>
      <c r="AB3064" t="s">
        <v>6044</v>
      </c>
    </row>
    <row r="3065" spans="1:28" hidden="1">
      <c r="A3065" t="s">
        <v>6044</v>
      </c>
      <c r="B3065" s="17">
        <v>43914</v>
      </c>
      <c r="C3065" s="17">
        <v>43914</v>
      </c>
      <c r="D3065" t="s">
        <v>0</v>
      </c>
      <c r="E3065" t="s">
        <v>1</v>
      </c>
      <c r="F3065" s="18">
        <v>4744</v>
      </c>
      <c r="G3065" s="18">
        <v>4744</v>
      </c>
      <c r="H3065" t="s">
        <v>2</v>
      </c>
      <c r="I3065" t="s">
        <v>8</v>
      </c>
      <c r="J3065" s="18">
        <v>396124</v>
      </c>
      <c r="K3065" t="s">
        <v>6047</v>
      </c>
      <c r="L3065" t="s">
        <v>9</v>
      </c>
      <c r="M3065" t="s">
        <v>6045</v>
      </c>
      <c r="N3065" t="s">
        <v>3</v>
      </c>
      <c r="O3065" t="s">
        <v>3</v>
      </c>
      <c r="P3065" t="s">
        <v>5</v>
      </c>
      <c r="Q3065" t="s">
        <v>6046</v>
      </c>
      <c r="R3065" t="s">
        <v>3</v>
      </c>
      <c r="S3065" t="s">
        <v>3</v>
      </c>
      <c r="T3065" t="s">
        <v>3</v>
      </c>
      <c r="U3065" t="s">
        <v>3</v>
      </c>
      <c r="V3065" t="s">
        <v>3</v>
      </c>
      <c r="W3065" t="s">
        <v>68</v>
      </c>
      <c r="X3065" s="17"/>
      <c r="Y3065" t="s">
        <v>3</v>
      </c>
      <c r="Z3065" s="17">
        <v>43914</v>
      </c>
      <c r="AA3065" t="s">
        <v>3</v>
      </c>
      <c r="AB3065" t="s">
        <v>6044</v>
      </c>
    </row>
    <row r="3066" spans="1:28" hidden="1">
      <c r="A3066" t="s">
        <v>6044</v>
      </c>
      <c r="B3066" s="17">
        <v>43914</v>
      </c>
      <c r="C3066" s="17">
        <v>43914</v>
      </c>
      <c r="D3066" t="s">
        <v>0</v>
      </c>
      <c r="E3066" t="s">
        <v>1</v>
      </c>
      <c r="F3066" s="18">
        <v>22013</v>
      </c>
      <c r="G3066" s="18">
        <v>22013</v>
      </c>
      <c r="H3066" t="s">
        <v>2</v>
      </c>
      <c r="I3066" t="s">
        <v>8</v>
      </c>
      <c r="J3066" s="18">
        <v>1847991.35</v>
      </c>
      <c r="K3066" t="s">
        <v>5959</v>
      </c>
      <c r="L3066" t="s">
        <v>9</v>
      </c>
      <c r="M3066" t="s">
        <v>6045</v>
      </c>
      <c r="N3066" t="s">
        <v>3</v>
      </c>
      <c r="O3066" t="s">
        <v>3</v>
      </c>
      <c r="P3066" t="s">
        <v>5</v>
      </c>
      <c r="Q3066" t="s">
        <v>6046</v>
      </c>
      <c r="R3066" t="s">
        <v>3</v>
      </c>
      <c r="S3066" t="s">
        <v>3</v>
      </c>
      <c r="T3066" t="s">
        <v>3</v>
      </c>
      <c r="U3066" t="s">
        <v>3</v>
      </c>
      <c r="V3066" t="s">
        <v>3</v>
      </c>
      <c r="W3066" t="s">
        <v>68</v>
      </c>
      <c r="X3066" s="17"/>
      <c r="Y3066" t="s">
        <v>3</v>
      </c>
      <c r="Z3066" s="17">
        <v>43914</v>
      </c>
      <c r="AA3066" t="s">
        <v>3</v>
      </c>
      <c r="AB3066" t="s">
        <v>6044</v>
      </c>
    </row>
    <row r="3067" spans="1:28" hidden="1">
      <c r="A3067" t="s">
        <v>6044</v>
      </c>
      <c r="B3067" s="17">
        <v>43914</v>
      </c>
      <c r="C3067" s="17">
        <v>43914</v>
      </c>
      <c r="D3067" t="s">
        <v>0</v>
      </c>
      <c r="E3067" t="s">
        <v>1</v>
      </c>
      <c r="F3067" s="18">
        <v>207</v>
      </c>
      <c r="G3067" s="18">
        <v>207</v>
      </c>
      <c r="H3067" t="s">
        <v>2</v>
      </c>
      <c r="I3067" t="s">
        <v>8</v>
      </c>
      <c r="J3067" s="18">
        <v>17377.650000000001</v>
      </c>
      <c r="K3067" t="s">
        <v>6048</v>
      </c>
      <c r="L3067" t="s">
        <v>9</v>
      </c>
      <c r="M3067" t="s">
        <v>6045</v>
      </c>
      <c r="N3067" t="s">
        <v>3</v>
      </c>
      <c r="O3067" t="s">
        <v>3</v>
      </c>
      <c r="P3067" t="s">
        <v>5</v>
      </c>
      <c r="Q3067" t="s">
        <v>6046</v>
      </c>
      <c r="R3067" t="s">
        <v>3</v>
      </c>
      <c r="S3067" t="s">
        <v>3</v>
      </c>
      <c r="T3067" t="s">
        <v>3</v>
      </c>
      <c r="U3067" t="s">
        <v>3</v>
      </c>
      <c r="V3067" t="s">
        <v>3</v>
      </c>
      <c r="W3067" t="s">
        <v>68</v>
      </c>
      <c r="X3067" s="17"/>
      <c r="Y3067" t="s">
        <v>3</v>
      </c>
      <c r="Z3067" s="17">
        <v>43914</v>
      </c>
      <c r="AA3067" t="s">
        <v>3</v>
      </c>
      <c r="AB3067" t="s">
        <v>6044</v>
      </c>
    </row>
    <row r="3068" spans="1:28" hidden="1">
      <c r="A3068" t="s">
        <v>42</v>
      </c>
      <c r="B3068" s="17">
        <v>43914</v>
      </c>
      <c r="C3068" s="17">
        <v>43914</v>
      </c>
      <c r="D3068" t="s">
        <v>43</v>
      </c>
      <c r="E3068" t="s">
        <v>1</v>
      </c>
      <c r="F3068" s="18">
        <v>9942.89</v>
      </c>
      <c r="G3068" s="18">
        <v>9942.89</v>
      </c>
      <c r="H3068" t="s">
        <v>2</v>
      </c>
      <c r="I3068" t="s">
        <v>8</v>
      </c>
      <c r="J3068" s="18">
        <v>834705.62</v>
      </c>
      <c r="K3068" t="s">
        <v>5855</v>
      </c>
      <c r="L3068" t="s">
        <v>4</v>
      </c>
      <c r="M3068" t="s">
        <v>44</v>
      </c>
      <c r="N3068" t="s">
        <v>3</v>
      </c>
      <c r="O3068" t="s">
        <v>3</v>
      </c>
      <c r="P3068" t="s">
        <v>5</v>
      </c>
      <c r="Q3068" t="s">
        <v>45</v>
      </c>
      <c r="R3068" t="s">
        <v>3</v>
      </c>
      <c r="S3068" t="s">
        <v>3</v>
      </c>
      <c r="T3068" t="s">
        <v>3</v>
      </c>
      <c r="U3068" t="s">
        <v>3</v>
      </c>
      <c r="V3068" t="s">
        <v>3</v>
      </c>
      <c r="W3068" t="s">
        <v>68</v>
      </c>
      <c r="X3068" s="17"/>
      <c r="Y3068" t="s">
        <v>3</v>
      </c>
      <c r="Z3068" s="17">
        <v>43914</v>
      </c>
      <c r="AA3068" t="s">
        <v>3</v>
      </c>
      <c r="AB3068" t="s">
        <v>42</v>
      </c>
    </row>
    <row r="3069" spans="1:28" hidden="1">
      <c r="A3069" t="s">
        <v>42</v>
      </c>
      <c r="B3069" s="17">
        <v>43914</v>
      </c>
      <c r="C3069" s="17">
        <v>43914</v>
      </c>
      <c r="D3069" t="s">
        <v>43</v>
      </c>
      <c r="E3069" t="s">
        <v>1</v>
      </c>
      <c r="F3069" s="18">
        <v>1535.49</v>
      </c>
      <c r="G3069" s="18">
        <v>1535.49</v>
      </c>
      <c r="H3069" t="s">
        <v>2</v>
      </c>
      <c r="I3069" t="s">
        <v>8</v>
      </c>
      <c r="J3069" s="18">
        <v>128904.39</v>
      </c>
      <c r="K3069" t="s">
        <v>5858</v>
      </c>
      <c r="L3069" t="s">
        <v>4</v>
      </c>
      <c r="M3069" t="s">
        <v>44</v>
      </c>
      <c r="N3069" t="s">
        <v>3</v>
      </c>
      <c r="O3069" t="s">
        <v>3</v>
      </c>
      <c r="P3069" t="s">
        <v>5</v>
      </c>
      <c r="Q3069" t="s">
        <v>45</v>
      </c>
      <c r="R3069" t="s">
        <v>3</v>
      </c>
      <c r="S3069" t="s">
        <v>3</v>
      </c>
      <c r="T3069" t="s">
        <v>3</v>
      </c>
      <c r="U3069" t="s">
        <v>3</v>
      </c>
      <c r="V3069" t="s">
        <v>3</v>
      </c>
      <c r="W3069" t="s">
        <v>68</v>
      </c>
      <c r="X3069" s="17"/>
      <c r="Y3069" t="s">
        <v>3</v>
      </c>
      <c r="Z3069" s="17">
        <v>43914</v>
      </c>
      <c r="AA3069" t="s">
        <v>3</v>
      </c>
      <c r="AB3069" t="s">
        <v>42</v>
      </c>
    </row>
    <row r="3070" spans="1:28" hidden="1">
      <c r="A3070" t="s">
        <v>42</v>
      </c>
      <c r="B3070" s="17">
        <v>43914</v>
      </c>
      <c r="C3070" s="17">
        <v>43914</v>
      </c>
      <c r="D3070" t="s">
        <v>43</v>
      </c>
      <c r="E3070" t="s">
        <v>1</v>
      </c>
      <c r="F3070" s="18">
        <v>5284.06</v>
      </c>
      <c r="G3070" s="18">
        <v>5284.06</v>
      </c>
      <c r="H3070" t="s">
        <v>2</v>
      </c>
      <c r="I3070" t="s">
        <v>8</v>
      </c>
      <c r="J3070" s="18">
        <v>443596.84</v>
      </c>
      <c r="K3070" t="s">
        <v>5859</v>
      </c>
      <c r="L3070" t="s">
        <v>4</v>
      </c>
      <c r="M3070" t="s">
        <v>44</v>
      </c>
      <c r="N3070" t="s">
        <v>3</v>
      </c>
      <c r="O3070" t="s">
        <v>3</v>
      </c>
      <c r="P3070" t="s">
        <v>5</v>
      </c>
      <c r="Q3070" t="s">
        <v>45</v>
      </c>
      <c r="R3070" t="s">
        <v>3</v>
      </c>
      <c r="S3070" t="s">
        <v>3</v>
      </c>
      <c r="T3070" t="s">
        <v>3</v>
      </c>
      <c r="U3070" t="s">
        <v>3</v>
      </c>
      <c r="V3070" t="s">
        <v>3</v>
      </c>
      <c r="W3070" t="s">
        <v>68</v>
      </c>
      <c r="X3070" s="17"/>
      <c r="Y3070" t="s">
        <v>3</v>
      </c>
      <c r="Z3070" s="17">
        <v>43914</v>
      </c>
      <c r="AA3070" t="s">
        <v>3</v>
      </c>
      <c r="AB3070" t="s">
        <v>42</v>
      </c>
    </row>
    <row r="3071" spans="1:28" hidden="1">
      <c r="A3071" t="s">
        <v>42</v>
      </c>
      <c r="B3071" s="17">
        <v>43914</v>
      </c>
      <c r="C3071" s="17">
        <v>43914</v>
      </c>
      <c r="D3071" t="s">
        <v>43</v>
      </c>
      <c r="E3071" t="s">
        <v>1</v>
      </c>
      <c r="F3071" s="18">
        <v>900.46</v>
      </c>
      <c r="G3071" s="18">
        <v>900.46</v>
      </c>
      <c r="H3071" t="s">
        <v>2</v>
      </c>
      <c r="I3071" t="s">
        <v>8</v>
      </c>
      <c r="J3071" s="18">
        <v>74918.27</v>
      </c>
      <c r="K3071" t="s">
        <v>6036</v>
      </c>
      <c r="L3071" t="s">
        <v>4</v>
      </c>
      <c r="M3071" t="s">
        <v>44</v>
      </c>
      <c r="N3071" t="s">
        <v>3</v>
      </c>
      <c r="O3071" t="s">
        <v>3</v>
      </c>
      <c r="P3071" t="s">
        <v>5</v>
      </c>
      <c r="Q3071" t="s">
        <v>45</v>
      </c>
      <c r="R3071" t="s">
        <v>3</v>
      </c>
      <c r="S3071" t="s">
        <v>3</v>
      </c>
      <c r="T3071" t="s">
        <v>3</v>
      </c>
      <c r="U3071" t="s">
        <v>3</v>
      </c>
      <c r="V3071" t="s">
        <v>3</v>
      </c>
      <c r="W3071" t="s">
        <v>68</v>
      </c>
      <c r="X3071" s="17"/>
      <c r="Y3071" t="s">
        <v>3</v>
      </c>
      <c r="Z3071" s="17">
        <v>43914</v>
      </c>
      <c r="AA3071" t="s">
        <v>3</v>
      </c>
      <c r="AB3071" t="s">
        <v>42</v>
      </c>
    </row>
    <row r="3072" spans="1:28" hidden="1">
      <c r="A3072" t="s">
        <v>42</v>
      </c>
      <c r="B3072" s="17">
        <v>43914</v>
      </c>
      <c r="C3072" s="17">
        <v>43914</v>
      </c>
      <c r="D3072" t="s">
        <v>43</v>
      </c>
      <c r="E3072" t="s">
        <v>1</v>
      </c>
      <c r="F3072" s="18">
        <v>770.16</v>
      </c>
      <c r="G3072" s="18">
        <v>770.16</v>
      </c>
      <c r="H3072" t="s">
        <v>2</v>
      </c>
      <c r="I3072" t="s">
        <v>8</v>
      </c>
      <c r="J3072" s="18">
        <v>64654.93</v>
      </c>
      <c r="K3072" t="s">
        <v>5889</v>
      </c>
      <c r="L3072" t="s">
        <v>4</v>
      </c>
      <c r="M3072" t="s">
        <v>44</v>
      </c>
      <c r="N3072" t="s">
        <v>3</v>
      </c>
      <c r="O3072" t="s">
        <v>3</v>
      </c>
      <c r="P3072" t="s">
        <v>5</v>
      </c>
      <c r="Q3072" t="s">
        <v>45</v>
      </c>
      <c r="R3072" t="s">
        <v>3</v>
      </c>
      <c r="S3072" t="s">
        <v>3</v>
      </c>
      <c r="T3072" t="s">
        <v>3</v>
      </c>
      <c r="U3072" t="s">
        <v>3</v>
      </c>
      <c r="V3072" t="s">
        <v>3</v>
      </c>
      <c r="W3072" t="s">
        <v>68</v>
      </c>
      <c r="X3072" s="17"/>
      <c r="Y3072" t="s">
        <v>3</v>
      </c>
      <c r="Z3072" s="17">
        <v>43914</v>
      </c>
      <c r="AA3072" t="s">
        <v>3</v>
      </c>
      <c r="AB3072" t="s">
        <v>42</v>
      </c>
    </row>
    <row r="3073" spans="1:28" hidden="1">
      <c r="A3073" t="s">
        <v>6049</v>
      </c>
      <c r="B3073" s="17">
        <v>43921</v>
      </c>
      <c r="C3073" s="17">
        <v>43921</v>
      </c>
      <c r="D3073" t="s">
        <v>0</v>
      </c>
      <c r="E3073" t="s">
        <v>1</v>
      </c>
      <c r="F3073" s="18">
        <v>71961.179999999993</v>
      </c>
      <c r="G3073" s="18">
        <v>71961.179999999993</v>
      </c>
      <c r="H3073" t="s">
        <v>2</v>
      </c>
      <c r="I3073" t="s">
        <v>8</v>
      </c>
      <c r="J3073" s="18">
        <v>6041141.0599999996</v>
      </c>
      <c r="K3073" t="s">
        <v>4453</v>
      </c>
      <c r="L3073" t="s">
        <v>4</v>
      </c>
      <c r="M3073" t="s">
        <v>4454</v>
      </c>
      <c r="N3073" t="s">
        <v>3</v>
      </c>
      <c r="O3073" t="s">
        <v>3</v>
      </c>
      <c r="P3073" t="s">
        <v>5</v>
      </c>
      <c r="Q3073" t="s">
        <v>4453</v>
      </c>
      <c r="R3073" t="s">
        <v>3</v>
      </c>
      <c r="S3073" t="s">
        <v>3</v>
      </c>
      <c r="T3073" t="s">
        <v>3</v>
      </c>
      <c r="U3073" t="s">
        <v>3</v>
      </c>
      <c r="V3073" t="s">
        <v>3</v>
      </c>
      <c r="W3073" t="s">
        <v>68</v>
      </c>
      <c r="X3073" s="17">
        <v>43922</v>
      </c>
      <c r="Y3073" t="s">
        <v>4452</v>
      </c>
      <c r="Z3073" s="17">
        <v>43982</v>
      </c>
      <c r="AA3073" t="s">
        <v>3</v>
      </c>
      <c r="AB3073" t="s">
        <v>6049</v>
      </c>
    </row>
    <row r="3074" spans="1:28" hidden="1">
      <c r="A3074" t="s">
        <v>4452</v>
      </c>
      <c r="B3074" s="17">
        <v>43922</v>
      </c>
      <c r="C3074" s="17">
        <v>43921</v>
      </c>
      <c r="D3074" t="s">
        <v>38</v>
      </c>
      <c r="E3074" t="s">
        <v>1</v>
      </c>
      <c r="F3074" s="18">
        <v>-71961.179999999993</v>
      </c>
      <c r="G3074" s="18">
        <v>-71961.179999999993</v>
      </c>
      <c r="H3074" t="s">
        <v>2</v>
      </c>
      <c r="I3074" t="s">
        <v>8</v>
      </c>
      <c r="J3074" s="18">
        <v>-6041141.0599999996</v>
      </c>
      <c r="K3074" t="s">
        <v>4453</v>
      </c>
      <c r="L3074" t="s">
        <v>4</v>
      </c>
      <c r="M3074" t="s">
        <v>4454</v>
      </c>
      <c r="N3074" t="s">
        <v>3</v>
      </c>
      <c r="O3074" t="s">
        <v>3</v>
      </c>
      <c r="P3074" t="s">
        <v>5</v>
      </c>
      <c r="Q3074" t="s">
        <v>4453</v>
      </c>
      <c r="R3074" t="s">
        <v>3</v>
      </c>
      <c r="S3074" t="s">
        <v>3</v>
      </c>
      <c r="T3074" t="s">
        <v>3</v>
      </c>
      <c r="U3074" t="s">
        <v>3</v>
      </c>
      <c r="V3074" t="s">
        <v>3</v>
      </c>
      <c r="W3074" t="s">
        <v>68</v>
      </c>
      <c r="X3074" s="17">
        <v>43922</v>
      </c>
      <c r="Y3074" t="s">
        <v>4452</v>
      </c>
      <c r="Z3074" s="17">
        <v>43982</v>
      </c>
      <c r="AA3074" t="s">
        <v>3</v>
      </c>
      <c r="AB3074" t="s">
        <v>4452</v>
      </c>
    </row>
    <row r="3075" spans="1:28" hidden="1">
      <c r="A3075" t="s">
        <v>6054</v>
      </c>
      <c r="B3075" s="17">
        <v>43927</v>
      </c>
      <c r="C3075" s="17">
        <v>43927</v>
      </c>
      <c r="D3075" t="s">
        <v>0</v>
      </c>
      <c r="E3075" t="s">
        <v>1</v>
      </c>
      <c r="F3075" s="18">
        <v>-261277</v>
      </c>
      <c r="G3075" s="18">
        <v>-261277</v>
      </c>
      <c r="H3075" t="s">
        <v>2</v>
      </c>
      <c r="I3075" t="s">
        <v>8</v>
      </c>
      <c r="J3075" s="18">
        <v>-21934204.149999999</v>
      </c>
      <c r="K3075" t="s">
        <v>6055</v>
      </c>
      <c r="L3075" t="s">
        <v>9</v>
      </c>
      <c r="M3075" t="s">
        <v>6056</v>
      </c>
      <c r="N3075" t="s">
        <v>3</v>
      </c>
      <c r="O3075" t="s">
        <v>3</v>
      </c>
      <c r="P3075" t="s">
        <v>5</v>
      </c>
      <c r="Q3075" t="s">
        <v>6057</v>
      </c>
      <c r="R3075" t="s">
        <v>3</v>
      </c>
      <c r="S3075" t="s">
        <v>3</v>
      </c>
      <c r="T3075" t="s">
        <v>3</v>
      </c>
      <c r="U3075" t="s">
        <v>3</v>
      </c>
      <c r="V3075" t="s">
        <v>3</v>
      </c>
      <c r="W3075" t="s">
        <v>68</v>
      </c>
      <c r="X3075" s="17"/>
      <c r="Y3075" t="s">
        <v>3</v>
      </c>
      <c r="Z3075" s="17">
        <v>43927</v>
      </c>
      <c r="AA3075" t="s">
        <v>3</v>
      </c>
      <c r="AB3075" t="s">
        <v>6054</v>
      </c>
    </row>
    <row r="3076" spans="1:28" hidden="1">
      <c r="A3076" t="s">
        <v>6141</v>
      </c>
      <c r="B3076" s="17">
        <v>43927</v>
      </c>
      <c r="C3076" s="17">
        <v>43927</v>
      </c>
      <c r="D3076" t="s">
        <v>0</v>
      </c>
      <c r="E3076" t="s">
        <v>1</v>
      </c>
      <c r="F3076" s="18">
        <v>225</v>
      </c>
      <c r="G3076" s="18">
        <v>225</v>
      </c>
      <c r="H3076" t="s">
        <v>2</v>
      </c>
      <c r="I3076" t="s">
        <v>10</v>
      </c>
      <c r="J3076" s="18">
        <v>18888.75</v>
      </c>
      <c r="K3076" t="s">
        <v>5943</v>
      </c>
      <c r="L3076" t="s">
        <v>9</v>
      </c>
      <c r="M3076" t="s">
        <v>6142</v>
      </c>
      <c r="N3076" t="s">
        <v>3</v>
      </c>
      <c r="O3076" t="s">
        <v>3</v>
      </c>
      <c r="P3076" t="s">
        <v>5</v>
      </c>
      <c r="Q3076" t="s">
        <v>6143</v>
      </c>
      <c r="R3076" t="s">
        <v>3</v>
      </c>
      <c r="S3076" t="s">
        <v>3</v>
      </c>
      <c r="T3076" t="s">
        <v>3</v>
      </c>
      <c r="U3076" t="s">
        <v>3</v>
      </c>
      <c r="V3076" t="s">
        <v>3</v>
      </c>
      <c r="W3076" t="s">
        <v>68</v>
      </c>
      <c r="X3076" s="17"/>
      <c r="Y3076" t="s">
        <v>3</v>
      </c>
      <c r="Z3076" s="17">
        <v>43927</v>
      </c>
      <c r="AA3076" t="s">
        <v>3</v>
      </c>
      <c r="AB3076" t="s">
        <v>6141</v>
      </c>
    </row>
    <row r="3077" spans="1:28" hidden="1">
      <c r="A3077" t="s">
        <v>6050</v>
      </c>
      <c r="B3077" s="17">
        <v>43930</v>
      </c>
      <c r="C3077" s="17">
        <v>43930</v>
      </c>
      <c r="D3077" t="s">
        <v>0</v>
      </c>
      <c r="E3077" t="s">
        <v>1</v>
      </c>
      <c r="F3077" s="18">
        <v>11369.79</v>
      </c>
      <c r="G3077" s="18">
        <v>11369.79</v>
      </c>
      <c r="H3077" t="s">
        <v>2</v>
      </c>
      <c r="I3077" t="s">
        <v>8</v>
      </c>
      <c r="J3077" s="18">
        <v>954493.87</v>
      </c>
      <c r="K3077" t="s">
        <v>6051</v>
      </c>
      <c r="L3077" t="s">
        <v>4</v>
      </c>
      <c r="M3077" t="s">
        <v>6052</v>
      </c>
      <c r="N3077" t="s">
        <v>3</v>
      </c>
      <c r="O3077" t="s">
        <v>3</v>
      </c>
      <c r="P3077" t="s">
        <v>5</v>
      </c>
      <c r="Q3077" t="s">
        <v>6053</v>
      </c>
      <c r="R3077" t="s">
        <v>3</v>
      </c>
      <c r="S3077" t="s">
        <v>3</v>
      </c>
      <c r="T3077" t="s">
        <v>3</v>
      </c>
      <c r="U3077" t="s">
        <v>3</v>
      </c>
      <c r="V3077" t="s">
        <v>3</v>
      </c>
      <c r="W3077" t="s">
        <v>68</v>
      </c>
      <c r="X3077" s="17"/>
      <c r="Y3077" t="s">
        <v>3</v>
      </c>
      <c r="Z3077" s="17">
        <v>43930</v>
      </c>
      <c r="AA3077" t="s">
        <v>3</v>
      </c>
      <c r="AB3077" t="s">
        <v>6050</v>
      </c>
    </row>
    <row r="3078" spans="1:28" hidden="1">
      <c r="A3078" t="s">
        <v>6058</v>
      </c>
      <c r="B3078" s="17">
        <v>43930</v>
      </c>
      <c r="C3078" s="17">
        <v>43930</v>
      </c>
      <c r="D3078" t="s">
        <v>0</v>
      </c>
      <c r="E3078" t="s">
        <v>1</v>
      </c>
      <c r="F3078" s="18">
        <v>10393</v>
      </c>
      <c r="G3078" s="18">
        <v>10393</v>
      </c>
      <c r="H3078" t="s">
        <v>2</v>
      </c>
      <c r="I3078" t="s">
        <v>8</v>
      </c>
      <c r="J3078" s="18">
        <v>872492.35</v>
      </c>
      <c r="K3078" t="s">
        <v>6059</v>
      </c>
      <c r="L3078" t="s">
        <v>9</v>
      </c>
      <c r="M3078" t="s">
        <v>6060</v>
      </c>
      <c r="N3078" t="s">
        <v>3</v>
      </c>
      <c r="O3078" t="s">
        <v>3</v>
      </c>
      <c r="P3078" t="s">
        <v>5</v>
      </c>
      <c r="Q3078" t="s">
        <v>6061</v>
      </c>
      <c r="R3078" t="s">
        <v>3</v>
      </c>
      <c r="S3078" t="s">
        <v>3</v>
      </c>
      <c r="T3078" t="s">
        <v>3</v>
      </c>
      <c r="U3078" t="s">
        <v>3</v>
      </c>
      <c r="V3078" t="s">
        <v>3</v>
      </c>
      <c r="W3078" t="s">
        <v>68</v>
      </c>
      <c r="X3078" s="17"/>
      <c r="Y3078" t="s">
        <v>3</v>
      </c>
      <c r="Z3078" s="17">
        <v>43930</v>
      </c>
      <c r="AA3078" t="s">
        <v>3</v>
      </c>
      <c r="AB3078" t="s">
        <v>6058</v>
      </c>
    </row>
    <row r="3079" spans="1:28" hidden="1">
      <c r="A3079" t="s">
        <v>6058</v>
      </c>
      <c r="B3079" s="17">
        <v>43930</v>
      </c>
      <c r="C3079" s="17">
        <v>43930</v>
      </c>
      <c r="D3079" t="s">
        <v>0</v>
      </c>
      <c r="E3079" t="s">
        <v>1</v>
      </c>
      <c r="F3079" s="18">
        <v>57279</v>
      </c>
      <c r="G3079" s="18">
        <v>57279</v>
      </c>
      <c r="H3079" t="s">
        <v>2</v>
      </c>
      <c r="I3079" t="s">
        <v>8</v>
      </c>
      <c r="J3079" s="18">
        <v>4808572.05</v>
      </c>
      <c r="K3079" t="s">
        <v>6062</v>
      </c>
      <c r="L3079" t="s">
        <v>9</v>
      </c>
      <c r="M3079" t="s">
        <v>6060</v>
      </c>
      <c r="N3079" t="s">
        <v>3</v>
      </c>
      <c r="O3079" t="s">
        <v>3</v>
      </c>
      <c r="P3079" t="s">
        <v>5</v>
      </c>
      <c r="Q3079" t="s">
        <v>6061</v>
      </c>
      <c r="R3079" t="s">
        <v>3</v>
      </c>
      <c r="S3079" t="s">
        <v>3</v>
      </c>
      <c r="T3079" t="s">
        <v>3</v>
      </c>
      <c r="U3079" t="s">
        <v>3</v>
      </c>
      <c r="V3079" t="s">
        <v>3</v>
      </c>
      <c r="W3079" t="s">
        <v>68</v>
      </c>
      <c r="X3079" s="17"/>
      <c r="Y3079" t="s">
        <v>3</v>
      </c>
      <c r="Z3079" s="17">
        <v>43930</v>
      </c>
      <c r="AA3079" t="s">
        <v>3</v>
      </c>
      <c r="AB3079" t="s">
        <v>6058</v>
      </c>
    </row>
    <row r="3080" spans="1:28" hidden="1">
      <c r="A3080" t="s">
        <v>6058</v>
      </c>
      <c r="B3080" s="17">
        <v>43930</v>
      </c>
      <c r="C3080" s="17">
        <v>43930</v>
      </c>
      <c r="D3080" t="s">
        <v>0</v>
      </c>
      <c r="E3080" t="s">
        <v>1</v>
      </c>
      <c r="F3080" s="18">
        <v>9749</v>
      </c>
      <c r="G3080" s="18">
        <v>9749</v>
      </c>
      <c r="H3080" t="s">
        <v>2</v>
      </c>
      <c r="I3080" t="s">
        <v>8</v>
      </c>
      <c r="J3080" s="18">
        <v>818428.55</v>
      </c>
      <c r="K3080" t="s">
        <v>6063</v>
      </c>
      <c r="L3080" t="s">
        <v>9</v>
      </c>
      <c r="M3080" t="s">
        <v>6060</v>
      </c>
      <c r="N3080" t="s">
        <v>3</v>
      </c>
      <c r="O3080" t="s">
        <v>3</v>
      </c>
      <c r="P3080" t="s">
        <v>5</v>
      </c>
      <c r="Q3080" t="s">
        <v>6061</v>
      </c>
      <c r="R3080" t="s">
        <v>3</v>
      </c>
      <c r="S3080" t="s">
        <v>3</v>
      </c>
      <c r="T3080" t="s">
        <v>3</v>
      </c>
      <c r="U3080" t="s">
        <v>3</v>
      </c>
      <c r="V3080" t="s">
        <v>3</v>
      </c>
      <c r="W3080" t="s">
        <v>68</v>
      </c>
      <c r="X3080" s="17"/>
      <c r="Y3080" t="s">
        <v>3</v>
      </c>
      <c r="Z3080" s="17">
        <v>43930</v>
      </c>
      <c r="AA3080" t="s">
        <v>3</v>
      </c>
      <c r="AB3080" t="s">
        <v>6058</v>
      </c>
    </row>
    <row r="3081" spans="1:28" hidden="1">
      <c r="A3081" t="s">
        <v>6064</v>
      </c>
      <c r="B3081" s="17">
        <v>43930</v>
      </c>
      <c r="C3081" s="17">
        <v>43930</v>
      </c>
      <c r="D3081" t="s">
        <v>0</v>
      </c>
      <c r="E3081" t="s">
        <v>1</v>
      </c>
      <c r="F3081" s="18">
        <v>38698</v>
      </c>
      <c r="G3081" s="18">
        <v>38698</v>
      </c>
      <c r="H3081" t="s">
        <v>2</v>
      </c>
      <c r="I3081" t="s">
        <v>8</v>
      </c>
      <c r="J3081" s="18">
        <v>3248697.1</v>
      </c>
      <c r="K3081" t="s">
        <v>6059</v>
      </c>
      <c r="L3081" t="s">
        <v>9</v>
      </c>
      <c r="M3081" t="s">
        <v>6065</v>
      </c>
      <c r="N3081" t="s">
        <v>3</v>
      </c>
      <c r="O3081" t="s">
        <v>3</v>
      </c>
      <c r="P3081" t="s">
        <v>5</v>
      </c>
      <c r="Q3081" t="s">
        <v>6066</v>
      </c>
      <c r="R3081" t="s">
        <v>3</v>
      </c>
      <c r="S3081" t="s">
        <v>3</v>
      </c>
      <c r="T3081" t="s">
        <v>3</v>
      </c>
      <c r="U3081" t="s">
        <v>3</v>
      </c>
      <c r="V3081" t="s">
        <v>3</v>
      </c>
      <c r="W3081" t="s">
        <v>68</v>
      </c>
      <c r="X3081" s="17"/>
      <c r="Y3081" t="s">
        <v>3</v>
      </c>
      <c r="Z3081" s="17">
        <v>43930</v>
      </c>
      <c r="AA3081" t="s">
        <v>3</v>
      </c>
      <c r="AB3081" t="s">
        <v>6064</v>
      </c>
    </row>
    <row r="3082" spans="1:28" hidden="1">
      <c r="A3082" t="s">
        <v>6064</v>
      </c>
      <c r="B3082" s="17">
        <v>43930</v>
      </c>
      <c r="C3082" s="17">
        <v>43930</v>
      </c>
      <c r="D3082" t="s">
        <v>0</v>
      </c>
      <c r="E3082" t="s">
        <v>1</v>
      </c>
      <c r="F3082" s="18">
        <v>102882</v>
      </c>
      <c r="G3082" s="18">
        <v>102882</v>
      </c>
      <c r="H3082" t="s">
        <v>2</v>
      </c>
      <c r="I3082" t="s">
        <v>8</v>
      </c>
      <c r="J3082" s="18">
        <v>8636943.9000000004</v>
      </c>
      <c r="K3082" t="s">
        <v>6062</v>
      </c>
      <c r="L3082" t="s">
        <v>9</v>
      </c>
      <c r="M3082" t="s">
        <v>6065</v>
      </c>
      <c r="N3082" t="s">
        <v>3</v>
      </c>
      <c r="O3082" t="s">
        <v>3</v>
      </c>
      <c r="P3082" t="s">
        <v>5</v>
      </c>
      <c r="Q3082" t="s">
        <v>6066</v>
      </c>
      <c r="R3082" t="s">
        <v>3</v>
      </c>
      <c r="S3082" t="s">
        <v>3</v>
      </c>
      <c r="T3082" t="s">
        <v>3</v>
      </c>
      <c r="U3082" t="s">
        <v>3</v>
      </c>
      <c r="V3082" t="s">
        <v>3</v>
      </c>
      <c r="W3082" t="s">
        <v>68</v>
      </c>
      <c r="X3082" s="17"/>
      <c r="Y3082" t="s">
        <v>3</v>
      </c>
      <c r="Z3082" s="17">
        <v>43930</v>
      </c>
      <c r="AA3082" t="s">
        <v>3</v>
      </c>
      <c r="AB3082" t="s">
        <v>6064</v>
      </c>
    </row>
    <row r="3083" spans="1:28" hidden="1">
      <c r="A3083" t="s">
        <v>6064</v>
      </c>
      <c r="B3083" s="17">
        <v>43930</v>
      </c>
      <c r="C3083" s="17">
        <v>43930</v>
      </c>
      <c r="D3083" t="s">
        <v>0</v>
      </c>
      <c r="E3083" t="s">
        <v>1</v>
      </c>
      <c r="F3083" s="18">
        <v>34964</v>
      </c>
      <c r="G3083" s="18">
        <v>34964</v>
      </c>
      <c r="H3083" t="s">
        <v>2</v>
      </c>
      <c r="I3083" t="s">
        <v>8</v>
      </c>
      <c r="J3083" s="18">
        <v>2935227.8</v>
      </c>
      <c r="K3083" t="s">
        <v>6063</v>
      </c>
      <c r="L3083" t="s">
        <v>9</v>
      </c>
      <c r="M3083" t="s">
        <v>6065</v>
      </c>
      <c r="N3083" t="s">
        <v>3</v>
      </c>
      <c r="O3083" t="s">
        <v>3</v>
      </c>
      <c r="P3083" t="s">
        <v>5</v>
      </c>
      <c r="Q3083" t="s">
        <v>6066</v>
      </c>
      <c r="R3083" t="s">
        <v>3</v>
      </c>
      <c r="S3083" t="s">
        <v>3</v>
      </c>
      <c r="T3083" t="s">
        <v>3</v>
      </c>
      <c r="U3083" t="s">
        <v>3</v>
      </c>
      <c r="V3083" t="s">
        <v>3</v>
      </c>
      <c r="W3083" t="s">
        <v>68</v>
      </c>
      <c r="X3083" s="17"/>
      <c r="Y3083" t="s">
        <v>3</v>
      </c>
      <c r="Z3083" s="17">
        <v>43930</v>
      </c>
      <c r="AA3083" t="s">
        <v>3</v>
      </c>
      <c r="AB3083" t="s">
        <v>6064</v>
      </c>
    </row>
    <row r="3084" spans="1:28" hidden="1">
      <c r="A3084" t="s">
        <v>6064</v>
      </c>
      <c r="B3084" s="17">
        <v>43930</v>
      </c>
      <c r="C3084" s="17">
        <v>43930</v>
      </c>
      <c r="D3084" t="s">
        <v>0</v>
      </c>
      <c r="E3084" t="s">
        <v>1</v>
      </c>
      <c r="F3084" s="18">
        <v>40584</v>
      </c>
      <c r="G3084" s="18">
        <v>40584</v>
      </c>
      <c r="H3084" t="s">
        <v>2</v>
      </c>
      <c r="I3084" t="s">
        <v>8</v>
      </c>
      <c r="J3084" s="18">
        <v>3407026.8</v>
      </c>
      <c r="K3084" t="s">
        <v>6067</v>
      </c>
      <c r="L3084" t="s">
        <v>9</v>
      </c>
      <c r="M3084" t="s">
        <v>6065</v>
      </c>
      <c r="N3084" t="s">
        <v>3</v>
      </c>
      <c r="O3084" t="s">
        <v>3</v>
      </c>
      <c r="P3084" t="s">
        <v>5</v>
      </c>
      <c r="Q3084" t="s">
        <v>6066</v>
      </c>
      <c r="R3084" t="s">
        <v>3</v>
      </c>
      <c r="S3084" t="s">
        <v>3</v>
      </c>
      <c r="T3084" t="s">
        <v>3</v>
      </c>
      <c r="U3084" t="s">
        <v>3</v>
      </c>
      <c r="V3084" t="s">
        <v>3</v>
      </c>
      <c r="W3084" t="s">
        <v>68</v>
      </c>
      <c r="X3084" s="17"/>
      <c r="Y3084" t="s">
        <v>3</v>
      </c>
      <c r="Z3084" s="17">
        <v>43930</v>
      </c>
      <c r="AA3084" t="s">
        <v>3</v>
      </c>
      <c r="AB3084" t="s">
        <v>6064</v>
      </c>
    </row>
    <row r="3085" spans="1:28" hidden="1">
      <c r="A3085" t="s">
        <v>6068</v>
      </c>
      <c r="B3085" s="17">
        <v>43930</v>
      </c>
      <c r="C3085" s="17">
        <v>43930</v>
      </c>
      <c r="D3085" t="s">
        <v>0</v>
      </c>
      <c r="E3085" t="s">
        <v>1</v>
      </c>
      <c r="F3085" s="18">
        <v>3721.32</v>
      </c>
      <c r="G3085" s="18">
        <v>3721.32</v>
      </c>
      <c r="H3085" t="s">
        <v>2</v>
      </c>
      <c r="I3085" t="s">
        <v>8</v>
      </c>
      <c r="J3085" s="18">
        <v>312404.81</v>
      </c>
      <c r="K3085" t="s">
        <v>6069</v>
      </c>
      <c r="L3085" t="s">
        <v>4</v>
      </c>
      <c r="M3085" t="s">
        <v>6070</v>
      </c>
      <c r="N3085" t="s">
        <v>3</v>
      </c>
      <c r="O3085" t="s">
        <v>3</v>
      </c>
      <c r="P3085" t="s">
        <v>5</v>
      </c>
      <c r="Q3085" t="s">
        <v>6071</v>
      </c>
      <c r="R3085" t="s">
        <v>3</v>
      </c>
      <c r="S3085" t="s">
        <v>3</v>
      </c>
      <c r="T3085" t="s">
        <v>3</v>
      </c>
      <c r="U3085" t="s">
        <v>3</v>
      </c>
      <c r="V3085" t="s">
        <v>3</v>
      </c>
      <c r="W3085" t="s">
        <v>68</v>
      </c>
      <c r="X3085" s="17"/>
      <c r="Y3085" t="s">
        <v>3</v>
      </c>
      <c r="Z3085" s="17">
        <v>43930</v>
      </c>
      <c r="AA3085" t="s">
        <v>3</v>
      </c>
      <c r="AB3085" t="s">
        <v>6068</v>
      </c>
    </row>
    <row r="3086" spans="1:28" hidden="1">
      <c r="A3086" t="s">
        <v>6068</v>
      </c>
      <c r="B3086" s="17">
        <v>43930</v>
      </c>
      <c r="C3086" s="17">
        <v>43930</v>
      </c>
      <c r="D3086" t="s">
        <v>0</v>
      </c>
      <c r="E3086" t="s">
        <v>1</v>
      </c>
      <c r="F3086" s="18">
        <v>11150.87</v>
      </c>
      <c r="G3086" s="18">
        <v>11150.87</v>
      </c>
      <c r="H3086" t="s">
        <v>2</v>
      </c>
      <c r="I3086" t="s">
        <v>8</v>
      </c>
      <c r="J3086" s="18">
        <v>936115.54</v>
      </c>
      <c r="K3086" t="s">
        <v>6051</v>
      </c>
      <c r="L3086" t="s">
        <v>4</v>
      </c>
      <c r="M3086" t="s">
        <v>6070</v>
      </c>
      <c r="N3086" t="s">
        <v>3</v>
      </c>
      <c r="O3086" t="s">
        <v>3</v>
      </c>
      <c r="P3086" t="s">
        <v>5</v>
      </c>
      <c r="Q3086" t="s">
        <v>6071</v>
      </c>
      <c r="R3086" t="s">
        <v>3</v>
      </c>
      <c r="S3086" t="s">
        <v>3</v>
      </c>
      <c r="T3086" t="s">
        <v>3</v>
      </c>
      <c r="U3086" t="s">
        <v>3</v>
      </c>
      <c r="V3086" t="s">
        <v>3</v>
      </c>
      <c r="W3086" t="s">
        <v>68</v>
      </c>
      <c r="X3086" s="17"/>
      <c r="Y3086" t="s">
        <v>3</v>
      </c>
      <c r="Z3086" s="17">
        <v>43930</v>
      </c>
      <c r="AA3086" t="s">
        <v>3</v>
      </c>
      <c r="AB3086" t="s">
        <v>6068</v>
      </c>
    </row>
    <row r="3087" spans="1:28" hidden="1">
      <c r="A3087" t="s">
        <v>6068</v>
      </c>
      <c r="B3087" s="17">
        <v>43930</v>
      </c>
      <c r="C3087" s="17">
        <v>43930</v>
      </c>
      <c r="D3087" t="s">
        <v>0</v>
      </c>
      <c r="E3087" t="s">
        <v>1</v>
      </c>
      <c r="F3087" s="18">
        <v>6877.8</v>
      </c>
      <c r="G3087" s="18">
        <v>6877.8</v>
      </c>
      <c r="H3087" t="s">
        <v>2</v>
      </c>
      <c r="I3087" t="s">
        <v>8</v>
      </c>
      <c r="J3087" s="18">
        <v>577391.31000000006</v>
      </c>
      <c r="K3087" t="s">
        <v>6072</v>
      </c>
      <c r="L3087" t="s">
        <v>4</v>
      </c>
      <c r="M3087" t="s">
        <v>6070</v>
      </c>
      <c r="N3087" t="s">
        <v>3</v>
      </c>
      <c r="O3087" t="s">
        <v>3</v>
      </c>
      <c r="P3087" t="s">
        <v>5</v>
      </c>
      <c r="Q3087" t="s">
        <v>6071</v>
      </c>
      <c r="R3087" t="s">
        <v>3</v>
      </c>
      <c r="S3087" t="s">
        <v>3</v>
      </c>
      <c r="T3087" t="s">
        <v>3</v>
      </c>
      <c r="U3087" t="s">
        <v>3</v>
      </c>
      <c r="V3087" t="s">
        <v>3</v>
      </c>
      <c r="W3087" t="s">
        <v>68</v>
      </c>
      <c r="X3087" s="17"/>
      <c r="Y3087" t="s">
        <v>3</v>
      </c>
      <c r="Z3087" s="17">
        <v>43930</v>
      </c>
      <c r="AA3087" t="s">
        <v>3</v>
      </c>
      <c r="AB3087" t="s">
        <v>6068</v>
      </c>
    </row>
    <row r="3088" spans="1:28" hidden="1">
      <c r="A3088" t="s">
        <v>6068</v>
      </c>
      <c r="B3088" s="17">
        <v>43930</v>
      </c>
      <c r="C3088" s="17">
        <v>43930</v>
      </c>
      <c r="D3088" t="s">
        <v>0</v>
      </c>
      <c r="E3088" t="s">
        <v>1</v>
      </c>
      <c r="F3088" s="18">
        <v>8961.82</v>
      </c>
      <c r="G3088" s="18">
        <v>8961.82</v>
      </c>
      <c r="H3088" t="s">
        <v>2</v>
      </c>
      <c r="I3088" t="s">
        <v>8</v>
      </c>
      <c r="J3088" s="18">
        <v>751448.61</v>
      </c>
      <c r="K3088" t="s">
        <v>6073</v>
      </c>
      <c r="L3088" t="s">
        <v>4</v>
      </c>
      <c r="M3088" t="s">
        <v>6070</v>
      </c>
      <c r="N3088" t="s">
        <v>3</v>
      </c>
      <c r="O3088" t="s">
        <v>3</v>
      </c>
      <c r="P3088" t="s">
        <v>5</v>
      </c>
      <c r="Q3088" t="s">
        <v>6071</v>
      </c>
      <c r="R3088" t="s">
        <v>3</v>
      </c>
      <c r="S3088" t="s">
        <v>3</v>
      </c>
      <c r="T3088" t="s">
        <v>3</v>
      </c>
      <c r="U3088" t="s">
        <v>3</v>
      </c>
      <c r="V3088" t="s">
        <v>3</v>
      </c>
      <c r="W3088" t="s">
        <v>68</v>
      </c>
      <c r="X3088" s="17"/>
      <c r="Y3088" t="s">
        <v>3</v>
      </c>
      <c r="Z3088" s="17">
        <v>43930</v>
      </c>
      <c r="AA3088" t="s">
        <v>3</v>
      </c>
      <c r="AB3088" t="s">
        <v>6068</v>
      </c>
    </row>
    <row r="3089" spans="1:28" hidden="1">
      <c r="A3089" t="s">
        <v>6068</v>
      </c>
      <c r="B3089" s="17">
        <v>43930</v>
      </c>
      <c r="C3089" s="17">
        <v>43930</v>
      </c>
      <c r="D3089" t="s">
        <v>0</v>
      </c>
      <c r="E3089" t="s">
        <v>1</v>
      </c>
      <c r="F3089" s="18">
        <v>1796.16</v>
      </c>
      <c r="G3089" s="18">
        <v>1796.16</v>
      </c>
      <c r="H3089" t="s">
        <v>2</v>
      </c>
      <c r="I3089" t="s">
        <v>8</v>
      </c>
      <c r="J3089" s="18">
        <v>150787.63</v>
      </c>
      <c r="K3089" t="s">
        <v>6074</v>
      </c>
      <c r="L3089" t="s">
        <v>4</v>
      </c>
      <c r="M3089" t="s">
        <v>6070</v>
      </c>
      <c r="N3089" t="s">
        <v>3</v>
      </c>
      <c r="O3089" t="s">
        <v>3</v>
      </c>
      <c r="P3089" t="s">
        <v>5</v>
      </c>
      <c r="Q3089" t="s">
        <v>6071</v>
      </c>
      <c r="R3089" t="s">
        <v>3</v>
      </c>
      <c r="S3089" t="s">
        <v>3</v>
      </c>
      <c r="T3089" t="s">
        <v>3</v>
      </c>
      <c r="U3089" t="s">
        <v>3</v>
      </c>
      <c r="V3089" t="s">
        <v>3</v>
      </c>
      <c r="W3089" t="s">
        <v>68</v>
      </c>
      <c r="X3089" s="17"/>
      <c r="Y3089" t="s">
        <v>3</v>
      </c>
      <c r="Z3089" s="17">
        <v>43930</v>
      </c>
      <c r="AA3089" t="s">
        <v>3</v>
      </c>
      <c r="AB3089" t="s">
        <v>6068</v>
      </c>
    </row>
    <row r="3090" spans="1:28" hidden="1">
      <c r="A3090" t="s">
        <v>6075</v>
      </c>
      <c r="B3090" s="17">
        <v>43930</v>
      </c>
      <c r="C3090" s="17">
        <v>43930</v>
      </c>
      <c r="D3090" t="s">
        <v>0</v>
      </c>
      <c r="E3090" t="s">
        <v>1</v>
      </c>
      <c r="F3090" s="18">
        <v>2777.45</v>
      </c>
      <c r="G3090" s="18">
        <v>2777.45</v>
      </c>
      <c r="H3090" t="s">
        <v>2</v>
      </c>
      <c r="I3090" t="s">
        <v>8</v>
      </c>
      <c r="J3090" s="18">
        <v>233166.93</v>
      </c>
      <c r="K3090" t="s">
        <v>6051</v>
      </c>
      <c r="L3090" t="s">
        <v>4</v>
      </c>
      <c r="M3090" t="s">
        <v>6076</v>
      </c>
      <c r="N3090" t="s">
        <v>3</v>
      </c>
      <c r="O3090" t="s">
        <v>3</v>
      </c>
      <c r="P3090" t="s">
        <v>5</v>
      </c>
      <c r="Q3090" t="s">
        <v>6077</v>
      </c>
      <c r="R3090" t="s">
        <v>3</v>
      </c>
      <c r="S3090" t="s">
        <v>3</v>
      </c>
      <c r="T3090" t="s">
        <v>3</v>
      </c>
      <c r="U3090" t="s">
        <v>3</v>
      </c>
      <c r="V3090" t="s">
        <v>3</v>
      </c>
      <c r="W3090" t="s">
        <v>68</v>
      </c>
      <c r="X3090" s="17"/>
      <c r="Y3090" t="s">
        <v>3</v>
      </c>
      <c r="Z3090" s="17">
        <v>43930</v>
      </c>
      <c r="AA3090" t="s">
        <v>3</v>
      </c>
      <c r="AB3090" t="s">
        <v>6075</v>
      </c>
    </row>
    <row r="3091" spans="1:28" hidden="1">
      <c r="A3091" t="s">
        <v>6078</v>
      </c>
      <c r="B3091" s="17">
        <v>43930</v>
      </c>
      <c r="C3091" s="17">
        <v>43930</v>
      </c>
      <c r="D3091" t="s">
        <v>0</v>
      </c>
      <c r="E3091" t="s">
        <v>1</v>
      </c>
      <c r="F3091" s="18">
        <v>-122876.79</v>
      </c>
      <c r="G3091" s="18">
        <v>-122876.79</v>
      </c>
      <c r="H3091" t="s">
        <v>2</v>
      </c>
      <c r="I3091" t="s">
        <v>8</v>
      </c>
      <c r="J3091" s="18">
        <v>-10315506.52</v>
      </c>
      <c r="K3091" t="s">
        <v>6079</v>
      </c>
      <c r="L3091" t="s">
        <v>4</v>
      </c>
      <c r="M3091" t="s">
        <v>6080</v>
      </c>
      <c r="N3091" t="s">
        <v>3</v>
      </c>
      <c r="O3091" t="s">
        <v>3</v>
      </c>
      <c r="P3091" t="s">
        <v>5</v>
      </c>
      <c r="Q3091" t="s">
        <v>6081</v>
      </c>
      <c r="R3091" t="s">
        <v>3</v>
      </c>
      <c r="S3091" t="s">
        <v>3</v>
      </c>
      <c r="T3091" t="s">
        <v>3</v>
      </c>
      <c r="U3091" t="s">
        <v>3</v>
      </c>
      <c r="V3091" t="s">
        <v>3</v>
      </c>
      <c r="W3091" t="s">
        <v>68</v>
      </c>
      <c r="X3091" s="17"/>
      <c r="Y3091" t="s">
        <v>3</v>
      </c>
      <c r="Z3091" s="17">
        <v>43930</v>
      </c>
      <c r="AA3091" t="s">
        <v>3</v>
      </c>
      <c r="AB3091" t="s">
        <v>6078</v>
      </c>
    </row>
    <row r="3092" spans="1:28" hidden="1">
      <c r="A3092" t="s">
        <v>6082</v>
      </c>
      <c r="B3092" s="17">
        <v>43930</v>
      </c>
      <c r="C3092" s="17">
        <v>43930</v>
      </c>
      <c r="D3092" t="s">
        <v>0</v>
      </c>
      <c r="E3092" t="s">
        <v>1</v>
      </c>
      <c r="F3092" s="18">
        <v>4385.87</v>
      </c>
      <c r="G3092" s="18">
        <v>4385.87</v>
      </c>
      <c r="H3092" t="s">
        <v>2</v>
      </c>
      <c r="I3092" t="s">
        <v>8</v>
      </c>
      <c r="J3092" s="18">
        <v>368193.79</v>
      </c>
      <c r="K3092" t="s">
        <v>6069</v>
      </c>
      <c r="L3092" t="s">
        <v>4</v>
      </c>
      <c r="M3092" t="s">
        <v>6083</v>
      </c>
      <c r="N3092" t="s">
        <v>3</v>
      </c>
      <c r="O3092" t="s">
        <v>3</v>
      </c>
      <c r="P3092" t="s">
        <v>5</v>
      </c>
      <c r="Q3092" t="s">
        <v>6084</v>
      </c>
      <c r="R3092" t="s">
        <v>3</v>
      </c>
      <c r="S3092" t="s">
        <v>3</v>
      </c>
      <c r="T3092" t="s">
        <v>3</v>
      </c>
      <c r="U3092" t="s">
        <v>3</v>
      </c>
      <c r="V3092" t="s">
        <v>3</v>
      </c>
      <c r="W3092" t="s">
        <v>68</v>
      </c>
      <c r="X3092" s="17"/>
      <c r="Y3092" t="s">
        <v>3</v>
      </c>
      <c r="Z3092" s="17">
        <v>43930</v>
      </c>
      <c r="AA3092" t="s">
        <v>3</v>
      </c>
      <c r="AB3092" t="s">
        <v>6082</v>
      </c>
    </row>
    <row r="3093" spans="1:28" hidden="1">
      <c r="A3093" t="s">
        <v>6082</v>
      </c>
      <c r="B3093" s="17">
        <v>43930</v>
      </c>
      <c r="C3093" s="17">
        <v>43930</v>
      </c>
      <c r="D3093" t="s">
        <v>0</v>
      </c>
      <c r="E3093" t="s">
        <v>1</v>
      </c>
      <c r="F3093" s="18">
        <v>933.7</v>
      </c>
      <c r="G3093" s="18">
        <v>933.7</v>
      </c>
      <c r="H3093" t="s">
        <v>2</v>
      </c>
      <c r="I3093" t="s">
        <v>8</v>
      </c>
      <c r="J3093" s="18">
        <v>78384.12</v>
      </c>
      <c r="K3093" t="s">
        <v>6051</v>
      </c>
      <c r="L3093" t="s">
        <v>4</v>
      </c>
      <c r="M3093" t="s">
        <v>6083</v>
      </c>
      <c r="N3093" t="s">
        <v>3</v>
      </c>
      <c r="O3093" t="s">
        <v>3</v>
      </c>
      <c r="P3093" t="s">
        <v>5</v>
      </c>
      <c r="Q3093" t="s">
        <v>6084</v>
      </c>
      <c r="R3093" t="s">
        <v>3</v>
      </c>
      <c r="S3093" t="s">
        <v>3</v>
      </c>
      <c r="T3093" t="s">
        <v>3</v>
      </c>
      <c r="U3093" t="s">
        <v>3</v>
      </c>
      <c r="V3093" t="s">
        <v>3</v>
      </c>
      <c r="W3093" t="s">
        <v>68</v>
      </c>
      <c r="X3093" s="17"/>
      <c r="Y3093" t="s">
        <v>3</v>
      </c>
      <c r="Z3093" s="17">
        <v>43930</v>
      </c>
      <c r="AA3093" t="s">
        <v>3</v>
      </c>
      <c r="AB3093" t="s">
        <v>6082</v>
      </c>
    </row>
    <row r="3094" spans="1:28" hidden="1">
      <c r="A3094" t="s">
        <v>6082</v>
      </c>
      <c r="B3094" s="17">
        <v>43930</v>
      </c>
      <c r="C3094" s="17">
        <v>43930</v>
      </c>
      <c r="D3094" t="s">
        <v>0</v>
      </c>
      <c r="E3094" t="s">
        <v>1</v>
      </c>
      <c r="F3094" s="18">
        <v>2544.12</v>
      </c>
      <c r="G3094" s="18">
        <v>2544.12</v>
      </c>
      <c r="H3094" t="s">
        <v>2</v>
      </c>
      <c r="I3094" t="s">
        <v>8</v>
      </c>
      <c r="J3094" s="18">
        <v>213578.87</v>
      </c>
      <c r="K3094" t="s">
        <v>6072</v>
      </c>
      <c r="L3094" t="s">
        <v>4</v>
      </c>
      <c r="M3094" t="s">
        <v>6083</v>
      </c>
      <c r="N3094" t="s">
        <v>3</v>
      </c>
      <c r="O3094" t="s">
        <v>3</v>
      </c>
      <c r="P3094" t="s">
        <v>5</v>
      </c>
      <c r="Q3094" t="s">
        <v>6084</v>
      </c>
      <c r="R3094" t="s">
        <v>3</v>
      </c>
      <c r="S3094" t="s">
        <v>3</v>
      </c>
      <c r="T3094" t="s">
        <v>3</v>
      </c>
      <c r="U3094" t="s">
        <v>3</v>
      </c>
      <c r="V3094" t="s">
        <v>3</v>
      </c>
      <c r="W3094" t="s">
        <v>68</v>
      </c>
      <c r="X3094" s="17"/>
      <c r="Y3094" t="s">
        <v>3</v>
      </c>
      <c r="Z3094" s="17">
        <v>43930</v>
      </c>
      <c r="AA3094" t="s">
        <v>3</v>
      </c>
      <c r="AB3094" t="s">
        <v>6082</v>
      </c>
    </row>
    <row r="3095" spans="1:28" hidden="1">
      <c r="A3095" t="s">
        <v>6082</v>
      </c>
      <c r="B3095" s="17">
        <v>43930</v>
      </c>
      <c r="C3095" s="17">
        <v>43930</v>
      </c>
      <c r="D3095" t="s">
        <v>0</v>
      </c>
      <c r="E3095" t="s">
        <v>1</v>
      </c>
      <c r="F3095" s="18">
        <v>539</v>
      </c>
      <c r="G3095" s="18">
        <v>539</v>
      </c>
      <c r="H3095" t="s">
        <v>2</v>
      </c>
      <c r="I3095" t="s">
        <v>8</v>
      </c>
      <c r="J3095" s="18">
        <v>44844.800000000003</v>
      </c>
      <c r="K3095" t="s">
        <v>6085</v>
      </c>
      <c r="L3095" t="s">
        <v>4</v>
      </c>
      <c r="M3095" t="s">
        <v>6083</v>
      </c>
      <c r="N3095" t="s">
        <v>3</v>
      </c>
      <c r="O3095" t="s">
        <v>3</v>
      </c>
      <c r="P3095" t="s">
        <v>5</v>
      </c>
      <c r="Q3095" t="s">
        <v>6084</v>
      </c>
      <c r="R3095" t="s">
        <v>3</v>
      </c>
      <c r="S3095" t="s">
        <v>3</v>
      </c>
      <c r="T3095" t="s">
        <v>3</v>
      </c>
      <c r="U3095" t="s">
        <v>3</v>
      </c>
      <c r="V3095" t="s">
        <v>3</v>
      </c>
      <c r="W3095" t="s">
        <v>68</v>
      </c>
      <c r="X3095" s="17"/>
      <c r="Y3095" t="s">
        <v>3</v>
      </c>
      <c r="Z3095" s="17">
        <v>43930</v>
      </c>
      <c r="AA3095" t="s">
        <v>3</v>
      </c>
      <c r="AB3095" t="s">
        <v>6082</v>
      </c>
    </row>
    <row r="3096" spans="1:28" hidden="1">
      <c r="A3096" t="s">
        <v>6086</v>
      </c>
      <c r="B3096" s="17">
        <v>43930</v>
      </c>
      <c r="C3096" s="17">
        <v>43930</v>
      </c>
      <c r="D3096" t="s">
        <v>0</v>
      </c>
      <c r="E3096" t="s">
        <v>1</v>
      </c>
      <c r="F3096" s="18">
        <v>8431.56</v>
      </c>
      <c r="G3096" s="18">
        <v>8431.56</v>
      </c>
      <c r="H3096" t="s">
        <v>2</v>
      </c>
      <c r="I3096" t="s">
        <v>8</v>
      </c>
      <c r="J3096" s="18">
        <v>707829.46</v>
      </c>
      <c r="K3096" t="s">
        <v>6069</v>
      </c>
      <c r="L3096" t="s">
        <v>4</v>
      </c>
      <c r="M3096" t="s">
        <v>6087</v>
      </c>
      <c r="N3096" t="s">
        <v>3</v>
      </c>
      <c r="O3096" t="s">
        <v>3</v>
      </c>
      <c r="P3096" t="s">
        <v>5</v>
      </c>
      <c r="Q3096" t="s">
        <v>6088</v>
      </c>
      <c r="R3096" t="s">
        <v>3</v>
      </c>
      <c r="S3096" t="s">
        <v>3</v>
      </c>
      <c r="T3096" t="s">
        <v>3</v>
      </c>
      <c r="U3096" t="s">
        <v>3</v>
      </c>
      <c r="V3096" t="s">
        <v>3</v>
      </c>
      <c r="W3096" t="s">
        <v>68</v>
      </c>
      <c r="X3096" s="17"/>
      <c r="Y3096" t="s">
        <v>3</v>
      </c>
      <c r="Z3096" s="17">
        <v>43930</v>
      </c>
      <c r="AA3096" t="s">
        <v>3</v>
      </c>
      <c r="AB3096" t="s">
        <v>6086</v>
      </c>
    </row>
    <row r="3097" spans="1:28" hidden="1">
      <c r="A3097" t="s">
        <v>6086</v>
      </c>
      <c r="B3097" s="17">
        <v>43930</v>
      </c>
      <c r="C3097" s="17">
        <v>43930</v>
      </c>
      <c r="D3097" t="s">
        <v>0</v>
      </c>
      <c r="E3097" t="s">
        <v>1</v>
      </c>
      <c r="F3097" s="18">
        <v>2214.2600000000002</v>
      </c>
      <c r="G3097" s="18">
        <v>2214.2600000000002</v>
      </c>
      <c r="H3097" t="s">
        <v>2</v>
      </c>
      <c r="I3097" t="s">
        <v>8</v>
      </c>
      <c r="J3097" s="18">
        <v>185887.13</v>
      </c>
      <c r="K3097" t="s">
        <v>6051</v>
      </c>
      <c r="L3097" t="s">
        <v>4</v>
      </c>
      <c r="M3097" t="s">
        <v>6087</v>
      </c>
      <c r="N3097" t="s">
        <v>3</v>
      </c>
      <c r="O3097" t="s">
        <v>3</v>
      </c>
      <c r="P3097" t="s">
        <v>5</v>
      </c>
      <c r="Q3097" t="s">
        <v>6088</v>
      </c>
      <c r="R3097" t="s">
        <v>3</v>
      </c>
      <c r="S3097" t="s">
        <v>3</v>
      </c>
      <c r="T3097" t="s">
        <v>3</v>
      </c>
      <c r="U3097" t="s">
        <v>3</v>
      </c>
      <c r="V3097" t="s">
        <v>3</v>
      </c>
      <c r="W3097" t="s">
        <v>68</v>
      </c>
      <c r="X3097" s="17"/>
      <c r="Y3097" t="s">
        <v>3</v>
      </c>
      <c r="Z3097" s="17">
        <v>43930</v>
      </c>
      <c r="AA3097" t="s">
        <v>3</v>
      </c>
      <c r="AB3097" t="s">
        <v>6086</v>
      </c>
    </row>
    <row r="3098" spans="1:28" hidden="1">
      <c r="A3098" t="s">
        <v>6086</v>
      </c>
      <c r="B3098" s="17">
        <v>43930</v>
      </c>
      <c r="C3098" s="17">
        <v>43930</v>
      </c>
      <c r="D3098" t="s">
        <v>0</v>
      </c>
      <c r="E3098" t="s">
        <v>1</v>
      </c>
      <c r="F3098" s="18">
        <v>5046.43</v>
      </c>
      <c r="G3098" s="18">
        <v>5046.43</v>
      </c>
      <c r="H3098" t="s">
        <v>2</v>
      </c>
      <c r="I3098" t="s">
        <v>8</v>
      </c>
      <c r="J3098" s="18">
        <v>423647.8</v>
      </c>
      <c r="K3098" t="s">
        <v>6072</v>
      </c>
      <c r="L3098" t="s">
        <v>4</v>
      </c>
      <c r="M3098" t="s">
        <v>6087</v>
      </c>
      <c r="N3098" t="s">
        <v>3</v>
      </c>
      <c r="O3098" t="s">
        <v>3</v>
      </c>
      <c r="P3098" t="s">
        <v>5</v>
      </c>
      <c r="Q3098" t="s">
        <v>6088</v>
      </c>
      <c r="R3098" t="s">
        <v>3</v>
      </c>
      <c r="S3098" t="s">
        <v>3</v>
      </c>
      <c r="T3098" t="s">
        <v>3</v>
      </c>
      <c r="U3098" t="s">
        <v>3</v>
      </c>
      <c r="V3098" t="s">
        <v>3</v>
      </c>
      <c r="W3098" t="s">
        <v>68</v>
      </c>
      <c r="X3098" s="17"/>
      <c r="Y3098" t="s">
        <v>3</v>
      </c>
      <c r="Z3098" s="17">
        <v>43930</v>
      </c>
      <c r="AA3098" t="s">
        <v>3</v>
      </c>
      <c r="AB3098" t="s">
        <v>6086</v>
      </c>
    </row>
    <row r="3099" spans="1:28" hidden="1">
      <c r="A3099" t="s">
        <v>6086</v>
      </c>
      <c r="B3099" s="17">
        <v>43930</v>
      </c>
      <c r="C3099" s="17">
        <v>43930</v>
      </c>
      <c r="D3099" t="s">
        <v>0</v>
      </c>
      <c r="E3099" t="s">
        <v>1</v>
      </c>
      <c r="F3099" s="18">
        <v>1190.01</v>
      </c>
      <c r="G3099" s="18">
        <v>1190.01</v>
      </c>
      <c r="H3099" t="s">
        <v>2</v>
      </c>
      <c r="I3099" t="s">
        <v>8</v>
      </c>
      <c r="J3099" s="18">
        <v>99008.83</v>
      </c>
      <c r="K3099" t="s">
        <v>6085</v>
      </c>
      <c r="L3099" t="s">
        <v>4</v>
      </c>
      <c r="M3099" t="s">
        <v>6087</v>
      </c>
      <c r="N3099" t="s">
        <v>3</v>
      </c>
      <c r="O3099" t="s">
        <v>3</v>
      </c>
      <c r="P3099" t="s">
        <v>5</v>
      </c>
      <c r="Q3099" t="s">
        <v>6088</v>
      </c>
      <c r="R3099" t="s">
        <v>3</v>
      </c>
      <c r="S3099" t="s">
        <v>3</v>
      </c>
      <c r="T3099" t="s">
        <v>3</v>
      </c>
      <c r="U3099" t="s">
        <v>3</v>
      </c>
      <c r="V3099" t="s">
        <v>3</v>
      </c>
      <c r="W3099" t="s">
        <v>68</v>
      </c>
      <c r="X3099" s="17"/>
      <c r="Y3099" t="s">
        <v>3</v>
      </c>
      <c r="Z3099" s="17">
        <v>43930</v>
      </c>
      <c r="AA3099" t="s">
        <v>3</v>
      </c>
      <c r="AB3099" t="s">
        <v>6086</v>
      </c>
    </row>
    <row r="3100" spans="1:28" hidden="1">
      <c r="A3100" t="s">
        <v>6121</v>
      </c>
      <c r="B3100" s="17">
        <v>43930</v>
      </c>
      <c r="C3100" s="17">
        <v>43930</v>
      </c>
      <c r="D3100" t="s">
        <v>0</v>
      </c>
      <c r="E3100" t="s">
        <v>1</v>
      </c>
      <c r="F3100" s="18">
        <v>-215423.75</v>
      </c>
      <c r="G3100" s="18">
        <v>-215423.75</v>
      </c>
      <c r="H3100" t="s">
        <v>2</v>
      </c>
      <c r="I3100" t="s">
        <v>10</v>
      </c>
      <c r="J3100" s="18">
        <v>-18084823.82</v>
      </c>
      <c r="K3100" t="s">
        <v>6122</v>
      </c>
      <c r="L3100" t="s">
        <v>4</v>
      </c>
      <c r="M3100" t="s">
        <v>6123</v>
      </c>
      <c r="N3100" t="s">
        <v>3</v>
      </c>
      <c r="O3100" t="s">
        <v>3</v>
      </c>
      <c r="P3100" t="s">
        <v>5</v>
      </c>
      <c r="Q3100" t="s">
        <v>6124</v>
      </c>
      <c r="R3100" t="s">
        <v>3</v>
      </c>
      <c r="S3100" t="s">
        <v>3</v>
      </c>
      <c r="T3100" t="s">
        <v>3</v>
      </c>
      <c r="U3100" t="s">
        <v>3</v>
      </c>
      <c r="V3100" t="s">
        <v>3</v>
      </c>
      <c r="W3100" t="s">
        <v>68</v>
      </c>
      <c r="X3100" s="17"/>
      <c r="Y3100" t="s">
        <v>3</v>
      </c>
      <c r="Z3100" s="17">
        <v>43930</v>
      </c>
      <c r="AA3100" t="s">
        <v>3</v>
      </c>
      <c r="AB3100" t="s">
        <v>6121</v>
      </c>
    </row>
    <row r="3101" spans="1:28" hidden="1">
      <c r="A3101" t="s">
        <v>6089</v>
      </c>
      <c r="B3101" s="17">
        <v>43942</v>
      </c>
      <c r="C3101" s="17">
        <v>43942</v>
      </c>
      <c r="D3101" t="s">
        <v>0</v>
      </c>
      <c r="E3101" t="s">
        <v>1</v>
      </c>
      <c r="F3101" s="18">
        <v>-328191</v>
      </c>
      <c r="G3101" s="18">
        <v>-328191</v>
      </c>
      <c r="H3101" t="s">
        <v>2</v>
      </c>
      <c r="I3101" t="s">
        <v>8</v>
      </c>
      <c r="J3101" s="18">
        <v>-27551634.449999999</v>
      </c>
      <c r="K3101" t="s">
        <v>6090</v>
      </c>
      <c r="L3101" t="s">
        <v>9</v>
      </c>
      <c r="M3101" t="s">
        <v>6091</v>
      </c>
      <c r="N3101" t="s">
        <v>3</v>
      </c>
      <c r="O3101" t="s">
        <v>3</v>
      </c>
      <c r="P3101" t="s">
        <v>5</v>
      </c>
      <c r="Q3101" t="s">
        <v>6092</v>
      </c>
      <c r="R3101" t="s">
        <v>3</v>
      </c>
      <c r="S3101" t="s">
        <v>3</v>
      </c>
      <c r="T3101" t="s">
        <v>3</v>
      </c>
      <c r="U3101" t="s">
        <v>3</v>
      </c>
      <c r="V3101" t="s">
        <v>3</v>
      </c>
      <c r="W3101" t="s">
        <v>68</v>
      </c>
      <c r="X3101" s="17"/>
      <c r="Y3101" t="s">
        <v>3</v>
      </c>
      <c r="Z3101" s="17">
        <v>43942</v>
      </c>
      <c r="AA3101" t="s">
        <v>3</v>
      </c>
      <c r="AB3101" t="s">
        <v>6089</v>
      </c>
    </row>
    <row r="3102" spans="1:28" hidden="1">
      <c r="A3102" t="s">
        <v>6093</v>
      </c>
      <c r="B3102" s="17">
        <v>43942</v>
      </c>
      <c r="C3102" s="17">
        <v>43942</v>
      </c>
      <c r="D3102" t="s">
        <v>0</v>
      </c>
      <c r="E3102" t="s">
        <v>1</v>
      </c>
      <c r="F3102" s="18">
        <v>3021.62</v>
      </c>
      <c r="G3102" s="18">
        <v>3021.62</v>
      </c>
      <c r="H3102" t="s">
        <v>2</v>
      </c>
      <c r="I3102" t="s">
        <v>8</v>
      </c>
      <c r="J3102" s="18">
        <v>253665</v>
      </c>
      <c r="K3102" t="s">
        <v>6069</v>
      </c>
      <c r="L3102" t="s">
        <v>4</v>
      </c>
      <c r="M3102" t="s">
        <v>6094</v>
      </c>
      <c r="N3102" t="s">
        <v>3</v>
      </c>
      <c r="O3102" t="s">
        <v>3</v>
      </c>
      <c r="P3102" t="s">
        <v>5</v>
      </c>
      <c r="Q3102" t="s">
        <v>6095</v>
      </c>
      <c r="R3102" t="s">
        <v>3</v>
      </c>
      <c r="S3102" t="s">
        <v>3</v>
      </c>
      <c r="T3102" t="s">
        <v>3</v>
      </c>
      <c r="U3102" t="s">
        <v>3</v>
      </c>
      <c r="V3102" t="s">
        <v>3</v>
      </c>
      <c r="W3102" t="s">
        <v>68</v>
      </c>
      <c r="X3102" s="17"/>
      <c r="Y3102" t="s">
        <v>3</v>
      </c>
      <c r="Z3102" s="17">
        <v>43942</v>
      </c>
      <c r="AA3102" t="s">
        <v>3</v>
      </c>
      <c r="AB3102" t="s">
        <v>6093</v>
      </c>
    </row>
    <row r="3103" spans="1:28" hidden="1">
      <c r="A3103" t="s">
        <v>6093</v>
      </c>
      <c r="B3103" s="17">
        <v>43942</v>
      </c>
      <c r="C3103" s="17">
        <v>43942</v>
      </c>
      <c r="D3103" t="s">
        <v>0</v>
      </c>
      <c r="E3103" t="s">
        <v>1</v>
      </c>
      <c r="F3103" s="18">
        <v>513.95000000000005</v>
      </c>
      <c r="G3103" s="18">
        <v>513.95000000000005</v>
      </c>
      <c r="H3103" t="s">
        <v>2</v>
      </c>
      <c r="I3103" t="s">
        <v>8</v>
      </c>
      <c r="J3103" s="18">
        <v>43146.1</v>
      </c>
      <c r="K3103" t="s">
        <v>6096</v>
      </c>
      <c r="L3103" t="s">
        <v>4</v>
      </c>
      <c r="M3103" t="s">
        <v>6094</v>
      </c>
      <c r="N3103" t="s">
        <v>3</v>
      </c>
      <c r="O3103" t="s">
        <v>3</v>
      </c>
      <c r="P3103" t="s">
        <v>5</v>
      </c>
      <c r="Q3103" t="s">
        <v>6095</v>
      </c>
      <c r="R3103" t="s">
        <v>3</v>
      </c>
      <c r="S3103" t="s">
        <v>3</v>
      </c>
      <c r="T3103" t="s">
        <v>3</v>
      </c>
      <c r="U3103" t="s">
        <v>3</v>
      </c>
      <c r="V3103" t="s">
        <v>3</v>
      </c>
      <c r="W3103" t="s">
        <v>68</v>
      </c>
      <c r="X3103" s="17"/>
      <c r="Y3103" t="s">
        <v>3</v>
      </c>
      <c r="Z3103" s="17">
        <v>43942</v>
      </c>
      <c r="AA3103" t="s">
        <v>3</v>
      </c>
      <c r="AB3103" t="s">
        <v>6093</v>
      </c>
    </row>
    <row r="3104" spans="1:28" hidden="1">
      <c r="A3104" t="s">
        <v>6093</v>
      </c>
      <c r="B3104" s="17">
        <v>43942</v>
      </c>
      <c r="C3104" s="17">
        <v>43942</v>
      </c>
      <c r="D3104" t="s">
        <v>0</v>
      </c>
      <c r="E3104" t="s">
        <v>1</v>
      </c>
      <c r="F3104" s="18">
        <v>6278.82</v>
      </c>
      <c r="G3104" s="18">
        <v>6278.82</v>
      </c>
      <c r="H3104" t="s">
        <v>2</v>
      </c>
      <c r="I3104" t="s">
        <v>8</v>
      </c>
      <c r="J3104" s="18">
        <v>527106.93999999994</v>
      </c>
      <c r="K3104" t="s">
        <v>6051</v>
      </c>
      <c r="L3104" t="s">
        <v>4</v>
      </c>
      <c r="M3104" t="s">
        <v>6094</v>
      </c>
      <c r="N3104" t="s">
        <v>3</v>
      </c>
      <c r="O3104" t="s">
        <v>3</v>
      </c>
      <c r="P3104" t="s">
        <v>5</v>
      </c>
      <c r="Q3104" t="s">
        <v>6095</v>
      </c>
      <c r="R3104" t="s">
        <v>3</v>
      </c>
      <c r="S3104" t="s">
        <v>3</v>
      </c>
      <c r="T3104" t="s">
        <v>3</v>
      </c>
      <c r="U3104" t="s">
        <v>3</v>
      </c>
      <c r="V3104" t="s">
        <v>3</v>
      </c>
      <c r="W3104" t="s">
        <v>68</v>
      </c>
      <c r="X3104" s="17"/>
      <c r="Y3104" t="s">
        <v>3</v>
      </c>
      <c r="Z3104" s="17">
        <v>43942</v>
      </c>
      <c r="AA3104" t="s">
        <v>3</v>
      </c>
      <c r="AB3104" t="s">
        <v>6093</v>
      </c>
    </row>
    <row r="3105" spans="1:28" hidden="1">
      <c r="A3105" t="s">
        <v>6093</v>
      </c>
      <c r="B3105" s="17">
        <v>43942</v>
      </c>
      <c r="C3105" s="17">
        <v>43942</v>
      </c>
      <c r="D3105" t="s">
        <v>0</v>
      </c>
      <c r="E3105" t="s">
        <v>1</v>
      </c>
      <c r="F3105" s="18">
        <v>2472.7600000000002</v>
      </c>
      <c r="G3105" s="18">
        <v>2472.7600000000002</v>
      </c>
      <c r="H3105" t="s">
        <v>2</v>
      </c>
      <c r="I3105" t="s">
        <v>8</v>
      </c>
      <c r="J3105" s="18">
        <v>207588.2</v>
      </c>
      <c r="K3105" t="s">
        <v>6072</v>
      </c>
      <c r="L3105" t="s">
        <v>4</v>
      </c>
      <c r="M3105" t="s">
        <v>6094</v>
      </c>
      <c r="N3105" t="s">
        <v>3</v>
      </c>
      <c r="O3105" t="s">
        <v>3</v>
      </c>
      <c r="P3105" t="s">
        <v>5</v>
      </c>
      <c r="Q3105" t="s">
        <v>6095</v>
      </c>
      <c r="R3105" t="s">
        <v>3</v>
      </c>
      <c r="S3105" t="s">
        <v>3</v>
      </c>
      <c r="T3105" t="s">
        <v>3</v>
      </c>
      <c r="U3105" t="s">
        <v>3</v>
      </c>
      <c r="V3105" t="s">
        <v>3</v>
      </c>
      <c r="W3105" t="s">
        <v>68</v>
      </c>
      <c r="X3105" s="17"/>
      <c r="Y3105" t="s">
        <v>3</v>
      </c>
      <c r="Z3105" s="17">
        <v>43942</v>
      </c>
      <c r="AA3105" t="s">
        <v>3</v>
      </c>
      <c r="AB3105" t="s">
        <v>6093</v>
      </c>
    </row>
    <row r="3106" spans="1:28" hidden="1">
      <c r="A3106" t="s">
        <v>6093</v>
      </c>
      <c r="B3106" s="17">
        <v>43942</v>
      </c>
      <c r="C3106" s="17">
        <v>43942</v>
      </c>
      <c r="D3106" t="s">
        <v>0</v>
      </c>
      <c r="E3106" t="s">
        <v>1</v>
      </c>
      <c r="F3106" s="18">
        <v>29031.84</v>
      </c>
      <c r="G3106" s="18">
        <v>29031.84</v>
      </c>
      <c r="H3106" t="s">
        <v>2</v>
      </c>
      <c r="I3106" t="s">
        <v>8</v>
      </c>
      <c r="J3106" s="18">
        <v>2437222.9700000002</v>
      </c>
      <c r="K3106" t="s">
        <v>6074</v>
      </c>
      <c r="L3106" t="s">
        <v>4</v>
      </c>
      <c r="M3106" t="s">
        <v>6094</v>
      </c>
      <c r="N3106" t="s">
        <v>3</v>
      </c>
      <c r="O3106" t="s">
        <v>3</v>
      </c>
      <c r="P3106" t="s">
        <v>5</v>
      </c>
      <c r="Q3106" t="s">
        <v>6095</v>
      </c>
      <c r="R3106" t="s">
        <v>3</v>
      </c>
      <c r="S3106" t="s">
        <v>3</v>
      </c>
      <c r="T3106" t="s">
        <v>3</v>
      </c>
      <c r="U3106" t="s">
        <v>3</v>
      </c>
      <c r="V3106" t="s">
        <v>3</v>
      </c>
      <c r="W3106" t="s">
        <v>68</v>
      </c>
      <c r="X3106" s="17"/>
      <c r="Y3106" t="s">
        <v>3</v>
      </c>
      <c r="Z3106" s="17">
        <v>43942</v>
      </c>
      <c r="AA3106" t="s">
        <v>3</v>
      </c>
      <c r="AB3106" t="s">
        <v>6093</v>
      </c>
    </row>
    <row r="3107" spans="1:28" hidden="1">
      <c r="A3107" t="s">
        <v>6093</v>
      </c>
      <c r="B3107" s="17">
        <v>43942</v>
      </c>
      <c r="C3107" s="17">
        <v>43942</v>
      </c>
      <c r="D3107" t="s">
        <v>0</v>
      </c>
      <c r="E3107" t="s">
        <v>1</v>
      </c>
      <c r="F3107" s="18">
        <v>6546.67</v>
      </c>
      <c r="G3107" s="18">
        <v>6546.67</v>
      </c>
      <c r="H3107" t="s">
        <v>2</v>
      </c>
      <c r="I3107" t="s">
        <v>8</v>
      </c>
      <c r="J3107" s="18">
        <v>549592.94999999995</v>
      </c>
      <c r="K3107" t="s">
        <v>6097</v>
      </c>
      <c r="L3107" t="s">
        <v>4</v>
      </c>
      <c r="M3107" t="s">
        <v>6094</v>
      </c>
      <c r="N3107" t="s">
        <v>3</v>
      </c>
      <c r="O3107" t="s">
        <v>3</v>
      </c>
      <c r="P3107" t="s">
        <v>5</v>
      </c>
      <c r="Q3107" t="s">
        <v>6095</v>
      </c>
      <c r="R3107" t="s">
        <v>3</v>
      </c>
      <c r="S3107" t="s">
        <v>3</v>
      </c>
      <c r="T3107" t="s">
        <v>3</v>
      </c>
      <c r="U3107" t="s">
        <v>3</v>
      </c>
      <c r="V3107" t="s">
        <v>3</v>
      </c>
      <c r="W3107" t="s">
        <v>68</v>
      </c>
      <c r="X3107" s="17"/>
      <c r="Y3107" t="s">
        <v>3</v>
      </c>
      <c r="Z3107" s="17">
        <v>43942</v>
      </c>
      <c r="AA3107" t="s">
        <v>3</v>
      </c>
      <c r="AB3107" t="s">
        <v>6093</v>
      </c>
    </row>
    <row r="3108" spans="1:28" hidden="1">
      <c r="A3108" t="s">
        <v>6098</v>
      </c>
      <c r="B3108" s="17">
        <v>43942</v>
      </c>
      <c r="C3108" s="17">
        <v>43942</v>
      </c>
      <c r="D3108" t="s">
        <v>0</v>
      </c>
      <c r="E3108" t="s">
        <v>1</v>
      </c>
      <c r="F3108" s="18">
        <v>1956</v>
      </c>
      <c r="G3108" s="18">
        <v>1956</v>
      </c>
      <c r="H3108" t="s">
        <v>2</v>
      </c>
      <c r="I3108" t="s">
        <v>8</v>
      </c>
      <c r="J3108" s="18">
        <v>163326</v>
      </c>
      <c r="K3108" t="s">
        <v>6099</v>
      </c>
      <c r="L3108" t="s">
        <v>9</v>
      </c>
      <c r="M3108" t="s">
        <v>6100</v>
      </c>
      <c r="N3108" t="s">
        <v>3</v>
      </c>
      <c r="O3108" t="s">
        <v>3</v>
      </c>
      <c r="P3108" t="s">
        <v>5</v>
      </c>
      <c r="Q3108" t="s">
        <v>6101</v>
      </c>
      <c r="R3108" t="s">
        <v>3</v>
      </c>
      <c r="S3108" t="s">
        <v>3</v>
      </c>
      <c r="T3108" t="s">
        <v>3</v>
      </c>
      <c r="U3108" t="s">
        <v>3</v>
      </c>
      <c r="V3108" t="s">
        <v>3</v>
      </c>
      <c r="W3108" t="s">
        <v>68</v>
      </c>
      <c r="X3108" s="17"/>
      <c r="Y3108" t="s">
        <v>3</v>
      </c>
      <c r="Z3108" s="17">
        <v>43942</v>
      </c>
      <c r="AA3108" t="s">
        <v>3</v>
      </c>
      <c r="AB3108" t="s">
        <v>6098</v>
      </c>
    </row>
    <row r="3109" spans="1:28" hidden="1">
      <c r="A3109" t="s">
        <v>6098</v>
      </c>
      <c r="B3109" s="17">
        <v>43942</v>
      </c>
      <c r="C3109" s="17">
        <v>43942</v>
      </c>
      <c r="D3109" t="s">
        <v>0</v>
      </c>
      <c r="E3109" t="s">
        <v>1</v>
      </c>
      <c r="F3109" s="18">
        <v>115825</v>
      </c>
      <c r="G3109" s="18">
        <v>115825</v>
      </c>
      <c r="H3109" t="s">
        <v>2</v>
      </c>
      <c r="I3109" t="s">
        <v>8</v>
      </c>
      <c r="J3109" s="18">
        <v>9723508.75</v>
      </c>
      <c r="K3109" t="s">
        <v>6059</v>
      </c>
      <c r="L3109" t="s">
        <v>9</v>
      </c>
      <c r="M3109" t="s">
        <v>6100</v>
      </c>
      <c r="N3109" t="s">
        <v>3</v>
      </c>
      <c r="O3109" t="s">
        <v>3</v>
      </c>
      <c r="P3109" t="s">
        <v>5</v>
      </c>
      <c r="Q3109" t="s">
        <v>6101</v>
      </c>
      <c r="R3109" t="s">
        <v>3</v>
      </c>
      <c r="S3109" t="s">
        <v>3</v>
      </c>
      <c r="T3109" t="s">
        <v>3</v>
      </c>
      <c r="U3109" t="s">
        <v>3</v>
      </c>
      <c r="V3109" t="s">
        <v>3</v>
      </c>
      <c r="W3109" t="s">
        <v>68</v>
      </c>
      <c r="X3109" s="17"/>
      <c r="Y3109" t="s">
        <v>3</v>
      </c>
      <c r="Z3109" s="17">
        <v>43942</v>
      </c>
      <c r="AA3109" t="s">
        <v>3</v>
      </c>
      <c r="AB3109" t="s">
        <v>6098</v>
      </c>
    </row>
    <row r="3110" spans="1:28" hidden="1">
      <c r="A3110" t="s">
        <v>6098</v>
      </c>
      <c r="B3110" s="17">
        <v>43942</v>
      </c>
      <c r="C3110" s="17">
        <v>43942</v>
      </c>
      <c r="D3110" t="s">
        <v>0</v>
      </c>
      <c r="E3110" t="s">
        <v>1</v>
      </c>
      <c r="F3110" s="18">
        <v>20175</v>
      </c>
      <c r="G3110" s="18">
        <v>20175</v>
      </c>
      <c r="H3110" t="s">
        <v>2</v>
      </c>
      <c r="I3110" t="s">
        <v>8</v>
      </c>
      <c r="J3110" s="18">
        <v>1693691.25</v>
      </c>
      <c r="K3110" t="s">
        <v>6062</v>
      </c>
      <c r="L3110" t="s">
        <v>9</v>
      </c>
      <c r="M3110" t="s">
        <v>6100</v>
      </c>
      <c r="N3110" t="s">
        <v>3</v>
      </c>
      <c r="O3110" t="s">
        <v>3</v>
      </c>
      <c r="P3110" t="s">
        <v>5</v>
      </c>
      <c r="Q3110" t="s">
        <v>6101</v>
      </c>
      <c r="R3110" t="s">
        <v>3</v>
      </c>
      <c r="S3110" t="s">
        <v>3</v>
      </c>
      <c r="T3110" t="s">
        <v>3</v>
      </c>
      <c r="U3110" t="s">
        <v>3</v>
      </c>
      <c r="V3110" t="s">
        <v>3</v>
      </c>
      <c r="W3110" t="s">
        <v>68</v>
      </c>
      <c r="X3110" s="17"/>
      <c r="Y3110" t="s">
        <v>3</v>
      </c>
      <c r="Z3110" s="17">
        <v>43942</v>
      </c>
      <c r="AA3110" t="s">
        <v>3</v>
      </c>
      <c r="AB3110" t="s">
        <v>6098</v>
      </c>
    </row>
    <row r="3111" spans="1:28" hidden="1">
      <c r="A3111" t="s">
        <v>6098</v>
      </c>
      <c r="B3111" s="17">
        <v>43942</v>
      </c>
      <c r="C3111" s="17">
        <v>43942</v>
      </c>
      <c r="D3111" t="s">
        <v>0</v>
      </c>
      <c r="E3111" t="s">
        <v>1</v>
      </c>
      <c r="F3111" s="18">
        <v>45110</v>
      </c>
      <c r="G3111" s="18">
        <v>45110</v>
      </c>
      <c r="H3111" t="s">
        <v>2</v>
      </c>
      <c r="I3111" t="s">
        <v>8</v>
      </c>
      <c r="J3111" s="18">
        <v>3786984.5</v>
      </c>
      <c r="K3111" t="s">
        <v>6063</v>
      </c>
      <c r="L3111" t="s">
        <v>9</v>
      </c>
      <c r="M3111" t="s">
        <v>6100</v>
      </c>
      <c r="N3111" t="s">
        <v>3</v>
      </c>
      <c r="O3111" t="s">
        <v>3</v>
      </c>
      <c r="P3111" t="s">
        <v>5</v>
      </c>
      <c r="Q3111" t="s">
        <v>6101</v>
      </c>
      <c r="R3111" t="s">
        <v>3</v>
      </c>
      <c r="S3111" t="s">
        <v>3</v>
      </c>
      <c r="T3111" t="s">
        <v>3</v>
      </c>
      <c r="U3111" t="s">
        <v>3</v>
      </c>
      <c r="V3111" t="s">
        <v>3</v>
      </c>
      <c r="W3111" t="s">
        <v>68</v>
      </c>
      <c r="X3111" s="17"/>
      <c r="Y3111" t="s">
        <v>3</v>
      </c>
      <c r="Z3111" s="17">
        <v>43942</v>
      </c>
      <c r="AA3111" t="s">
        <v>3</v>
      </c>
      <c r="AB3111" t="s">
        <v>6098</v>
      </c>
    </row>
    <row r="3112" spans="1:28" hidden="1">
      <c r="A3112" t="s">
        <v>6102</v>
      </c>
      <c r="B3112" s="17">
        <v>43942</v>
      </c>
      <c r="C3112" s="17">
        <v>43942</v>
      </c>
      <c r="D3112" t="s">
        <v>0</v>
      </c>
      <c r="E3112" t="s">
        <v>1</v>
      </c>
      <c r="F3112" s="18">
        <v>12302.66</v>
      </c>
      <c r="G3112" s="18">
        <v>12302.66</v>
      </c>
      <c r="H3112" t="s">
        <v>2</v>
      </c>
      <c r="I3112" t="s">
        <v>8</v>
      </c>
      <c r="J3112" s="18">
        <v>1032808.31</v>
      </c>
      <c r="K3112" t="s">
        <v>6072</v>
      </c>
      <c r="L3112" t="s">
        <v>4</v>
      </c>
      <c r="M3112" t="s">
        <v>6103</v>
      </c>
      <c r="N3112" t="s">
        <v>3</v>
      </c>
      <c r="O3112" t="s">
        <v>3</v>
      </c>
      <c r="P3112" t="s">
        <v>5</v>
      </c>
      <c r="Q3112" t="s">
        <v>6104</v>
      </c>
      <c r="R3112" t="s">
        <v>3</v>
      </c>
      <c r="S3112" t="s">
        <v>3</v>
      </c>
      <c r="T3112" t="s">
        <v>3</v>
      </c>
      <c r="U3112" t="s">
        <v>3</v>
      </c>
      <c r="V3112" t="s">
        <v>3</v>
      </c>
      <c r="W3112" t="s">
        <v>68</v>
      </c>
      <c r="X3112" s="17"/>
      <c r="Y3112" t="s">
        <v>3</v>
      </c>
      <c r="Z3112" s="17">
        <v>43942</v>
      </c>
      <c r="AA3112" t="s">
        <v>3</v>
      </c>
      <c r="AB3112" t="s">
        <v>6102</v>
      </c>
    </row>
    <row r="3113" spans="1:28" hidden="1">
      <c r="A3113" t="s">
        <v>6105</v>
      </c>
      <c r="B3113" s="17">
        <v>43942</v>
      </c>
      <c r="C3113" s="17">
        <v>43942</v>
      </c>
      <c r="D3113" t="s">
        <v>0</v>
      </c>
      <c r="E3113" t="s">
        <v>1</v>
      </c>
      <c r="F3113" s="18">
        <v>3564.47</v>
      </c>
      <c r="G3113" s="18">
        <v>3564.47</v>
      </c>
      <c r="H3113" t="s">
        <v>2</v>
      </c>
      <c r="I3113" t="s">
        <v>8</v>
      </c>
      <c r="J3113" s="18">
        <v>299237.26</v>
      </c>
      <c r="K3113" t="s">
        <v>6051</v>
      </c>
      <c r="L3113" t="s">
        <v>4</v>
      </c>
      <c r="M3113" t="s">
        <v>6106</v>
      </c>
      <c r="N3113" t="s">
        <v>3</v>
      </c>
      <c r="O3113" t="s">
        <v>3</v>
      </c>
      <c r="P3113" t="s">
        <v>5</v>
      </c>
      <c r="Q3113" t="s">
        <v>6107</v>
      </c>
      <c r="R3113" t="s">
        <v>3</v>
      </c>
      <c r="S3113" t="s">
        <v>3</v>
      </c>
      <c r="T3113" t="s">
        <v>3</v>
      </c>
      <c r="U3113" t="s">
        <v>3</v>
      </c>
      <c r="V3113" t="s">
        <v>3</v>
      </c>
      <c r="W3113" t="s">
        <v>68</v>
      </c>
      <c r="X3113" s="17"/>
      <c r="Y3113" t="s">
        <v>3</v>
      </c>
      <c r="Z3113" s="17">
        <v>43942</v>
      </c>
      <c r="AA3113" t="s">
        <v>3</v>
      </c>
      <c r="AB3113" t="s">
        <v>6105</v>
      </c>
    </row>
    <row r="3114" spans="1:28" hidden="1">
      <c r="A3114" t="s">
        <v>6108</v>
      </c>
      <c r="B3114" s="17">
        <v>43942</v>
      </c>
      <c r="C3114" s="17">
        <v>43942</v>
      </c>
      <c r="D3114" t="s">
        <v>0</v>
      </c>
      <c r="E3114" t="s">
        <v>1</v>
      </c>
      <c r="F3114" s="18">
        <v>5073</v>
      </c>
      <c r="G3114" s="18">
        <v>5073</v>
      </c>
      <c r="H3114" t="s">
        <v>2</v>
      </c>
      <c r="I3114" t="s">
        <v>8</v>
      </c>
      <c r="J3114" s="18">
        <v>423595.5</v>
      </c>
      <c r="K3114" t="s">
        <v>6099</v>
      </c>
      <c r="L3114" t="s">
        <v>9</v>
      </c>
      <c r="M3114" t="s">
        <v>6109</v>
      </c>
      <c r="N3114" t="s">
        <v>3</v>
      </c>
      <c r="O3114" t="s">
        <v>3</v>
      </c>
      <c r="P3114" t="s">
        <v>5</v>
      </c>
      <c r="Q3114" t="s">
        <v>6110</v>
      </c>
      <c r="R3114" t="s">
        <v>3</v>
      </c>
      <c r="S3114" t="s">
        <v>3</v>
      </c>
      <c r="T3114" t="s">
        <v>3</v>
      </c>
      <c r="U3114" t="s">
        <v>3</v>
      </c>
      <c r="V3114" t="s">
        <v>3</v>
      </c>
      <c r="W3114" t="s">
        <v>68</v>
      </c>
      <c r="X3114" s="17"/>
      <c r="Y3114" t="s">
        <v>3</v>
      </c>
      <c r="Z3114" s="17">
        <v>43942</v>
      </c>
      <c r="AA3114" t="s">
        <v>3</v>
      </c>
      <c r="AB3114" t="s">
        <v>6108</v>
      </c>
    </row>
    <row r="3115" spans="1:28" hidden="1">
      <c r="A3115" t="s">
        <v>6108</v>
      </c>
      <c r="B3115" s="17">
        <v>43942</v>
      </c>
      <c r="C3115" s="17">
        <v>43942</v>
      </c>
      <c r="D3115" t="s">
        <v>0</v>
      </c>
      <c r="E3115" t="s">
        <v>1</v>
      </c>
      <c r="F3115" s="18">
        <v>4213</v>
      </c>
      <c r="G3115" s="18">
        <v>4213</v>
      </c>
      <c r="H3115" t="s">
        <v>2</v>
      </c>
      <c r="I3115" t="s">
        <v>8</v>
      </c>
      <c r="J3115" s="18">
        <v>353681.35</v>
      </c>
      <c r="K3115" t="s">
        <v>6111</v>
      </c>
      <c r="L3115" t="s">
        <v>9</v>
      </c>
      <c r="M3115" t="s">
        <v>6109</v>
      </c>
      <c r="N3115" t="s">
        <v>3</v>
      </c>
      <c r="O3115" t="s">
        <v>3</v>
      </c>
      <c r="P3115" t="s">
        <v>5</v>
      </c>
      <c r="Q3115" t="s">
        <v>6110</v>
      </c>
      <c r="R3115" t="s">
        <v>3</v>
      </c>
      <c r="S3115" t="s">
        <v>3</v>
      </c>
      <c r="T3115" t="s">
        <v>3</v>
      </c>
      <c r="U3115" t="s">
        <v>3</v>
      </c>
      <c r="V3115" t="s">
        <v>3</v>
      </c>
      <c r="W3115" t="s">
        <v>68</v>
      </c>
      <c r="X3115" s="17"/>
      <c r="Y3115" t="s">
        <v>3</v>
      </c>
      <c r="Z3115" s="17">
        <v>43942</v>
      </c>
      <c r="AA3115" t="s">
        <v>3</v>
      </c>
      <c r="AB3115" t="s">
        <v>6108</v>
      </c>
    </row>
    <row r="3116" spans="1:28" hidden="1">
      <c r="A3116" t="s">
        <v>6108</v>
      </c>
      <c r="B3116" s="17">
        <v>43942</v>
      </c>
      <c r="C3116" s="17">
        <v>43942</v>
      </c>
      <c r="D3116" t="s">
        <v>0</v>
      </c>
      <c r="E3116" t="s">
        <v>1</v>
      </c>
      <c r="F3116" s="18">
        <v>18317</v>
      </c>
      <c r="G3116" s="18">
        <v>18317</v>
      </c>
      <c r="H3116" t="s">
        <v>2</v>
      </c>
      <c r="I3116" t="s">
        <v>8</v>
      </c>
      <c r="J3116" s="18">
        <v>1537712.15</v>
      </c>
      <c r="K3116" t="s">
        <v>6059</v>
      </c>
      <c r="L3116" t="s">
        <v>9</v>
      </c>
      <c r="M3116" t="s">
        <v>6109</v>
      </c>
      <c r="N3116" t="s">
        <v>3</v>
      </c>
      <c r="O3116" t="s">
        <v>3</v>
      </c>
      <c r="P3116" t="s">
        <v>5</v>
      </c>
      <c r="Q3116" t="s">
        <v>6110</v>
      </c>
      <c r="R3116" t="s">
        <v>3</v>
      </c>
      <c r="S3116" t="s">
        <v>3</v>
      </c>
      <c r="T3116" t="s">
        <v>3</v>
      </c>
      <c r="U3116" t="s">
        <v>3</v>
      </c>
      <c r="V3116" t="s">
        <v>3</v>
      </c>
      <c r="W3116" t="s">
        <v>68</v>
      </c>
      <c r="X3116" s="17"/>
      <c r="Y3116" t="s">
        <v>3</v>
      </c>
      <c r="Z3116" s="17">
        <v>43942</v>
      </c>
      <c r="AA3116" t="s">
        <v>3</v>
      </c>
      <c r="AB3116" t="s">
        <v>6108</v>
      </c>
    </row>
    <row r="3117" spans="1:28" hidden="1">
      <c r="A3117" t="s">
        <v>6108</v>
      </c>
      <c r="B3117" s="17">
        <v>43942</v>
      </c>
      <c r="C3117" s="17">
        <v>43942</v>
      </c>
      <c r="D3117" t="s">
        <v>0</v>
      </c>
      <c r="E3117" t="s">
        <v>1</v>
      </c>
      <c r="F3117" s="18">
        <v>11485</v>
      </c>
      <c r="G3117" s="18">
        <v>11485</v>
      </c>
      <c r="H3117" t="s">
        <v>2</v>
      </c>
      <c r="I3117" t="s">
        <v>8</v>
      </c>
      <c r="J3117" s="18">
        <v>958997.5</v>
      </c>
      <c r="K3117" t="s">
        <v>6112</v>
      </c>
      <c r="L3117" t="s">
        <v>9</v>
      </c>
      <c r="M3117" t="s">
        <v>6109</v>
      </c>
      <c r="N3117" t="s">
        <v>3</v>
      </c>
      <c r="O3117" t="s">
        <v>3</v>
      </c>
      <c r="P3117" t="s">
        <v>5</v>
      </c>
      <c r="Q3117" t="s">
        <v>6110</v>
      </c>
      <c r="R3117" t="s">
        <v>3</v>
      </c>
      <c r="S3117" t="s">
        <v>3</v>
      </c>
      <c r="T3117" t="s">
        <v>3</v>
      </c>
      <c r="U3117" t="s">
        <v>3</v>
      </c>
      <c r="V3117" t="s">
        <v>3</v>
      </c>
      <c r="W3117" t="s">
        <v>68</v>
      </c>
      <c r="X3117" s="17"/>
      <c r="Y3117" t="s">
        <v>3</v>
      </c>
      <c r="Z3117" s="17">
        <v>43942</v>
      </c>
      <c r="AA3117" t="s">
        <v>3</v>
      </c>
      <c r="AB3117" t="s">
        <v>6108</v>
      </c>
    </row>
    <row r="3118" spans="1:28" hidden="1">
      <c r="A3118" t="s">
        <v>6108</v>
      </c>
      <c r="B3118" s="17">
        <v>43942</v>
      </c>
      <c r="C3118" s="17">
        <v>43942</v>
      </c>
      <c r="D3118" t="s">
        <v>0</v>
      </c>
      <c r="E3118" t="s">
        <v>1</v>
      </c>
      <c r="F3118" s="18">
        <v>13472</v>
      </c>
      <c r="G3118" s="18">
        <v>13472</v>
      </c>
      <c r="H3118" t="s">
        <v>2</v>
      </c>
      <c r="I3118" t="s">
        <v>8</v>
      </c>
      <c r="J3118" s="18">
        <v>1124912</v>
      </c>
      <c r="K3118" t="s">
        <v>6113</v>
      </c>
      <c r="L3118" t="s">
        <v>9</v>
      </c>
      <c r="M3118" t="s">
        <v>6109</v>
      </c>
      <c r="N3118" t="s">
        <v>3</v>
      </c>
      <c r="O3118" t="s">
        <v>3</v>
      </c>
      <c r="P3118" t="s">
        <v>5</v>
      </c>
      <c r="Q3118" t="s">
        <v>6110</v>
      </c>
      <c r="R3118" t="s">
        <v>3</v>
      </c>
      <c r="S3118" t="s">
        <v>3</v>
      </c>
      <c r="T3118" t="s">
        <v>3</v>
      </c>
      <c r="U3118" t="s">
        <v>3</v>
      </c>
      <c r="V3118" t="s">
        <v>3</v>
      </c>
      <c r="W3118" t="s">
        <v>68</v>
      </c>
      <c r="X3118" s="17"/>
      <c r="Y3118" t="s">
        <v>3</v>
      </c>
      <c r="Z3118" s="17">
        <v>43942</v>
      </c>
      <c r="AA3118" t="s">
        <v>3</v>
      </c>
      <c r="AB3118" t="s">
        <v>6108</v>
      </c>
    </row>
    <row r="3119" spans="1:28" hidden="1">
      <c r="A3119" t="s">
        <v>6108</v>
      </c>
      <c r="B3119" s="17">
        <v>43942</v>
      </c>
      <c r="C3119" s="17">
        <v>43942</v>
      </c>
      <c r="D3119" t="s">
        <v>0</v>
      </c>
      <c r="E3119" t="s">
        <v>1</v>
      </c>
      <c r="F3119" s="18">
        <v>152</v>
      </c>
      <c r="G3119" s="18">
        <v>152</v>
      </c>
      <c r="H3119" t="s">
        <v>2</v>
      </c>
      <c r="I3119" t="s">
        <v>8</v>
      </c>
      <c r="J3119" s="18">
        <v>12745.2</v>
      </c>
      <c r="K3119" t="s">
        <v>6114</v>
      </c>
      <c r="L3119" t="s">
        <v>9</v>
      </c>
      <c r="M3119" t="s">
        <v>6109</v>
      </c>
      <c r="N3119" t="s">
        <v>3</v>
      </c>
      <c r="O3119" t="s">
        <v>3</v>
      </c>
      <c r="P3119" t="s">
        <v>5</v>
      </c>
      <c r="Q3119" t="s">
        <v>6110</v>
      </c>
      <c r="R3119" t="s">
        <v>3</v>
      </c>
      <c r="S3119" t="s">
        <v>3</v>
      </c>
      <c r="T3119" t="s">
        <v>3</v>
      </c>
      <c r="U3119" t="s">
        <v>3</v>
      </c>
      <c r="V3119" t="s">
        <v>3</v>
      </c>
      <c r="W3119" t="s">
        <v>68</v>
      </c>
      <c r="X3119" s="17"/>
      <c r="Y3119" t="s">
        <v>3</v>
      </c>
      <c r="Z3119" s="17">
        <v>43942</v>
      </c>
      <c r="AA3119" t="s">
        <v>3</v>
      </c>
      <c r="AB3119" t="s">
        <v>6108</v>
      </c>
    </row>
    <row r="3120" spans="1:28" hidden="1">
      <c r="A3120" t="s">
        <v>6108</v>
      </c>
      <c r="B3120" s="17">
        <v>43942</v>
      </c>
      <c r="C3120" s="17">
        <v>43942</v>
      </c>
      <c r="D3120" t="s">
        <v>0</v>
      </c>
      <c r="E3120" t="s">
        <v>1</v>
      </c>
      <c r="F3120" s="18">
        <v>46810</v>
      </c>
      <c r="G3120" s="18">
        <v>46810</v>
      </c>
      <c r="H3120" t="s">
        <v>2</v>
      </c>
      <c r="I3120" t="s">
        <v>8</v>
      </c>
      <c r="J3120" s="18">
        <v>3929699.5</v>
      </c>
      <c r="K3120" t="s">
        <v>6062</v>
      </c>
      <c r="L3120" t="s">
        <v>9</v>
      </c>
      <c r="M3120" t="s">
        <v>6109</v>
      </c>
      <c r="N3120" t="s">
        <v>3</v>
      </c>
      <c r="O3120" t="s">
        <v>3</v>
      </c>
      <c r="P3120" t="s">
        <v>5</v>
      </c>
      <c r="Q3120" t="s">
        <v>6110</v>
      </c>
      <c r="R3120" t="s">
        <v>3</v>
      </c>
      <c r="S3120" t="s">
        <v>3</v>
      </c>
      <c r="T3120" t="s">
        <v>3</v>
      </c>
      <c r="U3120" t="s">
        <v>3</v>
      </c>
      <c r="V3120" t="s">
        <v>3</v>
      </c>
      <c r="W3120" t="s">
        <v>68</v>
      </c>
      <c r="X3120" s="17"/>
      <c r="Y3120" t="s">
        <v>3</v>
      </c>
      <c r="Z3120" s="17">
        <v>43942</v>
      </c>
      <c r="AA3120" t="s">
        <v>3</v>
      </c>
      <c r="AB3120" t="s">
        <v>6108</v>
      </c>
    </row>
    <row r="3121" spans="1:28" hidden="1">
      <c r="A3121" t="s">
        <v>6108</v>
      </c>
      <c r="B3121" s="17">
        <v>43942</v>
      </c>
      <c r="C3121" s="17">
        <v>43942</v>
      </c>
      <c r="D3121" t="s">
        <v>0</v>
      </c>
      <c r="E3121" t="s">
        <v>1</v>
      </c>
      <c r="F3121" s="18">
        <v>10296</v>
      </c>
      <c r="G3121" s="18">
        <v>10296</v>
      </c>
      <c r="H3121" t="s">
        <v>2</v>
      </c>
      <c r="I3121" t="s">
        <v>8</v>
      </c>
      <c r="J3121" s="18">
        <v>864349.2</v>
      </c>
      <c r="K3121" t="s">
        <v>6063</v>
      </c>
      <c r="L3121" t="s">
        <v>9</v>
      </c>
      <c r="M3121" t="s">
        <v>6109</v>
      </c>
      <c r="N3121" t="s">
        <v>3</v>
      </c>
      <c r="O3121" t="s">
        <v>3</v>
      </c>
      <c r="P3121" t="s">
        <v>5</v>
      </c>
      <c r="Q3121" t="s">
        <v>6110</v>
      </c>
      <c r="R3121" t="s">
        <v>3</v>
      </c>
      <c r="S3121" t="s">
        <v>3</v>
      </c>
      <c r="T3121" t="s">
        <v>3</v>
      </c>
      <c r="U3121" t="s">
        <v>3</v>
      </c>
      <c r="V3121" t="s">
        <v>3</v>
      </c>
      <c r="W3121" t="s">
        <v>68</v>
      </c>
      <c r="X3121" s="17"/>
      <c r="Y3121" t="s">
        <v>3</v>
      </c>
      <c r="Z3121" s="17">
        <v>43942</v>
      </c>
      <c r="AA3121" t="s">
        <v>3</v>
      </c>
      <c r="AB3121" t="s">
        <v>6108</v>
      </c>
    </row>
    <row r="3122" spans="1:28" hidden="1">
      <c r="A3122" t="s">
        <v>6108</v>
      </c>
      <c r="B3122" s="17">
        <v>43942</v>
      </c>
      <c r="C3122" s="17">
        <v>43942</v>
      </c>
      <c r="D3122" t="s">
        <v>0</v>
      </c>
      <c r="E3122" t="s">
        <v>1</v>
      </c>
      <c r="F3122" s="18">
        <v>3087</v>
      </c>
      <c r="G3122" s="18">
        <v>3087</v>
      </c>
      <c r="H3122" t="s">
        <v>2</v>
      </c>
      <c r="I3122" t="s">
        <v>8</v>
      </c>
      <c r="J3122" s="18">
        <v>259153.65</v>
      </c>
      <c r="K3122" t="s">
        <v>6067</v>
      </c>
      <c r="L3122" t="s">
        <v>9</v>
      </c>
      <c r="M3122" t="s">
        <v>6109</v>
      </c>
      <c r="N3122" t="s">
        <v>3</v>
      </c>
      <c r="O3122" t="s">
        <v>3</v>
      </c>
      <c r="P3122" t="s">
        <v>5</v>
      </c>
      <c r="Q3122" t="s">
        <v>6110</v>
      </c>
      <c r="R3122" t="s">
        <v>3</v>
      </c>
      <c r="S3122" t="s">
        <v>3</v>
      </c>
      <c r="T3122" t="s">
        <v>3</v>
      </c>
      <c r="U3122" t="s">
        <v>3</v>
      </c>
      <c r="V3122" t="s">
        <v>3</v>
      </c>
      <c r="W3122" t="s">
        <v>68</v>
      </c>
      <c r="X3122" s="17"/>
      <c r="Y3122" t="s">
        <v>3</v>
      </c>
      <c r="Z3122" s="17">
        <v>43942</v>
      </c>
      <c r="AA3122" t="s">
        <v>3</v>
      </c>
      <c r="AB3122" t="s">
        <v>6108</v>
      </c>
    </row>
    <row r="3123" spans="1:28" hidden="1">
      <c r="A3123" t="s">
        <v>6108</v>
      </c>
      <c r="B3123" s="17">
        <v>43942</v>
      </c>
      <c r="C3123" s="17">
        <v>43942</v>
      </c>
      <c r="D3123" t="s">
        <v>0</v>
      </c>
      <c r="E3123" t="s">
        <v>1</v>
      </c>
      <c r="F3123" s="18">
        <v>17330</v>
      </c>
      <c r="G3123" s="18">
        <v>17330</v>
      </c>
      <c r="H3123" t="s">
        <v>2</v>
      </c>
      <c r="I3123" t="s">
        <v>8</v>
      </c>
      <c r="J3123" s="18">
        <v>1454853.5</v>
      </c>
      <c r="K3123" t="s">
        <v>6115</v>
      </c>
      <c r="L3123" t="s">
        <v>9</v>
      </c>
      <c r="M3123" t="s">
        <v>6109</v>
      </c>
      <c r="N3123" t="s">
        <v>3</v>
      </c>
      <c r="O3123" t="s">
        <v>3</v>
      </c>
      <c r="P3123" t="s">
        <v>5</v>
      </c>
      <c r="Q3123" t="s">
        <v>6110</v>
      </c>
      <c r="R3123" t="s">
        <v>3</v>
      </c>
      <c r="S3123" t="s">
        <v>3</v>
      </c>
      <c r="T3123" t="s">
        <v>3</v>
      </c>
      <c r="U3123" t="s">
        <v>3</v>
      </c>
      <c r="V3123" t="s">
        <v>3</v>
      </c>
      <c r="W3123" t="s">
        <v>68</v>
      </c>
      <c r="X3123" s="17"/>
      <c r="Y3123" t="s">
        <v>3</v>
      </c>
      <c r="Z3123" s="17">
        <v>43942</v>
      </c>
      <c r="AA3123" t="s">
        <v>3</v>
      </c>
      <c r="AB3123" t="s">
        <v>6108</v>
      </c>
    </row>
    <row r="3124" spans="1:28" hidden="1">
      <c r="A3124" t="s">
        <v>6108</v>
      </c>
      <c r="B3124" s="17">
        <v>43942</v>
      </c>
      <c r="C3124" s="17">
        <v>43942</v>
      </c>
      <c r="D3124" t="s">
        <v>0</v>
      </c>
      <c r="E3124" t="s">
        <v>1</v>
      </c>
      <c r="F3124" s="18">
        <v>50849</v>
      </c>
      <c r="G3124" s="18">
        <v>50849</v>
      </c>
      <c r="H3124" t="s">
        <v>2</v>
      </c>
      <c r="I3124" t="s">
        <v>8</v>
      </c>
      <c r="J3124" s="18">
        <v>4268773.55</v>
      </c>
      <c r="K3124" t="s">
        <v>6116</v>
      </c>
      <c r="L3124" t="s">
        <v>9</v>
      </c>
      <c r="M3124" t="s">
        <v>6109</v>
      </c>
      <c r="N3124" t="s">
        <v>3</v>
      </c>
      <c r="O3124" t="s">
        <v>3</v>
      </c>
      <c r="P3124" t="s">
        <v>5</v>
      </c>
      <c r="Q3124" t="s">
        <v>6110</v>
      </c>
      <c r="R3124" t="s">
        <v>3</v>
      </c>
      <c r="S3124" t="s">
        <v>3</v>
      </c>
      <c r="T3124" t="s">
        <v>3</v>
      </c>
      <c r="U3124" t="s">
        <v>3</v>
      </c>
      <c r="V3124" t="s">
        <v>3</v>
      </c>
      <c r="W3124" t="s">
        <v>68</v>
      </c>
      <c r="X3124" s="17"/>
      <c r="Y3124" t="s">
        <v>3</v>
      </c>
      <c r="Z3124" s="17">
        <v>43942</v>
      </c>
      <c r="AA3124" t="s">
        <v>3</v>
      </c>
      <c r="AB3124" t="s">
        <v>6108</v>
      </c>
    </row>
    <row r="3125" spans="1:28" hidden="1">
      <c r="A3125" t="s">
        <v>6108</v>
      </c>
      <c r="B3125" s="17">
        <v>43942</v>
      </c>
      <c r="C3125" s="17">
        <v>43942</v>
      </c>
      <c r="D3125" t="s">
        <v>0</v>
      </c>
      <c r="E3125" t="s">
        <v>1</v>
      </c>
      <c r="F3125" s="18">
        <v>8</v>
      </c>
      <c r="G3125" s="18">
        <v>8</v>
      </c>
      <c r="H3125" t="s">
        <v>2</v>
      </c>
      <c r="I3125" t="s">
        <v>8</v>
      </c>
      <c r="J3125" s="18">
        <v>671.6</v>
      </c>
      <c r="K3125" t="s">
        <v>6117</v>
      </c>
      <c r="L3125" t="s">
        <v>9</v>
      </c>
      <c r="M3125" t="s">
        <v>6109</v>
      </c>
      <c r="N3125" t="s">
        <v>3</v>
      </c>
      <c r="O3125" t="s">
        <v>3</v>
      </c>
      <c r="P3125" t="s">
        <v>5</v>
      </c>
      <c r="Q3125" t="s">
        <v>6110</v>
      </c>
      <c r="R3125" t="s">
        <v>3</v>
      </c>
      <c r="S3125" t="s">
        <v>3</v>
      </c>
      <c r="T3125" t="s">
        <v>3</v>
      </c>
      <c r="U3125" t="s">
        <v>3</v>
      </c>
      <c r="V3125" t="s">
        <v>3</v>
      </c>
      <c r="W3125" t="s">
        <v>68</v>
      </c>
      <c r="X3125" s="17"/>
      <c r="Y3125" t="s">
        <v>3</v>
      </c>
      <c r="Z3125" s="17">
        <v>43942</v>
      </c>
      <c r="AA3125" t="s">
        <v>3</v>
      </c>
      <c r="AB3125" t="s">
        <v>6108</v>
      </c>
    </row>
    <row r="3126" spans="1:28" hidden="1">
      <c r="A3126" t="s">
        <v>6125</v>
      </c>
      <c r="B3126" s="17">
        <v>43942</v>
      </c>
      <c r="C3126" s="17">
        <v>43942</v>
      </c>
      <c r="D3126" t="s">
        <v>0</v>
      </c>
      <c r="E3126" t="s">
        <v>1</v>
      </c>
      <c r="F3126" s="18">
        <v>2416.8200000000002</v>
      </c>
      <c r="G3126" s="18">
        <v>2416.8200000000002</v>
      </c>
      <c r="H3126" t="s">
        <v>2</v>
      </c>
      <c r="I3126" t="s">
        <v>10</v>
      </c>
      <c r="J3126" s="18">
        <v>202892.04</v>
      </c>
      <c r="K3126" t="s">
        <v>6126</v>
      </c>
      <c r="L3126" t="s">
        <v>4</v>
      </c>
      <c r="M3126" t="s">
        <v>6127</v>
      </c>
      <c r="N3126" t="s">
        <v>3</v>
      </c>
      <c r="O3126" t="s">
        <v>3</v>
      </c>
      <c r="P3126" t="s">
        <v>5</v>
      </c>
      <c r="Q3126" t="s">
        <v>6128</v>
      </c>
      <c r="R3126" t="s">
        <v>3</v>
      </c>
      <c r="S3126" t="s">
        <v>3</v>
      </c>
      <c r="T3126" t="s">
        <v>3</v>
      </c>
      <c r="U3126" t="s">
        <v>3</v>
      </c>
      <c r="V3126" t="s">
        <v>3</v>
      </c>
      <c r="W3126" t="s">
        <v>68</v>
      </c>
      <c r="X3126" s="17"/>
      <c r="Y3126" t="s">
        <v>3</v>
      </c>
      <c r="Z3126" s="17">
        <v>43942</v>
      </c>
      <c r="AA3126" t="s">
        <v>3</v>
      </c>
      <c r="AB3126" t="s">
        <v>6125</v>
      </c>
    </row>
    <row r="3127" spans="1:28" hidden="1">
      <c r="A3127" t="s">
        <v>6129</v>
      </c>
      <c r="B3127" s="17">
        <v>43942</v>
      </c>
      <c r="C3127" s="17">
        <v>43942</v>
      </c>
      <c r="D3127" t="s">
        <v>0</v>
      </c>
      <c r="E3127" t="s">
        <v>1</v>
      </c>
      <c r="F3127" s="18">
        <v>5199.7299999999996</v>
      </c>
      <c r="G3127" s="18">
        <v>5199.7299999999996</v>
      </c>
      <c r="H3127" t="s">
        <v>2</v>
      </c>
      <c r="I3127" t="s">
        <v>10</v>
      </c>
      <c r="J3127" s="18">
        <v>436517.33</v>
      </c>
      <c r="K3127" t="s">
        <v>6126</v>
      </c>
      <c r="L3127" t="s">
        <v>4</v>
      </c>
      <c r="M3127" t="s">
        <v>6130</v>
      </c>
      <c r="N3127" t="s">
        <v>3</v>
      </c>
      <c r="O3127" t="s">
        <v>3</v>
      </c>
      <c r="P3127" t="s">
        <v>5</v>
      </c>
      <c r="Q3127" t="s">
        <v>6131</v>
      </c>
      <c r="R3127" t="s">
        <v>3</v>
      </c>
      <c r="S3127" t="s">
        <v>3</v>
      </c>
      <c r="T3127" t="s">
        <v>3</v>
      </c>
      <c r="U3127" t="s">
        <v>3</v>
      </c>
      <c r="V3127" t="s">
        <v>3</v>
      </c>
      <c r="W3127" t="s">
        <v>68</v>
      </c>
      <c r="X3127" s="17"/>
      <c r="Y3127" t="s">
        <v>3</v>
      </c>
      <c r="Z3127" s="17">
        <v>43942</v>
      </c>
      <c r="AA3127" t="s">
        <v>3</v>
      </c>
      <c r="AB3127" t="s">
        <v>6129</v>
      </c>
    </row>
    <row r="3128" spans="1:28" hidden="1">
      <c r="A3128" t="s">
        <v>6129</v>
      </c>
      <c r="B3128" s="17">
        <v>43942</v>
      </c>
      <c r="C3128" s="17">
        <v>43942</v>
      </c>
      <c r="D3128" t="s">
        <v>0</v>
      </c>
      <c r="E3128" t="s">
        <v>1</v>
      </c>
      <c r="F3128" s="18">
        <v>30632.87</v>
      </c>
      <c r="G3128" s="18">
        <v>30632.87</v>
      </c>
      <c r="H3128" t="s">
        <v>2</v>
      </c>
      <c r="I3128" t="s">
        <v>10</v>
      </c>
      <c r="J3128" s="18">
        <v>2571629.44</v>
      </c>
      <c r="K3128" t="s">
        <v>6132</v>
      </c>
      <c r="L3128" t="s">
        <v>4</v>
      </c>
      <c r="M3128" t="s">
        <v>6130</v>
      </c>
      <c r="N3128" t="s">
        <v>3</v>
      </c>
      <c r="O3128" t="s">
        <v>3</v>
      </c>
      <c r="P3128" t="s">
        <v>5</v>
      </c>
      <c r="Q3128" t="s">
        <v>6131</v>
      </c>
      <c r="R3128" t="s">
        <v>3</v>
      </c>
      <c r="S3128" t="s">
        <v>3</v>
      </c>
      <c r="T3128" t="s">
        <v>3</v>
      </c>
      <c r="U3128" t="s">
        <v>3</v>
      </c>
      <c r="V3128" t="s">
        <v>3</v>
      </c>
      <c r="W3128" t="s">
        <v>68</v>
      </c>
      <c r="X3128" s="17"/>
      <c r="Y3128" t="s">
        <v>3</v>
      </c>
      <c r="Z3128" s="17">
        <v>43942</v>
      </c>
      <c r="AA3128" t="s">
        <v>3</v>
      </c>
      <c r="AB3128" t="s">
        <v>6129</v>
      </c>
    </row>
    <row r="3129" spans="1:28" hidden="1">
      <c r="A3129" t="s">
        <v>6129</v>
      </c>
      <c r="B3129" s="17">
        <v>43942</v>
      </c>
      <c r="C3129" s="17">
        <v>43942</v>
      </c>
      <c r="D3129" t="s">
        <v>0</v>
      </c>
      <c r="E3129" t="s">
        <v>1</v>
      </c>
      <c r="F3129" s="18">
        <v>9126.99</v>
      </c>
      <c r="G3129" s="18">
        <v>9126.99</v>
      </c>
      <c r="H3129" t="s">
        <v>2</v>
      </c>
      <c r="I3129" t="s">
        <v>10</v>
      </c>
      <c r="J3129" s="18">
        <v>766210.81</v>
      </c>
      <c r="K3129" t="s">
        <v>6133</v>
      </c>
      <c r="L3129" t="s">
        <v>4</v>
      </c>
      <c r="M3129" t="s">
        <v>6130</v>
      </c>
      <c r="N3129" t="s">
        <v>3</v>
      </c>
      <c r="O3129" t="s">
        <v>3</v>
      </c>
      <c r="P3129" t="s">
        <v>5</v>
      </c>
      <c r="Q3129" t="s">
        <v>6131</v>
      </c>
      <c r="R3129" t="s">
        <v>3</v>
      </c>
      <c r="S3129" t="s">
        <v>3</v>
      </c>
      <c r="T3129" t="s">
        <v>3</v>
      </c>
      <c r="U3129" t="s">
        <v>3</v>
      </c>
      <c r="V3129" t="s">
        <v>3</v>
      </c>
      <c r="W3129" t="s">
        <v>68</v>
      </c>
      <c r="X3129" s="17"/>
      <c r="Y3129" t="s">
        <v>3</v>
      </c>
      <c r="Z3129" s="17">
        <v>43942</v>
      </c>
      <c r="AA3129" t="s">
        <v>3</v>
      </c>
      <c r="AB3129" t="s">
        <v>6129</v>
      </c>
    </row>
    <row r="3130" spans="1:28" hidden="1">
      <c r="A3130" t="s">
        <v>6134</v>
      </c>
      <c r="B3130" s="17">
        <v>43943</v>
      </c>
      <c r="C3130" s="17">
        <v>43943</v>
      </c>
      <c r="D3130" t="s">
        <v>0</v>
      </c>
      <c r="E3130" t="s">
        <v>1</v>
      </c>
      <c r="F3130" s="18">
        <v>-53982.559999999998</v>
      </c>
      <c r="G3130" s="18">
        <v>-53982.559999999998</v>
      </c>
      <c r="H3130" t="s">
        <v>2</v>
      </c>
      <c r="I3130" t="s">
        <v>10</v>
      </c>
      <c r="J3130" s="18">
        <v>-4531835.92</v>
      </c>
      <c r="K3130" t="s">
        <v>6135</v>
      </c>
      <c r="L3130" t="s">
        <v>4</v>
      </c>
      <c r="M3130" t="s">
        <v>6123</v>
      </c>
      <c r="N3130" t="s">
        <v>3</v>
      </c>
      <c r="O3130" t="s">
        <v>3</v>
      </c>
      <c r="P3130" t="s">
        <v>5</v>
      </c>
      <c r="Q3130" t="s">
        <v>6136</v>
      </c>
      <c r="R3130" t="s">
        <v>3</v>
      </c>
      <c r="S3130" t="s">
        <v>3</v>
      </c>
      <c r="T3130" t="s">
        <v>3</v>
      </c>
      <c r="U3130" t="s">
        <v>3</v>
      </c>
      <c r="V3130" t="s">
        <v>3</v>
      </c>
      <c r="W3130" t="s">
        <v>68</v>
      </c>
      <c r="X3130" s="17"/>
      <c r="Y3130" t="s">
        <v>3</v>
      </c>
      <c r="Z3130" s="17">
        <v>43943</v>
      </c>
      <c r="AA3130" t="s">
        <v>3</v>
      </c>
      <c r="AB3130" t="s">
        <v>6134</v>
      </c>
    </row>
    <row r="3131" spans="1:28" hidden="1">
      <c r="A3131" t="s">
        <v>6118</v>
      </c>
      <c r="B3131" s="17">
        <v>43948</v>
      </c>
      <c r="C3131" s="17">
        <v>43948</v>
      </c>
      <c r="D3131" t="s">
        <v>0</v>
      </c>
      <c r="E3131" t="s">
        <v>1</v>
      </c>
      <c r="F3131" s="18">
        <v>-25890.32</v>
      </c>
      <c r="G3131" s="18">
        <v>-25890.32</v>
      </c>
      <c r="H3131" t="s">
        <v>2</v>
      </c>
      <c r="I3131" t="s">
        <v>8</v>
      </c>
      <c r="J3131" s="18">
        <v>-2173492.37</v>
      </c>
      <c r="K3131" t="s">
        <v>6119</v>
      </c>
      <c r="L3131" t="s">
        <v>4</v>
      </c>
      <c r="M3131" t="s">
        <v>5653</v>
      </c>
      <c r="N3131" t="s">
        <v>3</v>
      </c>
      <c r="O3131" t="s">
        <v>3</v>
      </c>
      <c r="P3131" t="s">
        <v>5</v>
      </c>
      <c r="Q3131" t="s">
        <v>6120</v>
      </c>
      <c r="R3131" t="s">
        <v>3</v>
      </c>
      <c r="S3131" t="s">
        <v>3</v>
      </c>
      <c r="T3131" t="s">
        <v>3</v>
      </c>
      <c r="U3131" t="s">
        <v>3</v>
      </c>
      <c r="V3131" t="s">
        <v>3</v>
      </c>
      <c r="W3131" t="s">
        <v>68</v>
      </c>
      <c r="X3131" s="17"/>
      <c r="Y3131" t="s">
        <v>3</v>
      </c>
      <c r="Z3131" s="17">
        <v>43948</v>
      </c>
      <c r="AA3131" t="s">
        <v>3</v>
      </c>
      <c r="AB3131" t="s">
        <v>6118</v>
      </c>
    </row>
    <row r="3132" spans="1:28" hidden="1">
      <c r="A3132" t="s">
        <v>6137</v>
      </c>
      <c r="B3132" s="17">
        <v>43950</v>
      </c>
      <c r="C3132" s="17">
        <v>43950</v>
      </c>
      <c r="D3132" t="s">
        <v>0</v>
      </c>
      <c r="E3132" t="s">
        <v>1</v>
      </c>
      <c r="F3132" s="18">
        <v>208</v>
      </c>
      <c r="G3132" s="18">
        <v>208</v>
      </c>
      <c r="H3132" t="s">
        <v>2</v>
      </c>
      <c r="I3132" t="s">
        <v>8</v>
      </c>
      <c r="J3132" s="18">
        <v>17368</v>
      </c>
      <c r="K3132" t="s">
        <v>5901</v>
      </c>
      <c r="L3132" t="s">
        <v>9</v>
      </c>
      <c r="M3132" t="s">
        <v>6138</v>
      </c>
      <c r="N3132" t="s">
        <v>3</v>
      </c>
      <c r="O3132" t="s">
        <v>3</v>
      </c>
      <c r="P3132" t="s">
        <v>5</v>
      </c>
      <c r="Q3132" t="s">
        <v>6139</v>
      </c>
      <c r="R3132" t="s">
        <v>3</v>
      </c>
      <c r="S3132" t="s">
        <v>3</v>
      </c>
      <c r="T3132" t="s">
        <v>3</v>
      </c>
      <c r="U3132" t="s">
        <v>3</v>
      </c>
      <c r="V3132" t="s">
        <v>3</v>
      </c>
      <c r="W3132" t="s">
        <v>68</v>
      </c>
      <c r="X3132" s="17"/>
      <c r="Y3132" t="s">
        <v>3</v>
      </c>
      <c r="Z3132" s="17">
        <v>43950</v>
      </c>
      <c r="AA3132" t="s">
        <v>3</v>
      </c>
      <c r="AB3132" t="s">
        <v>6137</v>
      </c>
    </row>
    <row r="3133" spans="1:28" hidden="1">
      <c r="A3133" t="s">
        <v>6137</v>
      </c>
      <c r="B3133" s="17">
        <v>43950</v>
      </c>
      <c r="C3133" s="17">
        <v>43950</v>
      </c>
      <c r="D3133" t="s">
        <v>0</v>
      </c>
      <c r="E3133" t="s">
        <v>1</v>
      </c>
      <c r="F3133" s="18">
        <v>283</v>
      </c>
      <c r="G3133" s="18">
        <v>283</v>
      </c>
      <c r="H3133" t="s">
        <v>2</v>
      </c>
      <c r="I3133" t="s">
        <v>8</v>
      </c>
      <c r="J3133" s="18">
        <v>23757.85</v>
      </c>
      <c r="K3133" t="s">
        <v>5904</v>
      </c>
      <c r="L3133" t="s">
        <v>9</v>
      </c>
      <c r="M3133" t="s">
        <v>6138</v>
      </c>
      <c r="N3133" t="s">
        <v>3</v>
      </c>
      <c r="O3133" t="s">
        <v>3</v>
      </c>
      <c r="P3133" t="s">
        <v>5</v>
      </c>
      <c r="Q3133" t="s">
        <v>6139</v>
      </c>
      <c r="R3133" t="s">
        <v>3</v>
      </c>
      <c r="S3133" t="s">
        <v>3</v>
      </c>
      <c r="T3133" t="s">
        <v>3</v>
      </c>
      <c r="U3133" t="s">
        <v>3</v>
      </c>
      <c r="V3133" t="s">
        <v>3</v>
      </c>
      <c r="W3133" t="s">
        <v>68</v>
      </c>
      <c r="X3133" s="17"/>
      <c r="Y3133" t="s">
        <v>3</v>
      </c>
      <c r="Z3133" s="17">
        <v>43950</v>
      </c>
      <c r="AA3133" t="s">
        <v>3</v>
      </c>
      <c r="AB3133" t="s">
        <v>6137</v>
      </c>
    </row>
    <row r="3134" spans="1:28" hidden="1">
      <c r="A3134" t="s">
        <v>6137</v>
      </c>
      <c r="B3134" s="17">
        <v>43950</v>
      </c>
      <c r="C3134" s="17">
        <v>43950</v>
      </c>
      <c r="D3134" t="s">
        <v>0</v>
      </c>
      <c r="E3134" t="s">
        <v>1</v>
      </c>
      <c r="F3134" s="18">
        <v>83</v>
      </c>
      <c r="G3134" s="18">
        <v>83</v>
      </c>
      <c r="H3134" t="s">
        <v>2</v>
      </c>
      <c r="I3134" t="s">
        <v>8</v>
      </c>
      <c r="J3134" s="18">
        <v>6930.5</v>
      </c>
      <c r="K3134" t="s">
        <v>5906</v>
      </c>
      <c r="L3134" t="s">
        <v>9</v>
      </c>
      <c r="M3134" t="s">
        <v>6138</v>
      </c>
      <c r="N3134" t="s">
        <v>3</v>
      </c>
      <c r="O3134" t="s">
        <v>3</v>
      </c>
      <c r="P3134" t="s">
        <v>5</v>
      </c>
      <c r="Q3134" t="s">
        <v>6139</v>
      </c>
      <c r="R3134" t="s">
        <v>3</v>
      </c>
      <c r="S3134" t="s">
        <v>3</v>
      </c>
      <c r="T3134" t="s">
        <v>3</v>
      </c>
      <c r="U3134" t="s">
        <v>3</v>
      </c>
      <c r="V3134" t="s">
        <v>3</v>
      </c>
      <c r="W3134" t="s">
        <v>68</v>
      </c>
      <c r="X3134" s="17"/>
      <c r="Y3134" t="s">
        <v>3</v>
      </c>
      <c r="Z3134" s="17">
        <v>43950</v>
      </c>
      <c r="AA3134" t="s">
        <v>3</v>
      </c>
      <c r="AB3134" t="s">
        <v>6137</v>
      </c>
    </row>
    <row r="3135" spans="1:28" hidden="1">
      <c r="A3135" t="s">
        <v>6137</v>
      </c>
      <c r="B3135" s="17">
        <v>43950</v>
      </c>
      <c r="C3135" s="17">
        <v>43950</v>
      </c>
      <c r="D3135" t="s">
        <v>0</v>
      </c>
      <c r="E3135" t="s">
        <v>1</v>
      </c>
      <c r="F3135" s="18">
        <v>321</v>
      </c>
      <c r="G3135" s="18">
        <v>321</v>
      </c>
      <c r="H3135" t="s">
        <v>2</v>
      </c>
      <c r="I3135" t="s">
        <v>8</v>
      </c>
      <c r="J3135" s="18">
        <v>26803.5</v>
      </c>
      <c r="K3135" t="s">
        <v>5907</v>
      </c>
      <c r="L3135" t="s">
        <v>9</v>
      </c>
      <c r="M3135" t="s">
        <v>6138</v>
      </c>
      <c r="N3135" t="s">
        <v>3</v>
      </c>
      <c r="O3135" t="s">
        <v>3</v>
      </c>
      <c r="P3135" t="s">
        <v>5</v>
      </c>
      <c r="Q3135" t="s">
        <v>6139</v>
      </c>
      <c r="R3135" t="s">
        <v>3</v>
      </c>
      <c r="S3135" t="s">
        <v>3</v>
      </c>
      <c r="T3135" t="s">
        <v>3</v>
      </c>
      <c r="U3135" t="s">
        <v>3</v>
      </c>
      <c r="V3135" t="s">
        <v>3</v>
      </c>
      <c r="W3135" t="s">
        <v>68</v>
      </c>
      <c r="X3135" s="17"/>
      <c r="Y3135" t="s">
        <v>3</v>
      </c>
      <c r="Z3135" s="17">
        <v>43950</v>
      </c>
      <c r="AA3135" t="s">
        <v>3</v>
      </c>
      <c r="AB3135" t="s">
        <v>6137</v>
      </c>
    </row>
    <row r="3136" spans="1:28" hidden="1">
      <c r="A3136" t="s">
        <v>6137</v>
      </c>
      <c r="B3136" s="17">
        <v>43950</v>
      </c>
      <c r="C3136" s="17">
        <v>43950</v>
      </c>
      <c r="D3136" t="s">
        <v>0</v>
      </c>
      <c r="E3136" t="s">
        <v>1</v>
      </c>
      <c r="F3136" s="18">
        <v>3516</v>
      </c>
      <c r="G3136" s="18">
        <v>3516</v>
      </c>
      <c r="H3136" t="s">
        <v>2</v>
      </c>
      <c r="I3136" t="s">
        <v>8</v>
      </c>
      <c r="J3136" s="18">
        <v>295168.2</v>
      </c>
      <c r="K3136" t="s">
        <v>6048</v>
      </c>
      <c r="L3136" t="s">
        <v>9</v>
      </c>
      <c r="M3136" t="s">
        <v>6138</v>
      </c>
      <c r="N3136" t="s">
        <v>3</v>
      </c>
      <c r="O3136" t="s">
        <v>3</v>
      </c>
      <c r="P3136" t="s">
        <v>5</v>
      </c>
      <c r="Q3136" t="s">
        <v>6139</v>
      </c>
      <c r="R3136" t="s">
        <v>3</v>
      </c>
      <c r="S3136" t="s">
        <v>3</v>
      </c>
      <c r="T3136" t="s">
        <v>3</v>
      </c>
      <c r="U3136" t="s">
        <v>3</v>
      </c>
      <c r="V3136" t="s">
        <v>3</v>
      </c>
      <c r="W3136" t="s">
        <v>68</v>
      </c>
      <c r="X3136" s="17"/>
      <c r="Y3136" t="s">
        <v>3</v>
      </c>
      <c r="Z3136" s="17">
        <v>43950</v>
      </c>
      <c r="AA3136" t="s">
        <v>3</v>
      </c>
      <c r="AB3136" t="s">
        <v>6137</v>
      </c>
    </row>
    <row r="3137" spans="1:28" hidden="1">
      <c r="A3137" t="s">
        <v>6137</v>
      </c>
      <c r="B3137" s="17">
        <v>43950</v>
      </c>
      <c r="C3137" s="17">
        <v>43950</v>
      </c>
      <c r="D3137" t="s">
        <v>0</v>
      </c>
      <c r="E3137" t="s">
        <v>1</v>
      </c>
      <c r="F3137" s="18">
        <v>374</v>
      </c>
      <c r="G3137" s="18">
        <v>374</v>
      </c>
      <c r="H3137" t="s">
        <v>2</v>
      </c>
      <c r="I3137" t="s">
        <v>8</v>
      </c>
      <c r="J3137" s="18">
        <v>31397.3</v>
      </c>
      <c r="K3137" t="s">
        <v>5911</v>
      </c>
      <c r="L3137" t="s">
        <v>9</v>
      </c>
      <c r="M3137" t="s">
        <v>6138</v>
      </c>
      <c r="N3137" t="s">
        <v>3</v>
      </c>
      <c r="O3137" t="s">
        <v>3</v>
      </c>
      <c r="P3137" t="s">
        <v>5</v>
      </c>
      <c r="Q3137" t="s">
        <v>6139</v>
      </c>
      <c r="R3137" t="s">
        <v>3</v>
      </c>
      <c r="S3137" t="s">
        <v>3</v>
      </c>
      <c r="T3137" t="s">
        <v>3</v>
      </c>
      <c r="U3137" t="s">
        <v>3</v>
      </c>
      <c r="V3137" t="s">
        <v>3</v>
      </c>
      <c r="W3137" t="s">
        <v>68</v>
      </c>
      <c r="X3137" s="17"/>
      <c r="Y3137" t="s">
        <v>3</v>
      </c>
      <c r="Z3137" s="17">
        <v>43950</v>
      </c>
      <c r="AA3137" t="s">
        <v>3</v>
      </c>
      <c r="AB3137" t="s">
        <v>6137</v>
      </c>
    </row>
    <row r="3138" spans="1:28" hidden="1">
      <c r="A3138" t="s">
        <v>6137</v>
      </c>
      <c r="B3138" s="17">
        <v>43950</v>
      </c>
      <c r="C3138" s="17">
        <v>43950</v>
      </c>
      <c r="D3138" t="s">
        <v>0</v>
      </c>
      <c r="E3138" t="s">
        <v>1</v>
      </c>
      <c r="F3138" s="18">
        <v>617</v>
      </c>
      <c r="G3138" s="18">
        <v>617</v>
      </c>
      <c r="H3138" t="s">
        <v>2</v>
      </c>
      <c r="I3138" t="s">
        <v>8</v>
      </c>
      <c r="J3138" s="18">
        <v>51797.15</v>
      </c>
      <c r="K3138" t="s">
        <v>6140</v>
      </c>
      <c r="L3138" t="s">
        <v>9</v>
      </c>
      <c r="M3138" t="s">
        <v>6138</v>
      </c>
      <c r="N3138" t="s">
        <v>3</v>
      </c>
      <c r="O3138" t="s">
        <v>3</v>
      </c>
      <c r="P3138" t="s">
        <v>5</v>
      </c>
      <c r="Q3138" t="s">
        <v>6139</v>
      </c>
      <c r="R3138" t="s">
        <v>3</v>
      </c>
      <c r="S3138" t="s">
        <v>3</v>
      </c>
      <c r="T3138" t="s">
        <v>3</v>
      </c>
      <c r="U3138" t="s">
        <v>3</v>
      </c>
      <c r="V3138" t="s">
        <v>3</v>
      </c>
      <c r="W3138" t="s">
        <v>68</v>
      </c>
      <c r="X3138" s="17"/>
      <c r="Y3138" t="s">
        <v>3</v>
      </c>
      <c r="Z3138" s="17">
        <v>43950</v>
      </c>
      <c r="AA3138" t="s">
        <v>3</v>
      </c>
      <c r="AB3138" t="s">
        <v>6137</v>
      </c>
    </row>
    <row r="3139" spans="1:28" hidden="1">
      <c r="A3139" t="s">
        <v>6144</v>
      </c>
      <c r="B3139" s="17">
        <v>43951</v>
      </c>
      <c r="C3139" s="17">
        <v>43951</v>
      </c>
      <c r="D3139" t="s">
        <v>0</v>
      </c>
      <c r="E3139" t="s">
        <v>1</v>
      </c>
      <c r="F3139" s="18">
        <v>48333</v>
      </c>
      <c r="G3139" s="18">
        <v>48333</v>
      </c>
      <c r="H3139" t="s">
        <v>2</v>
      </c>
      <c r="I3139" t="s">
        <v>8</v>
      </c>
      <c r="J3139" s="18">
        <v>4057555.35</v>
      </c>
      <c r="K3139" t="s">
        <v>4460</v>
      </c>
      <c r="L3139" t="s">
        <v>9</v>
      </c>
      <c r="M3139" t="s">
        <v>4461</v>
      </c>
      <c r="N3139" t="s">
        <v>3</v>
      </c>
      <c r="O3139" t="s">
        <v>3</v>
      </c>
      <c r="P3139" t="s">
        <v>5</v>
      </c>
      <c r="Q3139" t="s">
        <v>4462</v>
      </c>
      <c r="R3139" t="s">
        <v>3</v>
      </c>
      <c r="S3139" t="s">
        <v>3</v>
      </c>
      <c r="T3139" t="s">
        <v>3</v>
      </c>
      <c r="U3139" t="s">
        <v>3</v>
      </c>
      <c r="V3139" t="s">
        <v>3</v>
      </c>
      <c r="W3139" t="s">
        <v>68</v>
      </c>
      <c r="X3139" s="17">
        <v>43952</v>
      </c>
      <c r="Y3139" t="s">
        <v>4459</v>
      </c>
      <c r="Z3139" s="17">
        <v>44012</v>
      </c>
      <c r="AA3139" t="s">
        <v>3</v>
      </c>
      <c r="AB3139" t="s">
        <v>6144</v>
      </c>
    </row>
    <row r="3140" spans="1:28" hidden="1">
      <c r="A3140" t="s">
        <v>6145</v>
      </c>
      <c r="B3140" s="17">
        <v>43951</v>
      </c>
      <c r="C3140" s="17">
        <v>43951</v>
      </c>
      <c r="D3140" t="s">
        <v>0</v>
      </c>
      <c r="E3140" t="s">
        <v>1</v>
      </c>
      <c r="F3140" s="18">
        <v>425135.42</v>
      </c>
      <c r="G3140" s="18">
        <v>425135.42</v>
      </c>
      <c r="H3140" t="s">
        <v>2</v>
      </c>
      <c r="I3140" t="s">
        <v>8</v>
      </c>
      <c r="J3140" s="18">
        <v>35690118.509999998</v>
      </c>
      <c r="K3140" t="s">
        <v>4456</v>
      </c>
      <c r="L3140" t="s">
        <v>4</v>
      </c>
      <c r="M3140" t="s">
        <v>4457</v>
      </c>
      <c r="N3140" t="s">
        <v>3</v>
      </c>
      <c r="O3140" t="s">
        <v>3</v>
      </c>
      <c r="P3140" t="s">
        <v>5</v>
      </c>
      <c r="Q3140" t="s">
        <v>4458</v>
      </c>
      <c r="R3140" t="s">
        <v>3</v>
      </c>
      <c r="S3140" t="s">
        <v>3</v>
      </c>
      <c r="T3140" t="s">
        <v>3</v>
      </c>
      <c r="U3140" t="s">
        <v>3</v>
      </c>
      <c r="V3140" t="s">
        <v>3</v>
      </c>
      <c r="W3140" t="s">
        <v>68</v>
      </c>
      <c r="X3140" s="17">
        <v>43952</v>
      </c>
      <c r="Y3140" t="s">
        <v>4455</v>
      </c>
      <c r="Z3140" s="17">
        <v>43982</v>
      </c>
      <c r="AA3140" t="s">
        <v>3</v>
      </c>
      <c r="AB3140" t="s">
        <v>6145</v>
      </c>
    </row>
    <row r="3141" spans="1:28" hidden="1">
      <c r="A3141" t="s">
        <v>4455</v>
      </c>
      <c r="B3141" s="17">
        <v>43952</v>
      </c>
      <c r="C3141" s="17">
        <v>43951</v>
      </c>
      <c r="D3141" t="s">
        <v>38</v>
      </c>
      <c r="E3141" t="s">
        <v>1</v>
      </c>
      <c r="F3141" s="18">
        <v>-425135.42</v>
      </c>
      <c r="G3141" s="18">
        <v>-425135.42</v>
      </c>
      <c r="H3141" t="s">
        <v>2</v>
      </c>
      <c r="I3141" t="s">
        <v>8</v>
      </c>
      <c r="J3141" s="18">
        <v>-35690118.509999998</v>
      </c>
      <c r="K3141" t="s">
        <v>4456</v>
      </c>
      <c r="L3141" t="s">
        <v>4</v>
      </c>
      <c r="M3141" t="s">
        <v>4457</v>
      </c>
      <c r="N3141" t="s">
        <v>3</v>
      </c>
      <c r="O3141" t="s">
        <v>3</v>
      </c>
      <c r="P3141" t="s">
        <v>5</v>
      </c>
      <c r="Q3141" t="s">
        <v>4458</v>
      </c>
      <c r="R3141" t="s">
        <v>3</v>
      </c>
      <c r="S3141" t="s">
        <v>3</v>
      </c>
      <c r="T3141" t="s">
        <v>3</v>
      </c>
      <c r="U3141" t="s">
        <v>3</v>
      </c>
      <c r="V3141" t="s">
        <v>3</v>
      </c>
      <c r="W3141" t="s">
        <v>68</v>
      </c>
      <c r="X3141" s="17">
        <v>43952</v>
      </c>
      <c r="Y3141" t="s">
        <v>4455</v>
      </c>
      <c r="Z3141" s="17">
        <v>43982</v>
      </c>
      <c r="AA3141" t="s">
        <v>3</v>
      </c>
      <c r="AB3141" t="s">
        <v>4455</v>
      </c>
    </row>
    <row r="3142" spans="1:28" hidden="1">
      <c r="A3142" t="s">
        <v>4459</v>
      </c>
      <c r="B3142" s="17">
        <v>43952</v>
      </c>
      <c r="C3142" s="17">
        <v>43951</v>
      </c>
      <c r="D3142" t="s">
        <v>38</v>
      </c>
      <c r="E3142" t="s">
        <v>1</v>
      </c>
      <c r="F3142" s="18">
        <v>-48333</v>
      </c>
      <c r="G3142" s="18">
        <v>-48333</v>
      </c>
      <c r="H3142" t="s">
        <v>2</v>
      </c>
      <c r="I3142" t="s">
        <v>8</v>
      </c>
      <c r="J3142" s="18">
        <v>-4057555.35</v>
      </c>
      <c r="K3142" t="s">
        <v>4460</v>
      </c>
      <c r="L3142" t="s">
        <v>9</v>
      </c>
      <c r="M3142" t="s">
        <v>4461</v>
      </c>
      <c r="N3142" t="s">
        <v>3</v>
      </c>
      <c r="O3142" t="s">
        <v>3</v>
      </c>
      <c r="P3142" t="s">
        <v>5</v>
      </c>
      <c r="Q3142" t="s">
        <v>4462</v>
      </c>
      <c r="R3142" t="s">
        <v>3</v>
      </c>
      <c r="S3142" t="s">
        <v>3</v>
      </c>
      <c r="T3142" t="s">
        <v>3</v>
      </c>
      <c r="U3142" t="s">
        <v>3</v>
      </c>
      <c r="V3142" t="s">
        <v>3</v>
      </c>
      <c r="W3142" t="s">
        <v>68</v>
      </c>
      <c r="X3142" s="17">
        <v>43952</v>
      </c>
      <c r="Y3142" t="s">
        <v>4459</v>
      </c>
      <c r="Z3142" s="17">
        <v>44012</v>
      </c>
      <c r="AA3142" t="s">
        <v>3</v>
      </c>
      <c r="AB3142" t="s">
        <v>4459</v>
      </c>
    </row>
    <row r="3143" spans="1:28" hidden="1">
      <c r="A3143" t="s">
        <v>6146</v>
      </c>
      <c r="B3143" s="17">
        <v>43958</v>
      </c>
      <c r="C3143" s="17">
        <v>43958</v>
      </c>
      <c r="D3143" t="s">
        <v>0</v>
      </c>
      <c r="E3143" t="s">
        <v>1</v>
      </c>
      <c r="F3143" s="18">
        <v>10026.07</v>
      </c>
      <c r="G3143" s="18">
        <v>10026.07</v>
      </c>
      <c r="H3143" t="s">
        <v>2</v>
      </c>
      <c r="I3143" t="s">
        <v>8</v>
      </c>
      <c r="J3143" s="18">
        <v>841688.58</v>
      </c>
      <c r="K3143" t="s">
        <v>6147</v>
      </c>
      <c r="L3143" t="s">
        <v>4</v>
      </c>
      <c r="M3143" t="s">
        <v>6148</v>
      </c>
      <c r="N3143" t="s">
        <v>3</v>
      </c>
      <c r="O3143" t="s">
        <v>3</v>
      </c>
      <c r="P3143" t="s">
        <v>5</v>
      </c>
      <c r="Q3143" t="s">
        <v>6149</v>
      </c>
      <c r="R3143" t="s">
        <v>3</v>
      </c>
      <c r="S3143" t="s">
        <v>3</v>
      </c>
      <c r="T3143" t="s">
        <v>3</v>
      </c>
      <c r="U3143" t="s">
        <v>3</v>
      </c>
      <c r="V3143" t="s">
        <v>3</v>
      </c>
      <c r="W3143" t="s">
        <v>68</v>
      </c>
      <c r="X3143" s="17"/>
      <c r="Y3143" t="s">
        <v>3</v>
      </c>
      <c r="Z3143" s="17">
        <v>43958</v>
      </c>
      <c r="AA3143" t="s">
        <v>3</v>
      </c>
      <c r="AB3143" t="s">
        <v>6146</v>
      </c>
    </row>
    <row r="3144" spans="1:28" hidden="1">
      <c r="A3144" t="s">
        <v>6146</v>
      </c>
      <c r="B3144" s="17">
        <v>43958</v>
      </c>
      <c r="C3144" s="17">
        <v>43958</v>
      </c>
      <c r="D3144" t="s">
        <v>0</v>
      </c>
      <c r="E3144" t="s">
        <v>1</v>
      </c>
      <c r="F3144" s="18">
        <v>4110</v>
      </c>
      <c r="G3144" s="18">
        <v>4110</v>
      </c>
      <c r="H3144" t="s">
        <v>2</v>
      </c>
      <c r="I3144" t="s">
        <v>8</v>
      </c>
      <c r="J3144" s="18">
        <v>341952</v>
      </c>
      <c r="K3144" t="s">
        <v>6150</v>
      </c>
      <c r="L3144" t="s">
        <v>4</v>
      </c>
      <c r="M3144" t="s">
        <v>6148</v>
      </c>
      <c r="N3144" t="s">
        <v>3</v>
      </c>
      <c r="O3144" t="s">
        <v>3</v>
      </c>
      <c r="P3144" t="s">
        <v>5</v>
      </c>
      <c r="Q3144" t="s">
        <v>6149</v>
      </c>
      <c r="R3144" t="s">
        <v>3</v>
      </c>
      <c r="S3144" t="s">
        <v>3</v>
      </c>
      <c r="T3144" t="s">
        <v>3</v>
      </c>
      <c r="U3144" t="s">
        <v>3</v>
      </c>
      <c r="V3144" t="s">
        <v>3</v>
      </c>
      <c r="W3144" t="s">
        <v>68</v>
      </c>
      <c r="X3144" s="17"/>
      <c r="Y3144" t="s">
        <v>3</v>
      </c>
      <c r="Z3144" s="17">
        <v>43958</v>
      </c>
      <c r="AA3144" t="s">
        <v>3</v>
      </c>
      <c r="AB3144" t="s">
        <v>6146</v>
      </c>
    </row>
    <row r="3145" spans="1:28" hidden="1">
      <c r="A3145" t="s">
        <v>6146</v>
      </c>
      <c r="B3145" s="17">
        <v>43958</v>
      </c>
      <c r="C3145" s="17">
        <v>43958</v>
      </c>
      <c r="D3145" t="s">
        <v>0</v>
      </c>
      <c r="E3145" t="s">
        <v>1</v>
      </c>
      <c r="F3145" s="18">
        <v>2247.9899999999998</v>
      </c>
      <c r="G3145" s="18">
        <v>2247.9899999999998</v>
      </c>
      <c r="H3145" t="s">
        <v>2</v>
      </c>
      <c r="I3145" t="s">
        <v>8</v>
      </c>
      <c r="J3145" s="18">
        <v>188718.76</v>
      </c>
      <c r="K3145" t="s">
        <v>6151</v>
      </c>
      <c r="L3145" t="s">
        <v>4</v>
      </c>
      <c r="M3145" t="s">
        <v>6148</v>
      </c>
      <c r="N3145" t="s">
        <v>3</v>
      </c>
      <c r="O3145" t="s">
        <v>3</v>
      </c>
      <c r="P3145" t="s">
        <v>5</v>
      </c>
      <c r="Q3145" t="s">
        <v>6149</v>
      </c>
      <c r="R3145" t="s">
        <v>3</v>
      </c>
      <c r="S3145" t="s">
        <v>3</v>
      </c>
      <c r="T3145" t="s">
        <v>3</v>
      </c>
      <c r="U3145" t="s">
        <v>3</v>
      </c>
      <c r="V3145" t="s">
        <v>3</v>
      </c>
      <c r="W3145" t="s">
        <v>68</v>
      </c>
      <c r="X3145" s="17"/>
      <c r="Y3145" t="s">
        <v>3</v>
      </c>
      <c r="Z3145" s="17">
        <v>43958</v>
      </c>
      <c r="AA3145" t="s">
        <v>3</v>
      </c>
      <c r="AB3145" t="s">
        <v>6146</v>
      </c>
    </row>
    <row r="3146" spans="1:28" hidden="1">
      <c r="A3146" t="s">
        <v>6152</v>
      </c>
      <c r="B3146" s="17">
        <v>43958</v>
      </c>
      <c r="C3146" s="17">
        <v>43958</v>
      </c>
      <c r="D3146" t="s">
        <v>0</v>
      </c>
      <c r="E3146" t="s">
        <v>1</v>
      </c>
      <c r="F3146" s="18">
        <v>10762.77</v>
      </c>
      <c r="G3146" s="18">
        <v>10762.77</v>
      </c>
      <c r="H3146" t="s">
        <v>2</v>
      </c>
      <c r="I3146" t="s">
        <v>8</v>
      </c>
      <c r="J3146" s="18">
        <v>903534.54</v>
      </c>
      <c r="K3146" t="s">
        <v>6153</v>
      </c>
      <c r="L3146" t="s">
        <v>4</v>
      </c>
      <c r="M3146" t="s">
        <v>6154</v>
      </c>
      <c r="N3146" t="s">
        <v>3</v>
      </c>
      <c r="O3146" t="s">
        <v>3</v>
      </c>
      <c r="P3146" t="s">
        <v>5</v>
      </c>
      <c r="Q3146" t="s">
        <v>6155</v>
      </c>
      <c r="R3146" t="s">
        <v>3</v>
      </c>
      <c r="S3146" t="s">
        <v>3</v>
      </c>
      <c r="T3146" t="s">
        <v>3</v>
      </c>
      <c r="U3146" t="s">
        <v>3</v>
      </c>
      <c r="V3146" t="s">
        <v>3</v>
      </c>
      <c r="W3146" t="s">
        <v>68</v>
      </c>
      <c r="X3146" s="17"/>
      <c r="Y3146" t="s">
        <v>3</v>
      </c>
      <c r="Z3146" s="17">
        <v>43958</v>
      </c>
      <c r="AA3146" t="s">
        <v>3</v>
      </c>
      <c r="AB3146" t="s">
        <v>6152</v>
      </c>
    </row>
    <row r="3147" spans="1:28" hidden="1">
      <c r="A3147" t="s">
        <v>6152</v>
      </c>
      <c r="B3147" s="17">
        <v>43958</v>
      </c>
      <c r="C3147" s="17">
        <v>43958</v>
      </c>
      <c r="D3147" t="s">
        <v>0</v>
      </c>
      <c r="E3147" t="s">
        <v>1</v>
      </c>
      <c r="F3147" s="18">
        <v>1431.71</v>
      </c>
      <c r="G3147" s="18">
        <v>1431.71</v>
      </c>
      <c r="H3147" t="s">
        <v>2</v>
      </c>
      <c r="I3147" t="s">
        <v>8</v>
      </c>
      <c r="J3147" s="18">
        <v>120192.05</v>
      </c>
      <c r="K3147" t="s">
        <v>6156</v>
      </c>
      <c r="L3147" t="s">
        <v>4</v>
      </c>
      <c r="M3147" t="s">
        <v>6154</v>
      </c>
      <c r="N3147" t="s">
        <v>3</v>
      </c>
      <c r="O3147" t="s">
        <v>3</v>
      </c>
      <c r="P3147" t="s">
        <v>5</v>
      </c>
      <c r="Q3147" t="s">
        <v>6155</v>
      </c>
      <c r="R3147" t="s">
        <v>3</v>
      </c>
      <c r="S3147" t="s">
        <v>3</v>
      </c>
      <c r="T3147" t="s">
        <v>3</v>
      </c>
      <c r="U3147" t="s">
        <v>3</v>
      </c>
      <c r="V3147" t="s">
        <v>3</v>
      </c>
      <c r="W3147" t="s">
        <v>68</v>
      </c>
      <c r="X3147" s="17"/>
      <c r="Y3147" t="s">
        <v>3</v>
      </c>
      <c r="Z3147" s="17">
        <v>43958</v>
      </c>
      <c r="AA3147" t="s">
        <v>3</v>
      </c>
      <c r="AB3147" t="s">
        <v>6152</v>
      </c>
    </row>
    <row r="3148" spans="1:28" hidden="1">
      <c r="A3148" t="s">
        <v>6152</v>
      </c>
      <c r="B3148" s="17">
        <v>43958</v>
      </c>
      <c r="C3148" s="17">
        <v>43958</v>
      </c>
      <c r="D3148" t="s">
        <v>0</v>
      </c>
      <c r="E3148" t="s">
        <v>1</v>
      </c>
      <c r="F3148" s="18">
        <v>11753.9</v>
      </c>
      <c r="G3148" s="18">
        <v>11753.9</v>
      </c>
      <c r="H3148" t="s">
        <v>2</v>
      </c>
      <c r="I3148" t="s">
        <v>8</v>
      </c>
      <c r="J3148" s="18">
        <v>986739.91</v>
      </c>
      <c r="K3148" t="s">
        <v>6147</v>
      </c>
      <c r="L3148" t="s">
        <v>4</v>
      </c>
      <c r="M3148" t="s">
        <v>6154</v>
      </c>
      <c r="N3148" t="s">
        <v>3</v>
      </c>
      <c r="O3148" t="s">
        <v>3</v>
      </c>
      <c r="P3148" t="s">
        <v>5</v>
      </c>
      <c r="Q3148" t="s">
        <v>6155</v>
      </c>
      <c r="R3148" t="s">
        <v>3</v>
      </c>
      <c r="S3148" t="s">
        <v>3</v>
      </c>
      <c r="T3148" t="s">
        <v>3</v>
      </c>
      <c r="U3148" t="s">
        <v>3</v>
      </c>
      <c r="V3148" t="s">
        <v>3</v>
      </c>
      <c r="W3148" t="s">
        <v>68</v>
      </c>
      <c r="X3148" s="17"/>
      <c r="Y3148" t="s">
        <v>3</v>
      </c>
      <c r="Z3148" s="17">
        <v>43958</v>
      </c>
      <c r="AA3148" t="s">
        <v>3</v>
      </c>
      <c r="AB3148" t="s">
        <v>6152</v>
      </c>
    </row>
    <row r="3149" spans="1:28" hidden="1">
      <c r="A3149" t="s">
        <v>6152</v>
      </c>
      <c r="B3149" s="17">
        <v>43958</v>
      </c>
      <c r="C3149" s="17">
        <v>43958</v>
      </c>
      <c r="D3149" t="s">
        <v>0</v>
      </c>
      <c r="E3149" t="s">
        <v>1</v>
      </c>
      <c r="F3149" s="18">
        <v>12442.23</v>
      </c>
      <c r="G3149" s="18">
        <v>12442.23</v>
      </c>
      <c r="H3149" t="s">
        <v>2</v>
      </c>
      <c r="I3149" t="s">
        <v>8</v>
      </c>
      <c r="J3149" s="18">
        <v>1044525.21</v>
      </c>
      <c r="K3149" t="s">
        <v>6157</v>
      </c>
      <c r="L3149" t="s">
        <v>4</v>
      </c>
      <c r="M3149" t="s">
        <v>6154</v>
      </c>
      <c r="N3149" t="s">
        <v>3</v>
      </c>
      <c r="O3149" t="s">
        <v>3</v>
      </c>
      <c r="P3149" t="s">
        <v>5</v>
      </c>
      <c r="Q3149" t="s">
        <v>6155</v>
      </c>
      <c r="R3149" t="s">
        <v>3</v>
      </c>
      <c r="S3149" t="s">
        <v>3</v>
      </c>
      <c r="T3149" t="s">
        <v>3</v>
      </c>
      <c r="U3149" t="s">
        <v>3</v>
      </c>
      <c r="V3149" t="s">
        <v>3</v>
      </c>
      <c r="W3149" t="s">
        <v>68</v>
      </c>
      <c r="X3149" s="17"/>
      <c r="Y3149" t="s">
        <v>3</v>
      </c>
      <c r="Z3149" s="17">
        <v>43958</v>
      </c>
      <c r="AA3149" t="s">
        <v>3</v>
      </c>
      <c r="AB3149" t="s">
        <v>6152</v>
      </c>
    </row>
    <row r="3150" spans="1:28" hidden="1">
      <c r="A3150" t="s">
        <v>6152</v>
      </c>
      <c r="B3150" s="17">
        <v>43958</v>
      </c>
      <c r="C3150" s="17">
        <v>43958</v>
      </c>
      <c r="D3150" t="s">
        <v>0</v>
      </c>
      <c r="E3150" t="s">
        <v>1</v>
      </c>
      <c r="F3150" s="18">
        <v>11271.06</v>
      </c>
      <c r="G3150" s="18">
        <v>11271.06</v>
      </c>
      <c r="H3150" t="s">
        <v>2</v>
      </c>
      <c r="I3150" t="s">
        <v>10</v>
      </c>
      <c r="J3150" s="18">
        <v>946205.49</v>
      </c>
      <c r="K3150" t="s">
        <v>6158</v>
      </c>
      <c r="L3150" t="s">
        <v>4</v>
      </c>
      <c r="M3150" t="s">
        <v>6154</v>
      </c>
      <c r="N3150" t="s">
        <v>3</v>
      </c>
      <c r="O3150" t="s">
        <v>3</v>
      </c>
      <c r="P3150" t="s">
        <v>5</v>
      </c>
      <c r="Q3150" t="s">
        <v>6155</v>
      </c>
      <c r="R3150" t="s">
        <v>3</v>
      </c>
      <c r="S3150" t="s">
        <v>3</v>
      </c>
      <c r="T3150" t="s">
        <v>3</v>
      </c>
      <c r="U3150" t="s">
        <v>3</v>
      </c>
      <c r="V3150" t="s">
        <v>3</v>
      </c>
      <c r="W3150" t="s">
        <v>68</v>
      </c>
      <c r="X3150" s="17"/>
      <c r="Y3150" t="s">
        <v>3</v>
      </c>
      <c r="Z3150" s="17">
        <v>43958</v>
      </c>
      <c r="AA3150" t="s">
        <v>3</v>
      </c>
      <c r="AB3150" t="s">
        <v>6152</v>
      </c>
    </row>
    <row r="3151" spans="1:28" hidden="1">
      <c r="A3151" t="s">
        <v>6152</v>
      </c>
      <c r="B3151" s="17">
        <v>43958</v>
      </c>
      <c r="C3151" s="17">
        <v>43958</v>
      </c>
      <c r="D3151" t="s">
        <v>0</v>
      </c>
      <c r="E3151" t="s">
        <v>1</v>
      </c>
      <c r="F3151" s="18">
        <v>11026.51</v>
      </c>
      <c r="G3151" s="18">
        <v>11026.51</v>
      </c>
      <c r="H3151" t="s">
        <v>2</v>
      </c>
      <c r="I3151" t="s">
        <v>8</v>
      </c>
      <c r="J3151" s="18">
        <v>925675.51</v>
      </c>
      <c r="K3151" t="s">
        <v>6159</v>
      </c>
      <c r="L3151" t="s">
        <v>4</v>
      </c>
      <c r="M3151" t="s">
        <v>6154</v>
      </c>
      <c r="N3151" t="s">
        <v>3</v>
      </c>
      <c r="O3151" t="s">
        <v>3</v>
      </c>
      <c r="P3151" t="s">
        <v>5</v>
      </c>
      <c r="Q3151" t="s">
        <v>6155</v>
      </c>
      <c r="R3151" t="s">
        <v>3</v>
      </c>
      <c r="S3151" t="s">
        <v>3</v>
      </c>
      <c r="T3151" t="s">
        <v>3</v>
      </c>
      <c r="U3151" t="s">
        <v>3</v>
      </c>
      <c r="V3151" t="s">
        <v>3</v>
      </c>
      <c r="W3151" t="s">
        <v>68</v>
      </c>
      <c r="X3151" s="17"/>
      <c r="Y3151" t="s">
        <v>3</v>
      </c>
      <c r="Z3151" s="17">
        <v>43958</v>
      </c>
      <c r="AA3151" t="s">
        <v>3</v>
      </c>
      <c r="AB3151" t="s">
        <v>6152</v>
      </c>
    </row>
    <row r="3152" spans="1:28" hidden="1">
      <c r="A3152" t="s">
        <v>6152</v>
      </c>
      <c r="B3152" s="17">
        <v>43958</v>
      </c>
      <c r="C3152" s="17">
        <v>43958</v>
      </c>
      <c r="D3152" t="s">
        <v>0</v>
      </c>
      <c r="E3152" t="s">
        <v>1</v>
      </c>
      <c r="F3152" s="18">
        <v>7666.14</v>
      </c>
      <c r="G3152" s="18">
        <v>7666.14</v>
      </c>
      <c r="H3152" t="s">
        <v>2</v>
      </c>
      <c r="I3152" t="s">
        <v>8</v>
      </c>
      <c r="J3152" s="18">
        <v>643572.44999999995</v>
      </c>
      <c r="K3152" t="s">
        <v>6151</v>
      </c>
      <c r="L3152" t="s">
        <v>4</v>
      </c>
      <c r="M3152" t="s">
        <v>6154</v>
      </c>
      <c r="N3152" t="s">
        <v>3</v>
      </c>
      <c r="O3152" t="s">
        <v>3</v>
      </c>
      <c r="P3152" t="s">
        <v>5</v>
      </c>
      <c r="Q3152" t="s">
        <v>6155</v>
      </c>
      <c r="R3152" t="s">
        <v>3</v>
      </c>
      <c r="S3152" t="s">
        <v>3</v>
      </c>
      <c r="T3152" t="s">
        <v>3</v>
      </c>
      <c r="U3152" t="s">
        <v>3</v>
      </c>
      <c r="V3152" t="s">
        <v>3</v>
      </c>
      <c r="W3152" t="s">
        <v>68</v>
      </c>
      <c r="X3152" s="17"/>
      <c r="Y3152" t="s">
        <v>3</v>
      </c>
      <c r="Z3152" s="17">
        <v>43958</v>
      </c>
      <c r="AA3152" t="s">
        <v>3</v>
      </c>
      <c r="AB3152" t="s">
        <v>6152</v>
      </c>
    </row>
    <row r="3153" spans="1:28" hidden="1">
      <c r="A3153" t="s">
        <v>6160</v>
      </c>
      <c r="B3153" s="17">
        <v>43958</v>
      </c>
      <c r="C3153" s="17">
        <v>43958</v>
      </c>
      <c r="D3153" t="s">
        <v>0</v>
      </c>
      <c r="E3153" t="s">
        <v>1</v>
      </c>
      <c r="F3153" s="18">
        <v>1039.83</v>
      </c>
      <c r="G3153" s="18">
        <v>1039.83</v>
      </c>
      <c r="H3153" t="s">
        <v>2</v>
      </c>
      <c r="I3153" t="s">
        <v>8</v>
      </c>
      <c r="J3153" s="18">
        <v>87293.73</v>
      </c>
      <c r="K3153" t="s">
        <v>6147</v>
      </c>
      <c r="L3153" t="s">
        <v>4</v>
      </c>
      <c r="M3153" t="s">
        <v>6161</v>
      </c>
      <c r="N3153" t="s">
        <v>3</v>
      </c>
      <c r="O3153" t="s">
        <v>3</v>
      </c>
      <c r="P3153" t="s">
        <v>5</v>
      </c>
      <c r="Q3153" t="s">
        <v>6162</v>
      </c>
      <c r="R3153" t="s">
        <v>3</v>
      </c>
      <c r="S3153" t="s">
        <v>3</v>
      </c>
      <c r="T3153" t="s">
        <v>3</v>
      </c>
      <c r="U3153" t="s">
        <v>3</v>
      </c>
      <c r="V3153" t="s">
        <v>3</v>
      </c>
      <c r="W3153" t="s">
        <v>68</v>
      </c>
      <c r="X3153" s="17"/>
      <c r="Y3153" t="s">
        <v>3</v>
      </c>
      <c r="Z3153" s="17">
        <v>43958</v>
      </c>
      <c r="AA3153" t="s">
        <v>3</v>
      </c>
      <c r="AB3153" t="s">
        <v>6160</v>
      </c>
    </row>
    <row r="3154" spans="1:28" hidden="1">
      <c r="A3154" t="s">
        <v>6160</v>
      </c>
      <c r="B3154" s="17">
        <v>43958</v>
      </c>
      <c r="C3154" s="17">
        <v>43958</v>
      </c>
      <c r="D3154" t="s">
        <v>0</v>
      </c>
      <c r="E3154" t="s">
        <v>1</v>
      </c>
      <c r="F3154" s="18">
        <v>3109.2</v>
      </c>
      <c r="G3154" s="18">
        <v>3109.2</v>
      </c>
      <c r="H3154" t="s">
        <v>2</v>
      </c>
      <c r="I3154" t="s">
        <v>8</v>
      </c>
      <c r="J3154" s="18">
        <v>261017.34</v>
      </c>
      <c r="K3154" t="s">
        <v>6157</v>
      </c>
      <c r="L3154" t="s">
        <v>4</v>
      </c>
      <c r="M3154" t="s">
        <v>6161</v>
      </c>
      <c r="N3154" t="s">
        <v>3</v>
      </c>
      <c r="O3154" t="s">
        <v>3</v>
      </c>
      <c r="P3154" t="s">
        <v>5</v>
      </c>
      <c r="Q3154" t="s">
        <v>6162</v>
      </c>
      <c r="R3154" t="s">
        <v>3</v>
      </c>
      <c r="S3154" t="s">
        <v>3</v>
      </c>
      <c r="T3154" t="s">
        <v>3</v>
      </c>
      <c r="U3154" t="s">
        <v>3</v>
      </c>
      <c r="V3154" t="s">
        <v>3</v>
      </c>
      <c r="W3154" t="s">
        <v>68</v>
      </c>
      <c r="X3154" s="17"/>
      <c r="Y3154" t="s">
        <v>3</v>
      </c>
      <c r="Z3154" s="17">
        <v>43958</v>
      </c>
      <c r="AA3154" t="s">
        <v>3</v>
      </c>
      <c r="AB3154" t="s">
        <v>6160</v>
      </c>
    </row>
    <row r="3155" spans="1:28" hidden="1">
      <c r="A3155" t="s">
        <v>6160</v>
      </c>
      <c r="B3155" s="17">
        <v>43958</v>
      </c>
      <c r="C3155" s="17">
        <v>43958</v>
      </c>
      <c r="D3155" t="s">
        <v>0</v>
      </c>
      <c r="E3155" t="s">
        <v>1</v>
      </c>
      <c r="F3155" s="18">
        <v>37447.58</v>
      </c>
      <c r="G3155" s="18">
        <v>37447.58</v>
      </c>
      <c r="H3155" t="s">
        <v>2</v>
      </c>
      <c r="I3155" t="s">
        <v>8</v>
      </c>
      <c r="J3155" s="18">
        <v>3143724.34</v>
      </c>
      <c r="K3155" t="s">
        <v>6159</v>
      </c>
      <c r="L3155" t="s">
        <v>4</v>
      </c>
      <c r="M3155" t="s">
        <v>6161</v>
      </c>
      <c r="N3155" t="s">
        <v>3</v>
      </c>
      <c r="O3155" t="s">
        <v>3</v>
      </c>
      <c r="P3155" t="s">
        <v>5</v>
      </c>
      <c r="Q3155" t="s">
        <v>6162</v>
      </c>
      <c r="R3155" t="s">
        <v>3</v>
      </c>
      <c r="S3155" t="s">
        <v>3</v>
      </c>
      <c r="T3155" t="s">
        <v>3</v>
      </c>
      <c r="U3155" t="s">
        <v>3</v>
      </c>
      <c r="V3155" t="s">
        <v>3</v>
      </c>
      <c r="W3155" t="s">
        <v>68</v>
      </c>
      <c r="X3155" s="17"/>
      <c r="Y3155" t="s">
        <v>3</v>
      </c>
      <c r="Z3155" s="17">
        <v>43958</v>
      </c>
      <c r="AA3155" t="s">
        <v>3</v>
      </c>
      <c r="AB3155" t="s">
        <v>6160</v>
      </c>
    </row>
    <row r="3156" spans="1:28" hidden="1">
      <c r="A3156" t="s">
        <v>6163</v>
      </c>
      <c r="B3156" s="17">
        <v>43958</v>
      </c>
      <c r="C3156" s="17">
        <v>43958</v>
      </c>
      <c r="D3156" t="s">
        <v>0</v>
      </c>
      <c r="E3156" t="s">
        <v>1</v>
      </c>
      <c r="F3156" s="18">
        <v>2380</v>
      </c>
      <c r="G3156" s="18">
        <v>2380</v>
      </c>
      <c r="H3156" t="s">
        <v>2</v>
      </c>
      <c r="I3156" t="s">
        <v>8</v>
      </c>
      <c r="J3156" s="18">
        <v>198730</v>
      </c>
      <c r="K3156" t="s">
        <v>6164</v>
      </c>
      <c r="L3156" t="s">
        <v>9</v>
      </c>
      <c r="M3156" t="s">
        <v>6165</v>
      </c>
      <c r="N3156" t="s">
        <v>3</v>
      </c>
      <c r="O3156" t="s">
        <v>3</v>
      </c>
      <c r="P3156" t="s">
        <v>5</v>
      </c>
      <c r="Q3156" t="s">
        <v>6166</v>
      </c>
      <c r="R3156" t="s">
        <v>3</v>
      </c>
      <c r="S3156" t="s">
        <v>3</v>
      </c>
      <c r="T3156" t="s">
        <v>3</v>
      </c>
      <c r="U3156" t="s">
        <v>3</v>
      </c>
      <c r="V3156" t="s">
        <v>3</v>
      </c>
      <c r="W3156" t="s">
        <v>68</v>
      </c>
      <c r="X3156" s="17"/>
      <c r="Y3156" t="s">
        <v>3</v>
      </c>
      <c r="Z3156" s="17">
        <v>43958</v>
      </c>
      <c r="AA3156" t="s">
        <v>3</v>
      </c>
      <c r="AB3156" t="s">
        <v>6163</v>
      </c>
    </row>
    <row r="3157" spans="1:28" hidden="1">
      <c r="A3157" t="s">
        <v>6163</v>
      </c>
      <c r="B3157" s="17">
        <v>43958</v>
      </c>
      <c r="C3157" s="17">
        <v>43958</v>
      </c>
      <c r="D3157" t="s">
        <v>0</v>
      </c>
      <c r="E3157" t="s">
        <v>1</v>
      </c>
      <c r="F3157" s="18">
        <v>14321</v>
      </c>
      <c r="G3157" s="18">
        <v>14321</v>
      </c>
      <c r="H3157" t="s">
        <v>2</v>
      </c>
      <c r="I3157" t="s">
        <v>8</v>
      </c>
      <c r="J3157" s="18">
        <v>1195803.5</v>
      </c>
      <c r="K3157" t="s">
        <v>6167</v>
      </c>
      <c r="L3157" t="s">
        <v>9</v>
      </c>
      <c r="M3157" t="s">
        <v>6165</v>
      </c>
      <c r="N3157" t="s">
        <v>3</v>
      </c>
      <c r="O3157" t="s">
        <v>3</v>
      </c>
      <c r="P3157" t="s">
        <v>5</v>
      </c>
      <c r="Q3157" t="s">
        <v>6166</v>
      </c>
      <c r="R3157" t="s">
        <v>3</v>
      </c>
      <c r="S3157" t="s">
        <v>3</v>
      </c>
      <c r="T3157" t="s">
        <v>3</v>
      </c>
      <c r="U3157" t="s">
        <v>3</v>
      </c>
      <c r="V3157" t="s">
        <v>3</v>
      </c>
      <c r="W3157" t="s">
        <v>68</v>
      </c>
      <c r="X3157" s="17"/>
      <c r="Y3157" t="s">
        <v>3</v>
      </c>
      <c r="Z3157" s="17">
        <v>43958</v>
      </c>
      <c r="AA3157" t="s">
        <v>3</v>
      </c>
      <c r="AB3157" t="s">
        <v>6163</v>
      </c>
    </row>
    <row r="3158" spans="1:28" hidden="1">
      <c r="A3158" t="s">
        <v>6163</v>
      </c>
      <c r="B3158" s="17">
        <v>43958</v>
      </c>
      <c r="C3158" s="17">
        <v>43958</v>
      </c>
      <c r="D3158" t="s">
        <v>0</v>
      </c>
      <c r="E3158" t="s">
        <v>1</v>
      </c>
      <c r="F3158" s="18">
        <v>6109</v>
      </c>
      <c r="G3158" s="18">
        <v>6109</v>
      </c>
      <c r="H3158" t="s">
        <v>2</v>
      </c>
      <c r="I3158" t="s">
        <v>8</v>
      </c>
      <c r="J3158" s="18">
        <v>512239.65</v>
      </c>
      <c r="K3158" t="s">
        <v>6168</v>
      </c>
      <c r="L3158" t="s">
        <v>9</v>
      </c>
      <c r="M3158" t="s">
        <v>6165</v>
      </c>
      <c r="N3158" t="s">
        <v>3</v>
      </c>
      <c r="O3158" t="s">
        <v>3</v>
      </c>
      <c r="P3158" t="s">
        <v>5</v>
      </c>
      <c r="Q3158" t="s">
        <v>6166</v>
      </c>
      <c r="R3158" t="s">
        <v>3</v>
      </c>
      <c r="S3158" t="s">
        <v>3</v>
      </c>
      <c r="T3158" t="s">
        <v>3</v>
      </c>
      <c r="U3158" t="s">
        <v>3</v>
      </c>
      <c r="V3158" t="s">
        <v>3</v>
      </c>
      <c r="W3158" t="s">
        <v>68</v>
      </c>
      <c r="X3158" s="17"/>
      <c r="Y3158" t="s">
        <v>3</v>
      </c>
      <c r="Z3158" s="17">
        <v>43958</v>
      </c>
      <c r="AA3158" t="s">
        <v>3</v>
      </c>
      <c r="AB3158" t="s">
        <v>6163</v>
      </c>
    </row>
    <row r="3159" spans="1:28" hidden="1">
      <c r="A3159" t="s">
        <v>6163</v>
      </c>
      <c r="B3159" s="17">
        <v>43958</v>
      </c>
      <c r="C3159" s="17">
        <v>43958</v>
      </c>
      <c r="D3159" t="s">
        <v>0</v>
      </c>
      <c r="E3159" t="s">
        <v>1</v>
      </c>
      <c r="F3159" s="18">
        <v>3333</v>
      </c>
      <c r="G3159" s="18">
        <v>3333</v>
      </c>
      <c r="H3159" t="s">
        <v>2</v>
      </c>
      <c r="I3159" t="s">
        <v>8</v>
      </c>
      <c r="J3159" s="18">
        <v>279805.34999999998</v>
      </c>
      <c r="K3159" t="s">
        <v>5959</v>
      </c>
      <c r="L3159" t="s">
        <v>9</v>
      </c>
      <c r="M3159" t="s">
        <v>6165</v>
      </c>
      <c r="N3159" t="s">
        <v>3</v>
      </c>
      <c r="O3159" t="s">
        <v>3</v>
      </c>
      <c r="P3159" t="s">
        <v>5</v>
      </c>
      <c r="Q3159" t="s">
        <v>6166</v>
      </c>
      <c r="R3159" t="s">
        <v>3</v>
      </c>
      <c r="S3159" t="s">
        <v>3</v>
      </c>
      <c r="T3159" t="s">
        <v>3</v>
      </c>
      <c r="U3159" t="s">
        <v>3</v>
      </c>
      <c r="V3159" t="s">
        <v>3</v>
      </c>
      <c r="W3159" t="s">
        <v>68</v>
      </c>
      <c r="X3159" s="17"/>
      <c r="Y3159" t="s">
        <v>3</v>
      </c>
      <c r="Z3159" s="17">
        <v>43958</v>
      </c>
      <c r="AA3159" t="s">
        <v>3</v>
      </c>
      <c r="AB3159" t="s">
        <v>6163</v>
      </c>
    </row>
    <row r="3160" spans="1:28" hidden="1">
      <c r="A3160" t="s">
        <v>6163</v>
      </c>
      <c r="B3160" s="17">
        <v>43958</v>
      </c>
      <c r="C3160" s="17">
        <v>43958</v>
      </c>
      <c r="D3160" t="s">
        <v>0</v>
      </c>
      <c r="E3160" t="s">
        <v>1</v>
      </c>
      <c r="F3160" s="18">
        <v>16840</v>
      </c>
      <c r="G3160" s="18">
        <v>16840</v>
      </c>
      <c r="H3160" t="s">
        <v>2</v>
      </c>
      <c r="I3160" t="s">
        <v>8</v>
      </c>
      <c r="J3160" s="18">
        <v>1413718</v>
      </c>
      <c r="K3160" t="s">
        <v>6169</v>
      </c>
      <c r="L3160" t="s">
        <v>9</v>
      </c>
      <c r="M3160" t="s">
        <v>6165</v>
      </c>
      <c r="N3160" t="s">
        <v>3</v>
      </c>
      <c r="O3160" t="s">
        <v>3</v>
      </c>
      <c r="P3160" t="s">
        <v>5</v>
      </c>
      <c r="Q3160" t="s">
        <v>6166</v>
      </c>
      <c r="R3160" t="s">
        <v>3</v>
      </c>
      <c r="S3160" t="s">
        <v>3</v>
      </c>
      <c r="T3160" t="s">
        <v>3</v>
      </c>
      <c r="U3160" t="s">
        <v>3</v>
      </c>
      <c r="V3160" t="s">
        <v>3</v>
      </c>
      <c r="W3160" t="s">
        <v>68</v>
      </c>
      <c r="X3160" s="17"/>
      <c r="Y3160" t="s">
        <v>3</v>
      </c>
      <c r="Z3160" s="17">
        <v>43958</v>
      </c>
      <c r="AA3160" t="s">
        <v>3</v>
      </c>
      <c r="AB3160" t="s">
        <v>6163</v>
      </c>
    </row>
    <row r="3161" spans="1:28" hidden="1">
      <c r="A3161" t="s">
        <v>6163</v>
      </c>
      <c r="B3161" s="17">
        <v>43958</v>
      </c>
      <c r="C3161" s="17">
        <v>43958</v>
      </c>
      <c r="D3161" t="s">
        <v>0</v>
      </c>
      <c r="E3161" t="s">
        <v>1</v>
      </c>
      <c r="F3161" s="18">
        <v>5351</v>
      </c>
      <c r="G3161" s="18">
        <v>5351</v>
      </c>
      <c r="H3161" t="s">
        <v>2</v>
      </c>
      <c r="I3161" t="s">
        <v>8</v>
      </c>
      <c r="J3161" s="18">
        <v>449216.45</v>
      </c>
      <c r="K3161" t="s">
        <v>6170</v>
      </c>
      <c r="L3161" t="s">
        <v>9</v>
      </c>
      <c r="M3161" t="s">
        <v>6165</v>
      </c>
      <c r="N3161" t="s">
        <v>3</v>
      </c>
      <c r="O3161" t="s">
        <v>3</v>
      </c>
      <c r="P3161" t="s">
        <v>5</v>
      </c>
      <c r="Q3161" t="s">
        <v>6166</v>
      </c>
      <c r="R3161" t="s">
        <v>3</v>
      </c>
      <c r="S3161" t="s">
        <v>3</v>
      </c>
      <c r="T3161" t="s">
        <v>3</v>
      </c>
      <c r="U3161" t="s">
        <v>3</v>
      </c>
      <c r="V3161" t="s">
        <v>3</v>
      </c>
      <c r="W3161" t="s">
        <v>68</v>
      </c>
      <c r="X3161" s="17"/>
      <c r="Y3161" t="s">
        <v>3</v>
      </c>
      <c r="Z3161" s="17">
        <v>43958</v>
      </c>
      <c r="AA3161" t="s">
        <v>3</v>
      </c>
      <c r="AB3161" t="s">
        <v>6163</v>
      </c>
    </row>
    <row r="3162" spans="1:28" hidden="1">
      <c r="A3162" t="s">
        <v>6171</v>
      </c>
      <c r="B3162" s="17">
        <v>43958</v>
      </c>
      <c r="C3162" s="17">
        <v>43958</v>
      </c>
      <c r="D3162" t="s">
        <v>0</v>
      </c>
      <c r="E3162" t="s">
        <v>1</v>
      </c>
      <c r="F3162" s="18">
        <v>27038.91</v>
      </c>
      <c r="G3162" s="18">
        <v>27038.91</v>
      </c>
      <c r="H3162" t="s">
        <v>2</v>
      </c>
      <c r="I3162" t="s">
        <v>8</v>
      </c>
      <c r="J3162" s="18">
        <v>2269916.5</v>
      </c>
      <c r="K3162" t="s">
        <v>5819</v>
      </c>
      <c r="L3162" t="s">
        <v>4</v>
      </c>
      <c r="M3162" t="s">
        <v>6172</v>
      </c>
      <c r="N3162" t="s">
        <v>3</v>
      </c>
      <c r="O3162" t="s">
        <v>3</v>
      </c>
      <c r="P3162" t="s">
        <v>5</v>
      </c>
      <c r="Q3162" t="s">
        <v>6173</v>
      </c>
      <c r="R3162" t="s">
        <v>3</v>
      </c>
      <c r="S3162" t="s">
        <v>3</v>
      </c>
      <c r="T3162" t="s">
        <v>3</v>
      </c>
      <c r="U3162" t="s">
        <v>3</v>
      </c>
      <c r="V3162" t="s">
        <v>3</v>
      </c>
      <c r="W3162" t="s">
        <v>68</v>
      </c>
      <c r="X3162" s="17"/>
      <c r="Y3162" t="s">
        <v>3</v>
      </c>
      <c r="Z3162" s="17">
        <v>43958</v>
      </c>
      <c r="AA3162" t="s">
        <v>3</v>
      </c>
      <c r="AB3162" t="s">
        <v>6171</v>
      </c>
    </row>
    <row r="3163" spans="1:28" hidden="1">
      <c r="A3163" t="s">
        <v>6171</v>
      </c>
      <c r="B3163" s="17">
        <v>43958</v>
      </c>
      <c r="C3163" s="17">
        <v>43958</v>
      </c>
      <c r="D3163" t="s">
        <v>0</v>
      </c>
      <c r="E3163" t="s">
        <v>1</v>
      </c>
      <c r="F3163" s="18">
        <v>5286.38</v>
      </c>
      <c r="G3163" s="18">
        <v>5286.38</v>
      </c>
      <c r="H3163" t="s">
        <v>2</v>
      </c>
      <c r="I3163" t="s">
        <v>8</v>
      </c>
      <c r="J3163" s="18">
        <v>443791.6</v>
      </c>
      <c r="K3163" t="s">
        <v>6037</v>
      </c>
      <c r="L3163" t="s">
        <v>4</v>
      </c>
      <c r="M3163" t="s">
        <v>6172</v>
      </c>
      <c r="N3163" t="s">
        <v>3</v>
      </c>
      <c r="O3163" t="s">
        <v>3</v>
      </c>
      <c r="P3163" t="s">
        <v>5</v>
      </c>
      <c r="Q3163" t="s">
        <v>6173</v>
      </c>
      <c r="R3163" t="s">
        <v>3</v>
      </c>
      <c r="S3163" t="s">
        <v>3</v>
      </c>
      <c r="T3163" t="s">
        <v>3</v>
      </c>
      <c r="U3163" t="s">
        <v>3</v>
      </c>
      <c r="V3163" t="s">
        <v>3</v>
      </c>
      <c r="W3163" t="s">
        <v>68</v>
      </c>
      <c r="X3163" s="17"/>
      <c r="Y3163" t="s">
        <v>3</v>
      </c>
      <c r="Z3163" s="17">
        <v>43958</v>
      </c>
      <c r="AA3163" t="s">
        <v>3</v>
      </c>
      <c r="AB3163" t="s">
        <v>6171</v>
      </c>
    </row>
    <row r="3164" spans="1:28" hidden="1">
      <c r="A3164" t="s">
        <v>6171</v>
      </c>
      <c r="B3164" s="17">
        <v>43958</v>
      </c>
      <c r="C3164" s="17">
        <v>43958</v>
      </c>
      <c r="D3164" t="s">
        <v>0</v>
      </c>
      <c r="E3164" t="s">
        <v>1</v>
      </c>
      <c r="F3164" s="18">
        <v>33793.050000000003</v>
      </c>
      <c r="G3164" s="18">
        <v>33793.050000000003</v>
      </c>
      <c r="H3164" t="s">
        <v>2</v>
      </c>
      <c r="I3164" t="s">
        <v>8</v>
      </c>
      <c r="J3164" s="18">
        <v>2836926.55</v>
      </c>
      <c r="K3164" t="s">
        <v>6174</v>
      </c>
      <c r="L3164" t="s">
        <v>4</v>
      </c>
      <c r="M3164" t="s">
        <v>6172</v>
      </c>
      <c r="N3164" t="s">
        <v>3</v>
      </c>
      <c r="O3164" t="s">
        <v>3</v>
      </c>
      <c r="P3164" t="s">
        <v>5</v>
      </c>
      <c r="Q3164" t="s">
        <v>6173</v>
      </c>
      <c r="R3164" t="s">
        <v>3</v>
      </c>
      <c r="S3164" t="s">
        <v>3</v>
      </c>
      <c r="T3164" t="s">
        <v>3</v>
      </c>
      <c r="U3164" t="s">
        <v>3</v>
      </c>
      <c r="V3164" t="s">
        <v>3</v>
      </c>
      <c r="W3164" t="s">
        <v>68</v>
      </c>
      <c r="X3164" s="17"/>
      <c r="Y3164" t="s">
        <v>3</v>
      </c>
      <c r="Z3164" s="17">
        <v>43958</v>
      </c>
      <c r="AA3164" t="s">
        <v>3</v>
      </c>
      <c r="AB3164" t="s">
        <v>6171</v>
      </c>
    </row>
    <row r="3165" spans="1:28" hidden="1">
      <c r="A3165" t="s">
        <v>6175</v>
      </c>
      <c r="B3165" s="17">
        <v>43958</v>
      </c>
      <c r="C3165" s="17">
        <v>43958</v>
      </c>
      <c r="D3165" t="s">
        <v>0</v>
      </c>
      <c r="E3165" t="s">
        <v>1</v>
      </c>
      <c r="F3165" s="18">
        <v>135</v>
      </c>
      <c r="G3165" s="18">
        <v>135</v>
      </c>
      <c r="H3165" t="s">
        <v>2</v>
      </c>
      <c r="I3165" t="s">
        <v>8</v>
      </c>
      <c r="J3165" s="18">
        <v>11333.25</v>
      </c>
      <c r="K3165" t="s">
        <v>6176</v>
      </c>
      <c r="L3165" t="s">
        <v>9</v>
      </c>
      <c r="M3165" t="s">
        <v>6177</v>
      </c>
      <c r="N3165" t="s">
        <v>3</v>
      </c>
      <c r="O3165" t="s">
        <v>3</v>
      </c>
      <c r="P3165" t="s">
        <v>5</v>
      </c>
      <c r="Q3165" t="s">
        <v>6178</v>
      </c>
      <c r="R3165" t="s">
        <v>3</v>
      </c>
      <c r="S3165" t="s">
        <v>3</v>
      </c>
      <c r="T3165" t="s">
        <v>3</v>
      </c>
      <c r="U3165" t="s">
        <v>3</v>
      </c>
      <c r="V3165" t="s">
        <v>3</v>
      </c>
      <c r="W3165" t="s">
        <v>68</v>
      </c>
      <c r="X3165" s="17"/>
      <c r="Y3165" t="s">
        <v>3</v>
      </c>
      <c r="Z3165" s="17">
        <v>43958</v>
      </c>
      <c r="AA3165" t="s">
        <v>3</v>
      </c>
      <c r="AB3165" t="s">
        <v>6175</v>
      </c>
    </row>
    <row r="3166" spans="1:28" hidden="1">
      <c r="A3166" t="s">
        <v>6175</v>
      </c>
      <c r="B3166" s="17">
        <v>43958</v>
      </c>
      <c r="C3166" s="17">
        <v>43958</v>
      </c>
      <c r="D3166" t="s">
        <v>0</v>
      </c>
      <c r="E3166" t="s">
        <v>1</v>
      </c>
      <c r="F3166" s="18">
        <v>7570</v>
      </c>
      <c r="G3166" s="18">
        <v>7570</v>
      </c>
      <c r="H3166" t="s">
        <v>2</v>
      </c>
      <c r="I3166" t="s">
        <v>8</v>
      </c>
      <c r="J3166" s="18">
        <v>635501.5</v>
      </c>
      <c r="K3166" t="s">
        <v>5957</v>
      </c>
      <c r="L3166" t="s">
        <v>9</v>
      </c>
      <c r="M3166" t="s">
        <v>6177</v>
      </c>
      <c r="N3166" t="s">
        <v>3</v>
      </c>
      <c r="O3166" t="s">
        <v>3</v>
      </c>
      <c r="P3166" t="s">
        <v>5</v>
      </c>
      <c r="Q3166" t="s">
        <v>6178</v>
      </c>
      <c r="R3166" t="s">
        <v>3</v>
      </c>
      <c r="S3166" t="s">
        <v>3</v>
      </c>
      <c r="T3166" t="s">
        <v>3</v>
      </c>
      <c r="U3166" t="s">
        <v>3</v>
      </c>
      <c r="V3166" t="s">
        <v>3</v>
      </c>
      <c r="W3166" t="s">
        <v>68</v>
      </c>
      <c r="X3166" s="17"/>
      <c r="Y3166" t="s">
        <v>3</v>
      </c>
      <c r="Z3166" s="17">
        <v>43958</v>
      </c>
      <c r="AA3166" t="s">
        <v>3</v>
      </c>
      <c r="AB3166" t="s">
        <v>6175</v>
      </c>
    </row>
    <row r="3167" spans="1:28" hidden="1">
      <c r="A3167" t="s">
        <v>6175</v>
      </c>
      <c r="B3167" s="17">
        <v>43958</v>
      </c>
      <c r="C3167" s="17">
        <v>43958</v>
      </c>
      <c r="D3167" t="s">
        <v>0</v>
      </c>
      <c r="E3167" t="s">
        <v>1</v>
      </c>
      <c r="F3167" s="18">
        <v>3726</v>
      </c>
      <c r="G3167" s="18">
        <v>3726</v>
      </c>
      <c r="H3167" t="s">
        <v>2</v>
      </c>
      <c r="I3167" t="s">
        <v>8</v>
      </c>
      <c r="J3167" s="18">
        <v>312797.7</v>
      </c>
      <c r="K3167" t="s">
        <v>5959</v>
      </c>
      <c r="L3167" t="s">
        <v>9</v>
      </c>
      <c r="M3167" t="s">
        <v>6177</v>
      </c>
      <c r="N3167" t="s">
        <v>3</v>
      </c>
      <c r="O3167" t="s">
        <v>3</v>
      </c>
      <c r="P3167" t="s">
        <v>5</v>
      </c>
      <c r="Q3167" t="s">
        <v>6178</v>
      </c>
      <c r="R3167" t="s">
        <v>3</v>
      </c>
      <c r="S3167" t="s">
        <v>3</v>
      </c>
      <c r="T3167" t="s">
        <v>3</v>
      </c>
      <c r="U3167" t="s">
        <v>3</v>
      </c>
      <c r="V3167" t="s">
        <v>3</v>
      </c>
      <c r="W3167" t="s">
        <v>68</v>
      </c>
      <c r="X3167" s="17"/>
      <c r="Y3167" t="s">
        <v>3</v>
      </c>
      <c r="Z3167" s="17">
        <v>43958</v>
      </c>
      <c r="AA3167" t="s">
        <v>3</v>
      </c>
      <c r="AB3167" t="s">
        <v>6175</v>
      </c>
    </row>
    <row r="3168" spans="1:28" hidden="1">
      <c r="A3168" t="s">
        <v>6175</v>
      </c>
      <c r="B3168" s="17">
        <v>43958</v>
      </c>
      <c r="C3168" s="17">
        <v>43958</v>
      </c>
      <c r="D3168" t="s">
        <v>0</v>
      </c>
      <c r="E3168" t="s">
        <v>1</v>
      </c>
      <c r="F3168" s="18">
        <v>21037</v>
      </c>
      <c r="G3168" s="18">
        <v>21037</v>
      </c>
      <c r="H3168" t="s">
        <v>2</v>
      </c>
      <c r="I3168" t="s">
        <v>8</v>
      </c>
      <c r="J3168" s="18">
        <v>1766056.15</v>
      </c>
      <c r="K3168" t="s">
        <v>6169</v>
      </c>
      <c r="L3168" t="s">
        <v>9</v>
      </c>
      <c r="M3168" t="s">
        <v>6177</v>
      </c>
      <c r="N3168" t="s">
        <v>3</v>
      </c>
      <c r="O3168" t="s">
        <v>3</v>
      </c>
      <c r="P3168" t="s">
        <v>5</v>
      </c>
      <c r="Q3168" t="s">
        <v>6178</v>
      </c>
      <c r="R3168" t="s">
        <v>3</v>
      </c>
      <c r="S3168" t="s">
        <v>3</v>
      </c>
      <c r="T3168" t="s">
        <v>3</v>
      </c>
      <c r="U3168" t="s">
        <v>3</v>
      </c>
      <c r="V3168" t="s">
        <v>3</v>
      </c>
      <c r="W3168" t="s">
        <v>68</v>
      </c>
      <c r="X3168" s="17"/>
      <c r="Y3168" t="s">
        <v>3</v>
      </c>
      <c r="Z3168" s="17">
        <v>43958</v>
      </c>
      <c r="AA3168" t="s">
        <v>3</v>
      </c>
      <c r="AB3168" t="s">
        <v>6175</v>
      </c>
    </row>
    <row r="3169" spans="1:28" hidden="1">
      <c r="A3169" t="s">
        <v>6175</v>
      </c>
      <c r="B3169" s="17">
        <v>43958</v>
      </c>
      <c r="C3169" s="17">
        <v>43958</v>
      </c>
      <c r="D3169" t="s">
        <v>0</v>
      </c>
      <c r="E3169" t="s">
        <v>1</v>
      </c>
      <c r="F3169" s="18">
        <v>258</v>
      </c>
      <c r="G3169" s="18">
        <v>258</v>
      </c>
      <c r="H3169" t="s">
        <v>2</v>
      </c>
      <c r="I3169" t="s">
        <v>8</v>
      </c>
      <c r="J3169" s="18">
        <v>21659.1</v>
      </c>
      <c r="K3169" t="s">
        <v>5961</v>
      </c>
      <c r="L3169" t="s">
        <v>9</v>
      </c>
      <c r="M3169" t="s">
        <v>6177</v>
      </c>
      <c r="N3169" t="s">
        <v>3</v>
      </c>
      <c r="O3169" t="s">
        <v>3</v>
      </c>
      <c r="P3169" t="s">
        <v>5</v>
      </c>
      <c r="Q3169" t="s">
        <v>6178</v>
      </c>
      <c r="R3169" t="s">
        <v>3</v>
      </c>
      <c r="S3169" t="s">
        <v>3</v>
      </c>
      <c r="T3169" t="s">
        <v>3</v>
      </c>
      <c r="U3169" t="s">
        <v>3</v>
      </c>
      <c r="V3169" t="s">
        <v>3</v>
      </c>
      <c r="W3169" t="s">
        <v>68</v>
      </c>
      <c r="X3169" s="17"/>
      <c r="Y3169" t="s">
        <v>3</v>
      </c>
      <c r="Z3169" s="17">
        <v>43958</v>
      </c>
      <c r="AA3169" t="s">
        <v>3</v>
      </c>
      <c r="AB3169" t="s">
        <v>6175</v>
      </c>
    </row>
    <row r="3170" spans="1:28" hidden="1">
      <c r="A3170" t="s">
        <v>6175</v>
      </c>
      <c r="B3170" s="17">
        <v>43958</v>
      </c>
      <c r="C3170" s="17">
        <v>43958</v>
      </c>
      <c r="D3170" t="s">
        <v>0</v>
      </c>
      <c r="E3170" t="s">
        <v>1</v>
      </c>
      <c r="F3170" s="18">
        <v>3916</v>
      </c>
      <c r="G3170" s="18">
        <v>3916</v>
      </c>
      <c r="H3170" t="s">
        <v>2</v>
      </c>
      <c r="I3170" t="s">
        <v>8</v>
      </c>
      <c r="J3170" s="18">
        <v>328748.2</v>
      </c>
      <c r="K3170" t="s">
        <v>6170</v>
      </c>
      <c r="L3170" t="s">
        <v>9</v>
      </c>
      <c r="M3170" t="s">
        <v>6177</v>
      </c>
      <c r="N3170" t="s">
        <v>3</v>
      </c>
      <c r="O3170" t="s">
        <v>3</v>
      </c>
      <c r="P3170" t="s">
        <v>5</v>
      </c>
      <c r="Q3170" t="s">
        <v>6178</v>
      </c>
      <c r="R3170" t="s">
        <v>3</v>
      </c>
      <c r="S3170" t="s">
        <v>3</v>
      </c>
      <c r="T3170" t="s">
        <v>3</v>
      </c>
      <c r="U3170" t="s">
        <v>3</v>
      </c>
      <c r="V3170" t="s">
        <v>3</v>
      </c>
      <c r="W3170" t="s">
        <v>68</v>
      </c>
      <c r="X3170" s="17"/>
      <c r="Y3170" t="s">
        <v>3</v>
      </c>
      <c r="Z3170" s="17">
        <v>43958</v>
      </c>
      <c r="AA3170" t="s">
        <v>3</v>
      </c>
      <c r="AB3170" t="s">
        <v>6175</v>
      </c>
    </row>
    <row r="3171" spans="1:28" hidden="1">
      <c r="A3171" t="s">
        <v>6198</v>
      </c>
      <c r="B3171" s="17">
        <v>43958</v>
      </c>
      <c r="C3171" s="17">
        <v>43958</v>
      </c>
      <c r="D3171" t="s">
        <v>0</v>
      </c>
      <c r="E3171" t="s">
        <v>1</v>
      </c>
      <c r="F3171" s="18">
        <v>43002</v>
      </c>
      <c r="G3171" s="18">
        <v>43002</v>
      </c>
      <c r="H3171" t="s">
        <v>2</v>
      </c>
      <c r="I3171" t="s">
        <v>10</v>
      </c>
      <c r="J3171" s="18">
        <v>3610017.9</v>
      </c>
      <c r="K3171" t="s">
        <v>6199</v>
      </c>
      <c r="L3171" t="s">
        <v>4</v>
      </c>
      <c r="M3171" t="s">
        <v>6200</v>
      </c>
      <c r="N3171" t="s">
        <v>3</v>
      </c>
      <c r="O3171" t="s">
        <v>3</v>
      </c>
      <c r="P3171" t="s">
        <v>5</v>
      </c>
      <c r="Q3171" t="s">
        <v>6201</v>
      </c>
      <c r="R3171" t="s">
        <v>3</v>
      </c>
      <c r="S3171" t="s">
        <v>3</v>
      </c>
      <c r="T3171" t="s">
        <v>3</v>
      </c>
      <c r="U3171" t="s">
        <v>3</v>
      </c>
      <c r="V3171" t="s">
        <v>3</v>
      </c>
      <c r="W3171" t="s">
        <v>68</v>
      </c>
      <c r="X3171" s="17"/>
      <c r="Y3171" t="s">
        <v>3</v>
      </c>
      <c r="Z3171" s="17">
        <v>43958</v>
      </c>
      <c r="AA3171" t="s">
        <v>3</v>
      </c>
      <c r="AB3171" t="s">
        <v>6198</v>
      </c>
    </row>
    <row r="3172" spans="1:28" hidden="1">
      <c r="A3172" t="s">
        <v>6198</v>
      </c>
      <c r="B3172" s="17">
        <v>43958</v>
      </c>
      <c r="C3172" s="17">
        <v>43958</v>
      </c>
      <c r="D3172" t="s">
        <v>0</v>
      </c>
      <c r="E3172" t="s">
        <v>1</v>
      </c>
      <c r="F3172" s="18">
        <v>25211.63</v>
      </c>
      <c r="G3172" s="18">
        <v>25211.63</v>
      </c>
      <c r="H3172" t="s">
        <v>2</v>
      </c>
      <c r="I3172" t="s">
        <v>10</v>
      </c>
      <c r="J3172" s="18">
        <v>2116516.34</v>
      </c>
      <c r="K3172" t="s">
        <v>6202</v>
      </c>
      <c r="L3172" t="s">
        <v>4</v>
      </c>
      <c r="M3172" t="s">
        <v>6200</v>
      </c>
      <c r="N3172" t="s">
        <v>3</v>
      </c>
      <c r="O3172" t="s">
        <v>3</v>
      </c>
      <c r="P3172" t="s">
        <v>5</v>
      </c>
      <c r="Q3172" t="s">
        <v>6201</v>
      </c>
      <c r="R3172" t="s">
        <v>3</v>
      </c>
      <c r="S3172" t="s">
        <v>3</v>
      </c>
      <c r="T3172" t="s">
        <v>3</v>
      </c>
      <c r="U3172" t="s">
        <v>3</v>
      </c>
      <c r="V3172" t="s">
        <v>3</v>
      </c>
      <c r="W3172" t="s">
        <v>68</v>
      </c>
      <c r="X3172" s="17"/>
      <c r="Y3172" t="s">
        <v>3</v>
      </c>
      <c r="Z3172" s="17">
        <v>43958</v>
      </c>
      <c r="AA3172" t="s">
        <v>3</v>
      </c>
      <c r="AB3172" t="s">
        <v>6198</v>
      </c>
    </row>
    <row r="3173" spans="1:28" hidden="1">
      <c r="A3173" t="s">
        <v>6198</v>
      </c>
      <c r="B3173" s="17">
        <v>43958</v>
      </c>
      <c r="C3173" s="17">
        <v>43958</v>
      </c>
      <c r="D3173" t="s">
        <v>0</v>
      </c>
      <c r="E3173" t="s">
        <v>1</v>
      </c>
      <c r="F3173" s="18">
        <v>48218.95</v>
      </c>
      <c r="G3173" s="18">
        <v>48218.95</v>
      </c>
      <c r="H3173" t="s">
        <v>2</v>
      </c>
      <c r="I3173" t="s">
        <v>10</v>
      </c>
      <c r="J3173" s="18">
        <v>4047980.86</v>
      </c>
      <c r="K3173" t="s">
        <v>6203</v>
      </c>
      <c r="L3173" t="s">
        <v>4</v>
      </c>
      <c r="M3173" t="s">
        <v>6200</v>
      </c>
      <c r="N3173" t="s">
        <v>3</v>
      </c>
      <c r="O3173" t="s">
        <v>3</v>
      </c>
      <c r="P3173" t="s">
        <v>5</v>
      </c>
      <c r="Q3173" t="s">
        <v>6201</v>
      </c>
      <c r="R3173" t="s">
        <v>3</v>
      </c>
      <c r="S3173" t="s">
        <v>3</v>
      </c>
      <c r="T3173" t="s">
        <v>3</v>
      </c>
      <c r="U3173" t="s">
        <v>3</v>
      </c>
      <c r="V3173" t="s">
        <v>3</v>
      </c>
      <c r="W3173" t="s">
        <v>68</v>
      </c>
      <c r="X3173" s="17"/>
      <c r="Y3173" t="s">
        <v>3</v>
      </c>
      <c r="Z3173" s="17">
        <v>43958</v>
      </c>
      <c r="AA3173" t="s">
        <v>3</v>
      </c>
      <c r="AB3173" t="s">
        <v>6198</v>
      </c>
    </row>
    <row r="3174" spans="1:28" hidden="1">
      <c r="A3174" t="s">
        <v>6198</v>
      </c>
      <c r="B3174" s="17">
        <v>43958</v>
      </c>
      <c r="C3174" s="17">
        <v>43958</v>
      </c>
      <c r="D3174" t="s">
        <v>0</v>
      </c>
      <c r="E3174" t="s">
        <v>1</v>
      </c>
      <c r="F3174" s="18">
        <v>23074.31</v>
      </c>
      <c r="G3174" s="18">
        <v>23074.31</v>
      </c>
      <c r="H3174" t="s">
        <v>2</v>
      </c>
      <c r="I3174" t="s">
        <v>10</v>
      </c>
      <c r="J3174" s="18">
        <v>1937088.33</v>
      </c>
      <c r="K3174" t="s">
        <v>6204</v>
      </c>
      <c r="L3174" t="s">
        <v>4</v>
      </c>
      <c r="M3174" t="s">
        <v>6200</v>
      </c>
      <c r="N3174" t="s">
        <v>3</v>
      </c>
      <c r="O3174" t="s">
        <v>3</v>
      </c>
      <c r="P3174" t="s">
        <v>5</v>
      </c>
      <c r="Q3174" t="s">
        <v>6201</v>
      </c>
      <c r="R3174" t="s">
        <v>3</v>
      </c>
      <c r="S3174" t="s">
        <v>3</v>
      </c>
      <c r="T3174" t="s">
        <v>3</v>
      </c>
      <c r="U3174" t="s">
        <v>3</v>
      </c>
      <c r="V3174" t="s">
        <v>3</v>
      </c>
      <c r="W3174" t="s">
        <v>68</v>
      </c>
      <c r="X3174" s="17"/>
      <c r="Y3174" t="s">
        <v>3</v>
      </c>
      <c r="Z3174" s="17">
        <v>43958</v>
      </c>
      <c r="AA3174" t="s">
        <v>3</v>
      </c>
      <c r="AB3174" t="s">
        <v>6198</v>
      </c>
    </row>
    <row r="3175" spans="1:28" hidden="1">
      <c r="A3175" t="s">
        <v>6198</v>
      </c>
      <c r="B3175" s="17">
        <v>43958</v>
      </c>
      <c r="C3175" s="17">
        <v>43958</v>
      </c>
      <c r="D3175" t="s">
        <v>0</v>
      </c>
      <c r="E3175" t="s">
        <v>1</v>
      </c>
      <c r="F3175" s="18">
        <v>10141.31</v>
      </c>
      <c r="G3175" s="18">
        <v>10141.31</v>
      </c>
      <c r="H3175" t="s">
        <v>2</v>
      </c>
      <c r="I3175" t="s">
        <v>10</v>
      </c>
      <c r="J3175" s="18">
        <v>851362.98</v>
      </c>
      <c r="K3175" t="s">
        <v>6205</v>
      </c>
      <c r="L3175" t="s">
        <v>4</v>
      </c>
      <c r="M3175" t="s">
        <v>6200</v>
      </c>
      <c r="N3175" t="s">
        <v>3</v>
      </c>
      <c r="O3175" t="s">
        <v>3</v>
      </c>
      <c r="P3175" t="s">
        <v>5</v>
      </c>
      <c r="Q3175" t="s">
        <v>6201</v>
      </c>
      <c r="R3175" t="s">
        <v>3</v>
      </c>
      <c r="S3175" t="s">
        <v>3</v>
      </c>
      <c r="T3175" t="s">
        <v>3</v>
      </c>
      <c r="U3175" t="s">
        <v>3</v>
      </c>
      <c r="V3175" t="s">
        <v>3</v>
      </c>
      <c r="W3175" t="s">
        <v>68</v>
      </c>
      <c r="X3175" s="17"/>
      <c r="Y3175" t="s">
        <v>3</v>
      </c>
      <c r="Z3175" s="17">
        <v>43958</v>
      </c>
      <c r="AA3175" t="s">
        <v>3</v>
      </c>
      <c r="AB3175" t="s">
        <v>6198</v>
      </c>
    </row>
    <row r="3176" spans="1:28" hidden="1">
      <c r="A3176" t="s">
        <v>6206</v>
      </c>
      <c r="B3176" s="17">
        <v>43958</v>
      </c>
      <c r="C3176" s="17">
        <v>43958</v>
      </c>
      <c r="D3176" t="s">
        <v>0</v>
      </c>
      <c r="E3176" t="s">
        <v>1</v>
      </c>
      <c r="F3176" s="18">
        <v>4960.0200000000004</v>
      </c>
      <c r="G3176" s="18">
        <v>4960.0200000000004</v>
      </c>
      <c r="H3176" t="s">
        <v>2</v>
      </c>
      <c r="I3176" t="s">
        <v>10</v>
      </c>
      <c r="J3176" s="18">
        <v>416393.68</v>
      </c>
      <c r="K3176" t="s">
        <v>6207</v>
      </c>
      <c r="L3176" t="s">
        <v>4</v>
      </c>
      <c r="M3176" t="s">
        <v>6208</v>
      </c>
      <c r="N3176" t="s">
        <v>3</v>
      </c>
      <c r="O3176" t="s">
        <v>3</v>
      </c>
      <c r="P3176" t="s">
        <v>5</v>
      </c>
      <c r="Q3176" t="s">
        <v>6209</v>
      </c>
      <c r="R3176" t="s">
        <v>3</v>
      </c>
      <c r="S3176" t="s">
        <v>3</v>
      </c>
      <c r="T3176" t="s">
        <v>3</v>
      </c>
      <c r="U3176" t="s">
        <v>3</v>
      </c>
      <c r="V3176" t="s">
        <v>3</v>
      </c>
      <c r="W3176" t="s">
        <v>68</v>
      </c>
      <c r="X3176" s="17"/>
      <c r="Y3176" t="s">
        <v>3</v>
      </c>
      <c r="Z3176" s="17">
        <v>43958</v>
      </c>
      <c r="AA3176" t="s">
        <v>3</v>
      </c>
      <c r="AB3176" t="s">
        <v>6206</v>
      </c>
    </row>
    <row r="3177" spans="1:28" hidden="1">
      <c r="A3177" t="s">
        <v>6206</v>
      </c>
      <c r="B3177" s="17">
        <v>43958</v>
      </c>
      <c r="C3177" s="17">
        <v>43958</v>
      </c>
      <c r="D3177" t="s">
        <v>0</v>
      </c>
      <c r="E3177" t="s">
        <v>1</v>
      </c>
      <c r="F3177" s="18">
        <v>11830.98</v>
      </c>
      <c r="G3177" s="18">
        <v>11830.98</v>
      </c>
      <c r="H3177" t="s">
        <v>2</v>
      </c>
      <c r="I3177" t="s">
        <v>10</v>
      </c>
      <c r="J3177" s="18">
        <v>993210.77</v>
      </c>
      <c r="K3177" t="s">
        <v>6210</v>
      </c>
      <c r="L3177" t="s">
        <v>4</v>
      </c>
      <c r="M3177" t="s">
        <v>6208</v>
      </c>
      <c r="N3177" t="s">
        <v>3</v>
      </c>
      <c r="O3177" t="s">
        <v>3</v>
      </c>
      <c r="P3177" t="s">
        <v>5</v>
      </c>
      <c r="Q3177" t="s">
        <v>6209</v>
      </c>
      <c r="R3177" t="s">
        <v>3</v>
      </c>
      <c r="S3177" t="s">
        <v>3</v>
      </c>
      <c r="T3177" t="s">
        <v>3</v>
      </c>
      <c r="U3177" t="s">
        <v>3</v>
      </c>
      <c r="V3177" t="s">
        <v>3</v>
      </c>
      <c r="W3177" t="s">
        <v>68</v>
      </c>
      <c r="X3177" s="17"/>
      <c r="Y3177" t="s">
        <v>3</v>
      </c>
      <c r="Z3177" s="17">
        <v>43958</v>
      </c>
      <c r="AA3177" t="s">
        <v>3</v>
      </c>
      <c r="AB3177" t="s">
        <v>6206</v>
      </c>
    </row>
    <row r="3178" spans="1:28" hidden="1">
      <c r="A3178" t="s">
        <v>6211</v>
      </c>
      <c r="B3178" s="17">
        <v>43958</v>
      </c>
      <c r="C3178" s="17">
        <v>43958</v>
      </c>
      <c r="D3178" t="s">
        <v>0</v>
      </c>
      <c r="E3178" t="s">
        <v>1</v>
      </c>
      <c r="F3178" s="18">
        <v>6187.71</v>
      </c>
      <c r="G3178" s="18">
        <v>6187.71</v>
      </c>
      <c r="H3178" t="s">
        <v>2</v>
      </c>
      <c r="I3178" t="s">
        <v>10</v>
      </c>
      <c r="J3178" s="18">
        <v>519458.25</v>
      </c>
      <c r="K3178" t="s">
        <v>6203</v>
      </c>
      <c r="L3178" t="s">
        <v>4</v>
      </c>
      <c r="M3178" t="s">
        <v>6212</v>
      </c>
      <c r="N3178" t="s">
        <v>3</v>
      </c>
      <c r="O3178" t="s">
        <v>3</v>
      </c>
      <c r="P3178" t="s">
        <v>5</v>
      </c>
      <c r="Q3178" t="s">
        <v>6213</v>
      </c>
      <c r="R3178" t="s">
        <v>3</v>
      </c>
      <c r="S3178" t="s">
        <v>3</v>
      </c>
      <c r="T3178" t="s">
        <v>3</v>
      </c>
      <c r="U3178" t="s">
        <v>3</v>
      </c>
      <c r="V3178" t="s">
        <v>3</v>
      </c>
      <c r="W3178" t="s">
        <v>68</v>
      </c>
      <c r="X3178" s="17"/>
      <c r="Y3178" t="s">
        <v>3</v>
      </c>
      <c r="Z3178" s="17">
        <v>43958</v>
      </c>
      <c r="AA3178" t="s">
        <v>3</v>
      </c>
      <c r="AB3178" t="s">
        <v>6211</v>
      </c>
    </row>
    <row r="3179" spans="1:28" hidden="1">
      <c r="A3179" t="s">
        <v>6214</v>
      </c>
      <c r="B3179" s="17">
        <v>43958</v>
      </c>
      <c r="C3179" s="17">
        <v>43958</v>
      </c>
      <c r="D3179" t="s">
        <v>0</v>
      </c>
      <c r="E3179" t="s">
        <v>1</v>
      </c>
      <c r="F3179" s="18">
        <v>14144.44</v>
      </c>
      <c r="G3179" s="18">
        <v>14144.44</v>
      </c>
      <c r="H3179" t="s">
        <v>2</v>
      </c>
      <c r="I3179" t="s">
        <v>10</v>
      </c>
      <c r="J3179" s="18">
        <v>1187425.74</v>
      </c>
      <c r="K3179" t="s">
        <v>6158</v>
      </c>
      <c r="L3179" t="s">
        <v>4</v>
      </c>
      <c r="M3179" t="s">
        <v>6215</v>
      </c>
      <c r="N3179" t="s">
        <v>3</v>
      </c>
      <c r="O3179" t="s">
        <v>3</v>
      </c>
      <c r="P3179" t="s">
        <v>5</v>
      </c>
      <c r="Q3179" t="s">
        <v>6216</v>
      </c>
      <c r="R3179" t="s">
        <v>3</v>
      </c>
      <c r="S3179" t="s">
        <v>3</v>
      </c>
      <c r="T3179" t="s">
        <v>3</v>
      </c>
      <c r="U3179" t="s">
        <v>3</v>
      </c>
      <c r="V3179" t="s">
        <v>3</v>
      </c>
      <c r="W3179" t="s">
        <v>68</v>
      </c>
      <c r="X3179" s="17"/>
      <c r="Y3179" t="s">
        <v>3</v>
      </c>
      <c r="Z3179" s="17">
        <v>43958</v>
      </c>
      <c r="AA3179" t="s">
        <v>3</v>
      </c>
      <c r="AB3179" t="s">
        <v>6214</v>
      </c>
    </row>
    <row r="3180" spans="1:28" hidden="1">
      <c r="A3180" t="s">
        <v>6214</v>
      </c>
      <c r="B3180" s="17">
        <v>43958</v>
      </c>
      <c r="C3180" s="17">
        <v>43958</v>
      </c>
      <c r="D3180" t="s">
        <v>0</v>
      </c>
      <c r="E3180" t="s">
        <v>1</v>
      </c>
      <c r="F3180" s="18">
        <v>328.68</v>
      </c>
      <c r="G3180" s="18">
        <v>328.68</v>
      </c>
      <c r="H3180" t="s">
        <v>2</v>
      </c>
      <c r="I3180" t="s">
        <v>10</v>
      </c>
      <c r="J3180" s="18">
        <v>27592.69</v>
      </c>
      <c r="K3180" t="s">
        <v>6217</v>
      </c>
      <c r="L3180" t="s">
        <v>4</v>
      </c>
      <c r="M3180" t="s">
        <v>6215</v>
      </c>
      <c r="N3180" t="s">
        <v>3</v>
      </c>
      <c r="O3180" t="s">
        <v>3</v>
      </c>
      <c r="P3180" t="s">
        <v>5</v>
      </c>
      <c r="Q3180" t="s">
        <v>6216</v>
      </c>
      <c r="R3180" t="s">
        <v>3</v>
      </c>
      <c r="S3180" t="s">
        <v>3</v>
      </c>
      <c r="T3180" t="s">
        <v>3</v>
      </c>
      <c r="U3180" t="s">
        <v>3</v>
      </c>
      <c r="V3180" t="s">
        <v>3</v>
      </c>
      <c r="W3180" t="s">
        <v>68</v>
      </c>
      <c r="X3180" s="17"/>
      <c r="Y3180" t="s">
        <v>3</v>
      </c>
      <c r="Z3180" s="17">
        <v>43958</v>
      </c>
      <c r="AA3180" t="s">
        <v>3</v>
      </c>
      <c r="AB3180" t="s">
        <v>6214</v>
      </c>
    </row>
    <row r="3181" spans="1:28" hidden="1">
      <c r="A3181" t="s">
        <v>6214</v>
      </c>
      <c r="B3181" s="17">
        <v>43958</v>
      </c>
      <c r="C3181" s="17">
        <v>43958</v>
      </c>
      <c r="D3181" t="s">
        <v>0</v>
      </c>
      <c r="E3181" t="s">
        <v>1</v>
      </c>
      <c r="F3181" s="18">
        <v>3286.85</v>
      </c>
      <c r="G3181" s="18">
        <v>3286.85</v>
      </c>
      <c r="H3181" t="s">
        <v>2</v>
      </c>
      <c r="I3181" t="s">
        <v>10</v>
      </c>
      <c r="J3181" s="18">
        <v>275931.06</v>
      </c>
      <c r="K3181" t="s">
        <v>6207</v>
      </c>
      <c r="L3181" t="s">
        <v>4</v>
      </c>
      <c r="M3181" t="s">
        <v>6215</v>
      </c>
      <c r="N3181" t="s">
        <v>3</v>
      </c>
      <c r="O3181" t="s">
        <v>3</v>
      </c>
      <c r="P3181" t="s">
        <v>5</v>
      </c>
      <c r="Q3181" t="s">
        <v>6216</v>
      </c>
      <c r="R3181" t="s">
        <v>3</v>
      </c>
      <c r="S3181" t="s">
        <v>3</v>
      </c>
      <c r="T3181" t="s">
        <v>3</v>
      </c>
      <c r="U3181" t="s">
        <v>3</v>
      </c>
      <c r="V3181" t="s">
        <v>3</v>
      </c>
      <c r="W3181" t="s">
        <v>68</v>
      </c>
      <c r="X3181" s="17"/>
      <c r="Y3181" t="s">
        <v>3</v>
      </c>
      <c r="Z3181" s="17">
        <v>43958</v>
      </c>
      <c r="AA3181" t="s">
        <v>3</v>
      </c>
      <c r="AB3181" t="s">
        <v>6214</v>
      </c>
    </row>
    <row r="3182" spans="1:28" hidden="1">
      <c r="A3182" t="s">
        <v>6214</v>
      </c>
      <c r="B3182" s="17">
        <v>43958</v>
      </c>
      <c r="C3182" s="17">
        <v>43958</v>
      </c>
      <c r="D3182" t="s">
        <v>0</v>
      </c>
      <c r="E3182" t="s">
        <v>1</v>
      </c>
      <c r="F3182" s="18">
        <v>6966.86</v>
      </c>
      <c r="G3182" s="18">
        <v>6966.86</v>
      </c>
      <c r="H3182" t="s">
        <v>2</v>
      </c>
      <c r="I3182" t="s">
        <v>10</v>
      </c>
      <c r="J3182" s="18">
        <v>584867.9</v>
      </c>
      <c r="K3182" t="s">
        <v>6218</v>
      </c>
      <c r="L3182" t="s">
        <v>4</v>
      </c>
      <c r="M3182" t="s">
        <v>6215</v>
      </c>
      <c r="N3182" t="s">
        <v>3</v>
      </c>
      <c r="O3182" t="s">
        <v>3</v>
      </c>
      <c r="P3182" t="s">
        <v>5</v>
      </c>
      <c r="Q3182" t="s">
        <v>6216</v>
      </c>
      <c r="R3182" t="s">
        <v>3</v>
      </c>
      <c r="S3182" t="s">
        <v>3</v>
      </c>
      <c r="T3182" t="s">
        <v>3</v>
      </c>
      <c r="U3182" t="s">
        <v>3</v>
      </c>
      <c r="V3182" t="s">
        <v>3</v>
      </c>
      <c r="W3182" t="s">
        <v>68</v>
      </c>
      <c r="X3182" s="17"/>
      <c r="Y3182" t="s">
        <v>3</v>
      </c>
      <c r="Z3182" s="17">
        <v>43958</v>
      </c>
      <c r="AA3182" t="s">
        <v>3</v>
      </c>
      <c r="AB3182" t="s">
        <v>6214</v>
      </c>
    </row>
    <row r="3183" spans="1:28" hidden="1">
      <c r="A3183" t="s">
        <v>6214</v>
      </c>
      <c r="B3183" s="17">
        <v>43958</v>
      </c>
      <c r="C3183" s="17">
        <v>43958</v>
      </c>
      <c r="D3183" t="s">
        <v>0</v>
      </c>
      <c r="E3183" t="s">
        <v>1</v>
      </c>
      <c r="F3183" s="18">
        <v>13712.99</v>
      </c>
      <c r="G3183" s="18">
        <v>13712.99</v>
      </c>
      <c r="H3183" t="s">
        <v>2</v>
      </c>
      <c r="I3183" t="s">
        <v>10</v>
      </c>
      <c r="J3183" s="18">
        <v>1151205.51</v>
      </c>
      <c r="K3183" t="s">
        <v>6219</v>
      </c>
      <c r="L3183" t="s">
        <v>4</v>
      </c>
      <c r="M3183" t="s">
        <v>6215</v>
      </c>
      <c r="N3183" t="s">
        <v>3</v>
      </c>
      <c r="O3183" t="s">
        <v>3</v>
      </c>
      <c r="P3183" t="s">
        <v>5</v>
      </c>
      <c r="Q3183" t="s">
        <v>6216</v>
      </c>
      <c r="R3183" t="s">
        <v>3</v>
      </c>
      <c r="S3183" t="s">
        <v>3</v>
      </c>
      <c r="T3183" t="s">
        <v>3</v>
      </c>
      <c r="U3183" t="s">
        <v>3</v>
      </c>
      <c r="V3183" t="s">
        <v>3</v>
      </c>
      <c r="W3183" t="s">
        <v>68</v>
      </c>
      <c r="X3183" s="17"/>
      <c r="Y3183" t="s">
        <v>3</v>
      </c>
      <c r="Z3183" s="17">
        <v>43958</v>
      </c>
      <c r="AA3183" t="s">
        <v>3</v>
      </c>
      <c r="AB3183" t="s">
        <v>6214</v>
      </c>
    </row>
    <row r="3184" spans="1:28" hidden="1">
      <c r="A3184" t="s">
        <v>6220</v>
      </c>
      <c r="B3184" s="17">
        <v>43958</v>
      </c>
      <c r="C3184" s="17">
        <v>43958</v>
      </c>
      <c r="D3184" t="s">
        <v>0</v>
      </c>
      <c r="E3184" t="s">
        <v>1</v>
      </c>
      <c r="F3184" s="18">
        <v>1715.16</v>
      </c>
      <c r="G3184" s="18">
        <v>1715.16</v>
      </c>
      <c r="H3184" t="s">
        <v>2</v>
      </c>
      <c r="I3184" t="s">
        <v>10</v>
      </c>
      <c r="J3184" s="18">
        <v>143987.68</v>
      </c>
      <c r="K3184" t="s">
        <v>6158</v>
      </c>
      <c r="L3184" t="s">
        <v>4</v>
      </c>
      <c r="M3184" t="s">
        <v>6221</v>
      </c>
      <c r="N3184" t="s">
        <v>3</v>
      </c>
      <c r="O3184" t="s">
        <v>3</v>
      </c>
      <c r="P3184" t="s">
        <v>5</v>
      </c>
      <c r="Q3184" t="s">
        <v>6222</v>
      </c>
      <c r="R3184" t="s">
        <v>3</v>
      </c>
      <c r="S3184" t="s">
        <v>3</v>
      </c>
      <c r="T3184" t="s">
        <v>3</v>
      </c>
      <c r="U3184" t="s">
        <v>3</v>
      </c>
      <c r="V3184" t="s">
        <v>3</v>
      </c>
      <c r="W3184" t="s">
        <v>68</v>
      </c>
      <c r="X3184" s="17"/>
      <c r="Y3184" t="s">
        <v>3</v>
      </c>
      <c r="Z3184" s="17">
        <v>43958</v>
      </c>
      <c r="AA3184" t="s">
        <v>3</v>
      </c>
      <c r="AB3184" t="s">
        <v>6220</v>
      </c>
    </row>
    <row r="3185" spans="1:28" hidden="1">
      <c r="A3185" t="s">
        <v>6220</v>
      </c>
      <c r="B3185" s="17">
        <v>43958</v>
      </c>
      <c r="C3185" s="17">
        <v>43958</v>
      </c>
      <c r="D3185" t="s">
        <v>0</v>
      </c>
      <c r="E3185" t="s">
        <v>1</v>
      </c>
      <c r="F3185" s="18">
        <v>3144.71</v>
      </c>
      <c r="G3185" s="18">
        <v>3144.71</v>
      </c>
      <c r="H3185" t="s">
        <v>2</v>
      </c>
      <c r="I3185" t="s">
        <v>10</v>
      </c>
      <c r="J3185" s="18">
        <v>263998.40000000002</v>
      </c>
      <c r="K3185" t="s">
        <v>6217</v>
      </c>
      <c r="L3185" t="s">
        <v>4</v>
      </c>
      <c r="M3185" t="s">
        <v>6221</v>
      </c>
      <c r="N3185" t="s">
        <v>3</v>
      </c>
      <c r="O3185" t="s">
        <v>3</v>
      </c>
      <c r="P3185" t="s">
        <v>5</v>
      </c>
      <c r="Q3185" t="s">
        <v>6222</v>
      </c>
      <c r="R3185" t="s">
        <v>3</v>
      </c>
      <c r="S3185" t="s">
        <v>3</v>
      </c>
      <c r="T3185" t="s">
        <v>3</v>
      </c>
      <c r="U3185" t="s">
        <v>3</v>
      </c>
      <c r="V3185" t="s">
        <v>3</v>
      </c>
      <c r="W3185" t="s">
        <v>68</v>
      </c>
      <c r="X3185" s="17"/>
      <c r="Y3185" t="s">
        <v>3</v>
      </c>
      <c r="Z3185" s="17">
        <v>43958</v>
      </c>
      <c r="AA3185" t="s">
        <v>3</v>
      </c>
      <c r="AB3185" t="s">
        <v>6220</v>
      </c>
    </row>
    <row r="3186" spans="1:28" hidden="1">
      <c r="A3186" t="s">
        <v>6220</v>
      </c>
      <c r="B3186" s="17">
        <v>43958</v>
      </c>
      <c r="C3186" s="17">
        <v>43958</v>
      </c>
      <c r="D3186" t="s">
        <v>0</v>
      </c>
      <c r="E3186" t="s">
        <v>1</v>
      </c>
      <c r="F3186" s="18">
        <v>4198.91</v>
      </c>
      <c r="G3186" s="18">
        <v>4198.91</v>
      </c>
      <c r="H3186" t="s">
        <v>2</v>
      </c>
      <c r="I3186" t="s">
        <v>10</v>
      </c>
      <c r="J3186" s="18">
        <v>352498.49</v>
      </c>
      <c r="K3186" t="s">
        <v>6210</v>
      </c>
      <c r="L3186" t="s">
        <v>4</v>
      </c>
      <c r="M3186" t="s">
        <v>6221</v>
      </c>
      <c r="N3186" t="s">
        <v>3</v>
      </c>
      <c r="O3186" t="s">
        <v>3</v>
      </c>
      <c r="P3186" t="s">
        <v>5</v>
      </c>
      <c r="Q3186" t="s">
        <v>6222</v>
      </c>
      <c r="R3186" t="s">
        <v>3</v>
      </c>
      <c r="S3186" t="s">
        <v>3</v>
      </c>
      <c r="T3186" t="s">
        <v>3</v>
      </c>
      <c r="U3186" t="s">
        <v>3</v>
      </c>
      <c r="V3186" t="s">
        <v>3</v>
      </c>
      <c r="W3186" t="s">
        <v>68</v>
      </c>
      <c r="X3186" s="17"/>
      <c r="Y3186" t="s">
        <v>3</v>
      </c>
      <c r="Z3186" s="17">
        <v>43958</v>
      </c>
      <c r="AA3186" t="s">
        <v>3</v>
      </c>
      <c r="AB3186" t="s">
        <v>6220</v>
      </c>
    </row>
    <row r="3187" spans="1:28" hidden="1">
      <c r="A3187" t="s">
        <v>6220</v>
      </c>
      <c r="B3187" s="17">
        <v>43958</v>
      </c>
      <c r="C3187" s="17">
        <v>43958</v>
      </c>
      <c r="D3187" t="s">
        <v>0</v>
      </c>
      <c r="E3187" t="s">
        <v>1</v>
      </c>
      <c r="F3187" s="18">
        <v>897.79</v>
      </c>
      <c r="G3187" s="18">
        <v>897.79</v>
      </c>
      <c r="H3187" t="s">
        <v>2</v>
      </c>
      <c r="I3187" t="s">
        <v>10</v>
      </c>
      <c r="J3187" s="18">
        <v>75369.47</v>
      </c>
      <c r="K3187" t="s">
        <v>6223</v>
      </c>
      <c r="L3187" t="s">
        <v>4</v>
      </c>
      <c r="M3187" t="s">
        <v>6221</v>
      </c>
      <c r="N3187" t="s">
        <v>3</v>
      </c>
      <c r="O3187" t="s">
        <v>3</v>
      </c>
      <c r="P3187" t="s">
        <v>5</v>
      </c>
      <c r="Q3187" t="s">
        <v>6222</v>
      </c>
      <c r="R3187" t="s">
        <v>3</v>
      </c>
      <c r="S3187" t="s">
        <v>3</v>
      </c>
      <c r="T3187" t="s">
        <v>3</v>
      </c>
      <c r="U3187" t="s">
        <v>3</v>
      </c>
      <c r="V3187" t="s">
        <v>3</v>
      </c>
      <c r="W3187" t="s">
        <v>68</v>
      </c>
      <c r="X3187" s="17"/>
      <c r="Y3187" t="s">
        <v>3</v>
      </c>
      <c r="Z3187" s="17">
        <v>43958</v>
      </c>
      <c r="AA3187" t="s">
        <v>3</v>
      </c>
      <c r="AB3187" t="s">
        <v>6220</v>
      </c>
    </row>
    <row r="3188" spans="1:28" hidden="1">
      <c r="A3188" t="s">
        <v>6179</v>
      </c>
      <c r="B3188" s="17">
        <v>43962</v>
      </c>
      <c r="C3188" s="17">
        <v>43962</v>
      </c>
      <c r="D3188" t="s">
        <v>0</v>
      </c>
      <c r="E3188" t="s">
        <v>1</v>
      </c>
      <c r="F3188" s="18">
        <v>7269.67</v>
      </c>
      <c r="G3188" s="18">
        <v>7269.67</v>
      </c>
      <c r="H3188" t="s">
        <v>2</v>
      </c>
      <c r="I3188" t="s">
        <v>8</v>
      </c>
      <c r="J3188" s="18">
        <v>610288.80000000005</v>
      </c>
      <c r="K3188" t="s">
        <v>5819</v>
      </c>
      <c r="L3188" t="s">
        <v>4</v>
      </c>
      <c r="M3188" t="s">
        <v>6180</v>
      </c>
      <c r="N3188" t="s">
        <v>3</v>
      </c>
      <c r="O3188" t="s">
        <v>3</v>
      </c>
      <c r="P3188" t="s">
        <v>5</v>
      </c>
      <c r="Q3188" t="s">
        <v>6181</v>
      </c>
      <c r="R3188" t="s">
        <v>3</v>
      </c>
      <c r="S3188" t="s">
        <v>3</v>
      </c>
      <c r="T3188" t="s">
        <v>3</v>
      </c>
      <c r="U3188" t="s">
        <v>3</v>
      </c>
      <c r="V3188" t="s">
        <v>3</v>
      </c>
      <c r="W3188" t="s">
        <v>68</v>
      </c>
      <c r="X3188" s="17"/>
      <c r="Y3188" t="s">
        <v>3</v>
      </c>
      <c r="Z3188" s="17">
        <v>43962</v>
      </c>
      <c r="AA3188" t="s">
        <v>3</v>
      </c>
      <c r="AB3188" t="s">
        <v>6179</v>
      </c>
    </row>
    <row r="3189" spans="1:28" hidden="1">
      <c r="A3189" t="s">
        <v>6179</v>
      </c>
      <c r="B3189" s="17">
        <v>43962</v>
      </c>
      <c r="C3189" s="17">
        <v>43962</v>
      </c>
      <c r="D3189" t="s">
        <v>0</v>
      </c>
      <c r="E3189" t="s">
        <v>1</v>
      </c>
      <c r="F3189" s="18">
        <v>1958.74</v>
      </c>
      <c r="G3189" s="18">
        <v>1958.74</v>
      </c>
      <c r="H3189" t="s">
        <v>2</v>
      </c>
      <c r="I3189" t="s">
        <v>8</v>
      </c>
      <c r="J3189" s="18">
        <v>163554.79</v>
      </c>
      <c r="K3189" t="s">
        <v>6182</v>
      </c>
      <c r="L3189" t="s">
        <v>4</v>
      </c>
      <c r="M3189" t="s">
        <v>6180</v>
      </c>
      <c r="N3189" t="s">
        <v>3</v>
      </c>
      <c r="O3189" t="s">
        <v>3</v>
      </c>
      <c r="P3189" t="s">
        <v>5</v>
      </c>
      <c r="Q3189" t="s">
        <v>6181</v>
      </c>
      <c r="R3189" t="s">
        <v>3</v>
      </c>
      <c r="S3189" t="s">
        <v>3</v>
      </c>
      <c r="T3189" t="s">
        <v>3</v>
      </c>
      <c r="U3189" t="s">
        <v>3</v>
      </c>
      <c r="V3189" t="s">
        <v>3</v>
      </c>
      <c r="W3189" t="s">
        <v>68</v>
      </c>
      <c r="X3189" s="17"/>
      <c r="Y3189" t="s">
        <v>3</v>
      </c>
      <c r="Z3189" s="17">
        <v>43962</v>
      </c>
      <c r="AA3189" t="s">
        <v>3</v>
      </c>
      <c r="AB3189" t="s">
        <v>6179</v>
      </c>
    </row>
    <row r="3190" spans="1:28" hidden="1">
      <c r="A3190" t="s">
        <v>6179</v>
      </c>
      <c r="B3190" s="17">
        <v>43962</v>
      </c>
      <c r="C3190" s="17">
        <v>43962</v>
      </c>
      <c r="D3190" t="s">
        <v>0</v>
      </c>
      <c r="E3190" t="s">
        <v>1</v>
      </c>
      <c r="F3190" s="18">
        <v>852.39</v>
      </c>
      <c r="G3190" s="18">
        <v>852.39</v>
      </c>
      <c r="H3190" t="s">
        <v>2</v>
      </c>
      <c r="I3190" t="s">
        <v>8</v>
      </c>
      <c r="J3190" s="18">
        <v>71472.899999999994</v>
      </c>
      <c r="K3190" t="s">
        <v>5310</v>
      </c>
      <c r="L3190" t="s">
        <v>4</v>
      </c>
      <c r="M3190" t="s">
        <v>6180</v>
      </c>
      <c r="N3190" t="s">
        <v>3</v>
      </c>
      <c r="O3190" t="s">
        <v>3</v>
      </c>
      <c r="P3190" t="s">
        <v>5</v>
      </c>
      <c r="Q3190" t="s">
        <v>6181</v>
      </c>
      <c r="R3190" t="s">
        <v>3</v>
      </c>
      <c r="S3190" t="s">
        <v>3</v>
      </c>
      <c r="T3190" t="s">
        <v>3</v>
      </c>
      <c r="U3190" t="s">
        <v>3</v>
      </c>
      <c r="V3190" t="s">
        <v>3</v>
      </c>
      <c r="W3190" t="s">
        <v>68</v>
      </c>
      <c r="X3190" s="17"/>
      <c r="Y3190" t="s">
        <v>3</v>
      </c>
      <c r="Z3190" s="17">
        <v>43962</v>
      </c>
      <c r="AA3190" t="s">
        <v>3</v>
      </c>
      <c r="AB3190" t="s">
        <v>6179</v>
      </c>
    </row>
    <row r="3191" spans="1:28" hidden="1">
      <c r="A3191" t="s">
        <v>6179</v>
      </c>
      <c r="B3191" s="17">
        <v>43962</v>
      </c>
      <c r="C3191" s="17">
        <v>43962</v>
      </c>
      <c r="D3191" t="s">
        <v>0</v>
      </c>
      <c r="E3191" t="s">
        <v>1</v>
      </c>
      <c r="F3191" s="18">
        <v>989.18</v>
      </c>
      <c r="G3191" s="18">
        <v>989.18</v>
      </c>
      <c r="H3191" t="s">
        <v>2</v>
      </c>
      <c r="I3191" t="s">
        <v>8</v>
      </c>
      <c r="J3191" s="18">
        <v>83041.66</v>
      </c>
      <c r="K3191" t="s">
        <v>6183</v>
      </c>
      <c r="L3191" t="s">
        <v>4</v>
      </c>
      <c r="M3191" t="s">
        <v>6180</v>
      </c>
      <c r="N3191" t="s">
        <v>3</v>
      </c>
      <c r="O3191" t="s">
        <v>3</v>
      </c>
      <c r="P3191" t="s">
        <v>5</v>
      </c>
      <c r="Q3191" t="s">
        <v>6181</v>
      </c>
      <c r="R3191" t="s">
        <v>3</v>
      </c>
      <c r="S3191" t="s">
        <v>3</v>
      </c>
      <c r="T3191" t="s">
        <v>3</v>
      </c>
      <c r="U3191" t="s">
        <v>3</v>
      </c>
      <c r="V3191" t="s">
        <v>3</v>
      </c>
      <c r="W3191" t="s">
        <v>68</v>
      </c>
      <c r="X3191" s="17"/>
      <c r="Y3191" t="s">
        <v>3</v>
      </c>
      <c r="Z3191" s="17">
        <v>43962</v>
      </c>
      <c r="AA3191" t="s">
        <v>3</v>
      </c>
      <c r="AB3191" t="s">
        <v>6179</v>
      </c>
    </row>
    <row r="3192" spans="1:28" hidden="1">
      <c r="A3192" t="s">
        <v>6179</v>
      </c>
      <c r="B3192" s="17">
        <v>43962</v>
      </c>
      <c r="C3192" s="17">
        <v>43962</v>
      </c>
      <c r="D3192" t="s">
        <v>0</v>
      </c>
      <c r="E3192" t="s">
        <v>1</v>
      </c>
      <c r="F3192" s="18">
        <v>12935.73</v>
      </c>
      <c r="G3192" s="18">
        <v>12935.73</v>
      </c>
      <c r="H3192" t="s">
        <v>2</v>
      </c>
      <c r="I3192" t="s">
        <v>8</v>
      </c>
      <c r="J3192" s="18">
        <v>1085954.53</v>
      </c>
      <c r="K3192" t="s">
        <v>6184</v>
      </c>
      <c r="L3192" t="s">
        <v>4</v>
      </c>
      <c r="M3192" t="s">
        <v>6180</v>
      </c>
      <c r="N3192" t="s">
        <v>3</v>
      </c>
      <c r="O3192" t="s">
        <v>3</v>
      </c>
      <c r="P3192" t="s">
        <v>5</v>
      </c>
      <c r="Q3192" t="s">
        <v>6181</v>
      </c>
      <c r="R3192" t="s">
        <v>3</v>
      </c>
      <c r="S3192" t="s">
        <v>3</v>
      </c>
      <c r="T3192" t="s">
        <v>3</v>
      </c>
      <c r="U3192" t="s">
        <v>3</v>
      </c>
      <c r="V3192" t="s">
        <v>3</v>
      </c>
      <c r="W3192" t="s">
        <v>68</v>
      </c>
      <c r="X3192" s="17"/>
      <c r="Y3192" t="s">
        <v>3</v>
      </c>
      <c r="Z3192" s="17">
        <v>43962</v>
      </c>
      <c r="AA3192" t="s">
        <v>3</v>
      </c>
      <c r="AB3192" t="s">
        <v>6179</v>
      </c>
    </row>
    <row r="3193" spans="1:28" hidden="1">
      <c r="A3193" t="s">
        <v>6179</v>
      </c>
      <c r="B3193" s="17">
        <v>43962</v>
      </c>
      <c r="C3193" s="17">
        <v>43962</v>
      </c>
      <c r="D3193" t="s">
        <v>0</v>
      </c>
      <c r="E3193" t="s">
        <v>1</v>
      </c>
      <c r="F3193" s="18">
        <v>18.21</v>
      </c>
      <c r="G3193" s="18">
        <v>18.21</v>
      </c>
      <c r="H3193" t="s">
        <v>2</v>
      </c>
      <c r="I3193" t="s">
        <v>8</v>
      </c>
      <c r="J3193" s="18">
        <v>1528.73</v>
      </c>
      <c r="K3193" t="s">
        <v>6185</v>
      </c>
      <c r="L3193" t="s">
        <v>4</v>
      </c>
      <c r="M3193" t="s">
        <v>6180</v>
      </c>
      <c r="N3193" t="s">
        <v>3</v>
      </c>
      <c r="O3193" t="s">
        <v>3</v>
      </c>
      <c r="P3193" t="s">
        <v>5</v>
      </c>
      <c r="Q3193" t="s">
        <v>6181</v>
      </c>
      <c r="R3193" t="s">
        <v>3</v>
      </c>
      <c r="S3193" t="s">
        <v>3</v>
      </c>
      <c r="T3193" t="s">
        <v>3</v>
      </c>
      <c r="U3193" t="s">
        <v>3</v>
      </c>
      <c r="V3193" t="s">
        <v>3</v>
      </c>
      <c r="W3193" t="s">
        <v>68</v>
      </c>
      <c r="X3193" s="17"/>
      <c r="Y3193" t="s">
        <v>3</v>
      </c>
      <c r="Z3193" s="17">
        <v>43962</v>
      </c>
      <c r="AA3193" t="s">
        <v>3</v>
      </c>
      <c r="AB3193" t="s">
        <v>6179</v>
      </c>
    </row>
    <row r="3194" spans="1:28" hidden="1">
      <c r="A3194" t="s">
        <v>6186</v>
      </c>
      <c r="B3194" s="17">
        <v>43962</v>
      </c>
      <c r="C3194" s="17">
        <v>43962</v>
      </c>
      <c r="D3194" t="s">
        <v>0</v>
      </c>
      <c r="E3194" t="s">
        <v>1</v>
      </c>
      <c r="F3194" s="18">
        <v>5421.78</v>
      </c>
      <c r="G3194" s="18">
        <v>5421.78</v>
      </c>
      <c r="H3194" t="s">
        <v>2</v>
      </c>
      <c r="I3194" t="s">
        <v>8</v>
      </c>
      <c r="J3194" s="18">
        <v>455158.43</v>
      </c>
      <c r="K3194" t="s">
        <v>6187</v>
      </c>
      <c r="L3194" t="s">
        <v>4</v>
      </c>
      <c r="M3194" t="s">
        <v>6188</v>
      </c>
      <c r="N3194" t="s">
        <v>3</v>
      </c>
      <c r="O3194" t="s">
        <v>3</v>
      </c>
      <c r="P3194" t="s">
        <v>5</v>
      </c>
      <c r="Q3194" t="s">
        <v>6189</v>
      </c>
      <c r="R3194" t="s">
        <v>3</v>
      </c>
      <c r="S3194" t="s">
        <v>3</v>
      </c>
      <c r="T3194" t="s">
        <v>3</v>
      </c>
      <c r="U3194" t="s">
        <v>3</v>
      </c>
      <c r="V3194" t="s">
        <v>3</v>
      </c>
      <c r="W3194" t="s">
        <v>68</v>
      </c>
      <c r="X3194" s="17"/>
      <c r="Y3194" t="s">
        <v>3</v>
      </c>
      <c r="Z3194" s="17">
        <v>43962</v>
      </c>
      <c r="AA3194" t="s">
        <v>3</v>
      </c>
      <c r="AB3194" t="s">
        <v>6186</v>
      </c>
    </row>
    <row r="3195" spans="1:28" hidden="1">
      <c r="A3195" t="s">
        <v>6186</v>
      </c>
      <c r="B3195" s="17">
        <v>43962</v>
      </c>
      <c r="C3195" s="17">
        <v>43962</v>
      </c>
      <c r="D3195" t="s">
        <v>0</v>
      </c>
      <c r="E3195" t="s">
        <v>1</v>
      </c>
      <c r="F3195" s="18">
        <v>208.53</v>
      </c>
      <c r="G3195" s="18">
        <v>208.53</v>
      </c>
      <c r="H3195" t="s">
        <v>2</v>
      </c>
      <c r="I3195" t="s">
        <v>8</v>
      </c>
      <c r="J3195" s="18">
        <v>17506.09</v>
      </c>
      <c r="K3195" t="s">
        <v>5819</v>
      </c>
      <c r="L3195" t="s">
        <v>4</v>
      </c>
      <c r="M3195" t="s">
        <v>6188</v>
      </c>
      <c r="N3195" t="s">
        <v>3</v>
      </c>
      <c r="O3195" t="s">
        <v>3</v>
      </c>
      <c r="P3195" t="s">
        <v>5</v>
      </c>
      <c r="Q3195" t="s">
        <v>6189</v>
      </c>
      <c r="R3195" t="s">
        <v>3</v>
      </c>
      <c r="S3195" t="s">
        <v>3</v>
      </c>
      <c r="T3195" t="s">
        <v>3</v>
      </c>
      <c r="U3195" t="s">
        <v>3</v>
      </c>
      <c r="V3195" t="s">
        <v>3</v>
      </c>
      <c r="W3195" t="s">
        <v>68</v>
      </c>
      <c r="X3195" s="17"/>
      <c r="Y3195" t="s">
        <v>3</v>
      </c>
      <c r="Z3195" s="17">
        <v>43962</v>
      </c>
      <c r="AA3195" t="s">
        <v>3</v>
      </c>
      <c r="AB3195" t="s">
        <v>6186</v>
      </c>
    </row>
    <row r="3196" spans="1:28" hidden="1">
      <c r="A3196" t="s">
        <v>6186</v>
      </c>
      <c r="B3196" s="17">
        <v>43962</v>
      </c>
      <c r="C3196" s="17">
        <v>43962</v>
      </c>
      <c r="D3196" t="s">
        <v>0</v>
      </c>
      <c r="E3196" t="s">
        <v>1</v>
      </c>
      <c r="F3196" s="18">
        <v>2377.2399999999998</v>
      </c>
      <c r="G3196" s="18">
        <v>2377.2399999999998</v>
      </c>
      <c r="H3196" t="s">
        <v>2</v>
      </c>
      <c r="I3196" t="s">
        <v>8</v>
      </c>
      <c r="J3196" s="18">
        <v>199569.3</v>
      </c>
      <c r="K3196" t="s">
        <v>6190</v>
      </c>
      <c r="L3196" t="s">
        <v>4</v>
      </c>
      <c r="M3196" t="s">
        <v>6188</v>
      </c>
      <c r="N3196" t="s">
        <v>3</v>
      </c>
      <c r="O3196" t="s">
        <v>3</v>
      </c>
      <c r="P3196" t="s">
        <v>5</v>
      </c>
      <c r="Q3196" t="s">
        <v>6189</v>
      </c>
      <c r="R3196" t="s">
        <v>3</v>
      </c>
      <c r="S3196" t="s">
        <v>3</v>
      </c>
      <c r="T3196" t="s">
        <v>3</v>
      </c>
      <c r="U3196" t="s">
        <v>3</v>
      </c>
      <c r="V3196" t="s">
        <v>3</v>
      </c>
      <c r="W3196" t="s">
        <v>68</v>
      </c>
      <c r="X3196" s="17"/>
      <c r="Y3196" t="s">
        <v>3</v>
      </c>
      <c r="Z3196" s="17">
        <v>43962</v>
      </c>
      <c r="AA3196" t="s">
        <v>3</v>
      </c>
      <c r="AB3196" t="s">
        <v>6186</v>
      </c>
    </row>
    <row r="3197" spans="1:28" hidden="1">
      <c r="A3197" t="s">
        <v>6186</v>
      </c>
      <c r="B3197" s="17">
        <v>43962</v>
      </c>
      <c r="C3197" s="17">
        <v>43962</v>
      </c>
      <c r="D3197" t="s">
        <v>0</v>
      </c>
      <c r="E3197" t="s">
        <v>1</v>
      </c>
      <c r="F3197" s="18">
        <v>1835.06</v>
      </c>
      <c r="G3197" s="18">
        <v>1835.06</v>
      </c>
      <c r="H3197" t="s">
        <v>2</v>
      </c>
      <c r="I3197" t="s">
        <v>8</v>
      </c>
      <c r="J3197" s="18">
        <v>154053.29</v>
      </c>
      <c r="K3197" t="s">
        <v>6037</v>
      </c>
      <c r="L3197" t="s">
        <v>4</v>
      </c>
      <c r="M3197" t="s">
        <v>6188</v>
      </c>
      <c r="N3197" t="s">
        <v>3</v>
      </c>
      <c r="O3197" t="s">
        <v>3</v>
      </c>
      <c r="P3197" t="s">
        <v>5</v>
      </c>
      <c r="Q3197" t="s">
        <v>6189</v>
      </c>
      <c r="R3197" t="s">
        <v>3</v>
      </c>
      <c r="S3197" t="s">
        <v>3</v>
      </c>
      <c r="T3197" t="s">
        <v>3</v>
      </c>
      <c r="U3197" t="s">
        <v>3</v>
      </c>
      <c r="V3197" t="s">
        <v>3</v>
      </c>
      <c r="W3197" t="s">
        <v>68</v>
      </c>
      <c r="X3197" s="17"/>
      <c r="Y3197" t="s">
        <v>3</v>
      </c>
      <c r="Z3197" s="17">
        <v>43962</v>
      </c>
      <c r="AA3197" t="s">
        <v>3</v>
      </c>
      <c r="AB3197" t="s">
        <v>6186</v>
      </c>
    </row>
    <row r="3198" spans="1:28" hidden="1">
      <c r="A3198" t="s">
        <v>6186</v>
      </c>
      <c r="B3198" s="17">
        <v>43962</v>
      </c>
      <c r="C3198" s="17">
        <v>43962</v>
      </c>
      <c r="D3198" t="s">
        <v>0</v>
      </c>
      <c r="E3198" t="s">
        <v>1</v>
      </c>
      <c r="F3198" s="18">
        <v>13582.85</v>
      </c>
      <c r="G3198" s="18">
        <v>13582.85</v>
      </c>
      <c r="H3198" t="s">
        <v>2</v>
      </c>
      <c r="I3198" t="s">
        <v>8</v>
      </c>
      <c r="J3198" s="18">
        <v>1140280.26</v>
      </c>
      <c r="K3198" t="s">
        <v>6174</v>
      </c>
      <c r="L3198" t="s">
        <v>4</v>
      </c>
      <c r="M3198" t="s">
        <v>6188</v>
      </c>
      <c r="N3198" t="s">
        <v>3</v>
      </c>
      <c r="O3198" t="s">
        <v>3</v>
      </c>
      <c r="P3198" t="s">
        <v>5</v>
      </c>
      <c r="Q3198" t="s">
        <v>6189</v>
      </c>
      <c r="R3198" t="s">
        <v>3</v>
      </c>
      <c r="S3198" t="s">
        <v>3</v>
      </c>
      <c r="T3198" t="s">
        <v>3</v>
      </c>
      <c r="U3198" t="s">
        <v>3</v>
      </c>
      <c r="V3198" t="s">
        <v>3</v>
      </c>
      <c r="W3198" t="s">
        <v>68</v>
      </c>
      <c r="X3198" s="17"/>
      <c r="Y3198" t="s">
        <v>3</v>
      </c>
      <c r="Z3198" s="17">
        <v>43962</v>
      </c>
      <c r="AA3198" t="s">
        <v>3</v>
      </c>
      <c r="AB3198" t="s">
        <v>6186</v>
      </c>
    </row>
    <row r="3199" spans="1:28" hidden="1">
      <c r="A3199" t="s">
        <v>6191</v>
      </c>
      <c r="B3199" s="17">
        <v>43962</v>
      </c>
      <c r="C3199" s="17">
        <v>43962</v>
      </c>
      <c r="D3199" t="s">
        <v>0</v>
      </c>
      <c r="E3199" t="s">
        <v>1</v>
      </c>
      <c r="F3199" s="18">
        <v>5761</v>
      </c>
      <c r="G3199" s="18">
        <v>5761</v>
      </c>
      <c r="H3199" t="s">
        <v>2</v>
      </c>
      <c r="I3199" t="s">
        <v>8</v>
      </c>
      <c r="J3199" s="18">
        <v>483635.95</v>
      </c>
      <c r="K3199" t="s">
        <v>6176</v>
      </c>
      <c r="L3199" t="s">
        <v>9</v>
      </c>
      <c r="M3199" t="s">
        <v>6192</v>
      </c>
      <c r="N3199" t="s">
        <v>3</v>
      </c>
      <c r="O3199" t="s">
        <v>3</v>
      </c>
      <c r="P3199" t="s">
        <v>5</v>
      </c>
      <c r="Q3199" t="s">
        <v>6193</v>
      </c>
      <c r="R3199" t="s">
        <v>3</v>
      </c>
      <c r="S3199" t="s">
        <v>3</v>
      </c>
      <c r="T3199" t="s">
        <v>3</v>
      </c>
      <c r="U3199" t="s">
        <v>3</v>
      </c>
      <c r="V3199" t="s">
        <v>3</v>
      </c>
      <c r="W3199" t="s">
        <v>68</v>
      </c>
      <c r="X3199" s="17"/>
      <c r="Y3199" t="s">
        <v>3</v>
      </c>
      <c r="Z3199" s="17">
        <v>43962</v>
      </c>
      <c r="AA3199" t="s">
        <v>3</v>
      </c>
      <c r="AB3199" t="s">
        <v>6191</v>
      </c>
    </row>
    <row r="3200" spans="1:28" hidden="1">
      <c r="A3200" t="s">
        <v>6191</v>
      </c>
      <c r="B3200" s="17">
        <v>43962</v>
      </c>
      <c r="C3200" s="17">
        <v>43962</v>
      </c>
      <c r="D3200" t="s">
        <v>0</v>
      </c>
      <c r="E3200" t="s">
        <v>1</v>
      </c>
      <c r="F3200" s="18">
        <v>18116</v>
      </c>
      <c r="G3200" s="18">
        <v>18116</v>
      </c>
      <c r="H3200" t="s">
        <v>2</v>
      </c>
      <c r="I3200" t="s">
        <v>8</v>
      </c>
      <c r="J3200" s="18">
        <v>1520838.2</v>
      </c>
      <c r="K3200" t="s">
        <v>5957</v>
      </c>
      <c r="L3200" t="s">
        <v>9</v>
      </c>
      <c r="M3200" t="s">
        <v>6192</v>
      </c>
      <c r="N3200" t="s">
        <v>3</v>
      </c>
      <c r="O3200" t="s">
        <v>3</v>
      </c>
      <c r="P3200" t="s">
        <v>5</v>
      </c>
      <c r="Q3200" t="s">
        <v>6193</v>
      </c>
      <c r="R3200" t="s">
        <v>3</v>
      </c>
      <c r="S3200" t="s">
        <v>3</v>
      </c>
      <c r="T3200" t="s">
        <v>3</v>
      </c>
      <c r="U3200" t="s">
        <v>3</v>
      </c>
      <c r="V3200" t="s">
        <v>3</v>
      </c>
      <c r="W3200" t="s">
        <v>68</v>
      </c>
      <c r="X3200" s="17"/>
      <c r="Y3200" t="s">
        <v>3</v>
      </c>
      <c r="Z3200" s="17">
        <v>43962</v>
      </c>
      <c r="AA3200" t="s">
        <v>3</v>
      </c>
      <c r="AB3200" t="s">
        <v>6191</v>
      </c>
    </row>
    <row r="3201" spans="1:28" hidden="1">
      <c r="A3201" t="s">
        <v>6191</v>
      </c>
      <c r="B3201" s="17">
        <v>43962</v>
      </c>
      <c r="C3201" s="17">
        <v>43962</v>
      </c>
      <c r="D3201" t="s">
        <v>0</v>
      </c>
      <c r="E3201" t="s">
        <v>1</v>
      </c>
      <c r="F3201" s="18">
        <v>1070</v>
      </c>
      <c r="G3201" s="18">
        <v>1070</v>
      </c>
      <c r="H3201" t="s">
        <v>2</v>
      </c>
      <c r="I3201" t="s">
        <v>8</v>
      </c>
      <c r="J3201" s="18">
        <v>89345</v>
      </c>
      <c r="K3201" t="s">
        <v>6194</v>
      </c>
      <c r="L3201" t="s">
        <v>9</v>
      </c>
      <c r="M3201" t="s">
        <v>6192</v>
      </c>
      <c r="N3201" t="s">
        <v>3</v>
      </c>
      <c r="O3201" t="s">
        <v>3</v>
      </c>
      <c r="P3201" t="s">
        <v>5</v>
      </c>
      <c r="Q3201" t="s">
        <v>6193</v>
      </c>
      <c r="R3201" t="s">
        <v>3</v>
      </c>
      <c r="S3201" t="s">
        <v>3</v>
      </c>
      <c r="T3201" t="s">
        <v>3</v>
      </c>
      <c r="U3201" t="s">
        <v>3</v>
      </c>
      <c r="V3201" t="s">
        <v>3</v>
      </c>
      <c r="W3201" t="s">
        <v>68</v>
      </c>
      <c r="X3201" s="17"/>
      <c r="Y3201" t="s">
        <v>3</v>
      </c>
      <c r="Z3201" s="17">
        <v>43962</v>
      </c>
      <c r="AA3201" t="s">
        <v>3</v>
      </c>
      <c r="AB3201" t="s">
        <v>6191</v>
      </c>
    </row>
    <row r="3202" spans="1:28" hidden="1">
      <c r="A3202" t="s">
        <v>6191</v>
      </c>
      <c r="B3202" s="17">
        <v>43962</v>
      </c>
      <c r="C3202" s="17">
        <v>43962</v>
      </c>
      <c r="D3202" t="s">
        <v>0</v>
      </c>
      <c r="E3202" t="s">
        <v>1</v>
      </c>
      <c r="F3202" s="18">
        <v>65810</v>
      </c>
      <c r="G3202" s="18">
        <v>65810</v>
      </c>
      <c r="H3202" t="s">
        <v>2</v>
      </c>
      <c r="I3202" t="s">
        <v>8</v>
      </c>
      <c r="J3202" s="18">
        <v>5524749.5</v>
      </c>
      <c r="K3202" t="s">
        <v>5959</v>
      </c>
      <c r="L3202" t="s">
        <v>9</v>
      </c>
      <c r="M3202" t="s">
        <v>6192</v>
      </c>
      <c r="N3202" t="s">
        <v>3</v>
      </c>
      <c r="O3202" t="s">
        <v>3</v>
      </c>
      <c r="P3202" t="s">
        <v>5</v>
      </c>
      <c r="Q3202" t="s">
        <v>6193</v>
      </c>
      <c r="R3202" t="s">
        <v>3</v>
      </c>
      <c r="S3202" t="s">
        <v>3</v>
      </c>
      <c r="T3202" t="s">
        <v>3</v>
      </c>
      <c r="U3202" t="s">
        <v>3</v>
      </c>
      <c r="V3202" t="s">
        <v>3</v>
      </c>
      <c r="W3202" t="s">
        <v>68</v>
      </c>
      <c r="X3202" s="17"/>
      <c r="Y3202" t="s">
        <v>3</v>
      </c>
      <c r="Z3202" s="17">
        <v>43962</v>
      </c>
      <c r="AA3202" t="s">
        <v>3</v>
      </c>
      <c r="AB3202" t="s">
        <v>6191</v>
      </c>
    </row>
    <row r="3203" spans="1:28" hidden="1">
      <c r="A3203" t="s">
        <v>6191</v>
      </c>
      <c r="B3203" s="17">
        <v>43962</v>
      </c>
      <c r="C3203" s="17">
        <v>43962</v>
      </c>
      <c r="D3203" t="s">
        <v>0</v>
      </c>
      <c r="E3203" t="s">
        <v>1</v>
      </c>
      <c r="F3203" s="18">
        <v>4850</v>
      </c>
      <c r="G3203" s="18">
        <v>4850</v>
      </c>
      <c r="H3203" t="s">
        <v>2</v>
      </c>
      <c r="I3203" t="s">
        <v>8</v>
      </c>
      <c r="J3203" s="18">
        <v>407157.5</v>
      </c>
      <c r="K3203" t="s">
        <v>6169</v>
      </c>
      <c r="L3203" t="s">
        <v>9</v>
      </c>
      <c r="M3203" t="s">
        <v>6192</v>
      </c>
      <c r="N3203" t="s">
        <v>3</v>
      </c>
      <c r="O3203" t="s">
        <v>3</v>
      </c>
      <c r="P3203" t="s">
        <v>5</v>
      </c>
      <c r="Q3203" t="s">
        <v>6193</v>
      </c>
      <c r="R3203" t="s">
        <v>3</v>
      </c>
      <c r="S3203" t="s">
        <v>3</v>
      </c>
      <c r="T3203" t="s">
        <v>3</v>
      </c>
      <c r="U3203" t="s">
        <v>3</v>
      </c>
      <c r="V3203" t="s">
        <v>3</v>
      </c>
      <c r="W3203" t="s">
        <v>68</v>
      </c>
      <c r="X3203" s="17"/>
      <c r="Y3203" t="s">
        <v>3</v>
      </c>
      <c r="Z3203" s="17">
        <v>43962</v>
      </c>
      <c r="AA3203" t="s">
        <v>3</v>
      </c>
      <c r="AB3203" t="s">
        <v>6191</v>
      </c>
    </row>
    <row r="3204" spans="1:28" hidden="1">
      <c r="A3204" t="s">
        <v>6191</v>
      </c>
      <c r="B3204" s="17">
        <v>43962</v>
      </c>
      <c r="C3204" s="17">
        <v>43962</v>
      </c>
      <c r="D3204" t="s">
        <v>0</v>
      </c>
      <c r="E3204" t="s">
        <v>1</v>
      </c>
      <c r="F3204" s="18">
        <v>6293</v>
      </c>
      <c r="G3204" s="18">
        <v>6293</v>
      </c>
      <c r="H3204" t="s">
        <v>2</v>
      </c>
      <c r="I3204" t="s">
        <v>8</v>
      </c>
      <c r="J3204" s="18">
        <v>528297.35</v>
      </c>
      <c r="K3204" t="s">
        <v>5961</v>
      </c>
      <c r="L3204" t="s">
        <v>9</v>
      </c>
      <c r="M3204" t="s">
        <v>6192</v>
      </c>
      <c r="N3204" t="s">
        <v>3</v>
      </c>
      <c r="O3204" t="s">
        <v>3</v>
      </c>
      <c r="P3204" t="s">
        <v>5</v>
      </c>
      <c r="Q3204" t="s">
        <v>6193</v>
      </c>
      <c r="R3204" t="s">
        <v>3</v>
      </c>
      <c r="S3204" t="s">
        <v>3</v>
      </c>
      <c r="T3204" t="s">
        <v>3</v>
      </c>
      <c r="U3204" t="s">
        <v>3</v>
      </c>
      <c r="V3204" t="s">
        <v>3</v>
      </c>
      <c r="W3204" t="s">
        <v>68</v>
      </c>
      <c r="X3204" s="17"/>
      <c r="Y3204" t="s">
        <v>3</v>
      </c>
      <c r="Z3204" s="17">
        <v>43962</v>
      </c>
      <c r="AA3204" t="s">
        <v>3</v>
      </c>
      <c r="AB3204" t="s">
        <v>6191</v>
      </c>
    </row>
    <row r="3205" spans="1:28" hidden="1">
      <c r="A3205" t="s">
        <v>6191</v>
      </c>
      <c r="B3205" s="17">
        <v>43962</v>
      </c>
      <c r="C3205" s="17">
        <v>43962</v>
      </c>
      <c r="D3205" t="s">
        <v>0</v>
      </c>
      <c r="E3205" t="s">
        <v>1</v>
      </c>
      <c r="F3205" s="18">
        <v>59731</v>
      </c>
      <c r="G3205" s="18">
        <v>59731</v>
      </c>
      <c r="H3205" t="s">
        <v>2</v>
      </c>
      <c r="I3205" t="s">
        <v>8</v>
      </c>
      <c r="J3205" s="18">
        <v>5014417.45</v>
      </c>
      <c r="K3205" t="s">
        <v>5962</v>
      </c>
      <c r="L3205" t="s">
        <v>9</v>
      </c>
      <c r="M3205" t="s">
        <v>6192</v>
      </c>
      <c r="N3205" t="s">
        <v>3</v>
      </c>
      <c r="O3205" t="s">
        <v>3</v>
      </c>
      <c r="P3205" t="s">
        <v>5</v>
      </c>
      <c r="Q3205" t="s">
        <v>6193</v>
      </c>
      <c r="R3205" t="s">
        <v>3</v>
      </c>
      <c r="S3205" t="s">
        <v>3</v>
      </c>
      <c r="T3205" t="s">
        <v>3</v>
      </c>
      <c r="U3205" t="s">
        <v>3</v>
      </c>
      <c r="V3205" t="s">
        <v>3</v>
      </c>
      <c r="W3205" t="s">
        <v>68</v>
      </c>
      <c r="X3205" s="17"/>
      <c r="Y3205" t="s">
        <v>3</v>
      </c>
      <c r="Z3205" s="17">
        <v>43962</v>
      </c>
      <c r="AA3205" t="s">
        <v>3</v>
      </c>
      <c r="AB3205" t="s">
        <v>6191</v>
      </c>
    </row>
    <row r="3206" spans="1:28" hidden="1">
      <c r="A3206" t="s">
        <v>6191</v>
      </c>
      <c r="B3206" s="17">
        <v>43962</v>
      </c>
      <c r="C3206" s="17">
        <v>43962</v>
      </c>
      <c r="D3206" t="s">
        <v>0</v>
      </c>
      <c r="E3206" t="s">
        <v>1</v>
      </c>
      <c r="F3206" s="18">
        <v>291</v>
      </c>
      <c r="G3206" s="18">
        <v>291</v>
      </c>
      <c r="H3206" t="s">
        <v>2</v>
      </c>
      <c r="I3206" t="s">
        <v>8</v>
      </c>
      <c r="J3206" s="18">
        <v>24429.45</v>
      </c>
      <c r="K3206" t="s">
        <v>6170</v>
      </c>
      <c r="L3206" t="s">
        <v>9</v>
      </c>
      <c r="M3206" t="s">
        <v>6192</v>
      </c>
      <c r="N3206" t="s">
        <v>3</v>
      </c>
      <c r="O3206" t="s">
        <v>3</v>
      </c>
      <c r="P3206" t="s">
        <v>5</v>
      </c>
      <c r="Q3206" t="s">
        <v>6193</v>
      </c>
      <c r="R3206" t="s">
        <v>3</v>
      </c>
      <c r="S3206" t="s">
        <v>3</v>
      </c>
      <c r="T3206" t="s">
        <v>3</v>
      </c>
      <c r="U3206" t="s">
        <v>3</v>
      </c>
      <c r="V3206" t="s">
        <v>3</v>
      </c>
      <c r="W3206" t="s">
        <v>68</v>
      </c>
      <c r="X3206" s="17"/>
      <c r="Y3206" t="s">
        <v>3</v>
      </c>
      <c r="Z3206" s="17">
        <v>43962</v>
      </c>
      <c r="AA3206" t="s">
        <v>3</v>
      </c>
      <c r="AB3206" t="s">
        <v>6191</v>
      </c>
    </row>
    <row r="3207" spans="1:28" hidden="1">
      <c r="A3207" t="s">
        <v>6195</v>
      </c>
      <c r="B3207" s="17">
        <v>43962</v>
      </c>
      <c r="C3207" s="17">
        <v>43962</v>
      </c>
      <c r="D3207" t="s">
        <v>0</v>
      </c>
      <c r="E3207" t="s">
        <v>1</v>
      </c>
      <c r="F3207" s="18">
        <v>16475.580000000002</v>
      </c>
      <c r="G3207" s="18">
        <v>16475.580000000002</v>
      </c>
      <c r="H3207" t="s">
        <v>2</v>
      </c>
      <c r="I3207" t="s">
        <v>8</v>
      </c>
      <c r="J3207" s="18">
        <v>1383124.94</v>
      </c>
      <c r="K3207" t="s">
        <v>5819</v>
      </c>
      <c r="L3207" t="s">
        <v>4</v>
      </c>
      <c r="M3207" t="s">
        <v>6196</v>
      </c>
      <c r="N3207" t="s">
        <v>3</v>
      </c>
      <c r="O3207" t="s">
        <v>3</v>
      </c>
      <c r="P3207" t="s">
        <v>5</v>
      </c>
      <c r="Q3207" t="s">
        <v>6197</v>
      </c>
      <c r="R3207" t="s">
        <v>3</v>
      </c>
      <c r="S3207" t="s">
        <v>3</v>
      </c>
      <c r="T3207" t="s">
        <v>3</v>
      </c>
      <c r="U3207" t="s">
        <v>3</v>
      </c>
      <c r="V3207" t="s">
        <v>3</v>
      </c>
      <c r="W3207" t="s">
        <v>68</v>
      </c>
      <c r="X3207" s="17"/>
      <c r="Y3207" t="s">
        <v>3</v>
      </c>
      <c r="Z3207" s="17">
        <v>43962</v>
      </c>
      <c r="AA3207" t="s">
        <v>3</v>
      </c>
      <c r="AB3207" t="s">
        <v>6195</v>
      </c>
    </row>
    <row r="3208" spans="1:28" hidden="1">
      <c r="A3208" t="s">
        <v>6195</v>
      </c>
      <c r="B3208" s="17">
        <v>43962</v>
      </c>
      <c r="C3208" s="17">
        <v>43962</v>
      </c>
      <c r="D3208" t="s">
        <v>0</v>
      </c>
      <c r="E3208" t="s">
        <v>1</v>
      </c>
      <c r="F3208" s="18">
        <v>4537.3100000000004</v>
      </c>
      <c r="G3208" s="18">
        <v>4537.3100000000004</v>
      </c>
      <c r="H3208" t="s">
        <v>2</v>
      </c>
      <c r="I3208" t="s">
        <v>8</v>
      </c>
      <c r="J3208" s="18">
        <v>380907.18</v>
      </c>
      <c r="K3208" t="s">
        <v>6185</v>
      </c>
      <c r="L3208" t="s">
        <v>4</v>
      </c>
      <c r="M3208" t="s">
        <v>6196</v>
      </c>
      <c r="N3208" t="s">
        <v>3</v>
      </c>
      <c r="O3208" t="s">
        <v>3</v>
      </c>
      <c r="P3208" t="s">
        <v>5</v>
      </c>
      <c r="Q3208" t="s">
        <v>6197</v>
      </c>
      <c r="R3208" t="s">
        <v>3</v>
      </c>
      <c r="S3208" t="s">
        <v>3</v>
      </c>
      <c r="T3208" t="s">
        <v>3</v>
      </c>
      <c r="U3208" t="s">
        <v>3</v>
      </c>
      <c r="V3208" t="s">
        <v>3</v>
      </c>
      <c r="W3208" t="s">
        <v>68</v>
      </c>
      <c r="X3208" s="17"/>
      <c r="Y3208" t="s">
        <v>3</v>
      </c>
      <c r="Z3208" s="17">
        <v>43962</v>
      </c>
      <c r="AA3208" t="s">
        <v>3</v>
      </c>
      <c r="AB3208" t="s">
        <v>6195</v>
      </c>
    </row>
    <row r="3209" spans="1:28" hidden="1">
      <c r="A3209" t="s">
        <v>6224</v>
      </c>
      <c r="B3209" s="17">
        <v>43962</v>
      </c>
      <c r="C3209" s="17">
        <v>43962</v>
      </c>
      <c r="D3209" t="s">
        <v>0</v>
      </c>
      <c r="E3209" t="s">
        <v>1</v>
      </c>
      <c r="F3209" s="18">
        <v>6769.02</v>
      </c>
      <c r="G3209" s="18">
        <v>6769.02</v>
      </c>
      <c r="H3209" t="s">
        <v>2</v>
      </c>
      <c r="I3209" t="s">
        <v>10</v>
      </c>
      <c r="J3209" s="18">
        <v>568259.23</v>
      </c>
      <c r="K3209" t="s">
        <v>6199</v>
      </c>
      <c r="L3209" t="s">
        <v>4</v>
      </c>
      <c r="M3209" t="s">
        <v>6225</v>
      </c>
      <c r="N3209" t="s">
        <v>3</v>
      </c>
      <c r="O3209" t="s">
        <v>3</v>
      </c>
      <c r="P3209" t="s">
        <v>5</v>
      </c>
      <c r="Q3209" t="s">
        <v>6226</v>
      </c>
      <c r="R3209" t="s">
        <v>3</v>
      </c>
      <c r="S3209" t="s">
        <v>3</v>
      </c>
      <c r="T3209" t="s">
        <v>3</v>
      </c>
      <c r="U3209" t="s">
        <v>3</v>
      </c>
      <c r="V3209" t="s">
        <v>3</v>
      </c>
      <c r="W3209" t="s">
        <v>68</v>
      </c>
      <c r="X3209" s="17"/>
      <c r="Y3209" t="s">
        <v>3</v>
      </c>
      <c r="Z3209" s="17">
        <v>43962</v>
      </c>
      <c r="AA3209" t="s">
        <v>3</v>
      </c>
      <c r="AB3209" t="s">
        <v>6224</v>
      </c>
    </row>
    <row r="3210" spans="1:28" hidden="1">
      <c r="A3210" t="s">
        <v>6224</v>
      </c>
      <c r="B3210" s="17">
        <v>43962</v>
      </c>
      <c r="C3210" s="17">
        <v>43962</v>
      </c>
      <c r="D3210" t="s">
        <v>0</v>
      </c>
      <c r="E3210" t="s">
        <v>1</v>
      </c>
      <c r="F3210" s="18">
        <v>1208.72</v>
      </c>
      <c r="G3210" s="18">
        <v>1208.72</v>
      </c>
      <c r="H3210" t="s">
        <v>2</v>
      </c>
      <c r="I3210" t="s">
        <v>10</v>
      </c>
      <c r="J3210" s="18">
        <v>101472.04</v>
      </c>
      <c r="K3210" t="s">
        <v>6202</v>
      </c>
      <c r="L3210" t="s">
        <v>4</v>
      </c>
      <c r="M3210" t="s">
        <v>6225</v>
      </c>
      <c r="N3210" t="s">
        <v>3</v>
      </c>
      <c r="O3210" t="s">
        <v>3</v>
      </c>
      <c r="P3210" t="s">
        <v>5</v>
      </c>
      <c r="Q3210" t="s">
        <v>6226</v>
      </c>
      <c r="R3210" t="s">
        <v>3</v>
      </c>
      <c r="S3210" t="s">
        <v>3</v>
      </c>
      <c r="T3210" t="s">
        <v>3</v>
      </c>
      <c r="U3210" t="s">
        <v>3</v>
      </c>
      <c r="V3210" t="s">
        <v>3</v>
      </c>
      <c r="W3210" t="s">
        <v>68</v>
      </c>
      <c r="X3210" s="17"/>
      <c r="Y3210" t="s">
        <v>3</v>
      </c>
      <c r="Z3210" s="17">
        <v>43962</v>
      </c>
      <c r="AA3210" t="s">
        <v>3</v>
      </c>
      <c r="AB3210" t="s">
        <v>6224</v>
      </c>
    </row>
    <row r="3211" spans="1:28" hidden="1">
      <c r="A3211" t="s">
        <v>6224</v>
      </c>
      <c r="B3211" s="17">
        <v>43962</v>
      </c>
      <c r="C3211" s="17">
        <v>43962</v>
      </c>
      <c r="D3211" t="s">
        <v>0</v>
      </c>
      <c r="E3211" t="s">
        <v>1</v>
      </c>
      <c r="F3211" s="18">
        <v>1663.07</v>
      </c>
      <c r="G3211" s="18">
        <v>1663.07</v>
      </c>
      <c r="H3211" t="s">
        <v>2</v>
      </c>
      <c r="I3211" t="s">
        <v>10</v>
      </c>
      <c r="J3211" s="18">
        <v>139614.73000000001</v>
      </c>
      <c r="K3211" t="s">
        <v>6203</v>
      </c>
      <c r="L3211" t="s">
        <v>4</v>
      </c>
      <c r="M3211" t="s">
        <v>6225</v>
      </c>
      <c r="N3211" t="s">
        <v>3</v>
      </c>
      <c r="O3211" t="s">
        <v>3</v>
      </c>
      <c r="P3211" t="s">
        <v>5</v>
      </c>
      <c r="Q3211" t="s">
        <v>6226</v>
      </c>
      <c r="R3211" t="s">
        <v>3</v>
      </c>
      <c r="S3211" t="s">
        <v>3</v>
      </c>
      <c r="T3211" t="s">
        <v>3</v>
      </c>
      <c r="U3211" t="s">
        <v>3</v>
      </c>
      <c r="V3211" t="s">
        <v>3</v>
      </c>
      <c r="W3211" t="s">
        <v>68</v>
      </c>
      <c r="X3211" s="17"/>
      <c r="Y3211" t="s">
        <v>3</v>
      </c>
      <c r="Z3211" s="17">
        <v>43962</v>
      </c>
      <c r="AA3211" t="s">
        <v>3</v>
      </c>
      <c r="AB3211" t="s">
        <v>6224</v>
      </c>
    </row>
    <row r="3212" spans="1:28" hidden="1">
      <c r="A3212" t="s">
        <v>6224</v>
      </c>
      <c r="B3212" s="17">
        <v>43962</v>
      </c>
      <c r="C3212" s="17">
        <v>43962</v>
      </c>
      <c r="D3212" t="s">
        <v>0</v>
      </c>
      <c r="E3212" t="s">
        <v>1</v>
      </c>
      <c r="F3212" s="18">
        <v>7513.15</v>
      </c>
      <c r="G3212" s="18">
        <v>7513.15</v>
      </c>
      <c r="H3212" t="s">
        <v>2</v>
      </c>
      <c r="I3212" t="s">
        <v>10</v>
      </c>
      <c r="J3212" s="18">
        <v>630728.93999999994</v>
      </c>
      <c r="K3212" t="s">
        <v>6204</v>
      </c>
      <c r="L3212" t="s">
        <v>4</v>
      </c>
      <c r="M3212" t="s">
        <v>6225</v>
      </c>
      <c r="N3212" t="s">
        <v>3</v>
      </c>
      <c r="O3212" t="s">
        <v>3</v>
      </c>
      <c r="P3212" t="s">
        <v>5</v>
      </c>
      <c r="Q3212" t="s">
        <v>6226</v>
      </c>
      <c r="R3212" t="s">
        <v>3</v>
      </c>
      <c r="S3212" t="s">
        <v>3</v>
      </c>
      <c r="T3212" t="s">
        <v>3</v>
      </c>
      <c r="U3212" t="s">
        <v>3</v>
      </c>
      <c r="V3212" t="s">
        <v>3</v>
      </c>
      <c r="W3212" t="s">
        <v>68</v>
      </c>
      <c r="X3212" s="17"/>
      <c r="Y3212" t="s">
        <v>3</v>
      </c>
      <c r="Z3212" s="17">
        <v>43962</v>
      </c>
      <c r="AA3212" t="s">
        <v>3</v>
      </c>
      <c r="AB3212" t="s">
        <v>6224</v>
      </c>
    </row>
    <row r="3213" spans="1:28" hidden="1">
      <c r="A3213" t="s">
        <v>6224</v>
      </c>
      <c r="B3213" s="17">
        <v>43962</v>
      </c>
      <c r="C3213" s="17">
        <v>43962</v>
      </c>
      <c r="D3213" t="s">
        <v>0</v>
      </c>
      <c r="E3213" t="s">
        <v>1</v>
      </c>
      <c r="F3213" s="18">
        <v>10686.92</v>
      </c>
      <c r="G3213" s="18">
        <v>10686.92</v>
      </c>
      <c r="H3213" t="s">
        <v>2</v>
      </c>
      <c r="I3213" t="s">
        <v>10</v>
      </c>
      <c r="J3213" s="18">
        <v>897166.93</v>
      </c>
      <c r="K3213" t="s">
        <v>6205</v>
      </c>
      <c r="L3213" t="s">
        <v>4</v>
      </c>
      <c r="M3213" t="s">
        <v>6225</v>
      </c>
      <c r="N3213" t="s">
        <v>3</v>
      </c>
      <c r="O3213" t="s">
        <v>3</v>
      </c>
      <c r="P3213" t="s">
        <v>5</v>
      </c>
      <c r="Q3213" t="s">
        <v>6226</v>
      </c>
      <c r="R3213" t="s">
        <v>3</v>
      </c>
      <c r="S3213" t="s">
        <v>3</v>
      </c>
      <c r="T3213" t="s">
        <v>3</v>
      </c>
      <c r="U3213" t="s">
        <v>3</v>
      </c>
      <c r="V3213" t="s">
        <v>3</v>
      </c>
      <c r="W3213" t="s">
        <v>68</v>
      </c>
      <c r="X3213" s="17"/>
      <c r="Y3213" t="s">
        <v>3</v>
      </c>
      <c r="Z3213" s="17">
        <v>43962</v>
      </c>
      <c r="AA3213" t="s">
        <v>3</v>
      </c>
      <c r="AB3213" t="s">
        <v>6224</v>
      </c>
    </row>
    <row r="3214" spans="1:28" hidden="1">
      <c r="A3214" t="s">
        <v>6227</v>
      </c>
      <c r="B3214" s="17">
        <v>43963</v>
      </c>
      <c r="C3214" s="17">
        <v>43963</v>
      </c>
      <c r="D3214" t="s">
        <v>0</v>
      </c>
      <c r="E3214" t="s">
        <v>1</v>
      </c>
      <c r="F3214" s="18">
        <v>1167.56</v>
      </c>
      <c r="G3214" s="18">
        <v>1167.56</v>
      </c>
      <c r="H3214" t="s">
        <v>2</v>
      </c>
      <c r="I3214" t="s">
        <v>8</v>
      </c>
      <c r="J3214" s="18">
        <v>98016.66</v>
      </c>
      <c r="K3214" t="s">
        <v>6147</v>
      </c>
      <c r="L3214" t="s">
        <v>4</v>
      </c>
      <c r="M3214" t="s">
        <v>6228</v>
      </c>
      <c r="N3214" t="s">
        <v>3</v>
      </c>
      <c r="O3214" t="s">
        <v>3</v>
      </c>
      <c r="P3214" t="s">
        <v>5</v>
      </c>
      <c r="Q3214" t="s">
        <v>6229</v>
      </c>
      <c r="R3214" t="s">
        <v>3</v>
      </c>
      <c r="S3214" t="s">
        <v>3</v>
      </c>
      <c r="T3214" t="s">
        <v>3</v>
      </c>
      <c r="U3214" t="s">
        <v>3</v>
      </c>
      <c r="V3214" t="s">
        <v>3</v>
      </c>
      <c r="W3214" t="s">
        <v>68</v>
      </c>
      <c r="X3214" s="17"/>
      <c r="Y3214" t="s">
        <v>3</v>
      </c>
      <c r="Z3214" s="17">
        <v>43963</v>
      </c>
      <c r="AA3214" t="s">
        <v>3</v>
      </c>
      <c r="AB3214" t="s">
        <v>6227</v>
      </c>
    </row>
    <row r="3215" spans="1:28" hidden="1">
      <c r="A3215" t="s">
        <v>6227</v>
      </c>
      <c r="B3215" s="17">
        <v>43963</v>
      </c>
      <c r="C3215" s="17">
        <v>43963</v>
      </c>
      <c r="D3215" t="s">
        <v>0</v>
      </c>
      <c r="E3215" t="s">
        <v>1</v>
      </c>
      <c r="F3215" s="18">
        <v>1340.54</v>
      </c>
      <c r="G3215" s="18">
        <v>1340.54</v>
      </c>
      <c r="H3215" t="s">
        <v>2</v>
      </c>
      <c r="I3215" t="s">
        <v>8</v>
      </c>
      <c r="J3215" s="18">
        <v>112538.33</v>
      </c>
      <c r="K3215" t="s">
        <v>6151</v>
      </c>
      <c r="L3215" t="s">
        <v>4</v>
      </c>
      <c r="M3215" t="s">
        <v>6228</v>
      </c>
      <c r="N3215" t="s">
        <v>3</v>
      </c>
      <c r="O3215" t="s">
        <v>3</v>
      </c>
      <c r="P3215" t="s">
        <v>5</v>
      </c>
      <c r="Q3215" t="s">
        <v>6229</v>
      </c>
      <c r="R3215" t="s">
        <v>3</v>
      </c>
      <c r="S3215" t="s">
        <v>3</v>
      </c>
      <c r="T3215" t="s">
        <v>3</v>
      </c>
      <c r="U3215" t="s">
        <v>3</v>
      </c>
      <c r="V3215" t="s">
        <v>3</v>
      </c>
      <c r="W3215" t="s">
        <v>68</v>
      </c>
      <c r="X3215" s="17"/>
      <c r="Y3215" t="s">
        <v>3</v>
      </c>
      <c r="Z3215" s="17">
        <v>43963</v>
      </c>
      <c r="AA3215" t="s">
        <v>3</v>
      </c>
      <c r="AB3215" t="s">
        <v>6227</v>
      </c>
    </row>
    <row r="3216" spans="1:28" hidden="1">
      <c r="A3216" t="s">
        <v>6230</v>
      </c>
      <c r="B3216" s="17">
        <v>43963</v>
      </c>
      <c r="C3216" s="17">
        <v>43963</v>
      </c>
      <c r="D3216" t="s">
        <v>0</v>
      </c>
      <c r="E3216" t="s">
        <v>1</v>
      </c>
      <c r="F3216" s="18">
        <v>1796.33</v>
      </c>
      <c r="G3216" s="18">
        <v>1796.33</v>
      </c>
      <c r="H3216" t="s">
        <v>2</v>
      </c>
      <c r="I3216" t="s">
        <v>10</v>
      </c>
      <c r="J3216" s="18">
        <v>149993.56</v>
      </c>
      <c r="K3216" t="s">
        <v>6231</v>
      </c>
      <c r="L3216" t="s">
        <v>4</v>
      </c>
      <c r="M3216" t="s">
        <v>6232</v>
      </c>
      <c r="N3216" t="s">
        <v>3</v>
      </c>
      <c r="O3216" t="s">
        <v>3</v>
      </c>
      <c r="P3216" t="s">
        <v>5</v>
      </c>
      <c r="Q3216" t="s">
        <v>6233</v>
      </c>
      <c r="R3216" t="s">
        <v>3</v>
      </c>
      <c r="S3216" t="s">
        <v>3</v>
      </c>
      <c r="T3216" t="s">
        <v>3</v>
      </c>
      <c r="U3216" t="s">
        <v>3</v>
      </c>
      <c r="V3216" t="s">
        <v>3</v>
      </c>
      <c r="W3216" t="s">
        <v>68</v>
      </c>
      <c r="X3216" s="17"/>
      <c r="Y3216" t="s">
        <v>3</v>
      </c>
      <c r="Z3216" s="17">
        <v>43963</v>
      </c>
      <c r="AA3216" t="s">
        <v>3</v>
      </c>
      <c r="AB3216" t="s">
        <v>6230</v>
      </c>
    </row>
    <row r="3217" spans="1:28" hidden="1">
      <c r="A3217" t="s">
        <v>6230</v>
      </c>
      <c r="B3217" s="17">
        <v>43963</v>
      </c>
      <c r="C3217" s="17">
        <v>43963</v>
      </c>
      <c r="D3217" t="s">
        <v>0</v>
      </c>
      <c r="E3217" t="s">
        <v>1</v>
      </c>
      <c r="F3217" s="18">
        <v>2174.35</v>
      </c>
      <c r="G3217" s="18">
        <v>2174.35</v>
      </c>
      <c r="H3217" t="s">
        <v>2</v>
      </c>
      <c r="I3217" t="s">
        <v>10</v>
      </c>
      <c r="J3217" s="18">
        <v>182536.68</v>
      </c>
      <c r="K3217" t="s">
        <v>6207</v>
      </c>
      <c r="L3217" t="s">
        <v>4</v>
      </c>
      <c r="M3217" t="s">
        <v>6232</v>
      </c>
      <c r="N3217" t="s">
        <v>3</v>
      </c>
      <c r="O3217" t="s">
        <v>3</v>
      </c>
      <c r="P3217" t="s">
        <v>5</v>
      </c>
      <c r="Q3217" t="s">
        <v>6233</v>
      </c>
      <c r="R3217" t="s">
        <v>3</v>
      </c>
      <c r="S3217" t="s">
        <v>3</v>
      </c>
      <c r="T3217" t="s">
        <v>3</v>
      </c>
      <c r="U3217" t="s">
        <v>3</v>
      </c>
      <c r="V3217" t="s">
        <v>3</v>
      </c>
      <c r="W3217" t="s">
        <v>68</v>
      </c>
      <c r="X3217" s="17"/>
      <c r="Y3217" t="s">
        <v>3</v>
      </c>
      <c r="Z3217" s="17">
        <v>43963</v>
      </c>
      <c r="AA3217" t="s">
        <v>3</v>
      </c>
      <c r="AB3217" t="s">
        <v>6230</v>
      </c>
    </row>
    <row r="3218" spans="1:28" hidden="1">
      <c r="A3218" t="s">
        <v>6230</v>
      </c>
      <c r="B3218" s="17">
        <v>43963</v>
      </c>
      <c r="C3218" s="17">
        <v>43963</v>
      </c>
      <c r="D3218" t="s">
        <v>0</v>
      </c>
      <c r="E3218" t="s">
        <v>1</v>
      </c>
      <c r="F3218" s="18">
        <v>9667.41</v>
      </c>
      <c r="G3218" s="18">
        <v>9667.41</v>
      </c>
      <c r="H3218" t="s">
        <v>2</v>
      </c>
      <c r="I3218" t="s">
        <v>10</v>
      </c>
      <c r="J3218" s="18">
        <v>811579.07</v>
      </c>
      <c r="K3218" t="s">
        <v>6210</v>
      </c>
      <c r="L3218" t="s">
        <v>4</v>
      </c>
      <c r="M3218" t="s">
        <v>6232</v>
      </c>
      <c r="N3218" t="s">
        <v>3</v>
      </c>
      <c r="O3218" t="s">
        <v>3</v>
      </c>
      <c r="P3218" t="s">
        <v>5</v>
      </c>
      <c r="Q3218" t="s">
        <v>6233</v>
      </c>
      <c r="R3218" t="s">
        <v>3</v>
      </c>
      <c r="S3218" t="s">
        <v>3</v>
      </c>
      <c r="T3218" t="s">
        <v>3</v>
      </c>
      <c r="U3218" t="s">
        <v>3</v>
      </c>
      <c r="V3218" t="s">
        <v>3</v>
      </c>
      <c r="W3218" t="s">
        <v>68</v>
      </c>
      <c r="X3218" s="17"/>
      <c r="Y3218" t="s">
        <v>3</v>
      </c>
      <c r="Z3218" s="17">
        <v>43963</v>
      </c>
      <c r="AA3218" t="s">
        <v>3</v>
      </c>
      <c r="AB3218" t="s">
        <v>6230</v>
      </c>
    </row>
    <row r="3219" spans="1:28" hidden="1">
      <c r="A3219" t="s">
        <v>6234</v>
      </c>
      <c r="B3219" s="17">
        <v>43963</v>
      </c>
      <c r="C3219" s="17">
        <v>43963</v>
      </c>
      <c r="D3219" t="s">
        <v>0</v>
      </c>
      <c r="E3219" t="s">
        <v>1</v>
      </c>
      <c r="F3219" s="18">
        <v>9402.5499999999993</v>
      </c>
      <c r="G3219" s="18">
        <v>9402.5499999999993</v>
      </c>
      <c r="H3219" t="s">
        <v>2</v>
      </c>
      <c r="I3219" t="s">
        <v>10</v>
      </c>
      <c r="J3219" s="18">
        <v>789344.07</v>
      </c>
      <c r="K3219" t="s">
        <v>6158</v>
      </c>
      <c r="L3219" t="s">
        <v>4</v>
      </c>
      <c r="M3219" t="s">
        <v>6235</v>
      </c>
      <c r="N3219" t="s">
        <v>3</v>
      </c>
      <c r="O3219" t="s">
        <v>3</v>
      </c>
      <c r="P3219" t="s">
        <v>5</v>
      </c>
      <c r="Q3219" t="s">
        <v>6236</v>
      </c>
      <c r="R3219" t="s">
        <v>3</v>
      </c>
      <c r="S3219" t="s">
        <v>3</v>
      </c>
      <c r="T3219" t="s">
        <v>3</v>
      </c>
      <c r="U3219" t="s">
        <v>3</v>
      </c>
      <c r="V3219" t="s">
        <v>3</v>
      </c>
      <c r="W3219" t="s">
        <v>68</v>
      </c>
      <c r="X3219" s="17"/>
      <c r="Y3219" t="s">
        <v>3</v>
      </c>
      <c r="Z3219" s="17">
        <v>43963</v>
      </c>
      <c r="AA3219" t="s">
        <v>3</v>
      </c>
      <c r="AB3219" t="s">
        <v>6234</v>
      </c>
    </row>
    <row r="3220" spans="1:28" hidden="1">
      <c r="A3220" t="s">
        <v>6237</v>
      </c>
      <c r="B3220" s="17">
        <v>43964</v>
      </c>
      <c r="C3220" s="17">
        <v>43964</v>
      </c>
      <c r="D3220" t="s">
        <v>0</v>
      </c>
      <c r="E3220" t="s">
        <v>1</v>
      </c>
      <c r="F3220" s="18">
        <v>9183</v>
      </c>
      <c r="G3220" s="18">
        <v>9183</v>
      </c>
      <c r="H3220" t="s">
        <v>2</v>
      </c>
      <c r="I3220" t="s">
        <v>8</v>
      </c>
      <c r="J3220" s="18">
        <v>770912.85</v>
      </c>
      <c r="K3220" t="s">
        <v>6238</v>
      </c>
      <c r="L3220" t="s">
        <v>9</v>
      </c>
      <c r="M3220" t="s">
        <v>6239</v>
      </c>
      <c r="N3220" t="s">
        <v>3</v>
      </c>
      <c r="O3220" t="s">
        <v>3</v>
      </c>
      <c r="P3220" t="s">
        <v>5</v>
      </c>
      <c r="Q3220" t="s">
        <v>6240</v>
      </c>
      <c r="R3220" t="s">
        <v>3</v>
      </c>
      <c r="S3220" t="s">
        <v>3</v>
      </c>
      <c r="T3220" t="s">
        <v>3</v>
      </c>
      <c r="U3220" t="s">
        <v>3</v>
      </c>
      <c r="V3220" t="s">
        <v>3</v>
      </c>
      <c r="W3220" t="s">
        <v>68</v>
      </c>
      <c r="X3220" s="17"/>
      <c r="Y3220" t="s">
        <v>3</v>
      </c>
      <c r="Z3220" s="17">
        <v>43964</v>
      </c>
      <c r="AA3220" t="s">
        <v>3</v>
      </c>
      <c r="AB3220" t="s">
        <v>6237</v>
      </c>
    </row>
    <row r="3221" spans="1:28" hidden="1">
      <c r="A3221" t="s">
        <v>6237</v>
      </c>
      <c r="B3221" s="17">
        <v>43964</v>
      </c>
      <c r="C3221" s="17">
        <v>43964</v>
      </c>
      <c r="D3221" t="s">
        <v>0</v>
      </c>
      <c r="E3221" t="s">
        <v>1</v>
      </c>
      <c r="F3221" s="18">
        <v>10799</v>
      </c>
      <c r="G3221" s="18">
        <v>10799</v>
      </c>
      <c r="H3221" t="s">
        <v>2</v>
      </c>
      <c r="I3221" t="s">
        <v>8</v>
      </c>
      <c r="J3221" s="18">
        <v>906576.05</v>
      </c>
      <c r="K3221" t="s">
        <v>6241</v>
      </c>
      <c r="L3221" t="s">
        <v>9</v>
      </c>
      <c r="M3221" t="s">
        <v>6239</v>
      </c>
      <c r="N3221" t="s">
        <v>3</v>
      </c>
      <c r="O3221" t="s">
        <v>3</v>
      </c>
      <c r="P3221" t="s">
        <v>5</v>
      </c>
      <c r="Q3221" t="s">
        <v>6240</v>
      </c>
      <c r="R3221" t="s">
        <v>3</v>
      </c>
      <c r="S3221" t="s">
        <v>3</v>
      </c>
      <c r="T3221" t="s">
        <v>3</v>
      </c>
      <c r="U3221" t="s">
        <v>3</v>
      </c>
      <c r="V3221" t="s">
        <v>3</v>
      </c>
      <c r="W3221" t="s">
        <v>68</v>
      </c>
      <c r="X3221" s="17"/>
      <c r="Y3221" t="s">
        <v>3</v>
      </c>
      <c r="Z3221" s="17">
        <v>43964</v>
      </c>
      <c r="AA3221" t="s">
        <v>3</v>
      </c>
      <c r="AB3221" t="s">
        <v>6237</v>
      </c>
    </row>
    <row r="3222" spans="1:28" hidden="1">
      <c r="A3222" t="s">
        <v>6237</v>
      </c>
      <c r="B3222" s="17">
        <v>43964</v>
      </c>
      <c r="C3222" s="17">
        <v>43964</v>
      </c>
      <c r="D3222" t="s">
        <v>0</v>
      </c>
      <c r="E3222" t="s">
        <v>1</v>
      </c>
      <c r="F3222" s="18">
        <v>18303</v>
      </c>
      <c r="G3222" s="18">
        <v>18303</v>
      </c>
      <c r="H3222" t="s">
        <v>2</v>
      </c>
      <c r="I3222" t="s">
        <v>8</v>
      </c>
      <c r="J3222" s="18">
        <v>1536536.85</v>
      </c>
      <c r="K3222" t="s">
        <v>6242</v>
      </c>
      <c r="L3222" t="s">
        <v>9</v>
      </c>
      <c r="M3222" t="s">
        <v>6239</v>
      </c>
      <c r="N3222" t="s">
        <v>3</v>
      </c>
      <c r="O3222" t="s">
        <v>3</v>
      </c>
      <c r="P3222" t="s">
        <v>5</v>
      </c>
      <c r="Q3222" t="s">
        <v>6240</v>
      </c>
      <c r="R3222" t="s">
        <v>3</v>
      </c>
      <c r="S3222" t="s">
        <v>3</v>
      </c>
      <c r="T3222" t="s">
        <v>3</v>
      </c>
      <c r="U3222" t="s">
        <v>3</v>
      </c>
      <c r="V3222" t="s">
        <v>3</v>
      </c>
      <c r="W3222" t="s">
        <v>68</v>
      </c>
      <c r="X3222" s="17"/>
      <c r="Y3222" t="s">
        <v>3</v>
      </c>
      <c r="Z3222" s="17">
        <v>43964</v>
      </c>
      <c r="AA3222" t="s">
        <v>3</v>
      </c>
      <c r="AB3222" t="s">
        <v>6237</v>
      </c>
    </row>
    <row r="3223" spans="1:28" hidden="1">
      <c r="A3223" t="s">
        <v>6237</v>
      </c>
      <c r="B3223" s="17">
        <v>43964</v>
      </c>
      <c r="C3223" s="17">
        <v>43964</v>
      </c>
      <c r="D3223" t="s">
        <v>0</v>
      </c>
      <c r="E3223" t="s">
        <v>1</v>
      </c>
      <c r="F3223" s="18">
        <v>57148</v>
      </c>
      <c r="G3223" s="18">
        <v>57148</v>
      </c>
      <c r="H3223" t="s">
        <v>2</v>
      </c>
      <c r="I3223" t="s">
        <v>8</v>
      </c>
      <c r="J3223" s="18">
        <v>4797574.5999999996</v>
      </c>
      <c r="K3223" t="s">
        <v>6243</v>
      </c>
      <c r="L3223" t="s">
        <v>9</v>
      </c>
      <c r="M3223" t="s">
        <v>6239</v>
      </c>
      <c r="N3223" t="s">
        <v>3</v>
      </c>
      <c r="O3223" t="s">
        <v>3</v>
      </c>
      <c r="P3223" t="s">
        <v>5</v>
      </c>
      <c r="Q3223" t="s">
        <v>6240</v>
      </c>
      <c r="R3223" t="s">
        <v>3</v>
      </c>
      <c r="S3223" t="s">
        <v>3</v>
      </c>
      <c r="T3223" t="s">
        <v>3</v>
      </c>
      <c r="U3223" t="s">
        <v>3</v>
      </c>
      <c r="V3223" t="s">
        <v>3</v>
      </c>
      <c r="W3223" t="s">
        <v>68</v>
      </c>
      <c r="X3223" s="17"/>
      <c r="Y3223" t="s">
        <v>3</v>
      </c>
      <c r="Z3223" s="17">
        <v>43964</v>
      </c>
      <c r="AA3223" t="s">
        <v>3</v>
      </c>
      <c r="AB3223" t="s">
        <v>6237</v>
      </c>
    </row>
    <row r="3224" spans="1:28" hidden="1">
      <c r="A3224" t="s">
        <v>6237</v>
      </c>
      <c r="B3224" s="17">
        <v>43964</v>
      </c>
      <c r="C3224" s="17">
        <v>43964</v>
      </c>
      <c r="D3224" t="s">
        <v>0</v>
      </c>
      <c r="E3224" t="s">
        <v>1</v>
      </c>
      <c r="F3224" s="18">
        <v>104764</v>
      </c>
      <c r="G3224" s="18">
        <v>104764</v>
      </c>
      <c r="H3224" t="s">
        <v>2</v>
      </c>
      <c r="I3224" t="s">
        <v>8</v>
      </c>
      <c r="J3224" s="18">
        <v>8794937.8000000007</v>
      </c>
      <c r="K3224" t="s">
        <v>6244</v>
      </c>
      <c r="L3224" t="s">
        <v>9</v>
      </c>
      <c r="M3224" t="s">
        <v>6239</v>
      </c>
      <c r="N3224" t="s">
        <v>3</v>
      </c>
      <c r="O3224" t="s">
        <v>3</v>
      </c>
      <c r="P3224" t="s">
        <v>5</v>
      </c>
      <c r="Q3224" t="s">
        <v>6240</v>
      </c>
      <c r="R3224" t="s">
        <v>3</v>
      </c>
      <c r="S3224" t="s">
        <v>3</v>
      </c>
      <c r="T3224" t="s">
        <v>3</v>
      </c>
      <c r="U3224" t="s">
        <v>3</v>
      </c>
      <c r="V3224" t="s">
        <v>3</v>
      </c>
      <c r="W3224" t="s">
        <v>68</v>
      </c>
      <c r="X3224" s="17"/>
      <c r="Y3224" t="s">
        <v>3</v>
      </c>
      <c r="Z3224" s="17">
        <v>43964</v>
      </c>
      <c r="AA3224" t="s">
        <v>3</v>
      </c>
      <c r="AB3224" t="s">
        <v>6237</v>
      </c>
    </row>
    <row r="3225" spans="1:28" hidden="1">
      <c r="A3225" t="s">
        <v>6237</v>
      </c>
      <c r="B3225" s="17">
        <v>43964</v>
      </c>
      <c r="C3225" s="17">
        <v>43964</v>
      </c>
      <c r="D3225" t="s">
        <v>0</v>
      </c>
      <c r="E3225" t="s">
        <v>1</v>
      </c>
      <c r="F3225" s="18">
        <v>45861</v>
      </c>
      <c r="G3225" s="18">
        <v>45861</v>
      </c>
      <c r="H3225" t="s">
        <v>2</v>
      </c>
      <c r="I3225" t="s">
        <v>8</v>
      </c>
      <c r="J3225" s="18">
        <v>3850030.95</v>
      </c>
      <c r="K3225" t="s">
        <v>6245</v>
      </c>
      <c r="L3225" t="s">
        <v>9</v>
      </c>
      <c r="M3225" t="s">
        <v>6239</v>
      </c>
      <c r="N3225" t="s">
        <v>3</v>
      </c>
      <c r="O3225" t="s">
        <v>3</v>
      </c>
      <c r="P3225" t="s">
        <v>5</v>
      </c>
      <c r="Q3225" t="s">
        <v>6240</v>
      </c>
      <c r="R3225" t="s">
        <v>3</v>
      </c>
      <c r="S3225" t="s">
        <v>3</v>
      </c>
      <c r="T3225" t="s">
        <v>3</v>
      </c>
      <c r="U3225" t="s">
        <v>3</v>
      </c>
      <c r="V3225" t="s">
        <v>3</v>
      </c>
      <c r="W3225" t="s">
        <v>68</v>
      </c>
      <c r="X3225" s="17"/>
      <c r="Y3225" t="s">
        <v>3</v>
      </c>
      <c r="Z3225" s="17">
        <v>43964</v>
      </c>
      <c r="AA3225" t="s">
        <v>3</v>
      </c>
      <c r="AB3225" t="s">
        <v>6237</v>
      </c>
    </row>
    <row r="3226" spans="1:28" hidden="1">
      <c r="A3226" t="s">
        <v>6246</v>
      </c>
      <c r="B3226" s="17">
        <v>43965</v>
      </c>
      <c r="C3226" s="17">
        <v>43965</v>
      </c>
      <c r="D3226" t="s">
        <v>0</v>
      </c>
      <c r="E3226" t="s">
        <v>1</v>
      </c>
      <c r="F3226" s="18">
        <v>3793.14</v>
      </c>
      <c r="G3226" s="18">
        <v>3793.14</v>
      </c>
      <c r="H3226" t="s">
        <v>2</v>
      </c>
      <c r="I3226" t="s">
        <v>8</v>
      </c>
      <c r="J3226" s="18">
        <v>318434.09999999998</v>
      </c>
      <c r="K3226" t="s">
        <v>6147</v>
      </c>
      <c r="L3226" t="s">
        <v>4</v>
      </c>
      <c r="M3226" t="s">
        <v>6247</v>
      </c>
      <c r="N3226" t="s">
        <v>3</v>
      </c>
      <c r="O3226" t="s">
        <v>3</v>
      </c>
      <c r="P3226" t="s">
        <v>5</v>
      </c>
      <c r="Q3226" t="s">
        <v>6248</v>
      </c>
      <c r="R3226" t="s">
        <v>3</v>
      </c>
      <c r="S3226" t="s">
        <v>3</v>
      </c>
      <c r="T3226" t="s">
        <v>3</v>
      </c>
      <c r="U3226" t="s">
        <v>3</v>
      </c>
      <c r="V3226" t="s">
        <v>3</v>
      </c>
      <c r="W3226" t="s">
        <v>68</v>
      </c>
      <c r="X3226" s="17"/>
      <c r="Y3226" t="s">
        <v>3</v>
      </c>
      <c r="Z3226" s="17">
        <v>43965</v>
      </c>
      <c r="AA3226" t="s">
        <v>3</v>
      </c>
      <c r="AB3226" t="s">
        <v>6246</v>
      </c>
    </row>
    <row r="3227" spans="1:28" hidden="1">
      <c r="A3227" t="s">
        <v>6246</v>
      </c>
      <c r="B3227" s="17">
        <v>43965</v>
      </c>
      <c r="C3227" s="17">
        <v>43965</v>
      </c>
      <c r="D3227" t="s">
        <v>0</v>
      </c>
      <c r="E3227" t="s">
        <v>1</v>
      </c>
      <c r="F3227" s="18">
        <v>2813.25</v>
      </c>
      <c r="G3227" s="18">
        <v>2813.25</v>
      </c>
      <c r="H3227" t="s">
        <v>2</v>
      </c>
      <c r="I3227" t="s">
        <v>8</v>
      </c>
      <c r="J3227" s="18">
        <v>236172.34</v>
      </c>
      <c r="K3227" t="s">
        <v>6157</v>
      </c>
      <c r="L3227" t="s">
        <v>4</v>
      </c>
      <c r="M3227" t="s">
        <v>6247</v>
      </c>
      <c r="N3227" t="s">
        <v>3</v>
      </c>
      <c r="O3227" t="s">
        <v>3</v>
      </c>
      <c r="P3227" t="s">
        <v>5</v>
      </c>
      <c r="Q3227" t="s">
        <v>6248</v>
      </c>
      <c r="R3227" t="s">
        <v>3</v>
      </c>
      <c r="S3227" t="s">
        <v>3</v>
      </c>
      <c r="T3227" t="s">
        <v>3</v>
      </c>
      <c r="U3227" t="s">
        <v>3</v>
      </c>
      <c r="V3227" t="s">
        <v>3</v>
      </c>
      <c r="W3227" t="s">
        <v>68</v>
      </c>
      <c r="X3227" s="17"/>
      <c r="Y3227" t="s">
        <v>3</v>
      </c>
      <c r="Z3227" s="17">
        <v>43965</v>
      </c>
      <c r="AA3227" t="s">
        <v>3</v>
      </c>
      <c r="AB3227" t="s">
        <v>6246</v>
      </c>
    </row>
    <row r="3228" spans="1:28" hidden="1">
      <c r="A3228" t="s">
        <v>6246</v>
      </c>
      <c r="B3228" s="17">
        <v>43965</v>
      </c>
      <c r="C3228" s="17">
        <v>43965</v>
      </c>
      <c r="D3228" t="s">
        <v>0</v>
      </c>
      <c r="E3228" t="s">
        <v>1</v>
      </c>
      <c r="F3228" s="18">
        <v>20375.88</v>
      </c>
      <c r="G3228" s="18">
        <v>20375.88</v>
      </c>
      <c r="H3228" t="s">
        <v>2</v>
      </c>
      <c r="I3228" t="s">
        <v>8</v>
      </c>
      <c r="J3228" s="18">
        <v>1710555.13</v>
      </c>
      <c r="K3228" t="s">
        <v>6249</v>
      </c>
      <c r="L3228" t="s">
        <v>4</v>
      </c>
      <c r="M3228" t="s">
        <v>6247</v>
      </c>
      <c r="N3228" t="s">
        <v>3</v>
      </c>
      <c r="O3228" t="s">
        <v>3</v>
      </c>
      <c r="P3228" t="s">
        <v>5</v>
      </c>
      <c r="Q3228" t="s">
        <v>6248</v>
      </c>
      <c r="R3228" t="s">
        <v>3</v>
      </c>
      <c r="S3228" t="s">
        <v>3</v>
      </c>
      <c r="T3228" t="s">
        <v>3</v>
      </c>
      <c r="U3228" t="s">
        <v>3</v>
      </c>
      <c r="V3228" t="s">
        <v>3</v>
      </c>
      <c r="W3228" t="s">
        <v>68</v>
      </c>
      <c r="X3228" s="17"/>
      <c r="Y3228" t="s">
        <v>3</v>
      </c>
      <c r="Z3228" s="17">
        <v>43965</v>
      </c>
      <c r="AA3228" t="s">
        <v>3</v>
      </c>
      <c r="AB3228" t="s">
        <v>6246</v>
      </c>
    </row>
    <row r="3229" spans="1:28" hidden="1">
      <c r="A3229" t="s">
        <v>6246</v>
      </c>
      <c r="B3229" s="17">
        <v>43965</v>
      </c>
      <c r="C3229" s="17">
        <v>43965</v>
      </c>
      <c r="D3229" t="s">
        <v>0</v>
      </c>
      <c r="E3229" t="s">
        <v>1</v>
      </c>
      <c r="F3229" s="18">
        <v>595.1</v>
      </c>
      <c r="G3229" s="18">
        <v>595.1</v>
      </c>
      <c r="H3229" t="s">
        <v>2</v>
      </c>
      <c r="I3229" t="s">
        <v>8</v>
      </c>
      <c r="J3229" s="18">
        <v>49958.65</v>
      </c>
      <c r="K3229" t="s">
        <v>6159</v>
      </c>
      <c r="L3229" t="s">
        <v>4</v>
      </c>
      <c r="M3229" t="s">
        <v>6247</v>
      </c>
      <c r="N3229" t="s">
        <v>3</v>
      </c>
      <c r="O3229" t="s">
        <v>3</v>
      </c>
      <c r="P3229" t="s">
        <v>5</v>
      </c>
      <c r="Q3229" t="s">
        <v>6248</v>
      </c>
      <c r="R3229" t="s">
        <v>3</v>
      </c>
      <c r="S3229" t="s">
        <v>3</v>
      </c>
      <c r="T3229" t="s">
        <v>3</v>
      </c>
      <c r="U3229" t="s">
        <v>3</v>
      </c>
      <c r="V3229" t="s">
        <v>3</v>
      </c>
      <c r="W3229" t="s">
        <v>68</v>
      </c>
      <c r="X3229" s="17"/>
      <c r="Y3229" t="s">
        <v>3</v>
      </c>
      <c r="Z3229" s="17">
        <v>43965</v>
      </c>
      <c r="AA3229" t="s">
        <v>3</v>
      </c>
      <c r="AB3229" t="s">
        <v>6246</v>
      </c>
    </row>
    <row r="3230" spans="1:28" hidden="1">
      <c r="A3230" t="s">
        <v>6246</v>
      </c>
      <c r="B3230" s="17">
        <v>43965</v>
      </c>
      <c r="C3230" s="17">
        <v>43965</v>
      </c>
      <c r="D3230" t="s">
        <v>0</v>
      </c>
      <c r="E3230" t="s">
        <v>1</v>
      </c>
      <c r="F3230" s="18">
        <v>1579.38</v>
      </c>
      <c r="G3230" s="18">
        <v>1579.38</v>
      </c>
      <c r="H3230" t="s">
        <v>2</v>
      </c>
      <c r="I3230" t="s">
        <v>8</v>
      </c>
      <c r="J3230" s="18">
        <v>132588.95000000001</v>
      </c>
      <c r="K3230" t="s">
        <v>6151</v>
      </c>
      <c r="L3230" t="s">
        <v>4</v>
      </c>
      <c r="M3230" t="s">
        <v>6247</v>
      </c>
      <c r="N3230" t="s">
        <v>3</v>
      </c>
      <c r="O3230" t="s">
        <v>3</v>
      </c>
      <c r="P3230" t="s">
        <v>5</v>
      </c>
      <c r="Q3230" t="s">
        <v>6248</v>
      </c>
      <c r="R3230" t="s">
        <v>3</v>
      </c>
      <c r="S3230" t="s">
        <v>3</v>
      </c>
      <c r="T3230" t="s">
        <v>3</v>
      </c>
      <c r="U3230" t="s">
        <v>3</v>
      </c>
      <c r="V3230" t="s">
        <v>3</v>
      </c>
      <c r="W3230" t="s">
        <v>68</v>
      </c>
      <c r="X3230" s="17"/>
      <c r="Y3230" t="s">
        <v>3</v>
      </c>
      <c r="Z3230" s="17">
        <v>43965</v>
      </c>
      <c r="AA3230" t="s">
        <v>3</v>
      </c>
      <c r="AB3230" t="s">
        <v>6246</v>
      </c>
    </row>
    <row r="3231" spans="1:28" hidden="1">
      <c r="A3231" t="s">
        <v>6250</v>
      </c>
      <c r="B3231" s="17">
        <v>43965</v>
      </c>
      <c r="C3231" s="17">
        <v>43965</v>
      </c>
      <c r="D3231" t="s">
        <v>0</v>
      </c>
      <c r="E3231" t="s">
        <v>1</v>
      </c>
      <c r="F3231" s="18">
        <v>42688</v>
      </c>
      <c r="G3231" s="18">
        <v>42688</v>
      </c>
      <c r="H3231" t="s">
        <v>2</v>
      </c>
      <c r="I3231" t="s">
        <v>8</v>
      </c>
      <c r="J3231" s="18">
        <v>3583657.6</v>
      </c>
      <c r="K3231" t="s">
        <v>6242</v>
      </c>
      <c r="L3231" t="s">
        <v>9</v>
      </c>
      <c r="M3231" t="s">
        <v>6251</v>
      </c>
      <c r="N3231" t="s">
        <v>3</v>
      </c>
      <c r="O3231" t="s">
        <v>3</v>
      </c>
      <c r="P3231" t="s">
        <v>5</v>
      </c>
      <c r="Q3231" t="s">
        <v>6252</v>
      </c>
      <c r="R3231" t="s">
        <v>3</v>
      </c>
      <c r="S3231" t="s">
        <v>3</v>
      </c>
      <c r="T3231" t="s">
        <v>3</v>
      </c>
      <c r="U3231" t="s">
        <v>3</v>
      </c>
      <c r="V3231" t="s">
        <v>3</v>
      </c>
      <c r="W3231" t="s">
        <v>68</v>
      </c>
      <c r="X3231" s="17"/>
      <c r="Y3231" t="s">
        <v>3</v>
      </c>
      <c r="Z3231" s="17">
        <v>43965</v>
      </c>
      <c r="AA3231" t="s">
        <v>3</v>
      </c>
      <c r="AB3231" t="s">
        <v>6250</v>
      </c>
    </row>
    <row r="3232" spans="1:28" hidden="1">
      <c r="A3232" t="s">
        <v>6250</v>
      </c>
      <c r="B3232" s="17">
        <v>43965</v>
      </c>
      <c r="C3232" s="17">
        <v>43965</v>
      </c>
      <c r="D3232" t="s">
        <v>0</v>
      </c>
      <c r="E3232" t="s">
        <v>1</v>
      </c>
      <c r="F3232" s="18">
        <v>52201</v>
      </c>
      <c r="G3232" s="18">
        <v>52201</v>
      </c>
      <c r="H3232" t="s">
        <v>2</v>
      </c>
      <c r="I3232" t="s">
        <v>8</v>
      </c>
      <c r="J3232" s="18">
        <v>4382273.95</v>
      </c>
      <c r="K3232" t="s">
        <v>6253</v>
      </c>
      <c r="L3232" t="s">
        <v>9</v>
      </c>
      <c r="M3232" t="s">
        <v>6251</v>
      </c>
      <c r="N3232" t="s">
        <v>3</v>
      </c>
      <c r="O3232" t="s">
        <v>3</v>
      </c>
      <c r="P3232" t="s">
        <v>5</v>
      </c>
      <c r="Q3232" t="s">
        <v>6252</v>
      </c>
      <c r="R3232" t="s">
        <v>3</v>
      </c>
      <c r="S3232" t="s">
        <v>3</v>
      </c>
      <c r="T3232" t="s">
        <v>3</v>
      </c>
      <c r="U3232" t="s">
        <v>3</v>
      </c>
      <c r="V3232" t="s">
        <v>3</v>
      </c>
      <c r="W3232" t="s">
        <v>68</v>
      </c>
      <c r="X3232" s="17"/>
      <c r="Y3232" t="s">
        <v>3</v>
      </c>
      <c r="Z3232" s="17">
        <v>43965</v>
      </c>
      <c r="AA3232" t="s">
        <v>3</v>
      </c>
      <c r="AB3232" t="s">
        <v>6250</v>
      </c>
    </row>
    <row r="3233" spans="1:28" hidden="1">
      <c r="A3233" t="s">
        <v>6250</v>
      </c>
      <c r="B3233" s="17">
        <v>43965</v>
      </c>
      <c r="C3233" s="17">
        <v>43965</v>
      </c>
      <c r="D3233" t="s">
        <v>0</v>
      </c>
      <c r="E3233" t="s">
        <v>1</v>
      </c>
      <c r="F3233" s="18">
        <v>61032</v>
      </c>
      <c r="G3233" s="18">
        <v>61032</v>
      </c>
      <c r="H3233" t="s">
        <v>2</v>
      </c>
      <c r="I3233" t="s">
        <v>8</v>
      </c>
      <c r="J3233" s="18">
        <v>5123636.4000000004</v>
      </c>
      <c r="K3233" t="s">
        <v>6254</v>
      </c>
      <c r="L3233" t="s">
        <v>9</v>
      </c>
      <c r="M3233" t="s">
        <v>6251</v>
      </c>
      <c r="N3233" t="s">
        <v>3</v>
      </c>
      <c r="O3233" t="s">
        <v>3</v>
      </c>
      <c r="P3233" t="s">
        <v>5</v>
      </c>
      <c r="Q3233" t="s">
        <v>6252</v>
      </c>
      <c r="R3233" t="s">
        <v>3</v>
      </c>
      <c r="S3233" t="s">
        <v>3</v>
      </c>
      <c r="T3233" t="s">
        <v>3</v>
      </c>
      <c r="U3233" t="s">
        <v>3</v>
      </c>
      <c r="V3233" t="s">
        <v>3</v>
      </c>
      <c r="W3233" t="s">
        <v>68</v>
      </c>
      <c r="X3233" s="17"/>
      <c r="Y3233" t="s">
        <v>3</v>
      </c>
      <c r="Z3233" s="17">
        <v>43965</v>
      </c>
      <c r="AA3233" t="s">
        <v>3</v>
      </c>
      <c r="AB3233" t="s">
        <v>6250</v>
      </c>
    </row>
    <row r="3234" spans="1:28" hidden="1">
      <c r="A3234" t="s">
        <v>6255</v>
      </c>
      <c r="B3234" s="17">
        <v>43969</v>
      </c>
      <c r="C3234" s="17">
        <v>43969</v>
      </c>
      <c r="D3234" t="s">
        <v>0</v>
      </c>
      <c r="E3234" t="s">
        <v>1</v>
      </c>
      <c r="F3234" s="18">
        <v>35982</v>
      </c>
      <c r="G3234" s="18">
        <v>35982</v>
      </c>
      <c r="H3234" t="s">
        <v>2</v>
      </c>
      <c r="I3234" t="s">
        <v>8</v>
      </c>
      <c r="J3234" s="18">
        <v>3020688.9</v>
      </c>
      <c r="K3234" t="s">
        <v>6256</v>
      </c>
      <c r="L3234" t="s">
        <v>9</v>
      </c>
      <c r="M3234" t="s">
        <v>6257</v>
      </c>
      <c r="N3234" t="s">
        <v>3</v>
      </c>
      <c r="O3234" t="s">
        <v>3</v>
      </c>
      <c r="P3234" t="s">
        <v>5</v>
      </c>
      <c r="Q3234" t="s">
        <v>6258</v>
      </c>
      <c r="R3234" t="s">
        <v>3</v>
      </c>
      <c r="S3234" t="s">
        <v>3</v>
      </c>
      <c r="T3234" t="s">
        <v>3</v>
      </c>
      <c r="U3234" t="s">
        <v>3</v>
      </c>
      <c r="V3234" t="s">
        <v>3</v>
      </c>
      <c r="W3234" t="s">
        <v>68</v>
      </c>
      <c r="X3234" s="17"/>
      <c r="Y3234" t="s">
        <v>3</v>
      </c>
      <c r="Z3234" s="17">
        <v>43969</v>
      </c>
      <c r="AA3234" t="s">
        <v>3</v>
      </c>
      <c r="AB3234" t="s">
        <v>6255</v>
      </c>
    </row>
    <row r="3235" spans="1:28" hidden="1">
      <c r="A3235" t="s">
        <v>6259</v>
      </c>
      <c r="B3235" s="17">
        <v>43969</v>
      </c>
      <c r="C3235" s="17">
        <v>43969</v>
      </c>
      <c r="D3235" t="s">
        <v>0</v>
      </c>
      <c r="E3235" t="s">
        <v>1</v>
      </c>
      <c r="F3235" s="18">
        <v>-345389</v>
      </c>
      <c r="G3235" s="18">
        <v>-345389</v>
      </c>
      <c r="H3235" t="s">
        <v>2</v>
      </c>
      <c r="I3235" t="s">
        <v>8</v>
      </c>
      <c r="J3235" s="18">
        <v>-28995406.550000001</v>
      </c>
      <c r="K3235" t="s">
        <v>6260</v>
      </c>
      <c r="L3235" t="s">
        <v>9</v>
      </c>
      <c r="M3235" t="s">
        <v>6261</v>
      </c>
      <c r="N3235" t="s">
        <v>3</v>
      </c>
      <c r="O3235" t="s">
        <v>3</v>
      </c>
      <c r="P3235" t="s">
        <v>5</v>
      </c>
      <c r="Q3235" t="s">
        <v>6262</v>
      </c>
      <c r="R3235" t="s">
        <v>3</v>
      </c>
      <c r="S3235" t="s">
        <v>3</v>
      </c>
      <c r="T3235" t="s">
        <v>3</v>
      </c>
      <c r="U3235" t="s">
        <v>3</v>
      </c>
      <c r="V3235" t="s">
        <v>3</v>
      </c>
      <c r="W3235" t="s">
        <v>68</v>
      </c>
      <c r="X3235" s="17"/>
      <c r="Y3235" t="s">
        <v>3</v>
      </c>
      <c r="Z3235" s="17">
        <v>43969</v>
      </c>
      <c r="AA3235" t="s">
        <v>3</v>
      </c>
      <c r="AB3235" t="s">
        <v>6259</v>
      </c>
    </row>
    <row r="3236" spans="1:28" hidden="1">
      <c r="A3236" t="s">
        <v>6263</v>
      </c>
      <c r="B3236" s="17">
        <v>43970</v>
      </c>
      <c r="C3236" s="17">
        <v>43970</v>
      </c>
      <c r="D3236" t="s">
        <v>0</v>
      </c>
      <c r="E3236" t="s">
        <v>1</v>
      </c>
      <c r="F3236" s="18">
        <v>-57170</v>
      </c>
      <c r="G3236" s="18">
        <v>-57170</v>
      </c>
      <c r="H3236" t="s">
        <v>2</v>
      </c>
      <c r="I3236" t="s">
        <v>10</v>
      </c>
      <c r="J3236" s="18">
        <v>-4799421.51</v>
      </c>
      <c r="K3236" t="s">
        <v>6264</v>
      </c>
      <c r="L3236" t="s">
        <v>4</v>
      </c>
      <c r="M3236" t="s">
        <v>6265</v>
      </c>
      <c r="N3236" t="s">
        <v>3</v>
      </c>
      <c r="O3236" t="s">
        <v>3</v>
      </c>
      <c r="P3236" t="s">
        <v>5</v>
      </c>
      <c r="Q3236" t="s">
        <v>6266</v>
      </c>
      <c r="R3236" t="s">
        <v>3</v>
      </c>
      <c r="S3236" t="s">
        <v>3</v>
      </c>
      <c r="T3236" t="s">
        <v>3</v>
      </c>
      <c r="U3236" t="s">
        <v>3</v>
      </c>
      <c r="V3236" t="s">
        <v>3</v>
      </c>
      <c r="W3236" t="s">
        <v>68</v>
      </c>
      <c r="X3236" s="17"/>
      <c r="Y3236" t="s">
        <v>3</v>
      </c>
      <c r="Z3236" s="17">
        <v>43970</v>
      </c>
      <c r="AA3236" t="s">
        <v>3</v>
      </c>
      <c r="AB3236" t="s">
        <v>6263</v>
      </c>
    </row>
    <row r="3237" spans="1:28" hidden="1">
      <c r="A3237" t="s">
        <v>6267</v>
      </c>
      <c r="B3237" s="17">
        <v>43970</v>
      </c>
      <c r="C3237" s="17">
        <v>43970</v>
      </c>
      <c r="D3237" t="s">
        <v>0</v>
      </c>
      <c r="E3237" t="s">
        <v>1</v>
      </c>
      <c r="F3237" s="18">
        <v>113938</v>
      </c>
      <c r="G3237" s="18">
        <v>113938</v>
      </c>
      <c r="H3237" t="s">
        <v>2</v>
      </c>
      <c r="I3237" t="s">
        <v>8</v>
      </c>
      <c r="J3237" s="18">
        <v>9565095.0999999996</v>
      </c>
      <c r="K3237" t="s">
        <v>6268</v>
      </c>
      <c r="L3237" t="s">
        <v>9</v>
      </c>
      <c r="M3237" t="s">
        <v>6269</v>
      </c>
      <c r="N3237" t="s">
        <v>3</v>
      </c>
      <c r="O3237" t="s">
        <v>3</v>
      </c>
      <c r="P3237" t="s">
        <v>5</v>
      </c>
      <c r="Q3237" t="s">
        <v>6270</v>
      </c>
      <c r="R3237" t="s">
        <v>3</v>
      </c>
      <c r="S3237" t="s">
        <v>3</v>
      </c>
      <c r="T3237" t="s">
        <v>3</v>
      </c>
      <c r="U3237" t="s">
        <v>3</v>
      </c>
      <c r="V3237" t="s">
        <v>3</v>
      </c>
      <c r="W3237" t="s">
        <v>68</v>
      </c>
      <c r="X3237" s="17"/>
      <c r="Y3237" t="s">
        <v>3</v>
      </c>
      <c r="Z3237" s="17">
        <v>43970</v>
      </c>
      <c r="AA3237" t="s">
        <v>3</v>
      </c>
      <c r="AB3237" t="s">
        <v>6267</v>
      </c>
    </row>
    <row r="3238" spans="1:28" hidden="1">
      <c r="A3238" t="s">
        <v>6267</v>
      </c>
      <c r="B3238" s="17">
        <v>43970</v>
      </c>
      <c r="C3238" s="17">
        <v>43970</v>
      </c>
      <c r="D3238" t="s">
        <v>0</v>
      </c>
      <c r="E3238" t="s">
        <v>1</v>
      </c>
      <c r="F3238" s="18">
        <v>12149</v>
      </c>
      <c r="G3238" s="18">
        <v>12149</v>
      </c>
      <c r="H3238" t="s">
        <v>2</v>
      </c>
      <c r="I3238" t="s">
        <v>8</v>
      </c>
      <c r="J3238" s="18">
        <v>1019908.55</v>
      </c>
      <c r="K3238" t="s">
        <v>6271</v>
      </c>
      <c r="L3238" t="s">
        <v>9</v>
      </c>
      <c r="M3238" t="s">
        <v>6269</v>
      </c>
      <c r="N3238" t="s">
        <v>3</v>
      </c>
      <c r="O3238" t="s">
        <v>3</v>
      </c>
      <c r="P3238" t="s">
        <v>5</v>
      </c>
      <c r="Q3238" t="s">
        <v>6270</v>
      </c>
      <c r="R3238" t="s">
        <v>3</v>
      </c>
      <c r="S3238" t="s">
        <v>3</v>
      </c>
      <c r="T3238" t="s">
        <v>3</v>
      </c>
      <c r="U3238" t="s">
        <v>3</v>
      </c>
      <c r="V3238" t="s">
        <v>3</v>
      </c>
      <c r="W3238" t="s">
        <v>68</v>
      </c>
      <c r="X3238" s="17"/>
      <c r="Y3238" t="s">
        <v>3</v>
      </c>
      <c r="Z3238" s="17">
        <v>43970</v>
      </c>
      <c r="AA3238" t="s">
        <v>3</v>
      </c>
      <c r="AB3238" t="s">
        <v>6267</v>
      </c>
    </row>
    <row r="3239" spans="1:28" hidden="1">
      <c r="A3239" t="s">
        <v>6267</v>
      </c>
      <c r="B3239" s="17">
        <v>43970</v>
      </c>
      <c r="C3239" s="17">
        <v>43970</v>
      </c>
      <c r="D3239" t="s">
        <v>0</v>
      </c>
      <c r="E3239" t="s">
        <v>1</v>
      </c>
      <c r="F3239" s="18">
        <v>15042</v>
      </c>
      <c r="G3239" s="18">
        <v>15042</v>
      </c>
      <c r="H3239" t="s">
        <v>2</v>
      </c>
      <c r="I3239" t="s">
        <v>8</v>
      </c>
      <c r="J3239" s="18">
        <v>1262775.8999999999</v>
      </c>
      <c r="K3239" t="s">
        <v>6272</v>
      </c>
      <c r="L3239" t="s">
        <v>9</v>
      </c>
      <c r="M3239" t="s">
        <v>6269</v>
      </c>
      <c r="N3239" t="s">
        <v>3</v>
      </c>
      <c r="O3239" t="s">
        <v>3</v>
      </c>
      <c r="P3239" t="s">
        <v>5</v>
      </c>
      <c r="Q3239" t="s">
        <v>6270</v>
      </c>
      <c r="R3239" t="s">
        <v>3</v>
      </c>
      <c r="S3239" t="s">
        <v>3</v>
      </c>
      <c r="T3239" t="s">
        <v>3</v>
      </c>
      <c r="U3239" t="s">
        <v>3</v>
      </c>
      <c r="V3239" t="s">
        <v>3</v>
      </c>
      <c r="W3239" t="s">
        <v>68</v>
      </c>
      <c r="X3239" s="17"/>
      <c r="Y3239" t="s">
        <v>3</v>
      </c>
      <c r="Z3239" s="17">
        <v>43970</v>
      </c>
      <c r="AA3239" t="s">
        <v>3</v>
      </c>
      <c r="AB3239" t="s">
        <v>6267</v>
      </c>
    </row>
    <row r="3240" spans="1:28" hidden="1">
      <c r="A3240" t="s">
        <v>6273</v>
      </c>
      <c r="B3240" s="17">
        <v>43971</v>
      </c>
      <c r="C3240" s="17">
        <v>43971</v>
      </c>
      <c r="D3240" t="s">
        <v>0</v>
      </c>
      <c r="E3240" t="s">
        <v>1</v>
      </c>
      <c r="F3240" s="18">
        <v>88948</v>
      </c>
      <c r="G3240" s="18">
        <v>88948</v>
      </c>
      <c r="H3240" t="s">
        <v>2</v>
      </c>
      <c r="I3240" t="s">
        <v>8</v>
      </c>
      <c r="J3240" s="18">
        <v>7467184.5999999996</v>
      </c>
      <c r="K3240" t="s">
        <v>6268</v>
      </c>
      <c r="L3240" t="s">
        <v>9</v>
      </c>
      <c r="M3240" t="s">
        <v>6274</v>
      </c>
      <c r="N3240" t="s">
        <v>3</v>
      </c>
      <c r="O3240" t="s">
        <v>3</v>
      </c>
      <c r="P3240" t="s">
        <v>5</v>
      </c>
      <c r="Q3240" t="s">
        <v>6275</v>
      </c>
      <c r="R3240" t="s">
        <v>3</v>
      </c>
      <c r="S3240" t="s">
        <v>3</v>
      </c>
      <c r="T3240" t="s">
        <v>3</v>
      </c>
      <c r="U3240" t="s">
        <v>3</v>
      </c>
      <c r="V3240" t="s">
        <v>3</v>
      </c>
      <c r="W3240" t="s">
        <v>68</v>
      </c>
      <c r="X3240" s="17"/>
      <c r="Y3240" t="s">
        <v>3</v>
      </c>
      <c r="Z3240" s="17">
        <v>43971</v>
      </c>
      <c r="AA3240" t="s">
        <v>3</v>
      </c>
      <c r="AB3240" t="s">
        <v>6273</v>
      </c>
    </row>
    <row r="3241" spans="1:28" hidden="1">
      <c r="A3241" t="s">
        <v>6273</v>
      </c>
      <c r="B3241" s="17">
        <v>43971</v>
      </c>
      <c r="C3241" s="17">
        <v>43971</v>
      </c>
      <c r="D3241" t="s">
        <v>0</v>
      </c>
      <c r="E3241" t="s">
        <v>1</v>
      </c>
      <c r="F3241" s="18">
        <v>34706</v>
      </c>
      <c r="G3241" s="18">
        <v>34706</v>
      </c>
      <c r="H3241" t="s">
        <v>2</v>
      </c>
      <c r="I3241" t="s">
        <v>8</v>
      </c>
      <c r="J3241" s="18">
        <v>2913568.7</v>
      </c>
      <c r="K3241" t="s">
        <v>6276</v>
      </c>
      <c r="L3241" t="s">
        <v>9</v>
      </c>
      <c r="M3241" t="s">
        <v>6274</v>
      </c>
      <c r="N3241" t="s">
        <v>3</v>
      </c>
      <c r="O3241" t="s">
        <v>3</v>
      </c>
      <c r="P3241" t="s">
        <v>5</v>
      </c>
      <c r="Q3241" t="s">
        <v>6275</v>
      </c>
      <c r="R3241" t="s">
        <v>3</v>
      </c>
      <c r="S3241" t="s">
        <v>3</v>
      </c>
      <c r="T3241" t="s">
        <v>3</v>
      </c>
      <c r="U3241" t="s">
        <v>3</v>
      </c>
      <c r="V3241" t="s">
        <v>3</v>
      </c>
      <c r="W3241" t="s">
        <v>68</v>
      </c>
      <c r="X3241" s="17"/>
      <c r="Y3241" t="s">
        <v>3</v>
      </c>
      <c r="Z3241" s="17">
        <v>43971</v>
      </c>
      <c r="AA3241" t="s">
        <v>3</v>
      </c>
      <c r="AB3241" t="s">
        <v>6273</v>
      </c>
    </row>
    <row r="3242" spans="1:28" hidden="1">
      <c r="A3242" t="s">
        <v>6273</v>
      </c>
      <c r="B3242" s="17">
        <v>43971</v>
      </c>
      <c r="C3242" s="17">
        <v>43971</v>
      </c>
      <c r="D3242" t="s">
        <v>0</v>
      </c>
      <c r="E3242" t="s">
        <v>1</v>
      </c>
      <c r="F3242" s="18">
        <v>48261</v>
      </c>
      <c r="G3242" s="18">
        <v>48261</v>
      </c>
      <c r="H3242" t="s">
        <v>2</v>
      </c>
      <c r="I3242" t="s">
        <v>8</v>
      </c>
      <c r="J3242" s="18">
        <v>4051510.95</v>
      </c>
      <c r="K3242" t="s">
        <v>6277</v>
      </c>
      <c r="L3242" t="s">
        <v>9</v>
      </c>
      <c r="M3242" t="s">
        <v>6274</v>
      </c>
      <c r="N3242" t="s">
        <v>3</v>
      </c>
      <c r="O3242" t="s">
        <v>3</v>
      </c>
      <c r="P3242" t="s">
        <v>5</v>
      </c>
      <c r="Q3242" t="s">
        <v>6275</v>
      </c>
      <c r="R3242" t="s">
        <v>3</v>
      </c>
      <c r="S3242" t="s">
        <v>3</v>
      </c>
      <c r="T3242" t="s">
        <v>3</v>
      </c>
      <c r="U3242" t="s">
        <v>3</v>
      </c>
      <c r="V3242" t="s">
        <v>3</v>
      </c>
      <c r="W3242" t="s">
        <v>68</v>
      </c>
      <c r="X3242" s="17"/>
      <c r="Y3242" t="s">
        <v>3</v>
      </c>
      <c r="Z3242" s="17">
        <v>43971</v>
      </c>
      <c r="AA3242" t="s">
        <v>3</v>
      </c>
      <c r="AB3242" t="s">
        <v>6273</v>
      </c>
    </row>
    <row r="3243" spans="1:28" hidden="1">
      <c r="A3243" t="s">
        <v>6273</v>
      </c>
      <c r="B3243" s="17">
        <v>43971</v>
      </c>
      <c r="C3243" s="17">
        <v>43971</v>
      </c>
      <c r="D3243" t="s">
        <v>0</v>
      </c>
      <c r="E3243" t="s">
        <v>1</v>
      </c>
      <c r="F3243" s="18">
        <v>32717</v>
      </c>
      <c r="G3243" s="18">
        <v>32717</v>
      </c>
      <c r="H3243" t="s">
        <v>2</v>
      </c>
      <c r="I3243" t="s">
        <v>8</v>
      </c>
      <c r="J3243" s="18">
        <v>2746592.15</v>
      </c>
      <c r="K3243" t="s">
        <v>6256</v>
      </c>
      <c r="L3243" t="s">
        <v>9</v>
      </c>
      <c r="M3243" t="s">
        <v>6274</v>
      </c>
      <c r="N3243" t="s">
        <v>3</v>
      </c>
      <c r="O3243" t="s">
        <v>3</v>
      </c>
      <c r="P3243" t="s">
        <v>5</v>
      </c>
      <c r="Q3243" t="s">
        <v>6275</v>
      </c>
      <c r="R3243" t="s">
        <v>3</v>
      </c>
      <c r="S3243" t="s">
        <v>3</v>
      </c>
      <c r="T3243" t="s">
        <v>3</v>
      </c>
      <c r="U3243" t="s">
        <v>3</v>
      </c>
      <c r="V3243" t="s">
        <v>3</v>
      </c>
      <c r="W3243" t="s">
        <v>68</v>
      </c>
      <c r="X3243" s="17"/>
      <c r="Y3243" t="s">
        <v>3</v>
      </c>
      <c r="Z3243" s="17">
        <v>43971</v>
      </c>
      <c r="AA3243" t="s">
        <v>3</v>
      </c>
      <c r="AB3243" t="s">
        <v>6273</v>
      </c>
    </row>
    <row r="3244" spans="1:28" hidden="1">
      <c r="A3244" t="s">
        <v>6278</v>
      </c>
      <c r="B3244" s="17">
        <v>43978</v>
      </c>
      <c r="C3244" s="17">
        <v>43978</v>
      </c>
      <c r="D3244" t="s">
        <v>0</v>
      </c>
      <c r="E3244" t="s">
        <v>1</v>
      </c>
      <c r="F3244" s="18">
        <v>-16975</v>
      </c>
      <c r="G3244" s="18">
        <v>-16975</v>
      </c>
      <c r="H3244" t="s">
        <v>2</v>
      </c>
      <c r="I3244" t="s">
        <v>8</v>
      </c>
      <c r="J3244" s="18">
        <v>-1425051.25</v>
      </c>
      <c r="K3244" t="s">
        <v>6279</v>
      </c>
      <c r="L3244" t="s">
        <v>4</v>
      </c>
      <c r="M3244" t="s">
        <v>6280</v>
      </c>
      <c r="N3244" t="s">
        <v>3</v>
      </c>
      <c r="O3244" t="s">
        <v>3</v>
      </c>
      <c r="P3244" t="s">
        <v>5</v>
      </c>
      <c r="Q3244" t="s">
        <v>6281</v>
      </c>
      <c r="R3244" t="s">
        <v>3</v>
      </c>
      <c r="S3244" t="s">
        <v>3</v>
      </c>
      <c r="T3244" t="s">
        <v>3</v>
      </c>
      <c r="U3244" t="s">
        <v>3</v>
      </c>
      <c r="V3244" t="s">
        <v>3</v>
      </c>
      <c r="W3244" t="s">
        <v>68</v>
      </c>
      <c r="X3244" s="17"/>
      <c r="Y3244" t="s">
        <v>3</v>
      </c>
      <c r="Z3244" s="17">
        <v>43978</v>
      </c>
      <c r="AA3244" t="s">
        <v>3</v>
      </c>
      <c r="AB3244" t="s">
        <v>6278</v>
      </c>
    </row>
    <row r="3245" spans="1:28" hidden="1">
      <c r="A3245" t="s">
        <v>6282</v>
      </c>
      <c r="B3245" s="17">
        <v>43982</v>
      </c>
      <c r="C3245" s="17">
        <v>43982</v>
      </c>
      <c r="D3245" t="s">
        <v>0</v>
      </c>
      <c r="E3245" t="s">
        <v>1</v>
      </c>
      <c r="F3245" s="18">
        <v>79884.03</v>
      </c>
      <c r="G3245" s="18">
        <v>79884.03</v>
      </c>
      <c r="H3245" t="s">
        <v>2</v>
      </c>
      <c r="I3245" t="s">
        <v>8</v>
      </c>
      <c r="J3245" s="18">
        <v>6706264.3200000003</v>
      </c>
      <c r="K3245" t="s">
        <v>4473</v>
      </c>
      <c r="L3245" t="s">
        <v>4</v>
      </c>
      <c r="M3245" t="s">
        <v>4474</v>
      </c>
      <c r="N3245" t="s">
        <v>3</v>
      </c>
      <c r="O3245" t="s">
        <v>3</v>
      </c>
      <c r="P3245" t="s">
        <v>5</v>
      </c>
      <c r="Q3245" t="s">
        <v>4473</v>
      </c>
      <c r="R3245" t="s">
        <v>3</v>
      </c>
      <c r="S3245" t="s">
        <v>3</v>
      </c>
      <c r="T3245" t="s">
        <v>3</v>
      </c>
      <c r="U3245" t="s">
        <v>3</v>
      </c>
      <c r="V3245" t="s">
        <v>3</v>
      </c>
      <c r="W3245" t="s">
        <v>68</v>
      </c>
      <c r="X3245" s="17">
        <v>43983</v>
      </c>
      <c r="Y3245" t="s">
        <v>4472</v>
      </c>
      <c r="Z3245" s="17">
        <v>43982</v>
      </c>
      <c r="AA3245" t="s">
        <v>3</v>
      </c>
      <c r="AB3245" t="s">
        <v>6282</v>
      </c>
    </row>
    <row r="3246" spans="1:28" hidden="1">
      <c r="A3246" t="s">
        <v>6283</v>
      </c>
      <c r="B3246" s="17">
        <v>43982</v>
      </c>
      <c r="C3246" s="17">
        <v>43982</v>
      </c>
      <c r="D3246" t="s">
        <v>0</v>
      </c>
      <c r="E3246" t="s">
        <v>1</v>
      </c>
      <c r="F3246" s="18">
        <v>-736646</v>
      </c>
      <c r="G3246" s="18">
        <v>-736646</v>
      </c>
      <c r="H3246" t="s">
        <v>2</v>
      </c>
      <c r="I3246" t="s">
        <v>8</v>
      </c>
      <c r="J3246" s="18">
        <v>-61841431.700000003</v>
      </c>
      <c r="K3246" t="s">
        <v>4469</v>
      </c>
      <c r="L3246" t="s">
        <v>2332</v>
      </c>
      <c r="M3246" t="s">
        <v>4470</v>
      </c>
      <c r="N3246" t="s">
        <v>3</v>
      </c>
      <c r="O3246" t="s">
        <v>3</v>
      </c>
      <c r="P3246" t="s">
        <v>5</v>
      </c>
      <c r="Q3246" t="s">
        <v>4471</v>
      </c>
      <c r="R3246" t="s">
        <v>3</v>
      </c>
      <c r="S3246" t="s">
        <v>3</v>
      </c>
      <c r="T3246" t="s">
        <v>3</v>
      </c>
      <c r="U3246" t="s">
        <v>3</v>
      </c>
      <c r="V3246" t="s">
        <v>3</v>
      </c>
      <c r="W3246" t="s">
        <v>68</v>
      </c>
      <c r="X3246" s="17">
        <v>43983</v>
      </c>
      <c r="Y3246" t="s">
        <v>4468</v>
      </c>
      <c r="Z3246" s="17">
        <v>44012</v>
      </c>
      <c r="AA3246" t="s">
        <v>3</v>
      </c>
      <c r="AB3246" t="s">
        <v>6283</v>
      </c>
    </row>
    <row r="3247" spans="1:28" hidden="1">
      <c r="A3247" t="s">
        <v>6283</v>
      </c>
      <c r="B3247" s="17">
        <v>43982</v>
      </c>
      <c r="C3247" s="17">
        <v>43982</v>
      </c>
      <c r="D3247" t="s">
        <v>0</v>
      </c>
      <c r="E3247" t="s">
        <v>1</v>
      </c>
      <c r="F3247" s="18">
        <v>546437</v>
      </c>
      <c r="G3247" s="18">
        <v>546437</v>
      </c>
      <c r="H3247" t="s">
        <v>2</v>
      </c>
      <c r="I3247" t="s">
        <v>8</v>
      </c>
      <c r="J3247" s="18">
        <v>45873386.149999999</v>
      </c>
      <c r="K3247" t="s">
        <v>4469</v>
      </c>
      <c r="L3247" t="s">
        <v>9</v>
      </c>
      <c r="M3247" t="s">
        <v>4470</v>
      </c>
      <c r="N3247" t="s">
        <v>3</v>
      </c>
      <c r="O3247" t="s">
        <v>3</v>
      </c>
      <c r="P3247" t="s">
        <v>5</v>
      </c>
      <c r="Q3247" t="s">
        <v>4471</v>
      </c>
      <c r="R3247" t="s">
        <v>3</v>
      </c>
      <c r="S3247" t="s">
        <v>3</v>
      </c>
      <c r="T3247" t="s">
        <v>3</v>
      </c>
      <c r="U3247" t="s">
        <v>3</v>
      </c>
      <c r="V3247" t="s">
        <v>3</v>
      </c>
      <c r="W3247" t="s">
        <v>68</v>
      </c>
      <c r="X3247" s="17">
        <v>43983</v>
      </c>
      <c r="Y3247" t="s">
        <v>4468</v>
      </c>
      <c r="Z3247" s="17">
        <v>44012</v>
      </c>
      <c r="AA3247" t="s">
        <v>3</v>
      </c>
      <c r="AB3247" t="s">
        <v>6283</v>
      </c>
    </row>
    <row r="3248" spans="1:28" hidden="1">
      <c r="A3248" t="s">
        <v>4468</v>
      </c>
      <c r="B3248" s="17">
        <v>43983</v>
      </c>
      <c r="C3248" s="17">
        <v>43982</v>
      </c>
      <c r="D3248" t="s">
        <v>38</v>
      </c>
      <c r="E3248" t="s">
        <v>1</v>
      </c>
      <c r="F3248" s="18">
        <v>736646</v>
      </c>
      <c r="G3248" s="18">
        <v>736646</v>
      </c>
      <c r="H3248" t="s">
        <v>2</v>
      </c>
      <c r="I3248" t="s">
        <v>8</v>
      </c>
      <c r="J3248" s="18">
        <v>61841431.700000003</v>
      </c>
      <c r="K3248" t="s">
        <v>4469</v>
      </c>
      <c r="L3248" t="s">
        <v>2332</v>
      </c>
      <c r="M3248" t="s">
        <v>4470</v>
      </c>
      <c r="N3248" t="s">
        <v>3</v>
      </c>
      <c r="O3248" t="s">
        <v>3</v>
      </c>
      <c r="P3248" t="s">
        <v>5</v>
      </c>
      <c r="Q3248" t="s">
        <v>4471</v>
      </c>
      <c r="R3248" t="s">
        <v>3</v>
      </c>
      <c r="S3248" t="s">
        <v>3</v>
      </c>
      <c r="T3248" t="s">
        <v>3</v>
      </c>
      <c r="U3248" t="s">
        <v>3</v>
      </c>
      <c r="V3248" t="s">
        <v>3</v>
      </c>
      <c r="W3248" t="s">
        <v>68</v>
      </c>
      <c r="X3248" s="17">
        <v>43983</v>
      </c>
      <c r="Y3248" t="s">
        <v>4468</v>
      </c>
      <c r="Z3248" s="17">
        <v>44012</v>
      </c>
      <c r="AA3248" t="s">
        <v>3</v>
      </c>
      <c r="AB3248" t="s">
        <v>4468</v>
      </c>
    </row>
    <row r="3249" spans="1:28" hidden="1">
      <c r="A3249" t="s">
        <v>4468</v>
      </c>
      <c r="B3249" s="17">
        <v>43983</v>
      </c>
      <c r="C3249" s="17">
        <v>43982</v>
      </c>
      <c r="D3249" t="s">
        <v>38</v>
      </c>
      <c r="E3249" t="s">
        <v>1</v>
      </c>
      <c r="F3249" s="18">
        <v>-546437</v>
      </c>
      <c r="G3249" s="18">
        <v>-546437</v>
      </c>
      <c r="H3249" t="s">
        <v>2</v>
      </c>
      <c r="I3249" t="s">
        <v>8</v>
      </c>
      <c r="J3249" s="18">
        <v>-45873386.149999999</v>
      </c>
      <c r="K3249" t="s">
        <v>4469</v>
      </c>
      <c r="L3249" t="s">
        <v>9</v>
      </c>
      <c r="M3249" t="s">
        <v>4470</v>
      </c>
      <c r="N3249" t="s">
        <v>3</v>
      </c>
      <c r="O3249" t="s">
        <v>3</v>
      </c>
      <c r="P3249" t="s">
        <v>5</v>
      </c>
      <c r="Q3249" t="s">
        <v>4471</v>
      </c>
      <c r="R3249" t="s">
        <v>3</v>
      </c>
      <c r="S3249" t="s">
        <v>3</v>
      </c>
      <c r="T3249" t="s">
        <v>3</v>
      </c>
      <c r="U3249" t="s">
        <v>3</v>
      </c>
      <c r="V3249" t="s">
        <v>3</v>
      </c>
      <c r="W3249" t="s">
        <v>68</v>
      </c>
      <c r="X3249" s="17">
        <v>43983</v>
      </c>
      <c r="Y3249" t="s">
        <v>4468</v>
      </c>
      <c r="Z3249" s="17">
        <v>44012</v>
      </c>
      <c r="AA3249" t="s">
        <v>3</v>
      </c>
      <c r="AB3249" t="s">
        <v>4468</v>
      </c>
    </row>
    <row r="3250" spans="1:28" hidden="1">
      <c r="A3250" t="s">
        <v>4472</v>
      </c>
      <c r="B3250" s="17">
        <v>43983</v>
      </c>
      <c r="C3250" s="17">
        <v>43982</v>
      </c>
      <c r="D3250" t="s">
        <v>38</v>
      </c>
      <c r="E3250" t="s">
        <v>1</v>
      </c>
      <c r="F3250" s="18">
        <v>-79884.03</v>
      </c>
      <c r="G3250" s="18">
        <v>-79884.03</v>
      </c>
      <c r="H3250" t="s">
        <v>2</v>
      </c>
      <c r="I3250" t="s">
        <v>8</v>
      </c>
      <c r="J3250" s="18">
        <v>-6706264.3200000003</v>
      </c>
      <c r="K3250" t="s">
        <v>4473</v>
      </c>
      <c r="L3250" t="s">
        <v>4</v>
      </c>
      <c r="M3250" t="s">
        <v>4474</v>
      </c>
      <c r="N3250" t="s">
        <v>3</v>
      </c>
      <c r="O3250" t="s">
        <v>3</v>
      </c>
      <c r="P3250" t="s">
        <v>5</v>
      </c>
      <c r="Q3250" t="s">
        <v>4473</v>
      </c>
      <c r="R3250" t="s">
        <v>3</v>
      </c>
      <c r="S3250" t="s">
        <v>3</v>
      </c>
      <c r="T3250" t="s">
        <v>3</v>
      </c>
      <c r="U3250" t="s">
        <v>3</v>
      </c>
      <c r="V3250" t="s">
        <v>3</v>
      </c>
      <c r="W3250" t="s">
        <v>68</v>
      </c>
      <c r="X3250" s="17">
        <v>43983</v>
      </c>
      <c r="Y3250" t="s">
        <v>4472</v>
      </c>
      <c r="Z3250" s="17">
        <v>43982</v>
      </c>
      <c r="AA3250" t="s">
        <v>3</v>
      </c>
      <c r="AB3250" t="s">
        <v>4472</v>
      </c>
    </row>
    <row r="3251" spans="1:28" hidden="1">
      <c r="A3251" t="s">
        <v>6284</v>
      </c>
      <c r="B3251" s="17">
        <v>43983</v>
      </c>
      <c r="C3251" s="17">
        <v>43983</v>
      </c>
      <c r="D3251" t="s">
        <v>0</v>
      </c>
      <c r="E3251" t="s">
        <v>1</v>
      </c>
      <c r="F3251" s="18">
        <v>35047</v>
      </c>
      <c r="G3251" s="18">
        <v>35047</v>
      </c>
      <c r="H3251" t="s">
        <v>2</v>
      </c>
      <c r="I3251" t="s">
        <v>8</v>
      </c>
      <c r="J3251" s="18">
        <v>2942195.65</v>
      </c>
      <c r="K3251" t="s">
        <v>6063</v>
      </c>
      <c r="L3251" t="s">
        <v>9</v>
      </c>
      <c r="M3251" t="s">
        <v>6285</v>
      </c>
      <c r="N3251" t="s">
        <v>3</v>
      </c>
      <c r="O3251" t="s">
        <v>3</v>
      </c>
      <c r="P3251" t="s">
        <v>5</v>
      </c>
      <c r="Q3251" t="s">
        <v>6286</v>
      </c>
      <c r="R3251" t="s">
        <v>3</v>
      </c>
      <c r="S3251" t="s">
        <v>3</v>
      </c>
      <c r="T3251" t="s">
        <v>3</v>
      </c>
      <c r="U3251" t="s">
        <v>3</v>
      </c>
      <c r="V3251" t="s">
        <v>3</v>
      </c>
      <c r="W3251" t="s">
        <v>68</v>
      </c>
      <c r="X3251" s="17"/>
      <c r="Y3251" t="s">
        <v>3</v>
      </c>
      <c r="Z3251" s="17">
        <v>43983</v>
      </c>
      <c r="AA3251" t="s">
        <v>3</v>
      </c>
      <c r="AB3251" t="s">
        <v>6284</v>
      </c>
    </row>
    <row r="3252" spans="1:28" hidden="1">
      <c r="A3252" t="s">
        <v>6284</v>
      </c>
      <c r="B3252" s="17">
        <v>43983</v>
      </c>
      <c r="C3252" s="17">
        <v>43983</v>
      </c>
      <c r="D3252" t="s">
        <v>0</v>
      </c>
      <c r="E3252" t="s">
        <v>1</v>
      </c>
      <c r="F3252" s="18">
        <v>25181</v>
      </c>
      <c r="G3252" s="18">
        <v>25181</v>
      </c>
      <c r="H3252" t="s">
        <v>2</v>
      </c>
      <c r="I3252" t="s">
        <v>8</v>
      </c>
      <c r="J3252" s="18">
        <v>2113944.9500000002</v>
      </c>
      <c r="K3252" t="s">
        <v>6116</v>
      </c>
      <c r="L3252" t="s">
        <v>9</v>
      </c>
      <c r="M3252" t="s">
        <v>6285</v>
      </c>
      <c r="N3252" t="s">
        <v>3</v>
      </c>
      <c r="O3252" t="s">
        <v>3</v>
      </c>
      <c r="P3252" t="s">
        <v>5</v>
      </c>
      <c r="Q3252" t="s">
        <v>6286</v>
      </c>
      <c r="R3252" t="s">
        <v>3</v>
      </c>
      <c r="S3252" t="s">
        <v>3</v>
      </c>
      <c r="T3252" t="s">
        <v>3</v>
      </c>
      <c r="U3252" t="s">
        <v>3</v>
      </c>
      <c r="V3252" t="s">
        <v>3</v>
      </c>
      <c r="W3252" t="s">
        <v>68</v>
      </c>
      <c r="X3252" s="17"/>
      <c r="Y3252" t="s">
        <v>3</v>
      </c>
      <c r="Z3252" s="17">
        <v>43983</v>
      </c>
      <c r="AA3252" t="s">
        <v>3</v>
      </c>
      <c r="AB3252" t="s">
        <v>6284</v>
      </c>
    </row>
    <row r="3253" spans="1:28" hidden="1">
      <c r="A3253" t="s">
        <v>6284</v>
      </c>
      <c r="B3253" s="17">
        <v>43983</v>
      </c>
      <c r="C3253" s="17">
        <v>43983</v>
      </c>
      <c r="D3253" t="s">
        <v>0</v>
      </c>
      <c r="E3253" t="s">
        <v>1</v>
      </c>
      <c r="F3253" s="18">
        <v>59848</v>
      </c>
      <c r="G3253" s="18">
        <v>59848</v>
      </c>
      <c r="H3253" t="s">
        <v>2</v>
      </c>
      <c r="I3253" t="s">
        <v>8</v>
      </c>
      <c r="J3253" s="18">
        <v>5024239.5999999996</v>
      </c>
      <c r="K3253" t="s">
        <v>6287</v>
      </c>
      <c r="L3253" t="s">
        <v>9</v>
      </c>
      <c r="M3253" t="s">
        <v>6285</v>
      </c>
      <c r="N3253" t="s">
        <v>3</v>
      </c>
      <c r="O3253" t="s">
        <v>3</v>
      </c>
      <c r="P3253" t="s">
        <v>5</v>
      </c>
      <c r="Q3253" t="s">
        <v>6286</v>
      </c>
      <c r="R3253" t="s">
        <v>3</v>
      </c>
      <c r="S3253" t="s">
        <v>3</v>
      </c>
      <c r="T3253" t="s">
        <v>3</v>
      </c>
      <c r="U3253" t="s">
        <v>3</v>
      </c>
      <c r="V3253" t="s">
        <v>3</v>
      </c>
      <c r="W3253" t="s">
        <v>68</v>
      </c>
      <c r="X3253" s="17"/>
      <c r="Y3253" t="s">
        <v>3</v>
      </c>
      <c r="Z3253" s="17">
        <v>43983</v>
      </c>
      <c r="AA3253" t="s">
        <v>3</v>
      </c>
      <c r="AB3253" t="s">
        <v>6284</v>
      </c>
    </row>
    <row r="3254" spans="1:28" hidden="1">
      <c r="A3254" t="s">
        <v>6284</v>
      </c>
      <c r="B3254" s="17">
        <v>43983</v>
      </c>
      <c r="C3254" s="17">
        <v>43983</v>
      </c>
      <c r="D3254" t="s">
        <v>0</v>
      </c>
      <c r="E3254" t="s">
        <v>1</v>
      </c>
      <c r="F3254" s="18">
        <v>22438</v>
      </c>
      <c r="G3254" s="18">
        <v>22438</v>
      </c>
      <c r="H3254" t="s">
        <v>2</v>
      </c>
      <c r="I3254" t="s">
        <v>8</v>
      </c>
      <c r="J3254" s="18">
        <v>1883670.1</v>
      </c>
      <c r="K3254" t="s">
        <v>6288</v>
      </c>
      <c r="L3254" t="s">
        <v>9</v>
      </c>
      <c r="M3254" t="s">
        <v>6285</v>
      </c>
      <c r="N3254" t="s">
        <v>3</v>
      </c>
      <c r="O3254" t="s">
        <v>3</v>
      </c>
      <c r="P3254" t="s">
        <v>5</v>
      </c>
      <c r="Q3254" t="s">
        <v>6286</v>
      </c>
      <c r="R3254" t="s">
        <v>3</v>
      </c>
      <c r="S3254" t="s">
        <v>3</v>
      </c>
      <c r="T3254" t="s">
        <v>3</v>
      </c>
      <c r="U3254" t="s">
        <v>3</v>
      </c>
      <c r="V3254" t="s">
        <v>3</v>
      </c>
      <c r="W3254" t="s">
        <v>68</v>
      </c>
      <c r="X3254" s="17"/>
      <c r="Y3254" t="s">
        <v>3</v>
      </c>
      <c r="Z3254" s="17">
        <v>43983</v>
      </c>
      <c r="AA3254" t="s">
        <v>3</v>
      </c>
      <c r="AB3254" t="s">
        <v>6284</v>
      </c>
    </row>
    <row r="3255" spans="1:28" hidden="1">
      <c r="A3255" t="s">
        <v>6289</v>
      </c>
      <c r="B3255" s="17">
        <v>43983</v>
      </c>
      <c r="C3255" s="17">
        <v>43983</v>
      </c>
      <c r="D3255" t="s">
        <v>0</v>
      </c>
      <c r="E3255" t="s">
        <v>1</v>
      </c>
      <c r="F3255" s="18">
        <v>1883</v>
      </c>
      <c r="G3255" s="18">
        <v>1883</v>
      </c>
      <c r="H3255" t="s">
        <v>2</v>
      </c>
      <c r="I3255" t="s">
        <v>8</v>
      </c>
      <c r="J3255" s="18">
        <v>158077.85</v>
      </c>
      <c r="K3255" t="s">
        <v>6059</v>
      </c>
      <c r="L3255" t="s">
        <v>9</v>
      </c>
      <c r="M3255" t="s">
        <v>6290</v>
      </c>
      <c r="N3255" t="s">
        <v>3</v>
      </c>
      <c r="O3255" t="s">
        <v>3</v>
      </c>
      <c r="P3255" t="s">
        <v>5</v>
      </c>
      <c r="Q3255" t="s">
        <v>6291</v>
      </c>
      <c r="R3255" t="s">
        <v>3</v>
      </c>
      <c r="S3255" t="s">
        <v>3</v>
      </c>
      <c r="T3255" t="s">
        <v>3</v>
      </c>
      <c r="U3255" t="s">
        <v>3</v>
      </c>
      <c r="V3255" t="s">
        <v>3</v>
      </c>
      <c r="W3255" t="s">
        <v>68</v>
      </c>
      <c r="X3255" s="17"/>
      <c r="Y3255" t="s">
        <v>3</v>
      </c>
      <c r="Z3255" s="17">
        <v>43983</v>
      </c>
      <c r="AA3255" t="s">
        <v>3</v>
      </c>
      <c r="AB3255" t="s">
        <v>6289</v>
      </c>
    </row>
    <row r="3256" spans="1:28" hidden="1">
      <c r="A3256" t="s">
        <v>6289</v>
      </c>
      <c r="B3256" s="17">
        <v>43983</v>
      </c>
      <c r="C3256" s="17">
        <v>43983</v>
      </c>
      <c r="D3256" t="s">
        <v>0</v>
      </c>
      <c r="E3256" t="s">
        <v>1</v>
      </c>
      <c r="F3256" s="18">
        <v>3330</v>
      </c>
      <c r="G3256" s="18">
        <v>3330</v>
      </c>
      <c r="H3256" t="s">
        <v>2</v>
      </c>
      <c r="I3256" t="s">
        <v>8</v>
      </c>
      <c r="J3256" s="18">
        <v>279553.5</v>
      </c>
      <c r="K3256" t="s">
        <v>6062</v>
      </c>
      <c r="L3256" t="s">
        <v>9</v>
      </c>
      <c r="M3256" t="s">
        <v>6290</v>
      </c>
      <c r="N3256" t="s">
        <v>3</v>
      </c>
      <c r="O3256" t="s">
        <v>3</v>
      </c>
      <c r="P3256" t="s">
        <v>5</v>
      </c>
      <c r="Q3256" t="s">
        <v>6291</v>
      </c>
      <c r="R3256" t="s">
        <v>3</v>
      </c>
      <c r="S3256" t="s">
        <v>3</v>
      </c>
      <c r="T3256" t="s">
        <v>3</v>
      </c>
      <c r="U3256" t="s">
        <v>3</v>
      </c>
      <c r="V3256" t="s">
        <v>3</v>
      </c>
      <c r="W3256" t="s">
        <v>68</v>
      </c>
      <c r="X3256" s="17"/>
      <c r="Y3256" t="s">
        <v>3</v>
      </c>
      <c r="Z3256" s="17">
        <v>43983</v>
      </c>
      <c r="AA3256" t="s">
        <v>3</v>
      </c>
      <c r="AB3256" t="s">
        <v>6289</v>
      </c>
    </row>
    <row r="3257" spans="1:28" hidden="1">
      <c r="A3257" t="s">
        <v>6289</v>
      </c>
      <c r="B3257" s="17">
        <v>43983</v>
      </c>
      <c r="C3257" s="17">
        <v>43983</v>
      </c>
      <c r="D3257" t="s">
        <v>0</v>
      </c>
      <c r="E3257" t="s">
        <v>1</v>
      </c>
      <c r="F3257" s="18">
        <v>123471</v>
      </c>
      <c r="G3257" s="18">
        <v>123471</v>
      </c>
      <c r="H3257" t="s">
        <v>2</v>
      </c>
      <c r="I3257" t="s">
        <v>8</v>
      </c>
      <c r="J3257" s="18">
        <v>10365390.449999999</v>
      </c>
      <c r="K3257" t="s">
        <v>6063</v>
      </c>
      <c r="L3257" t="s">
        <v>9</v>
      </c>
      <c r="M3257" t="s">
        <v>6290</v>
      </c>
      <c r="N3257" t="s">
        <v>3</v>
      </c>
      <c r="O3257" t="s">
        <v>3</v>
      </c>
      <c r="P3257" t="s">
        <v>5</v>
      </c>
      <c r="Q3257" t="s">
        <v>6291</v>
      </c>
      <c r="R3257" t="s">
        <v>3</v>
      </c>
      <c r="S3257" t="s">
        <v>3</v>
      </c>
      <c r="T3257" t="s">
        <v>3</v>
      </c>
      <c r="U3257" t="s">
        <v>3</v>
      </c>
      <c r="V3257" t="s">
        <v>3</v>
      </c>
      <c r="W3257" t="s">
        <v>68</v>
      </c>
      <c r="X3257" s="17"/>
      <c r="Y3257" t="s">
        <v>3</v>
      </c>
      <c r="Z3257" s="17">
        <v>43983</v>
      </c>
      <c r="AA3257" t="s">
        <v>3</v>
      </c>
      <c r="AB3257" t="s">
        <v>6289</v>
      </c>
    </row>
    <row r="3258" spans="1:28" hidden="1">
      <c r="A3258" t="s">
        <v>6289</v>
      </c>
      <c r="B3258" s="17">
        <v>43983</v>
      </c>
      <c r="C3258" s="17">
        <v>43983</v>
      </c>
      <c r="D3258" t="s">
        <v>0</v>
      </c>
      <c r="E3258" t="s">
        <v>1</v>
      </c>
      <c r="F3258" s="18">
        <v>123089</v>
      </c>
      <c r="G3258" s="18">
        <v>123089</v>
      </c>
      <c r="H3258" t="s">
        <v>2</v>
      </c>
      <c r="I3258" t="s">
        <v>8</v>
      </c>
      <c r="J3258" s="18">
        <v>10333321.550000001</v>
      </c>
      <c r="K3258" t="s">
        <v>6287</v>
      </c>
      <c r="L3258" t="s">
        <v>9</v>
      </c>
      <c r="M3258" t="s">
        <v>6290</v>
      </c>
      <c r="N3258" t="s">
        <v>3</v>
      </c>
      <c r="O3258" t="s">
        <v>3</v>
      </c>
      <c r="P3258" t="s">
        <v>5</v>
      </c>
      <c r="Q3258" t="s">
        <v>6291</v>
      </c>
      <c r="R3258" t="s">
        <v>3</v>
      </c>
      <c r="S3258" t="s">
        <v>3</v>
      </c>
      <c r="T3258" t="s">
        <v>3</v>
      </c>
      <c r="U3258" t="s">
        <v>3</v>
      </c>
      <c r="V3258" t="s">
        <v>3</v>
      </c>
      <c r="W3258" t="s">
        <v>68</v>
      </c>
      <c r="X3258" s="17"/>
      <c r="Y3258" t="s">
        <v>3</v>
      </c>
      <c r="Z3258" s="17">
        <v>43983</v>
      </c>
      <c r="AA3258" t="s">
        <v>3</v>
      </c>
      <c r="AB3258" t="s">
        <v>6289</v>
      </c>
    </row>
    <row r="3259" spans="1:28" hidden="1">
      <c r="A3259" t="s">
        <v>6289</v>
      </c>
      <c r="B3259" s="17">
        <v>43983</v>
      </c>
      <c r="C3259" s="17">
        <v>43983</v>
      </c>
      <c r="D3259" t="s">
        <v>0</v>
      </c>
      <c r="E3259" t="s">
        <v>1</v>
      </c>
      <c r="F3259" s="18">
        <v>15083</v>
      </c>
      <c r="G3259" s="18">
        <v>15083</v>
      </c>
      <c r="H3259" t="s">
        <v>2</v>
      </c>
      <c r="I3259" t="s">
        <v>8</v>
      </c>
      <c r="J3259" s="18">
        <v>1266217.8500000001</v>
      </c>
      <c r="K3259" t="s">
        <v>6292</v>
      </c>
      <c r="L3259" t="s">
        <v>9</v>
      </c>
      <c r="M3259" t="s">
        <v>6290</v>
      </c>
      <c r="N3259" t="s">
        <v>3</v>
      </c>
      <c r="O3259" t="s">
        <v>3</v>
      </c>
      <c r="P3259" t="s">
        <v>5</v>
      </c>
      <c r="Q3259" t="s">
        <v>6291</v>
      </c>
      <c r="R3259" t="s">
        <v>3</v>
      </c>
      <c r="S3259" t="s">
        <v>3</v>
      </c>
      <c r="T3259" t="s">
        <v>3</v>
      </c>
      <c r="U3259" t="s">
        <v>3</v>
      </c>
      <c r="V3259" t="s">
        <v>3</v>
      </c>
      <c r="W3259" t="s">
        <v>68</v>
      </c>
      <c r="X3259" s="17"/>
      <c r="Y3259" t="s">
        <v>3</v>
      </c>
      <c r="Z3259" s="17">
        <v>43983</v>
      </c>
      <c r="AA3259" t="s">
        <v>3</v>
      </c>
      <c r="AB3259" t="s">
        <v>6289</v>
      </c>
    </row>
    <row r="3260" spans="1:28" hidden="1">
      <c r="A3260" t="s">
        <v>6289</v>
      </c>
      <c r="B3260" s="17">
        <v>43983</v>
      </c>
      <c r="C3260" s="17">
        <v>43983</v>
      </c>
      <c r="D3260" t="s">
        <v>0</v>
      </c>
      <c r="E3260" t="s">
        <v>1</v>
      </c>
      <c r="F3260" s="18">
        <v>31455</v>
      </c>
      <c r="G3260" s="18">
        <v>31455</v>
      </c>
      <c r="H3260" t="s">
        <v>2</v>
      </c>
      <c r="I3260" t="s">
        <v>8</v>
      </c>
      <c r="J3260" s="18">
        <v>2640647.25</v>
      </c>
      <c r="K3260" t="s">
        <v>6288</v>
      </c>
      <c r="L3260" t="s">
        <v>9</v>
      </c>
      <c r="M3260" t="s">
        <v>6290</v>
      </c>
      <c r="N3260" t="s">
        <v>3</v>
      </c>
      <c r="O3260" t="s">
        <v>3</v>
      </c>
      <c r="P3260" t="s">
        <v>5</v>
      </c>
      <c r="Q3260" t="s">
        <v>6291</v>
      </c>
      <c r="R3260" t="s">
        <v>3</v>
      </c>
      <c r="S3260" t="s">
        <v>3</v>
      </c>
      <c r="T3260" t="s">
        <v>3</v>
      </c>
      <c r="U3260" t="s">
        <v>3</v>
      </c>
      <c r="V3260" t="s">
        <v>3</v>
      </c>
      <c r="W3260" t="s">
        <v>68</v>
      </c>
      <c r="X3260" s="17"/>
      <c r="Y3260" t="s">
        <v>3</v>
      </c>
      <c r="Z3260" s="17">
        <v>43983</v>
      </c>
      <c r="AA3260" t="s">
        <v>3</v>
      </c>
      <c r="AB3260" t="s">
        <v>6289</v>
      </c>
    </row>
    <row r="3261" spans="1:28" hidden="1">
      <c r="A3261" t="s">
        <v>6293</v>
      </c>
      <c r="B3261" s="17">
        <v>43983</v>
      </c>
      <c r="C3261" s="17">
        <v>43983</v>
      </c>
      <c r="D3261" t="s">
        <v>0</v>
      </c>
      <c r="E3261" t="s">
        <v>1</v>
      </c>
      <c r="F3261" s="18">
        <v>9980</v>
      </c>
      <c r="G3261" s="18">
        <v>9980</v>
      </c>
      <c r="H3261" t="s">
        <v>2</v>
      </c>
      <c r="I3261" t="s">
        <v>8</v>
      </c>
      <c r="J3261" s="18">
        <v>837821</v>
      </c>
      <c r="K3261" t="s">
        <v>6294</v>
      </c>
      <c r="L3261" t="s">
        <v>9</v>
      </c>
      <c r="M3261" t="s">
        <v>6295</v>
      </c>
      <c r="N3261" t="s">
        <v>3</v>
      </c>
      <c r="O3261" t="s">
        <v>3</v>
      </c>
      <c r="P3261" t="s">
        <v>5</v>
      </c>
      <c r="Q3261" t="s">
        <v>6296</v>
      </c>
      <c r="R3261" t="s">
        <v>3</v>
      </c>
      <c r="S3261" t="s">
        <v>3</v>
      </c>
      <c r="T3261" t="s">
        <v>3</v>
      </c>
      <c r="U3261" t="s">
        <v>3</v>
      </c>
      <c r="V3261" t="s">
        <v>3</v>
      </c>
      <c r="W3261" t="s">
        <v>68</v>
      </c>
      <c r="X3261" s="17"/>
      <c r="Y3261" t="s">
        <v>3</v>
      </c>
      <c r="Z3261" s="17">
        <v>43983</v>
      </c>
      <c r="AA3261" t="s">
        <v>3</v>
      </c>
      <c r="AB3261" t="s">
        <v>6293</v>
      </c>
    </row>
    <row r="3262" spans="1:28" hidden="1">
      <c r="A3262" t="s">
        <v>6293</v>
      </c>
      <c r="B3262" s="17">
        <v>43983</v>
      </c>
      <c r="C3262" s="17">
        <v>43983</v>
      </c>
      <c r="D3262" t="s">
        <v>0</v>
      </c>
      <c r="E3262" t="s">
        <v>1</v>
      </c>
      <c r="F3262" s="18">
        <v>48641</v>
      </c>
      <c r="G3262" s="18">
        <v>48641</v>
      </c>
      <c r="H3262" t="s">
        <v>2</v>
      </c>
      <c r="I3262" t="s">
        <v>8</v>
      </c>
      <c r="J3262" s="18">
        <v>4083411.95</v>
      </c>
      <c r="K3262" t="s">
        <v>6297</v>
      </c>
      <c r="L3262" t="s">
        <v>9</v>
      </c>
      <c r="M3262" t="s">
        <v>6295</v>
      </c>
      <c r="N3262" t="s">
        <v>3</v>
      </c>
      <c r="O3262" t="s">
        <v>3</v>
      </c>
      <c r="P3262" t="s">
        <v>5</v>
      </c>
      <c r="Q3262" t="s">
        <v>6296</v>
      </c>
      <c r="R3262" t="s">
        <v>3</v>
      </c>
      <c r="S3262" t="s">
        <v>3</v>
      </c>
      <c r="T3262" t="s">
        <v>3</v>
      </c>
      <c r="U3262" t="s">
        <v>3</v>
      </c>
      <c r="V3262" t="s">
        <v>3</v>
      </c>
      <c r="W3262" t="s">
        <v>68</v>
      </c>
      <c r="X3262" s="17"/>
      <c r="Y3262" t="s">
        <v>3</v>
      </c>
      <c r="Z3262" s="17">
        <v>43983</v>
      </c>
      <c r="AA3262" t="s">
        <v>3</v>
      </c>
      <c r="AB3262" t="s">
        <v>6293</v>
      </c>
    </row>
    <row r="3263" spans="1:28" hidden="1">
      <c r="A3263" t="s">
        <v>6293</v>
      </c>
      <c r="B3263" s="17">
        <v>43983</v>
      </c>
      <c r="C3263" s="17">
        <v>43983</v>
      </c>
      <c r="D3263" t="s">
        <v>0</v>
      </c>
      <c r="E3263" t="s">
        <v>1</v>
      </c>
      <c r="F3263" s="18">
        <v>10086</v>
      </c>
      <c r="G3263" s="18">
        <v>10086</v>
      </c>
      <c r="H3263" t="s">
        <v>2</v>
      </c>
      <c r="I3263" t="s">
        <v>8</v>
      </c>
      <c r="J3263" s="18">
        <v>846719.7</v>
      </c>
      <c r="K3263" t="s">
        <v>6298</v>
      </c>
      <c r="L3263" t="s">
        <v>9</v>
      </c>
      <c r="M3263" t="s">
        <v>6295</v>
      </c>
      <c r="N3263" t="s">
        <v>3</v>
      </c>
      <c r="O3263" t="s">
        <v>3</v>
      </c>
      <c r="P3263" t="s">
        <v>5</v>
      </c>
      <c r="Q3263" t="s">
        <v>6296</v>
      </c>
      <c r="R3263" t="s">
        <v>3</v>
      </c>
      <c r="S3263" t="s">
        <v>3</v>
      </c>
      <c r="T3263" t="s">
        <v>3</v>
      </c>
      <c r="U3263" t="s">
        <v>3</v>
      </c>
      <c r="V3263" t="s">
        <v>3</v>
      </c>
      <c r="W3263" t="s">
        <v>68</v>
      </c>
      <c r="X3263" s="17"/>
      <c r="Y3263" t="s">
        <v>3</v>
      </c>
      <c r="Z3263" s="17">
        <v>43983</v>
      </c>
      <c r="AA3263" t="s">
        <v>3</v>
      </c>
      <c r="AB3263" t="s">
        <v>6293</v>
      </c>
    </row>
    <row r="3264" spans="1:28" hidden="1">
      <c r="A3264" t="s">
        <v>6293</v>
      </c>
      <c r="B3264" s="17">
        <v>43983</v>
      </c>
      <c r="C3264" s="17">
        <v>43983</v>
      </c>
      <c r="D3264" t="s">
        <v>0</v>
      </c>
      <c r="E3264" t="s">
        <v>1</v>
      </c>
      <c r="F3264" s="18">
        <v>36906</v>
      </c>
      <c r="G3264" s="18">
        <v>36906</v>
      </c>
      <c r="H3264" t="s">
        <v>2</v>
      </c>
      <c r="I3264" t="s">
        <v>8</v>
      </c>
      <c r="J3264" s="18">
        <v>3098258.7</v>
      </c>
      <c r="K3264" t="s">
        <v>6299</v>
      </c>
      <c r="L3264" t="s">
        <v>9</v>
      </c>
      <c r="M3264" t="s">
        <v>6295</v>
      </c>
      <c r="N3264" t="s">
        <v>3</v>
      </c>
      <c r="O3264" t="s">
        <v>3</v>
      </c>
      <c r="P3264" t="s">
        <v>5</v>
      </c>
      <c r="Q3264" t="s">
        <v>6296</v>
      </c>
      <c r="R3264" t="s">
        <v>3</v>
      </c>
      <c r="S3264" t="s">
        <v>3</v>
      </c>
      <c r="T3264" t="s">
        <v>3</v>
      </c>
      <c r="U3264" t="s">
        <v>3</v>
      </c>
      <c r="V3264" t="s">
        <v>3</v>
      </c>
      <c r="W3264" t="s">
        <v>68</v>
      </c>
      <c r="X3264" s="17"/>
      <c r="Y3264" t="s">
        <v>3</v>
      </c>
      <c r="Z3264" s="17">
        <v>43983</v>
      </c>
      <c r="AA3264" t="s">
        <v>3</v>
      </c>
      <c r="AB3264" t="s">
        <v>6293</v>
      </c>
    </row>
    <row r="3265" spans="1:28" hidden="1">
      <c r="A3265" t="s">
        <v>6300</v>
      </c>
      <c r="B3265" s="17">
        <v>43983</v>
      </c>
      <c r="C3265" s="17">
        <v>43983</v>
      </c>
      <c r="D3265" t="s">
        <v>0</v>
      </c>
      <c r="E3265" t="s">
        <v>1</v>
      </c>
      <c r="F3265" s="18">
        <v>953</v>
      </c>
      <c r="G3265" s="18">
        <v>953</v>
      </c>
      <c r="H3265" t="s">
        <v>2</v>
      </c>
      <c r="I3265" t="s">
        <v>8</v>
      </c>
      <c r="J3265" s="18">
        <v>80004.350000000006</v>
      </c>
      <c r="K3265" t="s">
        <v>6301</v>
      </c>
      <c r="L3265" t="s">
        <v>4</v>
      </c>
      <c r="M3265" t="s">
        <v>6302</v>
      </c>
      <c r="N3265" t="s">
        <v>3</v>
      </c>
      <c r="O3265" t="s">
        <v>3</v>
      </c>
      <c r="P3265" t="s">
        <v>5</v>
      </c>
      <c r="Q3265" t="s">
        <v>6303</v>
      </c>
      <c r="R3265" t="s">
        <v>3</v>
      </c>
      <c r="S3265" t="s">
        <v>3</v>
      </c>
      <c r="T3265" t="s">
        <v>3</v>
      </c>
      <c r="U3265" t="s">
        <v>3</v>
      </c>
      <c r="V3265" t="s">
        <v>3</v>
      </c>
      <c r="W3265" t="s">
        <v>68</v>
      </c>
      <c r="X3265" s="17"/>
      <c r="Y3265" t="s">
        <v>3</v>
      </c>
      <c r="Z3265" s="17">
        <v>43983</v>
      </c>
      <c r="AA3265" t="s">
        <v>3</v>
      </c>
      <c r="AB3265" t="s">
        <v>6300</v>
      </c>
    </row>
    <row r="3266" spans="1:28" hidden="1">
      <c r="A3266" t="s">
        <v>6300</v>
      </c>
      <c r="B3266" s="17">
        <v>43983</v>
      </c>
      <c r="C3266" s="17">
        <v>43983</v>
      </c>
      <c r="D3266" t="s">
        <v>0</v>
      </c>
      <c r="E3266" t="s">
        <v>1</v>
      </c>
      <c r="F3266" s="18">
        <v>6167.35</v>
      </c>
      <c r="G3266" s="18">
        <v>6167.35</v>
      </c>
      <c r="H3266" t="s">
        <v>2</v>
      </c>
      <c r="I3266" t="s">
        <v>8</v>
      </c>
      <c r="J3266" s="18">
        <v>517749.03</v>
      </c>
      <c r="K3266" t="s">
        <v>6304</v>
      </c>
      <c r="L3266" t="s">
        <v>4</v>
      </c>
      <c r="M3266" t="s">
        <v>6302</v>
      </c>
      <c r="N3266" t="s">
        <v>3</v>
      </c>
      <c r="O3266" t="s">
        <v>3</v>
      </c>
      <c r="P3266" t="s">
        <v>5</v>
      </c>
      <c r="Q3266" t="s">
        <v>6303</v>
      </c>
      <c r="R3266" t="s">
        <v>3</v>
      </c>
      <c r="S3266" t="s">
        <v>3</v>
      </c>
      <c r="T3266" t="s">
        <v>3</v>
      </c>
      <c r="U3266" t="s">
        <v>3</v>
      </c>
      <c r="V3266" t="s">
        <v>3</v>
      </c>
      <c r="W3266" t="s">
        <v>68</v>
      </c>
      <c r="X3266" s="17"/>
      <c r="Y3266" t="s">
        <v>3</v>
      </c>
      <c r="Z3266" s="17">
        <v>43983</v>
      </c>
      <c r="AA3266" t="s">
        <v>3</v>
      </c>
      <c r="AB3266" t="s">
        <v>6300</v>
      </c>
    </row>
    <row r="3267" spans="1:28" hidden="1">
      <c r="A3267" t="s">
        <v>6300</v>
      </c>
      <c r="B3267" s="17">
        <v>43983</v>
      </c>
      <c r="C3267" s="17">
        <v>43983</v>
      </c>
      <c r="D3267" t="s">
        <v>0</v>
      </c>
      <c r="E3267" t="s">
        <v>1</v>
      </c>
      <c r="F3267" s="18">
        <v>8236</v>
      </c>
      <c r="G3267" s="18">
        <v>8236</v>
      </c>
      <c r="H3267" t="s">
        <v>2</v>
      </c>
      <c r="I3267" t="s">
        <v>8</v>
      </c>
      <c r="J3267" s="18">
        <v>691412.2</v>
      </c>
      <c r="K3267" t="s">
        <v>6305</v>
      </c>
      <c r="L3267" t="s">
        <v>4</v>
      </c>
      <c r="M3267" t="s">
        <v>6302</v>
      </c>
      <c r="N3267" t="s">
        <v>3</v>
      </c>
      <c r="O3267" t="s">
        <v>3</v>
      </c>
      <c r="P3267" t="s">
        <v>5</v>
      </c>
      <c r="Q3267" t="s">
        <v>6303</v>
      </c>
      <c r="R3267" t="s">
        <v>3</v>
      </c>
      <c r="S3267" t="s">
        <v>3</v>
      </c>
      <c r="T3267" t="s">
        <v>3</v>
      </c>
      <c r="U3267" t="s">
        <v>3</v>
      </c>
      <c r="V3267" t="s">
        <v>3</v>
      </c>
      <c r="W3267" t="s">
        <v>68</v>
      </c>
      <c r="X3267" s="17"/>
      <c r="Y3267" t="s">
        <v>3</v>
      </c>
      <c r="Z3267" s="17">
        <v>43983</v>
      </c>
      <c r="AA3267" t="s">
        <v>3</v>
      </c>
      <c r="AB3267" t="s">
        <v>6300</v>
      </c>
    </row>
    <row r="3268" spans="1:28" hidden="1">
      <c r="A3268" t="s">
        <v>6300</v>
      </c>
      <c r="B3268" s="17">
        <v>43983</v>
      </c>
      <c r="C3268" s="17">
        <v>43983</v>
      </c>
      <c r="D3268" t="s">
        <v>0</v>
      </c>
      <c r="E3268" t="s">
        <v>1</v>
      </c>
      <c r="F3268" s="18">
        <v>216</v>
      </c>
      <c r="G3268" s="18">
        <v>216</v>
      </c>
      <c r="H3268" t="s">
        <v>2</v>
      </c>
      <c r="I3268" t="s">
        <v>8</v>
      </c>
      <c r="J3268" s="18">
        <v>18133.2</v>
      </c>
      <c r="K3268" t="s">
        <v>6306</v>
      </c>
      <c r="L3268" t="s">
        <v>4</v>
      </c>
      <c r="M3268" t="s">
        <v>6302</v>
      </c>
      <c r="N3268" t="s">
        <v>3</v>
      </c>
      <c r="O3268" t="s">
        <v>3</v>
      </c>
      <c r="P3268" t="s">
        <v>5</v>
      </c>
      <c r="Q3268" t="s">
        <v>6303</v>
      </c>
      <c r="R3268" t="s">
        <v>3</v>
      </c>
      <c r="S3268" t="s">
        <v>3</v>
      </c>
      <c r="T3268" t="s">
        <v>3</v>
      </c>
      <c r="U3268" t="s">
        <v>3</v>
      </c>
      <c r="V3268" t="s">
        <v>3</v>
      </c>
      <c r="W3268" t="s">
        <v>68</v>
      </c>
      <c r="X3268" s="17"/>
      <c r="Y3268" t="s">
        <v>3</v>
      </c>
      <c r="Z3268" s="17">
        <v>43983</v>
      </c>
      <c r="AA3268" t="s">
        <v>3</v>
      </c>
      <c r="AB3268" t="s">
        <v>6300</v>
      </c>
    </row>
    <row r="3269" spans="1:28" hidden="1">
      <c r="A3269" t="s">
        <v>6300</v>
      </c>
      <c r="B3269" s="17">
        <v>43983</v>
      </c>
      <c r="C3269" s="17">
        <v>43983</v>
      </c>
      <c r="D3269" t="s">
        <v>0</v>
      </c>
      <c r="E3269" t="s">
        <v>1</v>
      </c>
      <c r="F3269" s="18">
        <v>259</v>
      </c>
      <c r="G3269" s="18">
        <v>259</v>
      </c>
      <c r="H3269" t="s">
        <v>2</v>
      </c>
      <c r="I3269" t="s">
        <v>8</v>
      </c>
      <c r="J3269" s="18">
        <v>21743.05</v>
      </c>
      <c r="K3269" t="s">
        <v>6307</v>
      </c>
      <c r="L3269" t="s">
        <v>4</v>
      </c>
      <c r="M3269" t="s">
        <v>6302</v>
      </c>
      <c r="N3269" t="s">
        <v>3</v>
      </c>
      <c r="O3269" t="s">
        <v>3</v>
      </c>
      <c r="P3269" t="s">
        <v>5</v>
      </c>
      <c r="Q3269" t="s">
        <v>6303</v>
      </c>
      <c r="R3269" t="s">
        <v>3</v>
      </c>
      <c r="S3269" t="s">
        <v>3</v>
      </c>
      <c r="T3269" t="s">
        <v>3</v>
      </c>
      <c r="U3269" t="s">
        <v>3</v>
      </c>
      <c r="V3269" t="s">
        <v>3</v>
      </c>
      <c r="W3269" t="s">
        <v>68</v>
      </c>
      <c r="X3269" s="17"/>
      <c r="Y3269" t="s">
        <v>3</v>
      </c>
      <c r="Z3269" s="17">
        <v>43983</v>
      </c>
      <c r="AA3269" t="s">
        <v>3</v>
      </c>
      <c r="AB3269" t="s">
        <v>6300</v>
      </c>
    </row>
    <row r="3270" spans="1:28" hidden="1">
      <c r="A3270" t="s">
        <v>6300</v>
      </c>
      <c r="B3270" s="17">
        <v>43983</v>
      </c>
      <c r="C3270" s="17">
        <v>43983</v>
      </c>
      <c r="D3270" t="s">
        <v>0</v>
      </c>
      <c r="E3270" t="s">
        <v>1</v>
      </c>
      <c r="F3270" s="18">
        <v>8437</v>
      </c>
      <c r="G3270" s="18">
        <v>8437</v>
      </c>
      <c r="H3270" t="s">
        <v>2</v>
      </c>
      <c r="I3270" t="s">
        <v>8</v>
      </c>
      <c r="J3270" s="18">
        <v>708286.15</v>
      </c>
      <c r="K3270" t="s">
        <v>6308</v>
      </c>
      <c r="L3270" t="s">
        <v>4</v>
      </c>
      <c r="M3270" t="s">
        <v>6302</v>
      </c>
      <c r="N3270" t="s">
        <v>3</v>
      </c>
      <c r="O3270" t="s">
        <v>3</v>
      </c>
      <c r="P3270" t="s">
        <v>5</v>
      </c>
      <c r="Q3270" t="s">
        <v>6303</v>
      </c>
      <c r="R3270" t="s">
        <v>3</v>
      </c>
      <c r="S3270" t="s">
        <v>3</v>
      </c>
      <c r="T3270" t="s">
        <v>3</v>
      </c>
      <c r="U3270" t="s">
        <v>3</v>
      </c>
      <c r="V3270" t="s">
        <v>3</v>
      </c>
      <c r="W3270" t="s">
        <v>68</v>
      </c>
      <c r="X3270" s="17"/>
      <c r="Y3270" t="s">
        <v>3</v>
      </c>
      <c r="Z3270" s="17">
        <v>43983</v>
      </c>
      <c r="AA3270" t="s">
        <v>3</v>
      </c>
      <c r="AB3270" t="s">
        <v>6300</v>
      </c>
    </row>
    <row r="3271" spans="1:28" hidden="1">
      <c r="A3271" t="s">
        <v>6300</v>
      </c>
      <c r="B3271" s="17">
        <v>43983</v>
      </c>
      <c r="C3271" s="17">
        <v>43983</v>
      </c>
      <c r="D3271" t="s">
        <v>0</v>
      </c>
      <c r="E3271" t="s">
        <v>1</v>
      </c>
      <c r="F3271" s="18">
        <v>4772.3500000000004</v>
      </c>
      <c r="G3271" s="18">
        <v>4772.3500000000004</v>
      </c>
      <c r="H3271" t="s">
        <v>2</v>
      </c>
      <c r="I3271" t="s">
        <v>8</v>
      </c>
      <c r="J3271" s="18">
        <v>400638.78</v>
      </c>
      <c r="K3271" t="s">
        <v>6309</v>
      </c>
      <c r="L3271" t="s">
        <v>4</v>
      </c>
      <c r="M3271" t="s">
        <v>6302</v>
      </c>
      <c r="N3271" t="s">
        <v>3</v>
      </c>
      <c r="O3271" t="s">
        <v>3</v>
      </c>
      <c r="P3271" t="s">
        <v>5</v>
      </c>
      <c r="Q3271" t="s">
        <v>6303</v>
      </c>
      <c r="R3271" t="s">
        <v>3</v>
      </c>
      <c r="S3271" t="s">
        <v>3</v>
      </c>
      <c r="T3271" t="s">
        <v>3</v>
      </c>
      <c r="U3271" t="s">
        <v>3</v>
      </c>
      <c r="V3271" t="s">
        <v>3</v>
      </c>
      <c r="W3271" t="s">
        <v>68</v>
      </c>
      <c r="X3271" s="17"/>
      <c r="Y3271" t="s">
        <v>3</v>
      </c>
      <c r="Z3271" s="17">
        <v>43983</v>
      </c>
      <c r="AA3271" t="s">
        <v>3</v>
      </c>
      <c r="AB3271" t="s">
        <v>6300</v>
      </c>
    </row>
    <row r="3272" spans="1:28" hidden="1">
      <c r="A3272" t="s">
        <v>6310</v>
      </c>
      <c r="B3272" s="17">
        <v>43983</v>
      </c>
      <c r="C3272" s="17">
        <v>43983</v>
      </c>
      <c r="D3272" t="s">
        <v>0</v>
      </c>
      <c r="E3272" t="s">
        <v>1</v>
      </c>
      <c r="F3272" s="18">
        <v>5422</v>
      </c>
      <c r="G3272" s="18">
        <v>5422</v>
      </c>
      <c r="H3272" t="s">
        <v>2</v>
      </c>
      <c r="I3272" t="s">
        <v>8</v>
      </c>
      <c r="J3272" s="18">
        <v>455176.9</v>
      </c>
      <c r="K3272" t="s">
        <v>6307</v>
      </c>
      <c r="L3272" t="s">
        <v>4</v>
      </c>
      <c r="M3272" t="s">
        <v>6311</v>
      </c>
      <c r="N3272" t="s">
        <v>3</v>
      </c>
      <c r="O3272" t="s">
        <v>3</v>
      </c>
      <c r="P3272" t="s">
        <v>5</v>
      </c>
      <c r="Q3272" t="s">
        <v>6312</v>
      </c>
      <c r="R3272" t="s">
        <v>3</v>
      </c>
      <c r="S3272" t="s">
        <v>3</v>
      </c>
      <c r="T3272" t="s">
        <v>3</v>
      </c>
      <c r="U3272" t="s">
        <v>3</v>
      </c>
      <c r="V3272" t="s">
        <v>3</v>
      </c>
      <c r="W3272" t="s">
        <v>68</v>
      </c>
      <c r="X3272" s="17"/>
      <c r="Y3272" t="s">
        <v>3</v>
      </c>
      <c r="Z3272" s="17">
        <v>43983</v>
      </c>
      <c r="AA3272" t="s">
        <v>3</v>
      </c>
      <c r="AB3272" t="s">
        <v>6310</v>
      </c>
    </row>
    <row r="3273" spans="1:28" hidden="1">
      <c r="A3273" t="s">
        <v>6313</v>
      </c>
      <c r="B3273" s="17">
        <v>43983</v>
      </c>
      <c r="C3273" s="17">
        <v>43983</v>
      </c>
      <c r="D3273" t="s">
        <v>0</v>
      </c>
      <c r="E3273" t="s">
        <v>1</v>
      </c>
      <c r="F3273" s="18">
        <v>-736619.2</v>
      </c>
      <c r="G3273" s="18">
        <v>-736619.2</v>
      </c>
      <c r="H3273" t="s">
        <v>2</v>
      </c>
      <c r="I3273" t="s">
        <v>8</v>
      </c>
      <c r="J3273" s="18">
        <v>-61839181.840000004</v>
      </c>
      <c r="K3273" t="s">
        <v>6314</v>
      </c>
      <c r="L3273" t="s">
        <v>9</v>
      </c>
      <c r="M3273" t="s">
        <v>6315</v>
      </c>
      <c r="N3273" t="s">
        <v>3</v>
      </c>
      <c r="O3273" t="s">
        <v>3</v>
      </c>
      <c r="P3273" t="s">
        <v>5</v>
      </c>
      <c r="Q3273" t="s">
        <v>6316</v>
      </c>
      <c r="R3273" t="s">
        <v>3</v>
      </c>
      <c r="S3273" t="s">
        <v>3</v>
      </c>
      <c r="T3273" t="s">
        <v>3</v>
      </c>
      <c r="U3273" t="s">
        <v>3</v>
      </c>
      <c r="V3273" t="s">
        <v>3</v>
      </c>
      <c r="W3273" t="s">
        <v>68</v>
      </c>
      <c r="X3273" s="17"/>
      <c r="Y3273" t="s">
        <v>3</v>
      </c>
      <c r="Z3273" s="17">
        <v>43983</v>
      </c>
      <c r="AA3273" t="s">
        <v>3</v>
      </c>
      <c r="AB3273" t="s">
        <v>6313</v>
      </c>
    </row>
    <row r="3274" spans="1:28" hidden="1">
      <c r="A3274" t="s">
        <v>6408</v>
      </c>
      <c r="B3274" s="17">
        <v>43983</v>
      </c>
      <c r="C3274" s="17">
        <v>43983</v>
      </c>
      <c r="D3274" t="s">
        <v>0</v>
      </c>
      <c r="E3274" t="s">
        <v>1</v>
      </c>
      <c r="F3274" s="18">
        <v>7764.34</v>
      </c>
      <c r="G3274" s="18">
        <v>7764.34</v>
      </c>
      <c r="H3274" t="s">
        <v>2</v>
      </c>
      <c r="I3274" t="s">
        <v>10</v>
      </c>
      <c r="J3274" s="18">
        <v>651816.34</v>
      </c>
      <c r="K3274" t="s">
        <v>3</v>
      </c>
      <c r="L3274" t="s">
        <v>4</v>
      </c>
      <c r="M3274" t="s">
        <v>6409</v>
      </c>
      <c r="N3274" t="s">
        <v>3</v>
      </c>
      <c r="O3274" t="s">
        <v>3</v>
      </c>
      <c r="P3274" t="s">
        <v>5</v>
      </c>
      <c r="Q3274" t="s">
        <v>6410</v>
      </c>
      <c r="R3274" t="s">
        <v>3</v>
      </c>
      <c r="S3274" t="s">
        <v>3</v>
      </c>
      <c r="T3274" t="s">
        <v>3</v>
      </c>
      <c r="U3274" t="s">
        <v>3</v>
      </c>
      <c r="V3274" t="s">
        <v>3</v>
      </c>
      <c r="W3274" t="s">
        <v>68</v>
      </c>
      <c r="X3274" s="17"/>
      <c r="Y3274" t="s">
        <v>3</v>
      </c>
      <c r="Z3274" s="17">
        <v>43983</v>
      </c>
      <c r="AA3274" t="s">
        <v>3</v>
      </c>
      <c r="AB3274" t="s">
        <v>6408</v>
      </c>
    </row>
    <row r="3275" spans="1:28" hidden="1">
      <c r="A3275" t="s">
        <v>6408</v>
      </c>
      <c r="B3275" s="17">
        <v>43983</v>
      </c>
      <c r="C3275" s="17">
        <v>43983</v>
      </c>
      <c r="D3275" t="s">
        <v>0</v>
      </c>
      <c r="E3275" t="s">
        <v>1</v>
      </c>
      <c r="F3275" s="18">
        <v>29482.9</v>
      </c>
      <c r="G3275" s="18">
        <v>29482.9</v>
      </c>
      <c r="H3275" t="s">
        <v>2</v>
      </c>
      <c r="I3275" t="s">
        <v>10</v>
      </c>
      <c r="J3275" s="18">
        <v>2475089.46</v>
      </c>
      <c r="K3275" t="s">
        <v>3</v>
      </c>
      <c r="L3275" t="s">
        <v>4</v>
      </c>
      <c r="M3275" t="s">
        <v>6409</v>
      </c>
      <c r="N3275" t="s">
        <v>3</v>
      </c>
      <c r="O3275" t="s">
        <v>3</v>
      </c>
      <c r="P3275" t="s">
        <v>5</v>
      </c>
      <c r="Q3275" t="s">
        <v>6410</v>
      </c>
      <c r="R3275" t="s">
        <v>3</v>
      </c>
      <c r="S3275" t="s">
        <v>3</v>
      </c>
      <c r="T3275" t="s">
        <v>3</v>
      </c>
      <c r="U3275" t="s">
        <v>3</v>
      </c>
      <c r="V3275" t="s">
        <v>3</v>
      </c>
      <c r="W3275" t="s">
        <v>68</v>
      </c>
      <c r="X3275" s="17"/>
      <c r="Y3275" t="s">
        <v>3</v>
      </c>
      <c r="Z3275" s="17">
        <v>43983</v>
      </c>
      <c r="AA3275" t="s">
        <v>3</v>
      </c>
      <c r="AB3275" t="s">
        <v>6408</v>
      </c>
    </row>
    <row r="3276" spans="1:28" hidden="1">
      <c r="A3276" t="s">
        <v>4463</v>
      </c>
      <c r="B3276" s="17">
        <v>43984</v>
      </c>
      <c r="C3276" s="17">
        <v>43984</v>
      </c>
      <c r="D3276" t="s">
        <v>38</v>
      </c>
      <c r="E3276" t="s">
        <v>1</v>
      </c>
      <c r="F3276" s="18">
        <v>107540.29</v>
      </c>
      <c r="G3276" s="18">
        <v>107540.29</v>
      </c>
      <c r="H3276" t="s">
        <v>2</v>
      </c>
      <c r="I3276" t="s">
        <v>10</v>
      </c>
      <c r="J3276" s="18">
        <v>9028007.3499999996</v>
      </c>
      <c r="K3276" t="s">
        <v>4464</v>
      </c>
      <c r="L3276" t="s">
        <v>4</v>
      </c>
      <c r="M3276" t="s">
        <v>4465</v>
      </c>
      <c r="N3276" t="s">
        <v>3</v>
      </c>
      <c r="O3276" t="s">
        <v>3</v>
      </c>
      <c r="P3276" t="s">
        <v>5</v>
      </c>
      <c r="Q3276" t="s">
        <v>4466</v>
      </c>
      <c r="R3276" t="s">
        <v>3</v>
      </c>
      <c r="S3276" t="s">
        <v>3</v>
      </c>
      <c r="T3276" t="s">
        <v>3</v>
      </c>
      <c r="U3276" t="s">
        <v>3</v>
      </c>
      <c r="V3276" t="s">
        <v>4467</v>
      </c>
      <c r="W3276" t="s">
        <v>68</v>
      </c>
      <c r="X3276" s="17">
        <v>43984</v>
      </c>
      <c r="Y3276" t="s">
        <v>4463</v>
      </c>
      <c r="Z3276" s="17">
        <v>43984</v>
      </c>
      <c r="AA3276" t="s">
        <v>3</v>
      </c>
      <c r="AB3276" t="s">
        <v>4463</v>
      </c>
    </row>
    <row r="3277" spans="1:28" hidden="1">
      <c r="A3277" t="s">
        <v>6317</v>
      </c>
      <c r="B3277" s="17">
        <v>43984</v>
      </c>
      <c r="C3277" s="17">
        <v>43984</v>
      </c>
      <c r="D3277" t="s">
        <v>0</v>
      </c>
      <c r="E3277" t="s">
        <v>1</v>
      </c>
      <c r="F3277" s="18">
        <v>-58621.760000000002</v>
      </c>
      <c r="G3277" s="18">
        <v>-58621.760000000002</v>
      </c>
      <c r="H3277" t="s">
        <v>2</v>
      </c>
      <c r="I3277" t="s">
        <v>8</v>
      </c>
      <c r="J3277" s="18">
        <v>-4921296.76</v>
      </c>
      <c r="K3277" t="s">
        <v>6318</v>
      </c>
      <c r="L3277" t="s">
        <v>4</v>
      </c>
      <c r="M3277" t="s">
        <v>6319</v>
      </c>
      <c r="N3277" t="s">
        <v>3</v>
      </c>
      <c r="O3277" t="s">
        <v>3</v>
      </c>
      <c r="P3277" t="s">
        <v>5</v>
      </c>
      <c r="Q3277" t="s">
        <v>6320</v>
      </c>
      <c r="R3277" t="s">
        <v>3</v>
      </c>
      <c r="S3277" t="s">
        <v>3</v>
      </c>
      <c r="T3277" t="s">
        <v>3</v>
      </c>
      <c r="U3277" t="s">
        <v>3</v>
      </c>
      <c r="V3277" t="s">
        <v>3</v>
      </c>
      <c r="W3277" t="s">
        <v>68</v>
      </c>
      <c r="X3277" s="17"/>
      <c r="Y3277" t="s">
        <v>3</v>
      </c>
      <c r="Z3277" s="17">
        <v>43984</v>
      </c>
      <c r="AA3277" t="s">
        <v>3</v>
      </c>
      <c r="AB3277" t="s">
        <v>6317</v>
      </c>
    </row>
    <row r="3278" spans="1:28" hidden="1">
      <c r="A3278" t="s">
        <v>6341</v>
      </c>
      <c r="B3278" s="17">
        <v>43984</v>
      </c>
      <c r="C3278" s="17">
        <v>43984</v>
      </c>
      <c r="D3278" t="s">
        <v>0</v>
      </c>
      <c r="E3278" t="s">
        <v>1</v>
      </c>
      <c r="F3278" s="18">
        <v>8150.44</v>
      </c>
      <c r="G3278" s="18">
        <v>8150.44</v>
      </c>
      <c r="H3278" t="s">
        <v>2</v>
      </c>
      <c r="I3278" t="s">
        <v>10</v>
      </c>
      <c r="J3278" s="18">
        <v>684229.44</v>
      </c>
      <c r="K3278" t="s">
        <v>3</v>
      </c>
      <c r="L3278" t="s">
        <v>4</v>
      </c>
      <c r="M3278" t="s">
        <v>6342</v>
      </c>
      <c r="N3278" t="s">
        <v>3</v>
      </c>
      <c r="O3278" t="s">
        <v>3</v>
      </c>
      <c r="P3278" t="s">
        <v>5</v>
      </c>
      <c r="Q3278" t="s">
        <v>6343</v>
      </c>
      <c r="R3278" t="s">
        <v>3</v>
      </c>
      <c r="S3278" t="s">
        <v>3</v>
      </c>
      <c r="T3278" t="s">
        <v>3</v>
      </c>
      <c r="U3278" t="s">
        <v>3</v>
      </c>
      <c r="V3278" t="s">
        <v>3</v>
      </c>
      <c r="W3278" t="s">
        <v>68</v>
      </c>
      <c r="X3278" s="17"/>
      <c r="Y3278" t="s">
        <v>3</v>
      </c>
      <c r="Z3278" s="17">
        <v>43984</v>
      </c>
      <c r="AA3278" t="s">
        <v>3</v>
      </c>
      <c r="AB3278" t="s">
        <v>6341</v>
      </c>
    </row>
    <row r="3279" spans="1:28" hidden="1">
      <c r="A3279" t="s">
        <v>6344</v>
      </c>
      <c r="B3279" s="17">
        <v>43984</v>
      </c>
      <c r="C3279" s="17">
        <v>43984</v>
      </c>
      <c r="D3279" t="s">
        <v>0</v>
      </c>
      <c r="E3279" t="s">
        <v>1</v>
      </c>
      <c r="F3279" s="18">
        <v>-107540.29</v>
      </c>
      <c r="G3279" s="18">
        <v>-107540.29</v>
      </c>
      <c r="H3279" t="s">
        <v>2</v>
      </c>
      <c r="I3279" t="s">
        <v>10</v>
      </c>
      <c r="J3279" s="18">
        <v>-9028007.3499999996</v>
      </c>
      <c r="K3279" t="s">
        <v>4464</v>
      </c>
      <c r="L3279" t="s">
        <v>4</v>
      </c>
      <c r="M3279" t="s">
        <v>4465</v>
      </c>
      <c r="N3279" t="s">
        <v>3</v>
      </c>
      <c r="O3279" t="s">
        <v>3</v>
      </c>
      <c r="P3279" t="s">
        <v>5</v>
      </c>
      <c r="Q3279" t="s">
        <v>4466</v>
      </c>
      <c r="R3279" t="s">
        <v>3</v>
      </c>
      <c r="S3279" t="s">
        <v>3</v>
      </c>
      <c r="T3279" t="s">
        <v>3</v>
      </c>
      <c r="U3279" t="s">
        <v>3</v>
      </c>
      <c r="V3279" t="s">
        <v>4467</v>
      </c>
      <c r="W3279" t="s">
        <v>68</v>
      </c>
      <c r="X3279" s="17">
        <v>43984</v>
      </c>
      <c r="Y3279" t="s">
        <v>4463</v>
      </c>
      <c r="Z3279" s="17">
        <v>43984</v>
      </c>
      <c r="AA3279" t="s">
        <v>3</v>
      </c>
      <c r="AB3279" t="s">
        <v>6344</v>
      </c>
    </row>
    <row r="3280" spans="1:28" hidden="1">
      <c r="A3280" t="s">
        <v>6380</v>
      </c>
      <c r="B3280" s="17">
        <v>43984</v>
      </c>
      <c r="C3280" s="17">
        <v>43984</v>
      </c>
      <c r="D3280" t="s">
        <v>0</v>
      </c>
      <c r="E3280" t="s">
        <v>1</v>
      </c>
      <c r="F3280" s="18">
        <v>-107540.29</v>
      </c>
      <c r="G3280" s="18">
        <v>-107540.29</v>
      </c>
      <c r="H3280" t="s">
        <v>2</v>
      </c>
      <c r="I3280" t="s">
        <v>10</v>
      </c>
      <c r="J3280" s="18">
        <v>-9028007.3499999996</v>
      </c>
      <c r="K3280" t="s">
        <v>6381</v>
      </c>
      <c r="L3280" t="s">
        <v>4</v>
      </c>
      <c r="M3280" t="s">
        <v>4465</v>
      </c>
      <c r="N3280" t="s">
        <v>3</v>
      </c>
      <c r="O3280" t="s">
        <v>3</v>
      </c>
      <c r="P3280" t="s">
        <v>5</v>
      </c>
      <c r="Q3280" t="s">
        <v>4466</v>
      </c>
      <c r="R3280" t="s">
        <v>3</v>
      </c>
      <c r="S3280" t="s">
        <v>3</v>
      </c>
      <c r="T3280" t="s">
        <v>3</v>
      </c>
      <c r="U3280" t="s">
        <v>3</v>
      </c>
      <c r="V3280" t="s">
        <v>4467</v>
      </c>
      <c r="W3280" t="s">
        <v>68</v>
      </c>
      <c r="X3280" s="17"/>
      <c r="Y3280" t="s">
        <v>3</v>
      </c>
      <c r="Z3280" s="17">
        <v>43984</v>
      </c>
      <c r="AA3280" t="s">
        <v>3</v>
      </c>
      <c r="AB3280" t="s">
        <v>6380</v>
      </c>
    </row>
    <row r="3281" spans="1:28" hidden="1">
      <c r="A3281" t="s">
        <v>6420</v>
      </c>
      <c r="B3281" s="17">
        <v>43984</v>
      </c>
      <c r="C3281" s="17">
        <v>43984</v>
      </c>
      <c r="D3281" t="s">
        <v>0</v>
      </c>
      <c r="E3281" t="s">
        <v>1</v>
      </c>
      <c r="F3281" s="18">
        <v>-16.579999999999998</v>
      </c>
      <c r="G3281" s="18">
        <v>-16.579999999999998</v>
      </c>
      <c r="H3281" t="s">
        <v>2</v>
      </c>
      <c r="I3281" t="s">
        <v>41</v>
      </c>
      <c r="J3281" s="18">
        <v>-1391.89</v>
      </c>
      <c r="K3281" t="s">
        <v>4476</v>
      </c>
      <c r="L3281" t="s">
        <v>4</v>
      </c>
      <c r="M3281" t="s">
        <v>4477</v>
      </c>
      <c r="N3281" t="s">
        <v>3</v>
      </c>
      <c r="O3281" t="s">
        <v>3</v>
      </c>
      <c r="P3281" t="s">
        <v>5</v>
      </c>
      <c r="Q3281" t="s">
        <v>4478</v>
      </c>
      <c r="R3281" t="s">
        <v>3</v>
      </c>
      <c r="S3281" t="s">
        <v>3</v>
      </c>
      <c r="T3281" t="s">
        <v>3</v>
      </c>
      <c r="U3281" t="s">
        <v>3</v>
      </c>
      <c r="V3281" t="s">
        <v>3</v>
      </c>
      <c r="W3281" t="s">
        <v>68</v>
      </c>
      <c r="X3281" s="17"/>
      <c r="Y3281" t="s">
        <v>3</v>
      </c>
      <c r="Z3281" s="17">
        <v>43984</v>
      </c>
      <c r="AA3281" t="s">
        <v>3</v>
      </c>
      <c r="AB3281" t="s">
        <v>6420</v>
      </c>
    </row>
    <row r="3282" spans="1:28" hidden="1">
      <c r="A3282" t="s">
        <v>6321</v>
      </c>
      <c r="B3282" s="17">
        <v>43989</v>
      </c>
      <c r="C3282" s="17">
        <v>43989</v>
      </c>
      <c r="D3282" t="s">
        <v>0</v>
      </c>
      <c r="E3282" t="s">
        <v>1</v>
      </c>
      <c r="F3282" s="18">
        <v>13203</v>
      </c>
      <c r="G3282" s="18">
        <v>13203</v>
      </c>
      <c r="H3282" t="s">
        <v>2</v>
      </c>
      <c r="I3282" t="s">
        <v>8</v>
      </c>
      <c r="J3282" s="18">
        <v>1108391.8500000001</v>
      </c>
      <c r="K3282" t="s">
        <v>6322</v>
      </c>
      <c r="L3282" t="s">
        <v>9</v>
      </c>
      <c r="M3282" t="s">
        <v>6323</v>
      </c>
      <c r="N3282" t="s">
        <v>3</v>
      </c>
      <c r="O3282" t="s">
        <v>3</v>
      </c>
      <c r="P3282" t="s">
        <v>5</v>
      </c>
      <c r="Q3282" t="s">
        <v>6324</v>
      </c>
      <c r="R3282" t="s">
        <v>3</v>
      </c>
      <c r="S3282" t="s">
        <v>3</v>
      </c>
      <c r="T3282" t="s">
        <v>3</v>
      </c>
      <c r="U3282" t="s">
        <v>3</v>
      </c>
      <c r="V3282" t="s">
        <v>3</v>
      </c>
      <c r="W3282" t="s">
        <v>68</v>
      </c>
      <c r="X3282" s="17"/>
      <c r="Y3282" t="s">
        <v>3</v>
      </c>
      <c r="Z3282" s="17">
        <v>43989</v>
      </c>
      <c r="AA3282" t="s">
        <v>3</v>
      </c>
      <c r="AB3282" t="s">
        <v>6321</v>
      </c>
    </row>
    <row r="3283" spans="1:28" hidden="1">
      <c r="A3283" t="s">
        <v>6321</v>
      </c>
      <c r="B3283" s="17">
        <v>43989</v>
      </c>
      <c r="C3283" s="17">
        <v>43989</v>
      </c>
      <c r="D3283" t="s">
        <v>0</v>
      </c>
      <c r="E3283" t="s">
        <v>1</v>
      </c>
      <c r="F3283" s="18">
        <v>3676</v>
      </c>
      <c r="G3283" s="18">
        <v>3676</v>
      </c>
      <c r="H3283" t="s">
        <v>2</v>
      </c>
      <c r="I3283" t="s">
        <v>8</v>
      </c>
      <c r="J3283" s="18">
        <v>308600.2</v>
      </c>
      <c r="K3283" t="s">
        <v>6325</v>
      </c>
      <c r="L3283" t="s">
        <v>9</v>
      </c>
      <c r="M3283" t="s">
        <v>6323</v>
      </c>
      <c r="N3283" t="s">
        <v>3</v>
      </c>
      <c r="O3283" t="s">
        <v>3</v>
      </c>
      <c r="P3283" t="s">
        <v>5</v>
      </c>
      <c r="Q3283" t="s">
        <v>6324</v>
      </c>
      <c r="R3283" t="s">
        <v>3</v>
      </c>
      <c r="S3283" t="s">
        <v>3</v>
      </c>
      <c r="T3283" t="s">
        <v>3</v>
      </c>
      <c r="U3283" t="s">
        <v>3</v>
      </c>
      <c r="V3283" t="s">
        <v>3</v>
      </c>
      <c r="W3283" t="s">
        <v>68</v>
      </c>
      <c r="X3283" s="17"/>
      <c r="Y3283" t="s">
        <v>3</v>
      </c>
      <c r="Z3283" s="17">
        <v>43989</v>
      </c>
      <c r="AA3283" t="s">
        <v>3</v>
      </c>
      <c r="AB3283" t="s">
        <v>6321</v>
      </c>
    </row>
    <row r="3284" spans="1:28" hidden="1">
      <c r="A3284" t="s">
        <v>6326</v>
      </c>
      <c r="B3284" s="17">
        <v>43990</v>
      </c>
      <c r="C3284" s="17">
        <v>43990</v>
      </c>
      <c r="D3284" t="s">
        <v>0</v>
      </c>
      <c r="E3284" t="s">
        <v>1</v>
      </c>
      <c r="F3284" s="18">
        <v>11176</v>
      </c>
      <c r="G3284" s="18">
        <v>11176</v>
      </c>
      <c r="H3284" t="s">
        <v>2</v>
      </c>
      <c r="I3284" t="s">
        <v>8</v>
      </c>
      <c r="J3284" s="18">
        <v>938225.2</v>
      </c>
      <c r="K3284" t="s">
        <v>6327</v>
      </c>
      <c r="L3284" t="s">
        <v>9</v>
      </c>
      <c r="M3284" t="s">
        <v>6328</v>
      </c>
      <c r="N3284" t="s">
        <v>3</v>
      </c>
      <c r="O3284" t="s">
        <v>3</v>
      </c>
      <c r="P3284" t="s">
        <v>5</v>
      </c>
      <c r="Q3284" t="s">
        <v>6329</v>
      </c>
      <c r="R3284" t="s">
        <v>3</v>
      </c>
      <c r="S3284" t="s">
        <v>3</v>
      </c>
      <c r="T3284" t="s">
        <v>3</v>
      </c>
      <c r="U3284" t="s">
        <v>3</v>
      </c>
      <c r="V3284" t="s">
        <v>3</v>
      </c>
      <c r="W3284" t="s">
        <v>68</v>
      </c>
      <c r="X3284" s="17"/>
      <c r="Y3284" t="s">
        <v>3</v>
      </c>
      <c r="Z3284" s="17">
        <v>43990</v>
      </c>
      <c r="AA3284" t="s">
        <v>3</v>
      </c>
      <c r="AB3284" t="s">
        <v>6326</v>
      </c>
    </row>
    <row r="3285" spans="1:28" hidden="1">
      <c r="A3285" t="s">
        <v>6326</v>
      </c>
      <c r="B3285" s="17">
        <v>43990</v>
      </c>
      <c r="C3285" s="17">
        <v>43990</v>
      </c>
      <c r="D3285" t="s">
        <v>0</v>
      </c>
      <c r="E3285" t="s">
        <v>1</v>
      </c>
      <c r="F3285" s="18">
        <v>28016</v>
      </c>
      <c r="G3285" s="18">
        <v>28016</v>
      </c>
      <c r="H3285" t="s">
        <v>2</v>
      </c>
      <c r="I3285" t="s">
        <v>8</v>
      </c>
      <c r="J3285" s="18">
        <v>2351943.2000000002</v>
      </c>
      <c r="K3285" t="s">
        <v>6294</v>
      </c>
      <c r="L3285" t="s">
        <v>9</v>
      </c>
      <c r="M3285" t="s">
        <v>6328</v>
      </c>
      <c r="N3285" t="s">
        <v>3</v>
      </c>
      <c r="O3285" t="s">
        <v>3</v>
      </c>
      <c r="P3285" t="s">
        <v>5</v>
      </c>
      <c r="Q3285" t="s">
        <v>6329</v>
      </c>
      <c r="R3285" t="s">
        <v>3</v>
      </c>
      <c r="S3285" t="s">
        <v>3</v>
      </c>
      <c r="T3285" t="s">
        <v>3</v>
      </c>
      <c r="U3285" t="s">
        <v>3</v>
      </c>
      <c r="V3285" t="s">
        <v>3</v>
      </c>
      <c r="W3285" t="s">
        <v>68</v>
      </c>
      <c r="X3285" s="17"/>
      <c r="Y3285" t="s">
        <v>3</v>
      </c>
      <c r="Z3285" s="17">
        <v>43990</v>
      </c>
      <c r="AA3285" t="s">
        <v>3</v>
      </c>
      <c r="AB3285" t="s">
        <v>6326</v>
      </c>
    </row>
    <row r="3286" spans="1:28" hidden="1">
      <c r="A3286" t="s">
        <v>6326</v>
      </c>
      <c r="B3286" s="17">
        <v>43990</v>
      </c>
      <c r="C3286" s="17">
        <v>43990</v>
      </c>
      <c r="D3286" t="s">
        <v>0</v>
      </c>
      <c r="E3286" t="s">
        <v>1</v>
      </c>
      <c r="F3286" s="18">
        <v>39843</v>
      </c>
      <c r="G3286" s="18">
        <v>39843</v>
      </c>
      <c r="H3286" t="s">
        <v>2</v>
      </c>
      <c r="I3286" t="s">
        <v>8</v>
      </c>
      <c r="J3286" s="18">
        <v>3344819.85</v>
      </c>
      <c r="K3286" t="s">
        <v>6297</v>
      </c>
      <c r="L3286" t="s">
        <v>9</v>
      </c>
      <c r="M3286" t="s">
        <v>6328</v>
      </c>
      <c r="N3286" t="s">
        <v>3</v>
      </c>
      <c r="O3286" t="s">
        <v>3</v>
      </c>
      <c r="P3286" t="s">
        <v>5</v>
      </c>
      <c r="Q3286" t="s">
        <v>6329</v>
      </c>
      <c r="R3286" t="s">
        <v>3</v>
      </c>
      <c r="S3286" t="s">
        <v>3</v>
      </c>
      <c r="T3286" t="s">
        <v>3</v>
      </c>
      <c r="U3286" t="s">
        <v>3</v>
      </c>
      <c r="V3286" t="s">
        <v>3</v>
      </c>
      <c r="W3286" t="s">
        <v>68</v>
      </c>
      <c r="X3286" s="17"/>
      <c r="Y3286" t="s">
        <v>3</v>
      </c>
      <c r="Z3286" s="17">
        <v>43990</v>
      </c>
      <c r="AA3286" t="s">
        <v>3</v>
      </c>
      <c r="AB3286" t="s">
        <v>6326</v>
      </c>
    </row>
    <row r="3287" spans="1:28" hidden="1">
      <c r="A3287" t="s">
        <v>6326</v>
      </c>
      <c r="B3287" s="17">
        <v>43990</v>
      </c>
      <c r="C3287" s="17">
        <v>43990</v>
      </c>
      <c r="D3287" t="s">
        <v>0</v>
      </c>
      <c r="E3287" t="s">
        <v>1</v>
      </c>
      <c r="F3287" s="18">
        <v>37980</v>
      </c>
      <c r="G3287" s="18">
        <v>37980</v>
      </c>
      <c r="H3287" t="s">
        <v>2</v>
      </c>
      <c r="I3287" t="s">
        <v>8</v>
      </c>
      <c r="J3287" s="18">
        <v>3188421</v>
      </c>
      <c r="K3287" t="s">
        <v>6322</v>
      </c>
      <c r="L3287" t="s">
        <v>9</v>
      </c>
      <c r="M3287" t="s">
        <v>6328</v>
      </c>
      <c r="N3287" t="s">
        <v>3</v>
      </c>
      <c r="O3287" t="s">
        <v>3</v>
      </c>
      <c r="P3287" t="s">
        <v>5</v>
      </c>
      <c r="Q3287" t="s">
        <v>6329</v>
      </c>
      <c r="R3287" t="s">
        <v>3</v>
      </c>
      <c r="S3287" t="s">
        <v>3</v>
      </c>
      <c r="T3287" t="s">
        <v>3</v>
      </c>
      <c r="U3287" t="s">
        <v>3</v>
      </c>
      <c r="V3287" t="s">
        <v>3</v>
      </c>
      <c r="W3287" t="s">
        <v>68</v>
      </c>
      <c r="X3287" s="17"/>
      <c r="Y3287" t="s">
        <v>3</v>
      </c>
      <c r="Z3287" s="17">
        <v>43990</v>
      </c>
      <c r="AA3287" t="s">
        <v>3</v>
      </c>
      <c r="AB3287" t="s">
        <v>6326</v>
      </c>
    </row>
    <row r="3288" spans="1:28" hidden="1">
      <c r="A3288" t="s">
        <v>6326</v>
      </c>
      <c r="B3288" s="17">
        <v>43990</v>
      </c>
      <c r="C3288" s="17">
        <v>43990</v>
      </c>
      <c r="D3288" t="s">
        <v>0</v>
      </c>
      <c r="E3288" t="s">
        <v>1</v>
      </c>
      <c r="F3288" s="18">
        <v>75370</v>
      </c>
      <c r="G3288" s="18">
        <v>75370</v>
      </c>
      <c r="H3288" t="s">
        <v>2</v>
      </c>
      <c r="I3288" t="s">
        <v>8</v>
      </c>
      <c r="J3288" s="18">
        <v>6327311.5</v>
      </c>
      <c r="K3288" t="s">
        <v>6298</v>
      </c>
      <c r="L3288" t="s">
        <v>9</v>
      </c>
      <c r="M3288" t="s">
        <v>6328</v>
      </c>
      <c r="N3288" t="s">
        <v>3</v>
      </c>
      <c r="O3288" t="s">
        <v>3</v>
      </c>
      <c r="P3288" t="s">
        <v>5</v>
      </c>
      <c r="Q3288" t="s">
        <v>6329</v>
      </c>
      <c r="R3288" t="s">
        <v>3</v>
      </c>
      <c r="S3288" t="s">
        <v>3</v>
      </c>
      <c r="T3288" t="s">
        <v>3</v>
      </c>
      <c r="U3288" t="s">
        <v>3</v>
      </c>
      <c r="V3288" t="s">
        <v>3</v>
      </c>
      <c r="W3288" t="s">
        <v>68</v>
      </c>
      <c r="X3288" s="17"/>
      <c r="Y3288" t="s">
        <v>3</v>
      </c>
      <c r="Z3288" s="17">
        <v>43990</v>
      </c>
      <c r="AA3288" t="s">
        <v>3</v>
      </c>
      <c r="AB3288" t="s">
        <v>6326</v>
      </c>
    </row>
    <row r="3289" spans="1:28" hidden="1">
      <c r="A3289" t="s">
        <v>6326</v>
      </c>
      <c r="B3289" s="17">
        <v>43990</v>
      </c>
      <c r="C3289" s="17">
        <v>43990</v>
      </c>
      <c r="D3289" t="s">
        <v>0</v>
      </c>
      <c r="E3289" t="s">
        <v>1</v>
      </c>
      <c r="F3289" s="18">
        <v>3362</v>
      </c>
      <c r="G3289" s="18">
        <v>3362</v>
      </c>
      <c r="H3289" t="s">
        <v>2</v>
      </c>
      <c r="I3289" t="s">
        <v>8</v>
      </c>
      <c r="J3289" s="18">
        <v>282239.90000000002</v>
      </c>
      <c r="K3289" t="s">
        <v>6330</v>
      </c>
      <c r="L3289" t="s">
        <v>9</v>
      </c>
      <c r="M3289" t="s">
        <v>6328</v>
      </c>
      <c r="N3289" t="s">
        <v>3</v>
      </c>
      <c r="O3289" t="s">
        <v>3</v>
      </c>
      <c r="P3289" t="s">
        <v>5</v>
      </c>
      <c r="Q3289" t="s">
        <v>6329</v>
      </c>
      <c r="R3289" t="s">
        <v>3</v>
      </c>
      <c r="S3289" t="s">
        <v>3</v>
      </c>
      <c r="T3289" t="s">
        <v>3</v>
      </c>
      <c r="U3289" t="s">
        <v>3</v>
      </c>
      <c r="V3289" t="s">
        <v>3</v>
      </c>
      <c r="W3289" t="s">
        <v>68</v>
      </c>
      <c r="X3289" s="17"/>
      <c r="Y3289" t="s">
        <v>3</v>
      </c>
      <c r="Z3289" s="17">
        <v>43990</v>
      </c>
      <c r="AA3289" t="s">
        <v>3</v>
      </c>
      <c r="AB3289" t="s">
        <v>6326</v>
      </c>
    </row>
    <row r="3290" spans="1:28" hidden="1">
      <c r="A3290" t="s">
        <v>6326</v>
      </c>
      <c r="B3290" s="17">
        <v>43990</v>
      </c>
      <c r="C3290" s="17">
        <v>43990</v>
      </c>
      <c r="D3290" t="s">
        <v>0</v>
      </c>
      <c r="E3290" t="s">
        <v>1</v>
      </c>
      <c r="F3290" s="18">
        <v>9520</v>
      </c>
      <c r="G3290" s="18">
        <v>9520</v>
      </c>
      <c r="H3290" t="s">
        <v>2</v>
      </c>
      <c r="I3290" t="s">
        <v>8</v>
      </c>
      <c r="J3290" s="18">
        <v>799204</v>
      </c>
      <c r="K3290" t="s">
        <v>6299</v>
      </c>
      <c r="L3290" t="s">
        <v>9</v>
      </c>
      <c r="M3290" t="s">
        <v>6328</v>
      </c>
      <c r="N3290" t="s">
        <v>3</v>
      </c>
      <c r="O3290" t="s">
        <v>3</v>
      </c>
      <c r="P3290" t="s">
        <v>5</v>
      </c>
      <c r="Q3290" t="s">
        <v>6329</v>
      </c>
      <c r="R3290" t="s">
        <v>3</v>
      </c>
      <c r="S3290" t="s">
        <v>3</v>
      </c>
      <c r="T3290" t="s">
        <v>3</v>
      </c>
      <c r="U3290" t="s">
        <v>3</v>
      </c>
      <c r="V3290" t="s">
        <v>3</v>
      </c>
      <c r="W3290" t="s">
        <v>68</v>
      </c>
      <c r="X3290" s="17"/>
      <c r="Y3290" t="s">
        <v>3</v>
      </c>
      <c r="Z3290" s="17">
        <v>43990</v>
      </c>
      <c r="AA3290" t="s">
        <v>3</v>
      </c>
      <c r="AB3290" t="s">
        <v>6326</v>
      </c>
    </row>
    <row r="3291" spans="1:28" hidden="1">
      <c r="A3291" t="s">
        <v>6326</v>
      </c>
      <c r="B3291" s="17">
        <v>43990</v>
      </c>
      <c r="C3291" s="17">
        <v>43990</v>
      </c>
      <c r="D3291" t="s">
        <v>0</v>
      </c>
      <c r="E3291" t="s">
        <v>1</v>
      </c>
      <c r="F3291" s="18">
        <v>8858</v>
      </c>
      <c r="G3291" s="18">
        <v>8858</v>
      </c>
      <c r="H3291" t="s">
        <v>2</v>
      </c>
      <c r="I3291" t="s">
        <v>8</v>
      </c>
      <c r="J3291" s="18">
        <v>743629.1</v>
      </c>
      <c r="K3291" t="s">
        <v>6325</v>
      </c>
      <c r="L3291" t="s">
        <v>9</v>
      </c>
      <c r="M3291" t="s">
        <v>6328</v>
      </c>
      <c r="N3291" t="s">
        <v>3</v>
      </c>
      <c r="O3291" t="s">
        <v>3</v>
      </c>
      <c r="P3291" t="s">
        <v>5</v>
      </c>
      <c r="Q3291" t="s">
        <v>6329</v>
      </c>
      <c r="R3291" t="s">
        <v>3</v>
      </c>
      <c r="S3291" t="s">
        <v>3</v>
      </c>
      <c r="T3291" t="s">
        <v>3</v>
      </c>
      <c r="U3291" t="s">
        <v>3</v>
      </c>
      <c r="V3291" t="s">
        <v>3</v>
      </c>
      <c r="W3291" t="s">
        <v>68</v>
      </c>
      <c r="X3291" s="17"/>
      <c r="Y3291" t="s">
        <v>3</v>
      </c>
      <c r="Z3291" s="17">
        <v>43990</v>
      </c>
      <c r="AA3291" t="s">
        <v>3</v>
      </c>
      <c r="AB3291" t="s">
        <v>6326</v>
      </c>
    </row>
    <row r="3292" spans="1:28" hidden="1">
      <c r="A3292" t="s">
        <v>6331</v>
      </c>
      <c r="B3292" s="17">
        <v>43990</v>
      </c>
      <c r="C3292" s="17">
        <v>43990</v>
      </c>
      <c r="D3292" t="s">
        <v>0</v>
      </c>
      <c r="E3292" t="s">
        <v>1</v>
      </c>
      <c r="F3292" s="18">
        <v>16728</v>
      </c>
      <c r="G3292" s="18">
        <v>16728</v>
      </c>
      <c r="H3292" t="s">
        <v>2</v>
      </c>
      <c r="I3292" t="s">
        <v>8</v>
      </c>
      <c r="J3292" s="18">
        <v>1404315.6</v>
      </c>
      <c r="K3292" t="s">
        <v>6297</v>
      </c>
      <c r="L3292" t="s">
        <v>9</v>
      </c>
      <c r="M3292" t="s">
        <v>6332</v>
      </c>
      <c r="N3292" t="s">
        <v>3</v>
      </c>
      <c r="O3292" t="s">
        <v>3</v>
      </c>
      <c r="P3292" t="s">
        <v>5</v>
      </c>
      <c r="Q3292" t="s">
        <v>6333</v>
      </c>
      <c r="R3292" t="s">
        <v>3</v>
      </c>
      <c r="S3292" t="s">
        <v>3</v>
      </c>
      <c r="T3292" t="s">
        <v>3</v>
      </c>
      <c r="U3292" t="s">
        <v>3</v>
      </c>
      <c r="V3292" t="s">
        <v>3</v>
      </c>
      <c r="W3292" t="s">
        <v>68</v>
      </c>
      <c r="X3292" s="17"/>
      <c r="Y3292" t="s">
        <v>3</v>
      </c>
      <c r="Z3292" s="17">
        <v>43990</v>
      </c>
      <c r="AA3292" t="s">
        <v>3</v>
      </c>
      <c r="AB3292" t="s">
        <v>6331</v>
      </c>
    </row>
    <row r="3293" spans="1:28" hidden="1">
      <c r="A3293" t="s">
        <v>6331</v>
      </c>
      <c r="B3293" s="17">
        <v>43990</v>
      </c>
      <c r="C3293" s="17">
        <v>43990</v>
      </c>
      <c r="D3293" t="s">
        <v>0</v>
      </c>
      <c r="E3293" t="s">
        <v>1</v>
      </c>
      <c r="F3293" s="18">
        <v>40506</v>
      </c>
      <c r="G3293" s="18">
        <v>40506</v>
      </c>
      <c r="H3293" t="s">
        <v>2</v>
      </c>
      <c r="I3293" t="s">
        <v>8</v>
      </c>
      <c r="J3293" s="18">
        <v>3400478.7</v>
      </c>
      <c r="K3293" t="s">
        <v>6322</v>
      </c>
      <c r="L3293" t="s">
        <v>9</v>
      </c>
      <c r="M3293" t="s">
        <v>6332</v>
      </c>
      <c r="N3293" t="s">
        <v>3</v>
      </c>
      <c r="O3293" t="s">
        <v>3</v>
      </c>
      <c r="P3293" t="s">
        <v>5</v>
      </c>
      <c r="Q3293" t="s">
        <v>6333</v>
      </c>
      <c r="R3293" t="s">
        <v>3</v>
      </c>
      <c r="S3293" t="s">
        <v>3</v>
      </c>
      <c r="T3293" t="s">
        <v>3</v>
      </c>
      <c r="U3293" t="s">
        <v>3</v>
      </c>
      <c r="V3293" t="s">
        <v>3</v>
      </c>
      <c r="W3293" t="s">
        <v>68</v>
      </c>
      <c r="X3293" s="17"/>
      <c r="Y3293" t="s">
        <v>3</v>
      </c>
      <c r="Z3293" s="17">
        <v>43990</v>
      </c>
      <c r="AA3293" t="s">
        <v>3</v>
      </c>
      <c r="AB3293" t="s">
        <v>6331</v>
      </c>
    </row>
    <row r="3294" spans="1:28" hidden="1">
      <c r="A3294" t="s">
        <v>6331</v>
      </c>
      <c r="B3294" s="17">
        <v>43990</v>
      </c>
      <c r="C3294" s="17">
        <v>43990</v>
      </c>
      <c r="D3294" t="s">
        <v>0</v>
      </c>
      <c r="E3294" t="s">
        <v>1</v>
      </c>
      <c r="F3294" s="18">
        <v>25099</v>
      </c>
      <c r="G3294" s="18">
        <v>25099</v>
      </c>
      <c r="H3294" t="s">
        <v>2</v>
      </c>
      <c r="I3294" t="s">
        <v>8</v>
      </c>
      <c r="J3294" s="18">
        <v>2107061.0499999998</v>
      </c>
      <c r="K3294" t="s">
        <v>6330</v>
      </c>
      <c r="L3294" t="s">
        <v>9</v>
      </c>
      <c r="M3294" t="s">
        <v>6332</v>
      </c>
      <c r="N3294" t="s">
        <v>3</v>
      </c>
      <c r="O3294" t="s">
        <v>3</v>
      </c>
      <c r="P3294" t="s">
        <v>5</v>
      </c>
      <c r="Q3294" t="s">
        <v>6333</v>
      </c>
      <c r="R3294" t="s">
        <v>3</v>
      </c>
      <c r="S3294" t="s">
        <v>3</v>
      </c>
      <c r="T3294" t="s">
        <v>3</v>
      </c>
      <c r="U3294" t="s">
        <v>3</v>
      </c>
      <c r="V3294" t="s">
        <v>3</v>
      </c>
      <c r="W3294" t="s">
        <v>68</v>
      </c>
      <c r="X3294" s="17"/>
      <c r="Y3294" t="s">
        <v>3</v>
      </c>
      <c r="Z3294" s="17">
        <v>43990</v>
      </c>
      <c r="AA3294" t="s">
        <v>3</v>
      </c>
      <c r="AB3294" t="s">
        <v>6331</v>
      </c>
    </row>
    <row r="3295" spans="1:28" hidden="1">
      <c r="A3295" t="s">
        <v>6334</v>
      </c>
      <c r="B3295" s="17">
        <v>43991</v>
      </c>
      <c r="C3295" s="17">
        <v>43991</v>
      </c>
      <c r="D3295" t="s">
        <v>0</v>
      </c>
      <c r="E3295" t="s">
        <v>1</v>
      </c>
      <c r="F3295" s="18">
        <v>110.13</v>
      </c>
      <c r="G3295" s="18">
        <v>110.13</v>
      </c>
      <c r="H3295" t="s">
        <v>2</v>
      </c>
      <c r="I3295" t="s">
        <v>8</v>
      </c>
      <c r="J3295" s="18">
        <v>9245.41</v>
      </c>
      <c r="K3295" t="s">
        <v>6335</v>
      </c>
      <c r="L3295" t="s">
        <v>4</v>
      </c>
      <c r="M3295" t="s">
        <v>6336</v>
      </c>
      <c r="N3295" t="s">
        <v>3</v>
      </c>
      <c r="O3295" t="s">
        <v>3</v>
      </c>
      <c r="P3295" t="s">
        <v>5</v>
      </c>
      <c r="Q3295" t="s">
        <v>6337</v>
      </c>
      <c r="R3295" t="s">
        <v>3</v>
      </c>
      <c r="S3295" t="s">
        <v>3</v>
      </c>
      <c r="T3295" t="s">
        <v>3</v>
      </c>
      <c r="U3295" t="s">
        <v>3</v>
      </c>
      <c r="V3295" t="s">
        <v>3</v>
      </c>
      <c r="W3295" t="s">
        <v>68</v>
      </c>
      <c r="X3295" s="17"/>
      <c r="Y3295" t="s">
        <v>3</v>
      </c>
      <c r="Z3295" s="17">
        <v>43991</v>
      </c>
      <c r="AA3295" t="s">
        <v>3</v>
      </c>
      <c r="AB3295" t="s">
        <v>6334</v>
      </c>
    </row>
    <row r="3296" spans="1:28" hidden="1">
      <c r="A3296" t="s">
        <v>6334</v>
      </c>
      <c r="B3296" s="17">
        <v>43991</v>
      </c>
      <c r="C3296" s="17">
        <v>43991</v>
      </c>
      <c r="D3296" t="s">
        <v>0</v>
      </c>
      <c r="E3296" t="s">
        <v>1</v>
      </c>
      <c r="F3296" s="18">
        <v>1357.88</v>
      </c>
      <c r="G3296" s="18">
        <v>1357.88</v>
      </c>
      <c r="H3296" t="s">
        <v>2</v>
      </c>
      <c r="I3296" t="s">
        <v>8</v>
      </c>
      <c r="J3296" s="18">
        <v>113994.03</v>
      </c>
      <c r="K3296" t="s">
        <v>6301</v>
      </c>
      <c r="L3296" t="s">
        <v>4</v>
      </c>
      <c r="M3296" t="s">
        <v>6336</v>
      </c>
      <c r="N3296" t="s">
        <v>3</v>
      </c>
      <c r="O3296" t="s">
        <v>3</v>
      </c>
      <c r="P3296" t="s">
        <v>5</v>
      </c>
      <c r="Q3296" t="s">
        <v>6337</v>
      </c>
      <c r="R3296" t="s">
        <v>3</v>
      </c>
      <c r="S3296" t="s">
        <v>3</v>
      </c>
      <c r="T3296" t="s">
        <v>3</v>
      </c>
      <c r="U3296" t="s">
        <v>3</v>
      </c>
      <c r="V3296" t="s">
        <v>3</v>
      </c>
      <c r="W3296" t="s">
        <v>68</v>
      </c>
      <c r="X3296" s="17"/>
      <c r="Y3296" t="s">
        <v>3</v>
      </c>
      <c r="Z3296" s="17">
        <v>43991</v>
      </c>
      <c r="AA3296" t="s">
        <v>3</v>
      </c>
      <c r="AB3296" t="s">
        <v>6334</v>
      </c>
    </row>
    <row r="3297" spans="1:28" hidden="1">
      <c r="A3297" t="s">
        <v>6334</v>
      </c>
      <c r="B3297" s="17">
        <v>43991</v>
      </c>
      <c r="C3297" s="17">
        <v>43991</v>
      </c>
      <c r="D3297" t="s">
        <v>0</v>
      </c>
      <c r="E3297" t="s">
        <v>1</v>
      </c>
      <c r="F3297" s="18">
        <v>3634.33</v>
      </c>
      <c r="G3297" s="18">
        <v>3634.33</v>
      </c>
      <c r="H3297" t="s">
        <v>2</v>
      </c>
      <c r="I3297" t="s">
        <v>8</v>
      </c>
      <c r="J3297" s="18">
        <v>305102</v>
      </c>
      <c r="K3297" t="s">
        <v>6309</v>
      </c>
      <c r="L3297" t="s">
        <v>4</v>
      </c>
      <c r="M3297" t="s">
        <v>6336</v>
      </c>
      <c r="N3297" t="s">
        <v>3</v>
      </c>
      <c r="O3297" t="s">
        <v>3</v>
      </c>
      <c r="P3297" t="s">
        <v>5</v>
      </c>
      <c r="Q3297" t="s">
        <v>6337</v>
      </c>
      <c r="R3297" t="s">
        <v>3</v>
      </c>
      <c r="S3297" t="s">
        <v>3</v>
      </c>
      <c r="T3297" t="s">
        <v>3</v>
      </c>
      <c r="U3297" t="s">
        <v>3</v>
      </c>
      <c r="V3297" t="s">
        <v>3</v>
      </c>
      <c r="W3297" t="s">
        <v>68</v>
      </c>
      <c r="X3297" s="17"/>
      <c r="Y3297" t="s">
        <v>3</v>
      </c>
      <c r="Z3297" s="17">
        <v>43991</v>
      </c>
      <c r="AA3297" t="s">
        <v>3</v>
      </c>
      <c r="AB3297" t="s">
        <v>6334</v>
      </c>
    </row>
    <row r="3298" spans="1:28" hidden="1">
      <c r="A3298" t="s">
        <v>6338</v>
      </c>
      <c r="B3298" s="17">
        <v>43991</v>
      </c>
      <c r="C3298" s="17">
        <v>43991</v>
      </c>
      <c r="D3298" t="s">
        <v>0</v>
      </c>
      <c r="E3298" t="s">
        <v>1</v>
      </c>
      <c r="F3298" s="18">
        <v>13999.09</v>
      </c>
      <c r="G3298" s="18">
        <v>13999.09</v>
      </c>
      <c r="H3298" t="s">
        <v>2</v>
      </c>
      <c r="I3298" t="s">
        <v>8</v>
      </c>
      <c r="J3298" s="18">
        <v>1175223.6100000001</v>
      </c>
      <c r="K3298" t="s">
        <v>6305</v>
      </c>
      <c r="L3298" t="s">
        <v>4</v>
      </c>
      <c r="M3298" t="s">
        <v>6339</v>
      </c>
      <c r="N3298" t="s">
        <v>3</v>
      </c>
      <c r="O3298" t="s">
        <v>3</v>
      </c>
      <c r="P3298" t="s">
        <v>5</v>
      </c>
      <c r="Q3298" t="s">
        <v>6340</v>
      </c>
      <c r="R3298" t="s">
        <v>3</v>
      </c>
      <c r="S3298" t="s">
        <v>3</v>
      </c>
      <c r="T3298" t="s">
        <v>3</v>
      </c>
      <c r="U3298" t="s">
        <v>3</v>
      </c>
      <c r="V3298" t="s">
        <v>3</v>
      </c>
      <c r="W3298" t="s">
        <v>68</v>
      </c>
      <c r="X3298" s="17"/>
      <c r="Y3298" t="s">
        <v>3</v>
      </c>
      <c r="Z3298" s="17">
        <v>43991</v>
      </c>
      <c r="AA3298" t="s">
        <v>3</v>
      </c>
      <c r="AB3298" t="s">
        <v>6338</v>
      </c>
    </row>
    <row r="3299" spans="1:28" hidden="1">
      <c r="A3299" t="s">
        <v>6354</v>
      </c>
      <c r="B3299" s="17">
        <v>43992</v>
      </c>
      <c r="C3299" s="17">
        <v>43992</v>
      </c>
      <c r="D3299" t="s">
        <v>0</v>
      </c>
      <c r="E3299" t="s">
        <v>1</v>
      </c>
      <c r="F3299" s="18">
        <v>1887</v>
      </c>
      <c r="G3299" s="18">
        <v>1887</v>
      </c>
      <c r="H3299" t="s">
        <v>2</v>
      </c>
      <c r="I3299" t="s">
        <v>8</v>
      </c>
      <c r="J3299" s="18">
        <v>158413.65</v>
      </c>
      <c r="K3299" t="s">
        <v>6294</v>
      </c>
      <c r="L3299" t="s">
        <v>9</v>
      </c>
      <c r="M3299" t="s">
        <v>6355</v>
      </c>
      <c r="N3299" t="s">
        <v>3</v>
      </c>
      <c r="O3299" t="s">
        <v>3</v>
      </c>
      <c r="P3299" t="s">
        <v>5</v>
      </c>
      <c r="Q3299" t="s">
        <v>6356</v>
      </c>
      <c r="R3299" t="s">
        <v>3</v>
      </c>
      <c r="S3299" t="s">
        <v>3</v>
      </c>
      <c r="T3299" t="s">
        <v>3</v>
      </c>
      <c r="U3299" t="s">
        <v>3</v>
      </c>
      <c r="V3299" t="s">
        <v>3</v>
      </c>
      <c r="W3299" t="s">
        <v>68</v>
      </c>
      <c r="X3299" s="17"/>
      <c r="Y3299" t="s">
        <v>3</v>
      </c>
      <c r="Z3299" s="17">
        <v>43992</v>
      </c>
      <c r="AA3299" t="s">
        <v>3</v>
      </c>
      <c r="AB3299" t="s">
        <v>6354</v>
      </c>
    </row>
    <row r="3300" spans="1:28" hidden="1">
      <c r="A3300" t="s">
        <v>6345</v>
      </c>
      <c r="B3300" s="17">
        <v>43993</v>
      </c>
      <c r="C3300" s="17">
        <v>43993</v>
      </c>
      <c r="D3300" t="s">
        <v>0</v>
      </c>
      <c r="E3300" t="s">
        <v>1</v>
      </c>
      <c r="F3300" s="18">
        <v>1842.24</v>
      </c>
      <c r="G3300" s="18">
        <v>1842.24</v>
      </c>
      <c r="H3300" t="s">
        <v>2</v>
      </c>
      <c r="I3300" t="s">
        <v>10</v>
      </c>
      <c r="J3300" s="18">
        <v>154656.04999999999</v>
      </c>
      <c r="K3300" t="s">
        <v>3</v>
      </c>
      <c r="L3300" t="s">
        <v>4</v>
      </c>
      <c r="M3300" t="s">
        <v>6346</v>
      </c>
      <c r="N3300" t="s">
        <v>3</v>
      </c>
      <c r="O3300" t="s">
        <v>3</v>
      </c>
      <c r="P3300" t="s">
        <v>5</v>
      </c>
      <c r="Q3300" t="s">
        <v>6347</v>
      </c>
      <c r="R3300" t="s">
        <v>3</v>
      </c>
      <c r="S3300" t="s">
        <v>3</v>
      </c>
      <c r="T3300" t="s">
        <v>3</v>
      </c>
      <c r="U3300" t="s">
        <v>3</v>
      </c>
      <c r="V3300" t="s">
        <v>3</v>
      </c>
      <c r="W3300" t="s">
        <v>68</v>
      </c>
      <c r="X3300" s="17"/>
      <c r="Y3300" t="s">
        <v>3</v>
      </c>
      <c r="Z3300" s="17">
        <v>43993</v>
      </c>
      <c r="AA3300" t="s">
        <v>3</v>
      </c>
      <c r="AB3300" t="s">
        <v>6345</v>
      </c>
    </row>
    <row r="3301" spans="1:28" hidden="1">
      <c r="A3301" t="s">
        <v>6345</v>
      </c>
      <c r="B3301" s="17">
        <v>43993</v>
      </c>
      <c r="C3301" s="17">
        <v>43993</v>
      </c>
      <c r="D3301" t="s">
        <v>0</v>
      </c>
      <c r="E3301" t="s">
        <v>1</v>
      </c>
      <c r="F3301" s="18">
        <v>31569.5</v>
      </c>
      <c r="G3301" s="18">
        <v>31569.5</v>
      </c>
      <c r="H3301" t="s">
        <v>2</v>
      </c>
      <c r="I3301" t="s">
        <v>10</v>
      </c>
      <c r="J3301" s="18">
        <v>2650259.5299999998</v>
      </c>
      <c r="K3301" t="s">
        <v>3</v>
      </c>
      <c r="L3301" t="s">
        <v>4</v>
      </c>
      <c r="M3301" t="s">
        <v>6346</v>
      </c>
      <c r="N3301" t="s">
        <v>3</v>
      </c>
      <c r="O3301" t="s">
        <v>3</v>
      </c>
      <c r="P3301" t="s">
        <v>5</v>
      </c>
      <c r="Q3301" t="s">
        <v>6347</v>
      </c>
      <c r="R3301" t="s">
        <v>3</v>
      </c>
      <c r="S3301" t="s">
        <v>3</v>
      </c>
      <c r="T3301" t="s">
        <v>3</v>
      </c>
      <c r="U3301" t="s">
        <v>3</v>
      </c>
      <c r="V3301" t="s">
        <v>3</v>
      </c>
      <c r="W3301" t="s">
        <v>68</v>
      </c>
      <c r="X3301" s="17"/>
      <c r="Y3301" t="s">
        <v>3</v>
      </c>
      <c r="Z3301" s="17">
        <v>43993</v>
      </c>
      <c r="AA3301" t="s">
        <v>3</v>
      </c>
      <c r="AB3301" t="s">
        <v>6345</v>
      </c>
    </row>
    <row r="3302" spans="1:28" hidden="1">
      <c r="A3302" t="s">
        <v>6345</v>
      </c>
      <c r="B3302" s="17">
        <v>43993</v>
      </c>
      <c r="C3302" s="17">
        <v>43993</v>
      </c>
      <c r="D3302" t="s">
        <v>0</v>
      </c>
      <c r="E3302" t="s">
        <v>1</v>
      </c>
      <c r="F3302" s="18">
        <v>14547.38</v>
      </c>
      <c r="G3302" s="18">
        <v>14547.38</v>
      </c>
      <c r="H3302" t="s">
        <v>2</v>
      </c>
      <c r="I3302" t="s">
        <v>10</v>
      </c>
      <c r="J3302" s="18">
        <v>1221252.55</v>
      </c>
      <c r="K3302" t="s">
        <v>3</v>
      </c>
      <c r="L3302" t="s">
        <v>4</v>
      </c>
      <c r="M3302" t="s">
        <v>6346</v>
      </c>
      <c r="N3302" t="s">
        <v>3</v>
      </c>
      <c r="O3302" t="s">
        <v>3</v>
      </c>
      <c r="P3302" t="s">
        <v>5</v>
      </c>
      <c r="Q3302" t="s">
        <v>6347</v>
      </c>
      <c r="R3302" t="s">
        <v>3</v>
      </c>
      <c r="S3302" t="s">
        <v>3</v>
      </c>
      <c r="T3302" t="s">
        <v>3</v>
      </c>
      <c r="U3302" t="s">
        <v>3</v>
      </c>
      <c r="V3302" t="s">
        <v>4467</v>
      </c>
      <c r="W3302" t="s">
        <v>68</v>
      </c>
      <c r="X3302" s="17"/>
      <c r="Y3302" t="s">
        <v>3</v>
      </c>
      <c r="Z3302" s="17">
        <v>43993</v>
      </c>
      <c r="AA3302" t="s">
        <v>3</v>
      </c>
      <c r="AB3302" t="s">
        <v>6345</v>
      </c>
    </row>
    <row r="3303" spans="1:28" hidden="1">
      <c r="A3303" t="s">
        <v>6348</v>
      </c>
      <c r="B3303" s="17">
        <v>43993</v>
      </c>
      <c r="C3303" s="17">
        <v>43993</v>
      </c>
      <c r="D3303" t="s">
        <v>0</v>
      </c>
      <c r="E3303" t="s">
        <v>1</v>
      </c>
      <c r="F3303" s="18">
        <v>67428.14</v>
      </c>
      <c r="G3303" s="18">
        <v>67428.14</v>
      </c>
      <c r="H3303" t="s">
        <v>2</v>
      </c>
      <c r="I3303" t="s">
        <v>10</v>
      </c>
      <c r="J3303" s="18">
        <v>5660592.3600000003</v>
      </c>
      <c r="K3303" t="s">
        <v>3</v>
      </c>
      <c r="L3303" t="s">
        <v>4</v>
      </c>
      <c r="M3303" t="s">
        <v>6349</v>
      </c>
      <c r="N3303" t="s">
        <v>3</v>
      </c>
      <c r="O3303" t="s">
        <v>3</v>
      </c>
      <c r="P3303" t="s">
        <v>5</v>
      </c>
      <c r="Q3303" t="s">
        <v>6350</v>
      </c>
      <c r="R3303" t="s">
        <v>3</v>
      </c>
      <c r="S3303" t="s">
        <v>3</v>
      </c>
      <c r="T3303" t="s">
        <v>3</v>
      </c>
      <c r="U3303" t="s">
        <v>3</v>
      </c>
      <c r="V3303" t="s">
        <v>3</v>
      </c>
      <c r="W3303" t="s">
        <v>68</v>
      </c>
      <c r="X3303" s="17"/>
      <c r="Y3303" t="s">
        <v>3</v>
      </c>
      <c r="Z3303" s="17">
        <v>43993</v>
      </c>
      <c r="AA3303" t="s">
        <v>3</v>
      </c>
      <c r="AB3303" t="s">
        <v>6348</v>
      </c>
    </row>
    <row r="3304" spans="1:28" hidden="1">
      <c r="A3304" t="s">
        <v>6348</v>
      </c>
      <c r="B3304" s="17">
        <v>43993</v>
      </c>
      <c r="C3304" s="17">
        <v>43993</v>
      </c>
      <c r="D3304" t="s">
        <v>0</v>
      </c>
      <c r="E3304" t="s">
        <v>1</v>
      </c>
      <c r="F3304" s="18">
        <v>21655.279999999999</v>
      </c>
      <c r="G3304" s="18">
        <v>21655.279999999999</v>
      </c>
      <c r="H3304" t="s">
        <v>2</v>
      </c>
      <c r="I3304" t="s">
        <v>10</v>
      </c>
      <c r="J3304" s="18">
        <v>1817960.76</v>
      </c>
      <c r="K3304" t="s">
        <v>3</v>
      </c>
      <c r="L3304" t="s">
        <v>4</v>
      </c>
      <c r="M3304" t="s">
        <v>6349</v>
      </c>
      <c r="N3304" t="s">
        <v>3</v>
      </c>
      <c r="O3304" t="s">
        <v>3</v>
      </c>
      <c r="P3304" t="s">
        <v>5</v>
      </c>
      <c r="Q3304" t="s">
        <v>6350</v>
      </c>
      <c r="R3304" t="s">
        <v>3</v>
      </c>
      <c r="S3304" t="s">
        <v>3</v>
      </c>
      <c r="T3304" t="s">
        <v>3</v>
      </c>
      <c r="U3304" t="s">
        <v>3</v>
      </c>
      <c r="V3304" t="s">
        <v>3</v>
      </c>
      <c r="W3304" t="s">
        <v>68</v>
      </c>
      <c r="X3304" s="17"/>
      <c r="Y3304" t="s">
        <v>3</v>
      </c>
      <c r="Z3304" s="17">
        <v>43993</v>
      </c>
      <c r="AA3304" t="s">
        <v>3</v>
      </c>
      <c r="AB3304" t="s">
        <v>6348</v>
      </c>
    </row>
    <row r="3305" spans="1:28" hidden="1">
      <c r="A3305" t="s">
        <v>6348</v>
      </c>
      <c r="B3305" s="17">
        <v>43993</v>
      </c>
      <c r="C3305" s="17">
        <v>43993</v>
      </c>
      <c r="D3305" t="s">
        <v>0</v>
      </c>
      <c r="E3305" t="s">
        <v>1</v>
      </c>
      <c r="F3305" s="18">
        <v>19899.21</v>
      </c>
      <c r="G3305" s="18">
        <v>19899.21</v>
      </c>
      <c r="H3305" t="s">
        <v>2</v>
      </c>
      <c r="I3305" t="s">
        <v>10</v>
      </c>
      <c r="J3305" s="18">
        <v>1670538.68</v>
      </c>
      <c r="K3305" t="s">
        <v>3</v>
      </c>
      <c r="L3305" t="s">
        <v>4</v>
      </c>
      <c r="M3305" t="s">
        <v>6349</v>
      </c>
      <c r="N3305" t="s">
        <v>3</v>
      </c>
      <c r="O3305" t="s">
        <v>3</v>
      </c>
      <c r="P3305" t="s">
        <v>5</v>
      </c>
      <c r="Q3305" t="s">
        <v>6350</v>
      </c>
      <c r="R3305" t="s">
        <v>3</v>
      </c>
      <c r="S3305" t="s">
        <v>3</v>
      </c>
      <c r="T3305" t="s">
        <v>3</v>
      </c>
      <c r="U3305" t="s">
        <v>3</v>
      </c>
      <c r="V3305" t="s">
        <v>3</v>
      </c>
      <c r="W3305" t="s">
        <v>68</v>
      </c>
      <c r="X3305" s="17"/>
      <c r="Y3305" t="s">
        <v>3</v>
      </c>
      <c r="Z3305" s="17">
        <v>43993</v>
      </c>
      <c r="AA3305" t="s">
        <v>3</v>
      </c>
      <c r="AB3305" t="s">
        <v>6348</v>
      </c>
    </row>
    <row r="3306" spans="1:28" hidden="1">
      <c r="A3306" t="s">
        <v>6348</v>
      </c>
      <c r="B3306" s="17">
        <v>43993</v>
      </c>
      <c r="C3306" s="17">
        <v>43993</v>
      </c>
      <c r="D3306" t="s">
        <v>0</v>
      </c>
      <c r="E3306" t="s">
        <v>1</v>
      </c>
      <c r="F3306" s="18">
        <v>24274.880000000001</v>
      </c>
      <c r="G3306" s="18">
        <v>24274.880000000001</v>
      </c>
      <c r="H3306" t="s">
        <v>2</v>
      </c>
      <c r="I3306" t="s">
        <v>10</v>
      </c>
      <c r="J3306" s="18">
        <v>2037876.18</v>
      </c>
      <c r="K3306" t="s">
        <v>3</v>
      </c>
      <c r="L3306" t="s">
        <v>4</v>
      </c>
      <c r="M3306" t="s">
        <v>6349</v>
      </c>
      <c r="N3306" t="s">
        <v>3</v>
      </c>
      <c r="O3306" t="s">
        <v>3</v>
      </c>
      <c r="P3306" t="s">
        <v>5</v>
      </c>
      <c r="Q3306" t="s">
        <v>6350</v>
      </c>
      <c r="R3306" t="s">
        <v>3</v>
      </c>
      <c r="S3306" t="s">
        <v>3</v>
      </c>
      <c r="T3306" t="s">
        <v>3</v>
      </c>
      <c r="U3306" t="s">
        <v>3</v>
      </c>
      <c r="V3306" t="s">
        <v>4467</v>
      </c>
      <c r="W3306" t="s">
        <v>68</v>
      </c>
      <c r="X3306" s="17"/>
      <c r="Y3306" t="s">
        <v>3</v>
      </c>
      <c r="Z3306" s="17">
        <v>43993</v>
      </c>
      <c r="AA3306" t="s">
        <v>3</v>
      </c>
      <c r="AB3306" t="s">
        <v>6348</v>
      </c>
    </row>
    <row r="3307" spans="1:28" hidden="1">
      <c r="A3307" t="s">
        <v>6351</v>
      </c>
      <c r="B3307" s="17">
        <v>43998</v>
      </c>
      <c r="C3307" s="17">
        <v>43998</v>
      </c>
      <c r="D3307" t="s">
        <v>0</v>
      </c>
      <c r="E3307" t="s">
        <v>1</v>
      </c>
      <c r="F3307" s="18">
        <v>40907.42</v>
      </c>
      <c r="G3307" s="18">
        <v>40907.42</v>
      </c>
      <c r="H3307" t="s">
        <v>2</v>
      </c>
      <c r="I3307" t="s">
        <v>10</v>
      </c>
      <c r="J3307" s="18">
        <v>3434177.91</v>
      </c>
      <c r="K3307" t="s">
        <v>3</v>
      </c>
      <c r="L3307" t="s">
        <v>4</v>
      </c>
      <c r="M3307" t="s">
        <v>6352</v>
      </c>
      <c r="N3307" t="s">
        <v>3</v>
      </c>
      <c r="O3307" t="s">
        <v>3</v>
      </c>
      <c r="P3307" t="s">
        <v>5</v>
      </c>
      <c r="Q3307" t="s">
        <v>6353</v>
      </c>
      <c r="R3307" t="s">
        <v>3</v>
      </c>
      <c r="S3307" t="s">
        <v>3</v>
      </c>
      <c r="T3307" t="s">
        <v>3</v>
      </c>
      <c r="U3307" t="s">
        <v>3</v>
      </c>
      <c r="V3307" t="s">
        <v>3</v>
      </c>
      <c r="W3307" t="s">
        <v>68</v>
      </c>
      <c r="X3307" s="17"/>
      <c r="Y3307" t="s">
        <v>3</v>
      </c>
      <c r="Z3307" s="17">
        <v>43998</v>
      </c>
      <c r="AA3307" t="s">
        <v>3</v>
      </c>
      <c r="AB3307" t="s">
        <v>6351</v>
      </c>
    </row>
    <row r="3308" spans="1:28" hidden="1">
      <c r="A3308" t="s">
        <v>6351</v>
      </c>
      <c r="B3308" s="17">
        <v>43998</v>
      </c>
      <c r="C3308" s="17">
        <v>43998</v>
      </c>
      <c r="D3308" t="s">
        <v>0</v>
      </c>
      <c r="E3308" t="s">
        <v>1</v>
      </c>
      <c r="F3308" s="18">
        <v>1947.94</v>
      </c>
      <c r="G3308" s="18">
        <v>1947.94</v>
      </c>
      <c r="H3308" t="s">
        <v>2</v>
      </c>
      <c r="I3308" t="s">
        <v>10</v>
      </c>
      <c r="J3308" s="18">
        <v>163529.56</v>
      </c>
      <c r="K3308" t="s">
        <v>3</v>
      </c>
      <c r="L3308" t="s">
        <v>4</v>
      </c>
      <c r="M3308" t="s">
        <v>6352</v>
      </c>
      <c r="N3308" t="s">
        <v>3</v>
      </c>
      <c r="O3308" t="s">
        <v>3</v>
      </c>
      <c r="P3308" t="s">
        <v>5</v>
      </c>
      <c r="Q3308" t="s">
        <v>6353</v>
      </c>
      <c r="R3308" t="s">
        <v>3</v>
      </c>
      <c r="S3308" t="s">
        <v>3</v>
      </c>
      <c r="T3308" t="s">
        <v>3</v>
      </c>
      <c r="U3308" t="s">
        <v>3</v>
      </c>
      <c r="V3308" t="s">
        <v>3</v>
      </c>
      <c r="W3308" t="s">
        <v>68</v>
      </c>
      <c r="X3308" s="17"/>
      <c r="Y3308" t="s">
        <v>3</v>
      </c>
      <c r="Z3308" s="17">
        <v>43998</v>
      </c>
      <c r="AA3308" t="s">
        <v>3</v>
      </c>
      <c r="AB3308" t="s">
        <v>6351</v>
      </c>
    </row>
    <row r="3309" spans="1:28" hidden="1">
      <c r="A3309" t="s">
        <v>6351</v>
      </c>
      <c r="B3309" s="17">
        <v>43998</v>
      </c>
      <c r="C3309" s="17">
        <v>43998</v>
      </c>
      <c r="D3309" t="s">
        <v>0</v>
      </c>
      <c r="E3309" t="s">
        <v>1</v>
      </c>
      <c r="F3309" s="18">
        <v>5700.61</v>
      </c>
      <c r="G3309" s="18">
        <v>5700.61</v>
      </c>
      <c r="H3309" t="s">
        <v>2</v>
      </c>
      <c r="I3309" t="s">
        <v>10</v>
      </c>
      <c r="J3309" s="18">
        <v>478566.21</v>
      </c>
      <c r="K3309" t="s">
        <v>3</v>
      </c>
      <c r="L3309" t="s">
        <v>4</v>
      </c>
      <c r="M3309" t="s">
        <v>6352</v>
      </c>
      <c r="N3309" t="s">
        <v>3</v>
      </c>
      <c r="O3309" t="s">
        <v>3</v>
      </c>
      <c r="P3309" t="s">
        <v>5</v>
      </c>
      <c r="Q3309" t="s">
        <v>6353</v>
      </c>
      <c r="R3309" t="s">
        <v>3</v>
      </c>
      <c r="S3309" t="s">
        <v>3</v>
      </c>
      <c r="T3309" t="s">
        <v>3</v>
      </c>
      <c r="U3309" t="s">
        <v>3</v>
      </c>
      <c r="V3309" t="s">
        <v>3</v>
      </c>
      <c r="W3309" t="s">
        <v>68</v>
      </c>
      <c r="X3309" s="17"/>
      <c r="Y3309" t="s">
        <v>3</v>
      </c>
      <c r="Z3309" s="17">
        <v>43998</v>
      </c>
      <c r="AA3309" t="s">
        <v>3</v>
      </c>
      <c r="AB3309" t="s">
        <v>6351</v>
      </c>
    </row>
    <row r="3310" spans="1:28" hidden="1">
      <c r="A3310" t="s">
        <v>6357</v>
      </c>
      <c r="B3310" s="17">
        <v>43998</v>
      </c>
      <c r="C3310" s="17">
        <v>43998</v>
      </c>
      <c r="D3310" t="s">
        <v>0</v>
      </c>
      <c r="E3310" t="s">
        <v>1</v>
      </c>
      <c r="F3310" s="18">
        <v>12028</v>
      </c>
      <c r="G3310" s="18">
        <v>12028</v>
      </c>
      <c r="H3310" t="s">
        <v>2</v>
      </c>
      <c r="I3310" t="s">
        <v>8</v>
      </c>
      <c r="J3310" s="18">
        <v>1009750.6</v>
      </c>
      <c r="K3310" t="s">
        <v>6322</v>
      </c>
      <c r="L3310" t="s">
        <v>9</v>
      </c>
      <c r="M3310" t="s">
        <v>6358</v>
      </c>
      <c r="N3310" t="s">
        <v>3</v>
      </c>
      <c r="O3310" t="s">
        <v>3</v>
      </c>
      <c r="P3310" t="s">
        <v>5</v>
      </c>
      <c r="Q3310" t="s">
        <v>6359</v>
      </c>
      <c r="R3310" t="s">
        <v>3</v>
      </c>
      <c r="S3310" t="s">
        <v>3</v>
      </c>
      <c r="T3310" t="s">
        <v>3</v>
      </c>
      <c r="U3310" t="s">
        <v>3</v>
      </c>
      <c r="V3310" t="s">
        <v>3</v>
      </c>
      <c r="W3310" t="s">
        <v>68</v>
      </c>
      <c r="X3310" s="17"/>
      <c r="Y3310" t="s">
        <v>3</v>
      </c>
      <c r="Z3310" s="17">
        <v>43998</v>
      </c>
      <c r="AA3310" t="s">
        <v>3</v>
      </c>
      <c r="AB3310" t="s">
        <v>6357</v>
      </c>
    </row>
    <row r="3311" spans="1:28" hidden="1">
      <c r="A3311" t="s">
        <v>6360</v>
      </c>
      <c r="B3311" s="17">
        <v>43998</v>
      </c>
      <c r="C3311" s="17">
        <v>43998</v>
      </c>
      <c r="D3311" t="s">
        <v>0</v>
      </c>
      <c r="E3311" t="s">
        <v>1</v>
      </c>
      <c r="F3311" s="18">
        <v>-8123.04</v>
      </c>
      <c r="G3311" s="18">
        <v>-8123.04</v>
      </c>
      <c r="H3311" t="s">
        <v>2</v>
      </c>
      <c r="I3311" t="s">
        <v>8</v>
      </c>
      <c r="J3311" s="18">
        <v>-681929.21</v>
      </c>
      <c r="K3311" t="s">
        <v>6361</v>
      </c>
      <c r="L3311" t="s">
        <v>4</v>
      </c>
      <c r="M3311" t="s">
        <v>6362</v>
      </c>
      <c r="N3311" t="s">
        <v>3</v>
      </c>
      <c r="O3311" t="s">
        <v>3</v>
      </c>
      <c r="P3311" t="s">
        <v>5</v>
      </c>
      <c r="Q3311" t="s">
        <v>6363</v>
      </c>
      <c r="R3311" t="s">
        <v>3</v>
      </c>
      <c r="S3311" t="s">
        <v>3</v>
      </c>
      <c r="T3311" t="s">
        <v>3</v>
      </c>
      <c r="U3311" t="s">
        <v>3</v>
      </c>
      <c r="V3311" t="s">
        <v>3</v>
      </c>
      <c r="W3311" t="s">
        <v>68</v>
      </c>
      <c r="X3311" s="17"/>
      <c r="Y3311" t="s">
        <v>3</v>
      </c>
      <c r="Z3311" s="17">
        <v>43998</v>
      </c>
      <c r="AA3311" t="s">
        <v>3</v>
      </c>
      <c r="AB3311" t="s">
        <v>6360</v>
      </c>
    </row>
    <row r="3312" spans="1:28" s="34" customFormat="1">
      <c r="A3312" s="37" t="s">
        <v>6364</v>
      </c>
      <c r="B3312" s="32">
        <v>43998</v>
      </c>
      <c r="C3312" s="32">
        <v>43998</v>
      </c>
      <c r="D3312" s="31" t="s">
        <v>0</v>
      </c>
      <c r="E3312" s="31" t="s">
        <v>1</v>
      </c>
      <c r="F3312" s="33">
        <v>-520529</v>
      </c>
      <c r="G3312" s="49">
        <v>-520529</v>
      </c>
      <c r="H3312" s="31" t="s">
        <v>2</v>
      </c>
      <c r="I3312" s="31" t="s">
        <v>8</v>
      </c>
      <c r="J3312" s="49">
        <v>-43698409.549999997</v>
      </c>
      <c r="K3312" s="31" t="s">
        <v>6365</v>
      </c>
      <c r="L3312" s="31" t="s">
        <v>9</v>
      </c>
      <c r="M3312" s="31" t="s">
        <v>6366</v>
      </c>
      <c r="N3312" s="31" t="s">
        <v>3</v>
      </c>
      <c r="O3312" s="31" t="s">
        <v>3</v>
      </c>
      <c r="P3312" s="31" t="s">
        <v>5</v>
      </c>
      <c r="Q3312" s="31" t="s">
        <v>6367</v>
      </c>
      <c r="R3312" s="31" t="s">
        <v>3</v>
      </c>
      <c r="S3312" s="31" t="s">
        <v>3</v>
      </c>
      <c r="T3312" s="31" t="s">
        <v>3</v>
      </c>
      <c r="U3312" s="31" t="s">
        <v>3</v>
      </c>
      <c r="V3312" s="31" t="s">
        <v>3</v>
      </c>
      <c r="W3312" s="31" t="s">
        <v>68</v>
      </c>
      <c r="X3312" s="32"/>
      <c r="Y3312" s="31" t="s">
        <v>3</v>
      </c>
      <c r="Z3312" s="32">
        <v>43998</v>
      </c>
      <c r="AA3312" s="31" t="s">
        <v>3</v>
      </c>
      <c r="AB3312" s="31" t="s">
        <v>6364</v>
      </c>
    </row>
    <row r="3313" spans="1:28" hidden="1">
      <c r="A3313" t="s">
        <v>6368</v>
      </c>
      <c r="B3313" s="17">
        <v>43998</v>
      </c>
      <c r="C3313" s="17">
        <v>43998</v>
      </c>
      <c r="D3313" t="s">
        <v>0</v>
      </c>
      <c r="E3313" t="s">
        <v>1</v>
      </c>
      <c r="F3313" s="18">
        <v>46930.46</v>
      </c>
      <c r="G3313" s="18">
        <v>46930.46</v>
      </c>
      <c r="H3313" t="s">
        <v>2</v>
      </c>
      <c r="I3313" t="s">
        <v>8</v>
      </c>
      <c r="J3313" s="18">
        <v>3939812.12</v>
      </c>
      <c r="K3313" t="s">
        <v>6305</v>
      </c>
      <c r="L3313" t="s">
        <v>4</v>
      </c>
      <c r="M3313" t="s">
        <v>6369</v>
      </c>
      <c r="N3313" t="s">
        <v>3</v>
      </c>
      <c r="O3313" t="s">
        <v>3</v>
      </c>
      <c r="P3313" t="s">
        <v>5</v>
      </c>
      <c r="Q3313" t="s">
        <v>6370</v>
      </c>
      <c r="R3313" t="s">
        <v>3</v>
      </c>
      <c r="S3313" t="s">
        <v>3</v>
      </c>
      <c r="T3313" t="s">
        <v>3</v>
      </c>
      <c r="U3313" t="s">
        <v>3</v>
      </c>
      <c r="V3313" t="s">
        <v>3</v>
      </c>
      <c r="W3313" t="s">
        <v>68</v>
      </c>
      <c r="X3313" s="17"/>
      <c r="Y3313" t="s">
        <v>3</v>
      </c>
      <c r="Z3313" s="17">
        <v>43998</v>
      </c>
      <c r="AA3313" t="s">
        <v>3</v>
      </c>
      <c r="AB3313" t="s">
        <v>6368</v>
      </c>
    </row>
    <row r="3314" spans="1:28" hidden="1">
      <c r="A3314" t="s">
        <v>6368</v>
      </c>
      <c r="B3314" s="17">
        <v>43998</v>
      </c>
      <c r="C3314" s="17">
        <v>43998</v>
      </c>
      <c r="D3314" t="s">
        <v>0</v>
      </c>
      <c r="E3314" t="s">
        <v>1</v>
      </c>
      <c r="F3314" s="18">
        <v>1541.27</v>
      </c>
      <c r="G3314" s="18">
        <v>1541.27</v>
      </c>
      <c r="H3314" t="s">
        <v>2</v>
      </c>
      <c r="I3314" t="s">
        <v>8</v>
      </c>
      <c r="J3314" s="18">
        <v>129389.62</v>
      </c>
      <c r="K3314" t="s">
        <v>6308</v>
      </c>
      <c r="L3314" t="s">
        <v>4</v>
      </c>
      <c r="M3314" t="s">
        <v>6369</v>
      </c>
      <c r="N3314" t="s">
        <v>3</v>
      </c>
      <c r="O3314" t="s">
        <v>3</v>
      </c>
      <c r="P3314" t="s">
        <v>5</v>
      </c>
      <c r="Q3314" t="s">
        <v>6370</v>
      </c>
      <c r="R3314" t="s">
        <v>3</v>
      </c>
      <c r="S3314" t="s">
        <v>3</v>
      </c>
      <c r="T3314" t="s">
        <v>3</v>
      </c>
      <c r="U3314" t="s">
        <v>3</v>
      </c>
      <c r="V3314" t="s">
        <v>3</v>
      </c>
      <c r="W3314" t="s">
        <v>68</v>
      </c>
      <c r="X3314" s="17"/>
      <c r="Y3314" t="s">
        <v>3</v>
      </c>
      <c r="Z3314" s="17">
        <v>43998</v>
      </c>
      <c r="AA3314" t="s">
        <v>3</v>
      </c>
      <c r="AB3314" t="s">
        <v>6368</v>
      </c>
    </row>
    <row r="3315" spans="1:28" hidden="1">
      <c r="A3315" t="s">
        <v>6411</v>
      </c>
      <c r="B3315" s="17">
        <v>43998</v>
      </c>
      <c r="C3315" s="17">
        <v>43998</v>
      </c>
      <c r="D3315" t="s">
        <v>0</v>
      </c>
      <c r="E3315" t="s">
        <v>1</v>
      </c>
      <c r="F3315" s="18">
        <v>-164016.23000000001</v>
      </c>
      <c r="G3315" s="18">
        <v>-164016.23000000001</v>
      </c>
      <c r="H3315" t="s">
        <v>2</v>
      </c>
      <c r="I3315" t="s">
        <v>10</v>
      </c>
      <c r="J3315" s="18">
        <v>-13769162.51</v>
      </c>
      <c r="K3315" t="s">
        <v>6412</v>
      </c>
      <c r="L3315" t="s">
        <v>4</v>
      </c>
      <c r="M3315" t="s">
        <v>6413</v>
      </c>
      <c r="N3315" t="s">
        <v>3</v>
      </c>
      <c r="O3315" t="s">
        <v>3</v>
      </c>
      <c r="P3315" t="s">
        <v>5</v>
      </c>
      <c r="Q3315" t="s">
        <v>6414</v>
      </c>
      <c r="R3315" t="s">
        <v>3</v>
      </c>
      <c r="S3315" t="s">
        <v>3</v>
      </c>
      <c r="T3315" t="s">
        <v>3</v>
      </c>
      <c r="U3315" t="s">
        <v>3</v>
      </c>
      <c r="V3315" t="s">
        <v>4467</v>
      </c>
      <c r="W3315" t="s">
        <v>68</v>
      </c>
      <c r="X3315" s="17"/>
      <c r="Y3315" t="s">
        <v>3</v>
      </c>
      <c r="Z3315" s="17">
        <v>43998</v>
      </c>
      <c r="AA3315" t="s">
        <v>3</v>
      </c>
      <c r="AB3315" t="s">
        <v>6411</v>
      </c>
    </row>
    <row r="3316" spans="1:28" hidden="1">
      <c r="A3316" t="s">
        <v>6371</v>
      </c>
      <c r="B3316" s="17">
        <v>44003</v>
      </c>
      <c r="C3316" s="17">
        <v>44003</v>
      </c>
      <c r="D3316" t="s">
        <v>0</v>
      </c>
      <c r="E3316" t="s">
        <v>1</v>
      </c>
      <c r="F3316" s="18">
        <v>16460</v>
      </c>
      <c r="G3316" s="18">
        <v>16460</v>
      </c>
      <c r="H3316" t="s">
        <v>2</v>
      </c>
      <c r="I3316" t="s">
        <v>8</v>
      </c>
      <c r="J3316" s="18">
        <v>1381817</v>
      </c>
      <c r="K3316" t="s">
        <v>6322</v>
      </c>
      <c r="L3316" t="s">
        <v>9</v>
      </c>
      <c r="M3316" t="s">
        <v>6372</v>
      </c>
      <c r="N3316" t="s">
        <v>3</v>
      </c>
      <c r="O3316" t="s">
        <v>3</v>
      </c>
      <c r="P3316" t="s">
        <v>5</v>
      </c>
      <c r="Q3316" t="s">
        <v>6373</v>
      </c>
      <c r="R3316" t="s">
        <v>3</v>
      </c>
      <c r="S3316" t="s">
        <v>3</v>
      </c>
      <c r="T3316" t="s">
        <v>3</v>
      </c>
      <c r="U3316" t="s">
        <v>3</v>
      </c>
      <c r="V3316" t="s">
        <v>3</v>
      </c>
      <c r="W3316" t="s">
        <v>68</v>
      </c>
      <c r="X3316" s="17"/>
      <c r="Y3316" t="s">
        <v>3</v>
      </c>
      <c r="Z3316" s="17">
        <v>44003</v>
      </c>
      <c r="AA3316" t="s">
        <v>3</v>
      </c>
      <c r="AB3316" t="s">
        <v>6371</v>
      </c>
    </row>
    <row r="3317" spans="1:28" hidden="1">
      <c r="A3317" t="s">
        <v>6371</v>
      </c>
      <c r="B3317" s="17">
        <v>44003</v>
      </c>
      <c r="C3317" s="17">
        <v>44003</v>
      </c>
      <c r="D3317" t="s">
        <v>0</v>
      </c>
      <c r="E3317" t="s">
        <v>1</v>
      </c>
      <c r="F3317" s="18">
        <v>19677</v>
      </c>
      <c r="G3317" s="18">
        <v>19677</v>
      </c>
      <c r="H3317" t="s">
        <v>2</v>
      </c>
      <c r="I3317" t="s">
        <v>8</v>
      </c>
      <c r="J3317" s="18">
        <v>1651884.15</v>
      </c>
      <c r="K3317" t="s">
        <v>6330</v>
      </c>
      <c r="L3317" t="s">
        <v>9</v>
      </c>
      <c r="M3317" t="s">
        <v>6372</v>
      </c>
      <c r="N3317" t="s">
        <v>3</v>
      </c>
      <c r="O3317" t="s">
        <v>3</v>
      </c>
      <c r="P3317" t="s">
        <v>5</v>
      </c>
      <c r="Q3317" t="s">
        <v>6373</v>
      </c>
      <c r="R3317" t="s">
        <v>3</v>
      </c>
      <c r="S3317" t="s">
        <v>3</v>
      </c>
      <c r="T3317" t="s">
        <v>3</v>
      </c>
      <c r="U3317" t="s">
        <v>3</v>
      </c>
      <c r="V3317" t="s">
        <v>3</v>
      </c>
      <c r="W3317" t="s">
        <v>68</v>
      </c>
      <c r="X3317" s="17"/>
      <c r="Y3317" t="s">
        <v>3</v>
      </c>
      <c r="Z3317" s="17">
        <v>44003</v>
      </c>
      <c r="AA3317" t="s">
        <v>3</v>
      </c>
      <c r="AB3317" t="s">
        <v>6371</v>
      </c>
    </row>
    <row r="3318" spans="1:28" hidden="1">
      <c r="A3318" t="s">
        <v>6374</v>
      </c>
      <c r="B3318" s="17">
        <v>44003</v>
      </c>
      <c r="C3318" s="17">
        <v>44003</v>
      </c>
      <c r="D3318" t="s">
        <v>0</v>
      </c>
      <c r="E3318" t="s">
        <v>1</v>
      </c>
      <c r="F3318" s="18">
        <v>5508</v>
      </c>
      <c r="G3318" s="18">
        <v>5508</v>
      </c>
      <c r="H3318" t="s">
        <v>2</v>
      </c>
      <c r="I3318" t="s">
        <v>8</v>
      </c>
      <c r="J3318" s="18">
        <v>462396.6</v>
      </c>
      <c r="K3318" t="s">
        <v>6375</v>
      </c>
      <c r="L3318" t="s">
        <v>9</v>
      </c>
      <c r="M3318" t="s">
        <v>6376</v>
      </c>
      <c r="N3318" t="s">
        <v>3</v>
      </c>
      <c r="O3318" t="s">
        <v>3</v>
      </c>
      <c r="P3318" t="s">
        <v>5</v>
      </c>
      <c r="Q3318" t="s">
        <v>6377</v>
      </c>
      <c r="R3318" t="s">
        <v>3</v>
      </c>
      <c r="S3318" t="s">
        <v>3</v>
      </c>
      <c r="T3318" t="s">
        <v>3</v>
      </c>
      <c r="U3318" t="s">
        <v>3</v>
      </c>
      <c r="V3318" t="s">
        <v>3</v>
      </c>
      <c r="W3318" t="s">
        <v>68</v>
      </c>
      <c r="X3318" s="17"/>
      <c r="Y3318" t="s">
        <v>3</v>
      </c>
      <c r="Z3318" s="17">
        <v>44003</v>
      </c>
      <c r="AA3318" t="s">
        <v>3</v>
      </c>
      <c r="AB3318" t="s">
        <v>6374</v>
      </c>
    </row>
    <row r="3319" spans="1:28" hidden="1">
      <c r="A3319" t="s">
        <v>6374</v>
      </c>
      <c r="B3319" s="17">
        <v>44003</v>
      </c>
      <c r="C3319" s="17">
        <v>44003</v>
      </c>
      <c r="D3319" t="s">
        <v>0</v>
      </c>
      <c r="E3319" t="s">
        <v>1</v>
      </c>
      <c r="F3319" s="18">
        <v>37193</v>
      </c>
      <c r="G3319" s="18">
        <v>37193</v>
      </c>
      <c r="H3319" t="s">
        <v>2</v>
      </c>
      <c r="I3319" t="s">
        <v>8</v>
      </c>
      <c r="J3319" s="18">
        <v>3122352.35</v>
      </c>
      <c r="K3319" t="s">
        <v>6294</v>
      </c>
      <c r="L3319" t="s">
        <v>9</v>
      </c>
      <c r="M3319" t="s">
        <v>6376</v>
      </c>
      <c r="N3319" t="s">
        <v>3</v>
      </c>
      <c r="O3319" t="s">
        <v>3</v>
      </c>
      <c r="P3319" t="s">
        <v>5</v>
      </c>
      <c r="Q3319" t="s">
        <v>6377</v>
      </c>
      <c r="R3319" t="s">
        <v>3</v>
      </c>
      <c r="S3319" t="s">
        <v>3</v>
      </c>
      <c r="T3319" t="s">
        <v>3</v>
      </c>
      <c r="U3319" t="s">
        <v>3</v>
      </c>
      <c r="V3319" t="s">
        <v>3</v>
      </c>
      <c r="W3319" t="s">
        <v>68</v>
      </c>
      <c r="X3319" s="17"/>
      <c r="Y3319" t="s">
        <v>3</v>
      </c>
      <c r="Z3319" s="17">
        <v>44003</v>
      </c>
      <c r="AA3319" t="s">
        <v>3</v>
      </c>
      <c r="AB3319" t="s">
        <v>6374</v>
      </c>
    </row>
    <row r="3320" spans="1:28" hidden="1">
      <c r="A3320" t="s">
        <v>6374</v>
      </c>
      <c r="B3320" s="17">
        <v>44003</v>
      </c>
      <c r="C3320" s="17">
        <v>44003</v>
      </c>
      <c r="D3320" t="s">
        <v>0</v>
      </c>
      <c r="E3320" t="s">
        <v>1</v>
      </c>
      <c r="F3320" s="18">
        <v>60659</v>
      </c>
      <c r="G3320" s="18">
        <v>60659</v>
      </c>
      <c r="H3320" t="s">
        <v>2</v>
      </c>
      <c r="I3320" t="s">
        <v>8</v>
      </c>
      <c r="J3320" s="18">
        <v>5092323.05</v>
      </c>
      <c r="K3320" t="s">
        <v>6297</v>
      </c>
      <c r="L3320" t="s">
        <v>9</v>
      </c>
      <c r="M3320" t="s">
        <v>6376</v>
      </c>
      <c r="N3320" t="s">
        <v>3</v>
      </c>
      <c r="O3320" t="s">
        <v>3</v>
      </c>
      <c r="P3320" t="s">
        <v>5</v>
      </c>
      <c r="Q3320" t="s">
        <v>6377</v>
      </c>
      <c r="R3320" t="s">
        <v>3</v>
      </c>
      <c r="S3320" t="s">
        <v>3</v>
      </c>
      <c r="T3320" t="s">
        <v>3</v>
      </c>
      <c r="U3320" t="s">
        <v>3</v>
      </c>
      <c r="V3320" t="s">
        <v>3</v>
      </c>
      <c r="W3320" t="s">
        <v>68</v>
      </c>
      <c r="X3320" s="17"/>
      <c r="Y3320" t="s">
        <v>3</v>
      </c>
      <c r="Z3320" s="17">
        <v>44003</v>
      </c>
      <c r="AA3320" t="s">
        <v>3</v>
      </c>
      <c r="AB3320" t="s">
        <v>6374</v>
      </c>
    </row>
    <row r="3321" spans="1:28" hidden="1">
      <c r="A3321" t="s">
        <v>6374</v>
      </c>
      <c r="B3321" s="17">
        <v>44003</v>
      </c>
      <c r="C3321" s="17">
        <v>44003</v>
      </c>
      <c r="D3321" t="s">
        <v>0</v>
      </c>
      <c r="E3321" t="s">
        <v>1</v>
      </c>
      <c r="F3321" s="18">
        <v>17644</v>
      </c>
      <c r="G3321" s="18">
        <v>17644</v>
      </c>
      <c r="H3321" t="s">
        <v>2</v>
      </c>
      <c r="I3321" t="s">
        <v>8</v>
      </c>
      <c r="J3321" s="18">
        <v>1481213.8</v>
      </c>
      <c r="K3321" t="s">
        <v>6378</v>
      </c>
      <c r="L3321" t="s">
        <v>9</v>
      </c>
      <c r="M3321" t="s">
        <v>6376</v>
      </c>
      <c r="N3321" t="s">
        <v>3</v>
      </c>
      <c r="O3321" t="s">
        <v>3</v>
      </c>
      <c r="P3321" t="s">
        <v>5</v>
      </c>
      <c r="Q3321" t="s">
        <v>6377</v>
      </c>
      <c r="R3321" t="s">
        <v>3</v>
      </c>
      <c r="S3321" t="s">
        <v>3</v>
      </c>
      <c r="T3321" t="s">
        <v>3</v>
      </c>
      <c r="U3321" t="s">
        <v>3</v>
      </c>
      <c r="V3321" t="s">
        <v>3</v>
      </c>
      <c r="W3321" t="s">
        <v>68</v>
      </c>
      <c r="X3321" s="17"/>
      <c r="Y3321" t="s">
        <v>3</v>
      </c>
      <c r="Z3321" s="17">
        <v>44003</v>
      </c>
      <c r="AA3321" t="s">
        <v>3</v>
      </c>
      <c r="AB3321" t="s">
        <v>6374</v>
      </c>
    </row>
    <row r="3322" spans="1:28" hidden="1">
      <c r="A3322" t="s">
        <v>6374</v>
      </c>
      <c r="B3322" s="17">
        <v>44003</v>
      </c>
      <c r="C3322" s="17">
        <v>44003</v>
      </c>
      <c r="D3322" t="s">
        <v>0</v>
      </c>
      <c r="E3322" t="s">
        <v>1</v>
      </c>
      <c r="F3322" s="18">
        <v>95981</v>
      </c>
      <c r="G3322" s="18">
        <v>95981</v>
      </c>
      <c r="H3322" t="s">
        <v>2</v>
      </c>
      <c r="I3322" t="s">
        <v>8</v>
      </c>
      <c r="J3322" s="18">
        <v>8057604.9500000002</v>
      </c>
      <c r="K3322" t="s">
        <v>6322</v>
      </c>
      <c r="L3322" t="s">
        <v>9</v>
      </c>
      <c r="M3322" t="s">
        <v>6376</v>
      </c>
      <c r="N3322" t="s">
        <v>3</v>
      </c>
      <c r="O3322" t="s">
        <v>3</v>
      </c>
      <c r="P3322" t="s">
        <v>5</v>
      </c>
      <c r="Q3322" t="s">
        <v>6377</v>
      </c>
      <c r="R3322" t="s">
        <v>3</v>
      </c>
      <c r="S3322" t="s">
        <v>3</v>
      </c>
      <c r="T3322" t="s">
        <v>3</v>
      </c>
      <c r="U3322" t="s">
        <v>3</v>
      </c>
      <c r="V3322" t="s">
        <v>3</v>
      </c>
      <c r="W3322" t="s">
        <v>68</v>
      </c>
      <c r="X3322" s="17"/>
      <c r="Y3322" t="s">
        <v>3</v>
      </c>
      <c r="Z3322" s="17">
        <v>44003</v>
      </c>
      <c r="AA3322" t="s">
        <v>3</v>
      </c>
      <c r="AB3322" t="s">
        <v>6374</v>
      </c>
    </row>
    <row r="3323" spans="1:28" hidden="1">
      <c r="A3323" t="s">
        <v>6374</v>
      </c>
      <c r="B3323" s="17">
        <v>44003</v>
      </c>
      <c r="C3323" s="17">
        <v>44003</v>
      </c>
      <c r="D3323" t="s">
        <v>0</v>
      </c>
      <c r="E3323" t="s">
        <v>1</v>
      </c>
      <c r="F3323" s="18">
        <v>15687</v>
      </c>
      <c r="G3323" s="18">
        <v>15687</v>
      </c>
      <c r="H3323" t="s">
        <v>2</v>
      </c>
      <c r="I3323" t="s">
        <v>8</v>
      </c>
      <c r="J3323" s="18">
        <v>1316923.6499999999</v>
      </c>
      <c r="K3323" t="s">
        <v>6330</v>
      </c>
      <c r="L3323" t="s">
        <v>9</v>
      </c>
      <c r="M3323" t="s">
        <v>6376</v>
      </c>
      <c r="N3323" t="s">
        <v>3</v>
      </c>
      <c r="O3323" t="s">
        <v>3</v>
      </c>
      <c r="P3323" t="s">
        <v>5</v>
      </c>
      <c r="Q3323" t="s">
        <v>6377</v>
      </c>
      <c r="R3323" t="s">
        <v>3</v>
      </c>
      <c r="S3323" t="s">
        <v>3</v>
      </c>
      <c r="T3323" t="s">
        <v>3</v>
      </c>
      <c r="U3323" t="s">
        <v>3</v>
      </c>
      <c r="V3323" t="s">
        <v>3</v>
      </c>
      <c r="W3323" t="s">
        <v>68</v>
      </c>
      <c r="X3323" s="17"/>
      <c r="Y3323" t="s">
        <v>3</v>
      </c>
      <c r="Z3323" s="17">
        <v>44003</v>
      </c>
      <c r="AA3323" t="s">
        <v>3</v>
      </c>
      <c r="AB3323" t="s">
        <v>6374</v>
      </c>
    </row>
    <row r="3324" spans="1:28" hidden="1">
      <c r="A3324" t="s">
        <v>6374</v>
      </c>
      <c r="B3324" s="17">
        <v>44003</v>
      </c>
      <c r="C3324" s="17">
        <v>44003</v>
      </c>
      <c r="D3324" t="s">
        <v>0</v>
      </c>
      <c r="E3324" t="s">
        <v>1</v>
      </c>
      <c r="F3324" s="18">
        <v>1900</v>
      </c>
      <c r="G3324" s="18">
        <v>1900</v>
      </c>
      <c r="H3324" t="s">
        <v>2</v>
      </c>
      <c r="I3324" t="s">
        <v>8</v>
      </c>
      <c r="J3324" s="18">
        <v>159505</v>
      </c>
      <c r="K3324" t="s">
        <v>6379</v>
      </c>
      <c r="L3324" t="s">
        <v>9</v>
      </c>
      <c r="M3324" t="s">
        <v>6376</v>
      </c>
      <c r="N3324" t="s">
        <v>3</v>
      </c>
      <c r="O3324" t="s">
        <v>3</v>
      </c>
      <c r="P3324" t="s">
        <v>5</v>
      </c>
      <c r="Q3324" t="s">
        <v>6377</v>
      </c>
      <c r="R3324" t="s">
        <v>3</v>
      </c>
      <c r="S3324" t="s">
        <v>3</v>
      </c>
      <c r="T3324" t="s">
        <v>3</v>
      </c>
      <c r="U3324" t="s">
        <v>3</v>
      </c>
      <c r="V3324" t="s">
        <v>3</v>
      </c>
      <c r="W3324" t="s">
        <v>68</v>
      </c>
      <c r="X3324" s="17"/>
      <c r="Y3324" t="s">
        <v>3</v>
      </c>
      <c r="Z3324" s="17">
        <v>44003</v>
      </c>
      <c r="AA3324" t="s">
        <v>3</v>
      </c>
      <c r="AB3324" t="s">
        <v>6374</v>
      </c>
    </row>
    <row r="3325" spans="1:28" hidden="1">
      <c r="A3325" t="s">
        <v>6382</v>
      </c>
      <c r="B3325" s="17">
        <v>44004</v>
      </c>
      <c r="C3325" s="17">
        <v>44004</v>
      </c>
      <c r="D3325" t="s">
        <v>0</v>
      </c>
      <c r="E3325" t="s">
        <v>1</v>
      </c>
      <c r="F3325" s="18">
        <v>16455</v>
      </c>
      <c r="G3325" s="18">
        <v>16455</v>
      </c>
      <c r="H3325" t="s">
        <v>2</v>
      </c>
      <c r="I3325" t="s">
        <v>8</v>
      </c>
      <c r="J3325" s="18">
        <v>1381397.25</v>
      </c>
      <c r="K3325" t="s">
        <v>6383</v>
      </c>
      <c r="L3325" t="s">
        <v>9</v>
      </c>
      <c r="M3325" t="s">
        <v>6384</v>
      </c>
      <c r="N3325" t="s">
        <v>3</v>
      </c>
      <c r="O3325" t="s">
        <v>3</v>
      </c>
      <c r="P3325" t="s">
        <v>5</v>
      </c>
      <c r="Q3325" t="s">
        <v>6385</v>
      </c>
      <c r="R3325" t="s">
        <v>3</v>
      </c>
      <c r="S3325" t="s">
        <v>3</v>
      </c>
      <c r="T3325" t="s">
        <v>3</v>
      </c>
      <c r="U3325" t="s">
        <v>3</v>
      </c>
      <c r="V3325" t="s">
        <v>3</v>
      </c>
      <c r="W3325" t="s">
        <v>68</v>
      </c>
      <c r="X3325" s="17"/>
      <c r="Y3325" t="s">
        <v>3</v>
      </c>
      <c r="Z3325" s="17">
        <v>44004</v>
      </c>
      <c r="AA3325" t="s">
        <v>3</v>
      </c>
      <c r="AB3325" t="s">
        <v>6382</v>
      </c>
    </row>
    <row r="3326" spans="1:28" hidden="1">
      <c r="A3326" t="s">
        <v>6382</v>
      </c>
      <c r="B3326" s="17">
        <v>44004</v>
      </c>
      <c r="C3326" s="17">
        <v>44004</v>
      </c>
      <c r="D3326" t="s">
        <v>0</v>
      </c>
      <c r="E3326" t="s">
        <v>1</v>
      </c>
      <c r="F3326" s="18">
        <v>3070</v>
      </c>
      <c r="G3326" s="18">
        <v>3070</v>
      </c>
      <c r="H3326" t="s">
        <v>2</v>
      </c>
      <c r="I3326" t="s">
        <v>8</v>
      </c>
      <c r="J3326" s="18">
        <v>257726.5</v>
      </c>
      <c r="K3326" t="s">
        <v>6386</v>
      </c>
      <c r="L3326" t="s">
        <v>9</v>
      </c>
      <c r="M3326" t="s">
        <v>6384</v>
      </c>
      <c r="N3326" t="s">
        <v>3</v>
      </c>
      <c r="O3326" t="s">
        <v>3</v>
      </c>
      <c r="P3326" t="s">
        <v>5</v>
      </c>
      <c r="Q3326" t="s">
        <v>6385</v>
      </c>
      <c r="R3326" t="s">
        <v>3</v>
      </c>
      <c r="S3326" t="s">
        <v>3</v>
      </c>
      <c r="T3326" t="s">
        <v>3</v>
      </c>
      <c r="U3326" t="s">
        <v>3</v>
      </c>
      <c r="V3326" t="s">
        <v>3</v>
      </c>
      <c r="W3326" t="s">
        <v>68</v>
      </c>
      <c r="X3326" s="17"/>
      <c r="Y3326" t="s">
        <v>3</v>
      </c>
      <c r="Z3326" s="17">
        <v>44004</v>
      </c>
      <c r="AA3326" t="s">
        <v>3</v>
      </c>
      <c r="AB3326" t="s">
        <v>6382</v>
      </c>
    </row>
    <row r="3327" spans="1:28" hidden="1">
      <c r="A3327" t="s">
        <v>6382</v>
      </c>
      <c r="B3327" s="17">
        <v>44004</v>
      </c>
      <c r="C3327" s="17">
        <v>44004</v>
      </c>
      <c r="D3327" t="s">
        <v>0</v>
      </c>
      <c r="E3327" t="s">
        <v>1</v>
      </c>
      <c r="F3327" s="18">
        <v>690</v>
      </c>
      <c r="G3327" s="18">
        <v>690</v>
      </c>
      <c r="H3327" t="s">
        <v>2</v>
      </c>
      <c r="I3327" t="s">
        <v>8</v>
      </c>
      <c r="J3327" s="18">
        <v>57925.5</v>
      </c>
      <c r="K3327" t="s">
        <v>6387</v>
      </c>
      <c r="L3327" t="s">
        <v>9</v>
      </c>
      <c r="M3327" t="s">
        <v>6384</v>
      </c>
      <c r="N3327" t="s">
        <v>3</v>
      </c>
      <c r="O3327" t="s">
        <v>3</v>
      </c>
      <c r="P3327" t="s">
        <v>5</v>
      </c>
      <c r="Q3327" t="s">
        <v>6385</v>
      </c>
      <c r="R3327" t="s">
        <v>3</v>
      </c>
      <c r="S3327" t="s">
        <v>3</v>
      </c>
      <c r="T3327" t="s">
        <v>3</v>
      </c>
      <c r="U3327" t="s">
        <v>3</v>
      </c>
      <c r="V3327" t="s">
        <v>3</v>
      </c>
      <c r="W3327" t="s">
        <v>68</v>
      </c>
      <c r="X3327" s="17"/>
      <c r="Y3327" t="s">
        <v>3</v>
      </c>
      <c r="Z3327" s="17">
        <v>44004</v>
      </c>
      <c r="AA3327" t="s">
        <v>3</v>
      </c>
      <c r="AB3327" t="s">
        <v>6382</v>
      </c>
    </row>
    <row r="3328" spans="1:28" hidden="1">
      <c r="A3328" t="s">
        <v>6382</v>
      </c>
      <c r="B3328" s="17">
        <v>44004</v>
      </c>
      <c r="C3328" s="17">
        <v>44004</v>
      </c>
      <c r="D3328" t="s">
        <v>0</v>
      </c>
      <c r="E3328" t="s">
        <v>1</v>
      </c>
      <c r="F3328" s="18">
        <v>39279</v>
      </c>
      <c r="G3328" s="18">
        <v>39279</v>
      </c>
      <c r="H3328" t="s">
        <v>2</v>
      </c>
      <c r="I3328" t="s">
        <v>8</v>
      </c>
      <c r="J3328" s="18">
        <v>3297472.05</v>
      </c>
      <c r="K3328" t="s">
        <v>6388</v>
      </c>
      <c r="L3328" t="s">
        <v>9</v>
      </c>
      <c r="M3328" t="s">
        <v>6384</v>
      </c>
      <c r="N3328" t="s">
        <v>3</v>
      </c>
      <c r="O3328" t="s">
        <v>3</v>
      </c>
      <c r="P3328" t="s">
        <v>5</v>
      </c>
      <c r="Q3328" t="s">
        <v>6385</v>
      </c>
      <c r="R3328" t="s">
        <v>3</v>
      </c>
      <c r="S3328" t="s">
        <v>3</v>
      </c>
      <c r="T3328" t="s">
        <v>3</v>
      </c>
      <c r="U3328" t="s">
        <v>3</v>
      </c>
      <c r="V3328" t="s">
        <v>3</v>
      </c>
      <c r="W3328" t="s">
        <v>68</v>
      </c>
      <c r="X3328" s="17"/>
      <c r="Y3328" t="s">
        <v>3</v>
      </c>
      <c r="Z3328" s="17">
        <v>44004</v>
      </c>
      <c r="AA3328" t="s">
        <v>3</v>
      </c>
      <c r="AB3328" t="s">
        <v>6382</v>
      </c>
    </row>
    <row r="3329" spans="1:28" hidden="1">
      <c r="A3329" t="s">
        <v>6394</v>
      </c>
      <c r="B3329" s="17">
        <v>44007</v>
      </c>
      <c r="C3329" s="17">
        <v>44007</v>
      </c>
      <c r="D3329" t="s">
        <v>0</v>
      </c>
      <c r="E3329" t="s">
        <v>1</v>
      </c>
      <c r="F3329" s="18">
        <v>1846.66</v>
      </c>
      <c r="G3329" s="18">
        <v>1846.66</v>
      </c>
      <c r="H3329" t="s">
        <v>2</v>
      </c>
      <c r="I3329" t="s">
        <v>8</v>
      </c>
      <c r="J3329" s="18">
        <v>155027.10999999999</v>
      </c>
      <c r="K3329" t="s">
        <v>6395</v>
      </c>
      <c r="L3329" t="s">
        <v>4</v>
      </c>
      <c r="M3329" t="s">
        <v>6396</v>
      </c>
      <c r="N3329" t="s">
        <v>3</v>
      </c>
      <c r="O3329" t="s">
        <v>3</v>
      </c>
      <c r="P3329" t="s">
        <v>5</v>
      </c>
      <c r="Q3329" t="s">
        <v>6397</v>
      </c>
      <c r="R3329" t="s">
        <v>3</v>
      </c>
      <c r="S3329" t="s">
        <v>3</v>
      </c>
      <c r="T3329" t="s">
        <v>3</v>
      </c>
      <c r="U3329" t="s">
        <v>3</v>
      </c>
      <c r="V3329" t="s">
        <v>3</v>
      </c>
      <c r="W3329" t="s">
        <v>68</v>
      </c>
      <c r="X3329" s="17"/>
      <c r="Y3329" t="s">
        <v>3</v>
      </c>
      <c r="Z3329" s="17">
        <v>44007</v>
      </c>
      <c r="AA3329" t="s">
        <v>3</v>
      </c>
      <c r="AB3329" t="s">
        <v>6394</v>
      </c>
    </row>
    <row r="3330" spans="1:28" hidden="1">
      <c r="A3330" t="s">
        <v>6398</v>
      </c>
      <c r="B3330" s="17">
        <v>44007</v>
      </c>
      <c r="C3330" s="17">
        <v>44007</v>
      </c>
      <c r="D3330" t="s">
        <v>0</v>
      </c>
      <c r="E3330" t="s">
        <v>1</v>
      </c>
      <c r="F3330" s="18">
        <v>8102</v>
      </c>
      <c r="G3330" s="18">
        <v>8102</v>
      </c>
      <c r="H3330" t="s">
        <v>2</v>
      </c>
      <c r="I3330" t="s">
        <v>8</v>
      </c>
      <c r="J3330" s="18">
        <v>680162.9</v>
      </c>
      <c r="K3330" t="s">
        <v>6383</v>
      </c>
      <c r="L3330" t="s">
        <v>9</v>
      </c>
      <c r="M3330" t="s">
        <v>6399</v>
      </c>
      <c r="N3330" t="s">
        <v>3</v>
      </c>
      <c r="O3330" t="s">
        <v>3</v>
      </c>
      <c r="P3330" t="s">
        <v>5</v>
      </c>
      <c r="Q3330" t="s">
        <v>6400</v>
      </c>
      <c r="R3330" t="s">
        <v>3</v>
      </c>
      <c r="S3330" t="s">
        <v>3</v>
      </c>
      <c r="T3330" t="s">
        <v>3</v>
      </c>
      <c r="U3330" t="s">
        <v>3</v>
      </c>
      <c r="V3330" t="s">
        <v>3</v>
      </c>
      <c r="W3330" t="s">
        <v>68</v>
      </c>
      <c r="X3330" s="17"/>
      <c r="Y3330" t="s">
        <v>3</v>
      </c>
      <c r="Z3330" s="17">
        <v>44007</v>
      </c>
      <c r="AA3330" t="s">
        <v>3</v>
      </c>
      <c r="AB3330" t="s">
        <v>6398</v>
      </c>
    </row>
    <row r="3331" spans="1:28" hidden="1">
      <c r="A3331" t="s">
        <v>6398</v>
      </c>
      <c r="B3331" s="17">
        <v>44007</v>
      </c>
      <c r="C3331" s="17">
        <v>44007</v>
      </c>
      <c r="D3331" t="s">
        <v>0</v>
      </c>
      <c r="E3331" t="s">
        <v>1</v>
      </c>
      <c r="F3331" s="18">
        <v>14319.2</v>
      </c>
      <c r="G3331" s="18">
        <v>14319.2</v>
      </c>
      <c r="H3331" t="s">
        <v>2</v>
      </c>
      <c r="I3331" t="s">
        <v>8</v>
      </c>
      <c r="J3331" s="18">
        <v>1202096.8400000001</v>
      </c>
      <c r="K3331" t="s">
        <v>6386</v>
      </c>
      <c r="L3331" t="s">
        <v>9</v>
      </c>
      <c r="M3331" t="s">
        <v>6399</v>
      </c>
      <c r="N3331" t="s">
        <v>3</v>
      </c>
      <c r="O3331" t="s">
        <v>3</v>
      </c>
      <c r="P3331" t="s">
        <v>5</v>
      </c>
      <c r="Q3331" t="s">
        <v>6400</v>
      </c>
      <c r="R3331" t="s">
        <v>3</v>
      </c>
      <c r="S3331" t="s">
        <v>3</v>
      </c>
      <c r="T3331" t="s">
        <v>3</v>
      </c>
      <c r="U3331" t="s">
        <v>3</v>
      </c>
      <c r="V3331" t="s">
        <v>3</v>
      </c>
      <c r="W3331" t="s">
        <v>68</v>
      </c>
      <c r="X3331" s="17"/>
      <c r="Y3331" t="s">
        <v>3</v>
      </c>
      <c r="Z3331" s="17">
        <v>44007</v>
      </c>
      <c r="AA3331" t="s">
        <v>3</v>
      </c>
      <c r="AB3331" t="s">
        <v>6398</v>
      </c>
    </row>
    <row r="3332" spans="1:28" hidden="1">
      <c r="A3332" t="s">
        <v>6398</v>
      </c>
      <c r="B3332" s="17">
        <v>44007</v>
      </c>
      <c r="C3332" s="17">
        <v>44007</v>
      </c>
      <c r="D3332" t="s">
        <v>0</v>
      </c>
      <c r="E3332" t="s">
        <v>1</v>
      </c>
      <c r="F3332" s="18">
        <v>8</v>
      </c>
      <c r="G3332" s="18">
        <v>8</v>
      </c>
      <c r="H3332" t="s">
        <v>2</v>
      </c>
      <c r="I3332" t="s">
        <v>8</v>
      </c>
      <c r="J3332" s="18">
        <v>671.6</v>
      </c>
      <c r="K3332" t="s">
        <v>6387</v>
      </c>
      <c r="L3332" t="s">
        <v>9</v>
      </c>
      <c r="M3332" t="s">
        <v>6399</v>
      </c>
      <c r="N3332" t="s">
        <v>3</v>
      </c>
      <c r="O3332" t="s">
        <v>3</v>
      </c>
      <c r="P3332" t="s">
        <v>5</v>
      </c>
      <c r="Q3332" t="s">
        <v>6400</v>
      </c>
      <c r="R3332" t="s">
        <v>3</v>
      </c>
      <c r="S3332" t="s">
        <v>3</v>
      </c>
      <c r="T3332" t="s">
        <v>3</v>
      </c>
      <c r="U3332" t="s">
        <v>3</v>
      </c>
      <c r="V3332" t="s">
        <v>3</v>
      </c>
      <c r="W3332" t="s">
        <v>68</v>
      </c>
      <c r="X3332" s="17"/>
      <c r="Y3332" t="s">
        <v>3</v>
      </c>
      <c r="Z3332" s="17">
        <v>44007</v>
      </c>
      <c r="AA3332" t="s">
        <v>3</v>
      </c>
      <c r="AB3332" t="s">
        <v>6398</v>
      </c>
    </row>
    <row r="3333" spans="1:28" hidden="1">
      <c r="A3333" t="s">
        <v>6398</v>
      </c>
      <c r="B3333" s="17">
        <v>44007</v>
      </c>
      <c r="C3333" s="17">
        <v>44007</v>
      </c>
      <c r="D3333" t="s">
        <v>0</v>
      </c>
      <c r="E3333" t="s">
        <v>1</v>
      </c>
      <c r="F3333" s="18">
        <v>4516</v>
      </c>
      <c r="G3333" s="18">
        <v>4516</v>
      </c>
      <c r="H3333" t="s">
        <v>2</v>
      </c>
      <c r="I3333" t="s">
        <v>8</v>
      </c>
      <c r="J3333" s="18">
        <v>379118.2</v>
      </c>
      <c r="K3333" t="s">
        <v>6401</v>
      </c>
      <c r="L3333" t="s">
        <v>9</v>
      </c>
      <c r="M3333" t="s">
        <v>6399</v>
      </c>
      <c r="N3333" t="s">
        <v>3</v>
      </c>
      <c r="O3333" t="s">
        <v>3</v>
      </c>
      <c r="P3333" t="s">
        <v>5</v>
      </c>
      <c r="Q3333" t="s">
        <v>6400</v>
      </c>
      <c r="R3333" t="s">
        <v>3</v>
      </c>
      <c r="S3333" t="s">
        <v>3</v>
      </c>
      <c r="T3333" t="s">
        <v>3</v>
      </c>
      <c r="U3333" t="s">
        <v>3</v>
      </c>
      <c r="V3333" t="s">
        <v>3</v>
      </c>
      <c r="W3333" t="s">
        <v>68</v>
      </c>
      <c r="X3333" s="17"/>
      <c r="Y3333" t="s">
        <v>3</v>
      </c>
      <c r="Z3333" s="17">
        <v>44007</v>
      </c>
      <c r="AA3333" t="s">
        <v>3</v>
      </c>
      <c r="AB3333" t="s">
        <v>6398</v>
      </c>
    </row>
    <row r="3334" spans="1:28" hidden="1">
      <c r="A3334" t="s">
        <v>6402</v>
      </c>
      <c r="B3334" s="17">
        <v>44007</v>
      </c>
      <c r="C3334" s="17">
        <v>44007</v>
      </c>
      <c r="D3334" t="s">
        <v>0</v>
      </c>
      <c r="E3334" t="s">
        <v>1</v>
      </c>
      <c r="F3334" s="18">
        <v>19147</v>
      </c>
      <c r="G3334" s="18">
        <v>19147</v>
      </c>
      <c r="H3334" t="s">
        <v>2</v>
      </c>
      <c r="I3334" t="s">
        <v>8</v>
      </c>
      <c r="J3334" s="18">
        <v>1607390.65</v>
      </c>
      <c r="K3334" t="s">
        <v>6387</v>
      </c>
      <c r="L3334" t="s">
        <v>9</v>
      </c>
      <c r="M3334" t="s">
        <v>6403</v>
      </c>
      <c r="N3334" t="s">
        <v>3</v>
      </c>
      <c r="O3334" t="s">
        <v>3</v>
      </c>
      <c r="P3334" t="s">
        <v>5</v>
      </c>
      <c r="Q3334" t="s">
        <v>6404</v>
      </c>
      <c r="R3334" t="s">
        <v>3</v>
      </c>
      <c r="S3334" t="s">
        <v>3</v>
      </c>
      <c r="T3334" t="s">
        <v>3</v>
      </c>
      <c r="U3334" t="s">
        <v>3</v>
      </c>
      <c r="V3334" t="s">
        <v>3</v>
      </c>
      <c r="W3334" t="s">
        <v>68</v>
      </c>
      <c r="X3334" s="17"/>
      <c r="Y3334" t="s">
        <v>3</v>
      </c>
      <c r="Z3334" s="17">
        <v>44007</v>
      </c>
      <c r="AA3334" t="s">
        <v>3</v>
      </c>
      <c r="AB3334" t="s">
        <v>6402</v>
      </c>
    </row>
    <row r="3335" spans="1:28" hidden="1">
      <c r="A3335" t="s">
        <v>6402</v>
      </c>
      <c r="B3335" s="17">
        <v>44007</v>
      </c>
      <c r="C3335" s="17">
        <v>44007</v>
      </c>
      <c r="D3335" t="s">
        <v>0</v>
      </c>
      <c r="E3335" t="s">
        <v>1</v>
      </c>
      <c r="F3335" s="18">
        <v>58314</v>
      </c>
      <c r="G3335" s="18">
        <v>58314</v>
      </c>
      <c r="H3335" t="s">
        <v>2</v>
      </c>
      <c r="I3335" t="s">
        <v>8</v>
      </c>
      <c r="J3335" s="18">
        <v>4895460.3</v>
      </c>
      <c r="K3335" t="s">
        <v>6388</v>
      </c>
      <c r="L3335" t="s">
        <v>9</v>
      </c>
      <c r="M3335" t="s">
        <v>6403</v>
      </c>
      <c r="N3335" t="s">
        <v>3</v>
      </c>
      <c r="O3335" t="s">
        <v>3</v>
      </c>
      <c r="P3335" t="s">
        <v>5</v>
      </c>
      <c r="Q3335" t="s">
        <v>6404</v>
      </c>
      <c r="R3335" t="s">
        <v>3</v>
      </c>
      <c r="S3335" t="s">
        <v>3</v>
      </c>
      <c r="T3335" t="s">
        <v>3</v>
      </c>
      <c r="U3335" t="s">
        <v>3</v>
      </c>
      <c r="V3335" t="s">
        <v>3</v>
      </c>
      <c r="W3335" t="s">
        <v>68</v>
      </c>
      <c r="X3335" s="17"/>
      <c r="Y3335" t="s">
        <v>3</v>
      </c>
      <c r="Z3335" s="17">
        <v>44007</v>
      </c>
      <c r="AA3335" t="s">
        <v>3</v>
      </c>
      <c r="AB3335" t="s">
        <v>6402</v>
      </c>
    </row>
    <row r="3336" spans="1:28" hidden="1">
      <c r="A3336" t="s">
        <v>6405</v>
      </c>
      <c r="B3336" s="17">
        <v>44007</v>
      </c>
      <c r="C3336" s="17">
        <v>44007</v>
      </c>
      <c r="D3336" t="s">
        <v>0</v>
      </c>
      <c r="E3336" t="s">
        <v>1</v>
      </c>
      <c r="F3336" s="18">
        <v>19678</v>
      </c>
      <c r="G3336" s="18">
        <v>19678</v>
      </c>
      <c r="H3336" t="s">
        <v>2</v>
      </c>
      <c r="I3336" t="s">
        <v>8</v>
      </c>
      <c r="J3336" s="18">
        <v>1651968.1</v>
      </c>
      <c r="K3336" t="s">
        <v>3</v>
      </c>
      <c r="L3336" t="s">
        <v>9</v>
      </c>
      <c r="M3336" t="s">
        <v>6406</v>
      </c>
      <c r="N3336" t="s">
        <v>3</v>
      </c>
      <c r="O3336" t="s">
        <v>3</v>
      </c>
      <c r="P3336" t="s">
        <v>5</v>
      </c>
      <c r="Q3336" t="s">
        <v>6407</v>
      </c>
      <c r="R3336" t="s">
        <v>3</v>
      </c>
      <c r="S3336" t="s">
        <v>3</v>
      </c>
      <c r="T3336" t="s">
        <v>3</v>
      </c>
      <c r="U3336" t="s">
        <v>3</v>
      </c>
      <c r="V3336" t="s">
        <v>3</v>
      </c>
      <c r="W3336" t="s">
        <v>68</v>
      </c>
      <c r="X3336" s="17"/>
      <c r="Y3336" t="s">
        <v>3</v>
      </c>
      <c r="Z3336" s="17">
        <v>44007</v>
      </c>
      <c r="AA3336" t="s">
        <v>3</v>
      </c>
      <c r="AB3336" t="s">
        <v>6405</v>
      </c>
    </row>
    <row r="3337" spans="1:28" hidden="1">
      <c r="A3337" t="s">
        <v>6405</v>
      </c>
      <c r="B3337" s="17">
        <v>44007</v>
      </c>
      <c r="C3337" s="17">
        <v>44007</v>
      </c>
      <c r="D3337" t="s">
        <v>0</v>
      </c>
      <c r="E3337" t="s">
        <v>1</v>
      </c>
      <c r="F3337" s="18">
        <v>33399</v>
      </c>
      <c r="G3337" s="18">
        <v>33399</v>
      </c>
      <c r="H3337" t="s">
        <v>2</v>
      </c>
      <c r="I3337" t="s">
        <v>8</v>
      </c>
      <c r="J3337" s="18">
        <v>2803846.05</v>
      </c>
      <c r="K3337" t="s">
        <v>3</v>
      </c>
      <c r="L3337" t="s">
        <v>9</v>
      </c>
      <c r="M3337" t="s">
        <v>6406</v>
      </c>
      <c r="N3337" t="s">
        <v>3</v>
      </c>
      <c r="O3337" t="s">
        <v>3</v>
      </c>
      <c r="P3337" t="s">
        <v>5</v>
      </c>
      <c r="Q3337" t="s">
        <v>6407</v>
      </c>
      <c r="R3337" t="s">
        <v>3</v>
      </c>
      <c r="S3337" t="s">
        <v>3</v>
      </c>
      <c r="T3337" t="s">
        <v>3</v>
      </c>
      <c r="U3337" t="s">
        <v>3</v>
      </c>
      <c r="V3337" t="s">
        <v>3</v>
      </c>
      <c r="W3337" t="s">
        <v>68</v>
      </c>
      <c r="X3337" s="17"/>
      <c r="Y3337" t="s">
        <v>3</v>
      </c>
      <c r="Z3337" s="17">
        <v>44007</v>
      </c>
      <c r="AA3337" t="s">
        <v>3</v>
      </c>
      <c r="AB3337" t="s">
        <v>6405</v>
      </c>
    </row>
    <row r="3338" spans="1:28" hidden="1">
      <c r="A3338" t="s">
        <v>6405</v>
      </c>
      <c r="B3338" s="17">
        <v>44007</v>
      </c>
      <c r="C3338" s="17">
        <v>44007</v>
      </c>
      <c r="D3338" t="s">
        <v>0</v>
      </c>
      <c r="E3338" t="s">
        <v>1</v>
      </c>
      <c r="F3338" s="18">
        <v>60160</v>
      </c>
      <c r="G3338" s="18">
        <v>60160</v>
      </c>
      <c r="H3338" t="s">
        <v>2</v>
      </c>
      <c r="I3338" t="s">
        <v>8</v>
      </c>
      <c r="J3338" s="18">
        <v>5050432</v>
      </c>
      <c r="K3338" t="s">
        <v>3</v>
      </c>
      <c r="L3338" t="s">
        <v>9</v>
      </c>
      <c r="M3338" t="s">
        <v>6406</v>
      </c>
      <c r="N3338" t="s">
        <v>3</v>
      </c>
      <c r="O3338" t="s">
        <v>3</v>
      </c>
      <c r="P3338" t="s">
        <v>5</v>
      </c>
      <c r="Q3338" t="s">
        <v>6407</v>
      </c>
      <c r="R3338" t="s">
        <v>3</v>
      </c>
      <c r="S3338" t="s">
        <v>3</v>
      </c>
      <c r="T3338" t="s">
        <v>3</v>
      </c>
      <c r="U3338" t="s">
        <v>3</v>
      </c>
      <c r="V3338" t="s">
        <v>3</v>
      </c>
      <c r="W3338" t="s">
        <v>68</v>
      </c>
      <c r="X3338" s="17"/>
      <c r="Y3338" t="s">
        <v>3</v>
      </c>
      <c r="Z3338" s="17">
        <v>44007</v>
      </c>
      <c r="AA3338" t="s">
        <v>3</v>
      </c>
      <c r="AB3338" t="s">
        <v>6405</v>
      </c>
    </row>
    <row r="3339" spans="1:28" hidden="1">
      <c r="A3339" t="s">
        <v>6405</v>
      </c>
      <c r="B3339" s="17">
        <v>44007</v>
      </c>
      <c r="C3339" s="17">
        <v>44007</v>
      </c>
      <c r="D3339" t="s">
        <v>0</v>
      </c>
      <c r="E3339" t="s">
        <v>1</v>
      </c>
      <c r="F3339" s="18">
        <v>31464</v>
      </c>
      <c r="G3339" s="18">
        <v>31464</v>
      </c>
      <c r="H3339" t="s">
        <v>2</v>
      </c>
      <c r="I3339" t="s">
        <v>8</v>
      </c>
      <c r="J3339" s="18">
        <v>2641402.7999999998</v>
      </c>
      <c r="K3339" t="s">
        <v>3</v>
      </c>
      <c r="L3339" t="s">
        <v>9</v>
      </c>
      <c r="M3339" t="s">
        <v>6406</v>
      </c>
      <c r="N3339" t="s">
        <v>3</v>
      </c>
      <c r="O3339" t="s">
        <v>3</v>
      </c>
      <c r="P3339" t="s">
        <v>5</v>
      </c>
      <c r="Q3339" t="s">
        <v>6407</v>
      </c>
      <c r="R3339" t="s">
        <v>3</v>
      </c>
      <c r="S3339" t="s">
        <v>3</v>
      </c>
      <c r="T3339" t="s">
        <v>3</v>
      </c>
      <c r="U3339" t="s">
        <v>3</v>
      </c>
      <c r="V3339" t="s">
        <v>3</v>
      </c>
      <c r="W3339" t="s">
        <v>68</v>
      </c>
      <c r="X3339" s="17"/>
      <c r="Y3339" t="s">
        <v>3</v>
      </c>
      <c r="Z3339" s="17">
        <v>44007</v>
      </c>
      <c r="AA3339" t="s">
        <v>3</v>
      </c>
      <c r="AB3339" t="s">
        <v>6405</v>
      </c>
    </row>
    <row r="3340" spans="1:28" hidden="1">
      <c r="A3340" t="s">
        <v>6405</v>
      </c>
      <c r="B3340" s="17">
        <v>44007</v>
      </c>
      <c r="C3340" s="17">
        <v>44007</v>
      </c>
      <c r="D3340" t="s">
        <v>0</v>
      </c>
      <c r="E3340" t="s">
        <v>1</v>
      </c>
      <c r="F3340" s="18">
        <v>64626</v>
      </c>
      <c r="G3340" s="18">
        <v>64626</v>
      </c>
      <c r="H3340" t="s">
        <v>2</v>
      </c>
      <c r="I3340" t="s">
        <v>8</v>
      </c>
      <c r="J3340" s="18">
        <v>5425352.7000000002</v>
      </c>
      <c r="K3340" t="s">
        <v>3</v>
      </c>
      <c r="L3340" t="s">
        <v>9</v>
      </c>
      <c r="M3340" t="s">
        <v>6406</v>
      </c>
      <c r="N3340" t="s">
        <v>3</v>
      </c>
      <c r="O3340" t="s">
        <v>3</v>
      </c>
      <c r="P3340" t="s">
        <v>5</v>
      </c>
      <c r="Q3340" t="s">
        <v>6407</v>
      </c>
      <c r="R3340" t="s">
        <v>3</v>
      </c>
      <c r="S3340" t="s">
        <v>3</v>
      </c>
      <c r="T3340" t="s">
        <v>3</v>
      </c>
      <c r="U3340" t="s">
        <v>3</v>
      </c>
      <c r="V3340" t="s">
        <v>3</v>
      </c>
      <c r="W3340" t="s">
        <v>68</v>
      </c>
      <c r="X3340" s="17"/>
      <c r="Y3340" t="s">
        <v>3</v>
      </c>
      <c r="Z3340" s="17">
        <v>44007</v>
      </c>
      <c r="AA3340" t="s">
        <v>3</v>
      </c>
      <c r="AB3340" t="s">
        <v>6405</v>
      </c>
    </row>
    <row r="3341" spans="1:28" hidden="1">
      <c r="A3341" t="s">
        <v>6405</v>
      </c>
      <c r="B3341" s="17">
        <v>44007</v>
      </c>
      <c r="C3341" s="17">
        <v>44007</v>
      </c>
      <c r="D3341" t="s">
        <v>0</v>
      </c>
      <c r="E3341" t="s">
        <v>1</v>
      </c>
      <c r="F3341" s="18">
        <v>7694</v>
      </c>
      <c r="G3341" s="18">
        <v>7694</v>
      </c>
      <c r="H3341" t="s">
        <v>2</v>
      </c>
      <c r="I3341" t="s">
        <v>8</v>
      </c>
      <c r="J3341" s="18">
        <v>645911.30000000005</v>
      </c>
      <c r="K3341" t="s">
        <v>3</v>
      </c>
      <c r="L3341" t="s">
        <v>9</v>
      </c>
      <c r="M3341" t="s">
        <v>6406</v>
      </c>
      <c r="N3341" t="s">
        <v>3</v>
      </c>
      <c r="O3341" t="s">
        <v>3</v>
      </c>
      <c r="P3341" t="s">
        <v>5</v>
      </c>
      <c r="Q3341" t="s">
        <v>6407</v>
      </c>
      <c r="R3341" t="s">
        <v>3</v>
      </c>
      <c r="S3341" t="s">
        <v>3</v>
      </c>
      <c r="T3341" t="s">
        <v>3</v>
      </c>
      <c r="U3341" t="s">
        <v>3</v>
      </c>
      <c r="V3341" t="s">
        <v>3</v>
      </c>
      <c r="W3341" t="s">
        <v>68</v>
      </c>
      <c r="X3341" s="17"/>
      <c r="Y3341" t="s">
        <v>3</v>
      </c>
      <c r="Z3341" s="17">
        <v>44007</v>
      </c>
      <c r="AA3341" t="s">
        <v>3</v>
      </c>
      <c r="AB3341" t="s">
        <v>6405</v>
      </c>
    </row>
    <row r="3342" spans="1:28" hidden="1">
      <c r="A3342" t="s">
        <v>4475</v>
      </c>
      <c r="B3342" s="17">
        <v>44012</v>
      </c>
      <c r="C3342" s="17">
        <v>44012</v>
      </c>
      <c r="D3342" t="s">
        <v>38</v>
      </c>
      <c r="E3342" t="s">
        <v>1</v>
      </c>
      <c r="F3342" s="18">
        <v>16.579999999999998</v>
      </c>
      <c r="G3342" s="18">
        <v>16.579999999999998</v>
      </c>
      <c r="H3342" t="s">
        <v>2</v>
      </c>
      <c r="I3342" t="s">
        <v>8</v>
      </c>
      <c r="J3342" s="18">
        <v>1391.89</v>
      </c>
      <c r="K3342" t="s">
        <v>4476</v>
      </c>
      <c r="L3342" t="s">
        <v>4</v>
      </c>
      <c r="M3342" t="s">
        <v>4477</v>
      </c>
      <c r="N3342" t="s">
        <v>3</v>
      </c>
      <c r="O3342" t="s">
        <v>3</v>
      </c>
      <c r="P3342" t="s">
        <v>5</v>
      </c>
      <c r="Q3342" t="s">
        <v>4478</v>
      </c>
      <c r="R3342" t="s">
        <v>3</v>
      </c>
      <c r="S3342" t="s">
        <v>3</v>
      </c>
      <c r="T3342" t="s">
        <v>3</v>
      </c>
      <c r="U3342" t="s">
        <v>3</v>
      </c>
      <c r="V3342" t="s">
        <v>3</v>
      </c>
      <c r="W3342" t="s">
        <v>68</v>
      </c>
      <c r="X3342" s="17">
        <v>44012</v>
      </c>
      <c r="Y3342" t="s">
        <v>4475</v>
      </c>
      <c r="Z3342" s="17">
        <v>44012</v>
      </c>
      <c r="AA3342" t="s">
        <v>3</v>
      </c>
      <c r="AB3342" t="s">
        <v>4475</v>
      </c>
    </row>
    <row r="3343" spans="1:28" hidden="1">
      <c r="A3343" t="s">
        <v>4137</v>
      </c>
      <c r="B3343" s="17">
        <v>44012</v>
      </c>
      <c r="C3343" s="17">
        <v>44012</v>
      </c>
      <c r="D3343" t="s">
        <v>7</v>
      </c>
      <c r="E3343" t="s">
        <v>1</v>
      </c>
      <c r="F3343" s="18">
        <v>0</v>
      </c>
      <c r="G3343" s="18">
        <v>0</v>
      </c>
      <c r="H3343" t="s">
        <v>2</v>
      </c>
      <c r="I3343" t="s">
        <v>8</v>
      </c>
      <c r="J3343" s="18">
        <v>0.02</v>
      </c>
      <c r="K3343" t="s">
        <v>3</v>
      </c>
      <c r="L3343" t="s">
        <v>9</v>
      </c>
      <c r="M3343" t="s">
        <v>4495</v>
      </c>
      <c r="N3343" t="s">
        <v>3</v>
      </c>
      <c r="O3343" t="s">
        <v>3</v>
      </c>
      <c r="P3343" t="s">
        <v>5</v>
      </c>
      <c r="Q3343" t="s">
        <v>4495</v>
      </c>
      <c r="R3343" t="s">
        <v>3</v>
      </c>
      <c r="S3343" t="s">
        <v>3</v>
      </c>
      <c r="T3343" t="s">
        <v>3</v>
      </c>
      <c r="U3343" t="s">
        <v>3</v>
      </c>
      <c r="V3343" t="s">
        <v>3</v>
      </c>
      <c r="W3343" t="s">
        <v>68</v>
      </c>
      <c r="X3343" s="17">
        <v>44012</v>
      </c>
      <c r="Y3343" t="s">
        <v>4137</v>
      </c>
      <c r="Z3343" s="17">
        <v>44012</v>
      </c>
      <c r="AA3343" t="s">
        <v>3</v>
      </c>
      <c r="AB3343" t="s">
        <v>4137</v>
      </c>
    </row>
    <row r="3344" spans="1:28" hidden="1">
      <c r="A3344" t="s">
        <v>6389</v>
      </c>
      <c r="B3344" s="17">
        <v>44012</v>
      </c>
      <c r="C3344" s="17">
        <v>44012</v>
      </c>
      <c r="D3344" t="s">
        <v>0</v>
      </c>
      <c r="E3344" t="s">
        <v>1</v>
      </c>
      <c r="F3344" s="18">
        <v>1351.08</v>
      </c>
      <c r="G3344" s="18">
        <v>1351.08</v>
      </c>
      <c r="H3344" t="s">
        <v>2</v>
      </c>
      <c r="I3344" t="s">
        <v>8</v>
      </c>
      <c r="J3344" s="18">
        <v>113423.17</v>
      </c>
      <c r="K3344" t="s">
        <v>6390</v>
      </c>
      <c r="L3344" t="s">
        <v>4</v>
      </c>
      <c r="M3344" t="s">
        <v>6391</v>
      </c>
      <c r="N3344" t="s">
        <v>3</v>
      </c>
      <c r="O3344" t="s">
        <v>3</v>
      </c>
      <c r="P3344" t="s">
        <v>5</v>
      </c>
      <c r="Q3344" t="s">
        <v>6392</v>
      </c>
      <c r="R3344" t="s">
        <v>3</v>
      </c>
      <c r="S3344" t="s">
        <v>3</v>
      </c>
      <c r="T3344" t="s">
        <v>3</v>
      </c>
      <c r="U3344" t="s">
        <v>3</v>
      </c>
      <c r="V3344" t="s">
        <v>3</v>
      </c>
      <c r="W3344" t="s">
        <v>68</v>
      </c>
      <c r="X3344" s="17"/>
      <c r="Y3344" t="s">
        <v>3</v>
      </c>
      <c r="Z3344" s="17">
        <v>44012</v>
      </c>
      <c r="AA3344" t="s">
        <v>3</v>
      </c>
      <c r="AB3344" t="s">
        <v>6389</v>
      </c>
    </row>
    <row r="3345" spans="1:28" hidden="1">
      <c r="A3345" t="s">
        <v>6389</v>
      </c>
      <c r="B3345" s="17">
        <v>44012</v>
      </c>
      <c r="C3345" s="17">
        <v>44012</v>
      </c>
      <c r="D3345" t="s">
        <v>0</v>
      </c>
      <c r="E3345" t="s">
        <v>1</v>
      </c>
      <c r="F3345" s="18">
        <v>8567.8799999999992</v>
      </c>
      <c r="G3345" s="18">
        <v>8567.8799999999992</v>
      </c>
      <c r="H3345" t="s">
        <v>2</v>
      </c>
      <c r="I3345" t="s">
        <v>8</v>
      </c>
      <c r="J3345" s="18">
        <v>719273.53</v>
      </c>
      <c r="K3345" t="s">
        <v>6393</v>
      </c>
      <c r="L3345" t="s">
        <v>4</v>
      </c>
      <c r="M3345" t="s">
        <v>6391</v>
      </c>
      <c r="N3345" t="s">
        <v>3</v>
      </c>
      <c r="O3345" t="s">
        <v>3</v>
      </c>
      <c r="P3345" t="s">
        <v>5</v>
      </c>
      <c r="Q3345" t="s">
        <v>6392</v>
      </c>
      <c r="R3345" t="s">
        <v>3</v>
      </c>
      <c r="S3345" t="s">
        <v>3</v>
      </c>
      <c r="T3345" t="s">
        <v>3</v>
      </c>
      <c r="U3345" t="s">
        <v>3</v>
      </c>
      <c r="V3345" t="s">
        <v>3</v>
      </c>
      <c r="W3345" t="s">
        <v>68</v>
      </c>
      <c r="X3345" s="17"/>
      <c r="Y3345" t="s">
        <v>3</v>
      </c>
      <c r="Z3345" s="17">
        <v>44012</v>
      </c>
      <c r="AA3345" t="s">
        <v>3</v>
      </c>
      <c r="AB3345" t="s">
        <v>6389</v>
      </c>
    </row>
    <row r="3346" spans="1:28" hidden="1">
      <c r="A3346" t="s">
        <v>6415</v>
      </c>
      <c r="B3346" s="17">
        <v>44012</v>
      </c>
      <c r="C3346" s="17">
        <v>44012</v>
      </c>
      <c r="D3346" t="s">
        <v>0</v>
      </c>
      <c r="E3346" t="s">
        <v>1</v>
      </c>
      <c r="F3346" s="18">
        <v>-438264</v>
      </c>
      <c r="G3346" s="18">
        <v>-438264</v>
      </c>
      <c r="H3346" t="s">
        <v>2</v>
      </c>
      <c r="I3346" t="s">
        <v>8</v>
      </c>
      <c r="J3346" s="18">
        <v>-36792262.799999997</v>
      </c>
      <c r="K3346" t="s">
        <v>6416</v>
      </c>
      <c r="L3346" t="s">
        <v>2332</v>
      </c>
      <c r="M3346" t="s">
        <v>6417</v>
      </c>
      <c r="N3346" t="s">
        <v>3</v>
      </c>
      <c r="O3346" t="s">
        <v>3</v>
      </c>
      <c r="P3346" t="s">
        <v>5</v>
      </c>
      <c r="Q3346" t="s">
        <v>6418</v>
      </c>
      <c r="R3346" t="s">
        <v>3</v>
      </c>
      <c r="S3346" t="s">
        <v>3</v>
      </c>
      <c r="T3346" t="s">
        <v>3</v>
      </c>
      <c r="U3346" t="s">
        <v>3</v>
      </c>
      <c r="V3346" t="s">
        <v>3</v>
      </c>
      <c r="W3346" t="s">
        <v>68</v>
      </c>
      <c r="X3346" s="17"/>
      <c r="Y3346" t="s">
        <v>3</v>
      </c>
      <c r="Z3346" s="17">
        <v>44012</v>
      </c>
      <c r="AA3346" t="s">
        <v>3</v>
      </c>
      <c r="AB3346" t="s">
        <v>6415</v>
      </c>
    </row>
    <row r="3347" spans="1:28" hidden="1">
      <c r="A3347" t="s">
        <v>6415</v>
      </c>
      <c r="B3347" s="17">
        <v>44012</v>
      </c>
      <c r="C3347" s="17">
        <v>44012</v>
      </c>
      <c r="D3347" t="s">
        <v>0</v>
      </c>
      <c r="E3347" t="s">
        <v>1</v>
      </c>
      <c r="F3347" s="18">
        <v>90026</v>
      </c>
      <c r="G3347" s="18">
        <v>90026</v>
      </c>
      <c r="H3347" t="s">
        <v>2</v>
      </c>
      <c r="I3347" t="s">
        <v>8</v>
      </c>
      <c r="J3347" s="18">
        <v>7557682.7000000002</v>
      </c>
      <c r="K3347" t="s">
        <v>6416</v>
      </c>
      <c r="L3347" t="s">
        <v>9</v>
      </c>
      <c r="M3347" t="s">
        <v>6417</v>
      </c>
      <c r="N3347" t="s">
        <v>3</v>
      </c>
      <c r="O3347" t="s">
        <v>3</v>
      </c>
      <c r="P3347" t="s">
        <v>5</v>
      </c>
      <c r="Q3347" t="s">
        <v>6418</v>
      </c>
      <c r="R3347" t="s">
        <v>3</v>
      </c>
      <c r="S3347" t="s">
        <v>3</v>
      </c>
      <c r="T3347" t="s">
        <v>3</v>
      </c>
      <c r="U3347" t="s">
        <v>3</v>
      </c>
      <c r="V3347" t="s">
        <v>3</v>
      </c>
      <c r="W3347" t="s">
        <v>68</v>
      </c>
      <c r="X3347" s="17"/>
      <c r="Y3347" t="s">
        <v>3</v>
      </c>
      <c r="Z3347" s="17">
        <v>44012</v>
      </c>
      <c r="AA3347" t="s">
        <v>3</v>
      </c>
      <c r="AB3347" t="s">
        <v>6415</v>
      </c>
    </row>
    <row r="3348" spans="1:28" hidden="1">
      <c r="A3348" t="s">
        <v>6419</v>
      </c>
      <c r="B3348" s="17">
        <v>44012</v>
      </c>
      <c r="C3348" s="17">
        <v>44012</v>
      </c>
      <c r="D3348" t="s">
        <v>0</v>
      </c>
      <c r="E3348" t="s">
        <v>1</v>
      </c>
      <c r="F3348" s="18">
        <v>-16.579999999999998</v>
      </c>
      <c r="G3348" s="18">
        <v>-16.579999999999998</v>
      </c>
      <c r="H3348" t="s">
        <v>2</v>
      </c>
      <c r="I3348" t="s">
        <v>8</v>
      </c>
      <c r="J3348" s="18">
        <v>-1391.89</v>
      </c>
      <c r="K3348" t="s">
        <v>4476</v>
      </c>
      <c r="L3348" t="s">
        <v>4</v>
      </c>
      <c r="M3348" t="s">
        <v>4477</v>
      </c>
      <c r="N3348" t="s">
        <v>3</v>
      </c>
      <c r="O3348" t="s">
        <v>3</v>
      </c>
      <c r="P3348" t="s">
        <v>5</v>
      </c>
      <c r="Q3348" t="s">
        <v>4478</v>
      </c>
      <c r="R3348" t="s">
        <v>3</v>
      </c>
      <c r="S3348" t="s">
        <v>3</v>
      </c>
      <c r="T3348" t="s">
        <v>3</v>
      </c>
      <c r="U3348" t="s">
        <v>3</v>
      </c>
      <c r="V3348" t="s">
        <v>3</v>
      </c>
      <c r="W3348" t="s">
        <v>68</v>
      </c>
      <c r="X3348" s="17">
        <v>44012</v>
      </c>
      <c r="Y3348" t="s">
        <v>4475</v>
      </c>
      <c r="Z3348" s="17">
        <v>44012</v>
      </c>
      <c r="AA3348" t="s">
        <v>3</v>
      </c>
      <c r="AB3348" t="s">
        <v>6419</v>
      </c>
    </row>
    <row r="3349" spans="1:28" hidden="1">
      <c r="G3349" s="19">
        <f>SUM(G12:G3348)</f>
        <v>-2634597.2699999893</v>
      </c>
    </row>
  </sheetData>
  <autoFilter ref="A11:AB3349" xr:uid="{00000000-0009-0000-0000-000002000000}">
    <filterColumn colId="3">
      <colorFilter dxfId="7"/>
    </filterColumn>
  </autoFilter>
  <mergeCells count="3">
    <mergeCell ref="A9:J9"/>
    <mergeCell ref="A1:AB1"/>
    <mergeCell ref="A2:AB2"/>
  </mergeCells>
  <pageMargins left="0.75" right="0.75" top="1" bottom="1" header="0.5" footer="0.5"/>
  <pageSetup scale="7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9"/>
  <sheetViews>
    <sheetView showGridLines="0" view="pageBreakPreview" zoomScaleNormal="100" zoomScaleSheetLayoutView="100" workbookViewId="0">
      <selection sqref="A1:XFD1048576"/>
    </sheetView>
  </sheetViews>
  <sheetFormatPr defaultColWidth="9.140625" defaultRowHeight="15"/>
  <cols>
    <col min="1" max="1" width="2" style="112" bestFit="1" customWidth="1"/>
    <col min="2" max="2" width="31.140625" style="112" bestFit="1" customWidth="1"/>
    <col min="3" max="3" width="34.85546875" style="112" bestFit="1" customWidth="1"/>
    <col min="4" max="4" width="29.85546875" style="112" bestFit="1" customWidth="1"/>
    <col min="5" max="5" width="21.42578125" style="112" customWidth="1"/>
    <col min="6" max="6" width="6.140625" style="112" bestFit="1" customWidth="1"/>
    <col min="7" max="7" width="18.140625" style="112" bestFit="1" customWidth="1"/>
    <col min="8" max="8" width="15.7109375" style="112" customWidth="1"/>
    <col min="9" max="9" width="7.7109375" style="112" bestFit="1" customWidth="1"/>
    <col min="10" max="10" width="11.28515625" style="112" bestFit="1" customWidth="1"/>
    <col min="11" max="11" width="14.140625" style="112" customWidth="1"/>
    <col min="12" max="12" width="10.140625" style="112" customWidth="1"/>
    <col min="13" max="13" width="13.28515625" style="112" bestFit="1" customWidth="1"/>
    <col min="14" max="14" width="15.42578125" style="112" bestFit="1" customWidth="1"/>
    <col min="15" max="15" width="2.28515625" style="112" customWidth="1"/>
    <col min="16" max="16384" width="9.140625" style="112"/>
  </cols>
  <sheetData>
    <row r="1" spans="1:15" s="106" customFormat="1">
      <c r="A1" s="86" t="s">
        <v>6501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5" s="106" customFormat="1">
      <c r="A2" s="107" t="s">
        <v>52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1:15" s="106" customFormat="1"/>
    <row r="4" spans="1:15" s="106" customFormat="1" ht="15" customHeight="1">
      <c r="A4" s="106" t="s">
        <v>6543</v>
      </c>
      <c r="M4" s="62" t="s">
        <v>6544</v>
      </c>
    </row>
    <row r="5" spans="1:15" s="106" customFormat="1">
      <c r="A5" s="106" t="s">
        <v>6512</v>
      </c>
    </row>
    <row r="6" spans="1:15" s="109" customFormat="1">
      <c r="A6" s="74" t="s">
        <v>6523</v>
      </c>
      <c r="B6" s="74"/>
      <c r="C6" s="75"/>
      <c r="D6" s="74"/>
      <c r="E6" s="74"/>
      <c r="F6" s="74"/>
      <c r="G6" s="74"/>
      <c r="J6" s="72"/>
      <c r="M6" s="72" t="s">
        <v>6528</v>
      </c>
    </row>
    <row r="7" spans="1:15" s="74" customFormat="1">
      <c r="A7" s="71" t="s">
        <v>6525</v>
      </c>
      <c r="E7" s="72"/>
      <c r="J7" s="72"/>
      <c r="M7" s="72" t="s">
        <v>6526</v>
      </c>
    </row>
    <row r="8" spans="1:15" s="74" customFormat="1">
      <c r="A8" s="71" t="s">
        <v>6527</v>
      </c>
      <c r="E8" s="72"/>
      <c r="J8" s="72"/>
      <c r="M8" s="72" t="s">
        <v>6526</v>
      </c>
    </row>
    <row r="9" spans="1:15">
      <c r="N9" s="63"/>
    </row>
    <row r="10" spans="1:15" s="64" customFormat="1">
      <c r="A10" s="90" t="s">
        <v>6513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</row>
    <row r="12" spans="1:15" ht="14.25" customHeight="1">
      <c r="A12" s="97" t="s">
        <v>6490</v>
      </c>
      <c r="B12" s="97" t="s">
        <v>29</v>
      </c>
      <c r="C12" s="95" t="s">
        <v>6496</v>
      </c>
      <c r="D12" s="95" t="s">
        <v>6497</v>
      </c>
      <c r="E12" s="95" t="s">
        <v>6491</v>
      </c>
      <c r="F12" s="83"/>
      <c r="G12" s="95" t="s">
        <v>6492</v>
      </c>
      <c r="H12" s="91" t="s">
        <v>6499</v>
      </c>
      <c r="I12" s="93" t="s">
        <v>64</v>
      </c>
      <c r="J12" s="95" t="s">
        <v>6530</v>
      </c>
      <c r="K12" s="95" t="s">
        <v>6498</v>
      </c>
      <c r="L12" s="95" t="s">
        <v>6493</v>
      </c>
      <c r="M12" s="95" t="s">
        <v>6494</v>
      </c>
      <c r="N12" s="95" t="s">
        <v>60</v>
      </c>
    </row>
    <row r="13" spans="1:15" ht="29.25" customHeight="1">
      <c r="A13" s="98"/>
      <c r="B13" s="98"/>
      <c r="C13" s="96"/>
      <c r="D13" s="96"/>
      <c r="E13" s="96"/>
      <c r="F13" s="84" t="s">
        <v>6519</v>
      </c>
      <c r="G13" s="96"/>
      <c r="H13" s="92"/>
      <c r="I13" s="94"/>
      <c r="J13" s="96"/>
      <c r="K13" s="96"/>
      <c r="L13" s="96"/>
      <c r="M13" s="96"/>
      <c r="N13" s="96"/>
    </row>
    <row r="14" spans="1:15" s="118" customFormat="1" ht="30">
      <c r="A14" s="113">
        <v>1</v>
      </c>
      <c r="B14" s="79" t="s">
        <v>6503</v>
      </c>
      <c r="C14" s="114" t="s">
        <v>6510</v>
      </c>
      <c r="D14" s="80" t="s">
        <v>6511</v>
      </c>
      <c r="E14" s="58">
        <v>44420</v>
      </c>
      <c r="F14" s="51" t="s">
        <v>6538</v>
      </c>
      <c r="G14" s="115" t="s">
        <v>6495</v>
      </c>
      <c r="H14" s="58">
        <v>44425</v>
      </c>
      <c r="I14" s="51" t="s">
        <v>6534</v>
      </c>
      <c r="J14" s="59">
        <v>1505814</v>
      </c>
      <c r="K14" s="60">
        <v>1505814</v>
      </c>
      <c r="L14" s="116" t="s">
        <v>1</v>
      </c>
      <c r="M14" s="53">
        <f>J14-K14</f>
        <v>0</v>
      </c>
      <c r="N14" s="73" t="s">
        <v>6522</v>
      </c>
      <c r="O14" s="117"/>
    </row>
    <row r="15" spans="1:15" s="118" customFormat="1" ht="30">
      <c r="A15" s="113">
        <v>2</v>
      </c>
      <c r="B15" s="78" t="s">
        <v>6529</v>
      </c>
      <c r="C15" s="114" t="s">
        <v>6542</v>
      </c>
      <c r="D15" s="81" t="s">
        <v>6533</v>
      </c>
      <c r="E15" s="58">
        <v>44420</v>
      </c>
      <c r="F15" s="51" t="s">
        <v>6539</v>
      </c>
      <c r="G15" s="115" t="s">
        <v>6495</v>
      </c>
      <c r="H15" s="58">
        <v>44420</v>
      </c>
      <c r="I15" s="51" t="s">
        <v>6536</v>
      </c>
      <c r="J15" s="59">
        <v>33493</v>
      </c>
      <c r="K15" s="116">
        <v>33493</v>
      </c>
      <c r="L15" s="116" t="s">
        <v>1</v>
      </c>
      <c r="M15" s="53">
        <f t="shared" ref="M15:M17" si="0">J15-K15</f>
        <v>0</v>
      </c>
      <c r="N15" s="73" t="s">
        <v>6522</v>
      </c>
      <c r="O15" s="117"/>
    </row>
    <row r="16" spans="1:15" s="118" customFormat="1" ht="30">
      <c r="A16" s="113">
        <v>3</v>
      </c>
      <c r="B16" s="78" t="s">
        <v>61</v>
      </c>
      <c r="C16" s="114" t="s">
        <v>6506</v>
      </c>
      <c r="D16" s="81" t="s">
        <v>6507</v>
      </c>
      <c r="E16" s="58">
        <v>44420</v>
      </c>
      <c r="F16" s="51" t="s">
        <v>6540</v>
      </c>
      <c r="G16" s="115" t="s">
        <v>6495</v>
      </c>
      <c r="H16" s="58">
        <v>44423</v>
      </c>
      <c r="I16" s="51" t="s">
        <v>6535</v>
      </c>
      <c r="J16" s="59">
        <v>0</v>
      </c>
      <c r="K16" s="116">
        <v>0</v>
      </c>
      <c r="L16" s="116" t="s">
        <v>1</v>
      </c>
      <c r="M16" s="53">
        <f t="shared" si="0"/>
        <v>0</v>
      </c>
      <c r="N16" s="73" t="s">
        <v>6522</v>
      </c>
      <c r="O16" s="117"/>
    </row>
    <row r="17" spans="1:14" ht="30">
      <c r="A17" s="119">
        <v>4</v>
      </c>
      <c r="B17" s="79" t="s">
        <v>6504</v>
      </c>
      <c r="C17" s="120" t="s">
        <v>6532</v>
      </c>
      <c r="D17" s="124" t="s">
        <v>6531</v>
      </c>
      <c r="E17" s="58">
        <v>44420</v>
      </c>
      <c r="F17" s="51" t="s">
        <v>6541</v>
      </c>
      <c r="G17" s="121" t="s">
        <v>6495</v>
      </c>
      <c r="H17" s="58">
        <v>44421</v>
      </c>
      <c r="I17" s="54" t="s">
        <v>6537</v>
      </c>
      <c r="J17" s="59">
        <v>-1943379</v>
      </c>
      <c r="K17" s="61">
        <v>-1943379</v>
      </c>
      <c r="L17" s="122" t="s">
        <v>1</v>
      </c>
      <c r="M17" s="56">
        <f t="shared" si="0"/>
        <v>0</v>
      </c>
      <c r="N17" s="73" t="s">
        <v>6522</v>
      </c>
    </row>
    <row r="18" spans="1:14">
      <c r="N18" s="123"/>
    </row>
    <row r="23" spans="1:14">
      <c r="D23" s="125"/>
    </row>
    <row r="24" spans="1:14">
      <c r="D24" s="126"/>
    </row>
    <row r="28" spans="1:14">
      <c r="C28" s="127" t="s">
        <v>6508</v>
      </c>
    </row>
    <row r="29" spans="1:14">
      <c r="C29" s="127" t="s">
        <v>6509</v>
      </c>
    </row>
  </sheetData>
  <mergeCells count="16">
    <mergeCell ref="A1:N1"/>
    <mergeCell ref="A2:N2"/>
    <mergeCell ref="A10:N10"/>
    <mergeCell ref="H12:H13"/>
    <mergeCell ref="I12:I13"/>
    <mergeCell ref="J12:J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G12:G13"/>
  </mergeCells>
  <phoneticPr fontId="26" type="noConversion"/>
  <hyperlinks>
    <hyperlink ref="D17" r:id="rId1" xr:uid="{1B429848-855E-4BBE-8EBB-0FC8D5DADBF3}"/>
    <hyperlink ref="D15" r:id="rId2" xr:uid="{312001C2-9BCD-4295-9228-2F44C9534689}"/>
  </hyperlinks>
  <pageMargins left="0.7" right="0.7" top="0.75" bottom="0.75" header="0.3" footer="0.3"/>
  <pageSetup paperSize="9" scale="57" orientation="landscape" horizontalDpi="4294967295" verticalDpi="4294967295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showGridLines="0" zoomScaleNormal="100" zoomScaleSheetLayoutView="100" workbookViewId="0">
      <selection sqref="A1:XFD1048576"/>
    </sheetView>
  </sheetViews>
  <sheetFormatPr defaultColWidth="9.140625" defaultRowHeight="15"/>
  <cols>
    <col min="1" max="1" width="5.28515625" style="66" customWidth="1"/>
    <col min="2" max="3" width="36.5703125" style="66" customWidth="1"/>
    <col min="4" max="4" width="19.5703125" style="66" bestFit="1" customWidth="1"/>
    <col min="5" max="5" width="22.28515625" style="66" customWidth="1"/>
    <col min="6" max="6" width="15.85546875" style="66" bestFit="1" customWidth="1"/>
    <col min="7" max="7" width="18.5703125" style="66" bestFit="1" customWidth="1"/>
    <col min="8" max="8" width="19.85546875" style="66" customWidth="1"/>
    <col min="9" max="16384" width="9.140625" style="66"/>
  </cols>
  <sheetData>
    <row r="1" spans="1:10" s="106" customFormat="1">
      <c r="A1" s="86" t="s">
        <v>6501</v>
      </c>
      <c r="B1" s="86"/>
      <c r="C1" s="86"/>
      <c r="D1" s="86"/>
      <c r="E1" s="86"/>
      <c r="F1" s="86"/>
      <c r="G1" s="86"/>
      <c r="H1" s="86"/>
    </row>
    <row r="2" spans="1:10" s="106" customFormat="1">
      <c r="A2" s="107" t="s">
        <v>52</v>
      </c>
      <c r="B2" s="107"/>
      <c r="C2" s="107"/>
      <c r="D2" s="107"/>
      <c r="E2" s="107"/>
      <c r="F2" s="107"/>
      <c r="G2" s="107"/>
      <c r="H2" s="107"/>
    </row>
    <row r="3" spans="1:10" s="106" customFormat="1">
      <c r="E3" s="108"/>
    </row>
    <row r="4" spans="1:10" s="106" customFormat="1" ht="15" customHeight="1">
      <c r="A4" s="106" t="s">
        <v>6543</v>
      </c>
      <c r="D4" s="108"/>
      <c r="G4" s="62" t="s">
        <v>6520</v>
      </c>
    </row>
    <row r="5" spans="1:10" s="106" customFormat="1">
      <c r="A5" s="106" t="s">
        <v>6512</v>
      </c>
      <c r="D5" s="108"/>
      <c r="G5" s="72"/>
    </row>
    <row r="6" spans="1:10" s="109" customFormat="1">
      <c r="A6" s="74" t="s">
        <v>6523</v>
      </c>
      <c r="B6" s="74"/>
      <c r="C6" s="75"/>
      <c r="D6" s="74"/>
      <c r="E6" s="74"/>
      <c r="F6" s="74"/>
      <c r="G6" s="72" t="s">
        <v>6528</v>
      </c>
      <c r="J6" s="72"/>
    </row>
    <row r="7" spans="1:10" s="74" customFormat="1">
      <c r="A7" s="71" t="s">
        <v>6525</v>
      </c>
      <c r="E7" s="72"/>
      <c r="G7" s="72" t="s">
        <v>6526</v>
      </c>
      <c r="J7" s="72"/>
    </row>
    <row r="8" spans="1:10" s="74" customFormat="1">
      <c r="A8" s="71" t="s">
        <v>6527</v>
      </c>
      <c r="E8" s="72"/>
      <c r="G8" s="72" t="s">
        <v>6526</v>
      </c>
    </row>
    <row r="9" spans="1:10" s="106" customFormat="1">
      <c r="D9" s="108"/>
    </row>
    <row r="10" spans="1:10" s="106" customFormat="1" ht="16.5" customHeight="1">
      <c r="A10" s="110" t="s">
        <v>6515</v>
      </c>
      <c r="B10" s="110"/>
      <c r="C10" s="110"/>
      <c r="D10" s="110"/>
      <c r="E10" s="110"/>
      <c r="F10" s="110"/>
      <c r="G10" s="110"/>
      <c r="H10" s="110"/>
    </row>
    <row r="12" spans="1:10" ht="32.25" customHeight="1">
      <c r="A12" s="65" t="s">
        <v>6490</v>
      </c>
      <c r="B12" s="65" t="s">
        <v>29</v>
      </c>
      <c r="C12" s="65" t="s">
        <v>6517</v>
      </c>
      <c r="D12" s="65" t="s">
        <v>59</v>
      </c>
      <c r="E12" s="65" t="s">
        <v>6500</v>
      </c>
      <c r="F12" s="65" t="s">
        <v>62</v>
      </c>
      <c r="G12" s="65" t="s">
        <v>60</v>
      </c>
      <c r="H12" s="65" t="s">
        <v>64</v>
      </c>
    </row>
    <row r="13" spans="1:10" s="70" customFormat="1">
      <c r="A13" s="101">
        <v>1</v>
      </c>
      <c r="B13" s="99" t="s">
        <v>6504</v>
      </c>
      <c r="C13" s="50" t="s">
        <v>6516</v>
      </c>
      <c r="D13" s="52">
        <v>168620.45</v>
      </c>
      <c r="E13" s="52">
        <v>168620.45</v>
      </c>
      <c r="F13" s="76">
        <f>D13-E13</f>
        <v>0</v>
      </c>
      <c r="G13" s="103" t="s">
        <v>6522</v>
      </c>
      <c r="H13" s="128" t="s">
        <v>6545</v>
      </c>
    </row>
    <row r="14" spans="1:10" s="70" customFormat="1">
      <c r="A14" s="102"/>
      <c r="B14" s="100"/>
      <c r="C14" s="50" t="s">
        <v>6518</v>
      </c>
      <c r="D14" s="52">
        <v>1774758.46</v>
      </c>
      <c r="E14" s="52">
        <v>1774758.46</v>
      </c>
      <c r="F14" s="76">
        <f>D14-E14</f>
        <v>0</v>
      </c>
      <c r="G14" s="104"/>
      <c r="H14" s="129"/>
    </row>
    <row r="15" spans="1:10">
      <c r="A15" s="85" t="s">
        <v>57</v>
      </c>
      <c r="B15" s="85"/>
      <c r="C15" s="82"/>
      <c r="D15" s="68">
        <f>SUM(D13:D14)</f>
        <v>1943378.91</v>
      </c>
      <c r="E15" s="68">
        <f>SUM(E13:E14)</f>
        <v>1943378.91</v>
      </c>
      <c r="F15" s="77">
        <f>SUM(F13:F13)</f>
        <v>0</v>
      </c>
      <c r="G15" s="105"/>
      <c r="H15" s="130"/>
    </row>
  </sheetData>
  <mergeCells count="8">
    <mergeCell ref="A1:H1"/>
    <mergeCell ref="A2:H2"/>
    <mergeCell ref="A10:H10"/>
    <mergeCell ref="A15:B15"/>
    <mergeCell ref="B13:B14"/>
    <mergeCell ref="A13:A14"/>
    <mergeCell ref="H13:H15"/>
    <mergeCell ref="G13:G15"/>
  </mergeCells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6"/>
  <sheetViews>
    <sheetView workbookViewId="0">
      <selection activeCell="F17" sqref="F17"/>
    </sheetView>
  </sheetViews>
  <sheetFormatPr defaultRowHeight="12.75"/>
  <cols>
    <col min="2" max="2" width="13.85546875" bestFit="1" customWidth="1"/>
    <col min="3" max="3" width="22.140625" bestFit="1" customWidth="1"/>
  </cols>
  <sheetData>
    <row r="3" spans="1:3">
      <c r="A3" s="3" t="s">
        <v>49</v>
      </c>
      <c r="B3" s="4" t="s">
        <v>50</v>
      </c>
      <c r="C3" s="5" t="s">
        <v>48</v>
      </c>
    </row>
    <row r="4" spans="1:3">
      <c r="A4" s="5">
        <v>1</v>
      </c>
      <c r="B4" s="5" t="s">
        <v>6</v>
      </c>
      <c r="C4" s="6">
        <v>4262018.9200000018</v>
      </c>
    </row>
    <row r="5" spans="1:3">
      <c r="A5" s="5">
        <v>2</v>
      </c>
      <c r="B5" s="5" t="s">
        <v>39</v>
      </c>
      <c r="C5" s="6">
        <v>-2520.5799999999986</v>
      </c>
    </row>
    <row r="6" spans="1:3">
      <c r="A6" s="5"/>
      <c r="B6" s="5" t="s">
        <v>47</v>
      </c>
      <c r="C6" s="6">
        <v>4259498.3400000017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5"/>
  <sheetViews>
    <sheetView workbookViewId="0">
      <selection activeCell="F27" sqref="F27"/>
    </sheetView>
  </sheetViews>
  <sheetFormatPr defaultColWidth="9.140625" defaultRowHeight="12.75"/>
  <cols>
    <col min="1" max="1" width="13.85546875" style="20" bestFit="1" customWidth="1"/>
    <col min="2" max="2" width="26.85546875" style="20" bestFit="1" customWidth="1"/>
    <col min="3" max="16384" width="9.140625" style="20"/>
  </cols>
  <sheetData>
    <row r="3" spans="1:2">
      <c r="A3" s="20" t="s">
        <v>6421</v>
      </c>
      <c r="B3" s="20" t="s">
        <v>6422</v>
      </c>
    </row>
    <row r="4" spans="1:2">
      <c r="A4" s="21" t="s">
        <v>68</v>
      </c>
      <c r="B4" s="22">
        <v>-2634597.2699999977</v>
      </c>
    </row>
    <row r="5" spans="1:2">
      <c r="A5" s="21" t="s">
        <v>47</v>
      </c>
      <c r="B5" s="22">
        <v>-2634597.2699999977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6"/>
  <sheetViews>
    <sheetView workbookViewId="0">
      <selection activeCell="I24" sqref="I24"/>
    </sheetView>
  </sheetViews>
  <sheetFormatPr defaultColWidth="9.140625" defaultRowHeight="12.75"/>
  <cols>
    <col min="1" max="1" width="17" style="20" bestFit="1" customWidth="1"/>
    <col min="2" max="2" width="14" style="20" bestFit="1" customWidth="1"/>
    <col min="3" max="3" width="15" style="20" bestFit="1" customWidth="1"/>
    <col min="4" max="4" width="10" style="20" bestFit="1" customWidth="1"/>
    <col min="5" max="5" width="12" style="20" bestFit="1" customWidth="1"/>
    <col min="6" max="6" width="11" style="20" bestFit="1" customWidth="1"/>
    <col min="7" max="7" width="12.28515625" style="20" bestFit="1" customWidth="1"/>
    <col min="8" max="8" width="5" style="20" bestFit="1" customWidth="1"/>
    <col min="9" max="9" width="15" style="20" bestFit="1" customWidth="1"/>
    <col min="10" max="10" width="13" style="20" bestFit="1" customWidth="1"/>
    <col min="11" max="11" width="51" style="20" bestFit="1" customWidth="1"/>
    <col min="12" max="12" width="12" style="20" bestFit="1" customWidth="1"/>
    <col min="13" max="13" width="18" style="20" bestFit="1" customWidth="1"/>
    <col min="14" max="14" width="13" style="20" bestFit="1" customWidth="1"/>
    <col min="15" max="15" width="21" style="20" bestFit="1" customWidth="1"/>
    <col min="16" max="16" width="6" style="20" bestFit="1" customWidth="1"/>
    <col min="17" max="17" width="24" style="20" bestFit="1" customWidth="1"/>
    <col min="18" max="18" width="11" style="20" bestFit="1" customWidth="1"/>
    <col min="19" max="19" width="13" style="20" bestFit="1" customWidth="1"/>
    <col min="20" max="21" width="12" style="20" bestFit="1" customWidth="1"/>
    <col min="22" max="22" width="15" style="20" bestFit="1" customWidth="1"/>
    <col min="23" max="23" width="13" style="20" bestFit="1" customWidth="1"/>
    <col min="24" max="24" width="15" style="20" bestFit="1" customWidth="1"/>
    <col min="25" max="25" width="19" style="20" bestFit="1" customWidth="1"/>
    <col min="26" max="26" width="14" style="20" bestFit="1" customWidth="1"/>
    <col min="27" max="28" width="19" style="20" bestFit="1" customWidth="1"/>
    <col min="29" max="16384" width="9.140625" style="20"/>
  </cols>
  <sheetData>
    <row r="1" spans="1:28" ht="51">
      <c r="A1" s="23" t="s">
        <v>11</v>
      </c>
      <c r="B1" s="23" t="s">
        <v>12</v>
      </c>
      <c r="C1" s="23" t="s">
        <v>13</v>
      </c>
      <c r="D1" s="24" t="s">
        <v>14</v>
      </c>
      <c r="E1" s="24" t="s">
        <v>15</v>
      </c>
      <c r="F1" s="24" t="s">
        <v>16</v>
      </c>
      <c r="G1" s="24" t="s">
        <v>6423</v>
      </c>
      <c r="H1" s="24" t="s">
        <v>17</v>
      </c>
      <c r="I1" s="23" t="s">
        <v>18</v>
      </c>
      <c r="J1" s="24" t="s">
        <v>19</v>
      </c>
      <c r="K1" s="23" t="s">
        <v>20</v>
      </c>
      <c r="L1" s="23" t="s">
        <v>21</v>
      </c>
      <c r="M1" s="23" t="s">
        <v>22</v>
      </c>
      <c r="N1" s="23" t="s">
        <v>23</v>
      </c>
      <c r="O1" s="23" t="s">
        <v>24</v>
      </c>
      <c r="P1" s="23" t="s">
        <v>25</v>
      </c>
      <c r="Q1" s="23" t="s">
        <v>26</v>
      </c>
      <c r="R1" s="23" t="s">
        <v>27</v>
      </c>
      <c r="S1" s="23" t="s">
        <v>28</v>
      </c>
      <c r="T1" s="23" t="s">
        <v>29</v>
      </c>
      <c r="U1" s="23" t="s">
        <v>30</v>
      </c>
      <c r="V1" s="23" t="s">
        <v>31</v>
      </c>
      <c r="W1" s="23" t="s">
        <v>32</v>
      </c>
      <c r="X1" s="23" t="s">
        <v>33</v>
      </c>
      <c r="Y1" s="23" t="s">
        <v>34</v>
      </c>
      <c r="Z1" s="23" t="s">
        <v>35</v>
      </c>
      <c r="AA1" s="23" t="s">
        <v>36</v>
      </c>
      <c r="AB1" s="23" t="s">
        <v>37</v>
      </c>
    </row>
    <row r="2" spans="1:28">
      <c r="B2" s="25"/>
      <c r="C2" s="25"/>
      <c r="F2" s="26"/>
      <c r="G2" s="26">
        <v>-3202415.08</v>
      </c>
      <c r="J2" s="26"/>
      <c r="K2" s="20" t="s">
        <v>6479</v>
      </c>
      <c r="W2" s="27" t="s">
        <v>65</v>
      </c>
      <c r="X2" s="25"/>
      <c r="Z2" s="25"/>
    </row>
    <row r="3" spans="1:28">
      <c r="A3" s="20" t="s">
        <v>6424</v>
      </c>
      <c r="B3" s="25">
        <v>43831</v>
      </c>
      <c r="C3" s="25">
        <v>43831</v>
      </c>
      <c r="D3" s="20" t="s">
        <v>6425</v>
      </c>
      <c r="E3" s="20" t="s">
        <v>1</v>
      </c>
      <c r="F3" s="26">
        <v>-6310.67</v>
      </c>
      <c r="G3" s="26">
        <v>-6310.67</v>
      </c>
      <c r="H3" s="20" t="s">
        <v>2</v>
      </c>
      <c r="I3" s="20" t="s">
        <v>10</v>
      </c>
      <c r="J3" s="26">
        <v>-529780.75</v>
      </c>
      <c r="K3" s="20" t="s">
        <v>6426</v>
      </c>
      <c r="L3" s="20" t="s">
        <v>6427</v>
      </c>
      <c r="M3" s="20" t="s">
        <v>6428</v>
      </c>
      <c r="N3" s="20" t="s">
        <v>3</v>
      </c>
      <c r="O3" s="20" t="s">
        <v>3</v>
      </c>
      <c r="P3" s="20" t="s">
        <v>5</v>
      </c>
      <c r="Q3" s="20" t="s">
        <v>6429</v>
      </c>
      <c r="R3" s="20" t="s">
        <v>3</v>
      </c>
      <c r="S3" s="20" t="s">
        <v>3</v>
      </c>
      <c r="T3" s="20" t="s">
        <v>3</v>
      </c>
      <c r="U3" s="20" t="s">
        <v>3</v>
      </c>
      <c r="V3" s="20" t="s">
        <v>3</v>
      </c>
      <c r="W3" s="20" t="s">
        <v>67</v>
      </c>
      <c r="X3" s="25"/>
      <c r="Y3" s="20" t="s">
        <v>3</v>
      </c>
      <c r="Z3" s="25">
        <v>43831</v>
      </c>
      <c r="AA3" s="20" t="s">
        <v>3</v>
      </c>
      <c r="AB3" s="20" t="s">
        <v>6424</v>
      </c>
    </row>
    <row r="4" spans="1:28">
      <c r="A4" s="20" t="s">
        <v>6430</v>
      </c>
      <c r="B4" s="25">
        <v>44007</v>
      </c>
      <c r="C4" s="25">
        <v>44007</v>
      </c>
      <c r="D4" s="20" t="s">
        <v>6425</v>
      </c>
      <c r="E4" s="20" t="s">
        <v>1</v>
      </c>
      <c r="F4" s="26">
        <v>-1940.4</v>
      </c>
      <c r="G4" s="26">
        <v>-1940.4</v>
      </c>
      <c r="H4" s="20" t="s">
        <v>2</v>
      </c>
      <c r="I4" s="20" t="s">
        <v>6431</v>
      </c>
      <c r="J4" s="26">
        <v>-162896.57999999999</v>
      </c>
      <c r="K4" s="20" t="s">
        <v>6432</v>
      </c>
      <c r="L4" s="20" t="s">
        <v>40</v>
      </c>
      <c r="M4" s="20" t="s">
        <v>6433</v>
      </c>
      <c r="N4" s="20" t="s">
        <v>3</v>
      </c>
      <c r="O4" s="20" t="s">
        <v>3</v>
      </c>
      <c r="P4" s="20" t="s">
        <v>5</v>
      </c>
      <c r="Q4" s="20" t="s">
        <v>6434</v>
      </c>
      <c r="R4" s="20" t="s">
        <v>3</v>
      </c>
      <c r="S4" s="20" t="s">
        <v>3</v>
      </c>
      <c r="T4" s="20" t="s">
        <v>3</v>
      </c>
      <c r="U4" s="20" t="s">
        <v>3</v>
      </c>
      <c r="V4" s="20" t="s">
        <v>3</v>
      </c>
      <c r="W4" s="20" t="s">
        <v>67</v>
      </c>
      <c r="X4" s="25"/>
      <c r="Y4" s="20" t="s">
        <v>3</v>
      </c>
      <c r="Z4" s="25">
        <v>44007</v>
      </c>
      <c r="AA4" s="20" t="s">
        <v>3</v>
      </c>
      <c r="AB4" s="20" t="s">
        <v>6430</v>
      </c>
    </row>
    <row r="5" spans="1:28">
      <c r="A5" s="20" t="s">
        <v>6435</v>
      </c>
      <c r="B5" s="25">
        <v>44012</v>
      </c>
      <c r="C5" s="25">
        <v>44012</v>
      </c>
      <c r="D5" s="20" t="s">
        <v>6425</v>
      </c>
      <c r="E5" s="20" t="s">
        <v>1</v>
      </c>
      <c r="F5" s="26">
        <v>-4</v>
      </c>
      <c r="G5" s="26">
        <v>-4</v>
      </c>
      <c r="H5" s="20" t="s">
        <v>2</v>
      </c>
      <c r="I5" s="20" t="s">
        <v>10</v>
      </c>
      <c r="J5" s="26">
        <v>-335.8</v>
      </c>
      <c r="K5" s="20" t="s">
        <v>6436</v>
      </c>
      <c r="L5" s="20" t="s">
        <v>40</v>
      </c>
      <c r="M5" s="20" t="s">
        <v>6437</v>
      </c>
      <c r="N5" s="20" t="s">
        <v>3</v>
      </c>
      <c r="O5" s="20" t="s">
        <v>3</v>
      </c>
      <c r="P5" s="20" t="s">
        <v>5</v>
      </c>
      <c r="Q5" s="20" t="s">
        <v>6438</v>
      </c>
      <c r="R5" s="20" t="s">
        <v>3</v>
      </c>
      <c r="S5" s="20" t="s">
        <v>6439</v>
      </c>
      <c r="T5" s="20" t="s">
        <v>3</v>
      </c>
      <c r="U5" s="20" t="s">
        <v>6440</v>
      </c>
      <c r="V5" s="20" t="s">
        <v>3</v>
      </c>
      <c r="W5" s="20" t="s">
        <v>67</v>
      </c>
      <c r="X5" s="25"/>
      <c r="Y5" s="20" t="s">
        <v>3</v>
      </c>
      <c r="Z5" s="25">
        <v>44012</v>
      </c>
      <c r="AA5" s="20" t="s">
        <v>3</v>
      </c>
      <c r="AB5" s="20" t="s">
        <v>6435</v>
      </c>
    </row>
    <row r="6" spans="1:28">
      <c r="A6" s="20" t="s">
        <v>6441</v>
      </c>
      <c r="B6" s="25">
        <v>44012</v>
      </c>
      <c r="C6" s="25">
        <v>44012</v>
      </c>
      <c r="D6" s="20" t="s">
        <v>6425</v>
      </c>
      <c r="E6" s="20" t="s">
        <v>1</v>
      </c>
      <c r="F6" s="26">
        <v>-179.91</v>
      </c>
      <c r="G6" s="26">
        <v>-179.91</v>
      </c>
      <c r="H6" s="20" t="s">
        <v>2</v>
      </c>
      <c r="I6" s="20" t="s">
        <v>10</v>
      </c>
      <c r="J6" s="26">
        <v>-15103.44</v>
      </c>
      <c r="K6" s="20" t="s">
        <v>6442</v>
      </c>
      <c r="L6" s="20" t="s">
        <v>40</v>
      </c>
      <c r="M6" s="20" t="s">
        <v>6443</v>
      </c>
      <c r="N6" s="20" t="s">
        <v>3</v>
      </c>
      <c r="O6" s="20" t="s">
        <v>3</v>
      </c>
      <c r="P6" s="20" t="s">
        <v>5</v>
      </c>
      <c r="Q6" s="20" t="s">
        <v>6438</v>
      </c>
      <c r="R6" s="20" t="s">
        <v>3</v>
      </c>
      <c r="S6" s="20" t="s">
        <v>6444</v>
      </c>
      <c r="T6" s="20" t="s">
        <v>3</v>
      </c>
      <c r="U6" s="20" t="s">
        <v>6445</v>
      </c>
      <c r="V6" s="20" t="s">
        <v>3</v>
      </c>
      <c r="W6" s="20" t="s">
        <v>67</v>
      </c>
      <c r="X6" s="25"/>
      <c r="Y6" s="20" t="s">
        <v>3</v>
      </c>
      <c r="Z6" s="25">
        <v>44012</v>
      </c>
      <c r="AA6" s="20" t="s">
        <v>3</v>
      </c>
      <c r="AB6" s="20" t="s">
        <v>6441</v>
      </c>
    </row>
    <row r="7" spans="1:28">
      <c r="A7" s="20" t="s">
        <v>6446</v>
      </c>
      <c r="B7" s="25">
        <v>44010</v>
      </c>
      <c r="C7" s="25">
        <v>44010</v>
      </c>
      <c r="D7" s="20" t="s">
        <v>6425</v>
      </c>
      <c r="E7" s="20" t="s">
        <v>1</v>
      </c>
      <c r="F7" s="26">
        <v>-491.14</v>
      </c>
      <c r="G7" s="26">
        <v>-491.14</v>
      </c>
      <c r="H7" s="20" t="s">
        <v>2</v>
      </c>
      <c r="I7" s="20" t="s">
        <v>10</v>
      </c>
      <c r="J7" s="26">
        <v>-41231.199999999997</v>
      </c>
      <c r="K7" s="20" t="s">
        <v>6447</v>
      </c>
      <c r="L7" s="20" t="s">
        <v>40</v>
      </c>
      <c r="M7" s="20" t="s">
        <v>6448</v>
      </c>
      <c r="N7" s="20" t="s">
        <v>3</v>
      </c>
      <c r="O7" s="20" t="s">
        <v>3</v>
      </c>
      <c r="P7" s="20" t="s">
        <v>5</v>
      </c>
      <c r="Q7" s="20" t="s">
        <v>6449</v>
      </c>
      <c r="R7" s="20" t="s">
        <v>3</v>
      </c>
      <c r="S7" s="20" t="s">
        <v>6450</v>
      </c>
      <c r="T7" s="20" t="s">
        <v>3</v>
      </c>
      <c r="U7" s="20" t="s">
        <v>6451</v>
      </c>
      <c r="V7" s="20" t="s">
        <v>3</v>
      </c>
      <c r="W7" s="20" t="s">
        <v>67</v>
      </c>
      <c r="X7" s="25"/>
      <c r="Y7" s="20" t="s">
        <v>3</v>
      </c>
      <c r="Z7" s="25">
        <v>44010</v>
      </c>
      <c r="AA7" s="20" t="s">
        <v>3</v>
      </c>
      <c r="AB7" s="20" t="s">
        <v>6446</v>
      </c>
    </row>
    <row r="8" spans="1:28">
      <c r="A8" s="20" t="s">
        <v>6452</v>
      </c>
      <c r="B8" s="25">
        <v>44010</v>
      </c>
      <c r="C8" s="25">
        <v>44010</v>
      </c>
      <c r="D8" s="20" t="s">
        <v>6425</v>
      </c>
      <c r="E8" s="20" t="s">
        <v>1</v>
      </c>
      <c r="F8" s="26">
        <v>-156.6</v>
      </c>
      <c r="G8" s="26">
        <v>-156.6</v>
      </c>
      <c r="H8" s="20" t="s">
        <v>2</v>
      </c>
      <c r="I8" s="20" t="s">
        <v>10</v>
      </c>
      <c r="J8" s="26">
        <v>-13146.57</v>
      </c>
      <c r="K8" s="20" t="s">
        <v>6453</v>
      </c>
      <c r="L8" s="20" t="s">
        <v>40</v>
      </c>
      <c r="M8" s="20" t="s">
        <v>6454</v>
      </c>
      <c r="N8" s="20" t="s">
        <v>3</v>
      </c>
      <c r="O8" s="20" t="s">
        <v>3</v>
      </c>
      <c r="P8" s="20" t="s">
        <v>5</v>
      </c>
      <c r="Q8" s="20" t="s">
        <v>6449</v>
      </c>
      <c r="R8" s="20" t="s">
        <v>3</v>
      </c>
      <c r="S8" s="20" t="s">
        <v>6455</v>
      </c>
      <c r="T8" s="20" t="s">
        <v>3</v>
      </c>
      <c r="U8" s="20" t="s">
        <v>6456</v>
      </c>
      <c r="V8" s="20" t="s">
        <v>3</v>
      </c>
      <c r="W8" s="20" t="s">
        <v>67</v>
      </c>
      <c r="X8" s="25"/>
      <c r="Y8" s="20" t="s">
        <v>3</v>
      </c>
      <c r="Z8" s="25">
        <v>44010</v>
      </c>
      <c r="AA8" s="20" t="s">
        <v>3</v>
      </c>
      <c r="AB8" s="20" t="s">
        <v>6452</v>
      </c>
    </row>
    <row r="9" spans="1:28">
      <c r="A9" s="20" t="s">
        <v>6457</v>
      </c>
      <c r="B9" s="25">
        <v>44012</v>
      </c>
      <c r="C9" s="25">
        <v>44012</v>
      </c>
      <c r="D9" s="20" t="s">
        <v>6425</v>
      </c>
      <c r="E9" s="20" t="s">
        <v>1</v>
      </c>
      <c r="F9" s="26">
        <v>-47602.61</v>
      </c>
      <c r="G9" s="26">
        <v>-47602.61</v>
      </c>
      <c r="H9" s="20" t="s">
        <v>2</v>
      </c>
      <c r="I9" s="20" t="s">
        <v>8</v>
      </c>
      <c r="J9" s="26">
        <v>-3996239.11</v>
      </c>
      <c r="K9" s="20" t="s">
        <v>6458</v>
      </c>
      <c r="L9" s="20" t="s">
        <v>40</v>
      </c>
      <c r="M9" s="20" t="s">
        <v>6459</v>
      </c>
      <c r="N9" s="20" t="s">
        <v>3</v>
      </c>
      <c r="O9" s="20" t="s">
        <v>3</v>
      </c>
      <c r="P9" s="20" t="s">
        <v>5</v>
      </c>
      <c r="Q9" s="20" t="s">
        <v>6460</v>
      </c>
      <c r="R9" s="20" t="s">
        <v>3</v>
      </c>
      <c r="S9" s="20" t="s">
        <v>3</v>
      </c>
      <c r="T9" s="20" t="s">
        <v>3</v>
      </c>
      <c r="U9" s="20" t="s">
        <v>3</v>
      </c>
      <c r="V9" s="20" t="s">
        <v>3</v>
      </c>
      <c r="W9" s="20" t="s">
        <v>67</v>
      </c>
      <c r="X9" s="25"/>
      <c r="Y9" s="20" t="s">
        <v>3</v>
      </c>
      <c r="Z9" s="25">
        <v>44012</v>
      </c>
      <c r="AA9" s="20" t="s">
        <v>3</v>
      </c>
      <c r="AB9" s="20" t="s">
        <v>6457</v>
      </c>
    </row>
    <row r="10" spans="1:28">
      <c r="A10" s="20" t="s">
        <v>6461</v>
      </c>
      <c r="B10" s="25">
        <v>44006</v>
      </c>
      <c r="C10" s="25">
        <v>44006</v>
      </c>
      <c r="D10" s="20" t="s">
        <v>6425</v>
      </c>
      <c r="E10" s="20" t="s">
        <v>1</v>
      </c>
      <c r="F10" s="26">
        <v>-2094.31</v>
      </c>
      <c r="G10" s="26">
        <v>-2094.31</v>
      </c>
      <c r="H10" s="20" t="s">
        <v>2</v>
      </c>
      <c r="I10" s="20" t="s">
        <v>8</v>
      </c>
      <c r="J10" s="26">
        <v>-175817.32</v>
      </c>
      <c r="K10" s="20" t="s">
        <v>6462</v>
      </c>
      <c r="L10" s="20" t="s">
        <v>9</v>
      </c>
      <c r="M10" s="20" t="s">
        <v>6463</v>
      </c>
      <c r="N10" s="20" t="s">
        <v>3</v>
      </c>
      <c r="O10" s="20" t="s">
        <v>3</v>
      </c>
      <c r="P10" s="20" t="s">
        <v>5</v>
      </c>
      <c r="Q10" s="20" t="s">
        <v>6463</v>
      </c>
      <c r="R10" s="20" t="s">
        <v>3</v>
      </c>
      <c r="S10" s="20" t="s">
        <v>3</v>
      </c>
      <c r="T10" s="20" t="s">
        <v>3</v>
      </c>
      <c r="U10" s="20" t="s">
        <v>3</v>
      </c>
      <c r="V10" s="20" t="s">
        <v>3</v>
      </c>
      <c r="W10" s="20" t="s">
        <v>66</v>
      </c>
      <c r="X10" s="25"/>
      <c r="Y10" s="20" t="s">
        <v>3</v>
      </c>
      <c r="Z10" s="25">
        <v>44006</v>
      </c>
      <c r="AA10" s="20" t="s">
        <v>3</v>
      </c>
      <c r="AB10" s="20" t="s">
        <v>6461</v>
      </c>
    </row>
    <row r="11" spans="1:28" s="39" customFormat="1">
      <c r="A11" s="39" t="s">
        <v>6464</v>
      </c>
      <c r="B11" s="40">
        <v>44006</v>
      </c>
      <c r="C11" s="40">
        <v>44006</v>
      </c>
      <c r="D11" s="39" t="s">
        <v>6425</v>
      </c>
      <c r="E11" s="39" t="s">
        <v>1</v>
      </c>
      <c r="F11" s="41">
        <v>-2276.21</v>
      </c>
      <c r="G11" s="41">
        <v>-2276.21</v>
      </c>
      <c r="H11" s="39" t="s">
        <v>2</v>
      </c>
      <c r="I11" s="39" t="s">
        <v>8</v>
      </c>
      <c r="J11" s="41">
        <v>-191087.83</v>
      </c>
      <c r="K11" s="39" t="s">
        <v>6465</v>
      </c>
      <c r="L11" s="39" t="s">
        <v>9</v>
      </c>
      <c r="M11" s="39" t="s">
        <v>6466</v>
      </c>
      <c r="N11" s="39" t="s">
        <v>3</v>
      </c>
      <c r="O11" s="39" t="s">
        <v>3</v>
      </c>
      <c r="P11" s="39" t="s">
        <v>5</v>
      </c>
      <c r="Q11" s="39" t="s">
        <v>6466</v>
      </c>
      <c r="R11" s="39" t="s">
        <v>3</v>
      </c>
      <c r="S11" s="39" t="s">
        <v>3</v>
      </c>
      <c r="T11" s="39" t="s">
        <v>3</v>
      </c>
      <c r="U11" s="39" t="s">
        <v>3</v>
      </c>
      <c r="V11" s="39" t="s">
        <v>3</v>
      </c>
      <c r="W11" s="39" t="s">
        <v>66</v>
      </c>
      <c r="X11" s="40"/>
      <c r="Y11" s="39" t="s">
        <v>3</v>
      </c>
      <c r="Z11" s="40">
        <v>44006</v>
      </c>
      <c r="AA11" s="39" t="s">
        <v>3</v>
      </c>
      <c r="AB11" s="39" t="s">
        <v>6464</v>
      </c>
    </row>
    <row r="12" spans="1:28">
      <c r="A12" s="20" t="s">
        <v>6467</v>
      </c>
      <c r="B12" s="25">
        <v>44008</v>
      </c>
      <c r="C12" s="25">
        <v>44008</v>
      </c>
      <c r="D12" s="20" t="s">
        <v>6425</v>
      </c>
      <c r="E12" s="20" t="s">
        <v>1</v>
      </c>
      <c r="F12" s="26">
        <v>-1513</v>
      </c>
      <c r="G12" s="26">
        <v>-1513</v>
      </c>
      <c r="H12" s="20" t="s">
        <v>2</v>
      </c>
      <c r="I12" s="20" t="s">
        <v>8</v>
      </c>
      <c r="J12" s="26">
        <v>-127016.35</v>
      </c>
      <c r="K12" s="20" t="s">
        <v>6468</v>
      </c>
      <c r="L12" s="20" t="s">
        <v>9</v>
      </c>
      <c r="M12" s="20" t="s">
        <v>6469</v>
      </c>
      <c r="N12" s="20" t="s">
        <v>3</v>
      </c>
      <c r="O12" s="20" t="s">
        <v>3</v>
      </c>
      <c r="P12" s="20" t="s">
        <v>5</v>
      </c>
      <c r="Q12" s="20" t="s">
        <v>6469</v>
      </c>
      <c r="R12" s="20" t="s">
        <v>3</v>
      </c>
      <c r="S12" s="20" t="s">
        <v>3</v>
      </c>
      <c r="T12" s="20" t="s">
        <v>3</v>
      </c>
      <c r="U12" s="20" t="s">
        <v>3</v>
      </c>
      <c r="V12" s="20" t="s">
        <v>3</v>
      </c>
      <c r="W12" s="20" t="s">
        <v>66</v>
      </c>
      <c r="X12" s="25"/>
      <c r="Y12" s="20" t="s">
        <v>3</v>
      </c>
      <c r="Z12" s="25">
        <v>44008</v>
      </c>
      <c r="AA12" s="20" t="s">
        <v>3</v>
      </c>
      <c r="AB12" s="20" t="s">
        <v>6467</v>
      </c>
    </row>
    <row r="13" spans="1:28">
      <c r="A13" s="20" t="s">
        <v>6470</v>
      </c>
      <c r="B13" s="25">
        <v>44012</v>
      </c>
      <c r="C13" s="25">
        <v>44012</v>
      </c>
      <c r="D13" s="20" t="s">
        <v>6425</v>
      </c>
      <c r="E13" s="20" t="s">
        <v>1</v>
      </c>
      <c r="F13" s="26">
        <v>-32</v>
      </c>
      <c r="G13" s="26">
        <v>-32</v>
      </c>
      <c r="H13" s="20" t="s">
        <v>2</v>
      </c>
      <c r="I13" s="20" t="s">
        <v>8</v>
      </c>
      <c r="J13" s="26">
        <v>-2686.4</v>
      </c>
      <c r="K13" s="20" t="s">
        <v>6471</v>
      </c>
      <c r="L13" s="20" t="s">
        <v>9</v>
      </c>
      <c r="M13" s="20" t="s">
        <v>6472</v>
      </c>
      <c r="N13" s="20" t="s">
        <v>3</v>
      </c>
      <c r="O13" s="20" t="s">
        <v>3</v>
      </c>
      <c r="P13" s="20" t="s">
        <v>5</v>
      </c>
      <c r="Q13" s="20" t="s">
        <v>6472</v>
      </c>
      <c r="R13" s="20" t="s">
        <v>3</v>
      </c>
      <c r="S13" s="20" t="s">
        <v>3</v>
      </c>
      <c r="T13" s="20" t="s">
        <v>3</v>
      </c>
      <c r="U13" s="20" t="s">
        <v>3</v>
      </c>
      <c r="V13" s="20" t="s">
        <v>3</v>
      </c>
      <c r="W13" s="20" t="s">
        <v>66</v>
      </c>
      <c r="X13" s="25"/>
      <c r="Y13" s="20" t="s">
        <v>3</v>
      </c>
      <c r="Z13" s="25">
        <v>44012</v>
      </c>
      <c r="AA13" s="20" t="s">
        <v>3</v>
      </c>
      <c r="AB13" s="20" t="s">
        <v>6470</v>
      </c>
    </row>
    <row r="14" spans="1:28" s="39" customFormat="1">
      <c r="A14" s="42" t="s">
        <v>6473</v>
      </c>
      <c r="B14" s="40">
        <v>43993</v>
      </c>
      <c r="C14" s="40">
        <v>43993</v>
      </c>
      <c r="D14" s="39" t="s">
        <v>6425</v>
      </c>
      <c r="E14" s="39" t="s">
        <v>1</v>
      </c>
      <c r="F14" s="41">
        <v>-14611.5</v>
      </c>
      <c r="G14" s="41">
        <v>-14611.5</v>
      </c>
      <c r="H14" s="39" t="s">
        <v>2</v>
      </c>
      <c r="I14" s="39" t="s">
        <v>8</v>
      </c>
      <c r="J14" s="41">
        <v>-1226635.43</v>
      </c>
      <c r="K14" s="39" t="s">
        <v>6474</v>
      </c>
      <c r="L14" s="39" t="s">
        <v>9</v>
      </c>
      <c r="M14" s="39" t="s">
        <v>6475</v>
      </c>
      <c r="N14" s="39" t="s">
        <v>3</v>
      </c>
      <c r="O14" s="39" t="s">
        <v>3</v>
      </c>
      <c r="P14" s="39" t="s">
        <v>5</v>
      </c>
      <c r="Q14" s="39" t="s">
        <v>6475</v>
      </c>
      <c r="R14" s="39" t="s">
        <v>3</v>
      </c>
      <c r="S14" s="39" t="s">
        <v>3</v>
      </c>
      <c r="T14" s="39" t="s">
        <v>3</v>
      </c>
      <c r="U14" s="39" t="s">
        <v>3</v>
      </c>
      <c r="V14" s="39" t="s">
        <v>3</v>
      </c>
      <c r="W14" s="39" t="s">
        <v>66</v>
      </c>
      <c r="X14" s="40"/>
      <c r="Y14" s="39" t="s">
        <v>3</v>
      </c>
      <c r="Z14" s="40">
        <v>43993</v>
      </c>
      <c r="AA14" s="39" t="s">
        <v>3</v>
      </c>
      <c r="AB14" s="39" t="s">
        <v>6473</v>
      </c>
    </row>
    <row r="15" spans="1:28">
      <c r="A15" s="20" t="s">
        <v>6476</v>
      </c>
      <c r="B15" s="25">
        <v>44000</v>
      </c>
      <c r="C15" s="25">
        <v>44000</v>
      </c>
      <c r="D15" s="20" t="s">
        <v>6425</v>
      </c>
      <c r="E15" s="20" t="s">
        <v>1</v>
      </c>
      <c r="F15" s="26">
        <v>-7376.71</v>
      </c>
      <c r="G15" s="26">
        <v>-7376.71</v>
      </c>
      <c r="H15" s="20" t="s">
        <v>2</v>
      </c>
      <c r="I15" s="20" t="s">
        <v>8</v>
      </c>
      <c r="J15" s="26">
        <v>-619274.80000000005</v>
      </c>
      <c r="K15" s="20" t="s">
        <v>6477</v>
      </c>
      <c r="L15" s="20" t="s">
        <v>9</v>
      </c>
      <c r="M15" s="20" t="s">
        <v>6478</v>
      </c>
      <c r="N15" s="20" t="s">
        <v>3</v>
      </c>
      <c r="O15" s="20" t="s">
        <v>3</v>
      </c>
      <c r="P15" s="20" t="s">
        <v>5</v>
      </c>
      <c r="Q15" s="20" t="s">
        <v>6478</v>
      </c>
      <c r="R15" s="20" t="s">
        <v>3</v>
      </c>
      <c r="S15" s="20" t="s">
        <v>3</v>
      </c>
      <c r="T15" s="20" t="s">
        <v>3</v>
      </c>
      <c r="U15" s="20" t="s">
        <v>3</v>
      </c>
      <c r="V15" s="20" t="s">
        <v>3</v>
      </c>
      <c r="W15" s="20" t="s">
        <v>66</v>
      </c>
      <c r="X15" s="25"/>
      <c r="Y15" s="20" t="s">
        <v>3</v>
      </c>
      <c r="Z15" s="25">
        <v>44000</v>
      </c>
      <c r="AA15" s="20" t="s">
        <v>3</v>
      </c>
      <c r="AB15" s="20" t="s">
        <v>6476</v>
      </c>
    </row>
    <row r="16" spans="1:28">
      <c r="G16" s="19">
        <f>SUM(G2:G15)</f>
        <v>-3287004.14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B7"/>
  <sheetViews>
    <sheetView workbookViewId="0">
      <selection activeCell="G35" sqref="G35"/>
    </sheetView>
  </sheetViews>
  <sheetFormatPr defaultRowHeight="12.75"/>
  <cols>
    <col min="1" max="1" width="13.85546875" bestFit="1" customWidth="1"/>
    <col min="2" max="2" width="26.85546875" bestFit="1" customWidth="1"/>
  </cols>
  <sheetData>
    <row r="3" spans="1:2">
      <c r="A3" s="28" t="s">
        <v>50</v>
      </c>
      <c r="B3" s="7" t="s">
        <v>46</v>
      </c>
    </row>
    <row r="4" spans="1:2">
      <c r="A4" s="29" t="s">
        <v>67</v>
      </c>
      <c r="B4" s="30">
        <v>-56685.33</v>
      </c>
    </row>
    <row r="5" spans="1:2">
      <c r="A5" s="29" t="s">
        <v>66</v>
      </c>
      <c r="B5" s="30">
        <v>-27903.73</v>
      </c>
    </row>
    <row r="6" spans="1:2">
      <c r="A6" s="29" t="s">
        <v>65</v>
      </c>
      <c r="B6" s="30">
        <v>-3202415.08</v>
      </c>
    </row>
    <row r="7" spans="1:2">
      <c r="A7" s="29" t="s">
        <v>47</v>
      </c>
      <c r="B7" s="30">
        <v>-3287004.14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74D2A6-83C0-45CE-B55A-0DBD6B602D06}"/>
</file>

<file path=customXml/itemProps2.xml><?xml version="1.0" encoding="utf-8"?>
<ds:datastoreItem xmlns:ds="http://schemas.openxmlformats.org/officeDocument/2006/customXml" ds:itemID="{9B92DA75-EFDF-46F4-8449-1BF209BFDFAB}"/>
</file>

<file path=customXml/itemProps3.xml><?xml version="1.0" encoding="utf-8"?>
<ds:datastoreItem xmlns:ds="http://schemas.openxmlformats.org/officeDocument/2006/customXml" ds:itemID="{18F7CA25-7523-49B4-A3FE-3CC1AB4933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IP 120 Recon with Balance Conf</vt:lpstr>
      <vt:lpstr>IC-130 Adv confirm with BS</vt:lpstr>
      <vt:lpstr>GL details-AB</vt:lpstr>
      <vt:lpstr>IP 125 Confirmation Control</vt:lpstr>
      <vt:lpstr>IP 130 Recon with Ageing</vt:lpstr>
      <vt:lpstr>Summary-ICR</vt:lpstr>
      <vt:lpstr>Summary-AB</vt:lpstr>
      <vt:lpstr>GL details-ICP</vt:lpstr>
      <vt:lpstr>Summary-ICP</vt:lpstr>
      <vt:lpstr>'GL details-AB'!Print_Area</vt:lpstr>
      <vt:lpstr>'IC-130 Adv confirm with BS'!Print_Area</vt:lpstr>
      <vt:lpstr>'IP 120 Recon with Balance Conf'!Print_Area</vt:lpstr>
      <vt:lpstr>'IP 125 Confirmation Control'!Print_Area</vt:lpstr>
      <vt:lpstr>'IP 130 Recon with Ageing'!Print_Area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Nahid Hasan</cp:lastModifiedBy>
  <cp:revision>1</cp:revision>
  <cp:lastPrinted>2021-08-23T06:22:58Z</cp:lastPrinted>
  <dcterms:modified xsi:type="dcterms:W3CDTF">2021-08-30T15:34:54Z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