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Deloitte\EPIC Group\CIPL_21\04 Substantive Testing\02 Other than Significant\09 Bangladesh Bank Stimulas Loan\"/>
    </mc:Choice>
  </mc:AlternateContent>
  <xr:revisionPtr revIDLastSave="0" documentId="13_ncr:1_{D25E6A03-4F64-4AA6-B9C2-F8623AD361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L 300 Monthly Analysis" sheetId="3" r:id="rId1"/>
    <sheet name="Population " sheetId="8" r:id="rId2"/>
    <sheet name="SL Population 2020-21" sheetId="10" r:id="rId3"/>
  </sheets>
  <definedNames>
    <definedName name="_xlnm._FilterDatabase" localSheetId="1" hidden="1">'Population '!$A$1:$AD$16</definedName>
  </definedNames>
  <calcPr calcId="191029"/>
  <pivotCaches>
    <pivotCache cacheId="3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3" l="1"/>
  <c r="C25" i="3"/>
  <c r="C24" i="3"/>
  <c r="C22" i="3"/>
  <c r="N2" i="10"/>
  <c r="N3" i="10" s="1"/>
  <c r="N4" i="10" s="1"/>
  <c r="N5" i="10" s="1"/>
  <c r="N6" i="10" s="1"/>
  <c r="N7" i="10" s="1"/>
  <c r="N8" i="10" s="1"/>
  <c r="N9" i="10" s="1"/>
  <c r="N10" i="10" s="1"/>
  <c r="N11" i="10" s="1"/>
  <c r="N12" i="10" s="1"/>
  <c r="N13" i="10" s="1"/>
  <c r="N2" i="8"/>
  <c r="N3" i="8" s="1"/>
  <c r="N4" i="8" s="1"/>
  <c r="N5" i="8" s="1"/>
  <c r="N6" i="8" s="1"/>
  <c r="N7" i="8" s="1"/>
  <c r="N8" i="8" s="1"/>
  <c r="N9" i="8" s="1"/>
  <c r="N10" i="8" s="1"/>
  <c r="N11" i="8" s="1"/>
  <c r="N12" i="8" s="1"/>
  <c r="N13" i="8" s="1"/>
  <c r="N14" i="8" s="1"/>
  <c r="N15" i="8" s="1"/>
</calcChain>
</file>

<file path=xl/sharedStrings.xml><?xml version="1.0" encoding="utf-8"?>
<sst xmlns="http://schemas.openxmlformats.org/spreadsheetml/2006/main" count="672" uniqueCount="113">
  <si>
    <t/>
  </si>
  <si>
    <t>BDT</t>
  </si>
  <si>
    <t>0</t>
  </si>
  <si>
    <t>2010300001</t>
  </si>
  <si>
    <t>USD</t>
  </si>
  <si>
    <t>83.95000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</si>
  <si>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</si>
  <si>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</si>
  <si>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</si>
  <si>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</si>
  <si>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</si>
  <si>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</si>
  <si>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</si>
  <si>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</si>
  <si>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</si>
  <si>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</si>
  <si>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</si>
  <si>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</si>
  <si>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</si>
  <si>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</si>
  <si>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</si>
  <si>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</si>
  <si>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</si>
  <si>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</si>
  <si>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</si>
  <si>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</si>
  <si>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</si>
  <si>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</si>
  <si>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</si>
  <si>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</si>
  <si>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</si>
  <si>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</si>
  <si>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</si>
  <si>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</si>
  <si>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</si>
  <si>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Nurul Faruk Hasan &amp; Co</t>
  </si>
  <si>
    <t>Chartered Accountants</t>
  </si>
  <si>
    <t>Client name</t>
  </si>
  <si>
    <t>Cosmopolitan Industries Pvt. Ltd. (CIPL)</t>
  </si>
  <si>
    <t>Working Paper Title</t>
  </si>
  <si>
    <t>Working Paper #</t>
  </si>
  <si>
    <t>Md. Nahid Hasan Badhan</t>
  </si>
  <si>
    <t>Date Completed</t>
  </si>
  <si>
    <t>Date Reviewed</t>
  </si>
  <si>
    <t>Balance Sheet Date</t>
  </si>
  <si>
    <t>Purpose:</t>
  </si>
  <si>
    <t>Procedure:</t>
  </si>
  <si>
    <t>Conclusion:</t>
  </si>
  <si>
    <t>Amount in USD</t>
  </si>
  <si>
    <t>Months</t>
  </si>
  <si>
    <t>Risk:</t>
  </si>
  <si>
    <t>Control:</t>
  </si>
  <si>
    <t>Assertions:</t>
  </si>
  <si>
    <t>20203003</t>
  </si>
  <si>
    <t>1903006151</t>
  </si>
  <si>
    <t>SA</t>
  </si>
  <si>
    <t>84.95000</t>
  </si>
  <si>
    <t>GOVT LOAN</t>
  </si>
  <si>
    <t>Govt Loan</t>
  </si>
  <si>
    <t>Govt loan taken</t>
  </si>
  <si>
    <t>2010100001</t>
  </si>
  <si>
    <t>1903007111</t>
  </si>
  <si>
    <t>Govt loan taken ( LOAN 293)</t>
  </si>
  <si>
    <t>2003000082</t>
  </si>
  <si>
    <t>Govt loan taken ( LOAN 294)</t>
  </si>
  <si>
    <t>2003000095</t>
  </si>
  <si>
    <t>Govt loan taken ( LOAN 295)</t>
  </si>
  <si>
    <t>2003000392</t>
  </si>
  <si>
    <t>Govt loan taken ( LOAN 296)</t>
  </si>
  <si>
    <t>2003001809</t>
  </si>
  <si>
    <t>FX RESTATEMENT-A</t>
  </si>
  <si>
    <t>Fx USD Restatement</t>
  </si>
  <si>
    <t>Fx USD Restatement aug 2020</t>
  </si>
  <si>
    <t>Fx Restatement-Aug</t>
  </si>
  <si>
    <t>2003004129</t>
  </si>
  <si>
    <t>GOVT. LOAN PAYME</t>
  </si>
  <si>
    <t>Govt.Loan payment</t>
  </si>
  <si>
    <t>Govt.Loan payment principal</t>
  </si>
  <si>
    <t>Govt. Loan payment</t>
  </si>
  <si>
    <t>2003004768</t>
  </si>
  <si>
    <t>Govt.Loan payment Interest</t>
  </si>
  <si>
    <t>2003005827</t>
  </si>
  <si>
    <t>RESTATEMENT</t>
  </si>
  <si>
    <t>Restatement GL Mar</t>
  </si>
  <si>
    <t>Restatement GL Mar  21 USD</t>
  </si>
  <si>
    <t>Restatement GL Mar 21</t>
  </si>
  <si>
    <t>SL 300</t>
  </si>
  <si>
    <t>Bangladesh Bank Stimulas Loan Analysis</t>
  </si>
  <si>
    <r>
      <t xml:space="preserve">To carry out analytical procedure on Bangladesh Bank Stimulas Loan </t>
    </r>
    <r>
      <rPr>
        <sz val="12"/>
        <rFont val="Calibri"/>
        <family val="2"/>
        <scheme val="minor"/>
      </rPr>
      <t xml:space="preserve">in order </t>
    </r>
    <r>
      <rPr>
        <sz val="12"/>
        <color theme="1"/>
        <rFont val="Calibri"/>
        <family val="2"/>
        <scheme val="minor"/>
      </rPr>
      <t xml:space="preserve">to find out the trends during the current financial year. </t>
    </r>
  </si>
  <si>
    <t>Step 1: Collect ledger;
Step 2: Segregate and remove the reversal entries;
Step 3: Figure out monthly Bangladesh Bank Stimulas Loan using Pivot Table;
Step 4: Compare the monthly Bangladesh Bank Stimulas Loan figures with that of previous year;
Step 5: Find out the percentage changes among the months during the current financial year;
Step 6: Obtain justification for the unusual changes.</t>
  </si>
  <si>
    <t>% change</t>
  </si>
  <si>
    <t>The fund may be utilized for other than paying workers' wages for up to three months.</t>
  </si>
  <si>
    <t>&lt;7/7/2020</t>
  </si>
  <si>
    <t>2020</t>
  </si>
  <si>
    <t>Jul</t>
  </si>
  <si>
    <t>Aug</t>
  </si>
  <si>
    <t>2021</t>
  </si>
  <si>
    <t>Jan</t>
  </si>
  <si>
    <t>Feb</t>
  </si>
  <si>
    <t>Mar</t>
  </si>
  <si>
    <t>Current Balance</t>
  </si>
  <si>
    <t>Mahdi Mohammad Mehrab</t>
  </si>
  <si>
    <t>Grand Total for FY 2020-21</t>
  </si>
  <si>
    <t>CIPL began to repay Bangladesh Bank Stimulas Loan during the FY 2020-21</t>
  </si>
  <si>
    <t>Prepared by</t>
  </si>
  <si>
    <t>Reviewed by</t>
  </si>
  <si>
    <t>Further reviewed by</t>
  </si>
  <si>
    <t>Humaun Ahamed</t>
  </si>
  <si>
    <t>Amount matched with Financial Statement's Balance (BB stimulus loan)</t>
  </si>
  <si>
    <t>From this amount USD 1,172,412 was transferred to current portion</t>
  </si>
  <si>
    <t xml:space="preserve">Thus Non current portion is </t>
  </si>
  <si>
    <t>Rights and obligations.</t>
  </si>
  <si>
    <t xml:space="preserve">Control owner checks the appropriateness of the employee list and ensures that fund is utilized only for paying workers' wages for up to the period defined in the clause.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</si>
</sst>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0%_);\(0%\)"/>
  </numFmts>
  <fonts count="20" x14ac:knownFonts="1">
    <font>
      <sz val="10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u/>
      <sz val="7"/>
      <color indexed="12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u/>
      <sz val="8"/>
      <color theme="10"/>
      <name val="Arial Unicode MS"/>
      <family val="2"/>
    </font>
    <font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0D56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6">
    <xf numFmtId="0" fontId="0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3" fillId="8" borderId="1">
      <alignment horizontal="center"/>
    </xf>
    <xf numFmtId="0" fontId="2" fillId="0" borderId="0"/>
    <xf numFmtId="43" fontId="3" fillId="0" borderId="0" applyFont="0" applyFill="0" applyBorder="0" applyAlignment="0" applyProtection="0"/>
    <xf numFmtId="14" fontId="14" fillId="9" borderId="2">
      <alignment horizontal="center" vertical="center" wrapText="1"/>
    </xf>
    <xf numFmtId="37" fontId="12" fillId="0" borderId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5" fillId="0" borderId="0" applyFill="0" applyBorder="0" applyProtection="0">
      <alignment horizontal="left" vertical="top"/>
    </xf>
    <xf numFmtId="37" fontId="12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7" fillId="4" borderId="0" xfId="1" applyFont="1" applyFill="1" applyAlignment="1">
      <alignment vertical="top"/>
    </xf>
    <xf numFmtId="0" fontId="7" fillId="4" borderId="0" xfId="1" applyFont="1" applyFill="1" applyAlignment="1">
      <alignment horizontal="right" vertical="top"/>
    </xf>
    <xf numFmtId="0" fontId="8" fillId="5" borderId="1" xfId="0" applyFont="1" applyFill="1" applyBorder="1" applyAlignment="1">
      <alignment vertical="center"/>
    </xf>
    <xf numFmtId="0" fontId="9" fillId="4" borderId="0" xfId="0" applyFont="1" applyFill="1" applyAlignment="1">
      <alignment vertical="top" wrapText="1"/>
    </xf>
    <xf numFmtId="0" fontId="8" fillId="5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vertical="top" wrapText="1"/>
    </xf>
    <xf numFmtId="15" fontId="9" fillId="4" borderId="1" xfId="0" applyNumberFormat="1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vertical="center"/>
    </xf>
    <xf numFmtId="0" fontId="6" fillId="4" borderId="0" xfId="0" applyFont="1" applyFill="1" applyAlignment="1">
      <alignment horizontal="right" indent="1"/>
    </xf>
    <xf numFmtId="0" fontId="6" fillId="4" borderId="0" xfId="0" applyFont="1" applyFill="1" applyAlignment="1">
      <alignment horizontal="right" vertical="top" indent="1"/>
    </xf>
    <xf numFmtId="0" fontId="5" fillId="4" borderId="0" xfId="0" applyFont="1" applyFill="1"/>
    <xf numFmtId="0" fontId="7" fillId="0" borderId="0" xfId="0" applyFont="1" applyAlignment="1">
      <alignment vertical="top"/>
    </xf>
    <xf numFmtId="0" fontId="7" fillId="0" borderId="0" xfId="0" applyFont="1" applyBorder="1" applyAlignment="1">
      <alignment vertical="top"/>
    </xf>
    <xf numFmtId="0" fontId="17" fillId="6" borderId="0" xfId="0" applyFont="1" applyFill="1" applyAlignment="1">
      <alignment horizontal="center" vertical="top"/>
    </xf>
    <xf numFmtId="0" fontId="7" fillId="0" borderId="1" xfId="0" applyFont="1" applyBorder="1" applyAlignment="1">
      <alignment vertical="top"/>
    </xf>
    <xf numFmtId="0" fontId="7" fillId="0" borderId="0" xfId="0" applyNumberFormat="1" applyFont="1" applyAlignment="1">
      <alignment vertical="top"/>
    </xf>
    <xf numFmtId="9" fontId="7" fillId="0" borderId="1" xfId="2" applyFont="1" applyBorder="1" applyAlignment="1">
      <alignment vertical="top"/>
    </xf>
    <xf numFmtId="0" fontId="6" fillId="0" borderId="3" xfId="0" applyNumberFormat="1" applyFont="1" applyBorder="1" applyAlignment="1">
      <alignment vertical="top"/>
    </xf>
    <xf numFmtId="0" fontId="7" fillId="0" borderId="0" xfId="0" applyFont="1" applyAlignment="1">
      <alignment horizontal="left" vertical="top" indent="1"/>
    </xf>
    <xf numFmtId="0" fontId="17" fillId="6" borderId="1" xfId="0" applyFont="1" applyFill="1" applyBorder="1" applyAlignment="1">
      <alignment horizontal="center" vertical="top"/>
    </xf>
    <xf numFmtId="165" fontId="17" fillId="6" borderId="1" xfId="0" applyNumberFormat="1" applyFont="1" applyFill="1" applyBorder="1" applyAlignment="1">
      <alignment horizontal="right" vertical="top"/>
    </xf>
    <xf numFmtId="0" fontId="7" fillId="0" borderId="1" xfId="0" applyFont="1" applyBorder="1" applyAlignment="1">
      <alignment horizontal="center" vertical="top"/>
    </xf>
    <xf numFmtId="165" fontId="7" fillId="0" borderId="1" xfId="0" applyNumberFormat="1" applyFont="1" applyBorder="1" applyAlignment="1">
      <alignment vertical="top"/>
    </xf>
    <xf numFmtId="0" fontId="1" fillId="4" borderId="0" xfId="0" applyFont="1" applyFill="1"/>
    <xf numFmtId="0" fontId="1" fillId="0" borderId="0" xfId="1" applyFont="1" applyFill="1" applyBorder="1" applyAlignment="1">
      <alignment horizontal="left" vertical="center" wrapText="1"/>
    </xf>
    <xf numFmtId="164" fontId="9" fillId="4" borderId="1" xfId="0" applyNumberFormat="1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top" wrapText="1"/>
    </xf>
    <xf numFmtId="0" fontId="9" fillId="4" borderId="4" xfId="0" applyFont="1" applyFill="1" applyBorder="1" applyAlignment="1">
      <alignment horizontal="left" vertical="top" wrapText="1"/>
    </xf>
    <xf numFmtId="0" fontId="9" fillId="4" borderId="5" xfId="0" applyFont="1" applyFill="1" applyBorder="1" applyAlignment="1">
      <alignment horizontal="left" vertical="top" wrapText="1"/>
    </xf>
    <xf numFmtId="0" fontId="9" fillId="4" borderId="6" xfId="0" applyFont="1" applyFill="1" applyBorder="1" applyAlignment="1">
      <alignment horizontal="left" vertical="top" wrapText="1"/>
    </xf>
    <xf numFmtId="0" fontId="18" fillId="0" borderId="0" xfId="0" applyFont="1"/>
    <xf numFmtId="0" fontId="0" fillId="0" borderId="0" xfId="0"/>
    <xf numFmtId="4" fontId="19" fillId="0" borderId="0" xfId="0" applyNumberFormat="1" applyFont="1"/>
    <xf numFmtId="0" fontId="8" fillId="7" borderId="7" xfId="0" applyFont="1" applyFill="1" applyBorder="1" applyAlignment="1">
      <alignment horizontal="right" indent="1"/>
    </xf>
    <xf numFmtId="0" fontId="1" fillId="0" borderId="8" xfId="1" applyFont="1" applyFill="1" applyBorder="1" applyAlignment="1">
      <alignment horizontal="left" vertical="center" wrapText="1"/>
    </xf>
    <xf numFmtId="0" fontId="1" fillId="0" borderId="9" xfId="1" applyFont="1" applyFill="1" applyBorder="1" applyAlignment="1">
      <alignment horizontal="left" vertical="center" wrapText="1"/>
    </xf>
    <xf numFmtId="0" fontId="8" fillId="7" borderId="10" xfId="0" applyFont="1" applyFill="1" applyBorder="1" applyAlignment="1">
      <alignment horizontal="right" vertical="center" indent="1"/>
    </xf>
    <xf numFmtId="0" fontId="1" fillId="0" borderId="11" xfId="1" applyFont="1" applyFill="1" applyBorder="1" applyAlignment="1">
      <alignment horizontal="left" vertical="center" wrapText="1"/>
    </xf>
    <xf numFmtId="0" fontId="8" fillId="7" borderId="12" xfId="0" applyFont="1" applyFill="1" applyBorder="1" applyAlignment="1">
      <alignment horizontal="right" indent="1"/>
    </xf>
    <xf numFmtId="0" fontId="11" fillId="7" borderId="2" xfId="0" applyFont="1" applyFill="1" applyBorder="1" applyAlignment="1"/>
    <xf numFmtId="0" fontId="11" fillId="0" borderId="2" xfId="0" applyFont="1" applyBorder="1" applyAlignment="1"/>
    <xf numFmtId="0" fontId="7" fillId="0" borderId="13" xfId="0" applyFont="1" applyBorder="1" applyAlignment="1">
      <alignment vertical="top"/>
    </xf>
  </cellXfs>
  <cellStyles count="26">
    <cellStyle name="Comma 2" xfId="20" xr:uid="{F04BE15D-C26F-41B5-B81B-2B1C5778732C}"/>
    <cellStyle name="Comma 3" xfId="11" xr:uid="{844EA320-696A-4F30-943D-581DEB7BB546}"/>
    <cellStyle name="Heading" xfId="12" xr:uid="{69432E96-B7F7-4C13-AACF-D363FDF4F96C}"/>
    <cellStyle name="Hyperlink 2" xfId="19" xr:uid="{C00D4CDB-B390-4D72-9F81-80A01D9E131A}"/>
    <cellStyle name="Nor}al 2" xfId="8" xr:uid="{354EF216-BCD2-4A43-8599-66DD138EF481}"/>
    <cellStyle name="Normal" xfId="0" builtinId="0"/>
    <cellStyle name="Normal 14" xfId="10" xr:uid="{E68607E6-D17C-416E-8377-EC8E9BD4BB8F}"/>
    <cellStyle name="Normal 2" xfId="1" xr:uid="{81A8A521-4435-483D-ABA5-7808A2FA7EC8}"/>
    <cellStyle name="Normal 2 10" xfId="21" xr:uid="{46038E6A-C72A-4B84-B805-68FE83BD7DBF}"/>
    <cellStyle name="Normal 2 2" xfId="18" xr:uid="{56277AA8-343D-4EFD-8B93-D4E436C5AEA6}"/>
    <cellStyle name="Normal 2 2 10 2" xfId="7" xr:uid="{46E8C3A1-CFFA-4844-A848-B354BE48BDAE}"/>
    <cellStyle name="Normal 2 3" xfId="13" xr:uid="{23C0AB10-8849-4A04-B176-D05122E48210}"/>
    <cellStyle name="Normal 2 4" xfId="4" xr:uid="{51F73AA0-23CF-416D-AFD2-1AADB326D423}"/>
    <cellStyle name="Normal 3" xfId="14" xr:uid="{8A41DA77-06D7-4FB9-A745-F28A6A766D44}"/>
    <cellStyle name="Normal 3 3" xfId="6" xr:uid="{72377C9B-8D24-453B-9AF3-F10D87F62BFC}"/>
    <cellStyle name="Normal 4" xfId="5" xr:uid="{93F40DB0-84CB-47C4-B007-40BC53A7CE12}"/>
    <cellStyle name="Note Links" xfId="9" xr:uid="{CD80457A-8A73-448E-85FE-44FE0628FACB}"/>
    <cellStyle name="Percent" xfId="2" builtinId="5"/>
    <cellStyle name="Percent (0)" xfId="15" xr:uid="{20B2E6D2-BBC7-46EC-8105-338A9722B269}"/>
    <cellStyle name="Percent (0) 2" xfId="16" xr:uid="{99D51B82-9745-4CAA-A15B-A6254878551B}"/>
    <cellStyle name="Percent 2" xfId="3" xr:uid="{D80341B3-5793-4BF5-91ED-DE20E1761591}"/>
    <cellStyle name="Percent 3" xfId="22" xr:uid="{86EB9EBC-7B28-4135-B1B9-26E5A872DAF4}"/>
    <cellStyle name="Percent 4" xfId="23" xr:uid="{7E44A75E-40C8-4103-B5BD-94CD17583091}"/>
    <cellStyle name="Percent 5" xfId="24" xr:uid="{51EC5BA6-C71B-49D8-AF89-15359D2B42FA}"/>
    <cellStyle name="Percent 6" xfId="25" xr:uid="{F7E5E2B5-5E67-4EBC-B6B4-762EBBF19275}"/>
    <cellStyle name="Tickmark" xfId="17" xr:uid="{939FB820-1339-4458-9C7B-8F35ED70153A}"/>
  </cellStyles>
  <dxfs count="31"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indent="0"/>
    </dxf>
    <dxf>
      <alignment horizontal="center" indent="0"/>
    </dxf>
    <dxf>
      <alignment horizontal="center" indent="0"/>
    </dxf>
    <dxf>
      <numFmt numFmtId="165" formatCode="_(* #,##0_);_(* \(#,##0\);_(* &quot;-&quot;??_);_(@_)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/>
    </dxf>
    <dxf>
      <font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/>
    </dxf>
    <dxf>
      <font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/>
    </dxf>
    <dxf>
      <font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 300 Bangladesh Bank Stimulas Loan Analysis.XLSX]SL 300 Monthly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Analysis on Bangladesh Bank Stimulas</a:t>
            </a:r>
            <a:r>
              <a:rPr lang="en-US" baseline="0"/>
              <a:t> Loan for FY 2020-21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'SL 300 Monthly Analysis'!$B$18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'SL 300 Monthly Analysis'!$A$19:$A$27</c:f>
              <c:multiLvlStrCache>
                <c:ptCount val="6"/>
                <c:lvl>
                  <c:pt idx="1">
                    <c:v>Jul</c:v>
                  </c:pt>
                  <c:pt idx="2">
                    <c:v>Aug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</c:lvl>
                <c:lvl>
                  <c:pt idx="0">
                    <c:v>&lt;7/7/2020</c:v>
                  </c:pt>
                  <c:pt idx="1">
                    <c:v>2020</c:v>
                  </c:pt>
                  <c:pt idx="3">
                    <c:v>2021</c:v>
                  </c:pt>
                </c:lvl>
              </c:multiLvlStrCache>
            </c:multiLvlStrRef>
          </c:cat>
          <c:val>
            <c:numRef>
              <c:f>'SL 300 Monthly Analysis'!$B$19:$B$27</c:f>
              <c:numCache>
                <c:formatCode>_(* #,##0_);_(* \(#,##0\);_(* "-"??_);_(@_)</c:formatCode>
                <c:ptCount val="6"/>
                <c:pt idx="1">
                  <c:v>-957700.12</c:v>
                </c:pt>
                <c:pt idx="2">
                  <c:v>-300243.98</c:v>
                </c:pt>
                <c:pt idx="3">
                  <c:v>97132.35</c:v>
                </c:pt>
                <c:pt idx="4">
                  <c:v>113458.32</c:v>
                </c:pt>
                <c:pt idx="5">
                  <c:v>-2479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B9-4AA2-AB13-19EC0DCA6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716160"/>
        <c:axId val="1932721568"/>
      </c:barChart>
      <c:catAx>
        <c:axId val="193271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721568"/>
        <c:crosses val="autoZero"/>
        <c:auto val="1"/>
        <c:lblAlgn val="ctr"/>
        <c:lblOffset val="100"/>
        <c:noMultiLvlLbl val="0"/>
      </c:catAx>
      <c:valAx>
        <c:axId val="193272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716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16</xdr:row>
      <xdr:rowOff>104775</xdr:rowOff>
    </xdr:from>
    <xdr:to>
      <xdr:col>13</xdr:col>
      <xdr:colOff>19050</xdr:colOff>
      <xdr:row>30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A1FC35-CA7E-4464-8083-7688B9754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6B7D6559-7939-460A-AC57-123A7ED33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ECD28CDE-5C6F-4E7B-AECB-909BEF25B3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D63DE433-3787-47A1-9656-A1D03CE043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D820D43E-E2D3-4C2B-96BB-E02AA92DFE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4BF510A4-6D99-401C-8CF0-2DD81C8C22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6FC44A2B-FE92-4C1F-A859-3706113AF0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0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E70C5F71-6A2D-4CCB-B863-E10BE05876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FB6DD72A-0419-42CA-B632-BB1CFBC714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2675A170-079D-4F21-A800-9FA623969E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237EB663-376B-4283-A293-21BC258A86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90E507E5-2BDC-4433-A4E9-1DFE5BC599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740F36B5-7799-4842-9F30-86C2F939FF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1F899F2-1693-41E7-843A-308C91E74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06B043EC-9969-41FD-9788-3FC4904217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6A8B8A2-9862-4D3D-A618-2CCC900AB4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5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E9BFBDF9-7FD1-46D4-A5E4-C818FD21BB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7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EFE4EECB-7EC1-4282-91B7-784DAC6495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AA11A5FF-7BF5-4BC6-87CB-FE76F661C2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0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7BB5A57F-5B77-4CF6-817E-AAF2517447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1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162EEEB6-7DE3-4E81-A054-1D607238CA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B799F426-78A8-46C0-89D1-05E1C0B6E4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14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EFE5BC19-9A21-4CCD-A411-167E551175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5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11132AA7-723C-47A3-9C25-03E70A01F1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7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9818EF64-A384-41A8-A1B5-CDCFAE3715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8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734276A3-9D0F-4871-A538-469ABD3277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0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2219203D-4E1B-470E-8B3B-86E6BA720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1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E0B43506-5D1D-4247-81F4-BE9E1D1E24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C4A40429-C35A-4E75-9466-41D41C522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F1220132-2E3B-4D9D-A718-77E492D322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17" name="Picture@5C\Qopen@" descr="@5C\Qopen@">
          <a:extLst>
            <a:ext uri="{FF2B5EF4-FFF2-40B4-BE49-F238E27FC236}">
              <a16:creationId xmlns:a16="http://schemas.microsoft.com/office/drawing/2014/main" id="{FD3391F1-DF2F-46FD-95DC-8576104D41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29485ECC-C58B-480F-91C7-940A838D4F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9" name="Picture@5C\Qopen@" descr="@5C\Qopen@">
          <a:extLst>
            <a:ext uri="{FF2B5EF4-FFF2-40B4-BE49-F238E27FC236}">
              <a16:creationId xmlns:a16="http://schemas.microsoft.com/office/drawing/2014/main" id="{68D891A6-1180-4DFC-BF09-9203FD81F1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50D6E199-A1D0-4CC6-90FE-20840247DC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21" name="Picture@5C\Qopen@" descr="@5C\Qopen@">
          <a:extLst>
            <a:ext uri="{FF2B5EF4-FFF2-40B4-BE49-F238E27FC236}">
              <a16:creationId xmlns:a16="http://schemas.microsoft.com/office/drawing/2014/main" id="{4DCDFFB1-6FD4-497B-B59B-DF50C4509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ACF67E11-E4D0-488C-8F6A-179546FFF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3" name="Picture@5C\Qopen@" descr="@5C\Qopen@">
          <a:extLst>
            <a:ext uri="{FF2B5EF4-FFF2-40B4-BE49-F238E27FC236}">
              <a16:creationId xmlns:a16="http://schemas.microsoft.com/office/drawing/2014/main" id="{299701FB-5539-4640-AE51-0E422A146B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6D29C108-E879-4146-8890-E6531CF4D4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5" name="Picture@5C\Qopen@" descr="@5C\Qopen@">
          <a:extLst>
            <a:ext uri="{FF2B5EF4-FFF2-40B4-BE49-F238E27FC236}">
              <a16:creationId xmlns:a16="http://schemas.microsoft.com/office/drawing/2014/main" id="{11E84E5B-4DAD-4C10-8A99-79F5599122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hid" refreshedDate="44390.600483333335" createdVersion="7" refreshedVersion="7" minRefreshableVersion="3" recordCount="15" xr:uid="{99140D2C-5F5D-4E10-93DA-6603833EC9C3}">
  <cacheSource type="worksheet">
    <worksheetSource ref="A1:AC1048576" sheet="SL Population 2020-21"/>
  </cacheSource>
  <cacheFields count="30">
    <cacheField name="Cleared/open items symbol" numFmtId="0">
      <sharedItems containsBlank="1"/>
    </cacheField>
    <cacheField name="G/L Account" numFmtId="0">
      <sharedItems containsBlank="1"/>
    </cacheField>
    <cacheField name="Document Number" numFmtId="0">
      <sharedItems containsBlank="1"/>
    </cacheField>
    <cacheField name="Posting Date" numFmtId="0">
      <sharedItems containsNonDate="0" containsDate="1" containsString="0" containsBlank="1" minDate="2020-07-07T00:00:00" maxDate="2021-04-01T00:00:00" count="8">
        <d v="2020-07-07T00:00:00"/>
        <d v="2020-07-28T00:00:00"/>
        <d v="2020-08-12T00:00:00"/>
        <d v="2020-08-31T00:00:00"/>
        <d v="2021-01-31T00:00:00"/>
        <d v="2021-02-28T00:00:00"/>
        <d v="2021-03-31T00:00:00"/>
        <m/>
      </sharedItems>
      <fieldGroup par="29" base="3">
        <rangePr groupBy="months" startDate="2020-07-07T00:00:00" endDate="2021-04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1"/>
        </groupItems>
      </fieldGroup>
    </cacheField>
    <cacheField name="Document Date" numFmtId="0">
      <sharedItems containsNonDate="0" containsDate="1" containsString="0" containsBlank="1" minDate="2020-07-07T00:00:00" maxDate="2021-04-01T00:00:00"/>
    </cacheField>
    <cacheField name="Entry Date" numFmtId="0">
      <sharedItems containsNonDate="0" containsDate="1" containsString="0" containsBlank="1" minDate="2020-08-04T00:00:00" maxDate="2021-04-13T00:00:00"/>
    </cacheField>
    <cacheField name="Document Type" numFmtId="0">
      <sharedItems containsBlank="1"/>
    </cacheField>
    <cacheField name="Document currency" numFmtId="0">
      <sharedItems containsBlank="1"/>
    </cacheField>
    <cacheField name="Amount in doc. curr." numFmtId="0">
      <sharedItems containsString="0" containsBlank="1" containsNumber="1" minValue="-667291.88" maxValue="38662.400000000001"/>
    </cacheField>
    <cacheField name="Eff.exchange rate" numFmtId="0">
      <sharedItems containsBlank="1"/>
    </cacheField>
    <cacheField name="Local Currency" numFmtId="0">
      <sharedItems containsBlank="1"/>
    </cacheField>
    <cacheField name="Amount in local currency" numFmtId="0">
      <sharedItems containsString="0" containsBlank="1" containsNumber="1" minValue="-56686445" maxValue="3245708.48"/>
    </cacheField>
    <cacheField name="Amount in loc.curr.2" numFmtId="0">
      <sharedItems containsString="0" containsBlank="1" containsNumber="1" minValue="-667291.88" maxValue="38662.400000000001"/>
    </cacheField>
    <cacheField name="Reference" numFmtId="0">
      <sharedItems containsBlank="1"/>
    </cacheField>
    <cacheField name="Assignment" numFmtId="0">
      <sharedItems containsBlank="1"/>
    </cacheField>
    <cacheField name="Text/CI No" numFmtId="0">
      <sharedItems containsBlank="1"/>
    </cacheField>
    <cacheField name="Purchasing Document" numFmtId="0">
      <sharedItems containsBlank="1"/>
    </cacheField>
    <cacheField name="Item" numFmtId="0">
      <sharedItems containsBlank="1"/>
    </cacheField>
    <cacheField name="Document Header Text" numFmtId="0">
      <sharedItems containsBlank="1"/>
    </cacheField>
    <cacheField name="File Number" numFmtId="0">
      <sharedItems containsBlank="1"/>
    </cacheField>
    <cacheField name="Buyer Name" numFmtId="0">
      <sharedItems containsBlank="1"/>
    </cacheField>
    <cacheField name="LC Number" numFmtId="0">
      <sharedItems containsBlank="1"/>
    </cacheField>
    <cacheField name="Profit Center" numFmtId="0">
      <sharedItems containsBlank="1"/>
    </cacheField>
    <cacheField name="Clearing Document" numFmtId="0">
      <sharedItems containsBlank="1"/>
    </cacheField>
    <cacheField name="Clearing date" numFmtId="0">
      <sharedItems containsNonDate="0" containsString="0" containsBlank="1"/>
    </cacheField>
    <cacheField name="Billing Document" numFmtId="0">
      <sharedItems containsBlank="1"/>
    </cacheField>
    <cacheField name="Buyer Description" numFmtId="0">
      <sharedItems containsBlank="1"/>
    </cacheField>
    <cacheField name="Sales document" numFmtId="0">
      <sharedItems containsBlank="1"/>
    </cacheField>
    <cacheField name="Withholding tax amnt" numFmtId="0">
      <sharedItems containsString="0" containsBlank="1" containsNumber="1" containsInteger="1" minValue="0" maxValue="0"/>
    </cacheField>
    <cacheField name="Years" numFmtId="0" databaseField="0">
      <fieldGroup base="3">
        <rangePr groupBy="years" startDate="2020-07-07T00:00:00" endDate="2021-04-01T00:00:00"/>
        <groupItems count="4">
          <s v="&lt;7/7/2020"/>
          <s v="2020"/>
          <s v="2021"/>
          <s v="&gt;4/1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"/>
    <s v="20203003"/>
    <s v="2003000082"/>
    <x v="0"/>
    <d v="2020-07-07T00:00:00"/>
    <d v="2020-08-04T00:00:00"/>
    <s v="SA"/>
    <s v="USD"/>
    <n v="-667291.88"/>
    <s v="84.95000"/>
    <s v="BDT"/>
    <n v="-56686445"/>
    <n v="-667291.88"/>
    <s v="GOVT LOAN"/>
    <s v="Govt Loan"/>
    <s v="Govt loan taken ( LOAN 294)"/>
    <s v=""/>
    <s v="0"/>
    <s v="Govt Loan"/>
    <s v=""/>
    <s v=""/>
    <s v=""/>
    <s v="2010100001"/>
    <s v=""/>
    <m/>
    <s v=""/>
    <s v=""/>
    <s v=""/>
    <n v="0"/>
  </r>
  <r>
    <s v=""/>
    <s v="20203003"/>
    <s v="2003000095"/>
    <x v="1"/>
    <d v="2020-07-28T00:00:00"/>
    <d v="2020-08-10T00:00:00"/>
    <s v="SA"/>
    <s v="USD"/>
    <n v="-290408.24"/>
    <s v="84.95000"/>
    <s v="BDT"/>
    <n v="-24670180"/>
    <n v="-290408.24"/>
    <s v="GOVT LOAN"/>
    <s v="Govt Loan"/>
    <s v="Govt loan taken ( LOAN 295)"/>
    <s v=""/>
    <s v="0"/>
    <s v="Govt Loan"/>
    <s v=""/>
    <s v=""/>
    <s v=""/>
    <s v="2010100001"/>
    <s v=""/>
    <m/>
    <s v=""/>
    <s v=""/>
    <s v=""/>
    <n v="0"/>
  </r>
  <r>
    <s v=""/>
    <s v="20203003"/>
    <s v="2003000392"/>
    <x v="2"/>
    <d v="2020-08-12T00:00:00"/>
    <d v="2020-08-17T00:00:00"/>
    <s v="SA"/>
    <s v="USD"/>
    <n v="-303819.98"/>
    <s v="83.95000"/>
    <s v="BDT"/>
    <n v="-25505687"/>
    <n v="-303819.98"/>
    <s v="GOVT LOAN"/>
    <s v="Govt Loan"/>
    <s v="Govt loan taken ( LOAN 296)"/>
    <s v=""/>
    <s v="0"/>
    <s v="Govt Loan"/>
    <s v=""/>
    <s v=""/>
    <s v=""/>
    <s v="2010100001"/>
    <s v=""/>
    <m/>
    <s v=""/>
    <s v=""/>
    <s v=""/>
    <n v="0"/>
  </r>
  <r>
    <s v=""/>
    <s v="20203003"/>
    <s v="2003001809"/>
    <x v="3"/>
    <d v="2020-08-31T00:00:00"/>
    <d v="2020-09-10T00:00:00"/>
    <s v="SA"/>
    <s v="USD"/>
    <n v="0"/>
    <s v=""/>
    <s v="BDT"/>
    <n v="0"/>
    <n v="3576"/>
    <s v="FX RESTATEMENT-A"/>
    <s v="Fx USD Restatement"/>
    <s v="Fx USD Restatement aug 2020"/>
    <s v=""/>
    <s v="0"/>
    <s v="Fx Restatement-Aug"/>
    <s v=""/>
    <s v=""/>
    <s v=""/>
    <s v="2010300001"/>
    <s v=""/>
    <m/>
    <s v=""/>
    <s v=""/>
    <s v=""/>
    <n v="0"/>
  </r>
  <r>
    <s v=""/>
    <s v="20203003"/>
    <s v="2003004129"/>
    <x v="4"/>
    <d v="2021-01-31T00:00:00"/>
    <d v="2021-02-03T00:00:00"/>
    <s v="SA"/>
    <s v="USD"/>
    <n v="20956.59"/>
    <s v="83.95000"/>
    <s v="BDT"/>
    <n v="1759305.73"/>
    <n v="20956.59"/>
    <s v="GOVT. LOAN PAYME"/>
    <s v="Govt.Loan payment"/>
    <s v="Govt.Loan payment principal"/>
    <s v=""/>
    <s v="0"/>
    <s v="Govt. Loan payment"/>
    <s v=""/>
    <s v=""/>
    <s v=""/>
    <s v="2010100001"/>
    <s v=""/>
    <m/>
    <s v=""/>
    <s v=""/>
    <s v=""/>
    <n v="0"/>
  </r>
  <r>
    <s v=""/>
    <s v="20203003"/>
    <s v="2003004129"/>
    <x v="4"/>
    <d v="2021-01-31T00:00:00"/>
    <d v="2021-02-03T00:00:00"/>
    <s v="SA"/>
    <s v="USD"/>
    <n v="38662.400000000001"/>
    <s v="83.95000"/>
    <s v="BDT"/>
    <n v="3245708.48"/>
    <n v="38662.400000000001"/>
    <s v="GOVT. LOAN PAYME"/>
    <s v="Govt.Loan payment"/>
    <s v="Govt.Loan payment principal"/>
    <s v=""/>
    <s v="0"/>
    <s v="Govt. Loan payment"/>
    <s v=""/>
    <s v=""/>
    <s v=""/>
    <s v="2010100001"/>
    <s v=""/>
    <m/>
    <s v=""/>
    <s v=""/>
    <s v=""/>
    <n v="0"/>
  </r>
  <r>
    <s v=""/>
    <s v="20203003"/>
    <s v="2003004129"/>
    <x v="4"/>
    <d v="2021-01-31T00:00:00"/>
    <d v="2021-02-03T00:00:00"/>
    <s v="SA"/>
    <s v="USD"/>
    <n v="37513.360000000001"/>
    <s v="83.95000"/>
    <s v="BDT"/>
    <n v="3149246.57"/>
    <n v="37513.360000000001"/>
    <s v="GOVT. LOAN PAYME"/>
    <s v="Govt.Loan payment"/>
    <s v="Govt.Loan payment principal"/>
    <s v=""/>
    <s v="0"/>
    <s v="Govt. Loan payment"/>
    <s v=""/>
    <s v=""/>
    <s v=""/>
    <s v="2010100001"/>
    <s v=""/>
    <m/>
    <s v=""/>
    <s v=""/>
    <s v=""/>
    <n v="0"/>
  </r>
  <r>
    <s v=""/>
    <s v="20203003"/>
    <s v="2003004768"/>
    <x v="5"/>
    <d v="2021-02-28T00:00:00"/>
    <d v="2021-03-06T00:00:00"/>
    <s v="SA"/>
    <s v="USD"/>
    <n v="20956.59"/>
    <s v="83.95000"/>
    <s v="BDT"/>
    <n v="1759305.73"/>
    <n v="20956.59"/>
    <s v="GOVT. LOAN PAYME"/>
    <s v="Govt.Loan payment"/>
    <s v="Govt.Loan payment principal"/>
    <s v=""/>
    <s v="0"/>
    <s v="Govt. Loan payment"/>
    <s v=""/>
    <s v=""/>
    <s v=""/>
    <s v="2010100001"/>
    <s v=""/>
    <m/>
    <s v=""/>
    <s v=""/>
    <s v=""/>
    <n v="0"/>
  </r>
  <r>
    <s v=""/>
    <s v="20203003"/>
    <s v="2003004768"/>
    <x v="5"/>
    <d v="2021-02-28T00:00:00"/>
    <d v="2021-03-06T00:00:00"/>
    <s v="SA"/>
    <s v="USD"/>
    <n v="38662.400000000001"/>
    <s v="83.95000"/>
    <s v="BDT"/>
    <n v="3245708.48"/>
    <n v="38662.400000000001"/>
    <s v="GOVT. LOAN PAYME"/>
    <s v="Govt.Loan payment"/>
    <s v="Govt.Loan payment principal"/>
    <s v=""/>
    <s v="0"/>
    <s v="Govt. Loan payment"/>
    <s v=""/>
    <s v=""/>
    <s v=""/>
    <s v="2010100001"/>
    <s v=""/>
    <m/>
    <s v=""/>
    <s v=""/>
    <s v=""/>
    <n v="0"/>
  </r>
  <r>
    <s v=""/>
    <s v="20203003"/>
    <s v="2003004768"/>
    <x v="5"/>
    <d v="2021-02-28T00:00:00"/>
    <d v="2021-03-06T00:00:00"/>
    <s v="SA"/>
    <s v="USD"/>
    <n v="37513.360000000001"/>
    <s v="83.95000"/>
    <s v="BDT"/>
    <n v="3149246.57"/>
    <n v="37513.360000000001"/>
    <s v="GOVT. LOAN PAYME"/>
    <s v="Govt.Loan payment"/>
    <s v="Govt.Loan payment principal"/>
    <s v=""/>
    <s v="0"/>
    <s v="Govt. Loan payment"/>
    <s v=""/>
    <s v=""/>
    <s v=""/>
    <s v="2010100001"/>
    <s v=""/>
    <m/>
    <s v=""/>
    <s v=""/>
    <s v=""/>
    <n v="0"/>
  </r>
  <r>
    <s v=""/>
    <s v="20203003"/>
    <s v="2003004768"/>
    <x v="5"/>
    <d v="2021-02-28T00:00:00"/>
    <d v="2021-03-06T00:00:00"/>
    <s v="SA"/>
    <s v="USD"/>
    <n v="16325.97"/>
    <s v="83.95000"/>
    <s v="BDT"/>
    <n v="1370565.18"/>
    <n v="16325.97"/>
    <s v="GOVT. LOAN PAYME"/>
    <s v="Govt.Loan payment"/>
    <s v="Govt.Loan payment Interest"/>
    <s v=""/>
    <s v="0"/>
    <s v="Govt. Loan payment"/>
    <s v=""/>
    <s v=""/>
    <s v=""/>
    <s v="2010100001"/>
    <s v=""/>
    <m/>
    <s v=""/>
    <s v=""/>
    <s v=""/>
    <n v="0"/>
  </r>
  <r>
    <s v=""/>
    <s v="20203003"/>
    <s v="2003005827"/>
    <x v="6"/>
    <d v="2021-03-31T00:00:00"/>
    <d v="2021-04-12T00:00:00"/>
    <s v="SA"/>
    <s v="USD"/>
    <n v="0"/>
    <s v=""/>
    <s v="BDT"/>
    <n v="0"/>
    <n v="-2479"/>
    <s v="RESTATEMENT"/>
    <s v="Restatement GL Mar"/>
    <s v="Restatement GL Mar  21 USD"/>
    <s v=""/>
    <s v="0"/>
    <s v="Restatement GL Mar 21"/>
    <s v=""/>
    <s v=""/>
    <s v=""/>
    <s v="2010300001"/>
    <s v=""/>
    <m/>
    <s v=""/>
    <s v=""/>
    <s v=""/>
    <n v="0"/>
  </r>
  <r>
    <m/>
    <m/>
    <m/>
    <x v="7"/>
    <m/>
    <m/>
    <m/>
    <m/>
    <m/>
    <m/>
    <m/>
    <m/>
    <m/>
    <m/>
    <m/>
    <m/>
    <m/>
    <m/>
    <m/>
    <m/>
    <m/>
    <m/>
    <m/>
    <m/>
    <m/>
    <m/>
    <m/>
    <m/>
    <m/>
  </r>
  <r>
    <m/>
    <m/>
    <m/>
    <x v="7"/>
    <m/>
    <m/>
    <m/>
    <m/>
    <m/>
    <m/>
    <m/>
    <m/>
    <m/>
    <m/>
    <m/>
    <m/>
    <m/>
    <m/>
    <m/>
    <m/>
    <m/>
    <m/>
    <m/>
    <m/>
    <m/>
    <m/>
    <m/>
    <m/>
    <m/>
  </r>
  <r>
    <m/>
    <m/>
    <m/>
    <x v="7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A9C11-F59D-404A-A884-08734E8C51B7}" name="PivotTable2" cacheId="30" applyNumberFormats="0" applyBorderFormats="0" applyFontFormats="0" applyPatternFormats="0" applyAlignmentFormats="0" applyWidthHeightFormats="1" dataCaption="Values" grandTotalCaption="Grand Total for FY 2020-21" updatedVersion="6" minRefreshableVersion="3" useAutoFormatting="1" itemPrintTitles="1" createdVersion="7" indent="0" outline="1" outlineData="1" multipleFieldFilters="0" chartFormat="1" rowHeaderCaption="Months">
  <location ref="A18:B27" firstHeaderRow="1" firstDataRow="1" firstDataCol="1"/>
  <pivotFields count="30"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sd="0" x="0"/>
        <item x="1"/>
        <item x="2"/>
        <item x="3"/>
        <item t="default"/>
      </items>
    </pivotField>
  </pivotFields>
  <rowFields count="2">
    <field x="29"/>
    <field x="3"/>
  </rowFields>
  <rowItems count="9">
    <i>
      <x/>
    </i>
    <i>
      <x v="1"/>
    </i>
    <i r="1">
      <x v="7"/>
    </i>
    <i r="1">
      <x v="8"/>
    </i>
    <i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name="Amount in USD" fld="12" baseField="0" baseItem="0" numFmtId="165"/>
  </dataFields>
  <formats count="31">
    <format dxfId="30">
      <pivotArea field="29" type="button" dataOnly="0" labelOnly="1" outline="0" axis="axisRow" fieldPosition="0"/>
    </format>
    <format dxfId="29">
      <pivotArea dataOnly="0" labelOnly="1" outline="0" axis="axisValues" fieldPosition="0"/>
    </format>
    <format dxfId="28">
      <pivotArea grandRow="1" outline="0" collapsedLevelsAreSubtotals="1" fieldPosition="0"/>
    </format>
    <format dxfId="27">
      <pivotArea dataOnly="0" labelOnly="1" grandRow="1" outline="0" fieldPosition="0"/>
    </format>
    <format dxfId="26">
      <pivotArea outline="0" collapsedLevelsAreSubtotals="1" fieldPosition="0"/>
    </format>
    <format dxfId="25">
      <pivotArea dataOnly="0" labelOnly="1" fieldPosition="0">
        <references count="1">
          <reference field="29" count="3">
            <x v="0"/>
            <x v="1"/>
            <x v="2"/>
          </reference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2">
          <reference field="3" count="1">
            <x v="0"/>
          </reference>
          <reference field="29" count="1" selected="0">
            <x v="0"/>
          </reference>
        </references>
      </pivotArea>
    </format>
    <format dxfId="22">
      <pivotArea dataOnly="0" labelOnly="1" fieldPosition="0">
        <references count="2">
          <reference field="3" count="2">
            <x v="7"/>
            <x v="8"/>
          </reference>
          <reference field="29" count="1" selected="0">
            <x v="1"/>
          </reference>
        </references>
      </pivotArea>
    </format>
    <format dxfId="21">
      <pivotArea dataOnly="0" labelOnly="1" fieldPosition="0">
        <references count="2">
          <reference field="3" count="3">
            <x v="1"/>
            <x v="2"/>
            <x v="3"/>
          </reference>
          <reference field="29" count="1" selected="0">
            <x v="2"/>
          </reference>
        </references>
      </pivotArea>
    </format>
    <format dxfId="20">
      <pivotArea grandRow="1" outline="0" collapsedLevelsAreSubtotals="1" fieldPosition="0"/>
    </format>
    <format dxfId="19">
      <pivotArea outline="0" collapsedLevelsAreSubtotals="1" fieldPosition="0"/>
    </format>
    <format dxfId="18">
      <pivotArea dataOnly="0" labelOnly="1" fieldPosition="0">
        <references count="1">
          <reference field="29" count="3">
            <x v="0"/>
            <x v="1"/>
            <x v="2"/>
          </reference>
        </references>
      </pivotArea>
    </format>
    <format dxfId="17">
      <pivotArea dataOnly="0" labelOnly="1" fieldPosition="0">
        <references count="2">
          <reference field="3" count="2">
            <x v="7"/>
            <x v="8"/>
          </reference>
          <reference field="29" count="1" selected="0">
            <x v="1"/>
          </reference>
        </references>
      </pivotArea>
    </format>
    <format dxfId="16">
      <pivotArea dataOnly="0" labelOnly="1" fieldPosition="0">
        <references count="2">
          <reference field="3" count="3">
            <x v="1"/>
            <x v="2"/>
            <x v="3"/>
          </reference>
          <reference field="29" count="1" selected="0">
            <x v="2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29" type="button" dataOnly="0" labelOnly="1" outline="0" axis="axisRow" fieldPosition="0"/>
    </format>
    <format dxfId="12">
      <pivotArea dataOnly="0" labelOnly="1" fieldPosition="0">
        <references count="1">
          <reference field="29" count="3">
            <x v="0"/>
            <x v="1"/>
            <x v="2"/>
          </reference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2">
          <reference field="3" count="2">
            <x v="7"/>
            <x v="8"/>
          </reference>
          <reference field="29" count="1" selected="0">
            <x v="1"/>
          </reference>
        </references>
      </pivotArea>
    </format>
    <format dxfId="9">
      <pivotArea dataOnly="0" labelOnly="1" fieldPosition="0">
        <references count="2">
          <reference field="3" count="3">
            <x v="1"/>
            <x v="2"/>
            <x v="3"/>
          </reference>
          <reference field="29" count="1" selected="0">
            <x v="2"/>
          </reference>
        </references>
      </pivotArea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29" type="button" dataOnly="0" labelOnly="1" outline="0" axis="axisRow" fieldPosition="0"/>
    </format>
    <format dxfId="4">
      <pivotArea dataOnly="0" labelOnly="1" fieldPosition="0">
        <references count="1">
          <reference field="29" count="3">
            <x v="0"/>
            <x v="1"/>
            <x v="2"/>
          </reference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2">
          <reference field="3" count="2">
            <x v="7"/>
            <x v="8"/>
          </reference>
          <reference field="29" count="1" selected="0">
            <x v="1"/>
          </reference>
        </references>
      </pivotArea>
    </format>
    <format dxfId="1">
      <pivotArea dataOnly="0" labelOnly="1" fieldPosition="0">
        <references count="2">
          <reference field="3" count="3">
            <x v="1"/>
            <x v="2"/>
            <x v="3"/>
          </reference>
          <reference field="29" count="1" selected="0">
            <x v="2"/>
          </reference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4E48-FA41-4BAC-8E8A-16F083153486}">
  <dimension ref="A1:P35"/>
  <sheetViews>
    <sheetView showGridLines="0" tabSelected="1" zoomScale="70" zoomScaleNormal="70" workbookViewId="0">
      <selection activeCell="E41" sqref="E41"/>
    </sheetView>
  </sheetViews>
  <sheetFormatPr defaultColWidth="9.140625" defaultRowHeight="15.75" x14ac:dyDescent="0.2"/>
  <cols>
    <col min="1" max="1" width="26.140625" style="22" bestFit="1" customWidth="1"/>
    <col min="2" max="2" width="15.28515625" style="22" bestFit="1" customWidth="1"/>
    <col min="3" max="3" width="11.28515625" style="22" bestFit="1" customWidth="1"/>
    <col min="4" max="4" width="13.28515625" style="22" hidden="1" customWidth="1"/>
    <col min="5" max="5" width="9.140625" style="22"/>
    <col min="6" max="6" width="11.7109375" style="22" bestFit="1" customWidth="1"/>
    <col min="7" max="7" width="26.85546875" style="22" bestFit="1" customWidth="1"/>
    <col min="8" max="8" width="9.140625" style="22"/>
    <col min="9" max="9" width="17.7109375" style="22" bestFit="1" customWidth="1"/>
    <col min="10" max="10" width="10.28515625" style="22" bestFit="1" customWidth="1"/>
    <col min="11" max="14" width="9.140625" style="22"/>
    <col min="15" max="15" width="11.140625" style="22" bestFit="1" customWidth="1"/>
    <col min="16" max="16" width="13.85546875" style="22" bestFit="1" customWidth="1"/>
    <col min="17" max="16384" width="9.140625" style="22"/>
  </cols>
  <sheetData>
    <row r="1" spans="1:14" s="34" customFormat="1" x14ac:dyDescent="0.25">
      <c r="A1" s="38" t="s">
        <v>35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34" customFormat="1" ht="16.5" thickBot="1" x14ac:dyDescent="0.3">
      <c r="A2" s="39" t="s">
        <v>36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14" s="34" customFormat="1" x14ac:dyDescent="0.25">
      <c r="A3" s="10"/>
      <c r="B3" s="11"/>
    </row>
    <row r="4" spans="1:14" s="34" customFormat="1" ht="15.75" customHeight="1" x14ac:dyDescent="0.25">
      <c r="A4" s="12" t="s">
        <v>37</v>
      </c>
      <c r="B4" s="40" t="s">
        <v>38</v>
      </c>
      <c r="C4" s="40"/>
      <c r="D4" s="40"/>
      <c r="E4" s="40"/>
      <c r="F4" s="13"/>
    </row>
    <row r="5" spans="1:14" s="34" customFormat="1" ht="15.75" customHeight="1" x14ac:dyDescent="0.25">
      <c r="A5" s="14" t="s">
        <v>39</v>
      </c>
      <c r="B5" s="40" t="s">
        <v>87</v>
      </c>
      <c r="C5" s="40"/>
      <c r="D5" s="40"/>
      <c r="E5" s="40"/>
      <c r="I5" s="15" t="s">
        <v>40</v>
      </c>
      <c r="J5" s="16" t="s">
        <v>86</v>
      </c>
    </row>
    <row r="6" spans="1:14" s="34" customFormat="1" ht="14.45" customHeight="1" x14ac:dyDescent="0.25">
      <c r="A6" s="15" t="s">
        <v>104</v>
      </c>
      <c r="B6" s="40" t="s">
        <v>41</v>
      </c>
      <c r="C6" s="40"/>
      <c r="D6" s="40"/>
      <c r="E6" s="40"/>
      <c r="I6" s="15" t="s">
        <v>42</v>
      </c>
      <c r="J6" s="17">
        <v>44390</v>
      </c>
    </row>
    <row r="7" spans="1:14" s="34" customFormat="1" x14ac:dyDescent="0.25">
      <c r="A7" s="18" t="s">
        <v>105</v>
      </c>
      <c r="B7" s="40" t="s">
        <v>101</v>
      </c>
      <c r="C7" s="40"/>
      <c r="D7" s="40"/>
      <c r="E7" s="40"/>
      <c r="I7" s="15" t="s">
        <v>43</v>
      </c>
      <c r="J7" s="17">
        <v>44392</v>
      </c>
    </row>
    <row r="8" spans="1:14" s="34" customFormat="1" x14ac:dyDescent="0.25">
      <c r="A8" s="18" t="s">
        <v>106</v>
      </c>
      <c r="B8" s="41" t="s">
        <v>107</v>
      </c>
      <c r="C8" s="42"/>
      <c r="D8" s="42"/>
      <c r="E8" s="43"/>
      <c r="I8" s="15" t="s">
        <v>43</v>
      </c>
      <c r="J8" s="17">
        <v>44392</v>
      </c>
    </row>
    <row r="9" spans="1:14" s="34" customFormat="1" x14ac:dyDescent="0.25">
      <c r="A9" s="12" t="s">
        <v>44</v>
      </c>
      <c r="B9" s="36">
        <v>44377</v>
      </c>
      <c r="C9" s="36"/>
      <c r="D9" s="36"/>
      <c r="E9" s="36"/>
    </row>
    <row r="10" spans="1:14" s="10" customFormat="1" x14ac:dyDescent="0.2">
      <c r="B10" s="11"/>
    </row>
    <row r="11" spans="1:14" s="34" customFormat="1" x14ac:dyDescent="0.25">
      <c r="A11" s="19" t="s">
        <v>45</v>
      </c>
      <c r="B11" s="34" t="s">
        <v>88</v>
      </c>
    </row>
    <row r="12" spans="1:14" s="34" customFormat="1" x14ac:dyDescent="0.25">
      <c r="A12" s="19"/>
    </row>
    <row r="13" spans="1:14" s="34" customFormat="1" ht="95.25" customHeight="1" x14ac:dyDescent="0.25">
      <c r="A13" s="20" t="s">
        <v>46</v>
      </c>
      <c r="B13" s="37" t="s">
        <v>89</v>
      </c>
      <c r="C13" s="37"/>
      <c r="D13" s="37"/>
      <c r="E13" s="37"/>
      <c r="F13" s="37"/>
      <c r="G13" s="37"/>
      <c r="H13" s="37"/>
      <c r="I13" s="37"/>
      <c r="J13" s="37"/>
      <c r="K13" s="37"/>
    </row>
    <row r="14" spans="1:14" s="34" customFormat="1" ht="7.5" customHeight="1" x14ac:dyDescent="0.25">
      <c r="A14" s="19"/>
    </row>
    <row r="15" spans="1:14" s="34" customFormat="1" x14ac:dyDescent="0.25">
      <c r="A15" s="19" t="s">
        <v>47</v>
      </c>
      <c r="B15" s="21" t="s">
        <v>103</v>
      </c>
    </row>
    <row r="18" spans="1:8" x14ac:dyDescent="0.2">
      <c r="A18" s="24" t="s">
        <v>49</v>
      </c>
      <c r="B18" s="24" t="s">
        <v>48</v>
      </c>
      <c r="C18" s="24" t="s">
        <v>90</v>
      </c>
    </row>
    <row r="19" spans="1:8" x14ac:dyDescent="0.2">
      <c r="A19" s="32" t="s">
        <v>92</v>
      </c>
      <c r="B19" s="33"/>
      <c r="C19" s="25"/>
    </row>
    <row r="20" spans="1:8" x14ac:dyDescent="0.2">
      <c r="A20" s="32" t="s">
        <v>93</v>
      </c>
      <c r="B20" s="33">
        <v>-1257944.1000000001</v>
      </c>
      <c r="C20" s="27"/>
    </row>
    <row r="21" spans="1:8" x14ac:dyDescent="0.2">
      <c r="A21" s="32" t="s">
        <v>94</v>
      </c>
      <c r="B21" s="33">
        <v>-957700.12</v>
      </c>
      <c r="C21" s="27"/>
      <c r="D21" s="26">
        <v>-957700.12</v>
      </c>
      <c r="H21" s="26"/>
    </row>
    <row r="22" spans="1:8" x14ac:dyDescent="0.2">
      <c r="A22" s="32" t="s">
        <v>95</v>
      </c>
      <c r="B22" s="33">
        <v>-300243.98</v>
      </c>
      <c r="C22" s="27">
        <f>(D22-D21)/D21</f>
        <v>-0.68649478711561618</v>
      </c>
      <c r="D22" s="26">
        <v>-300243.98</v>
      </c>
      <c r="H22" s="26"/>
    </row>
    <row r="23" spans="1:8" x14ac:dyDescent="0.2">
      <c r="A23" s="32" t="s">
        <v>96</v>
      </c>
      <c r="B23" s="33">
        <v>208111.67</v>
      </c>
      <c r="C23" s="27"/>
      <c r="H23" s="28"/>
    </row>
    <row r="24" spans="1:8" x14ac:dyDescent="0.2">
      <c r="A24" s="32" t="s">
        <v>97</v>
      </c>
      <c r="B24" s="33">
        <v>97132.35</v>
      </c>
      <c r="C24" s="27">
        <f>(D24-D22)/D22</f>
        <v>-1.3235113989629368</v>
      </c>
      <c r="D24" s="26">
        <v>97132.35</v>
      </c>
      <c r="H24" s="26"/>
    </row>
    <row r="25" spans="1:8" x14ac:dyDescent="0.2">
      <c r="A25" s="32" t="s">
        <v>98</v>
      </c>
      <c r="B25" s="33">
        <v>113458.32</v>
      </c>
      <c r="C25" s="27">
        <f>(D25-D24)/D24</f>
        <v>0.1680796356723584</v>
      </c>
      <c r="D25" s="26">
        <v>113458.32</v>
      </c>
      <c r="G25" s="29"/>
      <c r="H25" s="26"/>
    </row>
    <row r="26" spans="1:8" x14ac:dyDescent="0.2">
      <c r="A26" s="32" t="s">
        <v>99</v>
      </c>
      <c r="B26" s="33">
        <v>-2479</v>
      </c>
      <c r="C26" s="27">
        <f>(D26-D25)/D25</f>
        <v>-1.0218494333425703</v>
      </c>
      <c r="D26" s="26">
        <v>-2479</v>
      </c>
      <c r="G26" s="29"/>
      <c r="H26" s="26"/>
    </row>
    <row r="27" spans="1:8" x14ac:dyDescent="0.2">
      <c r="A27" s="30" t="s">
        <v>102</v>
      </c>
      <c r="B27" s="31">
        <v>-1049832.43</v>
      </c>
      <c r="C27" s="27"/>
    </row>
    <row r="28" spans="1:8" x14ac:dyDescent="0.2">
      <c r="A28"/>
      <c r="B28"/>
      <c r="C28" s="23"/>
    </row>
    <row r="32" spans="1:8" ht="16.5" thickBot="1" x14ac:dyDescent="0.25"/>
    <row r="33" spans="1:16" ht="21" customHeight="1" x14ac:dyDescent="0.25">
      <c r="A33" s="47" t="s">
        <v>50</v>
      </c>
      <c r="B33" s="48" t="s">
        <v>91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9"/>
    </row>
    <row r="34" spans="1:16" ht="27.75" customHeight="1" x14ac:dyDescent="0.2">
      <c r="A34" s="50" t="s">
        <v>51</v>
      </c>
      <c r="B34" s="35" t="s">
        <v>112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51"/>
    </row>
    <row r="35" spans="1:16" ht="16.5" thickBot="1" x14ac:dyDescent="0.3">
      <c r="A35" s="52" t="s">
        <v>52</v>
      </c>
      <c r="B35" s="53" t="s">
        <v>111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4"/>
      <c r="O35" s="54"/>
      <c r="P35" s="55"/>
    </row>
  </sheetData>
  <mergeCells count="11">
    <mergeCell ref="B34:P34"/>
    <mergeCell ref="B9:E9"/>
    <mergeCell ref="B13:K13"/>
    <mergeCell ref="A1:N1"/>
    <mergeCell ref="A2:N2"/>
    <mergeCell ref="B4:E4"/>
    <mergeCell ref="B5:E5"/>
    <mergeCell ref="B6:E6"/>
    <mergeCell ref="B7:E7"/>
    <mergeCell ref="B33:P33"/>
    <mergeCell ref="B8:E8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3961-CC4B-4BEF-9425-2C04DE76A78D}">
  <sheetPr filterMode="1"/>
  <dimension ref="A1:AD20"/>
  <sheetViews>
    <sheetView topLeftCell="G1" workbookViewId="0">
      <selection activeCell="O20" sqref="O20"/>
    </sheetView>
  </sheetViews>
  <sheetFormatPr defaultRowHeight="12.75" x14ac:dyDescent="0.2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22" customWidth="1"/>
    <col min="15" max="15" width="18" bestFit="1" customWidth="1"/>
    <col min="16" max="16" width="20" bestFit="1" customWidth="1"/>
    <col min="17" max="17" width="29" bestFit="1" customWidth="1"/>
    <col min="18" max="18" width="21" bestFit="1" customWidth="1"/>
    <col min="19" max="19" width="6" bestFit="1" customWidth="1"/>
    <col min="20" max="20" width="23" bestFit="1" customWidth="1"/>
    <col min="21" max="21" width="13" bestFit="1" customWidth="1"/>
    <col min="22" max="22" width="12" bestFit="1" customWidth="1"/>
    <col min="23" max="23" width="11" bestFit="1" customWidth="1"/>
    <col min="24" max="24" width="15" bestFit="1" customWidth="1"/>
    <col min="25" max="25" width="19" bestFit="1" customWidth="1"/>
    <col min="26" max="26" width="15" bestFit="1" customWidth="1"/>
    <col min="27" max="27" width="18" bestFit="1" customWidth="1"/>
    <col min="28" max="28" width="19" bestFit="1" customWidth="1"/>
    <col min="29" max="29" width="16" bestFit="1" customWidth="1"/>
    <col min="30" max="30" width="14" bestFit="1" customWidth="1"/>
  </cols>
  <sheetData>
    <row r="1" spans="1:30" ht="51" x14ac:dyDescent="0.2">
      <c r="A1" s="9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9" t="s">
        <v>12</v>
      </c>
      <c r="H1" s="9" t="s">
        <v>13</v>
      </c>
      <c r="I1" s="1" t="s">
        <v>14</v>
      </c>
      <c r="J1" s="1" t="s">
        <v>15</v>
      </c>
      <c r="K1" s="9" t="s">
        <v>16</v>
      </c>
      <c r="L1" s="9" t="s">
        <v>17</v>
      </c>
      <c r="M1" s="1" t="s">
        <v>18</v>
      </c>
      <c r="N1" s="1" t="s">
        <v>100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9" t="s">
        <v>34</v>
      </c>
    </row>
    <row r="2" spans="1:30" ht="14.1" hidden="1" customHeight="1" x14ac:dyDescent="0.2">
      <c r="A2" s="2" t="s">
        <v>0</v>
      </c>
      <c r="B2" t="s">
        <v>53</v>
      </c>
      <c r="C2" t="s">
        <v>54</v>
      </c>
      <c r="D2" s="3">
        <v>43963</v>
      </c>
      <c r="E2" s="3">
        <v>43963</v>
      </c>
      <c r="F2" s="3">
        <v>43986</v>
      </c>
      <c r="G2" t="s">
        <v>55</v>
      </c>
      <c r="H2" t="s">
        <v>4</v>
      </c>
      <c r="I2" s="4">
        <v>-372778.18</v>
      </c>
      <c r="J2" t="s">
        <v>56</v>
      </c>
      <c r="K2" t="s">
        <v>1</v>
      </c>
      <c r="L2" s="4">
        <v>-31667507</v>
      </c>
      <c r="M2" s="4">
        <v>-372778.18</v>
      </c>
      <c r="N2" s="4">
        <f>M2</f>
        <v>-372778.18</v>
      </c>
      <c r="O2" t="s">
        <v>57</v>
      </c>
      <c r="P2" t="s">
        <v>58</v>
      </c>
      <c r="Q2" t="s">
        <v>59</v>
      </c>
      <c r="R2" t="s">
        <v>0</v>
      </c>
      <c r="S2" t="s">
        <v>2</v>
      </c>
      <c r="T2" t="s">
        <v>58</v>
      </c>
      <c r="U2" t="s">
        <v>0</v>
      </c>
      <c r="V2" t="s">
        <v>0</v>
      </c>
      <c r="W2" t="s">
        <v>0</v>
      </c>
      <c r="X2" t="s">
        <v>60</v>
      </c>
      <c r="Y2" t="s">
        <v>0</v>
      </c>
      <c r="Z2" s="3"/>
      <c r="AA2" t="s">
        <v>0</v>
      </c>
      <c r="AB2" t="s">
        <v>0</v>
      </c>
      <c r="AC2" t="s">
        <v>0</v>
      </c>
      <c r="AD2" s="4">
        <v>0</v>
      </c>
    </row>
    <row r="3" spans="1:30" ht="14.1" hidden="1" customHeight="1" x14ac:dyDescent="0.2">
      <c r="A3" s="2" t="s">
        <v>0</v>
      </c>
      <c r="B3" t="s">
        <v>53</v>
      </c>
      <c r="C3" t="s">
        <v>61</v>
      </c>
      <c r="D3" s="3">
        <v>43989</v>
      </c>
      <c r="E3" s="3">
        <v>43989</v>
      </c>
      <c r="F3" s="3">
        <v>44029</v>
      </c>
      <c r="G3" t="s">
        <v>55</v>
      </c>
      <c r="H3" t="s">
        <v>4</v>
      </c>
      <c r="I3" s="4">
        <v>-687731.12</v>
      </c>
      <c r="J3" t="s">
        <v>56</v>
      </c>
      <c r="K3" t="s">
        <v>1</v>
      </c>
      <c r="L3" s="4">
        <v>-58422760</v>
      </c>
      <c r="M3" s="4">
        <v>-687731.12</v>
      </c>
      <c r="N3" s="4">
        <f>N2+M3</f>
        <v>-1060509.3</v>
      </c>
      <c r="O3" t="s">
        <v>57</v>
      </c>
      <c r="P3" t="s">
        <v>58</v>
      </c>
      <c r="Q3" t="s">
        <v>62</v>
      </c>
      <c r="R3" t="s">
        <v>0</v>
      </c>
      <c r="S3" t="s">
        <v>2</v>
      </c>
      <c r="T3" t="s">
        <v>58</v>
      </c>
      <c r="U3" t="s">
        <v>0</v>
      </c>
      <c r="V3" t="s">
        <v>0</v>
      </c>
      <c r="W3" t="s">
        <v>0</v>
      </c>
      <c r="X3" t="s">
        <v>60</v>
      </c>
      <c r="Y3" t="s">
        <v>0</v>
      </c>
      <c r="Z3" s="3"/>
      <c r="AA3" t="s">
        <v>0</v>
      </c>
      <c r="AB3" t="s">
        <v>0</v>
      </c>
      <c r="AC3" t="s">
        <v>0</v>
      </c>
      <c r="AD3" s="4">
        <v>0</v>
      </c>
    </row>
    <row r="4" spans="1:30" ht="14.1" customHeight="1" x14ac:dyDescent="0.2">
      <c r="A4" s="2" t="s">
        <v>0</v>
      </c>
      <c r="B4" t="s">
        <v>53</v>
      </c>
      <c r="C4" t="s">
        <v>63</v>
      </c>
      <c r="D4" s="3">
        <v>44019</v>
      </c>
      <c r="E4" s="3">
        <v>44019</v>
      </c>
      <c r="F4" s="3">
        <v>44047</v>
      </c>
      <c r="G4" t="s">
        <v>55</v>
      </c>
      <c r="H4" t="s">
        <v>4</v>
      </c>
      <c r="I4" s="4">
        <v>-667291.88</v>
      </c>
      <c r="J4" t="s">
        <v>56</v>
      </c>
      <c r="K4" t="s">
        <v>1</v>
      </c>
      <c r="L4" s="4">
        <v>-56686445</v>
      </c>
      <c r="M4" s="4">
        <v>-667291.88</v>
      </c>
      <c r="N4" s="4">
        <f t="shared" ref="N4:N15" si="0">N3+M4</f>
        <v>-1727801.1800000002</v>
      </c>
      <c r="O4" t="s">
        <v>57</v>
      </c>
      <c r="P4" t="s">
        <v>58</v>
      </c>
      <c r="Q4" t="s">
        <v>64</v>
      </c>
      <c r="R4" t="s">
        <v>0</v>
      </c>
      <c r="S4" t="s">
        <v>2</v>
      </c>
      <c r="T4" t="s">
        <v>58</v>
      </c>
      <c r="U4" t="s">
        <v>0</v>
      </c>
      <c r="V4" t="s">
        <v>0</v>
      </c>
      <c r="W4" t="s">
        <v>0</v>
      </c>
      <c r="X4" t="s">
        <v>60</v>
      </c>
      <c r="Y4" t="s">
        <v>0</v>
      </c>
      <c r="Z4" s="3"/>
      <c r="AA4" t="s">
        <v>0</v>
      </c>
      <c r="AB4" t="s">
        <v>0</v>
      </c>
      <c r="AC4" t="s">
        <v>0</v>
      </c>
      <c r="AD4" s="4">
        <v>0</v>
      </c>
    </row>
    <row r="5" spans="1:30" ht="14.1" customHeight="1" x14ac:dyDescent="0.2">
      <c r="A5" s="2" t="s">
        <v>0</v>
      </c>
      <c r="B5" t="s">
        <v>53</v>
      </c>
      <c r="C5" t="s">
        <v>65</v>
      </c>
      <c r="D5" s="3">
        <v>44040</v>
      </c>
      <c r="E5" s="3">
        <v>44040</v>
      </c>
      <c r="F5" s="3">
        <v>44053</v>
      </c>
      <c r="G5" t="s">
        <v>55</v>
      </c>
      <c r="H5" t="s">
        <v>4</v>
      </c>
      <c r="I5" s="4">
        <v>-290408.24</v>
      </c>
      <c r="J5" t="s">
        <v>56</v>
      </c>
      <c r="K5" t="s">
        <v>1</v>
      </c>
      <c r="L5" s="4">
        <v>-24670180</v>
      </c>
      <c r="M5" s="4">
        <v>-290408.24</v>
      </c>
      <c r="N5" s="4">
        <f t="shared" si="0"/>
        <v>-2018209.4200000002</v>
      </c>
      <c r="O5" t="s">
        <v>57</v>
      </c>
      <c r="P5" t="s">
        <v>58</v>
      </c>
      <c r="Q5" t="s">
        <v>66</v>
      </c>
      <c r="R5" t="s">
        <v>0</v>
      </c>
      <c r="S5" t="s">
        <v>2</v>
      </c>
      <c r="T5" t="s">
        <v>58</v>
      </c>
      <c r="U5" t="s">
        <v>0</v>
      </c>
      <c r="V5" t="s">
        <v>0</v>
      </c>
      <c r="W5" t="s">
        <v>0</v>
      </c>
      <c r="X5" t="s">
        <v>60</v>
      </c>
      <c r="Y5" t="s">
        <v>0</v>
      </c>
      <c r="Z5" s="3"/>
      <c r="AA5" t="s">
        <v>0</v>
      </c>
      <c r="AB5" t="s">
        <v>0</v>
      </c>
      <c r="AC5" t="s">
        <v>0</v>
      </c>
      <c r="AD5" s="4">
        <v>0</v>
      </c>
    </row>
    <row r="6" spans="1:30" ht="14.1" customHeight="1" x14ac:dyDescent="0.2">
      <c r="A6" s="2" t="s">
        <v>0</v>
      </c>
      <c r="B6" t="s">
        <v>53</v>
      </c>
      <c r="C6" t="s">
        <v>67</v>
      </c>
      <c r="D6" s="3">
        <v>44055</v>
      </c>
      <c r="E6" s="3">
        <v>44055</v>
      </c>
      <c r="F6" s="3">
        <v>44060</v>
      </c>
      <c r="G6" t="s">
        <v>55</v>
      </c>
      <c r="H6" t="s">
        <v>4</v>
      </c>
      <c r="I6" s="4">
        <v>-303819.98</v>
      </c>
      <c r="J6" t="s">
        <v>5</v>
      </c>
      <c r="K6" t="s">
        <v>1</v>
      </c>
      <c r="L6" s="4">
        <v>-25505687</v>
      </c>
      <c r="M6" s="4">
        <v>-303819.98</v>
      </c>
      <c r="N6" s="4">
        <f t="shared" si="0"/>
        <v>-2322029.4000000004</v>
      </c>
      <c r="O6" t="s">
        <v>57</v>
      </c>
      <c r="P6" t="s">
        <v>58</v>
      </c>
      <c r="Q6" t="s">
        <v>68</v>
      </c>
      <c r="R6" t="s">
        <v>0</v>
      </c>
      <c r="S6" t="s">
        <v>2</v>
      </c>
      <c r="T6" t="s">
        <v>58</v>
      </c>
      <c r="U6" t="s">
        <v>0</v>
      </c>
      <c r="V6" t="s">
        <v>0</v>
      </c>
      <c r="W6" t="s">
        <v>0</v>
      </c>
      <c r="X6" t="s">
        <v>60</v>
      </c>
      <c r="Y6" t="s">
        <v>0</v>
      </c>
      <c r="Z6" s="3"/>
      <c r="AA6" t="s">
        <v>0</v>
      </c>
      <c r="AB6" t="s">
        <v>0</v>
      </c>
      <c r="AC6" t="s">
        <v>0</v>
      </c>
      <c r="AD6" s="4">
        <v>0</v>
      </c>
    </row>
    <row r="7" spans="1:30" ht="14.1" customHeight="1" x14ac:dyDescent="0.2">
      <c r="A7" s="2" t="s">
        <v>0</v>
      </c>
      <c r="B7" t="s">
        <v>53</v>
      </c>
      <c r="C7" t="s">
        <v>69</v>
      </c>
      <c r="D7" s="3">
        <v>44074</v>
      </c>
      <c r="E7" s="3">
        <v>44074</v>
      </c>
      <c r="F7" s="3">
        <v>44084</v>
      </c>
      <c r="G7" t="s">
        <v>55</v>
      </c>
      <c r="H7" t="s">
        <v>4</v>
      </c>
      <c r="I7" s="4">
        <v>0</v>
      </c>
      <c r="J7" t="s">
        <v>0</v>
      </c>
      <c r="K7" t="s">
        <v>1</v>
      </c>
      <c r="L7" s="4">
        <v>0</v>
      </c>
      <c r="M7" s="4">
        <v>3576</v>
      </c>
      <c r="N7" s="4">
        <f t="shared" si="0"/>
        <v>-2318453.4000000004</v>
      </c>
      <c r="O7" t="s">
        <v>70</v>
      </c>
      <c r="P7" t="s">
        <v>71</v>
      </c>
      <c r="Q7" t="s">
        <v>72</v>
      </c>
      <c r="R7" t="s">
        <v>0</v>
      </c>
      <c r="S7" t="s">
        <v>2</v>
      </c>
      <c r="T7" t="s">
        <v>73</v>
      </c>
      <c r="U7" t="s">
        <v>0</v>
      </c>
      <c r="V7" t="s">
        <v>0</v>
      </c>
      <c r="W7" t="s">
        <v>0</v>
      </c>
      <c r="X7" t="s">
        <v>3</v>
      </c>
      <c r="Y7" t="s">
        <v>0</v>
      </c>
      <c r="Z7" s="3"/>
      <c r="AA7" t="s">
        <v>0</v>
      </c>
      <c r="AB7" t="s">
        <v>0</v>
      </c>
      <c r="AC7" t="s">
        <v>0</v>
      </c>
      <c r="AD7" s="4">
        <v>0</v>
      </c>
    </row>
    <row r="8" spans="1:30" ht="14.1" customHeight="1" x14ac:dyDescent="0.2">
      <c r="A8" s="2" t="s">
        <v>0</v>
      </c>
      <c r="B8" t="s">
        <v>53</v>
      </c>
      <c r="C8" t="s">
        <v>74</v>
      </c>
      <c r="D8" s="3">
        <v>44227</v>
      </c>
      <c r="E8" s="3">
        <v>44227</v>
      </c>
      <c r="F8" s="3">
        <v>44230</v>
      </c>
      <c r="G8" t="s">
        <v>55</v>
      </c>
      <c r="H8" t="s">
        <v>4</v>
      </c>
      <c r="I8" s="4">
        <v>20956.59</v>
      </c>
      <c r="J8" t="s">
        <v>5</v>
      </c>
      <c r="K8" t="s">
        <v>1</v>
      </c>
      <c r="L8" s="4">
        <v>1759305.73</v>
      </c>
      <c r="M8" s="4">
        <v>20956.59</v>
      </c>
      <c r="N8" s="4">
        <f t="shared" si="0"/>
        <v>-2297496.8100000005</v>
      </c>
      <c r="O8" t="s">
        <v>75</v>
      </c>
      <c r="P8" t="s">
        <v>76</v>
      </c>
      <c r="Q8" t="s">
        <v>77</v>
      </c>
      <c r="R8" t="s">
        <v>0</v>
      </c>
      <c r="S8" t="s">
        <v>2</v>
      </c>
      <c r="T8" t="s">
        <v>78</v>
      </c>
      <c r="U8" t="s">
        <v>0</v>
      </c>
      <c r="V8" t="s">
        <v>0</v>
      </c>
      <c r="W8" t="s">
        <v>0</v>
      </c>
      <c r="X8" t="s">
        <v>60</v>
      </c>
      <c r="Y8" t="s">
        <v>0</v>
      </c>
      <c r="Z8" s="3"/>
      <c r="AA8" t="s">
        <v>0</v>
      </c>
      <c r="AB8" t="s">
        <v>0</v>
      </c>
      <c r="AC8" t="s">
        <v>0</v>
      </c>
      <c r="AD8" s="4">
        <v>0</v>
      </c>
    </row>
    <row r="9" spans="1:30" ht="14.1" customHeight="1" x14ac:dyDescent="0.2">
      <c r="A9" s="2" t="s">
        <v>0</v>
      </c>
      <c r="B9" t="s">
        <v>53</v>
      </c>
      <c r="C9" t="s">
        <v>74</v>
      </c>
      <c r="D9" s="3">
        <v>44227</v>
      </c>
      <c r="E9" s="3">
        <v>44227</v>
      </c>
      <c r="F9" s="3">
        <v>44230</v>
      </c>
      <c r="G9" t="s">
        <v>55</v>
      </c>
      <c r="H9" t="s">
        <v>4</v>
      </c>
      <c r="I9" s="4">
        <v>38662.400000000001</v>
      </c>
      <c r="J9" t="s">
        <v>5</v>
      </c>
      <c r="K9" t="s">
        <v>1</v>
      </c>
      <c r="L9" s="4">
        <v>3245708.48</v>
      </c>
      <c r="M9" s="4">
        <v>38662.400000000001</v>
      </c>
      <c r="N9" s="4">
        <f t="shared" si="0"/>
        <v>-2258834.4100000006</v>
      </c>
      <c r="O9" t="s">
        <v>75</v>
      </c>
      <c r="P9" t="s">
        <v>76</v>
      </c>
      <c r="Q9" t="s">
        <v>77</v>
      </c>
      <c r="R9" t="s">
        <v>0</v>
      </c>
      <c r="S9" t="s">
        <v>2</v>
      </c>
      <c r="T9" t="s">
        <v>78</v>
      </c>
      <c r="U9" t="s">
        <v>0</v>
      </c>
      <c r="V9" t="s">
        <v>0</v>
      </c>
      <c r="W9" t="s">
        <v>0</v>
      </c>
      <c r="X9" t="s">
        <v>60</v>
      </c>
      <c r="Y9" t="s">
        <v>0</v>
      </c>
      <c r="Z9" s="3"/>
      <c r="AA9" t="s">
        <v>0</v>
      </c>
      <c r="AB9" t="s">
        <v>0</v>
      </c>
      <c r="AC9" t="s">
        <v>0</v>
      </c>
      <c r="AD9" s="4">
        <v>0</v>
      </c>
    </row>
    <row r="10" spans="1:30" ht="14.1" customHeight="1" x14ac:dyDescent="0.2">
      <c r="A10" s="2" t="s">
        <v>0</v>
      </c>
      <c r="B10" t="s">
        <v>53</v>
      </c>
      <c r="C10" t="s">
        <v>74</v>
      </c>
      <c r="D10" s="3">
        <v>44227</v>
      </c>
      <c r="E10" s="3">
        <v>44227</v>
      </c>
      <c r="F10" s="3">
        <v>44230</v>
      </c>
      <c r="G10" t="s">
        <v>55</v>
      </c>
      <c r="H10" t="s">
        <v>4</v>
      </c>
      <c r="I10" s="4">
        <v>37513.360000000001</v>
      </c>
      <c r="J10" t="s">
        <v>5</v>
      </c>
      <c r="K10" t="s">
        <v>1</v>
      </c>
      <c r="L10" s="4">
        <v>3149246.57</v>
      </c>
      <c r="M10" s="4">
        <v>37513.360000000001</v>
      </c>
      <c r="N10" s="4">
        <f t="shared" si="0"/>
        <v>-2221321.0500000007</v>
      </c>
      <c r="O10" t="s">
        <v>75</v>
      </c>
      <c r="P10" t="s">
        <v>76</v>
      </c>
      <c r="Q10" t="s">
        <v>77</v>
      </c>
      <c r="R10" t="s">
        <v>0</v>
      </c>
      <c r="S10" t="s">
        <v>2</v>
      </c>
      <c r="T10" t="s">
        <v>78</v>
      </c>
      <c r="U10" t="s">
        <v>0</v>
      </c>
      <c r="V10" t="s">
        <v>0</v>
      </c>
      <c r="W10" t="s">
        <v>0</v>
      </c>
      <c r="X10" t="s">
        <v>60</v>
      </c>
      <c r="Y10" t="s">
        <v>0</v>
      </c>
      <c r="Z10" s="3"/>
      <c r="AA10" t="s">
        <v>0</v>
      </c>
      <c r="AB10" t="s">
        <v>0</v>
      </c>
      <c r="AC10" t="s">
        <v>0</v>
      </c>
      <c r="AD10" s="4">
        <v>0</v>
      </c>
    </row>
    <row r="11" spans="1:30" ht="14.1" customHeight="1" x14ac:dyDescent="0.2">
      <c r="A11" s="2" t="s">
        <v>0</v>
      </c>
      <c r="B11" t="s">
        <v>53</v>
      </c>
      <c r="C11" t="s">
        <v>79</v>
      </c>
      <c r="D11" s="3">
        <v>44255</v>
      </c>
      <c r="E11" s="3">
        <v>44255</v>
      </c>
      <c r="F11" s="3">
        <v>44261</v>
      </c>
      <c r="G11" t="s">
        <v>55</v>
      </c>
      <c r="H11" t="s">
        <v>4</v>
      </c>
      <c r="I11" s="4">
        <v>20956.59</v>
      </c>
      <c r="J11" t="s">
        <v>5</v>
      </c>
      <c r="K11" t="s">
        <v>1</v>
      </c>
      <c r="L11" s="4">
        <v>1759305.73</v>
      </c>
      <c r="M11" s="4">
        <v>20956.59</v>
      </c>
      <c r="N11" s="4">
        <f t="shared" si="0"/>
        <v>-2200364.4600000009</v>
      </c>
      <c r="O11" t="s">
        <v>75</v>
      </c>
      <c r="P11" t="s">
        <v>76</v>
      </c>
      <c r="Q11" t="s">
        <v>77</v>
      </c>
      <c r="R11" t="s">
        <v>0</v>
      </c>
      <c r="S11" t="s">
        <v>2</v>
      </c>
      <c r="T11" t="s">
        <v>78</v>
      </c>
      <c r="U11" t="s">
        <v>0</v>
      </c>
      <c r="V11" t="s">
        <v>0</v>
      </c>
      <c r="W11" t="s">
        <v>0</v>
      </c>
      <c r="X11" t="s">
        <v>60</v>
      </c>
      <c r="Y11" t="s">
        <v>0</v>
      </c>
      <c r="Z11" s="3"/>
      <c r="AA11" t="s">
        <v>0</v>
      </c>
      <c r="AB11" t="s">
        <v>0</v>
      </c>
      <c r="AC11" t="s">
        <v>0</v>
      </c>
      <c r="AD11" s="4">
        <v>0</v>
      </c>
    </row>
    <row r="12" spans="1:30" ht="14.1" customHeight="1" x14ac:dyDescent="0.2">
      <c r="A12" s="2" t="s">
        <v>0</v>
      </c>
      <c r="B12" t="s">
        <v>53</v>
      </c>
      <c r="C12" t="s">
        <v>79</v>
      </c>
      <c r="D12" s="3">
        <v>44255</v>
      </c>
      <c r="E12" s="3">
        <v>44255</v>
      </c>
      <c r="F12" s="3">
        <v>44261</v>
      </c>
      <c r="G12" t="s">
        <v>55</v>
      </c>
      <c r="H12" t="s">
        <v>4</v>
      </c>
      <c r="I12" s="4">
        <v>38662.400000000001</v>
      </c>
      <c r="J12" t="s">
        <v>5</v>
      </c>
      <c r="K12" t="s">
        <v>1</v>
      </c>
      <c r="L12" s="4">
        <v>3245708.48</v>
      </c>
      <c r="M12" s="4">
        <v>38662.400000000001</v>
      </c>
      <c r="N12" s="4">
        <f t="shared" si="0"/>
        <v>-2161702.060000001</v>
      </c>
      <c r="O12" t="s">
        <v>75</v>
      </c>
      <c r="P12" t="s">
        <v>76</v>
      </c>
      <c r="Q12" t="s">
        <v>77</v>
      </c>
      <c r="R12" t="s">
        <v>0</v>
      </c>
      <c r="S12" t="s">
        <v>2</v>
      </c>
      <c r="T12" t="s">
        <v>78</v>
      </c>
      <c r="U12" t="s">
        <v>0</v>
      </c>
      <c r="V12" t="s">
        <v>0</v>
      </c>
      <c r="W12" t="s">
        <v>0</v>
      </c>
      <c r="X12" t="s">
        <v>60</v>
      </c>
      <c r="Y12" t="s">
        <v>0</v>
      </c>
      <c r="Z12" s="3"/>
      <c r="AA12" t="s">
        <v>0</v>
      </c>
      <c r="AB12" t="s">
        <v>0</v>
      </c>
      <c r="AC12" t="s">
        <v>0</v>
      </c>
      <c r="AD12" s="4">
        <v>0</v>
      </c>
    </row>
    <row r="13" spans="1:30" ht="14.1" customHeight="1" x14ac:dyDescent="0.2">
      <c r="A13" s="2" t="s">
        <v>0</v>
      </c>
      <c r="B13" t="s">
        <v>53</v>
      </c>
      <c r="C13" t="s">
        <v>79</v>
      </c>
      <c r="D13" s="3">
        <v>44255</v>
      </c>
      <c r="E13" s="3">
        <v>44255</v>
      </c>
      <c r="F13" s="3">
        <v>44261</v>
      </c>
      <c r="G13" t="s">
        <v>55</v>
      </c>
      <c r="H13" t="s">
        <v>4</v>
      </c>
      <c r="I13" s="4">
        <v>37513.360000000001</v>
      </c>
      <c r="J13" t="s">
        <v>5</v>
      </c>
      <c r="K13" t="s">
        <v>1</v>
      </c>
      <c r="L13" s="4">
        <v>3149246.57</v>
      </c>
      <c r="M13" s="4">
        <v>37513.360000000001</v>
      </c>
      <c r="N13" s="4">
        <f t="shared" si="0"/>
        <v>-2124188.7000000011</v>
      </c>
      <c r="O13" t="s">
        <v>75</v>
      </c>
      <c r="P13" t="s">
        <v>76</v>
      </c>
      <c r="Q13" t="s">
        <v>77</v>
      </c>
      <c r="R13" t="s">
        <v>0</v>
      </c>
      <c r="S13" t="s">
        <v>2</v>
      </c>
      <c r="T13" t="s">
        <v>78</v>
      </c>
      <c r="U13" t="s">
        <v>0</v>
      </c>
      <c r="V13" t="s">
        <v>0</v>
      </c>
      <c r="W13" t="s">
        <v>0</v>
      </c>
      <c r="X13" t="s">
        <v>60</v>
      </c>
      <c r="Y13" t="s">
        <v>0</v>
      </c>
      <c r="Z13" s="3"/>
      <c r="AA13" t="s">
        <v>0</v>
      </c>
      <c r="AB13" t="s">
        <v>0</v>
      </c>
      <c r="AC13" t="s">
        <v>0</v>
      </c>
      <c r="AD13" s="4">
        <v>0</v>
      </c>
    </row>
    <row r="14" spans="1:30" ht="14.1" customHeight="1" x14ac:dyDescent="0.2">
      <c r="A14" s="2" t="s">
        <v>0</v>
      </c>
      <c r="B14" t="s">
        <v>53</v>
      </c>
      <c r="C14" t="s">
        <v>79</v>
      </c>
      <c r="D14" s="3">
        <v>44255</v>
      </c>
      <c r="E14" s="3">
        <v>44255</v>
      </c>
      <c r="F14" s="3">
        <v>44261</v>
      </c>
      <c r="G14" t="s">
        <v>55</v>
      </c>
      <c r="H14" t="s">
        <v>4</v>
      </c>
      <c r="I14" s="4">
        <v>16325.97</v>
      </c>
      <c r="J14" t="s">
        <v>5</v>
      </c>
      <c r="K14" t="s">
        <v>1</v>
      </c>
      <c r="L14" s="4">
        <v>1370565.18</v>
      </c>
      <c r="M14" s="4">
        <v>16325.97</v>
      </c>
      <c r="N14" s="4">
        <f t="shared" si="0"/>
        <v>-2107862.7300000009</v>
      </c>
      <c r="O14" t="s">
        <v>75</v>
      </c>
      <c r="P14" t="s">
        <v>76</v>
      </c>
      <c r="Q14" t="s">
        <v>80</v>
      </c>
      <c r="R14" t="s">
        <v>0</v>
      </c>
      <c r="S14" t="s">
        <v>2</v>
      </c>
      <c r="T14" t="s">
        <v>78</v>
      </c>
      <c r="U14" t="s">
        <v>0</v>
      </c>
      <c r="V14" t="s">
        <v>0</v>
      </c>
      <c r="W14" t="s">
        <v>0</v>
      </c>
      <c r="X14" t="s">
        <v>60</v>
      </c>
      <c r="Y14" t="s">
        <v>0</v>
      </c>
      <c r="Z14" s="3"/>
      <c r="AA14" t="s">
        <v>0</v>
      </c>
      <c r="AB14" t="s">
        <v>0</v>
      </c>
      <c r="AC14" t="s">
        <v>0</v>
      </c>
      <c r="AD14" s="4">
        <v>0</v>
      </c>
    </row>
    <row r="15" spans="1:30" ht="14.1" customHeight="1" x14ac:dyDescent="0.2">
      <c r="A15" s="2" t="s">
        <v>0</v>
      </c>
      <c r="B15" t="s">
        <v>53</v>
      </c>
      <c r="C15" t="s">
        <v>81</v>
      </c>
      <c r="D15" s="3">
        <v>44286</v>
      </c>
      <c r="E15" s="3">
        <v>44286</v>
      </c>
      <c r="F15" s="3">
        <v>44298</v>
      </c>
      <c r="G15" t="s">
        <v>55</v>
      </c>
      <c r="H15" t="s">
        <v>4</v>
      </c>
      <c r="I15" s="4">
        <v>0</v>
      </c>
      <c r="J15" t="s">
        <v>0</v>
      </c>
      <c r="K15" t="s">
        <v>1</v>
      </c>
      <c r="L15" s="4">
        <v>0</v>
      </c>
      <c r="M15" s="4">
        <v>-2479</v>
      </c>
      <c r="N15" s="4">
        <f t="shared" si="0"/>
        <v>-2110341.7300000009</v>
      </c>
      <c r="O15" t="s">
        <v>82</v>
      </c>
      <c r="P15" t="s">
        <v>83</v>
      </c>
      <c r="Q15" t="s">
        <v>84</v>
      </c>
      <c r="R15" t="s">
        <v>0</v>
      </c>
      <c r="S15" t="s">
        <v>2</v>
      </c>
      <c r="T15" t="s">
        <v>85</v>
      </c>
      <c r="U15" t="s">
        <v>0</v>
      </c>
      <c r="V15" t="s">
        <v>0</v>
      </c>
      <c r="W15" t="s">
        <v>0</v>
      </c>
      <c r="X15" t="s">
        <v>3</v>
      </c>
      <c r="Y15" t="s">
        <v>0</v>
      </c>
      <c r="Z15" s="3"/>
      <c r="AA15" t="s">
        <v>0</v>
      </c>
      <c r="AB15" t="s">
        <v>0</v>
      </c>
      <c r="AC15" t="s">
        <v>0</v>
      </c>
      <c r="AD15" s="4">
        <v>0</v>
      </c>
    </row>
    <row r="16" spans="1:30" x14ac:dyDescent="0.2">
      <c r="A16" s="5" t="s">
        <v>0</v>
      </c>
      <c r="B16" s="5" t="s">
        <v>0</v>
      </c>
      <c r="C16" s="5" t="s">
        <v>0</v>
      </c>
      <c r="D16" s="6"/>
      <c r="E16" s="6"/>
      <c r="F16" s="6"/>
      <c r="G16" s="5" t="s">
        <v>0</v>
      </c>
      <c r="H16" s="5" t="s">
        <v>4</v>
      </c>
      <c r="I16" s="7">
        <v>-2111438.73</v>
      </c>
      <c r="J16" s="5" t="s">
        <v>0</v>
      </c>
      <c r="K16" s="5" t="s">
        <v>1</v>
      </c>
      <c r="L16" s="7">
        <v>-179273492.25999999</v>
      </c>
      <c r="M16" s="7">
        <v>-2110341.73</v>
      </c>
      <c r="N16" s="4"/>
      <c r="O16" s="5" t="s">
        <v>0</v>
      </c>
      <c r="P16" s="5" t="s">
        <v>0</v>
      </c>
      <c r="Q16" s="5" t="s">
        <v>0</v>
      </c>
      <c r="R16" s="5" t="s">
        <v>0</v>
      </c>
      <c r="S16" s="5" t="s">
        <v>0</v>
      </c>
      <c r="T16" s="5" t="s">
        <v>0</v>
      </c>
      <c r="U16" s="5" t="s">
        <v>0</v>
      </c>
      <c r="V16" s="5" t="s">
        <v>0</v>
      </c>
      <c r="W16" s="5" t="s">
        <v>0</v>
      </c>
      <c r="X16" s="5" t="s">
        <v>0</v>
      </c>
      <c r="Y16" s="5" t="s">
        <v>0</v>
      </c>
      <c r="Z16" s="6"/>
      <c r="AA16" s="5" t="s">
        <v>0</v>
      </c>
      <c r="AB16" s="5" t="s">
        <v>0</v>
      </c>
      <c r="AC16" s="5" t="s">
        <v>0</v>
      </c>
      <c r="AD16" s="8"/>
    </row>
    <row r="18" spans="13:15" ht="15" x14ac:dyDescent="0.25">
      <c r="M18" s="44" t="s">
        <v>108</v>
      </c>
      <c r="N18" s="45"/>
      <c r="O18" s="45"/>
    </row>
    <row r="19" spans="13:15" ht="15" x14ac:dyDescent="0.25">
      <c r="M19" s="44" t="s">
        <v>109</v>
      </c>
      <c r="N19" s="45"/>
      <c r="O19" s="45"/>
    </row>
    <row r="20" spans="13:15" ht="15" x14ac:dyDescent="0.25">
      <c r="M20" s="45" t="s">
        <v>110</v>
      </c>
      <c r="N20" s="45"/>
      <c r="O20" s="46">
        <v>-937929.73</v>
      </c>
    </row>
  </sheetData>
  <autoFilter ref="A1:AD16" xr:uid="{44243961-CC4B-4BEF-9425-2C04DE76A78D}">
    <filterColumn colId="3">
      <filters blank="1">
        <dateGroupItem year="2021" dateTimeGrouping="year"/>
        <dateGroupItem year="2020" month="7" dateTimeGrouping="month"/>
        <dateGroupItem year="2020" month="8" dateTimeGrouping="month"/>
      </filters>
    </filterColumn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17D9-4005-47C7-89C7-82E9179C6782}">
  <dimension ref="A1:AD13"/>
  <sheetViews>
    <sheetView zoomScale="85" zoomScaleNormal="85" workbookViewId="0">
      <selection activeCell="M2" sqref="M2:M13"/>
    </sheetView>
  </sheetViews>
  <sheetFormatPr defaultRowHeight="12.75" x14ac:dyDescent="0.2"/>
  <cols>
    <col min="1" max="1" width="13.85546875" bestFit="1" customWidth="1"/>
    <col min="2" max="2" width="26.85546875" bestFit="1" customWidth="1"/>
    <col min="3" max="3" width="15.85546875" customWidth="1"/>
    <col min="13" max="13" width="21" customWidth="1"/>
    <col min="14" max="14" width="13.7109375" bestFit="1" customWidth="1"/>
  </cols>
  <sheetData>
    <row r="1" spans="1:30" ht="38.25" x14ac:dyDescent="0.2">
      <c r="A1" s="9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9" t="s">
        <v>12</v>
      </c>
      <c r="H1" s="9" t="s">
        <v>13</v>
      </c>
      <c r="I1" s="1" t="s">
        <v>14</v>
      </c>
      <c r="J1" s="1" t="s">
        <v>15</v>
      </c>
      <c r="K1" s="9" t="s">
        <v>16</v>
      </c>
      <c r="L1" s="9" t="s">
        <v>17</v>
      </c>
      <c r="M1" s="1" t="s">
        <v>18</v>
      </c>
      <c r="N1" s="1" t="s">
        <v>100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9" t="s">
        <v>34</v>
      </c>
    </row>
    <row r="2" spans="1:30" ht="14.1" customHeight="1" x14ac:dyDescent="0.2">
      <c r="A2" s="2" t="s">
        <v>0</v>
      </c>
      <c r="B2" t="s">
        <v>53</v>
      </c>
      <c r="C2" t="s">
        <v>63</v>
      </c>
      <c r="D2" s="3">
        <v>44019</v>
      </c>
      <c r="E2" s="3">
        <v>44019</v>
      </c>
      <c r="F2" s="3">
        <v>44047</v>
      </c>
      <c r="G2" t="s">
        <v>55</v>
      </c>
      <c r="H2" t="s">
        <v>4</v>
      </c>
      <c r="I2" s="4">
        <v>-667291.88</v>
      </c>
      <c r="J2" t="s">
        <v>56</v>
      </c>
      <c r="K2" t="s">
        <v>1</v>
      </c>
      <c r="L2" s="4">
        <v>-56686445</v>
      </c>
      <c r="M2" s="4">
        <v>-667291.88</v>
      </c>
      <c r="N2" s="4">
        <f>M2</f>
        <v>-667291.88</v>
      </c>
      <c r="O2" t="s">
        <v>57</v>
      </c>
      <c r="P2" t="s">
        <v>58</v>
      </c>
      <c r="Q2" t="s">
        <v>64</v>
      </c>
      <c r="R2" t="s">
        <v>0</v>
      </c>
      <c r="S2" t="s">
        <v>2</v>
      </c>
      <c r="T2" t="s">
        <v>58</v>
      </c>
      <c r="U2" t="s">
        <v>0</v>
      </c>
      <c r="V2" t="s">
        <v>0</v>
      </c>
      <c r="W2" t="s">
        <v>0</v>
      </c>
      <c r="X2" t="s">
        <v>60</v>
      </c>
      <c r="Y2" t="s">
        <v>0</v>
      </c>
      <c r="Z2" s="3"/>
      <c r="AA2" t="s">
        <v>0</v>
      </c>
      <c r="AB2" t="s">
        <v>0</v>
      </c>
      <c r="AC2" t="s">
        <v>0</v>
      </c>
      <c r="AD2" s="4">
        <v>0</v>
      </c>
    </row>
    <row r="3" spans="1:30" ht="14.1" customHeight="1" x14ac:dyDescent="0.2">
      <c r="A3" s="2" t="s">
        <v>0</v>
      </c>
      <c r="B3" t="s">
        <v>53</v>
      </c>
      <c r="C3" t="s">
        <v>65</v>
      </c>
      <c r="D3" s="3">
        <v>44040</v>
      </c>
      <c r="E3" s="3">
        <v>44040</v>
      </c>
      <c r="F3" s="3">
        <v>44053</v>
      </c>
      <c r="G3" t="s">
        <v>55</v>
      </c>
      <c r="H3" t="s">
        <v>4</v>
      </c>
      <c r="I3" s="4">
        <v>-290408.24</v>
      </c>
      <c r="J3" t="s">
        <v>56</v>
      </c>
      <c r="K3" t="s">
        <v>1</v>
      </c>
      <c r="L3" s="4">
        <v>-24670180</v>
      </c>
      <c r="M3" s="4">
        <v>-290408.24</v>
      </c>
      <c r="N3" s="4">
        <f t="shared" ref="N3:N13" si="0">N2+M3</f>
        <v>-957700.12</v>
      </c>
      <c r="O3" t="s">
        <v>57</v>
      </c>
      <c r="P3" t="s">
        <v>58</v>
      </c>
      <c r="Q3" t="s">
        <v>66</v>
      </c>
      <c r="R3" t="s">
        <v>0</v>
      </c>
      <c r="S3" t="s">
        <v>2</v>
      </c>
      <c r="T3" t="s">
        <v>58</v>
      </c>
      <c r="U3" t="s">
        <v>0</v>
      </c>
      <c r="V3" t="s">
        <v>0</v>
      </c>
      <c r="W3" t="s">
        <v>0</v>
      </c>
      <c r="X3" t="s">
        <v>60</v>
      </c>
      <c r="Y3" t="s">
        <v>0</v>
      </c>
      <c r="Z3" s="3"/>
      <c r="AA3" t="s">
        <v>0</v>
      </c>
      <c r="AB3" t="s">
        <v>0</v>
      </c>
      <c r="AC3" t="s">
        <v>0</v>
      </c>
      <c r="AD3" s="4">
        <v>0</v>
      </c>
    </row>
    <row r="4" spans="1:30" ht="14.1" customHeight="1" x14ac:dyDescent="0.2">
      <c r="A4" s="2" t="s">
        <v>0</v>
      </c>
      <c r="B4" t="s">
        <v>53</v>
      </c>
      <c r="C4" t="s">
        <v>67</v>
      </c>
      <c r="D4" s="3">
        <v>44055</v>
      </c>
      <c r="E4" s="3">
        <v>44055</v>
      </c>
      <c r="F4" s="3">
        <v>44060</v>
      </c>
      <c r="G4" t="s">
        <v>55</v>
      </c>
      <c r="H4" t="s">
        <v>4</v>
      </c>
      <c r="I4" s="4">
        <v>-303819.98</v>
      </c>
      <c r="J4" t="s">
        <v>5</v>
      </c>
      <c r="K4" t="s">
        <v>1</v>
      </c>
      <c r="L4" s="4">
        <v>-25505687</v>
      </c>
      <c r="M4" s="4">
        <v>-303819.98</v>
      </c>
      <c r="N4" s="4">
        <f t="shared" si="0"/>
        <v>-1261520.1000000001</v>
      </c>
      <c r="O4" t="s">
        <v>57</v>
      </c>
      <c r="P4" t="s">
        <v>58</v>
      </c>
      <c r="Q4" t="s">
        <v>68</v>
      </c>
      <c r="R4" t="s">
        <v>0</v>
      </c>
      <c r="S4" t="s">
        <v>2</v>
      </c>
      <c r="T4" t="s">
        <v>58</v>
      </c>
      <c r="U4" t="s">
        <v>0</v>
      </c>
      <c r="V4" t="s">
        <v>0</v>
      </c>
      <c r="W4" t="s">
        <v>0</v>
      </c>
      <c r="X4" t="s">
        <v>60</v>
      </c>
      <c r="Y4" t="s">
        <v>0</v>
      </c>
      <c r="Z4" s="3"/>
      <c r="AA4" t="s">
        <v>0</v>
      </c>
      <c r="AB4" t="s">
        <v>0</v>
      </c>
      <c r="AC4" t="s">
        <v>0</v>
      </c>
      <c r="AD4" s="4">
        <v>0</v>
      </c>
    </row>
    <row r="5" spans="1:30" ht="14.1" customHeight="1" x14ac:dyDescent="0.2">
      <c r="A5" s="2" t="s">
        <v>0</v>
      </c>
      <c r="B5" t="s">
        <v>53</v>
      </c>
      <c r="C5" t="s">
        <v>69</v>
      </c>
      <c r="D5" s="3">
        <v>44074</v>
      </c>
      <c r="E5" s="3">
        <v>44074</v>
      </c>
      <c r="F5" s="3">
        <v>44084</v>
      </c>
      <c r="G5" t="s">
        <v>55</v>
      </c>
      <c r="H5" t="s">
        <v>4</v>
      </c>
      <c r="I5" s="4">
        <v>0</v>
      </c>
      <c r="J5" t="s">
        <v>0</v>
      </c>
      <c r="K5" t="s">
        <v>1</v>
      </c>
      <c r="L5" s="4">
        <v>0</v>
      </c>
      <c r="M5" s="4">
        <v>3576</v>
      </c>
      <c r="N5" s="4">
        <f t="shared" si="0"/>
        <v>-1257944.1000000001</v>
      </c>
      <c r="O5" t="s">
        <v>70</v>
      </c>
      <c r="P5" t="s">
        <v>71</v>
      </c>
      <c r="Q5" t="s">
        <v>72</v>
      </c>
      <c r="R5" t="s">
        <v>0</v>
      </c>
      <c r="S5" t="s">
        <v>2</v>
      </c>
      <c r="T5" t="s">
        <v>73</v>
      </c>
      <c r="U5" t="s">
        <v>0</v>
      </c>
      <c r="V5" t="s">
        <v>0</v>
      </c>
      <c r="W5" t="s">
        <v>0</v>
      </c>
      <c r="X5" t="s">
        <v>3</v>
      </c>
      <c r="Y5" t="s">
        <v>0</v>
      </c>
      <c r="Z5" s="3"/>
      <c r="AA5" t="s">
        <v>0</v>
      </c>
      <c r="AB5" t="s">
        <v>0</v>
      </c>
      <c r="AC5" t="s">
        <v>0</v>
      </c>
      <c r="AD5" s="4">
        <v>0</v>
      </c>
    </row>
    <row r="6" spans="1:30" ht="14.1" customHeight="1" x14ac:dyDescent="0.2">
      <c r="A6" s="2" t="s">
        <v>0</v>
      </c>
      <c r="B6" t="s">
        <v>53</v>
      </c>
      <c r="C6" t="s">
        <v>74</v>
      </c>
      <c r="D6" s="3">
        <v>44227</v>
      </c>
      <c r="E6" s="3">
        <v>44227</v>
      </c>
      <c r="F6" s="3">
        <v>44230</v>
      </c>
      <c r="G6" t="s">
        <v>55</v>
      </c>
      <c r="H6" t="s">
        <v>4</v>
      </c>
      <c r="I6" s="4">
        <v>20956.59</v>
      </c>
      <c r="J6" t="s">
        <v>5</v>
      </c>
      <c r="K6" t="s">
        <v>1</v>
      </c>
      <c r="L6" s="4">
        <v>1759305.73</v>
      </c>
      <c r="M6" s="4">
        <v>20956.59</v>
      </c>
      <c r="N6" s="4">
        <f t="shared" si="0"/>
        <v>-1236987.51</v>
      </c>
      <c r="O6" t="s">
        <v>75</v>
      </c>
      <c r="P6" t="s">
        <v>76</v>
      </c>
      <c r="Q6" t="s">
        <v>77</v>
      </c>
      <c r="R6" t="s">
        <v>0</v>
      </c>
      <c r="S6" t="s">
        <v>2</v>
      </c>
      <c r="T6" t="s">
        <v>78</v>
      </c>
      <c r="U6" t="s">
        <v>0</v>
      </c>
      <c r="V6" t="s">
        <v>0</v>
      </c>
      <c r="W6" t="s">
        <v>0</v>
      </c>
      <c r="X6" t="s">
        <v>60</v>
      </c>
      <c r="Y6" t="s">
        <v>0</v>
      </c>
      <c r="Z6" s="3"/>
      <c r="AA6" t="s">
        <v>0</v>
      </c>
      <c r="AB6" t="s">
        <v>0</v>
      </c>
      <c r="AC6" t="s">
        <v>0</v>
      </c>
      <c r="AD6" s="4">
        <v>0</v>
      </c>
    </row>
    <row r="7" spans="1:30" ht="14.1" customHeight="1" x14ac:dyDescent="0.2">
      <c r="A7" s="2" t="s">
        <v>0</v>
      </c>
      <c r="B7" t="s">
        <v>53</v>
      </c>
      <c r="C7" t="s">
        <v>74</v>
      </c>
      <c r="D7" s="3">
        <v>44227</v>
      </c>
      <c r="E7" s="3">
        <v>44227</v>
      </c>
      <c r="F7" s="3">
        <v>44230</v>
      </c>
      <c r="G7" t="s">
        <v>55</v>
      </c>
      <c r="H7" t="s">
        <v>4</v>
      </c>
      <c r="I7" s="4">
        <v>38662.400000000001</v>
      </c>
      <c r="J7" t="s">
        <v>5</v>
      </c>
      <c r="K7" t="s">
        <v>1</v>
      </c>
      <c r="L7" s="4">
        <v>3245708.48</v>
      </c>
      <c r="M7" s="4">
        <v>38662.400000000001</v>
      </c>
      <c r="N7" s="4">
        <f t="shared" si="0"/>
        <v>-1198325.1100000001</v>
      </c>
      <c r="O7" t="s">
        <v>75</v>
      </c>
      <c r="P7" t="s">
        <v>76</v>
      </c>
      <c r="Q7" t="s">
        <v>77</v>
      </c>
      <c r="R7" t="s">
        <v>0</v>
      </c>
      <c r="S7" t="s">
        <v>2</v>
      </c>
      <c r="T7" t="s">
        <v>78</v>
      </c>
      <c r="U7" t="s">
        <v>0</v>
      </c>
      <c r="V7" t="s">
        <v>0</v>
      </c>
      <c r="W7" t="s">
        <v>0</v>
      </c>
      <c r="X7" t="s">
        <v>60</v>
      </c>
      <c r="Y7" t="s">
        <v>0</v>
      </c>
      <c r="Z7" s="3"/>
      <c r="AA7" t="s">
        <v>0</v>
      </c>
      <c r="AB7" t="s">
        <v>0</v>
      </c>
      <c r="AC7" t="s">
        <v>0</v>
      </c>
      <c r="AD7" s="4">
        <v>0</v>
      </c>
    </row>
    <row r="8" spans="1:30" ht="14.1" customHeight="1" x14ac:dyDescent="0.2">
      <c r="A8" s="2" t="s">
        <v>0</v>
      </c>
      <c r="B8" t="s">
        <v>53</v>
      </c>
      <c r="C8" t="s">
        <v>74</v>
      </c>
      <c r="D8" s="3">
        <v>44227</v>
      </c>
      <c r="E8" s="3">
        <v>44227</v>
      </c>
      <c r="F8" s="3">
        <v>44230</v>
      </c>
      <c r="G8" t="s">
        <v>55</v>
      </c>
      <c r="H8" t="s">
        <v>4</v>
      </c>
      <c r="I8" s="4">
        <v>37513.360000000001</v>
      </c>
      <c r="J8" t="s">
        <v>5</v>
      </c>
      <c r="K8" t="s">
        <v>1</v>
      </c>
      <c r="L8" s="4">
        <v>3149246.57</v>
      </c>
      <c r="M8" s="4">
        <v>37513.360000000001</v>
      </c>
      <c r="N8" s="4">
        <f t="shared" si="0"/>
        <v>-1160811.75</v>
      </c>
      <c r="O8" t="s">
        <v>75</v>
      </c>
      <c r="P8" t="s">
        <v>76</v>
      </c>
      <c r="Q8" t="s">
        <v>77</v>
      </c>
      <c r="R8" t="s">
        <v>0</v>
      </c>
      <c r="S8" t="s">
        <v>2</v>
      </c>
      <c r="T8" t="s">
        <v>78</v>
      </c>
      <c r="U8" t="s">
        <v>0</v>
      </c>
      <c r="V8" t="s">
        <v>0</v>
      </c>
      <c r="W8" t="s">
        <v>0</v>
      </c>
      <c r="X8" t="s">
        <v>60</v>
      </c>
      <c r="Y8" t="s">
        <v>0</v>
      </c>
      <c r="Z8" s="3"/>
      <c r="AA8" t="s">
        <v>0</v>
      </c>
      <c r="AB8" t="s">
        <v>0</v>
      </c>
      <c r="AC8" t="s">
        <v>0</v>
      </c>
      <c r="AD8" s="4">
        <v>0</v>
      </c>
    </row>
    <row r="9" spans="1:30" ht="14.1" customHeight="1" x14ac:dyDescent="0.2">
      <c r="A9" s="2" t="s">
        <v>0</v>
      </c>
      <c r="B9" t="s">
        <v>53</v>
      </c>
      <c r="C9" t="s">
        <v>79</v>
      </c>
      <c r="D9" s="3">
        <v>44255</v>
      </c>
      <c r="E9" s="3">
        <v>44255</v>
      </c>
      <c r="F9" s="3">
        <v>44261</v>
      </c>
      <c r="G9" t="s">
        <v>55</v>
      </c>
      <c r="H9" t="s">
        <v>4</v>
      </c>
      <c r="I9" s="4">
        <v>20956.59</v>
      </c>
      <c r="J9" t="s">
        <v>5</v>
      </c>
      <c r="K9" t="s">
        <v>1</v>
      </c>
      <c r="L9" s="4">
        <v>1759305.73</v>
      </c>
      <c r="M9" s="4">
        <v>20956.59</v>
      </c>
      <c r="N9" s="4">
        <f t="shared" si="0"/>
        <v>-1139855.1599999999</v>
      </c>
      <c r="O9" t="s">
        <v>75</v>
      </c>
      <c r="P9" t="s">
        <v>76</v>
      </c>
      <c r="Q9" t="s">
        <v>77</v>
      </c>
      <c r="R9" t="s">
        <v>0</v>
      </c>
      <c r="S9" t="s">
        <v>2</v>
      </c>
      <c r="T9" t="s">
        <v>78</v>
      </c>
      <c r="U9" t="s">
        <v>0</v>
      </c>
      <c r="V9" t="s">
        <v>0</v>
      </c>
      <c r="W9" t="s">
        <v>0</v>
      </c>
      <c r="X9" t="s">
        <v>60</v>
      </c>
      <c r="Y9" t="s">
        <v>0</v>
      </c>
      <c r="Z9" s="3"/>
      <c r="AA9" t="s">
        <v>0</v>
      </c>
      <c r="AB9" t="s">
        <v>0</v>
      </c>
      <c r="AC9" t="s">
        <v>0</v>
      </c>
      <c r="AD9" s="4">
        <v>0</v>
      </c>
    </row>
    <row r="10" spans="1:30" ht="14.1" customHeight="1" x14ac:dyDescent="0.2">
      <c r="A10" s="2" t="s">
        <v>0</v>
      </c>
      <c r="B10" t="s">
        <v>53</v>
      </c>
      <c r="C10" t="s">
        <v>79</v>
      </c>
      <c r="D10" s="3">
        <v>44255</v>
      </c>
      <c r="E10" s="3">
        <v>44255</v>
      </c>
      <c r="F10" s="3">
        <v>44261</v>
      </c>
      <c r="G10" t="s">
        <v>55</v>
      </c>
      <c r="H10" t="s">
        <v>4</v>
      </c>
      <c r="I10" s="4">
        <v>38662.400000000001</v>
      </c>
      <c r="J10" t="s">
        <v>5</v>
      </c>
      <c r="K10" t="s">
        <v>1</v>
      </c>
      <c r="L10" s="4">
        <v>3245708.48</v>
      </c>
      <c r="M10" s="4">
        <v>38662.400000000001</v>
      </c>
      <c r="N10" s="4">
        <f t="shared" si="0"/>
        <v>-1101192.76</v>
      </c>
      <c r="O10" t="s">
        <v>75</v>
      </c>
      <c r="P10" t="s">
        <v>76</v>
      </c>
      <c r="Q10" t="s">
        <v>77</v>
      </c>
      <c r="R10" t="s">
        <v>0</v>
      </c>
      <c r="S10" t="s">
        <v>2</v>
      </c>
      <c r="T10" t="s">
        <v>78</v>
      </c>
      <c r="U10" t="s">
        <v>0</v>
      </c>
      <c r="V10" t="s">
        <v>0</v>
      </c>
      <c r="W10" t="s">
        <v>0</v>
      </c>
      <c r="X10" t="s">
        <v>60</v>
      </c>
      <c r="Y10" t="s">
        <v>0</v>
      </c>
      <c r="Z10" s="3"/>
      <c r="AA10" t="s">
        <v>0</v>
      </c>
      <c r="AB10" t="s">
        <v>0</v>
      </c>
      <c r="AC10" t="s">
        <v>0</v>
      </c>
      <c r="AD10" s="4">
        <v>0</v>
      </c>
    </row>
    <row r="11" spans="1:30" ht="14.1" customHeight="1" x14ac:dyDescent="0.2">
      <c r="A11" s="2" t="s">
        <v>0</v>
      </c>
      <c r="B11" t="s">
        <v>53</v>
      </c>
      <c r="C11" t="s">
        <v>79</v>
      </c>
      <c r="D11" s="3">
        <v>44255</v>
      </c>
      <c r="E11" s="3">
        <v>44255</v>
      </c>
      <c r="F11" s="3">
        <v>44261</v>
      </c>
      <c r="G11" t="s">
        <v>55</v>
      </c>
      <c r="H11" t="s">
        <v>4</v>
      </c>
      <c r="I11" s="4">
        <v>37513.360000000001</v>
      </c>
      <c r="J11" t="s">
        <v>5</v>
      </c>
      <c r="K11" t="s">
        <v>1</v>
      </c>
      <c r="L11" s="4">
        <v>3149246.57</v>
      </c>
      <c r="M11" s="4">
        <v>37513.360000000001</v>
      </c>
      <c r="N11" s="4">
        <f t="shared" si="0"/>
        <v>-1063679.3999999999</v>
      </c>
      <c r="O11" t="s">
        <v>75</v>
      </c>
      <c r="P11" t="s">
        <v>76</v>
      </c>
      <c r="Q11" t="s">
        <v>77</v>
      </c>
      <c r="R11" t="s">
        <v>0</v>
      </c>
      <c r="S11" t="s">
        <v>2</v>
      </c>
      <c r="T11" t="s">
        <v>78</v>
      </c>
      <c r="U11" t="s">
        <v>0</v>
      </c>
      <c r="V11" t="s">
        <v>0</v>
      </c>
      <c r="W11" t="s">
        <v>0</v>
      </c>
      <c r="X11" t="s">
        <v>60</v>
      </c>
      <c r="Y11" t="s">
        <v>0</v>
      </c>
      <c r="Z11" s="3"/>
      <c r="AA11" t="s">
        <v>0</v>
      </c>
      <c r="AB11" t="s">
        <v>0</v>
      </c>
      <c r="AC11" t="s">
        <v>0</v>
      </c>
      <c r="AD11" s="4">
        <v>0</v>
      </c>
    </row>
    <row r="12" spans="1:30" ht="14.1" customHeight="1" x14ac:dyDescent="0.2">
      <c r="A12" s="2" t="s">
        <v>0</v>
      </c>
      <c r="B12" t="s">
        <v>53</v>
      </c>
      <c r="C12" t="s">
        <v>79</v>
      </c>
      <c r="D12" s="3">
        <v>44255</v>
      </c>
      <c r="E12" s="3">
        <v>44255</v>
      </c>
      <c r="F12" s="3">
        <v>44261</v>
      </c>
      <c r="G12" t="s">
        <v>55</v>
      </c>
      <c r="H12" t="s">
        <v>4</v>
      </c>
      <c r="I12" s="4">
        <v>16325.97</v>
      </c>
      <c r="J12" t="s">
        <v>5</v>
      </c>
      <c r="K12" t="s">
        <v>1</v>
      </c>
      <c r="L12" s="4">
        <v>1370565.18</v>
      </c>
      <c r="M12" s="4">
        <v>16325.97</v>
      </c>
      <c r="N12" s="4">
        <f t="shared" si="0"/>
        <v>-1047353.4299999999</v>
      </c>
      <c r="O12" t="s">
        <v>75</v>
      </c>
      <c r="P12" t="s">
        <v>76</v>
      </c>
      <c r="Q12" t="s">
        <v>80</v>
      </c>
      <c r="R12" t="s">
        <v>0</v>
      </c>
      <c r="S12" t="s">
        <v>2</v>
      </c>
      <c r="T12" t="s">
        <v>78</v>
      </c>
      <c r="U12" t="s">
        <v>0</v>
      </c>
      <c r="V12" t="s">
        <v>0</v>
      </c>
      <c r="W12" t="s">
        <v>0</v>
      </c>
      <c r="X12" t="s">
        <v>60</v>
      </c>
      <c r="Y12" t="s">
        <v>0</v>
      </c>
      <c r="Z12" s="3"/>
      <c r="AA12" t="s">
        <v>0</v>
      </c>
      <c r="AB12" t="s">
        <v>0</v>
      </c>
      <c r="AC12" t="s">
        <v>0</v>
      </c>
      <c r="AD12" s="4">
        <v>0</v>
      </c>
    </row>
    <row r="13" spans="1:30" ht="14.1" customHeight="1" x14ac:dyDescent="0.2">
      <c r="A13" s="2" t="s">
        <v>0</v>
      </c>
      <c r="B13" t="s">
        <v>53</v>
      </c>
      <c r="C13" t="s">
        <v>81</v>
      </c>
      <c r="D13" s="3">
        <v>44286</v>
      </c>
      <c r="E13" s="3">
        <v>44286</v>
      </c>
      <c r="F13" s="3">
        <v>44298</v>
      </c>
      <c r="G13" t="s">
        <v>55</v>
      </c>
      <c r="H13" t="s">
        <v>4</v>
      </c>
      <c r="I13" s="4">
        <v>0</v>
      </c>
      <c r="J13" t="s">
        <v>0</v>
      </c>
      <c r="K13" t="s">
        <v>1</v>
      </c>
      <c r="L13" s="4">
        <v>0</v>
      </c>
      <c r="M13" s="4">
        <v>-2479</v>
      </c>
      <c r="N13" s="4">
        <f t="shared" si="0"/>
        <v>-1049832.43</v>
      </c>
      <c r="O13" t="s">
        <v>82</v>
      </c>
      <c r="P13" t="s">
        <v>83</v>
      </c>
      <c r="Q13" t="s">
        <v>84</v>
      </c>
      <c r="R13" t="s">
        <v>0</v>
      </c>
      <c r="S13" t="s">
        <v>2</v>
      </c>
      <c r="T13" t="s">
        <v>85</v>
      </c>
      <c r="U13" t="s">
        <v>0</v>
      </c>
      <c r="V13" t="s">
        <v>0</v>
      </c>
      <c r="W13" t="s">
        <v>0</v>
      </c>
      <c r="X13" t="s">
        <v>3</v>
      </c>
      <c r="Y13" t="s">
        <v>0</v>
      </c>
      <c r="Z13" s="3"/>
      <c r="AA13" t="s">
        <v>0</v>
      </c>
      <c r="AB13" t="s">
        <v>0</v>
      </c>
      <c r="AC13" t="s">
        <v>0</v>
      </c>
      <c r="AD13" s="4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FB8054E7BC343824610924DACAD55" ma:contentTypeVersion="8" ma:contentTypeDescription="Create a new document." ma:contentTypeScope="" ma:versionID="34e1fd2a76f7945d18cc3ff5b5a68ad1">
  <xsd:schema xmlns:xsd="http://www.w3.org/2001/XMLSchema" xmlns:xs="http://www.w3.org/2001/XMLSchema" xmlns:p="http://schemas.microsoft.com/office/2006/metadata/properties" xmlns:ns2="08c337d5-e798-4fe7-92a8-e5522ccd74f1" targetNamespace="http://schemas.microsoft.com/office/2006/metadata/properties" ma:root="true" ma:fieldsID="4df481265a4bd63f50581f36648612e8" ns2:_="">
    <xsd:import namespace="08c337d5-e798-4fe7-92a8-e5522ccd74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337d5-e798-4fe7-92a8-e5522ccd74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AAF17E-B6C5-4827-99BD-CD51DA2D4A6E}"/>
</file>

<file path=customXml/itemProps2.xml><?xml version="1.0" encoding="utf-8"?>
<ds:datastoreItem xmlns:ds="http://schemas.openxmlformats.org/officeDocument/2006/customXml" ds:itemID="{B70B59AE-21CF-4AD3-9DC9-BB1D2A75E565}"/>
</file>

<file path=customXml/itemProps3.xml><?xml version="1.0" encoding="utf-8"?>
<ds:datastoreItem xmlns:ds="http://schemas.openxmlformats.org/officeDocument/2006/customXml" ds:itemID="{0990E359-875C-46C8-9EFF-3809FC9AF4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SL 300 Monthly Analysis</vt:lpstr>
      <vt:lpstr>Population </vt:lpstr>
      <vt:lpstr>SL Population 2020-21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acer</cp:lastModifiedBy>
  <cp:revision>1</cp:revision>
  <dcterms:created xsi:type="dcterms:W3CDTF">2021-06-10T05:03:58Z</dcterms:created>
  <dcterms:modified xsi:type="dcterms:W3CDTF">2021-09-15T10:48:54Z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0x010100F52FB8054E7BC343824610924DACAD55</vt:lpwstr>
  </property>
</Properties>
</file>