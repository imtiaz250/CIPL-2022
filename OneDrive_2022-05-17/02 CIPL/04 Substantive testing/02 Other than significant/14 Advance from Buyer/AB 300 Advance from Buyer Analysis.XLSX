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eloitte\EPIC Group\CIPL_21\04 Substantive Testing\02 Other than Significant\14 Advance from Buyer\"/>
    </mc:Choice>
  </mc:AlternateContent>
  <xr:revisionPtr revIDLastSave="0" documentId="13_ncr:1_{9845D7EB-4FD6-4A2C-BE87-CEA44AD01A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 300 Monthly Analysis" sheetId="3" r:id="rId1"/>
    <sheet name="AB 310 Relative Analysis" sheetId="11" r:id="rId2"/>
    <sheet name="Decrease During FY 2020-21" sheetId="12" r:id="rId3"/>
  </sheets>
  <definedNames>
    <definedName name="_xlnm._FilterDatabase" localSheetId="2" hidden="1">'Decrease During FY 2020-21'!$A$1:$AE$47</definedName>
  </definedNames>
  <calcPr calcId="191029"/>
  <pivotCaches>
    <pivotCache cacheId="6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2" l="1"/>
  <c r="C22" i="11" l="1"/>
</calcChain>
</file>

<file path=xl/sharedStrings.xml><?xml version="1.0" encoding="utf-8"?>
<sst xmlns="http://schemas.openxmlformats.org/spreadsheetml/2006/main" count="1162" uniqueCount="218">
  <si>
    <t/>
  </si>
  <si>
    <t>BDT</t>
  </si>
  <si>
    <t>0</t>
  </si>
  <si>
    <t>USD</t>
  </si>
  <si>
    <t>83.95000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</si>
  <si>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</si>
  <si>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</si>
  <si>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</si>
  <si>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</si>
  <si>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</si>
  <si>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</si>
  <si>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</si>
  <si>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</si>
  <si>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</si>
  <si>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</si>
  <si>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</si>
  <si>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</si>
  <si>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</si>
  <si>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</si>
  <si>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</si>
  <si>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</si>
  <si>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</si>
  <si>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</si>
  <si>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</si>
  <si>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</si>
  <si>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</si>
  <si>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</si>
  <si>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</si>
  <si>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</si>
  <si>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</si>
  <si>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</si>
  <si>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</si>
  <si>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</si>
  <si>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</si>
  <si>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Grand Total</t>
  </si>
  <si>
    <t>Nurul Faruk Hasan &amp; Co</t>
  </si>
  <si>
    <t>Chartered Accountants</t>
  </si>
  <si>
    <t>Client name</t>
  </si>
  <si>
    <t>Cosmopolitan Industries Pvt. Ltd. (CIPL)</t>
  </si>
  <si>
    <t>Working Paper Title</t>
  </si>
  <si>
    <t>Working Paper #</t>
  </si>
  <si>
    <t>Md. Nahid Hasan Badhan</t>
  </si>
  <si>
    <t>Date Completed</t>
  </si>
  <si>
    <t>Date Reviewed</t>
  </si>
  <si>
    <t>Balance Sheet Date</t>
  </si>
  <si>
    <t>Purpose:</t>
  </si>
  <si>
    <t>Procedure:</t>
  </si>
  <si>
    <t>Conclusion:</t>
  </si>
  <si>
    <t>Risk:</t>
  </si>
  <si>
    <t>Control:</t>
  </si>
  <si>
    <t>Assertions:</t>
  </si>
  <si>
    <t>20121001</t>
  </si>
  <si>
    <t>DZ</t>
  </si>
  <si>
    <t>84.78993</t>
  </si>
  <si>
    <t>0000001010</t>
  </si>
  <si>
    <t>84.78994</t>
  </si>
  <si>
    <t>2009000396</t>
  </si>
  <si>
    <t>AB 300</t>
  </si>
  <si>
    <t>Advance from Buyer Analysis</t>
  </si>
  <si>
    <t>Step 1: Collect ledger;
Step 2: Segregate and remove the reversal entries;
Step 3: Figure out monthly Advance from Buyer using Pivot Table;
Step 4: Compare the monthly Advance from Buyer figures with that of previous year;
Step 5: Find out the percentage changes among the months during the current financial year;
Step 6: Obtain justification for the unusual changes.</t>
  </si>
  <si>
    <t>2021</t>
  </si>
  <si>
    <t>Mahdi Mohammad Mehrab</t>
  </si>
  <si>
    <t>Reversal Formula</t>
  </si>
  <si>
    <t>Reversal Formula Result</t>
  </si>
  <si>
    <t>2009000413</t>
  </si>
  <si>
    <t>176730_1</t>
  </si>
  <si>
    <t>LEV-624+604+614</t>
  </si>
  <si>
    <t>CM Advance adjusted, ref-OBCDAK133886ARV</t>
  </si>
  <si>
    <t>OBCDAK139579FTT</t>
  </si>
  <si>
    <t>2009000442</t>
  </si>
  <si>
    <t>84.66409</t>
  </si>
  <si>
    <t>114818_1</t>
  </si>
  <si>
    <t>LEV-701+700+702</t>
  </si>
  <si>
    <t>CM advance adjusted, ref-OBCDAK140734ARV</t>
  </si>
  <si>
    <t>OBCDAK140999FTT</t>
  </si>
  <si>
    <t>103497_1</t>
  </si>
  <si>
    <t>CM advance adjusted, ref-OBCDAK133886ARV</t>
  </si>
  <si>
    <t>2009000444</t>
  </si>
  <si>
    <t>86663_1</t>
  </si>
  <si>
    <t>LEV-737+744</t>
  </si>
  <si>
    <t>OBCDAK141327FTT</t>
  </si>
  <si>
    <t>74944_1</t>
  </si>
  <si>
    <t>CM Advance adjusted, ref-OBCDAK140734ARV</t>
  </si>
  <si>
    <t>2009000440</t>
  </si>
  <si>
    <t>55359_1</t>
  </si>
  <si>
    <t>UNIQ-506+446+574</t>
  </si>
  <si>
    <t>OBCDAK140947FTT</t>
  </si>
  <si>
    <t>2009000401</t>
  </si>
  <si>
    <t>84.66432</t>
  </si>
  <si>
    <t>50371_1</t>
  </si>
  <si>
    <t>UNIQ-565+499+500</t>
  </si>
  <si>
    <t>CM advance adjusted, ref-OBCDAK137799ARV</t>
  </si>
  <si>
    <t>OBCDAK138447FTT</t>
  </si>
  <si>
    <t>2009000412</t>
  </si>
  <si>
    <t>84.78979</t>
  </si>
  <si>
    <t>43370_1</t>
  </si>
  <si>
    <t>LEV-601+602+603</t>
  </si>
  <si>
    <t>CM Advance adjusted, ref-OBCDAK138797ARV</t>
  </si>
  <si>
    <t>OBCDAK139449FTT</t>
  </si>
  <si>
    <t>2009000424</t>
  </si>
  <si>
    <t>36158_1</t>
  </si>
  <si>
    <t>LEV-708+709+607</t>
  </si>
  <si>
    <t>OBCDAK140322FTT</t>
  </si>
  <si>
    <t>2009000416</t>
  </si>
  <si>
    <t>34371_1</t>
  </si>
  <si>
    <t>LEV-564+605+616</t>
  </si>
  <si>
    <t>OBCDAK139700FTT</t>
  </si>
  <si>
    <t>2009000407</t>
  </si>
  <si>
    <t>34012_1</t>
  </si>
  <si>
    <t>UNIQ-540+542+539</t>
  </si>
  <si>
    <t>OBCDAK138974FTT</t>
  </si>
  <si>
    <t>2009000449</t>
  </si>
  <si>
    <t>84.78989</t>
  </si>
  <si>
    <t>31545_1</t>
  </si>
  <si>
    <t>LEV-842+834+743</t>
  </si>
  <si>
    <t>CM advance adjusted, ref-OBCDAK141494ARV</t>
  </si>
  <si>
    <t>OBCDAK141830FTT</t>
  </si>
  <si>
    <t>29877_1</t>
  </si>
  <si>
    <t>2009000409</t>
  </si>
  <si>
    <t>29763_1</t>
  </si>
  <si>
    <t>LEV-563+502+600</t>
  </si>
  <si>
    <t>OBCDAK138847FTT</t>
  </si>
  <si>
    <t>2009000423</t>
  </si>
  <si>
    <t>29552_1</t>
  </si>
  <si>
    <t>UNIQ-648+652+686</t>
  </si>
  <si>
    <t>OBCDAK140282FTT</t>
  </si>
  <si>
    <t>2009000447</t>
  </si>
  <si>
    <t>25340_1</t>
  </si>
  <si>
    <t>LEV-777+760+786</t>
  </si>
  <si>
    <t>CM Advance adjusted, ref-OBCDAK135786ARV</t>
  </si>
  <si>
    <t>OBCDAK141564FTT</t>
  </si>
  <si>
    <t>24999_1</t>
  </si>
  <si>
    <t>LEV-475+479+491</t>
  </si>
  <si>
    <t>OBCDAK138015FTT</t>
  </si>
  <si>
    <t>23552_1</t>
  </si>
  <si>
    <t>2009000434</t>
  </si>
  <si>
    <t>22241_1</t>
  </si>
  <si>
    <t>UNIQ-557+674+720</t>
  </si>
  <si>
    <t>OBCDAK140560FTT</t>
  </si>
  <si>
    <t>18689_1</t>
  </si>
  <si>
    <t>17538_1</t>
  </si>
  <si>
    <t>17526_1</t>
  </si>
  <si>
    <t>CM advance adjusted, ref-OBCDAK138797ARV</t>
  </si>
  <si>
    <t>10074_1</t>
  </si>
  <si>
    <t>9563_1</t>
  </si>
  <si>
    <t>2009000448</t>
  </si>
  <si>
    <t>8342_1</t>
  </si>
  <si>
    <t>LEV-736+792+839+</t>
  </si>
  <si>
    <t>OBCDAK141732FTT</t>
  </si>
  <si>
    <t>7669_1</t>
  </si>
  <si>
    <t>7225_1</t>
  </si>
  <si>
    <t>CM advance adjusted, ref-OBCDAK135786ARV</t>
  </si>
  <si>
    <t>7004_1</t>
  </si>
  <si>
    <t>6584_1</t>
  </si>
  <si>
    <t>CM Advance adjusted, ref-OBCDAK137799ARV</t>
  </si>
  <si>
    <t>2009000439</t>
  </si>
  <si>
    <t>6507_1</t>
  </si>
  <si>
    <t>LEV-035+0373+743</t>
  </si>
  <si>
    <t>OBCDAK140914FTT</t>
  </si>
  <si>
    <t>6117_1</t>
  </si>
  <si>
    <t>4092_1</t>
  </si>
  <si>
    <t>2009000435</t>
  </si>
  <si>
    <t>2652_1</t>
  </si>
  <si>
    <t>LEV-622+623-21</t>
  </si>
  <si>
    <t>OBCDAK140586FTT</t>
  </si>
  <si>
    <t>2512_1</t>
  </si>
  <si>
    <t>2280_1</t>
  </si>
  <si>
    <t>2009000402</t>
  </si>
  <si>
    <t>1261_1</t>
  </si>
  <si>
    <t>UNIQ-509+507+520</t>
  </si>
  <si>
    <t>OBCDAK138471FTT</t>
  </si>
  <si>
    <t>84.78995</t>
  </si>
  <si>
    <t>975_1</t>
  </si>
  <si>
    <t>809_1</t>
  </si>
  <si>
    <t>2009000411</t>
  </si>
  <si>
    <t>667_1</t>
  </si>
  <si>
    <t>LEV-0617+0547-21</t>
  </si>
  <si>
    <t>OBCDAK139161FTT</t>
  </si>
  <si>
    <t>84.66431</t>
  </si>
  <si>
    <t>605_1</t>
  </si>
  <si>
    <t>520_1</t>
  </si>
  <si>
    <t>2009000399</t>
  </si>
  <si>
    <t>84.66433</t>
  </si>
  <si>
    <t>293_1</t>
  </si>
  <si>
    <t>LEV-473+492+519</t>
  </si>
  <si>
    <t>OBCDAK138167FTT</t>
  </si>
  <si>
    <t>2009000431</t>
  </si>
  <si>
    <t>170_1</t>
  </si>
  <si>
    <t>C3284LVMY0710-21</t>
  </si>
  <si>
    <t>OBCDAK140497FTT</t>
  </si>
  <si>
    <t>146_1</t>
  </si>
  <si>
    <t>2009000437</t>
  </si>
  <si>
    <t>144_1</t>
  </si>
  <si>
    <t>LEV-0498-21</t>
  </si>
  <si>
    <t>2009000457</t>
  </si>
  <si>
    <t>1_1</t>
  </si>
  <si>
    <t>CM ADV ADJUST</t>
  </si>
  <si>
    <t>CM ADV ADJUST-EDL</t>
  </si>
  <si>
    <t>May</t>
  </si>
  <si>
    <t>Jun</t>
  </si>
  <si>
    <t>Months</t>
  </si>
  <si>
    <t>Amount in USD</t>
  </si>
  <si>
    <t>Advance from Buyer of CIPL seems to have decreased only in the month of May and June 2021 during FY 2020-21.</t>
  </si>
  <si>
    <t>Export Revenue</t>
  </si>
  <si>
    <t>May'21</t>
  </si>
  <si>
    <t>Jun'21</t>
  </si>
  <si>
    <t>Decrease in Advance from Buyer</t>
  </si>
  <si>
    <t>Advance from Buyer and Export Revenue of CIPL seems to have posotive corelation during the FY 2020-21.</t>
  </si>
  <si>
    <t>AB 310</t>
  </si>
  <si>
    <t>Prepared by</t>
  </si>
  <si>
    <t>Reviewed by</t>
  </si>
  <si>
    <t>Further reviewed by</t>
  </si>
  <si>
    <t>Humaun Ahamed</t>
  </si>
  <si>
    <r>
      <t xml:space="preserve">To carry out relative analysis between decrease in Advance from Buyer and Export Revenue </t>
    </r>
    <r>
      <rPr>
        <sz val="11"/>
        <rFont val="Calibri"/>
        <family val="2"/>
        <scheme val="minor"/>
      </rPr>
      <t xml:space="preserve">in order </t>
    </r>
    <r>
      <rPr>
        <sz val="11"/>
        <color theme="1"/>
        <rFont val="Calibri"/>
        <family val="2"/>
        <scheme val="minor"/>
      </rPr>
      <t>to find out any relation during the current financial year.</t>
    </r>
  </si>
  <si>
    <r>
      <t xml:space="preserve">To carry out analytical procedure on Advance from Buyer </t>
    </r>
    <r>
      <rPr>
        <sz val="11"/>
        <rFont val="Calibri"/>
        <family val="2"/>
        <scheme val="minor"/>
      </rPr>
      <t xml:space="preserve">in order </t>
    </r>
    <r>
      <rPr>
        <sz val="11"/>
        <color theme="1"/>
        <rFont val="Calibri"/>
        <family val="2"/>
        <scheme val="minor"/>
      </rPr>
      <t>to find out the trends during the current financial year.</t>
    </r>
  </si>
  <si>
    <t>Advance from buyer reported in the financial statement may be recorded inaccurately.</t>
  </si>
  <si>
    <t>Valuation and allocation</t>
  </si>
  <si>
    <t>Advance from buyer is received as per sales contract and entry is posted  after checking   of Finance Manager and  approval of Finance controller/VP, Finance. All advance from buyer is received from banking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</si>
</sst>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0%_);\(0%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7"/>
      <color indexed="12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u/>
      <sz val="8"/>
      <color theme="10"/>
      <name val="Arial Unicode MS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0D5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3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9" fillId="6" borderId="1">
      <alignment horizontal="center"/>
    </xf>
    <xf numFmtId="0" fontId="3" fillId="0" borderId="0"/>
    <xf numFmtId="43" fontId="4" fillId="0" borderId="0" applyFont="0" applyFill="0" applyBorder="0" applyAlignment="0" applyProtection="0"/>
    <xf numFmtId="14" fontId="10" fillId="7" borderId="2">
      <alignment horizontal="center" vertical="center" wrapText="1"/>
    </xf>
    <xf numFmtId="37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" fillId="0" borderId="0" applyFill="0" applyBorder="0" applyProtection="0">
      <alignment horizontal="left" vertical="top"/>
    </xf>
    <xf numFmtId="37" fontId="5" fillId="0" borderId="0"/>
    <xf numFmtId="0" fontId="12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61">
    <xf numFmtId="0" fontId="0" fillId="0" borderId="0" xfId="0" applyAlignment="1">
      <alignment vertical="top"/>
    </xf>
    <xf numFmtId="0" fontId="8" fillId="3" borderId="0" xfId="1" applyFont="1" applyFill="1" applyAlignment="1">
      <alignment vertical="top"/>
    </xf>
    <xf numFmtId="0" fontId="8" fillId="3" borderId="0" xfId="1" applyFont="1" applyFill="1" applyAlignment="1">
      <alignment horizontal="right" vertical="top"/>
    </xf>
    <xf numFmtId="0" fontId="7" fillId="3" borderId="0" xfId="0" applyFont="1" applyFill="1" applyAlignment="1">
      <alignment horizontal="right" indent="1"/>
    </xf>
    <xf numFmtId="0" fontId="6" fillId="3" borderId="0" xfId="0" applyFont="1" applyFill="1"/>
    <xf numFmtId="0" fontId="8" fillId="0" borderId="0" xfId="0" applyFont="1" applyAlignment="1">
      <alignment vertical="top"/>
    </xf>
    <xf numFmtId="0" fontId="2" fillId="3" borderId="0" xfId="0" applyFont="1" applyFill="1"/>
    <xf numFmtId="0" fontId="8" fillId="3" borderId="0" xfId="0" applyFont="1" applyFill="1"/>
    <xf numFmtId="0" fontId="14" fillId="5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 indent="1"/>
    </xf>
    <xf numFmtId="0" fontId="14" fillId="5" borderId="1" xfId="0" applyFont="1" applyFill="1" applyBorder="1" applyAlignment="1">
      <alignment horizontal="center" vertical="top"/>
    </xf>
    <xf numFmtId="165" fontId="14" fillId="5" borderId="1" xfId="0" applyNumberFormat="1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0" fontId="1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3" fontId="13" fillId="5" borderId="1" xfId="0" applyNumberFormat="1" applyFont="1" applyFill="1" applyBorder="1" applyAlignment="1">
      <alignment horizontal="center" vertical="top" wrapText="1"/>
    </xf>
    <xf numFmtId="165" fontId="0" fillId="0" borderId="1" xfId="22" applyNumberFormat="1" applyFont="1" applyBorder="1" applyAlignment="1">
      <alignment vertical="top"/>
    </xf>
    <xf numFmtId="0" fontId="7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top"/>
    </xf>
    <xf numFmtId="15" fontId="19" fillId="3" borderId="1" xfId="0" applyNumberFormat="1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left" vertical="top" wrapText="1"/>
    </xf>
    <xf numFmtId="0" fontId="19" fillId="3" borderId="0" xfId="0" applyFont="1" applyFill="1" applyAlignment="1">
      <alignment vertical="top" wrapText="1"/>
    </xf>
    <xf numFmtId="0" fontId="1" fillId="3" borderId="0" xfId="0" applyFont="1" applyFill="1"/>
    <xf numFmtId="0" fontId="20" fillId="4" borderId="1" xfId="0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vertical="top" wrapText="1"/>
    </xf>
    <xf numFmtId="0" fontId="18" fillId="4" borderId="1" xfId="0" applyFont="1" applyFill="1" applyBorder="1" applyAlignment="1">
      <alignment vertical="center"/>
    </xf>
    <xf numFmtId="0" fontId="19" fillId="3" borderId="3" xfId="0" applyFont="1" applyFill="1" applyBorder="1" applyAlignment="1">
      <alignment horizontal="left" vertical="top" wrapText="1"/>
    </xf>
    <xf numFmtId="0" fontId="19" fillId="3" borderId="4" xfId="0" applyFont="1" applyFill="1" applyBorder="1" applyAlignment="1">
      <alignment horizontal="left" vertical="top" wrapText="1"/>
    </xf>
    <xf numFmtId="0" fontId="19" fillId="3" borderId="5" xfId="0" applyFont="1" applyFill="1" applyBorder="1" applyAlignment="1">
      <alignment horizontal="left" vertical="top" wrapText="1"/>
    </xf>
    <xf numFmtId="164" fontId="19" fillId="3" borderId="1" xfId="0" applyNumberFormat="1" applyFont="1" applyFill="1" applyBorder="1" applyAlignment="1">
      <alignment horizontal="left" vertical="top" wrapText="1"/>
    </xf>
    <xf numFmtId="0" fontId="21" fillId="3" borderId="0" xfId="1" applyFont="1" applyFill="1" applyAlignment="1">
      <alignment vertical="top"/>
    </xf>
    <xf numFmtId="0" fontId="21" fillId="3" borderId="0" xfId="1" applyFont="1" applyFill="1" applyAlignment="1">
      <alignment horizontal="right" vertical="top"/>
    </xf>
    <xf numFmtId="0" fontId="17" fillId="3" borderId="0" xfId="0" applyFont="1" applyFill="1" applyAlignment="1">
      <alignment horizontal="right" indent="1"/>
    </xf>
    <xf numFmtId="0" fontId="17" fillId="3" borderId="0" xfId="0" applyFont="1" applyFill="1" applyAlignment="1">
      <alignment horizontal="right" vertical="top" indent="1"/>
    </xf>
    <xf numFmtId="0" fontId="21" fillId="3" borderId="0" xfId="0" applyFont="1" applyFill="1" applyAlignment="1">
      <alignment horizontal="left" vertical="top" wrapText="1"/>
    </xf>
    <xf numFmtId="0" fontId="16" fillId="3" borderId="0" xfId="0" applyFont="1" applyFill="1"/>
    <xf numFmtId="0" fontId="21" fillId="3" borderId="0" xfId="0" applyFont="1" applyFill="1"/>
    <xf numFmtId="0" fontId="5" fillId="0" borderId="0" xfId="20" applyAlignment="1">
      <alignment vertical="top"/>
    </xf>
    <xf numFmtId="4" fontId="5" fillId="0" borderId="0" xfId="20" applyNumberFormat="1" applyAlignment="1">
      <alignment vertical="top"/>
    </xf>
    <xf numFmtId="4" fontId="22" fillId="10" borderId="0" xfId="20" applyNumberFormat="1" applyFont="1" applyFill="1" applyAlignment="1">
      <alignment vertical="top"/>
    </xf>
    <xf numFmtId="4" fontId="5" fillId="0" borderId="0" xfId="20" applyNumberFormat="1" applyAlignment="1">
      <alignment horizontal="right" vertical="top"/>
    </xf>
    <xf numFmtId="14" fontId="5" fillId="0" borderId="0" xfId="20" applyNumberFormat="1" applyAlignment="1">
      <alignment horizontal="right" vertical="top"/>
    </xf>
    <xf numFmtId="0" fontId="5" fillId="8" borderId="0" xfId="20" applyFill="1" applyAlignment="1">
      <alignment horizontal="center"/>
    </xf>
    <xf numFmtId="0" fontId="5" fillId="8" borderId="0" xfId="20" applyFill="1"/>
    <xf numFmtId="0" fontId="5" fillId="0" borderId="0" xfId="20" applyAlignment="1">
      <alignment vertical="top" indent="2"/>
    </xf>
    <xf numFmtId="0" fontId="5" fillId="2" borderId="1" xfId="20" applyFill="1" applyBorder="1" applyAlignment="1">
      <alignment vertical="top" wrapText="1"/>
    </xf>
    <xf numFmtId="0" fontId="5" fillId="2" borderId="1" xfId="20" applyFill="1" applyBorder="1" applyAlignment="1">
      <alignment vertical="top"/>
    </xf>
    <xf numFmtId="0" fontId="7" fillId="3" borderId="6" xfId="0" applyFont="1" applyFill="1" applyBorder="1" applyAlignment="1">
      <alignment horizontal="right" indent="1"/>
    </xf>
    <xf numFmtId="0" fontId="8" fillId="3" borderId="7" xfId="0" applyFont="1" applyFill="1" applyBorder="1"/>
    <xf numFmtId="0" fontId="8" fillId="3" borderId="8" xfId="0" applyFont="1" applyFill="1" applyBorder="1"/>
    <xf numFmtId="0" fontId="7" fillId="3" borderId="9" xfId="0" applyFont="1" applyFill="1" applyBorder="1" applyAlignment="1">
      <alignment horizontal="right" vertical="center" indent="1"/>
    </xf>
    <xf numFmtId="0" fontId="8" fillId="3" borderId="0" xfId="0" applyFont="1" applyFill="1" applyBorder="1" applyAlignment="1">
      <alignment horizontal="left" wrapText="1"/>
    </xf>
    <xf numFmtId="0" fontId="8" fillId="3" borderId="10" xfId="0" applyFont="1" applyFill="1" applyBorder="1" applyAlignment="1">
      <alignment horizontal="left" wrapText="1"/>
    </xf>
    <xf numFmtId="0" fontId="7" fillId="3" borderId="11" xfId="0" applyFont="1" applyFill="1" applyBorder="1" applyAlignment="1">
      <alignment horizontal="right" indent="1"/>
    </xf>
    <xf numFmtId="0" fontId="8" fillId="3" borderId="2" xfId="0" applyFont="1" applyFill="1" applyBorder="1"/>
    <xf numFmtId="0" fontId="8" fillId="3" borderId="12" xfId="0" applyFont="1" applyFill="1" applyBorder="1"/>
  </cellXfs>
  <cellStyles count="23">
    <cellStyle name="Comma" xfId="22" builtinId="3"/>
    <cellStyle name="Comma 2" xfId="19" xr:uid="{00000000-0005-0000-0000-000001000000}"/>
    <cellStyle name="Comma 3" xfId="10" xr:uid="{00000000-0005-0000-0000-000002000000}"/>
    <cellStyle name="Heading" xfId="11" xr:uid="{00000000-0005-0000-0000-000003000000}"/>
    <cellStyle name="Hyperlink 2" xfId="18" xr:uid="{00000000-0005-0000-0000-000004000000}"/>
    <cellStyle name="Nor}al 2" xfId="7" xr:uid="{00000000-0005-0000-0000-000005000000}"/>
    <cellStyle name="Normal" xfId="0" builtinId="0"/>
    <cellStyle name="Normal 14" xfId="9" xr:uid="{00000000-0005-0000-0000-000007000000}"/>
    <cellStyle name="Normal 2" xfId="1" xr:uid="{00000000-0005-0000-0000-000008000000}"/>
    <cellStyle name="Normal 2 10" xfId="20" xr:uid="{00000000-0005-0000-0000-000009000000}"/>
    <cellStyle name="Normal 2 2" xfId="17" xr:uid="{00000000-0005-0000-0000-00000A000000}"/>
    <cellStyle name="Normal 2 2 10 2" xfId="6" xr:uid="{00000000-0005-0000-0000-00000B000000}"/>
    <cellStyle name="Normal 2 3" xfId="12" xr:uid="{00000000-0005-0000-0000-00000C000000}"/>
    <cellStyle name="Normal 2 4" xfId="3" xr:uid="{00000000-0005-0000-0000-00000D000000}"/>
    <cellStyle name="Normal 3" xfId="13" xr:uid="{00000000-0005-0000-0000-00000E000000}"/>
    <cellStyle name="Normal 3 3" xfId="5" xr:uid="{00000000-0005-0000-0000-00000F000000}"/>
    <cellStyle name="Normal 4" xfId="4" xr:uid="{00000000-0005-0000-0000-000010000000}"/>
    <cellStyle name="Note Links" xfId="8" xr:uid="{00000000-0005-0000-0000-000011000000}"/>
    <cellStyle name="Percent (0)" xfId="14" xr:uid="{00000000-0005-0000-0000-000012000000}"/>
    <cellStyle name="Percent (0) 2" xfId="15" xr:uid="{00000000-0005-0000-0000-000013000000}"/>
    <cellStyle name="Percent 2" xfId="2" xr:uid="{00000000-0005-0000-0000-000014000000}"/>
    <cellStyle name="Percent 3" xfId="21" xr:uid="{00000000-0005-0000-0000-000015000000}"/>
    <cellStyle name="Tickmark" xfId="16" xr:uid="{00000000-0005-0000-0000-000016000000}"/>
  </cellStyles>
  <dxfs count="10">
    <dxf>
      <font>
        <b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b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/>
    </dxf>
    <dxf>
      <font>
        <b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/>
    </dxf>
    <dxf>
      <font>
        <b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/>
    </dxf>
    <dxf>
      <numFmt numFmtId="165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300 Advance from Buyer Analysis.XLSX]AB 300 Monthly Analysis!PivotTable19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  <a:r>
              <a:rPr lang="en-US" baseline="0"/>
              <a:t> Analysis on Advance from Buyer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 300 Monthly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'AB 300 Monthly Analysis'!$A$20:$A$23</c:f>
              <c:multiLvlStrCache>
                <c:ptCount val="2"/>
                <c:lvl>
                  <c:pt idx="0">
                    <c:v>May</c:v>
                  </c:pt>
                  <c:pt idx="1">
                    <c:v>Jun</c:v>
                  </c:pt>
                </c:lvl>
                <c:lvl>
                  <c:pt idx="0">
                    <c:v>2021</c:v>
                  </c:pt>
                </c:lvl>
              </c:multiLvlStrCache>
            </c:multiLvlStrRef>
          </c:cat>
          <c:val>
            <c:numRef>
              <c:f>'AB 300 Monthly Analysis'!$B$20:$B$23</c:f>
              <c:numCache>
                <c:formatCode>_(* #,##0_);_(* \(#,##0\);_(* "-"??_);_(@_)</c:formatCode>
                <c:ptCount val="2"/>
                <c:pt idx="0">
                  <c:v>463487</c:v>
                </c:pt>
                <c:pt idx="1">
                  <c:v>703640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E-4972-A37B-CA0F54ADB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656"/>
        <c:axId val="76712192"/>
      </c:barChart>
      <c:catAx>
        <c:axId val="767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2192"/>
        <c:crosses val="autoZero"/>
        <c:auto val="1"/>
        <c:lblAlgn val="ctr"/>
        <c:lblOffset val="100"/>
        <c:noMultiLvlLbl val="0"/>
      </c:catAx>
      <c:valAx>
        <c:axId val="767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Analysis Between Decrease in Advance from Buyer and</a:t>
            </a:r>
            <a:r>
              <a:rPr lang="en-US" baseline="0"/>
              <a:t> Export Revenue</a:t>
            </a:r>
            <a:endParaRPr lang="en-US"/>
          </a:p>
        </c:rich>
      </c:tx>
      <c:layout>
        <c:manualLayout>
          <c:xMode val="edge"/>
          <c:yMode val="edge"/>
          <c:x val="0.15780242972183844"/>
          <c:y val="5.09259259259259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 310 Relative Analysis'!$B$18</c:f>
              <c:strCache>
                <c:ptCount val="1"/>
                <c:pt idx="0">
                  <c:v>Decrease in Advance from Buyer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'AB 310 Relative Analysis'!$A$19:$A$21</c:f>
              <c:strCache>
                <c:ptCount val="2"/>
                <c:pt idx="0">
                  <c:v>May'21</c:v>
                </c:pt>
                <c:pt idx="1">
                  <c:v>Jun'21</c:v>
                </c:pt>
              </c:strCache>
            </c:strRef>
          </c:cat>
          <c:val>
            <c:numRef>
              <c:f>'AB 310 Relative Analysis'!$B$19:$B$21</c:f>
              <c:numCache>
                <c:formatCode>_(* #,##0_);_(* \(#,##0\);_(* "-"??_);_(@_)</c:formatCode>
                <c:ptCount val="2"/>
                <c:pt idx="0">
                  <c:v>463487</c:v>
                </c:pt>
                <c:pt idx="1">
                  <c:v>703640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5-4370-9D28-6B92D252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2304"/>
        <c:axId val="89123840"/>
      </c:lineChart>
      <c:lineChart>
        <c:grouping val="standard"/>
        <c:varyColors val="0"/>
        <c:ser>
          <c:idx val="1"/>
          <c:order val="1"/>
          <c:tx>
            <c:strRef>
              <c:f>'AB 310 Relative Analysis'!$C$18</c:f>
              <c:strCache>
                <c:ptCount val="1"/>
                <c:pt idx="0">
                  <c:v>Export Revenue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'AB 310 Relative Analysis'!$A$19:$A$21</c:f>
              <c:strCache>
                <c:ptCount val="2"/>
                <c:pt idx="0">
                  <c:v>May'21</c:v>
                </c:pt>
                <c:pt idx="1">
                  <c:v>Jun'21</c:v>
                </c:pt>
              </c:strCache>
            </c:strRef>
          </c:cat>
          <c:val>
            <c:numRef>
              <c:f>'AB 310 Relative Analysis'!$C$19:$C$21</c:f>
              <c:numCache>
                <c:formatCode>#,##0</c:formatCode>
                <c:ptCount val="2"/>
                <c:pt idx="0">
                  <c:v>6286703.1899999985</c:v>
                </c:pt>
                <c:pt idx="1">
                  <c:v>7074856.1199999982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5-4370-9D28-6B92D252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52544"/>
        <c:axId val="89851008"/>
      </c:lineChart>
      <c:catAx>
        <c:axId val="8912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3840"/>
        <c:crosses val="autoZero"/>
        <c:auto val="1"/>
        <c:lblAlgn val="ctr"/>
        <c:lblOffset val="100"/>
        <c:noMultiLvlLbl val="0"/>
      </c:catAx>
      <c:valAx>
        <c:axId val="891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2304"/>
        <c:crosses val="autoZero"/>
        <c:crossBetween val="between"/>
      </c:valAx>
      <c:valAx>
        <c:axId val="898510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544"/>
        <c:crosses val="max"/>
        <c:crossBetween val="between"/>
      </c:valAx>
      <c:catAx>
        <c:axId val="8985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8510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219074</xdr:colOff>
      <xdr:row>15</xdr:row>
      <xdr:rowOff>190500</xdr:rowOff>
    </xdr:from>
    <xdr:to>
      <xdr:col>8</xdr:col>
      <xdr:colOff>838200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F264F-0A44-484E-8928-65BD54674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16</xdr:row>
      <xdr:rowOff>23812</xdr:rowOff>
    </xdr:from>
    <xdr:to>
      <xdr:col>13</xdr:col>
      <xdr:colOff>114299</xdr:colOff>
      <xdr:row>30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49F58A-86F0-45F1-B9DE-3E46066FE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B4A2B618-CA27-4CEB-8764-7BD9A8592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2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FFC27D45-9EA5-49F5-A88C-ECF269810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51868179-FFCA-4A52-A473-12E79124B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824E0262-2D4D-41BE-8FCE-2667BBC1D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6B0FB563-2E03-49FA-909C-C70A35AE7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3267CC8E-D087-4E4B-B1BC-B5DC9D454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2C1177E2-0EAE-46B6-A470-A3EAAC409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B585C01C-DF9F-44C0-B273-CD3F4C5EC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15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912C53ED-6EFC-4DEF-B1A4-3AC13BB4D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387899AE-65DD-4E75-855D-64CEA1EEB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10C0327A-3990-4DF3-83AE-19C400D13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6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22179D9F-E422-4472-8121-0A1249AAC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60024CFB-583E-4177-B06F-8C44EE15E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4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69FDD851-D1EA-478B-915C-806EBDE35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403C19D1-2733-48CC-9742-C70AC1204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7D0B1BA4-1982-4CEB-9F6F-8DDE245AE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3CEECBC1-2AA1-400F-AE0B-68C579AB6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AEB0F878-4521-417F-91E8-9386AFF33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518AAA43-7D21-4FD8-9350-37818EE91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DCFD4138-D1F3-4755-A772-6B0F2C2CB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3BA18156-186A-46C3-8692-6F95850DE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6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3F97A472-3480-413D-85B1-F5333EA9E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6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EAB727BB-C9F0-4682-AECD-E39F6B5D0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6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6A3A1BC0-6E86-475E-A896-604207A88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91786FCD-BB98-4791-8EA3-5B235851D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4DEA91B8-1668-4B4E-B3F0-CE2D33342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91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AFEB46DB-A3C7-422A-AF14-3B543759D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401A89F-2B45-43E5-825D-2B1F80A4C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1C14BA5E-4AF8-468C-BDEB-FFA8C7A37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1A5AF29C-6B76-48FC-93A1-BCC07A491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35F855AF-9CE7-4964-8841-F66437CF3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5AF75A03-A1AC-419A-8364-D3C50FFD2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28D298F2-AFB7-41CA-AC06-F2B4E582F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2E13CB19-8DFC-4E94-8A5E-214B17E6D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D081B76F-D66A-4BBA-B8A9-7726C6AA5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E03B61E1-9B4E-4DF3-86FB-00F16BE33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38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DEED3247-C52D-40DB-B361-58A65046B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0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1A5CC685-E9F1-46F6-A97E-23A0FD618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5E7868FC-5163-4213-9B6F-B093B5DBB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CF621B55-057D-4F38-900D-AAECAC183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32C5CC67-15A9-43BE-B995-3ABBD54FF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DF700049-0BB1-42E8-9191-FCF082195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4E4B3BC5-E2AB-49CC-9DA3-DD8347F7D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49DCCC0F-DF84-48B8-A875-3EAEAA70E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1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7E984B48-EA4D-4A6B-97D6-FC228D2C6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E22AA166-365A-45D4-AA11-B60D1B9D9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id" refreshedDate="44416.667074652774" createdVersion="7" refreshedVersion="7" minRefreshableVersion="3" recordCount="46" xr:uid="{00000000-000A-0000-FFFF-FFFF0B000000}">
  <cacheSource type="worksheet">
    <worksheetSource ref="A1:AE47" sheet="Decrease During FY 2020-21"/>
  </cacheSource>
  <cacheFields count="32">
    <cacheField name="Cleared/open items symbol" numFmtId="0">
      <sharedItems/>
    </cacheField>
    <cacheField name="G/L Account" numFmtId="0">
      <sharedItems/>
    </cacheField>
    <cacheField name="Document Number" numFmtId="0">
      <sharedItems/>
    </cacheField>
    <cacheField name="Posting Date" numFmtId="14">
      <sharedItems containsSemiMixedTypes="0" containsNonDate="0" containsDate="1" containsString="0" minDate="2021-05-05T00:00:00" maxDate="2021-07-01T00:00:00" count="17">
        <d v="2021-05-30T00:00:00"/>
        <d v="2021-06-21T00:00:00"/>
        <d v="2021-06-24T00:00:00"/>
        <d v="2021-06-20T00:00:00"/>
        <d v="2021-05-11T00:00:00"/>
        <d v="2021-05-27T00:00:00"/>
        <d v="2021-06-08T00:00:00"/>
        <d v="2021-05-31T00:00:00"/>
        <d v="2021-05-20T00:00:00"/>
        <d v="2021-06-30T00:00:00"/>
        <d v="2021-05-18T00:00:00"/>
        <d v="2021-06-29T00:00:00"/>
        <d v="2021-05-05T00:00:00"/>
        <d v="2021-06-14T00:00:00"/>
        <d v="2021-05-24T00:00:00"/>
        <d v="2021-05-06T00:00:00"/>
        <d v="2021-06-10T00:00:00"/>
      </sharedItems>
      <fieldGroup par="31" base="3">
        <rangePr groupBy="months" startDate="2021-05-05T00:00:00" endDate="2021-07-01T00:00:00"/>
        <groupItems count="14">
          <s v="&lt;5/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Document Date" numFmtId="14">
      <sharedItems containsSemiMixedTypes="0" containsNonDate="0" containsDate="1" containsString="0" minDate="2021-05-05T00:00:00" maxDate="2021-07-01T00:00:00"/>
    </cacheField>
    <cacheField name="Entry Date" numFmtId="14">
      <sharedItems containsSemiMixedTypes="0" containsNonDate="0" containsDate="1" containsString="0" minDate="2021-05-22T00:00:00" maxDate="2021-07-1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containsInteger="1" minValue="1" maxValue="176730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83.95" maxValue="14984926.84"/>
    </cacheField>
    <cacheField name="Amount in loc.curr.2" numFmtId="4">
      <sharedItems containsSemiMixedTypes="0" containsString="0" containsNumber="1" containsInteger="1" minValue="1" maxValue="176730"/>
    </cacheField>
    <cacheField name="Reversal Formula" numFmtId="0">
      <sharedItems/>
    </cacheField>
    <cacheField name="Reversal Formula Result" numFmtId="0">
      <sharedItems/>
    </cacheField>
    <cacheField name="Reference" numFmtId="0">
      <sharedItems/>
    </cacheField>
    <cacheField name="Assignment" numFmtId="0">
      <sharedItems/>
    </cacheField>
    <cacheField name="Text/CI No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Clearing Document" numFmtId="0">
      <sharedItems/>
    </cacheField>
    <cacheField name="Clearing date" numFmtId="14">
      <sharedItems containsNonDate="0" containsString="0" containsBlank="1"/>
    </cacheField>
    <cacheField name="Billing Document" numFmtId="0">
      <sharedItems/>
    </cacheField>
    <cacheField name="Buyer Description" numFmtId="0">
      <sharedItems/>
    </cacheField>
    <cacheField name="Sales document" numFmtId="0">
      <sharedItems/>
    </cacheField>
    <cacheField name="Withholding tax amnt" numFmtId="4">
      <sharedItems containsSemiMixedTypes="0" containsString="0" containsNumber="1" containsInteger="1" minValue="0" maxValue="0"/>
    </cacheField>
    <cacheField name="Years" numFmtId="0" databaseField="0">
      <fieldGroup base="3">
        <rangePr groupBy="years" startDate="2021-05-05T00:00:00" endDate="2021-07-01T00:00:00"/>
        <groupItems count="3">
          <s v="&lt;5/5/2021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"/>
    <s v="20121001"/>
    <s v="2009000413"/>
    <x v="0"/>
    <d v="2021-05-30T00:00:00"/>
    <d v="2021-05-31T00:00:00"/>
    <s v="DZ"/>
    <s v="USD"/>
    <n v="176730"/>
    <s v="84.78994"/>
    <s v="BDT"/>
    <n v="14984926.84"/>
    <n v="176730"/>
    <s v="176730_1"/>
    <s v=""/>
    <s v="LEV-624+604+614"/>
    <s v="0000001010"/>
    <s v="CM Advance adjusted, ref-OBCDAK133886ARV"/>
    <s v=""/>
    <s v="0"/>
    <s v="OBCDAK139579FTT"/>
    <s v=""/>
    <s v=""/>
    <s v=""/>
    <s v=""/>
    <s v=""/>
    <m/>
    <s v=""/>
    <s v=""/>
    <s v=""/>
    <n v="0"/>
  </r>
  <r>
    <s v=""/>
    <s v="20121001"/>
    <s v="2009000442"/>
    <x v="1"/>
    <d v="2021-06-21T00:00:00"/>
    <d v="2021-06-23T00:00:00"/>
    <s v="DZ"/>
    <s v="USD"/>
    <n v="114818"/>
    <s v="84.66409"/>
    <s v="BDT"/>
    <n v="9720961.5299999993"/>
    <n v="114818"/>
    <s v="114818_1"/>
    <s v=""/>
    <s v="LEV-701+700+702"/>
    <s v="0000001010"/>
    <s v="CM advance adjusted, ref-OBCDAK140734ARV"/>
    <s v=""/>
    <s v="0"/>
    <s v="OBCDAK140999FTT"/>
    <s v=""/>
    <s v=""/>
    <s v=""/>
    <s v=""/>
    <s v=""/>
    <m/>
    <s v=""/>
    <s v=""/>
    <s v=""/>
    <n v="0"/>
  </r>
  <r>
    <s v=""/>
    <s v="20121001"/>
    <s v="2009000442"/>
    <x v="1"/>
    <d v="2021-06-21T00:00:00"/>
    <d v="2021-06-23T00:00:00"/>
    <s v="DZ"/>
    <s v="USD"/>
    <n v="103497"/>
    <s v="84.78994"/>
    <s v="BDT"/>
    <n v="8775504.8599999994"/>
    <n v="103497"/>
    <s v="103497_1"/>
    <s v=""/>
    <s v="LEV-701+700+702"/>
    <s v="0000001010"/>
    <s v="CM Advance adjusted, ref-OBCDAK133886ARV"/>
    <s v=""/>
    <s v="0"/>
    <s v="OBCDAK140999FTT"/>
    <s v=""/>
    <s v=""/>
    <s v=""/>
    <s v=""/>
    <s v=""/>
    <m/>
    <s v=""/>
    <s v=""/>
    <s v=""/>
    <n v="0"/>
  </r>
  <r>
    <s v=""/>
    <s v="20121001"/>
    <s v="2009000444"/>
    <x v="2"/>
    <d v="2021-06-24T00:00:00"/>
    <d v="2021-06-27T00:00:00"/>
    <s v="DZ"/>
    <s v="USD"/>
    <n v="86663"/>
    <s v="84.78994"/>
    <s v="BDT"/>
    <n v="7348150.9400000004"/>
    <n v="86663"/>
    <s v="86663_1"/>
    <s v=""/>
    <s v="LEV-737+744"/>
    <s v="0000001010"/>
    <s v="CM Advance adjusted, ref-OBCDAK133886ARV"/>
    <s v=""/>
    <s v="0"/>
    <s v="OBCDAK141327FTT"/>
    <s v=""/>
    <s v=""/>
    <s v=""/>
    <s v=""/>
    <s v=""/>
    <m/>
    <s v=""/>
    <s v=""/>
    <s v=""/>
    <n v="0"/>
  </r>
  <r>
    <s v=""/>
    <s v="20121001"/>
    <s v="2009000444"/>
    <x v="2"/>
    <d v="2021-06-24T00:00:00"/>
    <d v="2021-06-27T00:00:00"/>
    <s v="DZ"/>
    <s v="USD"/>
    <n v="74944"/>
    <s v="84.66409"/>
    <s v="BDT"/>
    <n v="6345065.5899999999"/>
    <n v="74944"/>
    <s v="74944_1"/>
    <s v=""/>
    <s v="LEV-737+744"/>
    <s v="0000001010"/>
    <s v="CM advance adjusted, ref-OBCDAK140734ARV"/>
    <s v=""/>
    <s v="0"/>
    <s v="OBCDAK141327FTT"/>
    <s v=""/>
    <s v=""/>
    <s v=""/>
    <s v=""/>
    <s v=""/>
    <m/>
    <s v=""/>
    <s v=""/>
    <s v=""/>
    <n v="0"/>
  </r>
  <r>
    <s v=""/>
    <s v="20121001"/>
    <s v="2009000440"/>
    <x v="3"/>
    <d v="2021-06-20T00:00:00"/>
    <d v="2021-06-22T00:00:00"/>
    <s v="DZ"/>
    <s v="USD"/>
    <n v="55359"/>
    <s v="84.78994"/>
    <s v="BDT"/>
    <n v="4693886.5199999996"/>
    <n v="55359"/>
    <s v="55359_1"/>
    <s v=""/>
    <s v="UNIQ-506+446+574"/>
    <s v="0000001010"/>
    <s v="CM Advance adjusted, ref-OBCDAK133886ARV"/>
    <s v=""/>
    <s v="0"/>
    <s v="OBCDAK140947FTT"/>
    <s v=""/>
    <s v=""/>
    <s v=""/>
    <s v=""/>
    <s v=""/>
    <m/>
    <s v=""/>
    <s v=""/>
    <s v=""/>
    <n v="0"/>
  </r>
  <r>
    <s v=""/>
    <s v="20121001"/>
    <s v="2009000401"/>
    <x v="4"/>
    <d v="2021-05-11T00:00:00"/>
    <d v="2021-05-23T00:00:00"/>
    <s v="DZ"/>
    <s v="USD"/>
    <n v="50371"/>
    <s v="84.66432"/>
    <s v="BDT"/>
    <n v="4264626.38"/>
    <n v="50371"/>
    <s v="50371_1"/>
    <s v=""/>
    <s v="UNIQ-565+499+500"/>
    <s v="0000001010"/>
    <s v="CM advance adjusted, ref-OBCDAK137799ARV"/>
    <s v=""/>
    <s v="0"/>
    <s v="OBCDAK138447FTT"/>
    <s v=""/>
    <s v=""/>
    <s v=""/>
    <s v=""/>
    <s v=""/>
    <m/>
    <s v=""/>
    <s v=""/>
    <s v=""/>
    <n v="0"/>
  </r>
  <r>
    <s v=""/>
    <s v="20121001"/>
    <s v="2009000412"/>
    <x v="5"/>
    <d v="2021-05-27T00:00:00"/>
    <d v="2021-05-29T00:00:00"/>
    <s v="DZ"/>
    <s v="USD"/>
    <n v="43370"/>
    <s v="84.78979"/>
    <s v="BDT"/>
    <n v="3677333.29"/>
    <n v="43370"/>
    <s v="43370_1"/>
    <s v=""/>
    <s v="LEV-601+602+603"/>
    <s v="0000001010"/>
    <s v="CM Advance adjusted, ref-OBCDAK138797ARV"/>
    <s v=""/>
    <s v="0"/>
    <s v="OBCDAK139449FTT"/>
    <s v=""/>
    <s v=""/>
    <s v=""/>
    <s v=""/>
    <s v=""/>
    <m/>
    <s v=""/>
    <s v=""/>
    <s v=""/>
    <n v="0"/>
  </r>
  <r>
    <s v=""/>
    <s v="20121001"/>
    <s v="2009000424"/>
    <x v="6"/>
    <d v="2021-06-08T00:00:00"/>
    <d v="2021-06-09T00:00:00"/>
    <s v="DZ"/>
    <s v="USD"/>
    <n v="36158"/>
    <s v="84.78994"/>
    <s v="BDT"/>
    <n v="3065834.8"/>
    <n v="36158"/>
    <s v="36158_1"/>
    <s v=""/>
    <s v="LEV-708+709+607"/>
    <s v="0000001010"/>
    <s v="CM Advance adjusted, ref-OBCDAK133886ARV"/>
    <s v=""/>
    <s v="0"/>
    <s v="OBCDAK140322FTT"/>
    <s v=""/>
    <s v=""/>
    <s v=""/>
    <s v=""/>
    <s v=""/>
    <m/>
    <s v=""/>
    <s v=""/>
    <s v=""/>
    <n v="0"/>
  </r>
  <r>
    <s v=""/>
    <s v="20121001"/>
    <s v="2009000416"/>
    <x v="7"/>
    <d v="2021-05-31T00:00:00"/>
    <d v="2021-06-01T00:00:00"/>
    <s v="DZ"/>
    <s v="USD"/>
    <n v="34371"/>
    <s v="84.78979"/>
    <s v="BDT"/>
    <n v="2914309.95"/>
    <n v="34371"/>
    <s v="34371_1"/>
    <s v=""/>
    <s v="LEV-564+605+616"/>
    <s v="0000001010"/>
    <s v="CM Advance adjusted, ref-OBCDAK138797ARV"/>
    <s v=""/>
    <s v="0"/>
    <s v="OBCDAK139700FTT"/>
    <s v=""/>
    <s v=""/>
    <s v=""/>
    <s v=""/>
    <s v=""/>
    <m/>
    <s v=""/>
    <s v=""/>
    <s v=""/>
    <n v="0"/>
  </r>
  <r>
    <s v=""/>
    <s v="20121001"/>
    <s v="2009000407"/>
    <x v="8"/>
    <d v="2021-05-20T00:00:00"/>
    <d v="2021-05-24T00:00:00"/>
    <s v="DZ"/>
    <s v="USD"/>
    <n v="34012"/>
    <s v="84.78979"/>
    <s v="BDT"/>
    <n v="2883870.42"/>
    <n v="34012"/>
    <s v="34012_1"/>
    <s v=""/>
    <s v="UNIQ-540+542+539"/>
    <s v="0000001010"/>
    <s v="CM Advance adjusted, ref-OBCDAK138797ARV"/>
    <s v=""/>
    <s v="0"/>
    <s v="OBCDAK138974FTT"/>
    <s v=""/>
    <s v=""/>
    <s v=""/>
    <s v=""/>
    <s v=""/>
    <m/>
    <s v=""/>
    <s v=""/>
    <s v=""/>
    <n v="0"/>
  </r>
  <r>
    <s v=""/>
    <s v="20121001"/>
    <s v="2009000449"/>
    <x v="9"/>
    <d v="2021-06-30T00:00:00"/>
    <d v="2021-07-03T00:00:00"/>
    <s v="DZ"/>
    <s v="USD"/>
    <n v="31545"/>
    <s v="84.78989"/>
    <s v="BDT"/>
    <n v="2674696.9900000002"/>
    <n v="31545"/>
    <s v="31545_1"/>
    <s v=""/>
    <s v="LEV-842+834+743"/>
    <s v="0000001010"/>
    <s v="CM advance adjusted, ref-OBCDAK141494ARV"/>
    <s v=""/>
    <s v="0"/>
    <s v="OBCDAK141830FTT"/>
    <s v=""/>
    <s v=""/>
    <s v=""/>
    <s v=""/>
    <s v=""/>
    <m/>
    <s v=""/>
    <s v=""/>
    <s v=""/>
    <n v="0"/>
  </r>
  <r>
    <s v=""/>
    <s v="20121001"/>
    <s v="2009000416"/>
    <x v="7"/>
    <d v="2021-05-31T00:00:00"/>
    <d v="2021-06-01T00:00:00"/>
    <s v="DZ"/>
    <s v="USD"/>
    <n v="29877"/>
    <s v="84.78994"/>
    <s v="BDT"/>
    <n v="2533269.16"/>
    <n v="29877"/>
    <s v="29877_1"/>
    <s v=""/>
    <s v="LEV-564+605+616"/>
    <s v="0000001010"/>
    <s v="CM Advance adjusted, ref-OBCDAK133886ARV"/>
    <s v=""/>
    <s v="0"/>
    <s v="OBCDAK139700FTT"/>
    <s v=""/>
    <s v=""/>
    <s v=""/>
    <s v=""/>
    <s v=""/>
    <m/>
    <s v=""/>
    <s v=""/>
    <s v=""/>
    <n v="0"/>
  </r>
  <r>
    <s v=""/>
    <s v="20121001"/>
    <s v="2009000409"/>
    <x v="10"/>
    <d v="2021-05-18T00:00:00"/>
    <d v="2021-05-24T00:00:00"/>
    <s v="DZ"/>
    <s v="USD"/>
    <n v="29763"/>
    <s v="84.66432"/>
    <s v="BDT"/>
    <n v="2519864.11"/>
    <n v="29763"/>
    <s v="29763_1"/>
    <s v=""/>
    <s v="LEV-563+502+600"/>
    <s v="0000001010"/>
    <s v="CM advance adjusted, ref-OBCDAK137799ARV"/>
    <s v=""/>
    <s v="0"/>
    <s v="OBCDAK138847FTT"/>
    <s v=""/>
    <s v=""/>
    <s v=""/>
    <s v=""/>
    <s v=""/>
    <m/>
    <s v=""/>
    <s v=""/>
    <s v=""/>
    <n v="0"/>
  </r>
  <r>
    <s v=""/>
    <s v="20121001"/>
    <s v="2009000423"/>
    <x v="6"/>
    <d v="2021-06-08T00:00:00"/>
    <d v="2021-06-09T00:00:00"/>
    <s v="DZ"/>
    <s v="USD"/>
    <n v="29552"/>
    <s v="84.78994"/>
    <s v="BDT"/>
    <n v="2505712.4300000002"/>
    <n v="29552"/>
    <s v="29552_1"/>
    <s v=""/>
    <s v="UNIQ-648+652+686"/>
    <s v="0000001010"/>
    <s v="CM Advance adjusted, ref-OBCDAK133886ARV"/>
    <s v=""/>
    <s v="0"/>
    <s v="OBCDAK140282FTT"/>
    <s v=""/>
    <s v=""/>
    <s v=""/>
    <s v=""/>
    <s v=""/>
    <m/>
    <s v=""/>
    <s v=""/>
    <s v=""/>
    <n v="0"/>
  </r>
  <r>
    <s v=""/>
    <s v="20121001"/>
    <s v="2009000447"/>
    <x v="11"/>
    <d v="2021-06-29T00:00:00"/>
    <d v="2021-07-03T00:00:00"/>
    <s v="DZ"/>
    <s v="USD"/>
    <n v="25340"/>
    <s v="84.78994"/>
    <s v="BDT"/>
    <n v="2148577.19"/>
    <n v="25340"/>
    <s v="25340_1"/>
    <s v=""/>
    <s v="LEV-777+760+786"/>
    <s v="0000001010"/>
    <s v="CM Advance adjusted, ref-OBCDAK135786ARV"/>
    <s v=""/>
    <s v="0"/>
    <s v="OBCDAK141564FTT"/>
    <s v=""/>
    <s v=""/>
    <s v=""/>
    <s v=""/>
    <s v=""/>
    <m/>
    <s v=""/>
    <s v=""/>
    <s v=""/>
    <n v="0"/>
  </r>
  <r>
    <s v=""/>
    <s v="20121001"/>
    <s v="2009000396"/>
    <x v="12"/>
    <d v="2021-05-05T00:00:00"/>
    <d v="2021-05-22T00:00:00"/>
    <s v="DZ"/>
    <s v="USD"/>
    <n v="24999"/>
    <s v="84.66432"/>
    <s v="BDT"/>
    <n v="2116523.29"/>
    <n v="24999"/>
    <s v="24999_1"/>
    <s v=""/>
    <s v="LEV-475+479+491"/>
    <s v="0000001010"/>
    <s v="CM advance adjusted, ref-OBCDAK137799ARV"/>
    <s v=""/>
    <s v="0"/>
    <s v="OBCDAK138015FTT"/>
    <s v=""/>
    <s v=""/>
    <s v=""/>
    <s v=""/>
    <s v=""/>
    <m/>
    <s v=""/>
    <s v=""/>
    <s v=""/>
    <n v="0"/>
  </r>
  <r>
    <s v=""/>
    <s v="20121001"/>
    <s v="2009000447"/>
    <x v="11"/>
    <d v="2021-06-29T00:00:00"/>
    <d v="2021-07-03T00:00:00"/>
    <s v="DZ"/>
    <s v="USD"/>
    <n v="23552"/>
    <s v="84.66409"/>
    <s v="BDT"/>
    <n v="1994008.66"/>
    <n v="23552"/>
    <s v="23552_1"/>
    <s v=""/>
    <s v="LEV-777+760+786"/>
    <s v="0000001010"/>
    <s v="CM advance adjusted, ref-OBCDAK140734ARV"/>
    <s v=""/>
    <s v="0"/>
    <s v="OBCDAK141564FTT"/>
    <s v=""/>
    <s v=""/>
    <s v=""/>
    <s v=""/>
    <s v=""/>
    <m/>
    <s v=""/>
    <s v=""/>
    <s v=""/>
    <n v="0"/>
  </r>
  <r>
    <s v=""/>
    <s v="20121001"/>
    <s v="2009000434"/>
    <x v="13"/>
    <d v="2021-06-14T00:00:00"/>
    <d v="2021-06-20T00:00:00"/>
    <s v="DZ"/>
    <s v="USD"/>
    <n v="22241"/>
    <s v="84.78994"/>
    <s v="BDT"/>
    <n v="1885813.15"/>
    <n v="22241"/>
    <s v="22241_1"/>
    <s v=""/>
    <s v="UNIQ-557+674+720"/>
    <s v="0000001010"/>
    <s v="CM Advance adjusted, ref-OBCDAK133886ARV"/>
    <s v=""/>
    <s v="0"/>
    <s v="OBCDAK140560FTT"/>
    <s v=""/>
    <s v=""/>
    <s v=""/>
    <s v=""/>
    <s v=""/>
    <m/>
    <s v=""/>
    <s v=""/>
    <s v=""/>
    <n v="0"/>
  </r>
  <r>
    <s v=""/>
    <s v="20121001"/>
    <s v="2009000412"/>
    <x v="5"/>
    <d v="2021-05-27T00:00:00"/>
    <d v="2021-05-29T00:00:00"/>
    <s v="DZ"/>
    <s v="USD"/>
    <n v="18689"/>
    <s v="84.78994"/>
    <s v="BDT"/>
    <n v="1584639.27"/>
    <n v="18689"/>
    <s v="18689_1"/>
    <s v=""/>
    <s v="LEV-601+602+603"/>
    <s v="0000001010"/>
    <s v="CM Advance adjusted, ref-OBCDAK133886ARV"/>
    <s v=""/>
    <s v="0"/>
    <s v="OBCDAK139449FTT"/>
    <s v=""/>
    <s v=""/>
    <s v=""/>
    <s v=""/>
    <s v=""/>
    <m/>
    <s v=""/>
    <s v=""/>
    <s v=""/>
    <n v="0"/>
  </r>
  <r>
    <s v=""/>
    <s v="20121001"/>
    <s v="2009000447"/>
    <x v="11"/>
    <d v="2021-06-29T00:00:00"/>
    <d v="2021-07-03T00:00:00"/>
    <s v="DZ"/>
    <s v="USD"/>
    <n v="17538"/>
    <s v="84.78994"/>
    <s v="BDT"/>
    <n v="1487046.04"/>
    <n v="17538"/>
    <s v="17538_1"/>
    <s v=""/>
    <s v="LEV-777+760+786"/>
    <s v="0000001010"/>
    <s v="CM Advance adjusted, ref-OBCDAK133886ARV"/>
    <s v=""/>
    <s v="0"/>
    <s v="OBCDAK141564FTT"/>
    <s v=""/>
    <s v=""/>
    <s v=""/>
    <s v=""/>
    <s v=""/>
    <m/>
    <s v=""/>
    <s v=""/>
    <s v=""/>
    <n v="0"/>
  </r>
  <r>
    <s v=""/>
    <s v="20121001"/>
    <s v="2009000440"/>
    <x v="3"/>
    <d v="2021-06-20T00:00:00"/>
    <d v="2021-06-22T00:00:00"/>
    <s v="DZ"/>
    <s v="USD"/>
    <n v="17526"/>
    <s v="84.78979"/>
    <s v="BDT"/>
    <n v="1486025.9"/>
    <n v="17526"/>
    <s v="17526_1"/>
    <s v=""/>
    <s v="UNIQ-506+446+574"/>
    <s v="0000001010"/>
    <s v="CM Advance adjusted, ref-OBCDAK138797ARV"/>
    <s v=""/>
    <s v="0"/>
    <s v="OBCDAK140947FTT"/>
    <s v=""/>
    <s v=""/>
    <s v=""/>
    <s v=""/>
    <s v=""/>
    <m/>
    <s v=""/>
    <s v=""/>
    <s v=""/>
    <n v="0"/>
  </r>
  <r>
    <s v=""/>
    <s v="20121001"/>
    <s v="2009000413"/>
    <x v="0"/>
    <d v="2021-05-30T00:00:00"/>
    <d v="2021-05-31T00:00:00"/>
    <s v="DZ"/>
    <s v="USD"/>
    <n v="10074"/>
    <s v="84.78979"/>
    <s v="BDT"/>
    <n v="854172.37"/>
    <n v="10074"/>
    <s v="10074_1"/>
    <s v=""/>
    <s v="LEV-624+604+614"/>
    <s v="0000001010"/>
    <s v="CM Advance adjusted, ref-OBCDAK138797ARV"/>
    <s v=""/>
    <s v="0"/>
    <s v="OBCDAK139579FTT"/>
    <s v=""/>
    <s v=""/>
    <s v=""/>
    <s v=""/>
    <s v=""/>
    <m/>
    <s v=""/>
    <s v=""/>
    <s v=""/>
    <n v="0"/>
  </r>
  <r>
    <s v=""/>
    <s v="20121001"/>
    <s v="2009000423"/>
    <x v="6"/>
    <d v="2021-06-08T00:00:00"/>
    <d v="2021-06-09T00:00:00"/>
    <s v="DZ"/>
    <s v="USD"/>
    <n v="9563"/>
    <s v="84.78979"/>
    <s v="BDT"/>
    <n v="810844.78"/>
    <n v="9563"/>
    <s v="9563_1"/>
    <s v=""/>
    <s v="UNIQ-648+652+686"/>
    <s v="0000001010"/>
    <s v="CM Advance adjusted, ref-OBCDAK138797ARV"/>
    <s v=""/>
    <s v="0"/>
    <s v="OBCDAK140282FTT"/>
    <s v=""/>
    <s v=""/>
    <s v=""/>
    <s v=""/>
    <s v=""/>
    <m/>
    <s v=""/>
    <s v=""/>
    <s v=""/>
    <n v="0"/>
  </r>
  <r>
    <s v=""/>
    <s v="20121001"/>
    <s v="2009000448"/>
    <x v="9"/>
    <d v="2021-06-30T00:00:00"/>
    <d v="2021-07-03T00:00:00"/>
    <s v="DZ"/>
    <s v="USD"/>
    <n v="8342"/>
    <s v="84.78994"/>
    <s v="BDT"/>
    <n v="707317.71"/>
    <n v="8342"/>
    <s v="8342_1"/>
    <s v=""/>
    <s v="LEV-736+792+839+"/>
    <s v="0000001010"/>
    <s v="CM Advance adjusted, ref-OBCDAK133886ARV"/>
    <s v=""/>
    <s v="0"/>
    <s v="OBCDAK141732FTT"/>
    <s v=""/>
    <s v=""/>
    <s v=""/>
    <s v=""/>
    <s v=""/>
    <m/>
    <s v=""/>
    <s v=""/>
    <s v=""/>
    <n v="0"/>
  </r>
  <r>
    <s v=""/>
    <s v="20121001"/>
    <s v="2009000448"/>
    <x v="9"/>
    <d v="2021-06-30T00:00:00"/>
    <d v="2021-07-03T00:00:00"/>
    <s v="DZ"/>
    <s v="USD"/>
    <n v="7669"/>
    <s v="84.78989"/>
    <s v="BDT"/>
    <n v="650253.65"/>
    <n v="7669"/>
    <s v="7669_1"/>
    <s v=""/>
    <s v="LEV-736+792+839+"/>
    <s v="0000001010"/>
    <s v="CM advance adjusted, ref-OBCDAK141494ARV"/>
    <s v=""/>
    <s v="0"/>
    <s v="OBCDAK141732FTT"/>
    <s v=""/>
    <s v=""/>
    <s v=""/>
    <s v=""/>
    <s v=""/>
    <m/>
    <s v=""/>
    <s v=""/>
    <s v=""/>
    <n v="0"/>
  </r>
  <r>
    <s v=""/>
    <s v="20121001"/>
    <s v="2009000449"/>
    <x v="9"/>
    <d v="2021-06-30T00:00:00"/>
    <d v="2021-07-03T00:00:00"/>
    <s v="DZ"/>
    <s v="USD"/>
    <n v="7225"/>
    <s v="84.78994"/>
    <s v="BDT"/>
    <n v="612607.35"/>
    <n v="7225"/>
    <s v="7225_1"/>
    <s v=""/>
    <s v="LEV-842+834+743"/>
    <s v="0000001010"/>
    <s v="CM Advance adjusted, ref-OBCDAK135786ARV"/>
    <s v=""/>
    <s v="0"/>
    <s v="OBCDAK141830FTT"/>
    <s v=""/>
    <s v=""/>
    <s v=""/>
    <s v=""/>
    <s v=""/>
    <m/>
    <s v=""/>
    <s v=""/>
    <s v=""/>
    <n v="0"/>
  </r>
  <r>
    <s v=""/>
    <s v="20121001"/>
    <s v="2009000448"/>
    <x v="9"/>
    <d v="2021-06-30T00:00:00"/>
    <d v="2021-07-03T00:00:00"/>
    <s v="DZ"/>
    <s v="USD"/>
    <n v="7004"/>
    <s v="84.66409"/>
    <s v="BDT"/>
    <n v="592987.29"/>
    <n v="7004"/>
    <s v="7004_1"/>
    <s v=""/>
    <s v="LEV-736+792+839+"/>
    <s v="0000001010"/>
    <s v="CM advance adjusted, ref-OBCDAK140734ARV"/>
    <s v=""/>
    <s v="0"/>
    <s v="OBCDAK141732FTT"/>
    <s v=""/>
    <s v=""/>
    <s v=""/>
    <s v=""/>
    <s v=""/>
    <m/>
    <s v=""/>
    <s v=""/>
    <s v=""/>
    <n v="0"/>
  </r>
  <r>
    <s v=""/>
    <s v="20121001"/>
    <s v="2009000416"/>
    <x v="7"/>
    <d v="2021-05-31T00:00:00"/>
    <d v="2021-06-01T00:00:00"/>
    <s v="DZ"/>
    <s v="USD"/>
    <n v="6584"/>
    <s v="84.66432"/>
    <s v="BDT"/>
    <n v="557429.87"/>
    <n v="6584"/>
    <s v="6584_1"/>
    <s v=""/>
    <s v="LEV-564+605+616"/>
    <s v="0000001010"/>
    <s v="CM advance adjusted, ref-OBCDAK137799ARV"/>
    <s v=""/>
    <s v="0"/>
    <s v="OBCDAK139700FTT"/>
    <s v=""/>
    <s v=""/>
    <s v=""/>
    <s v=""/>
    <s v=""/>
    <m/>
    <s v=""/>
    <s v=""/>
    <s v=""/>
    <n v="0"/>
  </r>
  <r>
    <s v=""/>
    <s v="20121001"/>
    <s v="2009000439"/>
    <x v="3"/>
    <d v="2021-06-20T00:00:00"/>
    <d v="2021-06-22T00:00:00"/>
    <s v="DZ"/>
    <s v="USD"/>
    <n v="6507"/>
    <s v="84.66409"/>
    <s v="BDT"/>
    <n v="550909.24"/>
    <n v="6507"/>
    <s v="6507_1"/>
    <s v=""/>
    <s v="LEV-035+0373+743"/>
    <s v="0000001010"/>
    <s v="CM advance adjusted, ref-OBCDAK140734ARV"/>
    <s v=""/>
    <s v="0"/>
    <s v="OBCDAK140914FTT"/>
    <s v=""/>
    <s v=""/>
    <s v=""/>
    <s v=""/>
    <s v=""/>
    <m/>
    <s v=""/>
    <s v=""/>
    <s v=""/>
    <n v="0"/>
  </r>
  <r>
    <s v=""/>
    <s v="20121001"/>
    <s v="2009000448"/>
    <x v="9"/>
    <d v="2021-06-30T00:00:00"/>
    <d v="2021-07-03T00:00:00"/>
    <s v="DZ"/>
    <s v="USD"/>
    <n v="6117"/>
    <s v="84.78994"/>
    <s v="BDT"/>
    <n v="518660.09"/>
    <n v="6117"/>
    <s v="6117_1"/>
    <s v=""/>
    <s v="LEV-736+792+839+"/>
    <s v="0000001010"/>
    <s v="CM Advance adjusted, ref-OBCDAK135786ARV"/>
    <s v=""/>
    <s v="0"/>
    <s v="OBCDAK141732FTT"/>
    <s v=""/>
    <s v=""/>
    <s v=""/>
    <s v=""/>
    <s v=""/>
    <m/>
    <s v=""/>
    <s v=""/>
    <s v=""/>
    <n v="0"/>
  </r>
  <r>
    <s v=""/>
    <s v="20121001"/>
    <s v="2009000440"/>
    <x v="3"/>
    <d v="2021-06-20T00:00:00"/>
    <d v="2021-06-22T00:00:00"/>
    <s v="DZ"/>
    <s v="USD"/>
    <n v="4092"/>
    <s v="84.66409"/>
    <s v="BDT"/>
    <n v="346445.46"/>
    <n v="4092"/>
    <s v="4092_1"/>
    <s v=""/>
    <s v="UNIQ-506+446+574"/>
    <s v="0000001010"/>
    <s v="CM advance adjusted, ref-OBCDAK140734ARV"/>
    <s v=""/>
    <s v="0"/>
    <s v="OBCDAK140947FTT"/>
    <s v=""/>
    <s v=""/>
    <s v=""/>
    <s v=""/>
    <s v=""/>
    <m/>
    <s v=""/>
    <s v=""/>
    <s v=""/>
    <n v="0"/>
  </r>
  <r>
    <s v=""/>
    <s v="20121001"/>
    <s v="2009000435"/>
    <x v="13"/>
    <d v="2021-06-14T00:00:00"/>
    <d v="2021-06-20T00:00:00"/>
    <s v="DZ"/>
    <s v="USD"/>
    <n v="2652"/>
    <s v="84.78979"/>
    <s v="BDT"/>
    <n v="224862.53"/>
    <n v="2652"/>
    <s v="2652_1"/>
    <s v=""/>
    <s v="LEV-622+623-21"/>
    <s v="0000001010"/>
    <s v="CM Advance adjusted, ref-OBCDAK138797ARV"/>
    <s v=""/>
    <s v="0"/>
    <s v="OBCDAK140586FTT"/>
    <s v=""/>
    <s v=""/>
    <s v=""/>
    <s v=""/>
    <s v=""/>
    <m/>
    <s v=""/>
    <s v=""/>
    <s v=""/>
    <n v="0"/>
  </r>
  <r>
    <s v=""/>
    <s v="20121001"/>
    <s v="2009000435"/>
    <x v="13"/>
    <d v="2021-06-14T00:00:00"/>
    <d v="2021-06-20T00:00:00"/>
    <s v="DZ"/>
    <s v="USD"/>
    <n v="2512"/>
    <s v="84.78994"/>
    <s v="BDT"/>
    <n v="212992.34"/>
    <n v="2512"/>
    <s v="2512_1"/>
    <s v=""/>
    <s v="LEV-622+623-21"/>
    <s v="0000001010"/>
    <s v="CM Advance adjusted, ref-OBCDAK133886ARV"/>
    <s v=""/>
    <s v="0"/>
    <s v="OBCDAK140586FTT"/>
    <s v=""/>
    <s v=""/>
    <s v=""/>
    <s v=""/>
    <s v=""/>
    <m/>
    <s v=""/>
    <s v=""/>
    <s v=""/>
    <n v="0"/>
  </r>
  <r>
    <s v=""/>
    <s v="20121001"/>
    <s v="2009000412"/>
    <x v="5"/>
    <d v="2021-05-27T00:00:00"/>
    <d v="2021-05-29T00:00:00"/>
    <s v="DZ"/>
    <s v="USD"/>
    <n v="2280"/>
    <s v="84.66432"/>
    <s v="BDT"/>
    <n v="193034.65"/>
    <n v="2280"/>
    <s v="2280_1"/>
    <s v=""/>
    <s v="LEV-601+602+603"/>
    <s v="0000001010"/>
    <s v="CM advance adjusted, ref-OBCDAK137799ARV"/>
    <s v=""/>
    <s v="0"/>
    <s v="OBCDAK139449FTT"/>
    <s v=""/>
    <s v=""/>
    <s v=""/>
    <s v=""/>
    <s v=""/>
    <m/>
    <s v=""/>
    <s v=""/>
    <s v=""/>
    <n v="0"/>
  </r>
  <r>
    <s v=""/>
    <s v="20121001"/>
    <s v="2009000402"/>
    <x v="4"/>
    <d v="2021-05-11T00:00:00"/>
    <d v="2021-05-23T00:00:00"/>
    <s v="DZ"/>
    <s v="USD"/>
    <n v="1261"/>
    <s v="84.66432"/>
    <s v="BDT"/>
    <n v="106761.71"/>
    <n v="1261"/>
    <s v="1261_1"/>
    <s v=""/>
    <s v="UNIQ-509+507+520"/>
    <s v="0000001010"/>
    <s v="CM advance adjusted, ref-OBCDAK137799ARV"/>
    <s v=""/>
    <s v="0"/>
    <s v="OBCDAK138471FTT"/>
    <s v=""/>
    <s v=""/>
    <s v=""/>
    <s v=""/>
    <s v=""/>
    <m/>
    <s v=""/>
    <s v=""/>
    <s v=""/>
    <n v="0"/>
  </r>
  <r>
    <s v=""/>
    <s v="20121001"/>
    <s v="2009000439"/>
    <x v="3"/>
    <d v="2021-06-20T00:00:00"/>
    <d v="2021-06-22T00:00:00"/>
    <s v="DZ"/>
    <s v="USD"/>
    <n v="975"/>
    <s v="84.78995"/>
    <s v="BDT"/>
    <n v="82670.2"/>
    <n v="975"/>
    <s v="975_1"/>
    <s v=""/>
    <s v="LEV-035+0373+743"/>
    <s v="0000001010"/>
    <s v="CM Advance adjusted, ref-OBCDAK133886ARV"/>
    <s v=""/>
    <s v="0"/>
    <s v="OBCDAK140914FTT"/>
    <s v=""/>
    <s v=""/>
    <s v=""/>
    <s v=""/>
    <s v=""/>
    <m/>
    <s v=""/>
    <s v=""/>
    <s v=""/>
    <n v="0"/>
  </r>
  <r>
    <s v=""/>
    <s v="20121001"/>
    <s v="2009000444"/>
    <x v="2"/>
    <d v="2021-06-24T00:00:00"/>
    <d v="2021-06-27T00:00:00"/>
    <s v="DZ"/>
    <s v="USD"/>
    <n v="809"/>
    <s v="84.78994"/>
    <s v="BDT"/>
    <n v="68595.06"/>
    <n v="809"/>
    <s v="809_1"/>
    <s v=""/>
    <s v="LEV-737+744"/>
    <s v="0000001010"/>
    <s v="CM Advance adjusted, ref-OBCDAK135786ARV"/>
    <s v=""/>
    <s v="0"/>
    <s v="OBCDAK141327FTT"/>
    <s v=""/>
    <s v=""/>
    <s v=""/>
    <s v=""/>
    <s v=""/>
    <m/>
    <s v=""/>
    <s v=""/>
    <s v=""/>
    <n v="0"/>
  </r>
  <r>
    <s v=""/>
    <s v="20121001"/>
    <s v="2009000411"/>
    <x v="14"/>
    <d v="2021-05-24T00:00:00"/>
    <d v="2021-05-26T00:00:00"/>
    <s v="DZ"/>
    <s v="USD"/>
    <n v="667"/>
    <s v="84.78994"/>
    <s v="BDT"/>
    <n v="56554.89"/>
    <n v="667"/>
    <s v="667_1"/>
    <s v=""/>
    <s v="LEV-0617+0547-21"/>
    <s v="0000001010"/>
    <s v="CM Advance adjusted, ref-OBCDAK133886ARV"/>
    <s v=""/>
    <s v="0"/>
    <s v="OBCDAK139161FTT"/>
    <s v=""/>
    <s v=""/>
    <s v=""/>
    <s v=""/>
    <s v=""/>
    <m/>
    <s v=""/>
    <s v=""/>
    <s v=""/>
    <n v="0"/>
  </r>
  <r>
    <s v=""/>
    <s v="20121001"/>
    <s v="2009000423"/>
    <x v="6"/>
    <d v="2021-06-08T00:00:00"/>
    <d v="2021-06-09T00:00:00"/>
    <s v="DZ"/>
    <s v="USD"/>
    <n v="605"/>
    <s v="84.66431"/>
    <s v="BDT"/>
    <n v="51221.91"/>
    <n v="605"/>
    <s v="605_1"/>
    <s v=""/>
    <s v="UNIQ-648+652+686"/>
    <s v="0000001010"/>
    <s v="CM advance adjusted, ref-OBCDAK137799ARV"/>
    <s v=""/>
    <s v="0"/>
    <s v="OBCDAK140282FTT"/>
    <s v=""/>
    <s v=""/>
    <s v=""/>
    <s v=""/>
    <s v=""/>
    <m/>
    <s v=""/>
    <s v=""/>
    <s v=""/>
    <n v="0"/>
  </r>
  <r>
    <s v=""/>
    <s v="20121001"/>
    <s v="2009000444"/>
    <x v="2"/>
    <d v="2021-06-24T00:00:00"/>
    <d v="2021-06-27T00:00:00"/>
    <s v="DZ"/>
    <s v="USD"/>
    <n v="520"/>
    <s v="84.78979"/>
    <s v="BDT"/>
    <n v="44090.69"/>
    <n v="520"/>
    <s v="520_1"/>
    <s v=""/>
    <s v="LEV-737+744"/>
    <s v="0000001010"/>
    <s v="CM Advance adjusted, ref-OBCDAK138797ARV"/>
    <s v=""/>
    <s v="0"/>
    <s v="OBCDAK141327FTT"/>
    <s v=""/>
    <s v=""/>
    <s v=""/>
    <s v=""/>
    <s v=""/>
    <m/>
    <s v=""/>
    <s v=""/>
    <s v=""/>
    <n v="0"/>
  </r>
  <r>
    <s v=""/>
    <s v="20121001"/>
    <s v="2009000399"/>
    <x v="15"/>
    <d v="2021-05-06T00:00:00"/>
    <d v="2021-05-23T00:00:00"/>
    <s v="DZ"/>
    <s v="USD"/>
    <n v="293"/>
    <s v="84.66433"/>
    <s v="BDT"/>
    <n v="24806.65"/>
    <n v="293"/>
    <s v="293_1"/>
    <s v=""/>
    <s v="LEV-473+492+519"/>
    <s v="0000001010"/>
    <s v="CM advance adjusted, ref-OBCDAK137799ARV"/>
    <s v=""/>
    <s v="0"/>
    <s v="OBCDAK138167FTT"/>
    <s v=""/>
    <s v=""/>
    <s v=""/>
    <s v=""/>
    <s v=""/>
    <m/>
    <s v=""/>
    <s v=""/>
    <s v=""/>
    <n v="0"/>
  </r>
  <r>
    <s v=""/>
    <s v="20121001"/>
    <s v="2009000431"/>
    <x v="16"/>
    <d v="2021-06-10T00:00:00"/>
    <d v="2021-06-13T00:00:00"/>
    <s v="DZ"/>
    <s v="USD"/>
    <n v="170"/>
    <s v="84.78994"/>
    <s v="BDT"/>
    <n v="14414.29"/>
    <n v="170"/>
    <s v="170_1"/>
    <s v=""/>
    <s v="C3284LVMY0710-21"/>
    <s v="0000001010"/>
    <s v="CM Advance adjusted, ref-OBCDAK133886ARV"/>
    <s v=""/>
    <s v="0"/>
    <s v="OBCDAK140497FTT"/>
    <s v=""/>
    <s v=""/>
    <s v=""/>
    <s v=""/>
    <s v=""/>
    <m/>
    <s v=""/>
    <s v=""/>
    <s v=""/>
    <n v="0"/>
  </r>
  <r>
    <s v=""/>
    <s v="20121001"/>
    <s v="2009000409"/>
    <x v="10"/>
    <d v="2021-05-18T00:00:00"/>
    <d v="2021-05-24T00:00:00"/>
    <s v="DZ"/>
    <s v="USD"/>
    <n v="146"/>
    <s v="84.78993"/>
    <s v="BDT"/>
    <n v="12379.33"/>
    <n v="146"/>
    <s v="146_1"/>
    <s v=""/>
    <s v="LEV-563+502+600"/>
    <s v="0000001010"/>
    <s v="CM Advance adjusted, ref-OBCDAK133886ARV"/>
    <s v=""/>
    <s v="0"/>
    <s v="OBCDAK138847FTT"/>
    <s v=""/>
    <s v=""/>
    <s v=""/>
    <s v=""/>
    <s v=""/>
    <m/>
    <s v=""/>
    <s v=""/>
    <s v=""/>
    <n v="0"/>
  </r>
  <r>
    <s v=""/>
    <s v="20121001"/>
    <s v="2009000437"/>
    <x v="16"/>
    <d v="2021-06-10T00:00:00"/>
    <d v="2021-06-21T00:00:00"/>
    <s v="DZ"/>
    <s v="USD"/>
    <n v="144"/>
    <s v="84.78993"/>
    <s v="BDT"/>
    <n v="12209.75"/>
    <n v="144"/>
    <s v="144_1"/>
    <s v=""/>
    <s v="LEV-0498-21"/>
    <s v="0000001010"/>
    <s v="CM Advance adjusted, ref-OBCDAK133886ARV"/>
    <s v=""/>
    <s v="0"/>
    <s v="OBCDAK140497FTT"/>
    <s v=""/>
    <s v=""/>
    <s v=""/>
    <s v=""/>
    <s v=""/>
    <m/>
    <s v=""/>
    <s v=""/>
    <s v=""/>
    <n v="0"/>
  </r>
  <r>
    <s v=""/>
    <s v="20121001"/>
    <s v="2009000457"/>
    <x v="9"/>
    <d v="2021-06-30T00:00:00"/>
    <d v="2021-07-10T00:00:00"/>
    <s v="DZ"/>
    <s v="USD"/>
    <n v="1"/>
    <s v="83.95000"/>
    <s v="BDT"/>
    <n v="83.95"/>
    <n v="1"/>
    <s v="1_1"/>
    <s v=""/>
    <s v="CM ADV ADJUST"/>
    <s v="0000001010"/>
    <s v="CM advance adjusted, ref-OBCDAK137799ARV"/>
    <s v=""/>
    <s v="0"/>
    <s v="CM ADV ADJUST-EDL"/>
    <s v=""/>
    <s v=""/>
    <s v=""/>
    <s v=""/>
    <s v=""/>
    <m/>
    <s v=""/>
    <s v="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9" cacheId="6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nths">
  <location ref="A19:B23" firstHeaderRow="1" firstDataRow="1" firstDataCol="1"/>
  <pivotFields count="32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2">
    <field x="31"/>
    <field x="3"/>
  </rowFields>
  <rowItems count="4">
    <i>
      <x v="1"/>
    </i>
    <i r="1">
      <x v="5"/>
    </i>
    <i r="1">
      <x v="6"/>
    </i>
    <i t="grand">
      <x/>
    </i>
  </rowItems>
  <colItems count="1">
    <i/>
  </colItems>
  <dataFields count="1">
    <dataField name="Amount in USD" fld="12" baseField="0" baseItem="0" numFmtId="165"/>
  </dataFields>
  <formats count="10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31" count="1">
            <x v="1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2">
          <reference field="3" count="2">
            <x v="5"/>
            <x v="6"/>
          </reference>
          <reference field="31" count="1" selected="0">
            <x v="1"/>
          </reference>
        </references>
      </pivotArea>
    </format>
    <format dxfId="0">
      <pivotArea field="3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showGridLines="0" tabSelected="1" workbookViewId="0">
      <selection activeCell="A30" sqref="A30:XFD32"/>
    </sheetView>
  </sheetViews>
  <sheetFormatPr defaultColWidth="9.140625" defaultRowHeight="15.75" x14ac:dyDescent="0.2"/>
  <cols>
    <col min="1" max="1" width="21.140625" style="5" bestFit="1" customWidth="1"/>
    <col min="2" max="2" width="19.140625" style="5" bestFit="1" customWidth="1"/>
    <col min="3" max="3" width="11.28515625" style="5" bestFit="1" customWidth="1"/>
    <col min="4" max="4" width="24.7109375" style="5" hidden="1" customWidth="1"/>
    <col min="5" max="8" width="9.140625" style="5"/>
    <col min="9" max="9" width="17.7109375" style="5" bestFit="1" customWidth="1"/>
    <col min="10" max="10" width="10.28515625" style="5" bestFit="1" customWidth="1"/>
    <col min="11" max="16384" width="9.140625" style="5"/>
  </cols>
  <sheetData>
    <row r="1" spans="1:15" s="6" customFormat="1" x14ac:dyDescent="0.25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s="6" customFormat="1" ht="16.5" thickBot="1" x14ac:dyDescent="0.3">
      <c r="A2" s="20" t="s">
        <v>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5" s="6" customFormat="1" x14ac:dyDescent="0.25">
      <c r="A3" s="35"/>
      <c r="B3" s="36"/>
      <c r="C3" s="26"/>
      <c r="D3" s="26"/>
      <c r="E3" s="26"/>
      <c r="F3" s="26"/>
      <c r="G3" s="26"/>
      <c r="H3" s="26"/>
      <c r="I3" s="26"/>
      <c r="J3" s="26"/>
      <c r="K3" s="26"/>
    </row>
    <row r="4" spans="1:15" s="6" customFormat="1" ht="15.75" customHeight="1" x14ac:dyDescent="0.25">
      <c r="A4" s="23" t="s">
        <v>37</v>
      </c>
      <c r="B4" s="24" t="s">
        <v>38</v>
      </c>
      <c r="C4" s="24"/>
      <c r="D4" s="24"/>
      <c r="E4" s="24"/>
      <c r="F4" s="25"/>
      <c r="G4" s="26"/>
      <c r="H4" s="26"/>
      <c r="I4" s="26"/>
      <c r="J4" s="26"/>
      <c r="K4" s="26"/>
    </row>
    <row r="5" spans="1:15" s="6" customFormat="1" ht="15.75" customHeight="1" x14ac:dyDescent="0.25">
      <c r="A5" s="27" t="s">
        <v>39</v>
      </c>
      <c r="B5" s="24" t="s">
        <v>58</v>
      </c>
      <c r="C5" s="24"/>
      <c r="D5" s="24"/>
      <c r="E5" s="24"/>
      <c r="F5" s="26"/>
      <c r="G5" s="26"/>
      <c r="H5" s="26"/>
      <c r="I5" s="28" t="s">
        <v>40</v>
      </c>
      <c r="J5" s="29" t="s">
        <v>57</v>
      </c>
      <c r="K5" s="26"/>
    </row>
    <row r="6" spans="1:15" s="6" customFormat="1" ht="14.45" customHeight="1" x14ac:dyDescent="0.25">
      <c r="A6" s="28" t="s">
        <v>209</v>
      </c>
      <c r="B6" s="24" t="s">
        <v>41</v>
      </c>
      <c r="C6" s="24"/>
      <c r="D6" s="24"/>
      <c r="E6" s="24"/>
      <c r="F6" s="26"/>
      <c r="G6" s="26"/>
      <c r="H6" s="26"/>
      <c r="I6" s="28" t="s">
        <v>42</v>
      </c>
      <c r="J6" s="22">
        <v>44416</v>
      </c>
      <c r="K6" s="26"/>
    </row>
    <row r="7" spans="1:15" s="6" customFormat="1" x14ac:dyDescent="0.25">
      <c r="A7" s="30" t="s">
        <v>210</v>
      </c>
      <c r="B7" s="24" t="s">
        <v>61</v>
      </c>
      <c r="C7" s="24"/>
      <c r="D7" s="24"/>
      <c r="E7" s="24"/>
      <c r="F7" s="26"/>
      <c r="G7" s="26"/>
      <c r="H7" s="26"/>
      <c r="I7" s="28" t="s">
        <v>43</v>
      </c>
      <c r="J7" s="22">
        <v>44416</v>
      </c>
      <c r="K7" s="26"/>
    </row>
    <row r="8" spans="1:15" s="6" customFormat="1" x14ac:dyDescent="0.25">
      <c r="A8" s="30" t="s">
        <v>211</v>
      </c>
      <c r="B8" s="31" t="s">
        <v>212</v>
      </c>
      <c r="C8" s="32"/>
      <c r="D8" s="32"/>
      <c r="E8" s="33"/>
      <c r="F8" s="26"/>
      <c r="G8" s="26"/>
      <c r="H8" s="26"/>
      <c r="I8" s="21" t="s">
        <v>43</v>
      </c>
      <c r="J8" s="22">
        <v>44418</v>
      </c>
      <c r="K8" s="26"/>
    </row>
    <row r="9" spans="1:15" s="6" customFormat="1" x14ac:dyDescent="0.25">
      <c r="A9" s="23" t="s">
        <v>44</v>
      </c>
      <c r="B9" s="34">
        <v>44377</v>
      </c>
      <c r="C9" s="34"/>
      <c r="D9" s="34"/>
      <c r="E9" s="34"/>
      <c r="F9" s="26"/>
      <c r="G9" s="26"/>
      <c r="H9" s="26"/>
      <c r="I9" s="26"/>
      <c r="J9" s="26"/>
      <c r="K9" s="26"/>
    </row>
    <row r="10" spans="1:15" s="1" customFormat="1" x14ac:dyDescent="0.2">
      <c r="A10" s="35"/>
      <c r="B10" s="36"/>
      <c r="C10" s="35"/>
      <c r="D10" s="35"/>
      <c r="E10" s="35"/>
      <c r="F10" s="35"/>
      <c r="G10" s="35"/>
      <c r="H10" s="35"/>
      <c r="I10" s="35"/>
      <c r="J10" s="35"/>
      <c r="K10" s="35"/>
    </row>
    <row r="11" spans="1:15" s="6" customFormat="1" x14ac:dyDescent="0.25">
      <c r="A11" s="37" t="s">
        <v>45</v>
      </c>
      <c r="B11" s="26" t="s">
        <v>214</v>
      </c>
      <c r="C11" s="26"/>
      <c r="D11" s="26"/>
      <c r="E11" s="26"/>
      <c r="F11" s="26"/>
      <c r="G11" s="26"/>
      <c r="H11" s="26"/>
      <c r="I11" s="26"/>
      <c r="J11" s="26"/>
      <c r="K11" s="26"/>
    </row>
    <row r="12" spans="1:15" s="6" customFormat="1" x14ac:dyDescent="0.25">
      <c r="A12" s="37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5" s="6" customFormat="1" ht="95.25" customHeight="1" x14ac:dyDescent="0.25">
      <c r="A13" s="38" t="s">
        <v>46</v>
      </c>
      <c r="B13" s="39" t="s">
        <v>59</v>
      </c>
      <c r="C13" s="39"/>
      <c r="D13" s="39"/>
      <c r="E13" s="39"/>
      <c r="F13" s="39"/>
      <c r="G13" s="39"/>
      <c r="H13" s="39"/>
      <c r="I13" s="39"/>
      <c r="J13" s="39"/>
      <c r="K13" s="39"/>
    </row>
    <row r="14" spans="1:15" s="6" customFormat="1" ht="7.5" customHeight="1" x14ac:dyDescent="0.25">
      <c r="A14" s="37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5" s="6" customFormat="1" x14ac:dyDescent="0.25">
      <c r="A15" s="37" t="s">
        <v>47</v>
      </c>
      <c r="B15" s="40" t="s">
        <v>202</v>
      </c>
      <c r="C15" s="41"/>
      <c r="D15" s="41"/>
      <c r="E15" s="41"/>
      <c r="F15" s="41"/>
      <c r="G15" s="41"/>
      <c r="H15" s="41"/>
      <c r="I15" s="41"/>
      <c r="J15" s="41"/>
      <c r="K15" s="41"/>
      <c r="L15" s="7"/>
      <c r="M15" s="7"/>
      <c r="N15" s="7"/>
      <c r="O15" s="7"/>
    </row>
    <row r="16" spans="1:15" s="6" customFormat="1" x14ac:dyDescent="0.25">
      <c r="A16" s="3"/>
      <c r="B16" s="4"/>
    </row>
    <row r="19" spans="1:15" x14ac:dyDescent="0.2">
      <c r="A19" s="8" t="s">
        <v>200</v>
      </c>
      <c r="B19" s="8" t="s">
        <v>201</v>
      </c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x14ac:dyDescent="0.2">
      <c r="A20" s="9" t="s">
        <v>60</v>
      </c>
      <c r="B20" s="10">
        <v>1167127</v>
      </c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x14ac:dyDescent="0.2">
      <c r="A21" s="11" t="s">
        <v>198</v>
      </c>
      <c r="B21" s="10">
        <v>463487</v>
      </c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2">
      <c r="A22" s="11" t="s">
        <v>199</v>
      </c>
      <c r="B22" s="10">
        <v>703640</v>
      </c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2">
      <c r="A23" s="12" t="s">
        <v>34</v>
      </c>
      <c r="B23" s="13">
        <v>1167127</v>
      </c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6.5" thickBo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customFormat="1" ht="30" customHeight="1" x14ac:dyDescent="0.25">
      <c r="A30" s="52" t="s">
        <v>48</v>
      </c>
      <c r="B30" s="53" t="s">
        <v>215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</row>
    <row r="31" spans="1:15" customFormat="1" ht="37.5" customHeight="1" x14ac:dyDescent="0.25">
      <c r="A31" s="55" t="s">
        <v>49</v>
      </c>
      <c r="B31" s="56" t="s">
        <v>217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</row>
    <row r="32" spans="1:15" customFormat="1" ht="21" customHeight="1" thickBot="1" x14ac:dyDescent="0.3">
      <c r="A32" s="58" t="s">
        <v>50</v>
      </c>
      <c r="B32" s="59" t="s">
        <v>216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</row>
    <row r="33" spans="1:15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</sheetData>
  <mergeCells count="10">
    <mergeCell ref="B31:O31"/>
    <mergeCell ref="B9:E9"/>
    <mergeCell ref="B13:K13"/>
    <mergeCell ref="A1:N1"/>
    <mergeCell ref="A2:N2"/>
    <mergeCell ref="B4:E4"/>
    <mergeCell ref="B5:E5"/>
    <mergeCell ref="B6:E6"/>
    <mergeCell ref="B7:E7"/>
    <mergeCell ref="B8:E8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showGridLines="0" workbookViewId="0">
      <selection activeCell="B13" sqref="B13:K13"/>
    </sheetView>
  </sheetViews>
  <sheetFormatPr defaultRowHeight="12.75" x14ac:dyDescent="0.2"/>
  <cols>
    <col min="1" max="1" width="20.85546875" bestFit="1" customWidth="1"/>
    <col min="2" max="2" width="15" customWidth="1"/>
    <col min="3" max="3" width="11.42578125" customWidth="1"/>
    <col min="9" max="9" width="17.7109375" bestFit="1" customWidth="1"/>
    <col min="10" max="10" width="10.5703125" customWidth="1"/>
  </cols>
  <sheetData>
    <row r="1" spans="1:15" s="6" customFormat="1" ht="15.75" x14ac:dyDescent="0.25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s="6" customFormat="1" ht="16.5" thickBot="1" x14ac:dyDescent="0.3">
      <c r="A2" s="20" t="s">
        <v>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5" s="6" customFormat="1" ht="15.75" x14ac:dyDescent="0.25">
      <c r="A3" s="1"/>
      <c r="B3" s="2"/>
    </row>
    <row r="4" spans="1:15" s="6" customFormat="1" ht="15.75" customHeight="1" x14ac:dyDescent="0.25">
      <c r="A4" s="23" t="s">
        <v>37</v>
      </c>
      <c r="B4" s="24" t="s">
        <v>38</v>
      </c>
      <c r="C4" s="24"/>
      <c r="D4" s="24"/>
      <c r="E4" s="24"/>
      <c r="F4" s="25"/>
      <c r="G4" s="26"/>
      <c r="H4" s="26"/>
      <c r="I4" s="26"/>
      <c r="J4" s="26"/>
      <c r="K4" s="26"/>
    </row>
    <row r="5" spans="1:15" s="6" customFormat="1" ht="15.75" customHeight="1" x14ac:dyDescent="0.25">
      <c r="A5" s="27" t="s">
        <v>39</v>
      </c>
      <c r="B5" s="24" t="s">
        <v>58</v>
      </c>
      <c r="C5" s="24"/>
      <c r="D5" s="24"/>
      <c r="E5" s="24"/>
      <c r="F5" s="26"/>
      <c r="G5" s="26"/>
      <c r="H5" s="26"/>
      <c r="I5" s="28" t="s">
        <v>40</v>
      </c>
      <c r="J5" s="29" t="s">
        <v>208</v>
      </c>
      <c r="K5" s="26"/>
    </row>
    <row r="6" spans="1:15" s="6" customFormat="1" ht="14.45" customHeight="1" x14ac:dyDescent="0.25">
      <c r="A6" s="28" t="s">
        <v>209</v>
      </c>
      <c r="B6" s="24" t="s">
        <v>41</v>
      </c>
      <c r="C6" s="24"/>
      <c r="D6" s="24"/>
      <c r="E6" s="24"/>
      <c r="F6" s="26"/>
      <c r="G6" s="26"/>
      <c r="H6" s="26"/>
      <c r="I6" s="28" t="s">
        <v>42</v>
      </c>
      <c r="J6" s="22">
        <v>44416</v>
      </c>
      <c r="K6" s="26"/>
    </row>
    <row r="7" spans="1:15" s="6" customFormat="1" ht="15.75" x14ac:dyDescent="0.25">
      <c r="A7" s="30" t="s">
        <v>210</v>
      </c>
      <c r="B7" s="24" t="s">
        <v>61</v>
      </c>
      <c r="C7" s="24"/>
      <c r="D7" s="24"/>
      <c r="E7" s="24"/>
      <c r="F7" s="26"/>
      <c r="G7" s="26"/>
      <c r="H7" s="26"/>
      <c r="I7" s="28" t="s">
        <v>43</v>
      </c>
      <c r="J7" s="22">
        <v>44416</v>
      </c>
      <c r="K7" s="26"/>
    </row>
    <row r="8" spans="1:15" s="6" customFormat="1" ht="15.75" x14ac:dyDescent="0.25">
      <c r="A8" s="30" t="s">
        <v>211</v>
      </c>
      <c r="B8" s="31" t="s">
        <v>212</v>
      </c>
      <c r="C8" s="32"/>
      <c r="D8" s="32"/>
      <c r="E8" s="33"/>
      <c r="F8" s="26"/>
      <c r="G8" s="26"/>
      <c r="H8" s="26"/>
      <c r="I8" s="21" t="s">
        <v>43</v>
      </c>
      <c r="J8" s="22">
        <v>44418</v>
      </c>
      <c r="K8" s="26"/>
    </row>
    <row r="9" spans="1:15" s="6" customFormat="1" ht="15.75" x14ac:dyDescent="0.25">
      <c r="A9" s="23" t="s">
        <v>44</v>
      </c>
      <c r="B9" s="34">
        <v>44377</v>
      </c>
      <c r="C9" s="34"/>
      <c r="D9" s="34"/>
      <c r="E9" s="34"/>
      <c r="F9" s="26"/>
      <c r="G9" s="26"/>
      <c r="H9" s="26"/>
      <c r="I9" s="26"/>
      <c r="J9" s="26"/>
      <c r="K9" s="26"/>
    </row>
    <row r="10" spans="1:15" s="1" customFormat="1" ht="15.75" x14ac:dyDescent="0.2">
      <c r="A10" s="35"/>
      <c r="B10" s="36"/>
      <c r="C10" s="35"/>
      <c r="D10" s="35"/>
      <c r="E10" s="35"/>
      <c r="F10" s="35"/>
      <c r="G10" s="35"/>
      <c r="H10" s="35"/>
      <c r="I10" s="35"/>
      <c r="J10" s="35"/>
      <c r="K10" s="35"/>
    </row>
    <row r="11" spans="1:15" s="6" customFormat="1" ht="15.75" x14ac:dyDescent="0.25">
      <c r="A11" s="37" t="s">
        <v>45</v>
      </c>
      <c r="B11" s="26" t="s">
        <v>213</v>
      </c>
      <c r="C11" s="26"/>
      <c r="D11" s="26"/>
      <c r="E11" s="26"/>
      <c r="F11" s="26"/>
      <c r="G11" s="26"/>
      <c r="H11" s="26"/>
      <c r="I11" s="26"/>
      <c r="J11" s="26"/>
      <c r="K11" s="26"/>
    </row>
    <row r="12" spans="1:15" s="6" customFormat="1" ht="15.75" x14ac:dyDescent="0.25">
      <c r="A12" s="37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5" s="6" customFormat="1" ht="95.25" customHeight="1" x14ac:dyDescent="0.25">
      <c r="A13" s="38" t="s">
        <v>46</v>
      </c>
      <c r="B13" s="39" t="s">
        <v>59</v>
      </c>
      <c r="C13" s="39"/>
      <c r="D13" s="39"/>
      <c r="E13" s="39"/>
      <c r="F13" s="39"/>
      <c r="G13" s="39"/>
      <c r="H13" s="39"/>
      <c r="I13" s="39"/>
      <c r="J13" s="39"/>
      <c r="K13" s="39"/>
    </row>
    <row r="14" spans="1:15" s="6" customFormat="1" ht="7.5" customHeight="1" x14ac:dyDescent="0.25">
      <c r="A14" s="37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5" s="6" customFormat="1" ht="15.75" x14ac:dyDescent="0.25">
      <c r="A15" s="37" t="s">
        <v>47</v>
      </c>
      <c r="B15" s="40" t="s">
        <v>207</v>
      </c>
      <c r="C15" s="41"/>
      <c r="D15" s="41"/>
      <c r="E15" s="41"/>
      <c r="F15" s="41"/>
      <c r="G15" s="41"/>
      <c r="H15" s="41"/>
      <c r="I15" s="41"/>
      <c r="J15" s="41"/>
      <c r="K15" s="41"/>
      <c r="L15" s="7"/>
      <c r="M15" s="7"/>
      <c r="N15" s="7"/>
      <c r="O15" s="7"/>
    </row>
    <row r="16" spans="1:15" s="6" customFormat="1" ht="15.75" x14ac:dyDescent="0.25">
      <c r="A16" s="3"/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8" spans="1:15" ht="47.25" x14ac:dyDescent="0.2">
      <c r="A18" s="15" t="s">
        <v>200</v>
      </c>
      <c r="B18" s="15" t="s">
        <v>206</v>
      </c>
      <c r="C18" s="15" t="s">
        <v>203</v>
      </c>
    </row>
    <row r="19" spans="1:15" hidden="1" x14ac:dyDescent="0.2">
      <c r="A19" s="16" t="s">
        <v>60</v>
      </c>
      <c r="B19" s="16">
        <v>1167127</v>
      </c>
      <c r="C19" s="16"/>
    </row>
    <row r="20" spans="1:15" x14ac:dyDescent="0.2">
      <c r="A20" s="16" t="s">
        <v>204</v>
      </c>
      <c r="B20" s="18">
        <v>463487</v>
      </c>
      <c r="C20" s="14">
        <v>6286703.1899999985</v>
      </c>
    </row>
    <row r="21" spans="1:15" x14ac:dyDescent="0.2">
      <c r="A21" s="16" t="s">
        <v>205</v>
      </c>
      <c r="B21" s="18">
        <v>703640</v>
      </c>
      <c r="C21" s="14">
        <v>7074856.1199999982</v>
      </c>
    </row>
    <row r="22" spans="1:15" ht="15.75" x14ac:dyDescent="0.2">
      <c r="A22" s="17" t="s">
        <v>34</v>
      </c>
      <c r="B22" s="17">
        <v>1167127</v>
      </c>
      <c r="C22" s="17">
        <f>SUM(C20:C21)</f>
        <v>13361559.309999997</v>
      </c>
    </row>
    <row r="31" spans="1:15" ht="13.5" thickBot="1" x14ac:dyDescent="0.25"/>
    <row r="32" spans="1:15" ht="30" customHeight="1" x14ac:dyDescent="0.25">
      <c r="A32" s="52" t="s">
        <v>48</v>
      </c>
      <c r="B32" s="53" t="s">
        <v>215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1:15" ht="37.5" customHeight="1" x14ac:dyDescent="0.25">
      <c r="A33" s="55" t="s">
        <v>49</v>
      </c>
      <c r="B33" s="56" t="s">
        <v>217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</row>
    <row r="34" spans="1:15" ht="21" customHeight="1" thickBot="1" x14ac:dyDescent="0.3">
      <c r="A34" s="58" t="s">
        <v>50</v>
      </c>
      <c r="B34" s="59" t="s">
        <v>216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0"/>
    </row>
    <row r="35" spans="1:15" ht="15.75" x14ac:dyDescent="0.25">
      <c r="A35" s="3"/>
      <c r="B35" s="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</sheetData>
  <mergeCells count="10">
    <mergeCell ref="B9:E9"/>
    <mergeCell ref="B13:K13"/>
    <mergeCell ref="B33:O33"/>
    <mergeCell ref="A1:N1"/>
    <mergeCell ref="A2:N2"/>
    <mergeCell ref="B4:E4"/>
    <mergeCell ref="B5:E5"/>
    <mergeCell ref="B6:E6"/>
    <mergeCell ref="B7:E7"/>
    <mergeCell ref="B8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C1F9-B1CD-43CE-A1E0-0EBF0BC27E9B}">
  <dimension ref="A1:AE52"/>
  <sheetViews>
    <sheetView topLeftCell="L25" workbookViewId="0">
      <selection activeCell="K61" sqref="K61"/>
    </sheetView>
  </sheetViews>
  <sheetFormatPr defaultRowHeight="12.75" x14ac:dyDescent="0.2"/>
  <cols>
    <col min="1" max="2" width="9.140625" style="42"/>
    <col min="3" max="3" width="17.85546875" style="42" bestFit="1" customWidth="1"/>
    <col min="4" max="12" width="9.140625" style="42"/>
    <col min="13" max="13" width="11.7109375" style="42" bestFit="1" customWidth="1"/>
    <col min="14" max="14" width="9.140625" style="42"/>
    <col min="15" max="15" width="10.7109375" style="42" bestFit="1" customWidth="1"/>
    <col min="16" max="16384" width="9.140625" style="42"/>
  </cols>
  <sheetData>
    <row r="1" spans="1:31" ht="38.25" x14ac:dyDescent="0.2">
      <c r="A1" s="50" t="s">
        <v>5</v>
      </c>
      <c r="B1" s="51" t="s">
        <v>6</v>
      </c>
      <c r="C1" s="51" t="s">
        <v>7</v>
      </c>
      <c r="D1" s="51" t="s">
        <v>8</v>
      </c>
      <c r="E1" s="51" t="s">
        <v>9</v>
      </c>
      <c r="F1" s="51" t="s">
        <v>10</v>
      </c>
      <c r="G1" s="50" t="s">
        <v>11</v>
      </c>
      <c r="H1" s="50" t="s">
        <v>12</v>
      </c>
      <c r="I1" s="50" t="s">
        <v>13</v>
      </c>
      <c r="J1" s="51" t="s">
        <v>14</v>
      </c>
      <c r="K1" s="50" t="s">
        <v>15</v>
      </c>
      <c r="L1" s="50" t="s">
        <v>16</v>
      </c>
      <c r="M1" s="50" t="s">
        <v>17</v>
      </c>
      <c r="N1" s="50" t="s">
        <v>62</v>
      </c>
      <c r="O1" s="50" t="s">
        <v>63</v>
      </c>
      <c r="P1" s="51" t="s">
        <v>18</v>
      </c>
      <c r="Q1" s="51" t="s">
        <v>19</v>
      </c>
      <c r="R1" s="51" t="s">
        <v>20</v>
      </c>
      <c r="S1" s="51" t="s">
        <v>21</v>
      </c>
      <c r="T1" s="51" t="s">
        <v>22</v>
      </c>
      <c r="U1" s="51" t="s">
        <v>23</v>
      </c>
      <c r="V1" s="51" t="s">
        <v>24</v>
      </c>
      <c r="W1" s="51" t="s">
        <v>25</v>
      </c>
      <c r="X1" s="51" t="s">
        <v>26</v>
      </c>
      <c r="Y1" s="51" t="s">
        <v>27</v>
      </c>
      <c r="Z1" s="51" t="s">
        <v>28</v>
      </c>
      <c r="AA1" s="51" t="s">
        <v>29</v>
      </c>
      <c r="AB1" s="51" t="s">
        <v>30</v>
      </c>
      <c r="AC1" s="51" t="s">
        <v>31</v>
      </c>
      <c r="AD1" s="51" t="s">
        <v>32</v>
      </c>
      <c r="AE1" s="50" t="s">
        <v>33</v>
      </c>
    </row>
    <row r="2" spans="1:31" x14ac:dyDescent="0.2">
      <c r="A2" s="49" t="s">
        <v>0</v>
      </c>
      <c r="B2" s="42" t="s">
        <v>51</v>
      </c>
      <c r="C2" s="42" t="s">
        <v>64</v>
      </c>
      <c r="D2" s="46">
        <v>44346</v>
      </c>
      <c r="E2" s="46">
        <v>44346</v>
      </c>
      <c r="F2" s="46">
        <v>44347</v>
      </c>
      <c r="G2" s="42" t="s">
        <v>52</v>
      </c>
      <c r="H2" s="42" t="s">
        <v>3</v>
      </c>
      <c r="I2" s="45">
        <v>176730</v>
      </c>
      <c r="J2" s="42" t="s">
        <v>55</v>
      </c>
      <c r="K2" s="42" t="s">
        <v>1</v>
      </c>
      <c r="L2" s="45">
        <v>14984926.84</v>
      </c>
      <c r="M2" s="45">
        <v>176730</v>
      </c>
      <c r="N2" s="48" t="s">
        <v>65</v>
      </c>
      <c r="O2" s="47" t="s">
        <v>0</v>
      </c>
      <c r="P2" s="42" t="s">
        <v>66</v>
      </c>
      <c r="Q2" s="42" t="s">
        <v>54</v>
      </c>
      <c r="R2" s="42" t="s">
        <v>67</v>
      </c>
      <c r="S2" s="42" t="s">
        <v>0</v>
      </c>
      <c r="T2" s="42" t="s">
        <v>2</v>
      </c>
      <c r="U2" s="42" t="s">
        <v>68</v>
      </c>
      <c r="V2" s="42" t="s">
        <v>0</v>
      </c>
      <c r="W2" s="42" t="s">
        <v>0</v>
      </c>
      <c r="X2" s="42" t="s">
        <v>0</v>
      </c>
      <c r="Y2" s="42" t="s">
        <v>0</v>
      </c>
      <c r="Z2" s="42" t="s">
        <v>0</v>
      </c>
      <c r="AA2" s="46"/>
      <c r="AB2" s="42" t="s">
        <v>0</v>
      </c>
      <c r="AC2" s="42" t="s">
        <v>0</v>
      </c>
      <c r="AD2" s="42" t="s">
        <v>0</v>
      </c>
      <c r="AE2" s="45">
        <v>0</v>
      </c>
    </row>
    <row r="3" spans="1:31" x14ac:dyDescent="0.2">
      <c r="A3" s="49" t="s">
        <v>0</v>
      </c>
      <c r="B3" s="42" t="s">
        <v>51</v>
      </c>
      <c r="C3" s="42" t="s">
        <v>69</v>
      </c>
      <c r="D3" s="46">
        <v>44368</v>
      </c>
      <c r="E3" s="46">
        <v>44368</v>
      </c>
      <c r="F3" s="46">
        <v>44370</v>
      </c>
      <c r="G3" s="42" t="s">
        <v>52</v>
      </c>
      <c r="H3" s="42" t="s">
        <v>3</v>
      </c>
      <c r="I3" s="45">
        <v>114818</v>
      </c>
      <c r="J3" s="42" t="s">
        <v>70</v>
      </c>
      <c r="K3" s="42" t="s">
        <v>1</v>
      </c>
      <c r="L3" s="45">
        <v>9720961.5299999993</v>
      </c>
      <c r="M3" s="45">
        <v>114818</v>
      </c>
      <c r="N3" s="48" t="s">
        <v>71</v>
      </c>
      <c r="O3" s="47" t="s">
        <v>0</v>
      </c>
      <c r="P3" s="42" t="s">
        <v>72</v>
      </c>
      <c r="Q3" s="42" t="s">
        <v>54</v>
      </c>
      <c r="R3" s="42" t="s">
        <v>73</v>
      </c>
      <c r="S3" s="42" t="s">
        <v>0</v>
      </c>
      <c r="T3" s="42" t="s">
        <v>2</v>
      </c>
      <c r="U3" s="42" t="s">
        <v>74</v>
      </c>
      <c r="V3" s="42" t="s">
        <v>0</v>
      </c>
      <c r="W3" s="42" t="s">
        <v>0</v>
      </c>
      <c r="X3" s="42" t="s">
        <v>0</v>
      </c>
      <c r="Y3" s="42" t="s">
        <v>0</v>
      </c>
      <c r="Z3" s="42" t="s">
        <v>0</v>
      </c>
      <c r="AA3" s="46"/>
      <c r="AB3" s="42" t="s">
        <v>0</v>
      </c>
      <c r="AC3" s="42" t="s">
        <v>0</v>
      </c>
      <c r="AD3" s="42" t="s">
        <v>0</v>
      </c>
      <c r="AE3" s="45">
        <v>0</v>
      </c>
    </row>
    <row r="4" spans="1:31" x14ac:dyDescent="0.2">
      <c r="A4" s="49" t="s">
        <v>0</v>
      </c>
      <c r="B4" s="42" t="s">
        <v>51</v>
      </c>
      <c r="C4" s="42" t="s">
        <v>69</v>
      </c>
      <c r="D4" s="46">
        <v>44368</v>
      </c>
      <c r="E4" s="46">
        <v>44368</v>
      </c>
      <c r="F4" s="46">
        <v>44370</v>
      </c>
      <c r="G4" s="42" t="s">
        <v>52</v>
      </c>
      <c r="H4" s="42" t="s">
        <v>3</v>
      </c>
      <c r="I4" s="45">
        <v>103497</v>
      </c>
      <c r="J4" s="42" t="s">
        <v>55</v>
      </c>
      <c r="K4" s="42" t="s">
        <v>1</v>
      </c>
      <c r="L4" s="45">
        <v>8775504.8599999994</v>
      </c>
      <c r="M4" s="45">
        <v>103497</v>
      </c>
      <c r="N4" s="48" t="s">
        <v>75</v>
      </c>
      <c r="O4" s="47" t="s">
        <v>0</v>
      </c>
      <c r="P4" s="42" t="s">
        <v>72</v>
      </c>
      <c r="Q4" s="42" t="s">
        <v>54</v>
      </c>
      <c r="R4" s="42" t="s">
        <v>76</v>
      </c>
      <c r="S4" s="42" t="s">
        <v>0</v>
      </c>
      <c r="T4" s="42" t="s">
        <v>2</v>
      </c>
      <c r="U4" s="42" t="s">
        <v>74</v>
      </c>
      <c r="V4" s="42" t="s">
        <v>0</v>
      </c>
      <c r="W4" s="42" t="s">
        <v>0</v>
      </c>
      <c r="X4" s="42" t="s">
        <v>0</v>
      </c>
      <c r="Y4" s="42" t="s">
        <v>0</v>
      </c>
      <c r="Z4" s="42" t="s">
        <v>0</v>
      </c>
      <c r="AA4" s="46"/>
      <c r="AB4" s="42" t="s">
        <v>0</v>
      </c>
      <c r="AC4" s="42" t="s">
        <v>0</v>
      </c>
      <c r="AD4" s="42" t="s">
        <v>0</v>
      </c>
      <c r="AE4" s="45">
        <v>0</v>
      </c>
    </row>
    <row r="5" spans="1:31" x14ac:dyDescent="0.2">
      <c r="A5" s="49" t="s">
        <v>0</v>
      </c>
      <c r="B5" s="42" t="s">
        <v>51</v>
      </c>
      <c r="C5" s="42" t="s">
        <v>77</v>
      </c>
      <c r="D5" s="46">
        <v>44371</v>
      </c>
      <c r="E5" s="46">
        <v>44371</v>
      </c>
      <c r="F5" s="46">
        <v>44374</v>
      </c>
      <c r="G5" s="42" t="s">
        <v>52</v>
      </c>
      <c r="H5" s="42" t="s">
        <v>3</v>
      </c>
      <c r="I5" s="45">
        <v>86663</v>
      </c>
      <c r="J5" s="42" t="s">
        <v>55</v>
      </c>
      <c r="K5" s="42" t="s">
        <v>1</v>
      </c>
      <c r="L5" s="45">
        <v>7348150.9400000004</v>
      </c>
      <c r="M5" s="45">
        <v>86663</v>
      </c>
      <c r="N5" s="48" t="s">
        <v>78</v>
      </c>
      <c r="O5" s="47" t="s">
        <v>0</v>
      </c>
      <c r="P5" s="42" t="s">
        <v>79</v>
      </c>
      <c r="Q5" s="42" t="s">
        <v>54</v>
      </c>
      <c r="R5" s="42" t="s">
        <v>67</v>
      </c>
      <c r="S5" s="42" t="s">
        <v>0</v>
      </c>
      <c r="T5" s="42" t="s">
        <v>2</v>
      </c>
      <c r="U5" s="42" t="s">
        <v>80</v>
      </c>
      <c r="V5" s="42" t="s">
        <v>0</v>
      </c>
      <c r="W5" s="42" t="s">
        <v>0</v>
      </c>
      <c r="X5" s="42" t="s">
        <v>0</v>
      </c>
      <c r="Y5" s="42" t="s">
        <v>0</v>
      </c>
      <c r="Z5" s="42" t="s">
        <v>0</v>
      </c>
      <c r="AA5" s="46"/>
      <c r="AB5" s="42" t="s">
        <v>0</v>
      </c>
      <c r="AC5" s="42" t="s">
        <v>0</v>
      </c>
      <c r="AD5" s="42" t="s">
        <v>0</v>
      </c>
      <c r="AE5" s="45">
        <v>0</v>
      </c>
    </row>
    <row r="6" spans="1:31" x14ac:dyDescent="0.2">
      <c r="A6" s="49" t="s">
        <v>0</v>
      </c>
      <c r="B6" s="42" t="s">
        <v>51</v>
      </c>
      <c r="C6" s="42" t="s">
        <v>77</v>
      </c>
      <c r="D6" s="46">
        <v>44371</v>
      </c>
      <c r="E6" s="46">
        <v>44371</v>
      </c>
      <c r="F6" s="46">
        <v>44374</v>
      </c>
      <c r="G6" s="42" t="s">
        <v>52</v>
      </c>
      <c r="H6" s="42" t="s">
        <v>3</v>
      </c>
      <c r="I6" s="45">
        <v>74944</v>
      </c>
      <c r="J6" s="42" t="s">
        <v>70</v>
      </c>
      <c r="K6" s="42" t="s">
        <v>1</v>
      </c>
      <c r="L6" s="45">
        <v>6345065.5899999999</v>
      </c>
      <c r="M6" s="45">
        <v>74944</v>
      </c>
      <c r="N6" s="48" t="s">
        <v>81</v>
      </c>
      <c r="O6" s="47" t="s">
        <v>0</v>
      </c>
      <c r="P6" s="42" t="s">
        <v>79</v>
      </c>
      <c r="Q6" s="42" t="s">
        <v>54</v>
      </c>
      <c r="R6" s="42" t="s">
        <v>82</v>
      </c>
      <c r="S6" s="42" t="s">
        <v>0</v>
      </c>
      <c r="T6" s="42" t="s">
        <v>2</v>
      </c>
      <c r="U6" s="42" t="s">
        <v>80</v>
      </c>
      <c r="V6" s="42" t="s">
        <v>0</v>
      </c>
      <c r="W6" s="42" t="s">
        <v>0</v>
      </c>
      <c r="X6" s="42" t="s">
        <v>0</v>
      </c>
      <c r="Y6" s="42" t="s">
        <v>0</v>
      </c>
      <c r="Z6" s="42" t="s">
        <v>0</v>
      </c>
      <c r="AA6" s="46"/>
      <c r="AB6" s="42" t="s">
        <v>0</v>
      </c>
      <c r="AC6" s="42" t="s">
        <v>0</v>
      </c>
      <c r="AD6" s="42" t="s">
        <v>0</v>
      </c>
      <c r="AE6" s="45">
        <v>0</v>
      </c>
    </row>
    <row r="7" spans="1:31" x14ac:dyDescent="0.2">
      <c r="A7" s="49" t="s">
        <v>0</v>
      </c>
      <c r="B7" s="42" t="s">
        <v>51</v>
      </c>
      <c r="C7" s="42" t="s">
        <v>83</v>
      </c>
      <c r="D7" s="46">
        <v>44367</v>
      </c>
      <c r="E7" s="46">
        <v>44367</v>
      </c>
      <c r="F7" s="46">
        <v>44369</v>
      </c>
      <c r="G7" s="42" t="s">
        <v>52</v>
      </c>
      <c r="H7" s="42" t="s">
        <v>3</v>
      </c>
      <c r="I7" s="45">
        <v>55359</v>
      </c>
      <c r="J7" s="42" t="s">
        <v>55</v>
      </c>
      <c r="K7" s="42" t="s">
        <v>1</v>
      </c>
      <c r="L7" s="45">
        <v>4693886.5199999996</v>
      </c>
      <c r="M7" s="45">
        <v>55359</v>
      </c>
      <c r="N7" s="48" t="s">
        <v>84</v>
      </c>
      <c r="O7" s="47" t="s">
        <v>0</v>
      </c>
      <c r="P7" s="42" t="s">
        <v>85</v>
      </c>
      <c r="Q7" s="42" t="s">
        <v>54</v>
      </c>
      <c r="R7" s="42" t="s">
        <v>76</v>
      </c>
      <c r="S7" s="42" t="s">
        <v>0</v>
      </c>
      <c r="T7" s="42" t="s">
        <v>2</v>
      </c>
      <c r="U7" s="42" t="s">
        <v>86</v>
      </c>
      <c r="V7" s="42" t="s">
        <v>0</v>
      </c>
      <c r="W7" s="42" t="s">
        <v>0</v>
      </c>
      <c r="X7" s="42" t="s">
        <v>0</v>
      </c>
      <c r="Y7" s="42" t="s">
        <v>0</v>
      </c>
      <c r="Z7" s="42" t="s">
        <v>0</v>
      </c>
      <c r="AA7" s="46"/>
      <c r="AB7" s="42" t="s">
        <v>0</v>
      </c>
      <c r="AC7" s="42" t="s">
        <v>0</v>
      </c>
      <c r="AD7" s="42" t="s">
        <v>0</v>
      </c>
      <c r="AE7" s="45">
        <v>0</v>
      </c>
    </row>
    <row r="8" spans="1:31" x14ac:dyDescent="0.2">
      <c r="A8" s="49" t="s">
        <v>0</v>
      </c>
      <c r="B8" s="42" t="s">
        <v>51</v>
      </c>
      <c r="C8" s="42" t="s">
        <v>87</v>
      </c>
      <c r="D8" s="46">
        <v>44327</v>
      </c>
      <c r="E8" s="46">
        <v>44327</v>
      </c>
      <c r="F8" s="46">
        <v>44339</v>
      </c>
      <c r="G8" s="42" t="s">
        <v>52</v>
      </c>
      <c r="H8" s="42" t="s">
        <v>3</v>
      </c>
      <c r="I8" s="45">
        <v>50371</v>
      </c>
      <c r="J8" s="42" t="s">
        <v>88</v>
      </c>
      <c r="K8" s="42" t="s">
        <v>1</v>
      </c>
      <c r="L8" s="45">
        <v>4264626.38</v>
      </c>
      <c r="M8" s="45">
        <v>50371</v>
      </c>
      <c r="N8" s="48" t="s">
        <v>89</v>
      </c>
      <c r="O8" s="47" t="s">
        <v>0</v>
      </c>
      <c r="P8" s="42" t="s">
        <v>90</v>
      </c>
      <c r="Q8" s="42" t="s">
        <v>54</v>
      </c>
      <c r="R8" s="42" t="s">
        <v>91</v>
      </c>
      <c r="S8" s="42" t="s">
        <v>0</v>
      </c>
      <c r="T8" s="42" t="s">
        <v>2</v>
      </c>
      <c r="U8" s="42" t="s">
        <v>92</v>
      </c>
      <c r="V8" s="42" t="s">
        <v>0</v>
      </c>
      <c r="W8" s="42" t="s">
        <v>0</v>
      </c>
      <c r="X8" s="42" t="s">
        <v>0</v>
      </c>
      <c r="Y8" s="42" t="s">
        <v>0</v>
      </c>
      <c r="Z8" s="42" t="s">
        <v>0</v>
      </c>
      <c r="AA8" s="46"/>
      <c r="AB8" s="42" t="s">
        <v>0</v>
      </c>
      <c r="AC8" s="42" t="s">
        <v>0</v>
      </c>
      <c r="AD8" s="42" t="s">
        <v>0</v>
      </c>
      <c r="AE8" s="45">
        <v>0</v>
      </c>
    </row>
    <row r="9" spans="1:31" x14ac:dyDescent="0.2">
      <c r="A9" s="49" t="s">
        <v>0</v>
      </c>
      <c r="B9" s="42" t="s">
        <v>51</v>
      </c>
      <c r="C9" s="42" t="s">
        <v>93</v>
      </c>
      <c r="D9" s="46">
        <v>44343</v>
      </c>
      <c r="E9" s="46">
        <v>44343</v>
      </c>
      <c r="F9" s="46">
        <v>44345</v>
      </c>
      <c r="G9" s="42" t="s">
        <v>52</v>
      </c>
      <c r="H9" s="42" t="s">
        <v>3</v>
      </c>
      <c r="I9" s="45">
        <v>43370</v>
      </c>
      <c r="J9" s="42" t="s">
        <v>94</v>
      </c>
      <c r="K9" s="42" t="s">
        <v>1</v>
      </c>
      <c r="L9" s="45">
        <v>3677333.29</v>
      </c>
      <c r="M9" s="45">
        <v>43370</v>
      </c>
      <c r="N9" s="48" t="s">
        <v>95</v>
      </c>
      <c r="O9" s="47" t="s">
        <v>0</v>
      </c>
      <c r="P9" s="42" t="s">
        <v>96</v>
      </c>
      <c r="Q9" s="42" t="s">
        <v>54</v>
      </c>
      <c r="R9" s="42" t="s">
        <v>97</v>
      </c>
      <c r="S9" s="42" t="s">
        <v>0</v>
      </c>
      <c r="T9" s="42" t="s">
        <v>2</v>
      </c>
      <c r="U9" s="42" t="s">
        <v>98</v>
      </c>
      <c r="V9" s="42" t="s">
        <v>0</v>
      </c>
      <c r="W9" s="42" t="s">
        <v>0</v>
      </c>
      <c r="X9" s="42" t="s">
        <v>0</v>
      </c>
      <c r="Y9" s="42" t="s">
        <v>0</v>
      </c>
      <c r="Z9" s="42" t="s">
        <v>0</v>
      </c>
      <c r="AA9" s="46"/>
      <c r="AB9" s="42" t="s">
        <v>0</v>
      </c>
      <c r="AC9" s="42" t="s">
        <v>0</v>
      </c>
      <c r="AD9" s="42" t="s">
        <v>0</v>
      </c>
      <c r="AE9" s="45">
        <v>0</v>
      </c>
    </row>
    <row r="10" spans="1:31" x14ac:dyDescent="0.2">
      <c r="A10" s="49" t="s">
        <v>0</v>
      </c>
      <c r="B10" s="42" t="s">
        <v>51</v>
      </c>
      <c r="C10" s="42" t="s">
        <v>99</v>
      </c>
      <c r="D10" s="46">
        <v>44355</v>
      </c>
      <c r="E10" s="46">
        <v>44355</v>
      </c>
      <c r="F10" s="46">
        <v>44356</v>
      </c>
      <c r="G10" s="42" t="s">
        <v>52</v>
      </c>
      <c r="H10" s="42" t="s">
        <v>3</v>
      </c>
      <c r="I10" s="45">
        <v>36158</v>
      </c>
      <c r="J10" s="42" t="s">
        <v>55</v>
      </c>
      <c r="K10" s="42" t="s">
        <v>1</v>
      </c>
      <c r="L10" s="45">
        <v>3065834.8</v>
      </c>
      <c r="M10" s="45">
        <v>36158</v>
      </c>
      <c r="N10" s="48" t="s">
        <v>100</v>
      </c>
      <c r="O10" s="47" t="s">
        <v>0</v>
      </c>
      <c r="P10" s="42" t="s">
        <v>101</v>
      </c>
      <c r="Q10" s="42" t="s">
        <v>54</v>
      </c>
      <c r="R10" s="42" t="s">
        <v>67</v>
      </c>
      <c r="S10" s="42" t="s">
        <v>0</v>
      </c>
      <c r="T10" s="42" t="s">
        <v>2</v>
      </c>
      <c r="U10" s="42" t="s">
        <v>102</v>
      </c>
      <c r="V10" s="42" t="s">
        <v>0</v>
      </c>
      <c r="W10" s="42" t="s">
        <v>0</v>
      </c>
      <c r="X10" s="42" t="s">
        <v>0</v>
      </c>
      <c r="Y10" s="42" t="s">
        <v>0</v>
      </c>
      <c r="Z10" s="42" t="s">
        <v>0</v>
      </c>
      <c r="AA10" s="46"/>
      <c r="AB10" s="42" t="s">
        <v>0</v>
      </c>
      <c r="AC10" s="42" t="s">
        <v>0</v>
      </c>
      <c r="AD10" s="42" t="s">
        <v>0</v>
      </c>
      <c r="AE10" s="45">
        <v>0</v>
      </c>
    </row>
    <row r="11" spans="1:31" x14ac:dyDescent="0.2">
      <c r="A11" s="49" t="s">
        <v>0</v>
      </c>
      <c r="B11" s="42" t="s">
        <v>51</v>
      </c>
      <c r="C11" s="42" t="s">
        <v>103</v>
      </c>
      <c r="D11" s="46">
        <v>44347</v>
      </c>
      <c r="E11" s="46">
        <v>44347</v>
      </c>
      <c r="F11" s="46">
        <v>44348</v>
      </c>
      <c r="G11" s="42" t="s">
        <v>52</v>
      </c>
      <c r="H11" s="42" t="s">
        <v>3</v>
      </c>
      <c r="I11" s="45">
        <v>34371</v>
      </c>
      <c r="J11" s="42" t="s">
        <v>94</v>
      </c>
      <c r="K11" s="42" t="s">
        <v>1</v>
      </c>
      <c r="L11" s="45">
        <v>2914309.95</v>
      </c>
      <c r="M11" s="45">
        <v>34371</v>
      </c>
      <c r="N11" s="48" t="s">
        <v>104</v>
      </c>
      <c r="O11" s="47" t="s">
        <v>0</v>
      </c>
      <c r="P11" s="42" t="s">
        <v>105</v>
      </c>
      <c r="Q11" s="42" t="s">
        <v>54</v>
      </c>
      <c r="R11" s="42" t="s">
        <v>97</v>
      </c>
      <c r="S11" s="42" t="s">
        <v>0</v>
      </c>
      <c r="T11" s="42" t="s">
        <v>2</v>
      </c>
      <c r="U11" s="42" t="s">
        <v>106</v>
      </c>
      <c r="V11" s="42" t="s">
        <v>0</v>
      </c>
      <c r="W11" s="42" t="s">
        <v>0</v>
      </c>
      <c r="X11" s="42" t="s">
        <v>0</v>
      </c>
      <c r="Y11" s="42" t="s">
        <v>0</v>
      </c>
      <c r="Z11" s="42" t="s">
        <v>0</v>
      </c>
      <c r="AA11" s="46"/>
      <c r="AB11" s="42" t="s">
        <v>0</v>
      </c>
      <c r="AC11" s="42" t="s">
        <v>0</v>
      </c>
      <c r="AD11" s="42" t="s">
        <v>0</v>
      </c>
      <c r="AE11" s="45">
        <v>0</v>
      </c>
    </row>
    <row r="12" spans="1:31" x14ac:dyDescent="0.2">
      <c r="A12" s="49" t="s">
        <v>0</v>
      </c>
      <c r="B12" s="42" t="s">
        <v>51</v>
      </c>
      <c r="C12" s="42" t="s">
        <v>107</v>
      </c>
      <c r="D12" s="46">
        <v>44336</v>
      </c>
      <c r="E12" s="46">
        <v>44336</v>
      </c>
      <c r="F12" s="46">
        <v>44340</v>
      </c>
      <c r="G12" s="42" t="s">
        <v>52</v>
      </c>
      <c r="H12" s="42" t="s">
        <v>3</v>
      </c>
      <c r="I12" s="45">
        <v>34012</v>
      </c>
      <c r="J12" s="42" t="s">
        <v>94</v>
      </c>
      <c r="K12" s="42" t="s">
        <v>1</v>
      </c>
      <c r="L12" s="45">
        <v>2883870.42</v>
      </c>
      <c r="M12" s="45">
        <v>34012</v>
      </c>
      <c r="N12" s="48" t="s">
        <v>108</v>
      </c>
      <c r="O12" s="47" t="s">
        <v>0</v>
      </c>
      <c r="P12" s="42" t="s">
        <v>109</v>
      </c>
      <c r="Q12" s="42" t="s">
        <v>54</v>
      </c>
      <c r="R12" s="42" t="s">
        <v>97</v>
      </c>
      <c r="S12" s="42" t="s">
        <v>0</v>
      </c>
      <c r="T12" s="42" t="s">
        <v>2</v>
      </c>
      <c r="U12" s="42" t="s">
        <v>110</v>
      </c>
      <c r="V12" s="42" t="s">
        <v>0</v>
      </c>
      <c r="W12" s="42" t="s">
        <v>0</v>
      </c>
      <c r="X12" s="42" t="s">
        <v>0</v>
      </c>
      <c r="Y12" s="42" t="s">
        <v>0</v>
      </c>
      <c r="Z12" s="42" t="s">
        <v>0</v>
      </c>
      <c r="AA12" s="46"/>
      <c r="AB12" s="42" t="s">
        <v>0</v>
      </c>
      <c r="AC12" s="42" t="s">
        <v>0</v>
      </c>
      <c r="AD12" s="42" t="s">
        <v>0</v>
      </c>
      <c r="AE12" s="45">
        <v>0</v>
      </c>
    </row>
    <row r="13" spans="1:31" x14ac:dyDescent="0.2">
      <c r="A13" s="49" t="s">
        <v>0</v>
      </c>
      <c r="B13" s="42" t="s">
        <v>51</v>
      </c>
      <c r="C13" s="42" t="s">
        <v>111</v>
      </c>
      <c r="D13" s="46">
        <v>44377</v>
      </c>
      <c r="E13" s="46">
        <v>44377</v>
      </c>
      <c r="F13" s="46">
        <v>44380</v>
      </c>
      <c r="G13" s="42" t="s">
        <v>52</v>
      </c>
      <c r="H13" s="42" t="s">
        <v>3</v>
      </c>
      <c r="I13" s="45">
        <v>31545</v>
      </c>
      <c r="J13" s="42" t="s">
        <v>112</v>
      </c>
      <c r="K13" s="42" t="s">
        <v>1</v>
      </c>
      <c r="L13" s="45">
        <v>2674696.9900000002</v>
      </c>
      <c r="M13" s="45">
        <v>31545</v>
      </c>
      <c r="N13" s="48" t="s">
        <v>113</v>
      </c>
      <c r="O13" s="47" t="s">
        <v>0</v>
      </c>
      <c r="P13" s="42" t="s">
        <v>114</v>
      </c>
      <c r="Q13" s="42" t="s">
        <v>54</v>
      </c>
      <c r="R13" s="42" t="s">
        <v>115</v>
      </c>
      <c r="S13" s="42" t="s">
        <v>0</v>
      </c>
      <c r="T13" s="42" t="s">
        <v>2</v>
      </c>
      <c r="U13" s="42" t="s">
        <v>116</v>
      </c>
      <c r="V13" s="42" t="s">
        <v>0</v>
      </c>
      <c r="W13" s="42" t="s">
        <v>0</v>
      </c>
      <c r="X13" s="42" t="s">
        <v>0</v>
      </c>
      <c r="Y13" s="42" t="s">
        <v>0</v>
      </c>
      <c r="Z13" s="42" t="s">
        <v>0</v>
      </c>
      <c r="AA13" s="46"/>
      <c r="AB13" s="42" t="s">
        <v>0</v>
      </c>
      <c r="AC13" s="42" t="s">
        <v>0</v>
      </c>
      <c r="AD13" s="42" t="s">
        <v>0</v>
      </c>
      <c r="AE13" s="45">
        <v>0</v>
      </c>
    </row>
    <row r="14" spans="1:31" x14ac:dyDescent="0.2">
      <c r="A14" s="49" t="s">
        <v>0</v>
      </c>
      <c r="B14" s="42" t="s">
        <v>51</v>
      </c>
      <c r="C14" s="42" t="s">
        <v>103</v>
      </c>
      <c r="D14" s="46">
        <v>44347</v>
      </c>
      <c r="E14" s="46">
        <v>44347</v>
      </c>
      <c r="F14" s="46">
        <v>44348</v>
      </c>
      <c r="G14" s="42" t="s">
        <v>52</v>
      </c>
      <c r="H14" s="42" t="s">
        <v>3</v>
      </c>
      <c r="I14" s="45">
        <v>29877</v>
      </c>
      <c r="J14" s="42" t="s">
        <v>55</v>
      </c>
      <c r="K14" s="42" t="s">
        <v>1</v>
      </c>
      <c r="L14" s="45">
        <v>2533269.16</v>
      </c>
      <c r="M14" s="45">
        <v>29877</v>
      </c>
      <c r="N14" s="48" t="s">
        <v>117</v>
      </c>
      <c r="O14" s="47" t="s">
        <v>0</v>
      </c>
      <c r="P14" s="42" t="s">
        <v>105</v>
      </c>
      <c r="Q14" s="42" t="s">
        <v>54</v>
      </c>
      <c r="R14" s="42" t="s">
        <v>67</v>
      </c>
      <c r="S14" s="42" t="s">
        <v>0</v>
      </c>
      <c r="T14" s="42" t="s">
        <v>2</v>
      </c>
      <c r="U14" s="42" t="s">
        <v>106</v>
      </c>
      <c r="V14" s="42" t="s">
        <v>0</v>
      </c>
      <c r="W14" s="42" t="s">
        <v>0</v>
      </c>
      <c r="X14" s="42" t="s">
        <v>0</v>
      </c>
      <c r="Y14" s="42" t="s">
        <v>0</v>
      </c>
      <c r="Z14" s="42" t="s">
        <v>0</v>
      </c>
      <c r="AA14" s="46"/>
      <c r="AB14" s="42" t="s">
        <v>0</v>
      </c>
      <c r="AC14" s="42" t="s">
        <v>0</v>
      </c>
      <c r="AD14" s="42" t="s">
        <v>0</v>
      </c>
      <c r="AE14" s="45">
        <v>0</v>
      </c>
    </row>
    <row r="15" spans="1:31" x14ac:dyDescent="0.2">
      <c r="A15" s="49" t="s">
        <v>0</v>
      </c>
      <c r="B15" s="42" t="s">
        <v>51</v>
      </c>
      <c r="C15" s="42" t="s">
        <v>118</v>
      </c>
      <c r="D15" s="46">
        <v>44334</v>
      </c>
      <c r="E15" s="46">
        <v>44334</v>
      </c>
      <c r="F15" s="46">
        <v>44340</v>
      </c>
      <c r="G15" s="42" t="s">
        <v>52</v>
      </c>
      <c r="H15" s="42" t="s">
        <v>3</v>
      </c>
      <c r="I15" s="45">
        <v>29763</v>
      </c>
      <c r="J15" s="42" t="s">
        <v>88</v>
      </c>
      <c r="K15" s="42" t="s">
        <v>1</v>
      </c>
      <c r="L15" s="45">
        <v>2519864.11</v>
      </c>
      <c r="M15" s="45">
        <v>29763</v>
      </c>
      <c r="N15" s="48" t="s">
        <v>119</v>
      </c>
      <c r="O15" s="47" t="s">
        <v>0</v>
      </c>
      <c r="P15" s="42" t="s">
        <v>120</v>
      </c>
      <c r="Q15" s="42" t="s">
        <v>54</v>
      </c>
      <c r="R15" s="42" t="s">
        <v>91</v>
      </c>
      <c r="S15" s="42" t="s">
        <v>0</v>
      </c>
      <c r="T15" s="42" t="s">
        <v>2</v>
      </c>
      <c r="U15" s="42" t="s">
        <v>121</v>
      </c>
      <c r="V15" s="42" t="s">
        <v>0</v>
      </c>
      <c r="W15" s="42" t="s">
        <v>0</v>
      </c>
      <c r="X15" s="42" t="s">
        <v>0</v>
      </c>
      <c r="Y15" s="42" t="s">
        <v>0</v>
      </c>
      <c r="Z15" s="42" t="s">
        <v>0</v>
      </c>
      <c r="AA15" s="46"/>
      <c r="AB15" s="42" t="s">
        <v>0</v>
      </c>
      <c r="AC15" s="42" t="s">
        <v>0</v>
      </c>
      <c r="AD15" s="42" t="s">
        <v>0</v>
      </c>
      <c r="AE15" s="45">
        <v>0</v>
      </c>
    </row>
    <row r="16" spans="1:31" x14ac:dyDescent="0.2">
      <c r="A16" s="49" t="s">
        <v>0</v>
      </c>
      <c r="B16" s="42" t="s">
        <v>51</v>
      </c>
      <c r="C16" s="42" t="s">
        <v>122</v>
      </c>
      <c r="D16" s="46">
        <v>44355</v>
      </c>
      <c r="E16" s="46">
        <v>44355</v>
      </c>
      <c r="F16" s="46">
        <v>44356</v>
      </c>
      <c r="G16" s="42" t="s">
        <v>52</v>
      </c>
      <c r="H16" s="42" t="s">
        <v>3</v>
      </c>
      <c r="I16" s="45">
        <v>29552</v>
      </c>
      <c r="J16" s="42" t="s">
        <v>55</v>
      </c>
      <c r="K16" s="42" t="s">
        <v>1</v>
      </c>
      <c r="L16" s="45">
        <v>2505712.4300000002</v>
      </c>
      <c r="M16" s="45">
        <v>29552</v>
      </c>
      <c r="N16" s="48" t="s">
        <v>123</v>
      </c>
      <c r="O16" s="47" t="s">
        <v>0</v>
      </c>
      <c r="P16" s="42" t="s">
        <v>124</v>
      </c>
      <c r="Q16" s="42" t="s">
        <v>54</v>
      </c>
      <c r="R16" s="42" t="s">
        <v>76</v>
      </c>
      <c r="S16" s="42" t="s">
        <v>0</v>
      </c>
      <c r="T16" s="42" t="s">
        <v>2</v>
      </c>
      <c r="U16" s="42" t="s">
        <v>125</v>
      </c>
      <c r="V16" s="42" t="s">
        <v>0</v>
      </c>
      <c r="W16" s="42" t="s">
        <v>0</v>
      </c>
      <c r="X16" s="42" t="s">
        <v>0</v>
      </c>
      <c r="Y16" s="42" t="s">
        <v>0</v>
      </c>
      <c r="Z16" s="42" t="s">
        <v>0</v>
      </c>
      <c r="AA16" s="46"/>
      <c r="AB16" s="42" t="s">
        <v>0</v>
      </c>
      <c r="AC16" s="42" t="s">
        <v>0</v>
      </c>
      <c r="AD16" s="42" t="s">
        <v>0</v>
      </c>
      <c r="AE16" s="45">
        <v>0</v>
      </c>
    </row>
    <row r="17" spans="1:31" x14ac:dyDescent="0.2">
      <c r="A17" s="49" t="s">
        <v>0</v>
      </c>
      <c r="B17" s="42" t="s">
        <v>51</v>
      </c>
      <c r="C17" s="42" t="s">
        <v>126</v>
      </c>
      <c r="D17" s="46">
        <v>44376</v>
      </c>
      <c r="E17" s="46">
        <v>44376</v>
      </c>
      <c r="F17" s="46">
        <v>44380</v>
      </c>
      <c r="G17" s="42" t="s">
        <v>52</v>
      </c>
      <c r="H17" s="42" t="s">
        <v>3</v>
      </c>
      <c r="I17" s="45">
        <v>25340</v>
      </c>
      <c r="J17" s="42" t="s">
        <v>55</v>
      </c>
      <c r="K17" s="42" t="s">
        <v>1</v>
      </c>
      <c r="L17" s="45">
        <v>2148577.19</v>
      </c>
      <c r="M17" s="45">
        <v>25340</v>
      </c>
      <c r="N17" s="48" t="s">
        <v>127</v>
      </c>
      <c r="O17" s="47" t="s">
        <v>0</v>
      </c>
      <c r="P17" s="42" t="s">
        <v>128</v>
      </c>
      <c r="Q17" s="42" t="s">
        <v>54</v>
      </c>
      <c r="R17" s="42" t="s">
        <v>129</v>
      </c>
      <c r="S17" s="42" t="s">
        <v>0</v>
      </c>
      <c r="T17" s="42" t="s">
        <v>2</v>
      </c>
      <c r="U17" s="42" t="s">
        <v>130</v>
      </c>
      <c r="V17" s="42" t="s">
        <v>0</v>
      </c>
      <c r="W17" s="42" t="s">
        <v>0</v>
      </c>
      <c r="X17" s="42" t="s">
        <v>0</v>
      </c>
      <c r="Y17" s="42" t="s">
        <v>0</v>
      </c>
      <c r="Z17" s="42" t="s">
        <v>0</v>
      </c>
      <c r="AA17" s="46"/>
      <c r="AB17" s="42" t="s">
        <v>0</v>
      </c>
      <c r="AC17" s="42" t="s">
        <v>0</v>
      </c>
      <c r="AD17" s="42" t="s">
        <v>0</v>
      </c>
      <c r="AE17" s="45">
        <v>0</v>
      </c>
    </row>
    <row r="18" spans="1:31" x14ac:dyDescent="0.2">
      <c r="A18" s="49" t="s">
        <v>0</v>
      </c>
      <c r="B18" s="42" t="s">
        <v>51</v>
      </c>
      <c r="C18" s="42" t="s">
        <v>56</v>
      </c>
      <c r="D18" s="46">
        <v>44321</v>
      </c>
      <c r="E18" s="46">
        <v>44321</v>
      </c>
      <c r="F18" s="46">
        <v>44338</v>
      </c>
      <c r="G18" s="42" t="s">
        <v>52</v>
      </c>
      <c r="H18" s="42" t="s">
        <v>3</v>
      </c>
      <c r="I18" s="45">
        <v>24999</v>
      </c>
      <c r="J18" s="42" t="s">
        <v>88</v>
      </c>
      <c r="K18" s="42" t="s">
        <v>1</v>
      </c>
      <c r="L18" s="45">
        <v>2116523.29</v>
      </c>
      <c r="M18" s="45">
        <v>24999</v>
      </c>
      <c r="N18" s="48" t="s">
        <v>131</v>
      </c>
      <c r="O18" s="47" t="s">
        <v>0</v>
      </c>
      <c r="P18" s="42" t="s">
        <v>132</v>
      </c>
      <c r="Q18" s="42" t="s">
        <v>54</v>
      </c>
      <c r="R18" s="42" t="s">
        <v>91</v>
      </c>
      <c r="S18" s="42" t="s">
        <v>0</v>
      </c>
      <c r="T18" s="42" t="s">
        <v>2</v>
      </c>
      <c r="U18" s="42" t="s">
        <v>133</v>
      </c>
      <c r="V18" s="42" t="s">
        <v>0</v>
      </c>
      <c r="W18" s="42" t="s">
        <v>0</v>
      </c>
      <c r="X18" s="42" t="s">
        <v>0</v>
      </c>
      <c r="Y18" s="42" t="s">
        <v>0</v>
      </c>
      <c r="Z18" s="42" t="s">
        <v>0</v>
      </c>
      <c r="AA18" s="46"/>
      <c r="AB18" s="42" t="s">
        <v>0</v>
      </c>
      <c r="AC18" s="42" t="s">
        <v>0</v>
      </c>
      <c r="AD18" s="42" t="s">
        <v>0</v>
      </c>
      <c r="AE18" s="45">
        <v>0</v>
      </c>
    </row>
    <row r="19" spans="1:31" x14ac:dyDescent="0.2">
      <c r="A19" s="49" t="s">
        <v>0</v>
      </c>
      <c r="B19" s="42" t="s">
        <v>51</v>
      </c>
      <c r="C19" s="42" t="s">
        <v>126</v>
      </c>
      <c r="D19" s="46">
        <v>44376</v>
      </c>
      <c r="E19" s="46">
        <v>44376</v>
      </c>
      <c r="F19" s="46">
        <v>44380</v>
      </c>
      <c r="G19" s="42" t="s">
        <v>52</v>
      </c>
      <c r="H19" s="42" t="s">
        <v>3</v>
      </c>
      <c r="I19" s="45">
        <v>23552</v>
      </c>
      <c r="J19" s="42" t="s">
        <v>70</v>
      </c>
      <c r="K19" s="42" t="s">
        <v>1</v>
      </c>
      <c r="L19" s="45">
        <v>1994008.66</v>
      </c>
      <c r="M19" s="45">
        <v>23552</v>
      </c>
      <c r="N19" s="48" t="s">
        <v>134</v>
      </c>
      <c r="O19" s="47" t="s">
        <v>0</v>
      </c>
      <c r="P19" s="42" t="s">
        <v>128</v>
      </c>
      <c r="Q19" s="42" t="s">
        <v>54</v>
      </c>
      <c r="R19" s="42" t="s">
        <v>82</v>
      </c>
      <c r="S19" s="42" t="s">
        <v>0</v>
      </c>
      <c r="T19" s="42" t="s">
        <v>2</v>
      </c>
      <c r="U19" s="42" t="s">
        <v>130</v>
      </c>
      <c r="V19" s="42" t="s">
        <v>0</v>
      </c>
      <c r="W19" s="42" t="s">
        <v>0</v>
      </c>
      <c r="X19" s="42" t="s">
        <v>0</v>
      </c>
      <c r="Y19" s="42" t="s">
        <v>0</v>
      </c>
      <c r="Z19" s="42" t="s">
        <v>0</v>
      </c>
      <c r="AA19" s="46"/>
      <c r="AB19" s="42" t="s">
        <v>0</v>
      </c>
      <c r="AC19" s="42" t="s">
        <v>0</v>
      </c>
      <c r="AD19" s="42" t="s">
        <v>0</v>
      </c>
      <c r="AE19" s="45">
        <v>0</v>
      </c>
    </row>
    <row r="20" spans="1:31" x14ac:dyDescent="0.2">
      <c r="A20" s="49" t="s">
        <v>0</v>
      </c>
      <c r="B20" s="42" t="s">
        <v>51</v>
      </c>
      <c r="C20" s="42" t="s">
        <v>135</v>
      </c>
      <c r="D20" s="46">
        <v>44361</v>
      </c>
      <c r="E20" s="46">
        <v>44361</v>
      </c>
      <c r="F20" s="46">
        <v>44367</v>
      </c>
      <c r="G20" s="42" t="s">
        <v>52</v>
      </c>
      <c r="H20" s="42" t="s">
        <v>3</v>
      </c>
      <c r="I20" s="45">
        <v>22241</v>
      </c>
      <c r="J20" s="42" t="s">
        <v>55</v>
      </c>
      <c r="K20" s="42" t="s">
        <v>1</v>
      </c>
      <c r="L20" s="45">
        <v>1885813.15</v>
      </c>
      <c r="M20" s="45">
        <v>22241</v>
      </c>
      <c r="N20" s="48" t="s">
        <v>136</v>
      </c>
      <c r="O20" s="47" t="s">
        <v>0</v>
      </c>
      <c r="P20" s="42" t="s">
        <v>137</v>
      </c>
      <c r="Q20" s="42" t="s">
        <v>54</v>
      </c>
      <c r="R20" s="42" t="s">
        <v>76</v>
      </c>
      <c r="S20" s="42" t="s">
        <v>0</v>
      </c>
      <c r="T20" s="42" t="s">
        <v>2</v>
      </c>
      <c r="U20" s="42" t="s">
        <v>138</v>
      </c>
      <c r="V20" s="42" t="s">
        <v>0</v>
      </c>
      <c r="W20" s="42" t="s">
        <v>0</v>
      </c>
      <c r="X20" s="42" t="s">
        <v>0</v>
      </c>
      <c r="Y20" s="42" t="s">
        <v>0</v>
      </c>
      <c r="Z20" s="42" t="s">
        <v>0</v>
      </c>
      <c r="AA20" s="46"/>
      <c r="AB20" s="42" t="s">
        <v>0</v>
      </c>
      <c r="AC20" s="42" t="s">
        <v>0</v>
      </c>
      <c r="AD20" s="42" t="s">
        <v>0</v>
      </c>
      <c r="AE20" s="45">
        <v>0</v>
      </c>
    </row>
    <row r="21" spans="1:31" x14ac:dyDescent="0.2">
      <c r="A21" s="49" t="s">
        <v>0</v>
      </c>
      <c r="B21" s="42" t="s">
        <v>51</v>
      </c>
      <c r="C21" s="42" t="s">
        <v>93</v>
      </c>
      <c r="D21" s="46">
        <v>44343</v>
      </c>
      <c r="E21" s="46">
        <v>44343</v>
      </c>
      <c r="F21" s="46">
        <v>44345</v>
      </c>
      <c r="G21" s="42" t="s">
        <v>52</v>
      </c>
      <c r="H21" s="42" t="s">
        <v>3</v>
      </c>
      <c r="I21" s="45">
        <v>18689</v>
      </c>
      <c r="J21" s="42" t="s">
        <v>55</v>
      </c>
      <c r="K21" s="42" t="s">
        <v>1</v>
      </c>
      <c r="L21" s="45">
        <v>1584639.27</v>
      </c>
      <c r="M21" s="45">
        <v>18689</v>
      </c>
      <c r="N21" s="48" t="s">
        <v>139</v>
      </c>
      <c r="O21" s="47" t="s">
        <v>0</v>
      </c>
      <c r="P21" s="42" t="s">
        <v>96</v>
      </c>
      <c r="Q21" s="42" t="s">
        <v>54</v>
      </c>
      <c r="R21" s="42" t="s">
        <v>67</v>
      </c>
      <c r="S21" s="42" t="s">
        <v>0</v>
      </c>
      <c r="T21" s="42" t="s">
        <v>2</v>
      </c>
      <c r="U21" s="42" t="s">
        <v>98</v>
      </c>
      <c r="V21" s="42" t="s">
        <v>0</v>
      </c>
      <c r="W21" s="42" t="s">
        <v>0</v>
      </c>
      <c r="X21" s="42" t="s">
        <v>0</v>
      </c>
      <c r="Y21" s="42" t="s">
        <v>0</v>
      </c>
      <c r="Z21" s="42" t="s">
        <v>0</v>
      </c>
      <c r="AA21" s="46"/>
      <c r="AB21" s="42" t="s">
        <v>0</v>
      </c>
      <c r="AC21" s="42" t="s">
        <v>0</v>
      </c>
      <c r="AD21" s="42" t="s">
        <v>0</v>
      </c>
      <c r="AE21" s="45">
        <v>0</v>
      </c>
    </row>
    <row r="22" spans="1:31" x14ac:dyDescent="0.2">
      <c r="A22" s="49" t="s">
        <v>0</v>
      </c>
      <c r="B22" s="42" t="s">
        <v>51</v>
      </c>
      <c r="C22" s="42" t="s">
        <v>126</v>
      </c>
      <c r="D22" s="46">
        <v>44376</v>
      </c>
      <c r="E22" s="46">
        <v>44376</v>
      </c>
      <c r="F22" s="46">
        <v>44380</v>
      </c>
      <c r="G22" s="42" t="s">
        <v>52</v>
      </c>
      <c r="H22" s="42" t="s">
        <v>3</v>
      </c>
      <c r="I22" s="45">
        <v>17538</v>
      </c>
      <c r="J22" s="42" t="s">
        <v>55</v>
      </c>
      <c r="K22" s="42" t="s">
        <v>1</v>
      </c>
      <c r="L22" s="45">
        <v>1487046.04</v>
      </c>
      <c r="M22" s="45">
        <v>17538</v>
      </c>
      <c r="N22" s="48" t="s">
        <v>140</v>
      </c>
      <c r="O22" s="47" t="s">
        <v>0</v>
      </c>
      <c r="P22" s="42" t="s">
        <v>128</v>
      </c>
      <c r="Q22" s="42" t="s">
        <v>54</v>
      </c>
      <c r="R22" s="42" t="s">
        <v>67</v>
      </c>
      <c r="S22" s="42" t="s">
        <v>0</v>
      </c>
      <c r="T22" s="42" t="s">
        <v>2</v>
      </c>
      <c r="U22" s="42" t="s">
        <v>130</v>
      </c>
      <c r="V22" s="42" t="s">
        <v>0</v>
      </c>
      <c r="W22" s="42" t="s">
        <v>0</v>
      </c>
      <c r="X22" s="42" t="s">
        <v>0</v>
      </c>
      <c r="Y22" s="42" t="s">
        <v>0</v>
      </c>
      <c r="Z22" s="42" t="s">
        <v>0</v>
      </c>
      <c r="AA22" s="46"/>
      <c r="AB22" s="42" t="s">
        <v>0</v>
      </c>
      <c r="AC22" s="42" t="s">
        <v>0</v>
      </c>
      <c r="AD22" s="42" t="s">
        <v>0</v>
      </c>
      <c r="AE22" s="45">
        <v>0</v>
      </c>
    </row>
    <row r="23" spans="1:31" x14ac:dyDescent="0.2">
      <c r="A23" s="49" t="s">
        <v>0</v>
      </c>
      <c r="B23" s="42" t="s">
        <v>51</v>
      </c>
      <c r="C23" s="42" t="s">
        <v>83</v>
      </c>
      <c r="D23" s="46">
        <v>44367</v>
      </c>
      <c r="E23" s="46">
        <v>44367</v>
      </c>
      <c r="F23" s="46">
        <v>44369</v>
      </c>
      <c r="G23" s="42" t="s">
        <v>52</v>
      </c>
      <c r="H23" s="42" t="s">
        <v>3</v>
      </c>
      <c r="I23" s="45">
        <v>17526</v>
      </c>
      <c r="J23" s="42" t="s">
        <v>94</v>
      </c>
      <c r="K23" s="42" t="s">
        <v>1</v>
      </c>
      <c r="L23" s="45">
        <v>1486025.9</v>
      </c>
      <c r="M23" s="45">
        <v>17526</v>
      </c>
      <c r="N23" s="48" t="s">
        <v>141</v>
      </c>
      <c r="O23" s="47" t="s">
        <v>0</v>
      </c>
      <c r="P23" s="42" t="s">
        <v>85</v>
      </c>
      <c r="Q23" s="42" t="s">
        <v>54</v>
      </c>
      <c r="R23" s="42" t="s">
        <v>142</v>
      </c>
      <c r="S23" s="42" t="s">
        <v>0</v>
      </c>
      <c r="T23" s="42" t="s">
        <v>2</v>
      </c>
      <c r="U23" s="42" t="s">
        <v>86</v>
      </c>
      <c r="V23" s="42" t="s">
        <v>0</v>
      </c>
      <c r="W23" s="42" t="s">
        <v>0</v>
      </c>
      <c r="X23" s="42" t="s">
        <v>0</v>
      </c>
      <c r="Y23" s="42" t="s">
        <v>0</v>
      </c>
      <c r="Z23" s="42" t="s">
        <v>0</v>
      </c>
      <c r="AA23" s="46"/>
      <c r="AB23" s="42" t="s">
        <v>0</v>
      </c>
      <c r="AC23" s="42" t="s">
        <v>0</v>
      </c>
      <c r="AD23" s="42" t="s">
        <v>0</v>
      </c>
      <c r="AE23" s="45">
        <v>0</v>
      </c>
    </row>
    <row r="24" spans="1:31" x14ac:dyDescent="0.2">
      <c r="A24" s="49" t="s">
        <v>0</v>
      </c>
      <c r="B24" s="42" t="s">
        <v>51</v>
      </c>
      <c r="C24" s="42" t="s">
        <v>64</v>
      </c>
      <c r="D24" s="46">
        <v>44346</v>
      </c>
      <c r="E24" s="46">
        <v>44346</v>
      </c>
      <c r="F24" s="46">
        <v>44347</v>
      </c>
      <c r="G24" s="42" t="s">
        <v>52</v>
      </c>
      <c r="H24" s="42" t="s">
        <v>3</v>
      </c>
      <c r="I24" s="45">
        <v>10074</v>
      </c>
      <c r="J24" s="42" t="s">
        <v>94</v>
      </c>
      <c r="K24" s="42" t="s">
        <v>1</v>
      </c>
      <c r="L24" s="45">
        <v>854172.37</v>
      </c>
      <c r="M24" s="45">
        <v>10074</v>
      </c>
      <c r="N24" s="48" t="s">
        <v>143</v>
      </c>
      <c r="O24" s="47" t="s">
        <v>0</v>
      </c>
      <c r="P24" s="42" t="s">
        <v>66</v>
      </c>
      <c r="Q24" s="42" t="s">
        <v>54</v>
      </c>
      <c r="R24" s="42" t="s">
        <v>97</v>
      </c>
      <c r="S24" s="42" t="s">
        <v>0</v>
      </c>
      <c r="T24" s="42" t="s">
        <v>2</v>
      </c>
      <c r="U24" s="42" t="s">
        <v>68</v>
      </c>
      <c r="V24" s="42" t="s">
        <v>0</v>
      </c>
      <c r="W24" s="42" t="s">
        <v>0</v>
      </c>
      <c r="X24" s="42" t="s">
        <v>0</v>
      </c>
      <c r="Y24" s="42" t="s">
        <v>0</v>
      </c>
      <c r="Z24" s="42" t="s">
        <v>0</v>
      </c>
      <c r="AA24" s="46"/>
      <c r="AB24" s="42" t="s">
        <v>0</v>
      </c>
      <c r="AC24" s="42" t="s">
        <v>0</v>
      </c>
      <c r="AD24" s="42" t="s">
        <v>0</v>
      </c>
      <c r="AE24" s="45">
        <v>0</v>
      </c>
    </row>
    <row r="25" spans="1:31" x14ac:dyDescent="0.2">
      <c r="A25" s="49" t="s">
        <v>0</v>
      </c>
      <c r="B25" s="42" t="s">
        <v>51</v>
      </c>
      <c r="C25" s="42" t="s">
        <v>122</v>
      </c>
      <c r="D25" s="46">
        <v>44355</v>
      </c>
      <c r="E25" s="46">
        <v>44355</v>
      </c>
      <c r="F25" s="46">
        <v>44356</v>
      </c>
      <c r="G25" s="42" t="s">
        <v>52</v>
      </c>
      <c r="H25" s="42" t="s">
        <v>3</v>
      </c>
      <c r="I25" s="45">
        <v>9563</v>
      </c>
      <c r="J25" s="42" t="s">
        <v>94</v>
      </c>
      <c r="K25" s="42" t="s">
        <v>1</v>
      </c>
      <c r="L25" s="45">
        <v>810844.78</v>
      </c>
      <c r="M25" s="45">
        <v>9563</v>
      </c>
      <c r="N25" s="48" t="s">
        <v>144</v>
      </c>
      <c r="O25" s="47" t="s">
        <v>0</v>
      </c>
      <c r="P25" s="42" t="s">
        <v>124</v>
      </c>
      <c r="Q25" s="42" t="s">
        <v>54</v>
      </c>
      <c r="R25" s="42" t="s">
        <v>142</v>
      </c>
      <c r="S25" s="42" t="s">
        <v>0</v>
      </c>
      <c r="T25" s="42" t="s">
        <v>2</v>
      </c>
      <c r="U25" s="42" t="s">
        <v>125</v>
      </c>
      <c r="V25" s="42" t="s">
        <v>0</v>
      </c>
      <c r="W25" s="42" t="s">
        <v>0</v>
      </c>
      <c r="X25" s="42" t="s">
        <v>0</v>
      </c>
      <c r="Y25" s="42" t="s">
        <v>0</v>
      </c>
      <c r="Z25" s="42" t="s">
        <v>0</v>
      </c>
      <c r="AA25" s="46"/>
      <c r="AB25" s="42" t="s">
        <v>0</v>
      </c>
      <c r="AC25" s="42" t="s">
        <v>0</v>
      </c>
      <c r="AD25" s="42" t="s">
        <v>0</v>
      </c>
      <c r="AE25" s="45">
        <v>0</v>
      </c>
    </row>
    <row r="26" spans="1:31" x14ac:dyDescent="0.2">
      <c r="A26" s="49" t="s">
        <v>0</v>
      </c>
      <c r="B26" s="42" t="s">
        <v>51</v>
      </c>
      <c r="C26" s="42" t="s">
        <v>145</v>
      </c>
      <c r="D26" s="46">
        <v>44377</v>
      </c>
      <c r="E26" s="46">
        <v>44377</v>
      </c>
      <c r="F26" s="46">
        <v>44380</v>
      </c>
      <c r="G26" s="42" t="s">
        <v>52</v>
      </c>
      <c r="H26" s="42" t="s">
        <v>3</v>
      </c>
      <c r="I26" s="45">
        <v>8342</v>
      </c>
      <c r="J26" s="42" t="s">
        <v>55</v>
      </c>
      <c r="K26" s="42" t="s">
        <v>1</v>
      </c>
      <c r="L26" s="45">
        <v>707317.71</v>
      </c>
      <c r="M26" s="45">
        <v>8342</v>
      </c>
      <c r="N26" s="48" t="s">
        <v>146</v>
      </c>
      <c r="O26" s="47" t="s">
        <v>0</v>
      </c>
      <c r="P26" s="42" t="s">
        <v>147</v>
      </c>
      <c r="Q26" s="42" t="s">
        <v>54</v>
      </c>
      <c r="R26" s="42" t="s">
        <v>76</v>
      </c>
      <c r="S26" s="42" t="s">
        <v>0</v>
      </c>
      <c r="T26" s="42" t="s">
        <v>2</v>
      </c>
      <c r="U26" s="42" t="s">
        <v>148</v>
      </c>
      <c r="V26" s="42" t="s">
        <v>0</v>
      </c>
      <c r="W26" s="42" t="s">
        <v>0</v>
      </c>
      <c r="X26" s="42" t="s">
        <v>0</v>
      </c>
      <c r="Y26" s="42" t="s">
        <v>0</v>
      </c>
      <c r="Z26" s="42" t="s">
        <v>0</v>
      </c>
      <c r="AA26" s="46"/>
      <c r="AB26" s="42" t="s">
        <v>0</v>
      </c>
      <c r="AC26" s="42" t="s">
        <v>0</v>
      </c>
      <c r="AD26" s="42" t="s">
        <v>0</v>
      </c>
      <c r="AE26" s="45">
        <v>0</v>
      </c>
    </row>
    <row r="27" spans="1:31" x14ac:dyDescent="0.2">
      <c r="A27" s="49" t="s">
        <v>0</v>
      </c>
      <c r="B27" s="42" t="s">
        <v>51</v>
      </c>
      <c r="C27" s="42" t="s">
        <v>145</v>
      </c>
      <c r="D27" s="46">
        <v>44377</v>
      </c>
      <c r="E27" s="46">
        <v>44377</v>
      </c>
      <c r="F27" s="46">
        <v>44380</v>
      </c>
      <c r="G27" s="42" t="s">
        <v>52</v>
      </c>
      <c r="H27" s="42" t="s">
        <v>3</v>
      </c>
      <c r="I27" s="45">
        <v>7669</v>
      </c>
      <c r="J27" s="42" t="s">
        <v>112</v>
      </c>
      <c r="K27" s="42" t="s">
        <v>1</v>
      </c>
      <c r="L27" s="45">
        <v>650253.65</v>
      </c>
      <c r="M27" s="45">
        <v>7669</v>
      </c>
      <c r="N27" s="48" t="s">
        <v>149</v>
      </c>
      <c r="O27" s="47" t="s">
        <v>0</v>
      </c>
      <c r="P27" s="42" t="s">
        <v>147</v>
      </c>
      <c r="Q27" s="42" t="s">
        <v>54</v>
      </c>
      <c r="R27" s="42" t="s">
        <v>115</v>
      </c>
      <c r="S27" s="42" t="s">
        <v>0</v>
      </c>
      <c r="T27" s="42" t="s">
        <v>2</v>
      </c>
      <c r="U27" s="42" t="s">
        <v>148</v>
      </c>
      <c r="V27" s="42" t="s">
        <v>0</v>
      </c>
      <c r="W27" s="42" t="s">
        <v>0</v>
      </c>
      <c r="X27" s="42" t="s">
        <v>0</v>
      </c>
      <c r="Y27" s="42" t="s">
        <v>0</v>
      </c>
      <c r="Z27" s="42" t="s">
        <v>0</v>
      </c>
      <c r="AA27" s="46"/>
      <c r="AB27" s="42" t="s">
        <v>0</v>
      </c>
      <c r="AC27" s="42" t="s">
        <v>0</v>
      </c>
      <c r="AD27" s="42" t="s">
        <v>0</v>
      </c>
      <c r="AE27" s="45">
        <v>0</v>
      </c>
    </row>
    <row r="28" spans="1:31" x14ac:dyDescent="0.2">
      <c r="A28" s="49" t="s">
        <v>0</v>
      </c>
      <c r="B28" s="42" t="s">
        <v>51</v>
      </c>
      <c r="C28" s="42" t="s">
        <v>111</v>
      </c>
      <c r="D28" s="46">
        <v>44377</v>
      </c>
      <c r="E28" s="46">
        <v>44377</v>
      </c>
      <c r="F28" s="46">
        <v>44380</v>
      </c>
      <c r="G28" s="42" t="s">
        <v>52</v>
      </c>
      <c r="H28" s="42" t="s">
        <v>3</v>
      </c>
      <c r="I28" s="45">
        <v>7225</v>
      </c>
      <c r="J28" s="42" t="s">
        <v>55</v>
      </c>
      <c r="K28" s="42" t="s">
        <v>1</v>
      </c>
      <c r="L28" s="45">
        <v>612607.35</v>
      </c>
      <c r="M28" s="45">
        <v>7225</v>
      </c>
      <c r="N28" s="48" t="s">
        <v>150</v>
      </c>
      <c r="O28" s="47" t="s">
        <v>0</v>
      </c>
      <c r="P28" s="42" t="s">
        <v>114</v>
      </c>
      <c r="Q28" s="42" t="s">
        <v>54</v>
      </c>
      <c r="R28" s="42" t="s">
        <v>151</v>
      </c>
      <c r="S28" s="42" t="s">
        <v>0</v>
      </c>
      <c r="T28" s="42" t="s">
        <v>2</v>
      </c>
      <c r="U28" s="42" t="s">
        <v>116</v>
      </c>
      <c r="V28" s="42" t="s">
        <v>0</v>
      </c>
      <c r="W28" s="42" t="s">
        <v>0</v>
      </c>
      <c r="X28" s="42" t="s">
        <v>0</v>
      </c>
      <c r="Y28" s="42" t="s">
        <v>0</v>
      </c>
      <c r="Z28" s="42" t="s">
        <v>0</v>
      </c>
      <c r="AA28" s="46"/>
      <c r="AB28" s="42" t="s">
        <v>0</v>
      </c>
      <c r="AC28" s="42" t="s">
        <v>0</v>
      </c>
      <c r="AD28" s="42" t="s">
        <v>0</v>
      </c>
      <c r="AE28" s="45">
        <v>0</v>
      </c>
    </row>
    <row r="29" spans="1:31" x14ac:dyDescent="0.2">
      <c r="A29" s="49" t="s">
        <v>0</v>
      </c>
      <c r="B29" s="42" t="s">
        <v>51</v>
      </c>
      <c r="C29" s="42" t="s">
        <v>145</v>
      </c>
      <c r="D29" s="46">
        <v>44377</v>
      </c>
      <c r="E29" s="46">
        <v>44377</v>
      </c>
      <c r="F29" s="46">
        <v>44380</v>
      </c>
      <c r="G29" s="42" t="s">
        <v>52</v>
      </c>
      <c r="H29" s="42" t="s">
        <v>3</v>
      </c>
      <c r="I29" s="45">
        <v>7004</v>
      </c>
      <c r="J29" s="42" t="s">
        <v>70</v>
      </c>
      <c r="K29" s="42" t="s">
        <v>1</v>
      </c>
      <c r="L29" s="45">
        <v>592987.29</v>
      </c>
      <c r="M29" s="45">
        <v>7004</v>
      </c>
      <c r="N29" s="48" t="s">
        <v>152</v>
      </c>
      <c r="O29" s="47" t="s">
        <v>0</v>
      </c>
      <c r="P29" s="42" t="s">
        <v>147</v>
      </c>
      <c r="Q29" s="42" t="s">
        <v>54</v>
      </c>
      <c r="R29" s="42" t="s">
        <v>73</v>
      </c>
      <c r="S29" s="42" t="s">
        <v>0</v>
      </c>
      <c r="T29" s="42" t="s">
        <v>2</v>
      </c>
      <c r="U29" s="42" t="s">
        <v>148</v>
      </c>
      <c r="V29" s="42" t="s">
        <v>0</v>
      </c>
      <c r="W29" s="42" t="s">
        <v>0</v>
      </c>
      <c r="X29" s="42" t="s">
        <v>0</v>
      </c>
      <c r="Y29" s="42" t="s">
        <v>0</v>
      </c>
      <c r="Z29" s="42" t="s">
        <v>0</v>
      </c>
      <c r="AA29" s="46"/>
      <c r="AB29" s="42" t="s">
        <v>0</v>
      </c>
      <c r="AC29" s="42" t="s">
        <v>0</v>
      </c>
      <c r="AD29" s="42" t="s">
        <v>0</v>
      </c>
      <c r="AE29" s="45">
        <v>0</v>
      </c>
    </row>
    <row r="30" spans="1:31" x14ac:dyDescent="0.2">
      <c r="A30" s="49" t="s">
        <v>0</v>
      </c>
      <c r="B30" s="42" t="s">
        <v>51</v>
      </c>
      <c r="C30" s="42" t="s">
        <v>103</v>
      </c>
      <c r="D30" s="46">
        <v>44347</v>
      </c>
      <c r="E30" s="46">
        <v>44347</v>
      </c>
      <c r="F30" s="46">
        <v>44348</v>
      </c>
      <c r="G30" s="42" t="s">
        <v>52</v>
      </c>
      <c r="H30" s="42" t="s">
        <v>3</v>
      </c>
      <c r="I30" s="45">
        <v>6584</v>
      </c>
      <c r="J30" s="42" t="s">
        <v>88</v>
      </c>
      <c r="K30" s="42" t="s">
        <v>1</v>
      </c>
      <c r="L30" s="45">
        <v>557429.87</v>
      </c>
      <c r="M30" s="45">
        <v>6584</v>
      </c>
      <c r="N30" s="48" t="s">
        <v>153</v>
      </c>
      <c r="O30" s="47" t="s">
        <v>0</v>
      </c>
      <c r="P30" s="42" t="s">
        <v>105</v>
      </c>
      <c r="Q30" s="42" t="s">
        <v>54</v>
      </c>
      <c r="R30" s="42" t="s">
        <v>154</v>
      </c>
      <c r="S30" s="42" t="s">
        <v>0</v>
      </c>
      <c r="T30" s="42" t="s">
        <v>2</v>
      </c>
      <c r="U30" s="42" t="s">
        <v>106</v>
      </c>
      <c r="V30" s="42" t="s">
        <v>0</v>
      </c>
      <c r="W30" s="42" t="s">
        <v>0</v>
      </c>
      <c r="X30" s="42" t="s">
        <v>0</v>
      </c>
      <c r="Y30" s="42" t="s">
        <v>0</v>
      </c>
      <c r="Z30" s="42" t="s">
        <v>0</v>
      </c>
      <c r="AA30" s="46"/>
      <c r="AB30" s="42" t="s">
        <v>0</v>
      </c>
      <c r="AC30" s="42" t="s">
        <v>0</v>
      </c>
      <c r="AD30" s="42" t="s">
        <v>0</v>
      </c>
      <c r="AE30" s="45">
        <v>0</v>
      </c>
    </row>
    <row r="31" spans="1:31" x14ac:dyDescent="0.2">
      <c r="A31" s="49" t="s">
        <v>0</v>
      </c>
      <c r="B31" s="42" t="s">
        <v>51</v>
      </c>
      <c r="C31" s="42" t="s">
        <v>155</v>
      </c>
      <c r="D31" s="46">
        <v>44367</v>
      </c>
      <c r="E31" s="46">
        <v>44367</v>
      </c>
      <c r="F31" s="46">
        <v>44369</v>
      </c>
      <c r="G31" s="42" t="s">
        <v>52</v>
      </c>
      <c r="H31" s="42" t="s">
        <v>3</v>
      </c>
      <c r="I31" s="45">
        <v>6507</v>
      </c>
      <c r="J31" s="42" t="s">
        <v>70</v>
      </c>
      <c r="K31" s="42" t="s">
        <v>1</v>
      </c>
      <c r="L31" s="45">
        <v>550909.24</v>
      </c>
      <c r="M31" s="45">
        <v>6507</v>
      </c>
      <c r="N31" s="48" t="s">
        <v>156</v>
      </c>
      <c r="O31" s="47" t="s">
        <v>0</v>
      </c>
      <c r="P31" s="42" t="s">
        <v>157</v>
      </c>
      <c r="Q31" s="42" t="s">
        <v>54</v>
      </c>
      <c r="R31" s="42" t="s">
        <v>73</v>
      </c>
      <c r="S31" s="42" t="s">
        <v>0</v>
      </c>
      <c r="T31" s="42" t="s">
        <v>2</v>
      </c>
      <c r="U31" s="42" t="s">
        <v>158</v>
      </c>
      <c r="V31" s="42" t="s">
        <v>0</v>
      </c>
      <c r="W31" s="42" t="s">
        <v>0</v>
      </c>
      <c r="X31" s="42" t="s">
        <v>0</v>
      </c>
      <c r="Y31" s="42" t="s">
        <v>0</v>
      </c>
      <c r="Z31" s="42" t="s">
        <v>0</v>
      </c>
      <c r="AA31" s="46"/>
      <c r="AB31" s="42" t="s">
        <v>0</v>
      </c>
      <c r="AC31" s="42" t="s">
        <v>0</v>
      </c>
      <c r="AD31" s="42" t="s">
        <v>0</v>
      </c>
      <c r="AE31" s="45">
        <v>0</v>
      </c>
    </row>
    <row r="32" spans="1:31" x14ac:dyDescent="0.2">
      <c r="A32" s="49" t="s">
        <v>0</v>
      </c>
      <c r="B32" s="42" t="s">
        <v>51</v>
      </c>
      <c r="C32" s="42" t="s">
        <v>145</v>
      </c>
      <c r="D32" s="46">
        <v>44377</v>
      </c>
      <c r="E32" s="46">
        <v>44377</v>
      </c>
      <c r="F32" s="46">
        <v>44380</v>
      </c>
      <c r="G32" s="42" t="s">
        <v>52</v>
      </c>
      <c r="H32" s="42" t="s">
        <v>3</v>
      </c>
      <c r="I32" s="45">
        <v>6117</v>
      </c>
      <c r="J32" s="42" t="s">
        <v>55</v>
      </c>
      <c r="K32" s="42" t="s">
        <v>1</v>
      </c>
      <c r="L32" s="45">
        <v>518660.09</v>
      </c>
      <c r="M32" s="45">
        <v>6117</v>
      </c>
      <c r="N32" s="48" t="s">
        <v>159</v>
      </c>
      <c r="O32" s="47" t="s">
        <v>0</v>
      </c>
      <c r="P32" s="42" t="s">
        <v>147</v>
      </c>
      <c r="Q32" s="42" t="s">
        <v>54</v>
      </c>
      <c r="R32" s="42" t="s">
        <v>151</v>
      </c>
      <c r="S32" s="42" t="s">
        <v>0</v>
      </c>
      <c r="T32" s="42" t="s">
        <v>2</v>
      </c>
      <c r="U32" s="42" t="s">
        <v>148</v>
      </c>
      <c r="V32" s="42" t="s">
        <v>0</v>
      </c>
      <c r="W32" s="42" t="s">
        <v>0</v>
      </c>
      <c r="X32" s="42" t="s">
        <v>0</v>
      </c>
      <c r="Y32" s="42" t="s">
        <v>0</v>
      </c>
      <c r="Z32" s="42" t="s">
        <v>0</v>
      </c>
      <c r="AA32" s="46"/>
      <c r="AB32" s="42" t="s">
        <v>0</v>
      </c>
      <c r="AC32" s="42" t="s">
        <v>0</v>
      </c>
      <c r="AD32" s="42" t="s">
        <v>0</v>
      </c>
      <c r="AE32" s="45">
        <v>0</v>
      </c>
    </row>
    <row r="33" spans="1:31" x14ac:dyDescent="0.2">
      <c r="A33" s="49" t="s">
        <v>0</v>
      </c>
      <c r="B33" s="42" t="s">
        <v>51</v>
      </c>
      <c r="C33" s="42" t="s">
        <v>83</v>
      </c>
      <c r="D33" s="46">
        <v>44367</v>
      </c>
      <c r="E33" s="46">
        <v>44367</v>
      </c>
      <c r="F33" s="46">
        <v>44369</v>
      </c>
      <c r="G33" s="42" t="s">
        <v>52</v>
      </c>
      <c r="H33" s="42" t="s">
        <v>3</v>
      </c>
      <c r="I33" s="45">
        <v>4092</v>
      </c>
      <c r="J33" s="42" t="s">
        <v>70</v>
      </c>
      <c r="K33" s="42" t="s">
        <v>1</v>
      </c>
      <c r="L33" s="45">
        <v>346445.46</v>
      </c>
      <c r="M33" s="45">
        <v>4092</v>
      </c>
      <c r="N33" s="48" t="s">
        <v>160</v>
      </c>
      <c r="O33" s="47" t="s">
        <v>0</v>
      </c>
      <c r="P33" s="42" t="s">
        <v>85</v>
      </c>
      <c r="Q33" s="42" t="s">
        <v>54</v>
      </c>
      <c r="R33" s="42" t="s">
        <v>73</v>
      </c>
      <c r="S33" s="42" t="s">
        <v>0</v>
      </c>
      <c r="T33" s="42" t="s">
        <v>2</v>
      </c>
      <c r="U33" s="42" t="s">
        <v>86</v>
      </c>
      <c r="V33" s="42" t="s">
        <v>0</v>
      </c>
      <c r="W33" s="42" t="s">
        <v>0</v>
      </c>
      <c r="X33" s="42" t="s">
        <v>0</v>
      </c>
      <c r="Y33" s="42" t="s">
        <v>0</v>
      </c>
      <c r="Z33" s="42" t="s">
        <v>0</v>
      </c>
      <c r="AA33" s="46"/>
      <c r="AB33" s="42" t="s">
        <v>0</v>
      </c>
      <c r="AC33" s="42" t="s">
        <v>0</v>
      </c>
      <c r="AD33" s="42" t="s">
        <v>0</v>
      </c>
      <c r="AE33" s="45">
        <v>0</v>
      </c>
    </row>
    <row r="34" spans="1:31" x14ac:dyDescent="0.2">
      <c r="A34" s="49" t="s">
        <v>0</v>
      </c>
      <c r="B34" s="42" t="s">
        <v>51</v>
      </c>
      <c r="C34" s="42" t="s">
        <v>161</v>
      </c>
      <c r="D34" s="46">
        <v>44361</v>
      </c>
      <c r="E34" s="46">
        <v>44361</v>
      </c>
      <c r="F34" s="46">
        <v>44367</v>
      </c>
      <c r="G34" s="42" t="s">
        <v>52</v>
      </c>
      <c r="H34" s="42" t="s">
        <v>3</v>
      </c>
      <c r="I34" s="45">
        <v>2652</v>
      </c>
      <c r="J34" s="42" t="s">
        <v>94</v>
      </c>
      <c r="K34" s="42" t="s">
        <v>1</v>
      </c>
      <c r="L34" s="45">
        <v>224862.53</v>
      </c>
      <c r="M34" s="45">
        <v>2652</v>
      </c>
      <c r="N34" s="48" t="s">
        <v>162</v>
      </c>
      <c r="O34" s="47" t="s">
        <v>0</v>
      </c>
      <c r="P34" s="42" t="s">
        <v>163</v>
      </c>
      <c r="Q34" s="42" t="s">
        <v>54</v>
      </c>
      <c r="R34" s="42" t="s">
        <v>142</v>
      </c>
      <c r="S34" s="42" t="s">
        <v>0</v>
      </c>
      <c r="T34" s="42" t="s">
        <v>2</v>
      </c>
      <c r="U34" s="42" t="s">
        <v>164</v>
      </c>
      <c r="V34" s="42" t="s">
        <v>0</v>
      </c>
      <c r="W34" s="42" t="s">
        <v>0</v>
      </c>
      <c r="X34" s="42" t="s">
        <v>0</v>
      </c>
      <c r="Y34" s="42" t="s">
        <v>0</v>
      </c>
      <c r="Z34" s="42" t="s">
        <v>0</v>
      </c>
      <c r="AA34" s="46"/>
      <c r="AB34" s="42" t="s">
        <v>0</v>
      </c>
      <c r="AC34" s="42" t="s">
        <v>0</v>
      </c>
      <c r="AD34" s="42" t="s">
        <v>0</v>
      </c>
      <c r="AE34" s="45">
        <v>0</v>
      </c>
    </row>
    <row r="35" spans="1:31" x14ac:dyDescent="0.2">
      <c r="A35" s="49" t="s">
        <v>0</v>
      </c>
      <c r="B35" s="42" t="s">
        <v>51</v>
      </c>
      <c r="C35" s="42" t="s">
        <v>161</v>
      </c>
      <c r="D35" s="46">
        <v>44361</v>
      </c>
      <c r="E35" s="46">
        <v>44361</v>
      </c>
      <c r="F35" s="46">
        <v>44367</v>
      </c>
      <c r="G35" s="42" t="s">
        <v>52</v>
      </c>
      <c r="H35" s="42" t="s">
        <v>3</v>
      </c>
      <c r="I35" s="45">
        <v>2512</v>
      </c>
      <c r="J35" s="42" t="s">
        <v>55</v>
      </c>
      <c r="K35" s="42" t="s">
        <v>1</v>
      </c>
      <c r="L35" s="45">
        <v>212992.34</v>
      </c>
      <c r="M35" s="45">
        <v>2512</v>
      </c>
      <c r="N35" s="48" t="s">
        <v>165</v>
      </c>
      <c r="O35" s="47" t="s">
        <v>0</v>
      </c>
      <c r="P35" s="42" t="s">
        <v>163</v>
      </c>
      <c r="Q35" s="42" t="s">
        <v>54</v>
      </c>
      <c r="R35" s="42" t="s">
        <v>76</v>
      </c>
      <c r="S35" s="42" t="s">
        <v>0</v>
      </c>
      <c r="T35" s="42" t="s">
        <v>2</v>
      </c>
      <c r="U35" s="42" t="s">
        <v>164</v>
      </c>
      <c r="V35" s="42" t="s">
        <v>0</v>
      </c>
      <c r="W35" s="42" t="s">
        <v>0</v>
      </c>
      <c r="X35" s="42" t="s">
        <v>0</v>
      </c>
      <c r="Y35" s="42" t="s">
        <v>0</v>
      </c>
      <c r="Z35" s="42" t="s">
        <v>0</v>
      </c>
      <c r="AA35" s="46"/>
      <c r="AB35" s="42" t="s">
        <v>0</v>
      </c>
      <c r="AC35" s="42" t="s">
        <v>0</v>
      </c>
      <c r="AD35" s="42" t="s">
        <v>0</v>
      </c>
      <c r="AE35" s="45">
        <v>0</v>
      </c>
    </row>
    <row r="36" spans="1:31" x14ac:dyDescent="0.2">
      <c r="A36" s="49" t="s">
        <v>0</v>
      </c>
      <c r="B36" s="42" t="s">
        <v>51</v>
      </c>
      <c r="C36" s="42" t="s">
        <v>93</v>
      </c>
      <c r="D36" s="46">
        <v>44343</v>
      </c>
      <c r="E36" s="46">
        <v>44343</v>
      </c>
      <c r="F36" s="46">
        <v>44345</v>
      </c>
      <c r="G36" s="42" t="s">
        <v>52</v>
      </c>
      <c r="H36" s="42" t="s">
        <v>3</v>
      </c>
      <c r="I36" s="45">
        <v>2280</v>
      </c>
      <c r="J36" s="42" t="s">
        <v>88</v>
      </c>
      <c r="K36" s="42" t="s">
        <v>1</v>
      </c>
      <c r="L36" s="45">
        <v>193034.65</v>
      </c>
      <c r="M36" s="45">
        <v>2280</v>
      </c>
      <c r="N36" s="48" t="s">
        <v>166</v>
      </c>
      <c r="O36" s="47" t="s">
        <v>0</v>
      </c>
      <c r="P36" s="42" t="s">
        <v>96</v>
      </c>
      <c r="Q36" s="42" t="s">
        <v>54</v>
      </c>
      <c r="R36" s="42" t="s">
        <v>91</v>
      </c>
      <c r="S36" s="42" t="s">
        <v>0</v>
      </c>
      <c r="T36" s="42" t="s">
        <v>2</v>
      </c>
      <c r="U36" s="42" t="s">
        <v>98</v>
      </c>
      <c r="V36" s="42" t="s">
        <v>0</v>
      </c>
      <c r="W36" s="42" t="s">
        <v>0</v>
      </c>
      <c r="X36" s="42" t="s">
        <v>0</v>
      </c>
      <c r="Y36" s="42" t="s">
        <v>0</v>
      </c>
      <c r="Z36" s="42" t="s">
        <v>0</v>
      </c>
      <c r="AA36" s="46"/>
      <c r="AB36" s="42" t="s">
        <v>0</v>
      </c>
      <c r="AC36" s="42" t="s">
        <v>0</v>
      </c>
      <c r="AD36" s="42" t="s">
        <v>0</v>
      </c>
      <c r="AE36" s="45">
        <v>0</v>
      </c>
    </row>
    <row r="37" spans="1:31" x14ac:dyDescent="0.2">
      <c r="A37" s="49" t="s">
        <v>0</v>
      </c>
      <c r="B37" s="42" t="s">
        <v>51</v>
      </c>
      <c r="C37" s="42" t="s">
        <v>167</v>
      </c>
      <c r="D37" s="46">
        <v>44327</v>
      </c>
      <c r="E37" s="46">
        <v>44327</v>
      </c>
      <c r="F37" s="46">
        <v>44339</v>
      </c>
      <c r="G37" s="42" t="s">
        <v>52</v>
      </c>
      <c r="H37" s="42" t="s">
        <v>3</v>
      </c>
      <c r="I37" s="45">
        <v>1261</v>
      </c>
      <c r="J37" s="42" t="s">
        <v>88</v>
      </c>
      <c r="K37" s="42" t="s">
        <v>1</v>
      </c>
      <c r="L37" s="45">
        <v>106761.71</v>
      </c>
      <c r="M37" s="45">
        <v>1261</v>
      </c>
      <c r="N37" s="48" t="s">
        <v>168</v>
      </c>
      <c r="O37" s="47" t="s">
        <v>0</v>
      </c>
      <c r="P37" s="42" t="s">
        <v>169</v>
      </c>
      <c r="Q37" s="42" t="s">
        <v>54</v>
      </c>
      <c r="R37" s="42" t="s">
        <v>91</v>
      </c>
      <c r="S37" s="42" t="s">
        <v>0</v>
      </c>
      <c r="T37" s="42" t="s">
        <v>2</v>
      </c>
      <c r="U37" s="42" t="s">
        <v>170</v>
      </c>
      <c r="V37" s="42" t="s">
        <v>0</v>
      </c>
      <c r="W37" s="42" t="s">
        <v>0</v>
      </c>
      <c r="X37" s="42" t="s">
        <v>0</v>
      </c>
      <c r="Y37" s="42" t="s">
        <v>0</v>
      </c>
      <c r="Z37" s="42" t="s">
        <v>0</v>
      </c>
      <c r="AA37" s="46"/>
      <c r="AB37" s="42" t="s">
        <v>0</v>
      </c>
      <c r="AC37" s="42" t="s">
        <v>0</v>
      </c>
      <c r="AD37" s="42" t="s">
        <v>0</v>
      </c>
      <c r="AE37" s="45">
        <v>0</v>
      </c>
    </row>
    <row r="38" spans="1:31" x14ac:dyDescent="0.2">
      <c r="A38" s="49" t="s">
        <v>0</v>
      </c>
      <c r="B38" s="42" t="s">
        <v>51</v>
      </c>
      <c r="C38" s="42" t="s">
        <v>155</v>
      </c>
      <c r="D38" s="46">
        <v>44367</v>
      </c>
      <c r="E38" s="46">
        <v>44367</v>
      </c>
      <c r="F38" s="46">
        <v>44369</v>
      </c>
      <c r="G38" s="42" t="s">
        <v>52</v>
      </c>
      <c r="H38" s="42" t="s">
        <v>3</v>
      </c>
      <c r="I38" s="45">
        <v>975</v>
      </c>
      <c r="J38" s="42" t="s">
        <v>171</v>
      </c>
      <c r="K38" s="42" t="s">
        <v>1</v>
      </c>
      <c r="L38" s="45">
        <v>82670.2</v>
      </c>
      <c r="M38" s="45">
        <v>975</v>
      </c>
      <c r="N38" s="48" t="s">
        <v>172</v>
      </c>
      <c r="O38" s="47" t="s">
        <v>0</v>
      </c>
      <c r="P38" s="42" t="s">
        <v>157</v>
      </c>
      <c r="Q38" s="42" t="s">
        <v>54</v>
      </c>
      <c r="R38" s="42" t="s">
        <v>76</v>
      </c>
      <c r="S38" s="42" t="s">
        <v>0</v>
      </c>
      <c r="T38" s="42" t="s">
        <v>2</v>
      </c>
      <c r="U38" s="42" t="s">
        <v>158</v>
      </c>
      <c r="V38" s="42" t="s">
        <v>0</v>
      </c>
      <c r="W38" s="42" t="s">
        <v>0</v>
      </c>
      <c r="X38" s="42" t="s">
        <v>0</v>
      </c>
      <c r="Y38" s="42" t="s">
        <v>0</v>
      </c>
      <c r="Z38" s="42" t="s">
        <v>0</v>
      </c>
      <c r="AA38" s="46"/>
      <c r="AB38" s="42" t="s">
        <v>0</v>
      </c>
      <c r="AC38" s="42" t="s">
        <v>0</v>
      </c>
      <c r="AD38" s="42" t="s">
        <v>0</v>
      </c>
      <c r="AE38" s="45">
        <v>0</v>
      </c>
    </row>
    <row r="39" spans="1:31" x14ac:dyDescent="0.2">
      <c r="A39" s="49" t="s">
        <v>0</v>
      </c>
      <c r="B39" s="42" t="s">
        <v>51</v>
      </c>
      <c r="C39" s="42" t="s">
        <v>77</v>
      </c>
      <c r="D39" s="46">
        <v>44371</v>
      </c>
      <c r="E39" s="46">
        <v>44371</v>
      </c>
      <c r="F39" s="46">
        <v>44374</v>
      </c>
      <c r="G39" s="42" t="s">
        <v>52</v>
      </c>
      <c r="H39" s="42" t="s">
        <v>3</v>
      </c>
      <c r="I39" s="45">
        <v>809</v>
      </c>
      <c r="J39" s="42" t="s">
        <v>55</v>
      </c>
      <c r="K39" s="42" t="s">
        <v>1</v>
      </c>
      <c r="L39" s="45">
        <v>68595.06</v>
      </c>
      <c r="M39" s="45">
        <v>809</v>
      </c>
      <c r="N39" s="48" t="s">
        <v>173</v>
      </c>
      <c r="O39" s="47" t="s">
        <v>0</v>
      </c>
      <c r="P39" s="42" t="s">
        <v>79</v>
      </c>
      <c r="Q39" s="42" t="s">
        <v>54</v>
      </c>
      <c r="R39" s="42" t="s">
        <v>129</v>
      </c>
      <c r="S39" s="42" t="s">
        <v>0</v>
      </c>
      <c r="T39" s="42" t="s">
        <v>2</v>
      </c>
      <c r="U39" s="42" t="s">
        <v>80</v>
      </c>
      <c r="V39" s="42" t="s">
        <v>0</v>
      </c>
      <c r="W39" s="42" t="s">
        <v>0</v>
      </c>
      <c r="X39" s="42" t="s">
        <v>0</v>
      </c>
      <c r="Y39" s="42" t="s">
        <v>0</v>
      </c>
      <c r="Z39" s="42" t="s">
        <v>0</v>
      </c>
      <c r="AA39" s="46"/>
      <c r="AB39" s="42" t="s">
        <v>0</v>
      </c>
      <c r="AC39" s="42" t="s">
        <v>0</v>
      </c>
      <c r="AD39" s="42" t="s">
        <v>0</v>
      </c>
      <c r="AE39" s="45">
        <v>0</v>
      </c>
    </row>
    <row r="40" spans="1:31" x14ac:dyDescent="0.2">
      <c r="A40" s="49" t="s">
        <v>0</v>
      </c>
      <c r="B40" s="42" t="s">
        <v>51</v>
      </c>
      <c r="C40" s="42" t="s">
        <v>174</v>
      </c>
      <c r="D40" s="46">
        <v>44340</v>
      </c>
      <c r="E40" s="46">
        <v>44340</v>
      </c>
      <c r="F40" s="46">
        <v>44342</v>
      </c>
      <c r="G40" s="42" t="s">
        <v>52</v>
      </c>
      <c r="H40" s="42" t="s">
        <v>3</v>
      </c>
      <c r="I40" s="45">
        <v>667</v>
      </c>
      <c r="J40" s="42" t="s">
        <v>55</v>
      </c>
      <c r="K40" s="42" t="s">
        <v>1</v>
      </c>
      <c r="L40" s="45">
        <v>56554.89</v>
      </c>
      <c r="M40" s="45">
        <v>667</v>
      </c>
      <c r="N40" s="48" t="s">
        <v>175</v>
      </c>
      <c r="O40" s="47" t="s">
        <v>0</v>
      </c>
      <c r="P40" s="42" t="s">
        <v>176</v>
      </c>
      <c r="Q40" s="42" t="s">
        <v>54</v>
      </c>
      <c r="R40" s="42" t="s">
        <v>67</v>
      </c>
      <c r="S40" s="42" t="s">
        <v>0</v>
      </c>
      <c r="T40" s="42" t="s">
        <v>2</v>
      </c>
      <c r="U40" s="42" t="s">
        <v>177</v>
      </c>
      <c r="V40" s="42" t="s">
        <v>0</v>
      </c>
      <c r="W40" s="42" t="s">
        <v>0</v>
      </c>
      <c r="X40" s="42" t="s">
        <v>0</v>
      </c>
      <c r="Y40" s="42" t="s">
        <v>0</v>
      </c>
      <c r="Z40" s="42" t="s">
        <v>0</v>
      </c>
      <c r="AA40" s="46"/>
      <c r="AB40" s="42" t="s">
        <v>0</v>
      </c>
      <c r="AC40" s="42" t="s">
        <v>0</v>
      </c>
      <c r="AD40" s="42" t="s">
        <v>0</v>
      </c>
      <c r="AE40" s="45">
        <v>0</v>
      </c>
    </row>
    <row r="41" spans="1:31" x14ac:dyDescent="0.2">
      <c r="A41" s="49" t="s">
        <v>0</v>
      </c>
      <c r="B41" s="42" t="s">
        <v>51</v>
      </c>
      <c r="C41" s="42" t="s">
        <v>122</v>
      </c>
      <c r="D41" s="46">
        <v>44355</v>
      </c>
      <c r="E41" s="46">
        <v>44355</v>
      </c>
      <c r="F41" s="46">
        <v>44356</v>
      </c>
      <c r="G41" s="42" t="s">
        <v>52</v>
      </c>
      <c r="H41" s="42" t="s">
        <v>3</v>
      </c>
      <c r="I41" s="45">
        <v>605</v>
      </c>
      <c r="J41" s="42" t="s">
        <v>178</v>
      </c>
      <c r="K41" s="42" t="s">
        <v>1</v>
      </c>
      <c r="L41" s="45">
        <v>51221.91</v>
      </c>
      <c r="M41" s="45">
        <v>605</v>
      </c>
      <c r="N41" s="48" t="s">
        <v>179</v>
      </c>
      <c r="O41" s="47" t="s">
        <v>0</v>
      </c>
      <c r="P41" s="42" t="s">
        <v>124</v>
      </c>
      <c r="Q41" s="42" t="s">
        <v>54</v>
      </c>
      <c r="R41" s="42" t="s">
        <v>91</v>
      </c>
      <c r="S41" s="42" t="s">
        <v>0</v>
      </c>
      <c r="T41" s="42" t="s">
        <v>2</v>
      </c>
      <c r="U41" s="42" t="s">
        <v>125</v>
      </c>
      <c r="V41" s="42" t="s">
        <v>0</v>
      </c>
      <c r="W41" s="42" t="s">
        <v>0</v>
      </c>
      <c r="X41" s="42" t="s">
        <v>0</v>
      </c>
      <c r="Y41" s="42" t="s">
        <v>0</v>
      </c>
      <c r="Z41" s="42" t="s">
        <v>0</v>
      </c>
      <c r="AA41" s="46"/>
      <c r="AB41" s="42" t="s">
        <v>0</v>
      </c>
      <c r="AC41" s="42" t="s">
        <v>0</v>
      </c>
      <c r="AD41" s="42" t="s">
        <v>0</v>
      </c>
      <c r="AE41" s="45">
        <v>0</v>
      </c>
    </row>
    <row r="42" spans="1:31" x14ac:dyDescent="0.2">
      <c r="A42" s="49" t="s">
        <v>0</v>
      </c>
      <c r="B42" s="42" t="s">
        <v>51</v>
      </c>
      <c r="C42" s="42" t="s">
        <v>77</v>
      </c>
      <c r="D42" s="46">
        <v>44371</v>
      </c>
      <c r="E42" s="46">
        <v>44371</v>
      </c>
      <c r="F42" s="46">
        <v>44374</v>
      </c>
      <c r="G42" s="42" t="s">
        <v>52</v>
      </c>
      <c r="H42" s="42" t="s">
        <v>3</v>
      </c>
      <c r="I42" s="45">
        <v>520</v>
      </c>
      <c r="J42" s="42" t="s">
        <v>94</v>
      </c>
      <c r="K42" s="42" t="s">
        <v>1</v>
      </c>
      <c r="L42" s="45">
        <v>44090.69</v>
      </c>
      <c r="M42" s="45">
        <v>520</v>
      </c>
      <c r="N42" s="48" t="s">
        <v>180</v>
      </c>
      <c r="O42" s="47" t="s">
        <v>0</v>
      </c>
      <c r="P42" s="42" t="s">
        <v>79</v>
      </c>
      <c r="Q42" s="42" t="s">
        <v>54</v>
      </c>
      <c r="R42" s="42" t="s">
        <v>97</v>
      </c>
      <c r="S42" s="42" t="s">
        <v>0</v>
      </c>
      <c r="T42" s="42" t="s">
        <v>2</v>
      </c>
      <c r="U42" s="42" t="s">
        <v>80</v>
      </c>
      <c r="V42" s="42" t="s">
        <v>0</v>
      </c>
      <c r="W42" s="42" t="s">
        <v>0</v>
      </c>
      <c r="X42" s="42" t="s">
        <v>0</v>
      </c>
      <c r="Y42" s="42" t="s">
        <v>0</v>
      </c>
      <c r="Z42" s="42" t="s">
        <v>0</v>
      </c>
      <c r="AA42" s="46"/>
      <c r="AB42" s="42" t="s">
        <v>0</v>
      </c>
      <c r="AC42" s="42" t="s">
        <v>0</v>
      </c>
      <c r="AD42" s="42" t="s">
        <v>0</v>
      </c>
      <c r="AE42" s="45">
        <v>0</v>
      </c>
    </row>
    <row r="43" spans="1:31" x14ac:dyDescent="0.2">
      <c r="A43" s="49" t="s">
        <v>0</v>
      </c>
      <c r="B43" s="42" t="s">
        <v>51</v>
      </c>
      <c r="C43" s="42" t="s">
        <v>181</v>
      </c>
      <c r="D43" s="46">
        <v>44322</v>
      </c>
      <c r="E43" s="46">
        <v>44322</v>
      </c>
      <c r="F43" s="46">
        <v>44339</v>
      </c>
      <c r="G43" s="42" t="s">
        <v>52</v>
      </c>
      <c r="H43" s="42" t="s">
        <v>3</v>
      </c>
      <c r="I43" s="45">
        <v>293</v>
      </c>
      <c r="J43" s="42" t="s">
        <v>182</v>
      </c>
      <c r="K43" s="42" t="s">
        <v>1</v>
      </c>
      <c r="L43" s="45">
        <v>24806.65</v>
      </c>
      <c r="M43" s="45">
        <v>293</v>
      </c>
      <c r="N43" s="48" t="s">
        <v>183</v>
      </c>
      <c r="O43" s="47" t="s">
        <v>0</v>
      </c>
      <c r="P43" s="42" t="s">
        <v>184</v>
      </c>
      <c r="Q43" s="42" t="s">
        <v>54</v>
      </c>
      <c r="R43" s="42" t="s">
        <v>91</v>
      </c>
      <c r="S43" s="42" t="s">
        <v>0</v>
      </c>
      <c r="T43" s="42" t="s">
        <v>2</v>
      </c>
      <c r="U43" s="42" t="s">
        <v>185</v>
      </c>
      <c r="V43" s="42" t="s">
        <v>0</v>
      </c>
      <c r="W43" s="42" t="s">
        <v>0</v>
      </c>
      <c r="X43" s="42" t="s">
        <v>0</v>
      </c>
      <c r="Y43" s="42" t="s">
        <v>0</v>
      </c>
      <c r="Z43" s="42" t="s">
        <v>0</v>
      </c>
      <c r="AA43" s="46"/>
      <c r="AB43" s="42" t="s">
        <v>0</v>
      </c>
      <c r="AC43" s="42" t="s">
        <v>0</v>
      </c>
      <c r="AD43" s="42" t="s">
        <v>0</v>
      </c>
      <c r="AE43" s="45">
        <v>0</v>
      </c>
    </row>
    <row r="44" spans="1:31" x14ac:dyDescent="0.2">
      <c r="A44" s="49" t="s">
        <v>0</v>
      </c>
      <c r="B44" s="42" t="s">
        <v>51</v>
      </c>
      <c r="C44" s="42" t="s">
        <v>186</v>
      </c>
      <c r="D44" s="46">
        <v>44357</v>
      </c>
      <c r="E44" s="46">
        <v>44357</v>
      </c>
      <c r="F44" s="46">
        <v>44360</v>
      </c>
      <c r="G44" s="42" t="s">
        <v>52</v>
      </c>
      <c r="H44" s="42" t="s">
        <v>3</v>
      </c>
      <c r="I44" s="45">
        <v>170</v>
      </c>
      <c r="J44" s="42" t="s">
        <v>55</v>
      </c>
      <c r="K44" s="42" t="s">
        <v>1</v>
      </c>
      <c r="L44" s="45">
        <v>14414.29</v>
      </c>
      <c r="M44" s="45">
        <v>170</v>
      </c>
      <c r="N44" s="48" t="s">
        <v>187</v>
      </c>
      <c r="O44" s="47" t="s">
        <v>0</v>
      </c>
      <c r="P44" s="42" t="s">
        <v>188</v>
      </c>
      <c r="Q44" s="42" t="s">
        <v>54</v>
      </c>
      <c r="R44" s="42" t="s">
        <v>76</v>
      </c>
      <c r="S44" s="42" t="s">
        <v>0</v>
      </c>
      <c r="T44" s="42" t="s">
        <v>2</v>
      </c>
      <c r="U44" s="42" t="s">
        <v>189</v>
      </c>
      <c r="V44" s="42" t="s">
        <v>0</v>
      </c>
      <c r="W44" s="42" t="s">
        <v>0</v>
      </c>
      <c r="X44" s="42" t="s">
        <v>0</v>
      </c>
      <c r="Y44" s="42" t="s">
        <v>0</v>
      </c>
      <c r="Z44" s="42" t="s">
        <v>0</v>
      </c>
      <c r="AA44" s="46"/>
      <c r="AB44" s="42" t="s">
        <v>0</v>
      </c>
      <c r="AC44" s="42" t="s">
        <v>0</v>
      </c>
      <c r="AD44" s="42" t="s">
        <v>0</v>
      </c>
      <c r="AE44" s="45">
        <v>0</v>
      </c>
    </row>
    <row r="45" spans="1:31" x14ac:dyDescent="0.2">
      <c r="A45" s="49" t="s">
        <v>0</v>
      </c>
      <c r="B45" s="42" t="s">
        <v>51</v>
      </c>
      <c r="C45" s="42" t="s">
        <v>118</v>
      </c>
      <c r="D45" s="46">
        <v>44334</v>
      </c>
      <c r="E45" s="46">
        <v>44334</v>
      </c>
      <c r="F45" s="46">
        <v>44340</v>
      </c>
      <c r="G45" s="42" t="s">
        <v>52</v>
      </c>
      <c r="H45" s="42" t="s">
        <v>3</v>
      </c>
      <c r="I45" s="45">
        <v>146</v>
      </c>
      <c r="J45" s="42" t="s">
        <v>53</v>
      </c>
      <c r="K45" s="42" t="s">
        <v>1</v>
      </c>
      <c r="L45" s="45">
        <v>12379.33</v>
      </c>
      <c r="M45" s="45">
        <v>146</v>
      </c>
      <c r="N45" s="48" t="s">
        <v>190</v>
      </c>
      <c r="O45" s="47" t="s">
        <v>0</v>
      </c>
      <c r="P45" s="42" t="s">
        <v>120</v>
      </c>
      <c r="Q45" s="42" t="s">
        <v>54</v>
      </c>
      <c r="R45" s="42" t="s">
        <v>67</v>
      </c>
      <c r="S45" s="42" t="s">
        <v>0</v>
      </c>
      <c r="T45" s="42" t="s">
        <v>2</v>
      </c>
      <c r="U45" s="42" t="s">
        <v>121</v>
      </c>
      <c r="V45" s="42" t="s">
        <v>0</v>
      </c>
      <c r="W45" s="42" t="s">
        <v>0</v>
      </c>
      <c r="X45" s="42" t="s">
        <v>0</v>
      </c>
      <c r="Y45" s="42" t="s">
        <v>0</v>
      </c>
      <c r="Z45" s="42" t="s">
        <v>0</v>
      </c>
      <c r="AA45" s="46"/>
      <c r="AB45" s="42" t="s">
        <v>0</v>
      </c>
      <c r="AC45" s="42" t="s">
        <v>0</v>
      </c>
      <c r="AD45" s="42" t="s">
        <v>0</v>
      </c>
      <c r="AE45" s="45">
        <v>0</v>
      </c>
    </row>
    <row r="46" spans="1:31" x14ac:dyDescent="0.2">
      <c r="A46" s="49" t="s">
        <v>0</v>
      </c>
      <c r="B46" s="42" t="s">
        <v>51</v>
      </c>
      <c r="C46" s="42" t="s">
        <v>191</v>
      </c>
      <c r="D46" s="46">
        <v>44357</v>
      </c>
      <c r="E46" s="46">
        <v>44357</v>
      </c>
      <c r="F46" s="46">
        <v>44368</v>
      </c>
      <c r="G46" s="42" t="s">
        <v>52</v>
      </c>
      <c r="H46" s="42" t="s">
        <v>3</v>
      </c>
      <c r="I46" s="45">
        <v>144</v>
      </c>
      <c r="J46" s="42" t="s">
        <v>53</v>
      </c>
      <c r="K46" s="42" t="s">
        <v>1</v>
      </c>
      <c r="L46" s="45">
        <v>12209.75</v>
      </c>
      <c r="M46" s="45">
        <v>144</v>
      </c>
      <c r="N46" s="48" t="s">
        <v>192</v>
      </c>
      <c r="O46" s="47" t="s">
        <v>0</v>
      </c>
      <c r="P46" s="42" t="s">
        <v>193</v>
      </c>
      <c r="Q46" s="42" t="s">
        <v>54</v>
      </c>
      <c r="R46" s="42" t="s">
        <v>76</v>
      </c>
      <c r="S46" s="42" t="s">
        <v>0</v>
      </c>
      <c r="T46" s="42" t="s">
        <v>2</v>
      </c>
      <c r="U46" s="42" t="s">
        <v>189</v>
      </c>
      <c r="V46" s="42" t="s">
        <v>0</v>
      </c>
      <c r="W46" s="42" t="s">
        <v>0</v>
      </c>
      <c r="X46" s="42" t="s">
        <v>0</v>
      </c>
      <c r="Y46" s="42" t="s">
        <v>0</v>
      </c>
      <c r="Z46" s="42" t="s">
        <v>0</v>
      </c>
      <c r="AA46" s="46"/>
      <c r="AB46" s="42" t="s">
        <v>0</v>
      </c>
      <c r="AC46" s="42" t="s">
        <v>0</v>
      </c>
      <c r="AD46" s="42" t="s">
        <v>0</v>
      </c>
      <c r="AE46" s="45">
        <v>0</v>
      </c>
    </row>
    <row r="47" spans="1:31" x14ac:dyDescent="0.2">
      <c r="A47" s="49" t="s">
        <v>0</v>
      </c>
      <c r="B47" s="42" t="s">
        <v>51</v>
      </c>
      <c r="C47" s="42" t="s">
        <v>194</v>
      </c>
      <c r="D47" s="46">
        <v>44377</v>
      </c>
      <c r="E47" s="46">
        <v>44377</v>
      </c>
      <c r="F47" s="46">
        <v>44387</v>
      </c>
      <c r="G47" s="42" t="s">
        <v>52</v>
      </c>
      <c r="H47" s="42" t="s">
        <v>3</v>
      </c>
      <c r="I47" s="45">
        <v>1</v>
      </c>
      <c r="J47" s="42" t="s">
        <v>4</v>
      </c>
      <c r="K47" s="42" t="s">
        <v>1</v>
      </c>
      <c r="L47" s="45">
        <v>83.95</v>
      </c>
      <c r="M47" s="45">
        <v>1</v>
      </c>
      <c r="N47" s="48" t="s">
        <v>195</v>
      </c>
      <c r="O47" s="47" t="s">
        <v>0</v>
      </c>
      <c r="P47" s="42" t="s">
        <v>196</v>
      </c>
      <c r="Q47" s="42" t="s">
        <v>54</v>
      </c>
      <c r="R47" s="42" t="s">
        <v>91</v>
      </c>
      <c r="S47" s="42" t="s">
        <v>0</v>
      </c>
      <c r="T47" s="42" t="s">
        <v>2</v>
      </c>
      <c r="U47" s="42" t="s">
        <v>197</v>
      </c>
      <c r="V47" s="42" t="s">
        <v>0</v>
      </c>
      <c r="W47" s="42" t="s">
        <v>0</v>
      </c>
      <c r="X47" s="42" t="s">
        <v>0</v>
      </c>
      <c r="Y47" s="42" t="s">
        <v>0</v>
      </c>
      <c r="Z47" s="42" t="s">
        <v>0</v>
      </c>
      <c r="AA47" s="46"/>
      <c r="AB47" s="42" t="s">
        <v>0</v>
      </c>
      <c r="AC47" s="42" t="s">
        <v>0</v>
      </c>
      <c r="AD47" s="42" t="s">
        <v>0</v>
      </c>
      <c r="AE47" s="45">
        <v>0</v>
      </c>
    </row>
    <row r="49" spans="13:15" x14ac:dyDescent="0.2">
      <c r="M49" s="44">
        <f>SUM(M2:M47)</f>
        <v>1167127</v>
      </c>
    </row>
    <row r="52" spans="13:15" x14ac:dyDescent="0.2">
      <c r="O52" s="43"/>
    </row>
  </sheetData>
  <autoFilter ref="A1:AE47" xr:uid="{00000000-0009-0000-0000-00000100000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7F5B5-A486-4934-A227-80991212CB7D}"/>
</file>

<file path=customXml/itemProps2.xml><?xml version="1.0" encoding="utf-8"?>
<ds:datastoreItem xmlns:ds="http://schemas.openxmlformats.org/officeDocument/2006/customXml" ds:itemID="{2FA62F62-5103-4BDD-8C61-A551255BD051}"/>
</file>

<file path=customXml/itemProps3.xml><?xml version="1.0" encoding="utf-8"?>
<ds:datastoreItem xmlns:ds="http://schemas.openxmlformats.org/officeDocument/2006/customXml" ds:itemID="{86EB935B-0BA9-42FF-9263-BA8F25D18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 300 Monthly Analysis</vt:lpstr>
      <vt:lpstr>AB 310 Relative Analysis</vt:lpstr>
      <vt:lpstr>Decrease During FY 2020-21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dcterms:created xsi:type="dcterms:W3CDTF">2021-06-10T05:03:58Z</dcterms:created>
  <dcterms:modified xsi:type="dcterms:W3CDTF">2021-09-15T11:57:27Z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