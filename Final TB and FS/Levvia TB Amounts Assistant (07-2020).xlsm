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cdeloitte-my.sharepoint.com/personal/imrashid_deloitte_com/Documents/Audit Engagements/EPIC/Final TB and FS/"/>
    </mc:Choice>
  </mc:AlternateContent>
  <xr:revisionPtr revIDLastSave="1065" documentId="13_ncr:1_{E6265C25-5D6C-44D2-BCEC-46B7FF7E3A75}" xr6:coauthVersionLast="47" xr6:coauthVersionMax="47" xr10:uidLastSave="{0DE9E5E7-16FE-47DA-A695-F33CED7B15C7}"/>
  <bookViews>
    <workbookView xWindow="-110" yWindow="-110" windowWidth="19420" windowHeight="11020" activeTab="1" xr2:uid="{951C2564-D5E4-48D7-A329-28E751839728}"/>
  </bookViews>
  <sheets>
    <sheet name="D." sheetId="1" r:id="rId1"/>
    <sheet name="Input" sheetId="3" r:id="rId2"/>
    <sheet name="Format" sheetId="10" state="very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3" l="1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E16" i="3"/>
  <c r="F16" i="3" s="1"/>
  <c r="E17" i="3"/>
  <c r="F17" i="3" s="1"/>
  <c r="E18" i="3"/>
  <c r="F18" i="3" s="1"/>
  <c r="E19" i="3"/>
  <c r="F19" i="3" s="1"/>
  <c r="E20" i="3"/>
  <c r="F20" i="3" s="1"/>
  <c r="E21" i="3"/>
  <c r="E22" i="3"/>
  <c r="E23" i="3"/>
  <c r="E24" i="3"/>
  <c r="F24" i="3" s="1"/>
  <c r="E25" i="3"/>
  <c r="F25" i="3" s="1"/>
  <c r="E26" i="3"/>
  <c r="F26" i="3" s="1"/>
  <c r="E27" i="3"/>
  <c r="F27" i="3" s="1"/>
  <c r="E28" i="3"/>
  <c r="F28" i="3" s="1"/>
  <c r="E29" i="3"/>
  <c r="E30" i="3"/>
  <c r="E31" i="3"/>
  <c r="E32" i="3"/>
  <c r="F32" i="3" s="1"/>
  <c r="E33" i="3"/>
  <c r="F33" i="3" s="1"/>
  <c r="E34" i="3"/>
  <c r="F34" i="3" s="1"/>
  <c r="E35" i="3"/>
  <c r="F35" i="3" s="1"/>
  <c r="E36" i="3"/>
  <c r="F36" i="3" s="1"/>
  <c r="E37" i="3"/>
  <c r="E38" i="3"/>
  <c r="E39" i="3"/>
  <c r="E40" i="3"/>
  <c r="F40" i="3" s="1"/>
  <c r="E41" i="3"/>
  <c r="F41" i="3" s="1"/>
  <c r="E42" i="3"/>
  <c r="F42" i="3" s="1"/>
  <c r="E43" i="3"/>
  <c r="F43" i="3" s="1"/>
  <c r="E44" i="3"/>
  <c r="F44" i="3" s="1"/>
  <c r="E45" i="3"/>
  <c r="E46" i="3"/>
  <c r="E47" i="3"/>
  <c r="E48" i="3"/>
  <c r="F48" i="3" s="1"/>
  <c r="E49" i="3"/>
  <c r="F49" i="3" s="1"/>
  <c r="E50" i="3"/>
  <c r="F50" i="3" s="1"/>
  <c r="E51" i="3"/>
  <c r="F51" i="3" s="1"/>
  <c r="E52" i="3"/>
  <c r="F52" i="3" s="1"/>
  <c r="E53" i="3"/>
  <c r="E54" i="3"/>
  <c r="E55" i="3"/>
  <c r="E56" i="3"/>
  <c r="F56" i="3" s="1"/>
  <c r="E57" i="3"/>
  <c r="F57" i="3" s="1"/>
  <c r="E58" i="3"/>
  <c r="F58" i="3" s="1"/>
  <c r="E59" i="3"/>
  <c r="F59" i="3" s="1"/>
  <c r="E60" i="3"/>
  <c r="F60" i="3" s="1"/>
  <c r="E61" i="3"/>
  <c r="E62" i="3"/>
  <c r="E63" i="3"/>
  <c r="E64" i="3"/>
  <c r="F64" i="3" s="1"/>
  <c r="E65" i="3"/>
  <c r="F65" i="3" s="1"/>
  <c r="E66" i="3"/>
  <c r="F66" i="3" s="1"/>
  <c r="E67" i="3"/>
  <c r="F67" i="3" s="1"/>
  <c r="E68" i="3"/>
  <c r="F68" i="3" s="1"/>
  <c r="E69" i="3"/>
  <c r="E70" i="3"/>
  <c r="E71" i="3"/>
  <c r="E72" i="3"/>
  <c r="F72" i="3" s="1"/>
  <c r="E73" i="3"/>
  <c r="F73" i="3" s="1"/>
  <c r="E74" i="3"/>
  <c r="F74" i="3" s="1"/>
  <c r="E75" i="3"/>
  <c r="F75" i="3" s="1"/>
  <c r="E76" i="3"/>
  <c r="F76" i="3" s="1"/>
  <c r="E77" i="3"/>
  <c r="E78" i="3"/>
  <c r="E79" i="3"/>
  <c r="E80" i="3"/>
  <c r="F80" i="3" s="1"/>
  <c r="E81" i="3"/>
  <c r="F81" i="3" s="1"/>
  <c r="E82" i="3"/>
  <c r="F82" i="3" s="1"/>
  <c r="E83" i="3"/>
  <c r="F83" i="3" s="1"/>
  <c r="E84" i="3"/>
  <c r="F84" i="3" s="1"/>
  <c r="E85" i="3"/>
  <c r="E86" i="3"/>
  <c r="E87" i="3"/>
  <c r="E88" i="3"/>
  <c r="F88" i="3" s="1"/>
  <c r="E89" i="3"/>
  <c r="F89" i="3" s="1"/>
  <c r="E90" i="3"/>
  <c r="F90" i="3" s="1"/>
  <c r="E91" i="3"/>
  <c r="F91" i="3" s="1"/>
  <c r="E92" i="3"/>
  <c r="F92" i="3" s="1"/>
  <c r="E93" i="3"/>
  <c r="E94" i="3"/>
  <c r="E95" i="3"/>
  <c r="E96" i="3"/>
  <c r="F96" i="3" s="1"/>
  <c r="E97" i="3"/>
  <c r="F97" i="3" s="1"/>
  <c r="E98" i="3"/>
  <c r="F98" i="3" s="1"/>
  <c r="E99" i="3"/>
  <c r="F99" i="3" s="1"/>
  <c r="E100" i="3"/>
  <c r="F100" i="3" s="1"/>
  <c r="E101" i="3"/>
  <c r="E102" i="3"/>
  <c r="E103" i="3"/>
  <c r="E104" i="3"/>
  <c r="F104" i="3" s="1"/>
  <c r="E105" i="3"/>
  <c r="F105" i="3" s="1"/>
  <c r="E106" i="3"/>
  <c r="F106" i="3" s="1"/>
  <c r="E107" i="3"/>
  <c r="F107" i="3" s="1"/>
  <c r="E108" i="3"/>
  <c r="F108" i="3" s="1"/>
  <c r="E109" i="3"/>
  <c r="E110" i="3"/>
  <c r="E111" i="3"/>
  <c r="E112" i="3"/>
  <c r="F112" i="3" s="1"/>
  <c r="E113" i="3"/>
  <c r="F113" i="3" s="1"/>
  <c r="E114" i="3"/>
  <c r="F114" i="3" s="1"/>
  <c r="E115" i="3"/>
  <c r="F115" i="3" s="1"/>
  <c r="E116" i="3"/>
  <c r="F116" i="3" s="1"/>
  <c r="E117" i="3"/>
  <c r="E118" i="3"/>
  <c r="E119" i="3"/>
  <c r="E120" i="3"/>
  <c r="F120" i="3" s="1"/>
  <c r="E121" i="3"/>
  <c r="F121" i="3" s="1"/>
  <c r="E122" i="3"/>
  <c r="F122" i="3" s="1"/>
  <c r="E123" i="3"/>
  <c r="F123" i="3" s="1"/>
  <c r="E124" i="3"/>
  <c r="F124" i="3" s="1"/>
  <c r="E125" i="3"/>
  <c r="E126" i="3"/>
  <c r="E127" i="3"/>
  <c r="E128" i="3"/>
  <c r="F128" i="3" s="1"/>
  <c r="E129" i="3"/>
  <c r="F129" i="3" s="1"/>
  <c r="E130" i="3"/>
  <c r="F130" i="3" s="1"/>
  <c r="E131" i="3"/>
  <c r="F131" i="3" s="1"/>
  <c r="E132" i="3"/>
  <c r="F132" i="3" s="1"/>
  <c r="E133" i="3"/>
  <c r="E134" i="3"/>
  <c r="E135" i="3"/>
  <c r="E136" i="3"/>
  <c r="F136" i="3" s="1"/>
  <c r="E137" i="3"/>
  <c r="F137" i="3" s="1"/>
  <c r="E138" i="3"/>
  <c r="F138" i="3" s="1"/>
  <c r="E139" i="3"/>
  <c r="F139" i="3" s="1"/>
  <c r="E140" i="3"/>
  <c r="F140" i="3" s="1"/>
  <c r="E141" i="3"/>
  <c r="E142" i="3"/>
  <c r="E143" i="3"/>
  <c r="E144" i="3"/>
  <c r="F144" i="3" s="1"/>
  <c r="E145" i="3"/>
  <c r="F145" i="3" s="1"/>
  <c r="E146" i="3"/>
  <c r="F146" i="3" s="1"/>
  <c r="E147" i="3"/>
  <c r="F147" i="3" s="1"/>
  <c r="E148" i="3"/>
  <c r="F148" i="3" s="1"/>
  <c r="E149" i="3"/>
  <c r="E150" i="3"/>
  <c r="E151" i="3"/>
  <c r="E152" i="3"/>
  <c r="F152" i="3" s="1"/>
  <c r="E153" i="3"/>
  <c r="F153" i="3" s="1"/>
  <c r="E154" i="3"/>
  <c r="F154" i="3" s="1"/>
  <c r="E155" i="3"/>
  <c r="F155" i="3" s="1"/>
  <c r="E156" i="3"/>
  <c r="F156" i="3" s="1"/>
  <c r="E157" i="3"/>
  <c r="E158" i="3"/>
  <c r="E159" i="3"/>
  <c r="E160" i="3"/>
  <c r="F160" i="3" s="1"/>
  <c r="E161" i="3"/>
  <c r="F161" i="3" s="1"/>
  <c r="E162" i="3"/>
  <c r="F162" i="3" s="1"/>
  <c r="E163" i="3"/>
  <c r="F163" i="3" s="1"/>
  <c r="E164" i="3"/>
  <c r="F164" i="3" s="1"/>
  <c r="E165" i="3"/>
  <c r="E166" i="3"/>
  <c r="E167" i="3"/>
  <c r="E168" i="3"/>
  <c r="F168" i="3" s="1"/>
  <c r="E169" i="3"/>
  <c r="F169" i="3" s="1"/>
  <c r="E170" i="3"/>
  <c r="F170" i="3" s="1"/>
  <c r="E171" i="3"/>
  <c r="F171" i="3" s="1"/>
  <c r="E172" i="3"/>
  <c r="F172" i="3" s="1"/>
  <c r="E173" i="3"/>
  <c r="E174" i="3"/>
  <c r="E175" i="3"/>
  <c r="E176" i="3"/>
  <c r="F176" i="3" s="1"/>
  <c r="E177" i="3"/>
  <c r="F177" i="3" s="1"/>
  <c r="E178" i="3"/>
  <c r="F178" i="3" s="1"/>
  <c r="E179" i="3"/>
  <c r="F179" i="3" s="1"/>
  <c r="E180" i="3"/>
  <c r="F180" i="3" s="1"/>
  <c r="E181" i="3"/>
  <c r="E182" i="3"/>
  <c r="E183" i="3"/>
  <c r="E184" i="3"/>
  <c r="F184" i="3" s="1"/>
  <c r="E185" i="3"/>
  <c r="F185" i="3" s="1"/>
  <c r="E186" i="3"/>
  <c r="F186" i="3" s="1"/>
  <c r="E187" i="3"/>
  <c r="F187" i="3" s="1"/>
  <c r="E188" i="3"/>
  <c r="F188" i="3" s="1"/>
  <c r="E189" i="3"/>
  <c r="E190" i="3"/>
  <c r="E191" i="3"/>
  <c r="E192" i="3"/>
  <c r="F192" i="3" s="1"/>
  <c r="E193" i="3"/>
  <c r="F193" i="3" s="1"/>
  <c r="E194" i="3"/>
  <c r="F194" i="3" s="1"/>
  <c r="E195" i="3"/>
  <c r="F195" i="3" s="1"/>
  <c r="E196" i="3"/>
  <c r="F196" i="3" s="1"/>
  <c r="E197" i="3"/>
  <c r="E198" i="3"/>
  <c r="E199" i="3"/>
  <c r="E200" i="3"/>
  <c r="F200" i="3" s="1"/>
  <c r="E201" i="3"/>
  <c r="F201" i="3" s="1"/>
  <c r="E202" i="3"/>
  <c r="F202" i="3" s="1"/>
  <c r="E203" i="3"/>
  <c r="F203" i="3" s="1"/>
  <c r="E204" i="3"/>
  <c r="F204" i="3" s="1"/>
  <c r="E205" i="3"/>
  <c r="E206" i="3"/>
  <c r="E207" i="3"/>
  <c r="E208" i="3"/>
  <c r="F208" i="3" s="1"/>
  <c r="E209" i="3"/>
  <c r="F209" i="3" s="1"/>
  <c r="E210" i="3"/>
  <c r="F210" i="3" s="1"/>
  <c r="E211" i="3"/>
  <c r="F211" i="3" s="1"/>
  <c r="E212" i="3"/>
  <c r="F212" i="3" s="1"/>
  <c r="E213" i="3"/>
  <c r="E214" i="3"/>
  <c r="E215" i="3"/>
  <c r="E216" i="3"/>
  <c r="F216" i="3" s="1"/>
  <c r="E217" i="3"/>
  <c r="F217" i="3" s="1"/>
  <c r="E218" i="3"/>
  <c r="F218" i="3" s="1"/>
  <c r="E219" i="3"/>
  <c r="F219" i="3" s="1"/>
  <c r="E220" i="3"/>
  <c r="F220" i="3" s="1"/>
  <c r="E221" i="3"/>
  <c r="E222" i="3"/>
  <c r="E223" i="3"/>
  <c r="E224" i="3"/>
  <c r="F224" i="3" s="1"/>
  <c r="E225" i="3"/>
  <c r="F225" i="3" s="1"/>
  <c r="E226" i="3"/>
  <c r="F226" i="3" s="1"/>
  <c r="E227" i="3"/>
  <c r="F227" i="3" s="1"/>
  <c r="E228" i="3"/>
  <c r="E229" i="3"/>
  <c r="E230" i="3"/>
  <c r="E231" i="3"/>
  <c r="E232" i="3"/>
  <c r="F232" i="3" s="1"/>
  <c r="E233" i="3"/>
  <c r="F233" i="3" s="1"/>
  <c r="E234" i="3"/>
  <c r="F234" i="3" s="1"/>
  <c r="E235" i="3"/>
  <c r="F235" i="3" s="1"/>
  <c r="E236" i="3"/>
  <c r="E237" i="3"/>
  <c r="E238" i="3"/>
  <c r="E239" i="3"/>
  <c r="E240" i="3"/>
  <c r="F240" i="3" s="1"/>
  <c r="E241" i="3"/>
  <c r="F241" i="3" s="1"/>
  <c r="E242" i="3"/>
  <c r="F242" i="3" s="1"/>
  <c r="E243" i="3"/>
  <c r="F243" i="3" s="1"/>
  <c r="E244" i="3"/>
  <c r="E245" i="3"/>
  <c r="E246" i="3"/>
  <c r="E247" i="3"/>
  <c r="E248" i="3"/>
  <c r="F248" i="3" s="1"/>
  <c r="E249" i="3"/>
  <c r="F249" i="3" s="1"/>
  <c r="E250" i="3"/>
  <c r="F250" i="3" s="1"/>
  <c r="E251" i="3"/>
  <c r="F251" i="3" s="1"/>
  <c r="E252" i="3"/>
  <c r="E253" i="3"/>
  <c r="E254" i="3"/>
  <c r="E255" i="3"/>
  <c r="E256" i="3"/>
  <c r="F256" i="3" s="1"/>
  <c r="E257" i="3"/>
  <c r="F257" i="3" s="1"/>
  <c r="E258" i="3"/>
  <c r="F258" i="3" s="1"/>
  <c r="E259" i="3"/>
  <c r="F259" i="3" s="1"/>
  <c r="E260" i="3"/>
  <c r="E261" i="3"/>
  <c r="E262" i="3"/>
  <c r="E263" i="3"/>
  <c r="E264" i="3"/>
  <c r="E265" i="3"/>
  <c r="F265" i="3" s="1"/>
  <c r="E266" i="3"/>
  <c r="F266" i="3" s="1"/>
  <c r="E267" i="3"/>
  <c r="F267" i="3" s="1"/>
  <c r="E268" i="3"/>
  <c r="E269" i="3"/>
  <c r="E270" i="3"/>
  <c r="E271" i="3"/>
  <c r="E272" i="3"/>
  <c r="E273" i="3"/>
  <c r="F273" i="3" s="1"/>
  <c r="E274" i="3"/>
  <c r="F274" i="3" s="1"/>
  <c r="E275" i="3"/>
  <c r="F275" i="3" s="1"/>
  <c r="E276" i="3"/>
  <c r="E277" i="3"/>
  <c r="E278" i="3"/>
  <c r="E279" i="3"/>
  <c r="E280" i="3"/>
  <c r="E281" i="3"/>
  <c r="F281" i="3" s="1"/>
  <c r="E282" i="3"/>
  <c r="F282" i="3" s="1"/>
  <c r="E283" i="3"/>
  <c r="E284" i="3"/>
  <c r="E285" i="3"/>
  <c r="E286" i="3"/>
  <c r="E287" i="3"/>
  <c r="E288" i="3"/>
  <c r="E289" i="3"/>
  <c r="F289" i="3" s="1"/>
  <c r="E290" i="3"/>
  <c r="F290" i="3" s="1"/>
  <c r="E291" i="3"/>
  <c r="F291" i="3" s="1"/>
  <c r="E292" i="3"/>
  <c r="E293" i="3"/>
  <c r="E294" i="3"/>
  <c r="E295" i="3"/>
  <c r="E296" i="3"/>
  <c r="E297" i="3"/>
  <c r="F297" i="3" s="1"/>
  <c r="E298" i="3"/>
  <c r="E299" i="3"/>
  <c r="F299" i="3" s="1"/>
  <c r="E300" i="3"/>
  <c r="E301" i="3"/>
  <c r="E302" i="3"/>
  <c r="E303" i="3"/>
  <c r="E304" i="3"/>
  <c r="E305" i="3"/>
  <c r="F305" i="3" s="1"/>
  <c r="E306" i="3"/>
  <c r="F4" i="3"/>
  <c r="F284" i="3" l="1"/>
  <c r="F276" i="3"/>
  <c r="F268" i="3"/>
  <c r="F260" i="3"/>
  <c r="F252" i="3"/>
  <c r="F244" i="3"/>
  <c r="F236" i="3"/>
  <c r="F228" i="3"/>
  <c r="F280" i="3"/>
  <c r="F300" i="3"/>
  <c r="F292" i="3"/>
  <c r="F45" i="3"/>
  <c r="F37" i="3"/>
  <c r="F29" i="3"/>
  <c r="F21" i="3"/>
  <c r="F272" i="3"/>
  <c r="F264" i="3"/>
  <c r="F298" i="3"/>
  <c r="F302" i="3"/>
  <c r="F294" i="3"/>
  <c r="F306" i="3"/>
  <c r="F301" i="3"/>
  <c r="F285" i="3"/>
  <c r="F277" i="3"/>
  <c r="F261" i="3"/>
  <c r="F253" i="3"/>
  <c r="F245" i="3"/>
  <c r="F229" i="3"/>
  <c r="F221" i="3"/>
  <c r="F213" i="3"/>
  <c r="F205" i="3"/>
  <c r="F197" i="3"/>
  <c r="F189" i="3"/>
  <c r="F181" i="3"/>
  <c r="F173" i="3"/>
  <c r="F165" i="3"/>
  <c r="F157" i="3"/>
  <c r="F149" i="3"/>
  <c r="F141" i="3"/>
  <c r="F133" i="3"/>
  <c r="F125" i="3"/>
  <c r="F117" i="3"/>
  <c r="F109" i="3"/>
  <c r="F101" i="3"/>
  <c r="F93" i="3"/>
  <c r="F85" i="3"/>
  <c r="F77" i="3"/>
  <c r="F69" i="3"/>
  <c r="F61" i="3"/>
  <c r="F53" i="3"/>
  <c r="F286" i="3"/>
  <c r="F278" i="3"/>
  <c r="F283" i="3"/>
  <c r="F303" i="3"/>
  <c r="F295" i="3"/>
  <c r="F287" i="3"/>
  <c r="F279" i="3"/>
  <c r="F271" i="3"/>
  <c r="F263" i="3"/>
  <c r="F255" i="3"/>
  <c r="F247" i="3"/>
  <c r="F239" i="3"/>
  <c r="F231" i="3"/>
  <c r="F223" i="3"/>
  <c r="F215" i="3"/>
  <c r="F207" i="3"/>
  <c r="F199" i="3"/>
  <c r="F191" i="3"/>
  <c r="F183" i="3"/>
  <c r="F175" i="3"/>
  <c r="F167" i="3"/>
  <c r="F159" i="3"/>
  <c r="F151" i="3"/>
  <c r="F143" i="3"/>
  <c r="F269" i="3"/>
  <c r="F237" i="3"/>
  <c r="F293" i="3"/>
  <c r="F270" i="3"/>
  <c r="F262" i="3"/>
  <c r="F254" i="3"/>
  <c r="F246" i="3"/>
  <c r="F238" i="3"/>
  <c r="F230" i="3"/>
  <c r="F222" i="3"/>
  <c r="F214" i="3"/>
  <c r="F206" i="3"/>
  <c r="F198" i="3"/>
  <c r="F190" i="3"/>
  <c r="F182" i="3"/>
  <c r="F174" i="3"/>
  <c r="F166" i="3"/>
  <c r="F15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46" i="3"/>
  <c r="F38" i="3"/>
  <c r="F30" i="3"/>
  <c r="F22" i="3"/>
  <c r="F127" i="3"/>
  <c r="F111" i="3"/>
  <c r="F95" i="3"/>
  <c r="F71" i="3"/>
  <c r="F47" i="3"/>
  <c r="F135" i="3"/>
  <c r="F119" i="3"/>
  <c r="F103" i="3"/>
  <c r="F87" i="3"/>
  <c r="F79" i="3"/>
  <c r="F63" i="3"/>
  <c r="F55" i="3"/>
  <c r="F39" i="3"/>
  <c r="F31" i="3"/>
  <c r="F23" i="3"/>
  <c r="F304" i="3"/>
  <c r="F296" i="3"/>
  <c r="F288" i="3"/>
  <c r="D13" i="3"/>
  <c r="D14" i="3"/>
  <c r="D15" i="3"/>
  <c r="E13" i="3"/>
  <c r="E14" i="3"/>
  <c r="E15" i="3"/>
  <c r="F15" i="3" l="1"/>
  <c r="F14" i="3"/>
  <c r="F13" i="3"/>
  <c r="F2" i="3"/>
  <c r="F1" i="3" l="1" a="1"/>
  <c r="F1" i="3" s="1"/>
  <c r="D7" i="3" l="1"/>
  <c r="D8" i="3"/>
  <c r="D9" i="3"/>
  <c r="D10" i="3"/>
  <c r="D11" i="3"/>
  <c r="D12" i="3"/>
  <c r="E7" i="3"/>
  <c r="E8" i="3"/>
  <c r="E9" i="3"/>
  <c r="E10" i="3"/>
  <c r="E11" i="3"/>
  <c r="E12" i="3"/>
  <c r="F9" i="3" l="1"/>
  <c r="F8" i="3"/>
  <c r="F7" i="3"/>
  <c r="F11" i="3"/>
  <c r="F10" i="3"/>
  <c r="F12" i="3"/>
  <c r="D6" i="3"/>
  <c r="E6" i="3" l="1"/>
  <c r="F6" i="3" s="1"/>
  <c r="F3" i="3" l="1"/>
</calcChain>
</file>

<file path=xl/sharedStrings.xml><?xml version="1.0" encoding="utf-8"?>
<sst xmlns="http://schemas.openxmlformats.org/spreadsheetml/2006/main" count="323" uniqueCount="314">
  <si>
    <t>Detail</t>
  </si>
  <si>
    <t>ID</t>
  </si>
  <si>
    <t>Detail Account</t>
  </si>
  <si>
    <t>Debit Amount</t>
  </si>
  <si>
    <t>Credit Amount</t>
  </si>
  <si>
    <t>Amount</t>
  </si>
  <si>
    <r>
      <rPr>
        <b/>
        <sz val="22"/>
        <color theme="0"/>
        <rFont val="Verdana"/>
        <family val="2"/>
      </rPr>
      <t>Deloitte</t>
    </r>
    <r>
      <rPr>
        <b/>
        <sz val="22"/>
        <color rgb="FF92D050"/>
        <rFont val="Verdana"/>
        <family val="2"/>
      </rPr>
      <t>.</t>
    </r>
    <r>
      <rPr>
        <b/>
        <sz val="22"/>
        <color theme="1"/>
        <rFont val="Verdana"/>
        <family val="2"/>
      </rPr>
      <t xml:space="preserve"> </t>
    </r>
    <r>
      <rPr>
        <b/>
        <sz val="22"/>
        <color theme="0"/>
        <rFont val="Verdana"/>
        <family val="2"/>
      </rPr>
      <t>|</t>
    </r>
    <r>
      <rPr>
        <b/>
        <sz val="22"/>
        <color theme="1"/>
        <rFont val="Verdana"/>
        <family val="2"/>
      </rPr>
      <t xml:space="preserve"> </t>
    </r>
    <r>
      <rPr>
        <b/>
        <sz val="20"/>
        <color theme="2"/>
        <rFont val="Verdana"/>
        <family val="2"/>
      </rPr>
      <t>LEVVIA</t>
    </r>
  </si>
  <si>
    <t>Trial balance and Mapping template FORMATOR</t>
  </si>
  <si>
    <t>Account number not unique</t>
  </si>
  <si>
    <t>Note - Levvia requires Trial Balances amounts template to be in a particular format. This tool aids with simplifying this process.</t>
  </si>
  <si>
    <t>Check</t>
  </si>
  <si>
    <t/>
  </si>
  <si>
    <t>Max characters check</t>
  </si>
  <si>
    <t>Check for duplicates</t>
  </si>
  <si>
    <t>Errors count</t>
  </si>
  <si>
    <t>TB total</t>
  </si>
  <si>
    <t>Incomplete data</t>
  </si>
  <si>
    <t>v1.0 (last updated July 2020)</t>
  </si>
  <si>
    <t>Buildings</t>
  </si>
  <si>
    <t>Buildings-Revaluatin</t>
  </si>
  <si>
    <t>Acc. Dep. - Building</t>
  </si>
  <si>
    <t>Acc. Dep-Building-05</t>
  </si>
  <si>
    <t>Plant &amp; Machineries</t>
  </si>
  <si>
    <t>Acc. Dep. - Plant &amp;</t>
  </si>
  <si>
    <t>Furniture &amp; Fixtures</t>
  </si>
  <si>
    <t>Acc. Dep. - Furnitur</t>
  </si>
  <si>
    <t>Office Equipment</t>
  </si>
  <si>
    <t>Acc. Dep. - Office E</t>
  </si>
  <si>
    <t>Computer Equipment</t>
  </si>
  <si>
    <t>Acc. Dep. - Computer</t>
  </si>
  <si>
    <t>Motor Vehicles</t>
  </si>
  <si>
    <t>Acc. Dep. - Motor Ve</t>
  </si>
  <si>
    <t>Utility &amp; Washing</t>
  </si>
  <si>
    <t>Acc. Dep. - Ut. &amp; Wh</t>
  </si>
  <si>
    <t>ROU Assets</t>
  </si>
  <si>
    <t>Acc. Amor. ROU Asset</t>
  </si>
  <si>
    <t>Software</t>
  </si>
  <si>
    <t>Amort. - Software</t>
  </si>
  <si>
    <t>CWIP-Factory Bldg</t>
  </si>
  <si>
    <t>CWIP-Plant-Machinery</t>
  </si>
  <si>
    <t>CWIP-Fur &amp; Fixtures</t>
  </si>
  <si>
    <t>CWIP-Office Equipnt</t>
  </si>
  <si>
    <t>CWIP-Com. Equipment</t>
  </si>
  <si>
    <t>CWIP-Motor Vehicles</t>
  </si>
  <si>
    <t>WIP-Software</t>
  </si>
  <si>
    <t>CWIP-Util. &amp; Wash</t>
  </si>
  <si>
    <t>Share Investment</t>
  </si>
  <si>
    <t>Trade -Int.Com.Rcble</t>
  </si>
  <si>
    <t>N.Trade-Int.Com.Rcbl</t>
  </si>
  <si>
    <t>A.Receivable -Oth</t>
  </si>
  <si>
    <t>A.Receivable -Export</t>
  </si>
  <si>
    <t>A.Receivable -Dom</t>
  </si>
  <si>
    <t>Accounts Receivable</t>
  </si>
  <si>
    <t>Main Cash</t>
  </si>
  <si>
    <t>Petty Cash A/c</t>
  </si>
  <si>
    <t>Funds in Transit</t>
  </si>
  <si>
    <t>Stock of Fabrics</t>
  </si>
  <si>
    <t>Stock of Trims</t>
  </si>
  <si>
    <t>Stock of Chemicals</t>
  </si>
  <si>
    <t>Stock of consumables</t>
  </si>
  <si>
    <t>Spares Loose Tools</t>
  </si>
  <si>
    <t>Semi finished goods</t>
  </si>
  <si>
    <t>finished goods</t>
  </si>
  <si>
    <t>GIT - Fabric</t>
  </si>
  <si>
    <t>GIT - Trims</t>
  </si>
  <si>
    <t>Spares Utilities</t>
  </si>
  <si>
    <t>Print &amp; Stationary</t>
  </si>
  <si>
    <t>RM - Fabric</t>
  </si>
  <si>
    <t>RM - Trims</t>
  </si>
  <si>
    <t>Chemicals</t>
  </si>
  <si>
    <t>Packing Materials</t>
  </si>
  <si>
    <t>WIP - Garments</t>
  </si>
  <si>
    <t>Finished Goods</t>
  </si>
  <si>
    <t>Adv-Capital Purchase</t>
  </si>
  <si>
    <t>Adv-Raw Materials</t>
  </si>
  <si>
    <t>Adv-Utility-Serv.</t>
  </si>
  <si>
    <t>Advance against  Oth</t>
  </si>
  <si>
    <t>Emp.Adv.-Payroll</t>
  </si>
  <si>
    <t>Emp.Adv.-Off.Exp</t>
  </si>
  <si>
    <t>Advanced Tax Paid</t>
  </si>
  <si>
    <t>Security Deposit</t>
  </si>
  <si>
    <t>Prepaid Insurance</t>
  </si>
  <si>
    <t>Prepaid Rent</t>
  </si>
  <si>
    <t>Other Prepayments</t>
  </si>
  <si>
    <t>PF Settlement</t>
  </si>
  <si>
    <t>Trade -Int.Com.Pcble</t>
  </si>
  <si>
    <t>N.Trade-Int.Com.Pcbl</t>
  </si>
  <si>
    <t>Acc.Pble Fabrics</t>
  </si>
  <si>
    <t>Acc.Pble Trims</t>
  </si>
  <si>
    <t>Acc.Pble Chemicals</t>
  </si>
  <si>
    <t>Acc.Pble Spares</t>
  </si>
  <si>
    <t>Acc.Pble Packing</t>
  </si>
  <si>
    <t>Acc.Pble Fixed Asset</t>
  </si>
  <si>
    <t>Acc.Pble Service</t>
  </si>
  <si>
    <t>Acc.Pble Consumables</t>
  </si>
  <si>
    <t>Acc.Pble Others</t>
  </si>
  <si>
    <t>Accounts Payable -Se</t>
  </si>
  <si>
    <t>CM Advance</t>
  </si>
  <si>
    <t>Interco Loan Recieve</t>
  </si>
  <si>
    <t>Lease Liability</t>
  </si>
  <si>
    <t>Salaries&amp;Wages-Local</t>
  </si>
  <si>
    <t>Unclaimed Salary&amp;Wag</t>
  </si>
  <si>
    <t>Salaries&amp;Wages-Expat</t>
  </si>
  <si>
    <t>Incentive Pble</t>
  </si>
  <si>
    <t>Unclaimed Instiv Pbl</t>
  </si>
  <si>
    <t>Provident Fund</t>
  </si>
  <si>
    <t>End Service Benefit</t>
  </si>
  <si>
    <t>Provisional Payable</t>
  </si>
  <si>
    <t>Int.Acc on STerm Loa</t>
  </si>
  <si>
    <t>Int.Acc on OD</t>
  </si>
  <si>
    <t>Int.Acc on Import Ln</t>
  </si>
  <si>
    <t>Contracts-Gas bill</t>
  </si>
  <si>
    <t>Professional-Technic</t>
  </si>
  <si>
    <t>Security services</t>
  </si>
  <si>
    <t>Rent</t>
  </si>
  <si>
    <t>Rent-Machinary</t>
  </si>
  <si>
    <t>Agency commission</t>
  </si>
  <si>
    <t>Rent to convention</t>
  </si>
  <si>
    <t>Advertising bill</t>
  </si>
  <si>
    <t>Input VAT Payable</t>
  </si>
  <si>
    <t>Output VAT  Payable</t>
  </si>
  <si>
    <t>Audit&amp;Prof. Fees Pbl</t>
  </si>
  <si>
    <t>Emp.ITax Payable-Loc</t>
  </si>
  <si>
    <t>Emp.ITax Payable-Exp</t>
  </si>
  <si>
    <t>Income Tax Payable</t>
  </si>
  <si>
    <t>PF Loan Recovery</t>
  </si>
  <si>
    <t>Amt Due-Holding Co.</t>
  </si>
  <si>
    <t>Amt Due-Holding -USD</t>
  </si>
  <si>
    <t>STerm Loan from Bank</t>
  </si>
  <si>
    <t>Share Capital</t>
  </si>
  <si>
    <t>Share Money Deposit</t>
  </si>
  <si>
    <t>Retained Earnings</t>
  </si>
  <si>
    <t>Revaluation reserve</t>
  </si>
  <si>
    <t>GR/IR Account</t>
  </si>
  <si>
    <t>GR/IR Account- Fab</t>
  </si>
  <si>
    <t>GR/IR Account- Trims</t>
  </si>
  <si>
    <t>SR/IR Account</t>
  </si>
  <si>
    <t>Initial Stock Upload</t>
  </si>
  <si>
    <t>Chemical Loan Cleari</t>
  </si>
  <si>
    <t>Sale Of Fixed Assets</t>
  </si>
  <si>
    <t>Zero Balance Account</t>
  </si>
  <si>
    <t>BD Stock Purge Accou</t>
  </si>
  <si>
    <t>Forex Reinstatement</t>
  </si>
  <si>
    <t>Forex-Trade Payable</t>
  </si>
  <si>
    <t>Forex Trade receivab</t>
  </si>
  <si>
    <t>Forex Intercomp-Rec</t>
  </si>
  <si>
    <t>Forex Adv,Dep&amp;Prepay</t>
  </si>
  <si>
    <t>Defered Liability Fo</t>
  </si>
  <si>
    <t>Legacy Data Upload C</t>
  </si>
  <si>
    <t>Asset Contra Account</t>
  </si>
  <si>
    <t>Sales - IC-Garments</t>
  </si>
  <si>
    <t>Sales - IC-Wash</t>
  </si>
  <si>
    <t>Sales - NIC -Wash</t>
  </si>
  <si>
    <t>Sales - IC-Others</t>
  </si>
  <si>
    <t>Govt. Incntv/Benefit</t>
  </si>
  <si>
    <t>Gain/Profit Fm Asset</t>
  </si>
  <si>
    <t>Exchange Gain - Unre</t>
  </si>
  <si>
    <t>Exchange Gain - Real</t>
  </si>
  <si>
    <t>Exchange Gain - FW/S</t>
  </si>
  <si>
    <t>Cons. of Chemicals</t>
  </si>
  <si>
    <t>Cons. of Consumable</t>
  </si>
  <si>
    <t>Cons. of Pack.materi</t>
  </si>
  <si>
    <t>Cons. of spare spart</t>
  </si>
  <si>
    <t>Cost of Goods Sold -</t>
  </si>
  <si>
    <t>Production variance</t>
  </si>
  <si>
    <t>Gain and Loss on sto</t>
  </si>
  <si>
    <t>Price Defference Acc</t>
  </si>
  <si>
    <t>Lab Test Charges</t>
  </si>
  <si>
    <t>Cons. of spare utili</t>
  </si>
  <si>
    <t>Cons. of Print &amp; Sta</t>
  </si>
  <si>
    <t>Wages</t>
  </si>
  <si>
    <t>Attendance Bonus</t>
  </si>
  <si>
    <t>Overtime</t>
  </si>
  <si>
    <t>Workers-Incentive Pa</t>
  </si>
  <si>
    <t>PF Contribution  Com</t>
  </si>
  <si>
    <t>Others  Contractual</t>
  </si>
  <si>
    <t>Festival Bonus</t>
  </si>
  <si>
    <t>Workers-Earn Leave</t>
  </si>
  <si>
    <t>Workers-Maternity Be</t>
  </si>
  <si>
    <t>Workers-Other Benefi</t>
  </si>
  <si>
    <t>Workers - Sports and</t>
  </si>
  <si>
    <t>Job Work-Print&amp; Emb.</t>
  </si>
  <si>
    <t>Job Work-Fabric Shad</t>
  </si>
  <si>
    <t>Job Work - Sewing</t>
  </si>
  <si>
    <t>Repair &amp; Maintenance</t>
  </si>
  <si>
    <t>House Keeping Exp.</t>
  </si>
  <si>
    <t>Testing Fee-R&amp;D</t>
  </si>
  <si>
    <t>F.O -Machine Hire Ch</t>
  </si>
  <si>
    <t>F.O -Gas</t>
  </si>
  <si>
    <t>F.O -Electricity</t>
  </si>
  <si>
    <t>F.O -Environment Tre</t>
  </si>
  <si>
    <t>F.O -Diesel for Gene</t>
  </si>
  <si>
    <t>Dep. - Building</t>
  </si>
  <si>
    <t>Dep.  Plant-Machiner</t>
  </si>
  <si>
    <t>Dep.Furniture&amp;Fixtur</t>
  </si>
  <si>
    <t>Dep.Office Equipment</t>
  </si>
  <si>
    <t>Dep.Computer Equipme</t>
  </si>
  <si>
    <t>Dep.Motor Vehicles</t>
  </si>
  <si>
    <t>Amor.Software</t>
  </si>
  <si>
    <t>Dep. On Ravaluation</t>
  </si>
  <si>
    <t>Capital. offset</t>
  </si>
  <si>
    <t>Dep.Utilities &amp; Wash</t>
  </si>
  <si>
    <t>Amort.- ROU Asset</t>
  </si>
  <si>
    <t>Ins. Prem.-Industria</t>
  </si>
  <si>
    <t>Ins. Premium - Boile</t>
  </si>
  <si>
    <t>Salary (Expat)</t>
  </si>
  <si>
    <t>Expat Benefits</t>
  </si>
  <si>
    <t>Local  - Salary</t>
  </si>
  <si>
    <t>PF Contribution - Co</t>
  </si>
  <si>
    <t>Others - Contractual</t>
  </si>
  <si>
    <t>Earn Leave</t>
  </si>
  <si>
    <t>Staff Welfare</t>
  </si>
  <si>
    <t>Other benefit local</t>
  </si>
  <si>
    <t>Medical and Day care</t>
  </si>
  <si>
    <t>GA - Rent</t>
  </si>
  <si>
    <t>GA -Communication</t>
  </si>
  <si>
    <t>GA -Vehicle &amp; Transp</t>
  </si>
  <si>
    <t>GA -Conveyance  &amp; Lo</t>
  </si>
  <si>
    <t>GA -Repair &amp; Mainten</t>
  </si>
  <si>
    <t>GA -Printing and Sta</t>
  </si>
  <si>
    <t>GA -Recuritment &amp; Tr</t>
  </si>
  <si>
    <t>GA -Cleaning Charges</t>
  </si>
  <si>
    <t>GA -Insurance Expens</t>
  </si>
  <si>
    <t>GA -Rates/Taxes/Lice</t>
  </si>
  <si>
    <t>GA -Audit Fee/Legal/</t>
  </si>
  <si>
    <t>GA -Compliance Expen</t>
  </si>
  <si>
    <t>GA -Guest House Expe</t>
  </si>
  <si>
    <t>GA -Entertainment  E</t>
  </si>
  <si>
    <t>GA -Visa and Work Pe</t>
  </si>
  <si>
    <t>GA -Traveling Overse</t>
  </si>
  <si>
    <t>GA -Hotel Accomodati</t>
  </si>
  <si>
    <t>GA -Safety &amp; Securit</t>
  </si>
  <si>
    <t>GA -Charity &amp; Donati</t>
  </si>
  <si>
    <t>GA - Payment Roundin</t>
  </si>
  <si>
    <t>GA -Courier &amp; Postag</t>
  </si>
  <si>
    <t>GA -Provision for Ta</t>
  </si>
  <si>
    <t>Export - Insurance</t>
  </si>
  <si>
    <t>Export - Courier</t>
  </si>
  <si>
    <t>Export - C&amp;F Charges</t>
  </si>
  <si>
    <t>Export - Air Freight</t>
  </si>
  <si>
    <t>Export -Container Su</t>
  </si>
  <si>
    <t>Export -Loading Unlo</t>
  </si>
  <si>
    <t>Export -Other Export</t>
  </si>
  <si>
    <t>Import -Insurance</t>
  </si>
  <si>
    <t>Import -Courier Char</t>
  </si>
  <si>
    <t>Import -C&amp;F Charges</t>
  </si>
  <si>
    <t>Import -Air Freight</t>
  </si>
  <si>
    <t>Import -Container Su</t>
  </si>
  <si>
    <t>Import -Loading Unlo</t>
  </si>
  <si>
    <t>Import -Other Import</t>
  </si>
  <si>
    <t>Import - UD Fee,UP C</t>
  </si>
  <si>
    <t>Short &amp; Other Charge</t>
  </si>
  <si>
    <t>Import - Bank Charge</t>
  </si>
  <si>
    <t>Export  - Bank Charg</t>
  </si>
  <si>
    <t>Other - Bank Charges</t>
  </si>
  <si>
    <t>Export - Buyer Bank</t>
  </si>
  <si>
    <t>Int.Paid - Exp.Sight</t>
  </si>
  <si>
    <t>Interest exp.-Lease</t>
  </si>
  <si>
    <t>Interest on Short Te</t>
  </si>
  <si>
    <t>Exchange Rate Loss-U</t>
  </si>
  <si>
    <t>Exchange Loss - Real</t>
  </si>
  <si>
    <t>Gain/(Loss) on Dispo</t>
  </si>
  <si>
    <t>Turnover Tax</t>
  </si>
  <si>
    <t>Land</t>
  </si>
  <si>
    <t>FDR</t>
  </si>
  <si>
    <t>Inter Com. -Loans</t>
  </si>
  <si>
    <t>HSBC  -  013 - Main</t>
  </si>
  <si>
    <t>HSBC  -  014 - Main</t>
  </si>
  <si>
    <t>HSBC  -  014 - Issue</t>
  </si>
  <si>
    <t>HSBC  -  015 - Main</t>
  </si>
  <si>
    <t>HSBC  -  015 - Dep</t>
  </si>
  <si>
    <t>HSBC  -  015 - Issue</t>
  </si>
  <si>
    <t>HSBC  -  901 - Main</t>
  </si>
  <si>
    <t>HSBC  -  901 - Dep</t>
  </si>
  <si>
    <t>HSBC  -  901 - Issue</t>
  </si>
  <si>
    <t>DBBL - 9340 - Main</t>
  </si>
  <si>
    <t>DBBL - 9340 - Dep</t>
  </si>
  <si>
    <t>DBBL - 9340 - Issue</t>
  </si>
  <si>
    <t>HSBC - 011 - Main</t>
  </si>
  <si>
    <t>HSBC -  016 (USD) -</t>
  </si>
  <si>
    <t>HSBC - 047 (ERQ-USD)</t>
  </si>
  <si>
    <t>HSBC -  902 - Main</t>
  </si>
  <si>
    <t>HSBC - 903 - Main</t>
  </si>
  <si>
    <t>HSBC - 903 - Issue</t>
  </si>
  <si>
    <t>HSBC - 091 - Main (U</t>
  </si>
  <si>
    <t>HSBC - 091 - Dep</t>
  </si>
  <si>
    <t>HSBC - 092 - Main (U</t>
  </si>
  <si>
    <t>HSBC - 092 - Dep</t>
  </si>
  <si>
    <t>HSBC - 092 - Issue</t>
  </si>
  <si>
    <t>SCB - 01 - Main</t>
  </si>
  <si>
    <t>SCB - 01 - Deposit</t>
  </si>
  <si>
    <t>SCB - 01 - Issue</t>
  </si>
  <si>
    <t>EBL-1041060463648-M</t>
  </si>
  <si>
    <t>Packing Material</t>
  </si>
  <si>
    <t>Temporary Payable</t>
  </si>
  <si>
    <t>Accounts Payable - S</t>
  </si>
  <si>
    <t>Loan on Neg-Garments</t>
  </si>
  <si>
    <t>EDF (Loan)</t>
  </si>
  <si>
    <t>OBD Loan</t>
  </si>
  <si>
    <t>Prov. for Def. Tax</t>
  </si>
  <si>
    <t>Long Term Loan</t>
  </si>
  <si>
    <t>Share Capital Reserv</t>
  </si>
  <si>
    <t>Gen Reserve &amp; Surplu</t>
  </si>
  <si>
    <t>Forex Cash&amp;equivalen</t>
  </si>
  <si>
    <t>Sales - NIC -Garment</t>
  </si>
  <si>
    <t>Surveyor/Inspector/F</t>
  </si>
  <si>
    <t>Central WPPF</t>
  </si>
  <si>
    <t>Export -Sea Freight</t>
  </si>
  <si>
    <t>Interest Paid - Exp.</t>
  </si>
  <si>
    <t>Interest on long ter</t>
  </si>
  <si>
    <t>Tax on Cash Incentiv</t>
  </si>
  <si>
    <t>HSBC - 011 - Deposit</t>
  </si>
  <si>
    <t>HSBC - 091 - Issue</t>
  </si>
  <si>
    <t>EBL-1041060463648-D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</si>
</sst>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4" x14ac:knownFonts="1"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rgb="FFFF0000"/>
      <name val="Verdana"/>
      <family val="2"/>
    </font>
    <font>
      <b/>
      <sz val="11"/>
      <color theme="1"/>
      <name val="Calibri"/>
      <family val="2"/>
      <scheme val="minor"/>
    </font>
    <font>
      <b/>
      <sz val="22"/>
      <color theme="1"/>
      <name val="Verdana"/>
      <family val="2"/>
    </font>
    <font>
      <b/>
      <sz val="22"/>
      <color rgb="FF92D050"/>
      <name val="Verdana"/>
      <family val="2"/>
    </font>
    <font>
      <b/>
      <sz val="22"/>
      <color theme="0"/>
      <name val="Verdana"/>
      <family val="2"/>
    </font>
    <font>
      <b/>
      <sz val="20"/>
      <color theme="2"/>
      <name val="Verdana"/>
      <family val="2"/>
    </font>
    <font>
      <b/>
      <sz val="12"/>
      <color rgb="FF92D050"/>
      <name val="Verdana"/>
      <family val="2"/>
    </font>
    <font>
      <b/>
      <sz val="11"/>
      <name val="Calibri"/>
      <family val="2"/>
      <scheme val="minor"/>
    </font>
    <font>
      <sz val="9"/>
      <color rgb="FF000000"/>
      <name val="Verdana"/>
      <family val="2"/>
    </font>
    <font>
      <sz val="9"/>
      <color theme="0"/>
      <name val="Verdana"/>
      <family val="2"/>
    </font>
    <font>
      <sz val="10"/>
      <name val="Arial"/>
      <family val="2"/>
    </font>
    <font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2" fillId="0" borderId="0"/>
  </cellStyleXfs>
  <cellXfs count="33">
    <xf numFmtId="0" fontId="0" fillId="0" borderId="0" xfId="0"/>
    <xf numFmtId="43" fontId="0" fillId="0" borderId="0" xfId="1" applyFont="1"/>
    <xf numFmtId="0" fontId="4" fillId="4" borderId="0" xfId="0" applyFont="1" applyFill="1"/>
    <xf numFmtId="0" fontId="0" fillId="4" borderId="0" xfId="0" applyFill="1"/>
    <xf numFmtId="0" fontId="8" fillId="4" borderId="0" xfId="0" applyFont="1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43" fontId="0" fillId="0" borderId="0" xfId="1" applyFont="1" applyBorder="1"/>
    <xf numFmtId="0" fontId="0" fillId="0" borderId="0" xfId="0" applyBorder="1"/>
    <xf numFmtId="49" fontId="9" fillId="3" borderId="2" xfId="0" applyNumberFormat="1" applyFont="1" applyFill="1" applyBorder="1" applyAlignment="1">
      <alignment horizontal="center" vertical="center" wrapText="1"/>
    </xf>
    <xf numFmtId="49" fontId="9" fillId="3" borderId="3" xfId="0" applyNumberFormat="1" applyFont="1" applyFill="1" applyBorder="1" applyAlignment="1">
      <alignment horizontal="center" vertical="center" wrapText="1"/>
    </xf>
    <xf numFmtId="0" fontId="0" fillId="0" borderId="0" xfId="0" quotePrefix="1"/>
    <xf numFmtId="49" fontId="9" fillId="3" borderId="4" xfId="0" quotePrefix="1" applyNumberFormat="1" applyFont="1" applyFill="1" applyBorder="1" applyAlignment="1">
      <alignment horizontal="left" vertical="center" wrapText="1"/>
    </xf>
    <xf numFmtId="43" fontId="0" fillId="0" borderId="0" xfId="1" applyNumberFormat="1" applyFont="1"/>
    <xf numFmtId="0" fontId="11" fillId="4" borderId="0" xfId="0" applyFont="1" applyFill="1" applyAlignment="1">
      <alignment horizontal="right"/>
    </xf>
    <xf numFmtId="49" fontId="3" fillId="3" borderId="4" xfId="0" applyNumberFormat="1" applyFont="1" applyFill="1" applyBorder="1" applyAlignment="1">
      <alignment horizontal="left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 wrapText="1"/>
    </xf>
    <xf numFmtId="0" fontId="11" fillId="4" borderId="0" xfId="0" applyFont="1" applyFill="1"/>
    <xf numFmtId="0" fontId="0" fillId="0" borderId="0" xfId="0" applyNumberFormat="1"/>
    <xf numFmtId="39" fontId="0" fillId="0" borderId="0" xfId="0" applyNumberFormat="1"/>
    <xf numFmtId="0" fontId="3" fillId="2" borderId="5" xfId="0" applyFont="1" applyFill="1" applyBorder="1" applyAlignment="1">
      <alignment horizontal="center" vertical="center"/>
    </xf>
    <xf numFmtId="0" fontId="13" fillId="5" borderId="6" xfId="2" applyFont="1" applyFill="1" applyBorder="1" applyAlignment="1">
      <alignment horizontal="center" vertical="top"/>
    </xf>
    <xf numFmtId="0" fontId="13" fillId="0" borderId="6" xfId="2" applyFont="1" applyBorder="1" applyAlignment="1">
      <alignment horizontal="center" vertical="top"/>
    </xf>
    <xf numFmtId="0" fontId="13" fillId="6" borderId="6" xfId="2" applyFont="1" applyFill="1" applyBorder="1" applyAlignment="1">
      <alignment horizontal="center" vertical="top"/>
    </xf>
    <xf numFmtId="0" fontId="0" fillId="5" borderId="0" xfId="0" applyFill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4" fontId="0" fillId="0" borderId="0" xfId="0" applyNumberFormat="1" applyAlignment="1">
      <alignment horizontal="right" vertical="top"/>
    </xf>
    <xf numFmtId="4" fontId="0" fillId="6" borderId="0" xfId="0" applyNumberFormat="1" applyFill="1" applyAlignment="1">
      <alignment horizontal="right" vertical="top"/>
    </xf>
  </cellXfs>
  <cellStyles count="3">
    <cellStyle name="Comma" xfId="1" builtinId="3"/>
    <cellStyle name="Normal" xfId="0" builtinId="0"/>
    <cellStyle name="Normal 698" xfId="2" xr:uid="{8033FE0A-63FB-4324-9293-8BF08166EE77}"/>
  </cellStyles>
  <dxfs count="8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7" formatCode="#,##0.00_);\(#,##0.00\)"/>
      <alignment horizontal="right" vertical="bottom" textRotation="0" wrapText="0" indent="0" justifyLastLine="0" shrinkToFit="0" readingOrder="0"/>
    </dxf>
    <dxf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2</xdr:row>
          <xdr:rowOff>44450</xdr:rowOff>
        </xdr:from>
        <xdr:to>
          <xdr:col>1</xdr:col>
          <xdr:colOff>984250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Generate upload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6A5B2C-B62C-459C-85C8-37E9AC5C0B95}" name="Table1" displayName="Table1" ref="A5:F306" totalsRowShown="0" headerRowBorderDxfId="7" tableBorderDxfId="6">
  <autoFilter ref="A5:F306" xr:uid="{402443B0-A501-4957-8C09-253EB064F550}"/>
  <tableColumns count="6">
    <tableColumn id="1" xr3:uid="{38EE2E38-B5CA-4676-941D-65A935CDE732}" name="ID" dataDxfId="5"/>
    <tableColumn id="2" xr3:uid="{A7BFCB07-43A0-44C5-A703-E1B894D2AFA0}" name="Detail Account" dataDxfId="4"/>
    <tableColumn id="3" xr3:uid="{B07AC85D-ACED-4774-B729-2FA4EBC30087}" name="Amount" dataDxfId="3" dataCellStyle="Comma"/>
    <tableColumn id="4" xr3:uid="{6C7F39DA-E1B0-4953-86B2-3E391B2A9C68}" name="Account number not unique" dataDxfId="2" dataCellStyle="Comma">
      <calculatedColumnFormula>IF(COUNTIFS(Table1[ID],Table1[[#This Row],[ID]],Table1[Detail Account],"&lt;&gt;"&amp;Table1[[#This Row],[Detail Account]])=0,"OKAY","Investigate")</calculatedColumnFormula>
    </tableColumn>
    <tableColumn id="11" xr3:uid="{086000EE-9C8C-4DFE-9F2A-F6CA4EB5CC86}" name="Incomplete data" dataDxfId="1" dataCellStyle="Comma">
      <calculatedColumnFormula>IF(COUNTA(Table1[[#This Row],[ID]:[Amount]])&lt;&gt;3,"Investigate","OKAY")</calculatedColumnFormula>
    </tableColumn>
    <tableColumn id="8" xr3:uid="{5A296037-C989-4AA0-8015-BA1E5B9208DE}" name="Check" dataDxfId="0">
      <calculatedColumnFormula>IF(COUNTIF(Table1[[#This Row],[Account number not unique]:[Incomplete data]],"Investigate")&gt;0,"errors noted","OKAY")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3A9FF-6F60-4BFA-B24B-C61FE8C69DE5}">
  <sheetPr codeName="Sheet1"/>
  <dimension ref="A1:N7"/>
  <sheetViews>
    <sheetView showGridLines="0" workbookViewId="0"/>
  </sheetViews>
  <sheetFormatPr defaultColWidth="0" defaultRowHeight="11.5" zeroHeight="1" x14ac:dyDescent="0.25"/>
  <cols>
    <col min="1" max="1" width="1.7265625" customWidth="1"/>
    <col min="2" max="13" width="8.7265625" customWidth="1"/>
    <col min="14" max="14" width="1.36328125" customWidth="1"/>
    <col min="15" max="16384" width="8.7265625" hidden="1"/>
  </cols>
  <sheetData>
    <row r="1" spans="1:14" ht="27" x14ac:dyDescent="0.5">
      <c r="A1" s="2" t="s">
        <v>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16" t="s">
        <v>17</v>
      </c>
      <c r="N1" s="3"/>
    </row>
    <row r="2" spans="1:14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5" x14ac:dyDescent="0.3">
      <c r="A3" s="3"/>
      <c r="B3" s="4" t="s">
        <v>7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25">
      <c r="N4" s="3"/>
    </row>
    <row r="5" spans="1:14" x14ac:dyDescent="0.25">
      <c r="B5" s="5" t="s">
        <v>9</v>
      </c>
      <c r="N5" s="3"/>
    </row>
    <row r="6" spans="1:14" x14ac:dyDescent="0.25">
      <c r="N6" s="3"/>
    </row>
    <row r="7" spans="1:14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A017-7977-414B-AB0F-3032BBFCB1C9}">
  <sheetPr codeName="Sheet3"/>
  <dimension ref="A1:K306"/>
  <sheetViews>
    <sheetView showGridLines="0" tabSelected="1" workbookViewId="0">
      <selection activeCell="D12" sqref="D12"/>
    </sheetView>
  </sheetViews>
  <sheetFormatPr defaultColWidth="0" defaultRowHeight="11.5" outlineLevelCol="1" x14ac:dyDescent="0.25"/>
  <cols>
    <col min="1" max="1" width="11" customWidth="1"/>
    <col min="2" max="2" width="34.453125" bestFit="1" customWidth="1"/>
    <col min="3" max="3" width="17.1796875" customWidth="1"/>
    <col min="4" max="4" width="24.08984375" customWidth="1" outlineLevel="1"/>
    <col min="5" max="5" width="22.453125" customWidth="1" outlineLevel="1"/>
    <col min="6" max="6" width="9.90625" bestFit="1" customWidth="1"/>
    <col min="7" max="16384" width="8.7265625" hidden="1"/>
  </cols>
  <sheetData>
    <row r="1" spans="1:11" ht="27" x14ac:dyDescent="0.5">
      <c r="A1" s="2" t="s">
        <v>6</v>
      </c>
      <c r="B1" s="3"/>
      <c r="C1" s="3"/>
      <c r="D1" s="3"/>
      <c r="E1" s="21" t="s">
        <v>12</v>
      </c>
      <c r="F1" s="21">
        <f t="array" ref="F1">MAX(LEN(Table1[ID]))</f>
        <v>8</v>
      </c>
      <c r="G1" s="3"/>
      <c r="H1" s="3"/>
      <c r="I1" s="3"/>
      <c r="J1" s="3"/>
      <c r="K1" s="3"/>
    </row>
    <row r="2" spans="1:11" x14ac:dyDescent="0.25">
      <c r="A2" s="3"/>
      <c r="B2" s="3"/>
      <c r="C2" s="3"/>
      <c r="D2" s="3"/>
      <c r="E2" s="21" t="s">
        <v>13</v>
      </c>
      <c r="F2" s="21">
        <f>SUMPRODUCT(COUNTIF(Table1[ID],Table1[ID])-1)</f>
        <v>0</v>
      </c>
    </row>
    <row r="3" spans="1:11" x14ac:dyDescent="0.25">
      <c r="A3" s="13" t="s">
        <v>11</v>
      </c>
      <c r="E3" t="s">
        <v>14</v>
      </c>
      <c r="F3" s="1">
        <f>COUNTIF(Table1[Check],"errors noted")</f>
        <v>0</v>
      </c>
    </row>
    <row r="4" spans="1:11" ht="12" thickBot="1" x14ac:dyDescent="0.3">
      <c r="A4" s="13" t="s">
        <v>11</v>
      </c>
      <c r="E4" t="s">
        <v>15</v>
      </c>
      <c r="F4" s="23">
        <f>ROUND(SUM(Table1[Amount]),2)</f>
        <v>0</v>
      </c>
    </row>
    <row r="5" spans="1:11" ht="15" thickBot="1" x14ac:dyDescent="0.3">
      <c r="A5" s="14" t="s">
        <v>1</v>
      </c>
      <c r="B5" s="11" t="s">
        <v>2</v>
      </c>
      <c r="C5" s="12" t="s">
        <v>5</v>
      </c>
      <c r="D5" s="6" t="s">
        <v>8</v>
      </c>
      <c r="E5" s="7" t="s">
        <v>16</v>
      </c>
      <c r="F5" s="8" t="s">
        <v>10</v>
      </c>
    </row>
    <row r="6" spans="1:11" ht="13" x14ac:dyDescent="0.25">
      <c r="A6" s="25">
        <v>10101010</v>
      </c>
      <c r="B6" s="28" t="s">
        <v>263</v>
      </c>
      <c r="C6" s="31">
        <v>7488532.46</v>
      </c>
      <c r="D6" s="9" t="str">
        <f>IF(COUNTIFS(Table1[ID],Table1[[#This Row],[ID]],Table1[Detail Account],"&lt;&gt;"&amp;Table1[[#This Row],[Detail Account]])=0,"OKAY","Investigate")</f>
        <v>OKAY</v>
      </c>
      <c r="E6" s="9" t="str">
        <f>IF(COUNTA(Table1[[#This Row],[ID]:[Amount]])&lt;&gt;3,"Investigate","OKAY")</f>
        <v>OKAY</v>
      </c>
      <c r="F6" s="10" t="str">
        <f>IF(COUNTIF(Table1[[#This Row],[Account number not unique]:[Incomplete data]],"Investigate")&gt;0,"errors noted","OKAY")</f>
        <v>OKAY</v>
      </c>
    </row>
    <row r="7" spans="1:11" ht="13" x14ac:dyDescent="0.25">
      <c r="A7" s="25">
        <v>10101020</v>
      </c>
      <c r="B7" s="28" t="s">
        <v>18</v>
      </c>
      <c r="C7" s="31">
        <v>12112552.91</v>
      </c>
      <c r="D7" s="1" t="str">
        <f>IF(COUNTIFS(Table1[ID],Table1[[#This Row],[ID]],Table1[Detail Account],"&lt;&gt;"&amp;Table1[[#This Row],[Detail Account]])=0,"OKAY","Investigate")</f>
        <v>OKAY</v>
      </c>
      <c r="E7" s="15" t="str">
        <f>IF(COUNTA(Table1[[#This Row],[ID]:[Amount]])&lt;&gt;3,"Investigate","OKAY")</f>
        <v>OKAY</v>
      </c>
      <c r="F7" s="10" t="str">
        <f>IF(COUNTIF(Table1[[#This Row],[Account number not unique]:[Incomplete data]],"Investigate")&gt;0,"errors noted","OKAY")</f>
        <v>OKAY</v>
      </c>
    </row>
    <row r="8" spans="1:11" ht="13" x14ac:dyDescent="0.25">
      <c r="A8" s="25">
        <v>10101021</v>
      </c>
      <c r="B8" s="28" t="s">
        <v>19</v>
      </c>
      <c r="C8" s="31">
        <v>1206.19</v>
      </c>
      <c r="D8" s="1" t="str">
        <f>IF(COUNTIFS(Table1[ID],Table1[[#This Row],[ID]],Table1[Detail Account],"&lt;&gt;"&amp;Table1[[#This Row],[Detail Account]])=0,"OKAY","Investigate")</f>
        <v>OKAY</v>
      </c>
      <c r="E8" s="15" t="str">
        <f>IF(COUNTA(Table1[[#This Row],[ID]:[Amount]])&lt;&gt;3,"Investigate","OKAY")</f>
        <v>OKAY</v>
      </c>
      <c r="F8" s="10" t="str">
        <f>IF(COUNTIF(Table1[[#This Row],[Account number not unique]:[Incomplete data]],"Investigate")&gt;0,"errors noted","OKAY")</f>
        <v>OKAY</v>
      </c>
    </row>
    <row r="9" spans="1:11" ht="13" x14ac:dyDescent="0.25">
      <c r="A9" s="25">
        <v>10101025</v>
      </c>
      <c r="B9" s="28" t="s">
        <v>20</v>
      </c>
      <c r="C9" s="31">
        <v>-2114871.15</v>
      </c>
      <c r="D9" s="1" t="str">
        <f>IF(COUNTIFS(Table1[ID],Table1[[#This Row],[ID]],Table1[Detail Account],"&lt;&gt;"&amp;Table1[[#This Row],[Detail Account]])=0,"OKAY","Investigate")</f>
        <v>OKAY</v>
      </c>
      <c r="E9" s="15" t="str">
        <f>IF(COUNTA(Table1[[#This Row],[ID]:[Amount]])&lt;&gt;3,"Investigate","OKAY")</f>
        <v>OKAY</v>
      </c>
      <c r="F9" s="10" t="str">
        <f>IF(COUNTIF(Table1[[#This Row],[Account number not unique]:[Incomplete data]],"Investigate")&gt;0,"errors noted","OKAY")</f>
        <v>OKAY</v>
      </c>
    </row>
    <row r="10" spans="1:11" ht="13" x14ac:dyDescent="0.25">
      <c r="A10" s="25">
        <v>10101026</v>
      </c>
      <c r="B10" s="28" t="s">
        <v>21</v>
      </c>
      <c r="C10" s="31">
        <v>-859212.94</v>
      </c>
      <c r="D10" s="1" t="str">
        <f>IF(COUNTIFS(Table1[ID],Table1[[#This Row],[ID]],Table1[Detail Account],"&lt;&gt;"&amp;Table1[[#This Row],[Detail Account]])=0,"OKAY","Investigate")</f>
        <v>OKAY</v>
      </c>
      <c r="E10" s="15" t="str">
        <f>IF(COUNTA(Table1[[#This Row],[ID]:[Amount]])&lt;&gt;3,"Investigate","OKAY")</f>
        <v>OKAY</v>
      </c>
      <c r="F10" s="10" t="str">
        <f>IF(COUNTIF(Table1[[#This Row],[Account number not unique]:[Incomplete data]],"Investigate")&gt;0,"errors noted","OKAY")</f>
        <v>OKAY</v>
      </c>
    </row>
    <row r="11" spans="1:11" ht="13" x14ac:dyDescent="0.25">
      <c r="A11" s="25">
        <v>10101040</v>
      </c>
      <c r="B11" s="28" t="s">
        <v>22</v>
      </c>
      <c r="C11" s="31">
        <v>9020297.1699999999</v>
      </c>
      <c r="D11" s="1" t="str">
        <f>IF(COUNTIFS(Table1[ID],Table1[[#This Row],[ID]],Table1[Detail Account],"&lt;&gt;"&amp;Table1[[#This Row],[Detail Account]])=0,"OKAY","Investigate")</f>
        <v>OKAY</v>
      </c>
      <c r="E11" s="15" t="str">
        <f>IF(COUNTA(Table1[[#This Row],[ID]:[Amount]])&lt;&gt;3,"Investigate","OKAY")</f>
        <v>OKAY</v>
      </c>
      <c r="F11" s="10" t="str">
        <f>IF(COUNTIF(Table1[[#This Row],[Account number not unique]:[Incomplete data]],"Investigate")&gt;0,"errors noted","OKAY")</f>
        <v>OKAY</v>
      </c>
    </row>
    <row r="12" spans="1:11" ht="13" x14ac:dyDescent="0.25">
      <c r="A12" s="25">
        <v>10101045</v>
      </c>
      <c r="B12" s="28" t="s">
        <v>23</v>
      </c>
      <c r="C12" s="31">
        <v>-6752829.9800000004</v>
      </c>
      <c r="D12" s="1" t="str">
        <f>IF(COUNTIFS(Table1[ID],Table1[[#This Row],[ID]],Table1[Detail Account],"&lt;&gt;"&amp;Table1[[#This Row],[Detail Account]])=0,"OKAY","Investigate")</f>
        <v>OKAY</v>
      </c>
      <c r="E12" s="15" t="str">
        <f>IF(COUNTA(Table1[[#This Row],[ID]:[Amount]])&lt;&gt;3,"Investigate","OKAY")</f>
        <v>OKAY</v>
      </c>
      <c r="F12" s="10" t="str">
        <f>IF(COUNTIF(Table1[[#This Row],[Account number not unique]:[Incomplete data]],"Investigate")&gt;0,"errors noted","OKAY")</f>
        <v>OKAY</v>
      </c>
    </row>
    <row r="13" spans="1:11" ht="13" x14ac:dyDescent="0.25">
      <c r="A13" s="25">
        <v>10101050</v>
      </c>
      <c r="B13" s="28" t="s">
        <v>24</v>
      </c>
      <c r="C13" s="31">
        <v>2093311.53</v>
      </c>
      <c r="D13" s="1" t="str">
        <f>IF(COUNTIFS(Table1[ID],Table1[[#This Row],[ID]],Table1[Detail Account],"&lt;&gt;"&amp;Table1[[#This Row],[Detail Account]])=0,"OKAY","Investigate")</f>
        <v>OKAY</v>
      </c>
      <c r="E13" s="15" t="str">
        <f>IF(COUNTA(Table1[[#This Row],[ID]:[Amount]])&lt;&gt;3,"Investigate","OKAY")</f>
        <v>OKAY</v>
      </c>
      <c r="F13" s="22" t="str">
        <f>IF(COUNTIF(Table1[[#This Row],[Account number not unique]:[Incomplete data]],"Investigate")&gt;0,"errors noted","OKAY")</f>
        <v>OKAY</v>
      </c>
    </row>
    <row r="14" spans="1:11" ht="13" x14ac:dyDescent="0.25">
      <c r="A14" s="25">
        <v>10101055</v>
      </c>
      <c r="B14" s="28" t="s">
        <v>25</v>
      </c>
      <c r="C14" s="31">
        <v>-1392226.59</v>
      </c>
      <c r="D14" s="1" t="str">
        <f>IF(COUNTIFS(Table1[ID],Table1[[#This Row],[ID]],Table1[Detail Account],"&lt;&gt;"&amp;Table1[[#This Row],[Detail Account]])=0,"OKAY","Investigate")</f>
        <v>OKAY</v>
      </c>
      <c r="E14" s="15" t="str">
        <f>IF(COUNTA(Table1[[#This Row],[ID]:[Amount]])&lt;&gt;3,"Investigate","OKAY")</f>
        <v>OKAY</v>
      </c>
      <c r="F14" s="22" t="str">
        <f>IF(COUNTIF(Table1[[#This Row],[Account number not unique]:[Incomplete data]],"Investigate")&gt;0,"errors noted","OKAY")</f>
        <v>OKAY</v>
      </c>
    </row>
    <row r="15" spans="1:11" ht="13" x14ac:dyDescent="0.25">
      <c r="A15" s="25">
        <v>10101060</v>
      </c>
      <c r="B15" s="28" t="s">
        <v>26</v>
      </c>
      <c r="C15" s="31">
        <v>811684.69</v>
      </c>
      <c r="D15" s="1" t="str">
        <f>IF(COUNTIFS(Table1[ID],Table1[[#This Row],[ID]],Table1[Detail Account],"&lt;&gt;"&amp;Table1[[#This Row],[Detail Account]])=0,"OKAY","Investigate")</f>
        <v>OKAY</v>
      </c>
      <c r="E15" s="15" t="str">
        <f>IF(COUNTA(Table1[[#This Row],[ID]:[Amount]])&lt;&gt;3,"Investigate","OKAY")</f>
        <v>OKAY</v>
      </c>
      <c r="F15" s="22" t="str">
        <f>IF(COUNTIF(Table1[[#This Row],[Account number not unique]:[Incomplete data]],"Investigate")&gt;0,"errors noted","OKAY")</f>
        <v>OKAY</v>
      </c>
    </row>
    <row r="16" spans="1:11" ht="13" x14ac:dyDescent="0.25">
      <c r="A16" s="25">
        <v>10101065</v>
      </c>
      <c r="B16" s="28" t="s">
        <v>27</v>
      </c>
      <c r="C16" s="31">
        <v>-499526.94</v>
      </c>
      <c r="D16" s="1" t="str">
        <f>IF(COUNTIFS(Table1[ID],Table1[[#This Row],[ID]],Table1[Detail Account],"&lt;&gt;"&amp;Table1[[#This Row],[Detail Account]])=0,"OKAY","Investigate")</f>
        <v>OKAY</v>
      </c>
      <c r="E16" s="15" t="str">
        <f>IF(COUNTA(Table1[[#This Row],[ID]:[Amount]])&lt;&gt;3,"Investigate","OKAY")</f>
        <v>OKAY</v>
      </c>
      <c r="F16" s="22" t="str">
        <f>IF(COUNTIF(Table1[[#This Row],[Account number not unique]:[Incomplete data]],"Investigate")&gt;0,"errors noted","OKAY")</f>
        <v>OKAY</v>
      </c>
    </row>
    <row r="17" spans="1:6" ht="13" x14ac:dyDescent="0.25">
      <c r="A17" s="25">
        <v>10101070</v>
      </c>
      <c r="B17" s="28" t="s">
        <v>28</v>
      </c>
      <c r="C17" s="31">
        <v>554031.51</v>
      </c>
      <c r="D17" s="1" t="str">
        <f>IF(COUNTIFS(Table1[ID],Table1[[#This Row],[ID]],Table1[Detail Account],"&lt;&gt;"&amp;Table1[[#This Row],[Detail Account]])=0,"OKAY","Investigate")</f>
        <v>OKAY</v>
      </c>
      <c r="E17" s="15" t="str">
        <f>IF(COUNTA(Table1[[#This Row],[ID]:[Amount]])&lt;&gt;3,"Investigate","OKAY")</f>
        <v>OKAY</v>
      </c>
      <c r="F17" s="22" t="str">
        <f>IF(COUNTIF(Table1[[#This Row],[Account number not unique]:[Incomplete data]],"Investigate")&gt;0,"errors noted","OKAY")</f>
        <v>OKAY</v>
      </c>
    </row>
    <row r="18" spans="1:6" ht="13" x14ac:dyDescent="0.25">
      <c r="A18" s="25">
        <v>10101075</v>
      </c>
      <c r="B18" s="28" t="s">
        <v>29</v>
      </c>
      <c r="C18" s="31">
        <v>-521475.63</v>
      </c>
      <c r="D18" s="1" t="str">
        <f>IF(COUNTIFS(Table1[ID],Table1[[#This Row],[ID]],Table1[Detail Account],"&lt;&gt;"&amp;Table1[[#This Row],[Detail Account]])=0,"OKAY","Investigate")</f>
        <v>OKAY</v>
      </c>
      <c r="E18" s="15" t="str">
        <f>IF(COUNTA(Table1[[#This Row],[ID]:[Amount]])&lt;&gt;3,"Investigate","OKAY")</f>
        <v>OKAY</v>
      </c>
      <c r="F18" s="22" t="str">
        <f>IF(COUNTIF(Table1[[#This Row],[Account number not unique]:[Incomplete data]],"Investigate")&gt;0,"errors noted","OKAY")</f>
        <v>OKAY</v>
      </c>
    </row>
    <row r="19" spans="1:6" ht="13" x14ac:dyDescent="0.25">
      <c r="A19" s="25">
        <v>10101080</v>
      </c>
      <c r="B19" s="28" t="s">
        <v>30</v>
      </c>
      <c r="C19" s="31">
        <v>228353.8</v>
      </c>
      <c r="D19" s="1" t="str">
        <f>IF(COUNTIFS(Table1[ID],Table1[[#This Row],[ID]],Table1[Detail Account],"&lt;&gt;"&amp;Table1[[#This Row],[Detail Account]])=0,"OKAY","Investigate")</f>
        <v>OKAY</v>
      </c>
      <c r="E19" s="15" t="str">
        <f>IF(COUNTA(Table1[[#This Row],[ID]:[Amount]])&lt;&gt;3,"Investigate","OKAY")</f>
        <v>OKAY</v>
      </c>
      <c r="F19" s="22" t="str">
        <f>IF(COUNTIF(Table1[[#This Row],[Account number not unique]:[Incomplete data]],"Investigate")&gt;0,"errors noted","OKAY")</f>
        <v>OKAY</v>
      </c>
    </row>
    <row r="20" spans="1:6" ht="13" x14ac:dyDescent="0.25">
      <c r="A20" s="25">
        <v>10101085</v>
      </c>
      <c r="B20" s="28" t="s">
        <v>31</v>
      </c>
      <c r="C20" s="31">
        <v>-207590.8</v>
      </c>
      <c r="D20" s="1" t="str">
        <f>IF(COUNTIFS(Table1[ID],Table1[[#This Row],[ID]],Table1[Detail Account],"&lt;&gt;"&amp;Table1[[#This Row],[Detail Account]])=0,"OKAY","Investigate")</f>
        <v>OKAY</v>
      </c>
      <c r="E20" s="15" t="str">
        <f>IF(COUNTA(Table1[[#This Row],[ID]:[Amount]])&lt;&gt;3,"Investigate","OKAY")</f>
        <v>OKAY</v>
      </c>
      <c r="F20" s="22" t="str">
        <f>IF(COUNTIF(Table1[[#This Row],[Account number not unique]:[Incomplete data]],"Investigate")&gt;0,"errors noted","OKAY")</f>
        <v>OKAY</v>
      </c>
    </row>
    <row r="21" spans="1:6" ht="13" x14ac:dyDescent="0.25">
      <c r="A21" s="25">
        <v>10101130</v>
      </c>
      <c r="B21" s="28" t="s">
        <v>32</v>
      </c>
      <c r="C21" s="31">
        <v>11253792.67</v>
      </c>
      <c r="D21" s="1" t="str">
        <f>IF(COUNTIFS(Table1[ID],Table1[[#This Row],[ID]],Table1[Detail Account],"&lt;&gt;"&amp;Table1[[#This Row],[Detail Account]])=0,"OKAY","Investigate")</f>
        <v>OKAY</v>
      </c>
      <c r="E21" s="15" t="str">
        <f>IF(COUNTA(Table1[[#This Row],[ID]:[Amount]])&lt;&gt;3,"Investigate","OKAY")</f>
        <v>OKAY</v>
      </c>
      <c r="F21" s="22" t="str">
        <f>IF(COUNTIF(Table1[[#This Row],[Account number not unique]:[Incomplete data]],"Investigate")&gt;0,"errors noted","OKAY")</f>
        <v>OKAY</v>
      </c>
    </row>
    <row r="22" spans="1:6" ht="13" x14ac:dyDescent="0.25">
      <c r="A22" s="25">
        <v>10101135</v>
      </c>
      <c r="B22" s="28" t="s">
        <v>33</v>
      </c>
      <c r="C22" s="31">
        <v>-7661691.0300000003</v>
      </c>
      <c r="D22" s="1" t="str">
        <f>IF(COUNTIFS(Table1[ID],Table1[[#This Row],[ID]],Table1[Detail Account],"&lt;&gt;"&amp;Table1[[#This Row],[Detail Account]])=0,"OKAY","Investigate")</f>
        <v>OKAY</v>
      </c>
      <c r="E22" s="15" t="str">
        <f>IF(COUNTA(Table1[[#This Row],[ID]:[Amount]])&lt;&gt;3,"Investigate","OKAY")</f>
        <v>OKAY</v>
      </c>
      <c r="F22" s="22" t="str">
        <f>IF(COUNTIF(Table1[[#This Row],[Account number not unique]:[Incomplete data]],"Investigate")&gt;0,"errors noted","OKAY")</f>
        <v>OKAY</v>
      </c>
    </row>
    <row r="23" spans="1:6" ht="13" x14ac:dyDescent="0.25">
      <c r="A23" s="26">
        <v>10101200</v>
      </c>
      <c r="B23" s="29" t="s">
        <v>34</v>
      </c>
      <c r="C23" s="31">
        <v>290350.7</v>
      </c>
      <c r="D23" s="1" t="str">
        <f>IF(COUNTIFS(Table1[ID],Table1[[#This Row],[ID]],Table1[Detail Account],"&lt;&gt;"&amp;Table1[[#This Row],[Detail Account]])=0,"OKAY","Investigate")</f>
        <v>OKAY</v>
      </c>
      <c r="E23" s="15" t="str">
        <f>IF(COUNTA(Table1[[#This Row],[ID]:[Amount]])&lt;&gt;3,"Investigate","OKAY")</f>
        <v>OKAY</v>
      </c>
      <c r="F23" s="22" t="str">
        <f>IF(COUNTIF(Table1[[#This Row],[Account number not unique]:[Incomplete data]],"Investigate")&gt;0,"errors noted","OKAY")</f>
        <v>OKAY</v>
      </c>
    </row>
    <row r="24" spans="1:6" ht="13" x14ac:dyDescent="0.25">
      <c r="A24" s="26">
        <v>10101201</v>
      </c>
      <c r="B24" s="29" t="s">
        <v>35</v>
      </c>
      <c r="C24" s="31">
        <v>-73351.73</v>
      </c>
      <c r="D24" s="1" t="str">
        <f>IF(COUNTIFS(Table1[ID],Table1[[#This Row],[ID]],Table1[Detail Account],"&lt;&gt;"&amp;Table1[[#This Row],[Detail Account]])=0,"OKAY","Investigate")</f>
        <v>OKAY</v>
      </c>
      <c r="E24" s="15" t="str">
        <f>IF(COUNTA(Table1[[#This Row],[ID]:[Amount]])&lt;&gt;3,"Investigate","OKAY")</f>
        <v>OKAY</v>
      </c>
      <c r="F24" s="22" t="str">
        <f>IF(COUNTIF(Table1[[#This Row],[Account number not unique]:[Incomplete data]],"Investigate")&gt;0,"errors noted","OKAY")</f>
        <v>OKAY</v>
      </c>
    </row>
    <row r="25" spans="1:6" ht="13" x14ac:dyDescent="0.25">
      <c r="A25" s="26">
        <v>10102010</v>
      </c>
      <c r="B25" s="29" t="s">
        <v>36</v>
      </c>
      <c r="C25" s="31">
        <v>225347.58</v>
      </c>
      <c r="D25" s="1" t="str">
        <f>IF(COUNTIFS(Table1[ID],Table1[[#This Row],[ID]],Table1[Detail Account],"&lt;&gt;"&amp;Table1[[#This Row],[Detail Account]])=0,"OKAY","Investigate")</f>
        <v>OKAY</v>
      </c>
      <c r="E25" s="15" t="str">
        <f>IF(COUNTA(Table1[[#This Row],[ID]:[Amount]])&lt;&gt;3,"Investigate","OKAY")</f>
        <v>OKAY</v>
      </c>
      <c r="F25" s="22" t="str">
        <f>IF(COUNTIF(Table1[[#This Row],[Account number not unique]:[Incomplete data]],"Investigate")&gt;0,"errors noted","OKAY")</f>
        <v>OKAY</v>
      </c>
    </row>
    <row r="26" spans="1:6" ht="13" x14ac:dyDescent="0.25">
      <c r="A26" s="26">
        <v>10102015</v>
      </c>
      <c r="B26" s="29" t="s">
        <v>37</v>
      </c>
      <c r="C26" s="31">
        <v>-219757.94</v>
      </c>
      <c r="D26" s="1" t="str">
        <f>IF(COUNTIFS(Table1[ID],Table1[[#This Row],[ID]],Table1[Detail Account],"&lt;&gt;"&amp;Table1[[#This Row],[Detail Account]])=0,"OKAY","Investigate")</f>
        <v>OKAY</v>
      </c>
      <c r="E26" s="15" t="str">
        <f>IF(COUNTA(Table1[[#This Row],[ID]:[Amount]])&lt;&gt;3,"Investigate","OKAY")</f>
        <v>OKAY</v>
      </c>
      <c r="F26" s="22" t="str">
        <f>IF(COUNTIF(Table1[[#This Row],[Account number not unique]:[Incomplete data]],"Investigate")&gt;0,"errors noted","OKAY")</f>
        <v>OKAY</v>
      </c>
    </row>
    <row r="27" spans="1:6" ht="13" x14ac:dyDescent="0.25">
      <c r="A27" s="26">
        <v>10103001</v>
      </c>
      <c r="B27" s="29" t="s">
        <v>38</v>
      </c>
      <c r="C27" s="31">
        <v>113616.84</v>
      </c>
      <c r="D27" s="1" t="str">
        <f>IF(COUNTIFS(Table1[ID],Table1[[#This Row],[ID]],Table1[Detail Account],"&lt;&gt;"&amp;Table1[[#This Row],[Detail Account]])=0,"OKAY","Investigate")</f>
        <v>OKAY</v>
      </c>
      <c r="E27" s="15" t="str">
        <f>IF(COUNTA(Table1[[#This Row],[ID]:[Amount]])&lt;&gt;3,"Investigate","OKAY")</f>
        <v>OKAY</v>
      </c>
      <c r="F27" s="22" t="str">
        <f>IF(COUNTIF(Table1[[#This Row],[Account number not unique]:[Incomplete data]],"Investigate")&gt;0,"errors noted","OKAY")</f>
        <v>OKAY</v>
      </c>
    </row>
    <row r="28" spans="1:6" ht="13" x14ac:dyDescent="0.25">
      <c r="A28" s="26">
        <v>10103003</v>
      </c>
      <c r="B28" s="29" t="s">
        <v>39</v>
      </c>
      <c r="C28" s="31">
        <v>171819.92</v>
      </c>
      <c r="D28" s="1" t="str">
        <f>IF(COUNTIFS(Table1[ID],Table1[[#This Row],[ID]],Table1[Detail Account],"&lt;&gt;"&amp;Table1[[#This Row],[Detail Account]])=0,"OKAY","Investigate")</f>
        <v>OKAY</v>
      </c>
      <c r="E28" s="15" t="str">
        <f>IF(COUNTA(Table1[[#This Row],[ID]:[Amount]])&lt;&gt;3,"Investigate","OKAY")</f>
        <v>OKAY</v>
      </c>
      <c r="F28" s="22" t="str">
        <f>IF(COUNTIF(Table1[[#This Row],[Account number not unique]:[Incomplete data]],"Investigate")&gt;0,"errors noted","OKAY")</f>
        <v>OKAY</v>
      </c>
    </row>
    <row r="29" spans="1:6" ht="13" x14ac:dyDescent="0.25">
      <c r="A29" s="26">
        <v>10103004</v>
      </c>
      <c r="B29" s="29" t="s">
        <v>40</v>
      </c>
      <c r="C29" s="31">
        <v>7765.27</v>
      </c>
      <c r="D29" s="1" t="str">
        <f>IF(COUNTIFS(Table1[ID],Table1[[#This Row],[ID]],Table1[Detail Account],"&lt;&gt;"&amp;Table1[[#This Row],[Detail Account]])=0,"OKAY","Investigate")</f>
        <v>OKAY</v>
      </c>
      <c r="E29" s="15" t="str">
        <f>IF(COUNTA(Table1[[#This Row],[ID]:[Amount]])&lt;&gt;3,"Investigate","OKAY")</f>
        <v>OKAY</v>
      </c>
      <c r="F29" s="22" t="str">
        <f>IF(COUNTIF(Table1[[#This Row],[Account number not unique]:[Incomplete data]],"Investigate")&gt;0,"errors noted","OKAY")</f>
        <v>OKAY</v>
      </c>
    </row>
    <row r="30" spans="1:6" ht="13" x14ac:dyDescent="0.25">
      <c r="A30" s="26">
        <v>10103005</v>
      </c>
      <c r="B30" s="29" t="s">
        <v>41</v>
      </c>
      <c r="C30" s="31">
        <v>1715.6</v>
      </c>
      <c r="D30" s="1" t="str">
        <f>IF(COUNTIFS(Table1[ID],Table1[[#This Row],[ID]],Table1[Detail Account],"&lt;&gt;"&amp;Table1[[#This Row],[Detail Account]])=0,"OKAY","Investigate")</f>
        <v>OKAY</v>
      </c>
      <c r="E30" s="15" t="str">
        <f>IF(COUNTA(Table1[[#This Row],[ID]:[Amount]])&lt;&gt;3,"Investigate","OKAY")</f>
        <v>OKAY</v>
      </c>
      <c r="F30" s="22" t="str">
        <f>IF(COUNTIF(Table1[[#This Row],[Account number not unique]:[Incomplete data]],"Investigate")&gt;0,"errors noted","OKAY")</f>
        <v>OKAY</v>
      </c>
    </row>
    <row r="31" spans="1:6" ht="13" x14ac:dyDescent="0.25">
      <c r="A31" s="26">
        <v>10103006</v>
      </c>
      <c r="B31" s="29" t="s">
        <v>42</v>
      </c>
      <c r="C31" s="31">
        <v>0</v>
      </c>
      <c r="D31" s="1" t="str">
        <f>IF(COUNTIFS(Table1[ID],Table1[[#This Row],[ID]],Table1[Detail Account],"&lt;&gt;"&amp;Table1[[#This Row],[Detail Account]])=0,"OKAY","Investigate")</f>
        <v>OKAY</v>
      </c>
      <c r="E31" s="15" t="str">
        <f>IF(COUNTA(Table1[[#This Row],[ID]:[Amount]])&lt;&gt;3,"Investigate","OKAY")</f>
        <v>OKAY</v>
      </c>
      <c r="F31" s="22" t="str">
        <f>IF(COUNTIF(Table1[[#This Row],[Account number not unique]:[Incomplete data]],"Investigate")&gt;0,"errors noted","OKAY")</f>
        <v>OKAY</v>
      </c>
    </row>
    <row r="32" spans="1:6" ht="13" x14ac:dyDescent="0.25">
      <c r="A32" s="26">
        <v>10103007</v>
      </c>
      <c r="B32" s="29" t="s">
        <v>43</v>
      </c>
      <c r="C32" s="31">
        <v>0</v>
      </c>
      <c r="D32" s="1" t="str">
        <f>IF(COUNTIFS(Table1[ID],Table1[[#This Row],[ID]],Table1[Detail Account],"&lt;&gt;"&amp;Table1[[#This Row],[Detail Account]])=0,"OKAY","Investigate")</f>
        <v>OKAY</v>
      </c>
      <c r="E32" s="15" t="str">
        <f>IF(COUNTA(Table1[[#This Row],[ID]:[Amount]])&lt;&gt;3,"Investigate","OKAY")</f>
        <v>OKAY</v>
      </c>
      <c r="F32" s="22" t="str">
        <f>IF(COUNTIF(Table1[[#This Row],[Account number not unique]:[Incomplete data]],"Investigate")&gt;0,"errors noted","OKAY")</f>
        <v>OKAY</v>
      </c>
    </row>
    <row r="33" spans="1:6" ht="13" x14ac:dyDescent="0.25">
      <c r="A33" s="26">
        <v>10103009</v>
      </c>
      <c r="B33" s="29" t="s">
        <v>44</v>
      </c>
      <c r="C33" s="31">
        <v>0</v>
      </c>
      <c r="D33" s="1" t="str">
        <f>IF(COUNTIFS(Table1[ID],Table1[[#This Row],[ID]],Table1[Detail Account],"&lt;&gt;"&amp;Table1[[#This Row],[Detail Account]])=0,"OKAY","Investigate")</f>
        <v>OKAY</v>
      </c>
      <c r="E33" s="15" t="str">
        <f>IF(COUNTA(Table1[[#This Row],[ID]:[Amount]])&lt;&gt;3,"Investigate","OKAY")</f>
        <v>OKAY</v>
      </c>
      <c r="F33" s="22" t="str">
        <f>IF(COUNTIF(Table1[[#This Row],[Account number not unique]:[Incomplete data]],"Investigate")&gt;0,"errors noted","OKAY")</f>
        <v>OKAY</v>
      </c>
    </row>
    <row r="34" spans="1:6" ht="13" x14ac:dyDescent="0.25">
      <c r="A34" s="26">
        <v>10103013</v>
      </c>
      <c r="B34" s="29" t="s">
        <v>45</v>
      </c>
      <c r="C34" s="31">
        <v>65089.74</v>
      </c>
      <c r="D34" s="1" t="str">
        <f>IF(COUNTIFS(Table1[ID],Table1[[#This Row],[ID]],Table1[Detail Account],"&lt;&gt;"&amp;Table1[[#This Row],[Detail Account]])=0,"OKAY","Investigate")</f>
        <v>OKAY</v>
      </c>
      <c r="E34" s="15" t="str">
        <f>IF(COUNTA(Table1[[#This Row],[ID]:[Amount]])&lt;&gt;3,"Investigate","OKAY")</f>
        <v>OKAY</v>
      </c>
      <c r="F34" s="22" t="str">
        <f>IF(COUNTIF(Table1[[#This Row],[Account number not unique]:[Incomplete data]],"Investigate")&gt;0,"errors noted","OKAY")</f>
        <v>OKAY</v>
      </c>
    </row>
    <row r="35" spans="1:6" ht="13" x14ac:dyDescent="0.25">
      <c r="A35" s="26">
        <v>10201001</v>
      </c>
      <c r="B35" s="29" t="s">
        <v>46</v>
      </c>
      <c r="C35" s="31">
        <v>0</v>
      </c>
      <c r="D35" s="1" t="str">
        <f>IF(COUNTIFS(Table1[ID],Table1[[#This Row],[ID]],Table1[Detail Account],"&lt;&gt;"&amp;Table1[[#This Row],[Detail Account]])=0,"OKAY","Investigate")</f>
        <v>OKAY</v>
      </c>
      <c r="E35" s="15" t="str">
        <f>IF(COUNTA(Table1[[#This Row],[ID]:[Amount]])&lt;&gt;3,"Investigate","OKAY")</f>
        <v>OKAY</v>
      </c>
      <c r="F35" s="22" t="str">
        <f>IF(COUNTIF(Table1[[#This Row],[Account number not unique]:[Incomplete data]],"Investigate")&gt;0,"errors noted","OKAY")</f>
        <v>OKAY</v>
      </c>
    </row>
    <row r="36" spans="1:6" ht="13" x14ac:dyDescent="0.25">
      <c r="A36" s="26">
        <v>10201004</v>
      </c>
      <c r="B36" s="29" t="s">
        <v>264</v>
      </c>
      <c r="C36" s="31">
        <v>0</v>
      </c>
      <c r="D36" s="1" t="str">
        <f>IF(COUNTIFS(Table1[ID],Table1[[#This Row],[ID]],Table1[Detail Account],"&lt;&gt;"&amp;Table1[[#This Row],[Detail Account]])=0,"OKAY","Investigate")</f>
        <v>OKAY</v>
      </c>
      <c r="E36" s="15" t="str">
        <f>IF(COUNTA(Table1[[#This Row],[ID]:[Amount]])&lt;&gt;3,"Investigate","OKAY")</f>
        <v>OKAY</v>
      </c>
      <c r="F36" s="22" t="str">
        <f>IF(COUNTIF(Table1[[#This Row],[Account number not unique]:[Incomplete data]],"Investigate")&gt;0,"errors noted","OKAY")</f>
        <v>OKAY</v>
      </c>
    </row>
    <row r="37" spans="1:6" ht="13" x14ac:dyDescent="0.25">
      <c r="A37" s="26">
        <v>10201007</v>
      </c>
      <c r="B37" s="29" t="s">
        <v>265</v>
      </c>
      <c r="C37" s="31">
        <v>0</v>
      </c>
      <c r="D37" s="1" t="str">
        <f>IF(COUNTIFS(Table1[ID],Table1[[#This Row],[ID]],Table1[Detail Account],"&lt;&gt;"&amp;Table1[[#This Row],[Detail Account]])=0,"OKAY","Investigate")</f>
        <v>OKAY</v>
      </c>
      <c r="E37" s="15" t="str">
        <f>IF(COUNTA(Table1[[#This Row],[ID]:[Amount]])&lt;&gt;3,"Investigate","OKAY")</f>
        <v>OKAY</v>
      </c>
      <c r="F37" s="22" t="str">
        <f>IF(COUNTIF(Table1[[#This Row],[Account number not unique]:[Incomplete data]],"Investigate")&gt;0,"errors noted","OKAY")</f>
        <v>OKAY</v>
      </c>
    </row>
    <row r="38" spans="1:6" ht="13" x14ac:dyDescent="0.25">
      <c r="A38" s="26">
        <v>10301001</v>
      </c>
      <c r="B38" s="29" t="s">
        <v>47</v>
      </c>
      <c r="C38" s="31">
        <v>2446383.5</v>
      </c>
      <c r="D38" s="1" t="str">
        <f>IF(COUNTIFS(Table1[ID],Table1[[#This Row],[ID]],Table1[Detail Account],"&lt;&gt;"&amp;Table1[[#This Row],[Detail Account]])=0,"OKAY","Investigate")</f>
        <v>OKAY</v>
      </c>
      <c r="E38" s="15" t="str">
        <f>IF(COUNTA(Table1[[#This Row],[ID]:[Amount]])&lt;&gt;3,"Investigate","OKAY")</f>
        <v>OKAY</v>
      </c>
      <c r="F38" s="22" t="str">
        <f>IF(COUNTIF(Table1[[#This Row],[Account number not unique]:[Incomplete data]],"Investigate")&gt;0,"errors noted","OKAY")</f>
        <v>OKAY</v>
      </c>
    </row>
    <row r="39" spans="1:6" ht="13" x14ac:dyDescent="0.25">
      <c r="A39" s="26">
        <v>10301002</v>
      </c>
      <c r="B39" s="29" t="s">
        <v>48</v>
      </c>
      <c r="C39" s="31">
        <v>0</v>
      </c>
      <c r="D39" s="1" t="str">
        <f>IF(COUNTIFS(Table1[ID],Table1[[#This Row],[ID]],Table1[Detail Account],"&lt;&gt;"&amp;Table1[[#This Row],[Detail Account]])=0,"OKAY","Investigate")</f>
        <v>OKAY</v>
      </c>
      <c r="E39" s="15" t="str">
        <f>IF(COUNTA(Table1[[#This Row],[ID]:[Amount]])&lt;&gt;3,"Investigate","OKAY")</f>
        <v>OKAY</v>
      </c>
      <c r="F39" s="22" t="str">
        <f>IF(COUNTIF(Table1[[#This Row],[Account number not unique]:[Incomplete data]],"Investigate")&gt;0,"errors noted","OKAY")</f>
        <v>OKAY</v>
      </c>
    </row>
    <row r="40" spans="1:6" ht="13" x14ac:dyDescent="0.25">
      <c r="A40" s="26">
        <v>10301003</v>
      </c>
      <c r="B40" s="29" t="s">
        <v>50</v>
      </c>
      <c r="C40" s="31">
        <v>34519.68</v>
      </c>
      <c r="D40" s="1" t="str">
        <f>IF(COUNTIFS(Table1[ID],Table1[[#This Row],[ID]],Table1[Detail Account],"&lt;&gt;"&amp;Table1[[#This Row],[Detail Account]])=0,"OKAY","Investigate")</f>
        <v>OKAY</v>
      </c>
      <c r="E40" s="15" t="str">
        <f>IF(COUNTA(Table1[[#This Row],[ID]:[Amount]])&lt;&gt;3,"Investigate","OKAY")</f>
        <v>OKAY</v>
      </c>
      <c r="F40" s="22" t="str">
        <f>IF(COUNTIF(Table1[[#This Row],[Account number not unique]:[Incomplete data]],"Investigate")&gt;0,"errors noted","OKAY")</f>
        <v>OKAY</v>
      </c>
    </row>
    <row r="41" spans="1:6" ht="13" x14ac:dyDescent="0.25">
      <c r="A41" s="26">
        <v>10301004</v>
      </c>
      <c r="B41" s="29" t="s">
        <v>51</v>
      </c>
      <c r="C41" s="31">
        <v>5721.23</v>
      </c>
      <c r="D41" s="1" t="str">
        <f>IF(COUNTIFS(Table1[ID],Table1[[#This Row],[ID]],Table1[Detail Account],"&lt;&gt;"&amp;Table1[[#This Row],[Detail Account]])=0,"OKAY","Investigate")</f>
        <v>OKAY</v>
      </c>
      <c r="E41" s="15" t="str">
        <f>IF(COUNTA(Table1[[#This Row],[ID]:[Amount]])&lt;&gt;3,"Investigate","OKAY")</f>
        <v>OKAY</v>
      </c>
      <c r="F41" s="22" t="str">
        <f>IF(COUNTIF(Table1[[#This Row],[Account number not unique]:[Incomplete data]],"Investigate")&gt;0,"errors noted","OKAY")</f>
        <v>OKAY</v>
      </c>
    </row>
    <row r="42" spans="1:6" ht="13" x14ac:dyDescent="0.25">
      <c r="A42" s="26">
        <v>10301005</v>
      </c>
      <c r="B42" s="29" t="s">
        <v>49</v>
      </c>
      <c r="C42" s="31">
        <v>521919</v>
      </c>
      <c r="D42" s="1" t="str">
        <f>IF(COUNTIFS(Table1[ID],Table1[[#This Row],[ID]],Table1[Detail Account],"&lt;&gt;"&amp;Table1[[#This Row],[Detail Account]])=0,"OKAY","Investigate")</f>
        <v>OKAY</v>
      </c>
      <c r="E42" s="15" t="str">
        <f>IF(COUNTA(Table1[[#This Row],[ID]:[Amount]])&lt;&gt;3,"Investigate","OKAY")</f>
        <v>OKAY</v>
      </c>
      <c r="F42" s="22" t="str">
        <f>IF(COUNTIF(Table1[[#This Row],[Account number not unique]:[Incomplete data]],"Investigate")&gt;0,"errors noted","OKAY")</f>
        <v>OKAY</v>
      </c>
    </row>
    <row r="43" spans="1:6" ht="13" x14ac:dyDescent="0.25">
      <c r="A43" s="26">
        <v>10301008</v>
      </c>
      <c r="B43" s="29" t="s">
        <v>52</v>
      </c>
      <c r="C43" s="31">
        <v>0</v>
      </c>
      <c r="D43" s="1" t="str">
        <f>IF(COUNTIFS(Table1[ID],Table1[[#This Row],[ID]],Table1[Detail Account],"&lt;&gt;"&amp;Table1[[#This Row],[Detail Account]])=0,"OKAY","Investigate")</f>
        <v>OKAY</v>
      </c>
      <c r="E43" s="15" t="str">
        <f>IF(COUNTA(Table1[[#This Row],[ID]:[Amount]])&lt;&gt;3,"Investigate","OKAY")</f>
        <v>OKAY</v>
      </c>
      <c r="F43" s="22" t="str">
        <f>IF(COUNTIF(Table1[[#This Row],[Account number not unique]:[Incomplete data]],"Investigate")&gt;0,"errors noted","OKAY")</f>
        <v>OKAY</v>
      </c>
    </row>
    <row r="44" spans="1:6" ht="13" x14ac:dyDescent="0.25">
      <c r="A44" s="26">
        <v>10330001</v>
      </c>
      <c r="B44" s="29" t="s">
        <v>53</v>
      </c>
      <c r="C44" s="31">
        <v>0</v>
      </c>
      <c r="D44" s="1" t="str">
        <f>IF(COUNTIFS(Table1[ID],Table1[[#This Row],[ID]],Table1[Detail Account],"&lt;&gt;"&amp;Table1[[#This Row],[Detail Account]])=0,"OKAY","Investigate")</f>
        <v>OKAY</v>
      </c>
      <c r="E44" s="15" t="str">
        <f>IF(COUNTA(Table1[[#This Row],[ID]:[Amount]])&lt;&gt;3,"Investigate","OKAY")</f>
        <v>OKAY</v>
      </c>
      <c r="F44" s="22" t="str">
        <f>IF(COUNTIF(Table1[[#This Row],[Account number not unique]:[Incomplete data]],"Investigate")&gt;0,"errors noted","OKAY")</f>
        <v>OKAY</v>
      </c>
    </row>
    <row r="45" spans="1:6" ht="13" x14ac:dyDescent="0.25">
      <c r="A45" s="26">
        <v>10330002</v>
      </c>
      <c r="B45" s="29" t="s">
        <v>54</v>
      </c>
      <c r="C45" s="31">
        <v>1790.56</v>
      </c>
      <c r="D45" s="1" t="str">
        <f>IF(COUNTIFS(Table1[ID],Table1[[#This Row],[ID]],Table1[Detail Account],"&lt;&gt;"&amp;Table1[[#This Row],[Detail Account]])=0,"OKAY","Investigate")</f>
        <v>OKAY</v>
      </c>
      <c r="E45" s="15" t="str">
        <f>IF(COUNTA(Table1[[#This Row],[ID]:[Amount]])&lt;&gt;3,"Investigate","OKAY")</f>
        <v>OKAY</v>
      </c>
      <c r="F45" s="22" t="str">
        <f>IF(COUNTIF(Table1[[#This Row],[Account number not unique]:[Incomplete data]],"Investigate")&gt;0,"errors noted","OKAY")</f>
        <v>OKAY</v>
      </c>
    </row>
    <row r="46" spans="1:6" ht="13" x14ac:dyDescent="0.25">
      <c r="A46" s="26">
        <v>10340010</v>
      </c>
      <c r="B46" s="29" t="s">
        <v>266</v>
      </c>
      <c r="C46" s="31">
        <v>1.78</v>
      </c>
      <c r="D46" s="1" t="str">
        <f>IF(COUNTIFS(Table1[ID],Table1[[#This Row],[ID]],Table1[Detail Account],"&lt;&gt;"&amp;Table1[[#This Row],[Detail Account]])=0,"OKAY","Investigate")</f>
        <v>OKAY</v>
      </c>
      <c r="E46" s="15" t="str">
        <f>IF(COUNTA(Table1[[#This Row],[ID]:[Amount]])&lt;&gt;3,"Investigate","OKAY")</f>
        <v>OKAY</v>
      </c>
      <c r="F46" s="22" t="str">
        <f>IF(COUNTIF(Table1[[#This Row],[Account number not unique]:[Incomplete data]],"Investigate")&gt;0,"errors noted","OKAY")</f>
        <v>OKAY</v>
      </c>
    </row>
    <row r="47" spans="1:6" ht="13" x14ac:dyDescent="0.25">
      <c r="A47" s="26">
        <v>10340020</v>
      </c>
      <c r="B47" s="29" t="s">
        <v>267</v>
      </c>
      <c r="C47" s="31">
        <v>840.74</v>
      </c>
      <c r="D47" s="1" t="str">
        <f>IF(COUNTIFS(Table1[ID],Table1[[#This Row],[ID]],Table1[Detail Account],"&lt;&gt;"&amp;Table1[[#This Row],[Detail Account]])=0,"OKAY","Investigate")</f>
        <v>OKAY</v>
      </c>
      <c r="E47" s="15" t="str">
        <f>IF(COUNTA(Table1[[#This Row],[ID]:[Amount]])&lt;&gt;3,"Investigate","OKAY")</f>
        <v>OKAY</v>
      </c>
      <c r="F47" s="22" t="str">
        <f>IF(COUNTIF(Table1[[#This Row],[Account number not unique]:[Incomplete data]],"Investigate")&gt;0,"errors noted","OKAY")</f>
        <v>OKAY</v>
      </c>
    </row>
    <row r="48" spans="1:6" ht="13" x14ac:dyDescent="0.25">
      <c r="A48" s="26">
        <v>10340022</v>
      </c>
      <c r="B48" s="29" t="s">
        <v>268</v>
      </c>
      <c r="C48" s="31">
        <v>0</v>
      </c>
      <c r="D48" s="1" t="str">
        <f>IF(COUNTIFS(Table1[ID],Table1[[#This Row],[ID]],Table1[Detail Account],"&lt;&gt;"&amp;Table1[[#This Row],[Detail Account]])=0,"OKAY","Investigate")</f>
        <v>OKAY</v>
      </c>
      <c r="E48" s="15" t="str">
        <f>IF(COUNTA(Table1[[#This Row],[ID]:[Amount]])&lt;&gt;3,"Investigate","OKAY")</f>
        <v>OKAY</v>
      </c>
      <c r="F48" s="22" t="str">
        <f>IF(COUNTIF(Table1[[#This Row],[Account number not unique]:[Incomplete data]],"Investigate")&gt;0,"errors noted","OKAY")</f>
        <v>OKAY</v>
      </c>
    </row>
    <row r="49" spans="1:6" ht="13" x14ac:dyDescent="0.25">
      <c r="A49" s="26">
        <v>10340030</v>
      </c>
      <c r="B49" s="29" t="s">
        <v>269</v>
      </c>
      <c r="C49" s="31">
        <v>467964.58</v>
      </c>
      <c r="D49" s="1" t="str">
        <f>IF(COUNTIFS(Table1[ID],Table1[[#This Row],[ID]],Table1[Detail Account],"&lt;&gt;"&amp;Table1[[#This Row],[Detail Account]])=0,"OKAY","Investigate")</f>
        <v>OKAY</v>
      </c>
      <c r="E49" s="15" t="str">
        <f>IF(COUNTA(Table1[[#This Row],[ID]:[Amount]])&lt;&gt;3,"Investigate","OKAY")</f>
        <v>OKAY</v>
      </c>
      <c r="F49" s="22" t="str">
        <f>IF(COUNTIF(Table1[[#This Row],[Account number not unique]:[Incomplete data]],"Investigate")&gt;0,"errors noted","OKAY")</f>
        <v>OKAY</v>
      </c>
    </row>
    <row r="50" spans="1:6" ht="13" x14ac:dyDescent="0.25">
      <c r="A50" s="26">
        <v>10340031</v>
      </c>
      <c r="B50" s="29" t="s">
        <v>270</v>
      </c>
      <c r="C50" s="31">
        <v>0</v>
      </c>
      <c r="D50" s="1" t="str">
        <f>IF(COUNTIFS(Table1[ID],Table1[[#This Row],[ID]],Table1[Detail Account],"&lt;&gt;"&amp;Table1[[#This Row],[Detail Account]])=0,"OKAY","Investigate")</f>
        <v>OKAY</v>
      </c>
      <c r="E50" s="15" t="str">
        <f>IF(COUNTA(Table1[[#This Row],[ID]:[Amount]])&lt;&gt;3,"Investigate","OKAY")</f>
        <v>OKAY</v>
      </c>
      <c r="F50" s="22" t="str">
        <f>IF(COUNTIF(Table1[[#This Row],[Account number not unique]:[Incomplete data]],"Investigate")&gt;0,"errors noted","OKAY")</f>
        <v>OKAY</v>
      </c>
    </row>
    <row r="51" spans="1:6" ht="13" x14ac:dyDescent="0.25">
      <c r="A51" s="26">
        <v>10340032</v>
      </c>
      <c r="B51" s="29" t="s">
        <v>271</v>
      </c>
      <c r="C51" s="31">
        <v>0.32</v>
      </c>
      <c r="D51" s="1" t="str">
        <f>IF(COUNTIFS(Table1[ID],Table1[[#This Row],[ID]],Table1[Detail Account],"&lt;&gt;"&amp;Table1[[#This Row],[Detail Account]])=0,"OKAY","Investigate")</f>
        <v>OKAY</v>
      </c>
      <c r="E51" s="15" t="str">
        <f>IF(COUNTA(Table1[[#This Row],[ID]:[Amount]])&lt;&gt;3,"Investigate","OKAY")</f>
        <v>OKAY</v>
      </c>
      <c r="F51" s="22" t="str">
        <f>IF(COUNTIF(Table1[[#This Row],[Account number not unique]:[Incomplete data]],"Investigate")&gt;0,"errors noted","OKAY")</f>
        <v>OKAY</v>
      </c>
    </row>
    <row r="52" spans="1:6" ht="13" x14ac:dyDescent="0.25">
      <c r="A52" s="26">
        <v>10340040</v>
      </c>
      <c r="B52" s="29" t="s">
        <v>272</v>
      </c>
      <c r="C52" s="31">
        <v>3.29</v>
      </c>
      <c r="D52" s="1" t="str">
        <f>IF(COUNTIFS(Table1[ID],Table1[[#This Row],[ID]],Table1[Detail Account],"&lt;&gt;"&amp;Table1[[#This Row],[Detail Account]])=0,"OKAY","Investigate")</f>
        <v>OKAY</v>
      </c>
      <c r="E52" s="15" t="str">
        <f>IF(COUNTA(Table1[[#This Row],[ID]:[Amount]])&lt;&gt;3,"Investigate","OKAY")</f>
        <v>OKAY</v>
      </c>
      <c r="F52" s="22" t="str">
        <f>IF(COUNTIF(Table1[[#This Row],[Account number not unique]:[Incomplete data]],"Investigate")&gt;0,"errors noted","OKAY")</f>
        <v>OKAY</v>
      </c>
    </row>
    <row r="53" spans="1:6" ht="13" x14ac:dyDescent="0.25">
      <c r="A53" s="26">
        <v>10340041</v>
      </c>
      <c r="B53" s="29" t="s">
        <v>273</v>
      </c>
      <c r="C53" s="31">
        <v>0</v>
      </c>
      <c r="D53" s="1" t="str">
        <f>IF(COUNTIFS(Table1[ID],Table1[[#This Row],[ID]],Table1[Detail Account],"&lt;&gt;"&amp;Table1[[#This Row],[Detail Account]])=0,"OKAY","Investigate")</f>
        <v>OKAY</v>
      </c>
      <c r="E53" s="15" t="str">
        <f>IF(COUNTA(Table1[[#This Row],[ID]:[Amount]])&lt;&gt;3,"Investigate","OKAY")</f>
        <v>OKAY</v>
      </c>
      <c r="F53" s="22" t="str">
        <f>IF(COUNTIF(Table1[[#This Row],[Account number not unique]:[Incomplete data]],"Investigate")&gt;0,"errors noted","OKAY")</f>
        <v>OKAY</v>
      </c>
    </row>
    <row r="54" spans="1:6" ht="13" x14ac:dyDescent="0.25">
      <c r="A54" s="26">
        <v>10340042</v>
      </c>
      <c r="B54" s="29" t="s">
        <v>274</v>
      </c>
      <c r="C54" s="31">
        <v>0</v>
      </c>
      <c r="D54" s="1" t="str">
        <f>IF(COUNTIFS(Table1[ID],Table1[[#This Row],[ID]],Table1[Detail Account],"&lt;&gt;"&amp;Table1[[#This Row],[Detail Account]])=0,"OKAY","Investigate")</f>
        <v>OKAY</v>
      </c>
      <c r="E54" s="15" t="str">
        <f>IF(COUNTA(Table1[[#This Row],[ID]:[Amount]])&lt;&gt;3,"Investigate","OKAY")</f>
        <v>OKAY</v>
      </c>
      <c r="F54" s="22" t="str">
        <f>IF(COUNTIF(Table1[[#This Row],[Account number not unique]:[Incomplete data]],"Investigate")&gt;0,"errors noted","OKAY")</f>
        <v>OKAY</v>
      </c>
    </row>
    <row r="55" spans="1:6" ht="13" x14ac:dyDescent="0.25">
      <c r="A55" s="26">
        <v>10340050</v>
      </c>
      <c r="B55" s="29" t="s">
        <v>275</v>
      </c>
      <c r="C55" s="31">
        <v>19084.939999999999</v>
      </c>
      <c r="D55" s="1" t="str">
        <f>IF(COUNTIFS(Table1[ID],Table1[[#This Row],[ID]],Table1[Detail Account],"&lt;&gt;"&amp;Table1[[#This Row],[Detail Account]])=0,"OKAY","Investigate")</f>
        <v>OKAY</v>
      </c>
      <c r="E55" s="15" t="str">
        <f>IF(COUNTA(Table1[[#This Row],[ID]:[Amount]])&lt;&gt;3,"Investigate","OKAY")</f>
        <v>OKAY</v>
      </c>
      <c r="F55" s="22" t="str">
        <f>IF(COUNTIF(Table1[[#This Row],[Account number not unique]:[Incomplete data]],"Investigate")&gt;0,"errors noted","OKAY")</f>
        <v>OKAY</v>
      </c>
    </row>
    <row r="56" spans="1:6" ht="13" x14ac:dyDescent="0.25">
      <c r="A56" s="26">
        <v>10340051</v>
      </c>
      <c r="B56" s="29" t="s">
        <v>276</v>
      </c>
      <c r="C56" s="31">
        <v>0</v>
      </c>
      <c r="D56" s="1" t="str">
        <f>IF(COUNTIFS(Table1[ID],Table1[[#This Row],[ID]],Table1[Detail Account],"&lt;&gt;"&amp;Table1[[#This Row],[Detail Account]])=0,"OKAY","Investigate")</f>
        <v>OKAY</v>
      </c>
      <c r="E56" s="15" t="str">
        <f>IF(COUNTA(Table1[[#This Row],[ID]:[Amount]])&lt;&gt;3,"Investigate","OKAY")</f>
        <v>OKAY</v>
      </c>
      <c r="F56" s="22" t="str">
        <f>IF(COUNTIF(Table1[[#This Row],[Account number not unique]:[Incomplete data]],"Investigate")&gt;0,"errors noted","OKAY")</f>
        <v>OKAY</v>
      </c>
    </row>
    <row r="57" spans="1:6" ht="13" x14ac:dyDescent="0.25">
      <c r="A57" s="26">
        <v>10340052</v>
      </c>
      <c r="B57" s="29" t="s">
        <v>277</v>
      </c>
      <c r="C57" s="31">
        <v>-0.46</v>
      </c>
      <c r="D57" s="1" t="str">
        <f>IF(COUNTIFS(Table1[ID],Table1[[#This Row],[ID]],Table1[Detail Account],"&lt;&gt;"&amp;Table1[[#This Row],[Detail Account]])=0,"OKAY","Investigate")</f>
        <v>OKAY</v>
      </c>
      <c r="E57" s="15" t="str">
        <f>IF(COUNTA(Table1[[#This Row],[ID]:[Amount]])&lt;&gt;3,"Investigate","OKAY")</f>
        <v>OKAY</v>
      </c>
      <c r="F57" s="22" t="str">
        <f>IF(COUNTIF(Table1[[#This Row],[Account number not unique]:[Incomplete data]],"Investigate")&gt;0,"errors noted","OKAY")</f>
        <v>OKAY</v>
      </c>
    </row>
    <row r="58" spans="1:6" ht="13" x14ac:dyDescent="0.25">
      <c r="A58" s="26">
        <v>10340060</v>
      </c>
      <c r="B58" s="29" t="s">
        <v>278</v>
      </c>
      <c r="C58" s="31">
        <v>0.17</v>
      </c>
      <c r="D58" s="1" t="str">
        <f>IF(COUNTIFS(Table1[ID],Table1[[#This Row],[ID]],Table1[Detail Account],"&lt;&gt;"&amp;Table1[[#This Row],[Detail Account]])=0,"OKAY","Investigate")</f>
        <v>OKAY</v>
      </c>
      <c r="E58" s="15" t="str">
        <f>IF(COUNTA(Table1[[#This Row],[ID]:[Amount]])&lt;&gt;3,"Investigate","OKAY")</f>
        <v>OKAY</v>
      </c>
      <c r="F58" s="22" t="str">
        <f>IF(COUNTIF(Table1[[#This Row],[Account number not unique]:[Incomplete data]],"Investigate")&gt;0,"errors noted","OKAY")</f>
        <v>OKAY</v>
      </c>
    </row>
    <row r="59" spans="1:6" ht="13" x14ac:dyDescent="0.25">
      <c r="A59" s="26">
        <v>10340061</v>
      </c>
      <c r="B59" s="29" t="s">
        <v>311</v>
      </c>
      <c r="C59" s="31">
        <v>0</v>
      </c>
      <c r="D59" s="1" t="str">
        <f>IF(COUNTIFS(Table1[ID],Table1[[#This Row],[ID]],Table1[Detail Account],"&lt;&gt;"&amp;Table1[[#This Row],[Detail Account]])=0,"OKAY","Investigate")</f>
        <v>OKAY</v>
      </c>
      <c r="E59" s="15" t="str">
        <f>IF(COUNTA(Table1[[#This Row],[ID]:[Amount]])&lt;&gt;3,"Investigate","OKAY")</f>
        <v>OKAY</v>
      </c>
      <c r="F59" s="22" t="str">
        <f>IF(COUNTIF(Table1[[#This Row],[Account number not unique]:[Incomplete data]],"Investigate")&gt;0,"errors noted","OKAY")</f>
        <v>OKAY</v>
      </c>
    </row>
    <row r="60" spans="1:6" ht="13" x14ac:dyDescent="0.25">
      <c r="A60" s="26">
        <v>10340070</v>
      </c>
      <c r="B60" s="29" t="s">
        <v>279</v>
      </c>
      <c r="C60" s="31">
        <v>0</v>
      </c>
      <c r="D60" s="1" t="str">
        <f>IF(COUNTIFS(Table1[ID],Table1[[#This Row],[ID]],Table1[Detail Account],"&lt;&gt;"&amp;Table1[[#This Row],[Detail Account]])=0,"OKAY","Investigate")</f>
        <v>OKAY</v>
      </c>
      <c r="E60" s="15" t="str">
        <f>IF(COUNTA(Table1[[#This Row],[ID]:[Amount]])&lt;&gt;3,"Investigate","OKAY")</f>
        <v>OKAY</v>
      </c>
      <c r="F60" s="22" t="str">
        <f>IF(COUNTIF(Table1[[#This Row],[Account number not unique]:[Incomplete data]],"Investigate")&gt;0,"errors noted","OKAY")</f>
        <v>OKAY</v>
      </c>
    </row>
    <row r="61" spans="1:6" ht="13" x14ac:dyDescent="0.25">
      <c r="A61" s="26">
        <v>10340072</v>
      </c>
      <c r="B61" s="29" t="s">
        <v>279</v>
      </c>
      <c r="C61" s="31">
        <v>0</v>
      </c>
      <c r="D61" s="1" t="str">
        <f>IF(COUNTIFS(Table1[ID],Table1[[#This Row],[ID]],Table1[Detail Account],"&lt;&gt;"&amp;Table1[[#This Row],[Detail Account]])=0,"OKAY","Investigate")</f>
        <v>OKAY</v>
      </c>
      <c r="E61" s="15" t="str">
        <f>IF(COUNTA(Table1[[#This Row],[ID]:[Amount]])&lt;&gt;3,"Investigate","OKAY")</f>
        <v>OKAY</v>
      </c>
      <c r="F61" s="22" t="str">
        <f>IF(COUNTIF(Table1[[#This Row],[Account number not unique]:[Incomplete data]],"Investigate")&gt;0,"errors noted","OKAY")</f>
        <v>OKAY</v>
      </c>
    </row>
    <row r="62" spans="1:6" ht="13" x14ac:dyDescent="0.25">
      <c r="A62" s="26">
        <v>10340080</v>
      </c>
      <c r="B62" s="29" t="s">
        <v>280</v>
      </c>
      <c r="C62" s="31">
        <v>251022.78</v>
      </c>
      <c r="D62" s="1" t="str">
        <f>IF(COUNTIFS(Table1[ID],Table1[[#This Row],[ID]],Table1[Detail Account],"&lt;&gt;"&amp;Table1[[#This Row],[Detail Account]])=0,"OKAY","Investigate")</f>
        <v>OKAY</v>
      </c>
      <c r="E62" s="15" t="str">
        <f>IF(COUNTA(Table1[[#This Row],[ID]:[Amount]])&lt;&gt;3,"Investigate","OKAY")</f>
        <v>OKAY</v>
      </c>
      <c r="F62" s="22" t="str">
        <f>IF(COUNTIF(Table1[[#This Row],[Account number not unique]:[Incomplete data]],"Investigate")&gt;0,"errors noted","OKAY")</f>
        <v>OKAY</v>
      </c>
    </row>
    <row r="63" spans="1:6" ht="13" x14ac:dyDescent="0.25">
      <c r="A63" s="26">
        <v>10340081</v>
      </c>
      <c r="B63" s="29" t="s">
        <v>280</v>
      </c>
      <c r="C63" s="31">
        <v>0</v>
      </c>
      <c r="D63" s="1" t="str">
        <f>IF(COUNTIFS(Table1[ID],Table1[[#This Row],[ID]],Table1[Detail Account],"&lt;&gt;"&amp;Table1[[#This Row],[Detail Account]])=0,"OKAY","Investigate")</f>
        <v>OKAY</v>
      </c>
      <c r="E63" s="15" t="str">
        <f>IF(COUNTA(Table1[[#This Row],[ID]:[Amount]])&lt;&gt;3,"Investigate","OKAY")</f>
        <v>OKAY</v>
      </c>
      <c r="F63" s="22" t="str">
        <f>IF(COUNTIF(Table1[[#This Row],[Account number not unique]:[Incomplete data]],"Investigate")&gt;0,"errors noted","OKAY")</f>
        <v>OKAY</v>
      </c>
    </row>
    <row r="64" spans="1:6" ht="13" x14ac:dyDescent="0.25">
      <c r="A64" s="26">
        <v>10340082</v>
      </c>
      <c r="B64" s="29" t="s">
        <v>280</v>
      </c>
      <c r="C64" s="31">
        <v>0</v>
      </c>
      <c r="D64" s="1" t="str">
        <f>IF(COUNTIFS(Table1[ID],Table1[[#This Row],[ID]],Table1[Detail Account],"&lt;&gt;"&amp;Table1[[#This Row],[Detail Account]])=0,"OKAY","Investigate")</f>
        <v>OKAY</v>
      </c>
      <c r="E64" s="15" t="str">
        <f>IF(COUNTA(Table1[[#This Row],[ID]:[Amount]])&lt;&gt;3,"Investigate","OKAY")</f>
        <v>OKAY</v>
      </c>
      <c r="F64" s="22" t="str">
        <f>IF(COUNTIF(Table1[[#This Row],[Account number not unique]:[Incomplete data]],"Investigate")&gt;0,"errors noted","OKAY")</f>
        <v>OKAY</v>
      </c>
    </row>
    <row r="65" spans="1:6" ht="13" x14ac:dyDescent="0.25">
      <c r="A65" s="26">
        <v>10340090</v>
      </c>
      <c r="B65" s="29" t="s">
        <v>281</v>
      </c>
      <c r="C65" s="31">
        <v>854.29</v>
      </c>
      <c r="D65" s="1" t="str">
        <f>IF(COUNTIFS(Table1[ID],Table1[[#This Row],[ID]],Table1[Detail Account],"&lt;&gt;"&amp;Table1[[#This Row],[Detail Account]])=0,"OKAY","Investigate")</f>
        <v>OKAY</v>
      </c>
      <c r="E65" s="15" t="str">
        <f>IF(COUNTA(Table1[[#This Row],[ID]:[Amount]])&lt;&gt;3,"Investigate","OKAY")</f>
        <v>OKAY</v>
      </c>
      <c r="F65" s="22" t="str">
        <f>IF(COUNTIF(Table1[[#This Row],[Account number not unique]:[Incomplete data]],"Investigate")&gt;0,"errors noted","OKAY")</f>
        <v>OKAY</v>
      </c>
    </row>
    <row r="66" spans="1:6" ht="13" x14ac:dyDescent="0.25">
      <c r="A66" s="26">
        <v>10340100</v>
      </c>
      <c r="B66" s="29" t="s">
        <v>282</v>
      </c>
      <c r="C66" s="31">
        <v>1376.8</v>
      </c>
      <c r="D66" s="1" t="str">
        <f>IF(COUNTIFS(Table1[ID],Table1[[#This Row],[ID]],Table1[Detail Account],"&lt;&gt;"&amp;Table1[[#This Row],[Detail Account]])=0,"OKAY","Investigate")</f>
        <v>OKAY</v>
      </c>
      <c r="E66" s="15" t="str">
        <f>IF(COUNTA(Table1[[#This Row],[ID]:[Amount]])&lt;&gt;3,"Investigate","OKAY")</f>
        <v>OKAY</v>
      </c>
      <c r="F66" s="22" t="str">
        <f>IF(COUNTIF(Table1[[#This Row],[Account number not unique]:[Incomplete data]],"Investigate")&gt;0,"errors noted","OKAY")</f>
        <v>OKAY</v>
      </c>
    </row>
    <row r="67" spans="1:6" ht="13" x14ac:dyDescent="0.25">
      <c r="A67" s="26">
        <v>10340102</v>
      </c>
      <c r="B67" s="29" t="s">
        <v>283</v>
      </c>
      <c r="C67" s="31">
        <v>0</v>
      </c>
      <c r="D67" s="1" t="str">
        <f>IF(COUNTIFS(Table1[ID],Table1[[#This Row],[ID]],Table1[Detail Account],"&lt;&gt;"&amp;Table1[[#This Row],[Detail Account]])=0,"OKAY","Investigate")</f>
        <v>OKAY</v>
      </c>
      <c r="E67" s="15" t="str">
        <f>IF(COUNTA(Table1[[#This Row],[ID]:[Amount]])&lt;&gt;3,"Investigate","OKAY")</f>
        <v>OKAY</v>
      </c>
      <c r="F67" s="22" t="str">
        <f>IF(COUNTIF(Table1[[#This Row],[Account number not unique]:[Incomplete data]],"Investigate")&gt;0,"errors noted","OKAY")</f>
        <v>OKAY</v>
      </c>
    </row>
    <row r="68" spans="1:6" ht="13" x14ac:dyDescent="0.25">
      <c r="A68" s="26">
        <v>10340110</v>
      </c>
      <c r="B68" s="29" t="s">
        <v>284</v>
      </c>
      <c r="C68" s="31">
        <v>1210229.8799999999</v>
      </c>
      <c r="D68" s="1" t="str">
        <f>IF(COUNTIFS(Table1[ID],Table1[[#This Row],[ID]],Table1[Detail Account],"&lt;&gt;"&amp;Table1[[#This Row],[Detail Account]])=0,"OKAY","Investigate")</f>
        <v>OKAY</v>
      </c>
      <c r="E68" s="15" t="str">
        <f>IF(COUNTA(Table1[[#This Row],[ID]:[Amount]])&lt;&gt;3,"Investigate","OKAY")</f>
        <v>OKAY</v>
      </c>
      <c r="F68" s="22" t="str">
        <f>IF(COUNTIF(Table1[[#This Row],[Account number not unique]:[Incomplete data]],"Investigate")&gt;0,"errors noted","OKAY")</f>
        <v>OKAY</v>
      </c>
    </row>
    <row r="69" spans="1:6" ht="13" x14ac:dyDescent="0.25">
      <c r="A69" s="26">
        <v>10340111</v>
      </c>
      <c r="B69" s="29" t="s">
        <v>285</v>
      </c>
      <c r="C69" s="31">
        <v>0</v>
      </c>
      <c r="D69" s="1" t="str">
        <f>IF(COUNTIFS(Table1[ID],Table1[[#This Row],[ID]],Table1[Detail Account],"&lt;&gt;"&amp;Table1[[#This Row],[Detail Account]])=0,"OKAY","Investigate")</f>
        <v>OKAY</v>
      </c>
      <c r="E69" s="15" t="str">
        <f>IF(COUNTA(Table1[[#This Row],[ID]:[Amount]])&lt;&gt;3,"Investigate","OKAY")</f>
        <v>OKAY</v>
      </c>
      <c r="F69" s="22" t="str">
        <f>IF(COUNTIF(Table1[[#This Row],[Account number not unique]:[Incomplete data]],"Investigate")&gt;0,"errors noted","OKAY")</f>
        <v>OKAY</v>
      </c>
    </row>
    <row r="70" spans="1:6" ht="13" x14ac:dyDescent="0.25">
      <c r="A70" s="26">
        <v>10340112</v>
      </c>
      <c r="B70" s="29" t="s">
        <v>312</v>
      </c>
      <c r="C70" s="31">
        <v>0</v>
      </c>
      <c r="D70" s="1" t="str">
        <f>IF(COUNTIFS(Table1[ID],Table1[[#This Row],[ID]],Table1[Detail Account],"&lt;&gt;"&amp;Table1[[#This Row],[Detail Account]])=0,"OKAY","Investigate")</f>
        <v>OKAY</v>
      </c>
      <c r="E70" s="15" t="str">
        <f>IF(COUNTA(Table1[[#This Row],[ID]:[Amount]])&lt;&gt;3,"Investigate","OKAY")</f>
        <v>OKAY</v>
      </c>
      <c r="F70" s="22" t="str">
        <f>IF(COUNTIF(Table1[[#This Row],[Account number not unique]:[Incomplete data]],"Investigate")&gt;0,"errors noted","OKAY")</f>
        <v>OKAY</v>
      </c>
    </row>
    <row r="71" spans="1:6" ht="13" x14ac:dyDescent="0.25">
      <c r="A71" s="26">
        <v>10340120</v>
      </c>
      <c r="B71" s="29" t="s">
        <v>286</v>
      </c>
      <c r="C71" s="31">
        <v>256993.73</v>
      </c>
      <c r="D71" s="1" t="str">
        <f>IF(COUNTIFS(Table1[ID],Table1[[#This Row],[ID]],Table1[Detail Account],"&lt;&gt;"&amp;Table1[[#This Row],[Detail Account]])=0,"OKAY","Investigate")</f>
        <v>OKAY</v>
      </c>
      <c r="E71" s="15" t="str">
        <f>IF(COUNTA(Table1[[#This Row],[ID]:[Amount]])&lt;&gt;3,"Investigate","OKAY")</f>
        <v>OKAY</v>
      </c>
      <c r="F71" s="22" t="str">
        <f>IF(COUNTIF(Table1[[#This Row],[Account number not unique]:[Incomplete data]],"Investigate")&gt;0,"errors noted","OKAY")</f>
        <v>OKAY</v>
      </c>
    </row>
    <row r="72" spans="1:6" ht="13" x14ac:dyDescent="0.25">
      <c r="A72" s="26">
        <v>10340121</v>
      </c>
      <c r="B72" s="29" t="s">
        <v>287</v>
      </c>
      <c r="C72" s="31">
        <v>0</v>
      </c>
      <c r="D72" s="1" t="str">
        <f>IF(COUNTIFS(Table1[ID],Table1[[#This Row],[ID]],Table1[Detail Account],"&lt;&gt;"&amp;Table1[[#This Row],[Detail Account]])=0,"OKAY","Investigate")</f>
        <v>OKAY</v>
      </c>
      <c r="E72" s="15" t="str">
        <f>IF(COUNTA(Table1[[#This Row],[ID]:[Amount]])&lt;&gt;3,"Investigate","OKAY")</f>
        <v>OKAY</v>
      </c>
      <c r="F72" s="22" t="str">
        <f>IF(COUNTIF(Table1[[#This Row],[Account number not unique]:[Incomplete data]],"Investigate")&gt;0,"errors noted","OKAY")</f>
        <v>OKAY</v>
      </c>
    </row>
    <row r="73" spans="1:6" ht="13" x14ac:dyDescent="0.25">
      <c r="A73" s="26">
        <v>10340122</v>
      </c>
      <c r="B73" s="29" t="s">
        <v>288</v>
      </c>
      <c r="C73" s="31">
        <v>0</v>
      </c>
      <c r="D73" s="1" t="str">
        <f>IF(COUNTIFS(Table1[ID],Table1[[#This Row],[ID]],Table1[Detail Account],"&lt;&gt;"&amp;Table1[[#This Row],[Detail Account]])=0,"OKAY","Investigate")</f>
        <v>OKAY</v>
      </c>
      <c r="E73" s="15" t="str">
        <f>IF(COUNTA(Table1[[#This Row],[ID]:[Amount]])&lt;&gt;3,"Investigate","OKAY")</f>
        <v>OKAY</v>
      </c>
      <c r="F73" s="22" t="str">
        <f>IF(COUNTIF(Table1[[#This Row],[Account number not unique]:[Incomplete data]],"Investigate")&gt;0,"errors noted","OKAY")</f>
        <v>OKAY</v>
      </c>
    </row>
    <row r="74" spans="1:6" ht="13" x14ac:dyDescent="0.25">
      <c r="A74" s="26">
        <v>10340130</v>
      </c>
      <c r="B74" s="29" t="s">
        <v>289</v>
      </c>
      <c r="C74" s="31">
        <v>14230.91</v>
      </c>
      <c r="D74" s="1" t="str">
        <f>IF(COUNTIFS(Table1[ID],Table1[[#This Row],[ID]],Table1[Detail Account],"&lt;&gt;"&amp;Table1[[#This Row],[Detail Account]])=0,"OKAY","Investigate")</f>
        <v>OKAY</v>
      </c>
      <c r="E74" s="15" t="str">
        <f>IF(COUNTA(Table1[[#This Row],[ID]:[Amount]])&lt;&gt;3,"Investigate","OKAY")</f>
        <v>OKAY</v>
      </c>
      <c r="F74" s="22" t="str">
        <f>IF(COUNTIF(Table1[[#This Row],[Account number not unique]:[Incomplete data]],"Investigate")&gt;0,"errors noted","OKAY")</f>
        <v>OKAY</v>
      </c>
    </row>
    <row r="75" spans="1:6" ht="13" x14ac:dyDescent="0.25">
      <c r="A75" s="26">
        <v>10340131</v>
      </c>
      <c r="B75" s="29" t="s">
        <v>290</v>
      </c>
      <c r="C75" s="31">
        <v>0.21</v>
      </c>
      <c r="D75" s="1" t="str">
        <f>IF(COUNTIFS(Table1[ID],Table1[[#This Row],[ID]],Table1[Detail Account],"&lt;&gt;"&amp;Table1[[#This Row],[Detail Account]])=0,"OKAY","Investigate")</f>
        <v>OKAY</v>
      </c>
      <c r="E75" s="15" t="str">
        <f>IF(COUNTA(Table1[[#This Row],[ID]:[Amount]])&lt;&gt;3,"Investigate","OKAY")</f>
        <v>OKAY</v>
      </c>
      <c r="F75" s="22" t="str">
        <f>IF(COUNTIF(Table1[[#This Row],[Account number not unique]:[Incomplete data]],"Investigate")&gt;0,"errors noted","OKAY")</f>
        <v>OKAY</v>
      </c>
    </row>
    <row r="76" spans="1:6" ht="13" x14ac:dyDescent="0.25">
      <c r="A76" s="26">
        <v>10340132</v>
      </c>
      <c r="B76" s="29" t="s">
        <v>291</v>
      </c>
      <c r="C76" s="31">
        <v>0.44</v>
      </c>
      <c r="D76" s="1" t="str">
        <f>IF(COUNTIFS(Table1[ID],Table1[[#This Row],[ID]],Table1[Detail Account],"&lt;&gt;"&amp;Table1[[#This Row],[Detail Account]])=0,"OKAY","Investigate")</f>
        <v>OKAY</v>
      </c>
      <c r="E76" s="15" t="str">
        <f>IF(COUNTA(Table1[[#This Row],[ID]:[Amount]])&lt;&gt;3,"Investigate","OKAY")</f>
        <v>OKAY</v>
      </c>
      <c r="F76" s="22" t="str">
        <f>IF(COUNTIF(Table1[[#This Row],[Account number not unique]:[Incomplete data]],"Investigate")&gt;0,"errors noted","OKAY")</f>
        <v>OKAY</v>
      </c>
    </row>
    <row r="77" spans="1:6" ht="13" x14ac:dyDescent="0.25">
      <c r="A77" s="26">
        <v>10340140</v>
      </c>
      <c r="B77" s="29" t="s">
        <v>292</v>
      </c>
      <c r="C77" s="31">
        <v>99.3</v>
      </c>
      <c r="D77" s="1" t="str">
        <f>IF(COUNTIFS(Table1[ID],Table1[[#This Row],[ID]],Table1[Detail Account],"&lt;&gt;"&amp;Table1[[#This Row],[Detail Account]])=0,"OKAY","Investigate")</f>
        <v>OKAY</v>
      </c>
      <c r="E77" s="15" t="str">
        <f>IF(COUNTA(Table1[[#This Row],[ID]:[Amount]])&lt;&gt;3,"Investigate","OKAY")</f>
        <v>OKAY</v>
      </c>
      <c r="F77" s="22" t="str">
        <f>IF(COUNTIF(Table1[[#This Row],[Account number not unique]:[Incomplete data]],"Investigate")&gt;0,"errors noted","OKAY")</f>
        <v>OKAY</v>
      </c>
    </row>
    <row r="78" spans="1:6" ht="13" x14ac:dyDescent="0.25">
      <c r="A78" s="26">
        <v>10340141</v>
      </c>
      <c r="B78" s="29" t="s">
        <v>313</v>
      </c>
      <c r="C78" s="31">
        <v>0</v>
      </c>
      <c r="D78" s="1" t="str">
        <f>IF(COUNTIFS(Table1[ID],Table1[[#This Row],[ID]],Table1[Detail Account],"&lt;&gt;"&amp;Table1[[#This Row],[Detail Account]])=0,"OKAY","Investigate")</f>
        <v>OKAY</v>
      </c>
      <c r="E78" s="15" t="str">
        <f>IF(COUNTA(Table1[[#This Row],[ID]:[Amount]])&lt;&gt;3,"Investigate","OKAY")</f>
        <v>OKAY</v>
      </c>
      <c r="F78" s="22" t="str">
        <f>IF(COUNTIF(Table1[[#This Row],[Account number not unique]:[Incomplete data]],"Investigate")&gt;0,"errors noted","OKAY")</f>
        <v>OKAY</v>
      </c>
    </row>
    <row r="79" spans="1:6" ht="13" x14ac:dyDescent="0.25">
      <c r="A79" s="26">
        <v>10349998</v>
      </c>
      <c r="B79" s="29" t="s">
        <v>55</v>
      </c>
      <c r="C79" s="31">
        <v>0</v>
      </c>
      <c r="D79" s="1" t="str">
        <f>IF(COUNTIFS(Table1[ID],Table1[[#This Row],[ID]],Table1[Detail Account],"&lt;&gt;"&amp;Table1[[#This Row],[Detail Account]])=0,"OKAY","Investigate")</f>
        <v>OKAY</v>
      </c>
      <c r="E79" s="15" t="str">
        <f>IF(COUNTA(Table1[[#This Row],[ID]:[Amount]])&lt;&gt;3,"Investigate","OKAY")</f>
        <v>OKAY</v>
      </c>
      <c r="F79" s="22" t="str">
        <f>IF(COUNTIF(Table1[[#This Row],[Account number not unique]:[Incomplete data]],"Investigate")&gt;0,"errors noted","OKAY")</f>
        <v>OKAY</v>
      </c>
    </row>
    <row r="80" spans="1:6" ht="13" x14ac:dyDescent="0.25">
      <c r="A80" s="26">
        <v>10350001</v>
      </c>
      <c r="B80" s="29" t="s">
        <v>56</v>
      </c>
      <c r="C80" s="31">
        <v>0</v>
      </c>
      <c r="D80" s="1" t="str">
        <f>IF(COUNTIFS(Table1[ID],Table1[[#This Row],[ID]],Table1[Detail Account],"&lt;&gt;"&amp;Table1[[#This Row],[Detail Account]])=0,"OKAY","Investigate")</f>
        <v>OKAY</v>
      </c>
      <c r="E80" s="15" t="str">
        <f>IF(COUNTA(Table1[[#This Row],[ID]:[Amount]])&lt;&gt;3,"Investigate","OKAY")</f>
        <v>OKAY</v>
      </c>
      <c r="F80" s="22" t="str">
        <f>IF(COUNTIF(Table1[[#This Row],[Account number not unique]:[Incomplete data]],"Investigate")&gt;0,"errors noted","OKAY")</f>
        <v>OKAY</v>
      </c>
    </row>
    <row r="81" spans="1:6" ht="13" x14ac:dyDescent="0.25">
      <c r="A81" s="26">
        <v>10350002</v>
      </c>
      <c r="B81" s="29" t="s">
        <v>57</v>
      </c>
      <c r="C81" s="31">
        <v>0</v>
      </c>
      <c r="D81" s="1" t="str">
        <f>IF(COUNTIFS(Table1[ID],Table1[[#This Row],[ID]],Table1[Detail Account],"&lt;&gt;"&amp;Table1[[#This Row],[Detail Account]])=0,"OKAY","Investigate")</f>
        <v>OKAY</v>
      </c>
      <c r="E81" s="15" t="str">
        <f>IF(COUNTA(Table1[[#This Row],[ID]:[Amount]])&lt;&gt;3,"Investigate","OKAY")</f>
        <v>OKAY</v>
      </c>
      <c r="F81" s="22" t="str">
        <f>IF(COUNTIF(Table1[[#This Row],[Account number not unique]:[Incomplete data]],"Investigate")&gt;0,"errors noted","OKAY")</f>
        <v>OKAY</v>
      </c>
    </row>
    <row r="82" spans="1:6" ht="13" x14ac:dyDescent="0.25">
      <c r="A82" s="26">
        <v>10350003</v>
      </c>
      <c r="B82" s="29" t="s">
        <v>58</v>
      </c>
      <c r="C82" s="31">
        <v>83608.08</v>
      </c>
      <c r="D82" s="1" t="str">
        <f>IF(COUNTIFS(Table1[ID],Table1[[#This Row],[ID]],Table1[Detail Account],"&lt;&gt;"&amp;Table1[[#This Row],[Detail Account]])=0,"OKAY","Investigate")</f>
        <v>OKAY</v>
      </c>
      <c r="E82" s="15" t="str">
        <f>IF(COUNTA(Table1[[#This Row],[ID]:[Amount]])&lt;&gt;3,"Investigate","OKAY")</f>
        <v>OKAY</v>
      </c>
      <c r="F82" s="22" t="str">
        <f>IF(COUNTIF(Table1[[#This Row],[Account number not unique]:[Incomplete data]],"Investigate")&gt;0,"errors noted","OKAY")</f>
        <v>OKAY</v>
      </c>
    </row>
    <row r="83" spans="1:6" ht="13" x14ac:dyDescent="0.25">
      <c r="A83" s="26">
        <v>10350004</v>
      </c>
      <c r="B83" s="29" t="s">
        <v>59</v>
      </c>
      <c r="C83" s="31">
        <v>4537.9399999999996</v>
      </c>
      <c r="D83" s="1" t="str">
        <f>IF(COUNTIFS(Table1[ID],Table1[[#This Row],[ID]],Table1[Detail Account],"&lt;&gt;"&amp;Table1[[#This Row],[Detail Account]])=0,"OKAY","Investigate")</f>
        <v>OKAY</v>
      </c>
      <c r="E83" s="15" t="str">
        <f>IF(COUNTA(Table1[[#This Row],[ID]:[Amount]])&lt;&gt;3,"Investigate","OKAY")</f>
        <v>OKAY</v>
      </c>
      <c r="F83" s="22" t="str">
        <f>IF(COUNTIF(Table1[[#This Row],[Account number not unique]:[Incomplete data]],"Investigate")&gt;0,"errors noted","OKAY")</f>
        <v>OKAY</v>
      </c>
    </row>
    <row r="84" spans="1:6" ht="13" x14ac:dyDescent="0.25">
      <c r="A84" s="26">
        <v>10350005</v>
      </c>
      <c r="B84" s="29" t="s">
        <v>293</v>
      </c>
      <c r="C84" s="31">
        <v>74868.77</v>
      </c>
      <c r="D84" s="1" t="str">
        <f>IF(COUNTIFS(Table1[ID],Table1[[#This Row],[ID]],Table1[Detail Account],"&lt;&gt;"&amp;Table1[[#This Row],[Detail Account]])=0,"OKAY","Investigate")</f>
        <v>OKAY</v>
      </c>
      <c r="E84" s="15" t="str">
        <f>IF(COUNTA(Table1[[#This Row],[ID]:[Amount]])&lt;&gt;3,"Investigate","OKAY")</f>
        <v>OKAY</v>
      </c>
      <c r="F84" s="22" t="str">
        <f>IF(COUNTIF(Table1[[#This Row],[Account number not unique]:[Incomplete data]],"Investigate")&gt;0,"errors noted","OKAY")</f>
        <v>OKAY</v>
      </c>
    </row>
    <row r="85" spans="1:6" ht="13" x14ac:dyDescent="0.25">
      <c r="A85" s="26">
        <v>10350006</v>
      </c>
      <c r="B85" s="29" t="s">
        <v>60</v>
      </c>
      <c r="C85" s="31">
        <v>67201.58</v>
      </c>
      <c r="D85" s="1" t="str">
        <f>IF(COUNTIFS(Table1[ID],Table1[[#This Row],[ID]],Table1[Detail Account],"&lt;&gt;"&amp;Table1[[#This Row],[Detail Account]])=0,"OKAY","Investigate")</f>
        <v>OKAY</v>
      </c>
      <c r="E85" s="15" t="str">
        <f>IF(COUNTA(Table1[[#This Row],[ID]:[Amount]])&lt;&gt;3,"Investigate","OKAY")</f>
        <v>OKAY</v>
      </c>
      <c r="F85" s="22" t="str">
        <f>IF(COUNTIF(Table1[[#This Row],[Account number not unique]:[Incomplete data]],"Investigate")&gt;0,"errors noted","OKAY")</f>
        <v>OKAY</v>
      </c>
    </row>
    <row r="86" spans="1:6" ht="13" x14ac:dyDescent="0.25">
      <c r="A86" s="26">
        <v>10350007</v>
      </c>
      <c r="B86" s="29" t="s">
        <v>61</v>
      </c>
      <c r="C86" s="31">
        <v>0</v>
      </c>
      <c r="D86" s="1" t="str">
        <f>IF(COUNTIFS(Table1[ID],Table1[[#This Row],[ID]],Table1[Detail Account],"&lt;&gt;"&amp;Table1[[#This Row],[Detail Account]])=0,"OKAY","Investigate")</f>
        <v>OKAY</v>
      </c>
      <c r="E86" s="15" t="str">
        <f>IF(COUNTA(Table1[[#This Row],[ID]:[Amount]])&lt;&gt;3,"Investigate","OKAY")</f>
        <v>OKAY</v>
      </c>
      <c r="F86" s="22" t="str">
        <f>IF(COUNTIF(Table1[[#This Row],[Account number not unique]:[Incomplete data]],"Investigate")&gt;0,"errors noted","OKAY")</f>
        <v>OKAY</v>
      </c>
    </row>
    <row r="87" spans="1:6" ht="13" x14ac:dyDescent="0.25">
      <c r="A87" s="26">
        <v>10350008</v>
      </c>
      <c r="B87" s="29" t="s">
        <v>62</v>
      </c>
      <c r="C87" s="31">
        <v>0</v>
      </c>
      <c r="D87" s="1" t="str">
        <f>IF(COUNTIFS(Table1[ID],Table1[[#This Row],[ID]],Table1[Detail Account],"&lt;&gt;"&amp;Table1[[#This Row],[Detail Account]])=0,"OKAY","Investigate")</f>
        <v>OKAY</v>
      </c>
      <c r="E87" s="15" t="str">
        <f>IF(COUNTA(Table1[[#This Row],[ID]:[Amount]])&lt;&gt;3,"Investigate","OKAY")</f>
        <v>OKAY</v>
      </c>
      <c r="F87" s="22" t="str">
        <f>IF(COUNTIF(Table1[[#This Row],[Account number not unique]:[Incomplete data]],"Investigate")&gt;0,"errors noted","OKAY")</f>
        <v>OKAY</v>
      </c>
    </row>
    <row r="88" spans="1:6" ht="13" x14ac:dyDescent="0.25">
      <c r="A88" s="26">
        <v>10350011</v>
      </c>
      <c r="B88" s="29" t="s">
        <v>63</v>
      </c>
      <c r="C88" s="31">
        <v>0</v>
      </c>
      <c r="D88" s="1" t="str">
        <f>IF(COUNTIFS(Table1[ID],Table1[[#This Row],[ID]],Table1[Detail Account],"&lt;&gt;"&amp;Table1[[#This Row],[Detail Account]])=0,"OKAY","Investigate")</f>
        <v>OKAY</v>
      </c>
      <c r="E88" s="15" t="str">
        <f>IF(COUNTA(Table1[[#This Row],[ID]:[Amount]])&lt;&gt;3,"Investigate","OKAY")</f>
        <v>OKAY</v>
      </c>
      <c r="F88" s="22" t="str">
        <f>IF(COUNTIF(Table1[[#This Row],[Account number not unique]:[Incomplete data]],"Investigate")&gt;0,"errors noted","OKAY")</f>
        <v>OKAY</v>
      </c>
    </row>
    <row r="89" spans="1:6" ht="13" x14ac:dyDescent="0.25">
      <c r="A89" s="26">
        <v>10350012</v>
      </c>
      <c r="B89" s="29" t="s">
        <v>64</v>
      </c>
      <c r="C89" s="31">
        <v>141383.01999999999</v>
      </c>
      <c r="D89" s="1" t="str">
        <f>IF(COUNTIFS(Table1[ID],Table1[[#This Row],[ID]],Table1[Detail Account],"&lt;&gt;"&amp;Table1[[#This Row],[Detail Account]])=0,"OKAY","Investigate")</f>
        <v>OKAY</v>
      </c>
      <c r="E89" s="15" t="str">
        <f>IF(COUNTA(Table1[[#This Row],[ID]:[Amount]])&lt;&gt;3,"Investigate","OKAY")</f>
        <v>OKAY</v>
      </c>
      <c r="F89" s="22" t="str">
        <f>IF(COUNTIF(Table1[[#This Row],[Account number not unique]:[Incomplete data]],"Investigate")&gt;0,"errors noted","OKAY")</f>
        <v>OKAY</v>
      </c>
    </row>
    <row r="90" spans="1:6" ht="13" x14ac:dyDescent="0.25">
      <c r="A90" s="26">
        <v>10350013</v>
      </c>
      <c r="B90" s="29" t="s">
        <v>65</v>
      </c>
      <c r="C90" s="31">
        <v>3397.29</v>
      </c>
      <c r="D90" s="1" t="str">
        <f>IF(COUNTIFS(Table1[ID],Table1[[#This Row],[ID]],Table1[Detail Account],"&lt;&gt;"&amp;Table1[[#This Row],[Detail Account]])=0,"OKAY","Investigate")</f>
        <v>OKAY</v>
      </c>
      <c r="E90" s="15" t="str">
        <f>IF(COUNTA(Table1[[#This Row],[ID]:[Amount]])&lt;&gt;3,"Investigate","OKAY")</f>
        <v>OKAY</v>
      </c>
      <c r="F90" s="22" t="str">
        <f>IF(COUNTIF(Table1[[#This Row],[Account number not unique]:[Incomplete data]],"Investigate")&gt;0,"errors noted","OKAY")</f>
        <v>OKAY</v>
      </c>
    </row>
    <row r="91" spans="1:6" ht="13" x14ac:dyDescent="0.25">
      <c r="A91" s="26">
        <v>10350014</v>
      </c>
      <c r="B91" s="29" t="s">
        <v>66</v>
      </c>
      <c r="C91" s="31">
        <v>0.27</v>
      </c>
      <c r="D91" s="1" t="str">
        <f>IF(COUNTIFS(Table1[ID],Table1[[#This Row],[ID]],Table1[Detail Account],"&lt;&gt;"&amp;Table1[[#This Row],[Detail Account]])=0,"OKAY","Investigate")</f>
        <v>OKAY</v>
      </c>
      <c r="E91" s="15" t="str">
        <f>IF(COUNTA(Table1[[#This Row],[ID]:[Amount]])&lt;&gt;3,"Investigate","OKAY")</f>
        <v>OKAY</v>
      </c>
      <c r="F91" s="22" t="str">
        <f>IF(COUNTIF(Table1[[#This Row],[Account number not unique]:[Incomplete data]],"Investigate")&gt;0,"errors noted","OKAY")</f>
        <v>OKAY</v>
      </c>
    </row>
    <row r="92" spans="1:6" ht="13" x14ac:dyDescent="0.25">
      <c r="A92" s="26">
        <v>10350900</v>
      </c>
      <c r="B92" s="29" t="s">
        <v>67</v>
      </c>
      <c r="C92" s="31">
        <v>3967751.38</v>
      </c>
      <c r="D92" s="1" t="str">
        <f>IF(COUNTIFS(Table1[ID],Table1[[#This Row],[ID]],Table1[Detail Account],"&lt;&gt;"&amp;Table1[[#This Row],[Detail Account]])=0,"OKAY","Investigate")</f>
        <v>OKAY</v>
      </c>
      <c r="E92" s="15" t="str">
        <f>IF(COUNTA(Table1[[#This Row],[ID]:[Amount]])&lt;&gt;3,"Investigate","OKAY")</f>
        <v>OKAY</v>
      </c>
      <c r="F92" s="22" t="str">
        <f>IF(COUNTIF(Table1[[#This Row],[Account number not unique]:[Incomplete data]],"Investigate")&gt;0,"errors noted","OKAY")</f>
        <v>OKAY</v>
      </c>
    </row>
    <row r="93" spans="1:6" ht="13" x14ac:dyDescent="0.25">
      <c r="A93" s="26">
        <v>10350901</v>
      </c>
      <c r="B93" s="29" t="s">
        <v>68</v>
      </c>
      <c r="C93" s="31">
        <v>1488691.57</v>
      </c>
      <c r="D93" s="1" t="str">
        <f>IF(COUNTIFS(Table1[ID],Table1[[#This Row],[ID]],Table1[Detail Account],"&lt;&gt;"&amp;Table1[[#This Row],[Detail Account]])=0,"OKAY","Investigate")</f>
        <v>OKAY</v>
      </c>
      <c r="E93" s="15" t="str">
        <f>IF(COUNTA(Table1[[#This Row],[ID]:[Amount]])&lt;&gt;3,"Investigate","OKAY")</f>
        <v>OKAY</v>
      </c>
      <c r="F93" s="22" t="str">
        <f>IF(COUNTIF(Table1[[#This Row],[Account number not unique]:[Incomplete data]],"Investigate")&gt;0,"errors noted","OKAY")</f>
        <v>OKAY</v>
      </c>
    </row>
    <row r="94" spans="1:6" ht="13" x14ac:dyDescent="0.25">
      <c r="A94" s="26">
        <v>10350902</v>
      </c>
      <c r="B94" s="29" t="s">
        <v>69</v>
      </c>
      <c r="C94" s="31">
        <v>0</v>
      </c>
      <c r="D94" s="1" t="str">
        <f>IF(COUNTIFS(Table1[ID],Table1[[#This Row],[ID]],Table1[Detail Account],"&lt;&gt;"&amp;Table1[[#This Row],[Detail Account]])=0,"OKAY","Investigate")</f>
        <v>OKAY</v>
      </c>
      <c r="E94" s="15" t="str">
        <f>IF(COUNTA(Table1[[#This Row],[ID]:[Amount]])&lt;&gt;3,"Investigate","OKAY")</f>
        <v>OKAY</v>
      </c>
      <c r="F94" s="22" t="str">
        <f>IF(COUNTIF(Table1[[#This Row],[Account number not unique]:[Incomplete data]],"Investigate")&gt;0,"errors noted","OKAY")</f>
        <v>OKAY</v>
      </c>
    </row>
    <row r="95" spans="1:6" ht="13" x14ac:dyDescent="0.25">
      <c r="A95" s="26">
        <v>10350903</v>
      </c>
      <c r="B95" s="29" t="s">
        <v>70</v>
      </c>
      <c r="C95" s="31">
        <v>0</v>
      </c>
      <c r="D95" s="1" t="str">
        <f>IF(COUNTIFS(Table1[ID],Table1[[#This Row],[ID]],Table1[Detail Account],"&lt;&gt;"&amp;Table1[[#This Row],[Detail Account]])=0,"OKAY","Investigate")</f>
        <v>OKAY</v>
      </c>
      <c r="E95" s="15" t="str">
        <f>IF(COUNTA(Table1[[#This Row],[ID]:[Amount]])&lt;&gt;3,"Investigate","OKAY")</f>
        <v>OKAY</v>
      </c>
      <c r="F95" s="22" t="str">
        <f>IF(COUNTIF(Table1[[#This Row],[Account number not unique]:[Incomplete data]],"Investigate")&gt;0,"errors noted","OKAY")</f>
        <v>OKAY</v>
      </c>
    </row>
    <row r="96" spans="1:6" ht="13" x14ac:dyDescent="0.25">
      <c r="A96" s="26">
        <v>10350904</v>
      </c>
      <c r="B96" s="29" t="s">
        <v>60</v>
      </c>
      <c r="C96" s="31">
        <v>0</v>
      </c>
      <c r="D96" s="1" t="str">
        <f>IF(COUNTIFS(Table1[ID],Table1[[#This Row],[ID]],Table1[Detail Account],"&lt;&gt;"&amp;Table1[[#This Row],[Detail Account]])=0,"OKAY","Investigate")</f>
        <v>OKAY</v>
      </c>
      <c r="E96" s="15" t="str">
        <f>IF(COUNTA(Table1[[#This Row],[ID]:[Amount]])&lt;&gt;3,"Investigate","OKAY")</f>
        <v>OKAY</v>
      </c>
      <c r="F96" s="22" t="str">
        <f>IF(COUNTIF(Table1[[#This Row],[Account number not unique]:[Incomplete data]],"Investigate")&gt;0,"errors noted","OKAY")</f>
        <v>OKAY</v>
      </c>
    </row>
    <row r="97" spans="1:6" ht="13" x14ac:dyDescent="0.25">
      <c r="A97" s="26">
        <v>10350905</v>
      </c>
      <c r="B97" s="29" t="s">
        <v>71</v>
      </c>
      <c r="C97" s="31">
        <v>2775126.05</v>
      </c>
      <c r="D97" s="1" t="str">
        <f>IF(COUNTIFS(Table1[ID],Table1[[#This Row],[ID]],Table1[Detail Account],"&lt;&gt;"&amp;Table1[[#This Row],[Detail Account]])=0,"OKAY","Investigate")</f>
        <v>OKAY</v>
      </c>
      <c r="E97" s="15" t="str">
        <f>IF(COUNTA(Table1[[#This Row],[ID]:[Amount]])&lt;&gt;3,"Investigate","OKAY")</f>
        <v>OKAY</v>
      </c>
      <c r="F97" s="22" t="str">
        <f>IF(COUNTIF(Table1[[#This Row],[Account number not unique]:[Incomplete data]],"Investigate")&gt;0,"errors noted","OKAY")</f>
        <v>OKAY</v>
      </c>
    </row>
    <row r="98" spans="1:6" ht="13" x14ac:dyDescent="0.25">
      <c r="A98" s="26">
        <v>10350906</v>
      </c>
      <c r="B98" s="29" t="s">
        <v>72</v>
      </c>
      <c r="C98" s="31">
        <v>4458470.3600000003</v>
      </c>
      <c r="D98" s="1" t="str">
        <f>IF(COUNTIFS(Table1[ID],Table1[[#This Row],[ID]],Table1[Detail Account],"&lt;&gt;"&amp;Table1[[#This Row],[Detail Account]])=0,"OKAY","Investigate")</f>
        <v>OKAY</v>
      </c>
      <c r="E98" s="15" t="str">
        <f>IF(COUNTA(Table1[[#This Row],[ID]:[Amount]])&lt;&gt;3,"Investigate","OKAY")</f>
        <v>OKAY</v>
      </c>
      <c r="F98" s="22" t="str">
        <f>IF(COUNTIF(Table1[[#This Row],[Account number not unique]:[Incomplete data]],"Investigate")&gt;0,"errors noted","OKAY")</f>
        <v>OKAY</v>
      </c>
    </row>
    <row r="99" spans="1:6" ht="13" x14ac:dyDescent="0.25">
      <c r="A99" s="26">
        <v>10360001</v>
      </c>
      <c r="B99" s="29" t="s">
        <v>73</v>
      </c>
      <c r="C99" s="31">
        <v>1132156.83</v>
      </c>
      <c r="D99" s="1" t="str">
        <f>IF(COUNTIFS(Table1[ID],Table1[[#This Row],[ID]],Table1[Detail Account],"&lt;&gt;"&amp;Table1[[#This Row],[Detail Account]])=0,"OKAY","Investigate")</f>
        <v>OKAY</v>
      </c>
      <c r="E99" s="15" t="str">
        <f>IF(COUNTA(Table1[[#This Row],[ID]:[Amount]])&lt;&gt;3,"Investigate","OKAY")</f>
        <v>OKAY</v>
      </c>
      <c r="F99" s="22" t="str">
        <f>IF(COUNTIF(Table1[[#This Row],[Account number not unique]:[Incomplete data]],"Investigate")&gt;0,"errors noted","OKAY")</f>
        <v>OKAY</v>
      </c>
    </row>
    <row r="100" spans="1:6" ht="13" x14ac:dyDescent="0.25">
      <c r="A100" s="26">
        <v>10360002</v>
      </c>
      <c r="B100" s="29" t="s">
        <v>74</v>
      </c>
      <c r="C100" s="31">
        <v>1240630.8899999999</v>
      </c>
      <c r="D100" s="1" t="str">
        <f>IF(COUNTIFS(Table1[ID],Table1[[#This Row],[ID]],Table1[Detail Account],"&lt;&gt;"&amp;Table1[[#This Row],[Detail Account]])=0,"OKAY","Investigate")</f>
        <v>OKAY</v>
      </c>
      <c r="E100" s="15" t="str">
        <f>IF(COUNTA(Table1[[#This Row],[ID]:[Amount]])&lt;&gt;3,"Investigate","OKAY")</f>
        <v>OKAY</v>
      </c>
      <c r="F100" s="22" t="str">
        <f>IF(COUNTIF(Table1[[#This Row],[Account number not unique]:[Incomplete data]],"Investigate")&gt;0,"errors noted","OKAY")</f>
        <v>OKAY</v>
      </c>
    </row>
    <row r="101" spans="1:6" ht="13" x14ac:dyDescent="0.25">
      <c r="A101" s="26">
        <v>10360003</v>
      </c>
      <c r="B101" s="29" t="s">
        <v>75</v>
      </c>
      <c r="C101" s="31">
        <v>75888.17</v>
      </c>
      <c r="D101" s="1" t="str">
        <f>IF(COUNTIFS(Table1[ID],Table1[[#This Row],[ID]],Table1[Detail Account],"&lt;&gt;"&amp;Table1[[#This Row],[Detail Account]])=0,"OKAY","Investigate")</f>
        <v>OKAY</v>
      </c>
      <c r="E101" s="15" t="str">
        <f>IF(COUNTA(Table1[[#This Row],[ID]:[Amount]])&lt;&gt;3,"Investigate","OKAY")</f>
        <v>OKAY</v>
      </c>
      <c r="F101" s="22" t="str">
        <f>IF(COUNTIF(Table1[[#This Row],[Account number not unique]:[Incomplete data]],"Investigate")&gt;0,"errors noted","OKAY")</f>
        <v>OKAY</v>
      </c>
    </row>
    <row r="102" spans="1:6" ht="13" x14ac:dyDescent="0.25">
      <c r="A102" s="26">
        <v>10360004</v>
      </c>
      <c r="B102" s="29" t="s">
        <v>76</v>
      </c>
      <c r="C102" s="31">
        <v>0</v>
      </c>
      <c r="D102" s="1" t="str">
        <f>IF(COUNTIFS(Table1[ID],Table1[[#This Row],[ID]],Table1[Detail Account],"&lt;&gt;"&amp;Table1[[#This Row],[Detail Account]])=0,"OKAY","Investigate")</f>
        <v>OKAY</v>
      </c>
      <c r="E102" s="15" t="str">
        <f>IF(COUNTA(Table1[[#This Row],[ID]:[Amount]])&lt;&gt;3,"Investigate","OKAY")</f>
        <v>OKAY</v>
      </c>
      <c r="F102" s="22" t="str">
        <f>IF(COUNTIF(Table1[[#This Row],[Account number not unique]:[Incomplete data]],"Investigate")&gt;0,"errors noted","OKAY")</f>
        <v>OKAY</v>
      </c>
    </row>
    <row r="103" spans="1:6" ht="13" x14ac:dyDescent="0.25">
      <c r="A103" s="26">
        <v>10361001</v>
      </c>
      <c r="B103" s="29" t="s">
        <v>77</v>
      </c>
      <c r="C103" s="31">
        <v>4835.4799999999996</v>
      </c>
      <c r="D103" s="1" t="str">
        <f>IF(COUNTIFS(Table1[ID],Table1[[#This Row],[ID]],Table1[Detail Account],"&lt;&gt;"&amp;Table1[[#This Row],[Detail Account]])=0,"OKAY","Investigate")</f>
        <v>OKAY</v>
      </c>
      <c r="E103" s="15" t="str">
        <f>IF(COUNTA(Table1[[#This Row],[ID]:[Amount]])&lt;&gt;3,"Investigate","OKAY")</f>
        <v>OKAY</v>
      </c>
      <c r="F103" s="22" t="str">
        <f>IF(COUNTIF(Table1[[#This Row],[Account number not unique]:[Incomplete data]],"Investigate")&gt;0,"errors noted","OKAY")</f>
        <v>OKAY</v>
      </c>
    </row>
    <row r="104" spans="1:6" ht="13" x14ac:dyDescent="0.25">
      <c r="A104" s="26">
        <v>10361003</v>
      </c>
      <c r="B104" s="29" t="s">
        <v>78</v>
      </c>
      <c r="C104" s="31">
        <v>551.08000000000004</v>
      </c>
      <c r="D104" s="1" t="str">
        <f>IF(COUNTIFS(Table1[ID],Table1[[#This Row],[ID]],Table1[Detail Account],"&lt;&gt;"&amp;Table1[[#This Row],[Detail Account]])=0,"OKAY","Investigate")</f>
        <v>OKAY</v>
      </c>
      <c r="E104" s="15" t="str">
        <f>IF(COUNTA(Table1[[#This Row],[ID]:[Amount]])&lt;&gt;3,"Investigate","OKAY")</f>
        <v>OKAY</v>
      </c>
      <c r="F104" s="22" t="str">
        <f>IF(COUNTIF(Table1[[#This Row],[Account number not unique]:[Incomplete data]],"Investigate")&gt;0,"errors noted","OKAY")</f>
        <v>OKAY</v>
      </c>
    </row>
    <row r="105" spans="1:6" ht="13" x14ac:dyDescent="0.25">
      <c r="A105" s="26">
        <v>10362003</v>
      </c>
      <c r="B105" s="29" t="s">
        <v>79</v>
      </c>
      <c r="C105" s="31">
        <v>15267.07</v>
      </c>
      <c r="D105" s="1" t="str">
        <f>IF(COUNTIFS(Table1[ID],Table1[[#This Row],[ID]],Table1[Detail Account],"&lt;&gt;"&amp;Table1[[#This Row],[Detail Account]])=0,"OKAY","Investigate")</f>
        <v>OKAY</v>
      </c>
      <c r="E105" s="15" t="str">
        <f>IF(COUNTA(Table1[[#This Row],[ID]:[Amount]])&lt;&gt;3,"Investigate","OKAY")</f>
        <v>OKAY</v>
      </c>
      <c r="F105" s="22" t="str">
        <f>IF(COUNTIF(Table1[[#This Row],[Account number not unique]:[Incomplete data]],"Investigate")&gt;0,"errors noted","OKAY")</f>
        <v>OKAY</v>
      </c>
    </row>
    <row r="106" spans="1:6" ht="13" x14ac:dyDescent="0.25">
      <c r="A106" s="26">
        <v>10363001</v>
      </c>
      <c r="B106" s="29" t="s">
        <v>80</v>
      </c>
      <c r="C106" s="31">
        <v>280111.65000000002</v>
      </c>
      <c r="D106" s="1" t="str">
        <f>IF(COUNTIFS(Table1[ID],Table1[[#This Row],[ID]],Table1[Detail Account],"&lt;&gt;"&amp;Table1[[#This Row],[Detail Account]])=0,"OKAY","Investigate")</f>
        <v>OKAY</v>
      </c>
      <c r="E106" s="15" t="str">
        <f>IF(COUNTA(Table1[[#This Row],[ID]:[Amount]])&lt;&gt;3,"Investigate","OKAY")</f>
        <v>OKAY</v>
      </c>
      <c r="F106" s="22" t="str">
        <f>IF(COUNTIF(Table1[[#This Row],[Account number not unique]:[Incomplete data]],"Investigate")&gt;0,"errors noted","OKAY")</f>
        <v>OKAY</v>
      </c>
    </row>
    <row r="107" spans="1:6" ht="13" x14ac:dyDescent="0.25">
      <c r="A107" s="26">
        <v>10364001</v>
      </c>
      <c r="B107" s="29" t="s">
        <v>81</v>
      </c>
      <c r="C107" s="31">
        <v>0</v>
      </c>
      <c r="D107" s="1" t="str">
        <f>IF(COUNTIFS(Table1[ID],Table1[[#This Row],[ID]],Table1[Detail Account],"&lt;&gt;"&amp;Table1[[#This Row],[Detail Account]])=0,"OKAY","Investigate")</f>
        <v>OKAY</v>
      </c>
      <c r="E107" s="15" t="str">
        <f>IF(COUNTA(Table1[[#This Row],[ID]:[Amount]])&lt;&gt;3,"Investigate","OKAY")</f>
        <v>OKAY</v>
      </c>
      <c r="F107" s="22" t="str">
        <f>IF(COUNTIF(Table1[[#This Row],[Account number not unique]:[Incomplete data]],"Investigate")&gt;0,"errors noted","OKAY")</f>
        <v>OKAY</v>
      </c>
    </row>
    <row r="108" spans="1:6" ht="13" x14ac:dyDescent="0.25">
      <c r="A108" s="26">
        <v>10364003</v>
      </c>
      <c r="B108" s="29" t="s">
        <v>82</v>
      </c>
      <c r="C108" s="31">
        <v>0</v>
      </c>
      <c r="D108" s="1" t="str">
        <f>IF(COUNTIFS(Table1[ID],Table1[[#This Row],[ID]],Table1[Detail Account],"&lt;&gt;"&amp;Table1[[#This Row],[Detail Account]])=0,"OKAY","Investigate")</f>
        <v>OKAY</v>
      </c>
      <c r="E108" s="15" t="str">
        <f>IF(COUNTA(Table1[[#This Row],[ID]:[Amount]])&lt;&gt;3,"Investigate","OKAY")</f>
        <v>OKAY</v>
      </c>
      <c r="F108" s="22" t="str">
        <f>IF(COUNTIF(Table1[[#This Row],[Account number not unique]:[Incomplete data]],"Investigate")&gt;0,"errors noted","OKAY")</f>
        <v>OKAY</v>
      </c>
    </row>
    <row r="109" spans="1:6" ht="13" x14ac:dyDescent="0.25">
      <c r="A109" s="26">
        <v>10364004</v>
      </c>
      <c r="B109" s="29" t="s">
        <v>83</v>
      </c>
      <c r="C109" s="31">
        <v>0</v>
      </c>
      <c r="D109" s="1" t="str">
        <f>IF(COUNTIFS(Table1[ID],Table1[[#This Row],[ID]],Table1[Detail Account],"&lt;&gt;"&amp;Table1[[#This Row],[Detail Account]])=0,"OKAY","Investigate")</f>
        <v>OKAY</v>
      </c>
      <c r="E109" s="15" t="str">
        <f>IF(COUNTA(Table1[[#This Row],[ID]:[Amount]])&lt;&gt;3,"Investigate","OKAY")</f>
        <v>OKAY</v>
      </c>
      <c r="F109" s="22" t="str">
        <f>IF(COUNTIF(Table1[[#This Row],[Account number not unique]:[Incomplete data]],"Investigate")&gt;0,"errors noted","OKAY")</f>
        <v>OKAY</v>
      </c>
    </row>
    <row r="110" spans="1:6" ht="13" x14ac:dyDescent="0.25">
      <c r="A110" s="26">
        <v>10367001</v>
      </c>
      <c r="B110" s="29" t="s">
        <v>84</v>
      </c>
      <c r="C110" s="31">
        <v>0.06</v>
      </c>
      <c r="D110" s="1" t="str">
        <f>IF(COUNTIFS(Table1[ID],Table1[[#This Row],[ID]],Table1[Detail Account],"&lt;&gt;"&amp;Table1[[#This Row],[Detail Account]])=0,"OKAY","Investigate")</f>
        <v>OKAY</v>
      </c>
      <c r="E110" s="15" t="str">
        <f>IF(COUNTA(Table1[[#This Row],[ID]:[Amount]])&lt;&gt;3,"Investigate","OKAY")</f>
        <v>OKAY</v>
      </c>
      <c r="F110" s="22" t="str">
        <f>IF(COUNTIF(Table1[[#This Row],[Account number not unique]:[Incomplete data]],"Investigate")&gt;0,"errors noted","OKAY")</f>
        <v>OKAY</v>
      </c>
    </row>
    <row r="111" spans="1:6" ht="13" x14ac:dyDescent="0.25">
      <c r="A111" s="26">
        <v>20100001</v>
      </c>
      <c r="B111" s="29" t="s">
        <v>85</v>
      </c>
      <c r="C111" s="31">
        <v>-168620.45</v>
      </c>
      <c r="D111" s="1" t="str">
        <f>IF(COUNTIFS(Table1[ID],Table1[[#This Row],[ID]],Table1[Detail Account],"&lt;&gt;"&amp;Table1[[#This Row],[Detail Account]])=0,"OKAY","Investigate")</f>
        <v>OKAY</v>
      </c>
      <c r="E111" s="15" t="str">
        <f>IF(COUNTA(Table1[[#This Row],[ID]:[Amount]])&lt;&gt;3,"Investigate","OKAY")</f>
        <v>OKAY</v>
      </c>
      <c r="F111" s="22" t="str">
        <f>IF(COUNTIF(Table1[[#This Row],[Account number not unique]:[Incomplete data]],"Investigate")&gt;0,"errors noted","OKAY")</f>
        <v>OKAY</v>
      </c>
    </row>
    <row r="112" spans="1:6" ht="13" x14ac:dyDescent="0.25">
      <c r="A112" s="26">
        <v>20100002</v>
      </c>
      <c r="B112" s="29" t="s">
        <v>86</v>
      </c>
      <c r="C112" s="31">
        <v>0</v>
      </c>
      <c r="D112" s="1" t="str">
        <f>IF(COUNTIFS(Table1[ID],Table1[[#This Row],[ID]],Table1[Detail Account],"&lt;&gt;"&amp;Table1[[#This Row],[Detail Account]])=0,"OKAY","Investigate")</f>
        <v>OKAY</v>
      </c>
      <c r="E112" s="15" t="str">
        <f>IF(COUNTA(Table1[[#This Row],[ID]:[Amount]])&lt;&gt;3,"Investigate","OKAY")</f>
        <v>OKAY</v>
      </c>
      <c r="F112" s="22" t="str">
        <f>IF(COUNTIF(Table1[[#This Row],[Account number not unique]:[Incomplete data]],"Investigate")&gt;0,"errors noted","OKAY")</f>
        <v>OKAY</v>
      </c>
    </row>
    <row r="113" spans="1:6" ht="13" x14ac:dyDescent="0.25">
      <c r="A113" s="26">
        <v>20100003</v>
      </c>
      <c r="B113" s="29" t="s">
        <v>87</v>
      </c>
      <c r="C113" s="31">
        <v>-819451.01</v>
      </c>
      <c r="D113" s="1" t="str">
        <f>IF(COUNTIFS(Table1[ID],Table1[[#This Row],[ID]],Table1[Detail Account],"&lt;&gt;"&amp;Table1[[#This Row],[Detail Account]])=0,"OKAY","Investigate")</f>
        <v>OKAY</v>
      </c>
      <c r="E113" s="15" t="str">
        <f>IF(COUNTA(Table1[[#This Row],[ID]:[Amount]])&lt;&gt;3,"Investigate","OKAY")</f>
        <v>OKAY</v>
      </c>
      <c r="F113" s="22" t="str">
        <f>IF(COUNTIF(Table1[[#This Row],[Account number not unique]:[Incomplete data]],"Investigate")&gt;0,"errors noted","OKAY")</f>
        <v>OKAY</v>
      </c>
    </row>
    <row r="114" spans="1:6" ht="13" x14ac:dyDescent="0.25">
      <c r="A114" s="26">
        <v>20100004</v>
      </c>
      <c r="B114" s="29" t="s">
        <v>88</v>
      </c>
      <c r="C114" s="31">
        <v>-589197.48</v>
      </c>
      <c r="D114" s="1" t="str">
        <f>IF(COUNTIFS(Table1[ID],Table1[[#This Row],[ID]],Table1[Detail Account],"&lt;&gt;"&amp;Table1[[#This Row],[Detail Account]])=0,"OKAY","Investigate")</f>
        <v>OKAY</v>
      </c>
      <c r="E114" s="15" t="str">
        <f>IF(COUNTA(Table1[[#This Row],[ID]:[Amount]])&lt;&gt;3,"Investigate","OKAY")</f>
        <v>OKAY</v>
      </c>
      <c r="F114" s="22" t="str">
        <f>IF(COUNTIF(Table1[[#This Row],[Account number not unique]:[Incomplete data]],"Investigate")&gt;0,"errors noted","OKAY")</f>
        <v>OKAY</v>
      </c>
    </row>
    <row r="115" spans="1:6" ht="13" x14ac:dyDescent="0.25">
      <c r="A115" s="26">
        <v>20100005</v>
      </c>
      <c r="B115" s="29" t="s">
        <v>89</v>
      </c>
      <c r="C115" s="31">
        <v>-15585.06</v>
      </c>
      <c r="D115" s="1" t="str">
        <f>IF(COUNTIFS(Table1[ID],Table1[[#This Row],[ID]],Table1[Detail Account],"&lt;&gt;"&amp;Table1[[#This Row],[Detail Account]])=0,"OKAY","Investigate")</f>
        <v>OKAY</v>
      </c>
      <c r="E115" s="15" t="str">
        <f>IF(COUNTA(Table1[[#This Row],[ID]:[Amount]])&lt;&gt;3,"Investigate","OKAY")</f>
        <v>OKAY</v>
      </c>
      <c r="F115" s="22" t="str">
        <f>IF(COUNTIF(Table1[[#This Row],[Account number not unique]:[Incomplete data]],"Investigate")&gt;0,"errors noted","OKAY")</f>
        <v>OKAY</v>
      </c>
    </row>
    <row r="116" spans="1:6" ht="13" x14ac:dyDescent="0.25">
      <c r="A116" s="26">
        <v>20100006</v>
      </c>
      <c r="B116" s="29" t="s">
        <v>90</v>
      </c>
      <c r="C116" s="31">
        <v>0</v>
      </c>
      <c r="D116" s="1" t="str">
        <f>IF(COUNTIFS(Table1[ID],Table1[[#This Row],[ID]],Table1[Detail Account],"&lt;&gt;"&amp;Table1[[#This Row],[Detail Account]])=0,"OKAY","Investigate")</f>
        <v>OKAY</v>
      </c>
      <c r="E116" s="15" t="str">
        <f>IF(COUNTA(Table1[[#This Row],[ID]:[Amount]])&lt;&gt;3,"Investigate","OKAY")</f>
        <v>OKAY</v>
      </c>
      <c r="F116" s="22" t="str">
        <f>IF(COUNTIF(Table1[[#This Row],[Account number not unique]:[Incomplete data]],"Investigate")&gt;0,"errors noted","OKAY")</f>
        <v>OKAY</v>
      </c>
    </row>
    <row r="117" spans="1:6" ht="13" x14ac:dyDescent="0.25">
      <c r="A117" s="26">
        <v>20100007</v>
      </c>
      <c r="B117" s="29" t="s">
        <v>91</v>
      </c>
      <c r="C117" s="31">
        <v>-138136.41</v>
      </c>
      <c r="D117" s="1" t="str">
        <f>IF(COUNTIFS(Table1[ID],Table1[[#This Row],[ID]],Table1[Detail Account],"&lt;&gt;"&amp;Table1[[#This Row],[Detail Account]])=0,"OKAY","Investigate")</f>
        <v>OKAY</v>
      </c>
      <c r="E117" s="15" t="str">
        <f>IF(COUNTA(Table1[[#This Row],[ID]:[Amount]])&lt;&gt;3,"Investigate","OKAY")</f>
        <v>OKAY</v>
      </c>
      <c r="F117" s="22" t="str">
        <f>IF(COUNTIF(Table1[[#This Row],[Account number not unique]:[Incomplete data]],"Investigate")&gt;0,"errors noted","OKAY")</f>
        <v>OKAY</v>
      </c>
    </row>
    <row r="118" spans="1:6" ht="13" x14ac:dyDescent="0.25">
      <c r="A118" s="26">
        <v>20100008</v>
      </c>
      <c r="B118" s="29" t="s">
        <v>92</v>
      </c>
      <c r="C118" s="31">
        <v>-184089.58</v>
      </c>
      <c r="D118" s="1" t="str">
        <f>IF(COUNTIFS(Table1[ID],Table1[[#This Row],[ID]],Table1[Detail Account],"&lt;&gt;"&amp;Table1[[#This Row],[Detail Account]])=0,"OKAY","Investigate")</f>
        <v>OKAY</v>
      </c>
      <c r="E118" s="15" t="str">
        <f>IF(COUNTA(Table1[[#This Row],[ID]:[Amount]])&lt;&gt;3,"Investigate","OKAY")</f>
        <v>OKAY</v>
      </c>
      <c r="F118" s="22" t="str">
        <f>IF(COUNTIF(Table1[[#This Row],[Account number not unique]:[Incomplete data]],"Investigate")&gt;0,"errors noted","OKAY")</f>
        <v>OKAY</v>
      </c>
    </row>
    <row r="119" spans="1:6" ht="13" x14ac:dyDescent="0.25">
      <c r="A119" s="26">
        <v>20100009</v>
      </c>
      <c r="B119" s="29" t="s">
        <v>93</v>
      </c>
      <c r="C119" s="31">
        <v>-234358.47</v>
      </c>
      <c r="D119" s="1" t="str">
        <f>IF(COUNTIFS(Table1[ID],Table1[[#This Row],[ID]],Table1[Detail Account],"&lt;&gt;"&amp;Table1[[#This Row],[Detail Account]])=0,"OKAY","Investigate")</f>
        <v>OKAY</v>
      </c>
      <c r="E119" s="15" t="str">
        <f>IF(COUNTA(Table1[[#This Row],[ID]:[Amount]])&lt;&gt;3,"Investigate","OKAY")</f>
        <v>OKAY</v>
      </c>
      <c r="F119" s="22" t="str">
        <f>IF(COUNTIF(Table1[[#This Row],[Account number not unique]:[Incomplete data]],"Investigate")&gt;0,"errors noted","OKAY")</f>
        <v>OKAY</v>
      </c>
    </row>
    <row r="120" spans="1:6" ht="13" x14ac:dyDescent="0.25">
      <c r="A120" s="26">
        <v>20100010</v>
      </c>
      <c r="B120" s="29" t="s">
        <v>94</v>
      </c>
      <c r="C120" s="31">
        <v>0</v>
      </c>
      <c r="D120" s="1" t="str">
        <f>IF(COUNTIFS(Table1[ID],Table1[[#This Row],[ID]],Table1[Detail Account],"&lt;&gt;"&amp;Table1[[#This Row],[Detail Account]])=0,"OKAY","Investigate")</f>
        <v>OKAY</v>
      </c>
      <c r="E120" s="15" t="str">
        <f>IF(COUNTA(Table1[[#This Row],[ID]:[Amount]])&lt;&gt;3,"Investigate","OKAY")</f>
        <v>OKAY</v>
      </c>
      <c r="F120" s="22" t="str">
        <f>IF(COUNTIF(Table1[[#This Row],[Account number not unique]:[Incomplete data]],"Investigate")&gt;0,"errors noted","OKAY")</f>
        <v>OKAY</v>
      </c>
    </row>
    <row r="121" spans="1:6" ht="13" x14ac:dyDescent="0.25">
      <c r="A121" s="26">
        <v>20100012</v>
      </c>
      <c r="B121" s="29" t="s">
        <v>294</v>
      </c>
      <c r="C121" s="31">
        <v>0</v>
      </c>
      <c r="D121" s="1" t="str">
        <f>IF(COUNTIFS(Table1[ID],Table1[[#This Row],[ID]],Table1[Detail Account],"&lt;&gt;"&amp;Table1[[#This Row],[Detail Account]])=0,"OKAY","Investigate")</f>
        <v>OKAY</v>
      </c>
      <c r="E121" s="15" t="str">
        <f>IF(COUNTA(Table1[[#This Row],[ID]:[Amount]])&lt;&gt;3,"Investigate","OKAY")</f>
        <v>OKAY</v>
      </c>
      <c r="F121" s="22" t="str">
        <f>IF(COUNTIF(Table1[[#This Row],[Account number not unique]:[Incomplete data]],"Investigate")&gt;0,"errors noted","OKAY")</f>
        <v>OKAY</v>
      </c>
    </row>
    <row r="122" spans="1:6" ht="13" x14ac:dyDescent="0.25">
      <c r="A122" s="26">
        <v>20100013</v>
      </c>
      <c r="B122" s="29" t="s">
        <v>95</v>
      </c>
      <c r="C122" s="31">
        <v>-287728.48</v>
      </c>
      <c r="D122" s="1" t="str">
        <f>IF(COUNTIFS(Table1[ID],Table1[[#This Row],[ID]],Table1[Detail Account],"&lt;&gt;"&amp;Table1[[#This Row],[Detail Account]])=0,"OKAY","Investigate")</f>
        <v>OKAY</v>
      </c>
      <c r="E122" s="15" t="str">
        <f>IF(COUNTA(Table1[[#This Row],[ID]:[Amount]])&lt;&gt;3,"Investigate","OKAY")</f>
        <v>OKAY</v>
      </c>
      <c r="F122" s="22" t="str">
        <f>IF(COUNTIF(Table1[[#This Row],[Account number not unique]:[Incomplete data]],"Investigate")&gt;0,"errors noted","OKAY")</f>
        <v>OKAY</v>
      </c>
    </row>
    <row r="123" spans="1:6" ht="13" x14ac:dyDescent="0.25">
      <c r="A123" s="26">
        <v>20100015</v>
      </c>
      <c r="B123" s="29" t="s">
        <v>295</v>
      </c>
      <c r="C123" s="31">
        <v>0</v>
      </c>
      <c r="D123" s="1" t="str">
        <f>IF(COUNTIFS(Table1[ID],Table1[[#This Row],[ID]],Table1[Detail Account],"&lt;&gt;"&amp;Table1[[#This Row],[Detail Account]])=0,"OKAY","Investigate")</f>
        <v>OKAY</v>
      </c>
      <c r="E123" s="15" t="str">
        <f>IF(COUNTA(Table1[[#This Row],[ID]:[Amount]])&lt;&gt;3,"Investigate","OKAY")</f>
        <v>OKAY</v>
      </c>
      <c r="F123" s="22" t="str">
        <f>IF(COUNTIF(Table1[[#This Row],[Account number not unique]:[Incomplete data]],"Investigate")&gt;0,"errors noted","OKAY")</f>
        <v>OKAY</v>
      </c>
    </row>
    <row r="124" spans="1:6" ht="13" x14ac:dyDescent="0.25">
      <c r="A124" s="26">
        <v>20100016</v>
      </c>
      <c r="B124" s="29" t="s">
        <v>96</v>
      </c>
      <c r="C124" s="31">
        <v>0</v>
      </c>
      <c r="D124" s="1" t="str">
        <f>IF(COUNTIFS(Table1[ID],Table1[[#This Row],[ID]],Table1[Detail Account],"&lt;&gt;"&amp;Table1[[#This Row],[Detail Account]])=0,"OKAY","Investigate")</f>
        <v>OKAY</v>
      </c>
      <c r="E124" s="15" t="str">
        <f>IF(COUNTA(Table1[[#This Row],[ID]:[Amount]])&lt;&gt;3,"Investigate","OKAY")</f>
        <v>OKAY</v>
      </c>
      <c r="F124" s="22" t="str">
        <f>IF(COUNTIF(Table1[[#This Row],[Account number not unique]:[Incomplete data]],"Investigate")&gt;0,"errors noted","OKAY")</f>
        <v>OKAY</v>
      </c>
    </row>
    <row r="125" spans="1:6" ht="13" x14ac:dyDescent="0.25">
      <c r="A125" s="26">
        <v>20120001</v>
      </c>
      <c r="B125" s="29" t="s">
        <v>296</v>
      </c>
      <c r="C125" s="31">
        <v>0</v>
      </c>
      <c r="D125" s="1" t="str">
        <f>IF(COUNTIFS(Table1[ID],Table1[[#This Row],[ID]],Table1[Detail Account],"&lt;&gt;"&amp;Table1[[#This Row],[Detail Account]])=0,"OKAY","Investigate")</f>
        <v>OKAY</v>
      </c>
      <c r="E125" s="15" t="str">
        <f>IF(COUNTA(Table1[[#This Row],[ID]:[Amount]])&lt;&gt;3,"Investigate","OKAY")</f>
        <v>OKAY</v>
      </c>
      <c r="F125" s="22" t="str">
        <f>IF(COUNTIF(Table1[[#This Row],[Account number not unique]:[Incomplete data]],"Investigate")&gt;0,"errors noted","OKAY")</f>
        <v>OKAY</v>
      </c>
    </row>
    <row r="126" spans="1:6" ht="13" x14ac:dyDescent="0.25">
      <c r="A126" s="26">
        <v>20121001</v>
      </c>
      <c r="B126" s="29" t="s">
        <v>97</v>
      </c>
      <c r="C126" s="31">
        <v>-907077</v>
      </c>
      <c r="D126" s="1" t="str">
        <f>IF(COUNTIFS(Table1[ID],Table1[[#This Row],[ID]],Table1[Detail Account],"&lt;&gt;"&amp;Table1[[#This Row],[Detail Account]])=0,"OKAY","Investigate")</f>
        <v>OKAY</v>
      </c>
      <c r="E126" s="15" t="str">
        <f>IF(COUNTA(Table1[[#This Row],[ID]:[Amount]])&lt;&gt;3,"Investigate","OKAY")</f>
        <v>OKAY</v>
      </c>
      <c r="F126" s="22" t="str">
        <f>IF(COUNTIF(Table1[[#This Row],[Account number not unique]:[Incomplete data]],"Investigate")&gt;0,"errors noted","OKAY")</f>
        <v>OKAY</v>
      </c>
    </row>
    <row r="127" spans="1:6" ht="13" x14ac:dyDescent="0.25">
      <c r="A127" s="26">
        <v>20122009</v>
      </c>
      <c r="B127" s="29" t="s">
        <v>297</v>
      </c>
      <c r="C127" s="31">
        <v>-1439843.73</v>
      </c>
      <c r="D127" s="1" t="str">
        <f>IF(COUNTIFS(Table1[ID],Table1[[#This Row],[ID]],Table1[Detail Account],"&lt;&gt;"&amp;Table1[[#This Row],[Detail Account]])=0,"OKAY","Investigate")</f>
        <v>OKAY</v>
      </c>
      <c r="E127" s="15" t="str">
        <f>IF(COUNTA(Table1[[#This Row],[ID]:[Amount]])&lt;&gt;3,"Investigate","OKAY")</f>
        <v>OKAY</v>
      </c>
      <c r="F127" s="22" t="str">
        <f>IF(COUNTIF(Table1[[#This Row],[Account number not unique]:[Incomplete data]],"Investigate")&gt;0,"errors noted","OKAY")</f>
        <v>OKAY</v>
      </c>
    </row>
    <row r="128" spans="1:6" ht="13" x14ac:dyDescent="0.25">
      <c r="A128" s="26">
        <v>20122010</v>
      </c>
      <c r="B128" s="29" t="s">
        <v>298</v>
      </c>
      <c r="C128" s="31">
        <v>-239691.11</v>
      </c>
      <c r="D128" s="1" t="str">
        <f>IF(COUNTIFS(Table1[ID],Table1[[#This Row],[ID]],Table1[Detail Account],"&lt;&gt;"&amp;Table1[[#This Row],[Detail Account]])=0,"OKAY","Investigate")</f>
        <v>OKAY</v>
      </c>
      <c r="E128" s="15" t="str">
        <f>IF(COUNTA(Table1[[#This Row],[ID]:[Amount]])&lt;&gt;3,"Investigate","OKAY")</f>
        <v>OKAY</v>
      </c>
      <c r="F128" s="22" t="str">
        <f>IF(COUNTIF(Table1[[#This Row],[Account number not unique]:[Incomplete data]],"Investigate")&gt;0,"errors noted","OKAY")</f>
        <v>OKAY</v>
      </c>
    </row>
    <row r="129" spans="1:6" ht="13" x14ac:dyDescent="0.25">
      <c r="A129" s="26">
        <v>20124004</v>
      </c>
      <c r="B129" s="29" t="s">
        <v>98</v>
      </c>
      <c r="C129" s="31">
        <v>0</v>
      </c>
      <c r="D129" s="1" t="str">
        <f>IF(COUNTIFS(Table1[ID],Table1[[#This Row],[ID]],Table1[Detail Account],"&lt;&gt;"&amp;Table1[[#This Row],[Detail Account]])=0,"OKAY","Investigate")</f>
        <v>OKAY</v>
      </c>
      <c r="E129" s="15" t="str">
        <f>IF(COUNTA(Table1[[#This Row],[ID]:[Amount]])&lt;&gt;3,"Investigate","OKAY")</f>
        <v>OKAY</v>
      </c>
      <c r="F129" s="22" t="str">
        <f>IF(COUNTIF(Table1[[#This Row],[Account number not unique]:[Incomplete data]],"Investigate")&gt;0,"errors noted","OKAY")</f>
        <v>OKAY</v>
      </c>
    </row>
    <row r="130" spans="1:6" ht="13" x14ac:dyDescent="0.25">
      <c r="A130" s="26">
        <v>20124006</v>
      </c>
      <c r="B130" s="29" t="s">
        <v>99</v>
      </c>
      <c r="C130" s="31">
        <v>-230716.89</v>
      </c>
      <c r="D130" s="1" t="str">
        <f>IF(COUNTIFS(Table1[ID],Table1[[#This Row],[ID]],Table1[Detail Account],"&lt;&gt;"&amp;Table1[[#This Row],[Detail Account]])=0,"OKAY","Investigate")</f>
        <v>OKAY</v>
      </c>
      <c r="E130" s="15" t="str">
        <f>IF(COUNTA(Table1[[#This Row],[ID]:[Amount]])&lt;&gt;3,"Investigate","OKAY")</f>
        <v>OKAY</v>
      </c>
      <c r="F130" s="22" t="str">
        <f>IF(COUNTIF(Table1[[#This Row],[Account number not unique]:[Incomplete data]],"Investigate")&gt;0,"errors noted","OKAY")</f>
        <v>OKAY</v>
      </c>
    </row>
    <row r="131" spans="1:6" ht="13" x14ac:dyDescent="0.25">
      <c r="A131" s="26">
        <v>20130001</v>
      </c>
      <c r="B131" s="29" t="s">
        <v>100</v>
      </c>
      <c r="C131" s="31">
        <v>-1040987.75</v>
      </c>
      <c r="D131" s="1" t="str">
        <f>IF(COUNTIFS(Table1[ID],Table1[[#This Row],[ID]],Table1[Detail Account],"&lt;&gt;"&amp;Table1[[#This Row],[Detail Account]])=0,"OKAY","Investigate")</f>
        <v>OKAY</v>
      </c>
      <c r="E131" s="15" t="str">
        <f>IF(COUNTA(Table1[[#This Row],[ID]:[Amount]])&lt;&gt;3,"Investigate","OKAY")</f>
        <v>OKAY</v>
      </c>
      <c r="F131" s="22" t="str">
        <f>IF(COUNTIF(Table1[[#This Row],[Account number not unique]:[Incomplete data]],"Investigate")&gt;0,"errors noted","OKAY")</f>
        <v>OKAY</v>
      </c>
    </row>
    <row r="132" spans="1:6" ht="13" x14ac:dyDescent="0.25">
      <c r="A132" s="26">
        <v>20130004</v>
      </c>
      <c r="B132" s="29" t="s">
        <v>101</v>
      </c>
      <c r="C132" s="31">
        <v>-8683.02</v>
      </c>
      <c r="D132" s="1" t="str">
        <f>IF(COUNTIFS(Table1[ID],Table1[[#This Row],[ID]],Table1[Detail Account],"&lt;&gt;"&amp;Table1[[#This Row],[Detail Account]])=0,"OKAY","Investigate")</f>
        <v>OKAY</v>
      </c>
      <c r="E132" s="15" t="str">
        <f>IF(COUNTA(Table1[[#This Row],[ID]:[Amount]])&lt;&gt;3,"Investigate","OKAY")</f>
        <v>OKAY</v>
      </c>
      <c r="F132" s="22" t="str">
        <f>IF(COUNTIF(Table1[[#This Row],[Account number not unique]:[Incomplete data]],"Investigate")&gt;0,"errors noted","OKAY")</f>
        <v>OKAY</v>
      </c>
    </row>
    <row r="133" spans="1:6" ht="13" x14ac:dyDescent="0.25">
      <c r="A133" s="26">
        <v>20130007</v>
      </c>
      <c r="B133" s="29" t="s">
        <v>102</v>
      </c>
      <c r="C133" s="31">
        <v>-98192.06</v>
      </c>
      <c r="D133" s="1" t="str">
        <f>IF(COUNTIFS(Table1[ID],Table1[[#This Row],[ID]],Table1[Detail Account],"&lt;&gt;"&amp;Table1[[#This Row],[Detail Account]])=0,"OKAY","Investigate")</f>
        <v>OKAY</v>
      </c>
      <c r="E133" s="15" t="str">
        <f>IF(COUNTA(Table1[[#This Row],[ID]:[Amount]])&lt;&gt;3,"Investigate","OKAY")</f>
        <v>OKAY</v>
      </c>
      <c r="F133" s="22" t="str">
        <f>IF(COUNTIF(Table1[[#This Row],[Account number not unique]:[Incomplete data]],"Investigate")&gt;0,"errors noted","OKAY")</f>
        <v>OKAY</v>
      </c>
    </row>
    <row r="134" spans="1:6" ht="13" x14ac:dyDescent="0.25">
      <c r="A134" s="26">
        <v>20130009</v>
      </c>
      <c r="B134" s="29" t="s">
        <v>103</v>
      </c>
      <c r="C134" s="31">
        <v>-3682.1</v>
      </c>
      <c r="D134" s="1" t="str">
        <f>IF(COUNTIFS(Table1[ID],Table1[[#This Row],[ID]],Table1[Detail Account],"&lt;&gt;"&amp;Table1[[#This Row],[Detail Account]])=0,"OKAY","Investigate")</f>
        <v>OKAY</v>
      </c>
      <c r="E134" s="15" t="str">
        <f>IF(COUNTA(Table1[[#This Row],[ID]:[Amount]])&lt;&gt;3,"Investigate","OKAY")</f>
        <v>OKAY</v>
      </c>
      <c r="F134" s="22" t="str">
        <f>IF(COUNTIF(Table1[[#This Row],[Account number not unique]:[Incomplete data]],"Investigate")&gt;0,"errors noted","OKAY")</f>
        <v>OKAY</v>
      </c>
    </row>
    <row r="135" spans="1:6" ht="13" x14ac:dyDescent="0.25">
      <c r="A135" s="26">
        <v>20130010</v>
      </c>
      <c r="B135" s="29" t="s">
        <v>104</v>
      </c>
      <c r="C135" s="31">
        <v>-3451.82</v>
      </c>
      <c r="D135" s="1" t="str">
        <f>IF(COUNTIFS(Table1[ID],Table1[[#This Row],[ID]],Table1[Detail Account],"&lt;&gt;"&amp;Table1[[#This Row],[Detail Account]])=0,"OKAY","Investigate")</f>
        <v>OKAY</v>
      </c>
      <c r="E135" s="15" t="str">
        <f>IF(COUNTA(Table1[[#This Row],[ID]:[Amount]])&lt;&gt;3,"Investigate","OKAY")</f>
        <v>OKAY</v>
      </c>
      <c r="F135" s="22" t="str">
        <f>IF(COUNTIF(Table1[[#This Row],[Account number not unique]:[Incomplete data]],"Investigate")&gt;0,"errors noted","OKAY")</f>
        <v>OKAY</v>
      </c>
    </row>
    <row r="136" spans="1:6" ht="13" x14ac:dyDescent="0.25">
      <c r="A136" s="26">
        <v>20130011</v>
      </c>
      <c r="B136" s="29" t="s">
        <v>105</v>
      </c>
      <c r="C136" s="31">
        <v>-48450.75</v>
      </c>
      <c r="D136" s="1" t="str">
        <f>IF(COUNTIFS(Table1[ID],Table1[[#This Row],[ID]],Table1[Detail Account],"&lt;&gt;"&amp;Table1[[#This Row],[Detail Account]])=0,"OKAY","Investigate")</f>
        <v>OKAY</v>
      </c>
      <c r="E136" s="15" t="str">
        <f>IF(COUNTA(Table1[[#This Row],[ID]:[Amount]])&lt;&gt;3,"Investigate","OKAY")</f>
        <v>OKAY</v>
      </c>
      <c r="F136" s="22" t="str">
        <f>IF(COUNTIF(Table1[[#This Row],[Account number not unique]:[Incomplete data]],"Investigate")&gt;0,"errors noted","OKAY")</f>
        <v>OKAY</v>
      </c>
    </row>
    <row r="137" spans="1:6" ht="13" x14ac:dyDescent="0.25">
      <c r="A137" s="26">
        <v>20130021</v>
      </c>
      <c r="B137" s="29" t="s">
        <v>106</v>
      </c>
      <c r="C137" s="31">
        <v>-1518201.11</v>
      </c>
      <c r="D137" s="1" t="str">
        <f>IF(COUNTIFS(Table1[ID],Table1[[#This Row],[ID]],Table1[Detail Account],"&lt;&gt;"&amp;Table1[[#This Row],[Detail Account]])=0,"OKAY","Investigate")</f>
        <v>OKAY</v>
      </c>
      <c r="E137" s="15" t="str">
        <f>IF(COUNTA(Table1[[#This Row],[ID]:[Amount]])&lt;&gt;3,"Investigate","OKAY")</f>
        <v>OKAY</v>
      </c>
      <c r="F137" s="22" t="str">
        <f>IF(COUNTIF(Table1[[#This Row],[Account number not unique]:[Incomplete data]],"Investigate")&gt;0,"errors noted","OKAY")</f>
        <v>OKAY</v>
      </c>
    </row>
    <row r="138" spans="1:6" ht="13" x14ac:dyDescent="0.25">
      <c r="A138" s="26">
        <v>20135001</v>
      </c>
      <c r="B138" s="29" t="s">
        <v>107</v>
      </c>
      <c r="C138" s="31">
        <v>-494157.89</v>
      </c>
      <c r="D138" s="1" t="str">
        <f>IF(COUNTIFS(Table1[ID],Table1[[#This Row],[ID]],Table1[Detail Account],"&lt;&gt;"&amp;Table1[[#This Row],[Detail Account]])=0,"OKAY","Investigate")</f>
        <v>OKAY</v>
      </c>
      <c r="E138" s="15" t="str">
        <f>IF(COUNTA(Table1[[#This Row],[ID]:[Amount]])&lt;&gt;3,"Investigate","OKAY")</f>
        <v>OKAY</v>
      </c>
      <c r="F138" s="22" t="str">
        <f>IF(COUNTIF(Table1[[#This Row],[Account number not unique]:[Incomplete data]],"Investigate")&gt;0,"errors noted","OKAY")</f>
        <v>OKAY</v>
      </c>
    </row>
    <row r="139" spans="1:6" ht="13" x14ac:dyDescent="0.25">
      <c r="A139" s="26">
        <v>20135002</v>
      </c>
      <c r="B139" s="29" t="s">
        <v>299</v>
      </c>
      <c r="C139" s="31">
        <v>-354010.7</v>
      </c>
      <c r="D139" s="1" t="str">
        <f>IF(COUNTIFS(Table1[ID],Table1[[#This Row],[ID]],Table1[Detail Account],"&lt;&gt;"&amp;Table1[[#This Row],[Detail Account]])=0,"OKAY","Investigate")</f>
        <v>OKAY</v>
      </c>
      <c r="E139" s="15" t="str">
        <f>IF(COUNTA(Table1[[#This Row],[ID]:[Amount]])&lt;&gt;3,"Investigate","OKAY")</f>
        <v>OKAY</v>
      </c>
      <c r="F139" s="22" t="str">
        <f>IF(COUNTIF(Table1[[#This Row],[Account number not unique]:[Incomplete data]],"Investigate")&gt;0,"errors noted","OKAY")</f>
        <v>OKAY</v>
      </c>
    </row>
    <row r="140" spans="1:6" ht="13" x14ac:dyDescent="0.25">
      <c r="A140" s="26">
        <v>20140001</v>
      </c>
      <c r="B140" s="29" t="s">
        <v>108</v>
      </c>
      <c r="C140" s="31">
        <v>0</v>
      </c>
      <c r="D140" s="1" t="str">
        <f>IF(COUNTIFS(Table1[ID],Table1[[#This Row],[ID]],Table1[Detail Account],"&lt;&gt;"&amp;Table1[[#This Row],[Detail Account]])=0,"OKAY","Investigate")</f>
        <v>OKAY</v>
      </c>
      <c r="E140" s="15" t="str">
        <f>IF(COUNTA(Table1[[#This Row],[ID]:[Amount]])&lt;&gt;3,"Investigate","OKAY")</f>
        <v>OKAY</v>
      </c>
      <c r="F140" s="22" t="str">
        <f>IF(COUNTIF(Table1[[#This Row],[Account number not unique]:[Incomplete data]],"Investigate")&gt;0,"errors noted","OKAY")</f>
        <v>OKAY</v>
      </c>
    </row>
    <row r="141" spans="1:6" ht="13" x14ac:dyDescent="0.25">
      <c r="A141" s="26">
        <v>20140002</v>
      </c>
      <c r="B141" s="29" t="s">
        <v>109</v>
      </c>
      <c r="C141" s="31">
        <v>-20924</v>
      </c>
      <c r="D141" s="1" t="str">
        <f>IF(COUNTIFS(Table1[ID],Table1[[#This Row],[ID]],Table1[Detail Account],"&lt;&gt;"&amp;Table1[[#This Row],[Detail Account]])=0,"OKAY","Investigate")</f>
        <v>OKAY</v>
      </c>
      <c r="E141" s="15" t="str">
        <f>IF(COUNTA(Table1[[#This Row],[ID]:[Amount]])&lt;&gt;3,"Investigate","OKAY")</f>
        <v>OKAY</v>
      </c>
      <c r="F141" s="22" t="str">
        <f>IF(COUNTIF(Table1[[#This Row],[Account number not unique]:[Incomplete data]],"Investigate")&gt;0,"errors noted","OKAY")</f>
        <v>OKAY</v>
      </c>
    </row>
    <row r="142" spans="1:6" ht="13" x14ac:dyDescent="0.25">
      <c r="A142" s="26">
        <v>20140004</v>
      </c>
      <c r="B142" s="29" t="s">
        <v>110</v>
      </c>
      <c r="C142" s="31">
        <v>-4124</v>
      </c>
      <c r="D142" s="1" t="str">
        <f>IF(COUNTIFS(Table1[ID],Table1[[#This Row],[ID]],Table1[Detail Account],"&lt;&gt;"&amp;Table1[[#This Row],[Detail Account]])=0,"OKAY","Investigate")</f>
        <v>OKAY</v>
      </c>
      <c r="E142" s="15" t="str">
        <f>IF(COUNTA(Table1[[#This Row],[ID]:[Amount]])&lt;&gt;3,"Investigate","OKAY")</f>
        <v>OKAY</v>
      </c>
      <c r="F142" s="22" t="str">
        <f>IF(COUNTIF(Table1[[#This Row],[Account number not unique]:[Incomplete data]],"Investigate")&gt;0,"errors noted","OKAY")</f>
        <v>OKAY</v>
      </c>
    </row>
    <row r="143" spans="1:6" ht="13" x14ac:dyDescent="0.25">
      <c r="A143" s="26">
        <v>20141001</v>
      </c>
      <c r="B143" s="29" t="s">
        <v>111</v>
      </c>
      <c r="C143" s="31">
        <v>-16621.82</v>
      </c>
      <c r="D143" s="1" t="str">
        <f>IF(COUNTIFS(Table1[ID],Table1[[#This Row],[ID]],Table1[Detail Account],"&lt;&gt;"&amp;Table1[[#This Row],[Detail Account]])=0,"OKAY","Investigate")</f>
        <v>OKAY</v>
      </c>
      <c r="E143" s="15" t="str">
        <f>IF(COUNTA(Table1[[#This Row],[ID]:[Amount]])&lt;&gt;3,"Investigate","OKAY")</f>
        <v>OKAY</v>
      </c>
      <c r="F143" s="22" t="str">
        <f>IF(COUNTIF(Table1[[#This Row],[Account number not unique]:[Incomplete data]],"Investigate")&gt;0,"errors noted","OKAY")</f>
        <v>OKAY</v>
      </c>
    </row>
    <row r="144" spans="1:6" ht="13" x14ac:dyDescent="0.25">
      <c r="A144" s="26">
        <v>20141002</v>
      </c>
      <c r="B144" s="29" t="s">
        <v>112</v>
      </c>
      <c r="C144" s="31">
        <v>-22673.79</v>
      </c>
      <c r="D144" s="1" t="str">
        <f>IF(COUNTIFS(Table1[ID],Table1[[#This Row],[ID]],Table1[Detail Account],"&lt;&gt;"&amp;Table1[[#This Row],[Detail Account]])=0,"OKAY","Investigate")</f>
        <v>OKAY</v>
      </c>
      <c r="E144" s="15" t="str">
        <f>IF(COUNTA(Table1[[#This Row],[ID]:[Amount]])&lt;&gt;3,"Investigate","OKAY")</f>
        <v>OKAY</v>
      </c>
      <c r="F144" s="22" t="str">
        <f>IF(COUNTIF(Table1[[#This Row],[Account number not unique]:[Incomplete data]],"Investigate")&gt;0,"errors noted","OKAY")</f>
        <v>OKAY</v>
      </c>
    </row>
    <row r="145" spans="1:6" ht="13" x14ac:dyDescent="0.25">
      <c r="A145" s="26">
        <v>20141003</v>
      </c>
      <c r="B145" s="29" t="s">
        <v>113</v>
      </c>
      <c r="C145" s="31">
        <v>-503.01</v>
      </c>
      <c r="D145" s="1" t="str">
        <f>IF(COUNTIFS(Table1[ID],Table1[[#This Row],[ID]],Table1[Detail Account],"&lt;&gt;"&amp;Table1[[#This Row],[Detail Account]])=0,"OKAY","Investigate")</f>
        <v>OKAY</v>
      </c>
      <c r="E145" s="15" t="str">
        <f>IF(COUNTA(Table1[[#This Row],[ID]:[Amount]])&lt;&gt;3,"Investigate","OKAY")</f>
        <v>OKAY</v>
      </c>
      <c r="F145" s="22" t="str">
        <f>IF(COUNTIF(Table1[[#This Row],[Account number not unique]:[Incomplete data]],"Investigate")&gt;0,"errors noted","OKAY")</f>
        <v>OKAY</v>
      </c>
    </row>
    <row r="146" spans="1:6" ht="13" x14ac:dyDescent="0.25">
      <c r="A146" s="26">
        <v>20141004</v>
      </c>
      <c r="B146" s="29" t="s">
        <v>114</v>
      </c>
      <c r="C146" s="31">
        <v>0</v>
      </c>
      <c r="D146" s="1" t="str">
        <f>IF(COUNTIFS(Table1[ID],Table1[[#This Row],[ID]],Table1[Detail Account],"&lt;&gt;"&amp;Table1[[#This Row],[Detail Account]])=0,"OKAY","Investigate")</f>
        <v>OKAY</v>
      </c>
      <c r="E146" s="15" t="str">
        <f>IF(COUNTA(Table1[[#This Row],[ID]:[Amount]])&lt;&gt;3,"Investigate","OKAY")</f>
        <v>OKAY</v>
      </c>
      <c r="F146" s="22" t="str">
        <f>IF(COUNTIF(Table1[[#This Row],[Account number not unique]:[Incomplete data]],"Investigate")&gt;0,"errors noted","OKAY")</f>
        <v>OKAY</v>
      </c>
    </row>
    <row r="147" spans="1:6" ht="13" x14ac:dyDescent="0.25">
      <c r="A147" s="26">
        <v>20141005</v>
      </c>
      <c r="B147" s="29" t="s">
        <v>115</v>
      </c>
      <c r="C147" s="31">
        <v>-372.27</v>
      </c>
      <c r="D147" s="1" t="str">
        <f>IF(COUNTIFS(Table1[ID],Table1[[#This Row],[ID]],Table1[Detail Account],"&lt;&gt;"&amp;Table1[[#This Row],[Detail Account]])=0,"OKAY","Investigate")</f>
        <v>OKAY</v>
      </c>
      <c r="E147" s="15" t="str">
        <f>IF(COUNTA(Table1[[#This Row],[ID]:[Amount]])&lt;&gt;3,"Investigate","OKAY")</f>
        <v>OKAY</v>
      </c>
      <c r="F147" s="22" t="str">
        <f>IF(COUNTIF(Table1[[#This Row],[Account number not unique]:[Incomplete data]],"Investigate")&gt;0,"errors noted","OKAY")</f>
        <v>OKAY</v>
      </c>
    </row>
    <row r="148" spans="1:6" ht="13" x14ac:dyDescent="0.25">
      <c r="A148" s="26">
        <v>20141006</v>
      </c>
      <c r="B148" s="29" t="s">
        <v>116</v>
      </c>
      <c r="C148" s="31">
        <v>-266.27999999999997</v>
      </c>
      <c r="D148" s="1" t="str">
        <f>IF(COUNTIFS(Table1[ID],Table1[[#This Row],[ID]],Table1[Detail Account],"&lt;&gt;"&amp;Table1[[#This Row],[Detail Account]])=0,"OKAY","Investigate")</f>
        <v>OKAY</v>
      </c>
      <c r="E148" s="15" t="str">
        <f>IF(COUNTA(Table1[[#This Row],[ID]:[Amount]])&lt;&gt;3,"Investigate","OKAY")</f>
        <v>OKAY</v>
      </c>
      <c r="F148" s="22" t="str">
        <f>IF(COUNTIF(Table1[[#This Row],[Account number not unique]:[Incomplete data]],"Investigate")&gt;0,"errors noted","OKAY")</f>
        <v>OKAY</v>
      </c>
    </row>
    <row r="149" spans="1:6" ht="13" x14ac:dyDescent="0.25">
      <c r="A149" s="26">
        <v>20141007</v>
      </c>
      <c r="B149" s="29" t="s">
        <v>117</v>
      </c>
      <c r="C149" s="31">
        <v>-125.05</v>
      </c>
      <c r="D149" s="1" t="str">
        <f>IF(COUNTIFS(Table1[ID],Table1[[#This Row],[ID]],Table1[Detail Account],"&lt;&gt;"&amp;Table1[[#This Row],[Detail Account]])=0,"OKAY","Investigate")</f>
        <v>OKAY</v>
      </c>
      <c r="E149" s="15" t="str">
        <f>IF(COUNTA(Table1[[#This Row],[ID]:[Amount]])&lt;&gt;3,"Investigate","OKAY")</f>
        <v>OKAY</v>
      </c>
      <c r="F149" s="22" t="str">
        <f>IF(COUNTIF(Table1[[#This Row],[Account number not unique]:[Incomplete data]],"Investigate")&gt;0,"errors noted","OKAY")</f>
        <v>OKAY</v>
      </c>
    </row>
    <row r="150" spans="1:6" ht="13" x14ac:dyDescent="0.25">
      <c r="A150" s="26">
        <v>20141008</v>
      </c>
      <c r="B150" s="29" t="s">
        <v>118</v>
      </c>
      <c r="C150" s="31">
        <v>0</v>
      </c>
      <c r="D150" s="1" t="str">
        <f>IF(COUNTIFS(Table1[ID],Table1[[#This Row],[ID]],Table1[Detail Account],"&lt;&gt;"&amp;Table1[[#This Row],[Detail Account]])=0,"OKAY","Investigate")</f>
        <v>OKAY</v>
      </c>
      <c r="E150" s="15" t="str">
        <f>IF(COUNTA(Table1[[#This Row],[ID]:[Amount]])&lt;&gt;3,"Investigate","OKAY")</f>
        <v>OKAY</v>
      </c>
      <c r="F150" s="22" t="str">
        <f>IF(COUNTIF(Table1[[#This Row],[Account number not unique]:[Incomplete data]],"Investigate")&gt;0,"errors noted","OKAY")</f>
        <v>OKAY</v>
      </c>
    </row>
    <row r="151" spans="1:6" ht="13" x14ac:dyDescent="0.25">
      <c r="A151" s="26">
        <v>20141010</v>
      </c>
      <c r="B151" s="29" t="s">
        <v>119</v>
      </c>
      <c r="C151" s="31">
        <v>-29625.57</v>
      </c>
      <c r="D151" s="1" t="str">
        <f>IF(COUNTIFS(Table1[ID],Table1[[#This Row],[ID]],Table1[Detail Account],"&lt;&gt;"&amp;Table1[[#This Row],[Detail Account]])=0,"OKAY","Investigate")</f>
        <v>OKAY</v>
      </c>
      <c r="E151" s="15" t="str">
        <f>IF(COUNTA(Table1[[#This Row],[ID]:[Amount]])&lt;&gt;3,"Investigate","OKAY")</f>
        <v>OKAY</v>
      </c>
      <c r="F151" s="22" t="str">
        <f>IF(COUNTIF(Table1[[#This Row],[Account number not unique]:[Incomplete data]],"Investigate")&gt;0,"errors noted","OKAY")</f>
        <v>OKAY</v>
      </c>
    </row>
    <row r="152" spans="1:6" ht="13" x14ac:dyDescent="0.25">
      <c r="A152" s="26">
        <v>20141011</v>
      </c>
      <c r="B152" s="29" t="s">
        <v>120</v>
      </c>
      <c r="C152" s="31">
        <v>0</v>
      </c>
      <c r="D152" s="1" t="str">
        <f>IF(COUNTIFS(Table1[ID],Table1[[#This Row],[ID]],Table1[Detail Account],"&lt;&gt;"&amp;Table1[[#This Row],[Detail Account]])=0,"OKAY","Investigate")</f>
        <v>OKAY</v>
      </c>
      <c r="E152" s="15" t="str">
        <f>IF(COUNTA(Table1[[#This Row],[ID]:[Amount]])&lt;&gt;3,"Investigate","OKAY")</f>
        <v>OKAY</v>
      </c>
      <c r="F152" s="22" t="str">
        <f>IF(COUNTIF(Table1[[#This Row],[Account number not unique]:[Incomplete data]],"Investigate")&gt;0,"errors noted","OKAY")</f>
        <v>OKAY</v>
      </c>
    </row>
    <row r="153" spans="1:6" ht="13" x14ac:dyDescent="0.25">
      <c r="A153" s="26">
        <v>20141012</v>
      </c>
      <c r="B153" s="29" t="s">
        <v>121</v>
      </c>
      <c r="C153" s="31">
        <v>-30196.29</v>
      </c>
      <c r="D153" s="1" t="str">
        <f>IF(COUNTIFS(Table1[ID],Table1[[#This Row],[ID]],Table1[Detail Account],"&lt;&gt;"&amp;Table1[[#This Row],[Detail Account]])=0,"OKAY","Investigate")</f>
        <v>OKAY</v>
      </c>
      <c r="E153" s="15" t="str">
        <f>IF(COUNTA(Table1[[#This Row],[ID]:[Amount]])&lt;&gt;3,"Investigate","OKAY")</f>
        <v>OKAY</v>
      </c>
      <c r="F153" s="22" t="str">
        <f>IF(COUNTIF(Table1[[#This Row],[Account number not unique]:[Incomplete data]],"Investigate")&gt;0,"errors noted","OKAY")</f>
        <v>OKAY</v>
      </c>
    </row>
    <row r="154" spans="1:6" ht="13" x14ac:dyDescent="0.25">
      <c r="A154" s="26">
        <v>20141014</v>
      </c>
      <c r="B154" s="29" t="s">
        <v>122</v>
      </c>
      <c r="C154" s="31">
        <v>-6425.42</v>
      </c>
      <c r="D154" s="1" t="str">
        <f>IF(COUNTIFS(Table1[ID],Table1[[#This Row],[ID]],Table1[Detail Account],"&lt;&gt;"&amp;Table1[[#This Row],[Detail Account]])=0,"OKAY","Investigate")</f>
        <v>OKAY</v>
      </c>
      <c r="E154" s="15" t="str">
        <f>IF(COUNTA(Table1[[#This Row],[ID]:[Amount]])&lt;&gt;3,"Investigate","OKAY")</f>
        <v>OKAY</v>
      </c>
      <c r="F154" s="22" t="str">
        <f>IF(COUNTIF(Table1[[#This Row],[Account number not unique]:[Incomplete data]],"Investigate")&gt;0,"errors noted","OKAY")</f>
        <v>OKAY</v>
      </c>
    </row>
    <row r="155" spans="1:6" ht="13" x14ac:dyDescent="0.25">
      <c r="A155" s="26">
        <v>20141015</v>
      </c>
      <c r="B155" s="29" t="s">
        <v>123</v>
      </c>
      <c r="C155" s="31">
        <v>-32517.45</v>
      </c>
      <c r="D155" s="1" t="str">
        <f>IF(COUNTIFS(Table1[ID],Table1[[#This Row],[ID]],Table1[Detail Account],"&lt;&gt;"&amp;Table1[[#This Row],[Detail Account]])=0,"OKAY","Investigate")</f>
        <v>OKAY</v>
      </c>
      <c r="E155" s="15" t="str">
        <f>IF(COUNTA(Table1[[#This Row],[ID]:[Amount]])&lt;&gt;3,"Investigate","OKAY")</f>
        <v>OKAY</v>
      </c>
      <c r="F155" s="22" t="str">
        <f>IF(COUNTIF(Table1[[#This Row],[Account number not unique]:[Incomplete data]],"Investigate")&gt;0,"errors noted","OKAY")</f>
        <v>OKAY</v>
      </c>
    </row>
    <row r="156" spans="1:6" ht="13" x14ac:dyDescent="0.25">
      <c r="A156" s="26">
        <v>20141016</v>
      </c>
      <c r="B156" s="29" t="s">
        <v>124</v>
      </c>
      <c r="C156" s="31">
        <v>-7988.91</v>
      </c>
      <c r="D156" s="1" t="str">
        <f>IF(COUNTIFS(Table1[ID],Table1[[#This Row],[ID]],Table1[Detail Account],"&lt;&gt;"&amp;Table1[[#This Row],[Detail Account]])=0,"OKAY","Investigate")</f>
        <v>OKAY</v>
      </c>
      <c r="E156" s="15" t="str">
        <f>IF(COUNTA(Table1[[#This Row],[ID]:[Amount]])&lt;&gt;3,"Investigate","OKAY")</f>
        <v>OKAY</v>
      </c>
      <c r="F156" s="22" t="str">
        <f>IF(COUNTIF(Table1[[#This Row],[Account number not unique]:[Incomplete data]],"Investigate")&gt;0,"errors noted","OKAY")</f>
        <v>OKAY</v>
      </c>
    </row>
    <row r="157" spans="1:6" ht="13" x14ac:dyDescent="0.25">
      <c r="A157" s="26">
        <v>20150501</v>
      </c>
      <c r="B157" s="29" t="s">
        <v>125</v>
      </c>
      <c r="C157" s="31">
        <v>-4185.18</v>
      </c>
      <c r="D157" s="1" t="str">
        <f>IF(COUNTIFS(Table1[ID],Table1[[#This Row],[ID]],Table1[Detail Account],"&lt;&gt;"&amp;Table1[[#This Row],[Detail Account]])=0,"OKAY","Investigate")</f>
        <v>OKAY</v>
      </c>
      <c r="E157" s="15" t="str">
        <f>IF(COUNTA(Table1[[#This Row],[ID]:[Amount]])&lt;&gt;3,"Investigate","OKAY")</f>
        <v>OKAY</v>
      </c>
      <c r="F157" s="22" t="str">
        <f>IF(COUNTIF(Table1[[#This Row],[Account number not unique]:[Incomplete data]],"Investigate")&gt;0,"errors noted","OKAY")</f>
        <v>OKAY</v>
      </c>
    </row>
    <row r="158" spans="1:6" ht="13" x14ac:dyDescent="0.25">
      <c r="A158" s="26">
        <v>20201001</v>
      </c>
      <c r="B158" s="29" t="s">
        <v>126</v>
      </c>
      <c r="C158" s="31">
        <v>0</v>
      </c>
      <c r="D158" s="1" t="str">
        <f>IF(COUNTIFS(Table1[ID],Table1[[#This Row],[ID]],Table1[Detail Account],"&lt;&gt;"&amp;Table1[[#This Row],[Detail Account]])=0,"OKAY","Investigate")</f>
        <v>OKAY</v>
      </c>
      <c r="E158" s="15" t="str">
        <f>IF(COUNTA(Table1[[#This Row],[ID]:[Amount]])&lt;&gt;3,"Investigate","OKAY")</f>
        <v>OKAY</v>
      </c>
      <c r="F158" s="22" t="str">
        <f>IF(COUNTIF(Table1[[#This Row],[Account number not unique]:[Incomplete data]],"Investigate")&gt;0,"errors noted","OKAY")</f>
        <v>OKAY</v>
      </c>
    </row>
    <row r="159" spans="1:6" ht="13" x14ac:dyDescent="0.25">
      <c r="A159" s="26">
        <v>20201003</v>
      </c>
      <c r="B159" s="29" t="s">
        <v>127</v>
      </c>
      <c r="C159" s="31">
        <v>-1668626.67</v>
      </c>
      <c r="D159" s="1" t="str">
        <f>IF(COUNTIFS(Table1[ID],Table1[[#This Row],[ID]],Table1[Detail Account],"&lt;&gt;"&amp;Table1[[#This Row],[Detail Account]])=0,"OKAY","Investigate")</f>
        <v>OKAY</v>
      </c>
      <c r="E159" s="15" t="str">
        <f>IF(COUNTA(Table1[[#This Row],[ID]:[Amount]])&lt;&gt;3,"Investigate","OKAY")</f>
        <v>OKAY</v>
      </c>
      <c r="F159" s="22" t="str">
        <f>IF(COUNTIF(Table1[[#This Row],[Account number not unique]:[Incomplete data]],"Investigate")&gt;0,"errors noted","OKAY")</f>
        <v>OKAY</v>
      </c>
    </row>
    <row r="160" spans="1:6" ht="13" x14ac:dyDescent="0.25">
      <c r="A160" s="26">
        <v>20203001</v>
      </c>
      <c r="B160" s="29" t="s">
        <v>128</v>
      </c>
      <c r="C160" s="31">
        <v>-0.28999999999999998</v>
      </c>
      <c r="D160" s="1" t="str">
        <f>IF(COUNTIFS(Table1[ID],Table1[[#This Row],[ID]],Table1[Detail Account],"&lt;&gt;"&amp;Table1[[#This Row],[Detail Account]])=0,"OKAY","Investigate")</f>
        <v>OKAY</v>
      </c>
      <c r="E160" s="15" t="str">
        <f>IF(COUNTA(Table1[[#This Row],[ID]:[Amount]])&lt;&gt;3,"Investigate","OKAY")</f>
        <v>OKAY</v>
      </c>
      <c r="F160" s="22" t="str">
        <f>IF(COUNTIF(Table1[[#This Row],[Account number not unique]:[Incomplete data]],"Investigate")&gt;0,"errors noted","OKAY")</f>
        <v>OKAY</v>
      </c>
    </row>
    <row r="161" spans="1:6" ht="13" x14ac:dyDescent="0.25">
      <c r="A161" s="26">
        <v>20203003</v>
      </c>
      <c r="B161" s="29" t="s">
        <v>300</v>
      </c>
      <c r="C161" s="31">
        <v>-2110341.73</v>
      </c>
      <c r="D161" s="1" t="str">
        <f>IF(COUNTIFS(Table1[ID],Table1[[#This Row],[ID]],Table1[Detail Account],"&lt;&gt;"&amp;Table1[[#This Row],[Detail Account]])=0,"OKAY","Investigate")</f>
        <v>OKAY</v>
      </c>
      <c r="E161" s="15" t="str">
        <f>IF(COUNTA(Table1[[#This Row],[ID]:[Amount]])&lt;&gt;3,"Investigate","OKAY")</f>
        <v>OKAY</v>
      </c>
      <c r="F161" s="22" t="str">
        <f>IF(COUNTIF(Table1[[#This Row],[Account number not unique]:[Incomplete data]],"Investigate")&gt;0,"errors noted","OKAY")</f>
        <v>OKAY</v>
      </c>
    </row>
    <row r="162" spans="1:6" ht="13" x14ac:dyDescent="0.25">
      <c r="A162" s="26">
        <v>30101001</v>
      </c>
      <c r="B162" s="29" t="s">
        <v>129</v>
      </c>
      <c r="C162" s="31">
        <v>-12677393.32</v>
      </c>
      <c r="D162" s="1" t="str">
        <f>IF(COUNTIFS(Table1[ID],Table1[[#This Row],[ID]],Table1[Detail Account],"&lt;&gt;"&amp;Table1[[#This Row],[Detail Account]])=0,"OKAY","Investigate")</f>
        <v>OKAY</v>
      </c>
      <c r="E162" s="15" t="str">
        <f>IF(COUNTA(Table1[[#This Row],[ID]:[Amount]])&lt;&gt;3,"Investigate","OKAY")</f>
        <v>OKAY</v>
      </c>
      <c r="F162" s="22" t="str">
        <f>IF(COUNTIF(Table1[[#This Row],[Account number not unique]:[Incomplete data]],"Investigate")&gt;0,"errors noted","OKAY")</f>
        <v>OKAY</v>
      </c>
    </row>
    <row r="163" spans="1:6" ht="13" x14ac:dyDescent="0.25">
      <c r="A163" s="26">
        <v>30101002</v>
      </c>
      <c r="B163" s="29" t="s">
        <v>130</v>
      </c>
      <c r="C163" s="31">
        <v>0</v>
      </c>
      <c r="D163" s="1" t="str">
        <f>IF(COUNTIFS(Table1[ID],Table1[[#This Row],[ID]],Table1[Detail Account],"&lt;&gt;"&amp;Table1[[#This Row],[Detail Account]])=0,"OKAY","Investigate")</f>
        <v>OKAY</v>
      </c>
      <c r="E163" s="15" t="str">
        <f>IF(COUNTA(Table1[[#This Row],[ID]:[Amount]])&lt;&gt;3,"Investigate","OKAY")</f>
        <v>OKAY</v>
      </c>
      <c r="F163" s="22" t="str">
        <f>IF(COUNTIF(Table1[[#This Row],[Account number not unique]:[Incomplete data]],"Investigate")&gt;0,"errors noted","OKAY")</f>
        <v>OKAY</v>
      </c>
    </row>
    <row r="164" spans="1:6" ht="13" x14ac:dyDescent="0.25">
      <c r="A164" s="26">
        <v>30101003</v>
      </c>
      <c r="B164" s="29" t="s">
        <v>301</v>
      </c>
      <c r="C164" s="31">
        <v>-2144819.9700000002</v>
      </c>
      <c r="D164" s="1" t="str">
        <f>IF(COUNTIFS(Table1[ID],Table1[[#This Row],[ID]],Table1[Detail Account],"&lt;&gt;"&amp;Table1[[#This Row],[Detail Account]])=0,"OKAY","Investigate")</f>
        <v>OKAY</v>
      </c>
      <c r="E164" s="15" t="str">
        <f>IF(COUNTA(Table1[[#This Row],[ID]:[Amount]])&lt;&gt;3,"Investigate","OKAY")</f>
        <v>OKAY</v>
      </c>
      <c r="F164" s="22" t="str">
        <f>IF(COUNTIF(Table1[[#This Row],[Account number not unique]:[Incomplete data]],"Investigate")&gt;0,"errors noted","OKAY")</f>
        <v>OKAY</v>
      </c>
    </row>
    <row r="165" spans="1:6" ht="13" x14ac:dyDescent="0.25">
      <c r="A165" s="26">
        <v>30102001</v>
      </c>
      <c r="B165" s="29" t="s">
        <v>302</v>
      </c>
      <c r="C165" s="31">
        <v>0</v>
      </c>
      <c r="D165" s="1" t="str">
        <f>IF(COUNTIFS(Table1[ID],Table1[[#This Row],[ID]],Table1[Detail Account],"&lt;&gt;"&amp;Table1[[#This Row],[Detail Account]])=0,"OKAY","Investigate")</f>
        <v>OKAY</v>
      </c>
      <c r="E165" s="15" t="str">
        <f>IF(COUNTA(Table1[[#This Row],[ID]:[Amount]])&lt;&gt;3,"Investigate","OKAY")</f>
        <v>OKAY</v>
      </c>
      <c r="F165" s="22" t="str">
        <f>IF(COUNTIF(Table1[[#This Row],[Account number not unique]:[Incomplete data]],"Investigate")&gt;0,"errors noted","OKAY")</f>
        <v>OKAY</v>
      </c>
    </row>
    <row r="166" spans="1:6" ht="13" x14ac:dyDescent="0.25">
      <c r="A166" s="26">
        <v>30103001</v>
      </c>
      <c r="B166" s="29" t="s">
        <v>131</v>
      </c>
      <c r="C166" s="31">
        <v>746721.57</v>
      </c>
      <c r="D166" s="1" t="str">
        <f>IF(COUNTIFS(Table1[ID],Table1[[#This Row],[ID]],Table1[Detail Account],"&lt;&gt;"&amp;Table1[[#This Row],[Detail Account]])=0,"OKAY","Investigate")</f>
        <v>OKAY</v>
      </c>
      <c r="E166" s="15" t="str">
        <f>IF(COUNTA(Table1[[#This Row],[ID]:[Amount]])&lt;&gt;3,"Investigate","OKAY")</f>
        <v>OKAY</v>
      </c>
      <c r="F166" s="22" t="str">
        <f>IF(COUNTIF(Table1[[#This Row],[Account number not unique]:[Incomplete data]],"Investigate")&gt;0,"errors noted","OKAY")</f>
        <v>OKAY</v>
      </c>
    </row>
    <row r="167" spans="1:6" ht="13" x14ac:dyDescent="0.25">
      <c r="A167" s="26">
        <v>30104001</v>
      </c>
      <c r="B167" s="29" t="s">
        <v>132</v>
      </c>
      <c r="C167" s="31">
        <v>-8756721.2300000004</v>
      </c>
      <c r="D167" s="1" t="str">
        <f>IF(COUNTIFS(Table1[ID],Table1[[#This Row],[ID]],Table1[Detail Account],"&lt;&gt;"&amp;Table1[[#This Row],[Detail Account]])=0,"OKAY","Investigate")</f>
        <v>OKAY</v>
      </c>
      <c r="E167" s="15" t="str">
        <f>IF(COUNTA(Table1[[#This Row],[ID]:[Amount]])&lt;&gt;3,"Investigate","OKAY")</f>
        <v>OKAY</v>
      </c>
      <c r="F167" s="22" t="str">
        <f>IF(COUNTIF(Table1[[#This Row],[Account number not unique]:[Incomplete data]],"Investigate")&gt;0,"errors noted","OKAY")</f>
        <v>OKAY</v>
      </c>
    </row>
    <row r="168" spans="1:6" ht="13" x14ac:dyDescent="0.25">
      <c r="A168" s="26">
        <v>30900100</v>
      </c>
      <c r="B168" s="29" t="s">
        <v>133</v>
      </c>
      <c r="C168" s="31">
        <v>-0.02</v>
      </c>
      <c r="D168" s="1" t="str">
        <f>IF(COUNTIFS(Table1[ID],Table1[[#This Row],[ID]],Table1[Detail Account],"&lt;&gt;"&amp;Table1[[#This Row],[Detail Account]])=0,"OKAY","Investigate")</f>
        <v>OKAY</v>
      </c>
      <c r="E168" s="15" t="str">
        <f>IF(COUNTA(Table1[[#This Row],[ID]:[Amount]])&lt;&gt;3,"Investigate","OKAY")</f>
        <v>OKAY</v>
      </c>
      <c r="F168" s="22" t="str">
        <f>IF(COUNTIF(Table1[[#This Row],[Account number not unique]:[Incomplete data]],"Investigate")&gt;0,"errors noted","OKAY")</f>
        <v>OKAY</v>
      </c>
    </row>
    <row r="169" spans="1:6" ht="13" x14ac:dyDescent="0.25">
      <c r="A169" s="26">
        <v>30900101</v>
      </c>
      <c r="B169" s="29" t="s">
        <v>134</v>
      </c>
      <c r="C169" s="31">
        <v>0</v>
      </c>
      <c r="D169" s="1" t="str">
        <f>IF(COUNTIFS(Table1[ID],Table1[[#This Row],[ID]],Table1[Detail Account],"&lt;&gt;"&amp;Table1[[#This Row],[Detail Account]])=0,"OKAY","Investigate")</f>
        <v>OKAY</v>
      </c>
      <c r="E169" s="15" t="str">
        <f>IF(COUNTA(Table1[[#This Row],[ID]:[Amount]])&lt;&gt;3,"Investigate","OKAY")</f>
        <v>OKAY</v>
      </c>
      <c r="F169" s="22" t="str">
        <f>IF(COUNTIF(Table1[[#This Row],[Account number not unique]:[Incomplete data]],"Investigate")&gt;0,"errors noted","OKAY")</f>
        <v>OKAY</v>
      </c>
    </row>
    <row r="170" spans="1:6" ht="13" x14ac:dyDescent="0.25">
      <c r="A170" s="26">
        <v>30900102</v>
      </c>
      <c r="B170" s="29" t="s">
        <v>135</v>
      </c>
      <c r="C170" s="31">
        <v>0</v>
      </c>
      <c r="D170" s="1" t="str">
        <f>IF(COUNTIFS(Table1[ID],Table1[[#This Row],[ID]],Table1[Detail Account],"&lt;&gt;"&amp;Table1[[#This Row],[Detail Account]])=0,"OKAY","Investigate")</f>
        <v>OKAY</v>
      </c>
      <c r="E170" s="15" t="str">
        <f>IF(COUNTA(Table1[[#This Row],[ID]:[Amount]])&lt;&gt;3,"Investigate","OKAY")</f>
        <v>OKAY</v>
      </c>
      <c r="F170" s="22" t="str">
        <f>IF(COUNTIF(Table1[[#This Row],[Account number not unique]:[Incomplete data]],"Investigate")&gt;0,"errors noted","OKAY")</f>
        <v>OKAY</v>
      </c>
    </row>
    <row r="171" spans="1:6" ht="13" x14ac:dyDescent="0.25">
      <c r="A171" s="26">
        <v>30900110</v>
      </c>
      <c r="B171" s="29" t="s">
        <v>136</v>
      </c>
      <c r="C171" s="31">
        <v>0</v>
      </c>
      <c r="D171" s="1" t="str">
        <f>IF(COUNTIFS(Table1[ID],Table1[[#This Row],[ID]],Table1[Detail Account],"&lt;&gt;"&amp;Table1[[#This Row],[Detail Account]])=0,"OKAY","Investigate")</f>
        <v>OKAY</v>
      </c>
      <c r="E171" s="15" t="str">
        <f>IF(COUNTA(Table1[[#This Row],[ID]:[Amount]])&lt;&gt;3,"Investigate","OKAY")</f>
        <v>OKAY</v>
      </c>
      <c r="F171" s="22" t="str">
        <f>IF(COUNTIF(Table1[[#This Row],[Account number not unique]:[Incomplete data]],"Investigate")&gt;0,"errors noted","OKAY")</f>
        <v>OKAY</v>
      </c>
    </row>
    <row r="172" spans="1:6" ht="13" x14ac:dyDescent="0.25">
      <c r="A172" s="26">
        <v>30900115</v>
      </c>
      <c r="B172" s="29" t="s">
        <v>137</v>
      </c>
      <c r="C172" s="31">
        <v>0</v>
      </c>
      <c r="D172" s="1" t="str">
        <f>IF(COUNTIFS(Table1[ID],Table1[[#This Row],[ID]],Table1[Detail Account],"&lt;&gt;"&amp;Table1[[#This Row],[Detail Account]])=0,"OKAY","Investigate")</f>
        <v>OKAY</v>
      </c>
      <c r="E172" s="15" t="str">
        <f>IF(COUNTA(Table1[[#This Row],[ID]:[Amount]])&lt;&gt;3,"Investigate","OKAY")</f>
        <v>OKAY</v>
      </c>
      <c r="F172" s="22" t="str">
        <f>IF(COUNTIF(Table1[[#This Row],[Account number not unique]:[Incomplete data]],"Investigate")&gt;0,"errors noted","OKAY")</f>
        <v>OKAY</v>
      </c>
    </row>
    <row r="173" spans="1:6" ht="13" x14ac:dyDescent="0.25">
      <c r="A173" s="26">
        <v>30900125</v>
      </c>
      <c r="B173" s="29" t="s">
        <v>138</v>
      </c>
      <c r="C173" s="31">
        <v>-4395</v>
      </c>
      <c r="D173" s="1" t="str">
        <f>IF(COUNTIFS(Table1[ID],Table1[[#This Row],[ID]],Table1[Detail Account],"&lt;&gt;"&amp;Table1[[#This Row],[Detail Account]])=0,"OKAY","Investigate")</f>
        <v>OKAY</v>
      </c>
      <c r="E173" s="15" t="str">
        <f>IF(COUNTA(Table1[[#This Row],[ID]:[Amount]])&lt;&gt;3,"Investigate","OKAY")</f>
        <v>OKAY</v>
      </c>
      <c r="F173" s="22" t="str">
        <f>IF(COUNTIF(Table1[[#This Row],[Account number not unique]:[Incomplete data]],"Investigate")&gt;0,"errors noted","OKAY")</f>
        <v>OKAY</v>
      </c>
    </row>
    <row r="174" spans="1:6" ht="13" x14ac:dyDescent="0.25">
      <c r="A174" s="26">
        <v>30900135</v>
      </c>
      <c r="B174" s="29" t="s">
        <v>139</v>
      </c>
      <c r="C174" s="31">
        <v>0.11</v>
      </c>
      <c r="D174" s="1" t="str">
        <f>IF(COUNTIFS(Table1[ID],Table1[[#This Row],[ID]],Table1[Detail Account],"&lt;&gt;"&amp;Table1[[#This Row],[Detail Account]])=0,"OKAY","Investigate")</f>
        <v>OKAY</v>
      </c>
      <c r="E174" s="15" t="str">
        <f>IF(COUNTA(Table1[[#This Row],[ID]:[Amount]])&lt;&gt;3,"Investigate","OKAY")</f>
        <v>OKAY</v>
      </c>
      <c r="F174" s="22" t="str">
        <f>IF(COUNTIF(Table1[[#This Row],[Account number not unique]:[Incomplete data]],"Investigate")&gt;0,"errors noted","OKAY")</f>
        <v>OKAY</v>
      </c>
    </row>
    <row r="175" spans="1:6" ht="13" x14ac:dyDescent="0.25">
      <c r="A175" s="26">
        <v>30900900</v>
      </c>
      <c r="B175" s="29" t="s">
        <v>140</v>
      </c>
      <c r="C175" s="31">
        <v>0</v>
      </c>
      <c r="D175" s="1" t="str">
        <f>IF(COUNTIFS(Table1[ID],Table1[[#This Row],[ID]],Table1[Detail Account],"&lt;&gt;"&amp;Table1[[#This Row],[Detail Account]])=0,"OKAY","Investigate")</f>
        <v>OKAY</v>
      </c>
      <c r="E175" s="15" t="str">
        <f>IF(COUNTA(Table1[[#This Row],[ID]:[Amount]])&lt;&gt;3,"Investigate","OKAY")</f>
        <v>OKAY</v>
      </c>
      <c r="F175" s="22" t="str">
        <f>IF(COUNTIF(Table1[[#This Row],[Account number not unique]:[Incomplete data]],"Investigate")&gt;0,"errors noted","OKAY")</f>
        <v>OKAY</v>
      </c>
    </row>
    <row r="176" spans="1:6" ht="13" x14ac:dyDescent="0.25">
      <c r="A176" s="26">
        <v>30900920</v>
      </c>
      <c r="B176" s="29" t="s">
        <v>141</v>
      </c>
      <c r="C176" s="31">
        <v>0</v>
      </c>
      <c r="D176" s="1" t="str">
        <f>IF(COUNTIFS(Table1[ID],Table1[[#This Row],[ID]],Table1[Detail Account],"&lt;&gt;"&amp;Table1[[#This Row],[Detail Account]])=0,"OKAY","Investigate")</f>
        <v>OKAY</v>
      </c>
      <c r="E176" s="15" t="str">
        <f>IF(COUNTA(Table1[[#This Row],[ID]:[Amount]])&lt;&gt;3,"Investigate","OKAY")</f>
        <v>OKAY</v>
      </c>
      <c r="F176" s="22" t="str">
        <f>IF(COUNTIF(Table1[[#This Row],[Account number not unique]:[Incomplete data]],"Investigate")&gt;0,"errors noted","OKAY")</f>
        <v>OKAY</v>
      </c>
    </row>
    <row r="177" spans="1:6" ht="13" x14ac:dyDescent="0.25">
      <c r="A177" s="26">
        <v>30900930</v>
      </c>
      <c r="B177" s="29" t="s">
        <v>142</v>
      </c>
      <c r="C177" s="31">
        <v>0</v>
      </c>
      <c r="D177" s="1" t="str">
        <f>IF(COUNTIFS(Table1[ID],Table1[[#This Row],[ID]],Table1[Detail Account],"&lt;&gt;"&amp;Table1[[#This Row],[Detail Account]])=0,"OKAY","Investigate")</f>
        <v>OKAY</v>
      </c>
      <c r="E177" s="15" t="str">
        <f>IF(COUNTA(Table1[[#This Row],[ID]:[Amount]])&lt;&gt;3,"Investigate","OKAY")</f>
        <v>OKAY</v>
      </c>
      <c r="F177" s="22" t="str">
        <f>IF(COUNTIF(Table1[[#This Row],[Account number not unique]:[Incomplete data]],"Investigate")&gt;0,"errors noted","OKAY")</f>
        <v>OKAY</v>
      </c>
    </row>
    <row r="178" spans="1:6" ht="13" x14ac:dyDescent="0.25">
      <c r="A178" s="26">
        <v>30900932</v>
      </c>
      <c r="B178" s="29" t="s">
        <v>143</v>
      </c>
      <c r="C178" s="31">
        <v>13.27</v>
      </c>
      <c r="D178" s="1" t="str">
        <f>IF(COUNTIFS(Table1[ID],Table1[[#This Row],[ID]],Table1[Detail Account],"&lt;&gt;"&amp;Table1[[#This Row],[Detail Account]])=0,"OKAY","Investigate")</f>
        <v>OKAY</v>
      </c>
      <c r="E178" s="15" t="str">
        <f>IF(COUNTA(Table1[[#This Row],[ID]:[Amount]])&lt;&gt;3,"Investigate","OKAY")</f>
        <v>OKAY</v>
      </c>
      <c r="F178" s="22" t="str">
        <f>IF(COUNTIF(Table1[[#This Row],[Account number not unique]:[Incomplete data]],"Investigate")&gt;0,"errors noted","OKAY")</f>
        <v>OKAY</v>
      </c>
    </row>
    <row r="179" spans="1:6" ht="13" x14ac:dyDescent="0.25">
      <c r="A179" s="26">
        <v>30900933</v>
      </c>
      <c r="B179" s="29" t="s">
        <v>144</v>
      </c>
      <c r="C179" s="32">
        <v>0</v>
      </c>
      <c r="D179" s="1" t="str">
        <f>IF(COUNTIFS(Table1[ID],Table1[[#This Row],[ID]],Table1[Detail Account],"&lt;&gt;"&amp;Table1[[#This Row],[Detail Account]])=0,"OKAY","Investigate")</f>
        <v>OKAY</v>
      </c>
      <c r="E179" s="15" t="str">
        <f>IF(COUNTA(Table1[[#This Row],[ID]:[Amount]])&lt;&gt;3,"Investigate","OKAY")</f>
        <v>OKAY</v>
      </c>
      <c r="F179" s="22" t="str">
        <f>IF(COUNTIF(Table1[[#This Row],[Account number not unique]:[Incomplete data]],"Investigate")&gt;0,"errors noted","OKAY")</f>
        <v>OKAY</v>
      </c>
    </row>
    <row r="180" spans="1:6" ht="13" x14ac:dyDescent="0.25">
      <c r="A180" s="26">
        <v>30900934</v>
      </c>
      <c r="B180" s="29" t="s">
        <v>145</v>
      </c>
      <c r="C180" s="31">
        <v>-151.91999999999999</v>
      </c>
      <c r="D180" s="1" t="str">
        <f>IF(COUNTIFS(Table1[ID],Table1[[#This Row],[ID]],Table1[Detail Account],"&lt;&gt;"&amp;Table1[[#This Row],[Detail Account]])=0,"OKAY","Investigate")</f>
        <v>OKAY</v>
      </c>
      <c r="E180" s="15" t="str">
        <f>IF(COUNTA(Table1[[#This Row],[ID]:[Amount]])&lt;&gt;3,"Investigate","OKAY")</f>
        <v>OKAY</v>
      </c>
      <c r="F180" s="22" t="str">
        <f>IF(COUNTIF(Table1[[#This Row],[Account number not unique]:[Incomplete data]],"Investigate")&gt;0,"errors noted","OKAY")</f>
        <v>OKAY</v>
      </c>
    </row>
    <row r="181" spans="1:6" ht="13" x14ac:dyDescent="0.25">
      <c r="A181" s="26">
        <v>30900935</v>
      </c>
      <c r="B181" s="29" t="s">
        <v>146</v>
      </c>
      <c r="C181" s="31">
        <v>-4399.8100000000004</v>
      </c>
      <c r="D181" s="1" t="str">
        <f>IF(COUNTIFS(Table1[ID],Table1[[#This Row],[ID]],Table1[Detail Account],"&lt;&gt;"&amp;Table1[[#This Row],[Detail Account]])=0,"OKAY","Investigate")</f>
        <v>OKAY</v>
      </c>
      <c r="E181" s="15" t="str">
        <f>IF(COUNTA(Table1[[#This Row],[ID]:[Amount]])&lt;&gt;3,"Investigate","OKAY")</f>
        <v>OKAY</v>
      </c>
      <c r="F181" s="22" t="str">
        <f>IF(COUNTIF(Table1[[#This Row],[Account number not unique]:[Incomplete data]],"Investigate")&gt;0,"errors noted","OKAY")</f>
        <v>OKAY</v>
      </c>
    </row>
    <row r="182" spans="1:6" ht="13" x14ac:dyDescent="0.25">
      <c r="A182" s="26">
        <v>30900936</v>
      </c>
      <c r="B182" s="29" t="s">
        <v>303</v>
      </c>
      <c r="C182" s="31">
        <v>0</v>
      </c>
      <c r="D182" s="1" t="str">
        <f>IF(COUNTIFS(Table1[ID],Table1[[#This Row],[ID]],Table1[Detail Account],"&lt;&gt;"&amp;Table1[[#This Row],[Detail Account]])=0,"OKAY","Investigate")</f>
        <v>OKAY</v>
      </c>
      <c r="E182" s="15" t="str">
        <f>IF(COUNTA(Table1[[#This Row],[ID]:[Amount]])&lt;&gt;3,"Investigate","OKAY")</f>
        <v>OKAY</v>
      </c>
      <c r="F182" s="22" t="str">
        <f>IF(COUNTIF(Table1[[#This Row],[Account number not unique]:[Incomplete data]],"Investigate")&gt;0,"errors noted","OKAY")</f>
        <v>OKAY</v>
      </c>
    </row>
    <row r="183" spans="1:6" ht="13" x14ac:dyDescent="0.25">
      <c r="A183" s="26">
        <v>30900940</v>
      </c>
      <c r="B183" s="29" t="s">
        <v>147</v>
      </c>
      <c r="C183" s="31">
        <v>-12945720.91</v>
      </c>
      <c r="D183" s="1" t="str">
        <f>IF(COUNTIFS(Table1[ID],Table1[[#This Row],[ID]],Table1[Detail Account],"&lt;&gt;"&amp;Table1[[#This Row],[Detail Account]])=0,"OKAY","Investigate")</f>
        <v>OKAY</v>
      </c>
      <c r="E183" s="15" t="str">
        <f>IF(COUNTA(Table1[[#This Row],[ID]:[Amount]])&lt;&gt;3,"Investigate","OKAY")</f>
        <v>OKAY</v>
      </c>
      <c r="F183" s="22" t="str">
        <f>IF(COUNTIF(Table1[[#This Row],[Account number not unique]:[Incomplete data]],"Investigate")&gt;0,"errors noted","OKAY")</f>
        <v>OKAY</v>
      </c>
    </row>
    <row r="184" spans="1:6" ht="13" x14ac:dyDescent="0.25">
      <c r="A184" s="26">
        <v>30900950</v>
      </c>
      <c r="B184" s="29" t="s">
        <v>148</v>
      </c>
      <c r="C184" s="31">
        <v>0</v>
      </c>
      <c r="D184" s="1" t="str">
        <f>IF(COUNTIFS(Table1[ID],Table1[[#This Row],[ID]],Table1[Detail Account],"&lt;&gt;"&amp;Table1[[#This Row],[Detail Account]])=0,"OKAY","Investigate")</f>
        <v>OKAY</v>
      </c>
      <c r="E184" s="15" t="str">
        <f>IF(COUNTA(Table1[[#This Row],[ID]:[Amount]])&lt;&gt;3,"Investigate","OKAY")</f>
        <v>OKAY</v>
      </c>
      <c r="F184" s="22" t="str">
        <f>IF(COUNTIF(Table1[[#This Row],[Account number not unique]:[Incomplete data]],"Investigate")&gt;0,"errors noted","OKAY")</f>
        <v>OKAY</v>
      </c>
    </row>
    <row r="185" spans="1:6" ht="13" x14ac:dyDescent="0.25">
      <c r="A185" s="26">
        <v>30900970</v>
      </c>
      <c r="B185" s="29" t="s">
        <v>149</v>
      </c>
      <c r="C185" s="31">
        <v>0</v>
      </c>
      <c r="D185" s="1" t="str">
        <f>IF(COUNTIFS(Table1[ID],Table1[[#This Row],[ID]],Table1[Detail Account],"&lt;&gt;"&amp;Table1[[#This Row],[Detail Account]])=0,"OKAY","Investigate")</f>
        <v>OKAY</v>
      </c>
      <c r="E185" s="15" t="str">
        <f>IF(COUNTA(Table1[[#This Row],[ID]:[Amount]])&lt;&gt;3,"Investigate","OKAY")</f>
        <v>OKAY</v>
      </c>
      <c r="F185" s="22" t="str">
        <f>IF(COUNTIF(Table1[[#This Row],[Account number not unique]:[Incomplete data]],"Investigate")&gt;0,"errors noted","OKAY")</f>
        <v>OKAY</v>
      </c>
    </row>
    <row r="186" spans="1:6" ht="13" x14ac:dyDescent="0.25">
      <c r="A186" s="26">
        <v>40101001</v>
      </c>
      <c r="B186" s="29" t="s">
        <v>150</v>
      </c>
      <c r="C186" s="31">
        <v>-60867431.469999999</v>
      </c>
      <c r="D186" s="1" t="str">
        <f>IF(COUNTIFS(Table1[ID],Table1[[#This Row],[ID]],Table1[Detail Account],"&lt;&gt;"&amp;Table1[[#This Row],[Detail Account]])=0,"OKAY","Investigate")</f>
        <v>OKAY</v>
      </c>
      <c r="E186" s="15" t="str">
        <f>IF(COUNTA(Table1[[#This Row],[ID]:[Amount]])&lt;&gt;3,"Investigate","OKAY")</f>
        <v>OKAY</v>
      </c>
      <c r="F186" s="22" t="str">
        <f>IF(COUNTIF(Table1[[#This Row],[Account number not unique]:[Incomplete data]],"Investigate")&gt;0,"errors noted","OKAY")</f>
        <v>OKAY</v>
      </c>
    </row>
    <row r="187" spans="1:6" ht="13" x14ac:dyDescent="0.25">
      <c r="A187" s="26">
        <v>40101002</v>
      </c>
      <c r="B187" s="29" t="s">
        <v>304</v>
      </c>
      <c r="C187" s="31">
        <v>-152532.82999999999</v>
      </c>
      <c r="D187" s="1" t="str">
        <f>IF(COUNTIFS(Table1[ID],Table1[[#This Row],[ID]],Table1[Detail Account],"&lt;&gt;"&amp;Table1[[#This Row],[Detail Account]])=0,"OKAY","Investigate")</f>
        <v>OKAY</v>
      </c>
      <c r="E187" s="15" t="str">
        <f>IF(COUNTA(Table1[[#This Row],[ID]:[Amount]])&lt;&gt;3,"Investigate","OKAY")</f>
        <v>OKAY</v>
      </c>
      <c r="F187" s="22" t="str">
        <f>IF(COUNTIF(Table1[[#This Row],[Account number not unique]:[Incomplete data]],"Investigate")&gt;0,"errors noted","OKAY")</f>
        <v>OKAY</v>
      </c>
    </row>
    <row r="188" spans="1:6" ht="13" x14ac:dyDescent="0.25">
      <c r="A188" s="26">
        <v>40101011</v>
      </c>
      <c r="B188" s="29" t="s">
        <v>151</v>
      </c>
      <c r="C188" s="31">
        <v>-1658916.16</v>
      </c>
      <c r="D188" s="1" t="str">
        <f>IF(COUNTIFS(Table1[ID],Table1[[#This Row],[ID]],Table1[Detail Account],"&lt;&gt;"&amp;Table1[[#This Row],[Detail Account]])=0,"OKAY","Investigate")</f>
        <v>OKAY</v>
      </c>
      <c r="E188" s="15" t="str">
        <f>IF(COUNTA(Table1[[#This Row],[ID]:[Amount]])&lt;&gt;3,"Investigate","OKAY")</f>
        <v>OKAY</v>
      </c>
      <c r="F188" s="22" t="str">
        <f>IF(COUNTIF(Table1[[#This Row],[Account number not unique]:[Incomplete data]],"Investigate")&gt;0,"errors noted","OKAY")</f>
        <v>OKAY</v>
      </c>
    </row>
    <row r="189" spans="1:6" ht="13" x14ac:dyDescent="0.25">
      <c r="A189" s="26">
        <v>40101012</v>
      </c>
      <c r="B189" s="29" t="s">
        <v>152</v>
      </c>
      <c r="C189" s="31">
        <v>-94610.55</v>
      </c>
      <c r="D189" s="1" t="str">
        <f>IF(COUNTIFS(Table1[ID],Table1[[#This Row],[ID]],Table1[Detail Account],"&lt;&gt;"&amp;Table1[[#This Row],[Detail Account]])=0,"OKAY","Investigate")</f>
        <v>OKAY</v>
      </c>
      <c r="E189" s="15" t="str">
        <f>IF(COUNTA(Table1[[#This Row],[ID]:[Amount]])&lt;&gt;3,"Investigate","OKAY")</f>
        <v>OKAY</v>
      </c>
      <c r="F189" s="22" t="str">
        <f>IF(COUNTIF(Table1[[#This Row],[Account number not unique]:[Incomplete data]],"Investigate")&gt;0,"errors noted","OKAY")</f>
        <v>OKAY</v>
      </c>
    </row>
    <row r="190" spans="1:6" ht="13" x14ac:dyDescent="0.25">
      <c r="A190" s="26">
        <v>40101013</v>
      </c>
      <c r="B190" s="29" t="s">
        <v>153</v>
      </c>
      <c r="C190" s="31">
        <v>-539883.22</v>
      </c>
      <c r="D190" s="1" t="str">
        <f>IF(COUNTIFS(Table1[ID],Table1[[#This Row],[ID]],Table1[Detail Account],"&lt;&gt;"&amp;Table1[[#This Row],[Detail Account]])=0,"OKAY","Investigate")</f>
        <v>OKAY</v>
      </c>
      <c r="E190" s="15" t="str">
        <f>IF(COUNTA(Table1[[#This Row],[ID]:[Amount]])&lt;&gt;3,"Investigate","OKAY")</f>
        <v>OKAY</v>
      </c>
      <c r="F190" s="22" t="str">
        <f>IF(COUNTIF(Table1[[#This Row],[Account number not unique]:[Incomplete data]],"Investigate")&gt;0,"errors noted","OKAY")</f>
        <v>OKAY</v>
      </c>
    </row>
    <row r="191" spans="1:6" ht="13" x14ac:dyDescent="0.25">
      <c r="A191" s="26">
        <v>40201007</v>
      </c>
      <c r="B191" s="29" t="s">
        <v>154</v>
      </c>
      <c r="C191" s="31">
        <v>-1988826.37</v>
      </c>
      <c r="D191" s="1" t="str">
        <f>IF(COUNTIFS(Table1[ID],Table1[[#This Row],[ID]],Table1[Detail Account],"&lt;&gt;"&amp;Table1[[#This Row],[Detail Account]])=0,"OKAY","Investigate")</f>
        <v>OKAY</v>
      </c>
      <c r="E191" s="15" t="str">
        <f>IF(COUNTA(Table1[[#This Row],[ID]:[Amount]])&lt;&gt;3,"Investigate","OKAY")</f>
        <v>OKAY</v>
      </c>
      <c r="F191" s="22" t="str">
        <f>IF(COUNTIF(Table1[[#This Row],[Account number not unique]:[Incomplete data]],"Investigate")&gt;0,"errors noted","OKAY")</f>
        <v>OKAY</v>
      </c>
    </row>
    <row r="192" spans="1:6" ht="13" x14ac:dyDescent="0.25">
      <c r="A192" s="26">
        <v>40201015</v>
      </c>
      <c r="B192" s="29" t="s">
        <v>155</v>
      </c>
      <c r="C192" s="31">
        <v>-35.42</v>
      </c>
      <c r="D192" s="1" t="str">
        <f>IF(COUNTIFS(Table1[ID],Table1[[#This Row],[ID]],Table1[Detail Account],"&lt;&gt;"&amp;Table1[[#This Row],[Detail Account]])=0,"OKAY","Investigate")</f>
        <v>OKAY</v>
      </c>
      <c r="E192" s="15" t="str">
        <f>IF(COUNTA(Table1[[#This Row],[ID]:[Amount]])&lt;&gt;3,"Investigate","OKAY")</f>
        <v>OKAY</v>
      </c>
      <c r="F192" s="22" t="str">
        <f>IF(COUNTIF(Table1[[#This Row],[Account number not unique]:[Incomplete data]],"Investigate")&gt;0,"errors noted","OKAY")</f>
        <v>OKAY</v>
      </c>
    </row>
    <row r="193" spans="1:6" ht="13" x14ac:dyDescent="0.25">
      <c r="A193" s="26">
        <v>40201016</v>
      </c>
      <c r="B193" s="29" t="s">
        <v>156</v>
      </c>
      <c r="C193" s="31">
        <v>51509.45</v>
      </c>
      <c r="D193" s="1" t="str">
        <f>IF(COUNTIFS(Table1[ID],Table1[[#This Row],[ID]],Table1[Detail Account],"&lt;&gt;"&amp;Table1[[#This Row],[Detail Account]])=0,"OKAY","Investigate")</f>
        <v>OKAY</v>
      </c>
      <c r="E193" s="15" t="str">
        <f>IF(COUNTA(Table1[[#This Row],[ID]:[Amount]])&lt;&gt;3,"Investigate","OKAY")</f>
        <v>OKAY</v>
      </c>
      <c r="F193" s="22" t="str">
        <f>IF(COUNTIF(Table1[[#This Row],[Account number not unique]:[Incomplete data]],"Investigate")&gt;0,"errors noted","OKAY")</f>
        <v>OKAY</v>
      </c>
    </row>
    <row r="194" spans="1:6" ht="13" x14ac:dyDescent="0.25">
      <c r="A194" s="26">
        <v>40201017</v>
      </c>
      <c r="B194" s="29" t="s">
        <v>157</v>
      </c>
      <c r="C194" s="31">
        <v>-19397.38</v>
      </c>
      <c r="D194" s="1" t="str">
        <f>IF(COUNTIFS(Table1[ID],Table1[[#This Row],[ID]],Table1[Detail Account],"&lt;&gt;"&amp;Table1[[#This Row],[Detail Account]])=0,"OKAY","Investigate")</f>
        <v>OKAY</v>
      </c>
      <c r="E194" s="15" t="str">
        <f>IF(COUNTA(Table1[[#This Row],[ID]:[Amount]])&lt;&gt;3,"Investigate","OKAY")</f>
        <v>OKAY</v>
      </c>
      <c r="F194" s="22" t="str">
        <f>IF(COUNTIF(Table1[[#This Row],[Account number not unique]:[Incomplete data]],"Investigate")&gt;0,"errors noted","OKAY")</f>
        <v>OKAY</v>
      </c>
    </row>
    <row r="195" spans="1:6" ht="13" x14ac:dyDescent="0.25">
      <c r="A195" s="26">
        <v>40201022</v>
      </c>
      <c r="B195" s="29" t="s">
        <v>158</v>
      </c>
      <c r="C195" s="31">
        <v>-158219</v>
      </c>
      <c r="D195" s="1" t="str">
        <f>IF(COUNTIFS(Table1[ID],Table1[[#This Row],[ID]],Table1[Detail Account],"&lt;&gt;"&amp;Table1[[#This Row],[Detail Account]])=0,"OKAY","Investigate")</f>
        <v>OKAY</v>
      </c>
      <c r="E195" s="15" t="str">
        <f>IF(COUNTA(Table1[[#This Row],[ID]:[Amount]])&lt;&gt;3,"Investigate","OKAY")</f>
        <v>OKAY</v>
      </c>
      <c r="F195" s="22" t="str">
        <f>IF(COUNTIF(Table1[[#This Row],[Account number not unique]:[Incomplete data]],"Investigate")&gt;0,"errors noted","OKAY")</f>
        <v>OKAY</v>
      </c>
    </row>
    <row r="196" spans="1:6" ht="13" x14ac:dyDescent="0.25">
      <c r="A196" s="26">
        <v>50101003</v>
      </c>
      <c r="B196" s="29" t="s">
        <v>159</v>
      </c>
      <c r="C196" s="31">
        <v>337239.86</v>
      </c>
      <c r="D196" s="1" t="str">
        <f>IF(COUNTIFS(Table1[ID],Table1[[#This Row],[ID]],Table1[Detail Account],"&lt;&gt;"&amp;Table1[[#This Row],[Detail Account]])=0,"OKAY","Investigate")</f>
        <v>OKAY</v>
      </c>
      <c r="E196" s="15" t="str">
        <f>IF(COUNTA(Table1[[#This Row],[ID]:[Amount]])&lt;&gt;3,"Investigate","OKAY")</f>
        <v>OKAY</v>
      </c>
      <c r="F196" s="22" t="str">
        <f>IF(COUNTIF(Table1[[#This Row],[Account number not unique]:[Incomplete data]],"Investigate")&gt;0,"errors noted","OKAY")</f>
        <v>OKAY</v>
      </c>
    </row>
    <row r="197" spans="1:6" ht="13" x14ac:dyDescent="0.25">
      <c r="A197" s="26">
        <v>50101004</v>
      </c>
      <c r="B197" s="29" t="s">
        <v>160</v>
      </c>
      <c r="C197" s="31">
        <v>222337.51</v>
      </c>
      <c r="D197" s="1" t="str">
        <f>IF(COUNTIFS(Table1[ID],Table1[[#This Row],[ID]],Table1[Detail Account],"&lt;&gt;"&amp;Table1[[#This Row],[Detail Account]])=0,"OKAY","Investigate")</f>
        <v>OKAY</v>
      </c>
      <c r="E197" s="15" t="str">
        <f>IF(COUNTA(Table1[[#This Row],[ID]:[Amount]])&lt;&gt;3,"Investigate","OKAY")</f>
        <v>OKAY</v>
      </c>
      <c r="F197" s="22" t="str">
        <f>IF(COUNTIF(Table1[[#This Row],[Account number not unique]:[Incomplete data]],"Investigate")&gt;0,"errors noted","OKAY")</f>
        <v>OKAY</v>
      </c>
    </row>
    <row r="198" spans="1:6" ht="13" x14ac:dyDescent="0.25">
      <c r="A198" s="26">
        <v>50101005</v>
      </c>
      <c r="B198" s="29" t="s">
        <v>161</v>
      </c>
      <c r="C198" s="31">
        <v>635534.64</v>
      </c>
      <c r="D198" s="1" t="str">
        <f>IF(COUNTIFS(Table1[ID],Table1[[#This Row],[ID]],Table1[Detail Account],"&lt;&gt;"&amp;Table1[[#This Row],[Detail Account]])=0,"OKAY","Investigate")</f>
        <v>OKAY</v>
      </c>
      <c r="E198" s="15" t="str">
        <f>IF(COUNTA(Table1[[#This Row],[ID]:[Amount]])&lt;&gt;3,"Investigate","OKAY")</f>
        <v>OKAY</v>
      </c>
      <c r="F198" s="22" t="str">
        <f>IF(COUNTIF(Table1[[#This Row],[Account number not unique]:[Incomplete data]],"Investigate")&gt;0,"errors noted","OKAY")</f>
        <v>OKAY</v>
      </c>
    </row>
    <row r="199" spans="1:6" ht="13" x14ac:dyDescent="0.25">
      <c r="A199" s="26">
        <v>50101006</v>
      </c>
      <c r="B199" s="29" t="s">
        <v>162</v>
      </c>
      <c r="C199" s="32">
        <v>92375.01</v>
      </c>
      <c r="D199" s="1" t="str">
        <f>IF(COUNTIFS(Table1[ID],Table1[[#This Row],[ID]],Table1[Detail Account],"&lt;&gt;"&amp;Table1[[#This Row],[Detail Account]])=0,"OKAY","Investigate")</f>
        <v>OKAY</v>
      </c>
      <c r="E199" s="15" t="str">
        <f>IF(COUNTA(Table1[[#This Row],[ID]:[Amount]])&lt;&gt;3,"Investigate","OKAY")</f>
        <v>OKAY</v>
      </c>
      <c r="F199" s="22" t="str">
        <f>IF(COUNTIF(Table1[[#This Row],[Account number not unique]:[Incomplete data]],"Investigate")&gt;0,"errors noted","OKAY")</f>
        <v>OKAY</v>
      </c>
    </row>
    <row r="200" spans="1:6" ht="13" x14ac:dyDescent="0.25">
      <c r="A200" s="26">
        <v>50101010</v>
      </c>
      <c r="B200" s="29" t="s">
        <v>163</v>
      </c>
      <c r="C200" s="31">
        <v>44977856</v>
      </c>
      <c r="D200" s="1" t="str">
        <f>IF(COUNTIFS(Table1[ID],Table1[[#This Row],[ID]],Table1[Detail Account],"&lt;&gt;"&amp;Table1[[#This Row],[Detail Account]])=0,"OKAY","Investigate")</f>
        <v>OKAY</v>
      </c>
      <c r="E200" s="15" t="str">
        <f>IF(COUNTA(Table1[[#This Row],[ID]:[Amount]])&lt;&gt;3,"Investigate","OKAY")</f>
        <v>OKAY</v>
      </c>
      <c r="F200" s="22" t="str">
        <f>IF(COUNTIF(Table1[[#This Row],[Account number not unique]:[Incomplete data]],"Investigate")&gt;0,"errors noted","OKAY")</f>
        <v>OKAY</v>
      </c>
    </row>
    <row r="201" spans="1:6" ht="13" x14ac:dyDescent="0.25">
      <c r="A201" s="26">
        <v>50101013</v>
      </c>
      <c r="B201" s="29" t="s">
        <v>164</v>
      </c>
      <c r="C201" s="31">
        <v>-0.12</v>
      </c>
      <c r="D201" s="1" t="str">
        <f>IF(COUNTIFS(Table1[ID],Table1[[#This Row],[ID]],Table1[Detail Account],"&lt;&gt;"&amp;Table1[[#This Row],[Detail Account]])=0,"OKAY","Investigate")</f>
        <v>OKAY</v>
      </c>
      <c r="E201" s="15" t="str">
        <f>IF(COUNTA(Table1[[#This Row],[ID]:[Amount]])&lt;&gt;3,"Investigate","OKAY")</f>
        <v>OKAY</v>
      </c>
      <c r="F201" s="22" t="str">
        <f>IF(COUNTIF(Table1[[#This Row],[Account number not unique]:[Incomplete data]],"Investigate")&gt;0,"errors noted","OKAY")</f>
        <v>OKAY</v>
      </c>
    </row>
    <row r="202" spans="1:6" ht="13" x14ac:dyDescent="0.25">
      <c r="A202" s="26">
        <v>50101014</v>
      </c>
      <c r="B202" s="29" t="s">
        <v>165</v>
      </c>
      <c r="C202" s="31">
        <v>-0.21</v>
      </c>
      <c r="D202" s="1" t="str">
        <f>IF(COUNTIFS(Table1[ID],Table1[[#This Row],[ID]],Table1[Detail Account],"&lt;&gt;"&amp;Table1[[#This Row],[Detail Account]])=0,"OKAY","Investigate")</f>
        <v>OKAY</v>
      </c>
      <c r="E202" s="15" t="str">
        <f>IF(COUNTA(Table1[[#This Row],[ID]:[Amount]])&lt;&gt;3,"Investigate","OKAY")</f>
        <v>OKAY</v>
      </c>
      <c r="F202" s="22" t="str">
        <f>IF(COUNTIF(Table1[[#This Row],[Account number not unique]:[Incomplete data]],"Investigate")&gt;0,"errors noted","OKAY")</f>
        <v>OKAY</v>
      </c>
    </row>
    <row r="203" spans="1:6" ht="13" x14ac:dyDescent="0.25">
      <c r="A203" s="26">
        <v>50101017</v>
      </c>
      <c r="B203" s="29" t="s">
        <v>166</v>
      </c>
      <c r="C203" s="31">
        <v>0</v>
      </c>
      <c r="D203" s="1" t="str">
        <f>IF(COUNTIFS(Table1[ID],Table1[[#This Row],[ID]],Table1[Detail Account],"&lt;&gt;"&amp;Table1[[#This Row],[Detail Account]])=0,"OKAY","Investigate")</f>
        <v>OKAY</v>
      </c>
      <c r="E203" s="15" t="str">
        <f>IF(COUNTA(Table1[[#This Row],[ID]:[Amount]])&lt;&gt;3,"Investigate","OKAY")</f>
        <v>OKAY</v>
      </c>
      <c r="F203" s="22" t="str">
        <f>IF(COUNTIF(Table1[[#This Row],[Account number not unique]:[Incomplete data]],"Investigate")&gt;0,"errors noted","OKAY")</f>
        <v>OKAY</v>
      </c>
    </row>
    <row r="204" spans="1:6" ht="13" x14ac:dyDescent="0.25">
      <c r="A204" s="26">
        <v>50101022</v>
      </c>
      <c r="B204" s="29" t="s">
        <v>305</v>
      </c>
      <c r="C204" s="31">
        <v>242.92</v>
      </c>
      <c r="D204" s="1" t="str">
        <f>IF(COUNTIFS(Table1[ID],Table1[[#This Row],[ID]],Table1[Detail Account],"&lt;&gt;"&amp;Table1[[#This Row],[Detail Account]])=0,"OKAY","Investigate")</f>
        <v>OKAY</v>
      </c>
      <c r="E204" s="15" t="str">
        <f>IF(COUNTA(Table1[[#This Row],[ID]:[Amount]])&lt;&gt;3,"Investigate","OKAY")</f>
        <v>OKAY</v>
      </c>
      <c r="F204" s="22" t="str">
        <f>IF(COUNTIF(Table1[[#This Row],[Account number not unique]:[Incomplete data]],"Investigate")&gt;0,"errors noted","OKAY")</f>
        <v>OKAY</v>
      </c>
    </row>
    <row r="205" spans="1:6" ht="13" x14ac:dyDescent="0.25">
      <c r="A205" s="26">
        <v>50101023</v>
      </c>
      <c r="B205" s="29" t="s">
        <v>167</v>
      </c>
      <c r="C205" s="31">
        <v>638</v>
      </c>
      <c r="D205" s="1" t="str">
        <f>IF(COUNTIFS(Table1[ID],Table1[[#This Row],[ID]],Table1[Detail Account],"&lt;&gt;"&amp;Table1[[#This Row],[Detail Account]])=0,"OKAY","Investigate")</f>
        <v>OKAY</v>
      </c>
      <c r="E205" s="15" t="str">
        <f>IF(COUNTA(Table1[[#This Row],[ID]:[Amount]])&lt;&gt;3,"Investigate","OKAY")</f>
        <v>OKAY</v>
      </c>
      <c r="F205" s="22" t="str">
        <f>IF(COUNTIF(Table1[[#This Row],[Account number not unique]:[Incomplete data]],"Investigate")&gt;0,"errors noted","OKAY")</f>
        <v>OKAY</v>
      </c>
    </row>
    <row r="206" spans="1:6" ht="13" x14ac:dyDescent="0.25">
      <c r="A206" s="26">
        <v>50101035</v>
      </c>
      <c r="B206" s="29" t="s">
        <v>168</v>
      </c>
      <c r="C206" s="32">
        <v>41571.14</v>
      </c>
      <c r="D206" s="1" t="str">
        <f>IF(COUNTIFS(Table1[ID],Table1[[#This Row],[ID]],Table1[Detail Account],"&lt;&gt;"&amp;Table1[[#This Row],[Detail Account]])=0,"OKAY","Investigate")</f>
        <v>OKAY</v>
      </c>
      <c r="E206" s="15" t="str">
        <f>IF(COUNTA(Table1[[#This Row],[ID]:[Amount]])&lt;&gt;3,"Investigate","OKAY")</f>
        <v>OKAY</v>
      </c>
      <c r="F206" s="22" t="str">
        <f>IF(COUNTIF(Table1[[#This Row],[Account number not unique]:[Incomplete data]],"Investigate")&gt;0,"errors noted","OKAY")</f>
        <v>OKAY</v>
      </c>
    </row>
    <row r="207" spans="1:6" ht="13" x14ac:dyDescent="0.25">
      <c r="A207" s="26">
        <v>50101044</v>
      </c>
      <c r="B207" s="30" t="s">
        <v>169</v>
      </c>
      <c r="C207" s="31">
        <v>8320.06</v>
      </c>
      <c r="D207" s="1" t="str">
        <f>IF(COUNTIFS(Table1[ID],Table1[[#This Row],[ID]],Table1[Detail Account],"&lt;&gt;"&amp;Table1[[#This Row],[Detail Account]])=0,"OKAY","Investigate")</f>
        <v>OKAY</v>
      </c>
      <c r="E207" s="15" t="str">
        <f>IF(COUNTA(Table1[[#This Row],[ID]:[Amount]])&lt;&gt;3,"Investigate","OKAY")</f>
        <v>OKAY</v>
      </c>
      <c r="F207" s="22" t="str">
        <f>IF(COUNTIF(Table1[[#This Row],[Account number not unique]:[Incomplete data]],"Investigate")&gt;0,"errors noted","OKAY")</f>
        <v>OKAY</v>
      </c>
    </row>
    <row r="208" spans="1:6" ht="13" x14ac:dyDescent="0.25">
      <c r="A208" s="26">
        <v>50201001</v>
      </c>
      <c r="B208" s="29" t="s">
        <v>170</v>
      </c>
      <c r="C208" s="31">
        <v>6751127.8899999997</v>
      </c>
      <c r="D208" s="1" t="str">
        <f>IF(COUNTIFS(Table1[ID],Table1[[#This Row],[ID]],Table1[Detail Account],"&lt;&gt;"&amp;Table1[[#This Row],[Detail Account]])=0,"OKAY","Investigate")</f>
        <v>OKAY</v>
      </c>
      <c r="E208" s="15" t="str">
        <f>IF(COUNTA(Table1[[#This Row],[ID]:[Amount]])&lt;&gt;3,"Investigate","OKAY")</f>
        <v>OKAY</v>
      </c>
      <c r="F208" s="22" t="str">
        <f>IF(COUNTIF(Table1[[#This Row],[Account number not unique]:[Incomplete data]],"Investigate")&gt;0,"errors noted","OKAY")</f>
        <v>OKAY</v>
      </c>
    </row>
    <row r="209" spans="1:6" ht="13" x14ac:dyDescent="0.25">
      <c r="A209" s="26">
        <v>50201002</v>
      </c>
      <c r="B209" s="29" t="s">
        <v>171</v>
      </c>
      <c r="C209" s="31">
        <v>254475.01</v>
      </c>
      <c r="D209" s="1" t="str">
        <f>IF(COUNTIFS(Table1[ID],Table1[[#This Row],[ID]],Table1[Detail Account],"&lt;&gt;"&amp;Table1[[#This Row],[Detail Account]])=0,"OKAY","Investigate")</f>
        <v>OKAY</v>
      </c>
      <c r="E209" s="15" t="str">
        <f>IF(COUNTA(Table1[[#This Row],[ID]:[Amount]])&lt;&gt;3,"Investigate","OKAY")</f>
        <v>OKAY</v>
      </c>
      <c r="F209" s="22" t="str">
        <f>IF(COUNTIF(Table1[[#This Row],[Account number not unique]:[Incomplete data]],"Investigate")&gt;0,"errors noted","OKAY")</f>
        <v>OKAY</v>
      </c>
    </row>
    <row r="210" spans="1:6" ht="13" x14ac:dyDescent="0.25">
      <c r="A210" s="26">
        <v>50201003</v>
      </c>
      <c r="B210" s="29" t="s">
        <v>172</v>
      </c>
      <c r="C210" s="31">
        <v>1583687.8</v>
      </c>
      <c r="D210" s="1" t="str">
        <f>IF(COUNTIFS(Table1[ID],Table1[[#This Row],[ID]],Table1[Detail Account],"&lt;&gt;"&amp;Table1[[#This Row],[Detail Account]])=0,"OKAY","Investigate")</f>
        <v>OKAY</v>
      </c>
      <c r="E210" s="15" t="str">
        <f>IF(COUNTA(Table1[[#This Row],[ID]:[Amount]])&lt;&gt;3,"Investigate","OKAY")</f>
        <v>OKAY</v>
      </c>
      <c r="F210" s="22" t="str">
        <f>IF(COUNTIF(Table1[[#This Row],[Account number not unique]:[Incomplete data]],"Investigate")&gt;0,"errors noted","OKAY")</f>
        <v>OKAY</v>
      </c>
    </row>
    <row r="211" spans="1:6" ht="13" x14ac:dyDescent="0.25">
      <c r="A211" s="26">
        <v>50201005</v>
      </c>
      <c r="B211" s="29" t="s">
        <v>173</v>
      </c>
      <c r="C211" s="31">
        <v>56825.13</v>
      </c>
      <c r="D211" s="1" t="str">
        <f>IF(COUNTIFS(Table1[ID],Table1[[#This Row],[ID]],Table1[Detail Account],"&lt;&gt;"&amp;Table1[[#This Row],[Detail Account]])=0,"OKAY","Investigate")</f>
        <v>OKAY</v>
      </c>
      <c r="E211" s="15" t="str">
        <f>IF(COUNTA(Table1[[#This Row],[ID]:[Amount]])&lt;&gt;3,"Investigate","OKAY")</f>
        <v>OKAY</v>
      </c>
      <c r="F211" s="22" t="str">
        <f>IF(COUNTIF(Table1[[#This Row],[Account number not unique]:[Incomplete data]],"Investigate")&gt;0,"errors noted","OKAY")</f>
        <v>OKAY</v>
      </c>
    </row>
    <row r="212" spans="1:6" ht="13" x14ac:dyDescent="0.25">
      <c r="A212" s="26">
        <v>50201007</v>
      </c>
      <c r="B212" s="29" t="s">
        <v>174</v>
      </c>
      <c r="C212" s="31">
        <v>134211.93</v>
      </c>
      <c r="D212" s="1" t="str">
        <f>IF(COUNTIFS(Table1[ID],Table1[[#This Row],[ID]],Table1[Detail Account],"&lt;&gt;"&amp;Table1[[#This Row],[Detail Account]])=0,"OKAY","Investigate")</f>
        <v>OKAY</v>
      </c>
      <c r="E212" s="15" t="str">
        <f>IF(COUNTA(Table1[[#This Row],[ID]:[Amount]])&lt;&gt;3,"Investigate","OKAY")</f>
        <v>OKAY</v>
      </c>
      <c r="F212" s="22" t="str">
        <f>IF(COUNTIF(Table1[[#This Row],[Account number not unique]:[Incomplete data]],"Investigate")&gt;0,"errors noted","OKAY")</f>
        <v>OKAY</v>
      </c>
    </row>
    <row r="213" spans="1:6" ht="13" x14ac:dyDescent="0.25">
      <c r="A213" s="26">
        <v>50201008</v>
      </c>
      <c r="B213" s="29" t="s">
        <v>175</v>
      </c>
      <c r="C213" s="31">
        <v>3052.2</v>
      </c>
      <c r="D213" s="1" t="str">
        <f>IF(COUNTIFS(Table1[ID],Table1[[#This Row],[ID]],Table1[Detail Account],"&lt;&gt;"&amp;Table1[[#This Row],[Detail Account]])=0,"OKAY","Investigate")</f>
        <v>OKAY</v>
      </c>
      <c r="E213" s="15" t="str">
        <f>IF(COUNTA(Table1[[#This Row],[ID]:[Amount]])&lt;&gt;3,"Investigate","OKAY")</f>
        <v>OKAY</v>
      </c>
      <c r="F213" s="22" t="str">
        <f>IF(COUNTIF(Table1[[#This Row],[Account number not unique]:[Incomplete data]],"Investigate")&gt;0,"errors noted","OKAY")</f>
        <v>OKAY</v>
      </c>
    </row>
    <row r="214" spans="1:6" ht="13" x14ac:dyDescent="0.25">
      <c r="A214" s="26">
        <v>50201009</v>
      </c>
      <c r="B214" s="29" t="s">
        <v>176</v>
      </c>
      <c r="C214" s="31">
        <v>561800.15</v>
      </c>
      <c r="D214" s="1" t="str">
        <f>IF(COUNTIFS(Table1[ID],Table1[[#This Row],[ID]],Table1[Detail Account],"&lt;&gt;"&amp;Table1[[#This Row],[Detail Account]])=0,"OKAY","Investigate")</f>
        <v>OKAY</v>
      </c>
      <c r="E214" s="15" t="str">
        <f>IF(COUNTA(Table1[[#This Row],[ID]:[Amount]])&lt;&gt;3,"Investigate","OKAY")</f>
        <v>OKAY</v>
      </c>
      <c r="F214" s="22" t="str">
        <f>IF(COUNTIF(Table1[[#This Row],[Account number not unique]:[Incomplete data]],"Investigate")&gt;0,"errors noted","OKAY")</f>
        <v>OKAY</v>
      </c>
    </row>
    <row r="215" spans="1:6" ht="13" x14ac:dyDescent="0.25">
      <c r="A215" s="26">
        <v>50201010</v>
      </c>
      <c r="B215" s="29" t="s">
        <v>177</v>
      </c>
      <c r="C215" s="31">
        <v>284758.48</v>
      </c>
      <c r="D215" s="1" t="str">
        <f>IF(COUNTIFS(Table1[ID],Table1[[#This Row],[ID]],Table1[Detail Account],"&lt;&gt;"&amp;Table1[[#This Row],[Detail Account]])=0,"OKAY","Investigate")</f>
        <v>OKAY</v>
      </c>
      <c r="E215" s="15" t="str">
        <f>IF(COUNTA(Table1[[#This Row],[ID]:[Amount]])&lt;&gt;3,"Investigate","OKAY")</f>
        <v>OKAY</v>
      </c>
      <c r="F215" s="22" t="str">
        <f>IF(COUNTIF(Table1[[#This Row],[Account number not unique]:[Incomplete data]],"Investigate")&gt;0,"errors noted","OKAY")</f>
        <v>OKAY</v>
      </c>
    </row>
    <row r="216" spans="1:6" ht="13" x14ac:dyDescent="0.25">
      <c r="A216" s="26">
        <v>50201012</v>
      </c>
      <c r="B216" s="29" t="s">
        <v>178</v>
      </c>
      <c r="C216" s="31">
        <v>157506.84</v>
      </c>
      <c r="D216" s="1" t="str">
        <f>IF(COUNTIFS(Table1[ID],Table1[[#This Row],[ID]],Table1[Detail Account],"&lt;&gt;"&amp;Table1[[#This Row],[Detail Account]])=0,"OKAY","Investigate")</f>
        <v>OKAY</v>
      </c>
      <c r="E216" s="15" t="str">
        <f>IF(COUNTA(Table1[[#This Row],[ID]:[Amount]])&lt;&gt;3,"Investigate","OKAY")</f>
        <v>OKAY</v>
      </c>
      <c r="F216" s="22" t="str">
        <f>IF(COUNTIF(Table1[[#This Row],[Account number not unique]:[Incomplete data]],"Investigate")&gt;0,"errors noted","OKAY")</f>
        <v>OKAY</v>
      </c>
    </row>
    <row r="217" spans="1:6" ht="13" x14ac:dyDescent="0.25">
      <c r="A217" s="26">
        <v>50201013</v>
      </c>
      <c r="B217" s="29" t="s">
        <v>179</v>
      </c>
      <c r="C217" s="31">
        <v>554574.80000000005</v>
      </c>
      <c r="D217" s="1" t="str">
        <f>IF(COUNTIFS(Table1[ID],Table1[[#This Row],[ID]],Table1[Detail Account],"&lt;&gt;"&amp;Table1[[#This Row],[Detail Account]])=0,"OKAY","Investigate")</f>
        <v>OKAY</v>
      </c>
      <c r="E217" s="15" t="str">
        <f>IF(COUNTA(Table1[[#This Row],[ID]:[Amount]])&lt;&gt;3,"Investigate","OKAY")</f>
        <v>OKAY</v>
      </c>
      <c r="F217" s="22" t="str">
        <f>IF(COUNTIF(Table1[[#This Row],[Account number not unique]:[Incomplete data]],"Investigate")&gt;0,"errors noted","OKAY")</f>
        <v>OKAY</v>
      </c>
    </row>
    <row r="218" spans="1:6" ht="13" x14ac:dyDescent="0.25">
      <c r="A218" s="26">
        <v>50201015</v>
      </c>
      <c r="B218" s="29" t="s">
        <v>180</v>
      </c>
      <c r="C218" s="31">
        <v>200.65</v>
      </c>
      <c r="D218" s="1" t="str">
        <f>IF(COUNTIFS(Table1[ID],Table1[[#This Row],[ID]],Table1[Detail Account],"&lt;&gt;"&amp;Table1[[#This Row],[Detail Account]])=0,"OKAY","Investigate")</f>
        <v>OKAY</v>
      </c>
      <c r="E218" s="15" t="str">
        <f>IF(COUNTA(Table1[[#This Row],[ID]:[Amount]])&lt;&gt;3,"Investigate","OKAY")</f>
        <v>OKAY</v>
      </c>
      <c r="F218" s="22" t="str">
        <f>IF(COUNTIF(Table1[[#This Row],[Account number not unique]:[Incomplete data]],"Investigate")&gt;0,"errors noted","OKAY")</f>
        <v>OKAY</v>
      </c>
    </row>
    <row r="219" spans="1:6" ht="13" x14ac:dyDescent="0.25">
      <c r="A219" s="26">
        <v>50201025</v>
      </c>
      <c r="B219" s="29" t="s">
        <v>306</v>
      </c>
      <c r="C219" s="31">
        <v>18207.75</v>
      </c>
      <c r="D219" s="1" t="str">
        <f>IF(COUNTIFS(Table1[ID],Table1[[#This Row],[ID]],Table1[Detail Account],"&lt;&gt;"&amp;Table1[[#This Row],[Detail Account]])=0,"OKAY","Investigate")</f>
        <v>OKAY</v>
      </c>
      <c r="E219" s="15" t="str">
        <f>IF(COUNTA(Table1[[#This Row],[ID]:[Amount]])&lt;&gt;3,"Investigate","OKAY")</f>
        <v>OKAY</v>
      </c>
      <c r="F219" s="22" t="str">
        <f>IF(COUNTIF(Table1[[#This Row],[Account number not unique]:[Incomplete data]],"Investigate")&gt;0,"errors noted","OKAY")</f>
        <v>OKAY</v>
      </c>
    </row>
    <row r="220" spans="1:6" ht="13" x14ac:dyDescent="0.25">
      <c r="A220" s="27">
        <v>50202001</v>
      </c>
      <c r="B220" s="29" t="s">
        <v>181</v>
      </c>
      <c r="C220" s="31">
        <v>561.45000000000005</v>
      </c>
      <c r="D220" s="1" t="str">
        <f>IF(COUNTIFS(Table1[ID],Table1[[#This Row],[ID]],Table1[Detail Account],"&lt;&gt;"&amp;Table1[[#This Row],[Detail Account]])=0,"OKAY","Investigate")</f>
        <v>OKAY</v>
      </c>
      <c r="E220" s="15" t="str">
        <f>IF(COUNTA(Table1[[#This Row],[ID]:[Amount]])&lt;&gt;3,"Investigate","OKAY")</f>
        <v>OKAY</v>
      </c>
      <c r="F220" s="22" t="str">
        <f>IF(COUNTIF(Table1[[#This Row],[Account number not unique]:[Incomplete data]],"Investigate")&gt;0,"errors noted","OKAY")</f>
        <v>OKAY</v>
      </c>
    </row>
    <row r="221" spans="1:6" ht="13" x14ac:dyDescent="0.25">
      <c r="A221" s="27">
        <v>50202003</v>
      </c>
      <c r="B221" s="29" t="s">
        <v>182</v>
      </c>
      <c r="C221" s="31">
        <v>10060.43</v>
      </c>
      <c r="D221" s="1" t="str">
        <f>IF(COUNTIFS(Table1[ID],Table1[[#This Row],[ID]],Table1[Detail Account],"&lt;&gt;"&amp;Table1[[#This Row],[Detail Account]])=0,"OKAY","Investigate")</f>
        <v>OKAY</v>
      </c>
      <c r="E221" s="15" t="str">
        <f>IF(COUNTA(Table1[[#This Row],[ID]:[Amount]])&lt;&gt;3,"Investigate","OKAY")</f>
        <v>OKAY</v>
      </c>
      <c r="F221" s="22" t="str">
        <f>IF(COUNTIF(Table1[[#This Row],[Account number not unique]:[Incomplete data]],"Investigate")&gt;0,"errors noted","OKAY")</f>
        <v>OKAY</v>
      </c>
    </row>
    <row r="222" spans="1:6" ht="13" x14ac:dyDescent="0.25">
      <c r="A222" s="27">
        <v>50202005</v>
      </c>
      <c r="B222" s="29" t="s">
        <v>183</v>
      </c>
      <c r="C222" s="31">
        <v>19617.66</v>
      </c>
      <c r="D222" s="1" t="str">
        <f>IF(COUNTIFS(Table1[ID],Table1[[#This Row],[ID]],Table1[Detail Account],"&lt;&gt;"&amp;Table1[[#This Row],[Detail Account]])=0,"OKAY","Investigate")</f>
        <v>OKAY</v>
      </c>
      <c r="E222" s="15" t="str">
        <f>IF(COUNTA(Table1[[#This Row],[ID]:[Amount]])&lt;&gt;3,"Investigate","OKAY")</f>
        <v>OKAY</v>
      </c>
      <c r="F222" s="22" t="str">
        <f>IF(COUNTIF(Table1[[#This Row],[Account number not unique]:[Incomplete data]],"Investigate")&gt;0,"errors noted","OKAY")</f>
        <v>OKAY</v>
      </c>
    </row>
    <row r="223" spans="1:6" ht="13" x14ac:dyDescent="0.25">
      <c r="A223" s="27">
        <v>50301001</v>
      </c>
      <c r="B223" s="29" t="s">
        <v>184</v>
      </c>
      <c r="C223" s="31">
        <v>752148.05</v>
      </c>
      <c r="D223" s="1" t="str">
        <f>IF(COUNTIFS(Table1[ID],Table1[[#This Row],[ID]],Table1[Detail Account],"&lt;&gt;"&amp;Table1[[#This Row],[Detail Account]])=0,"OKAY","Investigate")</f>
        <v>OKAY</v>
      </c>
      <c r="E223" s="15" t="str">
        <f>IF(COUNTA(Table1[[#This Row],[ID]:[Amount]])&lt;&gt;3,"Investigate","OKAY")</f>
        <v>OKAY</v>
      </c>
      <c r="F223" s="22" t="str">
        <f>IF(COUNTIF(Table1[[#This Row],[Account number not unique]:[Incomplete data]],"Investigate")&gt;0,"errors noted","OKAY")</f>
        <v>OKAY</v>
      </c>
    </row>
    <row r="224" spans="1:6" ht="13" x14ac:dyDescent="0.25">
      <c r="A224" s="26">
        <v>50301002</v>
      </c>
      <c r="B224" s="29" t="s">
        <v>185</v>
      </c>
      <c r="C224" s="31">
        <v>18513.53</v>
      </c>
      <c r="D224" s="1" t="str">
        <f>IF(COUNTIFS(Table1[ID],Table1[[#This Row],[ID]],Table1[Detail Account],"&lt;&gt;"&amp;Table1[[#This Row],[Detail Account]])=0,"OKAY","Investigate")</f>
        <v>OKAY</v>
      </c>
      <c r="E224" s="15" t="str">
        <f>IF(COUNTA(Table1[[#This Row],[ID]:[Amount]])&lt;&gt;3,"Investigate","OKAY")</f>
        <v>OKAY</v>
      </c>
      <c r="F224" s="22" t="str">
        <f>IF(COUNTIF(Table1[[#This Row],[Account number not unique]:[Incomplete data]],"Investigate")&gt;0,"errors noted","OKAY")</f>
        <v>OKAY</v>
      </c>
    </row>
    <row r="225" spans="1:6" ht="13" x14ac:dyDescent="0.25">
      <c r="A225" s="27">
        <v>50306001</v>
      </c>
      <c r="B225" s="29" t="s">
        <v>186</v>
      </c>
      <c r="C225" s="31">
        <v>621313.5</v>
      </c>
      <c r="D225" s="1" t="str">
        <f>IF(COUNTIFS(Table1[ID],Table1[[#This Row],[ID]],Table1[Detail Account],"&lt;&gt;"&amp;Table1[[#This Row],[Detail Account]])=0,"OKAY","Investigate")</f>
        <v>OKAY</v>
      </c>
      <c r="E225" s="15" t="str">
        <f>IF(COUNTA(Table1[[#This Row],[ID]:[Amount]])&lt;&gt;3,"Investigate","OKAY")</f>
        <v>OKAY</v>
      </c>
      <c r="F225" s="22" t="str">
        <f>IF(COUNTIF(Table1[[#This Row],[Account number not unique]:[Incomplete data]],"Investigate")&gt;0,"errors noted","OKAY")</f>
        <v>OKAY</v>
      </c>
    </row>
    <row r="226" spans="1:6" ht="13" x14ac:dyDescent="0.25">
      <c r="A226" s="26">
        <v>50307002</v>
      </c>
      <c r="B226" s="29" t="s">
        <v>187</v>
      </c>
      <c r="C226" s="31">
        <v>68411.23</v>
      </c>
      <c r="D226" s="1" t="str">
        <f>IF(COUNTIFS(Table1[ID],Table1[[#This Row],[ID]],Table1[Detail Account],"&lt;&gt;"&amp;Table1[[#This Row],[Detail Account]])=0,"OKAY","Investigate")</f>
        <v>OKAY</v>
      </c>
      <c r="E226" s="15" t="str">
        <f>IF(COUNTA(Table1[[#This Row],[ID]:[Amount]])&lt;&gt;3,"Investigate","OKAY")</f>
        <v>OKAY</v>
      </c>
      <c r="F226" s="22" t="str">
        <f>IF(COUNTIF(Table1[[#This Row],[Account number not unique]:[Incomplete data]],"Investigate")&gt;0,"errors noted","OKAY")</f>
        <v>OKAY</v>
      </c>
    </row>
    <row r="227" spans="1:6" ht="13" x14ac:dyDescent="0.25">
      <c r="A227" s="26">
        <v>50307003</v>
      </c>
      <c r="B227" s="29" t="s">
        <v>188</v>
      </c>
      <c r="C227" s="31">
        <v>583631.16</v>
      </c>
      <c r="D227" s="1" t="str">
        <f>IF(COUNTIFS(Table1[ID],Table1[[#This Row],[ID]],Table1[Detail Account],"&lt;&gt;"&amp;Table1[[#This Row],[Detail Account]])=0,"OKAY","Investigate")</f>
        <v>OKAY</v>
      </c>
      <c r="E227" s="15" t="str">
        <f>IF(COUNTA(Table1[[#This Row],[ID]:[Amount]])&lt;&gt;3,"Investigate","OKAY")</f>
        <v>OKAY</v>
      </c>
      <c r="F227" s="22" t="str">
        <f>IF(COUNTIF(Table1[[#This Row],[Account number not unique]:[Incomplete data]],"Investigate")&gt;0,"errors noted","OKAY")</f>
        <v>OKAY</v>
      </c>
    </row>
    <row r="228" spans="1:6" ht="13" x14ac:dyDescent="0.25">
      <c r="A228" s="26">
        <v>50307004</v>
      </c>
      <c r="B228" s="29" t="s">
        <v>189</v>
      </c>
      <c r="C228" s="31">
        <v>82481.58</v>
      </c>
      <c r="D228" s="1" t="str">
        <f>IF(COUNTIFS(Table1[ID],Table1[[#This Row],[ID]],Table1[Detail Account],"&lt;&gt;"&amp;Table1[[#This Row],[Detail Account]])=0,"OKAY","Investigate")</f>
        <v>OKAY</v>
      </c>
      <c r="E228" s="15" t="str">
        <f>IF(COUNTA(Table1[[#This Row],[ID]:[Amount]])&lt;&gt;3,"Investigate","OKAY")</f>
        <v>OKAY</v>
      </c>
      <c r="F228" s="22" t="str">
        <f>IF(COUNTIF(Table1[[#This Row],[Account number not unique]:[Incomplete data]],"Investigate")&gt;0,"errors noted","OKAY")</f>
        <v>OKAY</v>
      </c>
    </row>
    <row r="229" spans="1:6" ht="13" x14ac:dyDescent="0.25">
      <c r="A229" s="26">
        <v>50307006</v>
      </c>
      <c r="B229" s="29" t="s">
        <v>190</v>
      </c>
      <c r="C229" s="31">
        <v>16946.939999999999</v>
      </c>
      <c r="D229" s="1" t="str">
        <f>IF(COUNTIFS(Table1[ID],Table1[[#This Row],[ID]],Table1[Detail Account],"&lt;&gt;"&amp;Table1[[#This Row],[Detail Account]])=0,"OKAY","Investigate")</f>
        <v>OKAY</v>
      </c>
      <c r="E229" s="15" t="str">
        <f>IF(COUNTA(Table1[[#This Row],[ID]:[Amount]])&lt;&gt;3,"Investigate","OKAY")</f>
        <v>OKAY</v>
      </c>
      <c r="F229" s="22" t="str">
        <f>IF(COUNTIF(Table1[[#This Row],[Account number not unique]:[Incomplete data]],"Investigate")&gt;0,"errors noted","OKAY")</f>
        <v>OKAY</v>
      </c>
    </row>
    <row r="230" spans="1:6" ht="13" x14ac:dyDescent="0.25">
      <c r="A230" s="26">
        <v>50307007</v>
      </c>
      <c r="B230" s="29" t="s">
        <v>191</v>
      </c>
      <c r="C230" s="31">
        <v>12289.57</v>
      </c>
      <c r="D230" s="1" t="str">
        <f>IF(COUNTIFS(Table1[ID],Table1[[#This Row],[ID]],Table1[Detail Account],"&lt;&gt;"&amp;Table1[[#This Row],[Detail Account]])=0,"OKAY","Investigate")</f>
        <v>OKAY</v>
      </c>
      <c r="E230" s="15" t="str">
        <f>IF(COUNTA(Table1[[#This Row],[ID]:[Amount]])&lt;&gt;3,"Investigate","OKAY")</f>
        <v>OKAY</v>
      </c>
      <c r="F230" s="22" t="str">
        <f>IF(COUNTIF(Table1[[#This Row],[Account number not unique]:[Incomplete data]],"Investigate")&gt;0,"errors noted","OKAY")</f>
        <v>OKAY</v>
      </c>
    </row>
    <row r="231" spans="1:6" ht="13" x14ac:dyDescent="0.25">
      <c r="A231" s="26">
        <v>50308001</v>
      </c>
      <c r="B231" s="29" t="s">
        <v>192</v>
      </c>
      <c r="C231" s="31">
        <v>173846.96</v>
      </c>
      <c r="D231" s="1" t="str">
        <f>IF(COUNTIFS(Table1[ID],Table1[[#This Row],[ID]],Table1[Detail Account],"&lt;&gt;"&amp;Table1[[#This Row],[Detail Account]])=0,"OKAY","Investigate")</f>
        <v>OKAY</v>
      </c>
      <c r="E231" s="15" t="str">
        <f>IF(COUNTA(Table1[[#This Row],[ID]:[Amount]])&lt;&gt;3,"Investigate","OKAY")</f>
        <v>OKAY</v>
      </c>
      <c r="F231" s="22" t="str">
        <f>IF(COUNTIF(Table1[[#This Row],[Account number not unique]:[Incomplete data]],"Investigate")&gt;0,"errors noted","OKAY")</f>
        <v>OKAY</v>
      </c>
    </row>
    <row r="232" spans="1:6" ht="13" x14ac:dyDescent="0.25">
      <c r="A232" s="26">
        <v>50308003</v>
      </c>
      <c r="B232" s="29" t="s">
        <v>193</v>
      </c>
      <c r="C232" s="31">
        <v>563615.32999999996</v>
      </c>
      <c r="D232" s="1" t="str">
        <f>IF(COUNTIFS(Table1[ID],Table1[[#This Row],[ID]],Table1[Detail Account],"&lt;&gt;"&amp;Table1[[#This Row],[Detail Account]])=0,"OKAY","Investigate")</f>
        <v>OKAY</v>
      </c>
      <c r="E232" s="15" t="str">
        <f>IF(COUNTA(Table1[[#This Row],[ID]:[Amount]])&lt;&gt;3,"Investigate","OKAY")</f>
        <v>OKAY</v>
      </c>
      <c r="F232" s="22" t="str">
        <f>IF(COUNTIF(Table1[[#This Row],[Account number not unique]:[Incomplete data]],"Investigate")&gt;0,"errors noted","OKAY")</f>
        <v>OKAY</v>
      </c>
    </row>
    <row r="233" spans="1:6" ht="13" x14ac:dyDescent="0.25">
      <c r="A233" s="26">
        <v>50308004</v>
      </c>
      <c r="B233" s="29" t="s">
        <v>194</v>
      </c>
      <c r="C233" s="31">
        <v>101611.75</v>
      </c>
      <c r="D233" s="1" t="str">
        <f>IF(COUNTIFS(Table1[ID],Table1[[#This Row],[ID]],Table1[Detail Account],"&lt;&gt;"&amp;Table1[[#This Row],[Detail Account]])=0,"OKAY","Investigate")</f>
        <v>OKAY</v>
      </c>
      <c r="E233" s="15" t="str">
        <f>IF(COUNTA(Table1[[#This Row],[ID]:[Amount]])&lt;&gt;3,"Investigate","OKAY")</f>
        <v>OKAY</v>
      </c>
      <c r="F233" s="22" t="str">
        <f>IF(COUNTIF(Table1[[#This Row],[Account number not unique]:[Incomplete data]],"Investigate")&gt;0,"errors noted","OKAY")</f>
        <v>OKAY</v>
      </c>
    </row>
    <row r="234" spans="1:6" ht="13" x14ac:dyDescent="0.25">
      <c r="A234" s="26">
        <v>50308005</v>
      </c>
      <c r="B234" s="29" t="s">
        <v>195</v>
      </c>
      <c r="C234" s="31">
        <v>64630.1</v>
      </c>
      <c r="D234" s="1" t="str">
        <f>IF(COUNTIFS(Table1[ID],Table1[[#This Row],[ID]],Table1[Detail Account],"&lt;&gt;"&amp;Table1[[#This Row],[Detail Account]])=0,"OKAY","Investigate")</f>
        <v>OKAY</v>
      </c>
      <c r="E234" s="15" t="str">
        <f>IF(COUNTA(Table1[[#This Row],[ID]:[Amount]])&lt;&gt;3,"Investigate","OKAY")</f>
        <v>OKAY</v>
      </c>
      <c r="F234" s="22" t="str">
        <f>IF(COUNTIF(Table1[[#This Row],[Account number not unique]:[Incomplete data]],"Investigate")&gt;0,"errors noted","OKAY")</f>
        <v>OKAY</v>
      </c>
    </row>
    <row r="235" spans="1:6" ht="13" x14ac:dyDescent="0.25">
      <c r="A235" s="26">
        <v>50308006</v>
      </c>
      <c r="B235" s="29" t="s">
        <v>196</v>
      </c>
      <c r="C235" s="31">
        <v>29516.17</v>
      </c>
      <c r="D235" s="1" t="str">
        <f>IF(COUNTIFS(Table1[ID],Table1[[#This Row],[ID]],Table1[Detail Account],"&lt;&gt;"&amp;Table1[[#This Row],[Detail Account]])=0,"OKAY","Investigate")</f>
        <v>OKAY</v>
      </c>
      <c r="E235" s="15" t="str">
        <f>IF(COUNTA(Table1[[#This Row],[ID]:[Amount]])&lt;&gt;3,"Investigate","OKAY")</f>
        <v>OKAY</v>
      </c>
      <c r="F235" s="22" t="str">
        <f>IF(COUNTIF(Table1[[#This Row],[Account number not unique]:[Incomplete data]],"Investigate")&gt;0,"errors noted","OKAY")</f>
        <v>OKAY</v>
      </c>
    </row>
    <row r="236" spans="1:6" ht="13" x14ac:dyDescent="0.25">
      <c r="A236" s="26">
        <v>50308007</v>
      </c>
      <c r="B236" s="29" t="s">
        <v>197</v>
      </c>
      <c r="C236" s="31">
        <v>1092.79</v>
      </c>
      <c r="D236" s="1" t="str">
        <f>IF(COUNTIFS(Table1[ID],Table1[[#This Row],[ID]],Table1[Detail Account],"&lt;&gt;"&amp;Table1[[#This Row],[Detail Account]])=0,"OKAY","Investigate")</f>
        <v>OKAY</v>
      </c>
      <c r="E236" s="15" t="str">
        <f>IF(COUNTA(Table1[[#This Row],[ID]:[Amount]])&lt;&gt;3,"Investigate","OKAY")</f>
        <v>OKAY</v>
      </c>
      <c r="F236" s="22" t="str">
        <f>IF(COUNTIF(Table1[[#This Row],[Account number not unique]:[Incomplete data]],"Investigate")&gt;0,"errors noted","OKAY")</f>
        <v>OKAY</v>
      </c>
    </row>
    <row r="237" spans="1:6" ht="13" x14ac:dyDescent="0.25">
      <c r="A237" s="26">
        <v>50308008</v>
      </c>
      <c r="B237" s="29" t="s">
        <v>198</v>
      </c>
      <c r="C237" s="31">
        <v>3142.18</v>
      </c>
      <c r="D237" s="1" t="str">
        <f>IF(COUNTIFS(Table1[ID],Table1[[#This Row],[ID]],Table1[Detail Account],"&lt;&gt;"&amp;Table1[[#This Row],[Detail Account]])=0,"OKAY","Investigate")</f>
        <v>OKAY</v>
      </c>
      <c r="E237" s="15" t="str">
        <f>IF(COUNTA(Table1[[#This Row],[ID]:[Amount]])&lt;&gt;3,"Investigate","OKAY")</f>
        <v>OKAY</v>
      </c>
      <c r="F237" s="22" t="str">
        <f>IF(COUNTIF(Table1[[#This Row],[Account number not unique]:[Incomplete data]],"Investigate")&gt;0,"errors noted","OKAY")</f>
        <v>OKAY</v>
      </c>
    </row>
    <row r="238" spans="1:6" ht="13" x14ac:dyDescent="0.25">
      <c r="A238" s="26">
        <v>50308010</v>
      </c>
      <c r="B238" s="29" t="s">
        <v>199</v>
      </c>
      <c r="C238" s="31">
        <v>57772.52</v>
      </c>
      <c r="D238" s="1" t="str">
        <f>IF(COUNTIFS(Table1[ID],Table1[[#This Row],[ID]],Table1[Detail Account],"&lt;&gt;"&amp;Table1[[#This Row],[Detail Account]])=0,"OKAY","Investigate")</f>
        <v>OKAY</v>
      </c>
      <c r="E238" s="15" t="str">
        <f>IF(COUNTA(Table1[[#This Row],[ID]:[Amount]])&lt;&gt;3,"Investigate","OKAY")</f>
        <v>OKAY</v>
      </c>
      <c r="F238" s="22" t="str">
        <f>IF(COUNTIF(Table1[[#This Row],[Account number not unique]:[Incomplete data]],"Investigate")&gt;0,"errors noted","OKAY")</f>
        <v>OKAY</v>
      </c>
    </row>
    <row r="239" spans="1:6" ht="13" x14ac:dyDescent="0.25">
      <c r="A239" s="26">
        <v>50308012</v>
      </c>
      <c r="B239" s="29" t="s">
        <v>200</v>
      </c>
      <c r="C239" s="31">
        <v>0</v>
      </c>
      <c r="D239" s="1" t="str">
        <f>IF(COUNTIFS(Table1[ID],Table1[[#This Row],[ID]],Table1[Detail Account],"&lt;&gt;"&amp;Table1[[#This Row],[Detail Account]])=0,"OKAY","Investigate")</f>
        <v>OKAY</v>
      </c>
      <c r="E239" s="15" t="str">
        <f>IF(COUNTA(Table1[[#This Row],[ID]:[Amount]])&lt;&gt;3,"Investigate","OKAY")</f>
        <v>OKAY</v>
      </c>
      <c r="F239" s="22" t="str">
        <f>IF(COUNTIF(Table1[[#This Row],[Account number not unique]:[Incomplete data]],"Investigate")&gt;0,"errors noted","OKAY")</f>
        <v>OKAY</v>
      </c>
    </row>
    <row r="240" spans="1:6" ht="13" x14ac:dyDescent="0.25">
      <c r="A240" s="26">
        <v>50308015</v>
      </c>
      <c r="B240" s="29" t="s">
        <v>201</v>
      </c>
      <c r="C240" s="31">
        <v>686464.95</v>
      </c>
      <c r="D240" s="1" t="str">
        <f>IF(COUNTIFS(Table1[ID],Table1[[#This Row],[ID]],Table1[Detail Account],"&lt;&gt;"&amp;Table1[[#This Row],[Detail Account]])=0,"OKAY","Investigate")</f>
        <v>OKAY</v>
      </c>
      <c r="E240" s="15" t="str">
        <f>IF(COUNTA(Table1[[#This Row],[ID]:[Amount]])&lt;&gt;3,"Investigate","OKAY")</f>
        <v>OKAY</v>
      </c>
      <c r="F240" s="22" t="str">
        <f>IF(COUNTIF(Table1[[#This Row],[Account number not unique]:[Incomplete data]],"Investigate")&gt;0,"errors noted","OKAY")</f>
        <v>OKAY</v>
      </c>
    </row>
    <row r="241" spans="1:6" ht="13" x14ac:dyDescent="0.25">
      <c r="A241" s="26">
        <v>50308016</v>
      </c>
      <c r="B241" s="29" t="s">
        <v>202</v>
      </c>
      <c r="C241" s="31">
        <v>36675.85</v>
      </c>
      <c r="D241" s="1" t="str">
        <f>IF(COUNTIFS(Table1[ID],Table1[[#This Row],[ID]],Table1[Detail Account],"&lt;&gt;"&amp;Table1[[#This Row],[Detail Account]])=0,"OKAY","Investigate")</f>
        <v>OKAY</v>
      </c>
      <c r="E241" s="15" t="str">
        <f>IF(COUNTA(Table1[[#This Row],[ID]:[Amount]])&lt;&gt;3,"Investigate","OKAY")</f>
        <v>OKAY</v>
      </c>
      <c r="F241" s="22" t="str">
        <f>IF(COUNTIF(Table1[[#This Row],[Account number not unique]:[Incomplete data]],"Investigate")&gt;0,"errors noted","OKAY")</f>
        <v>OKAY</v>
      </c>
    </row>
    <row r="242" spans="1:6" ht="13" x14ac:dyDescent="0.25">
      <c r="A242" s="26">
        <v>50310001</v>
      </c>
      <c r="B242" s="29" t="s">
        <v>203</v>
      </c>
      <c r="C242" s="31">
        <v>52846.98</v>
      </c>
      <c r="D242" s="1" t="str">
        <f>IF(COUNTIFS(Table1[ID],Table1[[#This Row],[ID]],Table1[Detail Account],"&lt;&gt;"&amp;Table1[[#This Row],[Detail Account]])=0,"OKAY","Investigate")</f>
        <v>OKAY</v>
      </c>
      <c r="E242" s="15" t="str">
        <f>IF(COUNTA(Table1[[#This Row],[ID]:[Amount]])&lt;&gt;3,"Investigate","OKAY")</f>
        <v>OKAY</v>
      </c>
      <c r="F242" s="22" t="str">
        <f>IF(COUNTIF(Table1[[#This Row],[Account number not unique]:[Incomplete data]],"Investigate")&gt;0,"errors noted","OKAY")</f>
        <v>OKAY</v>
      </c>
    </row>
    <row r="243" spans="1:6" ht="13" x14ac:dyDescent="0.25">
      <c r="A243" s="26">
        <v>50310002</v>
      </c>
      <c r="B243" s="29" t="s">
        <v>204</v>
      </c>
      <c r="C243" s="31">
        <v>0</v>
      </c>
      <c r="D243" s="1" t="str">
        <f>IF(COUNTIFS(Table1[ID],Table1[[#This Row],[ID]],Table1[Detail Account],"&lt;&gt;"&amp;Table1[[#This Row],[Detail Account]])=0,"OKAY","Investigate")</f>
        <v>OKAY</v>
      </c>
      <c r="E243" s="15" t="str">
        <f>IF(COUNTA(Table1[[#This Row],[ID]:[Amount]])&lt;&gt;3,"Investigate","OKAY")</f>
        <v>OKAY</v>
      </c>
      <c r="F243" s="22" t="str">
        <f>IF(COUNTIF(Table1[[#This Row],[Account number not unique]:[Incomplete data]],"Investigate")&gt;0,"errors noted","OKAY")</f>
        <v>OKAY</v>
      </c>
    </row>
    <row r="244" spans="1:6" ht="13" x14ac:dyDescent="0.25">
      <c r="A244" s="26">
        <v>50401001</v>
      </c>
      <c r="B244" s="29" t="s">
        <v>205</v>
      </c>
      <c r="C244" s="31">
        <v>1036391.09</v>
      </c>
      <c r="D244" s="1" t="str">
        <f>IF(COUNTIFS(Table1[ID],Table1[[#This Row],[ID]],Table1[Detail Account],"&lt;&gt;"&amp;Table1[[#This Row],[Detail Account]])=0,"OKAY","Investigate")</f>
        <v>OKAY</v>
      </c>
      <c r="E244" s="15" t="str">
        <f>IF(COUNTA(Table1[[#This Row],[ID]:[Amount]])&lt;&gt;3,"Investigate","OKAY")</f>
        <v>OKAY</v>
      </c>
      <c r="F244" s="22" t="str">
        <f>IF(COUNTIF(Table1[[#This Row],[Account number not unique]:[Incomplete data]],"Investigate")&gt;0,"errors noted","OKAY")</f>
        <v>OKAY</v>
      </c>
    </row>
    <row r="245" spans="1:6" ht="13" x14ac:dyDescent="0.25">
      <c r="A245" s="26">
        <v>50401002</v>
      </c>
      <c r="B245" s="29" t="s">
        <v>206</v>
      </c>
      <c r="C245" s="31">
        <v>4000</v>
      </c>
      <c r="D245" s="1" t="str">
        <f>IF(COUNTIFS(Table1[ID],Table1[[#This Row],[ID]],Table1[Detail Account],"&lt;&gt;"&amp;Table1[[#This Row],[Detail Account]])=0,"OKAY","Investigate")</f>
        <v>OKAY</v>
      </c>
      <c r="E245" s="15" t="str">
        <f>IF(COUNTA(Table1[[#This Row],[ID]:[Amount]])&lt;&gt;3,"Investigate","OKAY")</f>
        <v>OKAY</v>
      </c>
      <c r="F245" s="22" t="str">
        <f>IF(COUNTIF(Table1[[#This Row],[Account number not unique]:[Incomplete data]],"Investigate")&gt;0,"errors noted","OKAY")</f>
        <v>OKAY</v>
      </c>
    </row>
    <row r="246" spans="1:6" ht="13" x14ac:dyDescent="0.25">
      <c r="A246" s="26">
        <v>50401501</v>
      </c>
      <c r="B246" s="29" t="s">
        <v>207</v>
      </c>
      <c r="C246" s="31">
        <v>2990337.49</v>
      </c>
      <c r="D246" s="1" t="str">
        <f>IF(COUNTIFS(Table1[ID],Table1[[#This Row],[ID]],Table1[Detail Account],"&lt;&gt;"&amp;Table1[[#This Row],[Detail Account]])=0,"OKAY","Investigate")</f>
        <v>OKAY</v>
      </c>
      <c r="E246" s="15" t="str">
        <f>IF(COUNTA(Table1[[#This Row],[ID]:[Amount]])&lt;&gt;3,"Investigate","OKAY")</f>
        <v>OKAY</v>
      </c>
      <c r="F246" s="22" t="str">
        <f>IF(COUNTIF(Table1[[#This Row],[Account number not unique]:[Incomplete data]],"Investigate")&gt;0,"errors noted","OKAY")</f>
        <v>OKAY</v>
      </c>
    </row>
    <row r="247" spans="1:6" ht="13" x14ac:dyDescent="0.25">
      <c r="A247" s="26">
        <v>50401504</v>
      </c>
      <c r="B247" s="29" t="s">
        <v>208</v>
      </c>
      <c r="C247" s="31">
        <v>78282.02</v>
      </c>
      <c r="D247" s="1" t="str">
        <f>IF(COUNTIFS(Table1[ID],Table1[[#This Row],[ID]],Table1[Detail Account],"&lt;&gt;"&amp;Table1[[#This Row],[Detail Account]])=0,"OKAY","Investigate")</f>
        <v>OKAY</v>
      </c>
      <c r="E247" s="15" t="str">
        <f>IF(COUNTA(Table1[[#This Row],[ID]:[Amount]])&lt;&gt;3,"Investigate","OKAY")</f>
        <v>OKAY</v>
      </c>
      <c r="F247" s="22" t="str">
        <f>IF(COUNTIF(Table1[[#This Row],[Account number not unique]:[Incomplete data]],"Investigate")&gt;0,"errors noted","OKAY")</f>
        <v>OKAY</v>
      </c>
    </row>
    <row r="248" spans="1:6" ht="13" x14ac:dyDescent="0.25">
      <c r="A248" s="26">
        <v>50401505</v>
      </c>
      <c r="B248" s="29" t="s">
        <v>209</v>
      </c>
      <c r="C248" s="31">
        <v>21526.11</v>
      </c>
      <c r="D248" s="1" t="str">
        <f>IF(COUNTIFS(Table1[ID],Table1[[#This Row],[ID]],Table1[Detail Account],"&lt;&gt;"&amp;Table1[[#This Row],[Detail Account]])=0,"OKAY","Investigate")</f>
        <v>OKAY</v>
      </c>
      <c r="E248" s="15" t="str">
        <f>IF(COUNTA(Table1[[#This Row],[ID]:[Amount]])&lt;&gt;3,"Investigate","OKAY")</f>
        <v>OKAY</v>
      </c>
      <c r="F248" s="22" t="str">
        <f>IF(COUNTIF(Table1[[#This Row],[Account number not unique]:[Incomplete data]],"Investigate")&gt;0,"errors noted","OKAY")</f>
        <v>OKAY</v>
      </c>
    </row>
    <row r="249" spans="1:6" ht="13" x14ac:dyDescent="0.25">
      <c r="A249" s="26">
        <v>50401506</v>
      </c>
      <c r="B249" s="29" t="s">
        <v>176</v>
      </c>
      <c r="C249" s="31">
        <v>300948.47999999998</v>
      </c>
      <c r="D249" s="1" t="str">
        <f>IF(COUNTIFS(Table1[ID],Table1[[#This Row],[ID]],Table1[Detail Account],"&lt;&gt;"&amp;Table1[[#This Row],[Detail Account]])=0,"OKAY","Investigate")</f>
        <v>OKAY</v>
      </c>
      <c r="E249" s="15" t="str">
        <f>IF(COUNTA(Table1[[#This Row],[ID]:[Amount]])&lt;&gt;3,"Investigate","OKAY")</f>
        <v>OKAY</v>
      </c>
      <c r="F249" s="22" t="str">
        <f>IF(COUNTIF(Table1[[#This Row],[Account number not unique]:[Incomplete data]],"Investigate")&gt;0,"errors noted","OKAY")</f>
        <v>OKAY</v>
      </c>
    </row>
    <row r="250" spans="1:6" ht="13" x14ac:dyDescent="0.25">
      <c r="A250" s="26">
        <v>50401507</v>
      </c>
      <c r="B250" s="29" t="s">
        <v>210</v>
      </c>
      <c r="C250" s="31">
        <v>87117.95</v>
      </c>
      <c r="D250" s="1" t="str">
        <f>IF(COUNTIFS(Table1[ID],Table1[[#This Row],[ID]],Table1[Detail Account],"&lt;&gt;"&amp;Table1[[#This Row],[Detail Account]])=0,"OKAY","Investigate")</f>
        <v>OKAY</v>
      </c>
      <c r="E250" s="15" t="str">
        <f>IF(COUNTA(Table1[[#This Row],[ID]:[Amount]])&lt;&gt;3,"Investigate","OKAY")</f>
        <v>OKAY</v>
      </c>
      <c r="F250" s="22" t="str">
        <f>IF(COUNTIF(Table1[[#This Row],[Account number not unique]:[Incomplete data]],"Investigate")&gt;0,"errors noted","OKAY")</f>
        <v>OKAY</v>
      </c>
    </row>
    <row r="251" spans="1:6" ht="13" x14ac:dyDescent="0.25">
      <c r="A251" s="26">
        <v>50401510</v>
      </c>
      <c r="B251" s="29" t="s">
        <v>211</v>
      </c>
      <c r="C251" s="31">
        <v>782.85</v>
      </c>
      <c r="D251" s="1" t="str">
        <f>IF(COUNTIFS(Table1[ID],Table1[[#This Row],[ID]],Table1[Detail Account],"&lt;&gt;"&amp;Table1[[#This Row],[Detail Account]])=0,"OKAY","Investigate")</f>
        <v>OKAY</v>
      </c>
      <c r="E251" s="15" t="str">
        <f>IF(COUNTA(Table1[[#This Row],[ID]:[Amount]])&lt;&gt;3,"Investigate","OKAY")</f>
        <v>OKAY</v>
      </c>
      <c r="F251" s="22" t="str">
        <f>IF(COUNTIF(Table1[[#This Row],[Account number not unique]:[Incomplete data]],"Investigate")&gt;0,"errors noted","OKAY")</f>
        <v>OKAY</v>
      </c>
    </row>
    <row r="252" spans="1:6" ht="13" x14ac:dyDescent="0.25">
      <c r="A252" s="26">
        <v>50401513</v>
      </c>
      <c r="B252" s="29" t="s">
        <v>212</v>
      </c>
      <c r="C252" s="31">
        <v>380967.69</v>
      </c>
      <c r="D252" s="1" t="str">
        <f>IF(COUNTIFS(Table1[ID],Table1[[#This Row],[ID]],Table1[Detail Account],"&lt;&gt;"&amp;Table1[[#This Row],[Detail Account]])=0,"OKAY","Investigate")</f>
        <v>OKAY</v>
      </c>
      <c r="E252" s="15" t="str">
        <f>IF(COUNTA(Table1[[#This Row],[ID]:[Amount]])&lt;&gt;3,"Investigate","OKAY")</f>
        <v>OKAY</v>
      </c>
      <c r="F252" s="22" t="str">
        <f>IF(COUNTIF(Table1[[#This Row],[Account number not unique]:[Incomplete data]],"Investigate")&gt;0,"errors noted","OKAY")</f>
        <v>OKAY</v>
      </c>
    </row>
    <row r="253" spans="1:6" ht="13" x14ac:dyDescent="0.25">
      <c r="A253" s="26">
        <v>50401514</v>
      </c>
      <c r="B253" s="29" t="s">
        <v>213</v>
      </c>
      <c r="C253" s="31">
        <v>37855.9</v>
      </c>
      <c r="D253" s="1" t="str">
        <f>IF(COUNTIFS(Table1[ID],Table1[[#This Row],[ID]],Table1[Detail Account],"&lt;&gt;"&amp;Table1[[#This Row],[Detail Account]])=0,"OKAY","Investigate")</f>
        <v>OKAY</v>
      </c>
      <c r="E253" s="15" t="str">
        <f>IF(COUNTA(Table1[[#This Row],[ID]:[Amount]])&lt;&gt;3,"Investigate","OKAY")</f>
        <v>OKAY</v>
      </c>
      <c r="F253" s="22" t="str">
        <f>IF(COUNTIF(Table1[[#This Row],[Account number not unique]:[Incomplete data]],"Investigate")&gt;0,"errors noted","OKAY")</f>
        <v>OKAY</v>
      </c>
    </row>
    <row r="254" spans="1:6" ht="13" x14ac:dyDescent="0.25">
      <c r="A254" s="26">
        <v>50402001</v>
      </c>
      <c r="B254" s="29" t="s">
        <v>214</v>
      </c>
      <c r="C254" s="31">
        <v>32103.19</v>
      </c>
      <c r="D254" s="1" t="str">
        <f>IF(COUNTIFS(Table1[ID],Table1[[#This Row],[ID]],Table1[Detail Account],"&lt;&gt;"&amp;Table1[[#This Row],[Detail Account]])=0,"OKAY","Investigate")</f>
        <v>OKAY</v>
      </c>
      <c r="E254" s="15" t="str">
        <f>IF(COUNTA(Table1[[#This Row],[ID]:[Amount]])&lt;&gt;3,"Investigate","OKAY")</f>
        <v>OKAY</v>
      </c>
      <c r="F254" s="22" t="str">
        <f>IF(COUNTIF(Table1[[#This Row],[Account number not unique]:[Incomplete data]],"Investigate")&gt;0,"errors noted","OKAY")</f>
        <v>OKAY</v>
      </c>
    </row>
    <row r="255" spans="1:6" ht="13" x14ac:dyDescent="0.25">
      <c r="A255" s="26">
        <v>50402002</v>
      </c>
      <c r="B255" s="29" t="s">
        <v>215</v>
      </c>
      <c r="C255" s="31">
        <v>29834.51</v>
      </c>
      <c r="D255" s="1" t="str">
        <f>IF(COUNTIFS(Table1[ID],Table1[[#This Row],[ID]],Table1[Detail Account],"&lt;&gt;"&amp;Table1[[#This Row],[Detail Account]])=0,"OKAY","Investigate")</f>
        <v>OKAY</v>
      </c>
      <c r="E255" s="15" t="str">
        <f>IF(COUNTA(Table1[[#This Row],[ID]:[Amount]])&lt;&gt;3,"Investigate","OKAY")</f>
        <v>OKAY</v>
      </c>
      <c r="F255" s="22" t="str">
        <f>IF(COUNTIF(Table1[[#This Row],[Account number not unique]:[Incomplete data]],"Investigate")&gt;0,"errors noted","OKAY")</f>
        <v>OKAY</v>
      </c>
    </row>
    <row r="256" spans="1:6" ht="13" x14ac:dyDescent="0.25">
      <c r="A256" s="26">
        <v>50402003</v>
      </c>
      <c r="B256" s="29" t="s">
        <v>216</v>
      </c>
      <c r="C256" s="31">
        <v>137869.1</v>
      </c>
      <c r="D256" s="1" t="str">
        <f>IF(COUNTIFS(Table1[ID],Table1[[#This Row],[ID]],Table1[Detail Account],"&lt;&gt;"&amp;Table1[[#This Row],[Detail Account]])=0,"OKAY","Investigate")</f>
        <v>OKAY</v>
      </c>
      <c r="E256" s="15" t="str">
        <f>IF(COUNTA(Table1[[#This Row],[ID]:[Amount]])&lt;&gt;3,"Investigate","OKAY")</f>
        <v>OKAY</v>
      </c>
      <c r="F256" s="22" t="str">
        <f>IF(COUNTIF(Table1[[#This Row],[Account number not unique]:[Incomplete data]],"Investigate")&gt;0,"errors noted","OKAY")</f>
        <v>OKAY</v>
      </c>
    </row>
    <row r="257" spans="1:6" ht="13" x14ac:dyDescent="0.25">
      <c r="A257" s="26">
        <v>50402004</v>
      </c>
      <c r="B257" s="29" t="s">
        <v>217</v>
      </c>
      <c r="C257" s="31">
        <v>13676.51</v>
      </c>
      <c r="D257" s="1" t="str">
        <f>IF(COUNTIFS(Table1[ID],Table1[[#This Row],[ID]],Table1[Detail Account],"&lt;&gt;"&amp;Table1[[#This Row],[Detail Account]])=0,"OKAY","Investigate")</f>
        <v>OKAY</v>
      </c>
      <c r="E257" s="15" t="str">
        <f>IF(COUNTA(Table1[[#This Row],[ID]:[Amount]])&lt;&gt;3,"Investigate","OKAY")</f>
        <v>OKAY</v>
      </c>
      <c r="F257" s="22" t="str">
        <f>IF(COUNTIF(Table1[[#This Row],[Account number not unique]:[Incomplete data]],"Investigate")&gt;0,"errors noted","OKAY")</f>
        <v>OKAY</v>
      </c>
    </row>
    <row r="258" spans="1:6" ht="13" x14ac:dyDescent="0.25">
      <c r="A258" s="27">
        <v>50402005</v>
      </c>
      <c r="B258" s="29" t="s">
        <v>218</v>
      </c>
      <c r="C258" s="31">
        <v>96541.17</v>
      </c>
      <c r="D258" s="1" t="str">
        <f>IF(COUNTIFS(Table1[ID],Table1[[#This Row],[ID]],Table1[Detail Account],"&lt;&gt;"&amp;Table1[[#This Row],[Detail Account]])=0,"OKAY","Investigate")</f>
        <v>OKAY</v>
      </c>
      <c r="E258" s="15" t="str">
        <f>IF(COUNTA(Table1[[#This Row],[ID]:[Amount]])&lt;&gt;3,"Investigate","OKAY")</f>
        <v>OKAY</v>
      </c>
      <c r="F258" s="22" t="str">
        <f>IF(COUNTIF(Table1[[#This Row],[Account number not unique]:[Incomplete data]],"Investigate")&gt;0,"errors noted","OKAY")</f>
        <v>OKAY</v>
      </c>
    </row>
    <row r="259" spans="1:6" ht="13" x14ac:dyDescent="0.25">
      <c r="A259" s="27">
        <v>50402006</v>
      </c>
      <c r="B259" s="29" t="s">
        <v>219</v>
      </c>
      <c r="C259" s="31">
        <v>28691.91</v>
      </c>
      <c r="D259" s="1" t="str">
        <f>IF(COUNTIFS(Table1[ID],Table1[[#This Row],[ID]],Table1[Detail Account],"&lt;&gt;"&amp;Table1[[#This Row],[Detail Account]])=0,"OKAY","Investigate")</f>
        <v>OKAY</v>
      </c>
      <c r="E259" s="15" t="str">
        <f>IF(COUNTA(Table1[[#This Row],[ID]:[Amount]])&lt;&gt;3,"Investigate","OKAY")</f>
        <v>OKAY</v>
      </c>
      <c r="F259" s="22" t="str">
        <f>IF(COUNTIF(Table1[[#This Row],[Account number not unique]:[Incomplete data]],"Investigate")&gt;0,"errors noted","OKAY")</f>
        <v>OKAY</v>
      </c>
    </row>
    <row r="260" spans="1:6" ht="13" x14ac:dyDescent="0.25">
      <c r="A260" s="26">
        <v>50402007</v>
      </c>
      <c r="B260" s="29" t="s">
        <v>220</v>
      </c>
      <c r="C260" s="31">
        <v>5112.2</v>
      </c>
      <c r="D260" s="1" t="str">
        <f>IF(COUNTIFS(Table1[ID],Table1[[#This Row],[ID]],Table1[Detail Account],"&lt;&gt;"&amp;Table1[[#This Row],[Detail Account]])=0,"OKAY","Investigate")</f>
        <v>OKAY</v>
      </c>
      <c r="E260" s="15" t="str">
        <f>IF(COUNTA(Table1[[#This Row],[ID]:[Amount]])&lt;&gt;3,"Investigate","OKAY")</f>
        <v>OKAY</v>
      </c>
      <c r="F260" s="22" t="str">
        <f>IF(COUNTIF(Table1[[#This Row],[Account number not unique]:[Incomplete data]],"Investigate")&gt;0,"errors noted","OKAY")</f>
        <v>OKAY</v>
      </c>
    </row>
    <row r="261" spans="1:6" ht="13" x14ac:dyDescent="0.25">
      <c r="A261" s="26">
        <v>50402008</v>
      </c>
      <c r="B261" s="29" t="s">
        <v>221</v>
      </c>
      <c r="C261" s="31">
        <v>1018.24</v>
      </c>
      <c r="D261" s="1" t="str">
        <f>IF(COUNTIFS(Table1[ID],Table1[[#This Row],[ID]],Table1[Detail Account],"&lt;&gt;"&amp;Table1[[#This Row],[Detail Account]])=0,"OKAY","Investigate")</f>
        <v>OKAY</v>
      </c>
      <c r="E261" s="15" t="str">
        <f>IF(COUNTA(Table1[[#This Row],[ID]:[Amount]])&lt;&gt;3,"Investigate","OKAY")</f>
        <v>OKAY</v>
      </c>
      <c r="F261" s="22" t="str">
        <f>IF(COUNTIF(Table1[[#This Row],[Account number not unique]:[Incomplete data]],"Investigate")&gt;0,"errors noted","OKAY")</f>
        <v>OKAY</v>
      </c>
    </row>
    <row r="262" spans="1:6" ht="13" x14ac:dyDescent="0.25">
      <c r="A262" s="26">
        <v>50402009</v>
      </c>
      <c r="B262" s="29" t="s">
        <v>222</v>
      </c>
      <c r="C262" s="31">
        <v>17392.89</v>
      </c>
      <c r="D262" s="1" t="str">
        <f>IF(COUNTIFS(Table1[ID],Table1[[#This Row],[ID]],Table1[Detail Account],"&lt;&gt;"&amp;Table1[[#This Row],[Detail Account]])=0,"OKAY","Investigate")</f>
        <v>OKAY</v>
      </c>
      <c r="E262" s="15" t="str">
        <f>IF(COUNTA(Table1[[#This Row],[ID]:[Amount]])&lt;&gt;3,"Investigate","OKAY")</f>
        <v>OKAY</v>
      </c>
      <c r="F262" s="22" t="str">
        <f>IF(COUNTIF(Table1[[#This Row],[Account number not unique]:[Incomplete data]],"Investigate")&gt;0,"errors noted","OKAY")</f>
        <v>OKAY</v>
      </c>
    </row>
    <row r="263" spans="1:6" ht="13" x14ac:dyDescent="0.25">
      <c r="A263" s="27">
        <v>50402010</v>
      </c>
      <c r="B263" s="29" t="s">
        <v>223</v>
      </c>
      <c r="C263" s="31">
        <v>21949.77</v>
      </c>
      <c r="D263" s="1" t="str">
        <f>IF(COUNTIFS(Table1[ID],Table1[[#This Row],[ID]],Table1[Detail Account],"&lt;&gt;"&amp;Table1[[#This Row],[Detail Account]])=0,"OKAY","Investigate")</f>
        <v>OKAY</v>
      </c>
      <c r="E263" s="15" t="str">
        <f>IF(COUNTA(Table1[[#This Row],[ID]:[Amount]])&lt;&gt;3,"Investigate","OKAY")</f>
        <v>OKAY</v>
      </c>
      <c r="F263" s="22" t="str">
        <f>IF(COUNTIF(Table1[[#This Row],[Account number not unique]:[Incomplete data]],"Investigate")&gt;0,"errors noted","OKAY")</f>
        <v>OKAY</v>
      </c>
    </row>
    <row r="264" spans="1:6" ht="13" x14ac:dyDescent="0.25">
      <c r="A264" s="26">
        <v>50402011</v>
      </c>
      <c r="B264" s="29" t="s">
        <v>224</v>
      </c>
      <c r="C264" s="31">
        <v>41464.720000000001</v>
      </c>
      <c r="D264" s="1" t="str">
        <f>IF(COUNTIFS(Table1[ID],Table1[[#This Row],[ID]],Table1[Detail Account],"&lt;&gt;"&amp;Table1[[#This Row],[Detail Account]])=0,"OKAY","Investigate")</f>
        <v>OKAY</v>
      </c>
      <c r="E264" s="15" t="str">
        <f>IF(COUNTA(Table1[[#This Row],[ID]:[Amount]])&lt;&gt;3,"Investigate","OKAY")</f>
        <v>OKAY</v>
      </c>
      <c r="F264" s="22" t="str">
        <f>IF(COUNTIF(Table1[[#This Row],[Account number not unique]:[Incomplete data]],"Investigate")&gt;0,"errors noted","OKAY")</f>
        <v>OKAY</v>
      </c>
    </row>
    <row r="265" spans="1:6" ht="13" x14ac:dyDescent="0.25">
      <c r="A265" s="26">
        <v>50402012</v>
      </c>
      <c r="B265" s="29" t="s">
        <v>225</v>
      </c>
      <c r="C265" s="31">
        <v>123273.53</v>
      </c>
      <c r="D265" s="1" t="str">
        <f>IF(COUNTIFS(Table1[ID],Table1[[#This Row],[ID]],Table1[Detail Account],"&lt;&gt;"&amp;Table1[[#This Row],[Detail Account]])=0,"OKAY","Investigate")</f>
        <v>OKAY</v>
      </c>
      <c r="E265" s="15" t="str">
        <f>IF(COUNTA(Table1[[#This Row],[ID]:[Amount]])&lt;&gt;3,"Investigate","OKAY")</f>
        <v>OKAY</v>
      </c>
      <c r="F265" s="22" t="str">
        <f>IF(COUNTIF(Table1[[#This Row],[Account number not unique]:[Incomplete data]],"Investigate")&gt;0,"errors noted","OKAY")</f>
        <v>OKAY</v>
      </c>
    </row>
    <row r="266" spans="1:6" ht="13" x14ac:dyDescent="0.25">
      <c r="A266" s="26">
        <v>50402013</v>
      </c>
      <c r="B266" s="29" t="s">
        <v>226</v>
      </c>
      <c r="C266" s="31">
        <v>4640.12</v>
      </c>
      <c r="D266" s="1" t="str">
        <f>IF(COUNTIFS(Table1[ID],Table1[[#This Row],[ID]],Table1[Detail Account],"&lt;&gt;"&amp;Table1[[#This Row],[Detail Account]])=0,"OKAY","Investigate")</f>
        <v>OKAY</v>
      </c>
      <c r="E266" s="15" t="str">
        <f>IF(COUNTA(Table1[[#This Row],[ID]:[Amount]])&lt;&gt;3,"Investigate","OKAY")</f>
        <v>OKAY</v>
      </c>
      <c r="F266" s="22" t="str">
        <f>IF(COUNTIF(Table1[[#This Row],[Account number not unique]:[Incomplete data]],"Investigate")&gt;0,"errors noted","OKAY")</f>
        <v>OKAY</v>
      </c>
    </row>
    <row r="267" spans="1:6" ht="13" x14ac:dyDescent="0.25">
      <c r="A267" s="26">
        <v>50402014</v>
      </c>
      <c r="B267" s="29" t="s">
        <v>227</v>
      </c>
      <c r="C267" s="31">
        <v>32744.58</v>
      </c>
      <c r="D267" s="1" t="str">
        <f>IF(COUNTIFS(Table1[ID],Table1[[#This Row],[ID]],Table1[Detail Account],"&lt;&gt;"&amp;Table1[[#This Row],[Detail Account]])=0,"OKAY","Investigate")</f>
        <v>OKAY</v>
      </c>
      <c r="E267" s="15" t="str">
        <f>IF(COUNTA(Table1[[#This Row],[ID]:[Amount]])&lt;&gt;3,"Investigate","OKAY")</f>
        <v>OKAY</v>
      </c>
      <c r="F267" s="22" t="str">
        <f>IF(COUNTIF(Table1[[#This Row],[Account number not unique]:[Incomplete data]],"Investigate")&gt;0,"errors noted","OKAY")</f>
        <v>OKAY</v>
      </c>
    </row>
    <row r="268" spans="1:6" ht="13" x14ac:dyDescent="0.25">
      <c r="A268" s="26">
        <v>50402015</v>
      </c>
      <c r="B268" s="29" t="s">
        <v>228</v>
      </c>
      <c r="C268" s="31">
        <v>3041.02</v>
      </c>
      <c r="D268" s="1" t="str">
        <f>IF(COUNTIFS(Table1[ID],Table1[[#This Row],[ID]],Table1[Detail Account],"&lt;&gt;"&amp;Table1[[#This Row],[Detail Account]])=0,"OKAY","Investigate")</f>
        <v>OKAY</v>
      </c>
      <c r="E268" s="15" t="str">
        <f>IF(COUNTA(Table1[[#This Row],[ID]:[Amount]])&lt;&gt;3,"Investigate","OKAY")</f>
        <v>OKAY</v>
      </c>
      <c r="F268" s="22" t="str">
        <f>IF(COUNTIF(Table1[[#This Row],[Account number not unique]:[Incomplete data]],"Investigate")&gt;0,"errors noted","OKAY")</f>
        <v>OKAY</v>
      </c>
    </row>
    <row r="269" spans="1:6" ht="13" x14ac:dyDescent="0.25">
      <c r="A269" s="26">
        <v>50402016</v>
      </c>
      <c r="B269" s="29" t="s">
        <v>229</v>
      </c>
      <c r="C269" s="31">
        <v>14854.75</v>
      </c>
      <c r="D269" s="1" t="str">
        <f>IF(COUNTIFS(Table1[ID],Table1[[#This Row],[ID]],Table1[Detail Account],"&lt;&gt;"&amp;Table1[[#This Row],[Detail Account]])=0,"OKAY","Investigate")</f>
        <v>OKAY</v>
      </c>
      <c r="E269" s="15" t="str">
        <f>IF(COUNTA(Table1[[#This Row],[ID]:[Amount]])&lt;&gt;3,"Investigate","OKAY")</f>
        <v>OKAY</v>
      </c>
      <c r="F269" s="22" t="str">
        <f>IF(COUNTIF(Table1[[#This Row],[Account number not unique]:[Incomplete data]],"Investigate")&gt;0,"errors noted","OKAY")</f>
        <v>OKAY</v>
      </c>
    </row>
    <row r="270" spans="1:6" ht="13" x14ac:dyDescent="0.25">
      <c r="A270" s="26">
        <v>50402017</v>
      </c>
      <c r="B270" s="29" t="s">
        <v>230</v>
      </c>
      <c r="C270" s="31">
        <v>20760.259999999998</v>
      </c>
      <c r="D270" s="1" t="str">
        <f>IF(COUNTIFS(Table1[ID],Table1[[#This Row],[ID]],Table1[Detail Account],"&lt;&gt;"&amp;Table1[[#This Row],[Detail Account]])=0,"OKAY","Investigate")</f>
        <v>OKAY</v>
      </c>
      <c r="E270" s="15" t="str">
        <f>IF(COUNTA(Table1[[#This Row],[ID]:[Amount]])&lt;&gt;3,"Investigate","OKAY")</f>
        <v>OKAY</v>
      </c>
      <c r="F270" s="22" t="str">
        <f>IF(COUNTIF(Table1[[#This Row],[Account number not unique]:[Incomplete data]],"Investigate")&gt;0,"errors noted","OKAY")</f>
        <v>OKAY</v>
      </c>
    </row>
    <row r="271" spans="1:6" ht="13" x14ac:dyDescent="0.25">
      <c r="A271" s="26">
        <v>50402019</v>
      </c>
      <c r="B271" s="29" t="s">
        <v>231</v>
      </c>
      <c r="C271" s="31">
        <v>84192.4</v>
      </c>
      <c r="D271" s="1" t="str">
        <f>IF(COUNTIFS(Table1[ID],Table1[[#This Row],[ID]],Table1[Detail Account],"&lt;&gt;"&amp;Table1[[#This Row],[Detail Account]])=0,"OKAY","Investigate")</f>
        <v>OKAY</v>
      </c>
      <c r="E271" s="15" t="str">
        <f>IF(COUNTA(Table1[[#This Row],[ID]:[Amount]])&lt;&gt;3,"Investigate","OKAY")</f>
        <v>OKAY</v>
      </c>
      <c r="F271" s="22" t="str">
        <f>IF(COUNTIF(Table1[[#This Row],[Account number not unique]:[Incomplete data]],"Investigate")&gt;0,"errors noted","OKAY")</f>
        <v>OKAY</v>
      </c>
    </row>
    <row r="272" spans="1:6" ht="13" x14ac:dyDescent="0.25">
      <c r="A272" s="26">
        <v>50402020</v>
      </c>
      <c r="B272" s="29" t="s">
        <v>232</v>
      </c>
      <c r="C272" s="31">
        <v>236.69</v>
      </c>
      <c r="D272" s="1" t="str">
        <f>IF(COUNTIFS(Table1[ID],Table1[[#This Row],[ID]],Table1[Detail Account],"&lt;&gt;"&amp;Table1[[#This Row],[Detail Account]])=0,"OKAY","Investigate")</f>
        <v>OKAY</v>
      </c>
      <c r="E272" s="15" t="str">
        <f>IF(COUNTA(Table1[[#This Row],[ID]:[Amount]])&lt;&gt;3,"Investigate","OKAY")</f>
        <v>OKAY</v>
      </c>
      <c r="F272" s="22" t="str">
        <f>IF(COUNTIF(Table1[[#This Row],[Account number not unique]:[Incomplete data]],"Investigate")&gt;0,"errors noted","OKAY")</f>
        <v>OKAY</v>
      </c>
    </row>
    <row r="273" spans="1:6" ht="13" x14ac:dyDescent="0.25">
      <c r="A273" s="26">
        <v>50402030</v>
      </c>
      <c r="B273" s="29" t="s">
        <v>233</v>
      </c>
      <c r="C273" s="31">
        <v>-19.61</v>
      </c>
      <c r="D273" s="1" t="str">
        <f>IF(COUNTIFS(Table1[ID],Table1[[#This Row],[ID]],Table1[Detail Account],"&lt;&gt;"&amp;Table1[[#This Row],[Detail Account]])=0,"OKAY","Investigate")</f>
        <v>OKAY</v>
      </c>
      <c r="E273" s="15" t="str">
        <f>IF(COUNTA(Table1[[#This Row],[ID]:[Amount]])&lt;&gt;3,"Investigate","OKAY")</f>
        <v>OKAY</v>
      </c>
      <c r="F273" s="22" t="str">
        <f>IF(COUNTIF(Table1[[#This Row],[Account number not unique]:[Incomplete data]],"Investigate")&gt;0,"errors noted","OKAY")</f>
        <v>OKAY</v>
      </c>
    </row>
    <row r="274" spans="1:6" ht="13" x14ac:dyDescent="0.25">
      <c r="A274" s="26">
        <v>50402034</v>
      </c>
      <c r="B274" s="29" t="s">
        <v>234</v>
      </c>
      <c r="C274" s="31">
        <v>108.19</v>
      </c>
      <c r="D274" s="1" t="str">
        <f>IF(COUNTIFS(Table1[ID],Table1[[#This Row],[ID]],Table1[Detail Account],"&lt;&gt;"&amp;Table1[[#This Row],[Detail Account]])=0,"OKAY","Investigate")</f>
        <v>OKAY</v>
      </c>
      <c r="E274" s="15" t="str">
        <f>IF(COUNTA(Table1[[#This Row],[ID]:[Amount]])&lt;&gt;3,"Investigate","OKAY")</f>
        <v>OKAY</v>
      </c>
      <c r="F274" s="22" t="str">
        <f>IF(COUNTIF(Table1[[#This Row],[Account number not unique]:[Incomplete data]],"Investigate")&gt;0,"errors noted","OKAY")</f>
        <v>OKAY</v>
      </c>
    </row>
    <row r="275" spans="1:6" ht="13" x14ac:dyDescent="0.25">
      <c r="A275" s="26">
        <v>50402038</v>
      </c>
      <c r="B275" s="29" t="s">
        <v>235</v>
      </c>
      <c r="C275" s="31">
        <v>6984.46</v>
      </c>
      <c r="D275" s="1" t="str">
        <f>IF(COUNTIFS(Table1[ID],Table1[[#This Row],[ID]],Table1[Detail Account],"&lt;&gt;"&amp;Table1[[#This Row],[Detail Account]])=0,"OKAY","Investigate")</f>
        <v>OKAY</v>
      </c>
      <c r="E275" s="15" t="str">
        <f>IF(COUNTA(Table1[[#This Row],[ID]:[Amount]])&lt;&gt;3,"Investigate","OKAY")</f>
        <v>OKAY</v>
      </c>
      <c r="F275" s="22" t="str">
        <f>IF(COUNTIF(Table1[[#This Row],[Account number not unique]:[Incomplete data]],"Investigate")&gt;0,"errors noted","OKAY")</f>
        <v>OKAY</v>
      </c>
    </row>
    <row r="276" spans="1:6" ht="13" x14ac:dyDescent="0.25">
      <c r="A276" s="26">
        <v>50502001</v>
      </c>
      <c r="B276" s="29" t="s">
        <v>236</v>
      </c>
      <c r="C276" s="31">
        <v>73921.78</v>
      </c>
      <c r="D276" s="1" t="str">
        <f>IF(COUNTIFS(Table1[ID],Table1[[#This Row],[ID]],Table1[Detail Account],"&lt;&gt;"&amp;Table1[[#This Row],[Detail Account]])=0,"OKAY","Investigate")</f>
        <v>OKAY</v>
      </c>
      <c r="E276" s="15" t="str">
        <f>IF(COUNTA(Table1[[#This Row],[ID]:[Amount]])&lt;&gt;3,"Investigate","OKAY")</f>
        <v>OKAY</v>
      </c>
      <c r="F276" s="22" t="str">
        <f>IF(COUNTIF(Table1[[#This Row],[Account number not unique]:[Incomplete data]],"Investigate")&gt;0,"errors noted","OKAY")</f>
        <v>OKAY</v>
      </c>
    </row>
    <row r="277" spans="1:6" ht="13" x14ac:dyDescent="0.25">
      <c r="A277" s="26">
        <v>50502002</v>
      </c>
      <c r="B277" s="29" t="s">
        <v>237</v>
      </c>
      <c r="C277" s="31">
        <v>54053.2</v>
      </c>
      <c r="D277" s="1" t="str">
        <f>IF(COUNTIFS(Table1[ID],Table1[[#This Row],[ID]],Table1[Detail Account],"&lt;&gt;"&amp;Table1[[#This Row],[Detail Account]])=0,"OKAY","Investigate")</f>
        <v>OKAY</v>
      </c>
      <c r="E277" s="15" t="str">
        <f>IF(COUNTA(Table1[[#This Row],[ID]:[Amount]])&lt;&gt;3,"Investigate","OKAY")</f>
        <v>OKAY</v>
      </c>
      <c r="F277" s="22" t="str">
        <f>IF(COUNTIF(Table1[[#This Row],[Account number not unique]:[Incomplete data]],"Investigate")&gt;0,"errors noted","OKAY")</f>
        <v>OKAY</v>
      </c>
    </row>
    <row r="278" spans="1:6" ht="13" x14ac:dyDescent="0.25">
      <c r="A278" s="26">
        <v>50502003</v>
      </c>
      <c r="B278" s="29" t="s">
        <v>238</v>
      </c>
      <c r="C278" s="31">
        <v>285469.46000000002</v>
      </c>
      <c r="D278" s="1" t="str">
        <f>IF(COUNTIFS(Table1[ID],Table1[[#This Row],[ID]],Table1[Detail Account],"&lt;&gt;"&amp;Table1[[#This Row],[Detail Account]])=0,"OKAY","Investigate")</f>
        <v>OKAY</v>
      </c>
      <c r="E278" s="15" t="str">
        <f>IF(COUNTA(Table1[[#This Row],[ID]:[Amount]])&lt;&gt;3,"Investigate","OKAY")</f>
        <v>OKAY</v>
      </c>
      <c r="F278" s="22" t="str">
        <f>IF(COUNTIF(Table1[[#This Row],[Account number not unique]:[Incomplete data]],"Investigate")&gt;0,"errors noted","OKAY")</f>
        <v>OKAY</v>
      </c>
    </row>
    <row r="279" spans="1:6" ht="13" x14ac:dyDescent="0.25">
      <c r="A279" s="26">
        <v>50502004</v>
      </c>
      <c r="B279" s="29" t="s">
        <v>239</v>
      </c>
      <c r="C279" s="31">
        <v>411018.9</v>
      </c>
      <c r="D279" s="1" t="str">
        <f>IF(COUNTIFS(Table1[ID],Table1[[#This Row],[ID]],Table1[Detail Account],"&lt;&gt;"&amp;Table1[[#This Row],[Detail Account]])=0,"OKAY","Investigate")</f>
        <v>OKAY</v>
      </c>
      <c r="E279" s="15" t="str">
        <f>IF(COUNTA(Table1[[#This Row],[ID]:[Amount]])&lt;&gt;3,"Investigate","OKAY")</f>
        <v>OKAY</v>
      </c>
      <c r="F279" s="22" t="str">
        <f>IF(COUNTIF(Table1[[#This Row],[Account number not unique]:[Incomplete data]],"Investigate")&gt;0,"errors noted","OKAY")</f>
        <v>OKAY</v>
      </c>
    </row>
    <row r="280" spans="1:6" ht="13" x14ac:dyDescent="0.25">
      <c r="A280" s="26">
        <v>50502005</v>
      </c>
      <c r="B280" s="29" t="s">
        <v>307</v>
      </c>
      <c r="C280" s="31">
        <v>50690.64</v>
      </c>
      <c r="D280" s="1" t="str">
        <f>IF(COUNTIFS(Table1[ID],Table1[[#This Row],[ID]],Table1[Detail Account],"&lt;&gt;"&amp;Table1[[#This Row],[Detail Account]])=0,"OKAY","Investigate")</f>
        <v>OKAY</v>
      </c>
      <c r="E280" s="15" t="str">
        <f>IF(COUNTA(Table1[[#This Row],[ID]:[Amount]])&lt;&gt;3,"Investigate","OKAY")</f>
        <v>OKAY</v>
      </c>
      <c r="F280" s="22" t="str">
        <f>IF(COUNTIF(Table1[[#This Row],[Account number not unique]:[Incomplete data]],"Investigate")&gt;0,"errors noted","OKAY")</f>
        <v>OKAY</v>
      </c>
    </row>
    <row r="281" spans="1:6" ht="13" x14ac:dyDescent="0.25">
      <c r="A281" s="26">
        <v>50502006</v>
      </c>
      <c r="B281" s="29" t="s">
        <v>240</v>
      </c>
      <c r="C281" s="31">
        <v>529.74</v>
      </c>
      <c r="D281" s="1" t="str">
        <f>IF(COUNTIFS(Table1[ID],Table1[[#This Row],[ID]],Table1[Detail Account],"&lt;&gt;"&amp;Table1[[#This Row],[Detail Account]])=0,"OKAY","Investigate")</f>
        <v>OKAY</v>
      </c>
      <c r="E281" s="15" t="str">
        <f>IF(COUNTA(Table1[[#This Row],[ID]:[Amount]])&lt;&gt;3,"Investigate","OKAY")</f>
        <v>OKAY</v>
      </c>
      <c r="F281" s="22" t="str">
        <f>IF(COUNTIF(Table1[[#This Row],[Account number not unique]:[Incomplete data]],"Investigate")&gt;0,"errors noted","OKAY")</f>
        <v>OKAY</v>
      </c>
    </row>
    <row r="282" spans="1:6" ht="13" x14ac:dyDescent="0.25">
      <c r="A282" s="26">
        <v>50502007</v>
      </c>
      <c r="B282" s="29" t="s">
        <v>241</v>
      </c>
      <c r="C282" s="31">
        <v>693.94</v>
      </c>
      <c r="D282" s="1" t="str">
        <f>IF(COUNTIFS(Table1[ID],Table1[[#This Row],[ID]],Table1[Detail Account],"&lt;&gt;"&amp;Table1[[#This Row],[Detail Account]])=0,"OKAY","Investigate")</f>
        <v>OKAY</v>
      </c>
      <c r="E282" s="15" t="str">
        <f>IF(COUNTA(Table1[[#This Row],[ID]:[Amount]])&lt;&gt;3,"Investigate","OKAY")</f>
        <v>OKAY</v>
      </c>
      <c r="F282" s="22" t="str">
        <f>IF(COUNTIF(Table1[[#This Row],[Account number not unique]:[Incomplete data]],"Investigate")&gt;0,"errors noted","OKAY")</f>
        <v>OKAY</v>
      </c>
    </row>
    <row r="283" spans="1:6" ht="13" x14ac:dyDescent="0.25">
      <c r="A283" s="26">
        <v>50502008</v>
      </c>
      <c r="B283" s="29" t="s">
        <v>242</v>
      </c>
      <c r="C283" s="31">
        <v>91029.36</v>
      </c>
      <c r="D283" s="1" t="str">
        <f>IF(COUNTIFS(Table1[ID],Table1[[#This Row],[ID]],Table1[Detail Account],"&lt;&gt;"&amp;Table1[[#This Row],[Detail Account]])=0,"OKAY","Investigate")</f>
        <v>OKAY</v>
      </c>
      <c r="E283" s="15" t="str">
        <f>IF(COUNTA(Table1[[#This Row],[ID]:[Amount]])&lt;&gt;3,"Investigate","OKAY")</f>
        <v>OKAY</v>
      </c>
      <c r="F283" s="22" t="str">
        <f>IF(COUNTIF(Table1[[#This Row],[Account number not unique]:[Incomplete data]],"Investigate")&gt;0,"errors noted","OKAY")</f>
        <v>OKAY</v>
      </c>
    </row>
    <row r="284" spans="1:6" ht="13" x14ac:dyDescent="0.25">
      <c r="A284" s="26">
        <v>50503001</v>
      </c>
      <c r="B284" s="29" t="s">
        <v>243</v>
      </c>
      <c r="C284" s="31">
        <v>227679.59</v>
      </c>
      <c r="D284" s="1" t="str">
        <f>IF(COUNTIFS(Table1[ID],Table1[[#This Row],[ID]],Table1[Detail Account],"&lt;&gt;"&amp;Table1[[#This Row],[Detail Account]])=0,"OKAY","Investigate")</f>
        <v>OKAY</v>
      </c>
      <c r="E284" s="15" t="str">
        <f>IF(COUNTA(Table1[[#This Row],[ID]:[Amount]])&lt;&gt;3,"Investigate","OKAY")</f>
        <v>OKAY</v>
      </c>
      <c r="F284" s="22" t="str">
        <f>IF(COUNTIF(Table1[[#This Row],[Account number not unique]:[Incomplete data]],"Investigate")&gt;0,"errors noted","OKAY")</f>
        <v>OKAY</v>
      </c>
    </row>
    <row r="285" spans="1:6" ht="13" x14ac:dyDescent="0.25">
      <c r="A285" s="26">
        <v>50503002</v>
      </c>
      <c r="B285" s="29" t="s">
        <v>244</v>
      </c>
      <c r="C285" s="31">
        <v>385.74</v>
      </c>
      <c r="D285" s="1" t="str">
        <f>IF(COUNTIFS(Table1[ID],Table1[[#This Row],[ID]],Table1[Detail Account],"&lt;&gt;"&amp;Table1[[#This Row],[Detail Account]])=0,"OKAY","Investigate")</f>
        <v>OKAY</v>
      </c>
      <c r="E285" s="15" t="str">
        <f>IF(COUNTA(Table1[[#This Row],[ID]:[Amount]])&lt;&gt;3,"Investigate","OKAY")</f>
        <v>OKAY</v>
      </c>
      <c r="F285" s="22" t="str">
        <f>IF(COUNTIF(Table1[[#This Row],[Account number not unique]:[Incomplete data]],"Investigate")&gt;0,"errors noted","OKAY")</f>
        <v>OKAY</v>
      </c>
    </row>
    <row r="286" spans="1:6" ht="13" x14ac:dyDescent="0.25">
      <c r="A286" s="26">
        <v>50503003</v>
      </c>
      <c r="B286" s="29" t="s">
        <v>245</v>
      </c>
      <c r="C286" s="31">
        <v>370629.38</v>
      </c>
      <c r="D286" s="1" t="str">
        <f>IF(COUNTIFS(Table1[ID],Table1[[#This Row],[ID]],Table1[Detail Account],"&lt;&gt;"&amp;Table1[[#This Row],[Detail Account]])=0,"OKAY","Investigate")</f>
        <v>OKAY</v>
      </c>
      <c r="E286" s="15" t="str">
        <f>IF(COUNTA(Table1[[#This Row],[ID]:[Amount]])&lt;&gt;3,"Investigate","OKAY")</f>
        <v>OKAY</v>
      </c>
      <c r="F286" s="22" t="str">
        <f>IF(COUNTIF(Table1[[#This Row],[Account number not unique]:[Incomplete data]],"Investigate")&gt;0,"errors noted","OKAY")</f>
        <v>OKAY</v>
      </c>
    </row>
    <row r="287" spans="1:6" ht="13" x14ac:dyDescent="0.25">
      <c r="A287" s="27">
        <v>50503004</v>
      </c>
      <c r="B287" s="29" t="s">
        <v>246</v>
      </c>
      <c r="C287" s="31">
        <v>2964.33</v>
      </c>
      <c r="D287" s="1" t="str">
        <f>IF(COUNTIFS(Table1[ID],Table1[[#This Row],[ID]],Table1[Detail Account],"&lt;&gt;"&amp;Table1[[#This Row],[Detail Account]])=0,"OKAY","Investigate")</f>
        <v>OKAY</v>
      </c>
      <c r="E287" s="15" t="str">
        <f>IF(COUNTA(Table1[[#This Row],[ID]:[Amount]])&lt;&gt;3,"Investigate","OKAY")</f>
        <v>OKAY</v>
      </c>
      <c r="F287" s="22" t="str">
        <f>IF(COUNTIF(Table1[[#This Row],[Account number not unique]:[Incomplete data]],"Investigate")&gt;0,"errors noted","OKAY")</f>
        <v>OKAY</v>
      </c>
    </row>
    <row r="288" spans="1:6" ht="13" x14ac:dyDescent="0.25">
      <c r="A288" s="26">
        <v>50503006</v>
      </c>
      <c r="B288" s="29" t="s">
        <v>247</v>
      </c>
      <c r="C288" s="31">
        <v>1172.54</v>
      </c>
      <c r="D288" s="1" t="str">
        <f>IF(COUNTIFS(Table1[ID],Table1[[#This Row],[ID]],Table1[Detail Account],"&lt;&gt;"&amp;Table1[[#This Row],[Detail Account]])=0,"OKAY","Investigate")</f>
        <v>OKAY</v>
      </c>
      <c r="E288" s="15" t="str">
        <f>IF(COUNTA(Table1[[#This Row],[ID]:[Amount]])&lt;&gt;3,"Investigate","OKAY")</f>
        <v>OKAY</v>
      </c>
      <c r="F288" s="22" t="str">
        <f>IF(COUNTIF(Table1[[#This Row],[Account number not unique]:[Incomplete data]],"Investigate")&gt;0,"errors noted","OKAY")</f>
        <v>OKAY</v>
      </c>
    </row>
    <row r="289" spans="1:6" ht="13" x14ac:dyDescent="0.25">
      <c r="A289" s="26">
        <v>50503007</v>
      </c>
      <c r="B289" s="29" t="s">
        <v>248</v>
      </c>
      <c r="C289" s="31">
        <v>14.12</v>
      </c>
      <c r="D289" s="1" t="str">
        <f>IF(COUNTIFS(Table1[ID],Table1[[#This Row],[ID]],Table1[Detail Account],"&lt;&gt;"&amp;Table1[[#This Row],[Detail Account]])=0,"OKAY","Investigate")</f>
        <v>OKAY</v>
      </c>
      <c r="E289" s="15" t="str">
        <f>IF(COUNTA(Table1[[#This Row],[ID]:[Amount]])&lt;&gt;3,"Investigate","OKAY")</f>
        <v>OKAY</v>
      </c>
      <c r="F289" s="22" t="str">
        <f>IF(COUNTIF(Table1[[#This Row],[Account number not unique]:[Incomplete data]],"Investigate")&gt;0,"errors noted","OKAY")</f>
        <v>OKAY</v>
      </c>
    </row>
    <row r="290" spans="1:6" ht="13" x14ac:dyDescent="0.25">
      <c r="A290" s="26">
        <v>50503008</v>
      </c>
      <c r="B290" s="29" t="s">
        <v>249</v>
      </c>
      <c r="C290" s="31">
        <v>2156.16</v>
      </c>
      <c r="D290" s="1" t="str">
        <f>IF(COUNTIFS(Table1[ID],Table1[[#This Row],[ID]],Table1[Detail Account],"&lt;&gt;"&amp;Table1[[#This Row],[Detail Account]])=0,"OKAY","Investigate")</f>
        <v>OKAY</v>
      </c>
      <c r="E290" s="15" t="str">
        <f>IF(COUNTA(Table1[[#This Row],[ID]:[Amount]])&lt;&gt;3,"Investigate","OKAY")</f>
        <v>OKAY</v>
      </c>
      <c r="F290" s="22" t="str">
        <f>IF(COUNTIF(Table1[[#This Row],[Account number not unique]:[Incomplete data]],"Investigate")&gt;0,"errors noted","OKAY")</f>
        <v>OKAY</v>
      </c>
    </row>
    <row r="291" spans="1:6" ht="13" x14ac:dyDescent="0.25">
      <c r="A291" s="26">
        <v>50503009</v>
      </c>
      <c r="B291" s="29" t="s">
        <v>250</v>
      </c>
      <c r="C291" s="31">
        <v>4917.75</v>
      </c>
      <c r="D291" s="1" t="str">
        <f>IF(COUNTIFS(Table1[ID],Table1[[#This Row],[ID]],Table1[Detail Account],"&lt;&gt;"&amp;Table1[[#This Row],[Detail Account]])=0,"OKAY","Investigate")</f>
        <v>OKAY</v>
      </c>
      <c r="E291" s="15" t="str">
        <f>IF(COUNTA(Table1[[#This Row],[ID]:[Amount]])&lt;&gt;3,"Investigate","OKAY")</f>
        <v>OKAY</v>
      </c>
      <c r="F291" s="22" t="str">
        <f>IF(COUNTIF(Table1[[#This Row],[Account number not unique]:[Incomplete data]],"Investigate")&gt;0,"errors noted","OKAY")</f>
        <v>OKAY</v>
      </c>
    </row>
    <row r="292" spans="1:6" ht="13" x14ac:dyDescent="0.25">
      <c r="A292" s="27">
        <v>50504002</v>
      </c>
      <c r="B292" s="29" t="s">
        <v>251</v>
      </c>
      <c r="C292" s="31">
        <v>-38250.720000000001</v>
      </c>
      <c r="D292" s="1" t="str">
        <f>IF(COUNTIFS(Table1[ID],Table1[[#This Row],[ID]],Table1[Detail Account],"&lt;&gt;"&amp;Table1[[#This Row],[Detail Account]])=0,"OKAY","Investigate")</f>
        <v>OKAY</v>
      </c>
      <c r="E292" s="15" t="str">
        <f>IF(COUNTA(Table1[[#This Row],[ID]:[Amount]])&lt;&gt;3,"Investigate","OKAY")</f>
        <v>OKAY</v>
      </c>
      <c r="F292" s="22" t="str">
        <f>IF(COUNTIF(Table1[[#This Row],[Account number not unique]:[Incomplete data]],"Investigate")&gt;0,"errors noted","OKAY")</f>
        <v>OKAY</v>
      </c>
    </row>
    <row r="293" spans="1:6" ht="13" x14ac:dyDescent="0.25">
      <c r="A293" s="26">
        <v>50602001</v>
      </c>
      <c r="B293" s="29" t="s">
        <v>252</v>
      </c>
      <c r="C293" s="31">
        <v>163426.22</v>
      </c>
      <c r="D293" s="1" t="str">
        <f>IF(COUNTIFS(Table1[ID],Table1[[#This Row],[ID]],Table1[Detail Account],"&lt;&gt;"&amp;Table1[[#This Row],[Detail Account]])=0,"OKAY","Investigate")</f>
        <v>OKAY</v>
      </c>
      <c r="E293" s="15" t="str">
        <f>IF(COUNTA(Table1[[#This Row],[ID]:[Amount]])&lt;&gt;3,"Investigate","OKAY")</f>
        <v>OKAY</v>
      </c>
      <c r="F293" s="22" t="str">
        <f>IF(COUNTIF(Table1[[#This Row],[Account number not unique]:[Incomplete data]],"Investigate")&gt;0,"errors noted","OKAY")</f>
        <v>OKAY</v>
      </c>
    </row>
    <row r="294" spans="1:6" ht="13" x14ac:dyDescent="0.25">
      <c r="A294" s="26">
        <v>50602002</v>
      </c>
      <c r="B294" s="29" t="s">
        <v>253</v>
      </c>
      <c r="C294" s="31">
        <v>23440.01</v>
      </c>
      <c r="D294" s="1" t="str">
        <f>IF(COUNTIFS(Table1[ID],Table1[[#This Row],[ID]],Table1[Detail Account],"&lt;&gt;"&amp;Table1[[#This Row],[Detail Account]])=0,"OKAY","Investigate")</f>
        <v>OKAY</v>
      </c>
      <c r="E294" s="15" t="str">
        <f>IF(COUNTA(Table1[[#This Row],[ID]:[Amount]])&lt;&gt;3,"Investigate","OKAY")</f>
        <v>OKAY</v>
      </c>
      <c r="F294" s="22" t="str">
        <f>IF(COUNTIF(Table1[[#This Row],[Account number not unique]:[Incomplete data]],"Investigate")&gt;0,"errors noted","OKAY")</f>
        <v>OKAY</v>
      </c>
    </row>
    <row r="295" spans="1:6" ht="13" x14ac:dyDescent="0.25">
      <c r="A295" s="26">
        <v>50602003</v>
      </c>
      <c r="B295" s="29" t="s">
        <v>254</v>
      </c>
      <c r="C295" s="31">
        <v>28817.759999999998</v>
      </c>
      <c r="D295" s="1" t="str">
        <f>IF(COUNTIFS(Table1[ID],Table1[[#This Row],[ID]],Table1[Detail Account],"&lt;&gt;"&amp;Table1[[#This Row],[Detail Account]])=0,"OKAY","Investigate")</f>
        <v>OKAY</v>
      </c>
      <c r="E295" s="15" t="str">
        <f>IF(COUNTA(Table1[[#This Row],[ID]:[Amount]])&lt;&gt;3,"Investigate","OKAY")</f>
        <v>OKAY</v>
      </c>
      <c r="F295" s="22" t="str">
        <f>IF(COUNTIF(Table1[[#This Row],[Account number not unique]:[Incomplete data]],"Investigate")&gt;0,"errors noted","OKAY")</f>
        <v>OKAY</v>
      </c>
    </row>
    <row r="296" spans="1:6" ht="13" x14ac:dyDescent="0.25">
      <c r="A296" s="26">
        <v>50602004</v>
      </c>
      <c r="B296" s="29" t="s">
        <v>255</v>
      </c>
      <c r="C296" s="31">
        <v>12094.86</v>
      </c>
      <c r="D296" s="1" t="str">
        <f>IF(COUNTIFS(Table1[ID],Table1[[#This Row],[ID]],Table1[Detail Account],"&lt;&gt;"&amp;Table1[[#This Row],[Detail Account]])=0,"OKAY","Investigate")</f>
        <v>OKAY</v>
      </c>
      <c r="E296" s="15" t="str">
        <f>IF(COUNTA(Table1[[#This Row],[ID]:[Amount]])&lt;&gt;3,"Investigate","OKAY")</f>
        <v>OKAY</v>
      </c>
      <c r="F296" s="22" t="str">
        <f>IF(COUNTIF(Table1[[#This Row],[Account number not unique]:[Incomplete data]],"Investigate")&gt;0,"errors noted","OKAY")</f>
        <v>OKAY</v>
      </c>
    </row>
    <row r="297" spans="1:6" ht="13" x14ac:dyDescent="0.25">
      <c r="A297" s="26">
        <v>50603001</v>
      </c>
      <c r="B297" s="29" t="s">
        <v>256</v>
      </c>
      <c r="C297" s="31">
        <v>18477.87</v>
      </c>
      <c r="D297" s="1" t="str">
        <f>IF(COUNTIFS(Table1[ID],Table1[[#This Row],[ID]],Table1[Detail Account],"&lt;&gt;"&amp;Table1[[#This Row],[Detail Account]])=0,"OKAY","Investigate")</f>
        <v>OKAY</v>
      </c>
      <c r="E297" s="15" t="str">
        <f>IF(COUNTA(Table1[[#This Row],[ID]:[Amount]])&lt;&gt;3,"Investigate","OKAY")</f>
        <v>OKAY</v>
      </c>
      <c r="F297" s="22" t="str">
        <f>IF(COUNTIF(Table1[[#This Row],[Account number not unique]:[Incomplete data]],"Investigate")&gt;0,"errors noted","OKAY")</f>
        <v>OKAY</v>
      </c>
    </row>
    <row r="298" spans="1:6" ht="13" x14ac:dyDescent="0.25">
      <c r="A298" s="26">
        <v>50603002</v>
      </c>
      <c r="B298" s="29" t="s">
        <v>308</v>
      </c>
      <c r="C298" s="31">
        <v>475.41</v>
      </c>
      <c r="D298" s="1" t="str">
        <f>IF(COUNTIFS(Table1[ID],Table1[[#This Row],[ID]],Table1[Detail Account],"&lt;&gt;"&amp;Table1[[#This Row],[Detail Account]])=0,"OKAY","Investigate")</f>
        <v>OKAY</v>
      </c>
      <c r="E298" s="15" t="str">
        <f>IF(COUNTA(Table1[[#This Row],[ID]:[Amount]])&lt;&gt;3,"Investigate","OKAY")</f>
        <v>OKAY</v>
      </c>
      <c r="F298" s="22" t="str">
        <f>IF(COUNTIF(Table1[[#This Row],[Account number not unique]:[Incomplete data]],"Investigate")&gt;0,"errors noted","OKAY")</f>
        <v>OKAY</v>
      </c>
    </row>
    <row r="299" spans="1:6" ht="13" x14ac:dyDescent="0.25">
      <c r="A299" s="26">
        <v>50603013</v>
      </c>
      <c r="B299" s="29" t="s">
        <v>258</v>
      </c>
      <c r="C299" s="31">
        <v>0</v>
      </c>
      <c r="D299" s="1" t="str">
        <f>IF(COUNTIFS(Table1[ID],Table1[[#This Row],[ID]],Table1[Detail Account],"&lt;&gt;"&amp;Table1[[#This Row],[Detail Account]])=0,"OKAY","Investigate")</f>
        <v>OKAY</v>
      </c>
      <c r="E299" s="15" t="str">
        <f>IF(COUNTA(Table1[[#This Row],[ID]:[Amount]])&lt;&gt;3,"Investigate","OKAY")</f>
        <v>OKAY</v>
      </c>
      <c r="F299" s="22" t="str">
        <f>IF(COUNTIF(Table1[[#This Row],[Account number not unique]:[Incomplete data]],"Investigate")&gt;0,"errors noted","OKAY")</f>
        <v>OKAY</v>
      </c>
    </row>
    <row r="300" spans="1:6" ht="13" x14ac:dyDescent="0.25">
      <c r="A300" s="26">
        <v>50603015</v>
      </c>
      <c r="B300" s="29" t="s">
        <v>309</v>
      </c>
      <c r="C300" s="31">
        <v>38072.28</v>
      </c>
      <c r="D300" s="1" t="str">
        <f>IF(COUNTIFS(Table1[ID],Table1[[#This Row],[ID]],Table1[Detail Account],"&lt;&gt;"&amp;Table1[[#This Row],[Detail Account]])=0,"OKAY","Investigate")</f>
        <v>OKAY</v>
      </c>
      <c r="E300" s="15" t="str">
        <f>IF(COUNTA(Table1[[#This Row],[ID]:[Amount]])&lt;&gt;3,"Investigate","OKAY")</f>
        <v>OKAY</v>
      </c>
      <c r="F300" s="22" t="str">
        <f>IF(COUNTIF(Table1[[#This Row],[Account number not unique]:[Incomplete data]],"Investigate")&gt;0,"errors noted","OKAY")</f>
        <v>OKAY</v>
      </c>
    </row>
    <row r="301" spans="1:6" ht="13" x14ac:dyDescent="0.25">
      <c r="A301" s="26">
        <v>50603016</v>
      </c>
      <c r="B301" s="29" t="s">
        <v>257</v>
      </c>
      <c r="C301" s="31">
        <v>7441.6</v>
      </c>
      <c r="D301" s="1" t="str">
        <f>IF(COUNTIFS(Table1[ID],Table1[[#This Row],[ID]],Table1[Detail Account],"&lt;&gt;"&amp;Table1[[#This Row],[Detail Account]])=0,"OKAY","Investigate")</f>
        <v>OKAY</v>
      </c>
      <c r="E301" s="15" t="str">
        <f>IF(COUNTA(Table1[[#This Row],[ID]:[Amount]])&lt;&gt;3,"Investigate","OKAY")</f>
        <v>OKAY</v>
      </c>
      <c r="F301" s="22" t="str">
        <f>IF(COUNTIF(Table1[[#This Row],[Account number not unique]:[Incomplete data]],"Investigate")&gt;0,"errors noted","OKAY")</f>
        <v>OKAY</v>
      </c>
    </row>
    <row r="302" spans="1:6" ht="13" x14ac:dyDescent="0.25">
      <c r="A302" s="26">
        <v>50605001</v>
      </c>
      <c r="B302" s="29" t="s">
        <v>259</v>
      </c>
      <c r="C302" s="31">
        <v>5714.71</v>
      </c>
      <c r="D302" s="1" t="str">
        <f>IF(COUNTIFS(Table1[ID],Table1[[#This Row],[ID]],Table1[Detail Account],"&lt;&gt;"&amp;Table1[[#This Row],[Detail Account]])=0,"OKAY","Investigate")</f>
        <v>OKAY</v>
      </c>
      <c r="E302" s="15" t="str">
        <f>IF(COUNTA(Table1[[#This Row],[ID]:[Amount]])&lt;&gt;3,"Investigate","OKAY")</f>
        <v>OKAY</v>
      </c>
      <c r="F302" s="22" t="str">
        <f>IF(COUNTIF(Table1[[#This Row],[Account number not unique]:[Incomplete data]],"Investigate")&gt;0,"errors noted","OKAY")</f>
        <v>OKAY</v>
      </c>
    </row>
    <row r="303" spans="1:6" ht="13" x14ac:dyDescent="0.25">
      <c r="A303" s="26">
        <v>50605002</v>
      </c>
      <c r="B303" s="29" t="s">
        <v>260</v>
      </c>
      <c r="C303" s="31">
        <v>180153.59</v>
      </c>
      <c r="D303" s="1" t="str">
        <f>IF(COUNTIFS(Table1[ID],Table1[[#This Row],[ID]],Table1[Detail Account],"&lt;&gt;"&amp;Table1[[#This Row],[Detail Account]])=0,"OKAY","Investigate")</f>
        <v>OKAY</v>
      </c>
      <c r="E303" s="15" t="str">
        <f>IF(COUNTA(Table1[[#This Row],[ID]:[Amount]])&lt;&gt;3,"Investigate","OKAY")</f>
        <v>OKAY</v>
      </c>
      <c r="F303" s="22" t="str">
        <f>IF(COUNTIF(Table1[[#This Row],[Account number not unique]:[Incomplete data]],"Investigate")&gt;0,"errors noted","OKAY")</f>
        <v>OKAY</v>
      </c>
    </row>
    <row r="304" spans="1:6" ht="13" x14ac:dyDescent="0.25">
      <c r="A304" s="26">
        <v>50701001</v>
      </c>
      <c r="B304" s="29" t="s">
        <v>261</v>
      </c>
      <c r="C304" s="31">
        <v>5255.24</v>
      </c>
      <c r="D304" s="1" t="str">
        <f>IF(COUNTIFS(Table1[ID],Table1[[#This Row],[ID]],Table1[Detail Account],"&lt;&gt;"&amp;Table1[[#This Row],[Detail Account]])=0,"OKAY","Investigate")</f>
        <v>OKAY</v>
      </c>
      <c r="E304" s="15" t="str">
        <f>IF(COUNTA(Table1[[#This Row],[ID]:[Amount]])&lt;&gt;3,"Investigate","OKAY")</f>
        <v>OKAY</v>
      </c>
      <c r="F304" s="22" t="str">
        <f>IF(COUNTIF(Table1[[#This Row],[Account number not unique]:[Incomplete data]],"Investigate")&gt;0,"errors noted","OKAY")</f>
        <v>OKAY</v>
      </c>
    </row>
    <row r="305" spans="1:6" ht="13" x14ac:dyDescent="0.25">
      <c r="A305" s="26">
        <v>50801001</v>
      </c>
      <c r="B305" s="29" t="s">
        <v>262</v>
      </c>
      <c r="C305" s="31">
        <v>314051.02</v>
      </c>
      <c r="D305" s="1" t="str">
        <f>IF(COUNTIFS(Table1[ID],Table1[[#This Row],[ID]],Table1[Detail Account],"&lt;&gt;"&amp;Table1[[#This Row],[Detail Account]])=0,"OKAY","Investigate")</f>
        <v>OKAY</v>
      </c>
      <c r="E305" s="15" t="str">
        <f>IF(COUNTA(Table1[[#This Row],[ID]:[Amount]])&lt;&gt;3,"Investigate","OKAY")</f>
        <v>OKAY</v>
      </c>
      <c r="F305" s="22" t="str">
        <f>IF(COUNTIF(Table1[[#This Row],[Account number not unique]:[Incomplete data]],"Investigate")&gt;0,"errors noted","OKAY")</f>
        <v>OKAY</v>
      </c>
    </row>
    <row r="306" spans="1:6" ht="13" x14ac:dyDescent="0.25">
      <c r="A306" s="26">
        <v>50801002</v>
      </c>
      <c r="B306" s="29" t="s">
        <v>310</v>
      </c>
      <c r="C306" s="31">
        <v>185680.94</v>
      </c>
      <c r="D306" s="1" t="str">
        <f>IF(COUNTIFS(Table1[ID],Table1[[#This Row],[ID]],Table1[Detail Account],"&lt;&gt;"&amp;Table1[[#This Row],[Detail Account]])=0,"OKAY","Investigate")</f>
        <v>OKAY</v>
      </c>
      <c r="E306" s="15" t="str">
        <f>IF(COUNTA(Table1[[#This Row],[ID]:[Amount]])&lt;&gt;3,"Investigate","OKAY")</f>
        <v>OKAY</v>
      </c>
      <c r="F306" s="22" t="str">
        <f>IF(COUNTIF(Table1[[#This Row],[Account number not unique]:[Incomplete data]],"Investigate")&gt;0,"errors noted","OKAY")</f>
        <v>OKAY</v>
      </c>
    </row>
  </sheetData>
  <conditionalFormatting sqref="A6:A30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to_convert_to_text">
                <anchor moveWithCells="1" sizeWithCells="1">
                  <from>
                    <xdr:col>0</xdr:col>
                    <xdr:colOff>298450</xdr:colOff>
                    <xdr:row>2</xdr:row>
                    <xdr:rowOff>44450</xdr:rowOff>
                  </from>
                  <to>
                    <xdr:col>1</xdr:col>
                    <xdr:colOff>984250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D6447-C807-4DDD-BFF1-8E4FA47A1653}">
  <sheetPr codeName="Sheet5"/>
  <dimension ref="A1:D382"/>
  <sheetViews>
    <sheetView workbookViewId="0">
      <selection activeCell="C3" sqref="C3:D1048576"/>
    </sheetView>
  </sheetViews>
  <sheetFormatPr defaultRowHeight="11.5" x14ac:dyDescent="0.25"/>
  <cols>
    <col min="2" max="2" width="24.453125" bestFit="1" customWidth="1"/>
    <col min="3" max="3" width="13.7265625" style="1" bestFit="1" customWidth="1"/>
    <col min="4" max="4" width="15.453125" style="1" customWidth="1"/>
  </cols>
  <sheetData>
    <row r="1" spans="1:4" ht="15" thickBot="1" x14ac:dyDescent="0.3">
      <c r="A1" s="24" t="s">
        <v>0</v>
      </c>
      <c r="B1" s="24"/>
      <c r="C1" s="24"/>
      <c r="D1" s="24"/>
    </row>
    <row r="2" spans="1:4" ht="15" thickBot="1" x14ac:dyDescent="0.3">
      <c r="A2" s="17" t="s">
        <v>1</v>
      </c>
      <c r="B2" s="18" t="s">
        <v>2</v>
      </c>
      <c r="C2" s="19" t="s">
        <v>3</v>
      </c>
      <c r="D2" s="20" t="s">
        <v>4</v>
      </c>
    </row>
    <row r="3" spans="1:4" x14ac:dyDescent="0.25">
      <c r="C3"/>
      <c r="D3"/>
    </row>
    <row r="4" spans="1:4" x14ac:dyDescent="0.25">
      <c r="C4"/>
      <c r="D4"/>
    </row>
    <row r="5" spans="1:4" x14ac:dyDescent="0.25">
      <c r="C5"/>
      <c r="D5"/>
    </row>
    <row r="6" spans="1:4" x14ac:dyDescent="0.25">
      <c r="C6"/>
      <c r="D6"/>
    </row>
    <row r="7" spans="1:4" x14ac:dyDescent="0.25">
      <c r="C7"/>
      <c r="D7"/>
    </row>
    <row r="8" spans="1:4" x14ac:dyDescent="0.25">
      <c r="C8"/>
      <c r="D8"/>
    </row>
    <row r="9" spans="1:4" x14ac:dyDescent="0.25">
      <c r="C9"/>
      <c r="D9"/>
    </row>
    <row r="10" spans="1:4" x14ac:dyDescent="0.25">
      <c r="C10"/>
      <c r="D10"/>
    </row>
    <row r="11" spans="1:4" x14ac:dyDescent="0.25">
      <c r="C11"/>
      <c r="D11"/>
    </row>
    <row r="12" spans="1:4" x14ac:dyDescent="0.25">
      <c r="C12"/>
      <c r="D12"/>
    </row>
    <row r="13" spans="1:4" x14ac:dyDescent="0.25">
      <c r="C13"/>
      <c r="D13"/>
    </row>
    <row r="14" spans="1:4" x14ac:dyDescent="0.25">
      <c r="C14"/>
      <c r="D14"/>
    </row>
    <row r="15" spans="1:4" x14ac:dyDescent="0.25">
      <c r="C15"/>
      <c r="D15"/>
    </row>
    <row r="16" spans="1:4" x14ac:dyDescent="0.25">
      <c r="C16"/>
      <c r="D16"/>
    </row>
    <row r="17" spans="3:4" x14ac:dyDescent="0.25">
      <c r="C17"/>
      <c r="D17"/>
    </row>
    <row r="18" spans="3:4" x14ac:dyDescent="0.25">
      <c r="C18"/>
      <c r="D18"/>
    </row>
    <row r="19" spans="3:4" x14ac:dyDescent="0.25">
      <c r="C19"/>
      <c r="D19"/>
    </row>
    <row r="20" spans="3:4" x14ac:dyDescent="0.25">
      <c r="C20"/>
      <c r="D20"/>
    </row>
    <row r="21" spans="3:4" x14ac:dyDescent="0.25">
      <c r="C21"/>
      <c r="D21"/>
    </row>
    <row r="22" spans="3:4" x14ac:dyDescent="0.25">
      <c r="C22"/>
      <c r="D22"/>
    </row>
    <row r="23" spans="3:4" x14ac:dyDescent="0.25">
      <c r="C23"/>
      <c r="D23"/>
    </row>
    <row r="24" spans="3:4" x14ac:dyDescent="0.25">
      <c r="C24"/>
      <c r="D24"/>
    </row>
    <row r="25" spans="3:4" x14ac:dyDescent="0.25">
      <c r="C25"/>
      <c r="D25"/>
    </row>
    <row r="26" spans="3:4" x14ac:dyDescent="0.25">
      <c r="C26"/>
      <c r="D26"/>
    </row>
    <row r="27" spans="3:4" x14ac:dyDescent="0.25">
      <c r="C27"/>
      <c r="D27"/>
    </row>
    <row r="28" spans="3:4" x14ac:dyDescent="0.25">
      <c r="C28"/>
      <c r="D28"/>
    </row>
    <row r="29" spans="3:4" x14ac:dyDescent="0.25">
      <c r="C29"/>
      <c r="D29"/>
    </row>
    <row r="30" spans="3:4" x14ac:dyDescent="0.25">
      <c r="C30"/>
      <c r="D30"/>
    </row>
    <row r="31" spans="3:4" x14ac:dyDescent="0.25">
      <c r="C31"/>
      <c r="D31"/>
    </row>
    <row r="32" spans="3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  <row r="36" spans="3:4" x14ac:dyDescent="0.25">
      <c r="C36"/>
      <c r="D36"/>
    </row>
    <row r="37" spans="3:4" x14ac:dyDescent="0.25">
      <c r="C37"/>
      <c r="D37"/>
    </row>
    <row r="38" spans="3:4" x14ac:dyDescent="0.25">
      <c r="C38"/>
      <c r="D38"/>
    </row>
    <row r="39" spans="3:4" x14ac:dyDescent="0.25">
      <c r="C39"/>
      <c r="D39"/>
    </row>
    <row r="40" spans="3:4" x14ac:dyDescent="0.25">
      <c r="C40"/>
      <c r="D40"/>
    </row>
    <row r="41" spans="3:4" x14ac:dyDescent="0.25">
      <c r="C41"/>
      <c r="D41"/>
    </row>
    <row r="42" spans="3:4" x14ac:dyDescent="0.25">
      <c r="C42"/>
      <c r="D42"/>
    </row>
    <row r="43" spans="3:4" x14ac:dyDescent="0.25">
      <c r="C43"/>
      <c r="D43"/>
    </row>
    <row r="44" spans="3:4" x14ac:dyDescent="0.25">
      <c r="C44"/>
      <c r="D44"/>
    </row>
    <row r="45" spans="3:4" x14ac:dyDescent="0.25">
      <c r="C45"/>
      <c r="D45"/>
    </row>
    <row r="46" spans="3:4" x14ac:dyDescent="0.25">
      <c r="C46"/>
      <c r="D46"/>
    </row>
    <row r="47" spans="3:4" x14ac:dyDescent="0.25">
      <c r="C47"/>
      <c r="D47"/>
    </row>
    <row r="48" spans="3:4" x14ac:dyDescent="0.25">
      <c r="C48"/>
      <c r="D48"/>
    </row>
    <row r="49" spans="3:4" x14ac:dyDescent="0.25">
      <c r="C49"/>
      <c r="D49"/>
    </row>
    <row r="50" spans="3:4" x14ac:dyDescent="0.25">
      <c r="C50"/>
      <c r="D50"/>
    </row>
    <row r="51" spans="3:4" x14ac:dyDescent="0.25">
      <c r="C51"/>
      <c r="D51"/>
    </row>
    <row r="52" spans="3:4" x14ac:dyDescent="0.25">
      <c r="C52"/>
      <c r="D52"/>
    </row>
    <row r="53" spans="3:4" x14ac:dyDescent="0.25">
      <c r="C53"/>
      <c r="D53"/>
    </row>
    <row r="54" spans="3:4" x14ac:dyDescent="0.25">
      <c r="C54"/>
      <c r="D54"/>
    </row>
    <row r="55" spans="3:4" x14ac:dyDescent="0.25">
      <c r="C55"/>
      <c r="D55"/>
    </row>
    <row r="56" spans="3:4" x14ac:dyDescent="0.25">
      <c r="C56"/>
      <c r="D56"/>
    </row>
    <row r="57" spans="3:4" x14ac:dyDescent="0.25">
      <c r="C57"/>
      <c r="D57"/>
    </row>
    <row r="58" spans="3:4" x14ac:dyDescent="0.25">
      <c r="C58"/>
      <c r="D58"/>
    </row>
    <row r="59" spans="3:4" x14ac:dyDescent="0.25">
      <c r="C59"/>
      <c r="D59"/>
    </row>
    <row r="60" spans="3:4" x14ac:dyDescent="0.25">
      <c r="C60"/>
      <c r="D60"/>
    </row>
    <row r="61" spans="3:4" x14ac:dyDescent="0.25">
      <c r="C61"/>
      <c r="D61"/>
    </row>
    <row r="62" spans="3:4" x14ac:dyDescent="0.25">
      <c r="C62"/>
      <c r="D62"/>
    </row>
    <row r="63" spans="3:4" x14ac:dyDescent="0.25">
      <c r="C63"/>
      <c r="D63"/>
    </row>
    <row r="64" spans="3:4" x14ac:dyDescent="0.25">
      <c r="C64"/>
      <c r="D64"/>
    </row>
    <row r="65" spans="3:4" x14ac:dyDescent="0.25">
      <c r="C65"/>
      <c r="D65"/>
    </row>
    <row r="66" spans="3:4" x14ac:dyDescent="0.25">
      <c r="C66"/>
      <c r="D66"/>
    </row>
    <row r="67" spans="3:4" x14ac:dyDescent="0.25">
      <c r="C67"/>
      <c r="D67"/>
    </row>
    <row r="68" spans="3:4" x14ac:dyDescent="0.25">
      <c r="C68"/>
      <c r="D68"/>
    </row>
    <row r="69" spans="3:4" x14ac:dyDescent="0.25">
      <c r="C69"/>
      <c r="D69"/>
    </row>
    <row r="70" spans="3:4" x14ac:dyDescent="0.25">
      <c r="C70"/>
      <c r="D70"/>
    </row>
    <row r="71" spans="3:4" x14ac:dyDescent="0.25">
      <c r="C71"/>
      <c r="D71"/>
    </row>
    <row r="72" spans="3:4" x14ac:dyDescent="0.25">
      <c r="C72"/>
      <c r="D72"/>
    </row>
    <row r="73" spans="3:4" x14ac:dyDescent="0.25">
      <c r="C73"/>
      <c r="D73"/>
    </row>
    <row r="74" spans="3:4" x14ac:dyDescent="0.25">
      <c r="C74"/>
      <c r="D74"/>
    </row>
    <row r="75" spans="3:4" x14ac:dyDescent="0.25">
      <c r="C75"/>
      <c r="D75"/>
    </row>
    <row r="76" spans="3:4" x14ac:dyDescent="0.25">
      <c r="C76"/>
      <c r="D76"/>
    </row>
    <row r="77" spans="3:4" x14ac:dyDescent="0.25">
      <c r="C77"/>
      <c r="D77"/>
    </row>
    <row r="78" spans="3:4" x14ac:dyDescent="0.25">
      <c r="C78"/>
      <c r="D78"/>
    </row>
    <row r="79" spans="3:4" x14ac:dyDescent="0.25">
      <c r="C79"/>
      <c r="D79"/>
    </row>
    <row r="80" spans="3:4" x14ac:dyDescent="0.25">
      <c r="C80"/>
      <c r="D80"/>
    </row>
    <row r="81" spans="3:4" x14ac:dyDescent="0.25">
      <c r="C81"/>
      <c r="D81"/>
    </row>
    <row r="82" spans="3:4" x14ac:dyDescent="0.25">
      <c r="C82"/>
      <c r="D82"/>
    </row>
    <row r="83" spans="3:4" x14ac:dyDescent="0.25">
      <c r="C83"/>
      <c r="D83"/>
    </row>
    <row r="84" spans="3:4" x14ac:dyDescent="0.25">
      <c r="C84"/>
      <c r="D84"/>
    </row>
    <row r="85" spans="3:4" x14ac:dyDescent="0.25">
      <c r="C85"/>
      <c r="D85"/>
    </row>
    <row r="86" spans="3:4" x14ac:dyDescent="0.25">
      <c r="C86"/>
      <c r="D86"/>
    </row>
    <row r="87" spans="3:4" x14ac:dyDescent="0.25">
      <c r="C87"/>
      <c r="D87"/>
    </row>
    <row r="88" spans="3:4" x14ac:dyDescent="0.25">
      <c r="C88"/>
      <c r="D88"/>
    </row>
    <row r="89" spans="3:4" x14ac:dyDescent="0.25">
      <c r="C89"/>
      <c r="D89"/>
    </row>
    <row r="90" spans="3:4" x14ac:dyDescent="0.25">
      <c r="C90"/>
      <c r="D90"/>
    </row>
    <row r="91" spans="3:4" x14ac:dyDescent="0.25">
      <c r="C91"/>
      <c r="D91"/>
    </row>
    <row r="92" spans="3:4" x14ac:dyDescent="0.25">
      <c r="C92"/>
      <c r="D92"/>
    </row>
    <row r="93" spans="3:4" x14ac:dyDescent="0.25">
      <c r="C93"/>
      <c r="D93"/>
    </row>
    <row r="94" spans="3:4" x14ac:dyDescent="0.25">
      <c r="C94"/>
      <c r="D94"/>
    </row>
    <row r="95" spans="3:4" x14ac:dyDescent="0.25">
      <c r="C95"/>
      <c r="D95"/>
    </row>
    <row r="96" spans="3:4" x14ac:dyDescent="0.25">
      <c r="C96"/>
      <c r="D96"/>
    </row>
    <row r="97" spans="3:4" x14ac:dyDescent="0.25">
      <c r="C97"/>
      <c r="D97"/>
    </row>
    <row r="98" spans="3:4" x14ac:dyDescent="0.25">
      <c r="C98"/>
      <c r="D98"/>
    </row>
    <row r="99" spans="3:4" x14ac:dyDescent="0.25">
      <c r="C99"/>
      <c r="D99"/>
    </row>
    <row r="100" spans="3:4" x14ac:dyDescent="0.25">
      <c r="C100"/>
      <c r="D100"/>
    </row>
    <row r="101" spans="3:4" x14ac:dyDescent="0.25">
      <c r="C101"/>
      <c r="D101"/>
    </row>
    <row r="102" spans="3:4" x14ac:dyDescent="0.25">
      <c r="C102"/>
      <c r="D102"/>
    </row>
    <row r="103" spans="3:4" x14ac:dyDescent="0.25">
      <c r="C103"/>
      <c r="D103"/>
    </row>
    <row r="104" spans="3:4" x14ac:dyDescent="0.25">
      <c r="C104"/>
      <c r="D104"/>
    </row>
    <row r="105" spans="3:4" x14ac:dyDescent="0.25">
      <c r="C105"/>
      <c r="D105"/>
    </row>
    <row r="106" spans="3:4" x14ac:dyDescent="0.25">
      <c r="C106"/>
      <c r="D106"/>
    </row>
    <row r="107" spans="3:4" x14ac:dyDescent="0.25">
      <c r="C107"/>
      <c r="D107"/>
    </row>
    <row r="108" spans="3:4" x14ac:dyDescent="0.25">
      <c r="C108"/>
      <c r="D108"/>
    </row>
    <row r="109" spans="3:4" x14ac:dyDescent="0.25">
      <c r="C109"/>
      <c r="D109"/>
    </row>
    <row r="110" spans="3:4" x14ac:dyDescent="0.25">
      <c r="C110"/>
      <c r="D110"/>
    </row>
    <row r="111" spans="3:4" x14ac:dyDescent="0.25">
      <c r="C111"/>
      <c r="D111"/>
    </row>
    <row r="112" spans="3:4" x14ac:dyDescent="0.25">
      <c r="C112"/>
      <c r="D112"/>
    </row>
    <row r="113" spans="3:4" x14ac:dyDescent="0.25">
      <c r="C113"/>
      <c r="D113"/>
    </row>
    <row r="114" spans="3:4" x14ac:dyDescent="0.25">
      <c r="C114"/>
      <c r="D114"/>
    </row>
    <row r="115" spans="3:4" x14ac:dyDescent="0.25">
      <c r="C115"/>
      <c r="D115"/>
    </row>
    <row r="116" spans="3:4" x14ac:dyDescent="0.25">
      <c r="C116"/>
      <c r="D116"/>
    </row>
    <row r="117" spans="3:4" x14ac:dyDescent="0.25">
      <c r="C117"/>
      <c r="D117"/>
    </row>
    <row r="118" spans="3:4" x14ac:dyDescent="0.25">
      <c r="C118"/>
      <c r="D118"/>
    </row>
    <row r="119" spans="3:4" x14ac:dyDescent="0.25">
      <c r="C119"/>
      <c r="D119"/>
    </row>
    <row r="120" spans="3:4" x14ac:dyDescent="0.25">
      <c r="C120"/>
      <c r="D120"/>
    </row>
    <row r="121" spans="3:4" x14ac:dyDescent="0.25">
      <c r="C121"/>
      <c r="D121"/>
    </row>
    <row r="122" spans="3:4" x14ac:dyDescent="0.25">
      <c r="C122"/>
      <c r="D122"/>
    </row>
    <row r="123" spans="3:4" x14ac:dyDescent="0.25">
      <c r="C123"/>
      <c r="D123"/>
    </row>
    <row r="124" spans="3:4" x14ac:dyDescent="0.25">
      <c r="C124"/>
      <c r="D124"/>
    </row>
    <row r="125" spans="3:4" x14ac:dyDescent="0.25">
      <c r="C125"/>
      <c r="D125"/>
    </row>
    <row r="126" spans="3:4" x14ac:dyDescent="0.25">
      <c r="C126"/>
      <c r="D126"/>
    </row>
    <row r="127" spans="3:4" x14ac:dyDescent="0.25">
      <c r="C127"/>
      <c r="D127"/>
    </row>
    <row r="128" spans="3:4" x14ac:dyDescent="0.25">
      <c r="C128"/>
      <c r="D128"/>
    </row>
    <row r="129" spans="3:4" x14ac:dyDescent="0.25">
      <c r="C129"/>
      <c r="D129"/>
    </row>
    <row r="130" spans="3:4" x14ac:dyDescent="0.25">
      <c r="C130"/>
      <c r="D130"/>
    </row>
    <row r="131" spans="3:4" x14ac:dyDescent="0.25">
      <c r="C131"/>
      <c r="D131"/>
    </row>
    <row r="132" spans="3:4" x14ac:dyDescent="0.25">
      <c r="C132"/>
      <c r="D132"/>
    </row>
    <row r="133" spans="3:4" x14ac:dyDescent="0.25">
      <c r="C133"/>
      <c r="D133"/>
    </row>
    <row r="134" spans="3:4" x14ac:dyDescent="0.25">
      <c r="C134"/>
      <c r="D134"/>
    </row>
    <row r="135" spans="3:4" x14ac:dyDescent="0.25">
      <c r="C135"/>
      <c r="D135"/>
    </row>
    <row r="136" spans="3:4" x14ac:dyDescent="0.25">
      <c r="C136"/>
      <c r="D136"/>
    </row>
    <row r="137" spans="3:4" x14ac:dyDescent="0.25">
      <c r="C137"/>
      <c r="D137"/>
    </row>
    <row r="138" spans="3:4" x14ac:dyDescent="0.25">
      <c r="C138"/>
      <c r="D138"/>
    </row>
    <row r="139" spans="3:4" x14ac:dyDescent="0.25">
      <c r="C139"/>
      <c r="D139"/>
    </row>
    <row r="140" spans="3:4" x14ac:dyDescent="0.25">
      <c r="C140"/>
      <c r="D140"/>
    </row>
    <row r="141" spans="3:4" x14ac:dyDescent="0.25">
      <c r="C141"/>
      <c r="D141"/>
    </row>
    <row r="142" spans="3:4" x14ac:dyDescent="0.25">
      <c r="C142"/>
      <c r="D142"/>
    </row>
    <row r="143" spans="3:4" x14ac:dyDescent="0.25">
      <c r="C143"/>
      <c r="D143"/>
    </row>
    <row r="144" spans="3:4" x14ac:dyDescent="0.25">
      <c r="C144"/>
      <c r="D144"/>
    </row>
    <row r="145" spans="3:4" x14ac:dyDescent="0.25">
      <c r="C145"/>
      <c r="D145"/>
    </row>
    <row r="146" spans="3:4" x14ac:dyDescent="0.25">
      <c r="C146"/>
      <c r="D146"/>
    </row>
    <row r="147" spans="3:4" x14ac:dyDescent="0.25">
      <c r="C147"/>
      <c r="D147"/>
    </row>
    <row r="148" spans="3:4" x14ac:dyDescent="0.25">
      <c r="C148"/>
      <c r="D148"/>
    </row>
    <row r="149" spans="3:4" x14ac:dyDescent="0.25">
      <c r="C149"/>
      <c r="D149"/>
    </row>
    <row r="150" spans="3:4" x14ac:dyDescent="0.25">
      <c r="C150"/>
      <c r="D150"/>
    </row>
    <row r="151" spans="3:4" x14ac:dyDescent="0.25">
      <c r="C151"/>
      <c r="D151"/>
    </row>
    <row r="152" spans="3:4" x14ac:dyDescent="0.25">
      <c r="C152"/>
      <c r="D152"/>
    </row>
    <row r="153" spans="3:4" x14ac:dyDescent="0.25">
      <c r="C153"/>
      <c r="D153"/>
    </row>
    <row r="154" spans="3:4" x14ac:dyDescent="0.25">
      <c r="C154"/>
      <c r="D154"/>
    </row>
    <row r="155" spans="3:4" x14ac:dyDescent="0.25">
      <c r="C155"/>
      <c r="D155"/>
    </row>
    <row r="156" spans="3:4" x14ac:dyDescent="0.25">
      <c r="C156"/>
      <c r="D156"/>
    </row>
    <row r="157" spans="3:4" x14ac:dyDescent="0.25">
      <c r="C157"/>
      <c r="D157"/>
    </row>
    <row r="158" spans="3:4" x14ac:dyDescent="0.25">
      <c r="C158"/>
      <c r="D158"/>
    </row>
    <row r="159" spans="3:4" x14ac:dyDescent="0.25">
      <c r="C159"/>
      <c r="D159"/>
    </row>
    <row r="160" spans="3:4" x14ac:dyDescent="0.25">
      <c r="C160"/>
      <c r="D160"/>
    </row>
    <row r="161" spans="3:4" x14ac:dyDescent="0.25">
      <c r="C161"/>
      <c r="D161"/>
    </row>
    <row r="162" spans="3:4" x14ac:dyDescent="0.25">
      <c r="C162"/>
      <c r="D162"/>
    </row>
    <row r="163" spans="3:4" x14ac:dyDescent="0.25">
      <c r="C163"/>
      <c r="D163"/>
    </row>
    <row r="164" spans="3:4" x14ac:dyDescent="0.25">
      <c r="C164"/>
      <c r="D164"/>
    </row>
    <row r="165" spans="3:4" x14ac:dyDescent="0.25">
      <c r="C165"/>
      <c r="D165"/>
    </row>
    <row r="166" spans="3:4" x14ac:dyDescent="0.25">
      <c r="C166"/>
      <c r="D166"/>
    </row>
    <row r="167" spans="3:4" x14ac:dyDescent="0.25">
      <c r="C167"/>
      <c r="D167"/>
    </row>
    <row r="168" spans="3:4" x14ac:dyDescent="0.25">
      <c r="C168"/>
      <c r="D168"/>
    </row>
    <row r="169" spans="3:4" x14ac:dyDescent="0.25">
      <c r="C169"/>
      <c r="D169"/>
    </row>
    <row r="170" spans="3:4" x14ac:dyDescent="0.25">
      <c r="C170"/>
      <c r="D170"/>
    </row>
    <row r="171" spans="3:4" x14ac:dyDescent="0.25">
      <c r="C171"/>
      <c r="D171"/>
    </row>
    <row r="172" spans="3:4" x14ac:dyDescent="0.25">
      <c r="C172"/>
      <c r="D172"/>
    </row>
    <row r="173" spans="3:4" x14ac:dyDescent="0.25">
      <c r="C173"/>
      <c r="D173"/>
    </row>
    <row r="174" spans="3:4" x14ac:dyDescent="0.25">
      <c r="C174"/>
      <c r="D174"/>
    </row>
    <row r="175" spans="3:4" x14ac:dyDescent="0.25">
      <c r="C175"/>
      <c r="D175"/>
    </row>
    <row r="176" spans="3:4" x14ac:dyDescent="0.25">
      <c r="C176"/>
      <c r="D176"/>
    </row>
    <row r="177" spans="3:4" x14ac:dyDescent="0.25">
      <c r="C177"/>
      <c r="D177"/>
    </row>
    <row r="178" spans="3:4" x14ac:dyDescent="0.25">
      <c r="C178"/>
      <c r="D178"/>
    </row>
    <row r="179" spans="3:4" x14ac:dyDescent="0.25">
      <c r="C179"/>
      <c r="D179"/>
    </row>
    <row r="180" spans="3:4" x14ac:dyDescent="0.25">
      <c r="C180"/>
      <c r="D180"/>
    </row>
    <row r="181" spans="3:4" x14ac:dyDescent="0.25">
      <c r="C181"/>
      <c r="D181"/>
    </row>
    <row r="182" spans="3:4" x14ac:dyDescent="0.25">
      <c r="C182"/>
      <c r="D182"/>
    </row>
    <row r="183" spans="3:4" x14ac:dyDescent="0.25">
      <c r="C183"/>
      <c r="D183"/>
    </row>
    <row r="184" spans="3:4" x14ac:dyDescent="0.25">
      <c r="C184"/>
      <c r="D184"/>
    </row>
    <row r="185" spans="3:4" x14ac:dyDescent="0.25">
      <c r="C185"/>
      <c r="D185"/>
    </row>
    <row r="186" spans="3:4" x14ac:dyDescent="0.25">
      <c r="C186"/>
      <c r="D186"/>
    </row>
    <row r="187" spans="3:4" x14ac:dyDescent="0.25">
      <c r="C187"/>
      <c r="D187"/>
    </row>
    <row r="188" spans="3:4" x14ac:dyDescent="0.25">
      <c r="C188"/>
      <c r="D188"/>
    </row>
    <row r="189" spans="3:4" x14ac:dyDescent="0.25">
      <c r="C189"/>
      <c r="D189"/>
    </row>
    <row r="190" spans="3:4" x14ac:dyDescent="0.25">
      <c r="C190"/>
      <c r="D190"/>
    </row>
    <row r="191" spans="3:4" x14ac:dyDescent="0.25">
      <c r="C191"/>
      <c r="D191"/>
    </row>
    <row r="192" spans="3:4" x14ac:dyDescent="0.25">
      <c r="C192"/>
      <c r="D192"/>
    </row>
    <row r="193" spans="3:4" x14ac:dyDescent="0.25">
      <c r="C193"/>
      <c r="D193"/>
    </row>
    <row r="194" spans="3:4" x14ac:dyDescent="0.25">
      <c r="C194"/>
      <c r="D194"/>
    </row>
    <row r="195" spans="3:4" x14ac:dyDescent="0.25">
      <c r="C195"/>
      <c r="D195"/>
    </row>
    <row r="196" spans="3:4" x14ac:dyDescent="0.25">
      <c r="C196"/>
      <c r="D196"/>
    </row>
    <row r="197" spans="3:4" x14ac:dyDescent="0.25">
      <c r="C197"/>
      <c r="D197"/>
    </row>
    <row r="198" spans="3:4" x14ac:dyDescent="0.25">
      <c r="C198"/>
      <c r="D198"/>
    </row>
    <row r="199" spans="3:4" x14ac:dyDescent="0.25">
      <c r="C199"/>
      <c r="D199"/>
    </row>
    <row r="200" spans="3:4" x14ac:dyDescent="0.25">
      <c r="C200"/>
      <c r="D200"/>
    </row>
    <row r="201" spans="3:4" x14ac:dyDescent="0.25">
      <c r="C201"/>
      <c r="D201"/>
    </row>
    <row r="202" spans="3:4" x14ac:dyDescent="0.25">
      <c r="C202"/>
      <c r="D202"/>
    </row>
    <row r="203" spans="3:4" x14ac:dyDescent="0.25">
      <c r="C203"/>
      <c r="D203"/>
    </row>
    <row r="204" spans="3:4" x14ac:dyDescent="0.25">
      <c r="C204"/>
      <c r="D204"/>
    </row>
    <row r="205" spans="3:4" x14ac:dyDescent="0.25">
      <c r="C205"/>
      <c r="D205"/>
    </row>
    <row r="206" spans="3:4" x14ac:dyDescent="0.25">
      <c r="C206"/>
      <c r="D206"/>
    </row>
    <row r="207" spans="3:4" x14ac:dyDescent="0.25">
      <c r="C207"/>
      <c r="D207"/>
    </row>
    <row r="208" spans="3:4" x14ac:dyDescent="0.25">
      <c r="C208"/>
      <c r="D208"/>
    </row>
    <row r="209" spans="3:4" x14ac:dyDescent="0.25">
      <c r="C209"/>
      <c r="D209"/>
    </row>
    <row r="210" spans="3:4" x14ac:dyDescent="0.25">
      <c r="C210"/>
      <c r="D210"/>
    </row>
    <row r="211" spans="3:4" x14ac:dyDescent="0.25">
      <c r="C211"/>
      <c r="D211"/>
    </row>
    <row r="212" spans="3:4" x14ac:dyDescent="0.25">
      <c r="C212"/>
      <c r="D212"/>
    </row>
    <row r="213" spans="3:4" x14ac:dyDescent="0.25">
      <c r="C213"/>
      <c r="D213"/>
    </row>
    <row r="214" spans="3:4" x14ac:dyDescent="0.25">
      <c r="C214"/>
      <c r="D214"/>
    </row>
    <row r="215" spans="3:4" x14ac:dyDescent="0.25">
      <c r="C215"/>
      <c r="D215"/>
    </row>
    <row r="216" spans="3:4" x14ac:dyDescent="0.25">
      <c r="C216"/>
      <c r="D216"/>
    </row>
    <row r="217" spans="3:4" x14ac:dyDescent="0.25">
      <c r="C217"/>
      <c r="D217"/>
    </row>
    <row r="218" spans="3:4" x14ac:dyDescent="0.25">
      <c r="C218"/>
      <c r="D218"/>
    </row>
    <row r="219" spans="3:4" x14ac:dyDescent="0.25">
      <c r="C219"/>
      <c r="D219"/>
    </row>
    <row r="220" spans="3:4" x14ac:dyDescent="0.25">
      <c r="C220"/>
      <c r="D220"/>
    </row>
    <row r="221" spans="3:4" x14ac:dyDescent="0.25">
      <c r="C221"/>
      <c r="D221"/>
    </row>
    <row r="222" spans="3:4" x14ac:dyDescent="0.25">
      <c r="C222"/>
      <c r="D222"/>
    </row>
    <row r="223" spans="3:4" x14ac:dyDescent="0.25">
      <c r="C223"/>
      <c r="D223"/>
    </row>
    <row r="224" spans="3:4" x14ac:dyDescent="0.25">
      <c r="C224"/>
      <c r="D224"/>
    </row>
    <row r="225" spans="3:4" x14ac:dyDescent="0.25">
      <c r="C225"/>
      <c r="D225"/>
    </row>
    <row r="226" spans="3:4" x14ac:dyDescent="0.25">
      <c r="C226"/>
      <c r="D226"/>
    </row>
    <row r="227" spans="3:4" x14ac:dyDescent="0.25">
      <c r="C227"/>
      <c r="D227"/>
    </row>
    <row r="228" spans="3:4" x14ac:dyDescent="0.25">
      <c r="C228"/>
      <c r="D228"/>
    </row>
    <row r="229" spans="3:4" x14ac:dyDescent="0.25">
      <c r="C229"/>
      <c r="D229"/>
    </row>
    <row r="230" spans="3:4" x14ac:dyDescent="0.25">
      <c r="C230"/>
      <c r="D230"/>
    </row>
    <row r="231" spans="3:4" x14ac:dyDescent="0.25">
      <c r="C231"/>
      <c r="D231"/>
    </row>
    <row r="232" spans="3:4" x14ac:dyDescent="0.25">
      <c r="C232"/>
      <c r="D232"/>
    </row>
    <row r="233" spans="3:4" x14ac:dyDescent="0.25">
      <c r="C233"/>
      <c r="D233"/>
    </row>
    <row r="234" spans="3:4" x14ac:dyDescent="0.25">
      <c r="C234"/>
      <c r="D234"/>
    </row>
    <row r="235" spans="3:4" x14ac:dyDescent="0.25">
      <c r="C235"/>
      <c r="D235"/>
    </row>
    <row r="236" spans="3:4" x14ac:dyDescent="0.25">
      <c r="C236"/>
      <c r="D236"/>
    </row>
    <row r="237" spans="3:4" x14ac:dyDescent="0.25">
      <c r="C237"/>
      <c r="D237"/>
    </row>
    <row r="238" spans="3:4" x14ac:dyDescent="0.25">
      <c r="C238"/>
      <c r="D238"/>
    </row>
    <row r="239" spans="3:4" x14ac:dyDescent="0.25">
      <c r="C239"/>
      <c r="D239"/>
    </row>
    <row r="240" spans="3:4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6B7A0EA457AB4DA5AF184001F9EFF2" ma:contentTypeVersion="10" ma:contentTypeDescription="Create a new document." ma:contentTypeScope="" ma:versionID="9b344a1ec2ecced0c307c150c6ae9501">
  <xsd:schema xmlns:xsd="http://www.w3.org/2001/XMLSchema" xmlns:xs="http://www.w3.org/2001/XMLSchema" xmlns:p="http://schemas.microsoft.com/office/2006/metadata/properties" xmlns:ns2="c8624657-738d-4964-b6b5-5d8a0cc80413" xmlns:ns3="df7f596f-8603-4edd-b5ac-60ae1cbd28af" targetNamespace="http://schemas.microsoft.com/office/2006/metadata/properties" ma:root="true" ma:fieldsID="4259e6a9b551fd3e0c39ebbcaad056ee" ns2:_="" ns3:_="">
    <xsd:import namespace="c8624657-738d-4964-b6b5-5d8a0cc80413"/>
    <xsd:import namespace="df7f596f-8603-4edd-b5ac-60ae1cbd28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624657-738d-4964-b6b5-5d8a0cc804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7f596f-8603-4edd-b5ac-60ae1cbd28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A4CA83-8DE8-4F93-B9CA-63CF98ABD696}">
  <ds:schemaRefs>
    <ds:schemaRef ds:uri="http://purl.org/dc/terms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e184bb88-383d-4acf-98d2-978034b05590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3AA5CFF-898D-4669-B8C8-3C5CEDEC23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0F3F47-7F0E-4389-8F91-5A2CD3D1FE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624657-738d-4964-b6b5-5d8a0cc80413"/>
    <ds:schemaRef ds:uri="df7f596f-8603-4edd-b5ac-60ae1cbd28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D.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Pavan</dc:creator>
  <cp:lastModifiedBy>Rashid, Imtiaz</cp:lastModifiedBy>
  <dcterms:created xsi:type="dcterms:W3CDTF">2019-12-25T01:28:01Z</dcterms:created>
  <dcterms:modified xsi:type="dcterms:W3CDTF">2022-07-27T09:42:03Z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0x010100656B7A0EA457AB4DA5AF184001F9EFF2</vt:lpwstr>
  </property>
  <property fmtid="{D5CDD505-2E9C-101B-9397-08002B2CF9AE}" pid="3" name="MSIP_Label_ea60d57e-af5b-4752-ac57-3e4f28ca11dc_Enabled">
    <vt:lpwstr>true</vt:lpwstr>
  </property>
  <property fmtid="{D5CDD505-2E9C-101B-9397-08002B2CF9AE}" pid="4" name="MSIP_Label_ea60d57e-af5b-4752-ac57-3e4f28ca11dc_SetDate">
    <vt:lpwstr>2022-07-27T06:33:51Z</vt:lpwstr>
  </property>
  <property fmtid="{D5CDD505-2E9C-101B-9397-08002B2CF9AE}" pid="5" name="MSIP_Label_ea60d57e-af5b-4752-ac57-3e4f28ca11dc_Method">
    <vt:lpwstr>Standard</vt:lpwstr>
  </property>
  <property fmtid="{D5CDD505-2E9C-101B-9397-08002B2CF9AE}" pid="6" name="MSIP_Label_ea60d57e-af5b-4752-ac57-3e4f28ca11dc_Name">
    <vt:lpwstr>ea60d57e-af5b-4752-ac57-3e4f28ca11dc</vt:lpwstr>
  </property>
  <property fmtid="{D5CDD505-2E9C-101B-9397-08002B2CF9AE}" pid="7" name="MSIP_Label_ea60d57e-af5b-4752-ac57-3e4f28ca11dc_SiteId">
    <vt:lpwstr>36da45f1-dd2c-4d1f-af13-5abe46b99921</vt:lpwstr>
  </property>
  <property fmtid="{D5CDD505-2E9C-101B-9397-08002B2CF9AE}" pid="8" name="MSIP_Label_ea60d57e-af5b-4752-ac57-3e4f28ca11dc_ActionId">
    <vt:lpwstr>41631b47-7779-4ee0-b9fa-c8f053212ed0</vt:lpwstr>
  </property>
  <property fmtid="{D5CDD505-2E9C-101B-9397-08002B2CF9AE}" pid="9" name="MSIP_Label_ea60d57e-af5b-4752-ac57-3e4f28ca11dc_ContentBits">
    <vt:lpwstr>0</vt:lpwstr>
  </property>
</Properties>
</file>