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ompressed\04. Other receivables\"/>
    </mc:Choice>
  </mc:AlternateContent>
  <xr:revisionPtr revIDLastSave="0" documentId="13_ncr:1_{FF5EC5E9-F534-4BC6-A9FE-3B4AD8F011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pulation" sheetId="1" r:id="rId1"/>
    <sheet name="Reversal" sheetId="2" r:id="rId2"/>
    <sheet name="Debit Entries" sheetId="3" r:id="rId3"/>
    <sheet name="Credit Entries" sheetId="4" r:id="rId4"/>
  </sheets>
  <definedNames>
    <definedName name="_xlnm._FilterDatabase" localSheetId="0" hidden="1">Population!$A$1:$AE$16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3" l="1"/>
  <c r="O24" i="1"/>
  <c r="N9" i="3"/>
  <c r="N14" i="3"/>
  <c r="N4" i="3"/>
  <c r="N5" i="3"/>
  <c r="N8" i="3"/>
  <c r="N13" i="3"/>
  <c r="N2" i="3"/>
  <c r="N6" i="3"/>
  <c r="N15" i="3"/>
  <c r="N12" i="3"/>
  <c r="N11" i="3"/>
  <c r="N10" i="3"/>
  <c r="N3" i="3"/>
  <c r="N7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O7" i="3" l="1"/>
  <c r="O13" i="3"/>
  <c r="O6" i="3"/>
  <c r="O2" i="3"/>
  <c r="O3" i="3"/>
  <c r="O8" i="3"/>
  <c r="O10" i="3"/>
  <c r="O5" i="3"/>
  <c r="O11" i="3"/>
  <c r="O4" i="3"/>
  <c r="O12" i="3"/>
  <c r="O14" i="3"/>
  <c r="O15" i="3"/>
  <c r="O9" i="3"/>
  <c r="O8" i="1"/>
  <c r="O9" i="1"/>
  <c r="O2" i="1"/>
  <c r="O15" i="1"/>
  <c r="O7" i="1"/>
  <c r="O13" i="1"/>
  <c r="O5" i="1"/>
  <c r="O12" i="1"/>
  <c r="O4" i="1"/>
  <c r="O11" i="1"/>
  <c r="O3" i="1"/>
  <c r="O14" i="1"/>
  <c r="O10" i="1"/>
  <c r="O6" i="1"/>
</calcChain>
</file>

<file path=xl/sharedStrings.xml><?xml version="1.0" encoding="utf-8"?>
<sst xmlns="http://schemas.openxmlformats.org/spreadsheetml/2006/main" count="706" uniqueCount="90">
  <si>
    <t/>
  </si>
  <si>
    <t>10301005</t>
  </si>
  <si>
    <t>2006000087</t>
  </si>
  <si>
    <t>DA</t>
  </si>
  <si>
    <t>USD</t>
  </si>
  <si>
    <t>83.95000</t>
  </si>
  <si>
    <t>BDT</t>
  </si>
  <si>
    <t>PROV-GOV/MAR 21</t>
  </si>
  <si>
    <t>C2014-338</t>
  </si>
  <si>
    <t>Prov for 4% cash incntives (net TDS-10%)- 15 Mar21</t>
  </si>
  <si>
    <t>0</t>
  </si>
  <si>
    <t>Export Incentive 15 Mar</t>
  </si>
  <si>
    <t>1</t>
  </si>
  <si>
    <t>SEP-18</t>
  </si>
  <si>
    <t>2006000088</t>
  </si>
  <si>
    <t>PROV-GOV/MAR21</t>
  </si>
  <si>
    <t>Prov for 4% cash incntives (net TDS-10%)- 31 Mar21</t>
  </si>
  <si>
    <t>Export Incentive 31 Mar</t>
  </si>
  <si>
    <t>2006000093</t>
  </si>
  <si>
    <t>PROV-GOV/APR 21</t>
  </si>
  <si>
    <t>Prov for 4% cash incntives (net TDS-10%)- 15 Apr21</t>
  </si>
  <si>
    <t>Export Incentive 15 Apr</t>
  </si>
  <si>
    <t>2006000094</t>
  </si>
  <si>
    <t>Prov for 4% cash incntives (net TDS-10%)- 30 Apr21</t>
  </si>
  <si>
    <t>Export Incentive 30 Apr</t>
  </si>
  <si>
    <t>2006000095</t>
  </si>
  <si>
    <t>Prov for 1% cash incntives (net TDS-10%)- 30 Apr21</t>
  </si>
  <si>
    <t>2006000096</t>
  </si>
  <si>
    <t>2006000103</t>
  </si>
  <si>
    <t>PROV-GOV/MAY 21</t>
  </si>
  <si>
    <t>Prov for 4% cash incntives (net TDS-10%)- 15 May21</t>
  </si>
  <si>
    <t>1%Export Incentive 15May</t>
  </si>
  <si>
    <t>2006000104</t>
  </si>
  <si>
    <t>Prov for 4% cash incntives (net TDS-10%)- 31 May21</t>
  </si>
  <si>
    <t>4%Export Incentive 30May</t>
  </si>
  <si>
    <t>2006000105</t>
  </si>
  <si>
    <t>Prov for 1% cash incntives (net TDS-10%)- 15 May21</t>
  </si>
  <si>
    <t>2006000106</t>
  </si>
  <si>
    <t>Prov for 1% cash incntives (net TDS-10%)- 31 May21</t>
  </si>
  <si>
    <t>1%Export Incentive 30May</t>
  </si>
  <si>
    <t>2006000109</t>
  </si>
  <si>
    <t>PROV-GOV/JUN 21</t>
  </si>
  <si>
    <t>Prov for 4% cash incntives (net TDS-10%)- 15 Jun21</t>
  </si>
  <si>
    <t>2006000110</t>
  </si>
  <si>
    <t>Prov for 4% cash incntives (net TDS-10%)- 30 Jun21</t>
  </si>
  <si>
    <t>4%Export Incentive 30Jun</t>
  </si>
  <si>
    <t>2006000111</t>
  </si>
  <si>
    <t>Prov for 1% cash incntives (net TDS-10%)- 15 Jun21</t>
  </si>
  <si>
    <t>1%Export Incentive 15Jun</t>
  </si>
  <si>
    <t>2006000112</t>
  </si>
  <si>
    <t>Prov for 1% cash incntives (net TDS-10%)- 30 Jun21</t>
  </si>
  <si>
    <t>1%Export Incentive 30Jun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</si>
  <si>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</si>
  <si>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</si>
  <si>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</si>
  <si>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</si>
  <si>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</si>
  <si>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</si>
  <si>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</si>
  <si>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</si>
  <si>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</si>
  <si>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</si>
  <si>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</si>
  <si>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</si>
  <si>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</si>
  <si>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</si>
  <si>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</si>
  <si>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</si>
  <si>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</si>
  <si>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</si>
  <si>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</si>
  <si>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</si>
  <si>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</si>
  <si>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</si>
  <si>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</si>
  <si>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</si>
  <si>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</si>
  <si>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</si>
  <si>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</si>
  <si>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</si>
  <si>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</si>
  <si>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Reversal Formula</t>
  </si>
  <si>
    <t>Reversal Formula Result</t>
  </si>
  <si>
    <t>a. Amount matched with FS</t>
  </si>
  <si>
    <t>Receivable from provident fund</t>
  </si>
  <si>
    <t>Export incentive from Government</t>
  </si>
  <si>
    <t>Total Other Receivable</t>
  </si>
  <si>
    <t>The amount has been changed directly to FS but not in the ledger</t>
  </si>
  <si>
    <t>a</t>
  </si>
  <si>
    <t xml:space="preserve">Receivable from provident fund is the amount that the employee did not take upon their resignation from the firm. EPIC hold a policy where it will retain the provident fund up to 3 years in the name of that particular employee but will forfeit and transfer it to the company's account if the fund is not claimed within these three years.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</si>
</sst>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Fill="1" applyAlignment="1">
      <alignment vertical="top"/>
    </xf>
    <xf numFmtId="164" fontId="3" fillId="0" borderId="1" xfId="1" applyNumberFormat="1" applyFont="1" applyFill="1" applyBorder="1" applyAlignment="1">
      <alignment vertical="center"/>
    </xf>
    <xf numFmtId="164" fontId="0" fillId="0" borderId="1" xfId="1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0" xfId="0" applyAlignment="1">
      <alignment horizontal="right" vertical="top"/>
    </xf>
    <xf numFmtId="4" fontId="1" fillId="3" borderId="2" xfId="0" applyNumberFormat="1" applyFont="1" applyFill="1" applyBorder="1" applyAlignment="1">
      <alignment horizontal="left" vertical="top"/>
    </xf>
    <xf numFmtId="4" fontId="1" fillId="3" borderId="4" xfId="0" applyNumberFormat="1" applyFont="1" applyFill="1" applyBorder="1" applyAlignment="1">
      <alignment horizontal="left" vertical="top"/>
    </xf>
    <xf numFmtId="4" fontId="1" fillId="3" borderId="3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F53F8C01-432B-4D22-9A4A-0627F88A2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9061DEBA-C6B6-4A3C-8D55-3F6606164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C157C165-8666-4EE3-AF75-28C2ECEC01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BC904B5E-72C7-4A2B-84EB-D2EE411FD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3AF734D7-6BA2-40DF-B759-C012B77D1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F0DBDF2B-8F14-4081-B028-296BAD8FB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53AEA8EB-0694-4C81-83C6-E77B6BC5C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23D7F9CC-AA28-499E-8508-921950075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2631E49A-178D-41D2-8370-C2C856D2B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D4D8CED0-B6B6-45F1-84D7-E79F93868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2FAB2ADB-A03C-43A5-9BCB-902EF9486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A7A81559-511F-4354-BA50-88764C76A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E11C7477-B000-4304-8756-D917B6763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F725BEB3-A7AA-4455-89CB-7DC409713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topLeftCell="F12" workbookViewId="0">
      <selection activeCell="L22" sqref="L22:Q32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11" bestFit="1" customWidth="1"/>
    <col min="10" max="10" width="19" bestFit="1" customWidth="1"/>
    <col min="11" max="11" width="5" bestFit="1" customWidth="1"/>
    <col min="12" max="12" width="13" bestFit="1" customWidth="1"/>
    <col min="13" max="13" width="11" bestFit="1" customWidth="1"/>
    <col min="14" max="15" width="11" customWidth="1"/>
    <col min="16" max="16" width="17" bestFit="1" customWidth="1"/>
    <col min="17" max="17" width="12" bestFit="1" customWidth="1"/>
    <col min="18" max="18" width="52" bestFit="1" customWidth="1"/>
    <col min="19" max="19" width="21" bestFit="1" customWidth="1"/>
    <col min="20" max="20" width="6" bestFit="1" customWidth="1"/>
    <col min="21" max="21" width="26" bestFit="1" customWidth="1"/>
    <col min="22" max="22" width="8" bestFit="1" customWidth="1"/>
    <col min="23" max="23" width="12" bestFit="1" customWidth="1"/>
    <col min="24" max="24" width="11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1" x14ac:dyDescent="0.2">
      <c r="A1" s="9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9" t="s">
        <v>58</v>
      </c>
      <c r="H1" s="9" t="s">
        <v>59</v>
      </c>
      <c r="I1" s="9" t="s">
        <v>60</v>
      </c>
      <c r="J1" s="1" t="s">
        <v>61</v>
      </c>
      <c r="K1" s="9" t="s">
        <v>62</v>
      </c>
      <c r="L1" s="9" t="s">
        <v>63</v>
      </c>
      <c r="M1" s="9" t="s">
        <v>64</v>
      </c>
      <c r="N1" s="9" t="s">
        <v>81</v>
      </c>
      <c r="O1" s="9" t="s">
        <v>82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9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9" t="s">
        <v>80</v>
      </c>
    </row>
    <row r="2" spans="1:31" ht="14.1" customHeight="1" x14ac:dyDescent="0.2">
      <c r="A2" s="2" t="s">
        <v>0</v>
      </c>
      <c r="B2" t="s">
        <v>1</v>
      </c>
      <c r="C2" t="s">
        <v>2</v>
      </c>
      <c r="D2" s="3">
        <v>44286</v>
      </c>
      <c r="E2" s="3">
        <v>44286</v>
      </c>
      <c r="F2" s="3">
        <v>44293</v>
      </c>
      <c r="G2" t="s">
        <v>3</v>
      </c>
      <c r="H2" t="s">
        <v>4</v>
      </c>
      <c r="I2" s="4">
        <v>37458</v>
      </c>
      <c r="J2" t="s">
        <v>5</v>
      </c>
      <c r="K2" t="s">
        <v>6</v>
      </c>
      <c r="L2" s="4">
        <v>3144599.1</v>
      </c>
      <c r="M2" s="4">
        <v>37458</v>
      </c>
      <c r="N2" s="10" t="str">
        <f>IF(M2="","",IF(M2&lt;0,-M2&amp;"_"&amp;COUNTIF(M$2:M2,M2),M2&amp;"_"&amp;COUNTIF(M$2:M2,M2)))</f>
        <v>37458_1</v>
      </c>
      <c r="O2" s="11" t="str">
        <f t="shared" ref="O2:O15" si="0">IF(COUNTIF(N:N,N2)=2,"x","")</f>
        <v/>
      </c>
      <c r="P2" t="s">
        <v>7</v>
      </c>
      <c r="Q2" t="s">
        <v>8</v>
      </c>
      <c r="R2" t="s">
        <v>9</v>
      </c>
      <c r="S2" t="s">
        <v>0</v>
      </c>
      <c r="T2" t="s">
        <v>10</v>
      </c>
      <c r="U2" t="s">
        <v>11</v>
      </c>
      <c r="V2" t="s">
        <v>12</v>
      </c>
      <c r="W2" t="s">
        <v>0</v>
      </c>
      <c r="X2" t="s">
        <v>13</v>
      </c>
      <c r="Y2" t="s">
        <v>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ht="14.1" customHeight="1" x14ac:dyDescent="0.2">
      <c r="A3" s="2" t="s">
        <v>0</v>
      </c>
      <c r="B3" t="s">
        <v>1</v>
      </c>
      <c r="C3" t="s">
        <v>14</v>
      </c>
      <c r="D3" s="3">
        <v>44286</v>
      </c>
      <c r="E3" s="3">
        <v>44286</v>
      </c>
      <c r="F3" s="3">
        <v>44293</v>
      </c>
      <c r="G3" t="s">
        <v>3</v>
      </c>
      <c r="H3" t="s">
        <v>4</v>
      </c>
      <c r="I3" s="4">
        <v>68651</v>
      </c>
      <c r="J3" t="s">
        <v>5</v>
      </c>
      <c r="K3" t="s">
        <v>6</v>
      </c>
      <c r="L3" s="4">
        <v>5763251.4500000002</v>
      </c>
      <c r="M3" s="4">
        <v>68651</v>
      </c>
      <c r="N3" s="10" t="str">
        <f>IF(M3="","",IF(M3&lt;0,-M3&amp;"_"&amp;COUNTIF(M$2:M3,M3),M3&amp;"_"&amp;COUNTIF(M$2:M3,M3)))</f>
        <v>68651_1</v>
      </c>
      <c r="O3" s="11" t="str">
        <f t="shared" si="0"/>
        <v/>
      </c>
      <c r="P3" t="s">
        <v>15</v>
      </c>
      <c r="Q3" t="s">
        <v>8</v>
      </c>
      <c r="R3" t="s">
        <v>16</v>
      </c>
      <c r="S3" t="s">
        <v>0</v>
      </c>
      <c r="T3" t="s">
        <v>10</v>
      </c>
      <c r="U3" t="s">
        <v>17</v>
      </c>
      <c r="V3" t="s">
        <v>12</v>
      </c>
      <c r="W3" t="s">
        <v>0</v>
      </c>
      <c r="X3" t="s">
        <v>13</v>
      </c>
      <c r="Y3" t="s">
        <v>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ht="14.1" customHeight="1" x14ac:dyDescent="0.2">
      <c r="A4" s="2" t="s">
        <v>0</v>
      </c>
      <c r="B4" t="s">
        <v>1</v>
      </c>
      <c r="C4" t="s">
        <v>18</v>
      </c>
      <c r="D4" s="3">
        <v>44316</v>
      </c>
      <c r="E4" s="3">
        <v>44316</v>
      </c>
      <c r="F4" s="3">
        <v>44322</v>
      </c>
      <c r="G4" t="s">
        <v>3</v>
      </c>
      <c r="H4" t="s">
        <v>4</v>
      </c>
      <c r="I4" s="4">
        <v>32853</v>
      </c>
      <c r="J4" t="s">
        <v>5</v>
      </c>
      <c r="K4" t="s">
        <v>6</v>
      </c>
      <c r="L4" s="4">
        <v>2758009.35</v>
      </c>
      <c r="M4" s="4">
        <v>32853</v>
      </c>
      <c r="N4" s="10" t="str">
        <f>IF(M4="","",IF(M4&lt;0,-M4&amp;"_"&amp;COUNTIF(M$2:M4,M4),M4&amp;"_"&amp;COUNTIF(M$2:M4,M4)))</f>
        <v>32853_1</v>
      </c>
      <c r="O4" s="11" t="str">
        <f t="shared" si="0"/>
        <v/>
      </c>
      <c r="P4" t="s">
        <v>19</v>
      </c>
      <c r="Q4" t="s">
        <v>8</v>
      </c>
      <c r="R4" t="s">
        <v>20</v>
      </c>
      <c r="S4" t="s">
        <v>0</v>
      </c>
      <c r="T4" t="s">
        <v>10</v>
      </c>
      <c r="U4" t="s">
        <v>21</v>
      </c>
      <c r="V4" t="s">
        <v>12</v>
      </c>
      <c r="W4" t="s">
        <v>0</v>
      </c>
      <c r="X4" t="s">
        <v>13</v>
      </c>
      <c r="Y4" t="s">
        <v>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ht="14.1" customHeight="1" x14ac:dyDescent="0.2">
      <c r="A5" s="2" t="s">
        <v>0</v>
      </c>
      <c r="B5" t="s">
        <v>1</v>
      </c>
      <c r="C5" t="s">
        <v>22</v>
      </c>
      <c r="D5" s="3">
        <v>44316</v>
      </c>
      <c r="E5" s="3">
        <v>44316</v>
      </c>
      <c r="F5" s="3">
        <v>44322</v>
      </c>
      <c r="G5" t="s">
        <v>3</v>
      </c>
      <c r="H5" t="s">
        <v>4</v>
      </c>
      <c r="I5" s="4">
        <v>23889</v>
      </c>
      <c r="J5" t="s">
        <v>5</v>
      </c>
      <c r="K5" t="s">
        <v>6</v>
      </c>
      <c r="L5" s="4">
        <v>2005481.55</v>
      </c>
      <c r="M5" s="4">
        <v>23889</v>
      </c>
      <c r="N5" s="10" t="str">
        <f>IF(M5="","",IF(M5&lt;0,-M5&amp;"_"&amp;COUNTIF(M$2:M5,M5),M5&amp;"_"&amp;COUNTIF(M$2:M5,M5)))</f>
        <v>23889_1</v>
      </c>
      <c r="O5" s="11" t="str">
        <f t="shared" si="0"/>
        <v/>
      </c>
      <c r="P5" t="s">
        <v>19</v>
      </c>
      <c r="Q5" t="s">
        <v>8</v>
      </c>
      <c r="R5" t="s">
        <v>23</v>
      </c>
      <c r="S5" t="s">
        <v>0</v>
      </c>
      <c r="T5" t="s">
        <v>10</v>
      </c>
      <c r="U5" t="s">
        <v>24</v>
      </c>
      <c r="V5" t="s">
        <v>12</v>
      </c>
      <c r="W5" t="s">
        <v>0</v>
      </c>
      <c r="X5" t="s">
        <v>13</v>
      </c>
      <c r="Y5" t="s">
        <v>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ht="14.1" customHeight="1" x14ac:dyDescent="0.2">
      <c r="A6" s="2" t="s">
        <v>0</v>
      </c>
      <c r="B6" t="s">
        <v>1</v>
      </c>
      <c r="C6" t="s">
        <v>25</v>
      </c>
      <c r="D6" s="3">
        <v>44316</v>
      </c>
      <c r="E6" s="3">
        <v>44316</v>
      </c>
      <c r="F6" s="3">
        <v>44322</v>
      </c>
      <c r="G6" t="s">
        <v>3</v>
      </c>
      <c r="H6" t="s">
        <v>4</v>
      </c>
      <c r="I6" s="4">
        <v>18290</v>
      </c>
      <c r="J6" t="s">
        <v>5</v>
      </c>
      <c r="K6" t="s">
        <v>6</v>
      </c>
      <c r="L6" s="4">
        <v>1535445.5</v>
      </c>
      <c r="M6" s="4">
        <v>18290</v>
      </c>
      <c r="N6" s="10" t="str">
        <f>IF(M6="","",IF(M6&lt;0,-M6&amp;"_"&amp;COUNTIF(M$2:M6,M6),M6&amp;"_"&amp;COUNTIF(M$2:M6,M6)))</f>
        <v>18290_1</v>
      </c>
      <c r="O6" s="11" t="str">
        <f t="shared" si="0"/>
        <v/>
      </c>
      <c r="P6" t="s">
        <v>19</v>
      </c>
      <c r="Q6" t="s">
        <v>8</v>
      </c>
      <c r="R6" t="s">
        <v>26</v>
      </c>
      <c r="S6" t="s">
        <v>0</v>
      </c>
      <c r="T6" t="s">
        <v>10</v>
      </c>
      <c r="U6" t="s">
        <v>21</v>
      </c>
      <c r="V6" t="s">
        <v>12</v>
      </c>
      <c r="W6" t="s">
        <v>0</v>
      </c>
      <c r="X6" t="s">
        <v>13</v>
      </c>
      <c r="Y6" t="s">
        <v>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ht="14.1" customHeight="1" x14ac:dyDescent="0.2">
      <c r="A7" s="2" t="s">
        <v>0</v>
      </c>
      <c r="B7" t="s">
        <v>1</v>
      </c>
      <c r="C7" t="s">
        <v>27</v>
      </c>
      <c r="D7" s="3">
        <v>44316</v>
      </c>
      <c r="E7" s="3">
        <v>44316</v>
      </c>
      <c r="F7" s="3">
        <v>44322</v>
      </c>
      <c r="G7" t="s">
        <v>3</v>
      </c>
      <c r="H7" t="s">
        <v>4</v>
      </c>
      <c r="I7" s="4">
        <v>9200</v>
      </c>
      <c r="J7" t="s">
        <v>5</v>
      </c>
      <c r="K7" t="s">
        <v>6</v>
      </c>
      <c r="L7" s="4">
        <v>772340</v>
      </c>
      <c r="M7" s="4">
        <v>9200</v>
      </c>
      <c r="N7" s="10" t="str">
        <f>IF(M7="","",IF(M7&lt;0,-M7&amp;"_"&amp;COUNTIF(M$2:M7,M7),M7&amp;"_"&amp;COUNTIF(M$2:M7,M7)))</f>
        <v>9200_1</v>
      </c>
      <c r="O7" s="11" t="str">
        <f t="shared" si="0"/>
        <v/>
      </c>
      <c r="P7" t="s">
        <v>19</v>
      </c>
      <c r="Q7" t="s">
        <v>8</v>
      </c>
      <c r="R7" t="s">
        <v>26</v>
      </c>
      <c r="S7" t="s">
        <v>0</v>
      </c>
      <c r="T7" t="s">
        <v>10</v>
      </c>
      <c r="U7" t="s">
        <v>24</v>
      </c>
      <c r="V7" t="s">
        <v>12</v>
      </c>
      <c r="W7" t="s">
        <v>0</v>
      </c>
      <c r="X7" t="s">
        <v>13</v>
      </c>
      <c r="Y7" t="s">
        <v>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ht="14.1" customHeight="1" x14ac:dyDescent="0.2">
      <c r="A8" s="2" t="s">
        <v>0</v>
      </c>
      <c r="B8" t="s">
        <v>1</v>
      </c>
      <c r="C8" t="s">
        <v>28</v>
      </c>
      <c r="D8" s="3">
        <v>44347</v>
      </c>
      <c r="E8" s="3">
        <v>44347</v>
      </c>
      <c r="F8" s="3">
        <v>44355</v>
      </c>
      <c r="G8" t="s">
        <v>3</v>
      </c>
      <c r="H8" t="s">
        <v>4</v>
      </c>
      <c r="I8" s="4">
        <v>38607</v>
      </c>
      <c r="J8" t="s">
        <v>5</v>
      </c>
      <c r="K8" t="s">
        <v>6</v>
      </c>
      <c r="L8" s="4">
        <v>3241057.65</v>
      </c>
      <c r="M8" s="4">
        <v>38607</v>
      </c>
      <c r="N8" s="10" t="str">
        <f>IF(M8="","",IF(M8&lt;0,-M8&amp;"_"&amp;COUNTIF(M$2:M8,M8),M8&amp;"_"&amp;COUNTIF(M$2:M8,M8)))</f>
        <v>38607_1</v>
      </c>
      <c r="O8" s="11" t="str">
        <f t="shared" si="0"/>
        <v/>
      </c>
      <c r="P8" t="s">
        <v>29</v>
      </c>
      <c r="Q8" t="s">
        <v>8</v>
      </c>
      <c r="R8" t="s">
        <v>30</v>
      </c>
      <c r="S8" t="s">
        <v>0</v>
      </c>
      <c r="T8" t="s">
        <v>10</v>
      </c>
      <c r="U8" t="s">
        <v>31</v>
      </c>
      <c r="V8" t="s">
        <v>12</v>
      </c>
      <c r="W8" t="s">
        <v>0</v>
      </c>
      <c r="X8" t="s">
        <v>13</v>
      </c>
      <c r="Y8" t="s">
        <v>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ht="14.1" customHeight="1" x14ac:dyDescent="0.2">
      <c r="A9" s="2" t="s">
        <v>0</v>
      </c>
      <c r="B9" t="s">
        <v>1</v>
      </c>
      <c r="C9" t="s">
        <v>32</v>
      </c>
      <c r="D9" s="3">
        <v>44347</v>
      </c>
      <c r="E9" s="3">
        <v>44347</v>
      </c>
      <c r="F9" s="3">
        <v>44355</v>
      </c>
      <c r="G9" t="s">
        <v>3</v>
      </c>
      <c r="H9" t="s">
        <v>4</v>
      </c>
      <c r="I9" s="4">
        <v>81117</v>
      </c>
      <c r="J9" t="s">
        <v>5</v>
      </c>
      <c r="K9" t="s">
        <v>6</v>
      </c>
      <c r="L9" s="4">
        <v>6809772.1500000004</v>
      </c>
      <c r="M9" s="4">
        <v>81117</v>
      </c>
      <c r="N9" s="10" t="str">
        <f>IF(M9="","",IF(M9&lt;0,-M9&amp;"_"&amp;COUNTIF(M$2:M9,M9),M9&amp;"_"&amp;COUNTIF(M$2:M9,M9)))</f>
        <v>81117_1</v>
      </c>
      <c r="O9" s="11" t="str">
        <f t="shared" si="0"/>
        <v/>
      </c>
      <c r="P9" t="s">
        <v>29</v>
      </c>
      <c r="Q9" t="s">
        <v>8</v>
      </c>
      <c r="R9" t="s">
        <v>33</v>
      </c>
      <c r="S9" t="s">
        <v>0</v>
      </c>
      <c r="T9" t="s">
        <v>10</v>
      </c>
      <c r="U9" t="s">
        <v>34</v>
      </c>
      <c r="V9" t="s">
        <v>12</v>
      </c>
      <c r="W9" t="s">
        <v>0</v>
      </c>
      <c r="X9" t="s">
        <v>13</v>
      </c>
      <c r="Y9" t="s">
        <v>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ht="14.1" customHeight="1" x14ac:dyDescent="0.2">
      <c r="A10" s="2" t="s">
        <v>0</v>
      </c>
      <c r="B10" t="s">
        <v>1</v>
      </c>
      <c r="C10" t="s">
        <v>35</v>
      </c>
      <c r="D10" s="3">
        <v>44347</v>
      </c>
      <c r="E10" s="3">
        <v>44347</v>
      </c>
      <c r="F10" s="3">
        <v>44355</v>
      </c>
      <c r="G10" t="s">
        <v>3</v>
      </c>
      <c r="H10" t="s">
        <v>4</v>
      </c>
      <c r="I10" s="4">
        <v>17742</v>
      </c>
      <c r="J10" t="s">
        <v>5</v>
      </c>
      <c r="K10" t="s">
        <v>6</v>
      </c>
      <c r="L10" s="4">
        <v>1489440.9</v>
      </c>
      <c r="M10" s="4">
        <v>17742</v>
      </c>
      <c r="N10" s="10" t="str">
        <f>IF(M10="","",IF(M10&lt;0,-M10&amp;"_"&amp;COUNTIF(M$2:M10,M10),M10&amp;"_"&amp;COUNTIF(M$2:M10,M10)))</f>
        <v>17742_1</v>
      </c>
      <c r="O10" s="11" t="str">
        <f t="shared" si="0"/>
        <v/>
      </c>
      <c r="P10" t="s">
        <v>29</v>
      </c>
      <c r="Q10" t="s">
        <v>8</v>
      </c>
      <c r="R10" t="s">
        <v>36</v>
      </c>
      <c r="S10" t="s">
        <v>0</v>
      </c>
      <c r="T10" t="s">
        <v>10</v>
      </c>
      <c r="U10" t="s">
        <v>31</v>
      </c>
      <c r="V10" t="s">
        <v>12</v>
      </c>
      <c r="W10" t="s">
        <v>0</v>
      </c>
      <c r="X10" t="s">
        <v>13</v>
      </c>
      <c r="Y10" t="s">
        <v>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ht="14.1" customHeight="1" x14ac:dyDescent="0.2">
      <c r="A11" s="2" t="s">
        <v>0</v>
      </c>
      <c r="B11" t="s">
        <v>1</v>
      </c>
      <c r="C11" t="s">
        <v>37</v>
      </c>
      <c r="D11" s="3">
        <v>44347</v>
      </c>
      <c r="E11" s="3">
        <v>44347</v>
      </c>
      <c r="F11" s="3">
        <v>44355</v>
      </c>
      <c r="G11" t="s">
        <v>3</v>
      </c>
      <c r="H11" t="s">
        <v>4</v>
      </c>
      <c r="I11" s="4">
        <v>37235</v>
      </c>
      <c r="J11" t="s">
        <v>5</v>
      </c>
      <c r="K11" t="s">
        <v>6</v>
      </c>
      <c r="L11" s="4">
        <v>3125878.25</v>
      </c>
      <c r="M11" s="4">
        <v>37235</v>
      </c>
      <c r="N11" s="10" t="str">
        <f>IF(M11="","",IF(M11&lt;0,-M11&amp;"_"&amp;COUNTIF(M$2:M11,M11),M11&amp;"_"&amp;COUNTIF(M$2:M11,M11)))</f>
        <v>37235_1</v>
      </c>
      <c r="O11" s="11" t="str">
        <f t="shared" si="0"/>
        <v/>
      </c>
      <c r="P11" t="s">
        <v>29</v>
      </c>
      <c r="Q11" t="s">
        <v>8</v>
      </c>
      <c r="R11" t="s">
        <v>38</v>
      </c>
      <c r="S11" t="s">
        <v>0</v>
      </c>
      <c r="T11" t="s">
        <v>10</v>
      </c>
      <c r="U11" t="s">
        <v>39</v>
      </c>
      <c r="V11" t="s">
        <v>12</v>
      </c>
      <c r="W11" t="s">
        <v>0</v>
      </c>
      <c r="X11" t="s">
        <v>13</v>
      </c>
      <c r="Y11" t="s">
        <v>0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ht="14.1" customHeight="1" x14ac:dyDescent="0.2">
      <c r="A12" s="2" t="s">
        <v>0</v>
      </c>
      <c r="B12" t="s">
        <v>1</v>
      </c>
      <c r="C12" t="s">
        <v>40</v>
      </c>
      <c r="D12" s="3">
        <v>44377</v>
      </c>
      <c r="E12" s="3">
        <v>44377</v>
      </c>
      <c r="F12" s="3">
        <v>44386</v>
      </c>
      <c r="G12" t="s">
        <v>3</v>
      </c>
      <c r="H12" t="s">
        <v>4</v>
      </c>
      <c r="I12" s="4">
        <v>44864</v>
      </c>
      <c r="J12" t="s">
        <v>5</v>
      </c>
      <c r="K12" t="s">
        <v>6</v>
      </c>
      <c r="L12" s="4">
        <v>3766332.8</v>
      </c>
      <c r="M12" s="4">
        <v>44864</v>
      </c>
      <c r="N12" s="10" t="str">
        <f>IF(M12="","",IF(M12&lt;0,-M12&amp;"_"&amp;COUNTIF(M$2:M12,M12),M12&amp;"_"&amp;COUNTIF(M$2:M12,M12)))</f>
        <v>44864_1</v>
      </c>
      <c r="O12" s="11" t="str">
        <f t="shared" si="0"/>
        <v/>
      </c>
      <c r="P12" t="s">
        <v>41</v>
      </c>
      <c r="Q12" t="s">
        <v>8</v>
      </c>
      <c r="R12" t="s">
        <v>42</v>
      </c>
      <c r="S12" t="s">
        <v>0</v>
      </c>
      <c r="T12" t="s">
        <v>10</v>
      </c>
      <c r="U12" t="s">
        <v>31</v>
      </c>
      <c r="V12" t="s">
        <v>12</v>
      </c>
      <c r="W12" t="s">
        <v>0</v>
      </c>
      <c r="X12" t="s">
        <v>13</v>
      </c>
      <c r="Y12" t="s">
        <v>0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ht="14.1" customHeight="1" x14ac:dyDescent="0.2">
      <c r="A13" s="2" t="s">
        <v>0</v>
      </c>
      <c r="B13" t="s">
        <v>1</v>
      </c>
      <c r="C13" t="s">
        <v>43</v>
      </c>
      <c r="D13" s="3">
        <v>44377</v>
      </c>
      <c r="E13" s="3">
        <v>44377</v>
      </c>
      <c r="F13" s="3">
        <v>44386</v>
      </c>
      <c r="G13" t="s">
        <v>3</v>
      </c>
      <c r="H13" t="s">
        <v>4</v>
      </c>
      <c r="I13" s="4">
        <v>60722</v>
      </c>
      <c r="J13" t="s">
        <v>5</v>
      </c>
      <c r="K13" t="s">
        <v>6</v>
      </c>
      <c r="L13" s="4">
        <v>5097611.9000000004</v>
      </c>
      <c r="M13" s="4">
        <v>60722</v>
      </c>
      <c r="N13" s="10" t="str">
        <f>IF(M13="","",IF(M13&lt;0,-M13&amp;"_"&amp;COUNTIF(M$2:M13,M13),M13&amp;"_"&amp;COUNTIF(M$2:M13,M13)))</f>
        <v>60722_1</v>
      </c>
      <c r="O13" s="11" t="str">
        <f t="shared" si="0"/>
        <v/>
      </c>
      <c r="P13" t="s">
        <v>41</v>
      </c>
      <c r="Q13" t="s">
        <v>8</v>
      </c>
      <c r="R13" t="s">
        <v>44</v>
      </c>
      <c r="S13" t="s">
        <v>0</v>
      </c>
      <c r="T13" t="s">
        <v>10</v>
      </c>
      <c r="U13" t="s">
        <v>45</v>
      </c>
      <c r="V13" t="s">
        <v>12</v>
      </c>
      <c r="W13" t="s">
        <v>0</v>
      </c>
      <c r="X13" t="s">
        <v>13</v>
      </c>
      <c r="Y13" t="s">
        <v>0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ht="14.1" customHeight="1" x14ac:dyDescent="0.2">
      <c r="A14" s="2" t="s">
        <v>0</v>
      </c>
      <c r="B14" t="s">
        <v>1</v>
      </c>
      <c r="C14" t="s">
        <v>46</v>
      </c>
      <c r="D14" s="3">
        <v>44377</v>
      </c>
      <c r="E14" s="3">
        <v>44377</v>
      </c>
      <c r="F14" s="3">
        <v>44386</v>
      </c>
      <c r="G14" t="s">
        <v>3</v>
      </c>
      <c r="H14" t="s">
        <v>4</v>
      </c>
      <c r="I14" s="4">
        <v>16320</v>
      </c>
      <c r="J14" t="s">
        <v>5</v>
      </c>
      <c r="K14" t="s">
        <v>6</v>
      </c>
      <c r="L14" s="4">
        <v>1370064</v>
      </c>
      <c r="M14" s="4">
        <v>16320</v>
      </c>
      <c r="N14" s="10" t="str">
        <f>IF(M14="","",IF(M14&lt;0,-M14&amp;"_"&amp;COUNTIF(M$2:M14,M14),M14&amp;"_"&amp;COUNTIF(M$2:M14,M14)))</f>
        <v>16320_1</v>
      </c>
      <c r="O14" s="11" t="str">
        <f t="shared" si="0"/>
        <v/>
      </c>
      <c r="P14" t="s">
        <v>41</v>
      </c>
      <c r="Q14" t="s">
        <v>8</v>
      </c>
      <c r="R14" t="s">
        <v>47</v>
      </c>
      <c r="S14" t="s">
        <v>0</v>
      </c>
      <c r="T14" t="s">
        <v>10</v>
      </c>
      <c r="U14" t="s">
        <v>48</v>
      </c>
      <c r="V14" t="s">
        <v>12</v>
      </c>
      <c r="W14" t="s">
        <v>0</v>
      </c>
      <c r="X14" t="s">
        <v>13</v>
      </c>
      <c r="Y14" t="s">
        <v>0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ht="14.1" customHeight="1" x14ac:dyDescent="0.2">
      <c r="A15" s="2" t="s">
        <v>0</v>
      </c>
      <c r="B15" t="s">
        <v>1</v>
      </c>
      <c r="C15" t="s">
        <v>49</v>
      </c>
      <c r="D15" s="3">
        <v>44377</v>
      </c>
      <c r="E15" s="3">
        <v>44377</v>
      </c>
      <c r="F15" s="3">
        <v>44386</v>
      </c>
      <c r="G15" t="s">
        <v>3</v>
      </c>
      <c r="H15" t="s">
        <v>4</v>
      </c>
      <c r="I15" s="4">
        <v>34971</v>
      </c>
      <c r="J15" t="s">
        <v>5</v>
      </c>
      <c r="K15" t="s">
        <v>6</v>
      </c>
      <c r="L15" s="4">
        <v>2935815.45</v>
      </c>
      <c r="M15" s="4">
        <v>34971</v>
      </c>
      <c r="N15" s="10" t="str">
        <f>IF(M15="","",IF(M15&lt;0,-M15&amp;"_"&amp;COUNTIF(M$2:M15,M15),M15&amp;"_"&amp;COUNTIF(M$2:M15,M15)))</f>
        <v>34971_1</v>
      </c>
      <c r="O15" s="11" t="str">
        <f t="shared" si="0"/>
        <v/>
      </c>
      <c r="P15" t="s">
        <v>41</v>
      </c>
      <c r="Q15" t="s">
        <v>8</v>
      </c>
      <c r="R15" t="s">
        <v>50</v>
      </c>
      <c r="S15" t="s">
        <v>0</v>
      </c>
      <c r="T15" t="s">
        <v>10</v>
      </c>
      <c r="U15" t="s">
        <v>51</v>
      </c>
      <c r="V15" t="s">
        <v>12</v>
      </c>
      <c r="W15" t="s">
        <v>0</v>
      </c>
      <c r="X15" t="s">
        <v>13</v>
      </c>
      <c r="Y15" t="s">
        <v>0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x14ac:dyDescent="0.2">
      <c r="A16" s="5" t="s">
        <v>0</v>
      </c>
      <c r="B16" s="5" t="s">
        <v>0</v>
      </c>
      <c r="C16" s="5" t="s">
        <v>0</v>
      </c>
      <c r="D16" s="6"/>
      <c r="E16" s="6"/>
      <c r="F16" s="6"/>
      <c r="G16" s="5" t="s">
        <v>0</v>
      </c>
      <c r="H16" s="5" t="s">
        <v>4</v>
      </c>
      <c r="I16" s="7">
        <v>521919</v>
      </c>
      <c r="J16" s="5" t="s">
        <v>0</v>
      </c>
      <c r="K16" s="5" t="s">
        <v>6</v>
      </c>
      <c r="L16" s="7">
        <v>43815100.049999997</v>
      </c>
      <c r="M16" s="7">
        <v>521919</v>
      </c>
      <c r="N16" s="17" t="s">
        <v>83</v>
      </c>
      <c r="O16" s="18"/>
      <c r="P16" s="19"/>
      <c r="Q16" s="5" t="s">
        <v>0</v>
      </c>
      <c r="R16" s="5" t="s">
        <v>0</v>
      </c>
      <c r="S16" s="5" t="s">
        <v>0</v>
      </c>
      <c r="T16" s="5" t="s">
        <v>0</v>
      </c>
      <c r="U16" s="5" t="s">
        <v>0</v>
      </c>
      <c r="V16" s="5" t="s">
        <v>0</v>
      </c>
      <c r="W16" s="5" t="s">
        <v>0</v>
      </c>
      <c r="X16" s="5" t="s">
        <v>0</v>
      </c>
      <c r="Y16" s="5" t="s">
        <v>0</v>
      </c>
      <c r="Z16" s="5" t="s">
        <v>0</v>
      </c>
      <c r="AA16" s="6"/>
      <c r="AB16" s="5" t="s">
        <v>0</v>
      </c>
      <c r="AC16" s="5" t="s">
        <v>0</v>
      </c>
      <c r="AD16" s="5" t="s">
        <v>0</v>
      </c>
      <c r="AE16" s="8"/>
    </row>
    <row r="22" spans="12:17" ht="15" x14ac:dyDescent="0.25">
      <c r="L22" s="20" t="s">
        <v>85</v>
      </c>
      <c r="M22" s="20"/>
      <c r="N22" s="20"/>
      <c r="O22" s="13">
        <v>521919</v>
      </c>
    </row>
    <row r="23" spans="12:17" ht="15" x14ac:dyDescent="0.25">
      <c r="L23" s="20" t="s">
        <v>84</v>
      </c>
      <c r="M23" s="20"/>
      <c r="N23" s="20"/>
      <c r="O23" s="14">
        <v>17889.524448341221</v>
      </c>
      <c r="P23" t="s">
        <v>88</v>
      </c>
    </row>
    <row r="24" spans="12:17" x14ac:dyDescent="0.2">
      <c r="L24" s="21" t="s">
        <v>86</v>
      </c>
      <c r="M24" s="21"/>
      <c r="N24" s="21"/>
      <c r="O24" s="15">
        <f>SUM(O22:O23)</f>
        <v>539808.52444834122</v>
      </c>
    </row>
    <row r="26" spans="12:17" x14ac:dyDescent="0.2">
      <c r="L26" s="16" t="s">
        <v>88</v>
      </c>
      <c r="M26" t="s">
        <v>87</v>
      </c>
    </row>
    <row r="27" spans="12:17" x14ac:dyDescent="0.2">
      <c r="M27" s="22" t="s">
        <v>89</v>
      </c>
      <c r="N27" s="22"/>
      <c r="O27" s="22"/>
      <c r="P27" s="22"/>
      <c r="Q27" s="22"/>
    </row>
    <row r="28" spans="12:17" x14ac:dyDescent="0.2">
      <c r="M28" s="22"/>
      <c r="N28" s="22"/>
      <c r="O28" s="22"/>
      <c r="P28" s="22"/>
      <c r="Q28" s="22"/>
    </row>
    <row r="29" spans="12:17" x14ac:dyDescent="0.2">
      <c r="M29" s="22"/>
      <c r="N29" s="22"/>
      <c r="O29" s="22"/>
      <c r="P29" s="22"/>
      <c r="Q29" s="22"/>
    </row>
    <row r="30" spans="12:17" x14ac:dyDescent="0.2">
      <c r="M30" s="22"/>
      <c r="N30" s="22"/>
      <c r="O30" s="22"/>
      <c r="P30" s="22"/>
      <c r="Q30" s="22"/>
    </row>
    <row r="31" spans="12:17" x14ac:dyDescent="0.2">
      <c r="M31" s="22"/>
      <c r="N31" s="22"/>
      <c r="O31" s="22"/>
      <c r="P31" s="22"/>
      <c r="Q31" s="22"/>
    </row>
    <row r="32" spans="12:17" x14ac:dyDescent="0.2">
      <c r="M32" s="22"/>
      <c r="N32" s="22"/>
      <c r="O32" s="22"/>
      <c r="P32" s="22"/>
      <c r="Q32" s="22"/>
    </row>
  </sheetData>
  <autoFilter ref="A1:AE16" xr:uid="{00000000-0001-0000-0000-000000000000}"/>
  <mergeCells count="5">
    <mergeCell ref="N16:P16"/>
    <mergeCell ref="L22:N22"/>
    <mergeCell ref="L23:N23"/>
    <mergeCell ref="L24:N24"/>
    <mergeCell ref="M27:Q3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6A6B-0065-4252-8FDC-A85A776B327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AEC3-BD50-43DA-938C-72FD4AA305F5}">
  <dimension ref="A1:AE30"/>
  <sheetViews>
    <sheetView workbookViewId="0">
      <selection activeCell="J20" sqref="J20:O30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11" bestFit="1" customWidth="1"/>
    <col min="10" max="10" width="19" bestFit="1" customWidth="1"/>
    <col min="11" max="11" width="5" bestFit="1" customWidth="1"/>
    <col min="12" max="12" width="13" bestFit="1" customWidth="1"/>
    <col min="13" max="13" width="11" bestFit="1" customWidth="1"/>
    <col min="14" max="15" width="11" customWidth="1"/>
    <col min="16" max="16" width="17" bestFit="1" customWidth="1"/>
    <col min="17" max="17" width="12" bestFit="1" customWidth="1"/>
    <col min="18" max="18" width="52" bestFit="1" customWidth="1"/>
    <col min="19" max="19" width="21" bestFit="1" customWidth="1"/>
    <col min="20" max="20" width="6" bestFit="1" customWidth="1"/>
    <col min="21" max="21" width="26" bestFit="1" customWidth="1"/>
    <col min="22" max="22" width="8" bestFit="1" customWidth="1"/>
    <col min="23" max="23" width="12" bestFit="1" customWidth="1"/>
    <col min="24" max="24" width="11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1" x14ac:dyDescent="0.2">
      <c r="A1" s="9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9" t="s">
        <v>58</v>
      </c>
      <c r="H1" s="9" t="s">
        <v>59</v>
      </c>
      <c r="I1" s="9" t="s">
        <v>60</v>
      </c>
      <c r="J1" s="1" t="s">
        <v>61</v>
      </c>
      <c r="K1" s="9" t="s">
        <v>62</v>
      </c>
      <c r="L1" s="9" t="s">
        <v>63</v>
      </c>
      <c r="M1" s="9" t="s">
        <v>64</v>
      </c>
      <c r="N1" s="9" t="s">
        <v>81</v>
      </c>
      <c r="O1" s="9" t="s">
        <v>82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9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9" t="s">
        <v>80</v>
      </c>
    </row>
    <row r="2" spans="1:31" ht="14.1" customHeight="1" x14ac:dyDescent="0.2">
      <c r="A2" s="2" t="s">
        <v>0</v>
      </c>
      <c r="B2" t="s">
        <v>1</v>
      </c>
      <c r="C2" s="12" t="s">
        <v>32</v>
      </c>
      <c r="D2" s="3">
        <v>44347</v>
      </c>
      <c r="E2" s="3">
        <v>44347</v>
      </c>
      <c r="F2" s="3">
        <v>44355</v>
      </c>
      <c r="G2" t="s">
        <v>3</v>
      </c>
      <c r="H2" t="s">
        <v>4</v>
      </c>
      <c r="I2" s="4">
        <v>81117</v>
      </c>
      <c r="J2" t="s">
        <v>5</v>
      </c>
      <c r="K2" t="s">
        <v>6</v>
      </c>
      <c r="L2" s="4">
        <v>6809772.1500000004</v>
      </c>
      <c r="M2" s="4">
        <v>81117</v>
      </c>
      <c r="N2" s="10" t="str">
        <f>IF(M2="","",IF(M2&lt;0,-M2&amp;"_"&amp;COUNTIF(M$2:M2,M2),M2&amp;"_"&amp;COUNTIF(M$2:M2,M2)))</f>
        <v>81117_1</v>
      </c>
      <c r="O2" s="11" t="str">
        <f t="shared" ref="O2:O15" si="0">IF(COUNTIF(N:N,N2)=2,"x","")</f>
        <v/>
      </c>
      <c r="P2" t="s">
        <v>29</v>
      </c>
      <c r="Q2" t="s">
        <v>8</v>
      </c>
      <c r="R2" t="s">
        <v>33</v>
      </c>
      <c r="S2" t="s">
        <v>0</v>
      </c>
      <c r="T2" t="s">
        <v>10</v>
      </c>
      <c r="U2" t="s">
        <v>34</v>
      </c>
      <c r="V2" t="s">
        <v>12</v>
      </c>
      <c r="W2" t="s">
        <v>0</v>
      </c>
      <c r="X2" t="s">
        <v>13</v>
      </c>
      <c r="Y2" t="s">
        <v>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ht="14.1" customHeight="1" x14ac:dyDescent="0.2">
      <c r="A3" s="2" t="s">
        <v>0</v>
      </c>
      <c r="B3" t="s">
        <v>1</v>
      </c>
      <c r="C3" t="s">
        <v>14</v>
      </c>
      <c r="D3" s="3">
        <v>44286</v>
      </c>
      <c r="E3" s="3">
        <v>44286</v>
      </c>
      <c r="F3" s="3">
        <v>44293</v>
      </c>
      <c r="G3" t="s">
        <v>3</v>
      </c>
      <c r="H3" t="s">
        <v>4</v>
      </c>
      <c r="I3" s="4">
        <v>68651</v>
      </c>
      <c r="J3" t="s">
        <v>5</v>
      </c>
      <c r="K3" t="s">
        <v>6</v>
      </c>
      <c r="L3" s="4">
        <v>5763251.4500000002</v>
      </c>
      <c r="M3" s="4">
        <v>68651</v>
      </c>
      <c r="N3" s="10" t="str">
        <f>IF(M3="","",IF(M3&lt;0,-M3&amp;"_"&amp;COUNTIF(M$2:M3,M3),M3&amp;"_"&amp;COUNTIF(M$2:M3,M3)))</f>
        <v>68651_1</v>
      </c>
      <c r="O3" s="11" t="str">
        <f t="shared" si="0"/>
        <v/>
      </c>
      <c r="P3" t="s">
        <v>15</v>
      </c>
      <c r="Q3" t="s">
        <v>8</v>
      </c>
      <c r="R3" t="s">
        <v>16</v>
      </c>
      <c r="S3" t="s">
        <v>0</v>
      </c>
      <c r="T3" t="s">
        <v>10</v>
      </c>
      <c r="U3" t="s">
        <v>17</v>
      </c>
      <c r="V3" t="s">
        <v>12</v>
      </c>
      <c r="W3" t="s">
        <v>0</v>
      </c>
      <c r="X3" t="s">
        <v>13</v>
      </c>
      <c r="Y3" t="s">
        <v>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ht="14.1" customHeight="1" x14ac:dyDescent="0.2">
      <c r="A4" s="2" t="s">
        <v>0</v>
      </c>
      <c r="B4" t="s">
        <v>1</v>
      </c>
      <c r="C4" t="s">
        <v>43</v>
      </c>
      <c r="D4" s="3">
        <v>44377</v>
      </c>
      <c r="E4" s="3">
        <v>44377</v>
      </c>
      <c r="F4" s="3">
        <v>44386</v>
      </c>
      <c r="G4" t="s">
        <v>3</v>
      </c>
      <c r="H4" t="s">
        <v>4</v>
      </c>
      <c r="I4" s="4">
        <v>60722</v>
      </c>
      <c r="J4" t="s">
        <v>5</v>
      </c>
      <c r="K4" t="s">
        <v>6</v>
      </c>
      <c r="L4" s="4">
        <v>5097611.9000000004</v>
      </c>
      <c r="M4" s="4">
        <v>60722</v>
      </c>
      <c r="N4" s="10" t="str">
        <f>IF(M4="","",IF(M4&lt;0,-M4&amp;"_"&amp;COUNTIF(M$2:M4,M4),M4&amp;"_"&amp;COUNTIF(M$2:M4,M4)))</f>
        <v>60722_1</v>
      </c>
      <c r="O4" s="11" t="str">
        <f t="shared" si="0"/>
        <v/>
      </c>
      <c r="P4" t="s">
        <v>41</v>
      </c>
      <c r="Q4" t="s">
        <v>8</v>
      </c>
      <c r="R4" t="s">
        <v>44</v>
      </c>
      <c r="S4" t="s">
        <v>0</v>
      </c>
      <c r="T4" t="s">
        <v>10</v>
      </c>
      <c r="U4" t="s">
        <v>45</v>
      </c>
      <c r="V4" t="s">
        <v>12</v>
      </c>
      <c r="W4" t="s">
        <v>0</v>
      </c>
      <c r="X4" t="s">
        <v>13</v>
      </c>
      <c r="Y4" t="s">
        <v>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ht="14.1" customHeight="1" x14ac:dyDescent="0.2">
      <c r="A5" s="2" t="s">
        <v>0</v>
      </c>
      <c r="B5" t="s">
        <v>1</v>
      </c>
      <c r="C5" t="s">
        <v>40</v>
      </c>
      <c r="D5" s="3">
        <v>44377</v>
      </c>
      <c r="E5" s="3">
        <v>44377</v>
      </c>
      <c r="F5" s="3">
        <v>44386</v>
      </c>
      <c r="G5" t="s">
        <v>3</v>
      </c>
      <c r="H5" t="s">
        <v>4</v>
      </c>
      <c r="I5" s="4">
        <v>44864</v>
      </c>
      <c r="J5" t="s">
        <v>5</v>
      </c>
      <c r="K5" t="s">
        <v>6</v>
      </c>
      <c r="L5" s="4">
        <v>3766332.8</v>
      </c>
      <c r="M5" s="4">
        <v>44864</v>
      </c>
      <c r="N5" s="10" t="str">
        <f>IF(M5="","",IF(M5&lt;0,-M5&amp;"_"&amp;COUNTIF(M$2:M5,M5),M5&amp;"_"&amp;COUNTIF(M$2:M5,M5)))</f>
        <v>44864_1</v>
      </c>
      <c r="O5" s="11" t="str">
        <f t="shared" si="0"/>
        <v/>
      </c>
      <c r="P5" t="s">
        <v>41</v>
      </c>
      <c r="Q5" t="s">
        <v>8</v>
      </c>
      <c r="R5" t="s">
        <v>42</v>
      </c>
      <c r="S5" t="s">
        <v>0</v>
      </c>
      <c r="T5" t="s">
        <v>10</v>
      </c>
      <c r="U5" t="s">
        <v>31</v>
      </c>
      <c r="V5" t="s">
        <v>12</v>
      </c>
      <c r="W5" t="s">
        <v>0</v>
      </c>
      <c r="X5" t="s">
        <v>13</v>
      </c>
      <c r="Y5" t="s">
        <v>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ht="14.1" customHeight="1" x14ac:dyDescent="0.2">
      <c r="A6" s="2" t="s">
        <v>0</v>
      </c>
      <c r="B6" t="s">
        <v>1</v>
      </c>
      <c r="C6" s="12" t="s">
        <v>28</v>
      </c>
      <c r="D6" s="3">
        <v>44347</v>
      </c>
      <c r="E6" s="3">
        <v>44347</v>
      </c>
      <c r="F6" s="3">
        <v>44355</v>
      </c>
      <c r="G6" t="s">
        <v>3</v>
      </c>
      <c r="H6" t="s">
        <v>4</v>
      </c>
      <c r="I6" s="4">
        <v>38607</v>
      </c>
      <c r="J6" t="s">
        <v>5</v>
      </c>
      <c r="K6" t="s">
        <v>6</v>
      </c>
      <c r="L6" s="4">
        <v>3241057.65</v>
      </c>
      <c r="M6" s="4">
        <v>38607</v>
      </c>
      <c r="N6" s="10" t="str">
        <f>IF(M6="","",IF(M6&lt;0,-M6&amp;"_"&amp;COUNTIF(M$2:M6,M6),M6&amp;"_"&amp;COUNTIF(M$2:M6,M6)))</f>
        <v>38607_1</v>
      </c>
      <c r="O6" s="11" t="str">
        <f t="shared" si="0"/>
        <v/>
      </c>
      <c r="P6" t="s">
        <v>29</v>
      </c>
      <c r="Q6" t="s">
        <v>8</v>
      </c>
      <c r="R6" t="s">
        <v>30</v>
      </c>
      <c r="S6" t="s">
        <v>0</v>
      </c>
      <c r="T6" t="s">
        <v>10</v>
      </c>
      <c r="U6" t="s">
        <v>31</v>
      </c>
      <c r="V6" t="s">
        <v>12</v>
      </c>
      <c r="W6" t="s">
        <v>0</v>
      </c>
      <c r="X6" t="s">
        <v>13</v>
      </c>
      <c r="Y6" t="s">
        <v>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ht="14.1" customHeight="1" x14ac:dyDescent="0.2">
      <c r="A7" s="2" t="s">
        <v>0</v>
      </c>
      <c r="B7" t="s">
        <v>1</v>
      </c>
      <c r="C7" t="s">
        <v>2</v>
      </c>
      <c r="D7" s="3">
        <v>44286</v>
      </c>
      <c r="E7" s="3">
        <v>44286</v>
      </c>
      <c r="F7" s="3">
        <v>44293</v>
      </c>
      <c r="G7" t="s">
        <v>3</v>
      </c>
      <c r="H7" t="s">
        <v>4</v>
      </c>
      <c r="I7" s="4">
        <v>37458</v>
      </c>
      <c r="J7" t="s">
        <v>5</v>
      </c>
      <c r="K7" t="s">
        <v>6</v>
      </c>
      <c r="L7" s="4">
        <v>3144599.1</v>
      </c>
      <c r="M7" s="4">
        <v>37458</v>
      </c>
      <c r="N7" s="10" t="str">
        <f>IF(M7="","",IF(M7&lt;0,-M7&amp;"_"&amp;COUNTIF(M$2:M7,M7),M7&amp;"_"&amp;COUNTIF(M$2:M7,M7)))</f>
        <v>37458_1</v>
      </c>
      <c r="O7" s="11" t="str">
        <f t="shared" si="0"/>
        <v/>
      </c>
      <c r="P7" t="s">
        <v>7</v>
      </c>
      <c r="Q7" t="s">
        <v>8</v>
      </c>
      <c r="R7" t="s">
        <v>9</v>
      </c>
      <c r="S7" t="s">
        <v>0</v>
      </c>
      <c r="T7" t="s">
        <v>10</v>
      </c>
      <c r="U7" t="s">
        <v>11</v>
      </c>
      <c r="V7" t="s">
        <v>12</v>
      </c>
      <c r="W7" t="s">
        <v>0</v>
      </c>
      <c r="X7" t="s">
        <v>13</v>
      </c>
      <c r="Y7" t="s">
        <v>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ht="14.1" customHeight="1" x14ac:dyDescent="0.2">
      <c r="A8" s="2" t="s">
        <v>0</v>
      </c>
      <c r="B8" t="s">
        <v>1</v>
      </c>
      <c r="C8" t="s">
        <v>37</v>
      </c>
      <c r="D8" s="3">
        <v>44347</v>
      </c>
      <c r="E8" s="3">
        <v>44347</v>
      </c>
      <c r="F8" s="3">
        <v>44355</v>
      </c>
      <c r="G8" t="s">
        <v>3</v>
      </c>
      <c r="H8" t="s">
        <v>4</v>
      </c>
      <c r="I8" s="4">
        <v>37235</v>
      </c>
      <c r="J8" t="s">
        <v>5</v>
      </c>
      <c r="K8" t="s">
        <v>6</v>
      </c>
      <c r="L8" s="4">
        <v>3125878.25</v>
      </c>
      <c r="M8" s="4">
        <v>37235</v>
      </c>
      <c r="N8" s="10" t="str">
        <f>IF(M8="","",IF(M8&lt;0,-M8&amp;"_"&amp;COUNTIF(M$2:M8,M8),M8&amp;"_"&amp;COUNTIF(M$2:M8,M8)))</f>
        <v>37235_1</v>
      </c>
      <c r="O8" s="11" t="str">
        <f t="shared" si="0"/>
        <v/>
      </c>
      <c r="P8" t="s">
        <v>29</v>
      </c>
      <c r="Q8" t="s">
        <v>8</v>
      </c>
      <c r="R8" t="s">
        <v>38</v>
      </c>
      <c r="S8" t="s">
        <v>0</v>
      </c>
      <c r="T8" t="s">
        <v>10</v>
      </c>
      <c r="U8" t="s">
        <v>39</v>
      </c>
      <c r="V8" t="s">
        <v>12</v>
      </c>
      <c r="W8" t="s">
        <v>0</v>
      </c>
      <c r="X8" t="s">
        <v>13</v>
      </c>
      <c r="Y8" t="s">
        <v>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ht="14.1" customHeight="1" x14ac:dyDescent="0.2">
      <c r="A9" s="2" t="s">
        <v>0</v>
      </c>
      <c r="B9" t="s">
        <v>1</v>
      </c>
      <c r="C9" t="s">
        <v>49</v>
      </c>
      <c r="D9" s="3">
        <v>44377</v>
      </c>
      <c r="E9" s="3">
        <v>44377</v>
      </c>
      <c r="F9" s="3">
        <v>44386</v>
      </c>
      <c r="G9" t="s">
        <v>3</v>
      </c>
      <c r="H9" t="s">
        <v>4</v>
      </c>
      <c r="I9" s="4">
        <v>34971</v>
      </c>
      <c r="J9" t="s">
        <v>5</v>
      </c>
      <c r="K9" t="s">
        <v>6</v>
      </c>
      <c r="L9" s="4">
        <v>2935815.45</v>
      </c>
      <c r="M9" s="4">
        <v>34971</v>
      </c>
      <c r="N9" s="10" t="str">
        <f>IF(M9="","",IF(M9&lt;0,-M9&amp;"_"&amp;COUNTIF(M$2:M9,M9),M9&amp;"_"&amp;COUNTIF(M$2:M9,M9)))</f>
        <v>34971_1</v>
      </c>
      <c r="O9" s="11" t="str">
        <f t="shared" si="0"/>
        <v/>
      </c>
      <c r="P9" t="s">
        <v>41</v>
      </c>
      <c r="Q9" t="s">
        <v>8</v>
      </c>
      <c r="R9" t="s">
        <v>50</v>
      </c>
      <c r="S9" t="s">
        <v>0</v>
      </c>
      <c r="T9" t="s">
        <v>10</v>
      </c>
      <c r="U9" t="s">
        <v>51</v>
      </c>
      <c r="V9" t="s">
        <v>12</v>
      </c>
      <c r="W9" t="s">
        <v>0</v>
      </c>
      <c r="X9" t="s">
        <v>13</v>
      </c>
      <c r="Y9" t="s">
        <v>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ht="14.1" customHeight="1" x14ac:dyDescent="0.2">
      <c r="A10" s="2" t="s">
        <v>0</v>
      </c>
      <c r="B10" t="s">
        <v>1</v>
      </c>
      <c r="C10" t="s">
        <v>18</v>
      </c>
      <c r="D10" s="3">
        <v>44316</v>
      </c>
      <c r="E10" s="3">
        <v>44316</v>
      </c>
      <c r="F10" s="3">
        <v>44322</v>
      </c>
      <c r="G10" t="s">
        <v>3</v>
      </c>
      <c r="H10" t="s">
        <v>4</v>
      </c>
      <c r="I10" s="4">
        <v>32853</v>
      </c>
      <c r="J10" t="s">
        <v>5</v>
      </c>
      <c r="K10" t="s">
        <v>6</v>
      </c>
      <c r="L10" s="4">
        <v>2758009.35</v>
      </c>
      <c r="M10" s="4">
        <v>32853</v>
      </c>
      <c r="N10" s="10" t="str">
        <f>IF(M10="","",IF(M10&lt;0,-M10&amp;"_"&amp;COUNTIF(M$2:M10,M10),M10&amp;"_"&amp;COUNTIF(M$2:M10,M10)))</f>
        <v>32853_1</v>
      </c>
      <c r="O10" s="11" t="str">
        <f t="shared" si="0"/>
        <v/>
      </c>
      <c r="P10" t="s">
        <v>19</v>
      </c>
      <c r="Q10" t="s">
        <v>8</v>
      </c>
      <c r="R10" t="s">
        <v>20</v>
      </c>
      <c r="S10" t="s">
        <v>0</v>
      </c>
      <c r="T10" t="s">
        <v>10</v>
      </c>
      <c r="U10" t="s">
        <v>21</v>
      </c>
      <c r="V10" t="s">
        <v>12</v>
      </c>
      <c r="W10" t="s">
        <v>0</v>
      </c>
      <c r="X10" t="s">
        <v>13</v>
      </c>
      <c r="Y10" t="s">
        <v>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ht="14.1" customHeight="1" x14ac:dyDescent="0.2">
      <c r="A11" s="2" t="s">
        <v>0</v>
      </c>
      <c r="B11" t="s">
        <v>1</v>
      </c>
      <c r="C11" t="s">
        <v>22</v>
      </c>
      <c r="D11" s="3">
        <v>44316</v>
      </c>
      <c r="E11" s="3">
        <v>44316</v>
      </c>
      <c r="F11" s="3">
        <v>44322</v>
      </c>
      <c r="G11" t="s">
        <v>3</v>
      </c>
      <c r="H11" t="s">
        <v>4</v>
      </c>
      <c r="I11" s="4">
        <v>23889</v>
      </c>
      <c r="J11" t="s">
        <v>5</v>
      </c>
      <c r="K11" t="s">
        <v>6</v>
      </c>
      <c r="L11" s="4">
        <v>2005481.55</v>
      </c>
      <c r="M11" s="4">
        <v>23889</v>
      </c>
      <c r="N11" s="10" t="str">
        <f>IF(M11="","",IF(M11&lt;0,-M11&amp;"_"&amp;COUNTIF(M$2:M11,M11),M11&amp;"_"&amp;COUNTIF(M$2:M11,M11)))</f>
        <v>23889_1</v>
      </c>
      <c r="O11" s="11" t="str">
        <f t="shared" si="0"/>
        <v/>
      </c>
      <c r="P11" t="s">
        <v>19</v>
      </c>
      <c r="Q11" t="s">
        <v>8</v>
      </c>
      <c r="R11" t="s">
        <v>23</v>
      </c>
      <c r="S11" t="s">
        <v>0</v>
      </c>
      <c r="T11" t="s">
        <v>10</v>
      </c>
      <c r="U11" t="s">
        <v>24</v>
      </c>
      <c r="V11" t="s">
        <v>12</v>
      </c>
      <c r="W11" t="s">
        <v>0</v>
      </c>
      <c r="X11" t="s">
        <v>13</v>
      </c>
      <c r="Y11" t="s">
        <v>0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ht="14.1" customHeight="1" x14ac:dyDescent="0.2">
      <c r="A12" s="2" t="s">
        <v>0</v>
      </c>
      <c r="B12" t="s">
        <v>1</v>
      </c>
      <c r="C12" t="s">
        <v>25</v>
      </c>
      <c r="D12" s="3">
        <v>44316</v>
      </c>
      <c r="E12" s="3">
        <v>44316</v>
      </c>
      <c r="F12" s="3">
        <v>44322</v>
      </c>
      <c r="G12" t="s">
        <v>3</v>
      </c>
      <c r="H12" t="s">
        <v>4</v>
      </c>
      <c r="I12" s="4">
        <v>18290</v>
      </c>
      <c r="J12" t="s">
        <v>5</v>
      </c>
      <c r="K12" t="s">
        <v>6</v>
      </c>
      <c r="L12" s="4">
        <v>1535445.5</v>
      </c>
      <c r="M12" s="4">
        <v>18290</v>
      </c>
      <c r="N12" s="10" t="str">
        <f>IF(M12="","",IF(M12&lt;0,-M12&amp;"_"&amp;COUNTIF(M$2:M12,M12),M12&amp;"_"&amp;COUNTIF(M$2:M12,M12)))</f>
        <v>18290_1</v>
      </c>
      <c r="O12" s="11" t="str">
        <f t="shared" si="0"/>
        <v/>
      </c>
      <c r="P12" t="s">
        <v>19</v>
      </c>
      <c r="Q12" t="s">
        <v>8</v>
      </c>
      <c r="R12" t="s">
        <v>26</v>
      </c>
      <c r="S12" t="s">
        <v>0</v>
      </c>
      <c r="T12" t="s">
        <v>10</v>
      </c>
      <c r="U12" t="s">
        <v>21</v>
      </c>
      <c r="V12" t="s">
        <v>12</v>
      </c>
      <c r="W12" t="s">
        <v>0</v>
      </c>
      <c r="X12" t="s">
        <v>13</v>
      </c>
      <c r="Y12" t="s">
        <v>0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ht="14.1" customHeight="1" x14ac:dyDescent="0.2">
      <c r="A13" s="2" t="s">
        <v>0</v>
      </c>
      <c r="B13" t="s">
        <v>1</v>
      </c>
      <c r="C13" t="s">
        <v>35</v>
      </c>
      <c r="D13" s="3">
        <v>44347</v>
      </c>
      <c r="E13" s="3">
        <v>44347</v>
      </c>
      <c r="F13" s="3">
        <v>44355</v>
      </c>
      <c r="G13" t="s">
        <v>3</v>
      </c>
      <c r="H13" t="s">
        <v>4</v>
      </c>
      <c r="I13" s="4">
        <v>17742</v>
      </c>
      <c r="J13" t="s">
        <v>5</v>
      </c>
      <c r="K13" t="s">
        <v>6</v>
      </c>
      <c r="L13" s="4">
        <v>1489440.9</v>
      </c>
      <c r="M13" s="4">
        <v>17742</v>
      </c>
      <c r="N13" s="10" t="str">
        <f>IF(M13="","",IF(M13&lt;0,-M13&amp;"_"&amp;COUNTIF(M$2:M13,M13),M13&amp;"_"&amp;COUNTIF(M$2:M13,M13)))</f>
        <v>17742_1</v>
      </c>
      <c r="O13" s="11" t="str">
        <f t="shared" si="0"/>
        <v/>
      </c>
      <c r="P13" t="s">
        <v>29</v>
      </c>
      <c r="Q13" t="s">
        <v>8</v>
      </c>
      <c r="R13" t="s">
        <v>36</v>
      </c>
      <c r="S13" t="s">
        <v>0</v>
      </c>
      <c r="T13" t="s">
        <v>10</v>
      </c>
      <c r="U13" t="s">
        <v>31</v>
      </c>
      <c r="V13" t="s">
        <v>12</v>
      </c>
      <c r="W13" t="s">
        <v>0</v>
      </c>
      <c r="X13" t="s">
        <v>13</v>
      </c>
      <c r="Y13" t="s">
        <v>0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ht="14.1" customHeight="1" x14ac:dyDescent="0.2">
      <c r="A14" s="2" t="s">
        <v>0</v>
      </c>
      <c r="B14" t="s">
        <v>1</v>
      </c>
      <c r="C14" t="s">
        <v>46</v>
      </c>
      <c r="D14" s="3">
        <v>44377</v>
      </c>
      <c r="E14" s="3">
        <v>44377</v>
      </c>
      <c r="F14" s="3">
        <v>44386</v>
      </c>
      <c r="G14" t="s">
        <v>3</v>
      </c>
      <c r="H14" t="s">
        <v>4</v>
      </c>
      <c r="I14" s="4">
        <v>16320</v>
      </c>
      <c r="J14" t="s">
        <v>5</v>
      </c>
      <c r="K14" t="s">
        <v>6</v>
      </c>
      <c r="L14" s="4">
        <v>1370064</v>
      </c>
      <c r="M14" s="4">
        <v>16320</v>
      </c>
      <c r="N14" s="10" t="str">
        <f>IF(M14="","",IF(M14&lt;0,-M14&amp;"_"&amp;COUNTIF(M$2:M14,M14),M14&amp;"_"&amp;COUNTIF(M$2:M14,M14)))</f>
        <v>16320_1</v>
      </c>
      <c r="O14" s="11" t="str">
        <f t="shared" si="0"/>
        <v/>
      </c>
      <c r="P14" t="s">
        <v>41</v>
      </c>
      <c r="Q14" t="s">
        <v>8</v>
      </c>
      <c r="R14" t="s">
        <v>47</v>
      </c>
      <c r="S14" t="s">
        <v>0</v>
      </c>
      <c r="T14" t="s">
        <v>10</v>
      </c>
      <c r="U14" t="s">
        <v>48</v>
      </c>
      <c r="V14" t="s">
        <v>12</v>
      </c>
      <c r="W14" t="s">
        <v>0</v>
      </c>
      <c r="X14" t="s">
        <v>13</v>
      </c>
      <c r="Y14" t="s">
        <v>0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ht="14.1" customHeight="1" x14ac:dyDescent="0.2">
      <c r="A15" s="2" t="s">
        <v>0</v>
      </c>
      <c r="B15" t="s">
        <v>1</v>
      </c>
      <c r="C15" t="s">
        <v>27</v>
      </c>
      <c r="D15" s="3">
        <v>44316</v>
      </c>
      <c r="E15" s="3">
        <v>44316</v>
      </c>
      <c r="F15" s="3">
        <v>44322</v>
      </c>
      <c r="G15" t="s">
        <v>3</v>
      </c>
      <c r="H15" t="s">
        <v>4</v>
      </c>
      <c r="I15" s="4">
        <v>9200</v>
      </c>
      <c r="J15" t="s">
        <v>5</v>
      </c>
      <c r="K15" t="s">
        <v>6</v>
      </c>
      <c r="L15" s="4">
        <v>772340</v>
      </c>
      <c r="M15" s="4">
        <v>9200</v>
      </c>
      <c r="N15" s="10" t="str">
        <f>IF(M15="","",IF(M15&lt;0,-M15&amp;"_"&amp;COUNTIF(M$2:M15,M15),M15&amp;"_"&amp;COUNTIF(M$2:M15,M15)))</f>
        <v>9200_1</v>
      </c>
      <c r="O15" s="11" t="str">
        <f t="shared" si="0"/>
        <v/>
      </c>
      <c r="P15" t="s">
        <v>19</v>
      </c>
      <c r="Q15" t="s">
        <v>8</v>
      </c>
      <c r="R15" t="s">
        <v>26</v>
      </c>
      <c r="S15" t="s">
        <v>0</v>
      </c>
      <c r="T15" t="s">
        <v>10</v>
      </c>
      <c r="U15" t="s">
        <v>24</v>
      </c>
      <c r="V15" t="s">
        <v>12</v>
      </c>
      <c r="W15" t="s">
        <v>0</v>
      </c>
      <c r="X15" t="s">
        <v>13</v>
      </c>
      <c r="Y15" t="s">
        <v>0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ht="14.1" customHeight="1" x14ac:dyDescent="0.2">
      <c r="A16" s="2"/>
      <c r="D16" s="3"/>
      <c r="E16" s="3"/>
      <c r="F16" s="3"/>
      <c r="I16" s="4"/>
      <c r="L16" s="4"/>
      <c r="M16" s="4"/>
      <c r="N16" s="10"/>
      <c r="O16" s="11"/>
      <c r="AA16" s="3"/>
      <c r="AE16" s="4"/>
    </row>
    <row r="17" spans="1:31" x14ac:dyDescent="0.2">
      <c r="A17" s="5" t="s">
        <v>0</v>
      </c>
      <c r="B17" s="5" t="s">
        <v>0</v>
      </c>
      <c r="C17" s="5" t="s">
        <v>0</v>
      </c>
      <c r="D17" s="6"/>
      <c r="E17" s="6"/>
      <c r="F17" s="6"/>
      <c r="G17" s="5" t="s">
        <v>0</v>
      </c>
      <c r="H17" s="5" t="s">
        <v>4</v>
      </c>
      <c r="I17" s="7">
        <v>521919</v>
      </c>
      <c r="J17" s="5" t="s">
        <v>0</v>
      </c>
      <c r="K17" s="5" t="s">
        <v>6</v>
      </c>
      <c r="L17" s="7">
        <v>43815100.049999997</v>
      </c>
      <c r="M17" s="7">
        <v>521919</v>
      </c>
      <c r="N17" s="7"/>
      <c r="O17" s="7"/>
      <c r="P17" s="5" t="s">
        <v>0</v>
      </c>
      <c r="Q17" s="5" t="s">
        <v>0</v>
      </c>
      <c r="R17" s="5" t="s">
        <v>0</v>
      </c>
      <c r="S17" s="5" t="s">
        <v>0</v>
      </c>
      <c r="T17" s="5" t="s">
        <v>0</v>
      </c>
      <c r="U17" s="5" t="s">
        <v>0</v>
      </c>
      <c r="V17" s="5" t="s">
        <v>0</v>
      </c>
      <c r="W17" s="5" t="s">
        <v>0</v>
      </c>
      <c r="X17" s="5" t="s">
        <v>0</v>
      </c>
      <c r="Y17" s="5" t="s">
        <v>0</v>
      </c>
      <c r="Z17" s="5" t="s">
        <v>0</v>
      </c>
      <c r="AA17" s="6"/>
      <c r="AB17" s="5" t="s">
        <v>0</v>
      </c>
      <c r="AC17" s="5" t="s">
        <v>0</v>
      </c>
      <c r="AD17" s="5" t="s">
        <v>0</v>
      </c>
      <c r="AE17" s="8"/>
    </row>
    <row r="20" spans="1:31" ht="15" x14ac:dyDescent="0.25">
      <c r="J20" s="20" t="s">
        <v>85</v>
      </c>
      <c r="K20" s="20"/>
      <c r="L20" s="20"/>
      <c r="M20" s="13">
        <v>521919</v>
      </c>
    </row>
    <row r="21" spans="1:31" ht="15" x14ac:dyDescent="0.25">
      <c r="J21" s="20" t="s">
        <v>84</v>
      </c>
      <c r="K21" s="20"/>
      <c r="L21" s="20"/>
      <c r="M21" s="14">
        <v>17889.524448341221</v>
      </c>
      <c r="N21" t="s">
        <v>88</v>
      </c>
    </row>
    <row r="22" spans="1:31" x14ac:dyDescent="0.2">
      <c r="J22" s="21" t="s">
        <v>86</v>
      </c>
      <c r="K22" s="21"/>
      <c r="L22" s="21"/>
      <c r="M22" s="15">
        <f>SUM(M20:M21)</f>
        <v>539808.52444834122</v>
      </c>
    </row>
    <row r="24" spans="1:31" x14ac:dyDescent="0.2">
      <c r="J24" s="16" t="s">
        <v>88</v>
      </c>
      <c r="K24" t="s">
        <v>87</v>
      </c>
    </row>
    <row r="25" spans="1:31" x14ac:dyDescent="0.2">
      <c r="K25" s="22" t="s">
        <v>89</v>
      </c>
      <c r="L25" s="22"/>
      <c r="M25" s="22"/>
      <c r="N25" s="22"/>
      <c r="O25" s="22"/>
    </row>
    <row r="26" spans="1:31" x14ac:dyDescent="0.2">
      <c r="K26" s="22"/>
      <c r="L26" s="22"/>
      <c r="M26" s="22"/>
      <c r="N26" s="22"/>
      <c r="O26" s="22"/>
    </row>
    <row r="27" spans="1:31" x14ac:dyDescent="0.2">
      <c r="K27" s="22"/>
      <c r="L27" s="22"/>
      <c r="M27" s="22"/>
      <c r="N27" s="22"/>
      <c r="O27" s="22"/>
    </row>
    <row r="28" spans="1:31" x14ac:dyDescent="0.2">
      <c r="K28" s="22"/>
      <c r="L28" s="22"/>
      <c r="M28" s="22"/>
      <c r="N28" s="22"/>
      <c r="O28" s="22"/>
    </row>
    <row r="29" spans="1:31" x14ac:dyDescent="0.2">
      <c r="K29" s="22"/>
      <c r="L29" s="22"/>
      <c r="M29" s="22"/>
      <c r="N29" s="22"/>
      <c r="O29" s="22"/>
    </row>
    <row r="30" spans="1:31" x14ac:dyDescent="0.2">
      <c r="K30" s="22"/>
      <c r="L30" s="22"/>
      <c r="M30" s="22"/>
      <c r="N30" s="22"/>
      <c r="O30" s="22"/>
    </row>
  </sheetData>
  <sortState xmlns:xlrd2="http://schemas.microsoft.com/office/spreadsheetml/2017/richdata2" ref="A2:AE15">
    <sortCondition descending="1" ref="M1:M15"/>
  </sortState>
  <mergeCells count="4">
    <mergeCell ref="J20:L20"/>
    <mergeCell ref="J21:L21"/>
    <mergeCell ref="J22:L22"/>
    <mergeCell ref="K25:O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3554-B554-4059-966C-44E22EC5A53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4524F3-EFF1-4F38-B50A-B98742B04E3B}"/>
</file>

<file path=customXml/itemProps2.xml><?xml version="1.0" encoding="utf-8"?>
<ds:datastoreItem xmlns:ds="http://schemas.openxmlformats.org/officeDocument/2006/customXml" ds:itemID="{6D7B8E1E-F450-4D49-8520-16C491C01F83}"/>
</file>

<file path=customXml/itemProps3.xml><?xml version="1.0" encoding="utf-8"?>
<ds:datastoreItem xmlns:ds="http://schemas.openxmlformats.org/officeDocument/2006/customXml" ds:itemID="{D741EC28-2FFB-47E4-83A1-E956A9BBE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Reversal</vt:lpstr>
      <vt:lpstr>Debit Entries</vt:lpstr>
      <vt:lpstr>Credit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acer</cp:lastModifiedBy>
  <cp:revision>1</cp:revision>
  <dcterms:modified xsi:type="dcterms:W3CDTF">2021-09-05T10:33:16Z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