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ivotCache/pivotCacheRecords2.xml" ContentType="application/vnd.openxmlformats-officedocument.spreadsheetml.pivotCacheRecords+xml"/>
  <Override PartName="/xl/pivotCache/pivotCacheDefinition1.xml" ContentType="application/vnd.openxmlformats-officedocument.spreadsheetml.pivotCacheDefinitio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F:\Deloitte\EPIC Group\CIPL_21\04 Substantive Testing\02 Other than Significant\10 Loan from Promoter\"/>
    </mc:Choice>
  </mc:AlternateContent>
  <xr:revisionPtr revIDLastSave="0" documentId="13_ncr:1_{AD5D4F70-1E94-4F0C-86F9-88F4CF98642E}" xr6:coauthVersionLast="47" xr6:coauthVersionMax="47" xr10:uidLastSave="{00000000-0000-0000-0000-000000000000}"/>
  <bookViews>
    <workbookView xWindow="-120" yWindow="-120" windowWidth="20730" windowHeight="11160" xr2:uid="{00000000-000D-0000-FFFF-FFFF00000000}"/>
  </bookViews>
  <sheets>
    <sheet name="LFP 300 Monthly Analysis" sheetId="3" r:id="rId1"/>
    <sheet name="Horizontal LFP Analysis" sheetId="11" r:id="rId2"/>
    <sheet name="LFP 100 Population" sheetId="12" r:id="rId3"/>
    <sheet name="LFP Population 100 FY 2020-21" sheetId="9" r:id="rId4"/>
  </sheets>
  <definedNames>
    <definedName name="_xlnm._FilterDatabase" localSheetId="2" hidden="1">'LFP 100 Population'!$A$1:$AC$60</definedName>
    <definedName name="_xlnm._FilterDatabase" localSheetId="3" hidden="1">'LFP Population 100 FY 2020-21'!$A$1:$AC$1048525</definedName>
  </definedNames>
  <calcPr calcId="191029"/>
  <pivotCaches>
    <pivotCache cacheId="36" r:id="rId5"/>
    <pivotCache cacheId="38"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3" l="1"/>
  <c r="C20" i="3"/>
  <c r="M11" i="9"/>
  <c r="C22" i="3"/>
</calcChain>
</file>

<file path=xl/sharedStrings.xml><?xml version="1.0" encoding="utf-8"?>
<sst xmlns="http://schemas.openxmlformats.org/spreadsheetml/2006/main" count="1544" uniqueCount="280">
  <si>
    <t/>
  </si>
  <si>
    <t>BDT</t>
  </si>
  <si>
    <t>0</t>
  </si>
  <si>
    <t>2010300001</t>
  </si>
  <si>
    <t>USD</t>
  </si>
  <si>
    <t>78.10000</t>
  </si>
  <si>
    <t>77.20000</t>
  </si>
  <si>
    <t>77.85000</t>
  </si>
  <si>
    <t>77.90000</t>
  </si>
  <si>
    <t>77.75000</t>
  </si>
  <si>
    <t>80.75000</t>
  </si>
  <si>
    <t>Cleared/open items symbol</t>
  </si>
  <si>
    <t>G/L Account</t>
  </si>
  <si>
    <t>Document Number</t>
  </si>
  <si>
    <t>Posting Date</t>
  </si>
  <si>
    <t>Document Date</t>
  </si>
  <si>
    <t>Entry Date</t>
  </si>
  <si>
    <t>Document Type</t>
  </si>
  <si>
    <t>Document currency</t>
  </si>
  <si>
    <t>Amount in doc. curr.</t>
  </si>
  <si>
    <t>Eff.exchange rate</t>
  </si>
  <si>
    <t>Local Currency</t>
  </si>
  <si>
    <t>Amount in local currency</t>
  </si>
  <si>
    <t>Amount in loc.curr.2</t>
  </si>
  <si>
    <t>Reference</t>
  </si>
  <si>
    <t>Assignment</t>
  </si>
  <si>
    <t>Text/CI No</t>
  </si>
  <si>
    <t>Purchasing Document</t>
  </si>
  <si>
    <t>Item</t>
  </si>
  <si>
    <t>Document Header Text</t>
  </si>
  <si>
    <t>File Number</t>
  </si>
  <si>
    <t>Buyer Name</t>
  </si>
  <si>
    <t>LC Number</t>
  </si>
  <si>
    <t>Profit Center</t>
  </si>
  <si>
    <t>Clearing Document</t>
  </si>
  <si>
    <t>Clearing date</t>
  </si>
  <si>
    <t>Billing Document</t>
  </si>
  <si>
    <t>Buyer Description</t>
  </si>
  <si>
    <t>Sales document</t>
  </si>
  <si>
    <t>Withholding tax amnt</t>
  </si>
  <si>
    <t>Grand Total</t>
  </si>
  <si>
    <t>2020</t>
  </si>
  <si>
    <t>2021</t>
  </si>
  <si>
    <t>Nurul Faruk Hasan &amp; Co</t>
  </si>
  <si>
    <t>Chartered Accountants</t>
  </si>
  <si>
    <t>Client name</t>
  </si>
  <si>
    <t>Cosmopolitan Industries Pvt. Ltd. (CIPL)</t>
  </si>
  <si>
    <t>Working Paper Title</t>
  </si>
  <si>
    <t>Working Paper #</t>
  </si>
  <si>
    <t>Preparer</t>
  </si>
  <si>
    <t>Md. Nahid Hasan Badhan</t>
  </si>
  <si>
    <t>Date Completed</t>
  </si>
  <si>
    <t>Reviewer</t>
  </si>
  <si>
    <t>Date Reviewed</t>
  </si>
  <si>
    <t>Balance Sheet Date</t>
  </si>
  <si>
    <t>Purpose:</t>
  </si>
  <si>
    <t>Procedure:</t>
  </si>
  <si>
    <t>Conclusion:</t>
  </si>
  <si>
    <t>Amount in USD</t>
  </si>
  <si>
    <t>Nov</t>
  </si>
  <si>
    <t>Dec</t>
  </si>
  <si>
    <t>Mar</t>
  </si>
  <si>
    <t>Months</t>
  </si>
  <si>
    <t>LFP 300</t>
  </si>
  <si>
    <t>Loan from Promoter Analysis</t>
  </si>
  <si>
    <t>Step 1: Collect ledger;
Step 2: Segregate and remove the reversal entries;
Step 3: Figure out monthly Loan from Promoter using Pivot Table;
Step 4: Compare the monthly Loan from Promoter figures with that of previous year;
Step 5: Find out the percentage changes among the months during the current financial year;
Step 6: Obtain justification for the unusual changes.</t>
  </si>
  <si>
    <t>20201003</t>
  </si>
  <si>
    <t>1403000510</t>
  </si>
  <si>
    <t>SA</t>
  </si>
  <si>
    <t>TRANSFER20201001</t>
  </si>
  <si>
    <t>20201001</t>
  </si>
  <si>
    <t>transfer values from GL 20201001</t>
  </si>
  <si>
    <t>transfer20201001</t>
  </si>
  <si>
    <t>DUMMY</t>
  </si>
  <si>
    <t>2010100001</t>
  </si>
  <si>
    <t>1406000006</t>
  </si>
  <si>
    <t>DA</t>
  </si>
  <si>
    <t>EDL-HK LOAN ADJ</t>
  </si>
  <si>
    <t>EDL-HK Loan adj-cipl part</t>
  </si>
  <si>
    <t>1406000007</t>
  </si>
  <si>
    <t>EDL-HK Loan adj-CFPL part</t>
  </si>
  <si>
    <t>1406000010</t>
  </si>
  <si>
    <t>1406000011</t>
  </si>
  <si>
    <t>EDL-HK Loan adj-cfpl part</t>
  </si>
  <si>
    <t>1506000001</t>
  </si>
  <si>
    <t>EDL-HK Loan Adj</t>
  </si>
  <si>
    <t>EDL-HK Loan Adj-12th Installment-CIPL part</t>
  </si>
  <si>
    <t>1506000003</t>
  </si>
  <si>
    <t>EDL-HK Loan Adj-12th Installment-CFPL part</t>
  </si>
  <si>
    <t>1515000005</t>
  </si>
  <si>
    <t>IC</t>
  </si>
  <si>
    <t>77.70343</t>
  </si>
  <si>
    <t>Partial repay of EDL-HK loan (CIPL part)-13th inst</t>
  </si>
  <si>
    <t>EDL-HK Loan adj-CIPL part</t>
  </si>
  <si>
    <t>1</t>
  </si>
  <si>
    <t>1515000007</t>
  </si>
  <si>
    <t>RESTATEMENT</t>
  </si>
  <si>
    <t>Amort . rev. res</t>
  </si>
  <si>
    <t>Restatement-Jan 16</t>
  </si>
  <si>
    <t>Restatement</t>
  </si>
  <si>
    <t>1515000009</t>
  </si>
  <si>
    <t>EDL-HK LOAN PAY</t>
  </si>
  <si>
    <t>Partial repay of EDL-HK loan (CFPL part)-14th inst</t>
  </si>
  <si>
    <t>EDL-HK Loan pay-CFPL part</t>
  </si>
  <si>
    <t>1515000011</t>
  </si>
  <si>
    <t>Partial repay of EDL-HK loan (CIPL part)-14th inst</t>
  </si>
  <si>
    <t>EDL-HK Loan pay-CIPL part</t>
  </si>
  <si>
    <t>1515000012</t>
  </si>
  <si>
    <t>restatement</t>
  </si>
  <si>
    <t>1515000013</t>
  </si>
  <si>
    <t>1515000014</t>
  </si>
  <si>
    <t>1515000015</t>
  </si>
  <si>
    <t>EDL-HK Loan pay</t>
  </si>
  <si>
    <t>EDL-HK loan repayment-CFPL part-15th Installment</t>
  </si>
  <si>
    <t>1515000016</t>
  </si>
  <si>
    <t>1615000000</t>
  </si>
  <si>
    <t>REPAY OF LOAN</t>
  </si>
  <si>
    <t>Repay-16th instl of loan</t>
  </si>
  <si>
    <t>1615000001</t>
  </si>
  <si>
    <t>Repay -16th instl of loan to EDL-HK -CFPL part</t>
  </si>
  <si>
    <t>1615000008</t>
  </si>
  <si>
    <t>78.00000</t>
  </si>
  <si>
    <t>Repay-17 inst loan</t>
  </si>
  <si>
    <t>Repay-17th inst of loan to EDL-HK-CIPL part</t>
  </si>
  <si>
    <t>Repay-17th instal of loan</t>
  </si>
  <si>
    <t>1615000009</t>
  </si>
  <si>
    <t>Repay-17th inst of loan to EDL-HK-CFPL-part</t>
  </si>
  <si>
    <t>1615000010</t>
  </si>
  <si>
    <t>80.12000</t>
  </si>
  <si>
    <t>Repay 18th  intalm</t>
  </si>
  <si>
    <t>Repay -18th Instl of loan  to EDL-Hk-CIPL part</t>
  </si>
  <si>
    <t>Repay-18th Intalment</t>
  </si>
  <si>
    <t>1615000011</t>
  </si>
  <si>
    <t>Repay -18th Instl of loan  to EDL-Hk-CFPL part</t>
  </si>
  <si>
    <t>1715000003</t>
  </si>
  <si>
    <t>Repay 19th  intalm</t>
  </si>
  <si>
    <t>Repay-19th installment of loan to EDL-HK-CIPL Part</t>
  </si>
  <si>
    <t>Repay-19th intal of loan</t>
  </si>
  <si>
    <t>1715000004</t>
  </si>
  <si>
    <t>Repay-19th installment of loan to EDL-HK-CFPL Part</t>
  </si>
  <si>
    <t>1715000007</t>
  </si>
  <si>
    <t>83.85195</t>
  </si>
  <si>
    <t>LOAN REPAYMENT</t>
  </si>
  <si>
    <t>Loan repayment</t>
  </si>
  <si>
    <t>Repay-20th intalment of loan to EDL-HK-CFPL part</t>
  </si>
  <si>
    <t>Repay:20th instal of loan</t>
  </si>
  <si>
    <t>2010200001</t>
  </si>
  <si>
    <t>1715000008</t>
  </si>
  <si>
    <t>83.21361</t>
  </si>
  <si>
    <t>Repay-20th intalment of loan to EDL-HK-CIPL part</t>
  </si>
  <si>
    <t>1715000010</t>
  </si>
  <si>
    <t>82.40000</t>
  </si>
  <si>
    <t>Repay-21st of loan to EDL-Hk-CIPL Portion-Partial</t>
  </si>
  <si>
    <t>Repay:21st instal of loan</t>
  </si>
  <si>
    <t>1715000011</t>
  </si>
  <si>
    <t>Repay-21st of loan to EDL-Hk-CFPL Portion</t>
  </si>
  <si>
    <t>1815000004</t>
  </si>
  <si>
    <t>82.75000</t>
  </si>
  <si>
    <t>Loan Repayment</t>
  </si>
  <si>
    <t>Repay 21st inst of loan -EDL-HK-CIPL portion-part</t>
  </si>
  <si>
    <t>Repay 21-22nd instl part</t>
  </si>
  <si>
    <t>Repayment-22nd inst of loan to EDL-HK-CIPL portion</t>
  </si>
  <si>
    <t>1815000006</t>
  </si>
  <si>
    <t>82.80000</t>
  </si>
  <si>
    <t>Repay 22 instl</t>
  </si>
  <si>
    <t>Repay 22nd inst of loan to EDL-HK-CFPL portion</t>
  </si>
  <si>
    <t>Repay 22-23rd  instl part</t>
  </si>
  <si>
    <t>Repay 23 inst loan</t>
  </si>
  <si>
    <t>Repay 23 rd inst of loan to EDL-HK-CFPL portion</t>
  </si>
  <si>
    <t>1815000007</t>
  </si>
  <si>
    <t>Repay 23 rd inst of loan to EDL-HK-CIPL portion</t>
  </si>
  <si>
    <t>Repay 23rd  instl</t>
  </si>
  <si>
    <t>1815000012</t>
  </si>
  <si>
    <t>82.95000</t>
  </si>
  <si>
    <t>REPAY 24TH INSTA</t>
  </si>
  <si>
    <t>Repay 24th Install</t>
  </si>
  <si>
    <t>Repay 24th inst of loan to EDL-HK -CIPL portion</t>
  </si>
  <si>
    <t>Repay 24th instal-EDL-HK</t>
  </si>
  <si>
    <t>1815000013</t>
  </si>
  <si>
    <t>Repay 24th inst of loan to EDL-HK -CFPL portion</t>
  </si>
  <si>
    <t>1815000023</t>
  </si>
  <si>
    <t>REPAY 25TH INSTA</t>
  </si>
  <si>
    <t>Repay 25th instal</t>
  </si>
  <si>
    <t>Repay 25th inst of loan to EDL-HK -CIPL portion</t>
  </si>
  <si>
    <t>Repay 25th instal-EDL-HK</t>
  </si>
  <si>
    <t>EDL-HK</t>
  </si>
  <si>
    <t>Repay 25th inst of loan to EDL-HK -CFPL portion</t>
  </si>
  <si>
    <t>1815000026</t>
  </si>
  <si>
    <t>83.30000</t>
  </si>
  <si>
    <t>REPAY 26TH INSTA</t>
  </si>
  <si>
    <t>Repay 26th instal</t>
  </si>
  <si>
    <t>Repay 26th inst of loan to EDL-HK-CIPL Portion</t>
  </si>
  <si>
    <t>Repay-26th instalment</t>
  </si>
  <si>
    <t>26TH INSTALL</t>
  </si>
  <si>
    <t>Repay 26th inst of loan to EDL-HK-CFPL Portion</t>
  </si>
  <si>
    <t>1815000037</t>
  </si>
  <si>
    <t>USD Restatem</t>
  </si>
  <si>
    <t>USD GL restatement June 19</t>
  </si>
  <si>
    <t>Restatement Jun 19</t>
  </si>
  <si>
    <t>JUNE 19</t>
  </si>
  <si>
    <t>1915000001</t>
  </si>
  <si>
    <t>REPAY 27TH INSTA</t>
  </si>
  <si>
    <t>Repay 27th instal</t>
  </si>
  <si>
    <t>Repay 27th inst of loan to EDL-HK-CIPL Portion</t>
  </si>
  <si>
    <t>Repay-27th instalment</t>
  </si>
  <si>
    <t>Repay 27th inst of loan to EDL-HK-CFPL Portion</t>
  </si>
  <si>
    <t>27TH INSTALL</t>
  </si>
  <si>
    <t>1915000002</t>
  </si>
  <si>
    <t>REPAY 28TH INSTA</t>
  </si>
  <si>
    <t>Repay 28th instal</t>
  </si>
  <si>
    <t>Repay 28th inst of loan to EDL-HK-CIPL Portion</t>
  </si>
  <si>
    <t>Repay-28th instalment</t>
  </si>
  <si>
    <t>Repay 28th inst of loan to EDL-HK-CFPL Portion</t>
  </si>
  <si>
    <t>1915000011</t>
  </si>
  <si>
    <t>REPAY 29TH INSTA</t>
  </si>
  <si>
    <t>Repay 29th instal</t>
  </si>
  <si>
    <t>Repay 29th inst of loan to EDL-HK-CIPL Portion</t>
  </si>
  <si>
    <t>Repay-29th instalment</t>
  </si>
  <si>
    <t>Repay 29th inst of loan to EDL-HK-CFPL Portion</t>
  </si>
  <si>
    <t>1915000018</t>
  </si>
  <si>
    <t>REPAY 30TH INSTA</t>
  </si>
  <si>
    <t>Repay 30th instal</t>
  </si>
  <si>
    <t>Repay 30th inst of loan to EDL-HK-CIPL Portion</t>
  </si>
  <si>
    <t>Repay-30th instalment</t>
  </si>
  <si>
    <t>Repay 30th inst of loan to EDL-HK-CFPL Portion</t>
  </si>
  <si>
    <t>1915000022</t>
  </si>
  <si>
    <t>REPAY 31ST INSTA</t>
  </si>
  <si>
    <t>Repay 31st instal</t>
  </si>
  <si>
    <t>Repay 31st inst of loan to EDL-HK-CIPL Portion</t>
  </si>
  <si>
    <t>Repay-31st instalment</t>
  </si>
  <si>
    <t>2015000002</t>
  </si>
  <si>
    <t>REPAY 32ND INSTA</t>
  </si>
  <si>
    <t>Repay 32nd instal</t>
  </si>
  <si>
    <t>Repay 32nd inst of loan to EDL-HK-CIPL Portion</t>
  </si>
  <si>
    <t>Repay-32nd instalment</t>
  </si>
  <si>
    <t>2015000007</t>
  </si>
  <si>
    <t>REPAY 33RD INSTA</t>
  </si>
  <si>
    <t>Repay 33rd instal</t>
  </si>
  <si>
    <t>Repay 33rd inst of loan to EDL-HK-CIPL Portion</t>
  </si>
  <si>
    <t>Repay-33rd instalment</t>
  </si>
  <si>
    <t>2015000009</t>
  </si>
  <si>
    <t>REPAY 34TH INSTA</t>
  </si>
  <si>
    <t>Repay 34th instal</t>
  </si>
  <si>
    <t>Repay 34th inst of loan to EDL-HK-CIPL Portion</t>
  </si>
  <si>
    <t>Repay-34th instalment</t>
  </si>
  <si>
    <t>% change</t>
  </si>
  <si>
    <t>To carry out analytical procedure on Loan from Promoter in order to find out the trends during the current financial year.</t>
  </si>
  <si>
    <t>Control:</t>
  </si>
  <si>
    <t>Assertions:</t>
  </si>
  <si>
    <t>Loans reported in the financial statement may not exist.</t>
  </si>
  <si>
    <t xml:space="preserve">Risk:  </t>
  </si>
  <si>
    <t>Mahdi Mohammad Mehrab</t>
  </si>
  <si>
    <t>Existence.</t>
  </si>
  <si>
    <t>2014</t>
  </si>
  <si>
    <t>2015</t>
  </si>
  <si>
    <t>2016</t>
  </si>
  <si>
    <t>2017</t>
  </si>
  <si>
    <t>2018</t>
  </si>
  <si>
    <t>2019</t>
  </si>
  <si>
    <t>Year</t>
  </si>
  <si>
    <t>Loan from Promoter</t>
  </si>
  <si>
    <t>To carry out horizontal yearly analysis on Loan from Promoter in order to find out the trends during the current financial year.</t>
  </si>
  <si>
    <t>Loan from Promoter of CIPL was taken in the year 2014 and have been repaid by a roughly constant amount in the subsequent 7 years.</t>
  </si>
  <si>
    <t>2115000006</t>
  </si>
  <si>
    <t>JUNE 21</t>
  </si>
  <si>
    <t>Restatement Jun 21</t>
  </si>
  <si>
    <t>USD GL restatement June 21</t>
  </si>
  <si>
    <t>2015000016</t>
  </si>
  <si>
    <t>Loan from EDL</t>
  </si>
  <si>
    <t>Promoters Loan from EDL</t>
  </si>
  <si>
    <t>LOAN FROM EDL</t>
  </si>
  <si>
    <t>83.95000</t>
  </si>
  <si>
    <t>2015000015</t>
  </si>
  <si>
    <t>Jun</t>
  </si>
  <si>
    <t>1.  Management applies to Bangladesh Bank for approval to take loan from promoter.(EDL)
2. An agreement is signed with the promoter for receiving such kind of loan.
3. Loan is received through banking channel directly to the bank account
4. Loan documents are verified by Finance Manager  and approved by Finance controller/VP, Finance, then the loan entry is posted in the ledger.</t>
  </si>
  <si>
    <t>Loan from Promoter of CIPL have been readded by a constant amount in 3 months and repaid once during the current financial year.</t>
  </si>
  <si>
    <t>Prepared by</t>
  </si>
  <si>
    <t>Reviewed by</t>
  </si>
  <si>
    <t>Further reviewed by</t>
  </si>
  <si>
    <t>Humaun Ahamed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</si>
</sst>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yy;@"/>
    <numFmt numFmtId="165" formatCode="_(* #,##0_);_(* \(#,##0\);_(* &quot;-&quot;??_);_(@_)"/>
    <numFmt numFmtId="166" formatCode="0%_);\(0%\)"/>
  </numFmts>
  <fonts count="21" x14ac:knownFonts="1">
    <font>
      <sz val="10"/>
      <name val="Arial"/>
    </font>
    <font>
      <sz val="12"/>
      <color theme="1"/>
      <name val="Calibri"/>
      <family val="2"/>
      <scheme val="minor"/>
    </font>
    <font>
      <sz val="12"/>
      <color theme="1"/>
      <name val="Calibri"/>
      <family val="2"/>
      <scheme val="minor"/>
    </font>
    <font>
      <sz val="11"/>
      <color theme="1"/>
      <name val="Calibri"/>
      <family val="2"/>
      <scheme val="minor"/>
    </font>
    <font>
      <sz val="12"/>
      <color rgb="FFFF0000"/>
      <name val="Calibri"/>
      <family val="2"/>
      <scheme val="minor"/>
    </font>
    <font>
      <b/>
      <sz val="12"/>
      <color theme="1"/>
      <name val="Calibri"/>
      <family val="2"/>
      <scheme val="minor"/>
    </font>
    <font>
      <sz val="12"/>
      <color theme="0"/>
      <name val="Calibri"/>
      <family val="2"/>
      <scheme val="minor"/>
    </font>
    <font>
      <sz val="12"/>
      <name val="Calibri"/>
      <family val="2"/>
      <scheme val="minor"/>
    </font>
    <font>
      <b/>
      <sz val="12"/>
      <color rgb="FF000000"/>
      <name val="Calibri"/>
      <family val="2"/>
      <scheme val="minor"/>
    </font>
    <font>
      <b/>
      <sz val="12"/>
      <color rgb="FFFF0000"/>
      <name val="Calibri"/>
      <family val="2"/>
      <scheme val="minor"/>
    </font>
    <font>
      <b/>
      <sz val="12"/>
      <name val="Calibri"/>
      <family val="2"/>
      <scheme val="minor"/>
    </font>
    <font>
      <sz val="12"/>
      <color rgb="FF000000"/>
      <name val="Calibri"/>
      <family val="2"/>
      <scheme val="minor"/>
    </font>
    <font>
      <sz val="10"/>
      <name val="Arial"/>
      <family val="2"/>
    </font>
    <font>
      <u/>
      <sz val="7"/>
      <color indexed="12"/>
      <name val="Calibri"/>
      <family val="2"/>
      <scheme val="minor"/>
    </font>
    <font>
      <b/>
      <sz val="10"/>
      <name val="Arial"/>
      <family val="2"/>
    </font>
    <font>
      <b/>
      <sz val="10"/>
      <color indexed="10"/>
      <name val="Arial"/>
      <family val="2"/>
    </font>
    <font>
      <u/>
      <sz val="8"/>
      <color theme="10"/>
      <name val="Arial Unicode MS"/>
      <family val="2"/>
    </font>
    <font>
      <sz val="10"/>
      <name val="Arial"/>
      <family val="2"/>
    </font>
    <font>
      <b/>
      <sz val="12"/>
      <color theme="0"/>
      <name val="Calibri"/>
      <family val="2"/>
      <scheme val="minor"/>
    </font>
    <font>
      <sz val="10"/>
      <color theme="0"/>
      <name val="Arial"/>
      <family val="2"/>
    </font>
    <font>
      <b/>
      <sz val="10"/>
      <color theme="0"/>
      <name val="Arial"/>
      <family val="2"/>
    </font>
  </fonts>
  <fills count="1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A0D565"/>
        <bgColor indexed="64"/>
      </patternFill>
    </fill>
    <fill>
      <patternFill patternType="solid">
        <fgColor theme="1" tint="4.9989318521683403E-2"/>
        <bgColor indexed="64"/>
      </patternFill>
    </fill>
    <fill>
      <patternFill patternType="solid">
        <fgColor rgb="FFFFFFFF"/>
        <bgColor rgb="FF000000"/>
      </patternFill>
    </fill>
    <fill>
      <patternFill patternType="solid">
        <fgColor theme="9" tint="0.59999389629810485"/>
        <bgColor indexed="64"/>
      </patternFill>
    </fill>
    <fill>
      <patternFill patternType="solid">
        <fgColor indexed="27"/>
        <bgColor indexed="64"/>
      </patternFill>
    </fill>
    <fill>
      <patternFill patternType="solid">
        <fgColor rgb="FF92D050"/>
        <bgColor indexed="64"/>
      </patternFill>
    </fill>
    <fill>
      <patternFill patternType="solid">
        <fgColor theme="1"/>
        <bgColor indexed="64"/>
      </patternFill>
    </fill>
    <fill>
      <patternFill patternType="solid">
        <fgColor indexed="1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3">
    <xf numFmtId="0" fontId="0" fillId="0" borderId="0"/>
    <xf numFmtId="0" fontId="3" fillId="0" borderId="0"/>
    <xf numFmtId="9" fontId="3" fillId="0" borderId="0" applyFont="0" applyFill="0" applyBorder="0" applyAlignment="0" applyProtection="0"/>
    <xf numFmtId="0" fontId="12" fillId="0" borderId="0"/>
    <xf numFmtId="0" fontId="12" fillId="0" borderId="0" applyNumberFormat="0" applyFill="0" applyBorder="0" applyAlignment="0" applyProtection="0"/>
    <xf numFmtId="0" fontId="12" fillId="0" borderId="0"/>
    <xf numFmtId="0" fontId="12" fillId="0" borderId="0"/>
    <xf numFmtId="0" fontId="12" fillId="0" borderId="0" applyNumberFormat="0" applyFill="0" applyBorder="0" applyAlignment="0" applyProtection="0"/>
    <xf numFmtId="0" fontId="13" fillId="7" borderId="1">
      <alignment horizontal="center"/>
    </xf>
    <xf numFmtId="0" fontId="1" fillId="0" borderId="0"/>
    <xf numFmtId="43" fontId="3" fillId="0" borderId="0" applyFont="0" applyFill="0" applyBorder="0" applyAlignment="0" applyProtection="0"/>
    <xf numFmtId="14" fontId="14" fillId="8" borderId="2">
      <alignment horizontal="center" vertical="center" wrapText="1"/>
    </xf>
    <xf numFmtId="37" fontId="12" fillId="0" borderId="0"/>
    <xf numFmtId="0" fontId="12" fillId="0" borderId="0"/>
    <xf numFmtId="166" fontId="12" fillId="0" borderId="0" applyFont="0" applyFill="0" applyBorder="0" applyAlignment="0" applyProtection="0"/>
    <xf numFmtId="166" fontId="12" fillId="0" borderId="0" applyFont="0" applyFill="0" applyBorder="0" applyAlignment="0" applyProtection="0"/>
    <xf numFmtId="0" fontId="15" fillId="0" borderId="0" applyFill="0" applyBorder="0" applyProtection="0">
      <alignment horizontal="left" vertical="top"/>
    </xf>
    <xf numFmtId="37" fontId="12" fillId="0" borderId="0"/>
    <xf numFmtId="0" fontId="16" fillId="0" borderId="0" applyNumberFormat="0" applyFill="0" applyBorder="0" applyAlignment="0" applyProtection="0"/>
    <xf numFmtId="43" fontId="12" fillId="0" borderId="0" applyFont="0" applyFill="0" applyBorder="0" applyAlignment="0" applyProtection="0"/>
    <xf numFmtId="0" fontId="12" fillId="0" borderId="0"/>
    <xf numFmtId="9" fontId="3" fillId="0" borderId="0" applyFont="0" applyFill="0" applyBorder="0" applyAlignment="0" applyProtection="0"/>
    <xf numFmtId="9" fontId="17" fillId="0" borderId="0" applyFont="0" applyFill="0" applyBorder="0" applyAlignment="0" applyProtection="0"/>
  </cellStyleXfs>
  <cellXfs count="69">
    <xf numFmtId="0" fontId="0" fillId="0" borderId="0" xfId="0" applyAlignment="1">
      <alignment vertical="top"/>
    </xf>
    <xf numFmtId="0" fontId="7" fillId="3" borderId="0" xfId="1" applyFont="1" applyFill="1" applyAlignment="1">
      <alignment vertical="top"/>
    </xf>
    <xf numFmtId="0" fontId="7" fillId="3" borderId="0" xfId="1" applyFont="1" applyFill="1" applyAlignment="1">
      <alignment horizontal="right" vertical="top"/>
    </xf>
    <xf numFmtId="0" fontId="8" fillId="4" borderId="1" xfId="0" applyFont="1" applyFill="1" applyBorder="1" applyAlignment="1">
      <alignment vertical="center"/>
    </xf>
    <xf numFmtId="0" fontId="9" fillId="3" borderId="0" xfId="0" applyFont="1" applyFill="1" applyAlignment="1">
      <alignment vertical="top" wrapText="1"/>
    </xf>
    <xf numFmtId="0" fontId="8" fillId="4" borderId="1" xfId="0" applyFont="1" applyFill="1" applyBorder="1" applyAlignment="1">
      <alignment horizontal="left" vertical="top"/>
    </xf>
    <xf numFmtId="0" fontId="10" fillId="4" borderId="1" xfId="0" applyFont="1" applyFill="1" applyBorder="1" applyAlignment="1">
      <alignment horizontal="left" vertical="top"/>
    </xf>
    <xf numFmtId="0" fontId="9" fillId="0" borderId="1" xfId="0" applyFont="1" applyBorder="1" applyAlignment="1">
      <alignment vertical="top" wrapText="1"/>
    </xf>
    <xf numFmtId="15" fontId="9" fillId="3" borderId="1" xfId="0" applyNumberFormat="1" applyFont="1" applyFill="1" applyBorder="1" applyAlignment="1">
      <alignment horizontal="left" vertical="top" wrapText="1"/>
    </xf>
    <xf numFmtId="0" fontId="10" fillId="4" borderId="1" xfId="0" applyFont="1" applyFill="1" applyBorder="1" applyAlignment="1">
      <alignment vertical="center"/>
    </xf>
    <xf numFmtId="0" fontId="5" fillId="3" borderId="0" xfId="0" applyFont="1" applyFill="1" applyAlignment="1">
      <alignment horizontal="right" indent="1"/>
    </xf>
    <xf numFmtId="0" fontId="5" fillId="3" borderId="0" xfId="0" applyFont="1" applyFill="1" applyAlignment="1">
      <alignment horizontal="right" vertical="top" indent="1"/>
    </xf>
    <xf numFmtId="0" fontId="7" fillId="0" borderId="0" xfId="0" applyFont="1" applyAlignment="1">
      <alignment vertical="top"/>
    </xf>
    <xf numFmtId="0" fontId="7" fillId="0" borderId="1" xfId="0" applyFont="1" applyBorder="1" applyAlignment="1">
      <alignment vertical="top"/>
    </xf>
    <xf numFmtId="0" fontId="2" fillId="3" borderId="0" xfId="0" applyFont="1" applyFill="1"/>
    <xf numFmtId="0" fontId="4" fillId="0" borderId="0" xfId="0" applyFont="1" applyFill="1"/>
    <xf numFmtId="0" fontId="2" fillId="0" borderId="0" xfId="0" applyFont="1" applyFill="1"/>
    <xf numFmtId="165" fontId="7" fillId="0" borderId="0" xfId="0" applyNumberFormat="1" applyFont="1" applyAlignment="1">
      <alignment vertical="top"/>
    </xf>
    <xf numFmtId="0" fontId="6" fillId="5" borderId="0" xfId="0" applyFont="1" applyFill="1" applyAlignment="1">
      <alignment horizontal="center" vertical="top"/>
    </xf>
    <xf numFmtId="0" fontId="1" fillId="3" borderId="0" xfId="0" applyFont="1" applyFill="1"/>
    <xf numFmtId="0" fontId="7" fillId="0" borderId="0" xfId="0" applyFont="1" applyBorder="1" applyAlignment="1">
      <alignment vertical="top"/>
    </xf>
    <xf numFmtId="0" fontId="6" fillId="5" borderId="3" xfId="0" applyFont="1" applyFill="1" applyBorder="1" applyAlignment="1">
      <alignment horizontal="center" vertical="top"/>
    </xf>
    <xf numFmtId="165" fontId="0" fillId="0" borderId="3" xfId="0" applyNumberFormat="1" applyBorder="1" applyAlignment="1">
      <alignment vertical="top"/>
    </xf>
    <xf numFmtId="165" fontId="6" fillId="5" borderId="3" xfId="0" applyNumberFormat="1" applyFont="1" applyFill="1" applyBorder="1" applyAlignment="1">
      <alignment horizontal="right" vertical="top"/>
    </xf>
    <xf numFmtId="9" fontId="7" fillId="0" borderId="1" xfId="22" applyFont="1" applyBorder="1" applyAlignment="1">
      <alignment vertical="top"/>
    </xf>
    <xf numFmtId="0" fontId="9" fillId="3" borderId="1" xfId="0" applyFont="1" applyFill="1" applyBorder="1" applyAlignment="1">
      <alignment vertical="top" wrapText="1"/>
    </xf>
    <xf numFmtId="0" fontId="4" fillId="3" borderId="0" xfId="0" applyFont="1" applyFill="1"/>
    <xf numFmtId="0" fontId="0" fillId="3" borderId="0" xfId="0" applyFill="1" applyAlignment="1">
      <alignment vertical="top"/>
    </xf>
    <xf numFmtId="0" fontId="8" fillId="9" borderId="1" xfId="0" applyFont="1" applyFill="1" applyBorder="1" applyAlignment="1">
      <alignment vertical="center"/>
    </xf>
    <xf numFmtId="0" fontId="8" fillId="9" borderId="1" xfId="0" applyFont="1" applyFill="1" applyBorder="1" applyAlignment="1">
      <alignment horizontal="left" vertical="top"/>
    </xf>
    <xf numFmtId="0" fontId="10" fillId="9" borderId="1" xfId="0" applyFont="1" applyFill="1" applyBorder="1" applyAlignment="1">
      <alignment horizontal="left" vertical="top"/>
    </xf>
    <xf numFmtId="0" fontId="10" fillId="9" borderId="1" xfId="0" applyFont="1" applyFill="1" applyBorder="1" applyAlignment="1">
      <alignment vertical="center"/>
    </xf>
    <xf numFmtId="0" fontId="7" fillId="0" borderId="0" xfId="20" applyFont="1" applyFill="1" applyBorder="1" applyAlignment="1" applyProtection="1">
      <alignment horizontal="left" vertical="center" wrapText="1"/>
      <protection locked="0"/>
    </xf>
    <xf numFmtId="164" fontId="9" fillId="3" borderId="1" xfId="0" applyNumberFormat="1" applyFont="1" applyFill="1" applyBorder="1" applyAlignment="1">
      <alignment horizontal="left" vertical="top" wrapText="1"/>
    </xf>
    <xf numFmtId="0" fontId="7" fillId="3" borderId="0" xfId="0" applyFont="1" applyFill="1" applyAlignment="1">
      <alignment horizontal="left" vertical="top" wrapText="1"/>
    </xf>
    <xf numFmtId="0" fontId="5" fillId="3" borderId="0" xfId="0" applyFont="1" applyFill="1" applyAlignment="1">
      <alignment horizontal="center" vertical="center"/>
    </xf>
    <xf numFmtId="0" fontId="2" fillId="3" borderId="2" xfId="0" applyFont="1" applyFill="1" applyBorder="1" applyAlignment="1">
      <alignment horizontal="center" vertical="center"/>
    </xf>
    <xf numFmtId="0" fontId="9" fillId="3" borderId="1" xfId="0" applyFont="1" applyFill="1" applyBorder="1" applyAlignment="1">
      <alignment horizontal="left" vertical="top" wrapText="1"/>
    </xf>
    <xf numFmtId="0" fontId="9" fillId="3" borderId="3" xfId="0" applyFont="1" applyFill="1" applyBorder="1" applyAlignment="1">
      <alignment horizontal="left" vertical="top" wrapText="1"/>
    </xf>
    <xf numFmtId="0" fontId="9" fillId="3" borderId="5" xfId="0" applyFont="1" applyFill="1" applyBorder="1" applyAlignment="1">
      <alignment horizontal="left" vertical="top" wrapText="1"/>
    </xf>
    <xf numFmtId="0" fontId="9" fillId="3" borderId="4" xfId="0" applyFont="1" applyFill="1" applyBorder="1" applyAlignment="1">
      <alignment horizontal="left" vertical="top" wrapText="1"/>
    </xf>
    <xf numFmtId="4" fontId="20" fillId="10" borderId="0" xfId="0" applyNumberFormat="1" applyFont="1" applyFill="1" applyAlignment="1">
      <alignment vertical="top"/>
    </xf>
    <xf numFmtId="0" fontId="12" fillId="0" borderId="0" xfId="20" applyAlignment="1">
      <alignment vertical="top"/>
    </xf>
    <xf numFmtId="3" fontId="12" fillId="11" borderId="1" xfId="20" applyNumberFormat="1" applyFill="1" applyBorder="1" applyAlignment="1">
      <alignment horizontal="right" vertical="top"/>
    </xf>
    <xf numFmtId="0" fontId="12" fillId="11" borderId="1" xfId="20" applyFill="1" applyBorder="1" applyAlignment="1">
      <alignment vertical="top"/>
    </xf>
    <xf numFmtId="14" fontId="12" fillId="11" borderId="1" xfId="20" applyNumberFormat="1" applyFill="1" applyBorder="1" applyAlignment="1">
      <alignment horizontal="right" vertical="top"/>
    </xf>
    <xf numFmtId="4" fontId="12" fillId="11" borderId="1" xfId="20" applyNumberFormat="1" applyFill="1" applyBorder="1" applyAlignment="1">
      <alignment horizontal="right" vertical="top"/>
    </xf>
    <xf numFmtId="4" fontId="12" fillId="0" borderId="0" xfId="20" applyNumberFormat="1" applyAlignment="1">
      <alignment horizontal="right" vertical="top"/>
    </xf>
    <xf numFmtId="14" fontId="12" fillId="0" borderId="0" xfId="20" applyNumberFormat="1" applyAlignment="1">
      <alignment horizontal="right" vertical="top"/>
    </xf>
    <xf numFmtId="0" fontId="12" fillId="0" borderId="0" xfId="20" applyAlignment="1">
      <alignment vertical="top" indent="2"/>
    </xf>
    <xf numFmtId="0" fontId="12" fillId="2" borderId="1" xfId="20" applyFill="1" applyBorder="1" applyAlignment="1">
      <alignment vertical="top" wrapText="1"/>
    </xf>
    <xf numFmtId="0" fontId="12" fillId="2" borderId="1" xfId="20" applyFill="1" applyBorder="1" applyAlignment="1">
      <alignment vertical="top"/>
    </xf>
    <xf numFmtId="0" fontId="7" fillId="0" borderId="1" xfId="0" applyFont="1" applyBorder="1" applyAlignment="1">
      <alignment horizontal="left" vertical="top"/>
    </xf>
    <xf numFmtId="0" fontId="6" fillId="10" borderId="0" xfId="0" applyFont="1" applyFill="1" applyAlignment="1">
      <alignment vertical="top"/>
    </xf>
    <xf numFmtId="0" fontId="18" fillId="5" borderId="0" xfId="0" applyFont="1" applyFill="1" applyAlignment="1">
      <alignment horizontal="center" vertical="top"/>
    </xf>
    <xf numFmtId="0" fontId="8" fillId="6" borderId="6" xfId="0" applyFont="1" applyFill="1" applyBorder="1" applyAlignment="1">
      <alignment horizontal="right" vertical="center"/>
    </xf>
    <xf numFmtId="0" fontId="1" fillId="0" borderId="7" xfId="1" applyFont="1" applyFill="1" applyBorder="1" applyAlignment="1" applyProtection="1">
      <alignment horizontal="left" vertical="center" wrapText="1"/>
      <protection locked="0"/>
    </xf>
    <xf numFmtId="0" fontId="7" fillId="0" borderId="8" xfId="0" applyFont="1" applyBorder="1" applyAlignment="1">
      <alignment vertical="top"/>
    </xf>
    <xf numFmtId="0" fontId="8" fillId="6" borderId="9" xfId="0" applyFont="1" applyFill="1" applyBorder="1" applyAlignment="1">
      <alignment horizontal="right" vertical="center" indent="1"/>
    </xf>
    <xf numFmtId="0" fontId="7" fillId="0" borderId="10" xfId="20" applyFont="1" applyFill="1" applyBorder="1" applyAlignment="1" applyProtection="1">
      <alignment horizontal="left" vertical="center" wrapText="1"/>
      <protection locked="0"/>
    </xf>
    <xf numFmtId="0" fontId="8" fillId="6" borderId="11" xfId="0" applyFont="1" applyFill="1" applyBorder="1" applyAlignment="1">
      <alignment horizontal="right" indent="1"/>
    </xf>
    <xf numFmtId="0" fontId="11" fillId="6" borderId="2" xfId="0" applyFont="1" applyFill="1" applyBorder="1"/>
    <xf numFmtId="0" fontId="11" fillId="0" borderId="2" xfId="0" applyFont="1" applyBorder="1"/>
    <xf numFmtId="0" fontId="7" fillId="0" borderId="12" xfId="0" applyFont="1" applyBorder="1" applyAlignment="1">
      <alignment vertical="top"/>
    </xf>
    <xf numFmtId="0" fontId="19" fillId="10" borderId="1" xfId="0" applyFont="1" applyFill="1" applyBorder="1" applyAlignment="1">
      <alignment vertical="top"/>
    </xf>
    <xf numFmtId="165" fontId="0" fillId="3" borderId="1" xfId="0" applyNumberFormat="1" applyFill="1" applyBorder="1" applyAlignment="1">
      <alignment horizontal="left" vertical="top"/>
    </xf>
    <xf numFmtId="165" fontId="0" fillId="3" borderId="1" xfId="0" applyNumberFormat="1" applyFill="1" applyBorder="1" applyAlignment="1">
      <alignment vertical="top"/>
    </xf>
    <xf numFmtId="0" fontId="19" fillId="10" borderId="1" xfId="0" applyFont="1" applyFill="1" applyBorder="1" applyAlignment="1">
      <alignment horizontal="left" vertical="top"/>
    </xf>
    <xf numFmtId="165" fontId="19" fillId="10" borderId="1" xfId="0" applyNumberFormat="1" applyFont="1" applyFill="1" applyBorder="1" applyAlignment="1">
      <alignment vertical="top"/>
    </xf>
  </cellXfs>
  <cellStyles count="23">
    <cellStyle name="Comma 2" xfId="19" xr:uid="{8A119C01-47D8-4051-BBF1-A19AB49462CF}"/>
    <cellStyle name="Comma 3" xfId="10" xr:uid="{C1953261-EF7F-49E5-9121-65097464C2F0}"/>
    <cellStyle name="Heading" xfId="11" xr:uid="{0A49D487-FD82-44C6-9769-74E113194A09}"/>
    <cellStyle name="Hyperlink 2" xfId="18" xr:uid="{882EC9D6-AD80-4412-B5A6-98C070CDB037}"/>
    <cellStyle name="Nor}al 2" xfId="7" xr:uid="{915187F5-D6B4-4AD5-B468-308E55E9F9BC}"/>
    <cellStyle name="Normal" xfId="0" builtinId="0"/>
    <cellStyle name="Normal 14" xfId="9" xr:uid="{6EEA6B32-EA46-4D91-850A-9EE7572921AD}"/>
    <cellStyle name="Normal 2" xfId="1" xr:uid="{81A8A521-4435-483D-ABA5-7808A2FA7EC8}"/>
    <cellStyle name="Normal 2 10" xfId="20" xr:uid="{7B0D6599-E2FC-46F3-9C93-8E9A4A23F118}"/>
    <cellStyle name="Normal 2 2" xfId="17" xr:uid="{4E7961EC-7B9B-434C-93C9-F2211A879CB4}"/>
    <cellStyle name="Normal 2 2 10 2" xfId="6" xr:uid="{E900B807-AC57-481A-B6FF-59EC53C21D69}"/>
    <cellStyle name="Normal 2 3" xfId="12" xr:uid="{183A5A88-2295-4D67-9094-6047744237AA}"/>
    <cellStyle name="Normal 2 4" xfId="3" xr:uid="{708E5315-7081-4C4A-83EB-1BE44B6FCC45}"/>
    <cellStyle name="Normal 3" xfId="13" xr:uid="{5FF6381D-B50F-4D14-9CE7-977C5B767A17}"/>
    <cellStyle name="Normal 3 3" xfId="5" xr:uid="{FEEDE5B1-ACC3-4D01-9975-08E3AEE6EBED}"/>
    <cellStyle name="Normal 4" xfId="4" xr:uid="{DD16C884-6C90-4E9E-A38C-3F4B1896273F}"/>
    <cellStyle name="Note Links" xfId="8" xr:uid="{B5890665-B63F-4322-A582-0A3E9EF27890}"/>
    <cellStyle name="Percent" xfId="22" builtinId="5"/>
    <cellStyle name="Percent (0)" xfId="14" xr:uid="{5E9B4563-85E4-4A25-857A-E1CB6858D832}"/>
    <cellStyle name="Percent (0) 2" xfId="15" xr:uid="{FBED8C93-8FFC-4A6D-9615-C79FD31F5FBF}"/>
    <cellStyle name="Percent 2" xfId="2" xr:uid="{092D6E51-4872-43AC-807B-64161B53E386}"/>
    <cellStyle name="Percent 3" xfId="21" xr:uid="{C2395DD4-1817-44FD-A9E0-35CC4FED4CC2}"/>
    <cellStyle name="Tickmark" xfId="16" xr:uid="{23F945B8-0C2A-4F82-85A8-807B3BA5B7D5}"/>
  </cellStyles>
  <dxfs count="11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 #,##0.0_);_(* \(#,##0.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_(* #,##0_);_(* \(#,##0\);_(* &quot;-&quot;??_);_(@_)"/>
    </dxf>
    <dxf>
      <numFmt numFmtId="165" formatCode="_(* #,##0_);_(* \(#,##0\);_(* &quot;-&quot;??_);_(@_)"/>
    </dxf>
    <dxf>
      <font>
        <color theme="0"/>
      </font>
    </dxf>
    <dxf>
      <font>
        <color theme="0"/>
      </font>
    </dxf>
    <dxf>
      <font>
        <color theme="0"/>
      </font>
    </dxf>
    <dxf>
      <font>
        <color theme="0"/>
      </font>
    </dxf>
    <dxf>
      <numFmt numFmtId="167" formatCode="_(* #,##0.0_);_(* \(#,##0.0\);_(* &quot;-&quot;??_);_(@_)"/>
    </dxf>
    <dxf>
      <numFmt numFmtId="35" formatCode="_(* #,##0.00_);_(* \(#,##0.00\);_(* &quot;-&quot;??_);_(@_)"/>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_(* #,##0_);_(* \(#,##0\);_(* &quot;-&quot;??_);_(@_)"/>
    </dxf>
    <dxf>
      <numFmt numFmtId="165" formatCode="_(* #,##0_);_(* \(#,##0\);_(* &quot;-&quot;??_);_(@_)"/>
    </dxf>
    <dxf>
      <font>
        <color theme="0"/>
      </font>
    </dxf>
    <dxf>
      <font>
        <color theme="0"/>
      </font>
    </dxf>
    <dxf>
      <font>
        <color theme="0"/>
      </font>
    </dxf>
    <dxf>
      <font>
        <color theme="0"/>
      </font>
    </dxf>
    <dxf>
      <numFmt numFmtId="35" formatCode="_(* #,##0.00_);_(* \(#,##0.00\);_(* &quot;-&quot;??_);_(@_)"/>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_(* #,##0_);_(* \(#,##0\);_(* &quot;-&quot;??_);_(@_)"/>
    </dxf>
    <dxf>
      <numFmt numFmtId="165" formatCode="_(* #,##0_);_(* \(#,##0\);_(* &quot;-&quot;??_);_(@_)"/>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numFmt numFmtId="165" formatCode="_(* #,##0_);_(* \(#,##0\);_(* &quot;-&quot;??_);_(@_)"/>
    </dxf>
    <dxf>
      <numFmt numFmtId="165" formatCode="_(* #,##0_);_(* \(#,##0\);_(* &quot;-&quot;??_);_(@_)"/>
    </dxf>
    <dxf>
      <font>
        <sz val="11"/>
      </font>
    </dxf>
    <dxf>
      <font>
        <sz val="12"/>
      </font>
    </dxf>
    <dxf>
      <border>
        <left style="thin">
          <color indexed="64"/>
        </left>
        <top style="thin">
          <color indexed="64"/>
        </top>
        <vertical style="thin">
          <color indexed="64"/>
        </vertical>
        <horizontal style="thin">
          <color indexed="64"/>
        </horizontal>
      </border>
    </dxf>
    <dxf>
      <font>
        <sz val="11"/>
      </font>
    </dxf>
    <dxf>
      <font>
        <sz val="12"/>
      </font>
    </dxf>
    <dxf>
      <font>
        <name val="Calibri"/>
        <family val="2"/>
        <scheme val="minor"/>
      </font>
    </dxf>
    <dxf>
      <numFmt numFmtId="167" formatCode="_(* #,##0.0_);_(* \(#,##0.0\);_(* &quot;-&quot;??_);_(@_)"/>
    </dxf>
    <dxf>
      <numFmt numFmtId="165" formatCode="_(* #,##0_);_(* \(#,##0\);_(* &quot;-&quot;??_);_(@_)"/>
    </dxf>
    <dxf>
      <numFmt numFmtId="35" formatCode="_(* #,##0.00_);_(* \(#,##0.00\);_(* &quot;-&quot;??_);_(@_)"/>
    </dxf>
    <dxf>
      <font>
        <name val="Calibri"/>
        <scheme val="minor"/>
      </font>
    </dxf>
    <dxf>
      <font>
        <color theme="0"/>
      </font>
    </dxf>
    <dxf>
      <fill>
        <patternFill patternType="solid">
          <bgColor theme="1"/>
        </patternFill>
      </fill>
    </dxf>
    <dxf>
      <font>
        <sz val="12"/>
        <color theme="0"/>
        <name val="Calibri"/>
        <family val="2"/>
        <scheme val="minor"/>
      </font>
      <fill>
        <patternFill patternType="solid">
          <fgColor indexed="64"/>
          <bgColor theme="1" tint="4.9989318521683403E-2"/>
        </patternFill>
      </fill>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sz val="12"/>
        <color theme="0"/>
        <name val="Calibri"/>
        <family val="2"/>
        <scheme val="minor"/>
      </font>
      <fill>
        <patternFill patternType="solid">
          <fgColor indexed="64"/>
          <bgColor theme="1" tint="4.9989318521683403E-2"/>
        </patternFill>
      </fill>
      <alignment horizontal="center"/>
    </dxf>
    <dxf>
      <font>
        <sz val="12"/>
        <color theme="0"/>
        <name val="Calibri"/>
        <family val="2"/>
        <scheme val="minor"/>
      </font>
      <fill>
        <patternFill patternType="solid">
          <fgColor indexed="64"/>
          <bgColor theme="1" tint="4.9989318521683403E-2"/>
        </patternFill>
      </fill>
      <alignment horizontal="center"/>
    </dxf>
    <dxf>
      <alignment horizontal="right"/>
    </dxf>
    <dxf>
      <numFmt numFmtId="165" formatCode="_(* #,##0_);_(* \(#,##0\);_(* &quot;-&quot;??_);_(@_)"/>
    </dxf>
    <dxf>
      <font>
        <sz val="12"/>
        <color theme="0"/>
        <name val="Calibri"/>
        <family val="2"/>
        <scheme val="minor"/>
      </font>
      <fill>
        <patternFill patternType="solid">
          <fgColor indexed="64"/>
          <bgColor theme="1" tint="4.9989318521683403E-2"/>
        </patternFill>
      </fill>
      <alignment horizontal="center"/>
    </dxf>
    <dxf>
      <font>
        <sz val="12"/>
        <color theme="0"/>
        <name val="Calibri"/>
        <family val="2"/>
        <scheme val="minor"/>
      </font>
      <fill>
        <patternFill patternType="solid">
          <fgColor indexed="64"/>
          <bgColor theme="1" tint="4.9989318521683403E-2"/>
        </patternFill>
      </fill>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sz val="12"/>
        <color theme="0"/>
        <name val="Calibri"/>
        <family val="2"/>
        <scheme val="minor"/>
      </font>
      <fill>
        <patternFill patternType="solid">
          <fgColor indexed="64"/>
          <bgColor theme="1" tint="4.9989318521683403E-2"/>
        </patternFill>
      </fill>
      <alignment horizontal="center"/>
    </dxf>
    <dxf>
      <font>
        <sz val="12"/>
        <color theme="0"/>
        <name val="Calibri"/>
        <family val="2"/>
        <scheme val="minor"/>
      </font>
      <fill>
        <patternFill patternType="solid">
          <fgColor indexed="64"/>
          <bgColor theme="1" tint="4.9989318521683403E-2"/>
        </patternFill>
      </fill>
      <alignment horizontal="center"/>
    </dxf>
    <dxf>
      <alignment horizontal="righ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numFmt numFmtId="165" formatCode="_(* #,##0_);_(* \(#,##0\);_(* &quot;-&quot;??_);_(@_)"/>
    </dxf>
    <dxf>
      <alignment horizontal="right"/>
    </dxf>
    <dxf>
      <font>
        <sz val="12"/>
        <color theme="0"/>
        <name val="Calibri"/>
        <family val="2"/>
        <scheme val="minor"/>
      </font>
      <fill>
        <patternFill patternType="solid">
          <fgColor indexed="64"/>
          <bgColor theme="1" tint="4.9989318521683403E-2"/>
        </patternFill>
      </fill>
      <alignment horizontal="center"/>
    </dxf>
    <dxf>
      <font>
        <sz val="12"/>
        <color theme="0"/>
        <name val="Calibri"/>
        <family val="2"/>
        <scheme val="minor"/>
      </font>
      <fill>
        <patternFill patternType="solid">
          <fgColor indexed="64"/>
          <bgColor theme="1" tint="4.9989318521683403E-2"/>
        </patternFill>
      </fill>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sz val="12"/>
        <color theme="0"/>
        <name val="Calibri"/>
        <family val="2"/>
        <scheme val="minor"/>
      </font>
      <fill>
        <patternFill patternType="solid">
          <fgColor indexed="64"/>
          <bgColor theme="1" tint="4.9989318521683403E-2"/>
        </patternFill>
      </fill>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[LP 300 Loan from Promoter Analysis.XLSX]LFP 300 Monthly Analysis!PivotTable7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Trend Analysis on Loan from Promoter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'LFP 300 Monthly Analysis'!$B$18</c:f>
              <c:strCache>
                <c:ptCount val="1"/>
                <c:pt idx="0">
                  <c:v>Total</c:v>
                </c:pt>
              </c:strCache>
            </c:strRef>
          </c:tx>
          <c:spPr>
            <a:solidFill>
              <a:srgbClr val="92D050"/>
            </a:solidFill>
            <a:ln>
              <a:noFill/>
            </a:ln>
            <a:effectLst/>
          </c:spPr>
          <c:invertIfNegative val="0"/>
          <c:trendline>
            <c:spPr>
              <a:ln w="19050" cap="rnd">
                <a:solidFill>
                  <a:srgbClr val="FF0000"/>
                </a:solidFill>
                <a:prstDash val="solid"/>
              </a:ln>
              <a:effectLst/>
            </c:spPr>
            <c:trendlineType val="linear"/>
            <c:dispRSqr val="0"/>
            <c:dispEq val="0"/>
          </c:trendline>
          <c:cat>
            <c:strRef>
              <c:f>'LFP 300 Monthly Analysis'!$A$19:$A$23</c:f>
              <c:strCache>
                <c:ptCount val="4"/>
                <c:pt idx="0">
                  <c:v>Mar</c:v>
                </c:pt>
                <c:pt idx="1">
                  <c:v>Jun</c:v>
                </c:pt>
                <c:pt idx="2">
                  <c:v>Nov</c:v>
                </c:pt>
                <c:pt idx="3">
                  <c:v>Dec</c:v>
                </c:pt>
              </c:strCache>
            </c:strRef>
          </c:cat>
          <c:val>
            <c:numRef>
              <c:f>'LFP 300 Monthly Analysis'!$B$19:$B$23</c:f>
              <c:numCache>
                <c:formatCode>_(* #,##0_);_(* \(#,##0\);_(* "-"??_);_(@_)</c:formatCode>
                <c:ptCount val="4"/>
                <c:pt idx="0">
                  <c:v>104913.13</c:v>
                </c:pt>
                <c:pt idx="1">
                  <c:v>-1000000</c:v>
                </c:pt>
                <c:pt idx="2">
                  <c:v>104913.13</c:v>
                </c:pt>
                <c:pt idx="3">
                  <c:v>104913.13</c:v>
                </c:pt>
              </c:numCache>
            </c:numRef>
          </c:val>
          <c:extLst>
            <c:ext xmlns:c16="http://schemas.microsoft.com/office/drawing/2014/chart" uri="{C3380CC4-5D6E-409C-BE32-E72D297353CC}">
              <c16:uniqueId val="{00000002-9658-40C4-82FA-286C53191295}"/>
            </c:ext>
          </c:extLst>
        </c:ser>
        <c:dLbls>
          <c:showLegendKey val="0"/>
          <c:showVal val="0"/>
          <c:showCatName val="0"/>
          <c:showSerName val="0"/>
          <c:showPercent val="0"/>
          <c:showBubbleSize val="0"/>
        </c:dLbls>
        <c:gapWidth val="219"/>
        <c:overlap val="-27"/>
        <c:axId val="1966038399"/>
        <c:axId val="1966032991"/>
      </c:barChart>
      <c:catAx>
        <c:axId val="19660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6032991"/>
        <c:crosses val="autoZero"/>
        <c:auto val="1"/>
        <c:lblAlgn val="ctr"/>
        <c:lblOffset val="100"/>
        <c:noMultiLvlLbl val="0"/>
      </c:catAx>
      <c:valAx>
        <c:axId val="19660329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6038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[LP 300 Loan from Promoter Analysis.XLSX]Horizontal LFP Analysis!PivotTable1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Loan from Promoter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'Horizontal LFP Analysis'!$B$18</c:f>
              <c:strCache>
                <c:ptCount val="1"/>
                <c:pt idx="0">
                  <c:v>Total</c:v>
                </c:pt>
              </c:strCache>
            </c:strRef>
          </c:tx>
          <c:spPr>
            <a:solidFill>
              <a:srgbClr val="92D050"/>
            </a:solidFill>
            <a:ln>
              <a:noFill/>
            </a:ln>
            <a:effectLst/>
          </c:spPr>
          <c:invertIfNegative val="0"/>
          <c:cat>
            <c:strRef>
              <c:f>'Horizontal LFP Analysis'!$A$19:$A$27</c:f>
              <c:strCache>
                <c:ptCount val="8"/>
                <c:pt idx="0">
                  <c:v>2014</c:v>
                </c:pt>
                <c:pt idx="1">
                  <c:v>2015</c:v>
                </c:pt>
                <c:pt idx="2">
                  <c:v>2016</c:v>
                </c:pt>
                <c:pt idx="3">
                  <c:v>2017</c:v>
                </c:pt>
                <c:pt idx="4">
                  <c:v>2018</c:v>
                </c:pt>
                <c:pt idx="5">
                  <c:v>2019</c:v>
                </c:pt>
                <c:pt idx="6">
                  <c:v>2020</c:v>
                </c:pt>
                <c:pt idx="7">
                  <c:v>2021</c:v>
                </c:pt>
              </c:strCache>
            </c:strRef>
          </c:cat>
          <c:val>
            <c:numRef>
              <c:f>'Horizontal LFP Analysis'!$B$19:$B$27</c:f>
              <c:numCache>
                <c:formatCode>_(* #,##0_);_(* \(#,##0\);_(* "-"??_);_(@_)</c:formatCode>
                <c:ptCount val="8"/>
                <c:pt idx="0">
                  <c:v>-3252306.83</c:v>
                </c:pt>
                <c:pt idx="1">
                  <c:v>380504.39</c:v>
                </c:pt>
                <c:pt idx="2">
                  <c:v>314739.43</c:v>
                </c:pt>
                <c:pt idx="3">
                  <c:v>419652.52</c:v>
                </c:pt>
                <c:pt idx="4">
                  <c:v>314739.39</c:v>
                </c:pt>
                <c:pt idx="5">
                  <c:v>524565.65</c:v>
                </c:pt>
                <c:pt idx="6">
                  <c:v>524565.65</c:v>
                </c:pt>
                <c:pt idx="7">
                  <c:v>-895086.87</c:v>
                </c:pt>
              </c:numCache>
            </c:numRef>
          </c:val>
          <c:extLst>
            <c:ext xmlns:c16="http://schemas.microsoft.com/office/drawing/2014/chart" uri="{C3380CC4-5D6E-409C-BE32-E72D297353CC}">
              <c16:uniqueId val="{00000000-05A3-4B67-A477-F55C2ECABD27}"/>
            </c:ext>
          </c:extLst>
        </c:ser>
        <c:dLbls>
          <c:showLegendKey val="0"/>
          <c:showVal val="0"/>
          <c:showCatName val="0"/>
          <c:showSerName val="0"/>
          <c:showPercent val="0"/>
          <c:showBubbleSize val="0"/>
        </c:dLbls>
        <c:gapWidth val="219"/>
        <c:overlap val="-27"/>
        <c:axId val="747526127"/>
        <c:axId val="961064431"/>
      </c:barChart>
      <c:catAx>
        <c:axId val="7475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064431"/>
        <c:crosses val="autoZero"/>
        <c:auto val="1"/>
        <c:lblAlgn val="ctr"/>
        <c:lblOffset val="100"/>
        <c:noMultiLvlLbl val="0"/>
      </c:catAx>
      <c:valAx>
        <c:axId val="9610644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7526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4</xdr:col>
      <xdr:colOff>533400</xdr:colOff>
      <xdr:row>15</xdr:row>
      <xdr:rowOff>133350</xdr:rowOff>
    </xdr:from>
    <xdr:to>
      <xdr:col>13</xdr:col>
      <xdr:colOff>476250</xdr:colOff>
      <xdr:row>28</xdr:row>
      <xdr:rowOff>85725</xdr:rowOff>
    </xdr:to>
    <xdr:graphicFrame macro="">
      <xdr:nvGraphicFramePr>
        <xdr:cNvPr id="2" name="Chart 1">
          <a:extLst>
            <a:ext uri="{FF2B5EF4-FFF2-40B4-BE49-F238E27FC236}">
              <a16:creationId xmlns:a16="http://schemas.microsoft.com/office/drawing/2014/main" id="{D2F2EF22-FB32-4938-AF56-43DCE4D28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17</xdr:row>
      <xdr:rowOff>15875</xdr:rowOff>
    </xdr:from>
    <xdr:to>
      <xdr:col>13</xdr:col>
      <xdr:colOff>390525</xdr:colOff>
      <xdr:row>33</xdr:row>
      <xdr:rowOff>142875</xdr:rowOff>
    </xdr:to>
    <xdr:graphicFrame macro="">
      <xdr:nvGraphicFramePr>
        <xdr:cNvPr id="2" name="Chart 1">
          <a:extLst>
            <a:ext uri="{FF2B5EF4-FFF2-40B4-BE49-F238E27FC236}">
              <a16:creationId xmlns:a16="http://schemas.microsoft.com/office/drawing/2014/main" id="{CDC20B0B-FDD3-4D54-B5BF-908D3CD92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152400</xdr:colOff>
      <xdr:row>1</xdr:row>
      <xdr:rowOff>133350</xdr:rowOff>
    </xdr:to>
    <xdr:pic>
      <xdr:nvPicPr>
        <xdr:cNvPr id="2" name="Picture@5C\Qopen@" descr="@5C\Qopen@">
          <a:extLst>
            <a:ext uri="{FF2B5EF4-FFF2-40B4-BE49-F238E27FC236}">
              <a16:creationId xmlns:a16="http://schemas.microsoft.com/office/drawing/2014/main" id="{9C426FDC-F863-42DF-A94C-7EBE6F90C271}"/>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19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3" name="Picture@5C\Qopen@" descr="@5C\Qopen@">
          <a:extLst>
            <a:ext uri="{FF2B5EF4-FFF2-40B4-BE49-F238E27FC236}">
              <a16:creationId xmlns:a16="http://schemas.microsoft.com/office/drawing/2014/main" id="{3422E574-4549-49A7-9FC4-0FEE24AFB20C}"/>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238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4" name="Picture@5C\Qopen@" descr="@5C\Qopen@">
          <a:extLst>
            <a:ext uri="{FF2B5EF4-FFF2-40B4-BE49-F238E27FC236}">
              <a16:creationId xmlns:a16="http://schemas.microsoft.com/office/drawing/2014/main" id="{7D5A02B5-209C-4810-845E-3A07C53A2FC4}"/>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857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5" name="Picture@5C\Qopen@" descr="@5C\Qopen@">
          <a:extLst>
            <a:ext uri="{FF2B5EF4-FFF2-40B4-BE49-F238E27FC236}">
              <a16:creationId xmlns:a16="http://schemas.microsoft.com/office/drawing/2014/main" id="{5EE54567-609B-4402-AA99-95841ECAB9E3}"/>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47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6" name="Picture@5C\Qopen@" descr="@5C\Qopen@">
          <a:extLst>
            <a:ext uri="{FF2B5EF4-FFF2-40B4-BE49-F238E27FC236}">
              <a16:creationId xmlns:a16="http://schemas.microsoft.com/office/drawing/2014/main" id="{041C6BAE-8568-4EAA-88A3-471E0817144A}"/>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096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7" name="Picture@5C\Qopen@" descr="@5C\Qopen@">
          <a:extLst>
            <a:ext uri="{FF2B5EF4-FFF2-40B4-BE49-F238E27FC236}">
              <a16:creationId xmlns:a16="http://schemas.microsoft.com/office/drawing/2014/main" id="{34E0CDD4-5C8D-43E4-8B16-4ED506B573B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715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xdr:row>
      <xdr:rowOff>0</xdr:rowOff>
    </xdr:from>
    <xdr:to>
      <xdr:col>0</xdr:col>
      <xdr:colOff>152400</xdr:colOff>
      <xdr:row>7</xdr:row>
      <xdr:rowOff>133350</xdr:rowOff>
    </xdr:to>
    <xdr:pic>
      <xdr:nvPicPr>
        <xdr:cNvPr id="8" name="Picture@5C\Qopen@" descr="@5C\Qopen@">
          <a:extLst>
            <a:ext uri="{FF2B5EF4-FFF2-40B4-BE49-F238E27FC236}">
              <a16:creationId xmlns:a16="http://schemas.microsoft.com/office/drawing/2014/main" id="{5DC59506-2361-4D90-86C6-B3E86EE5337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334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xdr:row>
      <xdr:rowOff>0</xdr:rowOff>
    </xdr:from>
    <xdr:to>
      <xdr:col>0</xdr:col>
      <xdr:colOff>152400</xdr:colOff>
      <xdr:row>8</xdr:row>
      <xdr:rowOff>133350</xdr:rowOff>
    </xdr:to>
    <xdr:pic>
      <xdr:nvPicPr>
        <xdr:cNvPr id="9" name="Picture@5C\Qopen@" descr="@5C\Qopen@">
          <a:extLst>
            <a:ext uri="{FF2B5EF4-FFF2-40B4-BE49-F238E27FC236}">
              <a16:creationId xmlns:a16="http://schemas.microsoft.com/office/drawing/2014/main" id="{C5C88B46-16FC-4C61-BC48-CC5B5BC5863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95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xdr:row>
      <xdr:rowOff>0</xdr:rowOff>
    </xdr:from>
    <xdr:to>
      <xdr:col>0</xdr:col>
      <xdr:colOff>152400</xdr:colOff>
      <xdr:row>9</xdr:row>
      <xdr:rowOff>133350</xdr:rowOff>
    </xdr:to>
    <xdr:pic>
      <xdr:nvPicPr>
        <xdr:cNvPr id="10" name="Picture@5C\Qopen@" descr="@5C\Qopen@">
          <a:extLst>
            <a:ext uri="{FF2B5EF4-FFF2-40B4-BE49-F238E27FC236}">
              <a16:creationId xmlns:a16="http://schemas.microsoft.com/office/drawing/2014/main" id="{10EEC8D8-51CC-4DFD-A16A-4F55B02EF9F6}"/>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573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xdr:row>
      <xdr:rowOff>0</xdr:rowOff>
    </xdr:from>
    <xdr:to>
      <xdr:col>0</xdr:col>
      <xdr:colOff>152400</xdr:colOff>
      <xdr:row>10</xdr:row>
      <xdr:rowOff>133350</xdr:rowOff>
    </xdr:to>
    <xdr:pic>
      <xdr:nvPicPr>
        <xdr:cNvPr id="11" name="Picture@5C\Qopen@" descr="@5C\Qopen@">
          <a:extLst>
            <a:ext uri="{FF2B5EF4-FFF2-40B4-BE49-F238E27FC236}">
              <a16:creationId xmlns:a16="http://schemas.microsoft.com/office/drawing/2014/main" id="{E5593A64-082F-4DB5-93F5-22E8784B713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192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xdr:row>
      <xdr:rowOff>0</xdr:rowOff>
    </xdr:from>
    <xdr:to>
      <xdr:col>0</xdr:col>
      <xdr:colOff>152400</xdr:colOff>
      <xdr:row>11</xdr:row>
      <xdr:rowOff>133350</xdr:rowOff>
    </xdr:to>
    <xdr:pic>
      <xdr:nvPicPr>
        <xdr:cNvPr id="12" name="Picture@5C\Qopen@" descr="@5C\Qopen@">
          <a:extLst>
            <a:ext uri="{FF2B5EF4-FFF2-40B4-BE49-F238E27FC236}">
              <a16:creationId xmlns:a16="http://schemas.microsoft.com/office/drawing/2014/main" id="{AAFAE033-413B-400E-ACFC-0B293453C4D8}"/>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811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xdr:row>
      <xdr:rowOff>0</xdr:rowOff>
    </xdr:from>
    <xdr:to>
      <xdr:col>0</xdr:col>
      <xdr:colOff>152400</xdr:colOff>
      <xdr:row>12</xdr:row>
      <xdr:rowOff>133350</xdr:rowOff>
    </xdr:to>
    <xdr:pic>
      <xdr:nvPicPr>
        <xdr:cNvPr id="13" name="Picture@5C\Qopen@" descr="@5C\Qopen@">
          <a:extLst>
            <a:ext uri="{FF2B5EF4-FFF2-40B4-BE49-F238E27FC236}">
              <a16:creationId xmlns:a16="http://schemas.microsoft.com/office/drawing/2014/main" id="{3E5BBB53-389F-44E2-B40D-68823FBC10AF}"/>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43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xdr:row>
      <xdr:rowOff>0</xdr:rowOff>
    </xdr:from>
    <xdr:to>
      <xdr:col>0</xdr:col>
      <xdr:colOff>152400</xdr:colOff>
      <xdr:row>13</xdr:row>
      <xdr:rowOff>133350</xdr:rowOff>
    </xdr:to>
    <xdr:pic>
      <xdr:nvPicPr>
        <xdr:cNvPr id="14" name="Picture@5C\Qopen@" descr="@5C\Qopen@">
          <a:extLst>
            <a:ext uri="{FF2B5EF4-FFF2-40B4-BE49-F238E27FC236}">
              <a16:creationId xmlns:a16="http://schemas.microsoft.com/office/drawing/2014/main" id="{86FBEE72-0582-4FDE-85D5-D19CA29FDB8A}"/>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050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xdr:row>
      <xdr:rowOff>0</xdr:rowOff>
    </xdr:from>
    <xdr:to>
      <xdr:col>0</xdr:col>
      <xdr:colOff>152400</xdr:colOff>
      <xdr:row>14</xdr:row>
      <xdr:rowOff>133350</xdr:rowOff>
    </xdr:to>
    <xdr:pic>
      <xdr:nvPicPr>
        <xdr:cNvPr id="15" name="Picture@5C\Qopen@" descr="@5C\Qopen@">
          <a:extLst>
            <a:ext uri="{FF2B5EF4-FFF2-40B4-BE49-F238E27FC236}">
              <a16:creationId xmlns:a16="http://schemas.microsoft.com/office/drawing/2014/main" id="{FED2AB2F-893C-451A-8F30-8204688C1C94}"/>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669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xdr:row>
      <xdr:rowOff>0</xdr:rowOff>
    </xdr:from>
    <xdr:to>
      <xdr:col>0</xdr:col>
      <xdr:colOff>152400</xdr:colOff>
      <xdr:row>15</xdr:row>
      <xdr:rowOff>133350</xdr:rowOff>
    </xdr:to>
    <xdr:pic>
      <xdr:nvPicPr>
        <xdr:cNvPr id="16" name="Picture@5C\Qopen@" descr="@5C\Qopen@">
          <a:extLst>
            <a:ext uri="{FF2B5EF4-FFF2-40B4-BE49-F238E27FC236}">
              <a16:creationId xmlns:a16="http://schemas.microsoft.com/office/drawing/2014/main" id="{14CA78AC-02FB-44B4-BD1C-4AFFF250BDE1}"/>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288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xdr:row>
      <xdr:rowOff>0</xdr:rowOff>
    </xdr:from>
    <xdr:to>
      <xdr:col>0</xdr:col>
      <xdr:colOff>152400</xdr:colOff>
      <xdr:row>16</xdr:row>
      <xdr:rowOff>133350</xdr:rowOff>
    </xdr:to>
    <xdr:pic>
      <xdr:nvPicPr>
        <xdr:cNvPr id="17" name="Picture@5C\Qopen@" descr="@5C\Qopen@">
          <a:extLst>
            <a:ext uri="{FF2B5EF4-FFF2-40B4-BE49-F238E27FC236}">
              <a16:creationId xmlns:a16="http://schemas.microsoft.com/office/drawing/2014/main" id="{AB1C46A9-FA35-4ADD-94C5-F870F67E9B1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90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xdr:row>
      <xdr:rowOff>0</xdr:rowOff>
    </xdr:from>
    <xdr:to>
      <xdr:col>0</xdr:col>
      <xdr:colOff>152400</xdr:colOff>
      <xdr:row>17</xdr:row>
      <xdr:rowOff>133350</xdr:rowOff>
    </xdr:to>
    <xdr:pic>
      <xdr:nvPicPr>
        <xdr:cNvPr id="18" name="Picture@5C\Qopen@" descr="@5C\Qopen@">
          <a:extLst>
            <a:ext uri="{FF2B5EF4-FFF2-40B4-BE49-F238E27FC236}">
              <a16:creationId xmlns:a16="http://schemas.microsoft.com/office/drawing/2014/main" id="{1EE8BFA7-D214-4FCD-849F-48B0F3CECB15}"/>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527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xdr:row>
      <xdr:rowOff>0</xdr:rowOff>
    </xdr:from>
    <xdr:to>
      <xdr:col>0</xdr:col>
      <xdr:colOff>152400</xdr:colOff>
      <xdr:row>18</xdr:row>
      <xdr:rowOff>133350</xdr:rowOff>
    </xdr:to>
    <xdr:pic>
      <xdr:nvPicPr>
        <xdr:cNvPr id="19" name="Picture@5C\Qopen@" descr="@5C\Qopen@">
          <a:extLst>
            <a:ext uri="{FF2B5EF4-FFF2-40B4-BE49-F238E27FC236}">
              <a16:creationId xmlns:a16="http://schemas.microsoft.com/office/drawing/2014/main" id="{178BF0E6-7223-4372-93D0-35F99C6432AA}"/>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146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xdr:row>
      <xdr:rowOff>0</xdr:rowOff>
    </xdr:from>
    <xdr:to>
      <xdr:col>0</xdr:col>
      <xdr:colOff>152400</xdr:colOff>
      <xdr:row>19</xdr:row>
      <xdr:rowOff>133350</xdr:rowOff>
    </xdr:to>
    <xdr:pic>
      <xdr:nvPicPr>
        <xdr:cNvPr id="20" name="Picture@5C\Qopen@" descr="@5C\Qopen@">
          <a:extLst>
            <a:ext uri="{FF2B5EF4-FFF2-40B4-BE49-F238E27FC236}">
              <a16:creationId xmlns:a16="http://schemas.microsoft.com/office/drawing/2014/main" id="{D6B56836-4DBD-456B-A447-62DA47904F1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0765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xdr:row>
      <xdr:rowOff>0</xdr:rowOff>
    </xdr:from>
    <xdr:to>
      <xdr:col>0</xdr:col>
      <xdr:colOff>152400</xdr:colOff>
      <xdr:row>20</xdr:row>
      <xdr:rowOff>133350</xdr:rowOff>
    </xdr:to>
    <xdr:pic>
      <xdr:nvPicPr>
        <xdr:cNvPr id="21" name="Picture@5C\Qopen@" descr="@5C\Qopen@">
          <a:extLst>
            <a:ext uri="{FF2B5EF4-FFF2-40B4-BE49-F238E27FC236}">
              <a16:creationId xmlns:a16="http://schemas.microsoft.com/office/drawing/2014/main" id="{04A3CF59-98CE-413E-97E0-3AEB69431A3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238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21</xdr:row>
      <xdr:rowOff>0</xdr:rowOff>
    </xdr:from>
    <xdr:to>
      <xdr:col>0</xdr:col>
      <xdr:colOff>152400</xdr:colOff>
      <xdr:row>21</xdr:row>
      <xdr:rowOff>133350</xdr:rowOff>
    </xdr:to>
    <xdr:pic>
      <xdr:nvPicPr>
        <xdr:cNvPr id="22" name="Picture@5C\Qopen@" descr="@5C\Qopen@">
          <a:extLst>
            <a:ext uri="{FF2B5EF4-FFF2-40B4-BE49-F238E27FC236}">
              <a16:creationId xmlns:a16="http://schemas.microsoft.com/office/drawing/2014/main" id="{31DAE4C9-75FF-416F-872E-91E955A991FE}"/>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4004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22</xdr:row>
      <xdr:rowOff>0</xdr:rowOff>
    </xdr:from>
    <xdr:to>
      <xdr:col>0</xdr:col>
      <xdr:colOff>152400</xdr:colOff>
      <xdr:row>22</xdr:row>
      <xdr:rowOff>133350</xdr:rowOff>
    </xdr:to>
    <xdr:pic>
      <xdr:nvPicPr>
        <xdr:cNvPr id="23" name="Picture@5C\Qopen@" descr="@5C\Qopen@">
          <a:extLst>
            <a:ext uri="{FF2B5EF4-FFF2-40B4-BE49-F238E27FC236}">
              <a16:creationId xmlns:a16="http://schemas.microsoft.com/office/drawing/2014/main" id="{BDFF3D4D-5609-4AD5-B94D-CB95330EBA58}"/>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623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23</xdr:row>
      <xdr:rowOff>0</xdr:rowOff>
    </xdr:from>
    <xdr:to>
      <xdr:col>0</xdr:col>
      <xdr:colOff>152400</xdr:colOff>
      <xdr:row>23</xdr:row>
      <xdr:rowOff>133350</xdr:rowOff>
    </xdr:to>
    <xdr:pic>
      <xdr:nvPicPr>
        <xdr:cNvPr id="24" name="Picture@5C\Qopen@" descr="@5C\Qopen@">
          <a:extLst>
            <a:ext uri="{FF2B5EF4-FFF2-40B4-BE49-F238E27FC236}">
              <a16:creationId xmlns:a16="http://schemas.microsoft.com/office/drawing/2014/main" id="{7045A517-BA97-4EDA-9FCA-36F79C5B9FE3}"/>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7242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24</xdr:row>
      <xdr:rowOff>0</xdr:rowOff>
    </xdr:from>
    <xdr:to>
      <xdr:col>0</xdr:col>
      <xdr:colOff>152400</xdr:colOff>
      <xdr:row>24</xdr:row>
      <xdr:rowOff>133350</xdr:rowOff>
    </xdr:to>
    <xdr:pic>
      <xdr:nvPicPr>
        <xdr:cNvPr id="25" name="Picture@5C\Qopen@" descr="@5C\Qopen@">
          <a:extLst>
            <a:ext uri="{FF2B5EF4-FFF2-40B4-BE49-F238E27FC236}">
              <a16:creationId xmlns:a16="http://schemas.microsoft.com/office/drawing/2014/main" id="{2233B389-5BD8-4D46-9FB3-B23DD215EE8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886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25</xdr:row>
      <xdr:rowOff>0</xdr:rowOff>
    </xdr:from>
    <xdr:to>
      <xdr:col>0</xdr:col>
      <xdr:colOff>152400</xdr:colOff>
      <xdr:row>25</xdr:row>
      <xdr:rowOff>133350</xdr:rowOff>
    </xdr:to>
    <xdr:pic>
      <xdr:nvPicPr>
        <xdr:cNvPr id="26" name="Picture@5C\Qopen@" descr="@5C\Qopen@">
          <a:extLst>
            <a:ext uri="{FF2B5EF4-FFF2-40B4-BE49-F238E27FC236}">
              <a16:creationId xmlns:a16="http://schemas.microsoft.com/office/drawing/2014/main" id="{54CF4879-B1EA-4909-9143-D08FD462C36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0481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26</xdr:row>
      <xdr:rowOff>0</xdr:rowOff>
    </xdr:from>
    <xdr:to>
      <xdr:col>0</xdr:col>
      <xdr:colOff>152400</xdr:colOff>
      <xdr:row>26</xdr:row>
      <xdr:rowOff>133350</xdr:rowOff>
    </xdr:to>
    <xdr:pic>
      <xdr:nvPicPr>
        <xdr:cNvPr id="27" name="Picture@5C\Qopen@" descr="@5C\Qopen@">
          <a:extLst>
            <a:ext uri="{FF2B5EF4-FFF2-40B4-BE49-F238E27FC236}">
              <a16:creationId xmlns:a16="http://schemas.microsoft.com/office/drawing/2014/main" id="{533FBB27-E3A3-46BE-89BD-130DED45BB9E}"/>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2100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27</xdr:row>
      <xdr:rowOff>0</xdr:rowOff>
    </xdr:from>
    <xdr:to>
      <xdr:col>0</xdr:col>
      <xdr:colOff>152400</xdr:colOff>
      <xdr:row>27</xdr:row>
      <xdr:rowOff>133350</xdr:rowOff>
    </xdr:to>
    <xdr:pic>
      <xdr:nvPicPr>
        <xdr:cNvPr id="28" name="Picture@5C\Qopen@" descr="@5C\Qopen@">
          <a:extLst>
            <a:ext uri="{FF2B5EF4-FFF2-40B4-BE49-F238E27FC236}">
              <a16:creationId xmlns:a16="http://schemas.microsoft.com/office/drawing/2014/main" id="{9FB7820F-EC59-485F-95F4-2558AB4205B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3719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28</xdr:row>
      <xdr:rowOff>0</xdr:rowOff>
    </xdr:from>
    <xdr:to>
      <xdr:col>0</xdr:col>
      <xdr:colOff>152400</xdr:colOff>
      <xdr:row>28</xdr:row>
      <xdr:rowOff>133350</xdr:rowOff>
    </xdr:to>
    <xdr:pic>
      <xdr:nvPicPr>
        <xdr:cNvPr id="29" name="Picture@5C\Qopen@" descr="@5C\Qopen@">
          <a:extLst>
            <a:ext uri="{FF2B5EF4-FFF2-40B4-BE49-F238E27FC236}">
              <a16:creationId xmlns:a16="http://schemas.microsoft.com/office/drawing/2014/main" id="{804D83AA-EF7A-494D-AB31-433451ED38DE}"/>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533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29</xdr:row>
      <xdr:rowOff>0</xdr:rowOff>
    </xdr:from>
    <xdr:to>
      <xdr:col>0</xdr:col>
      <xdr:colOff>152400</xdr:colOff>
      <xdr:row>29</xdr:row>
      <xdr:rowOff>133350</xdr:rowOff>
    </xdr:to>
    <xdr:pic>
      <xdr:nvPicPr>
        <xdr:cNvPr id="30" name="Picture@5C\Qopen@" descr="@5C\Qopen@">
          <a:extLst>
            <a:ext uri="{FF2B5EF4-FFF2-40B4-BE49-F238E27FC236}">
              <a16:creationId xmlns:a16="http://schemas.microsoft.com/office/drawing/2014/main" id="{A7AFDC8E-FF0D-4641-BB53-1A39B1A051B4}"/>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6958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30</xdr:row>
      <xdr:rowOff>0</xdr:rowOff>
    </xdr:from>
    <xdr:to>
      <xdr:col>0</xdr:col>
      <xdr:colOff>152400</xdr:colOff>
      <xdr:row>30</xdr:row>
      <xdr:rowOff>133350</xdr:rowOff>
    </xdr:to>
    <xdr:pic>
      <xdr:nvPicPr>
        <xdr:cNvPr id="31" name="Picture@5C\Qopen@" descr="@5C\Qopen@">
          <a:extLst>
            <a:ext uri="{FF2B5EF4-FFF2-40B4-BE49-F238E27FC236}">
              <a16:creationId xmlns:a16="http://schemas.microsoft.com/office/drawing/2014/main" id="{C78B5EA4-D82E-4D25-BDA9-66CB3DA1AB01}"/>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8577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31</xdr:row>
      <xdr:rowOff>0</xdr:rowOff>
    </xdr:from>
    <xdr:to>
      <xdr:col>0</xdr:col>
      <xdr:colOff>152400</xdr:colOff>
      <xdr:row>31</xdr:row>
      <xdr:rowOff>133350</xdr:rowOff>
    </xdr:to>
    <xdr:pic>
      <xdr:nvPicPr>
        <xdr:cNvPr id="32" name="Picture@5C\Qopen@" descr="@5C\Qopen@">
          <a:extLst>
            <a:ext uri="{FF2B5EF4-FFF2-40B4-BE49-F238E27FC236}">
              <a16:creationId xmlns:a16="http://schemas.microsoft.com/office/drawing/2014/main" id="{B17BA541-1733-4C65-95A6-6D5532B29224}"/>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0196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32</xdr:row>
      <xdr:rowOff>0</xdr:rowOff>
    </xdr:from>
    <xdr:to>
      <xdr:col>0</xdr:col>
      <xdr:colOff>152400</xdr:colOff>
      <xdr:row>32</xdr:row>
      <xdr:rowOff>133350</xdr:rowOff>
    </xdr:to>
    <xdr:pic>
      <xdr:nvPicPr>
        <xdr:cNvPr id="33" name="Picture@5C\Qopen@" descr="@5C\Qopen@">
          <a:extLst>
            <a:ext uri="{FF2B5EF4-FFF2-40B4-BE49-F238E27FC236}">
              <a16:creationId xmlns:a16="http://schemas.microsoft.com/office/drawing/2014/main" id="{CB8780C7-A399-4885-94E6-8D0534044525}"/>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181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33</xdr:row>
      <xdr:rowOff>0</xdr:rowOff>
    </xdr:from>
    <xdr:to>
      <xdr:col>0</xdr:col>
      <xdr:colOff>152400</xdr:colOff>
      <xdr:row>33</xdr:row>
      <xdr:rowOff>133350</xdr:rowOff>
    </xdr:to>
    <xdr:pic>
      <xdr:nvPicPr>
        <xdr:cNvPr id="34" name="Picture@5C\Qopen@" descr="@5C\Qopen@">
          <a:extLst>
            <a:ext uri="{FF2B5EF4-FFF2-40B4-BE49-F238E27FC236}">
              <a16:creationId xmlns:a16="http://schemas.microsoft.com/office/drawing/2014/main" id="{61CC8D7B-2F27-4D70-8C8F-9104240F32CF}"/>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3435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34</xdr:row>
      <xdr:rowOff>0</xdr:rowOff>
    </xdr:from>
    <xdr:to>
      <xdr:col>0</xdr:col>
      <xdr:colOff>152400</xdr:colOff>
      <xdr:row>34</xdr:row>
      <xdr:rowOff>133350</xdr:rowOff>
    </xdr:to>
    <xdr:pic>
      <xdr:nvPicPr>
        <xdr:cNvPr id="35" name="Picture@5C\Qopen@" descr="@5C\Qopen@">
          <a:extLst>
            <a:ext uri="{FF2B5EF4-FFF2-40B4-BE49-F238E27FC236}">
              <a16:creationId xmlns:a16="http://schemas.microsoft.com/office/drawing/2014/main" id="{2D6DB8B7-12CC-4DF3-9CEB-C80EAE48EC61}"/>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5054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35</xdr:row>
      <xdr:rowOff>0</xdr:rowOff>
    </xdr:from>
    <xdr:to>
      <xdr:col>0</xdr:col>
      <xdr:colOff>152400</xdr:colOff>
      <xdr:row>35</xdr:row>
      <xdr:rowOff>133350</xdr:rowOff>
    </xdr:to>
    <xdr:pic>
      <xdr:nvPicPr>
        <xdr:cNvPr id="36" name="Picture@5C\Qopen@" descr="@5C\Qopen@">
          <a:extLst>
            <a:ext uri="{FF2B5EF4-FFF2-40B4-BE49-F238E27FC236}">
              <a16:creationId xmlns:a16="http://schemas.microsoft.com/office/drawing/2014/main" id="{571261DB-053D-47BE-85E3-D5EDD0EC889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6673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36</xdr:row>
      <xdr:rowOff>0</xdr:rowOff>
    </xdr:from>
    <xdr:to>
      <xdr:col>0</xdr:col>
      <xdr:colOff>152400</xdr:colOff>
      <xdr:row>36</xdr:row>
      <xdr:rowOff>133350</xdr:rowOff>
    </xdr:to>
    <xdr:pic>
      <xdr:nvPicPr>
        <xdr:cNvPr id="37" name="Picture@5C\Qopen@" descr="@5C\Qopen@">
          <a:extLst>
            <a:ext uri="{FF2B5EF4-FFF2-40B4-BE49-F238E27FC236}">
              <a16:creationId xmlns:a16="http://schemas.microsoft.com/office/drawing/2014/main" id="{9E444D0B-D6B1-4C6D-BD0E-B2D6C703B553}"/>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829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37</xdr:row>
      <xdr:rowOff>0</xdr:rowOff>
    </xdr:from>
    <xdr:to>
      <xdr:col>0</xdr:col>
      <xdr:colOff>152400</xdr:colOff>
      <xdr:row>37</xdr:row>
      <xdr:rowOff>133350</xdr:rowOff>
    </xdr:to>
    <xdr:pic>
      <xdr:nvPicPr>
        <xdr:cNvPr id="38" name="Picture@5C\Qopen@" descr="@5C\Qopen@">
          <a:extLst>
            <a:ext uri="{FF2B5EF4-FFF2-40B4-BE49-F238E27FC236}">
              <a16:creationId xmlns:a16="http://schemas.microsoft.com/office/drawing/2014/main" id="{C3206395-74D8-4CA8-9166-63230A29FE56}"/>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9912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38</xdr:row>
      <xdr:rowOff>0</xdr:rowOff>
    </xdr:from>
    <xdr:to>
      <xdr:col>0</xdr:col>
      <xdr:colOff>152400</xdr:colOff>
      <xdr:row>38</xdr:row>
      <xdr:rowOff>133350</xdr:rowOff>
    </xdr:to>
    <xdr:pic>
      <xdr:nvPicPr>
        <xdr:cNvPr id="39" name="Picture@5C\Qopen@" descr="@5C\Qopen@">
          <a:extLst>
            <a:ext uri="{FF2B5EF4-FFF2-40B4-BE49-F238E27FC236}">
              <a16:creationId xmlns:a16="http://schemas.microsoft.com/office/drawing/2014/main" id="{A060883E-5BB9-497E-97A5-C4D09DA50F9C}"/>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1531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39</xdr:row>
      <xdr:rowOff>0</xdr:rowOff>
    </xdr:from>
    <xdr:to>
      <xdr:col>0</xdr:col>
      <xdr:colOff>152400</xdr:colOff>
      <xdr:row>39</xdr:row>
      <xdr:rowOff>133350</xdr:rowOff>
    </xdr:to>
    <xdr:pic>
      <xdr:nvPicPr>
        <xdr:cNvPr id="40" name="Picture@5C\Qopen@" descr="@5C\Qopen@">
          <a:extLst>
            <a:ext uri="{FF2B5EF4-FFF2-40B4-BE49-F238E27FC236}">
              <a16:creationId xmlns:a16="http://schemas.microsoft.com/office/drawing/2014/main" id="{AA30CBE6-6BD0-4E7F-8C3B-A00A1D9009D3}"/>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3150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40</xdr:row>
      <xdr:rowOff>0</xdr:rowOff>
    </xdr:from>
    <xdr:to>
      <xdr:col>0</xdr:col>
      <xdr:colOff>152400</xdr:colOff>
      <xdr:row>40</xdr:row>
      <xdr:rowOff>133350</xdr:rowOff>
    </xdr:to>
    <xdr:pic>
      <xdr:nvPicPr>
        <xdr:cNvPr id="41" name="Picture@5C\Qopen@" descr="@5C\Qopen@">
          <a:extLst>
            <a:ext uri="{FF2B5EF4-FFF2-40B4-BE49-F238E27FC236}">
              <a16:creationId xmlns:a16="http://schemas.microsoft.com/office/drawing/2014/main" id="{4F9E4F70-16B1-42F8-AAE9-7CC7871A3985}"/>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4770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41</xdr:row>
      <xdr:rowOff>0</xdr:rowOff>
    </xdr:from>
    <xdr:to>
      <xdr:col>0</xdr:col>
      <xdr:colOff>152400</xdr:colOff>
      <xdr:row>41</xdr:row>
      <xdr:rowOff>133350</xdr:rowOff>
    </xdr:to>
    <xdr:pic>
      <xdr:nvPicPr>
        <xdr:cNvPr id="42" name="Picture@5C\Qopen@" descr="@5C\Qopen@">
          <a:extLst>
            <a:ext uri="{FF2B5EF4-FFF2-40B4-BE49-F238E27FC236}">
              <a16:creationId xmlns:a16="http://schemas.microsoft.com/office/drawing/2014/main" id="{511D59DE-8DF1-428A-912C-0E9B864F945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6389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42</xdr:row>
      <xdr:rowOff>0</xdr:rowOff>
    </xdr:from>
    <xdr:to>
      <xdr:col>0</xdr:col>
      <xdr:colOff>152400</xdr:colOff>
      <xdr:row>42</xdr:row>
      <xdr:rowOff>133350</xdr:rowOff>
    </xdr:to>
    <xdr:pic>
      <xdr:nvPicPr>
        <xdr:cNvPr id="43" name="Picture@5C\Qopen@" descr="@5C\Qopen@">
          <a:extLst>
            <a:ext uri="{FF2B5EF4-FFF2-40B4-BE49-F238E27FC236}">
              <a16:creationId xmlns:a16="http://schemas.microsoft.com/office/drawing/2014/main" id="{504BED66-20F7-43A7-9496-27D98D5B0F6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8008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43</xdr:row>
      <xdr:rowOff>0</xdr:rowOff>
    </xdr:from>
    <xdr:to>
      <xdr:col>0</xdr:col>
      <xdr:colOff>152400</xdr:colOff>
      <xdr:row>43</xdr:row>
      <xdr:rowOff>133350</xdr:rowOff>
    </xdr:to>
    <xdr:pic>
      <xdr:nvPicPr>
        <xdr:cNvPr id="44" name="Picture@5C\Qopen@" descr="@5C\Qopen@">
          <a:extLst>
            <a:ext uri="{FF2B5EF4-FFF2-40B4-BE49-F238E27FC236}">
              <a16:creationId xmlns:a16="http://schemas.microsoft.com/office/drawing/2014/main" id="{19DE15A7-76D8-44E6-8C9A-8EA371ECB8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9627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44</xdr:row>
      <xdr:rowOff>0</xdr:rowOff>
    </xdr:from>
    <xdr:to>
      <xdr:col>0</xdr:col>
      <xdr:colOff>152400</xdr:colOff>
      <xdr:row>44</xdr:row>
      <xdr:rowOff>133350</xdr:rowOff>
    </xdr:to>
    <xdr:pic>
      <xdr:nvPicPr>
        <xdr:cNvPr id="45" name="Picture@5C\Qopen@" descr="@5C\Qopen@">
          <a:extLst>
            <a:ext uri="{FF2B5EF4-FFF2-40B4-BE49-F238E27FC236}">
              <a16:creationId xmlns:a16="http://schemas.microsoft.com/office/drawing/2014/main" id="{20A92D1A-250F-474D-9B34-5B8A6576777F}"/>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124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45</xdr:row>
      <xdr:rowOff>0</xdr:rowOff>
    </xdr:from>
    <xdr:to>
      <xdr:col>0</xdr:col>
      <xdr:colOff>152400</xdr:colOff>
      <xdr:row>45</xdr:row>
      <xdr:rowOff>133350</xdr:rowOff>
    </xdr:to>
    <xdr:pic>
      <xdr:nvPicPr>
        <xdr:cNvPr id="46" name="Picture@5C\Qopen@" descr="@5C\Qopen@">
          <a:extLst>
            <a:ext uri="{FF2B5EF4-FFF2-40B4-BE49-F238E27FC236}">
              <a16:creationId xmlns:a16="http://schemas.microsoft.com/office/drawing/2014/main" id="{FE4FD4B8-0D26-4DDB-AD64-3BE36DCC317E}"/>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2866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46</xdr:row>
      <xdr:rowOff>0</xdr:rowOff>
    </xdr:from>
    <xdr:to>
      <xdr:col>0</xdr:col>
      <xdr:colOff>152400</xdr:colOff>
      <xdr:row>46</xdr:row>
      <xdr:rowOff>133350</xdr:rowOff>
    </xdr:to>
    <xdr:pic>
      <xdr:nvPicPr>
        <xdr:cNvPr id="47" name="Picture@5C\Qopen@" descr="@5C\Qopen@">
          <a:extLst>
            <a:ext uri="{FF2B5EF4-FFF2-40B4-BE49-F238E27FC236}">
              <a16:creationId xmlns:a16="http://schemas.microsoft.com/office/drawing/2014/main" id="{E9335458-3D79-4E3D-8DB7-F8AE361ADE8F}"/>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4485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47</xdr:row>
      <xdr:rowOff>0</xdr:rowOff>
    </xdr:from>
    <xdr:to>
      <xdr:col>0</xdr:col>
      <xdr:colOff>152400</xdr:colOff>
      <xdr:row>47</xdr:row>
      <xdr:rowOff>133350</xdr:rowOff>
    </xdr:to>
    <xdr:pic>
      <xdr:nvPicPr>
        <xdr:cNvPr id="48" name="Picture@5C\Qopen@" descr="@5C\Qopen@">
          <a:extLst>
            <a:ext uri="{FF2B5EF4-FFF2-40B4-BE49-F238E27FC236}">
              <a16:creationId xmlns:a16="http://schemas.microsoft.com/office/drawing/2014/main" id="{F6A217CE-9385-4DAD-8F42-D423E4566EF6}"/>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6104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48</xdr:row>
      <xdr:rowOff>0</xdr:rowOff>
    </xdr:from>
    <xdr:to>
      <xdr:col>0</xdr:col>
      <xdr:colOff>152400</xdr:colOff>
      <xdr:row>48</xdr:row>
      <xdr:rowOff>133350</xdr:rowOff>
    </xdr:to>
    <xdr:pic>
      <xdr:nvPicPr>
        <xdr:cNvPr id="49" name="Picture@5C\Qopen@" descr="@5C\Qopen@">
          <a:extLst>
            <a:ext uri="{FF2B5EF4-FFF2-40B4-BE49-F238E27FC236}">
              <a16:creationId xmlns:a16="http://schemas.microsoft.com/office/drawing/2014/main" id="{1179CE81-33B0-426D-BF88-72B2A36366C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772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49</xdr:row>
      <xdr:rowOff>0</xdr:rowOff>
    </xdr:from>
    <xdr:to>
      <xdr:col>0</xdr:col>
      <xdr:colOff>152400</xdr:colOff>
      <xdr:row>49</xdr:row>
      <xdr:rowOff>133350</xdr:rowOff>
    </xdr:to>
    <xdr:pic>
      <xdr:nvPicPr>
        <xdr:cNvPr id="50" name="Picture@5C\Qopen@" descr="@5C\Qopen@">
          <a:extLst>
            <a:ext uri="{FF2B5EF4-FFF2-40B4-BE49-F238E27FC236}">
              <a16:creationId xmlns:a16="http://schemas.microsoft.com/office/drawing/2014/main" id="{B9B7C6CB-2580-426F-8B89-98E19E3E9571}"/>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9343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50</xdr:row>
      <xdr:rowOff>0</xdr:rowOff>
    </xdr:from>
    <xdr:to>
      <xdr:col>0</xdr:col>
      <xdr:colOff>152400</xdr:colOff>
      <xdr:row>50</xdr:row>
      <xdr:rowOff>133350</xdr:rowOff>
    </xdr:to>
    <xdr:pic>
      <xdr:nvPicPr>
        <xdr:cNvPr id="51" name="Picture@5C\Qopen@" descr="@5C\Qopen@">
          <a:extLst>
            <a:ext uri="{FF2B5EF4-FFF2-40B4-BE49-F238E27FC236}">
              <a16:creationId xmlns:a16="http://schemas.microsoft.com/office/drawing/2014/main" id="{6BE1609A-3FB2-4182-9246-A19A838D097A}"/>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0962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51</xdr:row>
      <xdr:rowOff>0</xdr:rowOff>
    </xdr:from>
    <xdr:to>
      <xdr:col>0</xdr:col>
      <xdr:colOff>152400</xdr:colOff>
      <xdr:row>51</xdr:row>
      <xdr:rowOff>133350</xdr:rowOff>
    </xdr:to>
    <xdr:pic>
      <xdr:nvPicPr>
        <xdr:cNvPr id="52" name="Picture@5C\Qopen@" descr="@5C\Qopen@">
          <a:extLst>
            <a:ext uri="{FF2B5EF4-FFF2-40B4-BE49-F238E27FC236}">
              <a16:creationId xmlns:a16="http://schemas.microsoft.com/office/drawing/2014/main" id="{EBE9A5F1-5DDA-4FBB-9856-936BB2B96AF8}"/>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2581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52</xdr:row>
      <xdr:rowOff>0</xdr:rowOff>
    </xdr:from>
    <xdr:to>
      <xdr:col>0</xdr:col>
      <xdr:colOff>152400</xdr:colOff>
      <xdr:row>52</xdr:row>
      <xdr:rowOff>133350</xdr:rowOff>
    </xdr:to>
    <xdr:pic>
      <xdr:nvPicPr>
        <xdr:cNvPr id="53" name="Picture@5C\Qopen@" descr="@5C\Qopen@">
          <a:extLst>
            <a:ext uri="{FF2B5EF4-FFF2-40B4-BE49-F238E27FC236}">
              <a16:creationId xmlns:a16="http://schemas.microsoft.com/office/drawing/2014/main" id="{D748974D-9A45-44FF-892C-0FCFC7922A94}"/>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420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53</xdr:row>
      <xdr:rowOff>0</xdr:rowOff>
    </xdr:from>
    <xdr:to>
      <xdr:col>0</xdr:col>
      <xdr:colOff>152400</xdr:colOff>
      <xdr:row>53</xdr:row>
      <xdr:rowOff>133350</xdr:rowOff>
    </xdr:to>
    <xdr:pic>
      <xdr:nvPicPr>
        <xdr:cNvPr id="54" name="Picture@5C\Qopen@" descr="@5C\Qopen@">
          <a:extLst>
            <a:ext uri="{FF2B5EF4-FFF2-40B4-BE49-F238E27FC236}">
              <a16:creationId xmlns:a16="http://schemas.microsoft.com/office/drawing/2014/main" id="{C9B6AA11-5B9E-42E3-A53C-CAE1FA5EE1C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5820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54</xdr:row>
      <xdr:rowOff>0</xdr:rowOff>
    </xdr:from>
    <xdr:to>
      <xdr:col>0</xdr:col>
      <xdr:colOff>152400</xdr:colOff>
      <xdr:row>54</xdr:row>
      <xdr:rowOff>133350</xdr:rowOff>
    </xdr:to>
    <xdr:pic>
      <xdr:nvPicPr>
        <xdr:cNvPr id="55" name="Picture@5C\Qopen@" descr="@5C\Qopen@">
          <a:extLst>
            <a:ext uri="{FF2B5EF4-FFF2-40B4-BE49-F238E27FC236}">
              <a16:creationId xmlns:a16="http://schemas.microsoft.com/office/drawing/2014/main" id="{742907BA-82A9-4CE4-AA69-A3B1DFC7383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7439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55</xdr:row>
      <xdr:rowOff>0</xdr:rowOff>
    </xdr:from>
    <xdr:to>
      <xdr:col>0</xdr:col>
      <xdr:colOff>152400</xdr:colOff>
      <xdr:row>55</xdr:row>
      <xdr:rowOff>133350</xdr:rowOff>
    </xdr:to>
    <xdr:pic>
      <xdr:nvPicPr>
        <xdr:cNvPr id="56" name="Picture@5C\Qopen@" descr="@5C\Qopen@">
          <a:extLst>
            <a:ext uri="{FF2B5EF4-FFF2-40B4-BE49-F238E27FC236}">
              <a16:creationId xmlns:a16="http://schemas.microsoft.com/office/drawing/2014/main" id="{9FEDCB9C-E6CB-4EDD-8335-C83CBDC268D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90587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56</xdr:row>
      <xdr:rowOff>0</xdr:rowOff>
    </xdr:from>
    <xdr:to>
      <xdr:col>0</xdr:col>
      <xdr:colOff>152400</xdr:colOff>
      <xdr:row>56</xdr:row>
      <xdr:rowOff>133350</xdr:rowOff>
    </xdr:to>
    <xdr:pic>
      <xdr:nvPicPr>
        <xdr:cNvPr id="57" name="Picture@5C\Qopen@" descr="@5C\Qopen@">
          <a:extLst>
            <a:ext uri="{FF2B5EF4-FFF2-40B4-BE49-F238E27FC236}">
              <a16:creationId xmlns:a16="http://schemas.microsoft.com/office/drawing/2014/main" id="{B10CBA30-323D-4DB9-8EC5-61124B9A1001}"/>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067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57</xdr:row>
      <xdr:rowOff>0</xdr:rowOff>
    </xdr:from>
    <xdr:to>
      <xdr:col>0</xdr:col>
      <xdr:colOff>152400</xdr:colOff>
      <xdr:row>57</xdr:row>
      <xdr:rowOff>133350</xdr:rowOff>
    </xdr:to>
    <xdr:pic>
      <xdr:nvPicPr>
        <xdr:cNvPr id="58" name="Picture@5C\Qopen@" descr="@5C\Qopen@">
          <a:extLst>
            <a:ext uri="{FF2B5EF4-FFF2-40B4-BE49-F238E27FC236}">
              <a16:creationId xmlns:a16="http://schemas.microsoft.com/office/drawing/2014/main" id="{96FFBDB2-A8FC-4FB2-B8AD-EBFF074EF606}"/>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229725"/>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58</xdr:row>
      <xdr:rowOff>0</xdr:rowOff>
    </xdr:from>
    <xdr:to>
      <xdr:col>0</xdr:col>
      <xdr:colOff>152400</xdr:colOff>
      <xdr:row>58</xdr:row>
      <xdr:rowOff>133350</xdr:rowOff>
    </xdr:to>
    <xdr:pic>
      <xdr:nvPicPr>
        <xdr:cNvPr id="59" name="Picture@5C\Qopen@" descr="@5C\Qopen@">
          <a:extLst>
            <a:ext uri="{FF2B5EF4-FFF2-40B4-BE49-F238E27FC236}">
              <a16:creationId xmlns:a16="http://schemas.microsoft.com/office/drawing/2014/main" id="{11B6675B-BD0C-4BFA-A466-75A82B3CD91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391650"/>
          <a:ext cx="152400" cy="133350"/>
        </a:xfrm>
        <a:prstGeom prst="rect">
          <a:avLst/>
        </a:prstGeom>
        <a:solidFill>
          <a:srgbClr val="FFFFFF"/>
        </a:solidFill>
        <a:ln w="9525">
          <a:solidFill>
            <a:srgbClr val="000000"/>
          </a:solidFill>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152400</xdr:colOff>
      <xdr:row>1</xdr:row>
      <xdr:rowOff>133350</xdr:rowOff>
    </xdr:to>
    <xdr:pic>
      <xdr:nvPicPr>
        <xdr:cNvPr id="6" name="Picture@5C\Qopen@" descr="@5C\Qopen@">
          <a:extLst>
            <a:ext uri="{FF2B5EF4-FFF2-40B4-BE49-F238E27FC236}">
              <a16:creationId xmlns:a16="http://schemas.microsoft.com/office/drawing/2014/main" id="{FB7FA0B8-9EE7-4D50-B2CD-0FF411DDBA4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33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7" name="Picture@5C\Qopen@" descr="@5C\Qopen@">
          <a:extLst>
            <a:ext uri="{FF2B5EF4-FFF2-40B4-BE49-F238E27FC236}">
              <a16:creationId xmlns:a16="http://schemas.microsoft.com/office/drawing/2014/main" id="{F36E903B-350C-4077-9F25-CBF5716082F6}"/>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049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8" name="Picture@5C\Qopen@" descr="@5C\Qopen@">
          <a:extLst>
            <a:ext uri="{FF2B5EF4-FFF2-40B4-BE49-F238E27FC236}">
              <a16:creationId xmlns:a16="http://schemas.microsoft.com/office/drawing/2014/main" id="{9993E677-8A24-4F10-88CD-32B1B6EAD584}"/>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76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9" name="Picture@5C\Qopen@" descr="@5C\Qopen@">
          <a:extLst>
            <a:ext uri="{FF2B5EF4-FFF2-40B4-BE49-F238E27FC236}">
              <a16:creationId xmlns:a16="http://schemas.microsoft.com/office/drawing/2014/main" id="{88CD535C-DEC3-4F46-8477-611865401EA7}"/>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478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10" name="Picture@5C\Qopen@" descr="@5C\Qopen@">
          <a:extLst>
            <a:ext uri="{FF2B5EF4-FFF2-40B4-BE49-F238E27FC236}">
              <a16:creationId xmlns:a16="http://schemas.microsoft.com/office/drawing/2014/main" id="{E89F6D79-BD10-4DFD-B1F0-82EEFA7C55EC}"/>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19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11" name="Picture@5C\Qopen@" descr="@5C\Qopen@">
          <a:extLst>
            <a:ext uri="{FF2B5EF4-FFF2-40B4-BE49-F238E27FC236}">
              <a16:creationId xmlns:a16="http://schemas.microsoft.com/office/drawing/2014/main" id="{DA7D2B3C-66E9-4CD1-B391-B6B2FBB26F53}"/>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907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xdr:row>
      <xdr:rowOff>0</xdr:rowOff>
    </xdr:from>
    <xdr:to>
      <xdr:col>0</xdr:col>
      <xdr:colOff>152400</xdr:colOff>
      <xdr:row>1</xdr:row>
      <xdr:rowOff>133350</xdr:rowOff>
    </xdr:to>
    <xdr:pic>
      <xdr:nvPicPr>
        <xdr:cNvPr id="12" name="Picture@5C\Qopen@" descr="@5C\Qopen@">
          <a:extLst>
            <a:ext uri="{FF2B5EF4-FFF2-40B4-BE49-F238E27FC236}">
              <a16:creationId xmlns:a16="http://schemas.microsoft.com/office/drawing/2014/main" id="{6BE76D41-FDD2-4EC7-899F-3806795AC8B7}"/>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47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13" name="Picture@5C\Qopen@" descr="@5C\Qopen@">
          <a:extLst>
            <a:ext uri="{FF2B5EF4-FFF2-40B4-BE49-F238E27FC236}">
              <a16:creationId xmlns:a16="http://schemas.microsoft.com/office/drawing/2014/main" id="{3A76B15C-7564-4A72-97EC-CACCB6B2A71C}"/>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191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14" name="Picture@5C\Qopen@" descr="@5C\Qopen@">
          <a:extLst>
            <a:ext uri="{FF2B5EF4-FFF2-40B4-BE49-F238E27FC236}">
              <a16:creationId xmlns:a16="http://schemas.microsoft.com/office/drawing/2014/main" id="{CD02F23E-4E28-443C-B154-2A8A0C5C151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90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15" name="Picture@5C\Qopen@" descr="@5C\Qopen@">
          <a:extLst>
            <a:ext uri="{FF2B5EF4-FFF2-40B4-BE49-F238E27FC236}">
              <a16:creationId xmlns:a16="http://schemas.microsoft.com/office/drawing/2014/main" id="{C6909DC0-66D1-4558-86C1-D2D0CDA7317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620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16" name="Picture@5C\Qopen@" descr="@5C\Qopen@">
          <a:extLst>
            <a:ext uri="{FF2B5EF4-FFF2-40B4-BE49-F238E27FC236}">
              <a16:creationId xmlns:a16="http://schemas.microsoft.com/office/drawing/2014/main" id="{F1B3B917-637F-4654-8BDC-AAF492DB607D}"/>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33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17" name="Picture@5C\Qopen@" descr="@5C\Qopen@">
          <a:extLst>
            <a:ext uri="{FF2B5EF4-FFF2-40B4-BE49-F238E27FC236}">
              <a16:creationId xmlns:a16="http://schemas.microsoft.com/office/drawing/2014/main" id="{5B2BFBBB-2C00-4E2C-B4D7-A908AC8C7E5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0495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xdr:row>
      <xdr:rowOff>0</xdr:rowOff>
    </xdr:from>
    <xdr:to>
      <xdr:col>0</xdr:col>
      <xdr:colOff>152400</xdr:colOff>
      <xdr:row>7</xdr:row>
      <xdr:rowOff>133350</xdr:rowOff>
    </xdr:to>
    <xdr:pic>
      <xdr:nvPicPr>
        <xdr:cNvPr id="18" name="Picture@5C\Qopen@" descr="@5C\Qopen@">
          <a:extLst>
            <a:ext uri="{FF2B5EF4-FFF2-40B4-BE49-F238E27FC236}">
              <a16:creationId xmlns:a16="http://schemas.microsoft.com/office/drawing/2014/main" id="{E8BFD0BF-68E7-4FED-A316-B081EEE9084F}"/>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76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xdr:row>
      <xdr:rowOff>0</xdr:rowOff>
    </xdr:from>
    <xdr:to>
      <xdr:col>0</xdr:col>
      <xdr:colOff>152400</xdr:colOff>
      <xdr:row>8</xdr:row>
      <xdr:rowOff>133350</xdr:rowOff>
    </xdr:to>
    <xdr:pic>
      <xdr:nvPicPr>
        <xdr:cNvPr id="19" name="Picture@5C\Qopen@" descr="@5C\Qopen@">
          <a:extLst>
            <a:ext uri="{FF2B5EF4-FFF2-40B4-BE49-F238E27FC236}">
              <a16:creationId xmlns:a16="http://schemas.microsoft.com/office/drawing/2014/main" id="{59AFF16A-BC7B-4128-8E4D-1C9EBCFD46D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47850"/>
          <a:ext cx="152400" cy="133350"/>
        </a:xfrm>
        <a:prstGeom prst="rect">
          <a:avLst/>
        </a:prstGeom>
        <a:solidFill>
          <a:srgbClr val="FFFFFF"/>
        </a:solidFill>
        <a:ln w="9525">
          <a:solidFill>
            <a:srgbClr val="000000"/>
          </a:solidFill>
          <a:headEnd/>
          <a:tailEn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454.704103703705" createdVersion="7" refreshedVersion="7" minRefreshableVersion="3" recordCount="8" xr:uid="{9EF9AD88-635B-4455-AB9F-5B479916B3C8}">
  <cacheSource type="worksheet">
    <worksheetSource ref="A1:AC9" sheet="LFP Population 100 FY 2020-21"/>
  </cacheSource>
  <cacheFields count="29">
    <cacheField name="Cleared/open items symbol" numFmtId="0">
      <sharedItems/>
    </cacheField>
    <cacheField name="G/L Account" numFmtId="0">
      <sharedItems/>
    </cacheField>
    <cacheField name="Document Number" numFmtId="0">
      <sharedItems/>
    </cacheField>
    <cacheField name="Posting Date" numFmtId="14">
      <sharedItems containsSemiMixedTypes="0" containsNonDate="0" containsDate="1" containsString="0" minDate="2020-11-05T00:00:00" maxDate="2021-07-01T00:00:00" count="5">
        <d v="2020-11-05T00:00:00"/>
        <d v="2020-12-28T00:00:00"/>
        <d v="2021-03-23T00:00:00"/>
        <d v="2021-06-24T00:00:00"/>
        <d v="2021-06-30T00:00:00"/>
      </sharedItems>
      <fieldGroup base="3">
        <rangePr groupBy="months" startDate="2020-11-05T00:00:00" endDate="2021-07-01T00:00:00"/>
        <groupItems count="14">
          <s v="&lt;11/5/2020"/>
          <s v="Jan"/>
          <s v="Feb"/>
          <s v="Mar"/>
          <s v="Apr"/>
          <s v="May"/>
          <s v="Jun"/>
          <s v="Jul"/>
          <s v="Aug"/>
          <s v="Sep"/>
          <s v="Oct"/>
          <s v="Nov"/>
          <s v="Dec"/>
          <s v="&gt;7/1/2021"/>
        </groupItems>
      </fieldGroup>
    </cacheField>
    <cacheField name="Document Date" numFmtId="14">
      <sharedItems containsSemiMixedTypes="0" containsNonDate="0" containsDate="1" containsString="0" minDate="2020-11-05T00:00:00" maxDate="2021-07-01T00:00:00"/>
    </cacheField>
    <cacheField name="Entry Date" numFmtId="14">
      <sharedItems containsSemiMixedTypes="0" containsNonDate="0" containsDate="1" containsString="0" minDate="2020-11-09T00:00:00" maxDate="2021-07-15T00:00:00"/>
    </cacheField>
    <cacheField name="Document Type" numFmtId="0">
      <sharedItems/>
    </cacheField>
    <cacheField name="Document currency" numFmtId="0">
      <sharedItems/>
    </cacheField>
    <cacheField name="Amount in doc. curr." numFmtId="4">
      <sharedItems containsSemiMixedTypes="0" containsString="0" containsNumber="1" minValue="-1000000" maxValue="101300"/>
    </cacheField>
    <cacheField name="Eff.exchange rate" numFmtId="0">
      <sharedItems/>
    </cacheField>
    <cacheField name="Local Currency" numFmtId="0">
      <sharedItems/>
    </cacheField>
    <cacheField name="Amount in local currency" numFmtId="4">
      <sharedItems containsSemiMixedTypes="0" containsString="0" containsNumber="1" minValue="-83950000" maxValue="8438290"/>
    </cacheField>
    <cacheField name="Amount in loc.curr.2" numFmtId="4">
      <sharedItems containsSemiMixedTypes="0" containsString="0" containsNumber="1" minValue="-1000000" maxValue="101300"/>
    </cacheField>
    <cacheField name="Reference" numFmtId="0">
      <sharedItems/>
    </cacheField>
    <cacheField name="Assignment" numFmtId="0">
      <sharedItems/>
    </cacheField>
    <cacheField name="Text/CI No" numFmtId="0">
      <sharedItems/>
    </cacheField>
    <cacheField name="Purchasing Document" numFmtId="0">
      <sharedItems/>
    </cacheField>
    <cacheField name="Item" numFmtId="0">
      <sharedItems/>
    </cacheField>
    <cacheField name="Document Header Text" numFmtId="0">
      <sharedItems/>
    </cacheField>
    <cacheField name="File Number" numFmtId="0">
      <sharedItems/>
    </cacheField>
    <cacheField name="Buyer Name" numFmtId="0">
      <sharedItems/>
    </cacheField>
    <cacheField name="LC Number" numFmtId="0">
      <sharedItems/>
    </cacheField>
    <cacheField name="Profit Center" numFmtId="0">
      <sharedItems/>
    </cacheField>
    <cacheField name="Clearing Document" numFmtId="0">
      <sharedItems/>
    </cacheField>
    <cacheField name="Clearing date" numFmtId="14">
      <sharedItems containsNonDate="0" containsDate="1" containsString="0" containsBlank="1" minDate="2021-07-01T00:00:00" maxDate="2021-07-02T00:00:00"/>
    </cacheField>
    <cacheField name="Billing Document" numFmtId="0">
      <sharedItems/>
    </cacheField>
    <cacheField name="Buyer Description" numFmtId="0">
      <sharedItems/>
    </cacheField>
    <cacheField name="Sales document" numFmtId="0">
      <sharedItems/>
    </cacheField>
    <cacheField name="Withholding tax amnt" numFmtId="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4454.706953009256" createdVersion="7" refreshedVersion="7" minRefreshableVersion="3" recordCount="58" xr:uid="{B9788EB4-9FA5-4687-812E-9CEF1D3D7E3C}">
  <cacheSource type="worksheet">
    <worksheetSource ref="A1:AC59" sheet="LFP 100 Population"/>
  </cacheSource>
  <cacheFields count="31">
    <cacheField name="Cleared/open items symbol" numFmtId="0">
      <sharedItems/>
    </cacheField>
    <cacheField name="G/L Account" numFmtId="0">
      <sharedItems/>
    </cacheField>
    <cacheField name="Document Number" numFmtId="0">
      <sharedItems/>
    </cacheField>
    <cacheField name="Posting Date" numFmtId="14">
      <sharedItems containsSemiMixedTypes="0" containsNonDate="0" containsDate="1" containsString="0" minDate="2014-12-31T00:00:00" maxDate="2021-07-01T00:00:00" count="33">
        <d v="2014-12-31T00:00:00"/>
        <d v="2015-03-30T00:00:00"/>
        <d v="2015-06-30T00:00:00"/>
        <d v="2015-09-30T00:00:00"/>
        <d v="2015-12-29T00:00:00"/>
        <d v="2016-01-31T00:00:00"/>
        <d v="2016-03-30T00:00:00"/>
        <d v="2016-03-31T00:00:00"/>
        <d v="2016-05-31T00:00:00"/>
        <d v="2016-06-27T00:00:00"/>
        <d v="2016-06-30T00:00:00"/>
        <d v="2016-10-30T00:00:00"/>
        <d v="2017-01-04T00:00:00"/>
        <d v="2017-06-08T00:00:00"/>
        <d v="2017-08-10T00:00:00"/>
        <d v="2017-12-18T00:00:00"/>
        <d v="2018-02-13T00:00:00"/>
        <d v="2018-09-25T00:00:00"/>
        <d v="2018-10-25T00:00:00"/>
        <d v="2019-01-28T00:00:00"/>
        <d v="2019-02-25T00:00:00"/>
        <d v="2019-03-25T00:00:00"/>
        <d v="2019-06-30T00:00:00"/>
        <d v="2019-08-07T00:00:00"/>
        <d v="2019-10-09T00:00:00"/>
        <d v="2020-01-02T00:00:00"/>
        <d v="2020-06-11T00:00:00"/>
        <d v="2020-06-30T00:00:00"/>
        <d v="2020-11-05T00:00:00"/>
        <d v="2020-12-28T00:00:00"/>
        <d v="2021-03-23T00:00:00"/>
        <d v="2021-06-24T00:00:00"/>
        <d v="2021-06-30T00:00:00"/>
      </sharedItems>
      <fieldGroup par="30" base="3">
        <rangePr groupBy="months" startDate="2014-12-31T00:00:00" endDate="2021-07-01T00:00:00"/>
        <groupItems count="14">
          <s v="&lt;12/31/2014"/>
          <s v="Jan"/>
          <s v="Feb"/>
          <s v="Mar"/>
          <s v="Apr"/>
          <s v="May"/>
          <s v="Jun"/>
          <s v="Jul"/>
          <s v="Aug"/>
          <s v="Sep"/>
          <s v="Oct"/>
          <s v="Nov"/>
          <s v="Dec"/>
          <s v="&gt;7/1/2021"/>
        </groupItems>
      </fieldGroup>
    </cacheField>
    <cacheField name="Document Date" numFmtId="14">
      <sharedItems containsSemiMixedTypes="0" containsNonDate="0" containsDate="1" containsString="0" minDate="2014-12-31T00:00:00" maxDate="2021-07-01T00:00:00"/>
    </cacheField>
    <cacheField name="Entry Date" numFmtId="14">
      <sharedItems containsSemiMixedTypes="0" containsNonDate="0" containsDate="1" containsString="0" minDate="2015-01-20T00:00:00" maxDate="2021-07-15T00:00:00"/>
    </cacheField>
    <cacheField name="Document Type" numFmtId="0">
      <sharedItems/>
    </cacheField>
    <cacheField name="Document currency" numFmtId="0">
      <sharedItems/>
    </cacheField>
    <cacheField name="Amount in doc. curr." numFmtId="4">
      <sharedItems containsSemiMixedTypes="0" containsString="0" containsNumber="1" minValue="-3252306.83" maxValue="101300"/>
    </cacheField>
    <cacheField name="Eff.exchange rate" numFmtId="0">
      <sharedItems/>
    </cacheField>
    <cacheField name="Local Currency" numFmtId="0">
      <sharedItems/>
    </cacheField>
    <cacheField name="Amount in local currency" numFmtId="4">
      <sharedItems containsSemiMixedTypes="0" containsString="0" containsNumber="1" minValue="-254005163.43000001" maxValue="8438290"/>
    </cacheField>
    <cacheField name="Amount in loc.curr.2" numFmtId="4">
      <sharedItems containsSemiMixedTypes="0" containsString="0" containsNumber="1" minValue="-3252306.83" maxValue="101300"/>
    </cacheField>
    <cacheField name="Reference" numFmtId="0">
      <sharedItems/>
    </cacheField>
    <cacheField name="Assignment" numFmtId="0">
      <sharedItems/>
    </cacheField>
    <cacheField name="Text/CI No" numFmtId="0">
      <sharedItems/>
    </cacheField>
    <cacheField name="Purchasing Document" numFmtId="0">
      <sharedItems/>
    </cacheField>
    <cacheField name="Item" numFmtId="0">
      <sharedItems/>
    </cacheField>
    <cacheField name="Document Header Text" numFmtId="0">
      <sharedItems/>
    </cacheField>
    <cacheField name="File Number" numFmtId="0">
      <sharedItems/>
    </cacheField>
    <cacheField name="Buyer Name" numFmtId="0">
      <sharedItems/>
    </cacheField>
    <cacheField name="LC Number" numFmtId="0">
      <sharedItems/>
    </cacheField>
    <cacheField name="Profit Center" numFmtId="0">
      <sharedItems/>
    </cacheField>
    <cacheField name="Clearing Document" numFmtId="0">
      <sharedItems/>
    </cacheField>
    <cacheField name="Clearing date" numFmtId="14">
      <sharedItems containsNonDate="0" containsDate="1" containsString="0" containsBlank="1" minDate="2021-07-01T00:00:00" maxDate="2021-07-02T00:00:00"/>
    </cacheField>
    <cacheField name="Billing Document" numFmtId="0">
      <sharedItems/>
    </cacheField>
    <cacheField name="Buyer Description" numFmtId="0">
      <sharedItems/>
    </cacheField>
    <cacheField name="Sales document" numFmtId="0">
      <sharedItems/>
    </cacheField>
    <cacheField name="Withholding tax amnt" numFmtId="4">
      <sharedItems containsSemiMixedTypes="0" containsString="0" containsNumber="1" containsInteger="1" minValue="0" maxValue="0"/>
    </cacheField>
    <cacheField name="Quarters" numFmtId="0" databaseField="0">
      <fieldGroup base="3">
        <rangePr groupBy="quarters" startDate="2014-12-31T00:00:00" endDate="2021-07-01T00:00:00"/>
        <groupItems count="6">
          <s v="&lt;12/31/2014"/>
          <s v="Qtr1"/>
          <s v="Qtr2"/>
          <s v="Qtr3"/>
          <s v="Qtr4"/>
          <s v="&gt;7/1/2021"/>
        </groupItems>
      </fieldGroup>
    </cacheField>
    <cacheField name="Years" numFmtId="0" databaseField="0">
      <fieldGroup base="3">
        <rangePr groupBy="years" startDate="2014-12-31T00:00:00" endDate="2021-07-01T00:00:00"/>
        <groupItems count="10">
          <s v="&lt;12/31/2014"/>
          <s v="2014"/>
          <s v="2015"/>
          <s v="2016"/>
          <s v="2017"/>
          <s v="2018"/>
          <s v="2019"/>
          <s v="2020"/>
          <s v="2021"/>
          <s v="&gt;7/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
    <s v="20201003"/>
    <s v="2015000002"/>
    <x v="0"/>
    <d v="2020-11-05T00:00:00"/>
    <d v="2020-11-09T00:00:00"/>
    <s v="IC"/>
    <s v="USD"/>
    <n v="101300"/>
    <s v="83.30000"/>
    <s v="BDT"/>
    <n v="8438290"/>
    <n v="101300"/>
    <s v="REPAY 32ND INSTA"/>
    <s v="Repay 32nd instal"/>
    <s v="Repay 32nd inst of loan to EDL-HK-CIPL Portion"/>
    <s v=""/>
    <s v="0"/>
    <s v="Repay-32nd instalment"/>
    <s v="27TH INSTALL"/>
    <s v=""/>
    <s v=""/>
    <s v="2010100001"/>
    <s v=""/>
    <m/>
    <s v=""/>
    <s v=""/>
    <s v=""/>
    <n v="0"/>
  </r>
  <r>
    <s v=""/>
    <s v="20201003"/>
    <s v="2015000002"/>
    <x v="0"/>
    <d v="2020-11-05T00:00:00"/>
    <d v="2020-11-09T00:00:00"/>
    <s v="IC"/>
    <s v="USD"/>
    <n v="3613.13"/>
    <s v="83.30000"/>
    <s v="BDT"/>
    <n v="300973.73"/>
    <n v="3613.13"/>
    <s v="REPAY 32ND INSTA"/>
    <s v="Repay 32nd instal"/>
    <s v="Repay 32nd inst of loan to EDL-HK-CIPL Portion"/>
    <s v=""/>
    <s v="0"/>
    <s v="Repay-32nd instalment"/>
    <s v="27TH INSTALL"/>
    <s v=""/>
    <s v=""/>
    <s v="2010100001"/>
    <s v=""/>
    <m/>
    <s v=""/>
    <s v=""/>
    <s v=""/>
    <n v="0"/>
  </r>
  <r>
    <s v=""/>
    <s v="20201003"/>
    <s v="2015000007"/>
    <x v="1"/>
    <d v="2020-12-28T00:00:00"/>
    <d v="2020-12-28T00:00:00"/>
    <s v="IC"/>
    <s v="USD"/>
    <n v="101300"/>
    <s v="83.30000"/>
    <s v="BDT"/>
    <n v="8438290"/>
    <n v="101300"/>
    <s v="REPAY 33RD INSTA"/>
    <s v="Repay 33rd instal"/>
    <s v="Repay 33rd inst of loan to EDL-HK-CIPL Portion"/>
    <s v=""/>
    <s v="0"/>
    <s v="Repay-33rd instalment"/>
    <s v="27TH INSTALL"/>
    <s v=""/>
    <s v=""/>
    <s v="2010100001"/>
    <s v=""/>
    <m/>
    <s v=""/>
    <s v=""/>
    <s v=""/>
    <n v="0"/>
  </r>
  <r>
    <s v=""/>
    <s v="20201003"/>
    <s v="2015000007"/>
    <x v="1"/>
    <d v="2020-12-28T00:00:00"/>
    <d v="2020-12-28T00:00:00"/>
    <s v="IC"/>
    <s v="USD"/>
    <n v="3613.13"/>
    <s v="83.30000"/>
    <s v="BDT"/>
    <n v="300973.73"/>
    <n v="3613.13"/>
    <s v="REPAY 33RD INSTA"/>
    <s v="Repay 33rd instal"/>
    <s v="Repay 33rd inst of loan to EDL-HK-CIPL Portion"/>
    <s v=""/>
    <s v="0"/>
    <s v="Repay-33rd instalment"/>
    <s v="27TH INSTALL"/>
    <s v=""/>
    <s v=""/>
    <s v="2010100001"/>
    <s v=""/>
    <m/>
    <s v=""/>
    <s v=""/>
    <s v=""/>
    <n v="0"/>
  </r>
  <r>
    <s v=""/>
    <s v="20201003"/>
    <s v="2015000009"/>
    <x v="2"/>
    <d v="2021-03-23T00:00:00"/>
    <d v="2021-03-23T00:00:00"/>
    <s v="IC"/>
    <s v="USD"/>
    <n v="101300"/>
    <s v="83.30000"/>
    <s v="BDT"/>
    <n v="8438290"/>
    <n v="101300"/>
    <s v="REPAY 34TH INSTA"/>
    <s v="Repay 34th instal"/>
    <s v="Repay 34th inst of loan to EDL-HK-CIPL Portion"/>
    <s v=""/>
    <s v="0"/>
    <s v="Repay-34th instalment"/>
    <s v="27TH INSTALL"/>
    <s v=""/>
    <s v=""/>
    <s v="2010100001"/>
    <s v=""/>
    <m/>
    <s v=""/>
    <s v=""/>
    <s v=""/>
    <n v="0"/>
  </r>
  <r>
    <s v=""/>
    <s v="20201003"/>
    <s v="2015000009"/>
    <x v="2"/>
    <d v="2021-03-23T00:00:00"/>
    <d v="2021-03-23T00:00:00"/>
    <s v="IC"/>
    <s v="USD"/>
    <n v="3613.13"/>
    <s v="83.30000"/>
    <s v="BDT"/>
    <n v="300973.73"/>
    <n v="3613.13"/>
    <s v="REPAY 34TH INSTA"/>
    <s v="Repay 34th instal"/>
    <s v="Repay 34th inst of loan to EDL-HK-CIPL Portion"/>
    <s v=""/>
    <s v="0"/>
    <s v="Repay-34th instalment"/>
    <s v="27TH INSTALL"/>
    <s v=""/>
    <s v=""/>
    <s v="2010100001"/>
    <s v=""/>
    <m/>
    <s v=""/>
    <s v=""/>
    <s v=""/>
    <n v="0"/>
  </r>
  <r>
    <s v=""/>
    <s v="20201003"/>
    <s v="2015000015"/>
    <x v="3"/>
    <d v="2021-06-24T00:00:00"/>
    <d v="2021-07-06T00:00:00"/>
    <s v="IC"/>
    <s v="USD"/>
    <n v="-1000000"/>
    <s v="83.95000"/>
    <s v="BDT"/>
    <n v="-83950000"/>
    <n v="-1000000"/>
    <s v="LOAN FROM EDL"/>
    <s v="Loan from EDL"/>
    <s v="Promoters Loan from EDL"/>
    <s v=""/>
    <s v="0"/>
    <s v="Loan from EDL"/>
    <s v=""/>
    <s v=""/>
    <s v=""/>
    <s v="2010100001"/>
    <s v=""/>
    <m/>
    <s v=""/>
    <s v=""/>
    <s v=""/>
    <n v="0"/>
  </r>
  <r>
    <s v=""/>
    <s v="20201003"/>
    <s v="2015000016"/>
    <x v="4"/>
    <d v="2021-06-30T00:00:00"/>
    <d v="2021-07-14T00:00:00"/>
    <s v="IC"/>
    <s v="USD"/>
    <n v="0"/>
    <s v=""/>
    <s v="BDT"/>
    <n v="-133021"/>
    <n v="0"/>
    <s v="RESTATEMENT"/>
    <s v="USD Restatem"/>
    <s v="USD GL restatement June 21"/>
    <s v=""/>
    <s v="0"/>
    <s v="Restatement Jun 21"/>
    <s v="JUNE 21"/>
    <s v=""/>
    <s v=""/>
    <s v="2010100001"/>
    <s v="2115000006"/>
    <d v="2021-07-01T00:00:00"/>
    <s v=""/>
    <s v=""/>
    <s v=""/>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s v=""/>
    <s v="20201003"/>
    <s v="1403000510"/>
    <x v="0"/>
    <d v="2014-12-31T00:00:00"/>
    <d v="2015-01-20T00:00:00"/>
    <s v="SA"/>
    <s v="USD"/>
    <n v="-3252306.83"/>
    <s v="78.10000"/>
    <s v="BDT"/>
    <n v="-254005163.43000001"/>
    <n v="-3252306.83"/>
    <s v="TRANSFER20201001"/>
    <s v="20201001"/>
    <s v="transfer values from GL 20201001"/>
    <s v=""/>
    <s v="0"/>
    <s v="transfer20201001"/>
    <s v="DUMMY"/>
    <s v=""/>
    <s v="DUMMY"/>
    <s v="2010100001"/>
    <s v=""/>
    <m/>
    <s v=""/>
    <s v=""/>
    <s v=""/>
    <n v="0"/>
  </r>
  <r>
    <s v=""/>
    <s v="20201003"/>
    <s v="1406000006"/>
    <x v="1"/>
    <d v="2015-03-30T00:00:00"/>
    <d v="2015-04-15T00:00:00"/>
    <s v="DA"/>
    <s v="USD"/>
    <n v="101300"/>
    <s v="77.20000"/>
    <s v="BDT"/>
    <n v="7820360"/>
    <n v="101300"/>
    <s v="EDL-HK LOAN ADJ"/>
    <s v="20201001"/>
    <s v=""/>
    <s v=""/>
    <s v="0"/>
    <s v="EDL-HK Loan adj-cipl part"/>
    <s v="DUMMY"/>
    <s v=""/>
    <s v="DUMMY"/>
    <s v="2010100001"/>
    <s v=""/>
    <m/>
    <s v=""/>
    <s v=""/>
    <s v=""/>
    <n v="0"/>
  </r>
  <r>
    <s v=""/>
    <s v="20201003"/>
    <s v="1406000007"/>
    <x v="1"/>
    <d v="2015-03-30T00:00:00"/>
    <d v="2015-04-15T00:00:00"/>
    <s v="DA"/>
    <s v="USD"/>
    <n v="3613.13"/>
    <s v="77.20000"/>
    <s v="BDT"/>
    <n v="278933.64"/>
    <n v="3613.13"/>
    <s v="EDL-HK LOAN ADJ"/>
    <s v="20201001"/>
    <s v=""/>
    <s v=""/>
    <s v="0"/>
    <s v="EDL-HK Loan adj-CFPL part"/>
    <s v="DUMMY"/>
    <s v=""/>
    <s v="DUMMY"/>
    <s v="2010100001"/>
    <s v=""/>
    <m/>
    <s v=""/>
    <s v=""/>
    <s v=""/>
    <n v="0"/>
  </r>
  <r>
    <s v=""/>
    <s v="20201003"/>
    <s v="1406000010"/>
    <x v="2"/>
    <d v="2015-06-30T00:00:00"/>
    <d v="2015-07-23T00:00:00"/>
    <s v="DA"/>
    <s v="USD"/>
    <n v="101300"/>
    <s v="77.20000"/>
    <s v="BDT"/>
    <n v="7820360"/>
    <n v="101300"/>
    <s v="EDL-HK LOAN ADJ"/>
    <s v="20201001"/>
    <s v=""/>
    <s v=""/>
    <s v="0"/>
    <s v="EDL-HK Loan adj-cipl part"/>
    <s v="DUMMY"/>
    <s v=""/>
    <s v="DUMMY"/>
    <s v="2010100001"/>
    <s v=""/>
    <m/>
    <s v=""/>
    <s v=""/>
    <s v=""/>
    <n v="0"/>
  </r>
  <r>
    <s v=""/>
    <s v="20201003"/>
    <s v="1406000011"/>
    <x v="2"/>
    <d v="2015-06-30T00:00:00"/>
    <d v="2015-07-23T00:00:00"/>
    <s v="DA"/>
    <s v="USD"/>
    <n v="3613.13"/>
    <s v="77.20000"/>
    <s v="BDT"/>
    <n v="278933.64"/>
    <n v="3613.13"/>
    <s v="EDL-HK LOAN ADJ"/>
    <s v="20201001"/>
    <s v=""/>
    <s v=""/>
    <s v="0"/>
    <s v="EDL-HK Loan adj-CFPL part"/>
    <s v="DUMMY"/>
    <s v=""/>
    <s v="DUMMY"/>
    <s v="2010100001"/>
    <s v=""/>
    <m/>
    <s v=""/>
    <s v=""/>
    <s v=""/>
    <n v="0"/>
  </r>
  <r>
    <s v=""/>
    <s v="20201003"/>
    <s v="1506000001"/>
    <x v="3"/>
    <d v="2015-09-30T00:00:00"/>
    <d v="2015-10-08T00:00:00"/>
    <s v="DA"/>
    <s v="USD"/>
    <n v="101300"/>
    <s v="78.10000"/>
    <s v="BDT"/>
    <n v="7911530"/>
    <n v="101300"/>
    <s v="EDL-HK LOAN ADJ"/>
    <s v="EDL-HK Loan Adj"/>
    <s v="EDL-HK Loan Adj-12th Installment-CIPL part"/>
    <s v=""/>
    <s v="0"/>
    <s v="EDL-HK Loan adj-cipl part"/>
    <s v=""/>
    <s v=""/>
    <s v=""/>
    <s v="2010300001"/>
    <s v=""/>
    <m/>
    <s v=""/>
    <s v=""/>
    <s v=""/>
    <n v="0"/>
  </r>
  <r>
    <s v=""/>
    <s v="20201003"/>
    <s v="1506000003"/>
    <x v="3"/>
    <d v="2015-09-30T00:00:00"/>
    <d v="2015-10-08T00:00:00"/>
    <s v="DA"/>
    <s v="USD"/>
    <n v="3613.13"/>
    <s v="78.10000"/>
    <s v="BDT"/>
    <n v="282185.45"/>
    <n v="3613.13"/>
    <s v="EDL-HK LOAN ADJ"/>
    <s v="EDL-HK Loan Adj"/>
    <s v="EDL-HK Loan Adj-12th Installment-CFPL part"/>
    <s v=""/>
    <s v="0"/>
    <s v="EDL-HK Loan adj-CFPL part"/>
    <s v=""/>
    <s v=""/>
    <s v=""/>
    <s v="2010300001"/>
    <s v=""/>
    <m/>
    <s v=""/>
    <s v=""/>
    <s v=""/>
    <n v="0"/>
  </r>
  <r>
    <s v=""/>
    <s v="20201003"/>
    <s v="1515000005"/>
    <x v="4"/>
    <d v="2015-12-29T00:00:00"/>
    <d v="2016-01-20T00:00:00"/>
    <s v="IC"/>
    <s v="USD"/>
    <n v="65765"/>
    <s v="77.70343"/>
    <s v="BDT"/>
    <n v="5110166.2"/>
    <n v="65765"/>
    <s v="EDL-HK LOAN ADJ"/>
    <s v="EDL-HK Loan Adj"/>
    <s v="Partial repay of EDL-HK loan (CIPL part)-13th inst"/>
    <s v=""/>
    <s v="0"/>
    <s v="EDL-HK Loan adj-cipl part"/>
    <s v="1"/>
    <s v=""/>
    <s v="1"/>
    <s v="2010100001"/>
    <s v=""/>
    <m/>
    <s v=""/>
    <s v=""/>
    <s v=""/>
    <n v="0"/>
  </r>
  <r>
    <s v=""/>
    <s v="20201003"/>
    <s v="1515000007"/>
    <x v="5"/>
    <d v="2016-01-31T00:00:00"/>
    <d v="2016-02-10T00:00:00"/>
    <s v="IC"/>
    <s v="USD"/>
    <n v="0.01"/>
    <s v=""/>
    <s v="BDT"/>
    <n v="645693.15"/>
    <n v="0.01"/>
    <s v="RESTATEMENT"/>
    <s v="Amort . rev. res"/>
    <s v="Restatement-Jan 16"/>
    <s v=""/>
    <s v="0"/>
    <s v="Restatement"/>
    <s v="1"/>
    <s v=""/>
    <s v=""/>
    <s v="2010300001"/>
    <s v=""/>
    <m/>
    <s v=""/>
    <s v=""/>
    <s v=""/>
    <n v="0"/>
  </r>
  <r>
    <s v=""/>
    <s v="20201003"/>
    <s v="1515000009"/>
    <x v="6"/>
    <d v="2016-03-30T00:00:00"/>
    <d v="2016-04-02T00:00:00"/>
    <s v="IC"/>
    <s v="USD"/>
    <n v="3613.13"/>
    <s v="77.90000"/>
    <s v="BDT"/>
    <n v="281462.83"/>
    <n v="3613.13"/>
    <s v="EDL-HK LOAN PAY"/>
    <s v="20201001"/>
    <s v="Partial repay of EDL-HK loan (CFPL part)-14th inst"/>
    <s v=""/>
    <s v="0"/>
    <s v="EDL-HK Loan pay-CFPL part"/>
    <s v="DUMMY"/>
    <s v=""/>
    <s v="DUMMY"/>
    <s v="2010100001"/>
    <s v=""/>
    <m/>
    <s v=""/>
    <s v=""/>
    <s v=""/>
    <n v="0"/>
  </r>
  <r>
    <s v=""/>
    <s v="20201003"/>
    <s v="1515000011"/>
    <x v="6"/>
    <d v="2016-03-30T00:00:00"/>
    <d v="2016-04-02T00:00:00"/>
    <s v="IC"/>
    <s v="USD"/>
    <n v="101300"/>
    <s v="77.90000"/>
    <s v="BDT"/>
    <n v="7891270"/>
    <n v="101300"/>
    <s v="EDL-HK LOAN PAY"/>
    <s v="20201001"/>
    <s v="Partial repay of EDL-HK loan (CIPL part)-14th inst"/>
    <s v=""/>
    <s v="0"/>
    <s v="EDL-HK Loan pay-CIPL part"/>
    <s v="DUMMY"/>
    <s v=""/>
    <s v="DUMMY"/>
    <s v="2010100001"/>
    <s v=""/>
    <m/>
    <s v=""/>
    <s v=""/>
    <s v=""/>
    <n v="0"/>
  </r>
  <r>
    <s v=""/>
    <s v="20201003"/>
    <s v="1515000012"/>
    <x v="7"/>
    <d v="2016-03-31T00:00:00"/>
    <d v="2016-04-09T00:00:00"/>
    <s v="IC"/>
    <s v="USD"/>
    <n v="0.01"/>
    <s v=""/>
    <s v="BDT"/>
    <n v="143592.04999999999"/>
    <n v="0.01"/>
    <s v="RESTATEMENT"/>
    <s v="restatement"/>
    <s v="Restatement"/>
    <s v=""/>
    <s v="0"/>
    <s v="Restatement"/>
    <s v="1"/>
    <s v=""/>
    <s v=""/>
    <s v="2010300001"/>
    <s v=""/>
    <m/>
    <s v=""/>
    <s v=""/>
    <s v=""/>
    <n v="0"/>
  </r>
  <r>
    <s v=""/>
    <s v="20201003"/>
    <s v="1515000013"/>
    <x v="8"/>
    <d v="2016-05-31T00:00:00"/>
    <d v="2016-06-08T00:00:00"/>
    <s v="IC"/>
    <s v="USD"/>
    <n v="0.01"/>
    <s v=""/>
    <s v="BDT"/>
    <n v="138345.24"/>
    <n v="0.01"/>
    <s v="RESTATEMENT"/>
    <s v="restatement"/>
    <s v="Restatement"/>
    <s v=""/>
    <s v="0"/>
    <s v="Restatement"/>
    <s v="1"/>
    <s v=""/>
    <s v=""/>
    <s v="2010300001"/>
    <s v=""/>
    <m/>
    <s v=""/>
    <s v=""/>
    <s v=""/>
    <n v="0"/>
  </r>
  <r>
    <s v=""/>
    <s v="20201003"/>
    <s v="1515000014"/>
    <x v="9"/>
    <d v="2016-06-27T00:00:00"/>
    <d v="2016-07-13T00:00:00"/>
    <s v="IC"/>
    <s v="USD"/>
    <n v="101300"/>
    <s v="77.85000"/>
    <s v="BDT"/>
    <n v="7886205"/>
    <n v="101300"/>
    <s v="EDL-HK LOAN PAY"/>
    <s v="20201001"/>
    <s v=""/>
    <s v=""/>
    <s v="0"/>
    <s v="EDL-HK Loan pay-CIPL part"/>
    <s v="DUMMY"/>
    <s v=""/>
    <s v="DUMMY"/>
    <s v="2010100001"/>
    <s v=""/>
    <m/>
    <s v=""/>
    <s v=""/>
    <s v=""/>
    <n v="0"/>
  </r>
  <r>
    <s v=""/>
    <s v="20201003"/>
    <s v="1515000015"/>
    <x v="9"/>
    <d v="2016-06-27T00:00:00"/>
    <d v="2016-07-13T00:00:00"/>
    <s v="IC"/>
    <s v="USD"/>
    <n v="3613.13"/>
    <s v="77.85000"/>
    <s v="BDT"/>
    <n v="281282.17"/>
    <n v="3613.13"/>
    <s v="EDL-HK LOAN PAY"/>
    <s v="EDL-HK Loan pay"/>
    <s v="EDL-HK loan repayment-CFPL part-15th Installment"/>
    <s v=""/>
    <s v="0"/>
    <s v="EDL-HK Loan pay-CFPL part"/>
    <s v="DUMMY"/>
    <s v=""/>
    <s v="DUMMY"/>
    <s v="2010100001"/>
    <s v=""/>
    <m/>
    <s v=""/>
    <s v=""/>
    <s v=""/>
    <n v="0"/>
  </r>
  <r>
    <s v=""/>
    <s v="20201003"/>
    <s v="1515000016"/>
    <x v="10"/>
    <d v="2016-06-30T00:00:00"/>
    <d v="2016-07-17T00:00:00"/>
    <s v="IC"/>
    <s v="USD"/>
    <n v="0.01"/>
    <s v=""/>
    <s v="BDT"/>
    <n v="665494.81999999995"/>
    <n v="0.01"/>
    <s v="RESTATEMENT"/>
    <s v="restatement"/>
    <s v="Restatement"/>
    <s v=""/>
    <s v="0"/>
    <s v="Restatement"/>
    <s v="1"/>
    <s v=""/>
    <s v=""/>
    <s v="2010300001"/>
    <s v=""/>
    <m/>
    <s v=""/>
    <s v=""/>
    <s v=""/>
    <n v="0"/>
  </r>
  <r>
    <s v=""/>
    <s v="20201003"/>
    <s v="1615000000"/>
    <x v="11"/>
    <d v="2016-10-30T00:00:00"/>
    <d v="2016-10-31T00:00:00"/>
    <s v="IC"/>
    <s v="USD"/>
    <n v="101300"/>
    <s v="77.75000"/>
    <s v="BDT"/>
    <n v="7876075"/>
    <n v="101300"/>
    <s v="REPAY OF LOAN"/>
    <s v="20201001"/>
    <s v=""/>
    <s v=""/>
    <s v="0"/>
    <s v="Repay-16th instl of loan"/>
    <s v="DUMMY"/>
    <s v=""/>
    <s v="DUMMY"/>
    <s v="2010100001"/>
    <s v=""/>
    <m/>
    <s v=""/>
    <s v=""/>
    <s v=""/>
    <n v="0"/>
  </r>
  <r>
    <s v=""/>
    <s v="20201003"/>
    <s v="1615000001"/>
    <x v="11"/>
    <d v="2016-10-30T00:00:00"/>
    <d v="2016-10-31T00:00:00"/>
    <s v="IC"/>
    <s v="USD"/>
    <n v="3613.13"/>
    <s v="77.75000"/>
    <s v="BDT"/>
    <n v="280920.86"/>
    <n v="3613.13"/>
    <s v="REPAY OF LOAN"/>
    <s v="20201001"/>
    <s v="Repay -16th instl of loan to EDL-HK -CFPL part"/>
    <s v=""/>
    <s v="0"/>
    <s v="Repay-16th instl of loan"/>
    <s v="DUMMY"/>
    <s v=""/>
    <s v="DUMMY"/>
    <s v="2010100001"/>
    <s v=""/>
    <m/>
    <s v=""/>
    <s v=""/>
    <s v=""/>
    <n v="0"/>
  </r>
  <r>
    <s v=""/>
    <s v="20201003"/>
    <s v="1615000008"/>
    <x v="12"/>
    <d v="2017-01-04T00:00:00"/>
    <d v="2017-02-02T00:00:00"/>
    <s v="IC"/>
    <s v="USD"/>
    <n v="101300"/>
    <s v="78.00000"/>
    <s v="BDT"/>
    <n v="7901400"/>
    <n v="101300"/>
    <s v="REPAY OF LOAN"/>
    <s v="Repay-17 inst loan"/>
    <s v="Repay-17th inst of loan to EDL-HK-CIPL part"/>
    <s v=""/>
    <s v="0"/>
    <s v="Repay-17th instal of loan"/>
    <s v="1"/>
    <s v=""/>
    <s v=""/>
    <s v="2010300001"/>
    <s v=""/>
    <m/>
    <s v=""/>
    <s v=""/>
    <s v=""/>
    <n v="0"/>
  </r>
  <r>
    <s v=""/>
    <s v="20201003"/>
    <s v="1615000009"/>
    <x v="12"/>
    <d v="2017-01-04T00:00:00"/>
    <d v="2017-02-02T00:00:00"/>
    <s v="IC"/>
    <s v="USD"/>
    <n v="3613.13"/>
    <s v="78.00000"/>
    <s v="BDT"/>
    <n v="281824.14"/>
    <n v="3613.13"/>
    <s v="REPAY OF LOAN"/>
    <s v="Repay-17 inst loan"/>
    <s v="Repay-17th inst of loan to EDL-HK-CFPL-part"/>
    <s v=""/>
    <s v="0"/>
    <s v=""/>
    <s v="1"/>
    <s v=""/>
    <s v=""/>
    <s v="2010300001"/>
    <s v=""/>
    <m/>
    <s v=""/>
    <s v=""/>
    <s v=""/>
    <n v="0"/>
  </r>
  <r>
    <s v=""/>
    <s v="20201003"/>
    <s v="1615000010"/>
    <x v="13"/>
    <d v="2017-06-08T00:00:00"/>
    <d v="2017-07-11T00:00:00"/>
    <s v="IC"/>
    <s v="USD"/>
    <n v="101300"/>
    <s v="80.12000"/>
    <s v="BDT"/>
    <n v="8116156"/>
    <n v="101300"/>
    <s v="REPAY OF LOAN"/>
    <s v="Repay 18th  intalm"/>
    <s v="Repay -18th Instl of loan  to EDL-Hk-CIPL part"/>
    <s v=""/>
    <s v="0"/>
    <s v="Repay-18th Intalment"/>
    <s v="1"/>
    <s v=""/>
    <s v=""/>
    <s v="2010300001"/>
    <s v=""/>
    <m/>
    <s v=""/>
    <s v=""/>
    <s v=""/>
    <n v="0"/>
  </r>
  <r>
    <s v=""/>
    <s v="20201003"/>
    <s v="1615000011"/>
    <x v="13"/>
    <d v="2017-06-08T00:00:00"/>
    <d v="2017-07-11T00:00:00"/>
    <s v="IC"/>
    <s v="USD"/>
    <n v="3613.13"/>
    <s v="80.12000"/>
    <s v="BDT"/>
    <n v="289483.98"/>
    <n v="3613.13"/>
    <s v="REPAY OF LOAN"/>
    <s v="Repay 18th  intalm"/>
    <s v="Repay -18th Instl of loan  to EDL-Hk-CFPL part"/>
    <s v=""/>
    <s v="0"/>
    <s v="Repay-18th Intalment"/>
    <s v="1"/>
    <s v=""/>
    <s v=""/>
    <s v="2010300001"/>
    <s v=""/>
    <m/>
    <s v=""/>
    <s v=""/>
    <s v=""/>
    <n v="0"/>
  </r>
  <r>
    <s v=""/>
    <s v="20201003"/>
    <s v="1715000003"/>
    <x v="14"/>
    <d v="2017-08-10T00:00:00"/>
    <d v="2017-09-17T00:00:00"/>
    <s v="IC"/>
    <s v="USD"/>
    <n v="101300"/>
    <s v="80.75000"/>
    <s v="BDT"/>
    <n v="8179975"/>
    <n v="101300"/>
    <s v="REPAY OF LOAN"/>
    <s v="Repay 19th  intalm"/>
    <s v="Repay-19th installment of loan to EDL-HK-CIPL Part"/>
    <s v=""/>
    <s v="0"/>
    <s v="Repay-19th intal of loan"/>
    <s v="1"/>
    <s v=""/>
    <s v=""/>
    <s v="2010300001"/>
    <s v=""/>
    <m/>
    <s v=""/>
    <s v=""/>
    <s v=""/>
    <n v="0"/>
  </r>
  <r>
    <s v=""/>
    <s v="20201003"/>
    <s v="1715000004"/>
    <x v="14"/>
    <d v="2017-08-10T00:00:00"/>
    <d v="2017-09-17T00:00:00"/>
    <s v="IC"/>
    <s v="USD"/>
    <n v="3613.13"/>
    <s v="80.75000"/>
    <s v="BDT"/>
    <n v="291760.24"/>
    <n v="3613.13"/>
    <s v="REPAY OF LOAN"/>
    <s v="Repay 19th  intalm"/>
    <s v="Repay-19th installment of loan to EDL-HK-CFPL Part"/>
    <s v=""/>
    <s v="0"/>
    <s v="Repay-19th intal of loan"/>
    <s v="1"/>
    <s v=""/>
    <s v=""/>
    <s v="2010300001"/>
    <s v=""/>
    <m/>
    <s v=""/>
    <s v=""/>
    <s v=""/>
    <n v="0"/>
  </r>
  <r>
    <s v=""/>
    <s v="20201003"/>
    <s v="1715000007"/>
    <x v="15"/>
    <d v="2017-12-18T00:00:00"/>
    <d v="2017-12-21T00:00:00"/>
    <s v="IC"/>
    <s v="USD"/>
    <n v="3613.13"/>
    <s v="83.85195"/>
    <s v="BDT"/>
    <n v="302967.99"/>
    <n v="3613.13"/>
    <s v="LOAN REPAYMENT"/>
    <s v="Loan repayment"/>
    <s v="Repay-20th intalment of loan to EDL-HK-CFPL part"/>
    <s v=""/>
    <s v="0"/>
    <s v="Repay:20th instal of loan"/>
    <s v="1"/>
    <s v=""/>
    <s v=""/>
    <s v="2010200001"/>
    <s v=""/>
    <m/>
    <s v=""/>
    <s v=""/>
    <s v=""/>
    <n v="0"/>
  </r>
  <r>
    <s v=""/>
    <s v="20201003"/>
    <s v="1715000008"/>
    <x v="15"/>
    <d v="2017-12-18T00:00:00"/>
    <d v="2017-12-21T00:00:00"/>
    <s v="IC"/>
    <s v="USD"/>
    <n v="101300"/>
    <s v="83.21361"/>
    <s v="BDT"/>
    <n v="8429538.7100000009"/>
    <n v="101300"/>
    <s v="LOAN REPAYMENT"/>
    <s v="Loan repayment"/>
    <s v="Repay-20th intalment of loan to EDL-HK-CIPL part"/>
    <s v=""/>
    <s v="0"/>
    <s v="Repay:20th instal of loan"/>
    <s v="1"/>
    <s v=""/>
    <s v=""/>
    <s v="2010200001"/>
    <s v=""/>
    <m/>
    <s v=""/>
    <s v=""/>
    <s v=""/>
    <n v="0"/>
  </r>
  <r>
    <s v=""/>
    <s v="20201003"/>
    <s v="1715000010"/>
    <x v="16"/>
    <d v="2018-02-13T00:00:00"/>
    <d v="2018-02-17T00:00:00"/>
    <s v="IC"/>
    <s v="USD"/>
    <n v="60000"/>
    <s v="82.40000"/>
    <s v="BDT"/>
    <n v="4944000"/>
    <n v="60000"/>
    <s v="LOAN REPAYMENT"/>
    <s v="Loan repayment"/>
    <s v="Repay-21st of loan to EDL-Hk-CIPL Portion-Partial"/>
    <s v=""/>
    <s v="0"/>
    <s v="Repay:21st instal of loan"/>
    <s v="1"/>
    <s v=""/>
    <s v=""/>
    <s v="2010100001"/>
    <s v=""/>
    <m/>
    <s v=""/>
    <s v=""/>
    <s v=""/>
    <n v="0"/>
  </r>
  <r>
    <s v=""/>
    <s v="20201003"/>
    <s v="1715000011"/>
    <x v="16"/>
    <d v="2018-02-13T00:00:00"/>
    <d v="2018-02-17T00:00:00"/>
    <s v="IC"/>
    <s v="USD"/>
    <n v="3613.13"/>
    <s v="82.40000"/>
    <s v="BDT"/>
    <n v="297721.90999999997"/>
    <n v="3613.13"/>
    <s v="LOAN REPAYMENT"/>
    <s v="Loan repayment"/>
    <s v="Repay-21st of loan to EDL-Hk-CFPL Portion"/>
    <s v=""/>
    <s v="0"/>
    <s v="Repay:21st instal of loan"/>
    <s v="1"/>
    <s v=""/>
    <s v=""/>
    <s v="2010100001"/>
    <s v=""/>
    <m/>
    <s v=""/>
    <s v=""/>
    <s v=""/>
    <n v="0"/>
  </r>
  <r>
    <s v=""/>
    <s v="20201003"/>
    <s v="1815000004"/>
    <x v="17"/>
    <d v="2018-09-25T00:00:00"/>
    <d v="2018-10-04T00:00:00"/>
    <s v="IC"/>
    <s v="USD"/>
    <n v="41300"/>
    <s v="82.75000"/>
    <s v="BDT"/>
    <n v="3417575"/>
    <n v="41300"/>
    <s v="LOAN REPAYMENT"/>
    <s v="Loan repayment"/>
    <s v="Repay 21st inst of loan -EDL-HK-CIPL portion-part"/>
    <s v=""/>
    <s v="0"/>
    <s v="Repay 21-22nd instl part"/>
    <s v="1"/>
    <s v=""/>
    <s v=""/>
    <s v="2010100001"/>
    <s v=""/>
    <m/>
    <s v=""/>
    <s v=""/>
    <s v=""/>
    <n v="0"/>
  </r>
  <r>
    <s v=""/>
    <s v="20201003"/>
    <s v="1815000004"/>
    <x v="17"/>
    <d v="2018-09-25T00:00:00"/>
    <d v="2018-10-04T00:00:00"/>
    <s v="IC"/>
    <s v="USD"/>
    <n v="101300"/>
    <s v="82.75000"/>
    <s v="BDT"/>
    <n v="8382575"/>
    <n v="101300"/>
    <s v="LOAN REPAYMENT"/>
    <s v="Loan repayment"/>
    <s v="Repayment-22nd inst of loan to EDL-HK-CIPL portion"/>
    <s v=""/>
    <s v="0"/>
    <s v="Repay 21-22nd instl part"/>
    <s v="1"/>
    <s v=""/>
    <s v=""/>
    <s v="2010100001"/>
    <s v=""/>
    <m/>
    <s v=""/>
    <s v=""/>
    <s v=""/>
    <n v="0"/>
  </r>
  <r>
    <s v=""/>
    <s v="20201003"/>
    <s v="1815000006"/>
    <x v="18"/>
    <d v="2018-10-25T00:00:00"/>
    <d v="2018-10-28T00:00:00"/>
    <s v="IC"/>
    <s v="USD"/>
    <n v="3613.13"/>
    <s v="82.80000"/>
    <s v="BDT"/>
    <n v="299167.17"/>
    <n v="3613.13"/>
    <s v="LOAN REPAYMENT"/>
    <s v="Repay 22 instl"/>
    <s v="Repay 22nd inst of loan to EDL-HK-CFPL portion"/>
    <s v=""/>
    <s v="0"/>
    <s v="Repay 22-23rd  instl part"/>
    <s v="1"/>
    <s v=""/>
    <s v=""/>
    <s v="2010100001"/>
    <s v=""/>
    <m/>
    <s v=""/>
    <s v=""/>
    <s v=""/>
    <n v="0"/>
  </r>
  <r>
    <s v=""/>
    <s v="20201003"/>
    <s v="1815000006"/>
    <x v="18"/>
    <d v="2018-10-25T00:00:00"/>
    <d v="2018-10-28T00:00:00"/>
    <s v="IC"/>
    <s v="USD"/>
    <n v="3613.13"/>
    <s v="82.80000"/>
    <s v="BDT"/>
    <n v="299167.15999999997"/>
    <n v="3613.13"/>
    <s v="LOAN REPAYMENT"/>
    <s v="Repay 23 inst loan"/>
    <s v="Repay 23 rd inst of loan to EDL-HK-CFPL portion"/>
    <s v=""/>
    <s v="0"/>
    <s v="Repay 22-23rd  instl part"/>
    <s v="1"/>
    <s v=""/>
    <s v=""/>
    <s v="2010100001"/>
    <s v=""/>
    <m/>
    <s v=""/>
    <s v=""/>
    <s v=""/>
    <n v="0"/>
  </r>
  <r>
    <s v=""/>
    <s v="20201003"/>
    <s v="1815000007"/>
    <x v="18"/>
    <d v="2018-10-25T00:00:00"/>
    <d v="2018-10-28T00:00:00"/>
    <s v="IC"/>
    <s v="USD"/>
    <n v="101300"/>
    <s v="82.80000"/>
    <s v="BDT"/>
    <n v="8387640"/>
    <n v="101300"/>
    <s v="LOAN REPAYMENT"/>
    <s v="Repay 23 inst loan"/>
    <s v="Repay 23 rd inst of loan to EDL-HK-CIPL portion"/>
    <s v=""/>
    <s v="0"/>
    <s v="Repay 23rd  instl"/>
    <s v="1"/>
    <s v=""/>
    <s v=""/>
    <s v="2010100001"/>
    <s v=""/>
    <m/>
    <s v=""/>
    <s v=""/>
    <s v=""/>
    <n v="0"/>
  </r>
  <r>
    <s v=""/>
    <s v="20201003"/>
    <s v="1815000012"/>
    <x v="19"/>
    <d v="2019-01-28T00:00:00"/>
    <d v="2019-01-29T00:00:00"/>
    <s v="IC"/>
    <s v="USD"/>
    <n v="101300"/>
    <s v="82.95000"/>
    <s v="BDT"/>
    <n v="8402835"/>
    <n v="101300"/>
    <s v="REPAY 24TH INSTA"/>
    <s v="Repay 24th Install"/>
    <s v="Repay 24th inst of loan to EDL-HK -CIPL portion"/>
    <s v=""/>
    <s v="0"/>
    <s v="Repay 24th instal-EDL-HK"/>
    <s v="1"/>
    <s v=""/>
    <s v=""/>
    <s v="2010100001"/>
    <s v=""/>
    <m/>
    <s v=""/>
    <s v=""/>
    <s v=""/>
    <n v="0"/>
  </r>
  <r>
    <s v=""/>
    <s v="20201003"/>
    <s v="1815000013"/>
    <x v="19"/>
    <d v="2019-01-28T00:00:00"/>
    <d v="2019-01-29T00:00:00"/>
    <s v="IC"/>
    <s v="USD"/>
    <n v="3613.13"/>
    <s v="82.95000"/>
    <s v="BDT"/>
    <n v="299709.13"/>
    <n v="3613.13"/>
    <s v="REPAY 24TH INSTA"/>
    <s v="Repay 24th Install"/>
    <s v="Repay 24th inst of loan to EDL-HK -CFPL portion"/>
    <s v=""/>
    <s v="0"/>
    <s v="Repay 24th instal-EDL-HK"/>
    <s v="1"/>
    <s v=""/>
    <s v=""/>
    <s v="2010100001"/>
    <s v=""/>
    <m/>
    <s v=""/>
    <s v=""/>
    <s v=""/>
    <n v="0"/>
  </r>
  <r>
    <s v=""/>
    <s v="20201003"/>
    <s v="1815000023"/>
    <x v="20"/>
    <d v="2019-02-25T00:00:00"/>
    <d v="2019-02-27T00:00:00"/>
    <s v="IC"/>
    <s v="USD"/>
    <n v="101300"/>
    <s v="82.95000"/>
    <s v="BDT"/>
    <n v="8402835"/>
    <n v="101300"/>
    <s v="REPAY 25TH INSTA"/>
    <s v="Repay 25th instal"/>
    <s v="Repay 25th inst of loan to EDL-HK -CIPL portion"/>
    <s v=""/>
    <s v="0"/>
    <s v="Repay 25th instal-EDL-HK"/>
    <s v="EDL-HK"/>
    <s v=""/>
    <s v=""/>
    <s v="2010100001"/>
    <s v=""/>
    <m/>
    <s v=""/>
    <s v=""/>
    <s v=""/>
    <n v="0"/>
  </r>
  <r>
    <s v=""/>
    <s v="20201003"/>
    <s v="1815000023"/>
    <x v="20"/>
    <d v="2019-02-25T00:00:00"/>
    <d v="2019-02-27T00:00:00"/>
    <s v="IC"/>
    <s v="USD"/>
    <n v="3613.13"/>
    <s v="82.95000"/>
    <s v="BDT"/>
    <n v="299709.13"/>
    <n v="3613.13"/>
    <s v="REPAY 25TH INSTA"/>
    <s v="Repay 25th instal"/>
    <s v="Repay 25th inst of loan to EDL-HK -CFPL portion"/>
    <s v=""/>
    <s v="0"/>
    <s v="Repay 25th instal-EDL-HK"/>
    <s v="EDL-HK"/>
    <s v=""/>
    <s v=""/>
    <s v="2010100001"/>
    <s v=""/>
    <m/>
    <s v=""/>
    <s v=""/>
    <s v=""/>
    <n v="0"/>
  </r>
  <r>
    <s v=""/>
    <s v="20201003"/>
    <s v="1815000026"/>
    <x v="21"/>
    <d v="2019-03-25T00:00:00"/>
    <d v="2019-04-06T00:00:00"/>
    <s v="IC"/>
    <s v="USD"/>
    <n v="101300"/>
    <s v="83.30000"/>
    <s v="BDT"/>
    <n v="8438290"/>
    <n v="101300"/>
    <s v="REPAY 26TH INSTA"/>
    <s v="Repay 26th instal"/>
    <s v="Repay 26th inst of loan to EDL-HK-CIPL Portion"/>
    <s v=""/>
    <s v="0"/>
    <s v="Repay-26th instalment"/>
    <s v="26TH INSTALL"/>
    <s v=""/>
    <s v=""/>
    <s v="2010100001"/>
    <s v=""/>
    <m/>
    <s v=""/>
    <s v=""/>
    <s v=""/>
    <n v="0"/>
  </r>
  <r>
    <s v=""/>
    <s v="20201003"/>
    <s v="1815000026"/>
    <x v="21"/>
    <d v="2019-03-25T00:00:00"/>
    <d v="2019-04-06T00:00:00"/>
    <s v="IC"/>
    <s v="USD"/>
    <n v="3613.13"/>
    <s v="83.30000"/>
    <s v="BDT"/>
    <n v="300973.73"/>
    <n v="3613.13"/>
    <s v="REPAY 26TH INSTA"/>
    <s v="Repay 26th instal"/>
    <s v="Repay 26th inst of loan to EDL-HK-CFPL Portion"/>
    <s v=""/>
    <s v="0"/>
    <s v="Repay-26th instalment"/>
    <s v="26TH INSTALL"/>
    <s v=""/>
    <s v=""/>
    <s v="2010100001"/>
    <s v=""/>
    <m/>
    <s v=""/>
    <s v=""/>
    <s v=""/>
    <n v="0"/>
  </r>
  <r>
    <s v=""/>
    <s v="20201003"/>
    <s v="1815000037"/>
    <x v="22"/>
    <d v="2019-06-30T00:00:00"/>
    <d v="2019-07-29T00:00:00"/>
    <s v="IC"/>
    <s v="USD"/>
    <n v="0"/>
    <s v=""/>
    <s v="BDT"/>
    <n v="-13465249"/>
    <n v="0"/>
    <s v="RESTATEMENT"/>
    <s v="USD Restatem"/>
    <s v="USD GL restatement June 19"/>
    <s v=""/>
    <s v="0"/>
    <s v="Restatement Jun 19"/>
    <s v="JUNE 19"/>
    <s v=""/>
    <s v=""/>
    <s v="2010100001"/>
    <s v=""/>
    <m/>
    <s v=""/>
    <s v=""/>
    <s v=""/>
    <n v="0"/>
  </r>
  <r>
    <s v=""/>
    <s v="20201003"/>
    <s v="1915000001"/>
    <x v="23"/>
    <d v="2019-08-07T00:00:00"/>
    <d v="2019-09-02T00:00:00"/>
    <s v="IC"/>
    <s v="USD"/>
    <n v="101300"/>
    <s v="83.30000"/>
    <s v="BDT"/>
    <n v="8438290"/>
    <n v="101300"/>
    <s v="REPAY 27TH INSTA"/>
    <s v="Repay 27th instal"/>
    <s v="Repay 27th inst of loan to EDL-HK-CIPL Portion"/>
    <s v=""/>
    <s v="0"/>
    <s v="Repay-27th instalment"/>
    <s v="26TH INSTALL"/>
    <s v=""/>
    <s v=""/>
    <s v="2010100001"/>
    <s v=""/>
    <m/>
    <s v=""/>
    <s v=""/>
    <s v=""/>
    <n v="0"/>
  </r>
  <r>
    <s v=""/>
    <s v="20201003"/>
    <s v="1915000001"/>
    <x v="23"/>
    <d v="2019-08-07T00:00:00"/>
    <d v="2019-09-02T00:00:00"/>
    <s v="IC"/>
    <s v="USD"/>
    <n v="3613.13"/>
    <s v="83.30000"/>
    <s v="BDT"/>
    <n v="300973.73"/>
    <n v="3613.13"/>
    <s v="REPAY 27TH INSTA"/>
    <s v="Repay 27th instal"/>
    <s v="Repay 27th inst of loan to EDL-HK-CFPL Portion"/>
    <s v=""/>
    <s v="0"/>
    <s v="Repay-27th instalment"/>
    <s v="27TH INSTALL"/>
    <s v=""/>
    <s v=""/>
    <s v="2010100001"/>
    <s v=""/>
    <m/>
    <s v=""/>
    <s v=""/>
    <s v=""/>
    <n v="0"/>
  </r>
  <r>
    <s v=""/>
    <s v="20201003"/>
    <s v="1915000002"/>
    <x v="24"/>
    <d v="2019-10-09T00:00:00"/>
    <d v="2019-11-03T00:00:00"/>
    <s v="IC"/>
    <s v="USD"/>
    <n v="101300"/>
    <s v="83.30000"/>
    <s v="BDT"/>
    <n v="8438290"/>
    <n v="101300"/>
    <s v="REPAY 28TH INSTA"/>
    <s v="Repay 28th instal"/>
    <s v="Repay 28th inst of loan to EDL-HK-CIPL Portion"/>
    <s v=""/>
    <s v="0"/>
    <s v="Repay-28th instalment"/>
    <s v="27TH INSTALL"/>
    <s v=""/>
    <s v=""/>
    <s v="2010100001"/>
    <s v=""/>
    <m/>
    <s v=""/>
    <s v=""/>
    <s v=""/>
    <n v="0"/>
  </r>
  <r>
    <s v=""/>
    <s v="20201003"/>
    <s v="1915000002"/>
    <x v="24"/>
    <d v="2019-10-09T00:00:00"/>
    <d v="2019-11-03T00:00:00"/>
    <s v="IC"/>
    <s v="USD"/>
    <n v="3613.13"/>
    <s v="83.30000"/>
    <s v="BDT"/>
    <n v="300973.73"/>
    <n v="3613.13"/>
    <s v="REPAY 28TH INSTA"/>
    <s v="Repay 28th instal"/>
    <s v="Repay 28th inst of loan to EDL-HK-CFPL Portion"/>
    <s v=""/>
    <s v="0"/>
    <s v="Repay-28th instalment"/>
    <s v="27TH INSTALL"/>
    <s v=""/>
    <s v=""/>
    <s v="2010100001"/>
    <s v=""/>
    <m/>
    <s v=""/>
    <s v=""/>
    <s v=""/>
    <n v="0"/>
  </r>
  <r>
    <s v=""/>
    <s v="20201003"/>
    <s v="1915000011"/>
    <x v="25"/>
    <d v="2020-01-02T00:00:00"/>
    <d v="2020-01-15T00:00:00"/>
    <s v="IC"/>
    <s v="USD"/>
    <n v="101300"/>
    <s v="83.30000"/>
    <s v="BDT"/>
    <n v="8438290"/>
    <n v="101300"/>
    <s v="REPAY 29TH INSTA"/>
    <s v="Repay 29th instal"/>
    <s v="Repay 29th inst of loan to EDL-HK-CIPL Portion"/>
    <s v=""/>
    <s v="0"/>
    <s v="Repay-29th instalment"/>
    <s v="27TH INSTALL"/>
    <s v=""/>
    <s v=""/>
    <s v="2010100001"/>
    <s v=""/>
    <m/>
    <s v=""/>
    <s v=""/>
    <s v=""/>
    <n v="0"/>
  </r>
  <r>
    <s v=""/>
    <s v="20201003"/>
    <s v="1915000011"/>
    <x v="25"/>
    <d v="2020-01-02T00:00:00"/>
    <d v="2020-01-15T00:00:00"/>
    <s v="IC"/>
    <s v="USD"/>
    <n v="3613.13"/>
    <s v="83.30000"/>
    <s v="BDT"/>
    <n v="300973.73"/>
    <n v="3613.13"/>
    <s v="REPAY 29TH INSTA"/>
    <s v="Repay 29th instal"/>
    <s v="Repay 29th inst of loan to EDL-HK-CFPL Portion"/>
    <s v=""/>
    <s v="0"/>
    <s v="Repay-29th instalment"/>
    <s v="27TH INSTALL"/>
    <s v=""/>
    <s v=""/>
    <s v="2010100001"/>
    <s v=""/>
    <m/>
    <s v=""/>
    <s v=""/>
    <s v=""/>
    <n v="0"/>
  </r>
  <r>
    <s v=""/>
    <s v="20201003"/>
    <s v="1915000018"/>
    <x v="26"/>
    <d v="2020-06-11T00:00:00"/>
    <d v="2020-06-11T00:00:00"/>
    <s v="IC"/>
    <s v="USD"/>
    <n v="101300"/>
    <s v="83.30000"/>
    <s v="BDT"/>
    <n v="8438290"/>
    <n v="101300"/>
    <s v="REPAY 30TH INSTA"/>
    <s v="Repay 30th instal"/>
    <s v="Repay 30th inst of loan to EDL-HK-CIPL Portion"/>
    <s v=""/>
    <s v="0"/>
    <s v="Repay-30th instalment"/>
    <s v="27TH INSTALL"/>
    <s v=""/>
    <s v=""/>
    <s v="2010100001"/>
    <s v=""/>
    <m/>
    <s v=""/>
    <s v=""/>
    <s v=""/>
    <n v="0"/>
  </r>
  <r>
    <s v=""/>
    <s v="20201003"/>
    <s v="1915000018"/>
    <x v="26"/>
    <d v="2020-06-11T00:00:00"/>
    <d v="2020-06-11T00:00:00"/>
    <s v="IC"/>
    <s v="USD"/>
    <n v="3613.13"/>
    <s v="83.30000"/>
    <s v="BDT"/>
    <n v="300973.73"/>
    <n v="3613.13"/>
    <s v="REPAY 30TH INSTA"/>
    <s v="Repay 30th instal"/>
    <s v="Repay 30th inst of loan to EDL-HK-CFPL Portion"/>
    <s v=""/>
    <s v="0"/>
    <s v="Repay-30th instalment"/>
    <s v="27TH INSTALL"/>
    <s v=""/>
    <s v=""/>
    <s v="2010100001"/>
    <s v=""/>
    <m/>
    <s v=""/>
    <s v=""/>
    <s v=""/>
    <n v="0"/>
  </r>
  <r>
    <s v=""/>
    <s v="20201003"/>
    <s v="1915000022"/>
    <x v="27"/>
    <d v="2020-06-30T00:00:00"/>
    <d v="2020-07-03T00:00:00"/>
    <s v="IC"/>
    <s v="USD"/>
    <n v="101300"/>
    <s v="83.30000"/>
    <s v="BDT"/>
    <n v="8438290"/>
    <n v="101300"/>
    <s v="REPAY 31ST INSTA"/>
    <s v="Repay 31st instal"/>
    <s v="Repay 31st inst of loan to EDL-HK-CIPL Portion"/>
    <s v=""/>
    <s v="0"/>
    <s v="Repay-31st instalment"/>
    <s v="27TH INSTALL"/>
    <s v=""/>
    <s v=""/>
    <s v="2010100001"/>
    <s v=""/>
    <m/>
    <s v=""/>
    <s v=""/>
    <s v=""/>
    <n v="0"/>
  </r>
  <r>
    <s v=""/>
    <s v="20201003"/>
    <s v="1915000022"/>
    <x v="27"/>
    <d v="2020-06-30T00:00:00"/>
    <d v="2020-07-03T00:00:00"/>
    <s v="IC"/>
    <s v="USD"/>
    <n v="3613.13"/>
    <s v="83.30000"/>
    <s v="BDT"/>
    <n v="300973.73"/>
    <n v="3613.13"/>
    <s v="REPAY 31ST INSTA"/>
    <s v="Repay 31st instal"/>
    <s v="Repay 31st inst of loan to EDL-HK-CIPL Portion"/>
    <s v=""/>
    <s v="0"/>
    <s v="Repay-31st instalment"/>
    <s v="27TH INSTALL"/>
    <s v=""/>
    <s v=""/>
    <s v="2010100001"/>
    <s v=""/>
    <m/>
    <s v=""/>
    <s v=""/>
    <s v=""/>
    <n v="0"/>
  </r>
  <r>
    <s v=""/>
    <s v="20201003"/>
    <s v="2015000002"/>
    <x v="28"/>
    <d v="2020-11-05T00:00:00"/>
    <d v="2020-11-09T00:00:00"/>
    <s v="IC"/>
    <s v="USD"/>
    <n v="101300"/>
    <s v="83.30000"/>
    <s v="BDT"/>
    <n v="8438290"/>
    <n v="101300"/>
    <s v="REPAY 32ND INSTA"/>
    <s v="Repay 32nd instal"/>
    <s v="Repay 32nd inst of loan to EDL-HK-CIPL Portion"/>
    <s v=""/>
    <s v="0"/>
    <s v="Repay-32nd instalment"/>
    <s v="27TH INSTALL"/>
    <s v=""/>
    <s v=""/>
    <s v="2010100001"/>
    <s v=""/>
    <m/>
    <s v=""/>
    <s v=""/>
    <s v=""/>
    <n v="0"/>
  </r>
  <r>
    <s v=""/>
    <s v="20201003"/>
    <s v="2015000002"/>
    <x v="28"/>
    <d v="2020-11-05T00:00:00"/>
    <d v="2020-11-09T00:00:00"/>
    <s v="IC"/>
    <s v="USD"/>
    <n v="3613.13"/>
    <s v="83.30000"/>
    <s v="BDT"/>
    <n v="300973.73"/>
    <n v="3613.13"/>
    <s v="REPAY 32ND INSTA"/>
    <s v="Repay 32nd instal"/>
    <s v="Repay 32nd inst of loan to EDL-HK-CIPL Portion"/>
    <s v=""/>
    <s v="0"/>
    <s v="Repay-32nd instalment"/>
    <s v="27TH INSTALL"/>
    <s v=""/>
    <s v=""/>
    <s v="2010100001"/>
    <s v=""/>
    <m/>
    <s v=""/>
    <s v=""/>
    <s v=""/>
    <n v="0"/>
  </r>
  <r>
    <s v=""/>
    <s v="20201003"/>
    <s v="2015000007"/>
    <x v="29"/>
    <d v="2020-12-28T00:00:00"/>
    <d v="2020-12-28T00:00:00"/>
    <s v="IC"/>
    <s v="USD"/>
    <n v="101300"/>
    <s v="83.30000"/>
    <s v="BDT"/>
    <n v="8438290"/>
    <n v="101300"/>
    <s v="REPAY 33RD INSTA"/>
    <s v="Repay 33rd instal"/>
    <s v="Repay 33rd inst of loan to EDL-HK-CIPL Portion"/>
    <s v=""/>
    <s v="0"/>
    <s v="Repay-33rd instalment"/>
    <s v="27TH INSTALL"/>
    <s v=""/>
    <s v=""/>
    <s v="2010100001"/>
    <s v=""/>
    <m/>
    <s v=""/>
    <s v=""/>
    <s v=""/>
    <n v="0"/>
  </r>
  <r>
    <s v=""/>
    <s v="20201003"/>
    <s v="2015000007"/>
    <x v="29"/>
    <d v="2020-12-28T00:00:00"/>
    <d v="2020-12-28T00:00:00"/>
    <s v="IC"/>
    <s v="USD"/>
    <n v="3613.13"/>
    <s v="83.30000"/>
    <s v="BDT"/>
    <n v="300973.73"/>
    <n v="3613.13"/>
    <s v="REPAY 33RD INSTA"/>
    <s v="Repay 33rd instal"/>
    <s v="Repay 33rd inst of loan to EDL-HK-CIPL Portion"/>
    <s v=""/>
    <s v="0"/>
    <s v="Repay-33rd instalment"/>
    <s v="27TH INSTALL"/>
    <s v=""/>
    <s v=""/>
    <s v="2010100001"/>
    <s v=""/>
    <m/>
    <s v=""/>
    <s v=""/>
    <s v=""/>
    <n v="0"/>
  </r>
  <r>
    <s v=""/>
    <s v="20201003"/>
    <s v="2015000009"/>
    <x v="30"/>
    <d v="2021-03-23T00:00:00"/>
    <d v="2021-03-23T00:00:00"/>
    <s v="IC"/>
    <s v="USD"/>
    <n v="101300"/>
    <s v="83.30000"/>
    <s v="BDT"/>
    <n v="8438290"/>
    <n v="101300"/>
    <s v="REPAY 34TH INSTA"/>
    <s v="Repay 34th instal"/>
    <s v="Repay 34th inst of loan to EDL-HK-CIPL Portion"/>
    <s v=""/>
    <s v="0"/>
    <s v="Repay-34th instalment"/>
    <s v="27TH INSTALL"/>
    <s v=""/>
    <s v=""/>
    <s v="2010100001"/>
    <s v=""/>
    <m/>
    <s v=""/>
    <s v=""/>
    <s v=""/>
    <n v="0"/>
  </r>
  <r>
    <s v=""/>
    <s v="20201003"/>
    <s v="2015000009"/>
    <x v="30"/>
    <d v="2021-03-23T00:00:00"/>
    <d v="2021-03-23T00:00:00"/>
    <s v="IC"/>
    <s v="USD"/>
    <n v="3613.13"/>
    <s v="83.30000"/>
    <s v="BDT"/>
    <n v="300973.73"/>
    <n v="3613.13"/>
    <s v="REPAY 34TH INSTA"/>
    <s v="Repay 34th instal"/>
    <s v="Repay 34th inst of loan to EDL-HK-CIPL Portion"/>
    <s v=""/>
    <s v="0"/>
    <s v="Repay-34th instalment"/>
    <s v="27TH INSTALL"/>
    <s v=""/>
    <s v=""/>
    <s v="2010100001"/>
    <s v=""/>
    <m/>
    <s v=""/>
    <s v=""/>
    <s v=""/>
    <n v="0"/>
  </r>
  <r>
    <s v=""/>
    <s v="20201003"/>
    <s v="2015000015"/>
    <x v="31"/>
    <d v="2021-06-24T00:00:00"/>
    <d v="2021-07-06T00:00:00"/>
    <s v="IC"/>
    <s v="USD"/>
    <n v="-1000000"/>
    <s v="83.95000"/>
    <s v="BDT"/>
    <n v="-83950000"/>
    <n v="-1000000"/>
    <s v="LOAN FROM EDL"/>
    <s v="Loan from EDL"/>
    <s v="Promoters Loan from EDL"/>
    <s v=""/>
    <s v="0"/>
    <s v="Loan from EDL"/>
    <s v=""/>
    <s v=""/>
    <s v=""/>
    <s v="2010100001"/>
    <s v=""/>
    <m/>
    <s v=""/>
    <s v=""/>
    <s v=""/>
    <n v="0"/>
  </r>
  <r>
    <s v=""/>
    <s v="20201003"/>
    <s v="2015000016"/>
    <x v="32"/>
    <d v="2021-06-30T00:00:00"/>
    <d v="2021-07-14T00:00:00"/>
    <s v="IC"/>
    <s v="USD"/>
    <n v="0"/>
    <s v=""/>
    <s v="BDT"/>
    <n v="-133021"/>
    <n v="0"/>
    <s v="RESTATEMENT"/>
    <s v="USD Restatem"/>
    <s v="USD GL restatement June 21"/>
    <s v=""/>
    <s v="0"/>
    <s v="Restatement Jun 21"/>
    <s v="JUNE 21"/>
    <s v=""/>
    <s v=""/>
    <s v="2010100001"/>
    <s v="2115000006"/>
    <d v="2021-07-01T00:00:00"/>
    <s v=""/>
    <s v=""/>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35C5C-0F4F-4AA4-9F5D-5DC22864BCF8}" name="PivotTable7"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s">
  <location ref="A18:B23" firstHeaderRow="1" firstDataRow="1" firstDataCol="1"/>
  <pivotFields count="29">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v="3"/>
    </i>
    <i>
      <x v="6"/>
    </i>
    <i>
      <x v="11"/>
    </i>
    <i>
      <x v="12"/>
    </i>
    <i t="grand">
      <x/>
    </i>
  </rowItems>
  <colItems count="1">
    <i/>
  </colItems>
  <dataFields count="1">
    <dataField name="Amount in USD" fld="12" baseField="0" baseItem="0"/>
  </dataFields>
  <formats count="15">
    <format dxfId="115">
      <pivotArea dataOnly="0" labelOnly="1" outline="0" axis="axisValues" fieldPosition="0"/>
    </format>
    <format dxfId="114">
      <pivotArea outline="0" collapsedLevelsAreSubtotals="1" fieldPosition="0"/>
    </format>
    <format dxfId="113">
      <pivotArea dataOnly="0" labelOnly="1" grandRow="1" outline="0" fieldPosition="0"/>
    </format>
    <format dxfId="112">
      <pivotArea grandRow="1" outline="0" collapsedLevelsAreSubtotals="1" fieldPosition="0"/>
    </format>
    <format dxfId="111">
      <pivotArea dataOnly="0" labelOnly="1" grandRow="1" outline="0" fieldPosition="0"/>
    </format>
    <format dxfId="110">
      <pivotArea grandRow="1" outline="0" collapsedLevelsAreSubtotals="1" fieldPosition="0"/>
    </format>
    <format dxfId="109">
      <pivotArea grandRow="1" outline="0" collapsedLevelsAreSubtotals="1" fieldPosition="0"/>
    </format>
    <format dxfId="76">
      <pivotArea field="3" type="button" dataOnly="0" labelOnly="1" outline="0" axis="axisRow" fieldPosition="0"/>
    </format>
    <format dxfId="75">
      <pivotArea field="3" type="button" dataOnly="0" labelOnly="1" outline="0" axis="axisRow" fieldPosition="0"/>
    </format>
    <format dxfId="74">
      <pivotArea field="3" type="button" dataOnly="0" labelOnly="1" outline="0" axis="axisRow" fieldPosition="0"/>
    </format>
    <format dxfId="72">
      <pivotArea collapsedLevelsAreSubtotals="1" fieldPosition="0">
        <references count="1">
          <reference field="3" count="4">
            <x v="3"/>
            <x v="6"/>
            <x v="11"/>
            <x v="12"/>
          </reference>
        </references>
      </pivotArea>
    </format>
    <format dxfId="70">
      <pivotArea dataOnly="0" labelOnly="1" fieldPosition="0">
        <references count="1">
          <reference field="3" count="4">
            <x v="3"/>
            <x v="6"/>
            <x v="11"/>
            <x v="12"/>
          </reference>
        </references>
      </pivotArea>
    </format>
    <format dxfId="69">
      <pivotArea dataOnly="0" labelOnly="1" fieldPosition="0">
        <references count="1">
          <reference field="3" count="4">
            <x v="3"/>
            <x v="6"/>
            <x v="11"/>
            <x v="12"/>
          </reference>
        </references>
      </pivotArea>
    </format>
    <format dxfId="67">
      <pivotArea dataOnly="0" labelOnly="1" fieldPosition="0">
        <references count="1">
          <reference field="3" count="4">
            <x v="3"/>
            <x v="6"/>
            <x v="11"/>
            <x v="12"/>
          </reference>
        </references>
      </pivotArea>
    </format>
    <format dxfId="66">
      <pivotArea field="3" type="button" dataOnly="0" labelOnly="1" outline="0" axis="axisRow"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655BD-4A32-4AB0-B897-CE5827184DBA}" name="PivotTable1" cacheId="3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rowHeaderCaption="Year">
  <location ref="A18:B27" firstHeaderRow="1" firstDataRow="1" firstDataCol="1"/>
  <pivotFields count="31">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numFmtId="4" showAll="0"/>
    <pivotField showAll="0"/>
    <pivotField showAll="0"/>
    <pivotField numFmtId="4" showAll="0"/>
    <pivotField dataField="1" numFmtId="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axis="axisRow" showAll="0">
      <items count="7">
        <item sd="0" x="0"/>
        <item sd="0" x="1"/>
        <item sd="0" x="2"/>
        <item sd="0" x="3"/>
        <item sd="0" x="4"/>
        <item x="5"/>
        <item t="default"/>
      </items>
    </pivotField>
    <pivotField axis="axisRow" showAll="0">
      <items count="11">
        <item sd="0" x="0"/>
        <item sd="0" x="1"/>
        <item sd="0" x="2"/>
        <item sd="0" x="3"/>
        <item sd="0" x="4"/>
        <item sd="0" x="5"/>
        <item sd="0" x="6"/>
        <item sd="0" x="7"/>
        <item sd="0" x="8"/>
        <item x="9"/>
        <item t="default"/>
      </items>
    </pivotField>
  </pivotFields>
  <rowFields count="3">
    <field x="30"/>
    <field x="29"/>
    <field x="3"/>
  </rowFields>
  <rowItems count="9">
    <i>
      <x v="1"/>
    </i>
    <i>
      <x v="2"/>
    </i>
    <i>
      <x v="3"/>
    </i>
    <i>
      <x v="4"/>
    </i>
    <i>
      <x v="5"/>
    </i>
    <i>
      <x v="6"/>
    </i>
    <i>
      <x v="7"/>
    </i>
    <i>
      <x v="8"/>
    </i>
    <i t="grand">
      <x/>
    </i>
  </rowItems>
  <colItems count="1">
    <i/>
  </colItems>
  <dataFields count="1">
    <dataField name="Loan from Promoter" fld="12" baseField="0" baseItem="0" numFmtId="165"/>
  </dataFields>
  <formats count="20">
    <format dxfId="108">
      <pivotArea type="all" dataOnly="0" outline="0" fieldPosition="0"/>
    </format>
    <format dxfId="107">
      <pivotArea outline="0" collapsedLevelsAreSubtotals="1" fieldPosition="0"/>
    </format>
    <format dxfId="106">
      <pivotArea dataOnly="0" labelOnly="1" fieldPosition="0">
        <references count="1">
          <reference field="30" count="8">
            <x v="1"/>
            <x v="2"/>
            <x v="3"/>
            <x v="4"/>
            <x v="5"/>
            <x v="6"/>
            <x v="7"/>
            <x v="8"/>
          </reference>
        </references>
      </pivotArea>
    </format>
    <format dxfId="105">
      <pivotArea field="30" type="button" dataOnly="0" labelOnly="1" outline="0" axis="axisRow" fieldPosition="0"/>
    </format>
    <format dxfId="104">
      <pivotArea dataOnly="0" labelOnly="1" outline="0" axis="axisValues" fieldPosition="0"/>
    </format>
    <format dxfId="103">
      <pivotArea grandRow="1" outline="0" collapsedLevelsAreSubtotals="1" fieldPosition="0"/>
    </format>
    <format dxfId="102">
      <pivotArea dataOnly="0" labelOnly="1" grandRow="1" outline="0" fieldPosition="0"/>
    </format>
    <format dxfId="101">
      <pivotArea dataOnly="0" labelOnly="1" fieldPosition="0">
        <references count="1">
          <reference field="30" count="1">
            <x v="1"/>
          </reference>
        </references>
      </pivotArea>
    </format>
    <format dxfId="100">
      <pivotArea dataOnly="0" labelOnly="1" fieldPosition="0">
        <references count="1">
          <reference field="30" count="7">
            <x v="2"/>
            <x v="3"/>
            <x v="4"/>
            <x v="5"/>
            <x v="6"/>
            <x v="7"/>
            <x v="8"/>
          </reference>
        </references>
      </pivotArea>
    </format>
    <format dxfId="55">
      <pivotArea field="30" type="button" dataOnly="0" labelOnly="1" outline="0" axis="axisRow" fieldPosition="0"/>
    </format>
    <format dxfId="54">
      <pivotArea dataOnly="0" labelOnly="1" outline="0" axis="axisValues" fieldPosition="0"/>
    </format>
    <format dxfId="52">
      <pivotArea grandRow="1" outline="0" collapsedLevelsAreSubtotals="1" fieldPosition="0"/>
    </format>
    <format dxfId="51">
      <pivotArea dataOnly="0" labelOnly="1" grandRow="1" outline="0" fieldPosition="0"/>
    </format>
    <format dxfId="8">
      <pivotArea outline="0" collapsedLevelsAreSubtotals="1" fieldPosition="0"/>
    </format>
    <format dxfId="6">
      <pivotArea type="all" dataOnly="0" outline="0" fieldPosition="0"/>
    </format>
    <format dxfId="5">
      <pivotArea outline="0" collapsedLevelsAreSubtotals="1" fieldPosition="0"/>
    </format>
    <format dxfId="4">
      <pivotArea field="30" type="button" dataOnly="0" labelOnly="1" outline="0" axis="axisRow" fieldPosition="0"/>
    </format>
    <format dxfId="3">
      <pivotArea dataOnly="0" labelOnly="1" fieldPosition="0">
        <references count="1">
          <reference field="30" count="8">
            <x v="1"/>
            <x v="2"/>
            <x v="3"/>
            <x v="4"/>
            <x v="5"/>
            <x v="6"/>
            <x v="7"/>
            <x v="8"/>
          </reference>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A4E48-FA41-4BAC-8E8A-16F083153486}">
  <dimension ref="A1:P34"/>
  <sheetViews>
    <sheetView showGridLines="0" tabSelected="1" zoomScaleNormal="100" workbookViewId="0">
      <selection sqref="A1:N1"/>
    </sheetView>
  </sheetViews>
  <sheetFormatPr defaultColWidth="9.140625" defaultRowHeight="15.75" x14ac:dyDescent="0.2"/>
  <cols>
    <col min="1" max="1" width="21.140625" style="12" bestFit="1" customWidth="1"/>
    <col min="2" max="2" width="16.140625" style="12" bestFit="1" customWidth="1"/>
    <col min="3" max="3" width="11.28515625" style="12" bestFit="1" customWidth="1"/>
    <col min="4" max="4" width="14" style="12" hidden="1" customWidth="1"/>
    <col min="5" max="8" width="9.140625" style="12"/>
    <col min="9" max="9" width="17.7109375" style="12" bestFit="1" customWidth="1"/>
    <col min="10" max="10" width="10.85546875" style="12" bestFit="1" customWidth="1"/>
    <col min="11" max="16384" width="9.140625" style="12"/>
  </cols>
  <sheetData>
    <row r="1" spans="1:16" s="14" customFormat="1" x14ac:dyDescent="0.25">
      <c r="A1" s="35" t="s">
        <v>43</v>
      </c>
      <c r="B1" s="35"/>
      <c r="C1" s="35"/>
      <c r="D1" s="35"/>
      <c r="E1" s="35"/>
      <c r="F1" s="35"/>
      <c r="G1" s="35"/>
      <c r="H1" s="35"/>
      <c r="I1" s="35"/>
      <c r="J1" s="35"/>
      <c r="K1" s="35"/>
      <c r="L1" s="35"/>
      <c r="M1" s="35"/>
      <c r="N1" s="35"/>
    </row>
    <row r="2" spans="1:16" s="14" customFormat="1" ht="16.5" thickBot="1" x14ac:dyDescent="0.3">
      <c r="A2" s="36" t="s">
        <v>44</v>
      </c>
      <c r="B2" s="36"/>
      <c r="C2" s="36"/>
      <c r="D2" s="36"/>
      <c r="E2" s="36"/>
      <c r="F2" s="36"/>
      <c r="G2" s="36"/>
      <c r="H2" s="36"/>
      <c r="I2" s="36"/>
      <c r="J2" s="36"/>
      <c r="K2" s="36"/>
      <c r="L2" s="36"/>
      <c r="M2" s="36"/>
      <c r="N2" s="36"/>
    </row>
    <row r="3" spans="1:16" s="14" customFormat="1" x14ac:dyDescent="0.25">
      <c r="A3" s="1"/>
      <c r="B3" s="2"/>
    </row>
    <row r="4" spans="1:16" s="14" customFormat="1" ht="15.75" customHeight="1" x14ac:dyDescent="0.25">
      <c r="A4" s="3" t="s">
        <v>45</v>
      </c>
      <c r="B4" s="37" t="s">
        <v>46</v>
      </c>
      <c r="C4" s="37"/>
      <c r="D4" s="37"/>
      <c r="E4" s="37"/>
      <c r="F4" s="4"/>
    </row>
    <row r="5" spans="1:16" s="14" customFormat="1" ht="15.75" customHeight="1" x14ac:dyDescent="0.25">
      <c r="A5" s="5" t="s">
        <v>47</v>
      </c>
      <c r="B5" s="37" t="s">
        <v>64</v>
      </c>
      <c r="C5" s="37"/>
      <c r="D5" s="37"/>
      <c r="E5" s="37"/>
      <c r="I5" s="6" t="s">
        <v>48</v>
      </c>
      <c r="J5" s="7" t="s">
        <v>63</v>
      </c>
    </row>
    <row r="6" spans="1:16" s="14" customFormat="1" ht="14.45" customHeight="1" x14ac:dyDescent="0.25">
      <c r="A6" s="6" t="s">
        <v>276</v>
      </c>
      <c r="B6" s="37" t="s">
        <v>50</v>
      </c>
      <c r="C6" s="37"/>
      <c r="D6" s="37"/>
      <c r="E6" s="37"/>
      <c r="I6" s="6" t="s">
        <v>51</v>
      </c>
      <c r="J6" s="8">
        <v>44390</v>
      </c>
    </row>
    <row r="7" spans="1:16" s="14" customFormat="1" ht="15.75" customHeight="1" x14ac:dyDescent="0.25">
      <c r="A7" s="9" t="s">
        <v>277</v>
      </c>
      <c r="B7" s="38" t="s">
        <v>251</v>
      </c>
      <c r="C7" s="39"/>
      <c r="D7" s="39"/>
      <c r="E7" s="40"/>
      <c r="I7" s="6" t="s">
        <v>53</v>
      </c>
      <c r="J7" s="8">
        <v>44416</v>
      </c>
    </row>
    <row r="8" spans="1:16" s="14" customFormat="1" ht="15.75" customHeight="1" x14ac:dyDescent="0.25">
      <c r="A8" s="9" t="s">
        <v>278</v>
      </c>
      <c r="B8" s="38" t="s">
        <v>279</v>
      </c>
      <c r="C8" s="39"/>
      <c r="D8" s="39"/>
      <c r="E8" s="40"/>
      <c r="I8" s="6" t="s">
        <v>53</v>
      </c>
      <c r="J8" s="8">
        <v>44418</v>
      </c>
    </row>
    <row r="9" spans="1:16" s="14" customFormat="1" x14ac:dyDescent="0.25">
      <c r="A9" s="3" t="s">
        <v>54</v>
      </c>
      <c r="B9" s="33">
        <v>44377</v>
      </c>
      <c r="C9" s="33"/>
      <c r="D9" s="33"/>
      <c r="E9" s="33"/>
    </row>
    <row r="10" spans="1:16" s="1" customFormat="1" x14ac:dyDescent="0.2">
      <c r="B10" s="2"/>
    </row>
    <row r="11" spans="1:16" s="14" customFormat="1" x14ac:dyDescent="0.25">
      <c r="A11" s="10" t="s">
        <v>55</v>
      </c>
      <c r="B11" s="19" t="s">
        <v>246</v>
      </c>
    </row>
    <row r="12" spans="1:16" s="14" customFormat="1" x14ac:dyDescent="0.25">
      <c r="A12" s="10"/>
    </row>
    <row r="13" spans="1:16" s="14" customFormat="1" ht="95.25" customHeight="1" x14ac:dyDescent="0.25">
      <c r="A13" s="11" t="s">
        <v>56</v>
      </c>
      <c r="B13" s="34" t="s">
        <v>65</v>
      </c>
      <c r="C13" s="34"/>
      <c r="D13" s="34"/>
      <c r="E13" s="34"/>
      <c r="F13" s="34"/>
      <c r="G13" s="34"/>
      <c r="H13" s="34"/>
      <c r="I13" s="34"/>
      <c r="J13" s="34"/>
      <c r="K13" s="34"/>
    </row>
    <row r="14" spans="1:16" s="14" customFormat="1" ht="7.5" customHeight="1" x14ac:dyDescent="0.25">
      <c r="A14" s="10"/>
    </row>
    <row r="15" spans="1:16" s="14" customFormat="1" x14ac:dyDescent="0.25">
      <c r="A15" s="10" t="s">
        <v>57</v>
      </c>
      <c r="B15" s="15" t="s">
        <v>275</v>
      </c>
      <c r="C15" s="16"/>
      <c r="D15" s="16"/>
      <c r="E15" s="16"/>
      <c r="F15" s="16"/>
      <c r="G15" s="16"/>
      <c r="H15" s="16"/>
      <c r="I15" s="16"/>
      <c r="J15" s="16"/>
      <c r="K15" s="16"/>
      <c r="L15" s="16"/>
      <c r="M15" s="16"/>
      <c r="N15" s="16"/>
      <c r="O15" s="16"/>
      <c r="P15" s="16"/>
    </row>
    <row r="17" spans="1:16" x14ac:dyDescent="0.2">
      <c r="A17"/>
      <c r="B17"/>
    </row>
    <row r="18" spans="1:16" x14ac:dyDescent="0.2">
      <c r="A18" s="53" t="s">
        <v>62</v>
      </c>
      <c r="B18" s="18" t="s">
        <v>58</v>
      </c>
      <c r="C18" s="54" t="s">
        <v>245</v>
      </c>
    </row>
    <row r="19" spans="1:16" x14ac:dyDescent="0.2">
      <c r="A19" s="52" t="s">
        <v>61</v>
      </c>
      <c r="B19" s="22">
        <v>104913.13</v>
      </c>
      <c r="C19" s="13"/>
      <c r="D19" s="22">
        <v>104913.13</v>
      </c>
    </row>
    <row r="20" spans="1:16" x14ac:dyDescent="0.2">
      <c r="A20" s="52" t="s">
        <v>273</v>
      </c>
      <c r="B20" s="22">
        <v>-1000000</v>
      </c>
      <c r="C20" s="24">
        <f>(D20-D19)/D19</f>
        <v>-10.531695413148</v>
      </c>
      <c r="D20" s="22">
        <v>-1000000</v>
      </c>
    </row>
    <row r="21" spans="1:16" x14ac:dyDescent="0.2">
      <c r="A21" s="52" t="s">
        <v>59</v>
      </c>
      <c r="B21" s="22">
        <v>104913.13</v>
      </c>
      <c r="C21" s="24">
        <f>(D21-D20)/D20</f>
        <v>-1.1049131299999999</v>
      </c>
      <c r="D21" s="22">
        <v>104913.13</v>
      </c>
    </row>
    <row r="22" spans="1:16" x14ac:dyDescent="0.2">
      <c r="A22" s="52" t="s">
        <v>60</v>
      </c>
      <c r="B22" s="22">
        <v>104913.13</v>
      </c>
      <c r="C22" s="24">
        <f>(D22-D21)/D21</f>
        <v>0</v>
      </c>
      <c r="D22" s="22">
        <v>104913.13</v>
      </c>
    </row>
    <row r="23" spans="1:16" x14ac:dyDescent="0.2">
      <c r="A23" s="21" t="s">
        <v>40</v>
      </c>
      <c r="B23" s="23">
        <v>-685260.61</v>
      </c>
      <c r="C23" s="24"/>
      <c r="D23" s="17"/>
    </row>
    <row r="29" spans="1:16" ht="16.5" thickBot="1" x14ac:dyDescent="0.25"/>
    <row r="30" spans="1:16" ht="27.75" customHeight="1" x14ac:dyDescent="0.2">
      <c r="A30" s="55" t="s">
        <v>250</v>
      </c>
      <c r="B30" s="56" t="s">
        <v>249</v>
      </c>
      <c r="C30" s="56"/>
      <c r="D30" s="56"/>
      <c r="E30" s="56"/>
      <c r="F30" s="56"/>
      <c r="G30" s="56"/>
      <c r="H30" s="56"/>
      <c r="I30" s="56"/>
      <c r="J30" s="56"/>
      <c r="K30" s="56"/>
      <c r="L30" s="56"/>
      <c r="M30" s="56"/>
      <c r="N30" s="56"/>
      <c r="O30" s="56"/>
      <c r="P30" s="57"/>
    </row>
    <row r="31" spans="1:16" ht="70.5" customHeight="1" x14ac:dyDescent="0.2">
      <c r="A31" s="58" t="s">
        <v>247</v>
      </c>
      <c r="B31" s="32" t="s">
        <v>274</v>
      </c>
      <c r="C31" s="32"/>
      <c r="D31" s="32"/>
      <c r="E31" s="32"/>
      <c r="F31" s="32"/>
      <c r="G31" s="32"/>
      <c r="H31" s="32"/>
      <c r="I31" s="32"/>
      <c r="J31" s="32"/>
      <c r="K31" s="32"/>
      <c r="L31" s="32"/>
      <c r="M31" s="32"/>
      <c r="N31" s="32"/>
      <c r="O31" s="32"/>
      <c r="P31" s="59"/>
    </row>
    <row r="32" spans="1:16" ht="15" customHeight="1" thickBot="1" x14ac:dyDescent="0.3">
      <c r="A32" s="60" t="s">
        <v>248</v>
      </c>
      <c r="B32" s="61" t="s">
        <v>252</v>
      </c>
      <c r="C32" s="61"/>
      <c r="D32" s="61"/>
      <c r="E32" s="61"/>
      <c r="F32" s="61"/>
      <c r="G32" s="61"/>
      <c r="H32" s="61"/>
      <c r="I32" s="61"/>
      <c r="J32" s="61"/>
      <c r="K32" s="61"/>
      <c r="L32" s="61"/>
      <c r="M32" s="61"/>
      <c r="N32" s="62"/>
      <c r="O32" s="62"/>
      <c r="P32" s="63"/>
    </row>
    <row r="33" spans="1:16" ht="21" customHeight="1" x14ac:dyDescent="0.2">
      <c r="A33" s="20"/>
      <c r="B33" s="20"/>
      <c r="C33" s="20"/>
      <c r="D33" s="20"/>
      <c r="E33" s="20"/>
      <c r="F33" s="20"/>
      <c r="G33" s="20"/>
      <c r="H33" s="20"/>
      <c r="I33" s="20"/>
      <c r="J33" s="20"/>
      <c r="K33" s="20"/>
      <c r="L33" s="20"/>
      <c r="M33" s="20"/>
      <c r="N33" s="20"/>
      <c r="O33" s="20"/>
      <c r="P33" s="20"/>
    </row>
    <row r="34" spans="1:16" ht="133.5" customHeight="1" x14ac:dyDescent="0.2">
      <c r="E34"/>
      <c r="F34"/>
      <c r="G34"/>
    </row>
  </sheetData>
  <mergeCells count="11">
    <mergeCell ref="B31:P31"/>
    <mergeCell ref="B30:O30"/>
    <mergeCell ref="B9:E9"/>
    <mergeCell ref="B13:K13"/>
    <mergeCell ref="A1:N1"/>
    <mergeCell ref="A2:N2"/>
    <mergeCell ref="B4:E4"/>
    <mergeCell ref="B5:E5"/>
    <mergeCell ref="B6:E6"/>
    <mergeCell ref="B7:E7"/>
    <mergeCell ref="B8:E8"/>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9B99-5DB4-4E26-AB25-D598D2D6FEE8}">
  <dimension ref="A1:P40"/>
  <sheetViews>
    <sheetView showGridLines="0" workbookViewId="0">
      <selection activeCell="B11" sqref="B11"/>
    </sheetView>
  </sheetViews>
  <sheetFormatPr defaultColWidth="8.7109375" defaultRowHeight="12.75" x14ac:dyDescent="0.2"/>
  <cols>
    <col min="1" max="1" width="21.140625" style="27" bestFit="1" customWidth="1"/>
    <col min="2" max="2" width="19.5703125" style="27" bestFit="1" customWidth="1"/>
    <col min="3" max="8" width="8.7109375" style="27"/>
    <col min="9" max="9" width="16.85546875" style="27" customWidth="1"/>
    <col min="10" max="10" width="10.85546875" style="27" bestFit="1" customWidth="1"/>
    <col min="11" max="16384" width="8.7109375" style="27"/>
  </cols>
  <sheetData>
    <row r="1" spans="1:14" s="14" customFormat="1" ht="15.75" x14ac:dyDescent="0.25">
      <c r="A1" s="35" t="s">
        <v>43</v>
      </c>
      <c r="B1" s="35"/>
      <c r="C1" s="35"/>
      <c r="D1" s="35"/>
      <c r="E1" s="35"/>
      <c r="F1" s="35"/>
      <c r="G1" s="35"/>
      <c r="H1" s="35"/>
      <c r="I1" s="35"/>
      <c r="J1" s="35"/>
      <c r="K1" s="35"/>
      <c r="L1" s="35"/>
      <c r="M1" s="35"/>
      <c r="N1" s="35"/>
    </row>
    <row r="2" spans="1:14" s="14" customFormat="1" ht="16.5" thickBot="1" x14ac:dyDescent="0.3">
      <c r="A2" s="36" t="s">
        <v>44</v>
      </c>
      <c r="B2" s="36"/>
      <c r="C2" s="36"/>
      <c r="D2" s="36"/>
      <c r="E2" s="36"/>
      <c r="F2" s="36"/>
      <c r="G2" s="36"/>
      <c r="H2" s="36"/>
      <c r="I2" s="36"/>
      <c r="J2" s="36"/>
      <c r="K2" s="36"/>
      <c r="L2" s="36"/>
      <c r="M2" s="36"/>
      <c r="N2" s="36"/>
    </row>
    <row r="3" spans="1:14" s="14" customFormat="1" ht="15.75" x14ac:dyDescent="0.25">
      <c r="A3" s="1"/>
      <c r="B3" s="2"/>
    </row>
    <row r="4" spans="1:14" s="14" customFormat="1" ht="15.75" customHeight="1" x14ac:dyDescent="0.25">
      <c r="A4" s="28" t="s">
        <v>45</v>
      </c>
      <c r="B4" s="37" t="s">
        <v>46</v>
      </c>
      <c r="C4" s="37"/>
      <c r="D4" s="37"/>
      <c r="E4" s="37"/>
      <c r="F4" s="4"/>
    </row>
    <row r="5" spans="1:14" s="14" customFormat="1" ht="15.75" customHeight="1" x14ac:dyDescent="0.25">
      <c r="A5" s="29" t="s">
        <v>47</v>
      </c>
      <c r="B5" s="37" t="s">
        <v>64</v>
      </c>
      <c r="C5" s="37"/>
      <c r="D5" s="37"/>
      <c r="E5" s="37"/>
      <c r="I5" s="30" t="s">
        <v>48</v>
      </c>
      <c r="J5" s="25" t="s">
        <v>63</v>
      </c>
    </row>
    <row r="6" spans="1:14" s="14" customFormat="1" ht="14.45" customHeight="1" x14ac:dyDescent="0.25">
      <c r="A6" s="30" t="s">
        <v>49</v>
      </c>
      <c r="B6" s="37" t="s">
        <v>50</v>
      </c>
      <c r="C6" s="37"/>
      <c r="D6" s="37"/>
      <c r="E6" s="37"/>
      <c r="I6" s="30" t="s">
        <v>51</v>
      </c>
      <c r="J6" s="8">
        <v>44390</v>
      </c>
    </row>
    <row r="7" spans="1:14" s="14" customFormat="1" ht="15.75" customHeight="1" x14ac:dyDescent="0.25">
      <c r="A7" s="31" t="s">
        <v>52</v>
      </c>
      <c r="B7" s="38" t="s">
        <v>251</v>
      </c>
      <c r="C7" s="39"/>
      <c r="D7" s="39"/>
      <c r="E7" s="40"/>
      <c r="I7" s="30" t="s">
        <v>53</v>
      </c>
      <c r="J7" s="8">
        <v>44416</v>
      </c>
    </row>
    <row r="8" spans="1:14" s="14" customFormat="1" ht="15.75" customHeight="1" x14ac:dyDescent="0.25">
      <c r="A8" s="9" t="s">
        <v>278</v>
      </c>
      <c r="B8" s="38" t="s">
        <v>279</v>
      </c>
      <c r="C8" s="39"/>
      <c r="D8" s="39"/>
      <c r="E8" s="40"/>
      <c r="I8" s="6" t="s">
        <v>53</v>
      </c>
      <c r="J8" s="8">
        <v>44418</v>
      </c>
    </row>
    <row r="9" spans="1:14" s="14" customFormat="1" ht="15.75" x14ac:dyDescent="0.25">
      <c r="A9" s="28" t="s">
        <v>54</v>
      </c>
      <c r="B9" s="33">
        <v>44377</v>
      </c>
      <c r="C9" s="33"/>
      <c r="D9" s="33"/>
      <c r="E9" s="33"/>
    </row>
    <row r="10" spans="1:14" s="1" customFormat="1" ht="15.75" x14ac:dyDescent="0.2">
      <c r="B10" s="2"/>
    </row>
    <row r="11" spans="1:14" s="14" customFormat="1" ht="15.75" x14ac:dyDescent="0.25">
      <c r="A11" s="10" t="s">
        <v>55</v>
      </c>
      <c r="B11" s="19" t="s">
        <v>261</v>
      </c>
    </row>
    <row r="12" spans="1:14" s="14" customFormat="1" ht="15.75" x14ac:dyDescent="0.25">
      <c r="A12" s="10"/>
    </row>
    <row r="13" spans="1:14" s="14" customFormat="1" ht="95.25" customHeight="1" x14ac:dyDescent="0.25">
      <c r="A13" s="11" t="s">
        <v>56</v>
      </c>
      <c r="B13" s="34" t="s">
        <v>65</v>
      </c>
      <c r="C13" s="34"/>
      <c r="D13" s="34"/>
      <c r="E13" s="34"/>
      <c r="F13" s="34"/>
      <c r="G13" s="34"/>
      <c r="H13" s="34"/>
      <c r="I13" s="34"/>
      <c r="J13" s="34"/>
      <c r="K13" s="34"/>
    </row>
    <row r="14" spans="1:14" s="14" customFormat="1" ht="7.5" customHeight="1" x14ac:dyDescent="0.25">
      <c r="A14" s="10"/>
    </row>
    <row r="15" spans="1:14" s="14" customFormat="1" ht="15.75" x14ac:dyDescent="0.25">
      <c r="A15" s="10" t="s">
        <v>57</v>
      </c>
      <c r="B15" s="26" t="s">
        <v>262</v>
      </c>
    </row>
    <row r="18" spans="1:2" x14ac:dyDescent="0.2">
      <c r="A18" s="64" t="s">
        <v>259</v>
      </c>
      <c r="B18" s="64" t="s">
        <v>260</v>
      </c>
    </row>
    <row r="19" spans="1:2" x14ac:dyDescent="0.2">
      <c r="A19" s="65" t="s">
        <v>253</v>
      </c>
      <c r="B19" s="66">
        <v>-3252306.83</v>
      </c>
    </row>
    <row r="20" spans="1:2" x14ac:dyDescent="0.2">
      <c r="A20" s="65" t="s">
        <v>254</v>
      </c>
      <c r="B20" s="66">
        <v>380504.39</v>
      </c>
    </row>
    <row r="21" spans="1:2" x14ac:dyDescent="0.2">
      <c r="A21" s="65" t="s">
        <v>255</v>
      </c>
      <c r="B21" s="66">
        <v>314739.43</v>
      </c>
    </row>
    <row r="22" spans="1:2" x14ac:dyDescent="0.2">
      <c r="A22" s="65" t="s">
        <v>256</v>
      </c>
      <c r="B22" s="66">
        <v>419652.52</v>
      </c>
    </row>
    <row r="23" spans="1:2" x14ac:dyDescent="0.2">
      <c r="A23" s="65" t="s">
        <v>257</v>
      </c>
      <c r="B23" s="66">
        <v>314739.39</v>
      </c>
    </row>
    <row r="24" spans="1:2" x14ac:dyDescent="0.2">
      <c r="A24" s="65" t="s">
        <v>258</v>
      </c>
      <c r="B24" s="66">
        <v>524565.65</v>
      </c>
    </row>
    <row r="25" spans="1:2" x14ac:dyDescent="0.2">
      <c r="A25" s="65" t="s">
        <v>41</v>
      </c>
      <c r="B25" s="66">
        <v>524565.65</v>
      </c>
    </row>
    <row r="26" spans="1:2" x14ac:dyDescent="0.2">
      <c r="A26" s="65" t="s">
        <v>42</v>
      </c>
      <c r="B26" s="66">
        <v>-895086.87</v>
      </c>
    </row>
    <row r="27" spans="1:2" x14ac:dyDescent="0.2">
      <c r="A27" s="67" t="s">
        <v>40</v>
      </c>
      <c r="B27" s="68">
        <v>-1668626.6699999997</v>
      </c>
    </row>
    <row r="37" spans="1:16" ht="13.5" thickBot="1" x14ac:dyDescent="0.25"/>
    <row r="38" spans="1:16" s="12" customFormat="1" ht="27.75" customHeight="1" x14ac:dyDescent="0.2">
      <c r="A38" s="55" t="s">
        <v>250</v>
      </c>
      <c r="B38" s="56" t="s">
        <v>249</v>
      </c>
      <c r="C38" s="56"/>
      <c r="D38" s="56"/>
      <c r="E38" s="56"/>
      <c r="F38" s="56"/>
      <c r="G38" s="56"/>
      <c r="H38" s="56"/>
      <c r="I38" s="56"/>
      <c r="J38" s="56"/>
      <c r="K38" s="56"/>
      <c r="L38" s="56"/>
      <c r="M38" s="56"/>
      <c r="N38" s="56"/>
      <c r="O38" s="56"/>
      <c r="P38" s="57"/>
    </row>
    <row r="39" spans="1:16" s="12" customFormat="1" ht="70.5" customHeight="1" x14ac:dyDescent="0.2">
      <c r="A39" s="58" t="s">
        <v>247</v>
      </c>
      <c r="B39" s="32" t="s">
        <v>274</v>
      </c>
      <c r="C39" s="32"/>
      <c r="D39" s="32"/>
      <c r="E39" s="32"/>
      <c r="F39" s="32"/>
      <c r="G39" s="32"/>
      <c r="H39" s="32"/>
      <c r="I39" s="32"/>
      <c r="J39" s="32"/>
      <c r="K39" s="32"/>
      <c r="L39" s="32"/>
      <c r="M39" s="32"/>
      <c r="N39" s="32"/>
      <c r="O39" s="32"/>
      <c r="P39" s="59"/>
    </row>
    <row r="40" spans="1:16" s="12" customFormat="1" ht="15" customHeight="1" thickBot="1" x14ac:dyDescent="0.3">
      <c r="A40" s="60" t="s">
        <v>248</v>
      </c>
      <c r="B40" s="61" t="s">
        <v>252</v>
      </c>
      <c r="C40" s="61"/>
      <c r="D40" s="61"/>
      <c r="E40" s="61"/>
      <c r="F40" s="61"/>
      <c r="G40" s="61"/>
      <c r="H40" s="61"/>
      <c r="I40" s="61"/>
      <c r="J40" s="61"/>
      <c r="K40" s="61"/>
      <c r="L40" s="61"/>
      <c r="M40" s="61"/>
      <c r="N40" s="62"/>
      <c r="O40" s="62"/>
      <c r="P40" s="63"/>
    </row>
  </sheetData>
  <mergeCells count="11">
    <mergeCell ref="B38:O38"/>
    <mergeCell ref="B39:P39"/>
    <mergeCell ref="B9:E9"/>
    <mergeCell ref="B13:K13"/>
    <mergeCell ref="A1:N1"/>
    <mergeCell ref="A2:N2"/>
    <mergeCell ref="B4:E4"/>
    <mergeCell ref="B5:E5"/>
    <mergeCell ref="B6:E6"/>
    <mergeCell ref="B7:E7"/>
    <mergeCell ref="B8:E8"/>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96668-7A0E-466A-88E0-9B2C8E2AE0AE}">
  <dimension ref="A1:AC60"/>
  <sheetViews>
    <sheetView topLeftCell="R36" workbookViewId="0">
      <selection activeCell="X1" sqref="X1"/>
    </sheetView>
  </sheetViews>
  <sheetFormatPr defaultRowHeight="12.75" x14ac:dyDescent="0.2"/>
  <cols>
    <col min="1" max="1" width="16" style="42" bestFit="1" customWidth="1"/>
    <col min="2" max="2" width="13" style="42" bestFit="1" customWidth="1"/>
    <col min="3" max="3" width="17" style="42" bestFit="1" customWidth="1"/>
    <col min="4" max="4" width="14" style="42" bestFit="1" customWidth="1"/>
    <col min="5" max="5" width="15" style="42" bestFit="1" customWidth="1"/>
    <col min="6" max="6" width="13" style="42" bestFit="1" customWidth="1"/>
    <col min="7" max="7" width="10" style="42" bestFit="1" customWidth="1"/>
    <col min="8" max="8" width="12" style="42" bestFit="1" customWidth="1"/>
    <col min="9" max="9" width="22" style="42" bestFit="1" customWidth="1"/>
    <col min="10" max="10" width="19" style="42" bestFit="1" customWidth="1"/>
    <col min="11" max="11" width="5" style="42" bestFit="1" customWidth="1"/>
    <col min="12" max="12" width="15" style="42" bestFit="1" customWidth="1"/>
    <col min="13" max="13" width="22" style="42" bestFit="1" customWidth="1"/>
    <col min="14" max="14" width="18" style="42" bestFit="1" customWidth="1"/>
    <col min="15" max="15" width="20" style="42" bestFit="1" customWidth="1"/>
    <col min="16" max="16" width="52" style="42" bestFit="1" customWidth="1"/>
    <col min="17" max="17" width="21" style="42" bestFit="1" customWidth="1"/>
    <col min="18" max="18" width="6" style="42" bestFit="1" customWidth="1"/>
    <col min="19" max="19" width="27" style="42" bestFit="1" customWidth="1"/>
    <col min="20" max="20" width="14" style="42" bestFit="1" customWidth="1"/>
    <col min="21" max="21" width="12" style="42" bestFit="1" customWidth="1"/>
    <col min="22" max="22" width="11" style="42" bestFit="1" customWidth="1"/>
    <col min="23" max="23" width="15" style="42" bestFit="1" customWidth="1"/>
    <col min="24" max="24" width="19" style="42" bestFit="1" customWidth="1"/>
    <col min="25" max="25" width="15" style="42" bestFit="1" customWidth="1"/>
    <col min="26" max="26" width="18" style="42" bestFit="1" customWidth="1"/>
    <col min="27" max="27" width="19" style="42" bestFit="1" customWidth="1"/>
    <col min="28" max="28" width="16" style="42" bestFit="1" customWidth="1"/>
    <col min="29" max="29" width="14" style="42" bestFit="1" customWidth="1"/>
    <col min="30" max="16384" width="9.140625" style="42"/>
  </cols>
  <sheetData>
    <row r="1" spans="1:29" ht="51" x14ac:dyDescent="0.2">
      <c r="A1" s="50" t="s">
        <v>11</v>
      </c>
      <c r="B1" s="51" t="s">
        <v>12</v>
      </c>
      <c r="C1" s="51" t="s">
        <v>13</v>
      </c>
      <c r="D1" s="51" t="s">
        <v>14</v>
      </c>
      <c r="E1" s="51" t="s">
        <v>15</v>
      </c>
      <c r="F1" s="51" t="s">
        <v>16</v>
      </c>
      <c r="G1" s="50" t="s">
        <v>17</v>
      </c>
      <c r="H1" s="50" t="s">
        <v>18</v>
      </c>
      <c r="I1" s="51" t="s">
        <v>19</v>
      </c>
      <c r="J1" s="51" t="s">
        <v>20</v>
      </c>
      <c r="K1" s="50" t="s">
        <v>21</v>
      </c>
      <c r="L1" s="50" t="s">
        <v>22</v>
      </c>
      <c r="M1" s="51" t="s">
        <v>23</v>
      </c>
      <c r="N1" s="51" t="s">
        <v>24</v>
      </c>
      <c r="O1" s="51" t="s">
        <v>25</v>
      </c>
      <c r="P1" s="51" t="s">
        <v>26</v>
      </c>
      <c r="Q1" s="51" t="s">
        <v>27</v>
      </c>
      <c r="R1" s="51" t="s">
        <v>28</v>
      </c>
      <c r="S1" s="51" t="s">
        <v>29</v>
      </c>
      <c r="T1" s="51" t="s">
        <v>30</v>
      </c>
      <c r="U1" s="51" t="s">
        <v>31</v>
      </c>
      <c r="V1" s="51" t="s">
        <v>32</v>
      </c>
      <c r="W1" s="51" t="s">
        <v>33</v>
      </c>
      <c r="X1" s="51" t="s">
        <v>34</v>
      </c>
      <c r="Y1" s="51" t="s">
        <v>35</v>
      </c>
      <c r="Z1" s="51" t="s">
        <v>36</v>
      </c>
      <c r="AA1" s="51" t="s">
        <v>37</v>
      </c>
      <c r="AB1" s="51" t="s">
        <v>38</v>
      </c>
      <c r="AC1" s="50" t="s">
        <v>39</v>
      </c>
    </row>
    <row r="2" spans="1:29" ht="14.1" customHeight="1" x14ac:dyDescent="0.2">
      <c r="A2" s="49" t="s">
        <v>0</v>
      </c>
      <c r="B2" s="42" t="s">
        <v>66</v>
      </c>
      <c r="C2" s="42" t="s">
        <v>67</v>
      </c>
      <c r="D2" s="48">
        <v>42004</v>
      </c>
      <c r="E2" s="48">
        <v>42004</v>
      </c>
      <c r="F2" s="48">
        <v>42024</v>
      </c>
      <c r="G2" s="42" t="s">
        <v>68</v>
      </c>
      <c r="H2" s="42" t="s">
        <v>4</v>
      </c>
      <c r="I2" s="47">
        <v>-3252306.83</v>
      </c>
      <c r="J2" s="42" t="s">
        <v>5</v>
      </c>
      <c r="K2" s="42" t="s">
        <v>1</v>
      </c>
      <c r="L2" s="47">
        <v>-254005163.43000001</v>
      </c>
      <c r="M2" s="47">
        <v>-3252306.83</v>
      </c>
      <c r="N2" s="42" t="s">
        <v>69</v>
      </c>
      <c r="O2" s="42" t="s">
        <v>70</v>
      </c>
      <c r="P2" s="42" t="s">
        <v>71</v>
      </c>
      <c r="Q2" s="42" t="s">
        <v>0</v>
      </c>
      <c r="R2" s="42" t="s">
        <v>2</v>
      </c>
      <c r="S2" s="42" t="s">
        <v>72</v>
      </c>
      <c r="T2" s="42" t="s">
        <v>73</v>
      </c>
      <c r="U2" s="42" t="s">
        <v>0</v>
      </c>
      <c r="V2" s="42" t="s">
        <v>73</v>
      </c>
      <c r="W2" s="42" t="s">
        <v>74</v>
      </c>
      <c r="X2" s="42" t="s">
        <v>0</v>
      </c>
      <c r="Y2" s="48"/>
      <c r="Z2" s="42" t="s">
        <v>0</v>
      </c>
      <c r="AA2" s="42" t="s">
        <v>0</v>
      </c>
      <c r="AB2" s="42" t="s">
        <v>0</v>
      </c>
      <c r="AC2" s="47">
        <v>0</v>
      </c>
    </row>
    <row r="3" spans="1:29" ht="14.1" customHeight="1" x14ac:dyDescent="0.2">
      <c r="A3" s="49" t="s">
        <v>0</v>
      </c>
      <c r="B3" s="42" t="s">
        <v>66</v>
      </c>
      <c r="C3" s="42" t="s">
        <v>75</v>
      </c>
      <c r="D3" s="48">
        <v>42093</v>
      </c>
      <c r="E3" s="48">
        <v>42093</v>
      </c>
      <c r="F3" s="48">
        <v>42109</v>
      </c>
      <c r="G3" s="42" t="s">
        <v>76</v>
      </c>
      <c r="H3" s="42" t="s">
        <v>4</v>
      </c>
      <c r="I3" s="47">
        <v>101300</v>
      </c>
      <c r="J3" s="42" t="s">
        <v>6</v>
      </c>
      <c r="K3" s="42" t="s">
        <v>1</v>
      </c>
      <c r="L3" s="47">
        <v>7820360</v>
      </c>
      <c r="M3" s="47">
        <v>101300</v>
      </c>
      <c r="N3" s="42" t="s">
        <v>77</v>
      </c>
      <c r="O3" s="42" t="s">
        <v>70</v>
      </c>
      <c r="P3" s="42" t="s">
        <v>0</v>
      </c>
      <c r="Q3" s="42" t="s">
        <v>0</v>
      </c>
      <c r="R3" s="42" t="s">
        <v>2</v>
      </c>
      <c r="S3" s="42" t="s">
        <v>78</v>
      </c>
      <c r="T3" s="42" t="s">
        <v>73</v>
      </c>
      <c r="U3" s="42" t="s">
        <v>0</v>
      </c>
      <c r="V3" s="42" t="s">
        <v>73</v>
      </c>
      <c r="W3" s="42" t="s">
        <v>74</v>
      </c>
      <c r="X3" s="42" t="s">
        <v>0</v>
      </c>
      <c r="Y3" s="48"/>
      <c r="Z3" s="42" t="s">
        <v>0</v>
      </c>
      <c r="AA3" s="42" t="s">
        <v>0</v>
      </c>
      <c r="AB3" s="42" t="s">
        <v>0</v>
      </c>
      <c r="AC3" s="47">
        <v>0</v>
      </c>
    </row>
    <row r="4" spans="1:29" ht="14.1" customHeight="1" x14ac:dyDescent="0.2">
      <c r="A4" s="49" t="s">
        <v>0</v>
      </c>
      <c r="B4" s="42" t="s">
        <v>66</v>
      </c>
      <c r="C4" s="42" t="s">
        <v>79</v>
      </c>
      <c r="D4" s="48">
        <v>42093</v>
      </c>
      <c r="E4" s="48">
        <v>42093</v>
      </c>
      <c r="F4" s="48">
        <v>42109</v>
      </c>
      <c r="G4" s="42" t="s">
        <v>76</v>
      </c>
      <c r="H4" s="42" t="s">
        <v>4</v>
      </c>
      <c r="I4" s="47">
        <v>3613.13</v>
      </c>
      <c r="J4" s="42" t="s">
        <v>6</v>
      </c>
      <c r="K4" s="42" t="s">
        <v>1</v>
      </c>
      <c r="L4" s="47">
        <v>278933.64</v>
      </c>
      <c r="M4" s="47">
        <v>3613.13</v>
      </c>
      <c r="N4" s="42" t="s">
        <v>77</v>
      </c>
      <c r="O4" s="42" t="s">
        <v>70</v>
      </c>
      <c r="P4" s="42" t="s">
        <v>0</v>
      </c>
      <c r="Q4" s="42" t="s">
        <v>0</v>
      </c>
      <c r="R4" s="42" t="s">
        <v>2</v>
      </c>
      <c r="S4" s="42" t="s">
        <v>80</v>
      </c>
      <c r="T4" s="42" t="s">
        <v>73</v>
      </c>
      <c r="U4" s="42" t="s">
        <v>0</v>
      </c>
      <c r="V4" s="42" t="s">
        <v>73</v>
      </c>
      <c r="W4" s="42" t="s">
        <v>74</v>
      </c>
      <c r="X4" s="42" t="s">
        <v>0</v>
      </c>
      <c r="Y4" s="48"/>
      <c r="Z4" s="42" t="s">
        <v>0</v>
      </c>
      <c r="AA4" s="42" t="s">
        <v>0</v>
      </c>
      <c r="AB4" s="42" t="s">
        <v>0</v>
      </c>
      <c r="AC4" s="47">
        <v>0</v>
      </c>
    </row>
    <row r="5" spans="1:29" ht="14.1" customHeight="1" x14ac:dyDescent="0.2">
      <c r="A5" s="49" t="s">
        <v>0</v>
      </c>
      <c r="B5" s="42" t="s">
        <v>66</v>
      </c>
      <c r="C5" s="42" t="s">
        <v>81</v>
      </c>
      <c r="D5" s="48">
        <v>42185</v>
      </c>
      <c r="E5" s="48">
        <v>42185</v>
      </c>
      <c r="F5" s="48">
        <v>42208</v>
      </c>
      <c r="G5" s="42" t="s">
        <v>76</v>
      </c>
      <c r="H5" s="42" t="s">
        <v>4</v>
      </c>
      <c r="I5" s="47">
        <v>101300</v>
      </c>
      <c r="J5" s="42" t="s">
        <v>6</v>
      </c>
      <c r="K5" s="42" t="s">
        <v>1</v>
      </c>
      <c r="L5" s="47">
        <v>7820360</v>
      </c>
      <c r="M5" s="47">
        <v>101300</v>
      </c>
      <c r="N5" s="42" t="s">
        <v>77</v>
      </c>
      <c r="O5" s="42" t="s">
        <v>70</v>
      </c>
      <c r="P5" s="42" t="s">
        <v>0</v>
      </c>
      <c r="Q5" s="42" t="s">
        <v>0</v>
      </c>
      <c r="R5" s="42" t="s">
        <v>2</v>
      </c>
      <c r="S5" s="42" t="s">
        <v>78</v>
      </c>
      <c r="T5" s="42" t="s">
        <v>73</v>
      </c>
      <c r="U5" s="42" t="s">
        <v>0</v>
      </c>
      <c r="V5" s="42" t="s">
        <v>73</v>
      </c>
      <c r="W5" s="42" t="s">
        <v>74</v>
      </c>
      <c r="X5" s="42" t="s">
        <v>0</v>
      </c>
      <c r="Y5" s="48"/>
      <c r="Z5" s="42" t="s">
        <v>0</v>
      </c>
      <c r="AA5" s="42" t="s">
        <v>0</v>
      </c>
      <c r="AB5" s="42" t="s">
        <v>0</v>
      </c>
      <c r="AC5" s="47">
        <v>0</v>
      </c>
    </row>
    <row r="6" spans="1:29" ht="14.1" customHeight="1" x14ac:dyDescent="0.2">
      <c r="A6" s="49" t="s">
        <v>0</v>
      </c>
      <c r="B6" s="42" t="s">
        <v>66</v>
      </c>
      <c r="C6" s="42" t="s">
        <v>82</v>
      </c>
      <c r="D6" s="48">
        <v>42185</v>
      </c>
      <c r="E6" s="48">
        <v>42185</v>
      </c>
      <c r="F6" s="48">
        <v>42208</v>
      </c>
      <c r="G6" s="42" t="s">
        <v>76</v>
      </c>
      <c r="H6" s="42" t="s">
        <v>4</v>
      </c>
      <c r="I6" s="47">
        <v>3613.13</v>
      </c>
      <c r="J6" s="42" t="s">
        <v>6</v>
      </c>
      <c r="K6" s="42" t="s">
        <v>1</v>
      </c>
      <c r="L6" s="47">
        <v>278933.64</v>
      </c>
      <c r="M6" s="47">
        <v>3613.13</v>
      </c>
      <c r="N6" s="42" t="s">
        <v>77</v>
      </c>
      <c r="O6" s="42" t="s">
        <v>70</v>
      </c>
      <c r="P6" s="42" t="s">
        <v>0</v>
      </c>
      <c r="Q6" s="42" t="s">
        <v>0</v>
      </c>
      <c r="R6" s="42" t="s">
        <v>2</v>
      </c>
      <c r="S6" s="42" t="s">
        <v>83</v>
      </c>
      <c r="T6" s="42" t="s">
        <v>73</v>
      </c>
      <c r="U6" s="42" t="s">
        <v>0</v>
      </c>
      <c r="V6" s="42" t="s">
        <v>73</v>
      </c>
      <c r="W6" s="42" t="s">
        <v>74</v>
      </c>
      <c r="X6" s="42" t="s">
        <v>0</v>
      </c>
      <c r="Y6" s="48"/>
      <c r="Z6" s="42" t="s">
        <v>0</v>
      </c>
      <c r="AA6" s="42" t="s">
        <v>0</v>
      </c>
      <c r="AB6" s="42" t="s">
        <v>0</v>
      </c>
      <c r="AC6" s="47">
        <v>0</v>
      </c>
    </row>
    <row r="7" spans="1:29" ht="14.1" customHeight="1" x14ac:dyDescent="0.2">
      <c r="A7" s="49" t="s">
        <v>0</v>
      </c>
      <c r="B7" s="42" t="s">
        <v>66</v>
      </c>
      <c r="C7" s="42" t="s">
        <v>84</v>
      </c>
      <c r="D7" s="48">
        <v>42277</v>
      </c>
      <c r="E7" s="48">
        <v>42277</v>
      </c>
      <c r="F7" s="48">
        <v>42285</v>
      </c>
      <c r="G7" s="42" t="s">
        <v>76</v>
      </c>
      <c r="H7" s="42" t="s">
        <v>4</v>
      </c>
      <c r="I7" s="47">
        <v>101300</v>
      </c>
      <c r="J7" s="42" t="s">
        <v>5</v>
      </c>
      <c r="K7" s="42" t="s">
        <v>1</v>
      </c>
      <c r="L7" s="47">
        <v>7911530</v>
      </c>
      <c r="M7" s="47">
        <v>101300</v>
      </c>
      <c r="N7" s="42" t="s">
        <v>77</v>
      </c>
      <c r="O7" s="42" t="s">
        <v>85</v>
      </c>
      <c r="P7" s="42" t="s">
        <v>86</v>
      </c>
      <c r="Q7" s="42" t="s">
        <v>0</v>
      </c>
      <c r="R7" s="42" t="s">
        <v>2</v>
      </c>
      <c r="S7" s="42" t="s">
        <v>78</v>
      </c>
      <c r="T7" s="42" t="s">
        <v>0</v>
      </c>
      <c r="U7" s="42" t="s">
        <v>0</v>
      </c>
      <c r="V7" s="42" t="s">
        <v>0</v>
      </c>
      <c r="W7" s="42" t="s">
        <v>3</v>
      </c>
      <c r="X7" s="42" t="s">
        <v>0</v>
      </c>
      <c r="Y7" s="48"/>
      <c r="Z7" s="42" t="s">
        <v>0</v>
      </c>
      <c r="AA7" s="42" t="s">
        <v>0</v>
      </c>
      <c r="AB7" s="42" t="s">
        <v>0</v>
      </c>
      <c r="AC7" s="47">
        <v>0</v>
      </c>
    </row>
    <row r="8" spans="1:29" ht="14.1" customHeight="1" x14ac:dyDescent="0.2">
      <c r="A8" s="49" t="s">
        <v>0</v>
      </c>
      <c r="B8" s="42" t="s">
        <v>66</v>
      </c>
      <c r="C8" s="42" t="s">
        <v>87</v>
      </c>
      <c r="D8" s="48">
        <v>42277</v>
      </c>
      <c r="E8" s="48">
        <v>42277</v>
      </c>
      <c r="F8" s="48">
        <v>42285</v>
      </c>
      <c r="G8" s="42" t="s">
        <v>76</v>
      </c>
      <c r="H8" s="42" t="s">
        <v>4</v>
      </c>
      <c r="I8" s="47">
        <v>3613.13</v>
      </c>
      <c r="J8" s="42" t="s">
        <v>5</v>
      </c>
      <c r="K8" s="42" t="s">
        <v>1</v>
      </c>
      <c r="L8" s="47">
        <v>282185.45</v>
      </c>
      <c r="M8" s="47">
        <v>3613.13</v>
      </c>
      <c r="N8" s="42" t="s">
        <v>77</v>
      </c>
      <c r="O8" s="42" t="s">
        <v>85</v>
      </c>
      <c r="P8" s="42" t="s">
        <v>88</v>
      </c>
      <c r="Q8" s="42" t="s">
        <v>0</v>
      </c>
      <c r="R8" s="42" t="s">
        <v>2</v>
      </c>
      <c r="S8" s="42" t="s">
        <v>80</v>
      </c>
      <c r="T8" s="42" t="s">
        <v>0</v>
      </c>
      <c r="U8" s="42" t="s">
        <v>0</v>
      </c>
      <c r="V8" s="42" t="s">
        <v>0</v>
      </c>
      <c r="W8" s="42" t="s">
        <v>3</v>
      </c>
      <c r="X8" s="42" t="s">
        <v>0</v>
      </c>
      <c r="Y8" s="48"/>
      <c r="Z8" s="42" t="s">
        <v>0</v>
      </c>
      <c r="AA8" s="42" t="s">
        <v>0</v>
      </c>
      <c r="AB8" s="42" t="s">
        <v>0</v>
      </c>
      <c r="AC8" s="47">
        <v>0</v>
      </c>
    </row>
    <row r="9" spans="1:29" ht="14.1" customHeight="1" x14ac:dyDescent="0.2">
      <c r="A9" s="49" t="s">
        <v>0</v>
      </c>
      <c r="B9" s="42" t="s">
        <v>66</v>
      </c>
      <c r="C9" s="42" t="s">
        <v>89</v>
      </c>
      <c r="D9" s="48">
        <v>42367</v>
      </c>
      <c r="E9" s="48">
        <v>42367</v>
      </c>
      <c r="F9" s="48">
        <v>42389</v>
      </c>
      <c r="G9" s="42" t="s">
        <v>90</v>
      </c>
      <c r="H9" s="42" t="s">
        <v>4</v>
      </c>
      <c r="I9" s="47">
        <v>65765</v>
      </c>
      <c r="J9" s="42" t="s">
        <v>91</v>
      </c>
      <c r="K9" s="42" t="s">
        <v>1</v>
      </c>
      <c r="L9" s="47">
        <v>5110166.2</v>
      </c>
      <c r="M9" s="47">
        <v>65765</v>
      </c>
      <c r="N9" s="42" t="s">
        <v>77</v>
      </c>
      <c r="O9" s="42" t="s">
        <v>85</v>
      </c>
      <c r="P9" s="42" t="s">
        <v>92</v>
      </c>
      <c r="Q9" s="42" t="s">
        <v>0</v>
      </c>
      <c r="R9" s="42" t="s">
        <v>2</v>
      </c>
      <c r="S9" s="42" t="s">
        <v>93</v>
      </c>
      <c r="T9" s="42" t="s">
        <v>94</v>
      </c>
      <c r="U9" s="42" t="s">
        <v>0</v>
      </c>
      <c r="V9" s="42" t="s">
        <v>94</v>
      </c>
      <c r="W9" s="42" t="s">
        <v>74</v>
      </c>
      <c r="X9" s="42" t="s">
        <v>0</v>
      </c>
      <c r="Y9" s="48"/>
      <c r="Z9" s="42" t="s">
        <v>0</v>
      </c>
      <c r="AA9" s="42" t="s">
        <v>0</v>
      </c>
      <c r="AB9" s="42" t="s">
        <v>0</v>
      </c>
      <c r="AC9" s="47">
        <v>0</v>
      </c>
    </row>
    <row r="10" spans="1:29" ht="14.1" customHeight="1" x14ac:dyDescent="0.2">
      <c r="A10" s="49" t="s">
        <v>0</v>
      </c>
      <c r="B10" s="42" t="s">
        <v>66</v>
      </c>
      <c r="C10" s="42" t="s">
        <v>95</v>
      </c>
      <c r="D10" s="48">
        <v>42400</v>
      </c>
      <c r="E10" s="48">
        <v>42400</v>
      </c>
      <c r="F10" s="48">
        <v>42410</v>
      </c>
      <c r="G10" s="42" t="s">
        <v>90</v>
      </c>
      <c r="H10" s="42" t="s">
        <v>4</v>
      </c>
      <c r="I10" s="47">
        <v>0.01</v>
      </c>
      <c r="J10" s="42" t="s">
        <v>0</v>
      </c>
      <c r="K10" s="42" t="s">
        <v>1</v>
      </c>
      <c r="L10" s="47">
        <v>645693.15</v>
      </c>
      <c r="M10" s="47">
        <v>0.01</v>
      </c>
      <c r="N10" s="42" t="s">
        <v>96</v>
      </c>
      <c r="O10" s="42" t="s">
        <v>97</v>
      </c>
      <c r="P10" s="42" t="s">
        <v>98</v>
      </c>
      <c r="Q10" s="42" t="s">
        <v>0</v>
      </c>
      <c r="R10" s="42" t="s">
        <v>2</v>
      </c>
      <c r="S10" s="42" t="s">
        <v>99</v>
      </c>
      <c r="T10" s="42" t="s">
        <v>94</v>
      </c>
      <c r="U10" s="42" t="s">
        <v>0</v>
      </c>
      <c r="V10" s="42" t="s">
        <v>0</v>
      </c>
      <c r="W10" s="42" t="s">
        <v>3</v>
      </c>
      <c r="X10" s="42" t="s">
        <v>0</v>
      </c>
      <c r="Y10" s="48"/>
      <c r="Z10" s="42" t="s">
        <v>0</v>
      </c>
      <c r="AA10" s="42" t="s">
        <v>0</v>
      </c>
      <c r="AB10" s="42" t="s">
        <v>0</v>
      </c>
      <c r="AC10" s="47">
        <v>0</v>
      </c>
    </row>
    <row r="11" spans="1:29" ht="14.1" customHeight="1" x14ac:dyDescent="0.2">
      <c r="A11" s="49" t="s">
        <v>0</v>
      </c>
      <c r="B11" s="42" t="s">
        <v>66</v>
      </c>
      <c r="C11" s="42" t="s">
        <v>100</v>
      </c>
      <c r="D11" s="48">
        <v>42459</v>
      </c>
      <c r="E11" s="48">
        <v>42459</v>
      </c>
      <c r="F11" s="48">
        <v>42462</v>
      </c>
      <c r="G11" s="42" t="s">
        <v>90</v>
      </c>
      <c r="H11" s="42" t="s">
        <v>4</v>
      </c>
      <c r="I11" s="47">
        <v>3613.13</v>
      </c>
      <c r="J11" s="42" t="s">
        <v>8</v>
      </c>
      <c r="K11" s="42" t="s">
        <v>1</v>
      </c>
      <c r="L11" s="47">
        <v>281462.83</v>
      </c>
      <c r="M11" s="47">
        <v>3613.13</v>
      </c>
      <c r="N11" s="42" t="s">
        <v>101</v>
      </c>
      <c r="O11" s="42" t="s">
        <v>70</v>
      </c>
      <c r="P11" s="42" t="s">
        <v>102</v>
      </c>
      <c r="Q11" s="42" t="s">
        <v>0</v>
      </c>
      <c r="R11" s="42" t="s">
        <v>2</v>
      </c>
      <c r="S11" s="42" t="s">
        <v>103</v>
      </c>
      <c r="T11" s="42" t="s">
        <v>73</v>
      </c>
      <c r="U11" s="42" t="s">
        <v>0</v>
      </c>
      <c r="V11" s="42" t="s">
        <v>73</v>
      </c>
      <c r="W11" s="42" t="s">
        <v>74</v>
      </c>
      <c r="X11" s="42" t="s">
        <v>0</v>
      </c>
      <c r="Y11" s="48"/>
      <c r="Z11" s="42" t="s">
        <v>0</v>
      </c>
      <c r="AA11" s="42" t="s">
        <v>0</v>
      </c>
      <c r="AB11" s="42" t="s">
        <v>0</v>
      </c>
      <c r="AC11" s="47">
        <v>0</v>
      </c>
    </row>
    <row r="12" spans="1:29" ht="14.1" customHeight="1" x14ac:dyDescent="0.2">
      <c r="A12" s="49" t="s">
        <v>0</v>
      </c>
      <c r="B12" s="42" t="s">
        <v>66</v>
      </c>
      <c r="C12" s="42" t="s">
        <v>104</v>
      </c>
      <c r="D12" s="48">
        <v>42459</v>
      </c>
      <c r="E12" s="48">
        <v>42459</v>
      </c>
      <c r="F12" s="48">
        <v>42462</v>
      </c>
      <c r="G12" s="42" t="s">
        <v>90</v>
      </c>
      <c r="H12" s="42" t="s">
        <v>4</v>
      </c>
      <c r="I12" s="47">
        <v>101300</v>
      </c>
      <c r="J12" s="42" t="s">
        <v>8</v>
      </c>
      <c r="K12" s="42" t="s">
        <v>1</v>
      </c>
      <c r="L12" s="47">
        <v>7891270</v>
      </c>
      <c r="M12" s="47">
        <v>101300</v>
      </c>
      <c r="N12" s="42" t="s">
        <v>101</v>
      </c>
      <c r="O12" s="42" t="s">
        <v>70</v>
      </c>
      <c r="P12" s="42" t="s">
        <v>105</v>
      </c>
      <c r="Q12" s="42" t="s">
        <v>0</v>
      </c>
      <c r="R12" s="42" t="s">
        <v>2</v>
      </c>
      <c r="S12" s="42" t="s">
        <v>106</v>
      </c>
      <c r="T12" s="42" t="s">
        <v>73</v>
      </c>
      <c r="U12" s="42" t="s">
        <v>0</v>
      </c>
      <c r="V12" s="42" t="s">
        <v>73</v>
      </c>
      <c r="W12" s="42" t="s">
        <v>74</v>
      </c>
      <c r="X12" s="42" t="s">
        <v>0</v>
      </c>
      <c r="Y12" s="48"/>
      <c r="Z12" s="42" t="s">
        <v>0</v>
      </c>
      <c r="AA12" s="42" t="s">
        <v>0</v>
      </c>
      <c r="AB12" s="42" t="s">
        <v>0</v>
      </c>
      <c r="AC12" s="47">
        <v>0</v>
      </c>
    </row>
    <row r="13" spans="1:29" ht="14.1" customHeight="1" x14ac:dyDescent="0.2">
      <c r="A13" s="49" t="s">
        <v>0</v>
      </c>
      <c r="B13" s="42" t="s">
        <v>66</v>
      </c>
      <c r="C13" s="42" t="s">
        <v>107</v>
      </c>
      <c r="D13" s="48">
        <v>42460</v>
      </c>
      <c r="E13" s="48">
        <v>42460</v>
      </c>
      <c r="F13" s="48">
        <v>42469</v>
      </c>
      <c r="G13" s="42" t="s">
        <v>90</v>
      </c>
      <c r="H13" s="42" t="s">
        <v>4</v>
      </c>
      <c r="I13" s="47">
        <v>0.01</v>
      </c>
      <c r="J13" s="42" t="s">
        <v>0</v>
      </c>
      <c r="K13" s="42" t="s">
        <v>1</v>
      </c>
      <c r="L13" s="47">
        <v>143592.04999999999</v>
      </c>
      <c r="M13" s="47">
        <v>0.01</v>
      </c>
      <c r="N13" s="42" t="s">
        <v>96</v>
      </c>
      <c r="O13" s="42" t="s">
        <v>108</v>
      </c>
      <c r="P13" s="42" t="s">
        <v>99</v>
      </c>
      <c r="Q13" s="42" t="s">
        <v>0</v>
      </c>
      <c r="R13" s="42" t="s">
        <v>2</v>
      </c>
      <c r="S13" s="42" t="s">
        <v>99</v>
      </c>
      <c r="T13" s="42" t="s">
        <v>94</v>
      </c>
      <c r="U13" s="42" t="s">
        <v>0</v>
      </c>
      <c r="V13" s="42" t="s">
        <v>0</v>
      </c>
      <c r="W13" s="42" t="s">
        <v>3</v>
      </c>
      <c r="X13" s="42" t="s">
        <v>0</v>
      </c>
      <c r="Y13" s="48"/>
      <c r="Z13" s="42" t="s">
        <v>0</v>
      </c>
      <c r="AA13" s="42" t="s">
        <v>0</v>
      </c>
      <c r="AB13" s="42" t="s">
        <v>0</v>
      </c>
      <c r="AC13" s="47">
        <v>0</v>
      </c>
    </row>
    <row r="14" spans="1:29" ht="14.1" customHeight="1" x14ac:dyDescent="0.2">
      <c r="A14" s="49" t="s">
        <v>0</v>
      </c>
      <c r="B14" s="42" t="s">
        <v>66</v>
      </c>
      <c r="C14" s="42" t="s">
        <v>109</v>
      </c>
      <c r="D14" s="48">
        <v>42521</v>
      </c>
      <c r="E14" s="48">
        <v>42521</v>
      </c>
      <c r="F14" s="48">
        <v>42529</v>
      </c>
      <c r="G14" s="42" t="s">
        <v>90</v>
      </c>
      <c r="H14" s="42" t="s">
        <v>4</v>
      </c>
      <c r="I14" s="47">
        <v>0.01</v>
      </c>
      <c r="J14" s="42" t="s">
        <v>0</v>
      </c>
      <c r="K14" s="42" t="s">
        <v>1</v>
      </c>
      <c r="L14" s="47">
        <v>138345.24</v>
      </c>
      <c r="M14" s="47">
        <v>0.01</v>
      </c>
      <c r="N14" s="42" t="s">
        <v>96</v>
      </c>
      <c r="O14" s="42" t="s">
        <v>108</v>
      </c>
      <c r="P14" s="42" t="s">
        <v>99</v>
      </c>
      <c r="Q14" s="42" t="s">
        <v>0</v>
      </c>
      <c r="R14" s="42" t="s">
        <v>2</v>
      </c>
      <c r="S14" s="42" t="s">
        <v>99</v>
      </c>
      <c r="T14" s="42" t="s">
        <v>94</v>
      </c>
      <c r="U14" s="42" t="s">
        <v>0</v>
      </c>
      <c r="V14" s="42" t="s">
        <v>0</v>
      </c>
      <c r="W14" s="42" t="s">
        <v>3</v>
      </c>
      <c r="X14" s="42" t="s">
        <v>0</v>
      </c>
      <c r="Y14" s="48"/>
      <c r="Z14" s="42" t="s">
        <v>0</v>
      </c>
      <c r="AA14" s="42" t="s">
        <v>0</v>
      </c>
      <c r="AB14" s="42" t="s">
        <v>0</v>
      </c>
      <c r="AC14" s="47">
        <v>0</v>
      </c>
    </row>
    <row r="15" spans="1:29" ht="14.1" customHeight="1" x14ac:dyDescent="0.2">
      <c r="A15" s="49" t="s">
        <v>0</v>
      </c>
      <c r="B15" s="42" t="s">
        <v>66</v>
      </c>
      <c r="C15" s="42" t="s">
        <v>110</v>
      </c>
      <c r="D15" s="48">
        <v>42548</v>
      </c>
      <c r="E15" s="48">
        <v>42548</v>
      </c>
      <c r="F15" s="48">
        <v>42564</v>
      </c>
      <c r="G15" s="42" t="s">
        <v>90</v>
      </c>
      <c r="H15" s="42" t="s">
        <v>4</v>
      </c>
      <c r="I15" s="47">
        <v>101300</v>
      </c>
      <c r="J15" s="42" t="s">
        <v>7</v>
      </c>
      <c r="K15" s="42" t="s">
        <v>1</v>
      </c>
      <c r="L15" s="47">
        <v>7886205</v>
      </c>
      <c r="M15" s="47">
        <v>101300</v>
      </c>
      <c r="N15" s="42" t="s">
        <v>101</v>
      </c>
      <c r="O15" s="42" t="s">
        <v>70</v>
      </c>
      <c r="P15" s="42" t="s">
        <v>0</v>
      </c>
      <c r="Q15" s="42" t="s">
        <v>0</v>
      </c>
      <c r="R15" s="42" t="s">
        <v>2</v>
      </c>
      <c r="S15" s="42" t="s">
        <v>106</v>
      </c>
      <c r="T15" s="42" t="s">
        <v>73</v>
      </c>
      <c r="U15" s="42" t="s">
        <v>0</v>
      </c>
      <c r="V15" s="42" t="s">
        <v>73</v>
      </c>
      <c r="W15" s="42" t="s">
        <v>74</v>
      </c>
      <c r="X15" s="42" t="s">
        <v>0</v>
      </c>
      <c r="Y15" s="48"/>
      <c r="Z15" s="42" t="s">
        <v>0</v>
      </c>
      <c r="AA15" s="42" t="s">
        <v>0</v>
      </c>
      <c r="AB15" s="42" t="s">
        <v>0</v>
      </c>
      <c r="AC15" s="47">
        <v>0</v>
      </c>
    </row>
    <row r="16" spans="1:29" ht="14.1" customHeight="1" x14ac:dyDescent="0.2">
      <c r="A16" s="49" t="s">
        <v>0</v>
      </c>
      <c r="B16" s="42" t="s">
        <v>66</v>
      </c>
      <c r="C16" s="42" t="s">
        <v>111</v>
      </c>
      <c r="D16" s="48">
        <v>42548</v>
      </c>
      <c r="E16" s="48">
        <v>42548</v>
      </c>
      <c r="F16" s="48">
        <v>42564</v>
      </c>
      <c r="G16" s="42" t="s">
        <v>90</v>
      </c>
      <c r="H16" s="42" t="s">
        <v>4</v>
      </c>
      <c r="I16" s="47">
        <v>3613.13</v>
      </c>
      <c r="J16" s="42" t="s">
        <v>7</v>
      </c>
      <c r="K16" s="42" t="s">
        <v>1</v>
      </c>
      <c r="L16" s="47">
        <v>281282.17</v>
      </c>
      <c r="M16" s="47">
        <v>3613.13</v>
      </c>
      <c r="N16" s="42" t="s">
        <v>101</v>
      </c>
      <c r="O16" s="42" t="s">
        <v>112</v>
      </c>
      <c r="P16" s="42" t="s">
        <v>113</v>
      </c>
      <c r="Q16" s="42" t="s">
        <v>0</v>
      </c>
      <c r="R16" s="42" t="s">
        <v>2</v>
      </c>
      <c r="S16" s="42" t="s">
        <v>103</v>
      </c>
      <c r="T16" s="42" t="s">
        <v>73</v>
      </c>
      <c r="U16" s="42" t="s">
        <v>0</v>
      </c>
      <c r="V16" s="42" t="s">
        <v>73</v>
      </c>
      <c r="W16" s="42" t="s">
        <v>74</v>
      </c>
      <c r="X16" s="42" t="s">
        <v>0</v>
      </c>
      <c r="Y16" s="48"/>
      <c r="Z16" s="42" t="s">
        <v>0</v>
      </c>
      <c r="AA16" s="42" t="s">
        <v>0</v>
      </c>
      <c r="AB16" s="42" t="s">
        <v>0</v>
      </c>
      <c r="AC16" s="47">
        <v>0</v>
      </c>
    </row>
    <row r="17" spans="1:29" ht="14.1" customHeight="1" x14ac:dyDescent="0.2">
      <c r="A17" s="49" t="s">
        <v>0</v>
      </c>
      <c r="B17" s="42" t="s">
        <v>66</v>
      </c>
      <c r="C17" s="42" t="s">
        <v>114</v>
      </c>
      <c r="D17" s="48">
        <v>42551</v>
      </c>
      <c r="E17" s="48">
        <v>42551</v>
      </c>
      <c r="F17" s="48">
        <v>42568</v>
      </c>
      <c r="G17" s="42" t="s">
        <v>90</v>
      </c>
      <c r="H17" s="42" t="s">
        <v>4</v>
      </c>
      <c r="I17" s="47">
        <v>0.01</v>
      </c>
      <c r="J17" s="42" t="s">
        <v>0</v>
      </c>
      <c r="K17" s="42" t="s">
        <v>1</v>
      </c>
      <c r="L17" s="47">
        <v>665494.81999999995</v>
      </c>
      <c r="M17" s="47">
        <v>0.01</v>
      </c>
      <c r="N17" s="42" t="s">
        <v>96</v>
      </c>
      <c r="O17" s="42" t="s">
        <v>108</v>
      </c>
      <c r="P17" s="42" t="s">
        <v>99</v>
      </c>
      <c r="Q17" s="42" t="s">
        <v>0</v>
      </c>
      <c r="R17" s="42" t="s">
        <v>2</v>
      </c>
      <c r="S17" s="42" t="s">
        <v>99</v>
      </c>
      <c r="T17" s="42" t="s">
        <v>94</v>
      </c>
      <c r="U17" s="42" t="s">
        <v>0</v>
      </c>
      <c r="V17" s="42" t="s">
        <v>0</v>
      </c>
      <c r="W17" s="42" t="s">
        <v>3</v>
      </c>
      <c r="X17" s="42" t="s">
        <v>0</v>
      </c>
      <c r="Y17" s="48"/>
      <c r="Z17" s="42" t="s">
        <v>0</v>
      </c>
      <c r="AA17" s="42" t="s">
        <v>0</v>
      </c>
      <c r="AB17" s="42" t="s">
        <v>0</v>
      </c>
      <c r="AC17" s="47">
        <v>0</v>
      </c>
    </row>
    <row r="18" spans="1:29" ht="14.1" customHeight="1" x14ac:dyDescent="0.2">
      <c r="A18" s="49" t="s">
        <v>0</v>
      </c>
      <c r="B18" s="42" t="s">
        <v>66</v>
      </c>
      <c r="C18" s="42" t="s">
        <v>115</v>
      </c>
      <c r="D18" s="48">
        <v>42673</v>
      </c>
      <c r="E18" s="48">
        <v>42673</v>
      </c>
      <c r="F18" s="48">
        <v>42674</v>
      </c>
      <c r="G18" s="42" t="s">
        <v>90</v>
      </c>
      <c r="H18" s="42" t="s">
        <v>4</v>
      </c>
      <c r="I18" s="47">
        <v>101300</v>
      </c>
      <c r="J18" s="42" t="s">
        <v>9</v>
      </c>
      <c r="K18" s="42" t="s">
        <v>1</v>
      </c>
      <c r="L18" s="47">
        <v>7876075</v>
      </c>
      <c r="M18" s="47">
        <v>101300</v>
      </c>
      <c r="N18" s="42" t="s">
        <v>116</v>
      </c>
      <c r="O18" s="42" t="s">
        <v>70</v>
      </c>
      <c r="P18" s="42" t="s">
        <v>0</v>
      </c>
      <c r="Q18" s="42" t="s">
        <v>0</v>
      </c>
      <c r="R18" s="42" t="s">
        <v>2</v>
      </c>
      <c r="S18" s="42" t="s">
        <v>117</v>
      </c>
      <c r="T18" s="42" t="s">
        <v>73</v>
      </c>
      <c r="U18" s="42" t="s">
        <v>0</v>
      </c>
      <c r="V18" s="42" t="s">
        <v>73</v>
      </c>
      <c r="W18" s="42" t="s">
        <v>74</v>
      </c>
      <c r="X18" s="42" t="s">
        <v>0</v>
      </c>
      <c r="Y18" s="48"/>
      <c r="Z18" s="42" t="s">
        <v>0</v>
      </c>
      <c r="AA18" s="42" t="s">
        <v>0</v>
      </c>
      <c r="AB18" s="42" t="s">
        <v>0</v>
      </c>
      <c r="AC18" s="47">
        <v>0</v>
      </c>
    </row>
    <row r="19" spans="1:29" ht="14.1" customHeight="1" x14ac:dyDescent="0.2">
      <c r="A19" s="49" t="s">
        <v>0</v>
      </c>
      <c r="B19" s="42" t="s">
        <v>66</v>
      </c>
      <c r="C19" s="42" t="s">
        <v>118</v>
      </c>
      <c r="D19" s="48">
        <v>42673</v>
      </c>
      <c r="E19" s="48">
        <v>42673</v>
      </c>
      <c r="F19" s="48">
        <v>42674</v>
      </c>
      <c r="G19" s="42" t="s">
        <v>90</v>
      </c>
      <c r="H19" s="42" t="s">
        <v>4</v>
      </c>
      <c r="I19" s="47">
        <v>3613.13</v>
      </c>
      <c r="J19" s="42" t="s">
        <v>9</v>
      </c>
      <c r="K19" s="42" t="s">
        <v>1</v>
      </c>
      <c r="L19" s="47">
        <v>280920.86</v>
      </c>
      <c r="M19" s="47">
        <v>3613.13</v>
      </c>
      <c r="N19" s="42" t="s">
        <v>116</v>
      </c>
      <c r="O19" s="42" t="s">
        <v>70</v>
      </c>
      <c r="P19" s="42" t="s">
        <v>119</v>
      </c>
      <c r="Q19" s="42" t="s">
        <v>0</v>
      </c>
      <c r="R19" s="42" t="s">
        <v>2</v>
      </c>
      <c r="S19" s="42" t="s">
        <v>117</v>
      </c>
      <c r="T19" s="42" t="s">
        <v>73</v>
      </c>
      <c r="U19" s="42" t="s">
        <v>0</v>
      </c>
      <c r="V19" s="42" t="s">
        <v>73</v>
      </c>
      <c r="W19" s="42" t="s">
        <v>74</v>
      </c>
      <c r="X19" s="42" t="s">
        <v>0</v>
      </c>
      <c r="Y19" s="48"/>
      <c r="Z19" s="42" t="s">
        <v>0</v>
      </c>
      <c r="AA19" s="42" t="s">
        <v>0</v>
      </c>
      <c r="AB19" s="42" t="s">
        <v>0</v>
      </c>
      <c r="AC19" s="47">
        <v>0</v>
      </c>
    </row>
    <row r="20" spans="1:29" ht="14.1" customHeight="1" x14ac:dyDescent="0.2">
      <c r="A20" s="49" t="s">
        <v>0</v>
      </c>
      <c r="B20" s="42" t="s">
        <v>66</v>
      </c>
      <c r="C20" s="42" t="s">
        <v>120</v>
      </c>
      <c r="D20" s="48">
        <v>42739</v>
      </c>
      <c r="E20" s="48">
        <v>42739</v>
      </c>
      <c r="F20" s="48">
        <v>42768</v>
      </c>
      <c r="G20" s="42" t="s">
        <v>90</v>
      </c>
      <c r="H20" s="42" t="s">
        <v>4</v>
      </c>
      <c r="I20" s="47">
        <v>101300</v>
      </c>
      <c r="J20" s="42" t="s">
        <v>121</v>
      </c>
      <c r="K20" s="42" t="s">
        <v>1</v>
      </c>
      <c r="L20" s="47">
        <v>7901400</v>
      </c>
      <c r="M20" s="47">
        <v>101300</v>
      </c>
      <c r="N20" s="42" t="s">
        <v>116</v>
      </c>
      <c r="O20" s="42" t="s">
        <v>122</v>
      </c>
      <c r="P20" s="42" t="s">
        <v>123</v>
      </c>
      <c r="Q20" s="42" t="s">
        <v>0</v>
      </c>
      <c r="R20" s="42" t="s">
        <v>2</v>
      </c>
      <c r="S20" s="42" t="s">
        <v>124</v>
      </c>
      <c r="T20" s="42" t="s">
        <v>94</v>
      </c>
      <c r="U20" s="42" t="s">
        <v>0</v>
      </c>
      <c r="V20" s="42" t="s">
        <v>0</v>
      </c>
      <c r="W20" s="42" t="s">
        <v>3</v>
      </c>
      <c r="X20" s="42" t="s">
        <v>0</v>
      </c>
      <c r="Y20" s="48"/>
      <c r="Z20" s="42" t="s">
        <v>0</v>
      </c>
      <c r="AA20" s="42" t="s">
        <v>0</v>
      </c>
      <c r="AB20" s="42" t="s">
        <v>0</v>
      </c>
      <c r="AC20" s="47">
        <v>0</v>
      </c>
    </row>
    <row r="21" spans="1:29" ht="14.1" customHeight="1" x14ac:dyDescent="0.2">
      <c r="A21" s="49" t="s">
        <v>0</v>
      </c>
      <c r="B21" s="42" t="s">
        <v>66</v>
      </c>
      <c r="C21" s="42" t="s">
        <v>125</v>
      </c>
      <c r="D21" s="48">
        <v>42739</v>
      </c>
      <c r="E21" s="48">
        <v>42739</v>
      </c>
      <c r="F21" s="48">
        <v>42768</v>
      </c>
      <c r="G21" s="42" t="s">
        <v>90</v>
      </c>
      <c r="H21" s="42" t="s">
        <v>4</v>
      </c>
      <c r="I21" s="47">
        <v>3613.13</v>
      </c>
      <c r="J21" s="42" t="s">
        <v>121</v>
      </c>
      <c r="K21" s="42" t="s">
        <v>1</v>
      </c>
      <c r="L21" s="47">
        <v>281824.14</v>
      </c>
      <c r="M21" s="47">
        <v>3613.13</v>
      </c>
      <c r="N21" s="42" t="s">
        <v>116</v>
      </c>
      <c r="O21" s="42" t="s">
        <v>122</v>
      </c>
      <c r="P21" s="42" t="s">
        <v>126</v>
      </c>
      <c r="Q21" s="42" t="s">
        <v>0</v>
      </c>
      <c r="R21" s="42" t="s">
        <v>2</v>
      </c>
      <c r="S21" s="42" t="s">
        <v>0</v>
      </c>
      <c r="T21" s="42" t="s">
        <v>94</v>
      </c>
      <c r="U21" s="42" t="s">
        <v>0</v>
      </c>
      <c r="V21" s="42" t="s">
        <v>0</v>
      </c>
      <c r="W21" s="42" t="s">
        <v>3</v>
      </c>
      <c r="X21" s="42" t="s">
        <v>0</v>
      </c>
      <c r="Y21" s="48"/>
      <c r="Z21" s="42" t="s">
        <v>0</v>
      </c>
      <c r="AA21" s="42" t="s">
        <v>0</v>
      </c>
      <c r="AB21" s="42" t="s">
        <v>0</v>
      </c>
      <c r="AC21" s="47">
        <v>0</v>
      </c>
    </row>
    <row r="22" spans="1:29" ht="14.1" customHeight="1" x14ac:dyDescent="0.2">
      <c r="A22" s="49" t="s">
        <v>0</v>
      </c>
      <c r="B22" s="42" t="s">
        <v>66</v>
      </c>
      <c r="C22" s="42" t="s">
        <v>127</v>
      </c>
      <c r="D22" s="48">
        <v>42894</v>
      </c>
      <c r="E22" s="48">
        <v>42894</v>
      </c>
      <c r="F22" s="48">
        <v>42927</v>
      </c>
      <c r="G22" s="42" t="s">
        <v>90</v>
      </c>
      <c r="H22" s="42" t="s">
        <v>4</v>
      </c>
      <c r="I22" s="47">
        <v>101300</v>
      </c>
      <c r="J22" s="42" t="s">
        <v>128</v>
      </c>
      <c r="K22" s="42" t="s">
        <v>1</v>
      </c>
      <c r="L22" s="47">
        <v>8116156</v>
      </c>
      <c r="M22" s="47">
        <v>101300</v>
      </c>
      <c r="N22" s="42" t="s">
        <v>116</v>
      </c>
      <c r="O22" s="42" t="s">
        <v>129</v>
      </c>
      <c r="P22" s="42" t="s">
        <v>130</v>
      </c>
      <c r="Q22" s="42" t="s">
        <v>0</v>
      </c>
      <c r="R22" s="42" t="s">
        <v>2</v>
      </c>
      <c r="S22" s="42" t="s">
        <v>131</v>
      </c>
      <c r="T22" s="42" t="s">
        <v>94</v>
      </c>
      <c r="U22" s="42" t="s">
        <v>0</v>
      </c>
      <c r="V22" s="42" t="s">
        <v>0</v>
      </c>
      <c r="W22" s="42" t="s">
        <v>3</v>
      </c>
      <c r="X22" s="42" t="s">
        <v>0</v>
      </c>
      <c r="Y22" s="48"/>
      <c r="Z22" s="42" t="s">
        <v>0</v>
      </c>
      <c r="AA22" s="42" t="s">
        <v>0</v>
      </c>
      <c r="AB22" s="42" t="s">
        <v>0</v>
      </c>
      <c r="AC22" s="47">
        <v>0</v>
      </c>
    </row>
    <row r="23" spans="1:29" ht="14.1" customHeight="1" x14ac:dyDescent="0.2">
      <c r="A23" s="49" t="s">
        <v>0</v>
      </c>
      <c r="B23" s="42" t="s">
        <v>66</v>
      </c>
      <c r="C23" s="42" t="s">
        <v>132</v>
      </c>
      <c r="D23" s="48">
        <v>42894</v>
      </c>
      <c r="E23" s="48">
        <v>42894</v>
      </c>
      <c r="F23" s="48">
        <v>42927</v>
      </c>
      <c r="G23" s="42" t="s">
        <v>90</v>
      </c>
      <c r="H23" s="42" t="s">
        <v>4</v>
      </c>
      <c r="I23" s="47">
        <v>3613.13</v>
      </c>
      <c r="J23" s="42" t="s">
        <v>128</v>
      </c>
      <c r="K23" s="42" t="s">
        <v>1</v>
      </c>
      <c r="L23" s="47">
        <v>289483.98</v>
      </c>
      <c r="M23" s="47">
        <v>3613.13</v>
      </c>
      <c r="N23" s="42" t="s">
        <v>116</v>
      </c>
      <c r="O23" s="42" t="s">
        <v>129</v>
      </c>
      <c r="P23" s="42" t="s">
        <v>133</v>
      </c>
      <c r="Q23" s="42" t="s">
        <v>0</v>
      </c>
      <c r="R23" s="42" t="s">
        <v>2</v>
      </c>
      <c r="S23" s="42" t="s">
        <v>131</v>
      </c>
      <c r="T23" s="42" t="s">
        <v>94</v>
      </c>
      <c r="U23" s="42" t="s">
        <v>0</v>
      </c>
      <c r="V23" s="42" t="s">
        <v>0</v>
      </c>
      <c r="W23" s="42" t="s">
        <v>3</v>
      </c>
      <c r="X23" s="42" t="s">
        <v>0</v>
      </c>
      <c r="Y23" s="48"/>
      <c r="Z23" s="42" t="s">
        <v>0</v>
      </c>
      <c r="AA23" s="42" t="s">
        <v>0</v>
      </c>
      <c r="AB23" s="42" t="s">
        <v>0</v>
      </c>
      <c r="AC23" s="47">
        <v>0</v>
      </c>
    </row>
    <row r="24" spans="1:29" ht="14.1" customHeight="1" x14ac:dyDescent="0.2">
      <c r="A24" s="49" t="s">
        <v>0</v>
      </c>
      <c r="B24" s="42" t="s">
        <v>66</v>
      </c>
      <c r="C24" s="42" t="s">
        <v>134</v>
      </c>
      <c r="D24" s="48">
        <v>42957</v>
      </c>
      <c r="E24" s="48">
        <v>42957</v>
      </c>
      <c r="F24" s="48">
        <v>42995</v>
      </c>
      <c r="G24" s="42" t="s">
        <v>90</v>
      </c>
      <c r="H24" s="42" t="s">
        <v>4</v>
      </c>
      <c r="I24" s="47">
        <v>101300</v>
      </c>
      <c r="J24" s="42" t="s">
        <v>10</v>
      </c>
      <c r="K24" s="42" t="s">
        <v>1</v>
      </c>
      <c r="L24" s="47">
        <v>8179975</v>
      </c>
      <c r="M24" s="47">
        <v>101300</v>
      </c>
      <c r="N24" s="42" t="s">
        <v>116</v>
      </c>
      <c r="O24" s="42" t="s">
        <v>135</v>
      </c>
      <c r="P24" s="42" t="s">
        <v>136</v>
      </c>
      <c r="Q24" s="42" t="s">
        <v>0</v>
      </c>
      <c r="R24" s="42" t="s">
        <v>2</v>
      </c>
      <c r="S24" s="42" t="s">
        <v>137</v>
      </c>
      <c r="T24" s="42" t="s">
        <v>94</v>
      </c>
      <c r="U24" s="42" t="s">
        <v>0</v>
      </c>
      <c r="V24" s="42" t="s">
        <v>0</v>
      </c>
      <c r="W24" s="42" t="s">
        <v>3</v>
      </c>
      <c r="X24" s="42" t="s">
        <v>0</v>
      </c>
      <c r="Y24" s="48"/>
      <c r="Z24" s="42" t="s">
        <v>0</v>
      </c>
      <c r="AA24" s="42" t="s">
        <v>0</v>
      </c>
      <c r="AB24" s="42" t="s">
        <v>0</v>
      </c>
      <c r="AC24" s="47">
        <v>0</v>
      </c>
    </row>
    <row r="25" spans="1:29" ht="14.1" customHeight="1" x14ac:dyDescent="0.2">
      <c r="A25" s="49" t="s">
        <v>0</v>
      </c>
      <c r="B25" s="42" t="s">
        <v>66</v>
      </c>
      <c r="C25" s="42" t="s">
        <v>138</v>
      </c>
      <c r="D25" s="48">
        <v>42957</v>
      </c>
      <c r="E25" s="48">
        <v>42957</v>
      </c>
      <c r="F25" s="48">
        <v>42995</v>
      </c>
      <c r="G25" s="42" t="s">
        <v>90</v>
      </c>
      <c r="H25" s="42" t="s">
        <v>4</v>
      </c>
      <c r="I25" s="47">
        <v>3613.13</v>
      </c>
      <c r="J25" s="42" t="s">
        <v>10</v>
      </c>
      <c r="K25" s="42" t="s">
        <v>1</v>
      </c>
      <c r="L25" s="47">
        <v>291760.24</v>
      </c>
      <c r="M25" s="47">
        <v>3613.13</v>
      </c>
      <c r="N25" s="42" t="s">
        <v>116</v>
      </c>
      <c r="O25" s="42" t="s">
        <v>135</v>
      </c>
      <c r="P25" s="42" t="s">
        <v>139</v>
      </c>
      <c r="Q25" s="42" t="s">
        <v>0</v>
      </c>
      <c r="R25" s="42" t="s">
        <v>2</v>
      </c>
      <c r="S25" s="42" t="s">
        <v>137</v>
      </c>
      <c r="T25" s="42" t="s">
        <v>94</v>
      </c>
      <c r="U25" s="42" t="s">
        <v>0</v>
      </c>
      <c r="V25" s="42" t="s">
        <v>0</v>
      </c>
      <c r="W25" s="42" t="s">
        <v>3</v>
      </c>
      <c r="X25" s="42" t="s">
        <v>0</v>
      </c>
      <c r="Y25" s="48"/>
      <c r="Z25" s="42" t="s">
        <v>0</v>
      </c>
      <c r="AA25" s="42" t="s">
        <v>0</v>
      </c>
      <c r="AB25" s="42" t="s">
        <v>0</v>
      </c>
      <c r="AC25" s="47">
        <v>0</v>
      </c>
    </row>
    <row r="26" spans="1:29" ht="14.1" customHeight="1" x14ac:dyDescent="0.2">
      <c r="A26" s="49" t="s">
        <v>0</v>
      </c>
      <c r="B26" s="42" t="s">
        <v>66</v>
      </c>
      <c r="C26" s="42" t="s">
        <v>140</v>
      </c>
      <c r="D26" s="48">
        <v>43087</v>
      </c>
      <c r="E26" s="48">
        <v>43087</v>
      </c>
      <c r="F26" s="48">
        <v>43090</v>
      </c>
      <c r="G26" s="42" t="s">
        <v>90</v>
      </c>
      <c r="H26" s="42" t="s">
        <v>4</v>
      </c>
      <c r="I26" s="47">
        <v>3613.13</v>
      </c>
      <c r="J26" s="42" t="s">
        <v>141</v>
      </c>
      <c r="K26" s="42" t="s">
        <v>1</v>
      </c>
      <c r="L26" s="47">
        <v>302967.99</v>
      </c>
      <c r="M26" s="47">
        <v>3613.13</v>
      </c>
      <c r="N26" s="42" t="s">
        <v>142</v>
      </c>
      <c r="O26" s="42" t="s">
        <v>143</v>
      </c>
      <c r="P26" s="42" t="s">
        <v>144</v>
      </c>
      <c r="Q26" s="42" t="s">
        <v>0</v>
      </c>
      <c r="R26" s="42" t="s">
        <v>2</v>
      </c>
      <c r="S26" s="42" t="s">
        <v>145</v>
      </c>
      <c r="T26" s="42" t="s">
        <v>94</v>
      </c>
      <c r="U26" s="42" t="s">
        <v>0</v>
      </c>
      <c r="V26" s="42" t="s">
        <v>0</v>
      </c>
      <c r="W26" s="42" t="s">
        <v>146</v>
      </c>
      <c r="X26" s="42" t="s">
        <v>0</v>
      </c>
      <c r="Y26" s="48"/>
      <c r="Z26" s="42" t="s">
        <v>0</v>
      </c>
      <c r="AA26" s="42" t="s">
        <v>0</v>
      </c>
      <c r="AB26" s="42" t="s">
        <v>0</v>
      </c>
      <c r="AC26" s="47">
        <v>0</v>
      </c>
    </row>
    <row r="27" spans="1:29" ht="14.1" customHeight="1" x14ac:dyDescent="0.2">
      <c r="A27" s="49" t="s">
        <v>0</v>
      </c>
      <c r="B27" s="42" t="s">
        <v>66</v>
      </c>
      <c r="C27" s="42" t="s">
        <v>147</v>
      </c>
      <c r="D27" s="48">
        <v>43087</v>
      </c>
      <c r="E27" s="48">
        <v>43087</v>
      </c>
      <c r="F27" s="48">
        <v>43090</v>
      </c>
      <c r="G27" s="42" t="s">
        <v>90</v>
      </c>
      <c r="H27" s="42" t="s">
        <v>4</v>
      </c>
      <c r="I27" s="47">
        <v>101300</v>
      </c>
      <c r="J27" s="42" t="s">
        <v>148</v>
      </c>
      <c r="K27" s="42" t="s">
        <v>1</v>
      </c>
      <c r="L27" s="47">
        <v>8429538.7100000009</v>
      </c>
      <c r="M27" s="47">
        <v>101300</v>
      </c>
      <c r="N27" s="42" t="s">
        <v>142</v>
      </c>
      <c r="O27" s="42" t="s">
        <v>143</v>
      </c>
      <c r="P27" s="42" t="s">
        <v>149</v>
      </c>
      <c r="Q27" s="42" t="s">
        <v>0</v>
      </c>
      <c r="R27" s="42" t="s">
        <v>2</v>
      </c>
      <c r="S27" s="42" t="s">
        <v>145</v>
      </c>
      <c r="T27" s="42" t="s">
        <v>94</v>
      </c>
      <c r="U27" s="42" t="s">
        <v>0</v>
      </c>
      <c r="V27" s="42" t="s">
        <v>0</v>
      </c>
      <c r="W27" s="42" t="s">
        <v>146</v>
      </c>
      <c r="X27" s="42" t="s">
        <v>0</v>
      </c>
      <c r="Y27" s="48"/>
      <c r="Z27" s="42" t="s">
        <v>0</v>
      </c>
      <c r="AA27" s="42" t="s">
        <v>0</v>
      </c>
      <c r="AB27" s="42" t="s">
        <v>0</v>
      </c>
      <c r="AC27" s="47">
        <v>0</v>
      </c>
    </row>
    <row r="28" spans="1:29" ht="14.1" customHeight="1" x14ac:dyDescent="0.2">
      <c r="A28" s="49" t="s">
        <v>0</v>
      </c>
      <c r="B28" s="42" t="s">
        <v>66</v>
      </c>
      <c r="C28" s="42" t="s">
        <v>150</v>
      </c>
      <c r="D28" s="48">
        <v>43144</v>
      </c>
      <c r="E28" s="48">
        <v>43144</v>
      </c>
      <c r="F28" s="48">
        <v>43148</v>
      </c>
      <c r="G28" s="42" t="s">
        <v>90</v>
      </c>
      <c r="H28" s="42" t="s">
        <v>4</v>
      </c>
      <c r="I28" s="47">
        <v>60000</v>
      </c>
      <c r="J28" s="42" t="s">
        <v>151</v>
      </c>
      <c r="K28" s="42" t="s">
        <v>1</v>
      </c>
      <c r="L28" s="47">
        <v>4944000</v>
      </c>
      <c r="M28" s="47">
        <v>60000</v>
      </c>
      <c r="N28" s="42" t="s">
        <v>142</v>
      </c>
      <c r="O28" s="42" t="s">
        <v>143</v>
      </c>
      <c r="P28" s="42" t="s">
        <v>152</v>
      </c>
      <c r="Q28" s="42" t="s">
        <v>0</v>
      </c>
      <c r="R28" s="42" t="s">
        <v>2</v>
      </c>
      <c r="S28" s="42" t="s">
        <v>153</v>
      </c>
      <c r="T28" s="42" t="s">
        <v>94</v>
      </c>
      <c r="U28" s="42" t="s">
        <v>0</v>
      </c>
      <c r="V28" s="42" t="s">
        <v>0</v>
      </c>
      <c r="W28" s="42" t="s">
        <v>74</v>
      </c>
      <c r="X28" s="42" t="s">
        <v>0</v>
      </c>
      <c r="Y28" s="48"/>
      <c r="Z28" s="42" t="s">
        <v>0</v>
      </c>
      <c r="AA28" s="42" t="s">
        <v>0</v>
      </c>
      <c r="AB28" s="42" t="s">
        <v>0</v>
      </c>
      <c r="AC28" s="47">
        <v>0</v>
      </c>
    </row>
    <row r="29" spans="1:29" ht="14.1" customHeight="1" x14ac:dyDescent="0.2">
      <c r="A29" s="49" t="s">
        <v>0</v>
      </c>
      <c r="B29" s="42" t="s">
        <v>66</v>
      </c>
      <c r="C29" s="42" t="s">
        <v>154</v>
      </c>
      <c r="D29" s="48">
        <v>43144</v>
      </c>
      <c r="E29" s="48">
        <v>43144</v>
      </c>
      <c r="F29" s="48">
        <v>43148</v>
      </c>
      <c r="G29" s="42" t="s">
        <v>90</v>
      </c>
      <c r="H29" s="42" t="s">
        <v>4</v>
      </c>
      <c r="I29" s="47">
        <v>3613.13</v>
      </c>
      <c r="J29" s="42" t="s">
        <v>151</v>
      </c>
      <c r="K29" s="42" t="s">
        <v>1</v>
      </c>
      <c r="L29" s="47">
        <v>297721.90999999997</v>
      </c>
      <c r="M29" s="47">
        <v>3613.13</v>
      </c>
      <c r="N29" s="42" t="s">
        <v>142</v>
      </c>
      <c r="O29" s="42" t="s">
        <v>143</v>
      </c>
      <c r="P29" s="42" t="s">
        <v>155</v>
      </c>
      <c r="Q29" s="42" t="s">
        <v>0</v>
      </c>
      <c r="R29" s="42" t="s">
        <v>2</v>
      </c>
      <c r="S29" s="42" t="s">
        <v>153</v>
      </c>
      <c r="T29" s="42" t="s">
        <v>94</v>
      </c>
      <c r="U29" s="42" t="s">
        <v>0</v>
      </c>
      <c r="V29" s="42" t="s">
        <v>0</v>
      </c>
      <c r="W29" s="42" t="s">
        <v>74</v>
      </c>
      <c r="X29" s="42" t="s">
        <v>0</v>
      </c>
      <c r="Y29" s="48"/>
      <c r="Z29" s="42" t="s">
        <v>0</v>
      </c>
      <c r="AA29" s="42" t="s">
        <v>0</v>
      </c>
      <c r="AB29" s="42" t="s">
        <v>0</v>
      </c>
      <c r="AC29" s="47">
        <v>0</v>
      </c>
    </row>
    <row r="30" spans="1:29" ht="14.1" customHeight="1" x14ac:dyDescent="0.2">
      <c r="A30" s="49" t="s">
        <v>0</v>
      </c>
      <c r="B30" s="42" t="s">
        <v>66</v>
      </c>
      <c r="C30" s="42" t="s">
        <v>156</v>
      </c>
      <c r="D30" s="48">
        <v>43368</v>
      </c>
      <c r="E30" s="48">
        <v>43368</v>
      </c>
      <c r="F30" s="48">
        <v>43377</v>
      </c>
      <c r="G30" s="42" t="s">
        <v>90</v>
      </c>
      <c r="H30" s="42" t="s">
        <v>4</v>
      </c>
      <c r="I30" s="47">
        <v>41300</v>
      </c>
      <c r="J30" s="42" t="s">
        <v>157</v>
      </c>
      <c r="K30" s="42" t="s">
        <v>1</v>
      </c>
      <c r="L30" s="47">
        <v>3417575</v>
      </c>
      <c r="M30" s="47">
        <v>41300</v>
      </c>
      <c r="N30" s="42" t="s">
        <v>142</v>
      </c>
      <c r="O30" s="42" t="s">
        <v>158</v>
      </c>
      <c r="P30" s="42" t="s">
        <v>159</v>
      </c>
      <c r="Q30" s="42" t="s">
        <v>0</v>
      </c>
      <c r="R30" s="42" t="s">
        <v>2</v>
      </c>
      <c r="S30" s="42" t="s">
        <v>160</v>
      </c>
      <c r="T30" s="42" t="s">
        <v>94</v>
      </c>
      <c r="U30" s="42" t="s">
        <v>0</v>
      </c>
      <c r="V30" s="42" t="s">
        <v>0</v>
      </c>
      <c r="W30" s="42" t="s">
        <v>74</v>
      </c>
      <c r="X30" s="42" t="s">
        <v>0</v>
      </c>
      <c r="Y30" s="48"/>
      <c r="Z30" s="42" t="s">
        <v>0</v>
      </c>
      <c r="AA30" s="42" t="s">
        <v>0</v>
      </c>
      <c r="AB30" s="42" t="s">
        <v>0</v>
      </c>
      <c r="AC30" s="47">
        <v>0</v>
      </c>
    </row>
    <row r="31" spans="1:29" ht="14.1" customHeight="1" x14ac:dyDescent="0.2">
      <c r="A31" s="49" t="s">
        <v>0</v>
      </c>
      <c r="B31" s="42" t="s">
        <v>66</v>
      </c>
      <c r="C31" s="42" t="s">
        <v>156</v>
      </c>
      <c r="D31" s="48">
        <v>43368</v>
      </c>
      <c r="E31" s="48">
        <v>43368</v>
      </c>
      <c r="F31" s="48">
        <v>43377</v>
      </c>
      <c r="G31" s="42" t="s">
        <v>90</v>
      </c>
      <c r="H31" s="42" t="s">
        <v>4</v>
      </c>
      <c r="I31" s="47">
        <v>101300</v>
      </c>
      <c r="J31" s="42" t="s">
        <v>157</v>
      </c>
      <c r="K31" s="42" t="s">
        <v>1</v>
      </c>
      <c r="L31" s="47">
        <v>8382575</v>
      </c>
      <c r="M31" s="47">
        <v>101300</v>
      </c>
      <c r="N31" s="42" t="s">
        <v>142</v>
      </c>
      <c r="O31" s="42" t="s">
        <v>158</v>
      </c>
      <c r="P31" s="42" t="s">
        <v>161</v>
      </c>
      <c r="Q31" s="42" t="s">
        <v>0</v>
      </c>
      <c r="R31" s="42" t="s">
        <v>2</v>
      </c>
      <c r="S31" s="42" t="s">
        <v>160</v>
      </c>
      <c r="T31" s="42" t="s">
        <v>94</v>
      </c>
      <c r="U31" s="42" t="s">
        <v>0</v>
      </c>
      <c r="V31" s="42" t="s">
        <v>0</v>
      </c>
      <c r="W31" s="42" t="s">
        <v>74</v>
      </c>
      <c r="X31" s="42" t="s">
        <v>0</v>
      </c>
      <c r="Y31" s="48"/>
      <c r="Z31" s="42" t="s">
        <v>0</v>
      </c>
      <c r="AA31" s="42" t="s">
        <v>0</v>
      </c>
      <c r="AB31" s="42" t="s">
        <v>0</v>
      </c>
      <c r="AC31" s="47">
        <v>0</v>
      </c>
    </row>
    <row r="32" spans="1:29" ht="14.1" customHeight="1" x14ac:dyDescent="0.2">
      <c r="A32" s="49" t="s">
        <v>0</v>
      </c>
      <c r="B32" s="42" t="s">
        <v>66</v>
      </c>
      <c r="C32" s="42" t="s">
        <v>162</v>
      </c>
      <c r="D32" s="48">
        <v>43398</v>
      </c>
      <c r="E32" s="48">
        <v>43398</v>
      </c>
      <c r="F32" s="48">
        <v>43401</v>
      </c>
      <c r="G32" s="42" t="s">
        <v>90</v>
      </c>
      <c r="H32" s="42" t="s">
        <v>4</v>
      </c>
      <c r="I32" s="47">
        <v>3613.13</v>
      </c>
      <c r="J32" s="42" t="s">
        <v>163</v>
      </c>
      <c r="K32" s="42" t="s">
        <v>1</v>
      </c>
      <c r="L32" s="47">
        <v>299167.17</v>
      </c>
      <c r="M32" s="47">
        <v>3613.13</v>
      </c>
      <c r="N32" s="42" t="s">
        <v>142</v>
      </c>
      <c r="O32" s="42" t="s">
        <v>164</v>
      </c>
      <c r="P32" s="42" t="s">
        <v>165</v>
      </c>
      <c r="Q32" s="42" t="s">
        <v>0</v>
      </c>
      <c r="R32" s="42" t="s">
        <v>2</v>
      </c>
      <c r="S32" s="42" t="s">
        <v>166</v>
      </c>
      <c r="T32" s="42" t="s">
        <v>94</v>
      </c>
      <c r="U32" s="42" t="s">
        <v>0</v>
      </c>
      <c r="V32" s="42" t="s">
        <v>0</v>
      </c>
      <c r="W32" s="42" t="s">
        <v>74</v>
      </c>
      <c r="X32" s="42" t="s">
        <v>0</v>
      </c>
      <c r="Y32" s="48"/>
      <c r="Z32" s="42" t="s">
        <v>0</v>
      </c>
      <c r="AA32" s="42" t="s">
        <v>0</v>
      </c>
      <c r="AB32" s="42" t="s">
        <v>0</v>
      </c>
      <c r="AC32" s="47">
        <v>0</v>
      </c>
    </row>
    <row r="33" spans="1:29" ht="14.1" customHeight="1" x14ac:dyDescent="0.2">
      <c r="A33" s="49" t="s">
        <v>0</v>
      </c>
      <c r="B33" s="42" t="s">
        <v>66</v>
      </c>
      <c r="C33" s="42" t="s">
        <v>162</v>
      </c>
      <c r="D33" s="48">
        <v>43398</v>
      </c>
      <c r="E33" s="48">
        <v>43398</v>
      </c>
      <c r="F33" s="48">
        <v>43401</v>
      </c>
      <c r="G33" s="42" t="s">
        <v>90</v>
      </c>
      <c r="H33" s="42" t="s">
        <v>4</v>
      </c>
      <c r="I33" s="47">
        <v>3613.13</v>
      </c>
      <c r="J33" s="42" t="s">
        <v>163</v>
      </c>
      <c r="K33" s="42" t="s">
        <v>1</v>
      </c>
      <c r="L33" s="47">
        <v>299167.15999999997</v>
      </c>
      <c r="M33" s="47">
        <v>3613.13</v>
      </c>
      <c r="N33" s="42" t="s">
        <v>142</v>
      </c>
      <c r="O33" s="42" t="s">
        <v>167</v>
      </c>
      <c r="P33" s="42" t="s">
        <v>168</v>
      </c>
      <c r="Q33" s="42" t="s">
        <v>0</v>
      </c>
      <c r="R33" s="42" t="s">
        <v>2</v>
      </c>
      <c r="S33" s="42" t="s">
        <v>166</v>
      </c>
      <c r="T33" s="42" t="s">
        <v>94</v>
      </c>
      <c r="U33" s="42" t="s">
        <v>0</v>
      </c>
      <c r="V33" s="42" t="s">
        <v>0</v>
      </c>
      <c r="W33" s="42" t="s">
        <v>74</v>
      </c>
      <c r="X33" s="42" t="s">
        <v>0</v>
      </c>
      <c r="Y33" s="48"/>
      <c r="Z33" s="42" t="s">
        <v>0</v>
      </c>
      <c r="AA33" s="42" t="s">
        <v>0</v>
      </c>
      <c r="AB33" s="42" t="s">
        <v>0</v>
      </c>
      <c r="AC33" s="47">
        <v>0</v>
      </c>
    </row>
    <row r="34" spans="1:29" ht="14.1" customHeight="1" x14ac:dyDescent="0.2">
      <c r="A34" s="49" t="s">
        <v>0</v>
      </c>
      <c r="B34" s="42" t="s">
        <v>66</v>
      </c>
      <c r="C34" s="42" t="s">
        <v>169</v>
      </c>
      <c r="D34" s="48">
        <v>43398</v>
      </c>
      <c r="E34" s="48">
        <v>43398</v>
      </c>
      <c r="F34" s="48">
        <v>43401</v>
      </c>
      <c r="G34" s="42" t="s">
        <v>90</v>
      </c>
      <c r="H34" s="42" t="s">
        <v>4</v>
      </c>
      <c r="I34" s="47">
        <v>101300</v>
      </c>
      <c r="J34" s="42" t="s">
        <v>163</v>
      </c>
      <c r="K34" s="42" t="s">
        <v>1</v>
      </c>
      <c r="L34" s="47">
        <v>8387640</v>
      </c>
      <c r="M34" s="47">
        <v>101300</v>
      </c>
      <c r="N34" s="42" t="s">
        <v>142</v>
      </c>
      <c r="O34" s="42" t="s">
        <v>167</v>
      </c>
      <c r="P34" s="42" t="s">
        <v>170</v>
      </c>
      <c r="Q34" s="42" t="s">
        <v>0</v>
      </c>
      <c r="R34" s="42" t="s">
        <v>2</v>
      </c>
      <c r="S34" s="42" t="s">
        <v>171</v>
      </c>
      <c r="T34" s="42" t="s">
        <v>94</v>
      </c>
      <c r="U34" s="42" t="s">
        <v>0</v>
      </c>
      <c r="V34" s="42" t="s">
        <v>0</v>
      </c>
      <c r="W34" s="42" t="s">
        <v>74</v>
      </c>
      <c r="X34" s="42" t="s">
        <v>0</v>
      </c>
      <c r="Y34" s="48"/>
      <c r="Z34" s="42" t="s">
        <v>0</v>
      </c>
      <c r="AA34" s="42" t="s">
        <v>0</v>
      </c>
      <c r="AB34" s="42" t="s">
        <v>0</v>
      </c>
      <c r="AC34" s="47">
        <v>0</v>
      </c>
    </row>
    <row r="35" spans="1:29" ht="14.1" customHeight="1" x14ac:dyDescent="0.2">
      <c r="A35" s="49" t="s">
        <v>0</v>
      </c>
      <c r="B35" s="42" t="s">
        <v>66</v>
      </c>
      <c r="C35" s="42" t="s">
        <v>172</v>
      </c>
      <c r="D35" s="48">
        <v>43493</v>
      </c>
      <c r="E35" s="48">
        <v>43493</v>
      </c>
      <c r="F35" s="48">
        <v>43494</v>
      </c>
      <c r="G35" s="42" t="s">
        <v>90</v>
      </c>
      <c r="H35" s="42" t="s">
        <v>4</v>
      </c>
      <c r="I35" s="47">
        <v>101300</v>
      </c>
      <c r="J35" s="42" t="s">
        <v>173</v>
      </c>
      <c r="K35" s="42" t="s">
        <v>1</v>
      </c>
      <c r="L35" s="47">
        <v>8402835</v>
      </c>
      <c r="M35" s="47">
        <v>101300</v>
      </c>
      <c r="N35" s="42" t="s">
        <v>174</v>
      </c>
      <c r="O35" s="42" t="s">
        <v>175</v>
      </c>
      <c r="P35" s="42" t="s">
        <v>176</v>
      </c>
      <c r="Q35" s="42" t="s">
        <v>0</v>
      </c>
      <c r="R35" s="42" t="s">
        <v>2</v>
      </c>
      <c r="S35" s="42" t="s">
        <v>177</v>
      </c>
      <c r="T35" s="42" t="s">
        <v>94</v>
      </c>
      <c r="U35" s="42" t="s">
        <v>0</v>
      </c>
      <c r="V35" s="42" t="s">
        <v>0</v>
      </c>
      <c r="W35" s="42" t="s">
        <v>74</v>
      </c>
      <c r="X35" s="42" t="s">
        <v>0</v>
      </c>
      <c r="Y35" s="48"/>
      <c r="Z35" s="42" t="s">
        <v>0</v>
      </c>
      <c r="AA35" s="42" t="s">
        <v>0</v>
      </c>
      <c r="AB35" s="42" t="s">
        <v>0</v>
      </c>
      <c r="AC35" s="47">
        <v>0</v>
      </c>
    </row>
    <row r="36" spans="1:29" ht="14.1" customHeight="1" x14ac:dyDescent="0.2">
      <c r="A36" s="49" t="s">
        <v>0</v>
      </c>
      <c r="B36" s="42" t="s">
        <v>66</v>
      </c>
      <c r="C36" s="42" t="s">
        <v>178</v>
      </c>
      <c r="D36" s="48">
        <v>43493</v>
      </c>
      <c r="E36" s="48">
        <v>43493</v>
      </c>
      <c r="F36" s="48">
        <v>43494</v>
      </c>
      <c r="G36" s="42" t="s">
        <v>90</v>
      </c>
      <c r="H36" s="42" t="s">
        <v>4</v>
      </c>
      <c r="I36" s="47">
        <v>3613.13</v>
      </c>
      <c r="J36" s="42" t="s">
        <v>173</v>
      </c>
      <c r="K36" s="42" t="s">
        <v>1</v>
      </c>
      <c r="L36" s="47">
        <v>299709.13</v>
      </c>
      <c r="M36" s="47">
        <v>3613.13</v>
      </c>
      <c r="N36" s="42" t="s">
        <v>174</v>
      </c>
      <c r="O36" s="42" t="s">
        <v>175</v>
      </c>
      <c r="P36" s="42" t="s">
        <v>179</v>
      </c>
      <c r="Q36" s="42" t="s">
        <v>0</v>
      </c>
      <c r="R36" s="42" t="s">
        <v>2</v>
      </c>
      <c r="S36" s="42" t="s">
        <v>177</v>
      </c>
      <c r="T36" s="42" t="s">
        <v>94</v>
      </c>
      <c r="U36" s="42" t="s">
        <v>0</v>
      </c>
      <c r="V36" s="42" t="s">
        <v>0</v>
      </c>
      <c r="W36" s="42" t="s">
        <v>74</v>
      </c>
      <c r="X36" s="42" t="s">
        <v>0</v>
      </c>
      <c r="Y36" s="48"/>
      <c r="Z36" s="42" t="s">
        <v>0</v>
      </c>
      <c r="AA36" s="42" t="s">
        <v>0</v>
      </c>
      <c r="AB36" s="42" t="s">
        <v>0</v>
      </c>
      <c r="AC36" s="47">
        <v>0</v>
      </c>
    </row>
    <row r="37" spans="1:29" ht="14.1" customHeight="1" x14ac:dyDescent="0.2">
      <c r="A37" s="49" t="s">
        <v>0</v>
      </c>
      <c r="B37" s="42" t="s">
        <v>66</v>
      </c>
      <c r="C37" s="42" t="s">
        <v>180</v>
      </c>
      <c r="D37" s="48">
        <v>43521</v>
      </c>
      <c r="E37" s="48">
        <v>43521</v>
      </c>
      <c r="F37" s="48">
        <v>43523</v>
      </c>
      <c r="G37" s="42" t="s">
        <v>90</v>
      </c>
      <c r="H37" s="42" t="s">
        <v>4</v>
      </c>
      <c r="I37" s="47">
        <v>101300</v>
      </c>
      <c r="J37" s="42" t="s">
        <v>173</v>
      </c>
      <c r="K37" s="42" t="s">
        <v>1</v>
      </c>
      <c r="L37" s="47">
        <v>8402835</v>
      </c>
      <c r="M37" s="47">
        <v>101300</v>
      </c>
      <c r="N37" s="42" t="s">
        <v>181</v>
      </c>
      <c r="O37" s="42" t="s">
        <v>182</v>
      </c>
      <c r="P37" s="42" t="s">
        <v>183</v>
      </c>
      <c r="Q37" s="42" t="s">
        <v>0</v>
      </c>
      <c r="R37" s="42" t="s">
        <v>2</v>
      </c>
      <c r="S37" s="42" t="s">
        <v>184</v>
      </c>
      <c r="T37" s="42" t="s">
        <v>185</v>
      </c>
      <c r="U37" s="42" t="s">
        <v>0</v>
      </c>
      <c r="V37" s="42" t="s">
        <v>0</v>
      </c>
      <c r="W37" s="42" t="s">
        <v>74</v>
      </c>
      <c r="X37" s="42" t="s">
        <v>0</v>
      </c>
      <c r="Y37" s="48"/>
      <c r="Z37" s="42" t="s">
        <v>0</v>
      </c>
      <c r="AA37" s="42" t="s">
        <v>0</v>
      </c>
      <c r="AB37" s="42" t="s">
        <v>0</v>
      </c>
      <c r="AC37" s="47">
        <v>0</v>
      </c>
    </row>
    <row r="38" spans="1:29" ht="14.1" customHeight="1" x14ac:dyDescent="0.2">
      <c r="A38" s="49" t="s">
        <v>0</v>
      </c>
      <c r="B38" s="42" t="s">
        <v>66</v>
      </c>
      <c r="C38" s="42" t="s">
        <v>180</v>
      </c>
      <c r="D38" s="48">
        <v>43521</v>
      </c>
      <c r="E38" s="48">
        <v>43521</v>
      </c>
      <c r="F38" s="48">
        <v>43523</v>
      </c>
      <c r="G38" s="42" t="s">
        <v>90</v>
      </c>
      <c r="H38" s="42" t="s">
        <v>4</v>
      </c>
      <c r="I38" s="47">
        <v>3613.13</v>
      </c>
      <c r="J38" s="42" t="s">
        <v>173</v>
      </c>
      <c r="K38" s="42" t="s">
        <v>1</v>
      </c>
      <c r="L38" s="47">
        <v>299709.13</v>
      </c>
      <c r="M38" s="47">
        <v>3613.13</v>
      </c>
      <c r="N38" s="42" t="s">
        <v>181</v>
      </c>
      <c r="O38" s="42" t="s">
        <v>182</v>
      </c>
      <c r="P38" s="42" t="s">
        <v>186</v>
      </c>
      <c r="Q38" s="42" t="s">
        <v>0</v>
      </c>
      <c r="R38" s="42" t="s">
        <v>2</v>
      </c>
      <c r="S38" s="42" t="s">
        <v>184</v>
      </c>
      <c r="T38" s="42" t="s">
        <v>185</v>
      </c>
      <c r="U38" s="42" t="s">
        <v>0</v>
      </c>
      <c r="V38" s="42" t="s">
        <v>0</v>
      </c>
      <c r="W38" s="42" t="s">
        <v>74</v>
      </c>
      <c r="X38" s="42" t="s">
        <v>0</v>
      </c>
      <c r="Y38" s="48"/>
      <c r="Z38" s="42" t="s">
        <v>0</v>
      </c>
      <c r="AA38" s="42" t="s">
        <v>0</v>
      </c>
      <c r="AB38" s="42" t="s">
        <v>0</v>
      </c>
      <c r="AC38" s="47">
        <v>0</v>
      </c>
    </row>
    <row r="39" spans="1:29" ht="14.1" customHeight="1" x14ac:dyDescent="0.2">
      <c r="A39" s="49" t="s">
        <v>0</v>
      </c>
      <c r="B39" s="42" t="s">
        <v>66</v>
      </c>
      <c r="C39" s="42" t="s">
        <v>187</v>
      </c>
      <c r="D39" s="48">
        <v>43549</v>
      </c>
      <c r="E39" s="48">
        <v>43549</v>
      </c>
      <c r="F39" s="48">
        <v>43561</v>
      </c>
      <c r="G39" s="42" t="s">
        <v>90</v>
      </c>
      <c r="H39" s="42" t="s">
        <v>4</v>
      </c>
      <c r="I39" s="47">
        <v>101300</v>
      </c>
      <c r="J39" s="42" t="s">
        <v>188</v>
      </c>
      <c r="K39" s="42" t="s">
        <v>1</v>
      </c>
      <c r="L39" s="47">
        <v>8438290</v>
      </c>
      <c r="M39" s="47">
        <v>101300</v>
      </c>
      <c r="N39" s="42" t="s">
        <v>189</v>
      </c>
      <c r="O39" s="42" t="s">
        <v>190</v>
      </c>
      <c r="P39" s="42" t="s">
        <v>191</v>
      </c>
      <c r="Q39" s="42" t="s">
        <v>0</v>
      </c>
      <c r="R39" s="42" t="s">
        <v>2</v>
      </c>
      <c r="S39" s="42" t="s">
        <v>192</v>
      </c>
      <c r="T39" s="42" t="s">
        <v>193</v>
      </c>
      <c r="U39" s="42" t="s">
        <v>0</v>
      </c>
      <c r="V39" s="42" t="s">
        <v>0</v>
      </c>
      <c r="W39" s="42" t="s">
        <v>74</v>
      </c>
      <c r="X39" s="42" t="s">
        <v>0</v>
      </c>
      <c r="Y39" s="48"/>
      <c r="Z39" s="42" t="s">
        <v>0</v>
      </c>
      <c r="AA39" s="42" t="s">
        <v>0</v>
      </c>
      <c r="AB39" s="42" t="s">
        <v>0</v>
      </c>
      <c r="AC39" s="47">
        <v>0</v>
      </c>
    </row>
    <row r="40" spans="1:29" ht="14.1" customHeight="1" x14ac:dyDescent="0.2">
      <c r="A40" s="49" t="s">
        <v>0</v>
      </c>
      <c r="B40" s="42" t="s">
        <v>66</v>
      </c>
      <c r="C40" s="42" t="s">
        <v>187</v>
      </c>
      <c r="D40" s="48">
        <v>43549</v>
      </c>
      <c r="E40" s="48">
        <v>43549</v>
      </c>
      <c r="F40" s="48">
        <v>43561</v>
      </c>
      <c r="G40" s="42" t="s">
        <v>90</v>
      </c>
      <c r="H40" s="42" t="s">
        <v>4</v>
      </c>
      <c r="I40" s="47">
        <v>3613.13</v>
      </c>
      <c r="J40" s="42" t="s">
        <v>188</v>
      </c>
      <c r="K40" s="42" t="s">
        <v>1</v>
      </c>
      <c r="L40" s="47">
        <v>300973.73</v>
      </c>
      <c r="M40" s="47">
        <v>3613.13</v>
      </c>
      <c r="N40" s="42" t="s">
        <v>189</v>
      </c>
      <c r="O40" s="42" t="s">
        <v>190</v>
      </c>
      <c r="P40" s="42" t="s">
        <v>194</v>
      </c>
      <c r="Q40" s="42" t="s">
        <v>0</v>
      </c>
      <c r="R40" s="42" t="s">
        <v>2</v>
      </c>
      <c r="S40" s="42" t="s">
        <v>192</v>
      </c>
      <c r="T40" s="42" t="s">
        <v>193</v>
      </c>
      <c r="U40" s="42" t="s">
        <v>0</v>
      </c>
      <c r="V40" s="42" t="s">
        <v>0</v>
      </c>
      <c r="W40" s="42" t="s">
        <v>74</v>
      </c>
      <c r="X40" s="42" t="s">
        <v>0</v>
      </c>
      <c r="Y40" s="48"/>
      <c r="Z40" s="42" t="s">
        <v>0</v>
      </c>
      <c r="AA40" s="42" t="s">
        <v>0</v>
      </c>
      <c r="AB40" s="42" t="s">
        <v>0</v>
      </c>
      <c r="AC40" s="47">
        <v>0</v>
      </c>
    </row>
    <row r="41" spans="1:29" ht="14.1" customHeight="1" x14ac:dyDescent="0.2">
      <c r="A41" s="49" t="s">
        <v>0</v>
      </c>
      <c r="B41" s="42" t="s">
        <v>66</v>
      </c>
      <c r="C41" s="42" t="s">
        <v>195</v>
      </c>
      <c r="D41" s="48">
        <v>43646</v>
      </c>
      <c r="E41" s="48">
        <v>43646</v>
      </c>
      <c r="F41" s="48">
        <v>43675</v>
      </c>
      <c r="G41" s="42" t="s">
        <v>90</v>
      </c>
      <c r="H41" s="42" t="s">
        <v>4</v>
      </c>
      <c r="I41" s="47">
        <v>0</v>
      </c>
      <c r="J41" s="42" t="s">
        <v>0</v>
      </c>
      <c r="K41" s="42" t="s">
        <v>1</v>
      </c>
      <c r="L41" s="47">
        <v>-13465249</v>
      </c>
      <c r="M41" s="47">
        <v>0</v>
      </c>
      <c r="N41" s="42" t="s">
        <v>96</v>
      </c>
      <c r="O41" s="42" t="s">
        <v>196</v>
      </c>
      <c r="P41" s="42" t="s">
        <v>197</v>
      </c>
      <c r="Q41" s="42" t="s">
        <v>0</v>
      </c>
      <c r="R41" s="42" t="s">
        <v>2</v>
      </c>
      <c r="S41" s="42" t="s">
        <v>198</v>
      </c>
      <c r="T41" s="42" t="s">
        <v>199</v>
      </c>
      <c r="U41" s="42" t="s">
        <v>0</v>
      </c>
      <c r="V41" s="42" t="s">
        <v>0</v>
      </c>
      <c r="W41" s="42" t="s">
        <v>74</v>
      </c>
      <c r="X41" s="42" t="s">
        <v>0</v>
      </c>
      <c r="Y41" s="48"/>
      <c r="Z41" s="42" t="s">
        <v>0</v>
      </c>
      <c r="AA41" s="42" t="s">
        <v>0</v>
      </c>
      <c r="AB41" s="42" t="s">
        <v>0</v>
      </c>
      <c r="AC41" s="47">
        <v>0</v>
      </c>
    </row>
    <row r="42" spans="1:29" ht="14.1" customHeight="1" x14ac:dyDescent="0.2">
      <c r="A42" s="49" t="s">
        <v>0</v>
      </c>
      <c r="B42" s="42" t="s">
        <v>66</v>
      </c>
      <c r="C42" s="42" t="s">
        <v>200</v>
      </c>
      <c r="D42" s="48">
        <v>43684</v>
      </c>
      <c r="E42" s="48">
        <v>43684</v>
      </c>
      <c r="F42" s="48">
        <v>43710</v>
      </c>
      <c r="G42" s="42" t="s">
        <v>90</v>
      </c>
      <c r="H42" s="42" t="s">
        <v>4</v>
      </c>
      <c r="I42" s="47">
        <v>101300</v>
      </c>
      <c r="J42" s="42" t="s">
        <v>188</v>
      </c>
      <c r="K42" s="42" t="s">
        <v>1</v>
      </c>
      <c r="L42" s="47">
        <v>8438290</v>
      </c>
      <c r="M42" s="47">
        <v>101300</v>
      </c>
      <c r="N42" s="42" t="s">
        <v>201</v>
      </c>
      <c r="O42" s="42" t="s">
        <v>202</v>
      </c>
      <c r="P42" s="42" t="s">
        <v>203</v>
      </c>
      <c r="Q42" s="42" t="s">
        <v>0</v>
      </c>
      <c r="R42" s="42" t="s">
        <v>2</v>
      </c>
      <c r="S42" s="42" t="s">
        <v>204</v>
      </c>
      <c r="T42" s="42" t="s">
        <v>193</v>
      </c>
      <c r="U42" s="42" t="s">
        <v>0</v>
      </c>
      <c r="V42" s="42" t="s">
        <v>0</v>
      </c>
      <c r="W42" s="42" t="s">
        <v>74</v>
      </c>
      <c r="X42" s="42" t="s">
        <v>0</v>
      </c>
      <c r="Y42" s="48"/>
      <c r="Z42" s="42" t="s">
        <v>0</v>
      </c>
      <c r="AA42" s="42" t="s">
        <v>0</v>
      </c>
      <c r="AB42" s="42" t="s">
        <v>0</v>
      </c>
      <c r="AC42" s="47">
        <v>0</v>
      </c>
    </row>
    <row r="43" spans="1:29" ht="14.1" customHeight="1" x14ac:dyDescent="0.2">
      <c r="A43" s="49" t="s">
        <v>0</v>
      </c>
      <c r="B43" s="42" t="s">
        <v>66</v>
      </c>
      <c r="C43" s="42" t="s">
        <v>200</v>
      </c>
      <c r="D43" s="48">
        <v>43684</v>
      </c>
      <c r="E43" s="48">
        <v>43684</v>
      </c>
      <c r="F43" s="48">
        <v>43710</v>
      </c>
      <c r="G43" s="42" t="s">
        <v>90</v>
      </c>
      <c r="H43" s="42" t="s">
        <v>4</v>
      </c>
      <c r="I43" s="47">
        <v>3613.13</v>
      </c>
      <c r="J43" s="42" t="s">
        <v>188</v>
      </c>
      <c r="K43" s="42" t="s">
        <v>1</v>
      </c>
      <c r="L43" s="47">
        <v>300973.73</v>
      </c>
      <c r="M43" s="47">
        <v>3613.13</v>
      </c>
      <c r="N43" s="42" t="s">
        <v>201</v>
      </c>
      <c r="O43" s="42" t="s">
        <v>202</v>
      </c>
      <c r="P43" s="42" t="s">
        <v>205</v>
      </c>
      <c r="Q43" s="42" t="s">
        <v>0</v>
      </c>
      <c r="R43" s="42" t="s">
        <v>2</v>
      </c>
      <c r="S43" s="42" t="s">
        <v>204</v>
      </c>
      <c r="T43" s="42" t="s">
        <v>206</v>
      </c>
      <c r="U43" s="42" t="s">
        <v>0</v>
      </c>
      <c r="V43" s="42" t="s">
        <v>0</v>
      </c>
      <c r="W43" s="42" t="s">
        <v>74</v>
      </c>
      <c r="X43" s="42" t="s">
        <v>0</v>
      </c>
      <c r="Y43" s="48"/>
      <c r="Z43" s="42" t="s">
        <v>0</v>
      </c>
      <c r="AA43" s="42" t="s">
        <v>0</v>
      </c>
      <c r="AB43" s="42" t="s">
        <v>0</v>
      </c>
      <c r="AC43" s="47">
        <v>0</v>
      </c>
    </row>
    <row r="44" spans="1:29" ht="14.1" customHeight="1" x14ac:dyDescent="0.2">
      <c r="A44" s="49" t="s">
        <v>0</v>
      </c>
      <c r="B44" s="42" t="s">
        <v>66</v>
      </c>
      <c r="C44" s="42" t="s">
        <v>207</v>
      </c>
      <c r="D44" s="48">
        <v>43747</v>
      </c>
      <c r="E44" s="48">
        <v>43747</v>
      </c>
      <c r="F44" s="48">
        <v>43772</v>
      </c>
      <c r="G44" s="42" t="s">
        <v>90</v>
      </c>
      <c r="H44" s="42" t="s">
        <v>4</v>
      </c>
      <c r="I44" s="47">
        <v>101300</v>
      </c>
      <c r="J44" s="42" t="s">
        <v>188</v>
      </c>
      <c r="K44" s="42" t="s">
        <v>1</v>
      </c>
      <c r="L44" s="47">
        <v>8438290</v>
      </c>
      <c r="M44" s="47">
        <v>101300</v>
      </c>
      <c r="N44" s="42" t="s">
        <v>208</v>
      </c>
      <c r="O44" s="42" t="s">
        <v>209</v>
      </c>
      <c r="P44" s="42" t="s">
        <v>210</v>
      </c>
      <c r="Q44" s="42" t="s">
        <v>0</v>
      </c>
      <c r="R44" s="42" t="s">
        <v>2</v>
      </c>
      <c r="S44" s="42" t="s">
        <v>211</v>
      </c>
      <c r="T44" s="42" t="s">
        <v>206</v>
      </c>
      <c r="U44" s="42" t="s">
        <v>0</v>
      </c>
      <c r="V44" s="42" t="s">
        <v>0</v>
      </c>
      <c r="W44" s="42" t="s">
        <v>74</v>
      </c>
      <c r="X44" s="42" t="s">
        <v>0</v>
      </c>
      <c r="Y44" s="48"/>
      <c r="Z44" s="42" t="s">
        <v>0</v>
      </c>
      <c r="AA44" s="42" t="s">
        <v>0</v>
      </c>
      <c r="AB44" s="42" t="s">
        <v>0</v>
      </c>
      <c r="AC44" s="47">
        <v>0</v>
      </c>
    </row>
    <row r="45" spans="1:29" ht="14.1" customHeight="1" x14ac:dyDescent="0.2">
      <c r="A45" s="49" t="s">
        <v>0</v>
      </c>
      <c r="B45" s="42" t="s">
        <v>66</v>
      </c>
      <c r="C45" s="42" t="s">
        <v>207</v>
      </c>
      <c r="D45" s="48">
        <v>43747</v>
      </c>
      <c r="E45" s="48">
        <v>43747</v>
      </c>
      <c r="F45" s="48">
        <v>43772</v>
      </c>
      <c r="G45" s="42" t="s">
        <v>90</v>
      </c>
      <c r="H45" s="42" t="s">
        <v>4</v>
      </c>
      <c r="I45" s="47">
        <v>3613.13</v>
      </c>
      <c r="J45" s="42" t="s">
        <v>188</v>
      </c>
      <c r="K45" s="42" t="s">
        <v>1</v>
      </c>
      <c r="L45" s="47">
        <v>300973.73</v>
      </c>
      <c r="M45" s="47">
        <v>3613.13</v>
      </c>
      <c r="N45" s="42" t="s">
        <v>208</v>
      </c>
      <c r="O45" s="42" t="s">
        <v>209</v>
      </c>
      <c r="P45" s="42" t="s">
        <v>212</v>
      </c>
      <c r="Q45" s="42" t="s">
        <v>0</v>
      </c>
      <c r="R45" s="42" t="s">
        <v>2</v>
      </c>
      <c r="S45" s="42" t="s">
        <v>211</v>
      </c>
      <c r="T45" s="42" t="s">
        <v>206</v>
      </c>
      <c r="U45" s="42" t="s">
        <v>0</v>
      </c>
      <c r="V45" s="42" t="s">
        <v>0</v>
      </c>
      <c r="W45" s="42" t="s">
        <v>74</v>
      </c>
      <c r="X45" s="42" t="s">
        <v>0</v>
      </c>
      <c r="Y45" s="48"/>
      <c r="Z45" s="42" t="s">
        <v>0</v>
      </c>
      <c r="AA45" s="42" t="s">
        <v>0</v>
      </c>
      <c r="AB45" s="42" t="s">
        <v>0</v>
      </c>
      <c r="AC45" s="47">
        <v>0</v>
      </c>
    </row>
    <row r="46" spans="1:29" ht="14.1" customHeight="1" x14ac:dyDescent="0.2">
      <c r="A46" s="49" t="s">
        <v>0</v>
      </c>
      <c r="B46" s="42" t="s">
        <v>66</v>
      </c>
      <c r="C46" s="42" t="s">
        <v>213</v>
      </c>
      <c r="D46" s="48">
        <v>43832</v>
      </c>
      <c r="E46" s="48">
        <v>43832</v>
      </c>
      <c r="F46" s="48">
        <v>43845</v>
      </c>
      <c r="G46" s="42" t="s">
        <v>90</v>
      </c>
      <c r="H46" s="42" t="s">
        <v>4</v>
      </c>
      <c r="I46" s="47">
        <v>101300</v>
      </c>
      <c r="J46" s="42" t="s">
        <v>188</v>
      </c>
      <c r="K46" s="42" t="s">
        <v>1</v>
      </c>
      <c r="L46" s="47">
        <v>8438290</v>
      </c>
      <c r="M46" s="47">
        <v>101300</v>
      </c>
      <c r="N46" s="42" t="s">
        <v>214</v>
      </c>
      <c r="O46" s="42" t="s">
        <v>215</v>
      </c>
      <c r="P46" s="42" t="s">
        <v>216</v>
      </c>
      <c r="Q46" s="42" t="s">
        <v>0</v>
      </c>
      <c r="R46" s="42" t="s">
        <v>2</v>
      </c>
      <c r="S46" s="42" t="s">
        <v>217</v>
      </c>
      <c r="T46" s="42" t="s">
        <v>206</v>
      </c>
      <c r="U46" s="42" t="s">
        <v>0</v>
      </c>
      <c r="V46" s="42" t="s">
        <v>0</v>
      </c>
      <c r="W46" s="42" t="s">
        <v>74</v>
      </c>
      <c r="X46" s="42" t="s">
        <v>0</v>
      </c>
      <c r="Y46" s="48"/>
      <c r="Z46" s="42" t="s">
        <v>0</v>
      </c>
      <c r="AA46" s="42" t="s">
        <v>0</v>
      </c>
      <c r="AB46" s="42" t="s">
        <v>0</v>
      </c>
      <c r="AC46" s="47">
        <v>0</v>
      </c>
    </row>
    <row r="47" spans="1:29" ht="14.1" customHeight="1" x14ac:dyDescent="0.2">
      <c r="A47" s="49" t="s">
        <v>0</v>
      </c>
      <c r="B47" s="42" t="s">
        <v>66</v>
      </c>
      <c r="C47" s="42" t="s">
        <v>213</v>
      </c>
      <c r="D47" s="48">
        <v>43832</v>
      </c>
      <c r="E47" s="48">
        <v>43832</v>
      </c>
      <c r="F47" s="48">
        <v>43845</v>
      </c>
      <c r="G47" s="42" t="s">
        <v>90</v>
      </c>
      <c r="H47" s="42" t="s">
        <v>4</v>
      </c>
      <c r="I47" s="47">
        <v>3613.13</v>
      </c>
      <c r="J47" s="42" t="s">
        <v>188</v>
      </c>
      <c r="K47" s="42" t="s">
        <v>1</v>
      </c>
      <c r="L47" s="47">
        <v>300973.73</v>
      </c>
      <c r="M47" s="47">
        <v>3613.13</v>
      </c>
      <c r="N47" s="42" t="s">
        <v>214</v>
      </c>
      <c r="O47" s="42" t="s">
        <v>215</v>
      </c>
      <c r="P47" s="42" t="s">
        <v>218</v>
      </c>
      <c r="Q47" s="42" t="s">
        <v>0</v>
      </c>
      <c r="R47" s="42" t="s">
        <v>2</v>
      </c>
      <c r="S47" s="42" t="s">
        <v>217</v>
      </c>
      <c r="T47" s="42" t="s">
        <v>206</v>
      </c>
      <c r="U47" s="42" t="s">
        <v>0</v>
      </c>
      <c r="V47" s="42" t="s">
        <v>0</v>
      </c>
      <c r="W47" s="42" t="s">
        <v>74</v>
      </c>
      <c r="X47" s="42" t="s">
        <v>0</v>
      </c>
      <c r="Y47" s="48"/>
      <c r="Z47" s="42" t="s">
        <v>0</v>
      </c>
      <c r="AA47" s="42" t="s">
        <v>0</v>
      </c>
      <c r="AB47" s="42" t="s">
        <v>0</v>
      </c>
      <c r="AC47" s="47">
        <v>0</v>
      </c>
    </row>
    <row r="48" spans="1:29" ht="14.1" customHeight="1" x14ac:dyDescent="0.2">
      <c r="A48" s="49" t="s">
        <v>0</v>
      </c>
      <c r="B48" s="42" t="s">
        <v>66</v>
      </c>
      <c r="C48" s="42" t="s">
        <v>219</v>
      </c>
      <c r="D48" s="48">
        <v>43993</v>
      </c>
      <c r="E48" s="48">
        <v>43993</v>
      </c>
      <c r="F48" s="48">
        <v>43993</v>
      </c>
      <c r="G48" s="42" t="s">
        <v>90</v>
      </c>
      <c r="H48" s="42" t="s">
        <v>4</v>
      </c>
      <c r="I48" s="47">
        <v>101300</v>
      </c>
      <c r="J48" s="42" t="s">
        <v>188</v>
      </c>
      <c r="K48" s="42" t="s">
        <v>1</v>
      </c>
      <c r="L48" s="47">
        <v>8438290</v>
      </c>
      <c r="M48" s="47">
        <v>101300</v>
      </c>
      <c r="N48" s="42" t="s">
        <v>220</v>
      </c>
      <c r="O48" s="42" t="s">
        <v>221</v>
      </c>
      <c r="P48" s="42" t="s">
        <v>222</v>
      </c>
      <c r="Q48" s="42" t="s">
        <v>0</v>
      </c>
      <c r="R48" s="42" t="s">
        <v>2</v>
      </c>
      <c r="S48" s="42" t="s">
        <v>223</v>
      </c>
      <c r="T48" s="42" t="s">
        <v>206</v>
      </c>
      <c r="U48" s="42" t="s">
        <v>0</v>
      </c>
      <c r="V48" s="42" t="s">
        <v>0</v>
      </c>
      <c r="W48" s="42" t="s">
        <v>74</v>
      </c>
      <c r="X48" s="42" t="s">
        <v>0</v>
      </c>
      <c r="Y48" s="48"/>
      <c r="Z48" s="42" t="s">
        <v>0</v>
      </c>
      <c r="AA48" s="42" t="s">
        <v>0</v>
      </c>
      <c r="AB48" s="42" t="s">
        <v>0</v>
      </c>
      <c r="AC48" s="47">
        <v>0</v>
      </c>
    </row>
    <row r="49" spans="1:29" ht="14.1" customHeight="1" x14ac:dyDescent="0.2">
      <c r="A49" s="49" t="s">
        <v>0</v>
      </c>
      <c r="B49" s="42" t="s">
        <v>66</v>
      </c>
      <c r="C49" s="42" t="s">
        <v>219</v>
      </c>
      <c r="D49" s="48">
        <v>43993</v>
      </c>
      <c r="E49" s="48">
        <v>43993</v>
      </c>
      <c r="F49" s="48">
        <v>43993</v>
      </c>
      <c r="G49" s="42" t="s">
        <v>90</v>
      </c>
      <c r="H49" s="42" t="s">
        <v>4</v>
      </c>
      <c r="I49" s="47">
        <v>3613.13</v>
      </c>
      <c r="J49" s="42" t="s">
        <v>188</v>
      </c>
      <c r="K49" s="42" t="s">
        <v>1</v>
      </c>
      <c r="L49" s="47">
        <v>300973.73</v>
      </c>
      <c r="M49" s="47">
        <v>3613.13</v>
      </c>
      <c r="N49" s="42" t="s">
        <v>220</v>
      </c>
      <c r="O49" s="42" t="s">
        <v>221</v>
      </c>
      <c r="P49" s="42" t="s">
        <v>224</v>
      </c>
      <c r="Q49" s="42" t="s">
        <v>0</v>
      </c>
      <c r="R49" s="42" t="s">
        <v>2</v>
      </c>
      <c r="S49" s="42" t="s">
        <v>223</v>
      </c>
      <c r="T49" s="42" t="s">
        <v>206</v>
      </c>
      <c r="U49" s="42" t="s">
        <v>0</v>
      </c>
      <c r="V49" s="42" t="s">
        <v>0</v>
      </c>
      <c r="W49" s="42" t="s">
        <v>74</v>
      </c>
      <c r="X49" s="42" t="s">
        <v>0</v>
      </c>
      <c r="Y49" s="48"/>
      <c r="Z49" s="42" t="s">
        <v>0</v>
      </c>
      <c r="AA49" s="42" t="s">
        <v>0</v>
      </c>
      <c r="AB49" s="42" t="s">
        <v>0</v>
      </c>
      <c r="AC49" s="47">
        <v>0</v>
      </c>
    </row>
    <row r="50" spans="1:29" ht="14.1" customHeight="1" x14ac:dyDescent="0.2">
      <c r="A50" s="49" t="s">
        <v>0</v>
      </c>
      <c r="B50" s="42" t="s">
        <v>66</v>
      </c>
      <c r="C50" s="42" t="s">
        <v>225</v>
      </c>
      <c r="D50" s="48">
        <v>44012</v>
      </c>
      <c r="E50" s="48">
        <v>44012</v>
      </c>
      <c r="F50" s="48">
        <v>44015</v>
      </c>
      <c r="G50" s="42" t="s">
        <v>90</v>
      </c>
      <c r="H50" s="42" t="s">
        <v>4</v>
      </c>
      <c r="I50" s="47">
        <v>101300</v>
      </c>
      <c r="J50" s="42" t="s">
        <v>188</v>
      </c>
      <c r="K50" s="42" t="s">
        <v>1</v>
      </c>
      <c r="L50" s="47">
        <v>8438290</v>
      </c>
      <c r="M50" s="47">
        <v>101300</v>
      </c>
      <c r="N50" s="42" t="s">
        <v>226</v>
      </c>
      <c r="O50" s="42" t="s">
        <v>227</v>
      </c>
      <c r="P50" s="42" t="s">
        <v>228</v>
      </c>
      <c r="Q50" s="42" t="s">
        <v>0</v>
      </c>
      <c r="R50" s="42" t="s">
        <v>2</v>
      </c>
      <c r="S50" s="42" t="s">
        <v>229</v>
      </c>
      <c r="T50" s="42" t="s">
        <v>206</v>
      </c>
      <c r="U50" s="42" t="s">
        <v>0</v>
      </c>
      <c r="V50" s="42" t="s">
        <v>0</v>
      </c>
      <c r="W50" s="42" t="s">
        <v>74</v>
      </c>
      <c r="X50" s="42" t="s">
        <v>0</v>
      </c>
      <c r="Y50" s="48"/>
      <c r="Z50" s="42" t="s">
        <v>0</v>
      </c>
      <c r="AA50" s="42" t="s">
        <v>0</v>
      </c>
      <c r="AB50" s="42" t="s">
        <v>0</v>
      </c>
      <c r="AC50" s="47">
        <v>0</v>
      </c>
    </row>
    <row r="51" spans="1:29" ht="14.1" customHeight="1" x14ac:dyDescent="0.2">
      <c r="A51" s="49" t="s">
        <v>0</v>
      </c>
      <c r="B51" s="42" t="s">
        <v>66</v>
      </c>
      <c r="C51" s="42" t="s">
        <v>225</v>
      </c>
      <c r="D51" s="48">
        <v>44012</v>
      </c>
      <c r="E51" s="48">
        <v>44012</v>
      </c>
      <c r="F51" s="48">
        <v>44015</v>
      </c>
      <c r="G51" s="42" t="s">
        <v>90</v>
      </c>
      <c r="H51" s="42" t="s">
        <v>4</v>
      </c>
      <c r="I51" s="47">
        <v>3613.13</v>
      </c>
      <c r="J51" s="42" t="s">
        <v>188</v>
      </c>
      <c r="K51" s="42" t="s">
        <v>1</v>
      </c>
      <c r="L51" s="47">
        <v>300973.73</v>
      </c>
      <c r="M51" s="47">
        <v>3613.13</v>
      </c>
      <c r="N51" s="42" t="s">
        <v>226</v>
      </c>
      <c r="O51" s="42" t="s">
        <v>227</v>
      </c>
      <c r="P51" s="42" t="s">
        <v>228</v>
      </c>
      <c r="Q51" s="42" t="s">
        <v>0</v>
      </c>
      <c r="R51" s="42" t="s">
        <v>2</v>
      </c>
      <c r="S51" s="42" t="s">
        <v>229</v>
      </c>
      <c r="T51" s="42" t="s">
        <v>206</v>
      </c>
      <c r="U51" s="42" t="s">
        <v>0</v>
      </c>
      <c r="V51" s="42" t="s">
        <v>0</v>
      </c>
      <c r="W51" s="42" t="s">
        <v>74</v>
      </c>
      <c r="X51" s="42" t="s">
        <v>0</v>
      </c>
      <c r="Y51" s="48"/>
      <c r="Z51" s="42" t="s">
        <v>0</v>
      </c>
      <c r="AA51" s="42" t="s">
        <v>0</v>
      </c>
      <c r="AB51" s="42" t="s">
        <v>0</v>
      </c>
      <c r="AC51" s="47">
        <v>0</v>
      </c>
    </row>
    <row r="52" spans="1:29" ht="14.1" customHeight="1" x14ac:dyDescent="0.2">
      <c r="A52" s="49" t="s">
        <v>0</v>
      </c>
      <c r="B52" s="42" t="s">
        <v>66</v>
      </c>
      <c r="C52" s="42" t="s">
        <v>230</v>
      </c>
      <c r="D52" s="48">
        <v>44140</v>
      </c>
      <c r="E52" s="48">
        <v>44140</v>
      </c>
      <c r="F52" s="48">
        <v>44144</v>
      </c>
      <c r="G52" s="42" t="s">
        <v>90</v>
      </c>
      <c r="H52" s="42" t="s">
        <v>4</v>
      </c>
      <c r="I52" s="47">
        <v>101300</v>
      </c>
      <c r="J52" s="42" t="s">
        <v>188</v>
      </c>
      <c r="K52" s="42" t="s">
        <v>1</v>
      </c>
      <c r="L52" s="47">
        <v>8438290</v>
      </c>
      <c r="M52" s="47">
        <v>101300</v>
      </c>
      <c r="N52" s="42" t="s">
        <v>231</v>
      </c>
      <c r="O52" s="42" t="s">
        <v>232</v>
      </c>
      <c r="P52" s="42" t="s">
        <v>233</v>
      </c>
      <c r="Q52" s="42" t="s">
        <v>0</v>
      </c>
      <c r="R52" s="42" t="s">
        <v>2</v>
      </c>
      <c r="S52" s="42" t="s">
        <v>234</v>
      </c>
      <c r="T52" s="42" t="s">
        <v>206</v>
      </c>
      <c r="U52" s="42" t="s">
        <v>0</v>
      </c>
      <c r="V52" s="42" t="s">
        <v>0</v>
      </c>
      <c r="W52" s="42" t="s">
        <v>74</v>
      </c>
      <c r="X52" s="42" t="s">
        <v>0</v>
      </c>
      <c r="Y52" s="48"/>
      <c r="Z52" s="42" t="s">
        <v>0</v>
      </c>
      <c r="AA52" s="42" t="s">
        <v>0</v>
      </c>
      <c r="AB52" s="42" t="s">
        <v>0</v>
      </c>
      <c r="AC52" s="47">
        <v>0</v>
      </c>
    </row>
    <row r="53" spans="1:29" ht="14.1" customHeight="1" x14ac:dyDescent="0.2">
      <c r="A53" s="49" t="s">
        <v>0</v>
      </c>
      <c r="B53" s="42" t="s">
        <v>66</v>
      </c>
      <c r="C53" s="42" t="s">
        <v>230</v>
      </c>
      <c r="D53" s="48">
        <v>44140</v>
      </c>
      <c r="E53" s="48">
        <v>44140</v>
      </c>
      <c r="F53" s="48">
        <v>44144</v>
      </c>
      <c r="G53" s="42" t="s">
        <v>90</v>
      </c>
      <c r="H53" s="42" t="s">
        <v>4</v>
      </c>
      <c r="I53" s="47">
        <v>3613.13</v>
      </c>
      <c r="J53" s="42" t="s">
        <v>188</v>
      </c>
      <c r="K53" s="42" t="s">
        <v>1</v>
      </c>
      <c r="L53" s="47">
        <v>300973.73</v>
      </c>
      <c r="M53" s="47">
        <v>3613.13</v>
      </c>
      <c r="N53" s="42" t="s">
        <v>231</v>
      </c>
      <c r="O53" s="42" t="s">
        <v>232</v>
      </c>
      <c r="P53" s="42" t="s">
        <v>233</v>
      </c>
      <c r="Q53" s="42" t="s">
        <v>0</v>
      </c>
      <c r="R53" s="42" t="s">
        <v>2</v>
      </c>
      <c r="S53" s="42" t="s">
        <v>234</v>
      </c>
      <c r="T53" s="42" t="s">
        <v>206</v>
      </c>
      <c r="U53" s="42" t="s">
        <v>0</v>
      </c>
      <c r="V53" s="42" t="s">
        <v>0</v>
      </c>
      <c r="W53" s="42" t="s">
        <v>74</v>
      </c>
      <c r="X53" s="42" t="s">
        <v>0</v>
      </c>
      <c r="Y53" s="48"/>
      <c r="Z53" s="42" t="s">
        <v>0</v>
      </c>
      <c r="AA53" s="42" t="s">
        <v>0</v>
      </c>
      <c r="AB53" s="42" t="s">
        <v>0</v>
      </c>
      <c r="AC53" s="47">
        <v>0</v>
      </c>
    </row>
    <row r="54" spans="1:29" ht="14.1" customHeight="1" x14ac:dyDescent="0.2">
      <c r="A54" s="49" t="s">
        <v>0</v>
      </c>
      <c r="B54" s="42" t="s">
        <v>66</v>
      </c>
      <c r="C54" s="42" t="s">
        <v>235</v>
      </c>
      <c r="D54" s="48">
        <v>44193</v>
      </c>
      <c r="E54" s="48">
        <v>44193</v>
      </c>
      <c r="F54" s="48">
        <v>44193</v>
      </c>
      <c r="G54" s="42" t="s">
        <v>90</v>
      </c>
      <c r="H54" s="42" t="s">
        <v>4</v>
      </c>
      <c r="I54" s="47">
        <v>101300</v>
      </c>
      <c r="J54" s="42" t="s">
        <v>188</v>
      </c>
      <c r="K54" s="42" t="s">
        <v>1</v>
      </c>
      <c r="L54" s="47">
        <v>8438290</v>
      </c>
      <c r="M54" s="47">
        <v>101300</v>
      </c>
      <c r="N54" s="42" t="s">
        <v>236</v>
      </c>
      <c r="O54" s="42" t="s">
        <v>237</v>
      </c>
      <c r="P54" s="42" t="s">
        <v>238</v>
      </c>
      <c r="Q54" s="42" t="s">
        <v>0</v>
      </c>
      <c r="R54" s="42" t="s">
        <v>2</v>
      </c>
      <c r="S54" s="42" t="s">
        <v>239</v>
      </c>
      <c r="T54" s="42" t="s">
        <v>206</v>
      </c>
      <c r="U54" s="42" t="s">
        <v>0</v>
      </c>
      <c r="V54" s="42" t="s">
        <v>0</v>
      </c>
      <c r="W54" s="42" t="s">
        <v>74</v>
      </c>
      <c r="X54" s="42" t="s">
        <v>0</v>
      </c>
      <c r="Y54" s="48"/>
      <c r="Z54" s="42" t="s">
        <v>0</v>
      </c>
      <c r="AA54" s="42" t="s">
        <v>0</v>
      </c>
      <c r="AB54" s="42" t="s">
        <v>0</v>
      </c>
      <c r="AC54" s="47">
        <v>0</v>
      </c>
    </row>
    <row r="55" spans="1:29" ht="14.1" customHeight="1" x14ac:dyDescent="0.2">
      <c r="A55" s="49" t="s">
        <v>0</v>
      </c>
      <c r="B55" s="42" t="s">
        <v>66</v>
      </c>
      <c r="C55" s="42" t="s">
        <v>235</v>
      </c>
      <c r="D55" s="48">
        <v>44193</v>
      </c>
      <c r="E55" s="48">
        <v>44193</v>
      </c>
      <c r="F55" s="48">
        <v>44193</v>
      </c>
      <c r="G55" s="42" t="s">
        <v>90</v>
      </c>
      <c r="H55" s="42" t="s">
        <v>4</v>
      </c>
      <c r="I55" s="47">
        <v>3613.13</v>
      </c>
      <c r="J55" s="42" t="s">
        <v>188</v>
      </c>
      <c r="K55" s="42" t="s">
        <v>1</v>
      </c>
      <c r="L55" s="47">
        <v>300973.73</v>
      </c>
      <c r="M55" s="47">
        <v>3613.13</v>
      </c>
      <c r="N55" s="42" t="s">
        <v>236</v>
      </c>
      <c r="O55" s="42" t="s">
        <v>237</v>
      </c>
      <c r="P55" s="42" t="s">
        <v>238</v>
      </c>
      <c r="Q55" s="42" t="s">
        <v>0</v>
      </c>
      <c r="R55" s="42" t="s">
        <v>2</v>
      </c>
      <c r="S55" s="42" t="s">
        <v>239</v>
      </c>
      <c r="T55" s="42" t="s">
        <v>206</v>
      </c>
      <c r="U55" s="42" t="s">
        <v>0</v>
      </c>
      <c r="V55" s="42" t="s">
        <v>0</v>
      </c>
      <c r="W55" s="42" t="s">
        <v>74</v>
      </c>
      <c r="X55" s="42" t="s">
        <v>0</v>
      </c>
      <c r="Y55" s="48"/>
      <c r="Z55" s="42" t="s">
        <v>0</v>
      </c>
      <c r="AA55" s="42" t="s">
        <v>0</v>
      </c>
      <c r="AB55" s="42" t="s">
        <v>0</v>
      </c>
      <c r="AC55" s="47">
        <v>0</v>
      </c>
    </row>
    <row r="56" spans="1:29" ht="14.1" customHeight="1" x14ac:dyDescent="0.2">
      <c r="A56" s="49" t="s">
        <v>0</v>
      </c>
      <c r="B56" s="42" t="s">
        <v>66</v>
      </c>
      <c r="C56" s="42" t="s">
        <v>240</v>
      </c>
      <c r="D56" s="48">
        <v>44278</v>
      </c>
      <c r="E56" s="48">
        <v>44278</v>
      </c>
      <c r="F56" s="48">
        <v>44278</v>
      </c>
      <c r="G56" s="42" t="s">
        <v>90</v>
      </c>
      <c r="H56" s="42" t="s">
        <v>4</v>
      </c>
      <c r="I56" s="47">
        <v>101300</v>
      </c>
      <c r="J56" s="42" t="s">
        <v>188</v>
      </c>
      <c r="K56" s="42" t="s">
        <v>1</v>
      </c>
      <c r="L56" s="47">
        <v>8438290</v>
      </c>
      <c r="M56" s="47">
        <v>101300</v>
      </c>
      <c r="N56" s="42" t="s">
        <v>241</v>
      </c>
      <c r="O56" s="42" t="s">
        <v>242</v>
      </c>
      <c r="P56" s="42" t="s">
        <v>243</v>
      </c>
      <c r="Q56" s="42" t="s">
        <v>0</v>
      </c>
      <c r="R56" s="42" t="s">
        <v>2</v>
      </c>
      <c r="S56" s="42" t="s">
        <v>244</v>
      </c>
      <c r="T56" s="42" t="s">
        <v>206</v>
      </c>
      <c r="U56" s="42" t="s">
        <v>0</v>
      </c>
      <c r="V56" s="42" t="s">
        <v>0</v>
      </c>
      <c r="W56" s="42" t="s">
        <v>74</v>
      </c>
      <c r="X56" s="42" t="s">
        <v>0</v>
      </c>
      <c r="Y56" s="48"/>
      <c r="Z56" s="42" t="s">
        <v>0</v>
      </c>
      <c r="AA56" s="42" t="s">
        <v>0</v>
      </c>
      <c r="AB56" s="42" t="s">
        <v>0</v>
      </c>
      <c r="AC56" s="47">
        <v>0</v>
      </c>
    </row>
    <row r="57" spans="1:29" ht="14.1" customHeight="1" x14ac:dyDescent="0.2">
      <c r="A57" s="49" t="s">
        <v>0</v>
      </c>
      <c r="B57" s="42" t="s">
        <v>66</v>
      </c>
      <c r="C57" s="42" t="s">
        <v>240</v>
      </c>
      <c r="D57" s="48">
        <v>44278</v>
      </c>
      <c r="E57" s="48">
        <v>44278</v>
      </c>
      <c r="F57" s="48">
        <v>44278</v>
      </c>
      <c r="G57" s="42" t="s">
        <v>90</v>
      </c>
      <c r="H57" s="42" t="s">
        <v>4</v>
      </c>
      <c r="I57" s="47">
        <v>3613.13</v>
      </c>
      <c r="J57" s="42" t="s">
        <v>188</v>
      </c>
      <c r="K57" s="42" t="s">
        <v>1</v>
      </c>
      <c r="L57" s="47">
        <v>300973.73</v>
      </c>
      <c r="M57" s="47">
        <v>3613.13</v>
      </c>
      <c r="N57" s="42" t="s">
        <v>241</v>
      </c>
      <c r="O57" s="42" t="s">
        <v>242</v>
      </c>
      <c r="P57" s="42" t="s">
        <v>243</v>
      </c>
      <c r="Q57" s="42" t="s">
        <v>0</v>
      </c>
      <c r="R57" s="42" t="s">
        <v>2</v>
      </c>
      <c r="S57" s="42" t="s">
        <v>244</v>
      </c>
      <c r="T57" s="42" t="s">
        <v>206</v>
      </c>
      <c r="U57" s="42" t="s">
        <v>0</v>
      </c>
      <c r="V57" s="42" t="s">
        <v>0</v>
      </c>
      <c r="W57" s="42" t="s">
        <v>74</v>
      </c>
      <c r="X57" s="42" t="s">
        <v>0</v>
      </c>
      <c r="Y57" s="48"/>
      <c r="Z57" s="42" t="s">
        <v>0</v>
      </c>
      <c r="AA57" s="42" t="s">
        <v>0</v>
      </c>
      <c r="AB57" s="42" t="s">
        <v>0</v>
      </c>
      <c r="AC57" s="47">
        <v>0</v>
      </c>
    </row>
    <row r="58" spans="1:29" ht="14.1" customHeight="1" x14ac:dyDescent="0.2">
      <c r="A58" s="49" t="s">
        <v>0</v>
      </c>
      <c r="B58" s="42" t="s">
        <v>66</v>
      </c>
      <c r="C58" s="42" t="s">
        <v>272</v>
      </c>
      <c r="D58" s="48">
        <v>44371</v>
      </c>
      <c r="E58" s="48">
        <v>44371</v>
      </c>
      <c r="F58" s="48">
        <v>44383</v>
      </c>
      <c r="G58" s="42" t="s">
        <v>90</v>
      </c>
      <c r="H58" s="42" t="s">
        <v>4</v>
      </c>
      <c r="I58" s="47">
        <v>-1000000</v>
      </c>
      <c r="J58" s="42" t="s">
        <v>271</v>
      </c>
      <c r="K58" s="42" t="s">
        <v>1</v>
      </c>
      <c r="L58" s="47">
        <v>-83950000</v>
      </c>
      <c r="M58" s="47">
        <v>-1000000</v>
      </c>
      <c r="N58" s="42" t="s">
        <v>270</v>
      </c>
      <c r="O58" s="42" t="s">
        <v>268</v>
      </c>
      <c r="P58" s="42" t="s">
        <v>269</v>
      </c>
      <c r="Q58" s="42" t="s">
        <v>0</v>
      </c>
      <c r="R58" s="42" t="s">
        <v>2</v>
      </c>
      <c r="S58" s="42" t="s">
        <v>268</v>
      </c>
      <c r="T58" s="42" t="s">
        <v>0</v>
      </c>
      <c r="U58" s="42" t="s">
        <v>0</v>
      </c>
      <c r="V58" s="42" t="s">
        <v>0</v>
      </c>
      <c r="W58" s="42" t="s">
        <v>74</v>
      </c>
      <c r="X58" s="42" t="s">
        <v>0</v>
      </c>
      <c r="Y58" s="48"/>
      <c r="Z58" s="42" t="s">
        <v>0</v>
      </c>
      <c r="AA58" s="42" t="s">
        <v>0</v>
      </c>
      <c r="AB58" s="42" t="s">
        <v>0</v>
      </c>
      <c r="AC58" s="47">
        <v>0</v>
      </c>
    </row>
    <row r="59" spans="1:29" ht="14.1" customHeight="1" x14ac:dyDescent="0.2">
      <c r="A59" s="49" t="s">
        <v>0</v>
      </c>
      <c r="B59" s="42" t="s">
        <v>66</v>
      </c>
      <c r="C59" s="42" t="s">
        <v>267</v>
      </c>
      <c r="D59" s="48">
        <v>44377</v>
      </c>
      <c r="E59" s="48">
        <v>44377</v>
      </c>
      <c r="F59" s="48">
        <v>44391</v>
      </c>
      <c r="G59" s="42" t="s">
        <v>90</v>
      </c>
      <c r="H59" s="42" t="s">
        <v>4</v>
      </c>
      <c r="I59" s="47">
        <v>0</v>
      </c>
      <c r="J59" s="42" t="s">
        <v>0</v>
      </c>
      <c r="K59" s="42" t="s">
        <v>1</v>
      </c>
      <c r="L59" s="47">
        <v>-133021</v>
      </c>
      <c r="M59" s="47">
        <v>0</v>
      </c>
      <c r="N59" s="42" t="s">
        <v>96</v>
      </c>
      <c r="O59" s="42" t="s">
        <v>196</v>
      </c>
      <c r="P59" s="42" t="s">
        <v>266</v>
      </c>
      <c r="Q59" s="42" t="s">
        <v>0</v>
      </c>
      <c r="R59" s="42" t="s">
        <v>2</v>
      </c>
      <c r="S59" s="42" t="s">
        <v>265</v>
      </c>
      <c r="T59" s="42" t="s">
        <v>264</v>
      </c>
      <c r="U59" s="42" t="s">
        <v>0</v>
      </c>
      <c r="V59" s="42" t="s">
        <v>0</v>
      </c>
      <c r="W59" s="42" t="s">
        <v>74</v>
      </c>
      <c r="X59" s="42" t="s">
        <v>263</v>
      </c>
      <c r="Y59" s="48">
        <v>44378</v>
      </c>
      <c r="Z59" s="42" t="s">
        <v>0</v>
      </c>
      <c r="AA59" s="42" t="s">
        <v>0</v>
      </c>
      <c r="AB59" s="42" t="s">
        <v>0</v>
      </c>
      <c r="AC59" s="47">
        <v>0</v>
      </c>
    </row>
    <row r="60" spans="1:29" x14ac:dyDescent="0.2">
      <c r="A60" s="44" t="s">
        <v>0</v>
      </c>
      <c r="B60" s="44" t="s">
        <v>0</v>
      </c>
      <c r="C60" s="44" t="s">
        <v>0</v>
      </c>
      <c r="D60" s="45"/>
      <c r="E60" s="45"/>
      <c r="F60" s="45"/>
      <c r="G60" s="44" t="s">
        <v>0</v>
      </c>
      <c r="H60" s="44" t="s">
        <v>4</v>
      </c>
      <c r="I60" s="46">
        <v>-1668626.67</v>
      </c>
      <c r="J60" s="44" t="s">
        <v>0</v>
      </c>
      <c r="K60" s="44" t="s">
        <v>1</v>
      </c>
      <c r="L60" s="46">
        <v>-140081209.25</v>
      </c>
      <c r="M60" s="46">
        <v>-1668626.67</v>
      </c>
      <c r="N60" s="44" t="s">
        <v>0</v>
      </c>
      <c r="O60" s="44" t="s">
        <v>0</v>
      </c>
      <c r="P60" s="44" t="s">
        <v>0</v>
      </c>
      <c r="Q60" s="44" t="s">
        <v>0</v>
      </c>
      <c r="R60" s="44" t="s">
        <v>0</v>
      </c>
      <c r="S60" s="44" t="s">
        <v>0</v>
      </c>
      <c r="T60" s="44" t="s">
        <v>0</v>
      </c>
      <c r="U60" s="44" t="s">
        <v>0</v>
      </c>
      <c r="V60" s="44" t="s">
        <v>0</v>
      </c>
      <c r="W60" s="44" t="s">
        <v>0</v>
      </c>
      <c r="X60" s="44" t="s">
        <v>0</v>
      </c>
      <c r="Y60" s="45"/>
      <c r="Z60" s="44" t="s">
        <v>0</v>
      </c>
      <c r="AA60" s="44" t="s">
        <v>0</v>
      </c>
      <c r="AB60" s="44" t="s">
        <v>0</v>
      </c>
      <c r="AC60" s="43"/>
    </row>
  </sheetData>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51C3-F2DC-4DF1-A17A-83E272FA6C16}">
  <dimension ref="A1:AC11"/>
  <sheetViews>
    <sheetView topLeftCell="J1" workbookViewId="0">
      <selection activeCell="M11" sqref="M11"/>
    </sheetView>
  </sheetViews>
  <sheetFormatPr defaultRowHeight="12.75" x14ac:dyDescent="0.2"/>
  <cols>
    <col min="4" max="4" width="14.42578125" customWidth="1"/>
    <col min="13" max="13" width="13.140625" customWidth="1"/>
  </cols>
  <sheetData>
    <row r="1" spans="1:29" ht="38.25" x14ac:dyDescent="0.2">
      <c r="A1" s="50" t="s">
        <v>11</v>
      </c>
      <c r="B1" s="51" t="s">
        <v>12</v>
      </c>
      <c r="C1" s="51" t="s">
        <v>13</v>
      </c>
      <c r="D1" s="51" t="s">
        <v>14</v>
      </c>
      <c r="E1" s="51" t="s">
        <v>15</v>
      </c>
      <c r="F1" s="51" t="s">
        <v>16</v>
      </c>
      <c r="G1" s="50" t="s">
        <v>17</v>
      </c>
      <c r="H1" s="50" t="s">
        <v>18</v>
      </c>
      <c r="I1" s="51" t="s">
        <v>19</v>
      </c>
      <c r="J1" s="51" t="s">
        <v>20</v>
      </c>
      <c r="K1" s="50" t="s">
        <v>21</v>
      </c>
      <c r="L1" s="50" t="s">
        <v>22</v>
      </c>
      <c r="M1" s="51" t="s">
        <v>23</v>
      </c>
      <c r="N1" s="51" t="s">
        <v>24</v>
      </c>
      <c r="O1" s="51" t="s">
        <v>25</v>
      </c>
      <c r="P1" s="51" t="s">
        <v>26</v>
      </c>
      <c r="Q1" s="51" t="s">
        <v>27</v>
      </c>
      <c r="R1" s="51" t="s">
        <v>28</v>
      </c>
      <c r="S1" s="51" t="s">
        <v>29</v>
      </c>
      <c r="T1" s="51" t="s">
        <v>30</v>
      </c>
      <c r="U1" s="51" t="s">
        <v>31</v>
      </c>
      <c r="V1" s="51" t="s">
        <v>32</v>
      </c>
      <c r="W1" s="51" t="s">
        <v>33</v>
      </c>
      <c r="X1" s="51" t="s">
        <v>34</v>
      </c>
      <c r="Y1" s="51" t="s">
        <v>35</v>
      </c>
      <c r="Z1" s="51" t="s">
        <v>36</v>
      </c>
      <c r="AA1" s="51" t="s">
        <v>37</v>
      </c>
      <c r="AB1" s="51" t="s">
        <v>38</v>
      </c>
      <c r="AC1" s="50" t="s">
        <v>39</v>
      </c>
    </row>
    <row r="2" spans="1:29" ht="14.1" customHeight="1" x14ac:dyDescent="0.2">
      <c r="A2" s="49" t="s">
        <v>0</v>
      </c>
      <c r="B2" s="42" t="s">
        <v>66</v>
      </c>
      <c r="C2" s="42" t="s">
        <v>230</v>
      </c>
      <c r="D2" s="48">
        <v>44140</v>
      </c>
      <c r="E2" s="48">
        <v>44140</v>
      </c>
      <c r="F2" s="48">
        <v>44144</v>
      </c>
      <c r="G2" s="42" t="s">
        <v>90</v>
      </c>
      <c r="H2" s="42" t="s">
        <v>4</v>
      </c>
      <c r="I2" s="47">
        <v>101300</v>
      </c>
      <c r="J2" s="42" t="s">
        <v>188</v>
      </c>
      <c r="K2" s="42" t="s">
        <v>1</v>
      </c>
      <c r="L2" s="47">
        <v>8438290</v>
      </c>
      <c r="M2" s="47">
        <v>101300</v>
      </c>
      <c r="N2" s="42" t="s">
        <v>231</v>
      </c>
      <c r="O2" s="42" t="s">
        <v>232</v>
      </c>
      <c r="P2" s="42" t="s">
        <v>233</v>
      </c>
      <c r="Q2" s="42" t="s">
        <v>0</v>
      </c>
      <c r="R2" s="42" t="s">
        <v>2</v>
      </c>
      <c r="S2" s="42" t="s">
        <v>234</v>
      </c>
      <c r="T2" s="42" t="s">
        <v>206</v>
      </c>
      <c r="U2" s="42" t="s">
        <v>0</v>
      </c>
      <c r="V2" s="42" t="s">
        <v>0</v>
      </c>
      <c r="W2" s="42" t="s">
        <v>74</v>
      </c>
      <c r="X2" s="42" t="s">
        <v>0</v>
      </c>
      <c r="Y2" s="48"/>
      <c r="Z2" s="42" t="s">
        <v>0</v>
      </c>
      <c r="AA2" s="42" t="s">
        <v>0</v>
      </c>
      <c r="AB2" s="42" t="s">
        <v>0</v>
      </c>
      <c r="AC2" s="47">
        <v>0</v>
      </c>
    </row>
    <row r="3" spans="1:29" ht="14.1" customHeight="1" x14ac:dyDescent="0.2">
      <c r="A3" s="49" t="s">
        <v>0</v>
      </c>
      <c r="B3" s="42" t="s">
        <v>66</v>
      </c>
      <c r="C3" s="42" t="s">
        <v>230</v>
      </c>
      <c r="D3" s="48">
        <v>44140</v>
      </c>
      <c r="E3" s="48">
        <v>44140</v>
      </c>
      <c r="F3" s="48">
        <v>44144</v>
      </c>
      <c r="G3" s="42" t="s">
        <v>90</v>
      </c>
      <c r="H3" s="42" t="s">
        <v>4</v>
      </c>
      <c r="I3" s="47">
        <v>3613.13</v>
      </c>
      <c r="J3" s="42" t="s">
        <v>188</v>
      </c>
      <c r="K3" s="42" t="s">
        <v>1</v>
      </c>
      <c r="L3" s="47">
        <v>300973.73</v>
      </c>
      <c r="M3" s="47">
        <v>3613.13</v>
      </c>
      <c r="N3" s="42" t="s">
        <v>231</v>
      </c>
      <c r="O3" s="42" t="s">
        <v>232</v>
      </c>
      <c r="P3" s="42" t="s">
        <v>233</v>
      </c>
      <c r="Q3" s="42" t="s">
        <v>0</v>
      </c>
      <c r="R3" s="42" t="s">
        <v>2</v>
      </c>
      <c r="S3" s="42" t="s">
        <v>234</v>
      </c>
      <c r="T3" s="42" t="s">
        <v>206</v>
      </c>
      <c r="U3" s="42" t="s">
        <v>0</v>
      </c>
      <c r="V3" s="42" t="s">
        <v>0</v>
      </c>
      <c r="W3" s="42" t="s">
        <v>74</v>
      </c>
      <c r="X3" s="42" t="s">
        <v>0</v>
      </c>
      <c r="Y3" s="48"/>
      <c r="Z3" s="42" t="s">
        <v>0</v>
      </c>
      <c r="AA3" s="42" t="s">
        <v>0</v>
      </c>
      <c r="AB3" s="42" t="s">
        <v>0</v>
      </c>
      <c r="AC3" s="47">
        <v>0</v>
      </c>
    </row>
    <row r="4" spans="1:29" ht="14.1" customHeight="1" x14ac:dyDescent="0.2">
      <c r="A4" s="49" t="s">
        <v>0</v>
      </c>
      <c r="B4" s="42" t="s">
        <v>66</v>
      </c>
      <c r="C4" s="42" t="s">
        <v>235</v>
      </c>
      <c r="D4" s="48">
        <v>44193</v>
      </c>
      <c r="E4" s="48">
        <v>44193</v>
      </c>
      <c r="F4" s="48">
        <v>44193</v>
      </c>
      <c r="G4" s="42" t="s">
        <v>90</v>
      </c>
      <c r="H4" s="42" t="s">
        <v>4</v>
      </c>
      <c r="I4" s="47">
        <v>101300</v>
      </c>
      <c r="J4" s="42" t="s">
        <v>188</v>
      </c>
      <c r="K4" s="42" t="s">
        <v>1</v>
      </c>
      <c r="L4" s="47">
        <v>8438290</v>
      </c>
      <c r="M4" s="47">
        <v>101300</v>
      </c>
      <c r="N4" s="42" t="s">
        <v>236</v>
      </c>
      <c r="O4" s="42" t="s">
        <v>237</v>
      </c>
      <c r="P4" s="42" t="s">
        <v>238</v>
      </c>
      <c r="Q4" s="42" t="s">
        <v>0</v>
      </c>
      <c r="R4" s="42" t="s">
        <v>2</v>
      </c>
      <c r="S4" s="42" t="s">
        <v>239</v>
      </c>
      <c r="T4" s="42" t="s">
        <v>206</v>
      </c>
      <c r="U4" s="42" t="s">
        <v>0</v>
      </c>
      <c r="V4" s="42" t="s">
        <v>0</v>
      </c>
      <c r="W4" s="42" t="s">
        <v>74</v>
      </c>
      <c r="X4" s="42" t="s">
        <v>0</v>
      </c>
      <c r="Y4" s="48"/>
      <c r="Z4" s="42" t="s">
        <v>0</v>
      </c>
      <c r="AA4" s="42" t="s">
        <v>0</v>
      </c>
      <c r="AB4" s="42" t="s">
        <v>0</v>
      </c>
      <c r="AC4" s="47">
        <v>0</v>
      </c>
    </row>
    <row r="5" spans="1:29" ht="14.1" customHeight="1" x14ac:dyDescent="0.2">
      <c r="A5" s="49" t="s">
        <v>0</v>
      </c>
      <c r="B5" s="42" t="s">
        <v>66</v>
      </c>
      <c r="C5" s="42" t="s">
        <v>235</v>
      </c>
      <c r="D5" s="48">
        <v>44193</v>
      </c>
      <c r="E5" s="48">
        <v>44193</v>
      </c>
      <c r="F5" s="48">
        <v>44193</v>
      </c>
      <c r="G5" s="42" t="s">
        <v>90</v>
      </c>
      <c r="H5" s="42" t="s">
        <v>4</v>
      </c>
      <c r="I5" s="47">
        <v>3613.13</v>
      </c>
      <c r="J5" s="42" t="s">
        <v>188</v>
      </c>
      <c r="K5" s="42" t="s">
        <v>1</v>
      </c>
      <c r="L5" s="47">
        <v>300973.73</v>
      </c>
      <c r="M5" s="47">
        <v>3613.13</v>
      </c>
      <c r="N5" s="42" t="s">
        <v>236</v>
      </c>
      <c r="O5" s="42" t="s">
        <v>237</v>
      </c>
      <c r="P5" s="42" t="s">
        <v>238</v>
      </c>
      <c r="Q5" s="42" t="s">
        <v>0</v>
      </c>
      <c r="R5" s="42" t="s">
        <v>2</v>
      </c>
      <c r="S5" s="42" t="s">
        <v>239</v>
      </c>
      <c r="T5" s="42" t="s">
        <v>206</v>
      </c>
      <c r="U5" s="42" t="s">
        <v>0</v>
      </c>
      <c r="V5" s="42" t="s">
        <v>0</v>
      </c>
      <c r="W5" s="42" t="s">
        <v>74</v>
      </c>
      <c r="X5" s="42" t="s">
        <v>0</v>
      </c>
      <c r="Y5" s="48"/>
      <c r="Z5" s="42" t="s">
        <v>0</v>
      </c>
      <c r="AA5" s="42" t="s">
        <v>0</v>
      </c>
      <c r="AB5" s="42" t="s">
        <v>0</v>
      </c>
      <c r="AC5" s="47">
        <v>0</v>
      </c>
    </row>
    <row r="6" spans="1:29" ht="14.1" customHeight="1" x14ac:dyDescent="0.2">
      <c r="A6" s="49" t="s">
        <v>0</v>
      </c>
      <c r="B6" s="42" t="s">
        <v>66</v>
      </c>
      <c r="C6" s="42" t="s">
        <v>240</v>
      </c>
      <c r="D6" s="48">
        <v>44278</v>
      </c>
      <c r="E6" s="48">
        <v>44278</v>
      </c>
      <c r="F6" s="48">
        <v>44278</v>
      </c>
      <c r="G6" s="42" t="s">
        <v>90</v>
      </c>
      <c r="H6" s="42" t="s">
        <v>4</v>
      </c>
      <c r="I6" s="47">
        <v>101300</v>
      </c>
      <c r="J6" s="42" t="s">
        <v>188</v>
      </c>
      <c r="K6" s="42" t="s">
        <v>1</v>
      </c>
      <c r="L6" s="47">
        <v>8438290</v>
      </c>
      <c r="M6" s="47">
        <v>101300</v>
      </c>
      <c r="N6" s="42" t="s">
        <v>241</v>
      </c>
      <c r="O6" s="42" t="s">
        <v>242</v>
      </c>
      <c r="P6" s="42" t="s">
        <v>243</v>
      </c>
      <c r="Q6" s="42" t="s">
        <v>0</v>
      </c>
      <c r="R6" s="42" t="s">
        <v>2</v>
      </c>
      <c r="S6" s="42" t="s">
        <v>244</v>
      </c>
      <c r="T6" s="42" t="s">
        <v>206</v>
      </c>
      <c r="U6" s="42" t="s">
        <v>0</v>
      </c>
      <c r="V6" s="42" t="s">
        <v>0</v>
      </c>
      <c r="W6" s="42" t="s">
        <v>74</v>
      </c>
      <c r="X6" s="42" t="s">
        <v>0</v>
      </c>
      <c r="Y6" s="48"/>
      <c r="Z6" s="42" t="s">
        <v>0</v>
      </c>
      <c r="AA6" s="42" t="s">
        <v>0</v>
      </c>
      <c r="AB6" s="42" t="s">
        <v>0</v>
      </c>
      <c r="AC6" s="47">
        <v>0</v>
      </c>
    </row>
    <row r="7" spans="1:29" ht="14.1" customHeight="1" x14ac:dyDescent="0.2">
      <c r="A7" s="49" t="s">
        <v>0</v>
      </c>
      <c r="B7" s="42" t="s">
        <v>66</v>
      </c>
      <c r="C7" s="42" t="s">
        <v>240</v>
      </c>
      <c r="D7" s="48">
        <v>44278</v>
      </c>
      <c r="E7" s="48">
        <v>44278</v>
      </c>
      <c r="F7" s="48">
        <v>44278</v>
      </c>
      <c r="G7" s="42" t="s">
        <v>90</v>
      </c>
      <c r="H7" s="42" t="s">
        <v>4</v>
      </c>
      <c r="I7" s="47">
        <v>3613.13</v>
      </c>
      <c r="J7" s="42" t="s">
        <v>188</v>
      </c>
      <c r="K7" s="42" t="s">
        <v>1</v>
      </c>
      <c r="L7" s="47">
        <v>300973.73</v>
      </c>
      <c r="M7" s="47">
        <v>3613.13</v>
      </c>
      <c r="N7" s="42" t="s">
        <v>241</v>
      </c>
      <c r="O7" s="42" t="s">
        <v>242</v>
      </c>
      <c r="P7" s="42" t="s">
        <v>243</v>
      </c>
      <c r="Q7" s="42" t="s">
        <v>0</v>
      </c>
      <c r="R7" s="42" t="s">
        <v>2</v>
      </c>
      <c r="S7" s="42" t="s">
        <v>244</v>
      </c>
      <c r="T7" s="42" t="s">
        <v>206</v>
      </c>
      <c r="U7" s="42" t="s">
        <v>0</v>
      </c>
      <c r="V7" s="42" t="s">
        <v>0</v>
      </c>
      <c r="W7" s="42" t="s">
        <v>74</v>
      </c>
      <c r="X7" s="42" t="s">
        <v>0</v>
      </c>
      <c r="Y7" s="48"/>
      <c r="Z7" s="42" t="s">
        <v>0</v>
      </c>
      <c r="AA7" s="42" t="s">
        <v>0</v>
      </c>
      <c r="AB7" s="42" t="s">
        <v>0</v>
      </c>
      <c r="AC7" s="47">
        <v>0</v>
      </c>
    </row>
    <row r="8" spans="1:29" x14ac:dyDescent="0.2">
      <c r="A8" s="49" t="s">
        <v>0</v>
      </c>
      <c r="B8" s="42" t="s">
        <v>66</v>
      </c>
      <c r="C8" s="42" t="s">
        <v>272</v>
      </c>
      <c r="D8" s="48">
        <v>44371</v>
      </c>
      <c r="E8" s="48">
        <v>44371</v>
      </c>
      <c r="F8" s="48">
        <v>44383</v>
      </c>
      <c r="G8" s="42" t="s">
        <v>90</v>
      </c>
      <c r="H8" s="42" t="s">
        <v>4</v>
      </c>
      <c r="I8" s="47">
        <v>-1000000</v>
      </c>
      <c r="J8" s="42" t="s">
        <v>271</v>
      </c>
      <c r="K8" s="42" t="s">
        <v>1</v>
      </c>
      <c r="L8" s="47">
        <v>-83950000</v>
      </c>
      <c r="M8" s="47">
        <v>-1000000</v>
      </c>
      <c r="N8" s="42" t="s">
        <v>270</v>
      </c>
      <c r="O8" s="42" t="s">
        <v>268</v>
      </c>
      <c r="P8" s="42" t="s">
        <v>269</v>
      </c>
      <c r="Q8" s="42" t="s">
        <v>0</v>
      </c>
      <c r="R8" s="42" t="s">
        <v>2</v>
      </c>
      <c r="S8" s="42" t="s">
        <v>268</v>
      </c>
      <c r="T8" s="42" t="s">
        <v>0</v>
      </c>
      <c r="U8" s="42" t="s">
        <v>0</v>
      </c>
      <c r="V8" s="42" t="s">
        <v>0</v>
      </c>
      <c r="W8" s="42" t="s">
        <v>74</v>
      </c>
      <c r="X8" s="42" t="s">
        <v>0</v>
      </c>
      <c r="Y8" s="48"/>
      <c r="Z8" s="42" t="s">
        <v>0</v>
      </c>
      <c r="AA8" s="42" t="s">
        <v>0</v>
      </c>
      <c r="AB8" s="42" t="s">
        <v>0</v>
      </c>
      <c r="AC8" s="47">
        <v>0</v>
      </c>
    </row>
    <row r="9" spans="1:29" x14ac:dyDescent="0.2">
      <c r="A9" s="49" t="s">
        <v>0</v>
      </c>
      <c r="B9" s="42" t="s">
        <v>66</v>
      </c>
      <c r="C9" s="42" t="s">
        <v>267</v>
      </c>
      <c r="D9" s="48">
        <v>44377</v>
      </c>
      <c r="E9" s="48">
        <v>44377</v>
      </c>
      <c r="F9" s="48">
        <v>44391</v>
      </c>
      <c r="G9" s="42" t="s">
        <v>90</v>
      </c>
      <c r="H9" s="42" t="s">
        <v>4</v>
      </c>
      <c r="I9" s="47">
        <v>0</v>
      </c>
      <c r="J9" s="42" t="s">
        <v>0</v>
      </c>
      <c r="K9" s="42" t="s">
        <v>1</v>
      </c>
      <c r="L9" s="47">
        <v>-133021</v>
      </c>
      <c r="M9" s="47">
        <v>0</v>
      </c>
      <c r="N9" s="42" t="s">
        <v>96</v>
      </c>
      <c r="O9" s="42" t="s">
        <v>196</v>
      </c>
      <c r="P9" s="42" t="s">
        <v>266</v>
      </c>
      <c r="Q9" s="42" t="s">
        <v>0</v>
      </c>
      <c r="R9" s="42" t="s">
        <v>2</v>
      </c>
      <c r="S9" s="42" t="s">
        <v>265</v>
      </c>
      <c r="T9" s="42" t="s">
        <v>264</v>
      </c>
      <c r="U9" s="42" t="s">
        <v>0</v>
      </c>
      <c r="V9" s="42" t="s">
        <v>0</v>
      </c>
      <c r="W9" s="42" t="s">
        <v>74</v>
      </c>
      <c r="X9" s="42" t="s">
        <v>263</v>
      </c>
      <c r="Y9" s="48">
        <v>44378</v>
      </c>
      <c r="Z9" s="42" t="s">
        <v>0</v>
      </c>
      <c r="AA9" s="42" t="s">
        <v>0</v>
      </c>
      <c r="AB9" s="42" t="s">
        <v>0</v>
      </c>
      <c r="AC9" s="47">
        <v>0</v>
      </c>
    </row>
    <row r="11" spans="1:29" x14ac:dyDescent="0.2">
      <c r="M11" s="41">
        <f>SUM(M2:M9)</f>
        <v>-685260.61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2FB8054E7BC343824610924DACAD55" ma:contentTypeVersion="8" ma:contentTypeDescription="Create a new document." ma:contentTypeScope="" ma:versionID="34e1fd2a76f7945d18cc3ff5b5a68ad1">
  <xsd:schema xmlns:xsd="http://www.w3.org/2001/XMLSchema" xmlns:xs="http://www.w3.org/2001/XMLSchema" xmlns:p="http://schemas.microsoft.com/office/2006/metadata/properties" xmlns:ns2="08c337d5-e798-4fe7-92a8-e5522ccd74f1" targetNamespace="http://schemas.microsoft.com/office/2006/metadata/properties" ma:root="true" ma:fieldsID="4df481265a4bd63f50581f36648612e8" ns2:_="">
    <xsd:import namespace="08c337d5-e798-4fe7-92a8-e5522ccd74f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c337d5-e798-4fe7-92a8-e5522ccd74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3D6DC4-9DC9-4C02-9171-1A52800FEFE1}"/>
</file>

<file path=customXml/itemProps2.xml><?xml version="1.0" encoding="utf-8"?>
<ds:datastoreItem xmlns:ds="http://schemas.openxmlformats.org/officeDocument/2006/customXml" ds:itemID="{015E0BD7-F4B9-4FA8-A9D4-63A39E7730E3}"/>
</file>

<file path=customXml/itemProps3.xml><?xml version="1.0" encoding="utf-8"?>
<ds:datastoreItem xmlns:ds="http://schemas.openxmlformats.org/officeDocument/2006/customXml" ds:itemID="{C322A591-E213-44D8-94AF-C40F6199A2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LFP 300 Monthly Analysis</vt:lpstr>
      <vt:lpstr>Horizontal LFP Analysis</vt:lpstr>
      <vt:lpstr>LFP 100 Population</vt:lpstr>
      <vt:lpstr>LFP Population 100 FY 2020-21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acer</cp:lastModifiedBy>
  <cp:revision>1</cp:revision>
  <dcterms:created xsi:type="dcterms:W3CDTF">2021-06-10T05:03:58Z</dcterms:created>
  <dcterms:modified xsi:type="dcterms:W3CDTF">2021-09-15T10:59:55Z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0x010100F52FB8054E7BC343824610924DACAD55</vt:lpwstr>
  </property>
</Properties>
</file>