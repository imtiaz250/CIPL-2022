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11dbbdbdc738ed/Desktop/Nahid/12. Intercompany Payables/"/>
    </mc:Choice>
  </mc:AlternateContent>
  <xr:revisionPtr revIDLastSave="7" documentId="13_ncr:1_{7C113C31-11FA-4E30-BCB9-F6151640E512}" xr6:coauthVersionLast="45" xr6:coauthVersionMax="47" xr10:uidLastSave="{F19F6D87-ED09-44FC-8BA4-C291EECA9D38}"/>
  <bookViews>
    <workbookView xWindow="-120" yWindow="-120" windowWidth="20730" windowHeight="11160" xr2:uid="{00000000-000D-0000-FFFF-FFFF00000000}"/>
  </bookViews>
  <sheets>
    <sheet name="Population" sheetId="1" r:id="rId1"/>
    <sheet name="Reversal" sheetId="2" r:id="rId2"/>
    <sheet name="Debit Entries" sheetId="3" r:id="rId3"/>
    <sheet name="Credit Entries" sheetId="4" r:id="rId4"/>
  </sheets>
  <definedNames>
    <definedName name="_xlnm._FilterDatabase" localSheetId="3" hidden="1">'Credit Entries'!$A$1:$AF$1</definedName>
    <definedName name="_xlnm._FilterDatabase" localSheetId="0" hidden="1">Population!$A$1:$AE$77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8" i="4" l="1"/>
  <c r="N53" i="4"/>
  <c r="N66" i="4"/>
  <c r="N68" i="4"/>
  <c r="N64" i="4"/>
  <c r="N42" i="4"/>
  <c r="N35" i="4"/>
  <c r="N63" i="4"/>
  <c r="N38" i="4"/>
  <c r="N75" i="4"/>
  <c r="N50" i="4"/>
  <c r="N52" i="4"/>
  <c r="N10" i="4"/>
  <c r="N46" i="4"/>
  <c r="N43" i="4"/>
  <c r="N70" i="4"/>
  <c r="N47" i="4"/>
  <c r="N22" i="4"/>
  <c r="N61" i="4"/>
  <c r="N48" i="4"/>
  <c r="N18" i="4"/>
  <c r="N37" i="4"/>
  <c r="N15" i="4"/>
  <c r="N29" i="4"/>
  <c r="N23" i="4"/>
  <c r="N14" i="4"/>
  <c r="N21" i="4"/>
  <c r="N55" i="4"/>
  <c r="N5" i="4"/>
  <c r="N31" i="4"/>
  <c r="N73" i="4"/>
  <c r="N57" i="4"/>
  <c r="N33" i="4"/>
  <c r="N12" i="4"/>
  <c r="N19" i="4"/>
  <c r="N4" i="4"/>
  <c r="N7" i="4"/>
  <c r="N2" i="4"/>
  <c r="N79" i="4" s="1"/>
  <c r="N67" i="4"/>
  <c r="N32" i="4"/>
  <c r="N26" i="4"/>
  <c r="N59" i="4"/>
  <c r="N51" i="4"/>
  <c r="N17" i="4"/>
  <c r="N45" i="4"/>
  <c r="N56" i="4"/>
  <c r="N11" i="4"/>
  <c r="N20" i="4"/>
  <c r="N30" i="4"/>
  <c r="N41" i="4"/>
  <c r="N39" i="4"/>
  <c r="N13" i="4"/>
  <c r="N72" i="4"/>
  <c r="N24" i="4"/>
  <c r="N25" i="4"/>
  <c r="N8" i="4"/>
  <c r="N71" i="4"/>
  <c r="N16" i="4"/>
  <c r="N36" i="4"/>
  <c r="N49" i="4"/>
  <c r="N9" i="4"/>
  <c r="N74" i="4"/>
  <c r="N76" i="4"/>
  <c r="N60" i="4"/>
  <c r="N65" i="4"/>
  <c r="N27" i="4"/>
  <c r="N34" i="4"/>
  <c r="N62" i="4"/>
  <c r="N77" i="4"/>
  <c r="N3" i="4"/>
  <c r="N44" i="4"/>
  <c r="N28" i="4"/>
  <c r="N40" i="4"/>
  <c r="N54" i="4"/>
  <c r="N6" i="4"/>
  <c r="N69" i="4"/>
  <c r="O6" i="4"/>
  <c r="O54" i="4"/>
  <c r="O40" i="4"/>
  <c r="O28" i="4"/>
  <c r="O44" i="4"/>
  <c r="O3" i="4"/>
  <c r="O77" i="4"/>
  <c r="O62" i="4"/>
  <c r="O34" i="4"/>
  <c r="O27" i="4"/>
  <c r="O65" i="4"/>
  <c r="O60" i="4"/>
  <c r="O76" i="4"/>
  <c r="O74" i="4"/>
  <c r="O9" i="4"/>
  <c r="O49" i="4"/>
  <c r="O36" i="4"/>
  <c r="O16" i="4"/>
  <c r="O71" i="4"/>
  <c r="O8" i="4"/>
  <c r="O25" i="4"/>
  <c r="O24" i="4"/>
  <c r="O72" i="4"/>
  <c r="O13" i="4"/>
  <c r="O39" i="4"/>
  <c r="O41" i="4"/>
  <c r="O30" i="4"/>
  <c r="O20" i="4"/>
  <c r="O11" i="4"/>
  <c r="O56" i="4"/>
  <c r="O45" i="4"/>
  <c r="O17" i="4"/>
  <c r="O51" i="4"/>
  <c r="O59" i="4"/>
  <c r="O26" i="4"/>
  <c r="O32" i="4"/>
  <c r="O67" i="4"/>
  <c r="O2" i="4"/>
  <c r="O7" i="4"/>
  <c r="O4" i="4"/>
  <c r="O19" i="4"/>
  <c r="O12" i="4"/>
  <c r="O33" i="4"/>
  <c r="O57" i="4"/>
  <c r="O73" i="4"/>
  <c r="O31" i="4"/>
  <c r="O5" i="4"/>
  <c r="O55" i="4"/>
  <c r="O21" i="4"/>
  <c r="O14" i="4"/>
  <c r="O23" i="4"/>
  <c r="O29" i="4"/>
  <c r="O15" i="4"/>
  <c r="O37" i="4"/>
  <c r="O18" i="4"/>
  <c r="O48" i="4"/>
  <c r="O61" i="4"/>
  <c r="O22" i="4"/>
  <c r="O47" i="4"/>
  <c r="O70" i="4"/>
  <c r="O43" i="4"/>
  <c r="O46" i="4"/>
  <c r="O10" i="4"/>
  <c r="O52" i="4"/>
  <c r="O50" i="4"/>
  <c r="O75" i="4"/>
  <c r="O38" i="4"/>
  <c r="O63" i="4"/>
  <c r="O35" i="4"/>
  <c r="O42" i="4"/>
  <c r="O64" i="4"/>
  <c r="O68" i="4"/>
  <c r="O66" i="4"/>
  <c r="O53" i="4"/>
  <c r="O58" i="4"/>
  <c r="O69" i="4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O66" i="1" s="1"/>
  <c r="N67" i="1"/>
  <c r="N68" i="1"/>
  <c r="N69" i="1"/>
  <c r="N70" i="1"/>
  <c r="N71" i="1"/>
  <c r="N72" i="1"/>
  <c r="N73" i="1"/>
  <c r="N74" i="1"/>
  <c r="O74" i="1" s="1"/>
  <c r="N75" i="1"/>
  <c r="N76" i="1"/>
  <c r="N77" i="1"/>
  <c r="N2" i="1"/>
  <c r="P64" i="4" l="1"/>
  <c r="P45" i="4"/>
  <c r="P72" i="4"/>
  <c r="P7" i="4"/>
  <c r="P9" i="4"/>
  <c r="P42" i="4"/>
  <c r="P46" i="4"/>
  <c r="P37" i="4"/>
  <c r="P31" i="4"/>
  <c r="P2" i="4"/>
  <c r="P56" i="4"/>
  <c r="P24" i="4"/>
  <c r="P74" i="4"/>
  <c r="P3" i="4"/>
  <c r="P18" i="4"/>
  <c r="P77" i="4"/>
  <c r="P35" i="4"/>
  <c r="P43" i="4"/>
  <c r="P15" i="4"/>
  <c r="P73" i="4"/>
  <c r="P67" i="4"/>
  <c r="P11" i="4"/>
  <c r="P25" i="4"/>
  <c r="P76" i="4"/>
  <c r="P44" i="4"/>
  <c r="P69" i="4"/>
  <c r="P63" i="4"/>
  <c r="P70" i="4"/>
  <c r="P29" i="4"/>
  <c r="P57" i="4"/>
  <c r="P32" i="4"/>
  <c r="P20" i="4"/>
  <c r="P8" i="4"/>
  <c r="P60" i="4"/>
  <c r="P28" i="4"/>
  <c r="P58" i="4"/>
  <c r="P38" i="4"/>
  <c r="P47" i="4"/>
  <c r="P23" i="4"/>
  <c r="P33" i="4"/>
  <c r="P26" i="4"/>
  <c r="P30" i="4"/>
  <c r="P71" i="4"/>
  <c r="P65" i="4"/>
  <c r="P40" i="4"/>
  <c r="P10" i="4"/>
  <c r="P53" i="4"/>
  <c r="P75" i="4"/>
  <c r="P22" i="4"/>
  <c r="P14" i="4"/>
  <c r="P12" i="4"/>
  <c r="P59" i="4"/>
  <c r="P41" i="4"/>
  <c r="P16" i="4"/>
  <c r="P27" i="4"/>
  <c r="P54" i="4"/>
  <c r="P50" i="4"/>
  <c r="P61" i="4"/>
  <c r="P21" i="4"/>
  <c r="P19" i="4"/>
  <c r="P51" i="4"/>
  <c r="P39" i="4"/>
  <c r="P36" i="4"/>
  <c r="P34" i="4"/>
  <c r="P6" i="4"/>
  <c r="P5" i="4"/>
  <c r="P66" i="4"/>
  <c r="P68" i="4"/>
  <c r="P52" i="4"/>
  <c r="P48" i="4"/>
  <c r="P55" i="4"/>
  <c r="P4" i="4"/>
  <c r="P17" i="4"/>
  <c r="P13" i="4"/>
  <c r="P49" i="4"/>
  <c r="P62" i="4"/>
  <c r="O10" i="1"/>
  <c r="O42" i="1"/>
  <c r="O62" i="1"/>
  <c r="O30" i="1"/>
  <c r="O6" i="1"/>
  <c r="O46" i="1"/>
  <c r="O58" i="1"/>
  <c r="O53" i="1"/>
  <c r="O14" i="1"/>
  <c r="O18" i="1"/>
  <c r="O50" i="1"/>
  <c r="O72" i="1"/>
  <c r="O59" i="1"/>
  <c r="O73" i="1"/>
  <c r="O60" i="1"/>
  <c r="O47" i="1"/>
  <c r="O41" i="1"/>
  <c r="O34" i="1"/>
  <c r="O28" i="1"/>
  <c r="O15" i="1"/>
  <c r="O9" i="1"/>
  <c r="O21" i="1"/>
  <c r="O52" i="1"/>
  <c r="O39" i="1"/>
  <c r="O33" i="1"/>
  <c r="O26" i="1"/>
  <c r="O20" i="1"/>
  <c r="O7" i="1"/>
  <c r="O8" i="1"/>
  <c r="O77" i="1"/>
  <c r="O70" i="1"/>
  <c r="O64" i="1"/>
  <c r="O51" i="1"/>
  <c r="O45" i="1"/>
  <c r="O38" i="1"/>
  <c r="O32" i="1"/>
  <c r="O19" i="1"/>
  <c r="O13" i="1"/>
  <c r="O71" i="1"/>
  <c r="O76" i="1"/>
  <c r="O63" i="1"/>
  <c r="O57" i="1"/>
  <c r="O44" i="1"/>
  <c r="O31" i="1"/>
  <c r="O25" i="1"/>
  <c r="O12" i="1"/>
  <c r="O40" i="1"/>
  <c r="O75" i="1"/>
  <c r="O69" i="1"/>
  <c r="O56" i="1"/>
  <c r="O43" i="1"/>
  <c r="O37" i="1"/>
  <c r="O24" i="1"/>
  <c r="O11" i="1"/>
  <c r="O5" i="1"/>
  <c r="O65" i="1"/>
  <c r="O68" i="1"/>
  <c r="O55" i="1"/>
  <c r="O49" i="1"/>
  <c r="O36" i="1"/>
  <c r="O23" i="1"/>
  <c r="O17" i="1"/>
  <c r="O4" i="1"/>
  <c r="O27" i="1"/>
  <c r="O2" i="1"/>
  <c r="O67" i="1"/>
  <c r="O61" i="1"/>
  <c r="O54" i="1"/>
  <c r="O48" i="1"/>
  <c r="O35" i="1"/>
  <c r="O29" i="1"/>
  <c r="O22" i="1"/>
  <c r="O16" i="1"/>
  <c r="O3" i="1"/>
  <c r="M79" i="1"/>
</calcChain>
</file>

<file path=xl/sharedStrings.xml><?xml version="1.0" encoding="utf-8"?>
<sst xmlns="http://schemas.openxmlformats.org/spreadsheetml/2006/main" count="3256" uniqueCount="314">
  <si>
    <t/>
  </si>
  <si>
    <t>30900940</t>
  </si>
  <si>
    <t>USD</t>
  </si>
  <si>
    <t>83.95000</t>
  </si>
  <si>
    <t>BDT</t>
  </si>
  <si>
    <t>0</t>
  </si>
  <si>
    <t>2010100001</t>
  </si>
  <si>
    <t>KZ</t>
  </si>
  <si>
    <t>2013002992</t>
  </si>
  <si>
    <t>IBCTST140714DAK</t>
  </si>
  <si>
    <t>Deferred Liability Creation to Alpha Start Ltd.</t>
  </si>
  <si>
    <t>AB/1371/20</t>
  </si>
  <si>
    <t>2119000010</t>
  </si>
  <si>
    <t>2013003187</t>
  </si>
  <si>
    <t>IBCTST140697DAK</t>
  </si>
  <si>
    <t>Deferred Liability Creation to ALPHA START LIMITED</t>
  </si>
  <si>
    <t>AB/1338,1348,AB/1360/20</t>
  </si>
  <si>
    <t>2119000009</t>
  </si>
  <si>
    <t>2013002991</t>
  </si>
  <si>
    <t>IBCTST140929DAK</t>
  </si>
  <si>
    <t>1330,335,349,352,69,80,81</t>
  </si>
  <si>
    <t>2119000037</t>
  </si>
  <si>
    <t>2013003066</t>
  </si>
  <si>
    <t>IBCTST141581DAK</t>
  </si>
  <si>
    <t>AB/1409/20</t>
  </si>
  <si>
    <t>2119000045</t>
  </si>
  <si>
    <t>2013003067</t>
  </si>
  <si>
    <t>IBCTST141588DAK</t>
  </si>
  <si>
    <t>AB/1408/20</t>
  </si>
  <si>
    <t>2119000051</t>
  </si>
  <si>
    <t>2013003068</t>
  </si>
  <si>
    <t>IBCTST141585DAK</t>
  </si>
  <si>
    <t>AB/1392/20</t>
  </si>
  <si>
    <t>2119000050</t>
  </si>
  <si>
    <t>2013003069</t>
  </si>
  <si>
    <t>IBCTST141589DAK</t>
  </si>
  <si>
    <t>AB/1406/20,AB/1410/20</t>
  </si>
  <si>
    <t>2119000053</t>
  </si>
  <si>
    <t>2013003070</t>
  </si>
  <si>
    <t>IBCTST141591DAK</t>
  </si>
  <si>
    <t>AB/1370,1372,374,391,1400</t>
  </si>
  <si>
    <t>2119000054</t>
  </si>
  <si>
    <t>2013003173</t>
  </si>
  <si>
    <t>IBCTST142266DAK</t>
  </si>
  <si>
    <t>Deferred Liability Creation ALPHA START LIMITED</t>
  </si>
  <si>
    <t>AB/1466/20</t>
  </si>
  <si>
    <t>2013003174</t>
  </si>
  <si>
    <t>IBCTST142022DAK</t>
  </si>
  <si>
    <t>AB/1368/20</t>
  </si>
  <si>
    <t>2119000056</t>
  </si>
  <si>
    <t>2013003177</t>
  </si>
  <si>
    <t>83.95001</t>
  </si>
  <si>
    <t>IBCTST141848DAK</t>
  </si>
  <si>
    <t>Deferred Liability Creation ALPHA START LIMITED\</t>
  </si>
  <si>
    <t>AB/1390/20,AB/1420/20</t>
  </si>
  <si>
    <t>2119000055</t>
  </si>
  <si>
    <t>2013003178</t>
  </si>
  <si>
    <t>IBCTST142263DAK</t>
  </si>
  <si>
    <t>AB/1465/20</t>
  </si>
  <si>
    <t>2013003176</t>
  </si>
  <si>
    <t>IBCTST142947DAK</t>
  </si>
  <si>
    <t>AB/1456,1471,AB/1484/20</t>
  </si>
  <si>
    <t>2013003179</t>
  </si>
  <si>
    <t>IBCTST142787DAK</t>
  </si>
  <si>
    <t>1417,1421,1428,1446,1452</t>
  </si>
  <si>
    <t>2013003180</t>
  </si>
  <si>
    <t>IBCTST142946DAK</t>
  </si>
  <si>
    <t>1467,1469,470,475,476,477</t>
  </si>
  <si>
    <t>2013003201</t>
  </si>
  <si>
    <t>IBCTST144411DAK</t>
  </si>
  <si>
    <t>AB/1492/20,AB/1506/20</t>
  </si>
  <si>
    <t>2013003202</t>
  </si>
  <si>
    <t>IBCTST144574DAK</t>
  </si>
  <si>
    <t>AB/1524/20</t>
  </si>
  <si>
    <t>2013003203</t>
  </si>
  <si>
    <t>IBCTST144578DAK</t>
  </si>
  <si>
    <t>AB/1503,1516,AB/1523/20</t>
  </si>
  <si>
    <t>2013003204</t>
  </si>
  <si>
    <t>IBCTST144412DAK</t>
  </si>
  <si>
    <t>AB/1474,1493,AB/1504/20</t>
  </si>
  <si>
    <t>2013003291</t>
  </si>
  <si>
    <t>IBCTST145461DAK</t>
  </si>
  <si>
    <t>Deferred Liability Creation to ALPHA START LTD</t>
  </si>
  <si>
    <t>AB/1549/20</t>
  </si>
  <si>
    <t>2013003328</t>
  </si>
  <si>
    <t>IBCTST145239DAK</t>
  </si>
  <si>
    <t>AB/1487,1508,AB/1528/20</t>
  </si>
  <si>
    <t>2013003329</t>
  </si>
  <si>
    <t>IBCTST145238DAK</t>
  </si>
  <si>
    <t>AB/1529/20</t>
  </si>
  <si>
    <t>2013003330</t>
  </si>
  <si>
    <t>IBCTST145458DAK</t>
  </si>
  <si>
    <t>1481,1507,517,545,546,551</t>
  </si>
  <si>
    <t>2013003334</t>
  </si>
  <si>
    <t>IBCTST145530DAK</t>
  </si>
  <si>
    <t>AB/1554/20</t>
  </si>
  <si>
    <t>2013003335</t>
  </si>
  <si>
    <t>IBCTST145627DAK</t>
  </si>
  <si>
    <t>AB/1553/20</t>
  </si>
  <si>
    <t>2013003336</t>
  </si>
  <si>
    <t>IBCTST145629DAK</t>
  </si>
  <si>
    <t>AB/1566/20</t>
  </si>
  <si>
    <t>2013003337</t>
  </si>
  <si>
    <t>IBCTST145635DAK</t>
  </si>
  <si>
    <t>AB/1552,AB/1556,AB/1561/2</t>
  </si>
  <si>
    <t>2013003342</t>
  </si>
  <si>
    <t>IBCTST145628DAK</t>
  </si>
  <si>
    <t>AB/1569/20</t>
  </si>
  <si>
    <t>2013003377</t>
  </si>
  <si>
    <t>IBCTST146507DAK</t>
  </si>
  <si>
    <t>AB/1570/20,AB/1572/20</t>
  </si>
  <si>
    <t>2013003378</t>
  </si>
  <si>
    <t>IBCTST146756DAK</t>
  </si>
  <si>
    <t>AB/1571,AB/1583,AB/1592/2</t>
  </si>
  <si>
    <t>83.94999</t>
  </si>
  <si>
    <t>2013003476</t>
  </si>
  <si>
    <t>IBCTST147255DAK</t>
  </si>
  <si>
    <t>DCUDAK131598</t>
  </si>
  <si>
    <t>AB/1624/20</t>
  </si>
  <si>
    <t>2013003474</t>
  </si>
  <si>
    <t>IBCTST148215DAK</t>
  </si>
  <si>
    <t>DCUDAK019689</t>
  </si>
  <si>
    <t>AB/1509/20</t>
  </si>
  <si>
    <t>2013003475</t>
  </si>
  <si>
    <t>IBCTST147568DAK</t>
  </si>
  <si>
    <t>AB/1593/20</t>
  </si>
  <si>
    <t>2013003556</t>
  </si>
  <si>
    <t>IBCTST148633DAK</t>
  </si>
  <si>
    <t>DCUDAK018844</t>
  </si>
  <si>
    <t>1540,1541,1547,1577,1580,1588,1610,1622,1635</t>
  </si>
  <si>
    <t>1540,1541,1547,1577,1580</t>
  </si>
  <si>
    <t>2013003558</t>
  </si>
  <si>
    <t>IBCTST147565DAK</t>
  </si>
  <si>
    <t>AB/1585,AB/1594,AB/1608/2</t>
  </si>
  <si>
    <t>2013003559</t>
  </si>
  <si>
    <t>IBCTST148634DAK</t>
  </si>
  <si>
    <t>AB/1651/20</t>
  </si>
  <si>
    <t>2013003557</t>
  </si>
  <si>
    <t>IBCTST149108DAK</t>
  </si>
  <si>
    <t>AB/1586,1587,1662,1665/20</t>
  </si>
  <si>
    <t>2013003560</t>
  </si>
  <si>
    <t>IBCTST149503DAK</t>
  </si>
  <si>
    <t>AB/1654/20,AB/1674/20</t>
  </si>
  <si>
    <t>2013003561</t>
  </si>
  <si>
    <t>IBCTST148641DAK</t>
  </si>
  <si>
    <t>1591,1612,1615,1626,1636</t>
  </si>
  <si>
    <t>2013003562</t>
  </si>
  <si>
    <t>IBCTST150376DAK</t>
  </si>
  <si>
    <t>AB/1705/20</t>
  </si>
  <si>
    <t>2013003563</t>
  </si>
  <si>
    <t>IBCTST149895DAK</t>
  </si>
  <si>
    <t>AB/1702/20</t>
  </si>
  <si>
    <t>2013003564</t>
  </si>
  <si>
    <t>IBCTST149893DAK</t>
  </si>
  <si>
    <t>AB/1681/20,AB/1693/20</t>
  </si>
  <si>
    <t>2013003555</t>
  </si>
  <si>
    <t>IBCTST149960DAK</t>
  </si>
  <si>
    <t>AB/1643,1653,1690/20</t>
  </si>
  <si>
    <t>2013003652</t>
  </si>
  <si>
    <t>IBCTST150632DAK</t>
  </si>
  <si>
    <t>AB/1708/20</t>
  </si>
  <si>
    <t>2013003653</t>
  </si>
  <si>
    <t>IBCTST150618DAK</t>
  </si>
  <si>
    <t>AB/1689/20,AB/1709/20</t>
  </si>
  <si>
    <t>2013003680</t>
  </si>
  <si>
    <t>IBCTST151625DAK</t>
  </si>
  <si>
    <t>AB/1746/20</t>
  </si>
  <si>
    <t>2013003681</t>
  </si>
  <si>
    <t>IBCTST151824DAK</t>
  </si>
  <si>
    <t>AB/1743/20,AB/1747/20</t>
  </si>
  <si>
    <t>2013003682</t>
  </si>
  <si>
    <t>IBCTST152014DAK</t>
  </si>
  <si>
    <t>DCUDAK138890</t>
  </si>
  <si>
    <t>AB/1732,1742,1748,1767/20</t>
  </si>
  <si>
    <t>2013003687</t>
  </si>
  <si>
    <t>IBCTST151186DAK</t>
  </si>
  <si>
    <t>1701,1721,1722,1727,1731,1734/20</t>
  </si>
  <si>
    <t>1701,1721,1722,1727,1731</t>
  </si>
  <si>
    <t>2013003763</t>
  </si>
  <si>
    <t>IBCTST152310DAK</t>
  </si>
  <si>
    <t>AB/1771/20,AB/1796/20</t>
  </si>
  <si>
    <t>2013003765</t>
  </si>
  <si>
    <t>IBCTST152096DAK</t>
  </si>
  <si>
    <t>AB/1774/20</t>
  </si>
  <si>
    <t>2013003764</t>
  </si>
  <si>
    <t>IBCTST152931DAK</t>
  </si>
  <si>
    <t>AB/1780/20</t>
  </si>
  <si>
    <t>2013003900</t>
  </si>
  <si>
    <t>IBCTST153609DAK</t>
  </si>
  <si>
    <t>AB/1798,1805,1813,1836/20</t>
  </si>
  <si>
    <t>2013003899</t>
  </si>
  <si>
    <t>IBCTST152941DAK</t>
  </si>
  <si>
    <t>AB/1719,AB/1739,AB/1777/2</t>
  </si>
  <si>
    <t>2013003901</t>
  </si>
  <si>
    <t>IBCTST154181DAK</t>
  </si>
  <si>
    <t>AB/1825,AB/1844,AB/1846/2</t>
  </si>
  <si>
    <t>2013003902</t>
  </si>
  <si>
    <t>IBCTST154637DAK</t>
  </si>
  <si>
    <t>AB/1864/20</t>
  </si>
  <si>
    <t>2013003903</t>
  </si>
  <si>
    <t>IBCTST154635DAK</t>
  </si>
  <si>
    <t>AB/1822/20,AB/1829/20</t>
  </si>
  <si>
    <t>20100001</t>
  </si>
  <si>
    <t>2012010675</t>
  </si>
  <si>
    <t>KR</t>
  </si>
  <si>
    <t>GRN-2021-14092</t>
  </si>
  <si>
    <t>0000001020</t>
  </si>
  <si>
    <t>Goods received from Alpha Start Ltd</t>
  </si>
  <si>
    <t>AB/1883/20</t>
  </si>
  <si>
    <t>CIPL-03325</t>
  </si>
  <si>
    <t>2100158750</t>
  </si>
  <si>
    <t>2110000021</t>
  </si>
  <si>
    <t>2013003904</t>
  </si>
  <si>
    <t>IBCTST154827DAK</t>
  </si>
  <si>
    <t>DCUDAK140491</t>
  </si>
  <si>
    <t>AB/1865/20</t>
  </si>
  <si>
    <t>2013003978</t>
  </si>
  <si>
    <t>IBCTST155845DAK</t>
  </si>
  <si>
    <t>1730,1772,1809,1843,1861,1878,AB/1884/20</t>
  </si>
  <si>
    <t>1730,772,809,843,861,878,</t>
  </si>
  <si>
    <t>2013003979</t>
  </si>
  <si>
    <t>IBCTST155632DAK</t>
  </si>
  <si>
    <t>AB/1851/20,AB/1881/20</t>
  </si>
  <si>
    <t>2013003980</t>
  </si>
  <si>
    <t>IBCTST155993DAK</t>
  </si>
  <si>
    <t>AB/1817,1845,AB/1887/20</t>
  </si>
  <si>
    <t>2012010828</t>
  </si>
  <si>
    <t>GRN-2021-14891</t>
  </si>
  <si>
    <t>AB/1932/20</t>
  </si>
  <si>
    <t>CIPL-03354</t>
  </si>
  <si>
    <t>2100166250</t>
  </si>
  <si>
    <t>2012010829</t>
  </si>
  <si>
    <t>GRN-2021-14892</t>
  </si>
  <si>
    <t>AB/1933/20</t>
  </si>
  <si>
    <t>CIPL-03380</t>
  </si>
  <si>
    <t>2100166240</t>
  </si>
  <si>
    <t>2110000017</t>
  </si>
  <si>
    <t>2012010875</t>
  </si>
  <si>
    <t>GRN-2021-14954</t>
  </si>
  <si>
    <t>AB/1912/20</t>
  </si>
  <si>
    <t>CIPL-03361</t>
  </si>
  <si>
    <t>2100165430</t>
  </si>
  <si>
    <t>2110000016</t>
  </si>
  <si>
    <t>2012010876</t>
  </si>
  <si>
    <t>GRN-2021-14955</t>
  </si>
  <si>
    <t>CIPL-03360</t>
  </si>
  <si>
    <t>2100165420</t>
  </si>
  <si>
    <t>2012010877</t>
  </si>
  <si>
    <t>GRN-2021-14956</t>
  </si>
  <si>
    <t>CIPL-03359</t>
  </si>
  <si>
    <t>2100165410</t>
  </si>
  <si>
    <t>2013004011</t>
  </si>
  <si>
    <t>IBCTST156815DAK</t>
  </si>
  <si>
    <t>AB/1916/20</t>
  </si>
  <si>
    <t>2013004018</t>
  </si>
  <si>
    <t>IBCTST156800DAK</t>
  </si>
  <si>
    <t>AB/1915/20</t>
  </si>
  <si>
    <t>2012010919</t>
  </si>
  <si>
    <t>83.94998</t>
  </si>
  <si>
    <t>GRN-2021-15238</t>
  </si>
  <si>
    <t>AB/1937/20</t>
  </si>
  <si>
    <t>2100170560</t>
  </si>
  <si>
    <t>2012011213</t>
  </si>
  <si>
    <t>ASL RECON ON JUN</t>
  </si>
  <si>
    <t>ASL reconciliation with PGCL for the month JUN'21</t>
  </si>
  <si>
    <t>ASL recon on JUN'21</t>
  </si>
  <si>
    <t>2013004012</t>
  </si>
  <si>
    <t>IBCTST156993DAK</t>
  </si>
  <si>
    <t>AB/1903,1910,AB/1930/20</t>
  </si>
  <si>
    <t>2013004013</t>
  </si>
  <si>
    <t>IBCTST156808DAK</t>
  </si>
  <si>
    <t>AB/1889/20</t>
  </si>
  <si>
    <t>2013004014</t>
  </si>
  <si>
    <t>IBCTST156397DAK</t>
  </si>
  <si>
    <t>AB/1875/20</t>
  </si>
  <si>
    <t>2013004017</t>
  </si>
  <si>
    <t>IBCTST156810DAK</t>
  </si>
  <si>
    <t>AB/1890/20</t>
  </si>
  <si>
    <t>2013004019</t>
  </si>
  <si>
    <t>IBCTST156606DAK</t>
  </si>
  <si>
    <t>AB/1866/20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</si>
  <si>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</si>
  <si>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</si>
  <si>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</si>
  <si>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</si>
  <si>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</si>
  <si>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</si>
  <si>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</si>
  <si>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</si>
  <si>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</si>
  <si>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</si>
  <si>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</si>
  <si>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</si>
  <si>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</si>
  <si>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</si>
  <si>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</si>
  <si>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</si>
  <si>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</si>
  <si>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</si>
  <si>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</si>
  <si>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</si>
  <si>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</si>
  <si>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</si>
  <si>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</si>
  <si>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</si>
  <si>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</si>
  <si>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</si>
  <si>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</si>
  <si>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</si>
  <si>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</si>
  <si>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a. Amount matched with FS Balance</t>
  </si>
  <si>
    <t>Reversal Formula</t>
  </si>
  <si>
    <t>Reversal Formula Result</t>
  </si>
  <si>
    <t>Absolute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</si>
</sst>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64" fontId="2" fillId="3" borderId="0" xfId="1" applyNumberFormat="1" applyFont="1" applyFill="1" applyAlignment="1">
      <alignment vertical="top"/>
    </xf>
    <xf numFmtId="0" fontId="3" fillId="0" borderId="0" xfId="0" applyFont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0" xfId="0" applyFill="1"/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vertical="top"/>
    </xf>
    <xf numFmtId="4" fontId="2" fillId="3" borderId="0" xfId="0" applyNumberFormat="1" applyFont="1" applyFill="1" applyAlignment="1">
      <alignment vertical="top"/>
    </xf>
    <xf numFmtId="0" fontId="4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5" name="Picture@5C\Qopen@" descr="@5C\Qopen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1" name="Picture@5C\Qopen@" descr="@5C\Qopen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57" name="Picture@5C\Qopen@" descr="@5C\Qopen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59" name="Picture@5C\Qopen@" descr="@5C\Qopen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60" name="Picture@5C\Qopen@" descr="@5C\Qopen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66" name="Picture@5C\Qopen@" descr="@5C\Qopen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67" name="Picture@5C\Qopen@" descr="@5C\Qopen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69" name="Picture@5C\Qopen@" descr="@5C\Qopen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89" name="Picture@5C\Qopen@" descr="@5C\Qopen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90" name="Picture@5C\Qopen@" descr="@5C\Qopen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91" name="Picture@5C\Qopen@" descr="@5C\Qopen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09" name="Picture@5C\Qopen@" descr="@5C\Qopen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10" name="Picture@5C\Qopen@" descr="@5C\Qopen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11" name="Picture@5C\Qopen@" descr="@5C\Qopen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12" name="Picture@5C\Qopen@" descr="@5C\Qopen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31" name="Picture@5C\Qopen@" descr="@5C\Qopen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134" name="Picture@5C\Qopen@" descr="@5C\Qopen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135" name="Picture@5C\Qopen@" descr="@5C\Qopen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136" name="Picture@5C\Qopen@" descr="@5C\Qopen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144" name="Picture@5C\Qopen@" descr="@5C\Qopen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145" name="Picture@5C\Qopen@" descr="@5C\Qopen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146" name="Picture@5C\Qopen@" descr="@5C\Qopen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147" name="Picture@5C\Qopen@" descr="@5C\Qopen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150" name="Picture@5C\Qopen@" descr="@5C\Qopen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174" name="Picture@5C\Qopen@" descr="@5C\Qopen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175" name="Picture@5C\Qopen@" descr="@5C\Qopen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202" name="Picture@5C\Qopen@" descr="@5C\Qopen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208" name="Picture@5C\Qopen@" descr="@5C\Qopen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209" name="Picture@5C\Qopen@" descr="@5C\Qopen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211" name="Picture@5C\Qopen@" descr="@5C\Qopen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212" name="Picture@5C\Qopen@" descr="@5C\Qopen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213" name="Picture@5C\Qopen@" descr="@5C\Qopen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221" name="Picture@5C\Qopen@" descr="@5C\Qopen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232" name="Picture@5C\Qopen@" descr="@5C\Qopen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233" name="Picture@5C\Qopen@" descr="@5C\Qopen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234" name="Picture@5C\Qopen@" descr="@5C\Qopen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235" name="Picture@5C\Qopen@" descr="@5C\Qopen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236" name="Picture@5C\Qopen@" descr="@5C\Qopen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243" name="Picture@5C\Qopen@" descr="@5C\Qopen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263" name="Picture@5C\Qopen@" descr="@5C\Qopen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264" name="Picture@5C\Qopen@" descr="@5C\Qopen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274" name="Picture@5C\Qopen@" descr="@5C\Qopen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275" name="Picture@5C\Qopen@" descr="@5C\Qopen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276" name="Picture@5C\Qopen@" descr="@5C\Qopen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277" name="Picture@5C\Qopen@" descr="@5C\Qopen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291" name="Picture@5C\Qopen@" descr="@5C\Qopen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292" name="Picture@5C\Qopen@" descr="@5C\Qopen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307" name="Picture@5C\Qopen@" descr="@5C\Qopen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321" name="Picture@5C\Qopen@" descr="@5C\Qopen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29" name="Picture@5C\Qopen@" descr="@5C\Qopen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347" name="Picture@5C\Qopen@" descr="@5C\Qopen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348" name="Picture@5C\Qopen@" descr="@5C\Qopen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351" name="Picture@5C\Qopen@" descr="@5C\Qopen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356" name="Picture@5C\Qopen@" descr="@5C\Qopen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359" name="Picture@5C\Qopen@" descr="@5C\Qopen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392" name="Picture@5C\Qopen@" descr="@5C\Qopen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393" name="Picture@5C\Qopen@" descr="@5C\Qopen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394" name="Picture@5C\Qopen@" descr="@5C\Qopen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398" name="Picture@5C\Qopen@" descr="@5C\Qopen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399" name="Picture@5C\Qopen@" descr="@5C\Qopen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402" name="Picture@5C\Qopen@" descr="@5C\Qopen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403" name="Picture@5C\Qopen@" descr="@5C\Qopen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404" name="Picture@5C\Qopen@" descr="@5C\Qopen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410" name="Picture@5C\Qopen@" descr="@5C\Qopen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411" name="Picture@5C\Qopen@" descr="@5C\Qopen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416" name="Picture@5C\Qopen@" descr="@5C\Qopen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417" name="Picture@5C\Qopen@" descr="@5C\Qopen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419" name="Picture@5C\Qopen@" descr="@5C\Qopen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420" name="Picture@5C\Qopen@" descr="@5C\Qopen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421" name="Picture@5C\Qopen@" descr="@5C\Qopen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422" name="Picture@5C\Qopen@" descr="@5C\Qopen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423" name="Picture@5C\Qopen@" descr="@5C\Qopen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877C293F-5468-4878-AB1E-D325AD8408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8E6317C7-6D22-4879-A05E-CA5303FB59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A5E4B5E8-93C9-4A28-AE1B-F97F8F430B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69C0EB97-EA9F-4AAA-B6F8-BA243AEB19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BD49EBE7-B119-4998-BEB3-DF94ABC88F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C1C6FCCD-4239-4EBD-B5E5-023621CD9F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69B4B1C4-D80D-41D8-AED7-751DA2840B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9" name="Picture@5C\Qopen@" descr="@5C\Qopen@">
          <a:extLst>
            <a:ext uri="{FF2B5EF4-FFF2-40B4-BE49-F238E27FC236}">
              <a16:creationId xmlns:a16="http://schemas.microsoft.com/office/drawing/2014/main" id="{86F1F256-DEB8-4FA4-82CD-85CBCF901E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4CB4A0F4-9801-41C9-8DCB-2E21CA9350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29A339CD-BAAC-4C16-B744-875C86237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43EBCCBD-2253-40AE-A0B2-9AAE6D6F8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FD8695CF-D240-4B8E-AE6E-1CACC88653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6307F453-6105-407C-A2D4-2653857566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D110D03D-FF03-4E25-9A63-7F7EE5E958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C161785B-1C5C-4776-B9BD-0B76BF0297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17" name="Picture@5C\Qopen@" descr="@5C\Qopen@">
          <a:extLst>
            <a:ext uri="{FF2B5EF4-FFF2-40B4-BE49-F238E27FC236}">
              <a16:creationId xmlns:a16="http://schemas.microsoft.com/office/drawing/2014/main" id="{E7A40412-290B-4B17-8A07-A688905FBA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770CFFEE-551D-4571-8991-B2B3683167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9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19" name="Picture@5C\Qopen@" descr="@5C\Qopen@">
          <a:extLst>
            <a:ext uri="{FF2B5EF4-FFF2-40B4-BE49-F238E27FC236}">
              <a16:creationId xmlns:a16="http://schemas.microsoft.com/office/drawing/2014/main" id="{00A87C54-9E97-4D9A-9CE4-252270CED6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D5555AFA-E41F-433A-9D63-F41ACF2A41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3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21" name="Picture@5C\Qopen@" descr="@5C\Qopen@">
          <a:extLst>
            <a:ext uri="{FF2B5EF4-FFF2-40B4-BE49-F238E27FC236}">
              <a16:creationId xmlns:a16="http://schemas.microsoft.com/office/drawing/2014/main" id="{C378DA91-074C-4B60-BAF7-406BD15FE9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8CD62498-8770-4CAF-8688-40DCB5161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7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23" name="Picture@5C\Qopen@" descr="@5C\Qopen@">
          <a:extLst>
            <a:ext uri="{FF2B5EF4-FFF2-40B4-BE49-F238E27FC236}">
              <a16:creationId xmlns:a16="http://schemas.microsoft.com/office/drawing/2014/main" id="{2BEB8F19-26E3-4FDB-A68F-E7652420E4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ED6DA99B-8001-4F6E-B4EC-80D2A731FB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5" name="Picture@5C\Qopen@" descr="@5C\Qopen@">
          <a:extLst>
            <a:ext uri="{FF2B5EF4-FFF2-40B4-BE49-F238E27FC236}">
              <a16:creationId xmlns:a16="http://schemas.microsoft.com/office/drawing/2014/main" id="{0695E664-4D67-4C31-AF4A-58336035AD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1B383EB5-E468-45FC-A5C5-6032AC262C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7" name="Picture@5C\Qopen@" descr="@5C\Qopen@">
          <a:extLst>
            <a:ext uri="{FF2B5EF4-FFF2-40B4-BE49-F238E27FC236}">
              <a16:creationId xmlns:a16="http://schemas.microsoft.com/office/drawing/2014/main" id="{782C2B9A-3F5B-43A6-8F7F-FC0D38DB93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7BCC8C25-7547-48CE-87FB-D83C9AD62D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9" name="Picture@5C\Qopen@" descr="@5C\Qopen@">
          <a:extLst>
            <a:ext uri="{FF2B5EF4-FFF2-40B4-BE49-F238E27FC236}">
              <a16:creationId xmlns:a16="http://schemas.microsoft.com/office/drawing/2014/main" id="{E55B6FA2-F408-4105-AF9F-E8A98BA1C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7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831730D9-EA0D-45B4-B77C-16AE2D9ACF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4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1" name="Picture@5C\Qopen@" descr="@5C\Qopen@">
          <a:extLst>
            <a:ext uri="{FF2B5EF4-FFF2-40B4-BE49-F238E27FC236}">
              <a16:creationId xmlns:a16="http://schemas.microsoft.com/office/drawing/2014/main" id="{98163B85-E17F-48D8-B83A-8A00625253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3AD841FD-84A4-4B8C-94F6-CD130D4112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33" name="Picture@5C\Qopen@" descr="@5C\Qopen@">
          <a:extLst>
            <a:ext uri="{FF2B5EF4-FFF2-40B4-BE49-F238E27FC236}">
              <a16:creationId xmlns:a16="http://schemas.microsoft.com/office/drawing/2014/main" id="{33CC2A22-1395-4D8E-A76D-D4B2E21113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6AEB24AA-D4C4-429A-9123-61BB3CED6B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3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5" name="Picture@5C\Qopen@" descr="@5C\Qopen@">
          <a:extLst>
            <a:ext uri="{FF2B5EF4-FFF2-40B4-BE49-F238E27FC236}">
              <a16:creationId xmlns:a16="http://schemas.microsoft.com/office/drawing/2014/main" id="{A814CE05-7B57-4E91-926B-C3727897EA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0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F761838F-7810-4370-B15F-8F9BE66FA9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7" name="Picture@5C\Qopen@" descr="@5C\Qopen@">
          <a:extLst>
            <a:ext uri="{FF2B5EF4-FFF2-40B4-BE49-F238E27FC236}">
              <a16:creationId xmlns:a16="http://schemas.microsoft.com/office/drawing/2014/main" id="{F4DA50CF-A03B-4AA6-B87B-B1C21860D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4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F6482482-BEED-457D-8802-2593E9B936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1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39" name="Picture@5C\Qopen@" descr="@5C\Qopen@">
          <a:extLst>
            <a:ext uri="{FF2B5EF4-FFF2-40B4-BE49-F238E27FC236}">
              <a16:creationId xmlns:a16="http://schemas.microsoft.com/office/drawing/2014/main" id="{31133FAE-28C7-4485-9470-2A32250905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9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E74C0340-3CF8-41F8-AE46-733A9B5BAE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41" name="Picture@5C\Qopen@" descr="@5C\Qopen@">
          <a:extLst>
            <a:ext uri="{FF2B5EF4-FFF2-40B4-BE49-F238E27FC236}">
              <a16:creationId xmlns:a16="http://schemas.microsoft.com/office/drawing/2014/main" id="{9632A781-8B62-44E9-88CB-8271DB0DEB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4C6778EB-E5DE-4AD2-9B21-FF5E069F3F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3" name="Picture@5C\Qopen@" descr="@5C\Qopen@">
          <a:extLst>
            <a:ext uri="{FF2B5EF4-FFF2-40B4-BE49-F238E27FC236}">
              <a16:creationId xmlns:a16="http://schemas.microsoft.com/office/drawing/2014/main" id="{EED9D00A-B77B-48C1-BB0D-B684E03709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7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1888421E-2E15-4BF5-B688-7F56762DCF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5" name="Picture@5C\Qopen@" descr="@5C\Qopen@">
          <a:extLst>
            <a:ext uri="{FF2B5EF4-FFF2-40B4-BE49-F238E27FC236}">
              <a16:creationId xmlns:a16="http://schemas.microsoft.com/office/drawing/2014/main" id="{5F2636B8-2837-49D8-8154-8439FFA454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2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10CE97A0-EC28-45D9-9D76-FDE0B5DCA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9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7" name="Picture@5C\Qopen@" descr="@5C\Qopen@">
          <a:extLst>
            <a:ext uri="{FF2B5EF4-FFF2-40B4-BE49-F238E27FC236}">
              <a16:creationId xmlns:a16="http://schemas.microsoft.com/office/drawing/2014/main" id="{87CB2937-D573-4A70-90D9-401C63B317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6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8A732CFD-CDC2-4427-B06D-C2833BFEAE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3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49" name="Picture@5C\Qopen@" descr="@5C\Qopen@">
          <a:extLst>
            <a:ext uri="{FF2B5EF4-FFF2-40B4-BE49-F238E27FC236}">
              <a16:creationId xmlns:a16="http://schemas.microsoft.com/office/drawing/2014/main" id="{6AE5CF4D-6CDB-438A-A607-08DC2B0C11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0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FC87E3D0-7487-4841-AF65-6560CA9F85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7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1" name="Picture@5C\Qopen@" descr="@5C\Qopen@">
          <a:extLst>
            <a:ext uri="{FF2B5EF4-FFF2-40B4-BE49-F238E27FC236}">
              <a16:creationId xmlns:a16="http://schemas.microsoft.com/office/drawing/2014/main" id="{5513CEC9-B093-4AF5-9BA8-EC21388BA0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4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20E33334-5104-49C2-B36E-21B6AE6202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53" name="Picture@5C\Qopen@" descr="@5C\Qopen@">
          <a:extLst>
            <a:ext uri="{FF2B5EF4-FFF2-40B4-BE49-F238E27FC236}">
              <a16:creationId xmlns:a16="http://schemas.microsoft.com/office/drawing/2014/main" id="{7087FA97-2029-44CA-955C-9E26FAB213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9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0CA73480-97F6-4DEF-B953-B7F7A107BE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6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55" name="Picture@5C\Qopen@" descr="@5C\Qopen@">
          <a:extLst>
            <a:ext uri="{FF2B5EF4-FFF2-40B4-BE49-F238E27FC236}">
              <a16:creationId xmlns:a16="http://schemas.microsoft.com/office/drawing/2014/main" id="{C955E025-18A3-4244-95FF-8561D40A7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3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DD42F23C-F4A8-47F2-8E74-88E3742209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57" name="Picture@5C\Qopen@" descr="@5C\Qopen@">
          <a:extLst>
            <a:ext uri="{FF2B5EF4-FFF2-40B4-BE49-F238E27FC236}">
              <a16:creationId xmlns:a16="http://schemas.microsoft.com/office/drawing/2014/main" id="{703A87B6-068E-4A85-96BA-C32588B2F0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7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A270050D-27C5-490A-BF58-8F015B277B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4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59" name="Picture@5C\Qopen@" descr="@5C\Qopen@">
          <a:extLst>
            <a:ext uri="{FF2B5EF4-FFF2-40B4-BE49-F238E27FC236}">
              <a16:creationId xmlns:a16="http://schemas.microsoft.com/office/drawing/2014/main" id="{11479DFC-05A2-4657-9B8C-A8692F7AA4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2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60" name="Picture@5C\Qopen@" descr="@5C\Qopen@">
          <a:extLst>
            <a:ext uri="{FF2B5EF4-FFF2-40B4-BE49-F238E27FC236}">
              <a16:creationId xmlns:a16="http://schemas.microsoft.com/office/drawing/2014/main" id="{EC302035-ED9B-49C5-B34A-C077E79184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1" name="Picture@5C\Qopen@" descr="@5C\Qopen@">
          <a:extLst>
            <a:ext uri="{FF2B5EF4-FFF2-40B4-BE49-F238E27FC236}">
              <a16:creationId xmlns:a16="http://schemas.microsoft.com/office/drawing/2014/main" id="{D76B56E4-6DC8-400B-A9B0-720F99FDA6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62" name="Picture@5C\Qopen@" descr="@5C\Qopen@">
          <a:extLst>
            <a:ext uri="{FF2B5EF4-FFF2-40B4-BE49-F238E27FC236}">
              <a16:creationId xmlns:a16="http://schemas.microsoft.com/office/drawing/2014/main" id="{9DF114E7-2D42-4ED4-AD2B-7C32EC9BB1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3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63" name="Picture@5C\Qopen@" descr="@5C\Qopen@">
          <a:extLst>
            <a:ext uri="{FF2B5EF4-FFF2-40B4-BE49-F238E27FC236}">
              <a16:creationId xmlns:a16="http://schemas.microsoft.com/office/drawing/2014/main" id="{5DEF93AA-D9F9-4F72-8BF8-8269D01687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0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64" name="Picture@5C\Qopen@" descr="@5C\Qopen@">
          <a:extLst>
            <a:ext uri="{FF2B5EF4-FFF2-40B4-BE49-F238E27FC236}">
              <a16:creationId xmlns:a16="http://schemas.microsoft.com/office/drawing/2014/main" id="{19323C47-AABA-42BB-975A-F592E2B3A4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7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65" name="Picture@5C\Qopen@" descr="@5C\Qopen@">
          <a:extLst>
            <a:ext uri="{FF2B5EF4-FFF2-40B4-BE49-F238E27FC236}">
              <a16:creationId xmlns:a16="http://schemas.microsoft.com/office/drawing/2014/main" id="{158CBF15-569A-4921-BD9D-33E9FE7BD4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4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6" name="Picture@5C\Qopen@" descr="@5C\Qopen@">
          <a:extLst>
            <a:ext uri="{FF2B5EF4-FFF2-40B4-BE49-F238E27FC236}">
              <a16:creationId xmlns:a16="http://schemas.microsoft.com/office/drawing/2014/main" id="{1445FA68-5B09-492B-958B-EE131EDFB9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2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7" name="Picture@5C\Qopen@" descr="@5C\Qopen@">
          <a:extLst>
            <a:ext uri="{FF2B5EF4-FFF2-40B4-BE49-F238E27FC236}">
              <a16:creationId xmlns:a16="http://schemas.microsoft.com/office/drawing/2014/main" id="{D1DA1CF0-10AF-416E-A54C-7D8EAC7EAF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9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307ED745-D31B-4042-A6A0-45DEA76427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9" name="Picture@5C\Qopen@" descr="@5C\Qopen@">
          <a:extLst>
            <a:ext uri="{FF2B5EF4-FFF2-40B4-BE49-F238E27FC236}">
              <a16:creationId xmlns:a16="http://schemas.microsoft.com/office/drawing/2014/main" id="{E2304B36-F08D-42F5-B9AC-A0757549BF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3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70" name="Picture@5C\Qopen@" descr="@5C\Qopen@">
          <a:extLst>
            <a:ext uri="{FF2B5EF4-FFF2-40B4-BE49-F238E27FC236}">
              <a16:creationId xmlns:a16="http://schemas.microsoft.com/office/drawing/2014/main" id="{3AADCA7B-D24B-4C3B-BDC3-EE105E4880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0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1" name="Picture@5C\Qopen@" descr="@5C\Qopen@">
          <a:extLst>
            <a:ext uri="{FF2B5EF4-FFF2-40B4-BE49-F238E27FC236}">
              <a16:creationId xmlns:a16="http://schemas.microsoft.com/office/drawing/2014/main" id="{A8C0C6AE-CF4B-4812-AEB2-C198824F32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72" name="Picture@5C\Qopen@" descr="@5C\Qopen@">
          <a:extLst>
            <a:ext uri="{FF2B5EF4-FFF2-40B4-BE49-F238E27FC236}">
              <a16:creationId xmlns:a16="http://schemas.microsoft.com/office/drawing/2014/main" id="{D347AA9E-51B4-466A-BBEF-706F93193E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73" name="Picture@5C\Qopen@" descr="@5C\Qopen@">
          <a:extLst>
            <a:ext uri="{FF2B5EF4-FFF2-40B4-BE49-F238E27FC236}">
              <a16:creationId xmlns:a16="http://schemas.microsoft.com/office/drawing/2014/main" id="{C0BDCA9C-D9CE-4F27-B1E1-A9F42B86AF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74" name="Picture@5C\Qopen@" descr="@5C\Qopen@">
          <a:extLst>
            <a:ext uri="{FF2B5EF4-FFF2-40B4-BE49-F238E27FC236}">
              <a16:creationId xmlns:a16="http://schemas.microsoft.com/office/drawing/2014/main" id="{D0E25FD3-FEC6-45C3-B41C-5DE7F21A4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9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5" name="Picture@5C\Qopen@" descr="@5C\Qopen@">
          <a:extLst>
            <a:ext uri="{FF2B5EF4-FFF2-40B4-BE49-F238E27FC236}">
              <a16:creationId xmlns:a16="http://schemas.microsoft.com/office/drawing/2014/main" id="{B5CC6A4F-123D-4A4C-9A7C-9F60F7D78B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6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76" name="Picture@5C\Qopen@" descr="@5C\Qopen@">
          <a:extLst>
            <a:ext uri="{FF2B5EF4-FFF2-40B4-BE49-F238E27FC236}">
              <a16:creationId xmlns:a16="http://schemas.microsoft.com/office/drawing/2014/main" id="{BBB5135A-6860-4E5A-84B9-772BA42DB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77" name="Picture@5C\Qopen@" descr="@5C\Qopen@">
          <a:extLst>
            <a:ext uri="{FF2B5EF4-FFF2-40B4-BE49-F238E27FC236}">
              <a16:creationId xmlns:a16="http://schemas.microsoft.com/office/drawing/2014/main" id="{346E862C-48EF-4E72-BE4A-F7A8849A72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0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9"/>
  <sheetViews>
    <sheetView tabSelected="1" workbookViewId="0"/>
  </sheetViews>
  <sheetFormatPr defaultRowHeight="12.75" x14ac:dyDescent="0.2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6" bestFit="1" customWidth="1"/>
    <col min="13" max="13" width="22" bestFit="1" customWidth="1"/>
    <col min="14" max="15" width="22" customWidth="1"/>
    <col min="16" max="16" width="18" bestFit="1" customWidth="1"/>
    <col min="17" max="17" width="20" bestFit="1" customWidth="1"/>
    <col min="18" max="18" width="52" bestFit="1" customWidth="1"/>
    <col min="19" max="19" width="21" bestFit="1" customWidth="1"/>
    <col min="20" max="20" width="6" bestFit="1" customWidth="1"/>
    <col min="21" max="21" width="27" bestFit="1" customWidth="1"/>
    <col min="22" max="22" width="13" bestFit="1" customWidth="1"/>
    <col min="23" max="24" width="12" bestFit="1" customWidth="1"/>
    <col min="25" max="25" width="15" bestFit="1" customWidth="1"/>
    <col min="26" max="26" width="19" bestFit="1" customWidth="1"/>
    <col min="27" max="27" width="15" bestFit="1" customWidth="1"/>
    <col min="28" max="28" width="18" bestFit="1" customWidth="1"/>
    <col min="29" max="29" width="19" bestFit="1" customWidth="1"/>
    <col min="30" max="30" width="16" bestFit="1" customWidth="1"/>
    <col min="31" max="31" width="14" bestFit="1" customWidth="1"/>
  </cols>
  <sheetData>
    <row r="1" spans="1:31" ht="51" x14ac:dyDescent="0.2">
      <c r="A1" s="5" t="s">
        <v>281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5" t="s">
        <v>287</v>
      </c>
      <c r="H1" s="5" t="s">
        <v>288</v>
      </c>
      <c r="I1" s="1" t="s">
        <v>289</v>
      </c>
      <c r="J1" s="1" t="s">
        <v>290</v>
      </c>
      <c r="K1" s="5" t="s">
        <v>291</v>
      </c>
      <c r="L1" s="5" t="s">
        <v>292</v>
      </c>
      <c r="M1" s="1" t="s">
        <v>293</v>
      </c>
      <c r="N1" s="8" t="s">
        <v>311</v>
      </c>
      <c r="O1" s="9" t="s">
        <v>312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5" t="s">
        <v>309</v>
      </c>
    </row>
    <row r="2" spans="1:31" ht="14.1" customHeight="1" x14ac:dyDescent="0.2">
      <c r="A2" s="2" t="s">
        <v>0</v>
      </c>
      <c r="B2" t="s">
        <v>1</v>
      </c>
      <c r="C2" t="s">
        <v>8</v>
      </c>
      <c r="D2" s="3">
        <v>44276</v>
      </c>
      <c r="E2" s="3">
        <v>44276</v>
      </c>
      <c r="F2" s="3">
        <v>44280</v>
      </c>
      <c r="G2" t="s">
        <v>7</v>
      </c>
      <c r="H2" t="s">
        <v>2</v>
      </c>
      <c r="I2" s="4">
        <v>-912</v>
      </c>
      <c r="J2" t="s">
        <v>3</v>
      </c>
      <c r="K2" t="s">
        <v>4</v>
      </c>
      <c r="L2" s="4">
        <v>-76562.399999999994</v>
      </c>
      <c r="M2" s="4">
        <v>-912</v>
      </c>
      <c r="N2" s="10" t="str">
        <f>IF(M2="","",IF(M2&lt;0,-M2&amp;"_"&amp;COUNTIF(M$2:M2,M2),M2&amp;"_"&amp;COUNTIF(M$2:M2,M2)))</f>
        <v>912_1</v>
      </c>
      <c r="O2" s="11" t="str">
        <f t="shared" ref="O2:O65" si="0">IF(COUNTIF(N:N,N2)=2,"x","")</f>
        <v/>
      </c>
      <c r="P2" t="s">
        <v>9</v>
      </c>
      <c r="Q2" t="s">
        <v>9</v>
      </c>
      <c r="R2" t="s">
        <v>10</v>
      </c>
      <c r="S2" t="s">
        <v>0</v>
      </c>
      <c r="T2" t="s">
        <v>5</v>
      </c>
      <c r="U2" t="s">
        <v>11</v>
      </c>
      <c r="V2" t="s">
        <v>0</v>
      </c>
      <c r="W2" t="s">
        <v>0</v>
      </c>
      <c r="X2" t="s">
        <v>0</v>
      </c>
      <c r="Y2" t="s">
        <v>6</v>
      </c>
      <c r="Z2" t="s">
        <v>12</v>
      </c>
      <c r="AA2" s="3">
        <v>44384</v>
      </c>
      <c r="AB2" t="s">
        <v>0</v>
      </c>
      <c r="AC2" t="s">
        <v>0</v>
      </c>
      <c r="AD2" t="s">
        <v>0</v>
      </c>
      <c r="AE2" s="4">
        <v>0</v>
      </c>
    </row>
    <row r="3" spans="1:31" ht="14.1" customHeight="1" x14ac:dyDescent="0.2">
      <c r="A3" s="2" t="s">
        <v>0</v>
      </c>
      <c r="B3" t="s">
        <v>1</v>
      </c>
      <c r="C3" t="s">
        <v>13</v>
      </c>
      <c r="D3" s="3">
        <v>44287</v>
      </c>
      <c r="E3" s="3">
        <v>44276</v>
      </c>
      <c r="F3" s="3">
        <v>44298</v>
      </c>
      <c r="G3" t="s">
        <v>7</v>
      </c>
      <c r="H3" t="s">
        <v>2</v>
      </c>
      <c r="I3" s="4">
        <v>-4514.01</v>
      </c>
      <c r="J3" t="s">
        <v>3</v>
      </c>
      <c r="K3" t="s">
        <v>4</v>
      </c>
      <c r="L3" s="4">
        <v>-378951.14</v>
      </c>
      <c r="M3" s="4">
        <v>-4514.01</v>
      </c>
      <c r="N3" s="10" t="str">
        <f>IF(M3="","",IF(M3&lt;0,-M3&amp;"_"&amp;COUNTIF(M$2:M3,M3),M3&amp;"_"&amp;COUNTIF(M$2:M3,M3)))</f>
        <v>4514.01_1</v>
      </c>
      <c r="O3" s="11" t="str">
        <f t="shared" si="0"/>
        <v/>
      </c>
      <c r="P3" t="s">
        <v>14</v>
      </c>
      <c r="Q3" t="s">
        <v>14</v>
      </c>
      <c r="R3" t="s">
        <v>15</v>
      </c>
      <c r="S3" t="s">
        <v>0</v>
      </c>
      <c r="T3" t="s">
        <v>5</v>
      </c>
      <c r="U3" t="s">
        <v>16</v>
      </c>
      <c r="V3" t="s">
        <v>0</v>
      </c>
      <c r="W3" t="s">
        <v>0</v>
      </c>
      <c r="X3" t="s">
        <v>0</v>
      </c>
      <c r="Y3" t="s">
        <v>6</v>
      </c>
      <c r="Z3" t="s">
        <v>17</v>
      </c>
      <c r="AA3" s="3">
        <v>44384</v>
      </c>
      <c r="AB3" t="s">
        <v>0</v>
      </c>
      <c r="AC3" t="s">
        <v>0</v>
      </c>
      <c r="AD3" t="s">
        <v>0</v>
      </c>
      <c r="AE3" s="4">
        <v>0</v>
      </c>
    </row>
    <row r="4" spans="1:31" ht="14.1" customHeight="1" x14ac:dyDescent="0.2">
      <c r="A4" s="2" t="s">
        <v>0</v>
      </c>
      <c r="B4" t="s">
        <v>1</v>
      </c>
      <c r="C4" t="s">
        <v>18</v>
      </c>
      <c r="D4" s="3">
        <v>44277</v>
      </c>
      <c r="E4" s="3">
        <v>44277</v>
      </c>
      <c r="F4" s="3">
        <v>44280</v>
      </c>
      <c r="G4" t="s">
        <v>7</v>
      </c>
      <c r="H4" t="s">
        <v>2</v>
      </c>
      <c r="I4" s="4">
        <v>-8155.15</v>
      </c>
      <c r="J4" t="s">
        <v>3</v>
      </c>
      <c r="K4" t="s">
        <v>4</v>
      </c>
      <c r="L4" s="4">
        <v>-684624.84</v>
      </c>
      <c r="M4" s="4">
        <v>-8155.15</v>
      </c>
      <c r="N4" s="10" t="str">
        <f>IF(M4="","",IF(M4&lt;0,-M4&amp;"_"&amp;COUNTIF(M$2:M4,M4),M4&amp;"_"&amp;COUNTIF(M$2:M4,M4)))</f>
        <v>8155.15_1</v>
      </c>
      <c r="O4" s="11" t="str">
        <f t="shared" si="0"/>
        <v/>
      </c>
      <c r="P4" t="s">
        <v>19</v>
      </c>
      <c r="Q4" t="s">
        <v>19</v>
      </c>
      <c r="R4" t="s">
        <v>10</v>
      </c>
      <c r="S4" t="s">
        <v>0</v>
      </c>
      <c r="T4" t="s">
        <v>5</v>
      </c>
      <c r="U4" t="s">
        <v>20</v>
      </c>
      <c r="V4" t="s">
        <v>0</v>
      </c>
      <c r="W4" t="s">
        <v>0</v>
      </c>
      <c r="X4" t="s">
        <v>0</v>
      </c>
      <c r="Y4" t="s">
        <v>6</v>
      </c>
      <c r="Z4" t="s">
        <v>21</v>
      </c>
      <c r="AA4" s="3">
        <v>44389</v>
      </c>
      <c r="AB4" t="s">
        <v>0</v>
      </c>
      <c r="AC4" t="s">
        <v>0</v>
      </c>
      <c r="AD4" t="s">
        <v>0</v>
      </c>
      <c r="AE4" s="4">
        <v>0</v>
      </c>
    </row>
    <row r="5" spans="1:31" ht="14.1" customHeight="1" x14ac:dyDescent="0.2">
      <c r="A5" s="2" t="s">
        <v>0</v>
      </c>
      <c r="B5" t="s">
        <v>1</v>
      </c>
      <c r="C5" t="s">
        <v>22</v>
      </c>
      <c r="D5" s="3">
        <v>44286</v>
      </c>
      <c r="E5" s="3">
        <v>44286</v>
      </c>
      <c r="F5" s="3">
        <v>44287</v>
      </c>
      <c r="G5" t="s">
        <v>7</v>
      </c>
      <c r="H5" t="s">
        <v>2</v>
      </c>
      <c r="I5" s="4">
        <v>-1699.91</v>
      </c>
      <c r="J5" t="s">
        <v>3</v>
      </c>
      <c r="K5" t="s">
        <v>4</v>
      </c>
      <c r="L5" s="4">
        <v>-142707.44</v>
      </c>
      <c r="M5" s="4">
        <v>-1699.91</v>
      </c>
      <c r="N5" s="10" t="str">
        <f>IF(M5="","",IF(M5&lt;0,-M5&amp;"_"&amp;COUNTIF(M$2:M5,M5),M5&amp;"_"&amp;COUNTIF(M$2:M5,M5)))</f>
        <v>1699.91_1</v>
      </c>
      <c r="O5" s="11" t="str">
        <f t="shared" si="0"/>
        <v/>
      </c>
      <c r="P5" t="s">
        <v>23</v>
      </c>
      <c r="Q5" t="s">
        <v>23</v>
      </c>
      <c r="R5" t="s">
        <v>10</v>
      </c>
      <c r="S5" t="s">
        <v>0</v>
      </c>
      <c r="T5" t="s">
        <v>5</v>
      </c>
      <c r="U5" t="s">
        <v>24</v>
      </c>
      <c r="V5" t="s">
        <v>0</v>
      </c>
      <c r="W5" t="s">
        <v>0</v>
      </c>
      <c r="X5" t="s">
        <v>0</v>
      </c>
      <c r="Y5" t="s">
        <v>6</v>
      </c>
      <c r="Z5" t="s">
        <v>25</v>
      </c>
      <c r="AA5" s="3">
        <v>44390</v>
      </c>
      <c r="AB5" t="s">
        <v>0</v>
      </c>
      <c r="AC5" t="s">
        <v>0</v>
      </c>
      <c r="AD5" t="s">
        <v>0</v>
      </c>
      <c r="AE5" s="4">
        <v>0</v>
      </c>
    </row>
    <row r="6" spans="1:31" ht="14.1" customHeight="1" x14ac:dyDescent="0.2">
      <c r="A6" s="2" t="s">
        <v>0</v>
      </c>
      <c r="B6" t="s">
        <v>1</v>
      </c>
      <c r="C6" t="s">
        <v>26</v>
      </c>
      <c r="D6" s="3">
        <v>44286</v>
      </c>
      <c r="E6" s="3">
        <v>44286</v>
      </c>
      <c r="F6" s="3">
        <v>44287</v>
      </c>
      <c r="G6" t="s">
        <v>7</v>
      </c>
      <c r="H6" t="s">
        <v>2</v>
      </c>
      <c r="I6" s="4">
        <v>-1006.51</v>
      </c>
      <c r="J6" t="s">
        <v>3</v>
      </c>
      <c r="K6" t="s">
        <v>4</v>
      </c>
      <c r="L6" s="4">
        <v>-84496.51</v>
      </c>
      <c r="M6" s="4">
        <v>-1006.51</v>
      </c>
      <c r="N6" s="10" t="str">
        <f>IF(M6="","",IF(M6&lt;0,-M6&amp;"_"&amp;COUNTIF(M$2:M6,M6),M6&amp;"_"&amp;COUNTIF(M$2:M6,M6)))</f>
        <v>1006.51_1</v>
      </c>
      <c r="O6" s="11" t="str">
        <f t="shared" si="0"/>
        <v/>
      </c>
      <c r="P6" t="s">
        <v>27</v>
      </c>
      <c r="Q6" t="s">
        <v>27</v>
      </c>
      <c r="R6" t="s">
        <v>10</v>
      </c>
      <c r="S6" t="s">
        <v>0</v>
      </c>
      <c r="T6" t="s">
        <v>5</v>
      </c>
      <c r="U6" t="s">
        <v>28</v>
      </c>
      <c r="V6" t="s">
        <v>0</v>
      </c>
      <c r="W6" t="s">
        <v>0</v>
      </c>
      <c r="X6" t="s">
        <v>0</v>
      </c>
      <c r="Y6" t="s">
        <v>6</v>
      </c>
      <c r="Z6" t="s">
        <v>29</v>
      </c>
      <c r="AA6" s="3">
        <v>44390</v>
      </c>
      <c r="AB6" t="s">
        <v>0</v>
      </c>
      <c r="AC6" t="s">
        <v>0</v>
      </c>
      <c r="AD6" t="s">
        <v>0</v>
      </c>
      <c r="AE6" s="4">
        <v>0</v>
      </c>
    </row>
    <row r="7" spans="1:31" ht="14.1" customHeight="1" x14ac:dyDescent="0.2">
      <c r="A7" s="2" t="s">
        <v>0</v>
      </c>
      <c r="B7" t="s">
        <v>1</v>
      </c>
      <c r="C7" t="s">
        <v>30</v>
      </c>
      <c r="D7" s="3">
        <v>44286</v>
      </c>
      <c r="E7" s="3">
        <v>44286</v>
      </c>
      <c r="F7" s="3">
        <v>44287</v>
      </c>
      <c r="G7" t="s">
        <v>7</v>
      </c>
      <c r="H7" t="s">
        <v>2</v>
      </c>
      <c r="I7" s="4">
        <v>-2430.73</v>
      </c>
      <c r="J7" t="s">
        <v>3</v>
      </c>
      <c r="K7" t="s">
        <v>4</v>
      </c>
      <c r="L7" s="4">
        <v>-204059.78</v>
      </c>
      <c r="M7" s="4">
        <v>-2430.73</v>
      </c>
      <c r="N7" s="10" t="str">
        <f>IF(M7="","",IF(M7&lt;0,-M7&amp;"_"&amp;COUNTIF(M$2:M7,M7),M7&amp;"_"&amp;COUNTIF(M$2:M7,M7)))</f>
        <v>2430.73_1</v>
      </c>
      <c r="O7" s="11" t="str">
        <f t="shared" si="0"/>
        <v/>
      </c>
      <c r="P7" t="s">
        <v>31</v>
      </c>
      <c r="Q7" t="s">
        <v>31</v>
      </c>
      <c r="R7" t="s">
        <v>10</v>
      </c>
      <c r="S7" t="s">
        <v>0</v>
      </c>
      <c r="T7" t="s">
        <v>5</v>
      </c>
      <c r="U7" t="s">
        <v>32</v>
      </c>
      <c r="V7" t="s">
        <v>0</v>
      </c>
      <c r="W7" t="s">
        <v>0</v>
      </c>
      <c r="X7" t="s">
        <v>0</v>
      </c>
      <c r="Y7" t="s">
        <v>6</v>
      </c>
      <c r="Z7" t="s">
        <v>33</v>
      </c>
      <c r="AA7" s="3">
        <v>44390</v>
      </c>
      <c r="AB7" t="s">
        <v>0</v>
      </c>
      <c r="AC7" t="s">
        <v>0</v>
      </c>
      <c r="AD7" t="s">
        <v>0</v>
      </c>
      <c r="AE7" s="4">
        <v>0</v>
      </c>
    </row>
    <row r="8" spans="1:31" ht="14.1" customHeight="1" x14ac:dyDescent="0.2">
      <c r="A8" s="2" t="s">
        <v>0</v>
      </c>
      <c r="B8" t="s">
        <v>1</v>
      </c>
      <c r="C8" t="s">
        <v>34</v>
      </c>
      <c r="D8" s="3">
        <v>44286</v>
      </c>
      <c r="E8" s="3">
        <v>44286</v>
      </c>
      <c r="F8" s="3">
        <v>44287</v>
      </c>
      <c r="G8" t="s">
        <v>7</v>
      </c>
      <c r="H8" t="s">
        <v>2</v>
      </c>
      <c r="I8" s="4">
        <v>-11477.37</v>
      </c>
      <c r="J8" t="s">
        <v>3</v>
      </c>
      <c r="K8" t="s">
        <v>4</v>
      </c>
      <c r="L8" s="4">
        <v>-963525.21</v>
      </c>
      <c r="M8" s="4">
        <v>-11477.37</v>
      </c>
      <c r="N8" s="10" t="str">
        <f>IF(M8="","",IF(M8&lt;0,-M8&amp;"_"&amp;COUNTIF(M$2:M8,M8),M8&amp;"_"&amp;COUNTIF(M$2:M8,M8)))</f>
        <v>11477.37_1</v>
      </c>
      <c r="O8" s="11" t="str">
        <f t="shared" si="0"/>
        <v/>
      </c>
      <c r="P8" t="s">
        <v>35</v>
      </c>
      <c r="Q8" t="s">
        <v>35</v>
      </c>
      <c r="R8" t="s">
        <v>10</v>
      </c>
      <c r="S8" t="s">
        <v>0</v>
      </c>
      <c r="T8" t="s">
        <v>5</v>
      </c>
      <c r="U8" t="s">
        <v>36</v>
      </c>
      <c r="V8" t="s">
        <v>0</v>
      </c>
      <c r="W8" t="s">
        <v>0</v>
      </c>
      <c r="X8" t="s">
        <v>0</v>
      </c>
      <c r="Y8" t="s">
        <v>6</v>
      </c>
      <c r="Z8" t="s">
        <v>37</v>
      </c>
      <c r="AA8" s="3">
        <v>44390</v>
      </c>
      <c r="AB8" t="s">
        <v>0</v>
      </c>
      <c r="AC8" t="s">
        <v>0</v>
      </c>
      <c r="AD8" t="s">
        <v>0</v>
      </c>
      <c r="AE8" s="4">
        <v>0</v>
      </c>
    </row>
    <row r="9" spans="1:31" ht="14.1" customHeight="1" x14ac:dyDescent="0.2">
      <c r="A9" s="2" t="s">
        <v>0</v>
      </c>
      <c r="B9" t="s">
        <v>1</v>
      </c>
      <c r="C9" t="s">
        <v>38</v>
      </c>
      <c r="D9" s="3">
        <v>44286</v>
      </c>
      <c r="E9" s="3">
        <v>44286</v>
      </c>
      <c r="F9" s="3">
        <v>44287</v>
      </c>
      <c r="G9" t="s">
        <v>7</v>
      </c>
      <c r="H9" t="s">
        <v>2</v>
      </c>
      <c r="I9" s="4">
        <v>-15890.12</v>
      </c>
      <c r="J9" t="s">
        <v>3</v>
      </c>
      <c r="K9" t="s">
        <v>4</v>
      </c>
      <c r="L9" s="4">
        <v>-1333975.57</v>
      </c>
      <c r="M9" s="4">
        <v>-15890.12</v>
      </c>
      <c r="N9" s="10" t="str">
        <f>IF(M9="","",IF(M9&lt;0,-M9&amp;"_"&amp;COUNTIF(M$2:M9,M9),M9&amp;"_"&amp;COUNTIF(M$2:M9,M9)))</f>
        <v>15890.12_1</v>
      </c>
      <c r="O9" s="11" t="str">
        <f t="shared" si="0"/>
        <v/>
      </c>
      <c r="P9" t="s">
        <v>39</v>
      </c>
      <c r="Q9" t="s">
        <v>39</v>
      </c>
      <c r="R9" t="s">
        <v>10</v>
      </c>
      <c r="S9" t="s">
        <v>0</v>
      </c>
      <c r="T9" t="s">
        <v>5</v>
      </c>
      <c r="U9" t="s">
        <v>40</v>
      </c>
      <c r="V9" t="s">
        <v>0</v>
      </c>
      <c r="W9" t="s">
        <v>0</v>
      </c>
      <c r="X9" t="s">
        <v>0</v>
      </c>
      <c r="Y9" t="s">
        <v>6</v>
      </c>
      <c r="Z9" t="s">
        <v>41</v>
      </c>
      <c r="AA9" s="3">
        <v>44390</v>
      </c>
      <c r="AB9" t="s">
        <v>0</v>
      </c>
      <c r="AC9" t="s">
        <v>0</v>
      </c>
      <c r="AD9" t="s">
        <v>0</v>
      </c>
      <c r="AE9" s="4">
        <v>0</v>
      </c>
    </row>
    <row r="10" spans="1:31" ht="14.1" customHeight="1" x14ac:dyDescent="0.2">
      <c r="A10" s="2" t="s">
        <v>0</v>
      </c>
      <c r="B10" t="s">
        <v>1</v>
      </c>
      <c r="C10" t="s">
        <v>42</v>
      </c>
      <c r="D10" s="3">
        <v>44287</v>
      </c>
      <c r="E10" s="3">
        <v>44287</v>
      </c>
      <c r="F10" s="3">
        <v>44298</v>
      </c>
      <c r="G10" t="s">
        <v>7</v>
      </c>
      <c r="H10" t="s">
        <v>2</v>
      </c>
      <c r="I10" s="4">
        <v>-2599.04</v>
      </c>
      <c r="J10" t="s">
        <v>3</v>
      </c>
      <c r="K10" t="s">
        <v>4</v>
      </c>
      <c r="L10" s="4">
        <v>-218189.41</v>
      </c>
      <c r="M10" s="4">
        <v>-2599.04</v>
      </c>
      <c r="N10" s="10" t="str">
        <f>IF(M10="","",IF(M10&lt;0,-M10&amp;"_"&amp;COUNTIF(M$2:M10,M10),M10&amp;"_"&amp;COUNTIF(M$2:M10,M10)))</f>
        <v>2599.04_1</v>
      </c>
      <c r="O10" s="11" t="str">
        <f t="shared" si="0"/>
        <v/>
      </c>
      <c r="P10" t="s">
        <v>43</v>
      </c>
      <c r="Q10" t="s">
        <v>43</v>
      </c>
      <c r="R10" t="s">
        <v>44</v>
      </c>
      <c r="S10" t="s">
        <v>0</v>
      </c>
      <c r="T10" t="s">
        <v>5</v>
      </c>
      <c r="U10" t="s">
        <v>45</v>
      </c>
      <c r="V10" t="s">
        <v>0</v>
      </c>
      <c r="W10" t="s">
        <v>0</v>
      </c>
      <c r="X10" t="s">
        <v>0</v>
      </c>
      <c r="Y10" t="s">
        <v>6</v>
      </c>
      <c r="Z10" t="s">
        <v>0</v>
      </c>
      <c r="AA10" s="3"/>
      <c r="AB10" t="s">
        <v>0</v>
      </c>
      <c r="AC10" t="s">
        <v>0</v>
      </c>
      <c r="AD10" t="s">
        <v>0</v>
      </c>
      <c r="AE10" s="4">
        <v>0</v>
      </c>
    </row>
    <row r="11" spans="1:31" ht="14.1" customHeight="1" x14ac:dyDescent="0.2">
      <c r="A11" s="2" t="s">
        <v>0</v>
      </c>
      <c r="B11" t="s">
        <v>1</v>
      </c>
      <c r="C11" t="s">
        <v>46</v>
      </c>
      <c r="D11" s="3">
        <v>44287</v>
      </c>
      <c r="E11" s="3">
        <v>44287</v>
      </c>
      <c r="F11" s="3">
        <v>44298</v>
      </c>
      <c r="G11" t="s">
        <v>7</v>
      </c>
      <c r="H11" t="s">
        <v>2</v>
      </c>
      <c r="I11" s="4">
        <v>-13634.17</v>
      </c>
      <c r="J11" t="s">
        <v>3</v>
      </c>
      <c r="K11" t="s">
        <v>4</v>
      </c>
      <c r="L11" s="4">
        <v>-1144588.57</v>
      </c>
      <c r="M11" s="4">
        <v>-13634.17</v>
      </c>
      <c r="N11" s="10" t="str">
        <f>IF(M11="","",IF(M11&lt;0,-M11&amp;"_"&amp;COUNTIF(M$2:M11,M11),M11&amp;"_"&amp;COUNTIF(M$2:M11,M11)))</f>
        <v>13634.17_1</v>
      </c>
      <c r="O11" s="11" t="str">
        <f t="shared" si="0"/>
        <v/>
      </c>
      <c r="P11" t="s">
        <v>47</v>
      </c>
      <c r="Q11" t="s">
        <v>47</v>
      </c>
      <c r="R11" t="s">
        <v>44</v>
      </c>
      <c r="S11" t="s">
        <v>0</v>
      </c>
      <c r="T11" t="s">
        <v>5</v>
      </c>
      <c r="U11" t="s">
        <v>48</v>
      </c>
      <c r="V11" t="s">
        <v>0</v>
      </c>
      <c r="W11" t="s">
        <v>0</v>
      </c>
      <c r="X11" t="s">
        <v>0</v>
      </c>
      <c r="Y11" t="s">
        <v>6</v>
      </c>
      <c r="Z11" t="s">
        <v>49</v>
      </c>
      <c r="AA11" s="3">
        <v>44390</v>
      </c>
      <c r="AB11" t="s">
        <v>0</v>
      </c>
      <c r="AC11" t="s">
        <v>0</v>
      </c>
      <c r="AD11" t="s">
        <v>0</v>
      </c>
      <c r="AE11" s="4">
        <v>0</v>
      </c>
    </row>
    <row r="12" spans="1:31" ht="14.1" customHeight="1" x14ac:dyDescent="0.2">
      <c r="A12" s="2" t="s">
        <v>0</v>
      </c>
      <c r="B12" t="s">
        <v>1</v>
      </c>
      <c r="C12" t="s">
        <v>50</v>
      </c>
      <c r="D12" s="3">
        <v>44287</v>
      </c>
      <c r="E12" s="3">
        <v>44287</v>
      </c>
      <c r="F12" s="3">
        <v>44298</v>
      </c>
      <c r="G12" t="s">
        <v>7</v>
      </c>
      <c r="H12" t="s">
        <v>2</v>
      </c>
      <c r="I12" s="4">
        <v>-361.05</v>
      </c>
      <c r="J12" t="s">
        <v>51</v>
      </c>
      <c r="K12" t="s">
        <v>4</v>
      </c>
      <c r="L12" s="4">
        <v>-30310.15</v>
      </c>
      <c r="M12" s="4">
        <v>-361.05</v>
      </c>
      <c r="N12" s="10" t="str">
        <f>IF(M12="","",IF(M12&lt;0,-M12&amp;"_"&amp;COUNTIF(M$2:M12,M12),M12&amp;"_"&amp;COUNTIF(M$2:M12,M12)))</f>
        <v>361.05_1</v>
      </c>
      <c r="O12" s="11" t="str">
        <f t="shared" si="0"/>
        <v/>
      </c>
      <c r="P12" t="s">
        <v>52</v>
      </c>
      <c r="Q12" t="s">
        <v>52</v>
      </c>
      <c r="R12" t="s">
        <v>53</v>
      </c>
      <c r="S12" t="s">
        <v>0</v>
      </c>
      <c r="T12" t="s">
        <v>5</v>
      </c>
      <c r="U12" t="s">
        <v>54</v>
      </c>
      <c r="V12" t="s">
        <v>0</v>
      </c>
      <c r="W12" t="s">
        <v>0</v>
      </c>
      <c r="X12" t="s">
        <v>0</v>
      </c>
      <c r="Y12" t="s">
        <v>6</v>
      </c>
      <c r="Z12" t="s">
        <v>55</v>
      </c>
      <c r="AA12" s="3">
        <v>44390</v>
      </c>
      <c r="AB12" t="s">
        <v>0</v>
      </c>
      <c r="AC12" t="s">
        <v>0</v>
      </c>
      <c r="AD12" t="s">
        <v>0</v>
      </c>
      <c r="AE12" s="4">
        <v>0</v>
      </c>
    </row>
    <row r="13" spans="1:31" ht="14.1" customHeight="1" x14ac:dyDescent="0.2">
      <c r="A13" s="2" t="s">
        <v>0</v>
      </c>
      <c r="B13" t="s">
        <v>1</v>
      </c>
      <c r="C13" t="s">
        <v>56</v>
      </c>
      <c r="D13" s="3">
        <v>44287</v>
      </c>
      <c r="E13" s="3">
        <v>44287</v>
      </c>
      <c r="F13" s="3">
        <v>44298</v>
      </c>
      <c r="G13" t="s">
        <v>7</v>
      </c>
      <c r="H13" t="s">
        <v>2</v>
      </c>
      <c r="I13" s="4">
        <v>-8749.5</v>
      </c>
      <c r="J13" t="s">
        <v>3</v>
      </c>
      <c r="K13" t="s">
        <v>4</v>
      </c>
      <c r="L13" s="4">
        <v>-734520.53</v>
      </c>
      <c r="M13" s="4">
        <v>-8749.5</v>
      </c>
      <c r="N13" s="10" t="str">
        <f>IF(M13="","",IF(M13&lt;0,-M13&amp;"_"&amp;COUNTIF(M$2:M13,M13),M13&amp;"_"&amp;COUNTIF(M$2:M13,M13)))</f>
        <v>8749.5_1</v>
      </c>
      <c r="O13" s="11" t="str">
        <f t="shared" si="0"/>
        <v/>
      </c>
      <c r="P13" t="s">
        <v>57</v>
      </c>
      <c r="Q13" t="s">
        <v>57</v>
      </c>
      <c r="R13" t="s">
        <v>53</v>
      </c>
      <c r="S13" t="s">
        <v>0</v>
      </c>
      <c r="T13" t="s">
        <v>5</v>
      </c>
      <c r="U13" t="s">
        <v>58</v>
      </c>
      <c r="V13" t="s">
        <v>0</v>
      </c>
      <c r="W13" t="s">
        <v>0</v>
      </c>
      <c r="X13" t="s">
        <v>0</v>
      </c>
      <c r="Y13" t="s">
        <v>6</v>
      </c>
      <c r="Z13" t="s">
        <v>0</v>
      </c>
      <c r="AA13" s="3"/>
      <c r="AB13" t="s">
        <v>0</v>
      </c>
      <c r="AC13" t="s">
        <v>0</v>
      </c>
      <c r="AD13" t="s">
        <v>0</v>
      </c>
      <c r="AE13" s="4">
        <v>0</v>
      </c>
    </row>
    <row r="14" spans="1:31" ht="14.1" customHeight="1" x14ac:dyDescent="0.2">
      <c r="A14" s="2" t="s">
        <v>0</v>
      </c>
      <c r="B14" t="s">
        <v>1</v>
      </c>
      <c r="C14" t="s">
        <v>59</v>
      </c>
      <c r="D14" s="3">
        <v>44293</v>
      </c>
      <c r="E14" s="3">
        <v>44293</v>
      </c>
      <c r="F14" s="3">
        <v>44298</v>
      </c>
      <c r="G14" t="s">
        <v>7</v>
      </c>
      <c r="H14" t="s">
        <v>2</v>
      </c>
      <c r="I14" s="4">
        <v>-8264.24</v>
      </c>
      <c r="J14" t="s">
        <v>3</v>
      </c>
      <c r="K14" t="s">
        <v>4</v>
      </c>
      <c r="L14" s="4">
        <v>-693782.95</v>
      </c>
      <c r="M14" s="4">
        <v>-8264.24</v>
      </c>
      <c r="N14" s="10" t="str">
        <f>IF(M14="","",IF(M14&lt;0,-M14&amp;"_"&amp;COUNTIF(M$2:M14,M14),M14&amp;"_"&amp;COUNTIF(M$2:M14,M14)))</f>
        <v>8264.24_1</v>
      </c>
      <c r="O14" s="11" t="str">
        <f t="shared" si="0"/>
        <v/>
      </c>
      <c r="P14" t="s">
        <v>60</v>
      </c>
      <c r="Q14" t="s">
        <v>60</v>
      </c>
      <c r="R14" t="s">
        <v>44</v>
      </c>
      <c r="S14" t="s">
        <v>0</v>
      </c>
      <c r="T14" t="s">
        <v>5</v>
      </c>
      <c r="U14" t="s">
        <v>61</v>
      </c>
      <c r="V14" t="s">
        <v>0</v>
      </c>
      <c r="W14" t="s">
        <v>0</v>
      </c>
      <c r="X14" t="s">
        <v>0</v>
      </c>
      <c r="Y14" t="s">
        <v>6</v>
      </c>
      <c r="Z14" t="s">
        <v>0</v>
      </c>
      <c r="AA14" s="3"/>
      <c r="AB14" t="s">
        <v>0</v>
      </c>
      <c r="AC14" t="s">
        <v>0</v>
      </c>
      <c r="AD14" t="s">
        <v>0</v>
      </c>
      <c r="AE14" s="4">
        <v>0</v>
      </c>
    </row>
    <row r="15" spans="1:31" ht="14.1" customHeight="1" x14ac:dyDescent="0.2">
      <c r="A15" s="2" t="s">
        <v>0</v>
      </c>
      <c r="B15" t="s">
        <v>1</v>
      </c>
      <c r="C15" t="s">
        <v>62</v>
      </c>
      <c r="D15" s="3">
        <v>44293</v>
      </c>
      <c r="E15" s="3">
        <v>44293</v>
      </c>
      <c r="F15" s="3">
        <v>44298</v>
      </c>
      <c r="G15" t="s">
        <v>7</v>
      </c>
      <c r="H15" t="s">
        <v>2</v>
      </c>
      <c r="I15" s="4">
        <v>-74435.100000000006</v>
      </c>
      <c r="J15" t="s">
        <v>3</v>
      </c>
      <c r="K15" t="s">
        <v>4</v>
      </c>
      <c r="L15" s="4">
        <v>-6248826.6500000004</v>
      </c>
      <c r="M15" s="4">
        <v>-74435.100000000006</v>
      </c>
      <c r="N15" s="10" t="str">
        <f>IF(M15="","",IF(M15&lt;0,-M15&amp;"_"&amp;COUNTIF(M$2:M15,M15),M15&amp;"_"&amp;COUNTIF(M$2:M15,M15)))</f>
        <v>74435.1_1</v>
      </c>
      <c r="O15" s="11" t="str">
        <f t="shared" si="0"/>
        <v/>
      </c>
      <c r="P15" t="s">
        <v>63</v>
      </c>
      <c r="Q15" t="s">
        <v>63</v>
      </c>
      <c r="R15" t="s">
        <v>44</v>
      </c>
      <c r="S15" t="s">
        <v>0</v>
      </c>
      <c r="T15" t="s">
        <v>5</v>
      </c>
      <c r="U15" t="s">
        <v>64</v>
      </c>
      <c r="V15" t="s">
        <v>0</v>
      </c>
      <c r="W15" t="s">
        <v>0</v>
      </c>
      <c r="X15" t="s">
        <v>0</v>
      </c>
      <c r="Y15" t="s">
        <v>6</v>
      </c>
      <c r="Z15" t="s">
        <v>0</v>
      </c>
      <c r="AA15" s="3"/>
      <c r="AB15" t="s">
        <v>0</v>
      </c>
      <c r="AC15" t="s">
        <v>0</v>
      </c>
      <c r="AD15" t="s">
        <v>0</v>
      </c>
      <c r="AE15" s="4">
        <v>0</v>
      </c>
    </row>
    <row r="16" spans="1:31" ht="14.1" customHeight="1" x14ac:dyDescent="0.2">
      <c r="A16" s="2" t="s">
        <v>0</v>
      </c>
      <c r="B16" t="s">
        <v>1</v>
      </c>
      <c r="C16" t="s">
        <v>65</v>
      </c>
      <c r="D16" s="3">
        <v>44293</v>
      </c>
      <c r="E16" s="3">
        <v>44293</v>
      </c>
      <c r="F16" s="3">
        <v>44298</v>
      </c>
      <c r="G16" t="s">
        <v>7</v>
      </c>
      <c r="H16" t="s">
        <v>2</v>
      </c>
      <c r="I16" s="4">
        <v>-9967.64</v>
      </c>
      <c r="J16" t="s">
        <v>3</v>
      </c>
      <c r="K16" t="s">
        <v>4</v>
      </c>
      <c r="L16" s="4">
        <v>-836783.38</v>
      </c>
      <c r="M16" s="4">
        <v>-9967.64</v>
      </c>
      <c r="N16" s="10" t="str">
        <f>IF(M16="","",IF(M16&lt;0,-M16&amp;"_"&amp;COUNTIF(M$2:M16,M16),M16&amp;"_"&amp;COUNTIF(M$2:M16,M16)))</f>
        <v>9967.64_1</v>
      </c>
      <c r="O16" s="11" t="str">
        <f t="shared" si="0"/>
        <v/>
      </c>
      <c r="P16" t="s">
        <v>66</v>
      </c>
      <c r="Q16" t="s">
        <v>66</v>
      </c>
      <c r="R16" t="s">
        <v>44</v>
      </c>
      <c r="S16" t="s">
        <v>0</v>
      </c>
      <c r="T16" t="s">
        <v>5</v>
      </c>
      <c r="U16" t="s">
        <v>67</v>
      </c>
      <c r="V16" t="s">
        <v>0</v>
      </c>
      <c r="W16" t="s">
        <v>0</v>
      </c>
      <c r="X16" t="s">
        <v>0</v>
      </c>
      <c r="Y16" t="s">
        <v>6</v>
      </c>
      <c r="Z16" t="s">
        <v>0</v>
      </c>
      <c r="AA16" s="3"/>
      <c r="AB16" t="s">
        <v>0</v>
      </c>
      <c r="AC16" t="s">
        <v>0</v>
      </c>
      <c r="AD16" t="s">
        <v>0</v>
      </c>
      <c r="AE16" s="4">
        <v>0</v>
      </c>
    </row>
    <row r="17" spans="1:31" ht="14.1" customHeight="1" x14ac:dyDescent="0.2">
      <c r="A17" s="2" t="s">
        <v>0</v>
      </c>
      <c r="B17" t="s">
        <v>1</v>
      </c>
      <c r="C17" t="s">
        <v>68</v>
      </c>
      <c r="D17" s="3">
        <v>44298</v>
      </c>
      <c r="E17" s="3">
        <v>44298</v>
      </c>
      <c r="F17" s="3">
        <v>44299</v>
      </c>
      <c r="G17" t="s">
        <v>7</v>
      </c>
      <c r="H17" t="s">
        <v>2</v>
      </c>
      <c r="I17" s="4">
        <v>-11229.39</v>
      </c>
      <c r="J17" t="s">
        <v>3</v>
      </c>
      <c r="K17" t="s">
        <v>4</v>
      </c>
      <c r="L17" s="4">
        <v>-942707.29</v>
      </c>
      <c r="M17" s="4">
        <v>-11229.39</v>
      </c>
      <c r="N17" s="10" t="str">
        <f>IF(M17="","",IF(M17&lt;0,-M17&amp;"_"&amp;COUNTIF(M$2:M17,M17),M17&amp;"_"&amp;COUNTIF(M$2:M17,M17)))</f>
        <v>11229.39_1</v>
      </c>
      <c r="O17" s="11" t="str">
        <f t="shared" si="0"/>
        <v/>
      </c>
      <c r="P17" t="s">
        <v>69</v>
      </c>
      <c r="Q17" t="s">
        <v>69</v>
      </c>
      <c r="R17" t="s">
        <v>44</v>
      </c>
      <c r="S17" t="s">
        <v>0</v>
      </c>
      <c r="T17" t="s">
        <v>5</v>
      </c>
      <c r="U17" t="s">
        <v>70</v>
      </c>
      <c r="V17" t="s">
        <v>0</v>
      </c>
      <c r="W17" t="s">
        <v>0</v>
      </c>
      <c r="X17" t="s">
        <v>0</v>
      </c>
      <c r="Y17" t="s">
        <v>6</v>
      </c>
      <c r="Z17" t="s">
        <v>0</v>
      </c>
      <c r="AA17" s="3"/>
      <c r="AB17" t="s">
        <v>0</v>
      </c>
      <c r="AC17" t="s">
        <v>0</v>
      </c>
      <c r="AD17" t="s">
        <v>0</v>
      </c>
      <c r="AE17" s="4">
        <v>0</v>
      </c>
    </row>
    <row r="18" spans="1:31" ht="14.1" customHeight="1" x14ac:dyDescent="0.2">
      <c r="A18" s="2" t="s">
        <v>0</v>
      </c>
      <c r="B18" t="s">
        <v>1</v>
      </c>
      <c r="C18" t="s">
        <v>71</v>
      </c>
      <c r="D18" s="3">
        <v>44298</v>
      </c>
      <c r="E18" s="3">
        <v>44298</v>
      </c>
      <c r="F18" s="3">
        <v>44299</v>
      </c>
      <c r="G18" t="s">
        <v>7</v>
      </c>
      <c r="H18" t="s">
        <v>2</v>
      </c>
      <c r="I18" s="4">
        <v>-800.81</v>
      </c>
      <c r="J18" t="s">
        <v>3</v>
      </c>
      <c r="K18" t="s">
        <v>4</v>
      </c>
      <c r="L18" s="4">
        <v>-67228</v>
      </c>
      <c r="M18" s="4">
        <v>-800.81</v>
      </c>
      <c r="N18" s="10" t="str">
        <f>IF(M18="","",IF(M18&lt;0,-M18&amp;"_"&amp;COUNTIF(M$2:M18,M18),M18&amp;"_"&amp;COUNTIF(M$2:M18,M18)))</f>
        <v>800.81_1</v>
      </c>
      <c r="O18" s="11" t="str">
        <f t="shared" si="0"/>
        <v/>
      </c>
      <c r="P18" t="s">
        <v>72</v>
      </c>
      <c r="Q18" t="s">
        <v>72</v>
      </c>
      <c r="R18" t="s">
        <v>44</v>
      </c>
      <c r="S18" t="s">
        <v>0</v>
      </c>
      <c r="T18" t="s">
        <v>5</v>
      </c>
      <c r="U18" t="s">
        <v>73</v>
      </c>
      <c r="V18" t="s">
        <v>0</v>
      </c>
      <c r="W18" t="s">
        <v>0</v>
      </c>
      <c r="X18" t="s">
        <v>0</v>
      </c>
      <c r="Y18" t="s">
        <v>6</v>
      </c>
      <c r="Z18" t="s">
        <v>0</v>
      </c>
      <c r="AA18" s="3"/>
      <c r="AB18" t="s">
        <v>0</v>
      </c>
      <c r="AC18" t="s">
        <v>0</v>
      </c>
      <c r="AD18" t="s">
        <v>0</v>
      </c>
      <c r="AE18" s="4">
        <v>0</v>
      </c>
    </row>
    <row r="19" spans="1:31" ht="14.1" customHeight="1" x14ac:dyDescent="0.2">
      <c r="A19" s="2" t="s">
        <v>0</v>
      </c>
      <c r="B19" t="s">
        <v>1</v>
      </c>
      <c r="C19" t="s">
        <v>74</v>
      </c>
      <c r="D19" s="3">
        <v>44298</v>
      </c>
      <c r="E19" s="3">
        <v>44298</v>
      </c>
      <c r="F19" s="3">
        <v>44299</v>
      </c>
      <c r="G19" t="s">
        <v>7</v>
      </c>
      <c r="H19" t="s">
        <v>2</v>
      </c>
      <c r="I19" s="4">
        <v>-9927.32</v>
      </c>
      <c r="J19" t="s">
        <v>3</v>
      </c>
      <c r="K19" t="s">
        <v>4</v>
      </c>
      <c r="L19" s="4">
        <v>-833398.51</v>
      </c>
      <c r="M19" s="4">
        <v>-9927.32</v>
      </c>
      <c r="N19" s="10" t="str">
        <f>IF(M19="","",IF(M19&lt;0,-M19&amp;"_"&amp;COUNTIF(M$2:M19,M19),M19&amp;"_"&amp;COUNTIF(M$2:M19,M19)))</f>
        <v>9927.32_1</v>
      </c>
      <c r="O19" s="11" t="str">
        <f t="shared" si="0"/>
        <v/>
      </c>
      <c r="P19" t="s">
        <v>75</v>
      </c>
      <c r="Q19" t="s">
        <v>75</v>
      </c>
      <c r="R19" t="s">
        <v>44</v>
      </c>
      <c r="S19" t="s">
        <v>0</v>
      </c>
      <c r="T19" t="s">
        <v>5</v>
      </c>
      <c r="U19" t="s">
        <v>76</v>
      </c>
      <c r="V19" t="s">
        <v>0</v>
      </c>
      <c r="W19" t="s">
        <v>0</v>
      </c>
      <c r="X19" t="s">
        <v>0</v>
      </c>
      <c r="Y19" t="s">
        <v>6</v>
      </c>
      <c r="Z19" t="s">
        <v>0</v>
      </c>
      <c r="AA19" s="3"/>
      <c r="AB19" t="s">
        <v>0</v>
      </c>
      <c r="AC19" t="s">
        <v>0</v>
      </c>
      <c r="AD19" t="s">
        <v>0</v>
      </c>
      <c r="AE19" s="4">
        <v>0</v>
      </c>
    </row>
    <row r="20" spans="1:31" ht="14.1" customHeight="1" x14ac:dyDescent="0.2">
      <c r="A20" s="2" t="s">
        <v>0</v>
      </c>
      <c r="B20" t="s">
        <v>1</v>
      </c>
      <c r="C20" t="s">
        <v>77</v>
      </c>
      <c r="D20" s="3">
        <v>44298</v>
      </c>
      <c r="E20" s="3">
        <v>44298</v>
      </c>
      <c r="F20" s="3">
        <v>44299</v>
      </c>
      <c r="G20" t="s">
        <v>7</v>
      </c>
      <c r="H20" t="s">
        <v>2</v>
      </c>
      <c r="I20" s="4">
        <v>-27497.87</v>
      </c>
      <c r="J20" t="s">
        <v>3</v>
      </c>
      <c r="K20" t="s">
        <v>4</v>
      </c>
      <c r="L20" s="4">
        <v>-2308446.19</v>
      </c>
      <c r="M20" s="4">
        <v>-27497.87</v>
      </c>
      <c r="N20" s="10" t="str">
        <f>IF(M20="","",IF(M20&lt;0,-M20&amp;"_"&amp;COUNTIF(M$2:M20,M20),M20&amp;"_"&amp;COUNTIF(M$2:M20,M20)))</f>
        <v>27497.87_1</v>
      </c>
      <c r="O20" s="11" t="str">
        <f t="shared" si="0"/>
        <v/>
      </c>
      <c r="P20" t="s">
        <v>78</v>
      </c>
      <c r="Q20" t="s">
        <v>78</v>
      </c>
      <c r="R20" t="s">
        <v>44</v>
      </c>
      <c r="S20" t="s">
        <v>0</v>
      </c>
      <c r="T20" t="s">
        <v>5</v>
      </c>
      <c r="U20" t="s">
        <v>79</v>
      </c>
      <c r="V20" t="s">
        <v>0</v>
      </c>
      <c r="W20" t="s">
        <v>0</v>
      </c>
      <c r="X20" t="s">
        <v>0</v>
      </c>
      <c r="Y20" t="s">
        <v>6</v>
      </c>
      <c r="Z20" t="s">
        <v>0</v>
      </c>
      <c r="AA20" s="3"/>
      <c r="AB20" t="s">
        <v>0</v>
      </c>
      <c r="AC20" t="s">
        <v>0</v>
      </c>
      <c r="AD20" t="s">
        <v>0</v>
      </c>
      <c r="AE20" s="4">
        <v>0</v>
      </c>
    </row>
    <row r="21" spans="1:31" ht="14.1" customHeight="1" x14ac:dyDescent="0.2">
      <c r="A21" s="2" t="s">
        <v>0</v>
      </c>
      <c r="B21" t="s">
        <v>1</v>
      </c>
      <c r="C21" t="s">
        <v>80</v>
      </c>
      <c r="D21" s="3">
        <v>44305</v>
      </c>
      <c r="E21" s="3">
        <v>44305</v>
      </c>
      <c r="F21" s="3">
        <v>44306</v>
      </c>
      <c r="G21" t="s">
        <v>7</v>
      </c>
      <c r="H21" t="s">
        <v>2</v>
      </c>
      <c r="I21" s="4">
        <v>-2898.95</v>
      </c>
      <c r="J21" t="s">
        <v>3</v>
      </c>
      <c r="K21" t="s">
        <v>4</v>
      </c>
      <c r="L21" s="4">
        <v>-243366.85</v>
      </c>
      <c r="M21" s="4">
        <v>-2898.95</v>
      </c>
      <c r="N21" s="10" t="str">
        <f>IF(M21="","",IF(M21&lt;0,-M21&amp;"_"&amp;COUNTIF(M$2:M21,M21),M21&amp;"_"&amp;COUNTIF(M$2:M21,M21)))</f>
        <v>2898.95_1</v>
      </c>
      <c r="O21" s="11" t="str">
        <f t="shared" si="0"/>
        <v/>
      </c>
      <c r="P21" t="s">
        <v>81</v>
      </c>
      <c r="Q21" t="s">
        <v>81</v>
      </c>
      <c r="R21" t="s">
        <v>82</v>
      </c>
      <c r="S21" t="s">
        <v>0</v>
      </c>
      <c r="T21" t="s">
        <v>5</v>
      </c>
      <c r="U21" t="s">
        <v>83</v>
      </c>
      <c r="V21" t="s">
        <v>0</v>
      </c>
      <c r="W21" t="s">
        <v>0</v>
      </c>
      <c r="X21" t="s">
        <v>0</v>
      </c>
      <c r="Y21" t="s">
        <v>6</v>
      </c>
      <c r="Z21" t="s">
        <v>0</v>
      </c>
      <c r="AA21" s="3"/>
      <c r="AB21" t="s">
        <v>0</v>
      </c>
      <c r="AC21" t="s">
        <v>0</v>
      </c>
      <c r="AD21" t="s">
        <v>0</v>
      </c>
      <c r="AE21" s="4">
        <v>0</v>
      </c>
    </row>
    <row r="22" spans="1:31" ht="14.1" customHeight="1" x14ac:dyDescent="0.2">
      <c r="A22" s="2" t="s">
        <v>0</v>
      </c>
      <c r="B22" t="s">
        <v>1</v>
      </c>
      <c r="C22" t="s">
        <v>84</v>
      </c>
      <c r="D22" s="3">
        <v>44306</v>
      </c>
      <c r="E22" s="3">
        <v>44306</v>
      </c>
      <c r="F22" s="3">
        <v>44307</v>
      </c>
      <c r="G22" t="s">
        <v>7</v>
      </c>
      <c r="H22" t="s">
        <v>2</v>
      </c>
      <c r="I22" s="4">
        <v>-9087.01</v>
      </c>
      <c r="J22" t="s">
        <v>3</v>
      </c>
      <c r="K22" t="s">
        <v>4</v>
      </c>
      <c r="L22" s="4">
        <v>-762854.49</v>
      </c>
      <c r="M22" s="4">
        <v>-9087.01</v>
      </c>
      <c r="N22" s="10" t="str">
        <f>IF(M22="","",IF(M22&lt;0,-M22&amp;"_"&amp;COUNTIF(M$2:M22,M22),M22&amp;"_"&amp;COUNTIF(M$2:M22,M22)))</f>
        <v>9087.01_1</v>
      </c>
      <c r="O22" s="11" t="str">
        <f t="shared" si="0"/>
        <v/>
      </c>
      <c r="P22" t="s">
        <v>85</v>
      </c>
      <c r="Q22" t="s">
        <v>85</v>
      </c>
      <c r="R22" t="s">
        <v>82</v>
      </c>
      <c r="S22" t="s">
        <v>0</v>
      </c>
      <c r="T22" t="s">
        <v>5</v>
      </c>
      <c r="U22" t="s">
        <v>86</v>
      </c>
      <c r="V22" t="s">
        <v>0</v>
      </c>
      <c r="W22" t="s">
        <v>0</v>
      </c>
      <c r="X22" t="s">
        <v>0</v>
      </c>
      <c r="Y22" t="s">
        <v>6</v>
      </c>
      <c r="Z22" t="s">
        <v>0</v>
      </c>
      <c r="AA22" s="3"/>
      <c r="AB22" t="s">
        <v>0</v>
      </c>
      <c r="AC22" t="s">
        <v>0</v>
      </c>
      <c r="AD22" t="s">
        <v>0</v>
      </c>
      <c r="AE22" s="4">
        <v>0</v>
      </c>
    </row>
    <row r="23" spans="1:31" ht="14.1" customHeight="1" x14ac:dyDescent="0.2">
      <c r="A23" s="2" t="s">
        <v>0</v>
      </c>
      <c r="B23" t="s">
        <v>1</v>
      </c>
      <c r="C23" t="s">
        <v>87</v>
      </c>
      <c r="D23" s="3">
        <v>44306</v>
      </c>
      <c r="E23" s="3">
        <v>44306</v>
      </c>
      <c r="F23" s="3">
        <v>44307</v>
      </c>
      <c r="G23" t="s">
        <v>7</v>
      </c>
      <c r="H23" t="s">
        <v>2</v>
      </c>
      <c r="I23" s="4">
        <v>-38310.29</v>
      </c>
      <c r="J23" t="s">
        <v>3</v>
      </c>
      <c r="K23" t="s">
        <v>4</v>
      </c>
      <c r="L23" s="4">
        <v>-3216148.85</v>
      </c>
      <c r="M23" s="4">
        <v>-38310.29</v>
      </c>
      <c r="N23" s="10" t="str">
        <f>IF(M23="","",IF(M23&lt;0,-M23&amp;"_"&amp;COUNTIF(M$2:M23,M23),M23&amp;"_"&amp;COUNTIF(M$2:M23,M23)))</f>
        <v>38310.29_1</v>
      </c>
      <c r="O23" s="11" t="str">
        <f t="shared" si="0"/>
        <v/>
      </c>
      <c r="P23" t="s">
        <v>88</v>
      </c>
      <c r="Q23" t="s">
        <v>88</v>
      </c>
      <c r="R23" t="s">
        <v>82</v>
      </c>
      <c r="S23" t="s">
        <v>0</v>
      </c>
      <c r="T23" t="s">
        <v>5</v>
      </c>
      <c r="U23" t="s">
        <v>89</v>
      </c>
      <c r="V23" t="s">
        <v>0</v>
      </c>
      <c r="W23" t="s">
        <v>0</v>
      </c>
      <c r="X23" t="s">
        <v>0</v>
      </c>
      <c r="Y23" t="s">
        <v>6</v>
      </c>
      <c r="Z23" t="s">
        <v>0</v>
      </c>
      <c r="AA23" s="3"/>
      <c r="AB23" t="s">
        <v>0</v>
      </c>
      <c r="AC23" t="s">
        <v>0</v>
      </c>
      <c r="AD23" t="s">
        <v>0</v>
      </c>
      <c r="AE23" s="4">
        <v>0</v>
      </c>
    </row>
    <row r="24" spans="1:31" ht="14.1" customHeight="1" x14ac:dyDescent="0.2">
      <c r="A24" s="2" t="s">
        <v>0</v>
      </c>
      <c r="B24" t="s">
        <v>1</v>
      </c>
      <c r="C24" t="s">
        <v>90</v>
      </c>
      <c r="D24" s="3">
        <v>44306</v>
      </c>
      <c r="E24" s="3">
        <v>44306</v>
      </c>
      <c r="F24" s="3">
        <v>44307</v>
      </c>
      <c r="G24" t="s">
        <v>7</v>
      </c>
      <c r="H24" t="s">
        <v>2</v>
      </c>
      <c r="I24" s="4">
        <v>-14645.47</v>
      </c>
      <c r="J24" t="s">
        <v>3</v>
      </c>
      <c r="K24" t="s">
        <v>4</v>
      </c>
      <c r="L24" s="4">
        <v>-1229487.21</v>
      </c>
      <c r="M24" s="4">
        <v>-14645.47</v>
      </c>
      <c r="N24" s="10" t="str">
        <f>IF(M24="","",IF(M24&lt;0,-M24&amp;"_"&amp;COUNTIF(M$2:M24,M24),M24&amp;"_"&amp;COUNTIF(M$2:M24,M24)))</f>
        <v>14645.47_1</v>
      </c>
      <c r="O24" s="11" t="str">
        <f t="shared" si="0"/>
        <v/>
      </c>
      <c r="P24" t="s">
        <v>91</v>
      </c>
      <c r="Q24" t="s">
        <v>91</v>
      </c>
      <c r="R24" t="s">
        <v>82</v>
      </c>
      <c r="S24" t="s">
        <v>0</v>
      </c>
      <c r="T24" t="s">
        <v>5</v>
      </c>
      <c r="U24" t="s">
        <v>92</v>
      </c>
      <c r="V24" t="s">
        <v>0</v>
      </c>
      <c r="W24" t="s">
        <v>0</v>
      </c>
      <c r="X24" t="s">
        <v>0</v>
      </c>
      <c r="Y24" t="s">
        <v>6</v>
      </c>
      <c r="Z24" t="s">
        <v>0</v>
      </c>
      <c r="AA24" s="3"/>
      <c r="AB24" t="s">
        <v>0</v>
      </c>
      <c r="AC24" t="s">
        <v>0</v>
      </c>
      <c r="AD24" t="s">
        <v>0</v>
      </c>
      <c r="AE24" s="4">
        <v>0</v>
      </c>
    </row>
    <row r="25" spans="1:31" ht="14.1" customHeight="1" x14ac:dyDescent="0.2">
      <c r="A25" s="2" t="s">
        <v>0</v>
      </c>
      <c r="B25" t="s">
        <v>1</v>
      </c>
      <c r="C25" t="s">
        <v>93</v>
      </c>
      <c r="D25" s="3">
        <v>44307</v>
      </c>
      <c r="E25" s="3">
        <v>44307</v>
      </c>
      <c r="F25" s="3">
        <v>44308</v>
      </c>
      <c r="G25" t="s">
        <v>7</v>
      </c>
      <c r="H25" t="s">
        <v>2</v>
      </c>
      <c r="I25" s="4">
        <v>-44089.37</v>
      </c>
      <c r="J25" t="s">
        <v>3</v>
      </c>
      <c r="K25" t="s">
        <v>4</v>
      </c>
      <c r="L25" s="4">
        <v>-3701302.61</v>
      </c>
      <c r="M25" s="4">
        <v>-44089.37</v>
      </c>
      <c r="N25" s="10" t="str">
        <f>IF(M25="","",IF(M25&lt;0,-M25&amp;"_"&amp;COUNTIF(M$2:M25,M25),M25&amp;"_"&amp;COUNTIF(M$2:M25,M25)))</f>
        <v>44089.37_1</v>
      </c>
      <c r="O25" s="11" t="str">
        <f t="shared" si="0"/>
        <v/>
      </c>
      <c r="P25" t="s">
        <v>94</v>
      </c>
      <c r="Q25" t="s">
        <v>94</v>
      </c>
      <c r="R25" t="s">
        <v>82</v>
      </c>
      <c r="S25" t="s">
        <v>0</v>
      </c>
      <c r="T25" t="s">
        <v>5</v>
      </c>
      <c r="U25" t="s">
        <v>95</v>
      </c>
      <c r="V25" t="s">
        <v>0</v>
      </c>
      <c r="W25" t="s">
        <v>0</v>
      </c>
      <c r="X25" t="s">
        <v>0</v>
      </c>
      <c r="Y25" t="s">
        <v>6</v>
      </c>
      <c r="Z25" t="s">
        <v>0</v>
      </c>
      <c r="AA25" s="3"/>
      <c r="AB25" t="s">
        <v>0</v>
      </c>
      <c r="AC25" t="s">
        <v>0</v>
      </c>
      <c r="AD25" t="s">
        <v>0</v>
      </c>
      <c r="AE25" s="4">
        <v>0</v>
      </c>
    </row>
    <row r="26" spans="1:31" ht="14.1" customHeight="1" x14ac:dyDescent="0.2">
      <c r="A26" s="2" t="s">
        <v>0</v>
      </c>
      <c r="B26" t="s">
        <v>1</v>
      </c>
      <c r="C26" t="s">
        <v>96</v>
      </c>
      <c r="D26" s="3">
        <v>44307</v>
      </c>
      <c r="E26" s="3">
        <v>44307</v>
      </c>
      <c r="F26" s="3">
        <v>44308</v>
      </c>
      <c r="G26" t="s">
        <v>7</v>
      </c>
      <c r="H26" t="s">
        <v>2</v>
      </c>
      <c r="I26" s="4">
        <v>-17763.23</v>
      </c>
      <c r="J26" t="s">
        <v>3</v>
      </c>
      <c r="K26" t="s">
        <v>4</v>
      </c>
      <c r="L26" s="4">
        <v>-1491223.16</v>
      </c>
      <c r="M26" s="4">
        <v>-17763.23</v>
      </c>
      <c r="N26" s="10" t="str">
        <f>IF(M26="","",IF(M26&lt;0,-M26&amp;"_"&amp;COUNTIF(M$2:M26,M26),M26&amp;"_"&amp;COUNTIF(M$2:M26,M26)))</f>
        <v>17763.23_1</v>
      </c>
      <c r="O26" s="11" t="str">
        <f t="shared" si="0"/>
        <v/>
      </c>
      <c r="P26" t="s">
        <v>97</v>
      </c>
      <c r="Q26" t="s">
        <v>97</v>
      </c>
      <c r="R26" t="s">
        <v>82</v>
      </c>
      <c r="S26" t="s">
        <v>0</v>
      </c>
      <c r="T26" t="s">
        <v>5</v>
      </c>
      <c r="U26" t="s">
        <v>98</v>
      </c>
      <c r="V26" t="s">
        <v>0</v>
      </c>
      <c r="W26" t="s">
        <v>0</v>
      </c>
      <c r="X26" t="s">
        <v>0</v>
      </c>
      <c r="Y26" t="s">
        <v>6</v>
      </c>
      <c r="Z26" t="s">
        <v>0</v>
      </c>
      <c r="AA26" s="3"/>
      <c r="AB26" t="s">
        <v>0</v>
      </c>
      <c r="AC26" t="s">
        <v>0</v>
      </c>
      <c r="AD26" t="s">
        <v>0</v>
      </c>
      <c r="AE26" s="4">
        <v>0</v>
      </c>
    </row>
    <row r="27" spans="1:31" ht="14.1" customHeight="1" x14ac:dyDescent="0.2">
      <c r="A27" s="2" t="s">
        <v>0</v>
      </c>
      <c r="B27" t="s">
        <v>1</v>
      </c>
      <c r="C27" t="s">
        <v>99</v>
      </c>
      <c r="D27" s="3">
        <v>44307</v>
      </c>
      <c r="E27" s="3">
        <v>44307</v>
      </c>
      <c r="F27" s="3">
        <v>44308</v>
      </c>
      <c r="G27" t="s">
        <v>7</v>
      </c>
      <c r="H27" t="s">
        <v>2</v>
      </c>
      <c r="I27" s="4">
        <v>-26295.82</v>
      </c>
      <c r="J27" t="s">
        <v>3</v>
      </c>
      <c r="K27" t="s">
        <v>4</v>
      </c>
      <c r="L27" s="4">
        <v>-2207534.09</v>
      </c>
      <c r="M27" s="4">
        <v>-26295.82</v>
      </c>
      <c r="N27" s="10" t="str">
        <f>IF(M27="","",IF(M27&lt;0,-M27&amp;"_"&amp;COUNTIF(M$2:M27,M27),M27&amp;"_"&amp;COUNTIF(M$2:M27,M27)))</f>
        <v>26295.82_1</v>
      </c>
      <c r="O27" s="11" t="str">
        <f t="shared" si="0"/>
        <v/>
      </c>
      <c r="P27" t="s">
        <v>100</v>
      </c>
      <c r="Q27" t="s">
        <v>100</v>
      </c>
      <c r="R27" t="s">
        <v>82</v>
      </c>
      <c r="S27" t="s">
        <v>0</v>
      </c>
      <c r="T27" t="s">
        <v>5</v>
      </c>
      <c r="U27" t="s">
        <v>101</v>
      </c>
      <c r="V27" t="s">
        <v>0</v>
      </c>
      <c r="W27" t="s">
        <v>0</v>
      </c>
      <c r="X27" t="s">
        <v>0</v>
      </c>
      <c r="Y27" t="s">
        <v>6</v>
      </c>
      <c r="Z27" t="s">
        <v>0</v>
      </c>
      <c r="AA27" s="3"/>
      <c r="AB27" t="s">
        <v>0</v>
      </c>
      <c r="AC27" t="s">
        <v>0</v>
      </c>
      <c r="AD27" t="s">
        <v>0</v>
      </c>
      <c r="AE27" s="4">
        <v>0</v>
      </c>
    </row>
    <row r="28" spans="1:31" ht="14.1" customHeight="1" x14ac:dyDescent="0.2">
      <c r="A28" s="2" t="s">
        <v>0</v>
      </c>
      <c r="B28" t="s">
        <v>1</v>
      </c>
      <c r="C28" t="s">
        <v>102</v>
      </c>
      <c r="D28" s="3">
        <v>44307</v>
      </c>
      <c r="E28" s="3">
        <v>44307</v>
      </c>
      <c r="F28" s="3">
        <v>44308</v>
      </c>
      <c r="G28" t="s">
        <v>7</v>
      </c>
      <c r="H28" t="s">
        <v>2</v>
      </c>
      <c r="I28" s="4">
        <v>-44104.14</v>
      </c>
      <c r="J28" t="s">
        <v>3</v>
      </c>
      <c r="K28" t="s">
        <v>4</v>
      </c>
      <c r="L28" s="4">
        <v>-3702542.55</v>
      </c>
      <c r="M28" s="4">
        <v>-44104.14</v>
      </c>
      <c r="N28" s="10" t="str">
        <f>IF(M28="","",IF(M28&lt;0,-M28&amp;"_"&amp;COUNTIF(M$2:M28,M28),M28&amp;"_"&amp;COUNTIF(M$2:M28,M28)))</f>
        <v>44104.14_1</v>
      </c>
      <c r="O28" s="11" t="str">
        <f t="shared" si="0"/>
        <v/>
      </c>
      <c r="P28" t="s">
        <v>103</v>
      </c>
      <c r="Q28" t="s">
        <v>103</v>
      </c>
      <c r="R28" t="s">
        <v>82</v>
      </c>
      <c r="S28" t="s">
        <v>0</v>
      </c>
      <c r="T28" t="s">
        <v>5</v>
      </c>
      <c r="U28" t="s">
        <v>104</v>
      </c>
      <c r="V28" t="s">
        <v>0</v>
      </c>
      <c r="W28" t="s">
        <v>0</v>
      </c>
      <c r="X28" t="s">
        <v>0</v>
      </c>
      <c r="Y28" t="s">
        <v>6</v>
      </c>
      <c r="Z28" t="s">
        <v>0</v>
      </c>
      <c r="AA28" s="3"/>
      <c r="AB28" t="s">
        <v>0</v>
      </c>
      <c r="AC28" t="s">
        <v>0</v>
      </c>
      <c r="AD28" t="s">
        <v>0</v>
      </c>
      <c r="AE28" s="4">
        <v>0</v>
      </c>
    </row>
    <row r="29" spans="1:31" ht="14.1" customHeight="1" x14ac:dyDescent="0.2">
      <c r="A29" s="2" t="s">
        <v>0</v>
      </c>
      <c r="B29" t="s">
        <v>1</v>
      </c>
      <c r="C29" t="s">
        <v>105</v>
      </c>
      <c r="D29" s="3">
        <v>44308</v>
      </c>
      <c r="E29" s="3">
        <v>44308</v>
      </c>
      <c r="F29" s="3">
        <v>44310</v>
      </c>
      <c r="G29" t="s">
        <v>7</v>
      </c>
      <c r="H29" t="s">
        <v>2</v>
      </c>
      <c r="I29" s="4">
        <v>-32545.03</v>
      </c>
      <c r="J29" t="s">
        <v>3</v>
      </c>
      <c r="K29" t="s">
        <v>4</v>
      </c>
      <c r="L29" s="4">
        <v>-2732155.27</v>
      </c>
      <c r="M29" s="4">
        <v>-32545.03</v>
      </c>
      <c r="N29" s="10" t="str">
        <f>IF(M29="","",IF(M29&lt;0,-M29&amp;"_"&amp;COUNTIF(M$2:M29,M29),M29&amp;"_"&amp;COUNTIF(M$2:M29,M29)))</f>
        <v>32545.03_1</v>
      </c>
      <c r="O29" s="11" t="str">
        <f t="shared" si="0"/>
        <v/>
      </c>
      <c r="P29" t="s">
        <v>106</v>
      </c>
      <c r="Q29" t="s">
        <v>106</v>
      </c>
      <c r="R29" t="s">
        <v>82</v>
      </c>
      <c r="S29" t="s">
        <v>0</v>
      </c>
      <c r="T29" t="s">
        <v>5</v>
      </c>
      <c r="U29" t="s">
        <v>107</v>
      </c>
      <c r="V29" t="s">
        <v>0</v>
      </c>
      <c r="W29" t="s">
        <v>0</v>
      </c>
      <c r="X29" t="s">
        <v>0</v>
      </c>
      <c r="Y29" t="s">
        <v>6</v>
      </c>
      <c r="Z29" t="s">
        <v>0</v>
      </c>
      <c r="AA29" s="3"/>
      <c r="AB29" t="s">
        <v>0</v>
      </c>
      <c r="AC29" t="s">
        <v>0</v>
      </c>
      <c r="AD29" t="s">
        <v>0</v>
      </c>
      <c r="AE29" s="4">
        <v>0</v>
      </c>
    </row>
    <row r="30" spans="1:31" ht="14.1" customHeight="1" x14ac:dyDescent="0.2">
      <c r="A30" s="2" t="s">
        <v>0</v>
      </c>
      <c r="B30" t="s">
        <v>1</v>
      </c>
      <c r="C30" t="s">
        <v>108</v>
      </c>
      <c r="D30" s="3">
        <v>44314</v>
      </c>
      <c r="E30" s="3">
        <v>44314</v>
      </c>
      <c r="F30" s="3">
        <v>44315</v>
      </c>
      <c r="G30" t="s">
        <v>7</v>
      </c>
      <c r="H30" t="s">
        <v>2</v>
      </c>
      <c r="I30" s="4">
        <v>-7408</v>
      </c>
      <c r="J30" t="s">
        <v>3</v>
      </c>
      <c r="K30" t="s">
        <v>4</v>
      </c>
      <c r="L30" s="4">
        <v>-621901.6</v>
      </c>
      <c r="M30" s="4">
        <v>-7408</v>
      </c>
      <c r="N30" s="10" t="str">
        <f>IF(M30="","",IF(M30&lt;0,-M30&amp;"_"&amp;COUNTIF(M$2:M30,M30),M30&amp;"_"&amp;COUNTIF(M$2:M30,M30)))</f>
        <v>7408_1</v>
      </c>
      <c r="O30" s="11" t="str">
        <f t="shared" si="0"/>
        <v/>
      </c>
      <c r="P30" t="s">
        <v>109</v>
      </c>
      <c r="Q30" t="s">
        <v>109</v>
      </c>
      <c r="R30" t="s">
        <v>10</v>
      </c>
      <c r="S30" t="s">
        <v>0</v>
      </c>
      <c r="T30" t="s">
        <v>5</v>
      </c>
      <c r="U30" t="s">
        <v>110</v>
      </c>
      <c r="V30" t="s">
        <v>0</v>
      </c>
      <c r="W30" t="s">
        <v>0</v>
      </c>
      <c r="X30" t="s">
        <v>0</v>
      </c>
      <c r="Y30" t="s">
        <v>6</v>
      </c>
      <c r="Z30" t="s">
        <v>0</v>
      </c>
      <c r="AA30" s="3"/>
      <c r="AB30" t="s">
        <v>0</v>
      </c>
      <c r="AC30" t="s">
        <v>0</v>
      </c>
      <c r="AD30" t="s">
        <v>0</v>
      </c>
      <c r="AE30" s="4">
        <v>0</v>
      </c>
    </row>
    <row r="31" spans="1:31" ht="14.1" customHeight="1" x14ac:dyDescent="0.2">
      <c r="A31" s="2" t="s">
        <v>0</v>
      </c>
      <c r="B31" t="s">
        <v>1</v>
      </c>
      <c r="C31" t="s">
        <v>111</v>
      </c>
      <c r="D31" s="3">
        <v>44314</v>
      </c>
      <c r="E31" s="3">
        <v>44314</v>
      </c>
      <c r="F31" s="3">
        <v>44315</v>
      </c>
      <c r="G31" t="s">
        <v>7</v>
      </c>
      <c r="H31" t="s">
        <v>2</v>
      </c>
      <c r="I31" s="4">
        <v>-106065.72</v>
      </c>
      <c r="J31" t="s">
        <v>3</v>
      </c>
      <c r="K31" t="s">
        <v>4</v>
      </c>
      <c r="L31" s="4">
        <v>-8904217.1899999995</v>
      </c>
      <c r="M31" s="4">
        <v>-106065.72</v>
      </c>
      <c r="N31" s="10" t="str">
        <f>IF(M31="","",IF(M31&lt;0,-M31&amp;"_"&amp;COUNTIF(M$2:M31,M31),M31&amp;"_"&amp;COUNTIF(M$2:M31,M31)))</f>
        <v>106065.72_1</v>
      </c>
      <c r="O31" s="11" t="str">
        <f t="shared" si="0"/>
        <v/>
      </c>
      <c r="P31" t="s">
        <v>112</v>
      </c>
      <c r="Q31" t="s">
        <v>112</v>
      </c>
      <c r="R31" t="s">
        <v>10</v>
      </c>
      <c r="S31" t="s">
        <v>0</v>
      </c>
      <c r="T31" t="s">
        <v>5</v>
      </c>
      <c r="U31" t="s">
        <v>113</v>
      </c>
      <c r="V31" t="s">
        <v>0</v>
      </c>
      <c r="W31" t="s">
        <v>0</v>
      </c>
      <c r="X31" t="s">
        <v>0</v>
      </c>
      <c r="Y31" t="s">
        <v>6</v>
      </c>
      <c r="Z31" t="s">
        <v>0</v>
      </c>
      <c r="AA31" s="3"/>
      <c r="AB31" t="s">
        <v>0</v>
      </c>
      <c r="AC31" t="s">
        <v>0</v>
      </c>
      <c r="AD31" t="s">
        <v>0</v>
      </c>
      <c r="AE31" s="4">
        <v>0</v>
      </c>
    </row>
    <row r="32" spans="1:31" ht="14.1" customHeight="1" x14ac:dyDescent="0.2">
      <c r="A32" s="2" t="s">
        <v>0</v>
      </c>
      <c r="B32" t="s">
        <v>1</v>
      </c>
      <c r="C32" t="s">
        <v>115</v>
      </c>
      <c r="D32" s="3">
        <v>44321</v>
      </c>
      <c r="E32" s="3">
        <v>44321</v>
      </c>
      <c r="F32" s="3">
        <v>44325</v>
      </c>
      <c r="G32" t="s">
        <v>7</v>
      </c>
      <c r="H32" t="s">
        <v>2</v>
      </c>
      <c r="I32" s="4">
        <v>-16815.25</v>
      </c>
      <c r="J32" t="s">
        <v>3</v>
      </c>
      <c r="K32" t="s">
        <v>4</v>
      </c>
      <c r="L32" s="4">
        <v>-1411640.24</v>
      </c>
      <c r="M32" s="4">
        <v>-16815.25</v>
      </c>
      <c r="N32" s="10" t="str">
        <f>IF(M32="","",IF(M32&lt;0,-M32&amp;"_"&amp;COUNTIF(M$2:M32,M32),M32&amp;"_"&amp;COUNTIF(M$2:M32,M32)))</f>
        <v>16815.25_1</v>
      </c>
      <c r="O32" s="11" t="str">
        <f t="shared" si="0"/>
        <v/>
      </c>
      <c r="P32" t="s">
        <v>116</v>
      </c>
      <c r="Q32" t="s">
        <v>117</v>
      </c>
      <c r="R32" t="s">
        <v>82</v>
      </c>
      <c r="S32" t="s">
        <v>0</v>
      </c>
      <c r="T32" t="s">
        <v>5</v>
      </c>
      <c r="U32" t="s">
        <v>118</v>
      </c>
      <c r="V32" t="s">
        <v>0</v>
      </c>
      <c r="W32" t="s">
        <v>0</v>
      </c>
      <c r="X32" t="s">
        <v>0</v>
      </c>
      <c r="Y32" t="s">
        <v>6</v>
      </c>
      <c r="Z32" t="s">
        <v>0</v>
      </c>
      <c r="AA32" s="3"/>
      <c r="AB32" t="s">
        <v>0</v>
      </c>
      <c r="AC32" t="s">
        <v>0</v>
      </c>
      <c r="AD32" t="s">
        <v>0</v>
      </c>
      <c r="AE32" s="4">
        <v>0</v>
      </c>
    </row>
    <row r="33" spans="1:31" ht="14.1" customHeight="1" x14ac:dyDescent="0.2">
      <c r="A33" s="2" t="s">
        <v>0</v>
      </c>
      <c r="B33" t="s">
        <v>1</v>
      </c>
      <c r="C33" t="s">
        <v>119</v>
      </c>
      <c r="D33" s="3">
        <v>44322</v>
      </c>
      <c r="E33" s="3">
        <v>44322</v>
      </c>
      <c r="F33" s="3">
        <v>44325</v>
      </c>
      <c r="G33" t="s">
        <v>7</v>
      </c>
      <c r="H33" t="s">
        <v>2</v>
      </c>
      <c r="I33" s="4">
        <v>-413.23</v>
      </c>
      <c r="J33" t="s">
        <v>3</v>
      </c>
      <c r="K33" t="s">
        <v>4</v>
      </c>
      <c r="L33" s="4">
        <v>-34690.660000000003</v>
      </c>
      <c r="M33" s="4">
        <v>-413.23</v>
      </c>
      <c r="N33" s="10" t="str">
        <f>IF(M33="","",IF(M33&lt;0,-M33&amp;"_"&amp;COUNTIF(M$2:M33,M33),M33&amp;"_"&amp;COUNTIF(M$2:M33,M33)))</f>
        <v>413.23_1</v>
      </c>
      <c r="O33" s="11" t="str">
        <f t="shared" si="0"/>
        <v/>
      </c>
      <c r="P33" t="s">
        <v>120</v>
      </c>
      <c r="Q33" t="s">
        <v>121</v>
      </c>
      <c r="R33" t="s">
        <v>82</v>
      </c>
      <c r="S33" t="s">
        <v>0</v>
      </c>
      <c r="T33" t="s">
        <v>5</v>
      </c>
      <c r="U33" t="s">
        <v>122</v>
      </c>
      <c r="V33" t="s">
        <v>0</v>
      </c>
      <c r="W33" t="s">
        <v>0</v>
      </c>
      <c r="X33" t="s">
        <v>0</v>
      </c>
      <c r="Y33" t="s">
        <v>6</v>
      </c>
      <c r="Z33" t="s">
        <v>0</v>
      </c>
      <c r="AA33" s="3"/>
      <c r="AB33" t="s">
        <v>0</v>
      </c>
      <c r="AC33" t="s">
        <v>0</v>
      </c>
      <c r="AD33" t="s">
        <v>0</v>
      </c>
      <c r="AE33" s="4">
        <v>0</v>
      </c>
    </row>
    <row r="34" spans="1:31" ht="14.1" customHeight="1" x14ac:dyDescent="0.2">
      <c r="A34" s="2" t="s">
        <v>0</v>
      </c>
      <c r="B34" t="s">
        <v>1</v>
      </c>
      <c r="C34" t="s">
        <v>123</v>
      </c>
      <c r="D34" s="3">
        <v>44322</v>
      </c>
      <c r="E34" s="3">
        <v>44322</v>
      </c>
      <c r="F34" s="3">
        <v>44325</v>
      </c>
      <c r="G34" t="s">
        <v>7</v>
      </c>
      <c r="H34" t="s">
        <v>2</v>
      </c>
      <c r="I34" s="4">
        <v>-4892.8999999999996</v>
      </c>
      <c r="J34" t="s">
        <v>3</v>
      </c>
      <c r="K34" t="s">
        <v>4</v>
      </c>
      <c r="L34" s="4">
        <v>-410758.96</v>
      </c>
      <c r="M34" s="4">
        <v>-4892.8999999999996</v>
      </c>
      <c r="N34" s="10" t="str">
        <f>IF(M34="","",IF(M34&lt;0,-M34&amp;"_"&amp;COUNTIF(M$2:M34,M34),M34&amp;"_"&amp;COUNTIF(M$2:M34,M34)))</f>
        <v>4892.9_1</v>
      </c>
      <c r="O34" s="11" t="str">
        <f t="shared" si="0"/>
        <v/>
      </c>
      <c r="P34" t="s">
        <v>124</v>
      </c>
      <c r="Q34" t="s">
        <v>124</v>
      </c>
      <c r="R34" t="s">
        <v>82</v>
      </c>
      <c r="S34" t="s">
        <v>0</v>
      </c>
      <c r="T34" t="s">
        <v>5</v>
      </c>
      <c r="U34" t="s">
        <v>125</v>
      </c>
      <c r="V34" t="s">
        <v>0</v>
      </c>
      <c r="W34" t="s">
        <v>0</v>
      </c>
      <c r="X34" t="s">
        <v>0</v>
      </c>
      <c r="Y34" t="s">
        <v>6</v>
      </c>
      <c r="Z34" t="s">
        <v>0</v>
      </c>
      <c r="AA34" s="3"/>
      <c r="AB34" t="s">
        <v>0</v>
      </c>
      <c r="AC34" t="s">
        <v>0</v>
      </c>
      <c r="AD34" t="s">
        <v>0</v>
      </c>
      <c r="AE34" s="4">
        <v>0</v>
      </c>
    </row>
    <row r="35" spans="1:31" ht="14.1" customHeight="1" x14ac:dyDescent="0.2">
      <c r="A35" s="2" t="s">
        <v>0</v>
      </c>
      <c r="B35" t="s">
        <v>1</v>
      </c>
      <c r="C35" t="s">
        <v>126</v>
      </c>
      <c r="D35" s="3">
        <v>44325</v>
      </c>
      <c r="E35" s="3">
        <v>44325</v>
      </c>
      <c r="F35" s="3">
        <v>44338</v>
      </c>
      <c r="G35" t="s">
        <v>7</v>
      </c>
      <c r="H35" t="s">
        <v>2</v>
      </c>
      <c r="I35" s="4">
        <v>-16681.82</v>
      </c>
      <c r="J35" t="s">
        <v>3</v>
      </c>
      <c r="K35" t="s">
        <v>4</v>
      </c>
      <c r="L35" s="4">
        <v>-1400438.79</v>
      </c>
      <c r="M35" s="4">
        <v>-16681.82</v>
      </c>
      <c r="N35" s="10" t="str">
        <f>IF(M35="","",IF(M35&lt;0,-M35&amp;"_"&amp;COUNTIF(M$2:M35,M35),M35&amp;"_"&amp;COUNTIF(M$2:M35,M35)))</f>
        <v>16681.82_1</v>
      </c>
      <c r="O35" s="11" t="str">
        <f t="shared" si="0"/>
        <v/>
      </c>
      <c r="P35" t="s">
        <v>127</v>
      </c>
      <c r="Q35" t="s">
        <v>128</v>
      </c>
      <c r="R35" t="s">
        <v>129</v>
      </c>
      <c r="S35" t="s">
        <v>0</v>
      </c>
      <c r="T35" t="s">
        <v>5</v>
      </c>
      <c r="U35" t="s">
        <v>130</v>
      </c>
      <c r="V35" t="s">
        <v>0</v>
      </c>
      <c r="W35" t="s">
        <v>0</v>
      </c>
      <c r="X35" t="s">
        <v>0</v>
      </c>
      <c r="Y35" t="s">
        <v>6</v>
      </c>
      <c r="Z35" t="s">
        <v>0</v>
      </c>
      <c r="AA35" s="3"/>
      <c r="AB35" t="s">
        <v>0</v>
      </c>
      <c r="AC35" t="s">
        <v>0</v>
      </c>
      <c r="AD35" t="s">
        <v>0</v>
      </c>
      <c r="AE35" s="4">
        <v>0</v>
      </c>
    </row>
    <row r="36" spans="1:31" ht="14.1" customHeight="1" x14ac:dyDescent="0.2">
      <c r="A36" s="2" t="s">
        <v>0</v>
      </c>
      <c r="B36" t="s">
        <v>1</v>
      </c>
      <c r="C36" t="s">
        <v>131</v>
      </c>
      <c r="D36" s="3">
        <v>44325</v>
      </c>
      <c r="E36" s="3">
        <v>44325</v>
      </c>
      <c r="F36" s="3">
        <v>44338</v>
      </c>
      <c r="G36" t="s">
        <v>7</v>
      </c>
      <c r="H36" t="s">
        <v>2</v>
      </c>
      <c r="I36" s="4">
        <v>-50517.93</v>
      </c>
      <c r="J36" t="s">
        <v>3</v>
      </c>
      <c r="K36" t="s">
        <v>4</v>
      </c>
      <c r="L36" s="4">
        <v>-4240980.22</v>
      </c>
      <c r="M36" s="4">
        <v>-50517.93</v>
      </c>
      <c r="N36" s="10" t="str">
        <f>IF(M36="","",IF(M36&lt;0,-M36&amp;"_"&amp;COUNTIF(M$2:M36,M36),M36&amp;"_"&amp;COUNTIF(M$2:M36,M36)))</f>
        <v>50517.93_1</v>
      </c>
      <c r="O36" s="11" t="str">
        <f t="shared" si="0"/>
        <v/>
      </c>
      <c r="P36" t="s">
        <v>132</v>
      </c>
      <c r="Q36" t="s">
        <v>132</v>
      </c>
      <c r="R36" t="s">
        <v>15</v>
      </c>
      <c r="S36" t="s">
        <v>0</v>
      </c>
      <c r="T36" t="s">
        <v>5</v>
      </c>
      <c r="U36" t="s">
        <v>133</v>
      </c>
      <c r="V36" t="s">
        <v>0</v>
      </c>
      <c r="W36" t="s">
        <v>0</v>
      </c>
      <c r="X36" t="s">
        <v>0</v>
      </c>
      <c r="Y36" t="s">
        <v>6</v>
      </c>
      <c r="Z36" t="s">
        <v>0</v>
      </c>
      <c r="AA36" s="3"/>
      <c r="AB36" t="s">
        <v>0</v>
      </c>
      <c r="AC36" t="s">
        <v>0</v>
      </c>
      <c r="AD36" t="s">
        <v>0</v>
      </c>
      <c r="AE36" s="4">
        <v>0</v>
      </c>
    </row>
    <row r="37" spans="1:31" ht="14.1" customHeight="1" x14ac:dyDescent="0.2">
      <c r="A37" s="2" t="s">
        <v>0</v>
      </c>
      <c r="B37" t="s">
        <v>1</v>
      </c>
      <c r="C37" t="s">
        <v>134</v>
      </c>
      <c r="D37" s="3">
        <v>44325</v>
      </c>
      <c r="E37" s="3">
        <v>44325</v>
      </c>
      <c r="F37" s="3">
        <v>44338</v>
      </c>
      <c r="G37" t="s">
        <v>7</v>
      </c>
      <c r="H37" t="s">
        <v>2</v>
      </c>
      <c r="I37" s="4">
        <v>-37079.730000000003</v>
      </c>
      <c r="J37" t="s">
        <v>3</v>
      </c>
      <c r="K37" t="s">
        <v>4</v>
      </c>
      <c r="L37" s="4">
        <v>-3112843.33</v>
      </c>
      <c r="M37" s="4">
        <v>-37079.730000000003</v>
      </c>
      <c r="N37" s="10" t="str">
        <f>IF(M37="","",IF(M37&lt;0,-M37&amp;"_"&amp;COUNTIF(M$2:M37,M37),M37&amp;"_"&amp;COUNTIF(M$2:M37,M37)))</f>
        <v>37079.73_1</v>
      </c>
      <c r="O37" s="11" t="str">
        <f t="shared" si="0"/>
        <v/>
      </c>
      <c r="P37" t="s">
        <v>135</v>
      </c>
      <c r="Q37" t="s">
        <v>135</v>
      </c>
      <c r="R37" t="s">
        <v>15</v>
      </c>
      <c r="S37" t="s">
        <v>0</v>
      </c>
      <c r="T37" t="s">
        <v>5</v>
      </c>
      <c r="U37" t="s">
        <v>136</v>
      </c>
      <c r="V37" t="s">
        <v>0</v>
      </c>
      <c r="W37" t="s">
        <v>0</v>
      </c>
      <c r="X37" t="s">
        <v>0</v>
      </c>
      <c r="Y37" t="s">
        <v>6</v>
      </c>
      <c r="Z37" t="s">
        <v>0</v>
      </c>
      <c r="AA37" s="3"/>
      <c r="AB37" t="s">
        <v>0</v>
      </c>
      <c r="AC37" t="s">
        <v>0</v>
      </c>
      <c r="AD37" t="s">
        <v>0</v>
      </c>
      <c r="AE37" s="4">
        <v>0</v>
      </c>
    </row>
    <row r="38" spans="1:31" ht="14.1" customHeight="1" x14ac:dyDescent="0.2">
      <c r="A38" s="2" t="s">
        <v>0</v>
      </c>
      <c r="B38" t="s">
        <v>1</v>
      </c>
      <c r="C38" t="s">
        <v>137</v>
      </c>
      <c r="D38" s="3">
        <v>44327</v>
      </c>
      <c r="E38" s="3">
        <v>44327</v>
      </c>
      <c r="F38" s="3">
        <v>44338</v>
      </c>
      <c r="G38" t="s">
        <v>7</v>
      </c>
      <c r="H38" t="s">
        <v>2</v>
      </c>
      <c r="I38" s="4">
        <v>-119581.61</v>
      </c>
      <c r="J38" t="s">
        <v>3</v>
      </c>
      <c r="K38" t="s">
        <v>4</v>
      </c>
      <c r="L38" s="4">
        <v>-10038876.16</v>
      </c>
      <c r="M38" s="4">
        <v>-119581.61</v>
      </c>
      <c r="N38" s="10" t="str">
        <f>IF(M38="","",IF(M38&lt;0,-M38&amp;"_"&amp;COUNTIF(M$2:M38,M38),M38&amp;"_"&amp;COUNTIF(M$2:M38,M38)))</f>
        <v>119581.61_1</v>
      </c>
      <c r="O38" s="11" t="str">
        <f t="shared" si="0"/>
        <v/>
      </c>
      <c r="P38" t="s">
        <v>138</v>
      </c>
      <c r="Q38" t="s">
        <v>138</v>
      </c>
      <c r="R38" t="s">
        <v>15</v>
      </c>
      <c r="S38" t="s">
        <v>0</v>
      </c>
      <c r="T38" t="s">
        <v>5</v>
      </c>
      <c r="U38" t="s">
        <v>139</v>
      </c>
      <c r="V38" t="s">
        <v>0</v>
      </c>
      <c r="W38" t="s">
        <v>0</v>
      </c>
      <c r="X38" t="s">
        <v>0</v>
      </c>
      <c r="Y38" t="s">
        <v>6</v>
      </c>
      <c r="Z38" t="s">
        <v>0</v>
      </c>
      <c r="AA38" s="3"/>
      <c r="AB38" t="s">
        <v>0</v>
      </c>
      <c r="AC38" t="s">
        <v>0</v>
      </c>
      <c r="AD38" t="s">
        <v>0</v>
      </c>
      <c r="AE38" s="4">
        <v>0</v>
      </c>
    </row>
    <row r="39" spans="1:31" ht="14.1" customHeight="1" x14ac:dyDescent="0.2">
      <c r="A39" s="2" t="s">
        <v>0</v>
      </c>
      <c r="B39" t="s">
        <v>1</v>
      </c>
      <c r="C39" t="s">
        <v>140</v>
      </c>
      <c r="D39" s="3">
        <v>44334</v>
      </c>
      <c r="E39" s="3">
        <v>44334</v>
      </c>
      <c r="F39" s="3">
        <v>44338</v>
      </c>
      <c r="G39" t="s">
        <v>7</v>
      </c>
      <c r="H39" t="s">
        <v>2</v>
      </c>
      <c r="I39" s="4">
        <v>-81644</v>
      </c>
      <c r="J39" t="s">
        <v>3</v>
      </c>
      <c r="K39" t="s">
        <v>4</v>
      </c>
      <c r="L39" s="4">
        <v>-6854013.7999999998</v>
      </c>
      <c r="M39" s="4">
        <v>-81644</v>
      </c>
      <c r="N39" s="10" t="str">
        <f>IF(M39="","",IF(M39&lt;0,-M39&amp;"_"&amp;COUNTIF(M$2:M39,M39),M39&amp;"_"&amp;COUNTIF(M$2:M39,M39)))</f>
        <v>81644_1</v>
      </c>
      <c r="O39" s="11" t="str">
        <f t="shared" si="0"/>
        <v/>
      </c>
      <c r="P39" t="s">
        <v>141</v>
      </c>
      <c r="Q39" t="s">
        <v>141</v>
      </c>
      <c r="R39" t="s">
        <v>15</v>
      </c>
      <c r="S39" t="s">
        <v>0</v>
      </c>
      <c r="T39" t="s">
        <v>5</v>
      </c>
      <c r="U39" t="s">
        <v>142</v>
      </c>
      <c r="V39" t="s">
        <v>0</v>
      </c>
      <c r="W39" t="s">
        <v>0</v>
      </c>
      <c r="X39" t="s">
        <v>0</v>
      </c>
      <c r="Y39" t="s">
        <v>6</v>
      </c>
      <c r="Z39" t="s">
        <v>0</v>
      </c>
      <c r="AA39" s="3"/>
      <c r="AB39" t="s">
        <v>0</v>
      </c>
      <c r="AC39" t="s">
        <v>0</v>
      </c>
      <c r="AD39" t="s">
        <v>0</v>
      </c>
      <c r="AE39" s="4">
        <v>0</v>
      </c>
    </row>
    <row r="40" spans="1:31" ht="14.1" customHeight="1" x14ac:dyDescent="0.2">
      <c r="A40" s="2" t="s">
        <v>0</v>
      </c>
      <c r="B40" t="s">
        <v>1</v>
      </c>
      <c r="C40" t="s">
        <v>143</v>
      </c>
      <c r="D40" s="3">
        <v>44334</v>
      </c>
      <c r="E40" s="3">
        <v>44334</v>
      </c>
      <c r="F40" s="3">
        <v>44338</v>
      </c>
      <c r="G40" t="s">
        <v>7</v>
      </c>
      <c r="H40" t="s">
        <v>2</v>
      </c>
      <c r="I40" s="4">
        <v>-163410.26999999999</v>
      </c>
      <c r="J40" t="s">
        <v>3</v>
      </c>
      <c r="K40" t="s">
        <v>4</v>
      </c>
      <c r="L40" s="4">
        <v>-13718292.17</v>
      </c>
      <c r="M40" s="4">
        <v>-163410.26999999999</v>
      </c>
      <c r="N40" s="10" t="str">
        <f>IF(M40="","",IF(M40&lt;0,-M40&amp;"_"&amp;COUNTIF(M$2:M40,M40),M40&amp;"_"&amp;COUNTIF(M$2:M40,M40)))</f>
        <v>163410.27_1</v>
      </c>
      <c r="O40" s="11" t="str">
        <f t="shared" si="0"/>
        <v/>
      </c>
      <c r="P40" t="s">
        <v>144</v>
      </c>
      <c r="Q40" t="s">
        <v>144</v>
      </c>
      <c r="R40" t="s">
        <v>15</v>
      </c>
      <c r="S40" t="s">
        <v>0</v>
      </c>
      <c r="T40" t="s">
        <v>5</v>
      </c>
      <c r="U40" t="s">
        <v>145</v>
      </c>
      <c r="V40" t="s">
        <v>0</v>
      </c>
      <c r="W40" t="s">
        <v>0</v>
      </c>
      <c r="X40" t="s">
        <v>0</v>
      </c>
      <c r="Y40" t="s">
        <v>6</v>
      </c>
      <c r="Z40" t="s">
        <v>0</v>
      </c>
      <c r="AA40" s="3"/>
      <c r="AB40" t="s">
        <v>0</v>
      </c>
      <c r="AC40" t="s">
        <v>0</v>
      </c>
      <c r="AD40" t="s">
        <v>0</v>
      </c>
      <c r="AE40" s="4">
        <v>0</v>
      </c>
    </row>
    <row r="41" spans="1:31" ht="14.1" customHeight="1" x14ac:dyDescent="0.2">
      <c r="A41" s="2" t="s">
        <v>0</v>
      </c>
      <c r="B41" t="s">
        <v>1</v>
      </c>
      <c r="C41" t="s">
        <v>146</v>
      </c>
      <c r="D41" s="3">
        <v>44334</v>
      </c>
      <c r="E41" s="3">
        <v>44334</v>
      </c>
      <c r="F41" s="3">
        <v>44338</v>
      </c>
      <c r="G41" t="s">
        <v>7</v>
      </c>
      <c r="H41" t="s">
        <v>2</v>
      </c>
      <c r="I41" s="4">
        <v>-1540.67</v>
      </c>
      <c r="J41" t="s">
        <v>3</v>
      </c>
      <c r="K41" t="s">
        <v>4</v>
      </c>
      <c r="L41" s="4">
        <v>-129339.25</v>
      </c>
      <c r="M41" s="4">
        <v>-1540.67</v>
      </c>
      <c r="N41" s="10" t="str">
        <f>IF(M41="","",IF(M41&lt;0,-M41&amp;"_"&amp;COUNTIF(M$2:M41,M41),M41&amp;"_"&amp;COUNTIF(M$2:M41,M41)))</f>
        <v>1540.67_1</v>
      </c>
      <c r="O41" s="11" t="str">
        <f t="shared" si="0"/>
        <v/>
      </c>
      <c r="P41" t="s">
        <v>147</v>
      </c>
      <c r="Q41" t="s">
        <v>147</v>
      </c>
      <c r="R41" t="s">
        <v>15</v>
      </c>
      <c r="S41" t="s">
        <v>0</v>
      </c>
      <c r="T41" t="s">
        <v>5</v>
      </c>
      <c r="U41" t="s">
        <v>148</v>
      </c>
      <c r="V41" t="s">
        <v>0</v>
      </c>
      <c r="W41" t="s">
        <v>0</v>
      </c>
      <c r="X41" t="s">
        <v>0</v>
      </c>
      <c r="Y41" t="s">
        <v>6</v>
      </c>
      <c r="Z41" t="s">
        <v>0</v>
      </c>
      <c r="AA41" s="3"/>
      <c r="AB41" t="s">
        <v>0</v>
      </c>
      <c r="AC41" t="s">
        <v>0</v>
      </c>
      <c r="AD41" t="s">
        <v>0</v>
      </c>
      <c r="AE41" s="4">
        <v>0</v>
      </c>
    </row>
    <row r="42" spans="1:31" ht="14.1" customHeight="1" x14ac:dyDescent="0.2">
      <c r="A42" s="2" t="s">
        <v>0</v>
      </c>
      <c r="B42" t="s">
        <v>1</v>
      </c>
      <c r="C42" t="s">
        <v>149</v>
      </c>
      <c r="D42" s="3">
        <v>44334</v>
      </c>
      <c r="E42" s="3">
        <v>44334</v>
      </c>
      <c r="F42" s="3">
        <v>44338</v>
      </c>
      <c r="G42" t="s">
        <v>7</v>
      </c>
      <c r="H42" t="s">
        <v>2</v>
      </c>
      <c r="I42" s="4">
        <v>-16730.25</v>
      </c>
      <c r="J42" t="s">
        <v>3</v>
      </c>
      <c r="K42" t="s">
        <v>4</v>
      </c>
      <c r="L42" s="4">
        <v>-1404504.49</v>
      </c>
      <c r="M42" s="4">
        <v>-16730.25</v>
      </c>
      <c r="N42" s="10" t="str">
        <f>IF(M42="","",IF(M42&lt;0,-M42&amp;"_"&amp;COUNTIF(M$2:M42,M42),M42&amp;"_"&amp;COUNTIF(M$2:M42,M42)))</f>
        <v>16730.25_1</v>
      </c>
      <c r="O42" s="11" t="str">
        <f t="shared" si="0"/>
        <v/>
      </c>
      <c r="P42" t="s">
        <v>150</v>
      </c>
      <c r="Q42" t="s">
        <v>150</v>
      </c>
      <c r="R42" t="s">
        <v>15</v>
      </c>
      <c r="S42" t="s">
        <v>0</v>
      </c>
      <c r="T42" t="s">
        <v>5</v>
      </c>
      <c r="U42" t="s">
        <v>151</v>
      </c>
      <c r="V42" t="s">
        <v>0</v>
      </c>
      <c r="W42" t="s">
        <v>0</v>
      </c>
      <c r="X42" t="s">
        <v>0</v>
      </c>
      <c r="Y42" t="s">
        <v>6</v>
      </c>
      <c r="Z42" t="s">
        <v>0</v>
      </c>
      <c r="AA42" s="3"/>
      <c r="AB42" t="s">
        <v>0</v>
      </c>
      <c r="AC42" t="s">
        <v>0</v>
      </c>
      <c r="AD42" t="s">
        <v>0</v>
      </c>
      <c r="AE42" s="4">
        <v>0</v>
      </c>
    </row>
    <row r="43" spans="1:31" ht="14.1" customHeight="1" x14ac:dyDescent="0.2">
      <c r="A43" s="2" t="s">
        <v>0</v>
      </c>
      <c r="B43" t="s">
        <v>1</v>
      </c>
      <c r="C43" t="s">
        <v>152</v>
      </c>
      <c r="D43" s="3">
        <v>44334</v>
      </c>
      <c r="E43" s="3">
        <v>44334</v>
      </c>
      <c r="F43" s="3">
        <v>44338</v>
      </c>
      <c r="G43" t="s">
        <v>7</v>
      </c>
      <c r="H43" t="s">
        <v>2</v>
      </c>
      <c r="I43" s="4">
        <v>-21739.88</v>
      </c>
      <c r="J43" t="s">
        <v>3</v>
      </c>
      <c r="K43" t="s">
        <v>4</v>
      </c>
      <c r="L43" s="4">
        <v>-1825062.93</v>
      </c>
      <c r="M43" s="4">
        <v>-21739.88</v>
      </c>
      <c r="N43" s="10" t="str">
        <f>IF(M43="","",IF(M43&lt;0,-M43&amp;"_"&amp;COUNTIF(M$2:M43,M43),M43&amp;"_"&amp;COUNTIF(M$2:M43,M43)))</f>
        <v>21739.88_1</v>
      </c>
      <c r="O43" s="11" t="str">
        <f t="shared" si="0"/>
        <v/>
      </c>
      <c r="P43" t="s">
        <v>153</v>
      </c>
      <c r="Q43" t="s">
        <v>153</v>
      </c>
      <c r="R43" t="s">
        <v>15</v>
      </c>
      <c r="S43" t="s">
        <v>0</v>
      </c>
      <c r="T43" t="s">
        <v>5</v>
      </c>
      <c r="U43" t="s">
        <v>154</v>
      </c>
      <c r="V43" t="s">
        <v>0</v>
      </c>
      <c r="W43" t="s">
        <v>0</v>
      </c>
      <c r="X43" t="s">
        <v>0</v>
      </c>
      <c r="Y43" t="s">
        <v>6</v>
      </c>
      <c r="Z43" t="s">
        <v>0</v>
      </c>
      <c r="AA43" s="3"/>
      <c r="AB43" t="s">
        <v>0</v>
      </c>
      <c r="AC43" t="s">
        <v>0</v>
      </c>
      <c r="AD43" t="s">
        <v>0</v>
      </c>
      <c r="AE43" s="4">
        <v>0</v>
      </c>
    </row>
    <row r="44" spans="1:31" ht="14.1" customHeight="1" x14ac:dyDescent="0.2">
      <c r="A44" s="2" t="s">
        <v>0</v>
      </c>
      <c r="B44" t="s">
        <v>1</v>
      </c>
      <c r="C44" t="s">
        <v>155</v>
      </c>
      <c r="D44" s="3">
        <v>44336</v>
      </c>
      <c r="E44" s="3">
        <v>44336</v>
      </c>
      <c r="F44" s="3">
        <v>44338</v>
      </c>
      <c r="G44" t="s">
        <v>7</v>
      </c>
      <c r="H44" t="s">
        <v>2</v>
      </c>
      <c r="I44" s="4">
        <v>-3525.73</v>
      </c>
      <c r="J44" t="s">
        <v>3</v>
      </c>
      <c r="K44" t="s">
        <v>4</v>
      </c>
      <c r="L44" s="4">
        <v>-295985.03000000003</v>
      </c>
      <c r="M44" s="4">
        <v>-3525.73</v>
      </c>
      <c r="N44" s="10" t="str">
        <f>IF(M44="","",IF(M44&lt;0,-M44&amp;"_"&amp;COUNTIF(M$2:M44,M44),M44&amp;"_"&amp;COUNTIF(M$2:M44,M44)))</f>
        <v>3525.73_1</v>
      </c>
      <c r="O44" s="11" t="str">
        <f t="shared" si="0"/>
        <v/>
      </c>
      <c r="P44" t="s">
        <v>156</v>
      </c>
      <c r="Q44" t="s">
        <v>156</v>
      </c>
      <c r="R44" t="s">
        <v>15</v>
      </c>
      <c r="S44" t="s">
        <v>0</v>
      </c>
      <c r="T44" t="s">
        <v>5</v>
      </c>
      <c r="U44" t="s">
        <v>157</v>
      </c>
      <c r="V44" t="s">
        <v>0</v>
      </c>
      <c r="W44" t="s">
        <v>0</v>
      </c>
      <c r="X44" t="s">
        <v>0</v>
      </c>
      <c r="Y44" t="s">
        <v>6</v>
      </c>
      <c r="Z44" t="s">
        <v>0</v>
      </c>
      <c r="AA44" s="3"/>
      <c r="AB44" t="s">
        <v>0</v>
      </c>
      <c r="AC44" t="s">
        <v>0</v>
      </c>
      <c r="AD44" t="s">
        <v>0</v>
      </c>
      <c r="AE44" s="4">
        <v>0</v>
      </c>
    </row>
    <row r="45" spans="1:31" ht="14.1" customHeight="1" x14ac:dyDescent="0.2">
      <c r="A45" s="2" t="s">
        <v>0</v>
      </c>
      <c r="B45" t="s">
        <v>1</v>
      </c>
      <c r="C45" t="s">
        <v>158</v>
      </c>
      <c r="D45" s="3">
        <v>44343</v>
      </c>
      <c r="E45" s="3">
        <v>44343</v>
      </c>
      <c r="F45" s="3">
        <v>44345</v>
      </c>
      <c r="G45" t="s">
        <v>7</v>
      </c>
      <c r="H45" t="s">
        <v>2</v>
      </c>
      <c r="I45" s="4">
        <v>-8580.7800000000007</v>
      </c>
      <c r="J45" t="s">
        <v>3</v>
      </c>
      <c r="K45" t="s">
        <v>4</v>
      </c>
      <c r="L45" s="4">
        <v>-720356.48</v>
      </c>
      <c r="M45" s="4">
        <v>-8580.7800000000007</v>
      </c>
      <c r="N45" s="10" t="str">
        <f>IF(M45="","",IF(M45&lt;0,-M45&amp;"_"&amp;COUNTIF(M$2:M45,M45),M45&amp;"_"&amp;COUNTIF(M$2:M45,M45)))</f>
        <v>8580.78_1</v>
      </c>
      <c r="O45" s="11" t="str">
        <f t="shared" si="0"/>
        <v/>
      </c>
      <c r="P45" t="s">
        <v>159</v>
      </c>
      <c r="Q45" t="s">
        <v>117</v>
      </c>
      <c r="R45" t="s">
        <v>10</v>
      </c>
      <c r="S45" t="s">
        <v>0</v>
      </c>
      <c r="T45" t="s">
        <v>5</v>
      </c>
      <c r="U45" t="s">
        <v>160</v>
      </c>
      <c r="V45" t="s">
        <v>0</v>
      </c>
      <c r="W45" t="s">
        <v>0</v>
      </c>
      <c r="X45" t="s">
        <v>0</v>
      </c>
      <c r="Y45" t="s">
        <v>6</v>
      </c>
      <c r="Z45" t="s">
        <v>0</v>
      </c>
      <c r="AA45" s="3"/>
      <c r="AB45" t="s">
        <v>0</v>
      </c>
      <c r="AC45" t="s">
        <v>0</v>
      </c>
      <c r="AD45" t="s">
        <v>0</v>
      </c>
      <c r="AE45" s="4">
        <v>0</v>
      </c>
    </row>
    <row r="46" spans="1:31" ht="14.1" customHeight="1" x14ac:dyDescent="0.2">
      <c r="A46" s="2" t="s">
        <v>0</v>
      </c>
      <c r="B46" t="s">
        <v>1</v>
      </c>
      <c r="C46" t="s">
        <v>161</v>
      </c>
      <c r="D46" s="3">
        <v>44343</v>
      </c>
      <c r="E46" s="3">
        <v>44343</v>
      </c>
      <c r="F46" s="3">
        <v>44345</v>
      </c>
      <c r="G46" t="s">
        <v>7</v>
      </c>
      <c r="H46" t="s">
        <v>2</v>
      </c>
      <c r="I46" s="4">
        <v>-38587.449999999997</v>
      </c>
      <c r="J46" t="s">
        <v>3</v>
      </c>
      <c r="K46" t="s">
        <v>4</v>
      </c>
      <c r="L46" s="4">
        <v>-3239416.43</v>
      </c>
      <c r="M46" s="4">
        <v>-38587.449999999997</v>
      </c>
      <c r="N46" s="10" t="str">
        <f>IF(M46="","",IF(M46&lt;0,-M46&amp;"_"&amp;COUNTIF(M$2:M46,M46),M46&amp;"_"&amp;COUNTIF(M$2:M46,M46)))</f>
        <v>38587.45_1</v>
      </c>
      <c r="O46" s="11" t="str">
        <f t="shared" si="0"/>
        <v/>
      </c>
      <c r="P46" t="s">
        <v>162</v>
      </c>
      <c r="Q46" t="s">
        <v>162</v>
      </c>
      <c r="R46" t="s">
        <v>10</v>
      </c>
      <c r="S46" t="s">
        <v>0</v>
      </c>
      <c r="T46" t="s">
        <v>5</v>
      </c>
      <c r="U46" t="s">
        <v>163</v>
      </c>
      <c r="V46" t="s">
        <v>0</v>
      </c>
      <c r="W46" t="s">
        <v>0</v>
      </c>
      <c r="X46" t="s">
        <v>0</v>
      </c>
      <c r="Y46" t="s">
        <v>6</v>
      </c>
      <c r="Z46" t="s">
        <v>0</v>
      </c>
      <c r="AA46" s="3"/>
      <c r="AB46" t="s">
        <v>0</v>
      </c>
      <c r="AC46" t="s">
        <v>0</v>
      </c>
      <c r="AD46" t="s">
        <v>0</v>
      </c>
      <c r="AE46" s="4">
        <v>0</v>
      </c>
    </row>
    <row r="47" spans="1:31" ht="14.1" customHeight="1" x14ac:dyDescent="0.2">
      <c r="A47" s="2" t="s">
        <v>0</v>
      </c>
      <c r="B47" t="s">
        <v>1</v>
      </c>
      <c r="C47" t="s">
        <v>164</v>
      </c>
      <c r="D47" s="3">
        <v>44347</v>
      </c>
      <c r="E47" s="3">
        <v>44347</v>
      </c>
      <c r="F47" s="3">
        <v>44348</v>
      </c>
      <c r="G47" t="s">
        <v>7</v>
      </c>
      <c r="H47" t="s">
        <v>2</v>
      </c>
      <c r="I47" s="4">
        <v>-10533.96</v>
      </c>
      <c r="J47" t="s">
        <v>3</v>
      </c>
      <c r="K47" t="s">
        <v>4</v>
      </c>
      <c r="L47" s="4">
        <v>-884325.94</v>
      </c>
      <c r="M47" s="4">
        <v>-10533.96</v>
      </c>
      <c r="N47" s="10" t="str">
        <f>IF(M47="","",IF(M47&lt;0,-M47&amp;"_"&amp;COUNTIF(M$2:M47,M47),M47&amp;"_"&amp;COUNTIF(M$2:M47,M47)))</f>
        <v>10533.96_1</v>
      </c>
      <c r="O47" s="11" t="str">
        <f t="shared" si="0"/>
        <v/>
      </c>
      <c r="P47" t="s">
        <v>165</v>
      </c>
      <c r="Q47" t="s">
        <v>117</v>
      </c>
      <c r="R47" t="s">
        <v>10</v>
      </c>
      <c r="S47" t="s">
        <v>0</v>
      </c>
      <c r="T47" t="s">
        <v>5</v>
      </c>
      <c r="U47" t="s">
        <v>166</v>
      </c>
      <c r="V47" t="s">
        <v>0</v>
      </c>
      <c r="W47" t="s">
        <v>0</v>
      </c>
      <c r="X47" t="s">
        <v>0</v>
      </c>
      <c r="Y47" t="s">
        <v>6</v>
      </c>
      <c r="Z47" t="s">
        <v>0</v>
      </c>
      <c r="AA47" s="3"/>
      <c r="AB47" t="s">
        <v>0</v>
      </c>
      <c r="AC47" t="s">
        <v>0</v>
      </c>
      <c r="AD47" t="s">
        <v>0</v>
      </c>
      <c r="AE47" s="4">
        <v>0</v>
      </c>
    </row>
    <row r="48" spans="1:31" ht="14.1" customHeight="1" x14ac:dyDescent="0.2">
      <c r="A48" s="2" t="s">
        <v>0</v>
      </c>
      <c r="B48" t="s">
        <v>1</v>
      </c>
      <c r="C48" t="s">
        <v>167</v>
      </c>
      <c r="D48" s="3">
        <v>44347</v>
      </c>
      <c r="E48" s="3">
        <v>44347</v>
      </c>
      <c r="F48" s="3">
        <v>44348</v>
      </c>
      <c r="G48" t="s">
        <v>7</v>
      </c>
      <c r="H48" t="s">
        <v>2</v>
      </c>
      <c r="I48" s="4">
        <v>-5048.54</v>
      </c>
      <c r="J48" t="s">
        <v>3</v>
      </c>
      <c r="K48" t="s">
        <v>4</v>
      </c>
      <c r="L48" s="4">
        <v>-423824.93</v>
      </c>
      <c r="M48" s="4">
        <v>-5048.54</v>
      </c>
      <c r="N48" s="10" t="str">
        <f>IF(M48="","",IF(M48&lt;0,-M48&amp;"_"&amp;COUNTIF(M$2:M48,M48),M48&amp;"_"&amp;COUNTIF(M$2:M48,M48)))</f>
        <v>5048.54_1</v>
      </c>
      <c r="O48" s="11" t="str">
        <f t="shared" si="0"/>
        <v/>
      </c>
      <c r="P48" t="s">
        <v>168</v>
      </c>
      <c r="Q48" t="s">
        <v>117</v>
      </c>
      <c r="R48" t="s">
        <v>10</v>
      </c>
      <c r="S48" t="s">
        <v>0</v>
      </c>
      <c r="T48" t="s">
        <v>5</v>
      </c>
      <c r="U48" t="s">
        <v>169</v>
      </c>
      <c r="V48" t="s">
        <v>0</v>
      </c>
      <c r="W48" t="s">
        <v>0</v>
      </c>
      <c r="X48" t="s">
        <v>0</v>
      </c>
      <c r="Y48" t="s">
        <v>6</v>
      </c>
      <c r="Z48" t="s">
        <v>0</v>
      </c>
      <c r="AA48" s="3"/>
      <c r="AB48" t="s">
        <v>0</v>
      </c>
      <c r="AC48" t="s">
        <v>0</v>
      </c>
      <c r="AD48" t="s">
        <v>0</v>
      </c>
      <c r="AE48" s="4">
        <v>0</v>
      </c>
    </row>
    <row r="49" spans="1:31" ht="14.1" customHeight="1" x14ac:dyDescent="0.2">
      <c r="A49" s="2" t="s">
        <v>0</v>
      </c>
      <c r="B49" t="s">
        <v>1</v>
      </c>
      <c r="C49" t="s">
        <v>170</v>
      </c>
      <c r="D49" s="3">
        <v>44347</v>
      </c>
      <c r="E49" s="3">
        <v>44347</v>
      </c>
      <c r="F49" s="3">
        <v>44348</v>
      </c>
      <c r="G49" t="s">
        <v>7</v>
      </c>
      <c r="H49" t="s">
        <v>2</v>
      </c>
      <c r="I49" s="4">
        <v>-66528.639999999999</v>
      </c>
      <c r="J49" t="s">
        <v>3</v>
      </c>
      <c r="K49" t="s">
        <v>4</v>
      </c>
      <c r="L49" s="4">
        <v>-5585079.3300000001</v>
      </c>
      <c r="M49" s="4">
        <v>-66528.639999999999</v>
      </c>
      <c r="N49" s="10" t="str">
        <f>IF(M49="","",IF(M49&lt;0,-M49&amp;"_"&amp;COUNTIF(M$2:M49,M49),M49&amp;"_"&amp;COUNTIF(M$2:M49,M49)))</f>
        <v>66528.64_1</v>
      </c>
      <c r="O49" s="11" t="str">
        <f t="shared" si="0"/>
        <v/>
      </c>
      <c r="P49" t="s">
        <v>171</v>
      </c>
      <c r="Q49" t="s">
        <v>172</v>
      </c>
      <c r="R49" t="s">
        <v>10</v>
      </c>
      <c r="S49" t="s">
        <v>0</v>
      </c>
      <c r="T49" t="s">
        <v>5</v>
      </c>
      <c r="U49" t="s">
        <v>173</v>
      </c>
      <c r="V49" t="s">
        <v>0</v>
      </c>
      <c r="W49" t="s">
        <v>0</v>
      </c>
      <c r="X49" t="s">
        <v>0</v>
      </c>
      <c r="Y49" t="s">
        <v>6</v>
      </c>
      <c r="Z49" t="s">
        <v>0</v>
      </c>
      <c r="AA49" s="3"/>
      <c r="AB49" t="s">
        <v>0</v>
      </c>
      <c r="AC49" t="s">
        <v>0</v>
      </c>
      <c r="AD49" t="s">
        <v>0</v>
      </c>
      <c r="AE49" s="4">
        <v>0</v>
      </c>
    </row>
    <row r="50" spans="1:31" ht="14.1" customHeight="1" x14ac:dyDescent="0.2">
      <c r="A50" s="2" t="s">
        <v>0</v>
      </c>
      <c r="B50" t="s">
        <v>1</v>
      </c>
      <c r="C50" t="s">
        <v>174</v>
      </c>
      <c r="D50" s="3">
        <v>44347</v>
      </c>
      <c r="E50" s="3">
        <v>44347</v>
      </c>
      <c r="F50" s="3">
        <v>44348</v>
      </c>
      <c r="G50" t="s">
        <v>7</v>
      </c>
      <c r="H50" t="s">
        <v>2</v>
      </c>
      <c r="I50" s="4">
        <v>-32825.4</v>
      </c>
      <c r="J50" t="s">
        <v>3</v>
      </c>
      <c r="K50" t="s">
        <v>4</v>
      </c>
      <c r="L50" s="4">
        <v>-2755692.33</v>
      </c>
      <c r="M50" s="4">
        <v>-32825.4</v>
      </c>
      <c r="N50" s="10" t="str">
        <f>IF(M50="","",IF(M50&lt;0,-M50&amp;"_"&amp;COUNTIF(M$2:M50,M50),M50&amp;"_"&amp;COUNTIF(M$2:M50,M50)))</f>
        <v>32825.4_1</v>
      </c>
      <c r="O50" s="11" t="str">
        <f t="shared" si="0"/>
        <v/>
      </c>
      <c r="P50" t="s">
        <v>175</v>
      </c>
      <c r="Q50" t="s">
        <v>117</v>
      </c>
      <c r="R50" t="s">
        <v>176</v>
      </c>
      <c r="S50" t="s">
        <v>0</v>
      </c>
      <c r="T50" t="s">
        <v>5</v>
      </c>
      <c r="U50" t="s">
        <v>177</v>
      </c>
      <c r="V50" t="s">
        <v>0</v>
      </c>
      <c r="W50" t="s">
        <v>0</v>
      </c>
      <c r="X50" t="s">
        <v>0</v>
      </c>
      <c r="Y50" t="s">
        <v>6</v>
      </c>
      <c r="Z50" t="s">
        <v>0</v>
      </c>
      <c r="AA50" s="3"/>
      <c r="AB50" t="s">
        <v>0</v>
      </c>
      <c r="AC50" t="s">
        <v>0</v>
      </c>
      <c r="AD50" t="s">
        <v>0</v>
      </c>
      <c r="AE50" s="4">
        <v>0</v>
      </c>
    </row>
    <row r="51" spans="1:31" ht="14.1" customHeight="1" x14ac:dyDescent="0.2">
      <c r="A51" s="2" t="s">
        <v>0</v>
      </c>
      <c r="B51" t="s">
        <v>1</v>
      </c>
      <c r="C51" t="s">
        <v>178</v>
      </c>
      <c r="D51" s="3">
        <v>44350</v>
      </c>
      <c r="E51" s="3">
        <v>44350</v>
      </c>
      <c r="F51" s="3">
        <v>44359</v>
      </c>
      <c r="G51" t="s">
        <v>7</v>
      </c>
      <c r="H51" t="s">
        <v>2</v>
      </c>
      <c r="I51" s="4">
        <v>-17055.66</v>
      </c>
      <c r="J51" t="s">
        <v>3</v>
      </c>
      <c r="K51" t="s">
        <v>4</v>
      </c>
      <c r="L51" s="4">
        <v>-1431822.66</v>
      </c>
      <c r="M51" s="4">
        <v>-17055.66</v>
      </c>
      <c r="N51" s="10" t="str">
        <f>IF(M51="","",IF(M51&lt;0,-M51&amp;"_"&amp;COUNTIF(M$2:M51,M51),M51&amp;"_"&amp;COUNTIF(M$2:M51,M51)))</f>
        <v>17055.66_1</v>
      </c>
      <c r="O51" s="11" t="str">
        <f t="shared" si="0"/>
        <v/>
      </c>
      <c r="P51" t="s">
        <v>179</v>
      </c>
      <c r="Q51" t="s">
        <v>172</v>
      </c>
      <c r="R51" t="s">
        <v>10</v>
      </c>
      <c r="S51" t="s">
        <v>0</v>
      </c>
      <c r="T51" t="s">
        <v>5</v>
      </c>
      <c r="U51" t="s">
        <v>180</v>
      </c>
      <c r="V51" t="s">
        <v>0</v>
      </c>
      <c r="W51" t="s">
        <v>0</v>
      </c>
      <c r="X51" t="s">
        <v>0</v>
      </c>
      <c r="Y51" t="s">
        <v>6</v>
      </c>
      <c r="Z51" t="s">
        <v>0</v>
      </c>
      <c r="AA51" s="3"/>
      <c r="AB51" t="s">
        <v>0</v>
      </c>
      <c r="AC51" t="s">
        <v>0</v>
      </c>
      <c r="AD51" t="s">
        <v>0</v>
      </c>
      <c r="AE51" s="4">
        <v>0</v>
      </c>
    </row>
    <row r="52" spans="1:31" ht="14.1" customHeight="1" x14ac:dyDescent="0.2">
      <c r="A52" s="2" t="s">
        <v>0</v>
      </c>
      <c r="B52" t="s">
        <v>1</v>
      </c>
      <c r="C52" t="s">
        <v>181</v>
      </c>
      <c r="D52" s="3">
        <v>44350</v>
      </c>
      <c r="E52" s="3">
        <v>44350</v>
      </c>
      <c r="F52" s="3">
        <v>44359</v>
      </c>
      <c r="G52" t="s">
        <v>7</v>
      </c>
      <c r="H52" t="s">
        <v>2</v>
      </c>
      <c r="I52" s="4">
        <v>-11978.3</v>
      </c>
      <c r="J52" t="s">
        <v>3</v>
      </c>
      <c r="K52" t="s">
        <v>4</v>
      </c>
      <c r="L52" s="4">
        <v>-1005578.29</v>
      </c>
      <c r="M52" s="4">
        <v>-11978.3</v>
      </c>
      <c r="N52" s="10" t="str">
        <f>IF(M52="","",IF(M52&lt;0,-M52&amp;"_"&amp;COUNTIF(M$2:M52,M52),M52&amp;"_"&amp;COUNTIF(M$2:M52,M52)))</f>
        <v>11978.3_1</v>
      </c>
      <c r="O52" s="11" t="str">
        <f t="shared" si="0"/>
        <v/>
      </c>
      <c r="P52" t="s">
        <v>182</v>
      </c>
      <c r="Q52" t="s">
        <v>117</v>
      </c>
      <c r="R52" t="s">
        <v>10</v>
      </c>
      <c r="S52" t="s">
        <v>0</v>
      </c>
      <c r="T52" t="s">
        <v>5</v>
      </c>
      <c r="U52" t="s">
        <v>183</v>
      </c>
      <c r="V52" t="s">
        <v>0</v>
      </c>
      <c r="W52" t="s">
        <v>0</v>
      </c>
      <c r="X52" t="s">
        <v>0</v>
      </c>
      <c r="Y52" t="s">
        <v>6</v>
      </c>
      <c r="Z52" t="s">
        <v>0</v>
      </c>
      <c r="AA52" s="3"/>
      <c r="AB52" t="s">
        <v>0</v>
      </c>
      <c r="AC52" t="s">
        <v>0</v>
      </c>
      <c r="AD52" t="s">
        <v>0</v>
      </c>
      <c r="AE52" s="4">
        <v>0</v>
      </c>
    </row>
    <row r="53" spans="1:31" ht="14.1" customHeight="1" x14ac:dyDescent="0.2">
      <c r="A53" s="2" t="s">
        <v>0</v>
      </c>
      <c r="B53" t="s">
        <v>1</v>
      </c>
      <c r="C53" t="s">
        <v>184</v>
      </c>
      <c r="D53" s="3">
        <v>44354</v>
      </c>
      <c r="E53" s="3">
        <v>44354</v>
      </c>
      <c r="F53" s="3">
        <v>44359</v>
      </c>
      <c r="G53" t="s">
        <v>7</v>
      </c>
      <c r="H53" t="s">
        <v>2</v>
      </c>
      <c r="I53" s="4">
        <v>-13182.03</v>
      </c>
      <c r="J53" t="s">
        <v>3</v>
      </c>
      <c r="K53" t="s">
        <v>4</v>
      </c>
      <c r="L53" s="4">
        <v>-1106631.42</v>
      </c>
      <c r="M53" s="4">
        <v>-13182.03</v>
      </c>
      <c r="N53" s="10" t="str">
        <f>IF(M53="","",IF(M53&lt;0,-M53&amp;"_"&amp;COUNTIF(M$2:M53,M53),M53&amp;"_"&amp;COUNTIF(M$2:M53,M53)))</f>
        <v>13182.03_1</v>
      </c>
      <c r="O53" s="11" t="str">
        <f t="shared" si="0"/>
        <v/>
      </c>
      <c r="P53" t="s">
        <v>185</v>
      </c>
      <c r="Q53" t="s">
        <v>172</v>
      </c>
      <c r="R53" t="s">
        <v>10</v>
      </c>
      <c r="S53" t="s">
        <v>0</v>
      </c>
      <c r="T53" t="s">
        <v>5</v>
      </c>
      <c r="U53" t="s">
        <v>186</v>
      </c>
      <c r="V53" t="s">
        <v>0</v>
      </c>
      <c r="W53" t="s">
        <v>0</v>
      </c>
      <c r="X53" t="s">
        <v>0</v>
      </c>
      <c r="Y53" t="s">
        <v>6</v>
      </c>
      <c r="Z53" t="s">
        <v>0</v>
      </c>
      <c r="AA53" s="3"/>
      <c r="AB53" t="s">
        <v>0</v>
      </c>
      <c r="AC53" t="s">
        <v>0</v>
      </c>
      <c r="AD53" t="s">
        <v>0</v>
      </c>
      <c r="AE53" s="4">
        <v>0</v>
      </c>
    </row>
    <row r="54" spans="1:31" ht="14.1" customHeight="1" x14ac:dyDescent="0.2">
      <c r="A54" s="2" t="s">
        <v>0</v>
      </c>
      <c r="B54" t="s">
        <v>1</v>
      </c>
      <c r="C54" t="s">
        <v>187</v>
      </c>
      <c r="D54" s="3">
        <v>44356</v>
      </c>
      <c r="E54" s="3">
        <v>44356</v>
      </c>
      <c r="F54" s="3">
        <v>44369</v>
      </c>
      <c r="G54" t="s">
        <v>7</v>
      </c>
      <c r="H54" t="s">
        <v>2</v>
      </c>
      <c r="I54" s="4">
        <v>-48484.77</v>
      </c>
      <c r="J54" t="s">
        <v>3</v>
      </c>
      <c r="K54" t="s">
        <v>4</v>
      </c>
      <c r="L54" s="4">
        <v>-4070296.44</v>
      </c>
      <c r="M54" s="4">
        <v>-48484.77</v>
      </c>
      <c r="N54" s="10" t="str">
        <f>IF(M54="","",IF(M54&lt;0,-M54&amp;"_"&amp;COUNTIF(M$2:M54,M54),M54&amp;"_"&amp;COUNTIF(M$2:M54,M54)))</f>
        <v>48484.77_1</v>
      </c>
      <c r="O54" s="11" t="str">
        <f t="shared" si="0"/>
        <v/>
      </c>
      <c r="P54" t="s">
        <v>188</v>
      </c>
      <c r="Q54" t="s">
        <v>172</v>
      </c>
      <c r="R54" t="s">
        <v>82</v>
      </c>
      <c r="S54" t="s">
        <v>0</v>
      </c>
      <c r="T54" t="s">
        <v>5</v>
      </c>
      <c r="U54" t="s">
        <v>189</v>
      </c>
      <c r="V54" t="s">
        <v>0</v>
      </c>
      <c r="W54" t="s">
        <v>0</v>
      </c>
      <c r="X54" t="s">
        <v>0</v>
      </c>
      <c r="Y54" t="s">
        <v>6</v>
      </c>
      <c r="Z54" t="s">
        <v>0</v>
      </c>
      <c r="AA54" s="3"/>
      <c r="AB54" t="s">
        <v>0</v>
      </c>
      <c r="AC54" t="s">
        <v>0</v>
      </c>
      <c r="AD54" t="s">
        <v>0</v>
      </c>
      <c r="AE54" s="4">
        <v>0</v>
      </c>
    </row>
    <row r="55" spans="1:31" ht="14.1" customHeight="1" x14ac:dyDescent="0.2">
      <c r="A55" s="2" t="s">
        <v>0</v>
      </c>
      <c r="B55" t="s">
        <v>1</v>
      </c>
      <c r="C55" t="s">
        <v>190</v>
      </c>
      <c r="D55" s="3">
        <v>44360</v>
      </c>
      <c r="E55" s="3">
        <v>44360</v>
      </c>
      <c r="F55" s="3">
        <v>44369</v>
      </c>
      <c r="G55" t="s">
        <v>7</v>
      </c>
      <c r="H55" t="s">
        <v>2</v>
      </c>
      <c r="I55" s="4">
        <v>-779.35</v>
      </c>
      <c r="J55" t="s">
        <v>3</v>
      </c>
      <c r="K55" t="s">
        <v>4</v>
      </c>
      <c r="L55" s="4">
        <v>-65426.43</v>
      </c>
      <c r="M55" s="4">
        <v>-779.35</v>
      </c>
      <c r="N55" s="10" t="str">
        <f>IF(M55="","",IF(M55&lt;0,-M55&amp;"_"&amp;COUNTIF(M$2:M55,M55),M55&amp;"_"&amp;COUNTIF(M$2:M55,M55)))</f>
        <v>779.35_1</v>
      </c>
      <c r="O55" s="11" t="str">
        <f t="shared" si="0"/>
        <v/>
      </c>
      <c r="P55" t="s">
        <v>191</v>
      </c>
      <c r="Q55" t="s">
        <v>128</v>
      </c>
      <c r="R55" t="s">
        <v>82</v>
      </c>
      <c r="S55" t="s">
        <v>0</v>
      </c>
      <c r="T55" t="s">
        <v>5</v>
      </c>
      <c r="U55" t="s">
        <v>192</v>
      </c>
      <c r="V55" t="s">
        <v>0</v>
      </c>
      <c r="W55" t="s">
        <v>0</v>
      </c>
      <c r="X55" t="s">
        <v>0</v>
      </c>
      <c r="Y55" t="s">
        <v>6</v>
      </c>
      <c r="Z55" t="s">
        <v>0</v>
      </c>
      <c r="AA55" s="3"/>
      <c r="AB55" t="s">
        <v>0</v>
      </c>
      <c r="AC55" t="s">
        <v>0</v>
      </c>
      <c r="AD55" t="s">
        <v>0</v>
      </c>
      <c r="AE55" s="4">
        <v>0</v>
      </c>
    </row>
    <row r="56" spans="1:31" ht="14.1" customHeight="1" x14ac:dyDescent="0.2">
      <c r="A56" s="2" t="s">
        <v>0</v>
      </c>
      <c r="B56" t="s">
        <v>1</v>
      </c>
      <c r="C56" t="s">
        <v>193</v>
      </c>
      <c r="D56" s="3">
        <v>44362</v>
      </c>
      <c r="E56" s="3">
        <v>44362</v>
      </c>
      <c r="F56" s="3">
        <v>44369</v>
      </c>
      <c r="G56" t="s">
        <v>7</v>
      </c>
      <c r="H56" t="s">
        <v>2</v>
      </c>
      <c r="I56" s="4">
        <v>-25525.81</v>
      </c>
      <c r="J56" t="s">
        <v>3</v>
      </c>
      <c r="K56" t="s">
        <v>4</v>
      </c>
      <c r="L56" s="4">
        <v>-2142891.75</v>
      </c>
      <c r="M56" s="4">
        <v>-25525.81</v>
      </c>
      <c r="N56" s="10" t="str">
        <f>IF(M56="","",IF(M56&lt;0,-M56&amp;"_"&amp;COUNTIF(M$2:M56,M56),M56&amp;"_"&amp;COUNTIF(M$2:M56,M56)))</f>
        <v>25525.81_1</v>
      </c>
      <c r="O56" s="11" t="str">
        <f t="shared" si="0"/>
        <v/>
      </c>
      <c r="P56" t="s">
        <v>194</v>
      </c>
      <c r="Q56" t="s">
        <v>172</v>
      </c>
      <c r="R56" t="s">
        <v>82</v>
      </c>
      <c r="S56" t="s">
        <v>0</v>
      </c>
      <c r="T56" t="s">
        <v>5</v>
      </c>
      <c r="U56" t="s">
        <v>195</v>
      </c>
      <c r="V56" t="s">
        <v>0</v>
      </c>
      <c r="W56" t="s">
        <v>0</v>
      </c>
      <c r="X56" t="s">
        <v>0</v>
      </c>
      <c r="Y56" t="s">
        <v>6</v>
      </c>
      <c r="Z56" t="s">
        <v>0</v>
      </c>
      <c r="AA56" s="3"/>
      <c r="AB56" t="s">
        <v>0</v>
      </c>
      <c r="AC56" t="s">
        <v>0</v>
      </c>
      <c r="AD56" t="s">
        <v>0</v>
      </c>
      <c r="AE56" s="4">
        <v>0</v>
      </c>
    </row>
    <row r="57" spans="1:31" ht="14.1" customHeight="1" x14ac:dyDescent="0.2">
      <c r="A57" s="2" t="s">
        <v>0</v>
      </c>
      <c r="B57" t="s">
        <v>1</v>
      </c>
      <c r="C57" t="s">
        <v>196</v>
      </c>
      <c r="D57" s="3">
        <v>44362</v>
      </c>
      <c r="E57" s="3">
        <v>44362</v>
      </c>
      <c r="F57" s="3">
        <v>44369</v>
      </c>
      <c r="G57" t="s">
        <v>7</v>
      </c>
      <c r="H57" t="s">
        <v>2</v>
      </c>
      <c r="I57" s="4">
        <v>-25416.87</v>
      </c>
      <c r="J57" t="s">
        <v>3</v>
      </c>
      <c r="K57" t="s">
        <v>4</v>
      </c>
      <c r="L57" s="4">
        <v>-2133746.2400000002</v>
      </c>
      <c r="M57" s="4">
        <v>-25416.87</v>
      </c>
      <c r="N57" s="10" t="str">
        <f>IF(M57="","",IF(M57&lt;0,-M57&amp;"_"&amp;COUNTIF(M$2:M57,M57),M57&amp;"_"&amp;COUNTIF(M$2:M57,M57)))</f>
        <v>25416.87_1</v>
      </c>
      <c r="O57" s="11" t="str">
        <f t="shared" si="0"/>
        <v/>
      </c>
      <c r="P57" t="s">
        <v>197</v>
      </c>
      <c r="Q57" t="s">
        <v>172</v>
      </c>
      <c r="R57" t="s">
        <v>82</v>
      </c>
      <c r="S57" t="s">
        <v>0</v>
      </c>
      <c r="T57" t="s">
        <v>5</v>
      </c>
      <c r="U57" t="s">
        <v>198</v>
      </c>
      <c r="V57" t="s">
        <v>0</v>
      </c>
      <c r="W57" t="s">
        <v>0</v>
      </c>
      <c r="X57" t="s">
        <v>0</v>
      </c>
      <c r="Y57" t="s">
        <v>6</v>
      </c>
      <c r="Z57" t="s">
        <v>0</v>
      </c>
      <c r="AA57" s="3"/>
      <c r="AB57" t="s">
        <v>0</v>
      </c>
      <c r="AC57" t="s">
        <v>0</v>
      </c>
      <c r="AD57" t="s">
        <v>0</v>
      </c>
      <c r="AE57" s="4">
        <v>0</v>
      </c>
    </row>
    <row r="58" spans="1:31" ht="14.1" customHeight="1" x14ac:dyDescent="0.2">
      <c r="A58" s="2" t="s">
        <v>0</v>
      </c>
      <c r="B58" t="s">
        <v>1</v>
      </c>
      <c r="C58" t="s">
        <v>199</v>
      </c>
      <c r="D58" s="3">
        <v>44363</v>
      </c>
      <c r="E58" s="3">
        <v>44363</v>
      </c>
      <c r="F58" s="3">
        <v>44369</v>
      </c>
      <c r="G58" t="s">
        <v>7</v>
      </c>
      <c r="H58" t="s">
        <v>2</v>
      </c>
      <c r="I58" s="4">
        <v>-80581.59</v>
      </c>
      <c r="J58" t="s">
        <v>3</v>
      </c>
      <c r="K58" t="s">
        <v>4</v>
      </c>
      <c r="L58" s="4">
        <v>-6764824.4800000004</v>
      </c>
      <c r="M58" s="4">
        <v>-80581.59</v>
      </c>
      <c r="N58" s="10" t="str">
        <f>IF(M58="","",IF(M58&lt;0,-M58&amp;"_"&amp;COUNTIF(M$2:M58,M58),M58&amp;"_"&amp;COUNTIF(M$2:M58,M58)))</f>
        <v>80581.59_1</v>
      </c>
      <c r="O58" s="11" t="str">
        <f t="shared" si="0"/>
        <v/>
      </c>
      <c r="P58" t="s">
        <v>200</v>
      </c>
      <c r="Q58" t="s">
        <v>172</v>
      </c>
      <c r="R58" t="s">
        <v>82</v>
      </c>
      <c r="S58" t="s">
        <v>0</v>
      </c>
      <c r="T58" t="s">
        <v>5</v>
      </c>
      <c r="U58" t="s">
        <v>201</v>
      </c>
      <c r="V58" t="s">
        <v>0</v>
      </c>
      <c r="W58" t="s">
        <v>0</v>
      </c>
      <c r="X58" t="s">
        <v>0</v>
      </c>
      <c r="Y58" t="s">
        <v>6</v>
      </c>
      <c r="Z58" t="s">
        <v>0</v>
      </c>
      <c r="AA58" s="3"/>
      <c r="AB58" t="s">
        <v>0</v>
      </c>
      <c r="AC58" t="s">
        <v>0</v>
      </c>
      <c r="AD58" t="s">
        <v>0</v>
      </c>
      <c r="AE58" s="4">
        <v>0</v>
      </c>
    </row>
    <row r="59" spans="1:31" ht="14.1" customHeight="1" x14ac:dyDescent="0.2">
      <c r="A59" s="2" t="s">
        <v>0</v>
      </c>
      <c r="B59" t="s">
        <v>202</v>
      </c>
      <c r="C59" t="s">
        <v>203</v>
      </c>
      <c r="D59" s="3">
        <v>44367</v>
      </c>
      <c r="E59" s="3">
        <v>44367</v>
      </c>
      <c r="F59" s="3">
        <v>44368</v>
      </c>
      <c r="G59" t="s">
        <v>204</v>
      </c>
      <c r="H59" t="s">
        <v>2</v>
      </c>
      <c r="I59" s="4">
        <v>-782.47</v>
      </c>
      <c r="J59" t="s">
        <v>3</v>
      </c>
      <c r="K59" t="s">
        <v>4</v>
      </c>
      <c r="L59" s="4">
        <v>-65688.36</v>
      </c>
      <c r="M59" s="4">
        <v>-782.47</v>
      </c>
      <c r="N59" s="10" t="str">
        <f>IF(M59="","",IF(M59&lt;0,-M59&amp;"_"&amp;COUNTIF(M$2:M59,M59),M59&amp;"_"&amp;COUNTIF(M$2:M59,M59)))</f>
        <v>782.47_1</v>
      </c>
      <c r="O59" s="11" t="str">
        <f t="shared" si="0"/>
        <v/>
      </c>
      <c r="P59" t="s">
        <v>205</v>
      </c>
      <c r="Q59" t="s">
        <v>206</v>
      </c>
      <c r="R59" t="s">
        <v>207</v>
      </c>
      <c r="S59" t="s">
        <v>0</v>
      </c>
      <c r="T59" t="s">
        <v>5</v>
      </c>
      <c r="U59" t="s">
        <v>208</v>
      </c>
      <c r="V59" t="s">
        <v>209</v>
      </c>
      <c r="W59" t="s">
        <v>0</v>
      </c>
      <c r="X59" t="s">
        <v>210</v>
      </c>
      <c r="Y59" t="s">
        <v>0</v>
      </c>
      <c r="Z59" t="s">
        <v>211</v>
      </c>
      <c r="AA59" s="3">
        <v>44390</v>
      </c>
      <c r="AB59" t="s">
        <v>0</v>
      </c>
      <c r="AC59" t="s">
        <v>0</v>
      </c>
      <c r="AD59" t="s">
        <v>0</v>
      </c>
      <c r="AE59" s="4">
        <v>0</v>
      </c>
    </row>
    <row r="60" spans="1:31" ht="14.1" customHeight="1" x14ac:dyDescent="0.2">
      <c r="A60" s="2" t="s">
        <v>0</v>
      </c>
      <c r="B60" t="s">
        <v>1</v>
      </c>
      <c r="C60" t="s">
        <v>212</v>
      </c>
      <c r="D60" s="3">
        <v>44367</v>
      </c>
      <c r="E60" s="3">
        <v>44367</v>
      </c>
      <c r="F60" s="3">
        <v>44369</v>
      </c>
      <c r="G60" t="s">
        <v>7</v>
      </c>
      <c r="H60" t="s">
        <v>2</v>
      </c>
      <c r="I60" s="4">
        <v>-40037.93</v>
      </c>
      <c r="J60" t="s">
        <v>3</v>
      </c>
      <c r="K60" t="s">
        <v>4</v>
      </c>
      <c r="L60" s="4">
        <v>-3361184.22</v>
      </c>
      <c r="M60" s="4">
        <v>-40037.93</v>
      </c>
      <c r="N60" s="10" t="str">
        <f>IF(M60="","",IF(M60&lt;0,-M60&amp;"_"&amp;COUNTIF(M$2:M60,M60),M60&amp;"_"&amp;COUNTIF(M$2:M60,M60)))</f>
        <v>40037.93_1</v>
      </c>
      <c r="O60" s="11" t="str">
        <f t="shared" si="0"/>
        <v/>
      </c>
      <c r="P60" t="s">
        <v>213</v>
      </c>
      <c r="Q60" t="s">
        <v>214</v>
      </c>
      <c r="R60" t="s">
        <v>82</v>
      </c>
      <c r="S60" t="s">
        <v>0</v>
      </c>
      <c r="T60" t="s">
        <v>5</v>
      </c>
      <c r="U60" t="s">
        <v>215</v>
      </c>
      <c r="V60" t="s">
        <v>0</v>
      </c>
      <c r="W60" t="s">
        <v>0</v>
      </c>
      <c r="X60" t="s">
        <v>0</v>
      </c>
      <c r="Y60" t="s">
        <v>6</v>
      </c>
      <c r="Z60" t="s">
        <v>0</v>
      </c>
      <c r="AA60" s="3"/>
      <c r="AB60" t="s">
        <v>0</v>
      </c>
      <c r="AC60" t="s">
        <v>0</v>
      </c>
      <c r="AD60" t="s">
        <v>0</v>
      </c>
      <c r="AE60" s="4">
        <v>0</v>
      </c>
    </row>
    <row r="61" spans="1:31" ht="14.1" customHeight="1" x14ac:dyDescent="0.2">
      <c r="A61" s="2" t="s">
        <v>0</v>
      </c>
      <c r="B61" t="s">
        <v>1</v>
      </c>
      <c r="C61" t="s">
        <v>216</v>
      </c>
      <c r="D61" s="3">
        <v>44371</v>
      </c>
      <c r="E61" s="3">
        <v>44371</v>
      </c>
      <c r="F61" s="3">
        <v>44374</v>
      </c>
      <c r="G61" t="s">
        <v>7</v>
      </c>
      <c r="H61" t="s">
        <v>2</v>
      </c>
      <c r="I61" s="4">
        <v>-14688.68</v>
      </c>
      <c r="J61" t="s">
        <v>3</v>
      </c>
      <c r="K61" t="s">
        <v>4</v>
      </c>
      <c r="L61" s="4">
        <v>-1233114.69</v>
      </c>
      <c r="M61" s="4">
        <v>-14688.68</v>
      </c>
      <c r="N61" s="10" t="str">
        <f>IF(M61="","",IF(M61&lt;0,-M61&amp;"_"&amp;COUNTIF(M$2:M61,M61),M61&amp;"_"&amp;COUNTIF(M$2:M61,M61)))</f>
        <v>14688.68_1</v>
      </c>
      <c r="O61" s="11" t="str">
        <f t="shared" si="0"/>
        <v/>
      </c>
      <c r="P61" t="s">
        <v>217</v>
      </c>
      <c r="Q61" t="s">
        <v>117</v>
      </c>
      <c r="R61" t="s">
        <v>218</v>
      </c>
      <c r="S61" t="s">
        <v>0</v>
      </c>
      <c r="T61" t="s">
        <v>5</v>
      </c>
      <c r="U61" t="s">
        <v>219</v>
      </c>
      <c r="V61" t="s">
        <v>0</v>
      </c>
      <c r="W61" t="s">
        <v>0</v>
      </c>
      <c r="X61" t="s">
        <v>0</v>
      </c>
      <c r="Y61" t="s">
        <v>6</v>
      </c>
      <c r="Z61" t="s">
        <v>0</v>
      </c>
      <c r="AA61" s="3"/>
      <c r="AB61" t="s">
        <v>0</v>
      </c>
      <c r="AC61" t="s">
        <v>0</v>
      </c>
      <c r="AD61" t="s">
        <v>0</v>
      </c>
      <c r="AE61" s="4">
        <v>0</v>
      </c>
    </row>
    <row r="62" spans="1:31" ht="14.1" customHeight="1" x14ac:dyDescent="0.2">
      <c r="A62" s="2" t="s">
        <v>0</v>
      </c>
      <c r="B62" t="s">
        <v>1</v>
      </c>
      <c r="C62" t="s">
        <v>220</v>
      </c>
      <c r="D62" s="3">
        <v>44371</v>
      </c>
      <c r="E62" s="3">
        <v>44371</v>
      </c>
      <c r="F62" s="3">
        <v>44374</v>
      </c>
      <c r="G62" t="s">
        <v>7</v>
      </c>
      <c r="H62" t="s">
        <v>2</v>
      </c>
      <c r="I62" s="4">
        <v>-8788.32</v>
      </c>
      <c r="J62" t="s">
        <v>3</v>
      </c>
      <c r="K62" t="s">
        <v>4</v>
      </c>
      <c r="L62" s="4">
        <v>-737779.46</v>
      </c>
      <c r="M62" s="4">
        <v>-8788.32</v>
      </c>
      <c r="N62" s="10" t="str">
        <f>IF(M62="","",IF(M62&lt;0,-M62&amp;"_"&amp;COUNTIF(M$2:M62,M62),M62&amp;"_"&amp;COUNTIF(M$2:M62,M62)))</f>
        <v>8788.32_1</v>
      </c>
      <c r="O62" s="11" t="str">
        <f t="shared" si="0"/>
        <v/>
      </c>
      <c r="P62" t="s">
        <v>221</v>
      </c>
      <c r="Q62" t="s">
        <v>172</v>
      </c>
      <c r="R62" t="s">
        <v>10</v>
      </c>
      <c r="S62" t="s">
        <v>0</v>
      </c>
      <c r="T62" t="s">
        <v>5</v>
      </c>
      <c r="U62" t="s">
        <v>222</v>
      </c>
      <c r="V62" t="s">
        <v>0</v>
      </c>
      <c r="W62" t="s">
        <v>0</v>
      </c>
      <c r="X62" t="s">
        <v>0</v>
      </c>
      <c r="Y62" t="s">
        <v>6</v>
      </c>
      <c r="Z62" t="s">
        <v>0</v>
      </c>
      <c r="AA62" s="3"/>
      <c r="AB62" t="s">
        <v>0</v>
      </c>
      <c r="AC62" t="s">
        <v>0</v>
      </c>
      <c r="AD62" t="s">
        <v>0</v>
      </c>
      <c r="AE62" s="4">
        <v>0</v>
      </c>
    </row>
    <row r="63" spans="1:31" ht="14.1" customHeight="1" x14ac:dyDescent="0.2">
      <c r="A63" s="2" t="s">
        <v>0</v>
      </c>
      <c r="B63" t="s">
        <v>1</v>
      </c>
      <c r="C63" t="s">
        <v>223</v>
      </c>
      <c r="D63" s="3">
        <v>44371</v>
      </c>
      <c r="E63" s="3">
        <v>44371</v>
      </c>
      <c r="F63" s="3">
        <v>44374</v>
      </c>
      <c r="G63" t="s">
        <v>7</v>
      </c>
      <c r="H63" t="s">
        <v>2</v>
      </c>
      <c r="I63" s="4">
        <v>-75944.12</v>
      </c>
      <c r="J63" t="s">
        <v>3</v>
      </c>
      <c r="K63" t="s">
        <v>4</v>
      </c>
      <c r="L63" s="4">
        <v>-6375508.8700000001</v>
      </c>
      <c r="M63" s="4">
        <v>-75944.12</v>
      </c>
      <c r="N63" s="10" t="str">
        <f>IF(M63="","",IF(M63&lt;0,-M63&amp;"_"&amp;COUNTIF(M$2:M63,M63),M63&amp;"_"&amp;COUNTIF(M$2:M63,M63)))</f>
        <v>75944.12_1</v>
      </c>
      <c r="O63" s="11" t="str">
        <f t="shared" si="0"/>
        <v/>
      </c>
      <c r="P63" t="s">
        <v>224</v>
      </c>
      <c r="Q63" t="s">
        <v>214</v>
      </c>
      <c r="R63" t="s">
        <v>10</v>
      </c>
      <c r="S63" t="s">
        <v>0</v>
      </c>
      <c r="T63" t="s">
        <v>5</v>
      </c>
      <c r="U63" t="s">
        <v>225</v>
      </c>
      <c r="V63" t="s">
        <v>0</v>
      </c>
      <c r="W63" t="s">
        <v>0</v>
      </c>
      <c r="X63" t="s">
        <v>0</v>
      </c>
      <c r="Y63" t="s">
        <v>6</v>
      </c>
      <c r="Z63" t="s">
        <v>0</v>
      </c>
      <c r="AA63" s="3"/>
      <c r="AB63" t="s">
        <v>0</v>
      </c>
      <c r="AC63" t="s">
        <v>0</v>
      </c>
      <c r="AD63" t="s">
        <v>0</v>
      </c>
      <c r="AE63" s="4">
        <v>0</v>
      </c>
    </row>
    <row r="64" spans="1:31" ht="14.1" customHeight="1" x14ac:dyDescent="0.2">
      <c r="A64" s="2" t="s">
        <v>0</v>
      </c>
      <c r="B64" t="s">
        <v>202</v>
      </c>
      <c r="C64" t="s">
        <v>226</v>
      </c>
      <c r="D64" s="3">
        <v>44374</v>
      </c>
      <c r="E64" s="3">
        <v>44374</v>
      </c>
      <c r="F64" s="3">
        <v>44376</v>
      </c>
      <c r="G64" t="s">
        <v>204</v>
      </c>
      <c r="H64" t="s">
        <v>2</v>
      </c>
      <c r="I64" s="4">
        <v>-375.77</v>
      </c>
      <c r="J64" t="s">
        <v>3</v>
      </c>
      <c r="K64" t="s">
        <v>4</v>
      </c>
      <c r="L64" s="4">
        <v>-31545.89</v>
      </c>
      <c r="M64" s="4">
        <v>-375.77</v>
      </c>
      <c r="N64" s="10" t="str">
        <f>IF(M64="","",IF(M64&lt;0,-M64&amp;"_"&amp;COUNTIF(M$2:M64,M64),M64&amp;"_"&amp;COUNTIF(M$2:M64,M64)))</f>
        <v>375.77_1</v>
      </c>
      <c r="O64" s="11" t="str">
        <f t="shared" si="0"/>
        <v/>
      </c>
      <c r="P64" t="s">
        <v>227</v>
      </c>
      <c r="Q64" t="s">
        <v>206</v>
      </c>
      <c r="R64" t="s">
        <v>207</v>
      </c>
      <c r="S64" t="s">
        <v>0</v>
      </c>
      <c r="T64" t="s">
        <v>5</v>
      </c>
      <c r="U64" t="s">
        <v>228</v>
      </c>
      <c r="V64" t="s">
        <v>229</v>
      </c>
      <c r="W64" t="s">
        <v>0</v>
      </c>
      <c r="X64" t="s">
        <v>230</v>
      </c>
      <c r="Y64" t="s">
        <v>0</v>
      </c>
      <c r="Z64" t="s">
        <v>0</v>
      </c>
      <c r="AA64" s="3"/>
      <c r="AB64" t="s">
        <v>0</v>
      </c>
      <c r="AC64" t="s">
        <v>0</v>
      </c>
      <c r="AD64" t="s">
        <v>0</v>
      </c>
      <c r="AE64" s="4">
        <v>0</v>
      </c>
    </row>
    <row r="65" spans="1:31" ht="14.1" customHeight="1" x14ac:dyDescent="0.2">
      <c r="A65" s="2" t="s">
        <v>0</v>
      </c>
      <c r="B65" t="s">
        <v>202</v>
      </c>
      <c r="C65" t="s">
        <v>231</v>
      </c>
      <c r="D65" s="3">
        <v>44374</v>
      </c>
      <c r="E65" s="3">
        <v>44374</v>
      </c>
      <c r="F65" s="3">
        <v>44376</v>
      </c>
      <c r="G65" t="s">
        <v>204</v>
      </c>
      <c r="H65" t="s">
        <v>2</v>
      </c>
      <c r="I65" s="4">
        <v>-182.55</v>
      </c>
      <c r="J65" t="s">
        <v>114</v>
      </c>
      <c r="K65" t="s">
        <v>4</v>
      </c>
      <c r="L65" s="4">
        <v>-15325.07</v>
      </c>
      <c r="M65" s="4">
        <v>-182.55</v>
      </c>
      <c r="N65" s="10" t="str">
        <f>IF(M65="","",IF(M65&lt;0,-M65&amp;"_"&amp;COUNTIF(M$2:M65,M65),M65&amp;"_"&amp;COUNTIF(M$2:M65,M65)))</f>
        <v>182.55_1</v>
      </c>
      <c r="O65" s="11" t="str">
        <f t="shared" si="0"/>
        <v/>
      </c>
      <c r="P65" t="s">
        <v>232</v>
      </c>
      <c r="Q65" t="s">
        <v>206</v>
      </c>
      <c r="R65" t="s">
        <v>207</v>
      </c>
      <c r="S65" t="s">
        <v>0</v>
      </c>
      <c r="T65" t="s">
        <v>5</v>
      </c>
      <c r="U65" t="s">
        <v>233</v>
      </c>
      <c r="V65" t="s">
        <v>234</v>
      </c>
      <c r="W65" t="s">
        <v>0</v>
      </c>
      <c r="X65" t="s">
        <v>235</v>
      </c>
      <c r="Y65" t="s">
        <v>0</v>
      </c>
      <c r="Z65" t="s">
        <v>236</v>
      </c>
      <c r="AA65" s="3">
        <v>44387</v>
      </c>
      <c r="AB65" t="s">
        <v>0</v>
      </c>
      <c r="AC65" t="s">
        <v>0</v>
      </c>
      <c r="AD65" t="s">
        <v>0</v>
      </c>
      <c r="AE65" s="4">
        <v>0</v>
      </c>
    </row>
    <row r="66" spans="1:31" ht="14.1" customHeight="1" x14ac:dyDescent="0.2">
      <c r="A66" s="2" t="s">
        <v>0</v>
      </c>
      <c r="B66" t="s">
        <v>202</v>
      </c>
      <c r="C66" t="s">
        <v>237</v>
      </c>
      <c r="D66" s="3">
        <v>44375</v>
      </c>
      <c r="E66" s="3">
        <v>44375</v>
      </c>
      <c r="F66" s="3">
        <v>44376</v>
      </c>
      <c r="G66" t="s">
        <v>204</v>
      </c>
      <c r="H66" t="s">
        <v>2</v>
      </c>
      <c r="I66" s="4">
        <v>-2954.66</v>
      </c>
      <c r="J66" t="s">
        <v>3</v>
      </c>
      <c r="K66" t="s">
        <v>4</v>
      </c>
      <c r="L66" s="4">
        <v>-248043.71</v>
      </c>
      <c r="M66" s="4">
        <v>-2954.66</v>
      </c>
      <c r="N66" s="10" t="str">
        <f>IF(M66="","",IF(M66&lt;0,-M66&amp;"_"&amp;COUNTIF(M$2:M66,M66),M66&amp;"_"&amp;COUNTIF(M$2:M66,M66)))</f>
        <v>2954.66_1</v>
      </c>
      <c r="O66" s="11" t="str">
        <f t="shared" ref="O66:O77" si="1">IF(COUNTIF(N:N,N66)=2,"x","")</f>
        <v/>
      </c>
      <c r="P66" t="s">
        <v>238</v>
      </c>
      <c r="Q66" t="s">
        <v>206</v>
      </c>
      <c r="R66" t="s">
        <v>207</v>
      </c>
      <c r="S66" t="s">
        <v>0</v>
      </c>
      <c r="T66" t="s">
        <v>5</v>
      </c>
      <c r="U66" t="s">
        <v>239</v>
      </c>
      <c r="V66" t="s">
        <v>240</v>
      </c>
      <c r="W66" t="s">
        <v>0</v>
      </c>
      <c r="X66" t="s">
        <v>241</v>
      </c>
      <c r="Y66" t="s">
        <v>0</v>
      </c>
      <c r="Z66" t="s">
        <v>242</v>
      </c>
      <c r="AA66" s="3">
        <v>44387</v>
      </c>
      <c r="AB66" t="s">
        <v>0</v>
      </c>
      <c r="AC66" t="s">
        <v>0</v>
      </c>
      <c r="AD66" t="s">
        <v>0</v>
      </c>
      <c r="AE66" s="4">
        <v>0</v>
      </c>
    </row>
    <row r="67" spans="1:31" ht="14.1" customHeight="1" x14ac:dyDescent="0.2">
      <c r="A67" s="2" t="s">
        <v>0</v>
      </c>
      <c r="B67" t="s">
        <v>202</v>
      </c>
      <c r="C67" t="s">
        <v>243</v>
      </c>
      <c r="D67" s="3">
        <v>44375</v>
      </c>
      <c r="E67" s="3">
        <v>44375</v>
      </c>
      <c r="F67" s="3">
        <v>44376</v>
      </c>
      <c r="G67" t="s">
        <v>204</v>
      </c>
      <c r="H67" t="s">
        <v>2</v>
      </c>
      <c r="I67" s="4">
        <v>-2182.16</v>
      </c>
      <c r="J67" t="s">
        <v>3</v>
      </c>
      <c r="K67" t="s">
        <v>4</v>
      </c>
      <c r="L67" s="4">
        <v>-183192.33</v>
      </c>
      <c r="M67" s="4">
        <v>-2182.16</v>
      </c>
      <c r="N67" s="10" t="str">
        <f>IF(M67="","",IF(M67&lt;0,-M67&amp;"_"&amp;COUNTIF(M$2:M67,M67),M67&amp;"_"&amp;COUNTIF(M$2:M67,M67)))</f>
        <v>2182.16_1</v>
      </c>
      <c r="O67" s="11" t="str">
        <f t="shared" si="1"/>
        <v/>
      </c>
      <c r="P67" t="s">
        <v>244</v>
      </c>
      <c r="Q67" t="s">
        <v>206</v>
      </c>
      <c r="R67" t="s">
        <v>207</v>
      </c>
      <c r="S67" t="s">
        <v>0</v>
      </c>
      <c r="T67" t="s">
        <v>5</v>
      </c>
      <c r="U67" t="s">
        <v>239</v>
      </c>
      <c r="V67" t="s">
        <v>245</v>
      </c>
      <c r="W67" t="s">
        <v>0</v>
      </c>
      <c r="X67" t="s">
        <v>246</v>
      </c>
      <c r="Y67" t="s">
        <v>0</v>
      </c>
      <c r="Z67" t="s">
        <v>242</v>
      </c>
      <c r="AA67" s="3">
        <v>44387</v>
      </c>
      <c r="AB67" t="s">
        <v>0</v>
      </c>
      <c r="AC67" t="s">
        <v>0</v>
      </c>
      <c r="AD67" t="s">
        <v>0</v>
      </c>
      <c r="AE67" s="4">
        <v>0</v>
      </c>
    </row>
    <row r="68" spans="1:31" ht="14.1" customHeight="1" x14ac:dyDescent="0.2">
      <c r="A68" s="2" t="s">
        <v>0</v>
      </c>
      <c r="B68" t="s">
        <v>202</v>
      </c>
      <c r="C68" t="s">
        <v>247</v>
      </c>
      <c r="D68" s="3">
        <v>44375</v>
      </c>
      <c r="E68" s="3">
        <v>44375</v>
      </c>
      <c r="F68" s="3">
        <v>44376</v>
      </c>
      <c r="G68" t="s">
        <v>204</v>
      </c>
      <c r="H68" t="s">
        <v>2</v>
      </c>
      <c r="I68" s="4">
        <v>-20611.87</v>
      </c>
      <c r="J68" t="s">
        <v>3</v>
      </c>
      <c r="K68" t="s">
        <v>4</v>
      </c>
      <c r="L68" s="4">
        <v>-1730366.49</v>
      </c>
      <c r="M68" s="4">
        <v>-20611.87</v>
      </c>
      <c r="N68" s="10" t="str">
        <f>IF(M68="","",IF(M68&lt;0,-M68&amp;"_"&amp;COUNTIF(M$2:M68,M68),M68&amp;"_"&amp;COUNTIF(M$2:M68,M68)))</f>
        <v>20611.87_1</v>
      </c>
      <c r="O68" s="11" t="str">
        <f t="shared" si="1"/>
        <v/>
      </c>
      <c r="P68" t="s">
        <v>248</v>
      </c>
      <c r="Q68" t="s">
        <v>206</v>
      </c>
      <c r="R68" t="s">
        <v>207</v>
      </c>
      <c r="S68" t="s">
        <v>0</v>
      </c>
      <c r="T68" t="s">
        <v>5</v>
      </c>
      <c r="U68" t="s">
        <v>239</v>
      </c>
      <c r="V68" t="s">
        <v>249</v>
      </c>
      <c r="W68" t="s">
        <v>0</v>
      </c>
      <c r="X68" t="s">
        <v>250</v>
      </c>
      <c r="Y68" t="s">
        <v>0</v>
      </c>
      <c r="Z68" t="s">
        <v>242</v>
      </c>
      <c r="AA68" s="3">
        <v>44387</v>
      </c>
      <c r="AB68" t="s">
        <v>0</v>
      </c>
      <c r="AC68" t="s">
        <v>0</v>
      </c>
      <c r="AD68" t="s">
        <v>0</v>
      </c>
      <c r="AE68" s="4">
        <v>0</v>
      </c>
    </row>
    <row r="69" spans="1:31" ht="14.1" customHeight="1" x14ac:dyDescent="0.2">
      <c r="A69" s="2" t="s">
        <v>0</v>
      </c>
      <c r="B69" t="s">
        <v>1</v>
      </c>
      <c r="C69" t="s">
        <v>251</v>
      </c>
      <c r="D69" s="3">
        <v>44375</v>
      </c>
      <c r="E69" s="3">
        <v>44375</v>
      </c>
      <c r="F69" s="3">
        <v>44381</v>
      </c>
      <c r="G69" t="s">
        <v>7</v>
      </c>
      <c r="H69" t="s">
        <v>2</v>
      </c>
      <c r="I69" s="4">
        <v>-16407.75</v>
      </c>
      <c r="J69" t="s">
        <v>3</v>
      </c>
      <c r="K69" t="s">
        <v>4</v>
      </c>
      <c r="L69" s="4">
        <v>-1377430.61</v>
      </c>
      <c r="M69" s="4">
        <v>-16407.75</v>
      </c>
      <c r="N69" s="10" t="str">
        <f>IF(M69="","",IF(M69&lt;0,-M69&amp;"_"&amp;COUNTIF(M$2:M69,M69),M69&amp;"_"&amp;COUNTIF(M$2:M69,M69)))</f>
        <v>16407.75_1</v>
      </c>
      <c r="O69" s="11" t="str">
        <f t="shared" si="1"/>
        <v/>
      </c>
      <c r="P69" t="s">
        <v>252</v>
      </c>
      <c r="Q69" t="s">
        <v>172</v>
      </c>
      <c r="R69" t="s">
        <v>10</v>
      </c>
      <c r="S69" t="s">
        <v>0</v>
      </c>
      <c r="T69" t="s">
        <v>5</v>
      </c>
      <c r="U69" t="s">
        <v>253</v>
      </c>
      <c r="V69" t="s">
        <v>0</v>
      </c>
      <c r="W69" t="s">
        <v>0</v>
      </c>
      <c r="X69" t="s">
        <v>0</v>
      </c>
      <c r="Y69" t="s">
        <v>6</v>
      </c>
      <c r="Z69" t="s">
        <v>0</v>
      </c>
      <c r="AA69" s="3"/>
      <c r="AB69" t="s">
        <v>0</v>
      </c>
      <c r="AC69" t="s">
        <v>0</v>
      </c>
      <c r="AD69" t="s">
        <v>0</v>
      </c>
      <c r="AE69" s="4">
        <v>0</v>
      </c>
    </row>
    <row r="70" spans="1:31" ht="14.1" customHeight="1" x14ac:dyDescent="0.2">
      <c r="A70" s="2" t="s">
        <v>0</v>
      </c>
      <c r="B70" t="s">
        <v>1</v>
      </c>
      <c r="C70" t="s">
        <v>254</v>
      </c>
      <c r="D70" s="3">
        <v>44375</v>
      </c>
      <c r="E70" s="3">
        <v>44375</v>
      </c>
      <c r="F70" s="3">
        <v>44381</v>
      </c>
      <c r="G70" t="s">
        <v>7</v>
      </c>
      <c r="H70" t="s">
        <v>2</v>
      </c>
      <c r="I70" s="4">
        <v>-2745</v>
      </c>
      <c r="J70" t="s">
        <v>3</v>
      </c>
      <c r="K70" t="s">
        <v>4</v>
      </c>
      <c r="L70" s="4">
        <v>-230442.75</v>
      </c>
      <c r="M70" s="4">
        <v>-2745</v>
      </c>
      <c r="N70" s="10" t="str">
        <f>IF(M70="","",IF(M70&lt;0,-M70&amp;"_"&amp;COUNTIF(M$2:M70,M70),M70&amp;"_"&amp;COUNTIF(M$2:M70,M70)))</f>
        <v>2745_1</v>
      </c>
      <c r="O70" s="11" t="str">
        <f t="shared" si="1"/>
        <v/>
      </c>
      <c r="P70" t="s">
        <v>255</v>
      </c>
      <c r="Q70" t="s">
        <v>214</v>
      </c>
      <c r="R70" t="s">
        <v>10</v>
      </c>
      <c r="S70" t="s">
        <v>0</v>
      </c>
      <c r="T70" t="s">
        <v>5</v>
      </c>
      <c r="U70" t="s">
        <v>256</v>
      </c>
      <c r="V70" t="s">
        <v>0</v>
      </c>
      <c r="W70" t="s">
        <v>0</v>
      </c>
      <c r="X70" t="s">
        <v>0</v>
      </c>
      <c r="Y70" t="s">
        <v>6</v>
      </c>
      <c r="Z70" t="s">
        <v>0</v>
      </c>
      <c r="AA70" s="3"/>
      <c r="AB70" t="s">
        <v>0</v>
      </c>
      <c r="AC70" t="s">
        <v>0</v>
      </c>
      <c r="AD70" t="s">
        <v>0</v>
      </c>
      <c r="AE70" s="4">
        <v>0</v>
      </c>
    </row>
    <row r="71" spans="1:31" ht="14.1" customHeight="1" x14ac:dyDescent="0.2">
      <c r="A71" s="2" t="s">
        <v>0</v>
      </c>
      <c r="B71" t="s">
        <v>202</v>
      </c>
      <c r="C71" t="s">
        <v>257</v>
      </c>
      <c r="D71" s="3">
        <v>44377</v>
      </c>
      <c r="E71" s="3">
        <v>44377</v>
      </c>
      <c r="F71" s="3">
        <v>44379</v>
      </c>
      <c r="G71" t="s">
        <v>204</v>
      </c>
      <c r="H71" t="s">
        <v>2</v>
      </c>
      <c r="I71" s="4">
        <v>-147.94999999999999</v>
      </c>
      <c r="J71" t="s">
        <v>258</v>
      </c>
      <c r="K71" t="s">
        <v>4</v>
      </c>
      <c r="L71" s="4">
        <v>-12420.4</v>
      </c>
      <c r="M71" s="4">
        <v>-147.94999999999999</v>
      </c>
      <c r="N71" s="10" t="str">
        <f>IF(M71="","",IF(M71&lt;0,-M71&amp;"_"&amp;COUNTIF(M$2:M71,M71),M71&amp;"_"&amp;COUNTIF(M$2:M71,M71)))</f>
        <v>147.95_1</v>
      </c>
      <c r="O71" s="11" t="str">
        <f t="shared" si="1"/>
        <v/>
      </c>
      <c r="P71" t="s">
        <v>259</v>
      </c>
      <c r="Q71" t="s">
        <v>206</v>
      </c>
      <c r="R71" t="s">
        <v>207</v>
      </c>
      <c r="S71" t="s">
        <v>0</v>
      </c>
      <c r="T71" t="s">
        <v>5</v>
      </c>
      <c r="U71" t="s">
        <v>260</v>
      </c>
      <c r="V71" t="s">
        <v>245</v>
      </c>
      <c r="W71" t="s">
        <v>0</v>
      </c>
      <c r="X71" t="s">
        <v>261</v>
      </c>
      <c r="Y71" t="s">
        <v>0</v>
      </c>
      <c r="Z71" t="s">
        <v>0</v>
      </c>
      <c r="AA71" s="3"/>
      <c r="AB71" t="s">
        <v>0</v>
      </c>
      <c r="AC71" t="s">
        <v>0</v>
      </c>
      <c r="AD71" t="s">
        <v>0</v>
      </c>
      <c r="AE71" s="4">
        <v>0</v>
      </c>
    </row>
    <row r="72" spans="1:31" ht="14.1" customHeight="1" x14ac:dyDescent="0.2">
      <c r="A72" s="2" t="s">
        <v>0</v>
      </c>
      <c r="B72" t="s">
        <v>202</v>
      </c>
      <c r="C72" t="s">
        <v>262</v>
      </c>
      <c r="D72" s="3">
        <v>44377</v>
      </c>
      <c r="E72" s="3">
        <v>44377</v>
      </c>
      <c r="F72" s="3">
        <v>44384</v>
      </c>
      <c r="G72" t="s">
        <v>204</v>
      </c>
      <c r="H72" t="s">
        <v>2</v>
      </c>
      <c r="I72" s="4">
        <v>-141383.01999999999</v>
      </c>
      <c r="J72" t="s">
        <v>3</v>
      </c>
      <c r="K72" t="s">
        <v>4</v>
      </c>
      <c r="L72" s="4">
        <v>-11869104.529999999</v>
      </c>
      <c r="M72" s="4">
        <v>-141383.01999999999</v>
      </c>
      <c r="N72" s="10" t="str">
        <f>IF(M72="","",IF(M72&lt;0,-M72&amp;"_"&amp;COUNTIF(M$2:M72,M72),M72&amp;"_"&amp;COUNTIF(M$2:M72,M72)))</f>
        <v>141383.02_1</v>
      </c>
      <c r="O72" s="11" t="str">
        <f t="shared" si="1"/>
        <v/>
      </c>
      <c r="P72" t="s">
        <v>263</v>
      </c>
      <c r="Q72" t="s">
        <v>206</v>
      </c>
      <c r="R72" t="s">
        <v>264</v>
      </c>
      <c r="S72" t="s">
        <v>0</v>
      </c>
      <c r="T72" t="s">
        <v>5</v>
      </c>
      <c r="U72" t="s">
        <v>265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s="3"/>
      <c r="AB72" t="s">
        <v>0</v>
      </c>
      <c r="AC72" t="s">
        <v>0</v>
      </c>
      <c r="AD72" t="s">
        <v>0</v>
      </c>
      <c r="AE72" s="4">
        <v>0</v>
      </c>
    </row>
    <row r="73" spans="1:31" ht="14.1" customHeight="1" x14ac:dyDescent="0.2">
      <c r="A73" s="2" t="s">
        <v>0</v>
      </c>
      <c r="B73" t="s">
        <v>1</v>
      </c>
      <c r="C73" t="s">
        <v>266</v>
      </c>
      <c r="D73" s="3">
        <v>44377</v>
      </c>
      <c r="E73" s="3">
        <v>44377</v>
      </c>
      <c r="F73" s="3">
        <v>44381</v>
      </c>
      <c r="G73" t="s">
        <v>7</v>
      </c>
      <c r="H73" t="s">
        <v>2</v>
      </c>
      <c r="I73" s="4">
        <v>-10986.21</v>
      </c>
      <c r="J73" t="s">
        <v>3</v>
      </c>
      <c r="K73" t="s">
        <v>4</v>
      </c>
      <c r="L73" s="4">
        <v>-922292.33</v>
      </c>
      <c r="M73" s="4">
        <v>-10986.21</v>
      </c>
      <c r="N73" s="10" t="str">
        <f>IF(M73="","",IF(M73&lt;0,-M73&amp;"_"&amp;COUNTIF(M$2:M73,M73),M73&amp;"_"&amp;COUNTIF(M$2:M73,M73)))</f>
        <v>10986.21_1</v>
      </c>
      <c r="O73" s="11" t="str">
        <f t="shared" si="1"/>
        <v/>
      </c>
      <c r="P73" t="s">
        <v>267</v>
      </c>
      <c r="Q73" t="s">
        <v>172</v>
      </c>
      <c r="R73" t="s">
        <v>10</v>
      </c>
      <c r="S73" t="s">
        <v>0</v>
      </c>
      <c r="T73" t="s">
        <v>5</v>
      </c>
      <c r="U73" t="s">
        <v>268</v>
      </c>
      <c r="V73" t="s">
        <v>0</v>
      </c>
      <c r="W73" t="s">
        <v>0</v>
      </c>
      <c r="X73" t="s">
        <v>0</v>
      </c>
      <c r="Y73" t="s">
        <v>6</v>
      </c>
      <c r="Z73" t="s">
        <v>0</v>
      </c>
      <c r="AA73" s="3"/>
      <c r="AB73" t="s">
        <v>0</v>
      </c>
      <c r="AC73" t="s">
        <v>0</v>
      </c>
      <c r="AD73" t="s">
        <v>0</v>
      </c>
      <c r="AE73" s="4">
        <v>0</v>
      </c>
    </row>
    <row r="74" spans="1:31" ht="14.1" customHeight="1" x14ac:dyDescent="0.2">
      <c r="A74" s="2" t="s">
        <v>0</v>
      </c>
      <c r="B74" t="s">
        <v>1</v>
      </c>
      <c r="C74" t="s">
        <v>269</v>
      </c>
      <c r="D74" s="3">
        <v>44377</v>
      </c>
      <c r="E74" s="3">
        <v>44377</v>
      </c>
      <c r="F74" s="3">
        <v>44381</v>
      </c>
      <c r="G74" t="s">
        <v>7</v>
      </c>
      <c r="H74" t="s">
        <v>2</v>
      </c>
      <c r="I74" s="4">
        <v>-20377.05</v>
      </c>
      <c r="J74" t="s">
        <v>3</v>
      </c>
      <c r="K74" t="s">
        <v>4</v>
      </c>
      <c r="L74" s="4">
        <v>-1710653.35</v>
      </c>
      <c r="M74" s="4">
        <v>-20377.05</v>
      </c>
      <c r="N74" s="10" t="str">
        <f>IF(M74="","",IF(M74&lt;0,-M74&amp;"_"&amp;COUNTIF(M$2:M74,M74),M74&amp;"_"&amp;COUNTIF(M$2:M74,M74)))</f>
        <v>20377.05_1</v>
      </c>
      <c r="O74" s="11" t="str">
        <f t="shared" si="1"/>
        <v/>
      </c>
      <c r="P74" t="s">
        <v>270</v>
      </c>
      <c r="Q74" t="s">
        <v>172</v>
      </c>
      <c r="R74" t="s">
        <v>10</v>
      </c>
      <c r="S74" t="s">
        <v>0</v>
      </c>
      <c r="T74" t="s">
        <v>5</v>
      </c>
      <c r="U74" t="s">
        <v>271</v>
      </c>
      <c r="V74" t="s">
        <v>0</v>
      </c>
      <c r="W74" t="s">
        <v>0</v>
      </c>
      <c r="X74" t="s">
        <v>0</v>
      </c>
      <c r="Y74" t="s">
        <v>6</v>
      </c>
      <c r="Z74" t="s">
        <v>0</v>
      </c>
      <c r="AA74" s="3"/>
      <c r="AB74" t="s">
        <v>0</v>
      </c>
      <c r="AC74" t="s">
        <v>0</v>
      </c>
      <c r="AD74" t="s">
        <v>0</v>
      </c>
      <c r="AE74" s="4">
        <v>0</v>
      </c>
    </row>
    <row r="75" spans="1:31" ht="14.1" customHeight="1" x14ac:dyDescent="0.2">
      <c r="A75" s="2" t="s">
        <v>0</v>
      </c>
      <c r="B75" t="s">
        <v>1</v>
      </c>
      <c r="C75" t="s">
        <v>272</v>
      </c>
      <c r="D75" s="3">
        <v>44377</v>
      </c>
      <c r="E75" s="3">
        <v>44377</v>
      </c>
      <c r="F75" s="3">
        <v>44381</v>
      </c>
      <c r="G75" t="s">
        <v>7</v>
      </c>
      <c r="H75" t="s">
        <v>2</v>
      </c>
      <c r="I75" s="4">
        <v>-13035.09</v>
      </c>
      <c r="J75" t="s">
        <v>3</v>
      </c>
      <c r="K75" t="s">
        <v>4</v>
      </c>
      <c r="L75" s="4">
        <v>-1094295.81</v>
      </c>
      <c r="M75" s="4">
        <v>-13035.09</v>
      </c>
      <c r="N75" s="10" t="str">
        <f>IF(M75="","",IF(M75&lt;0,-M75&amp;"_"&amp;COUNTIF(M$2:M75,M75),M75&amp;"_"&amp;COUNTIF(M$2:M75,M75)))</f>
        <v>13035.09_1</v>
      </c>
      <c r="O75" s="11" t="str">
        <f t="shared" si="1"/>
        <v/>
      </c>
      <c r="P75" t="s">
        <v>273</v>
      </c>
      <c r="Q75" t="s">
        <v>172</v>
      </c>
      <c r="R75" t="s">
        <v>10</v>
      </c>
      <c r="S75" t="s">
        <v>0</v>
      </c>
      <c r="T75" t="s">
        <v>5</v>
      </c>
      <c r="U75" t="s">
        <v>274</v>
      </c>
      <c r="V75" t="s">
        <v>0</v>
      </c>
      <c r="W75" t="s">
        <v>0</v>
      </c>
      <c r="X75" t="s">
        <v>0</v>
      </c>
      <c r="Y75" t="s">
        <v>6</v>
      </c>
      <c r="Z75" t="s">
        <v>0</v>
      </c>
      <c r="AA75" s="3"/>
      <c r="AB75" t="s">
        <v>0</v>
      </c>
      <c r="AC75" t="s">
        <v>0</v>
      </c>
      <c r="AD75" t="s">
        <v>0</v>
      </c>
      <c r="AE75" s="4">
        <v>0</v>
      </c>
    </row>
    <row r="76" spans="1:31" ht="14.1" customHeight="1" x14ac:dyDescent="0.2">
      <c r="A76" s="2" t="s">
        <v>0</v>
      </c>
      <c r="B76" t="s">
        <v>1</v>
      </c>
      <c r="C76" t="s">
        <v>275</v>
      </c>
      <c r="D76" s="3">
        <v>44377</v>
      </c>
      <c r="E76" s="3">
        <v>44377</v>
      </c>
      <c r="F76" s="3">
        <v>44381</v>
      </c>
      <c r="G76" t="s">
        <v>7</v>
      </c>
      <c r="H76" t="s">
        <v>2</v>
      </c>
      <c r="I76" s="4">
        <v>-8000.77</v>
      </c>
      <c r="J76" t="s">
        <v>3</v>
      </c>
      <c r="K76" t="s">
        <v>4</v>
      </c>
      <c r="L76" s="4">
        <v>-671664.64000000001</v>
      </c>
      <c r="M76" s="4">
        <v>-8000.77</v>
      </c>
      <c r="N76" s="10" t="str">
        <f>IF(M76="","",IF(M76&lt;0,-M76&amp;"_"&amp;COUNTIF(M$2:M76,M76),M76&amp;"_"&amp;COUNTIF(M$2:M76,M76)))</f>
        <v>8000.77_1</v>
      </c>
      <c r="O76" s="11" t="str">
        <f t="shared" si="1"/>
        <v/>
      </c>
      <c r="P76" t="s">
        <v>276</v>
      </c>
      <c r="Q76" t="s">
        <v>214</v>
      </c>
      <c r="R76" t="s">
        <v>10</v>
      </c>
      <c r="S76" t="s">
        <v>0</v>
      </c>
      <c r="T76" t="s">
        <v>5</v>
      </c>
      <c r="U76" t="s">
        <v>277</v>
      </c>
      <c r="V76" t="s">
        <v>0</v>
      </c>
      <c r="W76" t="s">
        <v>0</v>
      </c>
      <c r="X76" t="s">
        <v>0</v>
      </c>
      <c r="Y76" t="s">
        <v>6</v>
      </c>
      <c r="Z76" t="s">
        <v>0</v>
      </c>
      <c r="AA76" s="3"/>
      <c r="AB76" t="s">
        <v>0</v>
      </c>
      <c r="AC76" t="s">
        <v>0</v>
      </c>
      <c r="AD76" t="s">
        <v>0</v>
      </c>
      <c r="AE76" s="4">
        <v>0</v>
      </c>
    </row>
    <row r="77" spans="1:31" ht="14.1" customHeight="1" x14ac:dyDescent="0.2">
      <c r="A77" s="2" t="s">
        <v>0</v>
      </c>
      <c r="B77" t="s">
        <v>1</v>
      </c>
      <c r="C77" t="s">
        <v>278</v>
      </c>
      <c r="D77" s="3">
        <v>44377</v>
      </c>
      <c r="E77" s="3">
        <v>44377</v>
      </c>
      <c r="F77" s="3">
        <v>44381</v>
      </c>
      <c r="G77" t="s">
        <v>7</v>
      </c>
      <c r="H77" t="s">
        <v>2</v>
      </c>
      <c r="I77" s="4">
        <v>-87300.160000000003</v>
      </c>
      <c r="J77" t="s">
        <v>3</v>
      </c>
      <c r="K77" t="s">
        <v>4</v>
      </c>
      <c r="L77" s="4">
        <v>-7328848.4299999997</v>
      </c>
      <c r="M77" s="4">
        <v>-87300.160000000003</v>
      </c>
      <c r="N77" s="10" t="str">
        <f>IF(M77="","",IF(M77&lt;0,-M77&amp;"_"&amp;COUNTIF(M$2:M77,M77),M77&amp;"_"&amp;COUNTIF(M$2:M77,M77)))</f>
        <v>87300.16_1</v>
      </c>
      <c r="O77" s="11" t="str">
        <f t="shared" si="1"/>
        <v/>
      </c>
      <c r="P77" t="s">
        <v>279</v>
      </c>
      <c r="Q77" t="s">
        <v>214</v>
      </c>
      <c r="R77" t="s">
        <v>10</v>
      </c>
      <c r="S77" t="s">
        <v>0</v>
      </c>
      <c r="T77" t="s">
        <v>5</v>
      </c>
      <c r="U77" t="s">
        <v>280</v>
      </c>
      <c r="V77" t="s">
        <v>0</v>
      </c>
      <c r="W77" t="s">
        <v>0</v>
      </c>
      <c r="X77" t="s">
        <v>0</v>
      </c>
      <c r="Y77" t="s">
        <v>6</v>
      </c>
      <c r="Z77" t="s">
        <v>0</v>
      </c>
      <c r="AA77" s="3"/>
      <c r="AB77" t="s">
        <v>0</v>
      </c>
      <c r="AC77" t="s">
        <v>0</v>
      </c>
      <c r="AD77" t="s">
        <v>0</v>
      </c>
      <c r="AE77" s="4">
        <v>0</v>
      </c>
    </row>
    <row r="79" spans="1:31" x14ac:dyDescent="0.2">
      <c r="M79" s="6">
        <f>SUBTOTAL(9,M2:M77)</f>
        <v>-1943378.91</v>
      </c>
      <c r="N79" s="7" t="s">
        <v>310</v>
      </c>
    </row>
  </sheetData>
  <autoFilter ref="A1:AE77" xr:uid="{00000000-0001-0000-0000-000000000000}"/>
  <phoneticPr fontId="0" type="noConversion"/>
  <pageMargins left="0.75" right="0.75" top="1" bottom="1" header="0.5" footer="0.5"/>
  <pageSetup paperSize="1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D32A-0AEC-4604-9E8C-F6656CE138CB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A215-8FD1-4131-A6DC-F19EFA31BDCC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7A75-0BB9-490A-A726-949C2E20F508}">
  <dimension ref="A1:AF79"/>
  <sheetViews>
    <sheetView workbookViewId="0">
      <selection activeCell="A2" sqref="A2"/>
    </sheetView>
  </sheetViews>
  <sheetFormatPr defaultRowHeight="12.75" x14ac:dyDescent="0.2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6" bestFit="1" customWidth="1"/>
    <col min="13" max="13" width="22" bestFit="1" customWidth="1"/>
    <col min="14" max="16" width="22" customWidth="1"/>
    <col min="17" max="17" width="18" bestFit="1" customWidth="1"/>
    <col min="18" max="18" width="20" bestFit="1" customWidth="1"/>
    <col min="19" max="19" width="52" bestFit="1" customWidth="1"/>
    <col min="20" max="20" width="21" bestFit="1" customWidth="1"/>
    <col min="21" max="21" width="6" bestFit="1" customWidth="1"/>
    <col min="22" max="22" width="27" bestFit="1" customWidth="1"/>
    <col min="23" max="23" width="13" bestFit="1" customWidth="1"/>
    <col min="24" max="25" width="12" bestFit="1" customWidth="1"/>
    <col min="26" max="26" width="15" bestFit="1" customWidth="1"/>
    <col min="27" max="27" width="19" bestFit="1" customWidth="1"/>
    <col min="28" max="28" width="15" bestFit="1" customWidth="1"/>
    <col min="29" max="29" width="18" bestFit="1" customWidth="1"/>
    <col min="30" max="30" width="19" bestFit="1" customWidth="1"/>
    <col min="31" max="31" width="16" bestFit="1" customWidth="1"/>
    <col min="32" max="32" width="14" bestFit="1" customWidth="1"/>
  </cols>
  <sheetData>
    <row r="1" spans="1:32" ht="51" x14ac:dyDescent="0.2">
      <c r="A1" s="5" t="s">
        <v>281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5" t="s">
        <v>287</v>
      </c>
      <c r="H1" s="5" t="s">
        <v>288</v>
      </c>
      <c r="I1" s="1" t="s">
        <v>289</v>
      </c>
      <c r="J1" s="1" t="s">
        <v>290</v>
      </c>
      <c r="K1" s="5" t="s">
        <v>291</v>
      </c>
      <c r="L1" s="5" t="s">
        <v>292</v>
      </c>
      <c r="M1" s="1" t="s">
        <v>293</v>
      </c>
      <c r="N1" s="12" t="s">
        <v>313</v>
      </c>
      <c r="O1" s="8" t="s">
        <v>311</v>
      </c>
      <c r="P1" s="9" t="s">
        <v>312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5" t="s">
        <v>309</v>
      </c>
    </row>
    <row r="2" spans="1:32" ht="14.1" customHeight="1" x14ac:dyDescent="0.2">
      <c r="A2" s="2" t="s">
        <v>0</v>
      </c>
      <c r="B2" t="s">
        <v>1</v>
      </c>
      <c r="C2" t="s">
        <v>143</v>
      </c>
      <c r="D2" s="3">
        <v>44334</v>
      </c>
      <c r="E2" s="3">
        <v>44334</v>
      </c>
      <c r="F2" s="3">
        <v>44338</v>
      </c>
      <c r="G2" t="s">
        <v>7</v>
      </c>
      <c r="H2" t="s">
        <v>2</v>
      </c>
      <c r="I2" s="4">
        <v>-163410.26999999999</v>
      </c>
      <c r="J2" t="s">
        <v>3</v>
      </c>
      <c r="K2" t="s">
        <v>4</v>
      </c>
      <c r="L2" s="4">
        <v>-13718292.17</v>
      </c>
      <c r="M2" s="4">
        <v>-163410.26999999999</v>
      </c>
      <c r="N2" s="4">
        <f t="shared" ref="N2:N33" si="0">ABS(M2)</f>
        <v>163410.26999999999</v>
      </c>
      <c r="O2" s="10" t="str">
        <f>IF(M2="","",IF(M2&lt;0,-M2&amp;"_"&amp;COUNTIF(M$2:M2,M2),M2&amp;"_"&amp;COUNTIF(M$2:M2,M2)))</f>
        <v>163410.27_1</v>
      </c>
      <c r="P2" s="11" t="str">
        <f t="shared" ref="P2:P33" si="1">IF(COUNTIF(O:O,O2)=2,"x","")</f>
        <v/>
      </c>
      <c r="Q2" t="s">
        <v>144</v>
      </c>
      <c r="R2" t="s">
        <v>144</v>
      </c>
      <c r="S2" t="s">
        <v>15</v>
      </c>
      <c r="T2" t="s">
        <v>0</v>
      </c>
      <c r="U2" t="s">
        <v>5</v>
      </c>
      <c r="V2" t="s">
        <v>145</v>
      </c>
      <c r="W2" t="s">
        <v>0</v>
      </c>
      <c r="X2" t="s">
        <v>0</v>
      </c>
      <c r="Y2" t="s">
        <v>0</v>
      </c>
      <c r="Z2" t="s">
        <v>6</v>
      </c>
      <c r="AA2" t="s">
        <v>0</v>
      </c>
      <c r="AB2" s="3"/>
      <c r="AC2" t="s">
        <v>0</v>
      </c>
      <c r="AD2" t="s">
        <v>0</v>
      </c>
      <c r="AE2" t="s">
        <v>0</v>
      </c>
      <c r="AF2" s="4">
        <v>0</v>
      </c>
    </row>
    <row r="3" spans="1:32" ht="14.1" customHeight="1" x14ac:dyDescent="0.2">
      <c r="A3" s="2" t="s">
        <v>0</v>
      </c>
      <c r="B3" t="s">
        <v>202</v>
      </c>
      <c r="C3" t="s">
        <v>262</v>
      </c>
      <c r="D3" s="3">
        <v>44377</v>
      </c>
      <c r="E3" s="3">
        <v>44377</v>
      </c>
      <c r="F3" s="3">
        <v>44384</v>
      </c>
      <c r="G3" t="s">
        <v>204</v>
      </c>
      <c r="H3" t="s">
        <v>2</v>
      </c>
      <c r="I3" s="4">
        <v>-141383.01999999999</v>
      </c>
      <c r="J3" t="s">
        <v>3</v>
      </c>
      <c r="K3" t="s">
        <v>4</v>
      </c>
      <c r="L3" s="4">
        <v>-11869104.529999999</v>
      </c>
      <c r="M3" s="4">
        <v>-141383.01999999999</v>
      </c>
      <c r="N3" s="4">
        <f t="shared" si="0"/>
        <v>141383.01999999999</v>
      </c>
      <c r="O3" s="10" t="str">
        <f>IF(M3="","",IF(M3&lt;0,-M3&amp;"_"&amp;COUNTIF(M$2:M3,M3),M3&amp;"_"&amp;COUNTIF(M$2:M3,M3)))</f>
        <v>141383.02_1</v>
      </c>
      <c r="P3" s="11" t="str">
        <f t="shared" si="1"/>
        <v/>
      </c>
      <c r="Q3" t="s">
        <v>263</v>
      </c>
      <c r="R3" t="s">
        <v>206</v>
      </c>
      <c r="S3" t="s">
        <v>264</v>
      </c>
      <c r="T3" t="s">
        <v>0</v>
      </c>
      <c r="U3" t="s">
        <v>5</v>
      </c>
      <c r="V3" t="s">
        <v>265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s="3"/>
      <c r="AC3" t="s">
        <v>0</v>
      </c>
      <c r="AD3" t="s">
        <v>0</v>
      </c>
      <c r="AE3" t="s">
        <v>0</v>
      </c>
      <c r="AF3" s="4">
        <v>0</v>
      </c>
    </row>
    <row r="4" spans="1:32" ht="14.1" customHeight="1" x14ac:dyDescent="0.2">
      <c r="A4" s="2" t="s">
        <v>0</v>
      </c>
      <c r="B4" t="s">
        <v>1</v>
      </c>
      <c r="C4" t="s">
        <v>137</v>
      </c>
      <c r="D4" s="3">
        <v>44327</v>
      </c>
      <c r="E4" s="3">
        <v>44327</v>
      </c>
      <c r="F4" s="3">
        <v>44338</v>
      </c>
      <c r="G4" t="s">
        <v>7</v>
      </c>
      <c r="H4" t="s">
        <v>2</v>
      </c>
      <c r="I4" s="4">
        <v>-119581.61</v>
      </c>
      <c r="J4" t="s">
        <v>3</v>
      </c>
      <c r="K4" t="s">
        <v>4</v>
      </c>
      <c r="L4" s="4">
        <v>-10038876.16</v>
      </c>
      <c r="M4" s="4">
        <v>-119581.61</v>
      </c>
      <c r="N4" s="4">
        <f t="shared" si="0"/>
        <v>119581.61</v>
      </c>
      <c r="O4" s="10" t="str">
        <f>IF(M4="","",IF(M4&lt;0,-M4&amp;"_"&amp;COUNTIF(M$2:M4,M4),M4&amp;"_"&amp;COUNTIF(M$2:M4,M4)))</f>
        <v>119581.61_1</v>
      </c>
      <c r="P4" s="11" t="str">
        <f t="shared" si="1"/>
        <v/>
      </c>
      <c r="Q4" t="s">
        <v>138</v>
      </c>
      <c r="R4" t="s">
        <v>138</v>
      </c>
      <c r="S4" t="s">
        <v>15</v>
      </c>
      <c r="T4" t="s">
        <v>0</v>
      </c>
      <c r="U4" t="s">
        <v>5</v>
      </c>
      <c r="V4" t="s">
        <v>139</v>
      </c>
      <c r="W4" t="s">
        <v>0</v>
      </c>
      <c r="X4" t="s">
        <v>0</v>
      </c>
      <c r="Y4" t="s">
        <v>0</v>
      </c>
      <c r="Z4" t="s">
        <v>6</v>
      </c>
      <c r="AA4" t="s">
        <v>0</v>
      </c>
      <c r="AB4" s="3"/>
      <c r="AC4" t="s">
        <v>0</v>
      </c>
      <c r="AD4" t="s">
        <v>0</v>
      </c>
      <c r="AE4" t="s">
        <v>0</v>
      </c>
      <c r="AF4" s="4">
        <v>0</v>
      </c>
    </row>
    <row r="5" spans="1:32" ht="14.1" customHeight="1" x14ac:dyDescent="0.2">
      <c r="A5" s="2" t="s">
        <v>0</v>
      </c>
      <c r="B5" t="s">
        <v>1</v>
      </c>
      <c r="C5" t="s">
        <v>111</v>
      </c>
      <c r="D5" s="3">
        <v>44314</v>
      </c>
      <c r="E5" s="3">
        <v>44314</v>
      </c>
      <c r="F5" s="3">
        <v>44315</v>
      </c>
      <c r="G5" t="s">
        <v>7</v>
      </c>
      <c r="H5" t="s">
        <v>2</v>
      </c>
      <c r="I5" s="4">
        <v>-106065.72</v>
      </c>
      <c r="J5" t="s">
        <v>3</v>
      </c>
      <c r="K5" t="s">
        <v>4</v>
      </c>
      <c r="L5" s="4">
        <v>-8904217.1899999995</v>
      </c>
      <c r="M5" s="4">
        <v>-106065.72</v>
      </c>
      <c r="N5" s="4">
        <f t="shared" si="0"/>
        <v>106065.72</v>
      </c>
      <c r="O5" s="10" t="str">
        <f>IF(M5="","",IF(M5&lt;0,-M5&amp;"_"&amp;COUNTIF(M$2:M5,M5),M5&amp;"_"&amp;COUNTIF(M$2:M5,M5)))</f>
        <v>106065.72_1</v>
      </c>
      <c r="P5" s="11" t="str">
        <f t="shared" si="1"/>
        <v/>
      </c>
      <c r="Q5" t="s">
        <v>112</v>
      </c>
      <c r="R5" t="s">
        <v>112</v>
      </c>
      <c r="S5" t="s">
        <v>10</v>
      </c>
      <c r="T5" t="s">
        <v>0</v>
      </c>
      <c r="U5" t="s">
        <v>5</v>
      </c>
      <c r="V5" t="s">
        <v>113</v>
      </c>
      <c r="W5" t="s">
        <v>0</v>
      </c>
      <c r="X5" t="s">
        <v>0</v>
      </c>
      <c r="Y5" t="s">
        <v>0</v>
      </c>
      <c r="Z5" t="s">
        <v>6</v>
      </c>
      <c r="AA5" t="s">
        <v>0</v>
      </c>
      <c r="AB5" s="3"/>
      <c r="AC5" t="s">
        <v>0</v>
      </c>
      <c r="AD5" t="s">
        <v>0</v>
      </c>
      <c r="AE5" t="s">
        <v>0</v>
      </c>
      <c r="AF5" s="4">
        <v>0</v>
      </c>
    </row>
    <row r="6" spans="1:32" ht="14.1" customHeight="1" x14ac:dyDescent="0.2">
      <c r="A6" s="2" t="s">
        <v>0</v>
      </c>
      <c r="B6" t="s">
        <v>1</v>
      </c>
      <c r="C6" t="s">
        <v>278</v>
      </c>
      <c r="D6" s="3">
        <v>44377</v>
      </c>
      <c r="E6" s="3">
        <v>44377</v>
      </c>
      <c r="F6" s="3">
        <v>44381</v>
      </c>
      <c r="G6" t="s">
        <v>7</v>
      </c>
      <c r="H6" t="s">
        <v>2</v>
      </c>
      <c r="I6" s="4">
        <v>-87300.160000000003</v>
      </c>
      <c r="J6" t="s">
        <v>3</v>
      </c>
      <c r="K6" t="s">
        <v>4</v>
      </c>
      <c r="L6" s="4">
        <v>-7328848.4299999997</v>
      </c>
      <c r="M6" s="4">
        <v>-87300.160000000003</v>
      </c>
      <c r="N6" s="4">
        <f t="shared" si="0"/>
        <v>87300.160000000003</v>
      </c>
      <c r="O6" s="10" t="str">
        <f>IF(M6="","",IF(M6&lt;0,-M6&amp;"_"&amp;COUNTIF(M$2:M6,M6),M6&amp;"_"&amp;COUNTIF(M$2:M6,M6)))</f>
        <v>87300.16_1</v>
      </c>
      <c r="P6" s="11" t="str">
        <f t="shared" si="1"/>
        <v/>
      </c>
      <c r="Q6" t="s">
        <v>279</v>
      </c>
      <c r="R6" t="s">
        <v>214</v>
      </c>
      <c r="S6" t="s">
        <v>10</v>
      </c>
      <c r="T6" t="s">
        <v>0</v>
      </c>
      <c r="U6" t="s">
        <v>5</v>
      </c>
      <c r="V6" t="s">
        <v>280</v>
      </c>
      <c r="W6" t="s">
        <v>0</v>
      </c>
      <c r="X6" t="s">
        <v>0</v>
      </c>
      <c r="Y6" t="s">
        <v>0</v>
      </c>
      <c r="Z6" t="s">
        <v>6</v>
      </c>
      <c r="AA6" t="s">
        <v>0</v>
      </c>
      <c r="AB6" s="3"/>
      <c r="AC6" t="s">
        <v>0</v>
      </c>
      <c r="AD6" t="s">
        <v>0</v>
      </c>
      <c r="AE6" t="s">
        <v>0</v>
      </c>
      <c r="AF6" s="4">
        <v>0</v>
      </c>
    </row>
    <row r="7" spans="1:32" ht="14.1" customHeight="1" x14ac:dyDescent="0.2">
      <c r="A7" s="2" t="s">
        <v>0</v>
      </c>
      <c r="B7" t="s">
        <v>1</v>
      </c>
      <c r="C7" t="s">
        <v>140</v>
      </c>
      <c r="D7" s="3">
        <v>44334</v>
      </c>
      <c r="E7" s="3">
        <v>44334</v>
      </c>
      <c r="F7" s="3">
        <v>44338</v>
      </c>
      <c r="G7" t="s">
        <v>7</v>
      </c>
      <c r="H7" t="s">
        <v>2</v>
      </c>
      <c r="I7" s="4">
        <v>-81644</v>
      </c>
      <c r="J7" t="s">
        <v>3</v>
      </c>
      <c r="K7" t="s">
        <v>4</v>
      </c>
      <c r="L7" s="4">
        <v>-6854013.7999999998</v>
      </c>
      <c r="M7" s="4">
        <v>-81644</v>
      </c>
      <c r="N7" s="4">
        <f t="shared" si="0"/>
        <v>81644</v>
      </c>
      <c r="O7" s="10" t="str">
        <f>IF(M7="","",IF(M7&lt;0,-M7&amp;"_"&amp;COUNTIF(M$2:M7,M7),M7&amp;"_"&amp;COUNTIF(M$2:M7,M7)))</f>
        <v>81644_1</v>
      </c>
      <c r="P7" s="11" t="str">
        <f t="shared" si="1"/>
        <v/>
      </c>
      <c r="Q7" t="s">
        <v>141</v>
      </c>
      <c r="R7" t="s">
        <v>141</v>
      </c>
      <c r="S7" t="s">
        <v>15</v>
      </c>
      <c r="T7" t="s">
        <v>0</v>
      </c>
      <c r="U7" t="s">
        <v>5</v>
      </c>
      <c r="V7" t="s">
        <v>142</v>
      </c>
      <c r="W7" t="s">
        <v>0</v>
      </c>
      <c r="X7" t="s">
        <v>0</v>
      </c>
      <c r="Y7" t="s">
        <v>0</v>
      </c>
      <c r="Z7" t="s">
        <v>6</v>
      </c>
      <c r="AA7" t="s">
        <v>0</v>
      </c>
      <c r="AB7" s="3"/>
      <c r="AC7" t="s">
        <v>0</v>
      </c>
      <c r="AD7" t="s">
        <v>0</v>
      </c>
      <c r="AE7" t="s">
        <v>0</v>
      </c>
      <c r="AF7" s="4">
        <v>0</v>
      </c>
    </row>
    <row r="8" spans="1:32" ht="14.1" customHeight="1" x14ac:dyDescent="0.2">
      <c r="A8" s="2" t="s">
        <v>0</v>
      </c>
      <c r="B8" t="s">
        <v>1</v>
      </c>
      <c r="C8" t="s">
        <v>199</v>
      </c>
      <c r="D8" s="3">
        <v>44363</v>
      </c>
      <c r="E8" s="3">
        <v>44363</v>
      </c>
      <c r="F8" s="3">
        <v>44369</v>
      </c>
      <c r="G8" t="s">
        <v>7</v>
      </c>
      <c r="H8" t="s">
        <v>2</v>
      </c>
      <c r="I8" s="4">
        <v>-80581.59</v>
      </c>
      <c r="J8" t="s">
        <v>3</v>
      </c>
      <c r="K8" t="s">
        <v>4</v>
      </c>
      <c r="L8" s="4">
        <v>-6764824.4800000004</v>
      </c>
      <c r="M8" s="4">
        <v>-80581.59</v>
      </c>
      <c r="N8" s="4">
        <f t="shared" si="0"/>
        <v>80581.59</v>
      </c>
      <c r="O8" s="10" t="str">
        <f>IF(M8="","",IF(M8&lt;0,-M8&amp;"_"&amp;COUNTIF(M$2:M8,M8),M8&amp;"_"&amp;COUNTIF(M$2:M8,M8)))</f>
        <v>80581.59_1</v>
      </c>
      <c r="P8" s="11" t="str">
        <f t="shared" si="1"/>
        <v/>
      </c>
      <c r="Q8" t="s">
        <v>200</v>
      </c>
      <c r="R8" t="s">
        <v>172</v>
      </c>
      <c r="S8" t="s">
        <v>82</v>
      </c>
      <c r="T8" t="s">
        <v>0</v>
      </c>
      <c r="U8" t="s">
        <v>5</v>
      </c>
      <c r="V8" t="s">
        <v>201</v>
      </c>
      <c r="W8" t="s">
        <v>0</v>
      </c>
      <c r="X8" t="s">
        <v>0</v>
      </c>
      <c r="Y8" t="s">
        <v>0</v>
      </c>
      <c r="Z8" t="s">
        <v>6</v>
      </c>
      <c r="AA8" t="s">
        <v>0</v>
      </c>
      <c r="AB8" s="3"/>
      <c r="AC8" t="s">
        <v>0</v>
      </c>
      <c r="AD8" t="s">
        <v>0</v>
      </c>
      <c r="AE8" t="s">
        <v>0</v>
      </c>
      <c r="AF8" s="4">
        <v>0</v>
      </c>
    </row>
    <row r="9" spans="1:32" ht="14.1" customHeight="1" x14ac:dyDescent="0.2">
      <c r="A9" s="2" t="s">
        <v>0</v>
      </c>
      <c r="B9" t="s">
        <v>1</v>
      </c>
      <c r="C9" t="s">
        <v>223</v>
      </c>
      <c r="D9" s="3">
        <v>44371</v>
      </c>
      <c r="E9" s="3">
        <v>44371</v>
      </c>
      <c r="F9" s="3">
        <v>44374</v>
      </c>
      <c r="G9" t="s">
        <v>7</v>
      </c>
      <c r="H9" t="s">
        <v>2</v>
      </c>
      <c r="I9" s="4">
        <v>-75944.12</v>
      </c>
      <c r="J9" t="s">
        <v>3</v>
      </c>
      <c r="K9" t="s">
        <v>4</v>
      </c>
      <c r="L9" s="4">
        <v>-6375508.8700000001</v>
      </c>
      <c r="M9" s="4">
        <v>-75944.12</v>
      </c>
      <c r="N9" s="4">
        <f t="shared" si="0"/>
        <v>75944.12</v>
      </c>
      <c r="O9" s="10" t="str">
        <f>IF(M9="","",IF(M9&lt;0,-M9&amp;"_"&amp;COUNTIF(M$2:M9,M9),M9&amp;"_"&amp;COUNTIF(M$2:M9,M9)))</f>
        <v>75944.12_1</v>
      </c>
      <c r="P9" s="11" t="str">
        <f t="shared" si="1"/>
        <v/>
      </c>
      <c r="Q9" t="s">
        <v>224</v>
      </c>
      <c r="R9" t="s">
        <v>214</v>
      </c>
      <c r="S9" t="s">
        <v>10</v>
      </c>
      <c r="T9" t="s">
        <v>0</v>
      </c>
      <c r="U9" t="s">
        <v>5</v>
      </c>
      <c r="V9" t="s">
        <v>225</v>
      </c>
      <c r="W9" t="s">
        <v>0</v>
      </c>
      <c r="X9" t="s">
        <v>0</v>
      </c>
      <c r="Y9" t="s">
        <v>0</v>
      </c>
      <c r="Z9" t="s">
        <v>6</v>
      </c>
      <c r="AA9" t="s">
        <v>0</v>
      </c>
      <c r="AB9" s="3"/>
      <c r="AC9" t="s">
        <v>0</v>
      </c>
      <c r="AD9" t="s">
        <v>0</v>
      </c>
      <c r="AE9" t="s">
        <v>0</v>
      </c>
      <c r="AF9" s="4">
        <v>0</v>
      </c>
    </row>
    <row r="10" spans="1:32" ht="14.1" customHeight="1" x14ac:dyDescent="0.2">
      <c r="A10" s="2" t="s">
        <v>0</v>
      </c>
      <c r="B10" t="s">
        <v>1</v>
      </c>
      <c r="C10" t="s">
        <v>62</v>
      </c>
      <c r="D10" s="3">
        <v>44293</v>
      </c>
      <c r="E10" s="3">
        <v>44293</v>
      </c>
      <c r="F10" s="3">
        <v>44298</v>
      </c>
      <c r="G10" t="s">
        <v>7</v>
      </c>
      <c r="H10" t="s">
        <v>2</v>
      </c>
      <c r="I10" s="4">
        <v>-74435.100000000006</v>
      </c>
      <c r="J10" t="s">
        <v>3</v>
      </c>
      <c r="K10" t="s">
        <v>4</v>
      </c>
      <c r="L10" s="4">
        <v>-6248826.6500000004</v>
      </c>
      <c r="M10" s="4">
        <v>-74435.100000000006</v>
      </c>
      <c r="N10" s="4">
        <f t="shared" si="0"/>
        <v>74435.100000000006</v>
      </c>
      <c r="O10" s="10" t="str">
        <f>IF(M10="","",IF(M10&lt;0,-M10&amp;"_"&amp;COUNTIF(M$2:M10,M10),M10&amp;"_"&amp;COUNTIF(M$2:M10,M10)))</f>
        <v>74435.1_1</v>
      </c>
      <c r="P10" s="11" t="str">
        <f t="shared" si="1"/>
        <v/>
      </c>
      <c r="Q10" t="s">
        <v>63</v>
      </c>
      <c r="R10" t="s">
        <v>63</v>
      </c>
      <c r="S10" t="s">
        <v>44</v>
      </c>
      <c r="T10" t="s">
        <v>0</v>
      </c>
      <c r="U10" t="s">
        <v>5</v>
      </c>
      <c r="V10" t="s">
        <v>64</v>
      </c>
      <c r="W10" t="s">
        <v>0</v>
      </c>
      <c r="X10" t="s">
        <v>0</v>
      </c>
      <c r="Y10" t="s">
        <v>0</v>
      </c>
      <c r="Z10" t="s">
        <v>6</v>
      </c>
      <c r="AA10" t="s">
        <v>0</v>
      </c>
      <c r="AB10" s="3"/>
      <c r="AC10" t="s">
        <v>0</v>
      </c>
      <c r="AD10" t="s">
        <v>0</v>
      </c>
      <c r="AE10" t="s">
        <v>0</v>
      </c>
      <c r="AF10" s="4">
        <v>0</v>
      </c>
    </row>
    <row r="11" spans="1:32" ht="14.1" customHeight="1" x14ac:dyDescent="0.2">
      <c r="A11" s="2" t="s">
        <v>0</v>
      </c>
      <c r="B11" t="s">
        <v>1</v>
      </c>
      <c r="C11" t="s">
        <v>170</v>
      </c>
      <c r="D11" s="3">
        <v>44347</v>
      </c>
      <c r="E11" s="3">
        <v>44347</v>
      </c>
      <c r="F11" s="3">
        <v>44348</v>
      </c>
      <c r="G11" t="s">
        <v>7</v>
      </c>
      <c r="H11" t="s">
        <v>2</v>
      </c>
      <c r="I11" s="4">
        <v>-66528.639999999999</v>
      </c>
      <c r="J11" t="s">
        <v>3</v>
      </c>
      <c r="K11" t="s">
        <v>4</v>
      </c>
      <c r="L11" s="4">
        <v>-5585079.3300000001</v>
      </c>
      <c r="M11" s="4">
        <v>-66528.639999999999</v>
      </c>
      <c r="N11" s="4">
        <f t="shared" si="0"/>
        <v>66528.639999999999</v>
      </c>
      <c r="O11" s="10" t="str">
        <f>IF(M11="","",IF(M11&lt;0,-M11&amp;"_"&amp;COUNTIF(M$2:M11,M11),M11&amp;"_"&amp;COUNTIF(M$2:M11,M11)))</f>
        <v>66528.64_1</v>
      </c>
      <c r="P11" s="11" t="str">
        <f t="shared" si="1"/>
        <v/>
      </c>
      <c r="Q11" t="s">
        <v>171</v>
      </c>
      <c r="R11" t="s">
        <v>172</v>
      </c>
      <c r="S11" t="s">
        <v>10</v>
      </c>
      <c r="T11" t="s">
        <v>0</v>
      </c>
      <c r="U11" t="s">
        <v>5</v>
      </c>
      <c r="V11" t="s">
        <v>173</v>
      </c>
      <c r="W11" t="s">
        <v>0</v>
      </c>
      <c r="X11" t="s">
        <v>0</v>
      </c>
      <c r="Y11" t="s">
        <v>0</v>
      </c>
      <c r="Z11" t="s">
        <v>6</v>
      </c>
      <c r="AA11" t="s">
        <v>0</v>
      </c>
      <c r="AB11" s="3"/>
      <c r="AC11" t="s">
        <v>0</v>
      </c>
      <c r="AD11" t="s">
        <v>0</v>
      </c>
      <c r="AE11" t="s">
        <v>0</v>
      </c>
      <c r="AF11" s="4">
        <v>0</v>
      </c>
    </row>
    <row r="12" spans="1:32" ht="14.1" customHeight="1" x14ac:dyDescent="0.2">
      <c r="A12" s="2" t="s">
        <v>0</v>
      </c>
      <c r="B12" t="s">
        <v>1</v>
      </c>
      <c r="C12" t="s">
        <v>131</v>
      </c>
      <c r="D12" s="3">
        <v>44325</v>
      </c>
      <c r="E12" s="3">
        <v>44325</v>
      </c>
      <c r="F12" s="3">
        <v>44338</v>
      </c>
      <c r="G12" t="s">
        <v>7</v>
      </c>
      <c r="H12" t="s">
        <v>2</v>
      </c>
      <c r="I12" s="4">
        <v>-50517.93</v>
      </c>
      <c r="J12" t="s">
        <v>3</v>
      </c>
      <c r="K12" t="s">
        <v>4</v>
      </c>
      <c r="L12" s="4">
        <v>-4240980.22</v>
      </c>
      <c r="M12" s="4">
        <v>-50517.93</v>
      </c>
      <c r="N12" s="4">
        <f t="shared" si="0"/>
        <v>50517.93</v>
      </c>
      <c r="O12" s="10" t="str">
        <f>IF(M12="","",IF(M12&lt;0,-M12&amp;"_"&amp;COUNTIF(M$2:M12,M12),M12&amp;"_"&amp;COUNTIF(M$2:M12,M12)))</f>
        <v>50517.93_1</v>
      </c>
      <c r="P12" s="11" t="str">
        <f t="shared" si="1"/>
        <v/>
      </c>
      <c r="Q12" t="s">
        <v>132</v>
      </c>
      <c r="R12" t="s">
        <v>132</v>
      </c>
      <c r="S12" t="s">
        <v>15</v>
      </c>
      <c r="T12" t="s">
        <v>0</v>
      </c>
      <c r="U12" t="s">
        <v>5</v>
      </c>
      <c r="V12" t="s">
        <v>133</v>
      </c>
      <c r="W12" t="s">
        <v>0</v>
      </c>
      <c r="X12" t="s">
        <v>0</v>
      </c>
      <c r="Y12" t="s">
        <v>0</v>
      </c>
      <c r="Z12" t="s">
        <v>6</v>
      </c>
      <c r="AA12" t="s">
        <v>0</v>
      </c>
      <c r="AB12" s="3"/>
      <c r="AC12" t="s">
        <v>0</v>
      </c>
      <c r="AD12" t="s">
        <v>0</v>
      </c>
      <c r="AE12" t="s">
        <v>0</v>
      </c>
      <c r="AF12" s="4">
        <v>0</v>
      </c>
    </row>
    <row r="13" spans="1:32" ht="14.1" customHeight="1" x14ac:dyDescent="0.2">
      <c r="A13" s="2" t="s">
        <v>0</v>
      </c>
      <c r="B13" t="s">
        <v>1</v>
      </c>
      <c r="C13" t="s">
        <v>187</v>
      </c>
      <c r="D13" s="3">
        <v>44356</v>
      </c>
      <c r="E13" s="3">
        <v>44356</v>
      </c>
      <c r="F13" s="3">
        <v>44369</v>
      </c>
      <c r="G13" t="s">
        <v>7</v>
      </c>
      <c r="H13" t="s">
        <v>2</v>
      </c>
      <c r="I13" s="4">
        <v>-48484.77</v>
      </c>
      <c r="J13" t="s">
        <v>3</v>
      </c>
      <c r="K13" t="s">
        <v>4</v>
      </c>
      <c r="L13" s="4">
        <v>-4070296.44</v>
      </c>
      <c r="M13" s="4">
        <v>-48484.77</v>
      </c>
      <c r="N13" s="4">
        <f t="shared" si="0"/>
        <v>48484.77</v>
      </c>
      <c r="O13" s="10" t="str">
        <f>IF(M13="","",IF(M13&lt;0,-M13&amp;"_"&amp;COUNTIF(M$2:M13,M13),M13&amp;"_"&amp;COUNTIF(M$2:M13,M13)))</f>
        <v>48484.77_1</v>
      </c>
      <c r="P13" s="11" t="str">
        <f t="shared" si="1"/>
        <v/>
      </c>
      <c r="Q13" t="s">
        <v>188</v>
      </c>
      <c r="R13" t="s">
        <v>172</v>
      </c>
      <c r="S13" t="s">
        <v>82</v>
      </c>
      <c r="T13" t="s">
        <v>0</v>
      </c>
      <c r="U13" t="s">
        <v>5</v>
      </c>
      <c r="V13" t="s">
        <v>189</v>
      </c>
      <c r="W13" t="s">
        <v>0</v>
      </c>
      <c r="X13" t="s">
        <v>0</v>
      </c>
      <c r="Y13" t="s">
        <v>0</v>
      </c>
      <c r="Z13" t="s">
        <v>6</v>
      </c>
      <c r="AA13" t="s">
        <v>0</v>
      </c>
      <c r="AB13" s="3"/>
      <c r="AC13" t="s">
        <v>0</v>
      </c>
      <c r="AD13" t="s">
        <v>0</v>
      </c>
      <c r="AE13" t="s">
        <v>0</v>
      </c>
      <c r="AF13" s="4">
        <v>0</v>
      </c>
    </row>
    <row r="14" spans="1:32" ht="14.1" customHeight="1" x14ac:dyDescent="0.2">
      <c r="A14" s="2" t="s">
        <v>0</v>
      </c>
      <c r="B14" t="s">
        <v>1</v>
      </c>
      <c r="C14" t="s">
        <v>102</v>
      </c>
      <c r="D14" s="3">
        <v>44307</v>
      </c>
      <c r="E14" s="3">
        <v>44307</v>
      </c>
      <c r="F14" s="3">
        <v>44308</v>
      </c>
      <c r="G14" t="s">
        <v>7</v>
      </c>
      <c r="H14" t="s">
        <v>2</v>
      </c>
      <c r="I14" s="4">
        <v>-44104.14</v>
      </c>
      <c r="J14" t="s">
        <v>3</v>
      </c>
      <c r="K14" t="s">
        <v>4</v>
      </c>
      <c r="L14" s="4">
        <v>-3702542.55</v>
      </c>
      <c r="M14" s="4">
        <v>-44104.14</v>
      </c>
      <c r="N14" s="4">
        <f t="shared" si="0"/>
        <v>44104.14</v>
      </c>
      <c r="O14" s="10" t="str">
        <f>IF(M14="","",IF(M14&lt;0,-M14&amp;"_"&amp;COUNTIF(M$2:M14,M14),M14&amp;"_"&amp;COUNTIF(M$2:M14,M14)))</f>
        <v>44104.14_1</v>
      </c>
      <c r="P14" s="11" t="str">
        <f t="shared" si="1"/>
        <v/>
      </c>
      <c r="Q14" t="s">
        <v>103</v>
      </c>
      <c r="R14" t="s">
        <v>103</v>
      </c>
      <c r="S14" t="s">
        <v>82</v>
      </c>
      <c r="T14" t="s">
        <v>0</v>
      </c>
      <c r="U14" t="s">
        <v>5</v>
      </c>
      <c r="V14" t="s">
        <v>104</v>
      </c>
      <c r="W14" t="s">
        <v>0</v>
      </c>
      <c r="X14" t="s">
        <v>0</v>
      </c>
      <c r="Y14" t="s">
        <v>0</v>
      </c>
      <c r="Z14" t="s">
        <v>6</v>
      </c>
      <c r="AA14" t="s">
        <v>0</v>
      </c>
      <c r="AB14" s="3"/>
      <c r="AC14" t="s">
        <v>0</v>
      </c>
      <c r="AD14" t="s">
        <v>0</v>
      </c>
      <c r="AE14" t="s">
        <v>0</v>
      </c>
      <c r="AF14" s="4">
        <v>0</v>
      </c>
    </row>
    <row r="15" spans="1:32" ht="14.1" customHeight="1" x14ac:dyDescent="0.2">
      <c r="A15" s="2" t="s">
        <v>0</v>
      </c>
      <c r="B15" t="s">
        <v>1</v>
      </c>
      <c r="C15" t="s">
        <v>93</v>
      </c>
      <c r="D15" s="3">
        <v>44307</v>
      </c>
      <c r="E15" s="3">
        <v>44307</v>
      </c>
      <c r="F15" s="3">
        <v>44308</v>
      </c>
      <c r="G15" t="s">
        <v>7</v>
      </c>
      <c r="H15" t="s">
        <v>2</v>
      </c>
      <c r="I15" s="4">
        <v>-44089.37</v>
      </c>
      <c r="J15" t="s">
        <v>3</v>
      </c>
      <c r="K15" t="s">
        <v>4</v>
      </c>
      <c r="L15" s="4">
        <v>-3701302.61</v>
      </c>
      <c r="M15" s="4">
        <v>-44089.37</v>
      </c>
      <c r="N15" s="4">
        <f t="shared" si="0"/>
        <v>44089.37</v>
      </c>
      <c r="O15" s="10" t="str">
        <f>IF(M15="","",IF(M15&lt;0,-M15&amp;"_"&amp;COUNTIF(M$2:M15,M15),M15&amp;"_"&amp;COUNTIF(M$2:M15,M15)))</f>
        <v>44089.37_1</v>
      </c>
      <c r="P15" s="11" t="str">
        <f t="shared" si="1"/>
        <v/>
      </c>
      <c r="Q15" t="s">
        <v>94</v>
      </c>
      <c r="R15" t="s">
        <v>94</v>
      </c>
      <c r="S15" t="s">
        <v>82</v>
      </c>
      <c r="T15" t="s">
        <v>0</v>
      </c>
      <c r="U15" t="s">
        <v>5</v>
      </c>
      <c r="V15" t="s">
        <v>95</v>
      </c>
      <c r="W15" t="s">
        <v>0</v>
      </c>
      <c r="X15" t="s">
        <v>0</v>
      </c>
      <c r="Y15" t="s">
        <v>0</v>
      </c>
      <c r="Z15" t="s">
        <v>6</v>
      </c>
      <c r="AA15" t="s">
        <v>0</v>
      </c>
      <c r="AB15" s="3"/>
      <c r="AC15" t="s">
        <v>0</v>
      </c>
      <c r="AD15" t="s">
        <v>0</v>
      </c>
      <c r="AE15" t="s">
        <v>0</v>
      </c>
      <c r="AF15" s="4">
        <v>0</v>
      </c>
    </row>
    <row r="16" spans="1:32" ht="14.1" customHeight="1" x14ac:dyDescent="0.2">
      <c r="A16" s="2" t="s">
        <v>0</v>
      </c>
      <c r="B16" t="s">
        <v>1</v>
      </c>
      <c r="C16" t="s">
        <v>212</v>
      </c>
      <c r="D16" s="3">
        <v>44367</v>
      </c>
      <c r="E16" s="3">
        <v>44367</v>
      </c>
      <c r="F16" s="3">
        <v>44369</v>
      </c>
      <c r="G16" t="s">
        <v>7</v>
      </c>
      <c r="H16" t="s">
        <v>2</v>
      </c>
      <c r="I16" s="4">
        <v>-40037.93</v>
      </c>
      <c r="J16" t="s">
        <v>3</v>
      </c>
      <c r="K16" t="s">
        <v>4</v>
      </c>
      <c r="L16" s="4">
        <v>-3361184.22</v>
      </c>
      <c r="M16" s="4">
        <v>-40037.93</v>
      </c>
      <c r="N16" s="4">
        <f t="shared" si="0"/>
        <v>40037.93</v>
      </c>
      <c r="O16" s="10" t="str">
        <f>IF(M16="","",IF(M16&lt;0,-M16&amp;"_"&amp;COUNTIF(M$2:M16,M16),M16&amp;"_"&amp;COUNTIF(M$2:M16,M16)))</f>
        <v>40037.93_1</v>
      </c>
      <c r="P16" s="11" t="str">
        <f t="shared" si="1"/>
        <v/>
      </c>
      <c r="Q16" t="s">
        <v>213</v>
      </c>
      <c r="R16" t="s">
        <v>214</v>
      </c>
      <c r="S16" t="s">
        <v>82</v>
      </c>
      <c r="T16" t="s">
        <v>0</v>
      </c>
      <c r="U16" t="s">
        <v>5</v>
      </c>
      <c r="V16" t="s">
        <v>215</v>
      </c>
      <c r="W16" t="s">
        <v>0</v>
      </c>
      <c r="X16" t="s">
        <v>0</v>
      </c>
      <c r="Y16" t="s">
        <v>0</v>
      </c>
      <c r="Z16" t="s">
        <v>6</v>
      </c>
      <c r="AA16" t="s">
        <v>0</v>
      </c>
      <c r="AB16" s="3"/>
      <c r="AC16" t="s">
        <v>0</v>
      </c>
      <c r="AD16" t="s">
        <v>0</v>
      </c>
      <c r="AE16" t="s">
        <v>0</v>
      </c>
      <c r="AF16" s="4">
        <v>0</v>
      </c>
    </row>
    <row r="17" spans="1:32" ht="14.1" customHeight="1" x14ac:dyDescent="0.2">
      <c r="A17" s="2" t="s">
        <v>0</v>
      </c>
      <c r="B17" t="s">
        <v>1</v>
      </c>
      <c r="C17" t="s">
        <v>161</v>
      </c>
      <c r="D17" s="3">
        <v>44343</v>
      </c>
      <c r="E17" s="3">
        <v>44343</v>
      </c>
      <c r="F17" s="3">
        <v>44345</v>
      </c>
      <c r="G17" t="s">
        <v>7</v>
      </c>
      <c r="H17" t="s">
        <v>2</v>
      </c>
      <c r="I17" s="4">
        <v>-38587.449999999997</v>
      </c>
      <c r="J17" t="s">
        <v>3</v>
      </c>
      <c r="K17" t="s">
        <v>4</v>
      </c>
      <c r="L17" s="4">
        <v>-3239416.43</v>
      </c>
      <c r="M17" s="4">
        <v>-38587.449999999997</v>
      </c>
      <c r="N17" s="4">
        <f t="shared" si="0"/>
        <v>38587.449999999997</v>
      </c>
      <c r="O17" s="10" t="str">
        <f>IF(M17="","",IF(M17&lt;0,-M17&amp;"_"&amp;COUNTIF(M$2:M17,M17),M17&amp;"_"&amp;COUNTIF(M$2:M17,M17)))</f>
        <v>38587.45_1</v>
      </c>
      <c r="P17" s="11" t="str">
        <f t="shared" si="1"/>
        <v/>
      </c>
      <c r="Q17" t="s">
        <v>162</v>
      </c>
      <c r="R17" t="s">
        <v>162</v>
      </c>
      <c r="S17" t="s">
        <v>10</v>
      </c>
      <c r="T17" t="s">
        <v>0</v>
      </c>
      <c r="U17" t="s">
        <v>5</v>
      </c>
      <c r="V17" t="s">
        <v>163</v>
      </c>
      <c r="W17" t="s">
        <v>0</v>
      </c>
      <c r="X17" t="s">
        <v>0</v>
      </c>
      <c r="Y17" t="s">
        <v>0</v>
      </c>
      <c r="Z17" t="s">
        <v>6</v>
      </c>
      <c r="AA17" t="s">
        <v>0</v>
      </c>
      <c r="AB17" s="3"/>
      <c r="AC17" t="s">
        <v>0</v>
      </c>
      <c r="AD17" t="s">
        <v>0</v>
      </c>
      <c r="AE17" t="s">
        <v>0</v>
      </c>
      <c r="AF17" s="4">
        <v>0</v>
      </c>
    </row>
    <row r="18" spans="1:32" ht="14.1" customHeight="1" x14ac:dyDescent="0.2">
      <c r="A18" s="2" t="s">
        <v>0</v>
      </c>
      <c r="B18" t="s">
        <v>1</v>
      </c>
      <c r="C18" t="s">
        <v>87</v>
      </c>
      <c r="D18" s="3">
        <v>44306</v>
      </c>
      <c r="E18" s="3">
        <v>44306</v>
      </c>
      <c r="F18" s="3">
        <v>44307</v>
      </c>
      <c r="G18" t="s">
        <v>7</v>
      </c>
      <c r="H18" t="s">
        <v>2</v>
      </c>
      <c r="I18" s="4">
        <v>-38310.29</v>
      </c>
      <c r="J18" t="s">
        <v>3</v>
      </c>
      <c r="K18" t="s">
        <v>4</v>
      </c>
      <c r="L18" s="4">
        <v>-3216148.85</v>
      </c>
      <c r="M18" s="4">
        <v>-38310.29</v>
      </c>
      <c r="N18" s="4">
        <f t="shared" si="0"/>
        <v>38310.29</v>
      </c>
      <c r="O18" s="10" t="str">
        <f>IF(M18="","",IF(M18&lt;0,-M18&amp;"_"&amp;COUNTIF(M$2:M18,M18),M18&amp;"_"&amp;COUNTIF(M$2:M18,M18)))</f>
        <v>38310.29_1</v>
      </c>
      <c r="P18" s="11" t="str">
        <f t="shared" si="1"/>
        <v/>
      </c>
      <c r="Q18" t="s">
        <v>88</v>
      </c>
      <c r="R18" t="s">
        <v>88</v>
      </c>
      <c r="S18" t="s">
        <v>82</v>
      </c>
      <c r="T18" t="s">
        <v>0</v>
      </c>
      <c r="U18" t="s">
        <v>5</v>
      </c>
      <c r="V18" t="s">
        <v>89</v>
      </c>
      <c r="W18" t="s">
        <v>0</v>
      </c>
      <c r="X18" t="s">
        <v>0</v>
      </c>
      <c r="Y18" t="s">
        <v>0</v>
      </c>
      <c r="Z18" t="s">
        <v>6</v>
      </c>
      <c r="AA18" t="s">
        <v>0</v>
      </c>
      <c r="AB18" s="3"/>
      <c r="AC18" t="s">
        <v>0</v>
      </c>
      <c r="AD18" t="s">
        <v>0</v>
      </c>
      <c r="AE18" t="s">
        <v>0</v>
      </c>
      <c r="AF18" s="4">
        <v>0</v>
      </c>
    </row>
    <row r="19" spans="1:32" ht="14.1" customHeight="1" x14ac:dyDescent="0.2">
      <c r="A19" s="2" t="s">
        <v>0</v>
      </c>
      <c r="B19" t="s">
        <v>1</v>
      </c>
      <c r="C19" t="s">
        <v>134</v>
      </c>
      <c r="D19" s="3">
        <v>44325</v>
      </c>
      <c r="E19" s="3">
        <v>44325</v>
      </c>
      <c r="F19" s="3">
        <v>44338</v>
      </c>
      <c r="G19" t="s">
        <v>7</v>
      </c>
      <c r="H19" t="s">
        <v>2</v>
      </c>
      <c r="I19" s="4">
        <v>-37079.730000000003</v>
      </c>
      <c r="J19" t="s">
        <v>3</v>
      </c>
      <c r="K19" t="s">
        <v>4</v>
      </c>
      <c r="L19" s="4">
        <v>-3112843.33</v>
      </c>
      <c r="M19" s="4">
        <v>-37079.730000000003</v>
      </c>
      <c r="N19" s="4">
        <f t="shared" si="0"/>
        <v>37079.730000000003</v>
      </c>
      <c r="O19" s="10" t="str">
        <f>IF(M19="","",IF(M19&lt;0,-M19&amp;"_"&amp;COUNTIF(M$2:M19,M19),M19&amp;"_"&amp;COUNTIF(M$2:M19,M19)))</f>
        <v>37079.73_1</v>
      </c>
      <c r="P19" s="11" t="str">
        <f t="shared" si="1"/>
        <v/>
      </c>
      <c r="Q19" t="s">
        <v>135</v>
      </c>
      <c r="R19" t="s">
        <v>135</v>
      </c>
      <c r="S19" s="14" t="s">
        <v>15</v>
      </c>
      <c r="T19" t="s">
        <v>0</v>
      </c>
      <c r="U19" t="s">
        <v>5</v>
      </c>
      <c r="V19" t="s">
        <v>136</v>
      </c>
      <c r="W19" t="s">
        <v>0</v>
      </c>
      <c r="X19" t="s">
        <v>0</v>
      </c>
      <c r="Y19" t="s">
        <v>0</v>
      </c>
      <c r="Z19" t="s">
        <v>6</v>
      </c>
      <c r="AA19" t="s">
        <v>0</v>
      </c>
      <c r="AB19" s="3"/>
      <c r="AC19" t="s">
        <v>0</v>
      </c>
      <c r="AD19" t="s">
        <v>0</v>
      </c>
      <c r="AE19" t="s">
        <v>0</v>
      </c>
      <c r="AF19" s="4">
        <v>0</v>
      </c>
    </row>
    <row r="20" spans="1:32" ht="14.1" customHeight="1" x14ac:dyDescent="0.2">
      <c r="A20" s="2" t="s">
        <v>0</v>
      </c>
      <c r="B20" t="s">
        <v>1</v>
      </c>
      <c r="C20" t="s">
        <v>174</v>
      </c>
      <c r="D20" s="3">
        <v>44347</v>
      </c>
      <c r="E20" s="3">
        <v>44347</v>
      </c>
      <c r="F20" s="3">
        <v>44348</v>
      </c>
      <c r="G20" t="s">
        <v>7</v>
      </c>
      <c r="H20" t="s">
        <v>2</v>
      </c>
      <c r="I20" s="4">
        <v>-32825.4</v>
      </c>
      <c r="J20" t="s">
        <v>3</v>
      </c>
      <c r="K20" t="s">
        <v>4</v>
      </c>
      <c r="L20" s="4">
        <v>-2755692.33</v>
      </c>
      <c r="M20" s="4">
        <v>-32825.4</v>
      </c>
      <c r="N20" s="4">
        <f t="shared" si="0"/>
        <v>32825.4</v>
      </c>
      <c r="O20" s="10" t="str">
        <f>IF(M20="","",IF(M20&lt;0,-M20&amp;"_"&amp;COUNTIF(M$2:M20,M20),M20&amp;"_"&amp;COUNTIF(M$2:M20,M20)))</f>
        <v>32825.4_1</v>
      </c>
      <c r="P20" s="11" t="str">
        <f t="shared" si="1"/>
        <v/>
      </c>
      <c r="Q20" t="s">
        <v>175</v>
      </c>
      <c r="R20" t="s">
        <v>117</v>
      </c>
      <c r="S20" t="s">
        <v>176</v>
      </c>
      <c r="T20" t="s">
        <v>0</v>
      </c>
      <c r="U20" t="s">
        <v>5</v>
      </c>
      <c r="V20" t="s">
        <v>177</v>
      </c>
      <c r="W20" t="s">
        <v>0</v>
      </c>
      <c r="X20" t="s">
        <v>0</v>
      </c>
      <c r="Y20" t="s">
        <v>0</v>
      </c>
      <c r="Z20" t="s">
        <v>6</v>
      </c>
      <c r="AA20" t="s">
        <v>0</v>
      </c>
      <c r="AB20" s="3"/>
      <c r="AC20" t="s">
        <v>0</v>
      </c>
      <c r="AD20" t="s">
        <v>0</v>
      </c>
      <c r="AE20" t="s">
        <v>0</v>
      </c>
      <c r="AF20" s="4">
        <v>0</v>
      </c>
    </row>
    <row r="21" spans="1:32" ht="14.1" customHeight="1" x14ac:dyDescent="0.2">
      <c r="A21" s="2" t="s">
        <v>0</v>
      </c>
      <c r="B21" t="s">
        <v>1</v>
      </c>
      <c r="C21" t="s">
        <v>105</v>
      </c>
      <c r="D21" s="3">
        <v>44308</v>
      </c>
      <c r="E21" s="3">
        <v>44308</v>
      </c>
      <c r="F21" s="3">
        <v>44310</v>
      </c>
      <c r="G21" t="s">
        <v>7</v>
      </c>
      <c r="H21" t="s">
        <v>2</v>
      </c>
      <c r="I21" s="4">
        <v>-32545.03</v>
      </c>
      <c r="J21" t="s">
        <v>3</v>
      </c>
      <c r="K21" t="s">
        <v>4</v>
      </c>
      <c r="L21" s="4">
        <v>-2732155.27</v>
      </c>
      <c r="M21" s="4">
        <v>-32545.03</v>
      </c>
      <c r="N21" s="4">
        <f t="shared" si="0"/>
        <v>32545.03</v>
      </c>
      <c r="O21" s="10" t="str">
        <f>IF(M21="","",IF(M21&lt;0,-M21&amp;"_"&amp;COUNTIF(M$2:M21,M21),M21&amp;"_"&amp;COUNTIF(M$2:M21,M21)))</f>
        <v>32545.03_1</v>
      </c>
      <c r="P21" s="11" t="str">
        <f t="shared" si="1"/>
        <v/>
      </c>
      <c r="Q21" t="s">
        <v>106</v>
      </c>
      <c r="R21" t="s">
        <v>106</v>
      </c>
      <c r="S21" t="s">
        <v>82</v>
      </c>
      <c r="T21" t="s">
        <v>0</v>
      </c>
      <c r="U21" t="s">
        <v>5</v>
      </c>
      <c r="V21" t="s">
        <v>107</v>
      </c>
      <c r="W21" t="s">
        <v>0</v>
      </c>
      <c r="X21" t="s">
        <v>0</v>
      </c>
      <c r="Y21" t="s">
        <v>0</v>
      </c>
      <c r="Z21" t="s">
        <v>6</v>
      </c>
      <c r="AA21" t="s">
        <v>0</v>
      </c>
      <c r="AB21" s="3"/>
      <c r="AC21" t="s">
        <v>0</v>
      </c>
      <c r="AD21" t="s">
        <v>0</v>
      </c>
      <c r="AE21" t="s">
        <v>0</v>
      </c>
      <c r="AF21" s="4">
        <v>0</v>
      </c>
    </row>
    <row r="22" spans="1:32" ht="14.1" customHeight="1" x14ac:dyDescent="0.2">
      <c r="A22" s="2" t="s">
        <v>0</v>
      </c>
      <c r="B22" t="s">
        <v>1</v>
      </c>
      <c r="C22" t="s">
        <v>77</v>
      </c>
      <c r="D22" s="3">
        <v>44298</v>
      </c>
      <c r="E22" s="3">
        <v>44298</v>
      </c>
      <c r="F22" s="3">
        <v>44299</v>
      </c>
      <c r="G22" t="s">
        <v>7</v>
      </c>
      <c r="H22" t="s">
        <v>2</v>
      </c>
      <c r="I22" s="4">
        <v>-27497.87</v>
      </c>
      <c r="J22" t="s">
        <v>3</v>
      </c>
      <c r="K22" t="s">
        <v>4</v>
      </c>
      <c r="L22" s="4">
        <v>-2308446.19</v>
      </c>
      <c r="M22" s="4">
        <v>-27497.87</v>
      </c>
      <c r="N22" s="4">
        <f t="shared" si="0"/>
        <v>27497.87</v>
      </c>
      <c r="O22" s="10" t="str">
        <f>IF(M22="","",IF(M22&lt;0,-M22&amp;"_"&amp;COUNTIF(M$2:M22,M22),M22&amp;"_"&amp;COUNTIF(M$2:M22,M22)))</f>
        <v>27497.87_1</v>
      </c>
      <c r="P22" s="11" t="str">
        <f t="shared" si="1"/>
        <v/>
      </c>
      <c r="Q22" t="s">
        <v>78</v>
      </c>
      <c r="R22" t="s">
        <v>78</v>
      </c>
      <c r="S22" t="s">
        <v>44</v>
      </c>
      <c r="T22" t="s">
        <v>0</v>
      </c>
      <c r="U22" t="s">
        <v>5</v>
      </c>
      <c r="V22" t="s">
        <v>79</v>
      </c>
      <c r="W22" t="s">
        <v>0</v>
      </c>
      <c r="X22" t="s">
        <v>0</v>
      </c>
      <c r="Y22" t="s">
        <v>0</v>
      </c>
      <c r="Z22" t="s">
        <v>6</v>
      </c>
      <c r="AA22" t="s">
        <v>0</v>
      </c>
      <c r="AB22" s="3"/>
      <c r="AC22" t="s">
        <v>0</v>
      </c>
      <c r="AD22" t="s">
        <v>0</v>
      </c>
      <c r="AE22" t="s">
        <v>0</v>
      </c>
      <c r="AF22" s="4">
        <v>0</v>
      </c>
    </row>
    <row r="23" spans="1:32" ht="14.1" customHeight="1" x14ac:dyDescent="0.2">
      <c r="A23" s="2" t="s">
        <v>0</v>
      </c>
      <c r="B23" t="s">
        <v>1</v>
      </c>
      <c r="C23" t="s">
        <v>99</v>
      </c>
      <c r="D23" s="3">
        <v>44307</v>
      </c>
      <c r="E23" s="3">
        <v>44307</v>
      </c>
      <c r="F23" s="3">
        <v>44308</v>
      </c>
      <c r="G23" t="s">
        <v>7</v>
      </c>
      <c r="H23" t="s">
        <v>2</v>
      </c>
      <c r="I23" s="4">
        <v>-26295.82</v>
      </c>
      <c r="J23" t="s">
        <v>3</v>
      </c>
      <c r="K23" t="s">
        <v>4</v>
      </c>
      <c r="L23" s="4">
        <v>-2207534.09</v>
      </c>
      <c r="M23" s="4">
        <v>-26295.82</v>
      </c>
      <c r="N23" s="4">
        <f t="shared" si="0"/>
        <v>26295.82</v>
      </c>
      <c r="O23" s="10" t="str">
        <f>IF(M23="","",IF(M23&lt;0,-M23&amp;"_"&amp;COUNTIF(M$2:M23,M23),M23&amp;"_"&amp;COUNTIF(M$2:M23,M23)))</f>
        <v>26295.82_1</v>
      </c>
      <c r="P23" s="11" t="str">
        <f t="shared" si="1"/>
        <v/>
      </c>
      <c r="Q23" t="s">
        <v>100</v>
      </c>
      <c r="R23" t="s">
        <v>100</v>
      </c>
      <c r="S23" t="s">
        <v>82</v>
      </c>
      <c r="T23" t="s">
        <v>0</v>
      </c>
      <c r="U23" t="s">
        <v>5</v>
      </c>
      <c r="V23" t="s">
        <v>101</v>
      </c>
      <c r="W23" t="s">
        <v>0</v>
      </c>
      <c r="X23" t="s">
        <v>0</v>
      </c>
      <c r="Y23" t="s">
        <v>0</v>
      </c>
      <c r="Z23" t="s">
        <v>6</v>
      </c>
      <c r="AA23" t="s">
        <v>0</v>
      </c>
      <c r="AB23" s="3"/>
      <c r="AC23" t="s">
        <v>0</v>
      </c>
      <c r="AD23" t="s">
        <v>0</v>
      </c>
      <c r="AE23" t="s">
        <v>0</v>
      </c>
      <c r="AF23" s="4">
        <v>0</v>
      </c>
    </row>
    <row r="24" spans="1:32" ht="14.1" customHeight="1" x14ac:dyDescent="0.2">
      <c r="A24" s="2" t="s">
        <v>0</v>
      </c>
      <c r="B24" t="s">
        <v>1</v>
      </c>
      <c r="C24" t="s">
        <v>193</v>
      </c>
      <c r="D24" s="3">
        <v>44362</v>
      </c>
      <c r="E24" s="3">
        <v>44362</v>
      </c>
      <c r="F24" s="3">
        <v>44369</v>
      </c>
      <c r="G24" t="s">
        <v>7</v>
      </c>
      <c r="H24" t="s">
        <v>2</v>
      </c>
      <c r="I24" s="4">
        <v>-25525.81</v>
      </c>
      <c r="J24" t="s">
        <v>3</v>
      </c>
      <c r="K24" t="s">
        <v>4</v>
      </c>
      <c r="L24" s="4">
        <v>-2142891.75</v>
      </c>
      <c r="M24" s="4">
        <v>-25525.81</v>
      </c>
      <c r="N24" s="4">
        <f t="shared" si="0"/>
        <v>25525.81</v>
      </c>
      <c r="O24" s="10" t="str">
        <f>IF(M24="","",IF(M24&lt;0,-M24&amp;"_"&amp;COUNTIF(M$2:M24,M24),M24&amp;"_"&amp;COUNTIF(M$2:M24,M24)))</f>
        <v>25525.81_1</v>
      </c>
      <c r="P24" s="11" t="str">
        <f t="shared" si="1"/>
        <v/>
      </c>
      <c r="Q24" t="s">
        <v>194</v>
      </c>
      <c r="R24" t="s">
        <v>172</v>
      </c>
      <c r="S24" t="s">
        <v>82</v>
      </c>
      <c r="T24" t="s">
        <v>0</v>
      </c>
      <c r="U24" t="s">
        <v>5</v>
      </c>
      <c r="V24" t="s">
        <v>195</v>
      </c>
      <c r="W24" t="s">
        <v>0</v>
      </c>
      <c r="X24" t="s">
        <v>0</v>
      </c>
      <c r="Y24" t="s">
        <v>0</v>
      </c>
      <c r="Z24" t="s">
        <v>6</v>
      </c>
      <c r="AA24" t="s">
        <v>0</v>
      </c>
      <c r="AB24" s="3"/>
      <c r="AC24" t="s">
        <v>0</v>
      </c>
      <c r="AD24" t="s">
        <v>0</v>
      </c>
      <c r="AE24" t="s">
        <v>0</v>
      </c>
      <c r="AF24" s="4">
        <v>0</v>
      </c>
    </row>
    <row r="25" spans="1:32" ht="14.1" customHeight="1" x14ac:dyDescent="0.2">
      <c r="A25" s="2" t="s">
        <v>0</v>
      </c>
      <c r="B25" t="s">
        <v>1</v>
      </c>
      <c r="C25" t="s">
        <v>196</v>
      </c>
      <c r="D25" s="3">
        <v>44362</v>
      </c>
      <c r="E25" s="3">
        <v>44362</v>
      </c>
      <c r="F25" s="3">
        <v>44369</v>
      </c>
      <c r="G25" t="s">
        <v>7</v>
      </c>
      <c r="H25" t="s">
        <v>2</v>
      </c>
      <c r="I25" s="4">
        <v>-25416.87</v>
      </c>
      <c r="J25" t="s">
        <v>3</v>
      </c>
      <c r="K25" t="s">
        <v>4</v>
      </c>
      <c r="L25" s="4">
        <v>-2133746.2400000002</v>
      </c>
      <c r="M25" s="4">
        <v>-25416.87</v>
      </c>
      <c r="N25" s="4">
        <f t="shared" si="0"/>
        <v>25416.87</v>
      </c>
      <c r="O25" s="10" t="str">
        <f>IF(M25="","",IF(M25&lt;0,-M25&amp;"_"&amp;COUNTIF(M$2:M25,M25),M25&amp;"_"&amp;COUNTIF(M$2:M25,M25)))</f>
        <v>25416.87_1</v>
      </c>
      <c r="P25" s="11" t="str">
        <f t="shared" si="1"/>
        <v/>
      </c>
      <c r="Q25" t="s">
        <v>197</v>
      </c>
      <c r="R25" t="s">
        <v>172</v>
      </c>
      <c r="S25" t="s">
        <v>82</v>
      </c>
      <c r="T25" t="s">
        <v>0</v>
      </c>
      <c r="U25" t="s">
        <v>5</v>
      </c>
      <c r="V25" t="s">
        <v>198</v>
      </c>
      <c r="W25" t="s">
        <v>0</v>
      </c>
      <c r="X25" t="s">
        <v>0</v>
      </c>
      <c r="Y25" t="s">
        <v>0</v>
      </c>
      <c r="Z25" t="s">
        <v>6</v>
      </c>
      <c r="AA25" t="s">
        <v>0</v>
      </c>
      <c r="AB25" s="3"/>
      <c r="AC25" t="s">
        <v>0</v>
      </c>
      <c r="AD25" t="s">
        <v>0</v>
      </c>
      <c r="AE25" t="s">
        <v>0</v>
      </c>
      <c r="AF25" s="4">
        <v>0</v>
      </c>
    </row>
    <row r="26" spans="1:32" ht="14.1" customHeight="1" x14ac:dyDescent="0.2">
      <c r="A26" s="2" t="s">
        <v>0</v>
      </c>
      <c r="B26" t="s">
        <v>1</v>
      </c>
      <c r="C26" t="s">
        <v>152</v>
      </c>
      <c r="D26" s="3">
        <v>44334</v>
      </c>
      <c r="E26" s="3">
        <v>44334</v>
      </c>
      <c r="F26" s="3">
        <v>44338</v>
      </c>
      <c r="G26" t="s">
        <v>7</v>
      </c>
      <c r="H26" t="s">
        <v>2</v>
      </c>
      <c r="I26" s="4">
        <v>-21739.88</v>
      </c>
      <c r="J26" t="s">
        <v>3</v>
      </c>
      <c r="K26" t="s">
        <v>4</v>
      </c>
      <c r="L26" s="4">
        <v>-1825062.93</v>
      </c>
      <c r="M26" s="4">
        <v>-21739.88</v>
      </c>
      <c r="N26" s="4">
        <f t="shared" si="0"/>
        <v>21739.88</v>
      </c>
      <c r="O26" s="10" t="str">
        <f>IF(M26="","",IF(M26&lt;0,-M26&amp;"_"&amp;COUNTIF(M$2:M26,M26),M26&amp;"_"&amp;COUNTIF(M$2:M26,M26)))</f>
        <v>21739.88_1</v>
      </c>
      <c r="P26" s="11" t="str">
        <f t="shared" si="1"/>
        <v/>
      </c>
      <c r="Q26" t="s">
        <v>153</v>
      </c>
      <c r="R26" t="s">
        <v>153</v>
      </c>
      <c r="S26" t="s">
        <v>15</v>
      </c>
      <c r="T26" t="s">
        <v>0</v>
      </c>
      <c r="U26" t="s">
        <v>5</v>
      </c>
      <c r="V26" t="s">
        <v>154</v>
      </c>
      <c r="W26" t="s">
        <v>0</v>
      </c>
      <c r="X26" t="s">
        <v>0</v>
      </c>
      <c r="Y26" t="s">
        <v>0</v>
      </c>
      <c r="Z26" t="s">
        <v>6</v>
      </c>
      <c r="AA26" t="s">
        <v>0</v>
      </c>
      <c r="AB26" s="3"/>
      <c r="AC26" t="s">
        <v>0</v>
      </c>
      <c r="AD26" t="s">
        <v>0</v>
      </c>
      <c r="AE26" t="s">
        <v>0</v>
      </c>
      <c r="AF26" s="4">
        <v>0</v>
      </c>
    </row>
    <row r="27" spans="1:32" ht="14.1" customHeight="1" x14ac:dyDescent="0.2">
      <c r="A27" s="2" t="s">
        <v>0</v>
      </c>
      <c r="B27" t="s">
        <v>202</v>
      </c>
      <c r="C27" t="s">
        <v>247</v>
      </c>
      <c r="D27" s="3">
        <v>44375</v>
      </c>
      <c r="E27" s="3">
        <v>44375</v>
      </c>
      <c r="F27" s="3">
        <v>44376</v>
      </c>
      <c r="G27" t="s">
        <v>204</v>
      </c>
      <c r="H27" t="s">
        <v>2</v>
      </c>
      <c r="I27" s="4">
        <v>-20611.87</v>
      </c>
      <c r="J27" t="s">
        <v>3</v>
      </c>
      <c r="K27" t="s">
        <v>4</v>
      </c>
      <c r="L27" s="4">
        <v>-1730366.49</v>
      </c>
      <c r="M27" s="4">
        <v>-20611.87</v>
      </c>
      <c r="N27" s="4">
        <f t="shared" si="0"/>
        <v>20611.87</v>
      </c>
      <c r="O27" s="10" t="str">
        <f>IF(M27="","",IF(M27&lt;0,-M27&amp;"_"&amp;COUNTIF(M$2:M27,M27),M27&amp;"_"&amp;COUNTIF(M$2:M27,M27)))</f>
        <v>20611.87_1</v>
      </c>
      <c r="P27" s="11" t="str">
        <f t="shared" si="1"/>
        <v/>
      </c>
      <c r="Q27" t="s">
        <v>248</v>
      </c>
      <c r="R27" t="s">
        <v>206</v>
      </c>
      <c r="S27" t="s">
        <v>207</v>
      </c>
      <c r="T27" t="s">
        <v>0</v>
      </c>
      <c r="U27" t="s">
        <v>5</v>
      </c>
      <c r="V27" t="s">
        <v>239</v>
      </c>
      <c r="W27" t="s">
        <v>249</v>
      </c>
      <c r="X27" t="s">
        <v>0</v>
      </c>
      <c r="Y27" t="s">
        <v>250</v>
      </c>
      <c r="Z27" t="s">
        <v>0</v>
      </c>
      <c r="AA27" t="s">
        <v>242</v>
      </c>
      <c r="AB27" s="3">
        <v>44387</v>
      </c>
      <c r="AC27" t="s">
        <v>0</v>
      </c>
      <c r="AD27" t="s">
        <v>0</v>
      </c>
      <c r="AE27" t="s">
        <v>0</v>
      </c>
      <c r="AF27" s="4">
        <v>0</v>
      </c>
    </row>
    <row r="28" spans="1:32" ht="14.1" customHeight="1" x14ac:dyDescent="0.2">
      <c r="A28" s="2" t="s">
        <v>0</v>
      </c>
      <c r="B28" t="s">
        <v>1</v>
      </c>
      <c r="C28" t="s">
        <v>269</v>
      </c>
      <c r="D28" s="3">
        <v>44377</v>
      </c>
      <c r="E28" s="3">
        <v>44377</v>
      </c>
      <c r="F28" s="3">
        <v>44381</v>
      </c>
      <c r="G28" t="s">
        <v>7</v>
      </c>
      <c r="H28" t="s">
        <v>2</v>
      </c>
      <c r="I28" s="4">
        <v>-20377.05</v>
      </c>
      <c r="J28" t="s">
        <v>3</v>
      </c>
      <c r="K28" t="s">
        <v>4</v>
      </c>
      <c r="L28" s="4">
        <v>-1710653.35</v>
      </c>
      <c r="M28" s="4">
        <v>-20377.05</v>
      </c>
      <c r="N28" s="4">
        <f t="shared" si="0"/>
        <v>20377.05</v>
      </c>
      <c r="O28" s="10" t="str">
        <f>IF(M28="","",IF(M28&lt;0,-M28&amp;"_"&amp;COUNTIF(M$2:M28,M28),M28&amp;"_"&amp;COUNTIF(M$2:M28,M28)))</f>
        <v>20377.05_1</v>
      </c>
      <c r="P28" s="11" t="str">
        <f t="shared" si="1"/>
        <v/>
      </c>
      <c r="Q28" t="s">
        <v>270</v>
      </c>
      <c r="R28" t="s">
        <v>172</v>
      </c>
      <c r="S28" t="s">
        <v>10</v>
      </c>
      <c r="T28" t="s">
        <v>0</v>
      </c>
      <c r="U28" t="s">
        <v>5</v>
      </c>
      <c r="V28" t="s">
        <v>271</v>
      </c>
      <c r="W28" t="s">
        <v>0</v>
      </c>
      <c r="X28" t="s">
        <v>0</v>
      </c>
      <c r="Y28" t="s">
        <v>0</v>
      </c>
      <c r="Z28" t="s">
        <v>6</v>
      </c>
      <c r="AA28" t="s">
        <v>0</v>
      </c>
      <c r="AB28" s="3"/>
      <c r="AC28" t="s">
        <v>0</v>
      </c>
      <c r="AD28" t="s">
        <v>0</v>
      </c>
      <c r="AE28" t="s">
        <v>0</v>
      </c>
      <c r="AF28" s="4">
        <v>0</v>
      </c>
    </row>
    <row r="29" spans="1:32" ht="14.1" customHeight="1" x14ac:dyDescent="0.2">
      <c r="A29" s="2" t="s">
        <v>0</v>
      </c>
      <c r="B29" t="s">
        <v>1</v>
      </c>
      <c r="C29" t="s">
        <v>96</v>
      </c>
      <c r="D29" s="3">
        <v>44307</v>
      </c>
      <c r="E29" s="3">
        <v>44307</v>
      </c>
      <c r="F29" s="3">
        <v>44308</v>
      </c>
      <c r="G29" t="s">
        <v>7</v>
      </c>
      <c r="H29" t="s">
        <v>2</v>
      </c>
      <c r="I29" s="4">
        <v>-17763.23</v>
      </c>
      <c r="J29" t="s">
        <v>3</v>
      </c>
      <c r="K29" t="s">
        <v>4</v>
      </c>
      <c r="L29" s="4">
        <v>-1491223.16</v>
      </c>
      <c r="M29" s="4">
        <v>-17763.23</v>
      </c>
      <c r="N29" s="4">
        <f t="shared" si="0"/>
        <v>17763.23</v>
      </c>
      <c r="O29" s="10" t="str">
        <f>IF(M29="","",IF(M29&lt;0,-M29&amp;"_"&amp;COUNTIF(M$2:M29,M29),M29&amp;"_"&amp;COUNTIF(M$2:M29,M29)))</f>
        <v>17763.23_1</v>
      </c>
      <c r="P29" s="11" t="str">
        <f t="shared" si="1"/>
        <v/>
      </c>
      <c r="Q29" t="s">
        <v>97</v>
      </c>
      <c r="R29" t="s">
        <v>97</v>
      </c>
      <c r="S29" t="s">
        <v>82</v>
      </c>
      <c r="T29" t="s">
        <v>0</v>
      </c>
      <c r="U29" t="s">
        <v>5</v>
      </c>
      <c r="V29" t="s">
        <v>98</v>
      </c>
      <c r="W29" t="s">
        <v>0</v>
      </c>
      <c r="X29" t="s">
        <v>0</v>
      </c>
      <c r="Y29" t="s">
        <v>0</v>
      </c>
      <c r="Z29" t="s">
        <v>6</v>
      </c>
      <c r="AA29" t="s">
        <v>0</v>
      </c>
      <c r="AB29" s="3"/>
      <c r="AC29" t="s">
        <v>0</v>
      </c>
      <c r="AD29" t="s">
        <v>0</v>
      </c>
      <c r="AE29" t="s">
        <v>0</v>
      </c>
      <c r="AF29" s="4">
        <v>0</v>
      </c>
    </row>
    <row r="30" spans="1:32" ht="14.1" customHeight="1" x14ac:dyDescent="0.2">
      <c r="A30" s="2" t="s">
        <v>0</v>
      </c>
      <c r="B30" t="s">
        <v>1</v>
      </c>
      <c r="C30" t="s">
        <v>178</v>
      </c>
      <c r="D30" s="3">
        <v>44350</v>
      </c>
      <c r="E30" s="3">
        <v>44350</v>
      </c>
      <c r="F30" s="3">
        <v>44359</v>
      </c>
      <c r="G30" t="s">
        <v>7</v>
      </c>
      <c r="H30" t="s">
        <v>2</v>
      </c>
      <c r="I30" s="4">
        <v>-17055.66</v>
      </c>
      <c r="J30" t="s">
        <v>3</v>
      </c>
      <c r="K30" t="s">
        <v>4</v>
      </c>
      <c r="L30" s="4">
        <v>-1431822.66</v>
      </c>
      <c r="M30" s="4">
        <v>-17055.66</v>
      </c>
      <c r="N30" s="4">
        <f t="shared" si="0"/>
        <v>17055.66</v>
      </c>
      <c r="O30" s="10" t="str">
        <f>IF(M30="","",IF(M30&lt;0,-M30&amp;"_"&amp;COUNTIF(M$2:M30,M30),M30&amp;"_"&amp;COUNTIF(M$2:M30,M30)))</f>
        <v>17055.66_1</v>
      </c>
      <c r="P30" s="11" t="str">
        <f t="shared" si="1"/>
        <v/>
      </c>
      <c r="Q30" t="s">
        <v>179</v>
      </c>
      <c r="R30" t="s">
        <v>172</v>
      </c>
      <c r="S30" t="s">
        <v>10</v>
      </c>
      <c r="T30" t="s">
        <v>0</v>
      </c>
      <c r="U30" t="s">
        <v>5</v>
      </c>
      <c r="V30" t="s">
        <v>180</v>
      </c>
      <c r="W30" t="s">
        <v>0</v>
      </c>
      <c r="X30" t="s">
        <v>0</v>
      </c>
      <c r="Y30" t="s">
        <v>0</v>
      </c>
      <c r="Z30" t="s">
        <v>6</v>
      </c>
      <c r="AA30" t="s">
        <v>0</v>
      </c>
      <c r="AB30" s="3"/>
      <c r="AC30" t="s">
        <v>0</v>
      </c>
      <c r="AD30" t="s">
        <v>0</v>
      </c>
      <c r="AE30" t="s">
        <v>0</v>
      </c>
      <c r="AF30" s="4">
        <v>0</v>
      </c>
    </row>
    <row r="31" spans="1:32" ht="14.1" customHeight="1" x14ac:dyDescent="0.2">
      <c r="A31" s="2" t="s">
        <v>0</v>
      </c>
      <c r="B31" t="s">
        <v>1</v>
      </c>
      <c r="C31" t="s">
        <v>115</v>
      </c>
      <c r="D31" s="3">
        <v>44321</v>
      </c>
      <c r="E31" s="3">
        <v>44321</v>
      </c>
      <c r="F31" s="3">
        <v>44325</v>
      </c>
      <c r="G31" t="s">
        <v>7</v>
      </c>
      <c r="H31" t="s">
        <v>2</v>
      </c>
      <c r="I31" s="4">
        <v>-16815.25</v>
      </c>
      <c r="J31" t="s">
        <v>3</v>
      </c>
      <c r="K31" t="s">
        <v>4</v>
      </c>
      <c r="L31" s="4">
        <v>-1411640.24</v>
      </c>
      <c r="M31" s="4">
        <v>-16815.25</v>
      </c>
      <c r="N31" s="4">
        <f t="shared" si="0"/>
        <v>16815.25</v>
      </c>
      <c r="O31" s="10" t="str">
        <f>IF(M31="","",IF(M31&lt;0,-M31&amp;"_"&amp;COUNTIF(M$2:M31,M31),M31&amp;"_"&amp;COUNTIF(M$2:M31,M31)))</f>
        <v>16815.25_1</v>
      </c>
      <c r="P31" s="11" t="str">
        <f t="shared" si="1"/>
        <v/>
      </c>
      <c r="Q31" t="s">
        <v>116</v>
      </c>
      <c r="R31" t="s">
        <v>117</v>
      </c>
      <c r="S31" t="s">
        <v>82</v>
      </c>
      <c r="T31" t="s">
        <v>0</v>
      </c>
      <c r="U31" t="s">
        <v>5</v>
      </c>
      <c r="V31" t="s">
        <v>118</v>
      </c>
      <c r="W31" t="s">
        <v>0</v>
      </c>
      <c r="X31" t="s">
        <v>0</v>
      </c>
      <c r="Y31" t="s">
        <v>0</v>
      </c>
      <c r="Z31" t="s">
        <v>6</v>
      </c>
      <c r="AA31" t="s">
        <v>0</v>
      </c>
      <c r="AB31" s="3"/>
      <c r="AC31" t="s">
        <v>0</v>
      </c>
      <c r="AD31" t="s">
        <v>0</v>
      </c>
      <c r="AE31" t="s">
        <v>0</v>
      </c>
      <c r="AF31" s="4">
        <v>0</v>
      </c>
    </row>
    <row r="32" spans="1:32" ht="14.1" customHeight="1" x14ac:dyDescent="0.2">
      <c r="A32" s="2" t="s">
        <v>0</v>
      </c>
      <c r="B32" t="s">
        <v>1</v>
      </c>
      <c r="C32" t="s">
        <v>149</v>
      </c>
      <c r="D32" s="3">
        <v>44334</v>
      </c>
      <c r="E32" s="3">
        <v>44334</v>
      </c>
      <c r="F32" s="3">
        <v>44338</v>
      </c>
      <c r="G32" t="s">
        <v>7</v>
      </c>
      <c r="H32" t="s">
        <v>2</v>
      </c>
      <c r="I32" s="4">
        <v>-16730.25</v>
      </c>
      <c r="J32" t="s">
        <v>3</v>
      </c>
      <c r="K32" t="s">
        <v>4</v>
      </c>
      <c r="L32" s="4">
        <v>-1404504.49</v>
      </c>
      <c r="M32" s="4">
        <v>-16730.25</v>
      </c>
      <c r="N32" s="4">
        <f t="shared" si="0"/>
        <v>16730.25</v>
      </c>
      <c r="O32" s="10" t="str">
        <f>IF(M32="","",IF(M32&lt;0,-M32&amp;"_"&amp;COUNTIF(M$2:M32,M32),M32&amp;"_"&amp;COUNTIF(M$2:M32,M32)))</f>
        <v>16730.25_1</v>
      </c>
      <c r="P32" s="11" t="str">
        <f t="shared" si="1"/>
        <v/>
      </c>
      <c r="Q32" t="s">
        <v>150</v>
      </c>
      <c r="R32" t="s">
        <v>150</v>
      </c>
      <c r="S32" t="s">
        <v>15</v>
      </c>
      <c r="T32" t="s">
        <v>0</v>
      </c>
      <c r="U32" t="s">
        <v>5</v>
      </c>
      <c r="V32" t="s">
        <v>151</v>
      </c>
      <c r="W32" t="s">
        <v>0</v>
      </c>
      <c r="X32" t="s">
        <v>0</v>
      </c>
      <c r="Y32" t="s">
        <v>0</v>
      </c>
      <c r="Z32" t="s">
        <v>6</v>
      </c>
      <c r="AA32" t="s">
        <v>0</v>
      </c>
      <c r="AB32" s="3"/>
      <c r="AC32" t="s">
        <v>0</v>
      </c>
      <c r="AD32" t="s">
        <v>0</v>
      </c>
      <c r="AE32" t="s">
        <v>0</v>
      </c>
      <c r="AF32" s="4">
        <v>0</v>
      </c>
    </row>
    <row r="33" spans="1:32" ht="14.1" customHeight="1" x14ac:dyDescent="0.2">
      <c r="A33" s="2" t="s">
        <v>0</v>
      </c>
      <c r="B33" t="s">
        <v>1</v>
      </c>
      <c r="C33" t="s">
        <v>126</v>
      </c>
      <c r="D33" s="3">
        <v>44325</v>
      </c>
      <c r="E33" s="3">
        <v>44325</v>
      </c>
      <c r="F33" s="3">
        <v>44338</v>
      </c>
      <c r="G33" t="s">
        <v>7</v>
      </c>
      <c r="H33" t="s">
        <v>2</v>
      </c>
      <c r="I33" s="4">
        <v>-16681.82</v>
      </c>
      <c r="J33" t="s">
        <v>3</v>
      </c>
      <c r="K33" t="s">
        <v>4</v>
      </c>
      <c r="L33" s="4">
        <v>-1400438.79</v>
      </c>
      <c r="M33" s="4">
        <v>-16681.82</v>
      </c>
      <c r="N33" s="4">
        <f t="shared" si="0"/>
        <v>16681.82</v>
      </c>
      <c r="O33" s="10" t="str">
        <f>IF(M33="","",IF(M33&lt;0,-M33&amp;"_"&amp;COUNTIF(M$2:M33,M33),M33&amp;"_"&amp;COUNTIF(M$2:M33,M33)))</f>
        <v>16681.82_1</v>
      </c>
      <c r="P33" s="11" t="str">
        <f t="shared" si="1"/>
        <v/>
      </c>
      <c r="Q33" t="s">
        <v>127</v>
      </c>
      <c r="R33" t="s">
        <v>128</v>
      </c>
      <c r="S33" t="s">
        <v>129</v>
      </c>
      <c r="T33" t="s">
        <v>0</v>
      </c>
      <c r="U33" t="s">
        <v>5</v>
      </c>
      <c r="V33" t="s">
        <v>130</v>
      </c>
      <c r="W33" t="s">
        <v>0</v>
      </c>
      <c r="X33" t="s">
        <v>0</v>
      </c>
      <c r="Y33" t="s">
        <v>0</v>
      </c>
      <c r="Z33" t="s">
        <v>6</v>
      </c>
      <c r="AA33" t="s">
        <v>0</v>
      </c>
      <c r="AB33" s="3"/>
      <c r="AC33" t="s">
        <v>0</v>
      </c>
      <c r="AD33" t="s">
        <v>0</v>
      </c>
      <c r="AE33" t="s">
        <v>0</v>
      </c>
      <c r="AF33" s="4">
        <v>0</v>
      </c>
    </row>
    <row r="34" spans="1:32" ht="14.1" customHeight="1" x14ac:dyDescent="0.2">
      <c r="A34" s="2" t="s">
        <v>0</v>
      </c>
      <c r="B34" t="s">
        <v>1</v>
      </c>
      <c r="C34" t="s">
        <v>251</v>
      </c>
      <c r="D34" s="3">
        <v>44375</v>
      </c>
      <c r="E34" s="3">
        <v>44375</v>
      </c>
      <c r="F34" s="3">
        <v>44381</v>
      </c>
      <c r="G34" t="s">
        <v>7</v>
      </c>
      <c r="H34" t="s">
        <v>2</v>
      </c>
      <c r="I34" s="4">
        <v>-16407.75</v>
      </c>
      <c r="J34" t="s">
        <v>3</v>
      </c>
      <c r="K34" t="s">
        <v>4</v>
      </c>
      <c r="L34" s="4">
        <v>-1377430.61</v>
      </c>
      <c r="M34" s="4">
        <v>-16407.75</v>
      </c>
      <c r="N34" s="4">
        <f t="shared" ref="N34:N65" si="2">ABS(M34)</f>
        <v>16407.75</v>
      </c>
      <c r="O34" s="10" t="str">
        <f>IF(M34="","",IF(M34&lt;0,-M34&amp;"_"&amp;COUNTIF(M$2:M34,M34),M34&amp;"_"&amp;COUNTIF(M$2:M34,M34)))</f>
        <v>16407.75_1</v>
      </c>
      <c r="P34" s="11" t="str">
        <f t="shared" ref="P34:P65" si="3">IF(COUNTIF(O:O,O34)=2,"x","")</f>
        <v/>
      </c>
      <c r="Q34" t="s">
        <v>252</v>
      </c>
      <c r="R34" t="s">
        <v>172</v>
      </c>
      <c r="S34" t="s">
        <v>10</v>
      </c>
      <c r="T34" t="s">
        <v>0</v>
      </c>
      <c r="U34" t="s">
        <v>5</v>
      </c>
      <c r="V34" t="s">
        <v>253</v>
      </c>
      <c r="W34" t="s">
        <v>0</v>
      </c>
      <c r="X34" t="s">
        <v>0</v>
      </c>
      <c r="Y34" t="s">
        <v>0</v>
      </c>
      <c r="Z34" t="s">
        <v>6</v>
      </c>
      <c r="AA34" t="s">
        <v>0</v>
      </c>
      <c r="AB34" s="3"/>
      <c r="AC34" t="s">
        <v>0</v>
      </c>
      <c r="AD34" t="s">
        <v>0</v>
      </c>
      <c r="AE34" t="s">
        <v>0</v>
      </c>
      <c r="AF34" s="4">
        <v>0</v>
      </c>
    </row>
    <row r="35" spans="1:32" ht="14.1" customHeight="1" x14ac:dyDescent="0.2">
      <c r="A35" s="2" t="s">
        <v>0</v>
      </c>
      <c r="B35" t="s">
        <v>1</v>
      </c>
      <c r="C35" t="s">
        <v>38</v>
      </c>
      <c r="D35" s="3">
        <v>44286</v>
      </c>
      <c r="E35" s="3">
        <v>44286</v>
      </c>
      <c r="F35" s="3">
        <v>44287</v>
      </c>
      <c r="G35" t="s">
        <v>7</v>
      </c>
      <c r="H35" t="s">
        <v>2</v>
      </c>
      <c r="I35" s="4">
        <v>-15890.12</v>
      </c>
      <c r="J35" t="s">
        <v>3</v>
      </c>
      <c r="K35" t="s">
        <v>4</v>
      </c>
      <c r="L35" s="4">
        <v>-1333975.57</v>
      </c>
      <c r="M35" s="4">
        <v>-15890.12</v>
      </c>
      <c r="N35" s="4">
        <f t="shared" si="2"/>
        <v>15890.12</v>
      </c>
      <c r="O35" s="10" t="str">
        <f>IF(M35="","",IF(M35&lt;0,-M35&amp;"_"&amp;COUNTIF(M$2:M35,M35),M35&amp;"_"&amp;COUNTIF(M$2:M35,M35)))</f>
        <v>15890.12_1</v>
      </c>
      <c r="P35" s="11" t="str">
        <f t="shared" si="3"/>
        <v/>
      </c>
      <c r="Q35" t="s">
        <v>39</v>
      </c>
      <c r="R35" t="s">
        <v>39</v>
      </c>
      <c r="S35" t="s">
        <v>10</v>
      </c>
      <c r="T35" t="s">
        <v>0</v>
      </c>
      <c r="U35" t="s">
        <v>5</v>
      </c>
      <c r="V35" t="s">
        <v>40</v>
      </c>
      <c r="W35" t="s">
        <v>0</v>
      </c>
      <c r="X35" t="s">
        <v>0</v>
      </c>
      <c r="Y35" t="s">
        <v>0</v>
      </c>
      <c r="Z35" t="s">
        <v>6</v>
      </c>
      <c r="AA35" t="s">
        <v>41</v>
      </c>
      <c r="AB35" s="3">
        <v>44390</v>
      </c>
      <c r="AC35" t="s">
        <v>0</v>
      </c>
      <c r="AD35" t="s">
        <v>0</v>
      </c>
      <c r="AE35" t="s">
        <v>0</v>
      </c>
      <c r="AF35" s="4">
        <v>0</v>
      </c>
    </row>
    <row r="36" spans="1:32" ht="14.1" customHeight="1" x14ac:dyDescent="0.2">
      <c r="A36" s="2" t="s">
        <v>0</v>
      </c>
      <c r="B36" t="s">
        <v>1</v>
      </c>
      <c r="C36" t="s">
        <v>216</v>
      </c>
      <c r="D36" s="3">
        <v>44371</v>
      </c>
      <c r="E36" s="3">
        <v>44371</v>
      </c>
      <c r="F36" s="3">
        <v>44374</v>
      </c>
      <c r="G36" t="s">
        <v>7</v>
      </c>
      <c r="H36" t="s">
        <v>2</v>
      </c>
      <c r="I36" s="4">
        <v>-14688.68</v>
      </c>
      <c r="J36" t="s">
        <v>3</v>
      </c>
      <c r="K36" t="s">
        <v>4</v>
      </c>
      <c r="L36" s="4">
        <v>-1233114.69</v>
      </c>
      <c r="M36" s="4">
        <v>-14688.68</v>
      </c>
      <c r="N36" s="4">
        <f t="shared" si="2"/>
        <v>14688.68</v>
      </c>
      <c r="O36" s="10" t="str">
        <f>IF(M36="","",IF(M36&lt;0,-M36&amp;"_"&amp;COUNTIF(M$2:M36,M36),M36&amp;"_"&amp;COUNTIF(M$2:M36,M36)))</f>
        <v>14688.68_1</v>
      </c>
      <c r="P36" s="11" t="str">
        <f t="shared" si="3"/>
        <v/>
      </c>
      <c r="Q36" t="s">
        <v>217</v>
      </c>
      <c r="R36" t="s">
        <v>117</v>
      </c>
      <c r="S36" t="s">
        <v>218</v>
      </c>
      <c r="T36" t="s">
        <v>0</v>
      </c>
      <c r="U36" t="s">
        <v>5</v>
      </c>
      <c r="V36" t="s">
        <v>219</v>
      </c>
      <c r="W36" t="s">
        <v>0</v>
      </c>
      <c r="X36" t="s">
        <v>0</v>
      </c>
      <c r="Y36" t="s">
        <v>0</v>
      </c>
      <c r="Z36" t="s">
        <v>6</v>
      </c>
      <c r="AA36" t="s">
        <v>0</v>
      </c>
      <c r="AB36" s="3"/>
      <c r="AC36" t="s">
        <v>0</v>
      </c>
      <c r="AD36" t="s">
        <v>0</v>
      </c>
      <c r="AE36" t="s">
        <v>0</v>
      </c>
      <c r="AF36" s="4">
        <v>0</v>
      </c>
    </row>
    <row r="37" spans="1:32" ht="14.1" customHeight="1" x14ac:dyDescent="0.2">
      <c r="A37" s="2" t="s">
        <v>0</v>
      </c>
      <c r="B37" t="s">
        <v>1</v>
      </c>
      <c r="C37" t="s">
        <v>90</v>
      </c>
      <c r="D37" s="3">
        <v>44306</v>
      </c>
      <c r="E37" s="3">
        <v>44306</v>
      </c>
      <c r="F37" s="3">
        <v>44307</v>
      </c>
      <c r="G37" t="s">
        <v>7</v>
      </c>
      <c r="H37" t="s">
        <v>2</v>
      </c>
      <c r="I37" s="4">
        <v>-14645.47</v>
      </c>
      <c r="J37" t="s">
        <v>3</v>
      </c>
      <c r="K37" t="s">
        <v>4</v>
      </c>
      <c r="L37" s="4">
        <v>-1229487.21</v>
      </c>
      <c r="M37" s="4">
        <v>-14645.47</v>
      </c>
      <c r="N37" s="4">
        <f t="shared" si="2"/>
        <v>14645.47</v>
      </c>
      <c r="O37" s="10" t="str">
        <f>IF(M37="","",IF(M37&lt;0,-M37&amp;"_"&amp;COUNTIF(M$2:M37,M37),M37&amp;"_"&amp;COUNTIF(M$2:M37,M37)))</f>
        <v>14645.47_1</v>
      </c>
      <c r="P37" s="11" t="str">
        <f t="shared" si="3"/>
        <v/>
      </c>
      <c r="Q37" t="s">
        <v>91</v>
      </c>
      <c r="R37" t="s">
        <v>91</v>
      </c>
      <c r="S37" t="s">
        <v>82</v>
      </c>
      <c r="T37" t="s">
        <v>0</v>
      </c>
      <c r="U37" t="s">
        <v>5</v>
      </c>
      <c r="V37" t="s">
        <v>92</v>
      </c>
      <c r="W37" t="s">
        <v>0</v>
      </c>
      <c r="X37" t="s">
        <v>0</v>
      </c>
      <c r="Y37" t="s">
        <v>0</v>
      </c>
      <c r="Z37" t="s">
        <v>6</v>
      </c>
      <c r="AA37" t="s">
        <v>0</v>
      </c>
      <c r="AB37" s="3"/>
      <c r="AC37" t="s">
        <v>0</v>
      </c>
      <c r="AD37" t="s">
        <v>0</v>
      </c>
      <c r="AE37" t="s">
        <v>0</v>
      </c>
      <c r="AF37" s="4">
        <v>0</v>
      </c>
    </row>
    <row r="38" spans="1:32" ht="14.1" customHeight="1" x14ac:dyDescent="0.2">
      <c r="A38" s="2" t="s">
        <v>0</v>
      </c>
      <c r="B38" t="s">
        <v>1</v>
      </c>
      <c r="C38" t="s">
        <v>46</v>
      </c>
      <c r="D38" s="3">
        <v>44287</v>
      </c>
      <c r="E38" s="3">
        <v>44287</v>
      </c>
      <c r="F38" s="3">
        <v>44298</v>
      </c>
      <c r="G38" t="s">
        <v>7</v>
      </c>
      <c r="H38" t="s">
        <v>2</v>
      </c>
      <c r="I38" s="4">
        <v>-13634.17</v>
      </c>
      <c r="J38" t="s">
        <v>3</v>
      </c>
      <c r="K38" t="s">
        <v>4</v>
      </c>
      <c r="L38" s="4">
        <v>-1144588.57</v>
      </c>
      <c r="M38" s="4">
        <v>-13634.17</v>
      </c>
      <c r="N38" s="4">
        <f t="shared" si="2"/>
        <v>13634.17</v>
      </c>
      <c r="O38" s="10" t="str">
        <f>IF(M38="","",IF(M38&lt;0,-M38&amp;"_"&amp;COUNTIF(M$2:M38,M38),M38&amp;"_"&amp;COUNTIF(M$2:M38,M38)))</f>
        <v>13634.17_1</v>
      </c>
      <c r="P38" s="11" t="str">
        <f t="shared" si="3"/>
        <v/>
      </c>
      <c r="Q38" t="s">
        <v>47</v>
      </c>
      <c r="R38" t="s">
        <v>47</v>
      </c>
      <c r="S38" t="s">
        <v>44</v>
      </c>
      <c r="T38" t="s">
        <v>0</v>
      </c>
      <c r="U38" t="s">
        <v>5</v>
      </c>
      <c r="V38" t="s">
        <v>48</v>
      </c>
      <c r="W38" t="s">
        <v>0</v>
      </c>
      <c r="X38" t="s">
        <v>0</v>
      </c>
      <c r="Y38" t="s">
        <v>0</v>
      </c>
      <c r="Z38" t="s">
        <v>6</v>
      </c>
      <c r="AA38" t="s">
        <v>49</v>
      </c>
      <c r="AB38" s="3">
        <v>44390</v>
      </c>
      <c r="AC38" t="s">
        <v>0</v>
      </c>
      <c r="AD38" t="s">
        <v>0</v>
      </c>
      <c r="AE38" t="s">
        <v>0</v>
      </c>
      <c r="AF38" s="4">
        <v>0</v>
      </c>
    </row>
    <row r="39" spans="1:32" ht="14.1" customHeight="1" x14ac:dyDescent="0.2">
      <c r="A39" s="2" t="s">
        <v>0</v>
      </c>
      <c r="B39" t="s">
        <v>1</v>
      </c>
      <c r="C39" t="s">
        <v>184</v>
      </c>
      <c r="D39" s="3">
        <v>44354</v>
      </c>
      <c r="E39" s="3">
        <v>44354</v>
      </c>
      <c r="F39" s="3">
        <v>44359</v>
      </c>
      <c r="G39" t="s">
        <v>7</v>
      </c>
      <c r="H39" t="s">
        <v>2</v>
      </c>
      <c r="I39" s="4">
        <v>-13182.03</v>
      </c>
      <c r="J39" t="s">
        <v>3</v>
      </c>
      <c r="K39" t="s">
        <v>4</v>
      </c>
      <c r="L39" s="4">
        <v>-1106631.42</v>
      </c>
      <c r="M39" s="4">
        <v>-13182.03</v>
      </c>
      <c r="N39" s="4">
        <f t="shared" si="2"/>
        <v>13182.03</v>
      </c>
      <c r="O39" s="10" t="str">
        <f>IF(M39="","",IF(M39&lt;0,-M39&amp;"_"&amp;COUNTIF(M$2:M39,M39),M39&amp;"_"&amp;COUNTIF(M$2:M39,M39)))</f>
        <v>13182.03_1</v>
      </c>
      <c r="P39" s="11" t="str">
        <f t="shared" si="3"/>
        <v/>
      </c>
      <c r="Q39" t="s">
        <v>185</v>
      </c>
      <c r="R39" t="s">
        <v>172</v>
      </c>
      <c r="S39" t="s">
        <v>10</v>
      </c>
      <c r="T39" t="s">
        <v>0</v>
      </c>
      <c r="U39" t="s">
        <v>5</v>
      </c>
      <c r="V39" t="s">
        <v>186</v>
      </c>
      <c r="W39" t="s">
        <v>0</v>
      </c>
      <c r="X39" t="s">
        <v>0</v>
      </c>
      <c r="Y39" t="s">
        <v>0</v>
      </c>
      <c r="Z39" t="s">
        <v>6</v>
      </c>
      <c r="AA39" t="s">
        <v>0</v>
      </c>
      <c r="AB39" s="3"/>
      <c r="AC39" t="s">
        <v>0</v>
      </c>
      <c r="AD39" t="s">
        <v>0</v>
      </c>
      <c r="AE39" t="s">
        <v>0</v>
      </c>
      <c r="AF39" s="4">
        <v>0</v>
      </c>
    </row>
    <row r="40" spans="1:32" ht="14.1" customHeight="1" x14ac:dyDescent="0.2">
      <c r="A40" s="2" t="s">
        <v>0</v>
      </c>
      <c r="B40" t="s">
        <v>1</v>
      </c>
      <c r="C40" t="s">
        <v>272</v>
      </c>
      <c r="D40" s="3">
        <v>44377</v>
      </c>
      <c r="E40" s="3">
        <v>44377</v>
      </c>
      <c r="F40" s="3">
        <v>44381</v>
      </c>
      <c r="G40" t="s">
        <v>7</v>
      </c>
      <c r="H40" t="s">
        <v>2</v>
      </c>
      <c r="I40" s="4">
        <v>-13035.09</v>
      </c>
      <c r="J40" t="s">
        <v>3</v>
      </c>
      <c r="K40" t="s">
        <v>4</v>
      </c>
      <c r="L40" s="4">
        <v>-1094295.81</v>
      </c>
      <c r="M40" s="4">
        <v>-13035.09</v>
      </c>
      <c r="N40" s="4">
        <f t="shared" si="2"/>
        <v>13035.09</v>
      </c>
      <c r="O40" s="10" t="str">
        <f>IF(M40="","",IF(M40&lt;0,-M40&amp;"_"&amp;COUNTIF(M$2:M40,M40),M40&amp;"_"&amp;COUNTIF(M$2:M40,M40)))</f>
        <v>13035.09_1</v>
      </c>
      <c r="P40" s="11" t="str">
        <f t="shared" si="3"/>
        <v/>
      </c>
      <c r="Q40" t="s">
        <v>273</v>
      </c>
      <c r="R40" t="s">
        <v>172</v>
      </c>
      <c r="S40" t="s">
        <v>10</v>
      </c>
      <c r="T40" t="s">
        <v>0</v>
      </c>
      <c r="U40" t="s">
        <v>5</v>
      </c>
      <c r="V40" t="s">
        <v>274</v>
      </c>
      <c r="W40" t="s">
        <v>0</v>
      </c>
      <c r="X40" t="s">
        <v>0</v>
      </c>
      <c r="Y40" t="s">
        <v>0</v>
      </c>
      <c r="Z40" t="s">
        <v>6</v>
      </c>
      <c r="AA40" t="s">
        <v>0</v>
      </c>
      <c r="AB40" s="3"/>
      <c r="AC40" t="s">
        <v>0</v>
      </c>
      <c r="AD40" t="s">
        <v>0</v>
      </c>
      <c r="AE40" t="s">
        <v>0</v>
      </c>
      <c r="AF40" s="4">
        <v>0</v>
      </c>
    </row>
    <row r="41" spans="1:32" ht="14.1" customHeight="1" x14ac:dyDescent="0.2">
      <c r="A41" s="2" t="s">
        <v>0</v>
      </c>
      <c r="B41" t="s">
        <v>1</v>
      </c>
      <c r="C41" t="s">
        <v>181</v>
      </c>
      <c r="D41" s="3">
        <v>44350</v>
      </c>
      <c r="E41" s="3">
        <v>44350</v>
      </c>
      <c r="F41" s="3">
        <v>44359</v>
      </c>
      <c r="G41" t="s">
        <v>7</v>
      </c>
      <c r="H41" t="s">
        <v>2</v>
      </c>
      <c r="I41" s="4">
        <v>-11978.3</v>
      </c>
      <c r="J41" t="s">
        <v>3</v>
      </c>
      <c r="K41" t="s">
        <v>4</v>
      </c>
      <c r="L41" s="4">
        <v>-1005578.29</v>
      </c>
      <c r="M41" s="4">
        <v>-11978.3</v>
      </c>
      <c r="N41" s="4">
        <f t="shared" si="2"/>
        <v>11978.3</v>
      </c>
      <c r="O41" s="10" t="str">
        <f>IF(M41="","",IF(M41&lt;0,-M41&amp;"_"&amp;COUNTIF(M$2:M41,M41),M41&amp;"_"&amp;COUNTIF(M$2:M41,M41)))</f>
        <v>11978.3_1</v>
      </c>
      <c r="P41" s="11" t="str">
        <f t="shared" si="3"/>
        <v/>
      </c>
      <c r="Q41" t="s">
        <v>182</v>
      </c>
      <c r="R41" t="s">
        <v>117</v>
      </c>
      <c r="S41" t="s">
        <v>10</v>
      </c>
      <c r="T41" t="s">
        <v>0</v>
      </c>
      <c r="U41" t="s">
        <v>5</v>
      </c>
      <c r="V41" t="s">
        <v>183</v>
      </c>
      <c r="W41" t="s">
        <v>0</v>
      </c>
      <c r="X41" t="s">
        <v>0</v>
      </c>
      <c r="Y41" t="s">
        <v>0</v>
      </c>
      <c r="Z41" t="s">
        <v>6</v>
      </c>
      <c r="AA41" t="s">
        <v>0</v>
      </c>
      <c r="AB41" s="3"/>
      <c r="AC41" t="s">
        <v>0</v>
      </c>
      <c r="AD41" t="s">
        <v>0</v>
      </c>
      <c r="AE41" t="s">
        <v>0</v>
      </c>
      <c r="AF41" s="4">
        <v>0</v>
      </c>
    </row>
    <row r="42" spans="1:32" ht="14.1" customHeight="1" x14ac:dyDescent="0.2">
      <c r="A42" s="2" t="s">
        <v>0</v>
      </c>
      <c r="B42" t="s">
        <v>1</v>
      </c>
      <c r="C42" t="s">
        <v>34</v>
      </c>
      <c r="D42" s="3">
        <v>44286</v>
      </c>
      <c r="E42" s="3">
        <v>44286</v>
      </c>
      <c r="F42" s="3">
        <v>44287</v>
      </c>
      <c r="G42" t="s">
        <v>7</v>
      </c>
      <c r="H42" t="s">
        <v>2</v>
      </c>
      <c r="I42" s="4">
        <v>-11477.37</v>
      </c>
      <c r="J42" t="s">
        <v>3</v>
      </c>
      <c r="K42" t="s">
        <v>4</v>
      </c>
      <c r="L42" s="4">
        <v>-963525.21</v>
      </c>
      <c r="M42" s="4">
        <v>-11477.37</v>
      </c>
      <c r="N42" s="4">
        <f t="shared" si="2"/>
        <v>11477.37</v>
      </c>
      <c r="O42" s="10" t="str">
        <f>IF(M42="","",IF(M42&lt;0,-M42&amp;"_"&amp;COUNTIF(M$2:M42,M42),M42&amp;"_"&amp;COUNTIF(M$2:M42,M42)))</f>
        <v>11477.37_1</v>
      </c>
      <c r="P42" s="11" t="str">
        <f t="shared" si="3"/>
        <v/>
      </c>
      <c r="Q42" t="s">
        <v>35</v>
      </c>
      <c r="R42" t="s">
        <v>35</v>
      </c>
      <c r="S42" t="s">
        <v>10</v>
      </c>
      <c r="T42" t="s">
        <v>0</v>
      </c>
      <c r="U42" t="s">
        <v>5</v>
      </c>
      <c r="V42" t="s">
        <v>36</v>
      </c>
      <c r="W42" t="s">
        <v>0</v>
      </c>
      <c r="X42" t="s">
        <v>0</v>
      </c>
      <c r="Y42" t="s">
        <v>0</v>
      </c>
      <c r="Z42" t="s">
        <v>6</v>
      </c>
      <c r="AA42" t="s">
        <v>37</v>
      </c>
      <c r="AB42" s="3">
        <v>44390</v>
      </c>
      <c r="AC42" t="s">
        <v>0</v>
      </c>
      <c r="AD42" t="s">
        <v>0</v>
      </c>
      <c r="AE42" t="s">
        <v>0</v>
      </c>
      <c r="AF42" s="4">
        <v>0</v>
      </c>
    </row>
    <row r="43" spans="1:32" ht="14.1" customHeight="1" x14ac:dyDescent="0.2">
      <c r="A43" s="2" t="s">
        <v>0</v>
      </c>
      <c r="B43" t="s">
        <v>1</v>
      </c>
      <c r="C43" t="s">
        <v>68</v>
      </c>
      <c r="D43" s="3">
        <v>44298</v>
      </c>
      <c r="E43" s="3">
        <v>44298</v>
      </c>
      <c r="F43" s="3">
        <v>44299</v>
      </c>
      <c r="G43" t="s">
        <v>7</v>
      </c>
      <c r="H43" t="s">
        <v>2</v>
      </c>
      <c r="I43" s="4">
        <v>-11229.39</v>
      </c>
      <c r="J43" t="s">
        <v>3</v>
      </c>
      <c r="K43" t="s">
        <v>4</v>
      </c>
      <c r="L43" s="4">
        <v>-942707.29</v>
      </c>
      <c r="M43" s="4">
        <v>-11229.39</v>
      </c>
      <c r="N43" s="4">
        <f t="shared" si="2"/>
        <v>11229.39</v>
      </c>
      <c r="O43" s="10" t="str">
        <f>IF(M43="","",IF(M43&lt;0,-M43&amp;"_"&amp;COUNTIF(M$2:M43,M43),M43&amp;"_"&amp;COUNTIF(M$2:M43,M43)))</f>
        <v>11229.39_1</v>
      </c>
      <c r="P43" s="11" t="str">
        <f t="shared" si="3"/>
        <v/>
      </c>
      <c r="Q43" t="s">
        <v>69</v>
      </c>
      <c r="R43" t="s">
        <v>69</v>
      </c>
      <c r="S43" t="s">
        <v>44</v>
      </c>
      <c r="T43" t="s">
        <v>0</v>
      </c>
      <c r="U43" t="s">
        <v>5</v>
      </c>
      <c r="V43" t="s">
        <v>70</v>
      </c>
      <c r="W43" t="s">
        <v>0</v>
      </c>
      <c r="X43" t="s">
        <v>0</v>
      </c>
      <c r="Y43" t="s">
        <v>0</v>
      </c>
      <c r="Z43" t="s">
        <v>6</v>
      </c>
      <c r="AA43" t="s">
        <v>0</v>
      </c>
      <c r="AB43" s="3"/>
      <c r="AC43" t="s">
        <v>0</v>
      </c>
      <c r="AD43" t="s">
        <v>0</v>
      </c>
      <c r="AE43" t="s">
        <v>0</v>
      </c>
      <c r="AF43" s="4">
        <v>0</v>
      </c>
    </row>
    <row r="44" spans="1:32" ht="14.1" customHeight="1" x14ac:dyDescent="0.2">
      <c r="A44" s="2" t="s">
        <v>0</v>
      </c>
      <c r="B44" t="s">
        <v>1</v>
      </c>
      <c r="C44" t="s">
        <v>266</v>
      </c>
      <c r="D44" s="3">
        <v>44377</v>
      </c>
      <c r="E44" s="3">
        <v>44377</v>
      </c>
      <c r="F44" s="3">
        <v>44381</v>
      </c>
      <c r="G44" t="s">
        <v>7</v>
      </c>
      <c r="H44" t="s">
        <v>2</v>
      </c>
      <c r="I44" s="4">
        <v>-10986.21</v>
      </c>
      <c r="J44" t="s">
        <v>3</v>
      </c>
      <c r="K44" t="s">
        <v>4</v>
      </c>
      <c r="L44" s="4">
        <v>-922292.33</v>
      </c>
      <c r="M44" s="4">
        <v>-10986.21</v>
      </c>
      <c r="N44" s="4">
        <f t="shared" si="2"/>
        <v>10986.21</v>
      </c>
      <c r="O44" s="10" t="str">
        <f>IF(M44="","",IF(M44&lt;0,-M44&amp;"_"&amp;COUNTIF(M$2:M44,M44),M44&amp;"_"&amp;COUNTIF(M$2:M44,M44)))</f>
        <v>10986.21_1</v>
      </c>
      <c r="P44" s="11" t="str">
        <f t="shared" si="3"/>
        <v/>
      </c>
      <c r="Q44" t="s">
        <v>267</v>
      </c>
      <c r="R44" t="s">
        <v>172</v>
      </c>
      <c r="S44" t="s">
        <v>10</v>
      </c>
      <c r="T44" t="s">
        <v>0</v>
      </c>
      <c r="U44" t="s">
        <v>5</v>
      </c>
      <c r="V44" t="s">
        <v>268</v>
      </c>
      <c r="W44" t="s">
        <v>0</v>
      </c>
      <c r="X44" t="s">
        <v>0</v>
      </c>
      <c r="Y44" t="s">
        <v>0</v>
      </c>
      <c r="Z44" t="s">
        <v>6</v>
      </c>
      <c r="AA44" t="s">
        <v>0</v>
      </c>
      <c r="AB44" s="3"/>
      <c r="AC44" t="s">
        <v>0</v>
      </c>
      <c r="AD44" t="s">
        <v>0</v>
      </c>
      <c r="AE44" t="s">
        <v>0</v>
      </c>
      <c r="AF44" s="4">
        <v>0</v>
      </c>
    </row>
    <row r="45" spans="1:32" ht="14.1" customHeight="1" x14ac:dyDescent="0.2">
      <c r="A45" s="2" t="s">
        <v>0</v>
      </c>
      <c r="B45" t="s">
        <v>1</v>
      </c>
      <c r="C45" t="s">
        <v>164</v>
      </c>
      <c r="D45" s="3">
        <v>44347</v>
      </c>
      <c r="E45" s="3">
        <v>44347</v>
      </c>
      <c r="F45" s="3">
        <v>44348</v>
      </c>
      <c r="G45" t="s">
        <v>7</v>
      </c>
      <c r="H45" t="s">
        <v>2</v>
      </c>
      <c r="I45" s="4">
        <v>-10533.96</v>
      </c>
      <c r="J45" t="s">
        <v>3</v>
      </c>
      <c r="K45" t="s">
        <v>4</v>
      </c>
      <c r="L45" s="4">
        <v>-884325.94</v>
      </c>
      <c r="M45" s="4">
        <v>-10533.96</v>
      </c>
      <c r="N45" s="4">
        <f t="shared" si="2"/>
        <v>10533.96</v>
      </c>
      <c r="O45" s="10" t="str">
        <f>IF(M45="","",IF(M45&lt;0,-M45&amp;"_"&amp;COUNTIF(M$2:M45,M45),M45&amp;"_"&amp;COUNTIF(M$2:M45,M45)))</f>
        <v>10533.96_1</v>
      </c>
      <c r="P45" s="11" t="str">
        <f t="shared" si="3"/>
        <v/>
      </c>
      <c r="Q45" t="s">
        <v>165</v>
      </c>
      <c r="R45" t="s">
        <v>117</v>
      </c>
      <c r="S45" t="s">
        <v>10</v>
      </c>
      <c r="T45" t="s">
        <v>0</v>
      </c>
      <c r="U45" t="s">
        <v>5</v>
      </c>
      <c r="V45" t="s">
        <v>166</v>
      </c>
      <c r="W45" t="s">
        <v>0</v>
      </c>
      <c r="X45" t="s">
        <v>0</v>
      </c>
      <c r="Y45" t="s">
        <v>0</v>
      </c>
      <c r="Z45" t="s">
        <v>6</v>
      </c>
      <c r="AA45" t="s">
        <v>0</v>
      </c>
      <c r="AB45" s="3"/>
      <c r="AC45" t="s">
        <v>0</v>
      </c>
      <c r="AD45" t="s">
        <v>0</v>
      </c>
      <c r="AE45" t="s">
        <v>0</v>
      </c>
      <c r="AF45" s="4">
        <v>0</v>
      </c>
    </row>
    <row r="46" spans="1:32" ht="14.1" customHeight="1" x14ac:dyDescent="0.2">
      <c r="A46" s="2" t="s">
        <v>0</v>
      </c>
      <c r="B46" t="s">
        <v>1</v>
      </c>
      <c r="C46" t="s">
        <v>65</v>
      </c>
      <c r="D46" s="3">
        <v>44293</v>
      </c>
      <c r="E46" s="3">
        <v>44293</v>
      </c>
      <c r="F46" s="3">
        <v>44298</v>
      </c>
      <c r="G46" t="s">
        <v>7</v>
      </c>
      <c r="H46" t="s">
        <v>2</v>
      </c>
      <c r="I46" s="4">
        <v>-9967.64</v>
      </c>
      <c r="J46" t="s">
        <v>3</v>
      </c>
      <c r="K46" t="s">
        <v>4</v>
      </c>
      <c r="L46" s="4">
        <v>-836783.38</v>
      </c>
      <c r="M46" s="4">
        <v>-9967.64</v>
      </c>
      <c r="N46" s="4">
        <f t="shared" si="2"/>
        <v>9967.64</v>
      </c>
      <c r="O46" s="10" t="str">
        <f>IF(M46="","",IF(M46&lt;0,-M46&amp;"_"&amp;COUNTIF(M$2:M46,M46),M46&amp;"_"&amp;COUNTIF(M$2:M46,M46)))</f>
        <v>9967.64_1</v>
      </c>
      <c r="P46" s="11" t="str">
        <f t="shared" si="3"/>
        <v/>
      </c>
      <c r="Q46" t="s">
        <v>66</v>
      </c>
      <c r="R46" t="s">
        <v>66</v>
      </c>
      <c r="S46" t="s">
        <v>44</v>
      </c>
      <c r="T46" t="s">
        <v>0</v>
      </c>
      <c r="U46" t="s">
        <v>5</v>
      </c>
      <c r="V46" t="s">
        <v>67</v>
      </c>
      <c r="W46" t="s">
        <v>0</v>
      </c>
      <c r="X46" t="s">
        <v>0</v>
      </c>
      <c r="Y46" t="s">
        <v>0</v>
      </c>
      <c r="Z46" t="s">
        <v>6</v>
      </c>
      <c r="AA46" t="s">
        <v>0</v>
      </c>
      <c r="AB46" s="3"/>
      <c r="AC46" t="s">
        <v>0</v>
      </c>
      <c r="AD46" t="s">
        <v>0</v>
      </c>
      <c r="AE46" t="s">
        <v>0</v>
      </c>
      <c r="AF46" s="4">
        <v>0</v>
      </c>
    </row>
    <row r="47" spans="1:32" ht="14.1" customHeight="1" x14ac:dyDescent="0.2">
      <c r="A47" s="2" t="s">
        <v>0</v>
      </c>
      <c r="B47" t="s">
        <v>1</v>
      </c>
      <c r="C47" t="s">
        <v>74</v>
      </c>
      <c r="D47" s="3">
        <v>44298</v>
      </c>
      <c r="E47" s="3">
        <v>44298</v>
      </c>
      <c r="F47" s="3">
        <v>44299</v>
      </c>
      <c r="G47" t="s">
        <v>7</v>
      </c>
      <c r="H47" t="s">
        <v>2</v>
      </c>
      <c r="I47" s="4">
        <v>-9927.32</v>
      </c>
      <c r="J47" t="s">
        <v>3</v>
      </c>
      <c r="K47" t="s">
        <v>4</v>
      </c>
      <c r="L47" s="4">
        <v>-833398.51</v>
      </c>
      <c r="M47" s="4">
        <v>-9927.32</v>
      </c>
      <c r="N47" s="4">
        <f t="shared" si="2"/>
        <v>9927.32</v>
      </c>
      <c r="O47" s="10" t="str">
        <f>IF(M47="","",IF(M47&lt;0,-M47&amp;"_"&amp;COUNTIF(M$2:M47,M47),M47&amp;"_"&amp;COUNTIF(M$2:M47,M47)))</f>
        <v>9927.32_1</v>
      </c>
      <c r="P47" s="11" t="str">
        <f t="shared" si="3"/>
        <v/>
      </c>
      <c r="Q47" t="s">
        <v>75</v>
      </c>
      <c r="R47" t="s">
        <v>75</v>
      </c>
      <c r="S47" t="s">
        <v>44</v>
      </c>
      <c r="T47" t="s">
        <v>0</v>
      </c>
      <c r="U47" t="s">
        <v>5</v>
      </c>
      <c r="V47" t="s">
        <v>76</v>
      </c>
      <c r="W47" t="s">
        <v>0</v>
      </c>
      <c r="X47" t="s">
        <v>0</v>
      </c>
      <c r="Y47" t="s">
        <v>0</v>
      </c>
      <c r="Z47" t="s">
        <v>6</v>
      </c>
      <c r="AA47" t="s">
        <v>0</v>
      </c>
      <c r="AB47" s="3"/>
      <c r="AC47" t="s">
        <v>0</v>
      </c>
      <c r="AD47" t="s">
        <v>0</v>
      </c>
      <c r="AE47" t="s">
        <v>0</v>
      </c>
      <c r="AF47" s="4">
        <v>0</v>
      </c>
    </row>
    <row r="48" spans="1:32" ht="14.1" customHeight="1" x14ac:dyDescent="0.2">
      <c r="A48" s="2" t="s">
        <v>0</v>
      </c>
      <c r="B48" t="s">
        <v>1</v>
      </c>
      <c r="C48" t="s">
        <v>84</v>
      </c>
      <c r="D48" s="3">
        <v>44306</v>
      </c>
      <c r="E48" s="3">
        <v>44306</v>
      </c>
      <c r="F48" s="3">
        <v>44307</v>
      </c>
      <c r="G48" t="s">
        <v>7</v>
      </c>
      <c r="H48" t="s">
        <v>2</v>
      </c>
      <c r="I48" s="4">
        <v>-9087.01</v>
      </c>
      <c r="J48" t="s">
        <v>3</v>
      </c>
      <c r="K48" t="s">
        <v>4</v>
      </c>
      <c r="L48" s="4">
        <v>-762854.49</v>
      </c>
      <c r="M48" s="4">
        <v>-9087.01</v>
      </c>
      <c r="N48" s="4">
        <f t="shared" si="2"/>
        <v>9087.01</v>
      </c>
      <c r="O48" s="10" t="str">
        <f>IF(M48="","",IF(M48&lt;0,-M48&amp;"_"&amp;COUNTIF(M$2:M48,M48),M48&amp;"_"&amp;COUNTIF(M$2:M48,M48)))</f>
        <v>9087.01_1</v>
      </c>
      <c r="P48" s="11" t="str">
        <f t="shared" si="3"/>
        <v/>
      </c>
      <c r="Q48" t="s">
        <v>85</v>
      </c>
      <c r="R48" t="s">
        <v>85</v>
      </c>
      <c r="S48" t="s">
        <v>82</v>
      </c>
      <c r="T48" t="s">
        <v>0</v>
      </c>
      <c r="U48" t="s">
        <v>5</v>
      </c>
      <c r="V48" t="s">
        <v>86</v>
      </c>
      <c r="W48" t="s">
        <v>0</v>
      </c>
      <c r="X48" t="s">
        <v>0</v>
      </c>
      <c r="Y48" t="s">
        <v>0</v>
      </c>
      <c r="Z48" t="s">
        <v>6</v>
      </c>
      <c r="AA48" t="s">
        <v>0</v>
      </c>
      <c r="AB48" s="3"/>
      <c r="AC48" t="s">
        <v>0</v>
      </c>
      <c r="AD48" t="s">
        <v>0</v>
      </c>
      <c r="AE48" t="s">
        <v>0</v>
      </c>
      <c r="AF48" s="4">
        <v>0</v>
      </c>
    </row>
    <row r="49" spans="1:32" ht="14.1" customHeight="1" x14ac:dyDescent="0.2">
      <c r="A49" s="2" t="s">
        <v>0</v>
      </c>
      <c r="B49" t="s">
        <v>1</v>
      </c>
      <c r="C49" t="s">
        <v>220</v>
      </c>
      <c r="D49" s="3">
        <v>44371</v>
      </c>
      <c r="E49" s="3">
        <v>44371</v>
      </c>
      <c r="F49" s="3">
        <v>44374</v>
      </c>
      <c r="G49" t="s">
        <v>7</v>
      </c>
      <c r="H49" t="s">
        <v>2</v>
      </c>
      <c r="I49" s="4">
        <v>-8788.32</v>
      </c>
      <c r="J49" t="s">
        <v>3</v>
      </c>
      <c r="K49" t="s">
        <v>4</v>
      </c>
      <c r="L49" s="4">
        <v>-737779.46</v>
      </c>
      <c r="M49" s="4">
        <v>-8788.32</v>
      </c>
      <c r="N49" s="4">
        <f t="shared" si="2"/>
        <v>8788.32</v>
      </c>
      <c r="O49" s="10" t="str">
        <f>IF(M49="","",IF(M49&lt;0,-M49&amp;"_"&amp;COUNTIF(M$2:M49,M49),M49&amp;"_"&amp;COUNTIF(M$2:M49,M49)))</f>
        <v>8788.32_1</v>
      </c>
      <c r="P49" s="11" t="str">
        <f t="shared" si="3"/>
        <v/>
      </c>
      <c r="Q49" t="s">
        <v>221</v>
      </c>
      <c r="R49" t="s">
        <v>172</v>
      </c>
      <c r="S49" t="s">
        <v>10</v>
      </c>
      <c r="T49" t="s">
        <v>0</v>
      </c>
      <c r="U49" t="s">
        <v>5</v>
      </c>
      <c r="V49" t="s">
        <v>222</v>
      </c>
      <c r="W49" t="s">
        <v>0</v>
      </c>
      <c r="X49" t="s">
        <v>0</v>
      </c>
      <c r="Y49" t="s">
        <v>0</v>
      </c>
      <c r="Z49" t="s">
        <v>6</v>
      </c>
      <c r="AA49" t="s">
        <v>0</v>
      </c>
      <c r="AB49" s="3"/>
      <c r="AC49" t="s">
        <v>0</v>
      </c>
      <c r="AD49" t="s">
        <v>0</v>
      </c>
      <c r="AE49" t="s">
        <v>0</v>
      </c>
      <c r="AF49" s="4">
        <v>0</v>
      </c>
    </row>
    <row r="50" spans="1:32" ht="14.1" customHeight="1" x14ac:dyDescent="0.2">
      <c r="A50" s="2" t="s">
        <v>0</v>
      </c>
      <c r="B50" t="s">
        <v>1</v>
      </c>
      <c r="C50" t="s">
        <v>56</v>
      </c>
      <c r="D50" s="3">
        <v>44287</v>
      </c>
      <c r="E50" s="3">
        <v>44287</v>
      </c>
      <c r="F50" s="3">
        <v>44298</v>
      </c>
      <c r="G50" t="s">
        <v>7</v>
      </c>
      <c r="H50" t="s">
        <v>2</v>
      </c>
      <c r="I50" s="4">
        <v>-8749.5</v>
      </c>
      <c r="J50" t="s">
        <v>3</v>
      </c>
      <c r="K50" t="s">
        <v>4</v>
      </c>
      <c r="L50" s="4">
        <v>-734520.53</v>
      </c>
      <c r="M50" s="4">
        <v>-8749.5</v>
      </c>
      <c r="N50" s="4">
        <f t="shared" si="2"/>
        <v>8749.5</v>
      </c>
      <c r="O50" s="10" t="str">
        <f>IF(M50="","",IF(M50&lt;0,-M50&amp;"_"&amp;COUNTIF(M$2:M50,M50),M50&amp;"_"&amp;COUNTIF(M$2:M50,M50)))</f>
        <v>8749.5_1</v>
      </c>
      <c r="P50" s="11" t="str">
        <f t="shared" si="3"/>
        <v/>
      </c>
      <c r="Q50" t="s">
        <v>57</v>
      </c>
      <c r="R50" t="s">
        <v>57</v>
      </c>
      <c r="S50" t="s">
        <v>53</v>
      </c>
      <c r="T50" t="s">
        <v>0</v>
      </c>
      <c r="U50" t="s">
        <v>5</v>
      </c>
      <c r="V50" t="s">
        <v>58</v>
      </c>
      <c r="W50" t="s">
        <v>0</v>
      </c>
      <c r="X50" t="s">
        <v>0</v>
      </c>
      <c r="Y50" t="s">
        <v>0</v>
      </c>
      <c r="Z50" t="s">
        <v>6</v>
      </c>
      <c r="AA50" t="s">
        <v>0</v>
      </c>
      <c r="AB50" s="3"/>
      <c r="AC50" t="s">
        <v>0</v>
      </c>
      <c r="AD50" t="s">
        <v>0</v>
      </c>
      <c r="AE50" t="s">
        <v>0</v>
      </c>
      <c r="AF50" s="4">
        <v>0</v>
      </c>
    </row>
    <row r="51" spans="1:32" ht="14.1" customHeight="1" x14ac:dyDescent="0.2">
      <c r="A51" s="2" t="s">
        <v>0</v>
      </c>
      <c r="B51" t="s">
        <v>1</v>
      </c>
      <c r="C51" t="s">
        <v>158</v>
      </c>
      <c r="D51" s="3">
        <v>44343</v>
      </c>
      <c r="E51" s="3">
        <v>44343</v>
      </c>
      <c r="F51" s="3">
        <v>44345</v>
      </c>
      <c r="G51" t="s">
        <v>7</v>
      </c>
      <c r="H51" t="s">
        <v>2</v>
      </c>
      <c r="I51" s="4">
        <v>-8580.7800000000007</v>
      </c>
      <c r="J51" t="s">
        <v>3</v>
      </c>
      <c r="K51" t="s">
        <v>4</v>
      </c>
      <c r="L51" s="4">
        <v>-720356.48</v>
      </c>
      <c r="M51" s="4">
        <v>-8580.7800000000007</v>
      </c>
      <c r="N51" s="4">
        <f t="shared" si="2"/>
        <v>8580.7800000000007</v>
      </c>
      <c r="O51" s="10" t="str">
        <f>IF(M51="","",IF(M51&lt;0,-M51&amp;"_"&amp;COUNTIF(M$2:M51,M51),M51&amp;"_"&amp;COUNTIF(M$2:M51,M51)))</f>
        <v>8580.78_1</v>
      </c>
      <c r="P51" s="11" t="str">
        <f t="shared" si="3"/>
        <v/>
      </c>
      <c r="Q51" t="s">
        <v>159</v>
      </c>
      <c r="R51" t="s">
        <v>117</v>
      </c>
      <c r="S51" t="s">
        <v>10</v>
      </c>
      <c r="T51" t="s">
        <v>0</v>
      </c>
      <c r="U51" t="s">
        <v>5</v>
      </c>
      <c r="V51" t="s">
        <v>160</v>
      </c>
      <c r="W51" t="s">
        <v>0</v>
      </c>
      <c r="X51" t="s">
        <v>0</v>
      </c>
      <c r="Y51" t="s">
        <v>0</v>
      </c>
      <c r="Z51" t="s">
        <v>6</v>
      </c>
      <c r="AA51" t="s">
        <v>0</v>
      </c>
      <c r="AB51" s="3"/>
      <c r="AC51" t="s">
        <v>0</v>
      </c>
      <c r="AD51" t="s">
        <v>0</v>
      </c>
      <c r="AE51" t="s">
        <v>0</v>
      </c>
      <c r="AF51" s="4">
        <v>0</v>
      </c>
    </row>
    <row r="52" spans="1:32" ht="14.1" customHeight="1" x14ac:dyDescent="0.2">
      <c r="A52" s="2" t="s">
        <v>0</v>
      </c>
      <c r="B52" t="s">
        <v>1</v>
      </c>
      <c r="C52" t="s">
        <v>59</v>
      </c>
      <c r="D52" s="3">
        <v>44293</v>
      </c>
      <c r="E52" s="3">
        <v>44293</v>
      </c>
      <c r="F52" s="3">
        <v>44298</v>
      </c>
      <c r="G52" t="s">
        <v>7</v>
      </c>
      <c r="H52" t="s">
        <v>2</v>
      </c>
      <c r="I52" s="4">
        <v>-8264.24</v>
      </c>
      <c r="J52" t="s">
        <v>3</v>
      </c>
      <c r="K52" t="s">
        <v>4</v>
      </c>
      <c r="L52" s="4">
        <v>-693782.95</v>
      </c>
      <c r="M52" s="4">
        <v>-8264.24</v>
      </c>
      <c r="N52" s="4">
        <f t="shared" si="2"/>
        <v>8264.24</v>
      </c>
      <c r="O52" s="10" t="str">
        <f>IF(M52="","",IF(M52&lt;0,-M52&amp;"_"&amp;COUNTIF(M$2:M52,M52),M52&amp;"_"&amp;COUNTIF(M$2:M52,M52)))</f>
        <v>8264.24_1</v>
      </c>
      <c r="P52" s="11" t="str">
        <f t="shared" si="3"/>
        <v/>
      </c>
      <c r="Q52" t="s">
        <v>60</v>
      </c>
      <c r="R52" t="s">
        <v>60</v>
      </c>
      <c r="S52" t="s">
        <v>44</v>
      </c>
      <c r="T52" t="s">
        <v>0</v>
      </c>
      <c r="U52" t="s">
        <v>5</v>
      </c>
      <c r="V52" t="s">
        <v>61</v>
      </c>
      <c r="W52" t="s">
        <v>0</v>
      </c>
      <c r="X52" t="s">
        <v>0</v>
      </c>
      <c r="Y52" t="s">
        <v>0</v>
      </c>
      <c r="Z52" t="s">
        <v>6</v>
      </c>
      <c r="AA52" t="s">
        <v>0</v>
      </c>
      <c r="AB52" s="3"/>
      <c r="AC52" t="s">
        <v>0</v>
      </c>
      <c r="AD52" t="s">
        <v>0</v>
      </c>
      <c r="AE52" t="s">
        <v>0</v>
      </c>
      <c r="AF52" s="4">
        <v>0</v>
      </c>
    </row>
    <row r="53" spans="1:32" ht="14.1" customHeight="1" x14ac:dyDescent="0.2">
      <c r="A53" s="2" t="s">
        <v>0</v>
      </c>
      <c r="B53" t="s">
        <v>1</v>
      </c>
      <c r="C53" t="s">
        <v>18</v>
      </c>
      <c r="D53" s="3">
        <v>44277</v>
      </c>
      <c r="E53" s="3">
        <v>44277</v>
      </c>
      <c r="F53" s="3">
        <v>44280</v>
      </c>
      <c r="G53" t="s">
        <v>7</v>
      </c>
      <c r="H53" t="s">
        <v>2</v>
      </c>
      <c r="I53" s="4">
        <v>-8155.15</v>
      </c>
      <c r="J53" t="s">
        <v>3</v>
      </c>
      <c r="K53" t="s">
        <v>4</v>
      </c>
      <c r="L53" s="4">
        <v>-684624.84</v>
      </c>
      <c r="M53" s="4">
        <v>-8155.15</v>
      </c>
      <c r="N53" s="4">
        <f t="shared" si="2"/>
        <v>8155.15</v>
      </c>
      <c r="O53" s="10" t="str">
        <f>IF(M53="","",IF(M53&lt;0,-M53&amp;"_"&amp;COUNTIF(M$2:M53,M53),M53&amp;"_"&amp;COUNTIF(M$2:M53,M53)))</f>
        <v>8155.15_1</v>
      </c>
      <c r="P53" s="11" t="str">
        <f t="shared" si="3"/>
        <v/>
      </c>
      <c r="Q53" t="s">
        <v>19</v>
      </c>
      <c r="R53" t="s">
        <v>19</v>
      </c>
      <c r="S53" t="s">
        <v>10</v>
      </c>
      <c r="T53" t="s">
        <v>0</v>
      </c>
      <c r="U53" t="s">
        <v>5</v>
      </c>
      <c r="V53" t="s">
        <v>20</v>
      </c>
      <c r="W53" t="s">
        <v>0</v>
      </c>
      <c r="X53" t="s">
        <v>0</v>
      </c>
      <c r="Y53" t="s">
        <v>0</v>
      </c>
      <c r="Z53" t="s">
        <v>6</v>
      </c>
      <c r="AA53" t="s">
        <v>21</v>
      </c>
      <c r="AB53" s="3">
        <v>44389</v>
      </c>
      <c r="AC53" t="s">
        <v>0</v>
      </c>
      <c r="AD53" t="s">
        <v>0</v>
      </c>
      <c r="AE53" t="s">
        <v>0</v>
      </c>
      <c r="AF53" s="4">
        <v>0</v>
      </c>
    </row>
    <row r="54" spans="1:32" ht="14.1" customHeight="1" x14ac:dyDescent="0.2">
      <c r="A54" s="2" t="s">
        <v>0</v>
      </c>
      <c r="B54" t="s">
        <v>1</v>
      </c>
      <c r="C54" t="s">
        <v>275</v>
      </c>
      <c r="D54" s="3">
        <v>44377</v>
      </c>
      <c r="E54" s="3">
        <v>44377</v>
      </c>
      <c r="F54" s="3">
        <v>44381</v>
      </c>
      <c r="G54" t="s">
        <v>7</v>
      </c>
      <c r="H54" t="s">
        <v>2</v>
      </c>
      <c r="I54" s="4">
        <v>-8000.77</v>
      </c>
      <c r="J54" t="s">
        <v>3</v>
      </c>
      <c r="K54" t="s">
        <v>4</v>
      </c>
      <c r="L54" s="4">
        <v>-671664.64000000001</v>
      </c>
      <c r="M54" s="4">
        <v>-8000.77</v>
      </c>
      <c r="N54" s="4">
        <f t="shared" si="2"/>
        <v>8000.77</v>
      </c>
      <c r="O54" s="10" t="str">
        <f>IF(M54="","",IF(M54&lt;0,-M54&amp;"_"&amp;COUNTIF(M$2:M54,M54),M54&amp;"_"&amp;COUNTIF(M$2:M54,M54)))</f>
        <v>8000.77_1</v>
      </c>
      <c r="P54" s="11" t="str">
        <f t="shared" si="3"/>
        <v/>
      </c>
      <c r="Q54" t="s">
        <v>276</v>
      </c>
      <c r="R54" t="s">
        <v>214</v>
      </c>
      <c r="S54" t="s">
        <v>10</v>
      </c>
      <c r="T54" t="s">
        <v>0</v>
      </c>
      <c r="U54" t="s">
        <v>5</v>
      </c>
      <c r="V54" t="s">
        <v>277</v>
      </c>
      <c r="W54" t="s">
        <v>0</v>
      </c>
      <c r="X54" t="s">
        <v>0</v>
      </c>
      <c r="Y54" t="s">
        <v>0</v>
      </c>
      <c r="Z54" t="s">
        <v>6</v>
      </c>
      <c r="AA54" t="s">
        <v>0</v>
      </c>
      <c r="AB54" s="3"/>
      <c r="AC54" t="s">
        <v>0</v>
      </c>
      <c r="AD54" t="s">
        <v>0</v>
      </c>
      <c r="AE54" t="s">
        <v>0</v>
      </c>
      <c r="AF54" s="4">
        <v>0</v>
      </c>
    </row>
    <row r="55" spans="1:32" ht="14.1" customHeight="1" x14ac:dyDescent="0.2">
      <c r="A55" s="2" t="s">
        <v>0</v>
      </c>
      <c r="B55" t="s">
        <v>1</v>
      </c>
      <c r="C55" t="s">
        <v>108</v>
      </c>
      <c r="D55" s="3">
        <v>44314</v>
      </c>
      <c r="E55" s="3">
        <v>44314</v>
      </c>
      <c r="F55" s="3">
        <v>44315</v>
      </c>
      <c r="G55" t="s">
        <v>7</v>
      </c>
      <c r="H55" t="s">
        <v>2</v>
      </c>
      <c r="I55" s="4">
        <v>-7408</v>
      </c>
      <c r="J55" t="s">
        <v>3</v>
      </c>
      <c r="K55" t="s">
        <v>4</v>
      </c>
      <c r="L55" s="4">
        <v>-621901.6</v>
      </c>
      <c r="M55" s="4">
        <v>-7408</v>
      </c>
      <c r="N55" s="4">
        <f t="shared" si="2"/>
        <v>7408</v>
      </c>
      <c r="O55" s="10" t="str">
        <f>IF(M55="","",IF(M55&lt;0,-M55&amp;"_"&amp;COUNTIF(M$2:M55,M55),M55&amp;"_"&amp;COUNTIF(M$2:M55,M55)))</f>
        <v>7408_1</v>
      </c>
      <c r="P55" s="11" t="str">
        <f t="shared" si="3"/>
        <v/>
      </c>
      <c r="Q55" t="s">
        <v>109</v>
      </c>
      <c r="R55" t="s">
        <v>109</v>
      </c>
      <c r="S55" t="s">
        <v>10</v>
      </c>
      <c r="T55" t="s">
        <v>0</v>
      </c>
      <c r="U55" t="s">
        <v>5</v>
      </c>
      <c r="V55" t="s">
        <v>110</v>
      </c>
      <c r="W55" t="s">
        <v>0</v>
      </c>
      <c r="X55" t="s">
        <v>0</v>
      </c>
      <c r="Y55" t="s">
        <v>0</v>
      </c>
      <c r="Z55" t="s">
        <v>6</v>
      </c>
      <c r="AA55" t="s">
        <v>0</v>
      </c>
      <c r="AB55" s="3"/>
      <c r="AC55" t="s">
        <v>0</v>
      </c>
      <c r="AD55" t="s">
        <v>0</v>
      </c>
      <c r="AE55" t="s">
        <v>0</v>
      </c>
      <c r="AF55" s="4">
        <v>0</v>
      </c>
    </row>
    <row r="56" spans="1:32" ht="14.1" customHeight="1" x14ac:dyDescent="0.2">
      <c r="A56" s="2" t="s">
        <v>0</v>
      </c>
      <c r="B56" t="s">
        <v>1</v>
      </c>
      <c r="C56" t="s">
        <v>167</v>
      </c>
      <c r="D56" s="3">
        <v>44347</v>
      </c>
      <c r="E56" s="3">
        <v>44347</v>
      </c>
      <c r="F56" s="3">
        <v>44348</v>
      </c>
      <c r="G56" t="s">
        <v>7</v>
      </c>
      <c r="H56" t="s">
        <v>2</v>
      </c>
      <c r="I56" s="4">
        <v>-5048.54</v>
      </c>
      <c r="J56" t="s">
        <v>3</v>
      </c>
      <c r="K56" t="s">
        <v>4</v>
      </c>
      <c r="L56" s="4">
        <v>-423824.93</v>
      </c>
      <c r="M56" s="4">
        <v>-5048.54</v>
      </c>
      <c r="N56" s="4">
        <f t="shared" si="2"/>
        <v>5048.54</v>
      </c>
      <c r="O56" s="10" t="str">
        <f>IF(M56="","",IF(M56&lt;0,-M56&amp;"_"&amp;COUNTIF(M$2:M56,M56),M56&amp;"_"&amp;COUNTIF(M$2:M56,M56)))</f>
        <v>5048.54_1</v>
      </c>
      <c r="P56" s="11" t="str">
        <f t="shared" si="3"/>
        <v/>
      </c>
      <c r="Q56" t="s">
        <v>168</v>
      </c>
      <c r="R56" t="s">
        <v>117</v>
      </c>
      <c r="S56" t="s">
        <v>10</v>
      </c>
      <c r="T56" t="s">
        <v>0</v>
      </c>
      <c r="U56" t="s">
        <v>5</v>
      </c>
      <c r="V56" t="s">
        <v>169</v>
      </c>
      <c r="W56" t="s">
        <v>0</v>
      </c>
      <c r="X56" t="s">
        <v>0</v>
      </c>
      <c r="Y56" t="s">
        <v>0</v>
      </c>
      <c r="Z56" t="s">
        <v>6</v>
      </c>
      <c r="AA56" t="s">
        <v>0</v>
      </c>
      <c r="AB56" s="3"/>
      <c r="AC56" t="s">
        <v>0</v>
      </c>
      <c r="AD56" t="s">
        <v>0</v>
      </c>
      <c r="AE56" t="s">
        <v>0</v>
      </c>
      <c r="AF56" s="4">
        <v>0</v>
      </c>
    </row>
    <row r="57" spans="1:32" ht="14.1" customHeight="1" x14ac:dyDescent="0.2">
      <c r="A57" s="2" t="s">
        <v>0</v>
      </c>
      <c r="B57" t="s">
        <v>1</v>
      </c>
      <c r="C57" t="s">
        <v>123</v>
      </c>
      <c r="D57" s="3">
        <v>44322</v>
      </c>
      <c r="E57" s="3">
        <v>44322</v>
      </c>
      <c r="F57" s="3">
        <v>44325</v>
      </c>
      <c r="G57" t="s">
        <v>7</v>
      </c>
      <c r="H57" t="s">
        <v>2</v>
      </c>
      <c r="I57" s="4">
        <v>-4892.8999999999996</v>
      </c>
      <c r="J57" t="s">
        <v>3</v>
      </c>
      <c r="K57" t="s">
        <v>4</v>
      </c>
      <c r="L57" s="4">
        <v>-410758.96</v>
      </c>
      <c r="M57" s="4">
        <v>-4892.8999999999996</v>
      </c>
      <c r="N57" s="4">
        <f t="shared" si="2"/>
        <v>4892.8999999999996</v>
      </c>
      <c r="O57" s="10" t="str">
        <f>IF(M57="","",IF(M57&lt;0,-M57&amp;"_"&amp;COUNTIF(M$2:M57,M57),M57&amp;"_"&amp;COUNTIF(M$2:M57,M57)))</f>
        <v>4892.9_1</v>
      </c>
      <c r="P57" s="11" t="str">
        <f t="shared" si="3"/>
        <v/>
      </c>
      <c r="Q57" t="s">
        <v>124</v>
      </c>
      <c r="R57" t="s">
        <v>124</v>
      </c>
      <c r="S57" t="s">
        <v>82</v>
      </c>
      <c r="T57" t="s">
        <v>0</v>
      </c>
      <c r="U57" t="s">
        <v>5</v>
      </c>
      <c r="V57" t="s">
        <v>125</v>
      </c>
      <c r="W57" t="s">
        <v>0</v>
      </c>
      <c r="X57" t="s">
        <v>0</v>
      </c>
      <c r="Y57" t="s">
        <v>0</v>
      </c>
      <c r="Z57" t="s">
        <v>6</v>
      </c>
      <c r="AA57" t="s">
        <v>0</v>
      </c>
      <c r="AB57" s="3"/>
      <c r="AC57" t="s">
        <v>0</v>
      </c>
      <c r="AD57" t="s">
        <v>0</v>
      </c>
      <c r="AE57" t="s">
        <v>0</v>
      </c>
      <c r="AF57" s="4">
        <v>0</v>
      </c>
    </row>
    <row r="58" spans="1:32" ht="14.1" customHeight="1" x14ac:dyDescent="0.2">
      <c r="A58" s="2" t="s">
        <v>0</v>
      </c>
      <c r="B58" t="s">
        <v>1</v>
      </c>
      <c r="C58" t="s">
        <v>13</v>
      </c>
      <c r="D58" s="3">
        <v>44287</v>
      </c>
      <c r="E58" s="3">
        <v>44276</v>
      </c>
      <c r="F58" s="3">
        <v>44298</v>
      </c>
      <c r="G58" t="s">
        <v>7</v>
      </c>
      <c r="H58" t="s">
        <v>2</v>
      </c>
      <c r="I58" s="4">
        <v>-4514.01</v>
      </c>
      <c r="J58" t="s">
        <v>3</v>
      </c>
      <c r="K58" t="s">
        <v>4</v>
      </c>
      <c r="L58" s="4">
        <v>-378951.14</v>
      </c>
      <c r="M58" s="4">
        <v>-4514.01</v>
      </c>
      <c r="N58" s="4">
        <f t="shared" si="2"/>
        <v>4514.01</v>
      </c>
      <c r="O58" s="10" t="str">
        <f>IF(M58="","",IF(M58&lt;0,-M58&amp;"_"&amp;COUNTIF(M$2:M58,M58),M58&amp;"_"&amp;COUNTIF(M$2:M58,M58)))</f>
        <v>4514.01_1</v>
      </c>
      <c r="P58" s="11" t="str">
        <f t="shared" si="3"/>
        <v/>
      </c>
      <c r="Q58" t="s">
        <v>14</v>
      </c>
      <c r="R58" t="s">
        <v>14</v>
      </c>
      <c r="S58" t="s">
        <v>15</v>
      </c>
      <c r="T58" t="s">
        <v>0</v>
      </c>
      <c r="U58" t="s">
        <v>5</v>
      </c>
      <c r="V58" t="s">
        <v>16</v>
      </c>
      <c r="W58" t="s">
        <v>0</v>
      </c>
      <c r="X58" t="s">
        <v>0</v>
      </c>
      <c r="Y58" t="s">
        <v>0</v>
      </c>
      <c r="Z58" t="s">
        <v>6</v>
      </c>
      <c r="AA58" t="s">
        <v>17</v>
      </c>
      <c r="AB58" s="3">
        <v>44384</v>
      </c>
      <c r="AC58" t="s">
        <v>0</v>
      </c>
      <c r="AD58" t="s">
        <v>0</v>
      </c>
      <c r="AE58" t="s">
        <v>0</v>
      </c>
      <c r="AF58" s="4">
        <v>0</v>
      </c>
    </row>
    <row r="59" spans="1:32" ht="14.1" customHeight="1" x14ac:dyDescent="0.2">
      <c r="A59" s="2" t="s">
        <v>0</v>
      </c>
      <c r="B59" t="s">
        <v>1</v>
      </c>
      <c r="C59" t="s">
        <v>155</v>
      </c>
      <c r="D59" s="3">
        <v>44336</v>
      </c>
      <c r="E59" s="3">
        <v>44336</v>
      </c>
      <c r="F59" s="3">
        <v>44338</v>
      </c>
      <c r="G59" t="s">
        <v>7</v>
      </c>
      <c r="H59" t="s">
        <v>2</v>
      </c>
      <c r="I59" s="4">
        <v>-3525.73</v>
      </c>
      <c r="J59" t="s">
        <v>3</v>
      </c>
      <c r="K59" t="s">
        <v>4</v>
      </c>
      <c r="L59" s="4">
        <v>-295985.03000000003</v>
      </c>
      <c r="M59" s="4">
        <v>-3525.73</v>
      </c>
      <c r="N59" s="4">
        <f t="shared" si="2"/>
        <v>3525.73</v>
      </c>
      <c r="O59" s="10" t="str">
        <f>IF(M59="","",IF(M59&lt;0,-M59&amp;"_"&amp;COUNTIF(M$2:M59,M59),M59&amp;"_"&amp;COUNTIF(M$2:M59,M59)))</f>
        <v>3525.73_1</v>
      </c>
      <c r="P59" s="11" t="str">
        <f t="shared" si="3"/>
        <v/>
      </c>
      <c r="Q59" t="s">
        <v>156</v>
      </c>
      <c r="R59" t="s">
        <v>156</v>
      </c>
      <c r="S59" t="s">
        <v>15</v>
      </c>
      <c r="T59" t="s">
        <v>0</v>
      </c>
      <c r="U59" t="s">
        <v>5</v>
      </c>
      <c r="V59" t="s">
        <v>157</v>
      </c>
      <c r="W59" t="s">
        <v>0</v>
      </c>
      <c r="X59" t="s">
        <v>0</v>
      </c>
      <c r="Y59" t="s">
        <v>0</v>
      </c>
      <c r="Z59" t="s">
        <v>6</v>
      </c>
      <c r="AA59" t="s">
        <v>0</v>
      </c>
      <c r="AB59" s="3"/>
      <c r="AC59" t="s">
        <v>0</v>
      </c>
      <c r="AD59" t="s">
        <v>0</v>
      </c>
      <c r="AE59" t="s">
        <v>0</v>
      </c>
      <c r="AF59" s="4">
        <v>0</v>
      </c>
    </row>
    <row r="60" spans="1:32" ht="14.1" customHeight="1" x14ac:dyDescent="0.2">
      <c r="A60" s="2" t="s">
        <v>0</v>
      </c>
      <c r="B60" t="s">
        <v>202</v>
      </c>
      <c r="C60" t="s">
        <v>237</v>
      </c>
      <c r="D60" s="3">
        <v>44375</v>
      </c>
      <c r="E60" s="3">
        <v>44375</v>
      </c>
      <c r="F60" s="3">
        <v>44376</v>
      </c>
      <c r="G60" t="s">
        <v>204</v>
      </c>
      <c r="H60" t="s">
        <v>2</v>
      </c>
      <c r="I60" s="4">
        <v>-2954.66</v>
      </c>
      <c r="J60" t="s">
        <v>3</v>
      </c>
      <c r="K60" t="s">
        <v>4</v>
      </c>
      <c r="L60" s="4">
        <v>-248043.71</v>
      </c>
      <c r="M60" s="4">
        <v>-2954.66</v>
      </c>
      <c r="N60" s="4">
        <f t="shared" si="2"/>
        <v>2954.66</v>
      </c>
      <c r="O60" s="10" t="str">
        <f>IF(M60="","",IF(M60&lt;0,-M60&amp;"_"&amp;COUNTIF(M$2:M60,M60),M60&amp;"_"&amp;COUNTIF(M$2:M60,M60)))</f>
        <v>2954.66_1</v>
      </c>
      <c r="P60" s="11" t="str">
        <f t="shared" si="3"/>
        <v/>
      </c>
      <c r="Q60" t="s">
        <v>238</v>
      </c>
      <c r="R60" t="s">
        <v>206</v>
      </c>
      <c r="S60" t="s">
        <v>207</v>
      </c>
      <c r="T60" t="s">
        <v>0</v>
      </c>
      <c r="U60" t="s">
        <v>5</v>
      </c>
      <c r="V60" t="s">
        <v>239</v>
      </c>
      <c r="W60" t="s">
        <v>240</v>
      </c>
      <c r="X60" t="s">
        <v>0</v>
      </c>
      <c r="Y60" t="s">
        <v>241</v>
      </c>
      <c r="Z60" t="s">
        <v>0</v>
      </c>
      <c r="AA60" t="s">
        <v>242</v>
      </c>
      <c r="AB60" s="3">
        <v>44387</v>
      </c>
      <c r="AC60" t="s">
        <v>0</v>
      </c>
      <c r="AD60" t="s">
        <v>0</v>
      </c>
      <c r="AE60" t="s">
        <v>0</v>
      </c>
      <c r="AF60" s="4">
        <v>0</v>
      </c>
    </row>
    <row r="61" spans="1:32" ht="14.1" customHeight="1" x14ac:dyDescent="0.2">
      <c r="A61" s="2" t="s">
        <v>0</v>
      </c>
      <c r="B61" t="s">
        <v>1</v>
      </c>
      <c r="C61" t="s">
        <v>80</v>
      </c>
      <c r="D61" s="3">
        <v>44305</v>
      </c>
      <c r="E61" s="3">
        <v>44305</v>
      </c>
      <c r="F61" s="3">
        <v>44306</v>
      </c>
      <c r="G61" t="s">
        <v>7</v>
      </c>
      <c r="H61" t="s">
        <v>2</v>
      </c>
      <c r="I61" s="4">
        <v>-2898.95</v>
      </c>
      <c r="J61" t="s">
        <v>3</v>
      </c>
      <c r="K61" t="s">
        <v>4</v>
      </c>
      <c r="L61" s="4">
        <v>-243366.85</v>
      </c>
      <c r="M61" s="4">
        <v>-2898.95</v>
      </c>
      <c r="N61" s="4">
        <f t="shared" si="2"/>
        <v>2898.95</v>
      </c>
      <c r="O61" s="10" t="str">
        <f>IF(M61="","",IF(M61&lt;0,-M61&amp;"_"&amp;COUNTIF(M$2:M61,M61),M61&amp;"_"&amp;COUNTIF(M$2:M61,M61)))</f>
        <v>2898.95_1</v>
      </c>
      <c r="P61" s="11" t="str">
        <f t="shared" si="3"/>
        <v/>
      </c>
      <c r="Q61" t="s">
        <v>81</v>
      </c>
      <c r="R61" t="s">
        <v>81</v>
      </c>
      <c r="S61" t="s">
        <v>82</v>
      </c>
      <c r="T61" t="s">
        <v>0</v>
      </c>
      <c r="U61" t="s">
        <v>5</v>
      </c>
      <c r="V61" t="s">
        <v>83</v>
      </c>
      <c r="W61" t="s">
        <v>0</v>
      </c>
      <c r="X61" t="s">
        <v>0</v>
      </c>
      <c r="Y61" t="s">
        <v>0</v>
      </c>
      <c r="Z61" t="s">
        <v>6</v>
      </c>
      <c r="AA61" t="s">
        <v>0</v>
      </c>
      <c r="AB61" s="3"/>
      <c r="AC61" t="s">
        <v>0</v>
      </c>
      <c r="AD61" t="s">
        <v>0</v>
      </c>
      <c r="AE61" t="s">
        <v>0</v>
      </c>
      <c r="AF61" s="4">
        <v>0</v>
      </c>
    </row>
    <row r="62" spans="1:32" ht="14.1" customHeight="1" x14ac:dyDescent="0.2">
      <c r="A62" s="2" t="s">
        <v>0</v>
      </c>
      <c r="B62" t="s">
        <v>1</v>
      </c>
      <c r="C62" t="s">
        <v>254</v>
      </c>
      <c r="D62" s="3">
        <v>44375</v>
      </c>
      <c r="E62" s="3">
        <v>44375</v>
      </c>
      <c r="F62" s="3">
        <v>44381</v>
      </c>
      <c r="G62" t="s">
        <v>7</v>
      </c>
      <c r="H62" t="s">
        <v>2</v>
      </c>
      <c r="I62" s="4">
        <v>-2745</v>
      </c>
      <c r="J62" t="s">
        <v>3</v>
      </c>
      <c r="K62" t="s">
        <v>4</v>
      </c>
      <c r="L62" s="4">
        <v>-230442.75</v>
      </c>
      <c r="M62" s="4">
        <v>-2745</v>
      </c>
      <c r="N62" s="4">
        <f t="shared" si="2"/>
        <v>2745</v>
      </c>
      <c r="O62" s="10" t="str">
        <f>IF(M62="","",IF(M62&lt;0,-M62&amp;"_"&amp;COUNTIF(M$2:M62,M62),M62&amp;"_"&amp;COUNTIF(M$2:M62,M62)))</f>
        <v>2745_1</v>
      </c>
      <c r="P62" s="11" t="str">
        <f t="shared" si="3"/>
        <v/>
      </c>
      <c r="Q62" t="s">
        <v>255</v>
      </c>
      <c r="R62" t="s">
        <v>214</v>
      </c>
      <c r="S62" t="s">
        <v>10</v>
      </c>
      <c r="T62" t="s">
        <v>0</v>
      </c>
      <c r="U62" t="s">
        <v>5</v>
      </c>
      <c r="V62" t="s">
        <v>256</v>
      </c>
      <c r="W62" t="s">
        <v>0</v>
      </c>
      <c r="X62" t="s">
        <v>0</v>
      </c>
      <c r="Y62" t="s">
        <v>0</v>
      </c>
      <c r="Z62" t="s">
        <v>6</v>
      </c>
      <c r="AA62" t="s">
        <v>0</v>
      </c>
      <c r="AB62" s="3"/>
      <c r="AC62" t="s">
        <v>0</v>
      </c>
      <c r="AD62" t="s">
        <v>0</v>
      </c>
      <c r="AE62" t="s">
        <v>0</v>
      </c>
      <c r="AF62" s="4">
        <v>0</v>
      </c>
    </row>
    <row r="63" spans="1:32" ht="14.1" customHeight="1" x14ac:dyDescent="0.2">
      <c r="A63" s="2" t="s">
        <v>0</v>
      </c>
      <c r="B63" t="s">
        <v>1</v>
      </c>
      <c r="C63" t="s">
        <v>42</v>
      </c>
      <c r="D63" s="3">
        <v>44287</v>
      </c>
      <c r="E63" s="3">
        <v>44287</v>
      </c>
      <c r="F63" s="3">
        <v>44298</v>
      </c>
      <c r="G63" t="s">
        <v>7</v>
      </c>
      <c r="H63" t="s">
        <v>2</v>
      </c>
      <c r="I63" s="4">
        <v>-2599.04</v>
      </c>
      <c r="J63" t="s">
        <v>3</v>
      </c>
      <c r="K63" t="s">
        <v>4</v>
      </c>
      <c r="L63" s="4">
        <v>-218189.41</v>
      </c>
      <c r="M63" s="4">
        <v>-2599.04</v>
      </c>
      <c r="N63" s="4">
        <f t="shared" si="2"/>
        <v>2599.04</v>
      </c>
      <c r="O63" s="10" t="str">
        <f>IF(M63="","",IF(M63&lt;0,-M63&amp;"_"&amp;COUNTIF(M$2:M63,M63),M63&amp;"_"&amp;COUNTIF(M$2:M63,M63)))</f>
        <v>2599.04_1</v>
      </c>
      <c r="P63" s="11" t="str">
        <f t="shared" si="3"/>
        <v/>
      </c>
      <c r="Q63" t="s">
        <v>43</v>
      </c>
      <c r="R63" t="s">
        <v>43</v>
      </c>
      <c r="S63" t="s">
        <v>44</v>
      </c>
      <c r="T63" t="s">
        <v>0</v>
      </c>
      <c r="U63" t="s">
        <v>5</v>
      </c>
      <c r="V63" t="s">
        <v>45</v>
      </c>
      <c r="W63" t="s">
        <v>0</v>
      </c>
      <c r="X63" t="s">
        <v>0</v>
      </c>
      <c r="Y63" t="s">
        <v>0</v>
      </c>
      <c r="Z63" t="s">
        <v>6</v>
      </c>
      <c r="AA63" t="s">
        <v>0</v>
      </c>
      <c r="AB63" s="3"/>
      <c r="AC63" t="s">
        <v>0</v>
      </c>
      <c r="AD63" t="s">
        <v>0</v>
      </c>
      <c r="AE63" t="s">
        <v>0</v>
      </c>
      <c r="AF63" s="4">
        <v>0</v>
      </c>
    </row>
    <row r="64" spans="1:32" ht="14.1" customHeight="1" x14ac:dyDescent="0.2">
      <c r="A64" s="2" t="s">
        <v>0</v>
      </c>
      <c r="B64" t="s">
        <v>1</v>
      </c>
      <c r="C64" t="s">
        <v>30</v>
      </c>
      <c r="D64" s="3">
        <v>44286</v>
      </c>
      <c r="E64" s="3">
        <v>44286</v>
      </c>
      <c r="F64" s="3">
        <v>44287</v>
      </c>
      <c r="G64" t="s">
        <v>7</v>
      </c>
      <c r="H64" t="s">
        <v>2</v>
      </c>
      <c r="I64" s="4">
        <v>-2430.73</v>
      </c>
      <c r="J64" t="s">
        <v>3</v>
      </c>
      <c r="K64" t="s">
        <v>4</v>
      </c>
      <c r="L64" s="4">
        <v>-204059.78</v>
      </c>
      <c r="M64" s="4">
        <v>-2430.73</v>
      </c>
      <c r="N64" s="4">
        <f t="shared" si="2"/>
        <v>2430.73</v>
      </c>
      <c r="O64" s="10" t="str">
        <f>IF(M64="","",IF(M64&lt;0,-M64&amp;"_"&amp;COUNTIF(M$2:M64,M64),M64&amp;"_"&amp;COUNTIF(M$2:M64,M64)))</f>
        <v>2430.73_1</v>
      </c>
      <c r="P64" s="11" t="str">
        <f t="shared" si="3"/>
        <v/>
      </c>
      <c r="Q64" t="s">
        <v>31</v>
      </c>
      <c r="R64" t="s">
        <v>31</v>
      </c>
      <c r="S64" t="s">
        <v>10</v>
      </c>
      <c r="T64" t="s">
        <v>0</v>
      </c>
      <c r="U64" t="s">
        <v>5</v>
      </c>
      <c r="V64" t="s">
        <v>32</v>
      </c>
      <c r="W64" t="s">
        <v>0</v>
      </c>
      <c r="X64" t="s">
        <v>0</v>
      </c>
      <c r="Y64" t="s">
        <v>0</v>
      </c>
      <c r="Z64" t="s">
        <v>6</v>
      </c>
      <c r="AA64" t="s">
        <v>33</v>
      </c>
      <c r="AB64" s="3">
        <v>44390</v>
      </c>
      <c r="AC64" t="s">
        <v>0</v>
      </c>
      <c r="AD64" t="s">
        <v>0</v>
      </c>
      <c r="AE64" t="s">
        <v>0</v>
      </c>
      <c r="AF64" s="4">
        <v>0</v>
      </c>
    </row>
    <row r="65" spans="1:32" ht="14.1" customHeight="1" x14ac:dyDescent="0.2">
      <c r="A65" s="2" t="s">
        <v>0</v>
      </c>
      <c r="B65" t="s">
        <v>202</v>
      </c>
      <c r="C65" t="s">
        <v>243</v>
      </c>
      <c r="D65" s="3">
        <v>44375</v>
      </c>
      <c r="E65" s="3">
        <v>44375</v>
      </c>
      <c r="F65" s="3">
        <v>44376</v>
      </c>
      <c r="G65" t="s">
        <v>204</v>
      </c>
      <c r="H65" t="s">
        <v>2</v>
      </c>
      <c r="I65" s="4">
        <v>-2182.16</v>
      </c>
      <c r="J65" t="s">
        <v>3</v>
      </c>
      <c r="K65" t="s">
        <v>4</v>
      </c>
      <c r="L65" s="4">
        <v>-183192.33</v>
      </c>
      <c r="M65" s="4">
        <v>-2182.16</v>
      </c>
      <c r="N65" s="4">
        <f t="shared" si="2"/>
        <v>2182.16</v>
      </c>
      <c r="O65" s="10" t="str">
        <f>IF(M65="","",IF(M65&lt;0,-M65&amp;"_"&amp;COUNTIF(M$2:M65,M65),M65&amp;"_"&amp;COUNTIF(M$2:M65,M65)))</f>
        <v>2182.16_1</v>
      </c>
      <c r="P65" s="11" t="str">
        <f t="shared" si="3"/>
        <v/>
      </c>
      <c r="Q65" t="s">
        <v>244</v>
      </c>
      <c r="R65" t="s">
        <v>206</v>
      </c>
      <c r="S65" t="s">
        <v>207</v>
      </c>
      <c r="T65" t="s">
        <v>0</v>
      </c>
      <c r="U65" t="s">
        <v>5</v>
      </c>
      <c r="V65" t="s">
        <v>239</v>
      </c>
      <c r="W65" t="s">
        <v>245</v>
      </c>
      <c r="X65" t="s">
        <v>0</v>
      </c>
      <c r="Y65" t="s">
        <v>246</v>
      </c>
      <c r="Z65" t="s">
        <v>0</v>
      </c>
      <c r="AA65" t="s">
        <v>242</v>
      </c>
      <c r="AB65" s="3">
        <v>44387</v>
      </c>
      <c r="AC65" t="s">
        <v>0</v>
      </c>
      <c r="AD65" t="s">
        <v>0</v>
      </c>
      <c r="AE65" t="s">
        <v>0</v>
      </c>
      <c r="AF65" s="4">
        <v>0</v>
      </c>
    </row>
    <row r="66" spans="1:32" ht="14.1" customHeight="1" x14ac:dyDescent="0.2">
      <c r="A66" s="2" t="s">
        <v>0</v>
      </c>
      <c r="B66" t="s">
        <v>1</v>
      </c>
      <c r="C66" t="s">
        <v>22</v>
      </c>
      <c r="D66" s="3">
        <v>44286</v>
      </c>
      <c r="E66" s="3">
        <v>44286</v>
      </c>
      <c r="F66" s="3">
        <v>44287</v>
      </c>
      <c r="G66" t="s">
        <v>7</v>
      </c>
      <c r="H66" t="s">
        <v>2</v>
      </c>
      <c r="I66" s="4">
        <v>-1699.91</v>
      </c>
      <c r="J66" t="s">
        <v>3</v>
      </c>
      <c r="K66" t="s">
        <v>4</v>
      </c>
      <c r="L66" s="4">
        <v>-142707.44</v>
      </c>
      <c r="M66" s="4">
        <v>-1699.91</v>
      </c>
      <c r="N66" s="4">
        <f t="shared" ref="N66:N77" si="4">ABS(M66)</f>
        <v>1699.91</v>
      </c>
      <c r="O66" s="10" t="str">
        <f>IF(M66="","",IF(M66&lt;0,-M66&amp;"_"&amp;COUNTIF(M$2:M66,M66),M66&amp;"_"&amp;COUNTIF(M$2:M66,M66)))</f>
        <v>1699.91_1</v>
      </c>
      <c r="P66" s="11" t="str">
        <f t="shared" ref="P66:P77" si="5">IF(COUNTIF(O:O,O66)=2,"x","")</f>
        <v/>
      </c>
      <c r="Q66" t="s">
        <v>23</v>
      </c>
      <c r="R66" t="s">
        <v>23</v>
      </c>
      <c r="S66" t="s">
        <v>10</v>
      </c>
      <c r="T66" t="s">
        <v>0</v>
      </c>
      <c r="U66" t="s">
        <v>5</v>
      </c>
      <c r="V66" t="s">
        <v>24</v>
      </c>
      <c r="W66" t="s">
        <v>0</v>
      </c>
      <c r="X66" t="s">
        <v>0</v>
      </c>
      <c r="Y66" t="s">
        <v>0</v>
      </c>
      <c r="Z66" t="s">
        <v>6</v>
      </c>
      <c r="AA66" t="s">
        <v>25</v>
      </c>
      <c r="AB66" s="3">
        <v>44390</v>
      </c>
      <c r="AC66" t="s">
        <v>0</v>
      </c>
      <c r="AD66" t="s">
        <v>0</v>
      </c>
      <c r="AE66" t="s">
        <v>0</v>
      </c>
      <c r="AF66" s="4">
        <v>0</v>
      </c>
    </row>
    <row r="67" spans="1:32" ht="14.1" customHeight="1" x14ac:dyDescent="0.2">
      <c r="A67" s="2" t="s">
        <v>0</v>
      </c>
      <c r="B67" t="s">
        <v>1</v>
      </c>
      <c r="C67" t="s">
        <v>146</v>
      </c>
      <c r="D67" s="3">
        <v>44334</v>
      </c>
      <c r="E67" s="3">
        <v>44334</v>
      </c>
      <c r="F67" s="3">
        <v>44338</v>
      </c>
      <c r="G67" t="s">
        <v>7</v>
      </c>
      <c r="H67" t="s">
        <v>2</v>
      </c>
      <c r="I67" s="4">
        <v>-1540.67</v>
      </c>
      <c r="J67" t="s">
        <v>3</v>
      </c>
      <c r="K67" t="s">
        <v>4</v>
      </c>
      <c r="L67" s="4">
        <v>-129339.25</v>
      </c>
      <c r="M67" s="4">
        <v>-1540.67</v>
      </c>
      <c r="N67" s="4">
        <f t="shared" si="4"/>
        <v>1540.67</v>
      </c>
      <c r="O67" s="10" t="str">
        <f>IF(M67="","",IF(M67&lt;0,-M67&amp;"_"&amp;COUNTIF(M$2:M67,M67),M67&amp;"_"&amp;COUNTIF(M$2:M67,M67)))</f>
        <v>1540.67_1</v>
      </c>
      <c r="P67" s="11" t="str">
        <f t="shared" si="5"/>
        <v/>
      </c>
      <c r="Q67" t="s">
        <v>147</v>
      </c>
      <c r="R67" t="s">
        <v>147</v>
      </c>
      <c r="S67" t="s">
        <v>15</v>
      </c>
      <c r="T67" t="s">
        <v>0</v>
      </c>
      <c r="U67" t="s">
        <v>5</v>
      </c>
      <c r="V67" t="s">
        <v>148</v>
      </c>
      <c r="W67" t="s">
        <v>0</v>
      </c>
      <c r="X67" t="s">
        <v>0</v>
      </c>
      <c r="Y67" t="s">
        <v>0</v>
      </c>
      <c r="Z67" t="s">
        <v>6</v>
      </c>
      <c r="AA67" t="s">
        <v>0</v>
      </c>
      <c r="AB67" s="3"/>
      <c r="AC67" t="s">
        <v>0</v>
      </c>
      <c r="AD67" t="s">
        <v>0</v>
      </c>
      <c r="AE67" t="s">
        <v>0</v>
      </c>
      <c r="AF67" s="4">
        <v>0</v>
      </c>
    </row>
    <row r="68" spans="1:32" ht="14.1" customHeight="1" x14ac:dyDescent="0.2">
      <c r="A68" s="2" t="s">
        <v>0</v>
      </c>
      <c r="B68" t="s">
        <v>1</v>
      </c>
      <c r="C68" t="s">
        <v>26</v>
      </c>
      <c r="D68" s="3">
        <v>44286</v>
      </c>
      <c r="E68" s="3">
        <v>44286</v>
      </c>
      <c r="F68" s="3">
        <v>44287</v>
      </c>
      <c r="G68" t="s">
        <v>7</v>
      </c>
      <c r="H68" t="s">
        <v>2</v>
      </c>
      <c r="I68" s="4">
        <v>-1006.51</v>
      </c>
      <c r="J68" t="s">
        <v>3</v>
      </c>
      <c r="K68" t="s">
        <v>4</v>
      </c>
      <c r="L68" s="4">
        <v>-84496.51</v>
      </c>
      <c r="M68" s="4">
        <v>-1006.51</v>
      </c>
      <c r="N68" s="4">
        <f t="shared" si="4"/>
        <v>1006.51</v>
      </c>
      <c r="O68" s="10" t="str">
        <f>IF(M68="","",IF(M68&lt;0,-M68&amp;"_"&amp;COUNTIF(M$2:M68,M68),M68&amp;"_"&amp;COUNTIF(M$2:M68,M68)))</f>
        <v>1006.51_1</v>
      </c>
      <c r="P68" s="11" t="str">
        <f t="shared" si="5"/>
        <v/>
      </c>
      <c r="Q68" t="s">
        <v>27</v>
      </c>
      <c r="R68" t="s">
        <v>27</v>
      </c>
      <c r="S68" t="s">
        <v>10</v>
      </c>
      <c r="T68" t="s">
        <v>0</v>
      </c>
      <c r="U68" t="s">
        <v>5</v>
      </c>
      <c r="V68" t="s">
        <v>28</v>
      </c>
      <c r="W68" t="s">
        <v>0</v>
      </c>
      <c r="X68" t="s">
        <v>0</v>
      </c>
      <c r="Y68" t="s">
        <v>0</v>
      </c>
      <c r="Z68" t="s">
        <v>6</v>
      </c>
      <c r="AA68" t="s">
        <v>29</v>
      </c>
      <c r="AB68" s="3">
        <v>44390</v>
      </c>
      <c r="AC68" t="s">
        <v>0</v>
      </c>
      <c r="AD68" t="s">
        <v>0</v>
      </c>
      <c r="AE68" t="s">
        <v>0</v>
      </c>
      <c r="AF68" s="4">
        <v>0</v>
      </c>
    </row>
    <row r="69" spans="1:32" ht="14.1" customHeight="1" x14ac:dyDescent="0.2">
      <c r="A69" s="2" t="s">
        <v>0</v>
      </c>
      <c r="B69" t="s">
        <v>1</v>
      </c>
      <c r="C69" t="s">
        <v>8</v>
      </c>
      <c r="D69" s="3">
        <v>44276</v>
      </c>
      <c r="E69" s="3">
        <v>44276</v>
      </c>
      <c r="F69" s="3">
        <v>44280</v>
      </c>
      <c r="G69" t="s">
        <v>7</v>
      </c>
      <c r="H69" t="s">
        <v>2</v>
      </c>
      <c r="I69" s="4">
        <v>-912</v>
      </c>
      <c r="J69" t="s">
        <v>3</v>
      </c>
      <c r="K69" t="s">
        <v>4</v>
      </c>
      <c r="L69" s="4">
        <v>-76562.399999999994</v>
      </c>
      <c r="M69" s="4">
        <v>-912</v>
      </c>
      <c r="N69" s="4">
        <f t="shared" si="4"/>
        <v>912</v>
      </c>
      <c r="O69" s="10" t="str">
        <f>IF(M69="","",IF(M69&lt;0,-M69&amp;"_"&amp;COUNTIF(M$2:M69,M69),M69&amp;"_"&amp;COUNTIF(M$2:M69,M69)))</f>
        <v>912_1</v>
      </c>
      <c r="P69" s="11" t="str">
        <f t="shared" si="5"/>
        <v/>
      </c>
      <c r="Q69" t="s">
        <v>9</v>
      </c>
      <c r="R69" t="s">
        <v>9</v>
      </c>
      <c r="S69" t="s">
        <v>10</v>
      </c>
      <c r="T69" t="s">
        <v>0</v>
      </c>
      <c r="U69" t="s">
        <v>5</v>
      </c>
      <c r="V69" t="s">
        <v>11</v>
      </c>
      <c r="W69" t="s">
        <v>0</v>
      </c>
      <c r="X69" t="s">
        <v>0</v>
      </c>
      <c r="Y69" t="s">
        <v>0</v>
      </c>
      <c r="Z69" t="s">
        <v>6</v>
      </c>
      <c r="AA69" t="s">
        <v>12</v>
      </c>
      <c r="AB69" s="3">
        <v>44384</v>
      </c>
      <c r="AC69" t="s">
        <v>0</v>
      </c>
      <c r="AD69" t="s">
        <v>0</v>
      </c>
      <c r="AE69" t="s">
        <v>0</v>
      </c>
      <c r="AF69" s="4">
        <v>0</v>
      </c>
    </row>
    <row r="70" spans="1:32" ht="14.1" customHeight="1" x14ac:dyDescent="0.2">
      <c r="A70" s="2" t="s">
        <v>0</v>
      </c>
      <c r="B70" t="s">
        <v>1</v>
      </c>
      <c r="C70" t="s">
        <v>71</v>
      </c>
      <c r="D70" s="3">
        <v>44298</v>
      </c>
      <c r="E70" s="3">
        <v>44298</v>
      </c>
      <c r="F70" s="3">
        <v>44299</v>
      </c>
      <c r="G70" t="s">
        <v>7</v>
      </c>
      <c r="H70" t="s">
        <v>2</v>
      </c>
      <c r="I70" s="4">
        <v>-800.81</v>
      </c>
      <c r="J70" t="s">
        <v>3</v>
      </c>
      <c r="K70" t="s">
        <v>4</v>
      </c>
      <c r="L70" s="4">
        <v>-67228</v>
      </c>
      <c r="M70" s="4">
        <v>-800.81</v>
      </c>
      <c r="N70" s="4">
        <f t="shared" si="4"/>
        <v>800.81</v>
      </c>
      <c r="O70" s="10" t="str">
        <f>IF(M70="","",IF(M70&lt;0,-M70&amp;"_"&amp;COUNTIF(M$2:M70,M70),M70&amp;"_"&amp;COUNTIF(M$2:M70,M70)))</f>
        <v>800.81_1</v>
      </c>
      <c r="P70" s="11" t="str">
        <f t="shared" si="5"/>
        <v/>
      </c>
      <c r="Q70" t="s">
        <v>72</v>
      </c>
      <c r="R70" t="s">
        <v>72</v>
      </c>
      <c r="S70" t="s">
        <v>44</v>
      </c>
      <c r="T70" t="s">
        <v>0</v>
      </c>
      <c r="U70" t="s">
        <v>5</v>
      </c>
      <c r="V70" t="s">
        <v>73</v>
      </c>
      <c r="W70" t="s">
        <v>0</v>
      </c>
      <c r="X70" t="s">
        <v>0</v>
      </c>
      <c r="Y70" t="s">
        <v>0</v>
      </c>
      <c r="Z70" t="s">
        <v>6</v>
      </c>
      <c r="AA70" t="s">
        <v>0</v>
      </c>
      <c r="AB70" s="3"/>
      <c r="AC70" t="s">
        <v>0</v>
      </c>
      <c r="AD70" t="s">
        <v>0</v>
      </c>
      <c r="AE70" t="s">
        <v>0</v>
      </c>
      <c r="AF70" s="4">
        <v>0</v>
      </c>
    </row>
    <row r="71" spans="1:32" ht="14.1" customHeight="1" x14ac:dyDescent="0.2">
      <c r="A71" s="2" t="s">
        <v>0</v>
      </c>
      <c r="B71" t="s">
        <v>202</v>
      </c>
      <c r="C71" t="s">
        <v>203</v>
      </c>
      <c r="D71" s="3">
        <v>44367</v>
      </c>
      <c r="E71" s="3">
        <v>44367</v>
      </c>
      <c r="F71" s="3">
        <v>44368</v>
      </c>
      <c r="G71" t="s">
        <v>204</v>
      </c>
      <c r="H71" t="s">
        <v>2</v>
      </c>
      <c r="I71" s="4">
        <v>-782.47</v>
      </c>
      <c r="J71" t="s">
        <v>3</v>
      </c>
      <c r="K71" t="s">
        <v>4</v>
      </c>
      <c r="L71" s="4">
        <v>-65688.36</v>
      </c>
      <c r="M71" s="4">
        <v>-782.47</v>
      </c>
      <c r="N71" s="4">
        <f t="shared" si="4"/>
        <v>782.47</v>
      </c>
      <c r="O71" s="10" t="str">
        <f>IF(M71="","",IF(M71&lt;0,-M71&amp;"_"&amp;COUNTIF(M$2:M71,M71),M71&amp;"_"&amp;COUNTIF(M$2:M71,M71)))</f>
        <v>782.47_1</v>
      </c>
      <c r="P71" s="11" t="str">
        <f t="shared" si="5"/>
        <v/>
      </c>
      <c r="Q71" t="s">
        <v>205</v>
      </c>
      <c r="R71" t="s">
        <v>206</v>
      </c>
      <c r="S71" t="s">
        <v>207</v>
      </c>
      <c r="T71" t="s">
        <v>0</v>
      </c>
      <c r="U71" t="s">
        <v>5</v>
      </c>
      <c r="V71" t="s">
        <v>208</v>
      </c>
      <c r="W71" t="s">
        <v>209</v>
      </c>
      <c r="X71" t="s">
        <v>0</v>
      </c>
      <c r="Y71" t="s">
        <v>210</v>
      </c>
      <c r="Z71" t="s">
        <v>0</v>
      </c>
      <c r="AA71" t="s">
        <v>211</v>
      </c>
      <c r="AB71" s="3">
        <v>44390</v>
      </c>
      <c r="AC71" t="s">
        <v>0</v>
      </c>
      <c r="AD71" t="s">
        <v>0</v>
      </c>
      <c r="AE71" t="s">
        <v>0</v>
      </c>
      <c r="AF71" s="4">
        <v>0</v>
      </c>
    </row>
    <row r="72" spans="1:32" ht="14.1" customHeight="1" x14ac:dyDescent="0.2">
      <c r="A72" s="2" t="s">
        <v>0</v>
      </c>
      <c r="B72" t="s">
        <v>1</v>
      </c>
      <c r="C72" t="s">
        <v>190</v>
      </c>
      <c r="D72" s="3">
        <v>44360</v>
      </c>
      <c r="E72" s="3">
        <v>44360</v>
      </c>
      <c r="F72" s="3">
        <v>44369</v>
      </c>
      <c r="G72" t="s">
        <v>7</v>
      </c>
      <c r="H72" t="s">
        <v>2</v>
      </c>
      <c r="I72" s="4">
        <v>-779.35</v>
      </c>
      <c r="J72" t="s">
        <v>3</v>
      </c>
      <c r="K72" t="s">
        <v>4</v>
      </c>
      <c r="L72" s="4">
        <v>-65426.43</v>
      </c>
      <c r="M72" s="4">
        <v>-779.35</v>
      </c>
      <c r="N72" s="4">
        <f t="shared" si="4"/>
        <v>779.35</v>
      </c>
      <c r="O72" s="10" t="str">
        <f>IF(M72="","",IF(M72&lt;0,-M72&amp;"_"&amp;COUNTIF(M$2:M72,M72),M72&amp;"_"&amp;COUNTIF(M$2:M72,M72)))</f>
        <v>779.35_1</v>
      </c>
      <c r="P72" s="11" t="str">
        <f t="shared" si="5"/>
        <v/>
      </c>
      <c r="Q72" t="s">
        <v>191</v>
      </c>
      <c r="R72" t="s">
        <v>128</v>
      </c>
      <c r="S72" t="s">
        <v>82</v>
      </c>
      <c r="T72" t="s">
        <v>0</v>
      </c>
      <c r="U72" t="s">
        <v>5</v>
      </c>
      <c r="V72" t="s">
        <v>192</v>
      </c>
      <c r="W72" t="s">
        <v>0</v>
      </c>
      <c r="X72" t="s">
        <v>0</v>
      </c>
      <c r="Y72" t="s">
        <v>0</v>
      </c>
      <c r="Z72" t="s">
        <v>6</v>
      </c>
      <c r="AA72" t="s">
        <v>0</v>
      </c>
      <c r="AB72" s="3"/>
      <c r="AC72" t="s">
        <v>0</v>
      </c>
      <c r="AD72" t="s">
        <v>0</v>
      </c>
      <c r="AE72" t="s">
        <v>0</v>
      </c>
      <c r="AF72" s="4">
        <v>0</v>
      </c>
    </row>
    <row r="73" spans="1:32" ht="14.1" customHeight="1" x14ac:dyDescent="0.2">
      <c r="A73" s="2" t="s">
        <v>0</v>
      </c>
      <c r="B73" t="s">
        <v>1</v>
      </c>
      <c r="C73" t="s">
        <v>119</v>
      </c>
      <c r="D73" s="3">
        <v>44322</v>
      </c>
      <c r="E73" s="3">
        <v>44322</v>
      </c>
      <c r="F73" s="3">
        <v>44325</v>
      </c>
      <c r="G73" t="s">
        <v>7</v>
      </c>
      <c r="H73" t="s">
        <v>2</v>
      </c>
      <c r="I73" s="4">
        <v>-413.23</v>
      </c>
      <c r="J73" t="s">
        <v>3</v>
      </c>
      <c r="K73" t="s">
        <v>4</v>
      </c>
      <c r="L73" s="4">
        <v>-34690.660000000003</v>
      </c>
      <c r="M73" s="4">
        <v>-413.23</v>
      </c>
      <c r="N73" s="4">
        <f t="shared" si="4"/>
        <v>413.23</v>
      </c>
      <c r="O73" s="10" t="str">
        <f>IF(M73="","",IF(M73&lt;0,-M73&amp;"_"&amp;COUNTIF(M$2:M73,M73),M73&amp;"_"&amp;COUNTIF(M$2:M73,M73)))</f>
        <v>413.23_1</v>
      </c>
      <c r="P73" s="11" t="str">
        <f t="shared" si="5"/>
        <v/>
      </c>
      <c r="Q73" t="s">
        <v>120</v>
      </c>
      <c r="R73" t="s">
        <v>121</v>
      </c>
      <c r="S73" t="s">
        <v>82</v>
      </c>
      <c r="T73" t="s">
        <v>0</v>
      </c>
      <c r="U73" t="s">
        <v>5</v>
      </c>
      <c r="V73" t="s">
        <v>122</v>
      </c>
      <c r="W73" t="s">
        <v>0</v>
      </c>
      <c r="X73" t="s">
        <v>0</v>
      </c>
      <c r="Y73" t="s">
        <v>0</v>
      </c>
      <c r="Z73" t="s">
        <v>6</v>
      </c>
      <c r="AA73" t="s">
        <v>0</v>
      </c>
      <c r="AB73" s="3"/>
      <c r="AC73" t="s">
        <v>0</v>
      </c>
      <c r="AD73" t="s">
        <v>0</v>
      </c>
      <c r="AE73" t="s">
        <v>0</v>
      </c>
      <c r="AF73" s="4">
        <v>0</v>
      </c>
    </row>
    <row r="74" spans="1:32" ht="14.1" customHeight="1" x14ac:dyDescent="0.2">
      <c r="A74" s="2" t="s">
        <v>0</v>
      </c>
      <c r="B74" t="s">
        <v>202</v>
      </c>
      <c r="C74" t="s">
        <v>226</v>
      </c>
      <c r="D74" s="3">
        <v>44374</v>
      </c>
      <c r="E74" s="3">
        <v>44374</v>
      </c>
      <c r="F74" s="3">
        <v>44376</v>
      </c>
      <c r="G74" t="s">
        <v>204</v>
      </c>
      <c r="H74" t="s">
        <v>2</v>
      </c>
      <c r="I74" s="4">
        <v>-375.77</v>
      </c>
      <c r="J74" t="s">
        <v>3</v>
      </c>
      <c r="K74" t="s">
        <v>4</v>
      </c>
      <c r="L74" s="4">
        <v>-31545.89</v>
      </c>
      <c r="M74" s="4">
        <v>-375.77</v>
      </c>
      <c r="N74" s="4">
        <f t="shared" si="4"/>
        <v>375.77</v>
      </c>
      <c r="O74" s="10" t="str">
        <f>IF(M74="","",IF(M74&lt;0,-M74&amp;"_"&amp;COUNTIF(M$2:M74,M74),M74&amp;"_"&amp;COUNTIF(M$2:M74,M74)))</f>
        <v>375.77_1</v>
      </c>
      <c r="P74" s="11" t="str">
        <f t="shared" si="5"/>
        <v/>
      </c>
      <c r="Q74" t="s">
        <v>227</v>
      </c>
      <c r="R74" t="s">
        <v>206</v>
      </c>
      <c r="S74" t="s">
        <v>207</v>
      </c>
      <c r="T74" t="s">
        <v>0</v>
      </c>
      <c r="U74" t="s">
        <v>5</v>
      </c>
      <c r="V74" t="s">
        <v>228</v>
      </c>
      <c r="W74" t="s">
        <v>229</v>
      </c>
      <c r="X74" t="s">
        <v>0</v>
      </c>
      <c r="Y74" t="s">
        <v>230</v>
      </c>
      <c r="Z74" t="s">
        <v>0</v>
      </c>
      <c r="AA74" t="s">
        <v>0</v>
      </c>
      <c r="AB74" s="3"/>
      <c r="AC74" t="s">
        <v>0</v>
      </c>
      <c r="AD74" t="s">
        <v>0</v>
      </c>
      <c r="AE74" t="s">
        <v>0</v>
      </c>
      <c r="AF74" s="4">
        <v>0</v>
      </c>
    </row>
    <row r="75" spans="1:32" ht="14.1" customHeight="1" x14ac:dyDescent="0.2">
      <c r="A75" s="2" t="s">
        <v>0</v>
      </c>
      <c r="B75" t="s">
        <v>1</v>
      </c>
      <c r="C75" t="s">
        <v>50</v>
      </c>
      <c r="D75" s="3">
        <v>44287</v>
      </c>
      <c r="E75" s="3">
        <v>44287</v>
      </c>
      <c r="F75" s="3">
        <v>44298</v>
      </c>
      <c r="G75" t="s">
        <v>7</v>
      </c>
      <c r="H75" t="s">
        <v>2</v>
      </c>
      <c r="I75" s="4">
        <v>-361.05</v>
      </c>
      <c r="J75" t="s">
        <v>51</v>
      </c>
      <c r="K75" t="s">
        <v>4</v>
      </c>
      <c r="L75" s="4">
        <v>-30310.15</v>
      </c>
      <c r="M75" s="4">
        <v>-361.05</v>
      </c>
      <c r="N75" s="4">
        <f t="shared" si="4"/>
        <v>361.05</v>
      </c>
      <c r="O75" s="10" t="str">
        <f>IF(M75="","",IF(M75&lt;0,-M75&amp;"_"&amp;COUNTIF(M$2:M75,M75),M75&amp;"_"&amp;COUNTIF(M$2:M75,M75)))</f>
        <v>361.05_1</v>
      </c>
      <c r="P75" s="11" t="str">
        <f t="shared" si="5"/>
        <v/>
      </c>
      <c r="Q75" t="s">
        <v>52</v>
      </c>
      <c r="R75" t="s">
        <v>52</v>
      </c>
      <c r="S75" t="s">
        <v>53</v>
      </c>
      <c r="T75" t="s">
        <v>0</v>
      </c>
      <c r="U75" t="s">
        <v>5</v>
      </c>
      <c r="V75" t="s">
        <v>54</v>
      </c>
      <c r="W75" t="s">
        <v>0</v>
      </c>
      <c r="X75" t="s">
        <v>0</v>
      </c>
      <c r="Y75" t="s">
        <v>0</v>
      </c>
      <c r="Z75" t="s">
        <v>6</v>
      </c>
      <c r="AA75" t="s">
        <v>55</v>
      </c>
      <c r="AB75" s="3">
        <v>44390</v>
      </c>
      <c r="AC75" t="s">
        <v>0</v>
      </c>
      <c r="AD75" t="s">
        <v>0</v>
      </c>
      <c r="AE75" t="s">
        <v>0</v>
      </c>
      <c r="AF75" s="4">
        <v>0</v>
      </c>
    </row>
    <row r="76" spans="1:32" ht="14.1" customHeight="1" x14ac:dyDescent="0.2">
      <c r="A76" s="2" t="s">
        <v>0</v>
      </c>
      <c r="B76" t="s">
        <v>202</v>
      </c>
      <c r="C76" t="s">
        <v>231</v>
      </c>
      <c r="D76" s="3">
        <v>44374</v>
      </c>
      <c r="E76" s="3">
        <v>44374</v>
      </c>
      <c r="F76" s="3">
        <v>44376</v>
      </c>
      <c r="G76" t="s">
        <v>204</v>
      </c>
      <c r="H76" t="s">
        <v>2</v>
      </c>
      <c r="I76" s="4">
        <v>-182.55</v>
      </c>
      <c r="J76" t="s">
        <v>114</v>
      </c>
      <c r="K76" t="s">
        <v>4</v>
      </c>
      <c r="L76" s="4">
        <v>-15325.07</v>
      </c>
      <c r="M76" s="4">
        <v>-182.55</v>
      </c>
      <c r="N76" s="4">
        <f t="shared" si="4"/>
        <v>182.55</v>
      </c>
      <c r="O76" s="10" t="str">
        <f>IF(M76="","",IF(M76&lt;0,-M76&amp;"_"&amp;COUNTIF(M$2:M76,M76),M76&amp;"_"&amp;COUNTIF(M$2:M76,M76)))</f>
        <v>182.55_1</v>
      </c>
      <c r="P76" s="11" t="str">
        <f t="shared" si="5"/>
        <v/>
      </c>
      <c r="Q76" t="s">
        <v>232</v>
      </c>
      <c r="R76" t="s">
        <v>206</v>
      </c>
      <c r="S76" t="s">
        <v>207</v>
      </c>
      <c r="T76" t="s">
        <v>0</v>
      </c>
      <c r="U76" t="s">
        <v>5</v>
      </c>
      <c r="V76" t="s">
        <v>233</v>
      </c>
      <c r="W76" t="s">
        <v>234</v>
      </c>
      <c r="X76" t="s">
        <v>0</v>
      </c>
      <c r="Y76" t="s">
        <v>235</v>
      </c>
      <c r="Z76" t="s">
        <v>0</v>
      </c>
      <c r="AA76" t="s">
        <v>236</v>
      </c>
      <c r="AB76" s="3">
        <v>44387</v>
      </c>
      <c r="AC76" t="s">
        <v>0</v>
      </c>
      <c r="AD76" t="s">
        <v>0</v>
      </c>
      <c r="AE76" t="s">
        <v>0</v>
      </c>
      <c r="AF76" s="4">
        <v>0</v>
      </c>
    </row>
    <row r="77" spans="1:32" ht="14.1" customHeight="1" x14ac:dyDescent="0.2">
      <c r="A77" s="2" t="s">
        <v>0</v>
      </c>
      <c r="B77" t="s">
        <v>202</v>
      </c>
      <c r="C77" t="s">
        <v>257</v>
      </c>
      <c r="D77" s="3">
        <v>44377</v>
      </c>
      <c r="E77" s="3">
        <v>44377</v>
      </c>
      <c r="F77" s="3">
        <v>44379</v>
      </c>
      <c r="G77" t="s">
        <v>204</v>
      </c>
      <c r="H77" t="s">
        <v>2</v>
      </c>
      <c r="I77" s="4">
        <v>-147.94999999999999</v>
      </c>
      <c r="J77" t="s">
        <v>258</v>
      </c>
      <c r="K77" t="s">
        <v>4</v>
      </c>
      <c r="L77" s="4">
        <v>-12420.4</v>
      </c>
      <c r="M77" s="4">
        <v>-147.94999999999999</v>
      </c>
      <c r="N77" s="4">
        <f t="shared" si="4"/>
        <v>147.94999999999999</v>
      </c>
      <c r="O77" s="10" t="str">
        <f>IF(M77="","",IF(M77&lt;0,-M77&amp;"_"&amp;COUNTIF(M$2:M77,M77),M77&amp;"_"&amp;COUNTIF(M$2:M77,M77)))</f>
        <v>147.95_1</v>
      </c>
      <c r="P77" s="11" t="str">
        <f t="shared" si="5"/>
        <v/>
      </c>
      <c r="Q77" t="s">
        <v>259</v>
      </c>
      <c r="R77" t="s">
        <v>206</v>
      </c>
      <c r="S77" t="s">
        <v>207</v>
      </c>
      <c r="T77" t="s">
        <v>0</v>
      </c>
      <c r="U77" t="s">
        <v>5</v>
      </c>
      <c r="V77" t="s">
        <v>260</v>
      </c>
      <c r="W77" t="s">
        <v>245</v>
      </c>
      <c r="X77" t="s">
        <v>0</v>
      </c>
      <c r="Y77" t="s">
        <v>261</v>
      </c>
      <c r="Z77" t="s">
        <v>0</v>
      </c>
      <c r="AA77" t="s">
        <v>0</v>
      </c>
      <c r="AB77" s="3"/>
      <c r="AC77" t="s">
        <v>0</v>
      </c>
      <c r="AD77" t="s">
        <v>0</v>
      </c>
      <c r="AE77" t="s">
        <v>0</v>
      </c>
      <c r="AF77" s="4">
        <v>0</v>
      </c>
    </row>
    <row r="79" spans="1:32" x14ac:dyDescent="0.2">
      <c r="N79" s="13">
        <f>SUM(N2:N77)</f>
        <v>1943378.91</v>
      </c>
    </row>
  </sheetData>
  <autoFilter ref="A1:AF1" xr:uid="{62C37A75-0BB9-490A-A726-949C2E20F508}">
    <sortState xmlns:xlrd2="http://schemas.microsoft.com/office/spreadsheetml/2017/richdata2" ref="A2:AF77">
      <sortCondition descending="1" ref="N1"/>
    </sortState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FB8054E7BC343824610924DACAD55" ma:contentTypeVersion="8" ma:contentTypeDescription="Create a new document." ma:contentTypeScope="" ma:versionID="34e1fd2a76f7945d18cc3ff5b5a68ad1">
  <xsd:schema xmlns:xsd="http://www.w3.org/2001/XMLSchema" xmlns:xs="http://www.w3.org/2001/XMLSchema" xmlns:p="http://schemas.microsoft.com/office/2006/metadata/properties" xmlns:ns2="08c337d5-e798-4fe7-92a8-e5522ccd74f1" targetNamespace="http://schemas.microsoft.com/office/2006/metadata/properties" ma:root="true" ma:fieldsID="4df481265a4bd63f50581f36648612e8" ns2:_="">
    <xsd:import namespace="08c337d5-e798-4fe7-92a8-e5522ccd74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337d5-e798-4fe7-92a8-e5522ccd74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8241E4-95AA-4D2C-886D-9758E65D27CB}"/>
</file>

<file path=customXml/itemProps2.xml><?xml version="1.0" encoding="utf-8"?>
<ds:datastoreItem xmlns:ds="http://schemas.openxmlformats.org/officeDocument/2006/customXml" ds:itemID="{33B045A4-FEF2-4802-8ED9-09D162A73E61}"/>
</file>

<file path=customXml/itemProps3.xml><?xml version="1.0" encoding="utf-8"?>
<ds:datastoreItem xmlns:ds="http://schemas.openxmlformats.org/officeDocument/2006/customXml" ds:itemID="{84D74FA7-E0CC-48DD-9E77-6D85BBD814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Population</vt:lpstr>
      <vt:lpstr>Reversal</vt:lpstr>
      <vt:lpstr>Debit Entries</vt:lpstr>
      <vt:lpstr>Credit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Nahid Hasan</cp:lastModifiedBy>
  <cp:revision>1</cp:revision>
  <dcterms:modified xsi:type="dcterms:W3CDTF">2021-08-30T15:24:42Z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0x010100F52FB8054E7BC343824610924DACAD55</vt:lpwstr>
  </property>
</Properties>
</file>