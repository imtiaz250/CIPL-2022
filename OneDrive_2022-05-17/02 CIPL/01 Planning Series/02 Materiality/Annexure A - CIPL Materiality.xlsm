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xl/externalLinks/externalLink1.xml" ContentType="application/vnd.openxmlformats-officedocument.spreadsheetml.externalLink+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docProps/app.xml" ContentType="application/vnd.openxmlformats-officedocument.extended-properties+xml"/>
  <Override PartName="/customXml/itemProps3.xml" ContentType="application/vnd.openxmlformats-officedocument.customXmlProperties+xml"/>
  <Override PartName="/customXml/itemProps2.xml" ContentType="application/vnd.openxmlformats-officedocument.customXmlProperties+xml"/>
  <Override PartName="/customXml/itemProps4.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131" codeName="{4D1C537B-E38A-612A-F078-A93A15B4B7F4}"/>
  <workbookPr codeName="ThisWorkbook"/>
  <mc:AlternateContent xmlns:mc="http://schemas.openxmlformats.org/markup-compatibility/2006">
    <mc:Choice Requires="x15">
      <x15ac:absPath xmlns:x15ac="http://schemas.microsoft.com/office/spreadsheetml/2010/11/ac" url="E:\1. Audit\EPIC 2021\1. Planning Stage Work CIPL\2. Materiality\"/>
    </mc:Choice>
  </mc:AlternateContent>
  <xr:revisionPtr revIDLastSave="0" documentId="13_ncr:1_{D3FD2D8D-29E4-4867-93CB-28FBFB9439B6}" xr6:coauthVersionLast="47" xr6:coauthVersionMax="47" xr10:uidLastSave="{00000000-0000-0000-0000-000000000000}"/>
  <bookViews>
    <workbookView xWindow="-110" yWindow="-110" windowWidth="19420" windowHeight="10420" tabRatio="552" firstSheet="4" activeTab="5" xr2:uid="{00000000-000D-0000-FFFF-FFFF00000000}"/>
  </bookViews>
  <sheets>
    <sheet name="Instructions" sheetId="1" state="hidden" r:id="rId1"/>
    <sheet name="Workings" sheetId="9" state="hidden" r:id="rId2"/>
    <sheet name="Materiality - ABCOTD" sheetId="3" state="hidden" r:id="rId3"/>
    <sheet name="Materiality - Components" sheetId="8" state="hidden" r:id="rId4"/>
    <sheet name="Notes" sheetId="4" r:id="rId5"/>
    <sheet name="Materiality - Fin. statements" sheetId="2" r:id="rId6"/>
    <sheet name="Module1" sheetId="7" state="veryHidden" r:id="rId7"/>
  </sheets>
  <functionGroups builtInGroupCount="19"/>
  <externalReferences>
    <externalReference r:id="rId8"/>
  </externalReferences>
  <definedNames>
    <definedName name="anticipated_uncorrected">'Materiality - Fin. statements'!#REF!</definedName>
    <definedName name="AS2DocOpenMode" hidden="1">"AS2DocumentEdit"</definedName>
    <definedName name="Benchmark">Notes!$B$6</definedName>
    <definedName name="benchmark_numbers">Workings!$M$2:$M$4</definedName>
    <definedName name="benchmark_ranges">Workings!$A$3:$D$11</definedName>
    <definedName name="benchmark1">'Materiality - Fin. statements'!$B$16</definedName>
    <definedName name="benchmark1_bal">'Materiality - Fin. statements'!$B$18</definedName>
    <definedName name="benchmark2">'Materiality - Fin. statements'!$C$16</definedName>
    <definedName name="benchmark2_bal">'Materiality - Fin. statements'!$C$18</definedName>
    <definedName name="benchmark3">'Materiality - Fin. statements'!$D$16</definedName>
    <definedName name="benchmark3_bal">'Materiality - Fin. statements'!$D$18</definedName>
    <definedName name="Benchmarks">Workings!$A$3:$A$11</definedName>
    <definedName name="BM_number">'Materiality - Fin. statements'!$B$13</definedName>
    <definedName name="BM_ref">'Materiality - Fin. statements'!#REF!</definedName>
    <definedName name="BM2_heading">'Materiality - Fin. statements'!$C$15</definedName>
    <definedName name="BM3_heading">'Materiality - Fin. statements'!$D$15</definedName>
    <definedName name="calculation2">'Materiality - Fin. statements'!$C$24</definedName>
    <definedName name="calculation3">'Materiality - Fin. statements'!$D$24</definedName>
    <definedName name="Clearly_trivial_threshold">'Materiality - Fin. statements'!$B$34</definedName>
    <definedName name="ComponentPM">Workings!$G$2:$G$4</definedName>
    <definedName name="CTT_percent">'Materiality - Fin. statements'!$B$30</definedName>
    <definedName name="factor1">'Materiality - Fin. statements'!$B$22</definedName>
    <definedName name="factor2">'Materiality - Fin. statements'!$C$22</definedName>
    <definedName name="factor3">'Materiality - Fin. statements'!$D$22</definedName>
    <definedName name="group_CTT">'Materiality - Components'!$B$7</definedName>
    <definedName name="group_materiality">'Materiality - Components'!$B$5</definedName>
    <definedName name="group_performance_materiality">'Materiality - Components'!$B$6</definedName>
    <definedName name="Materiality">'Materiality - Fin. statements'!$B$26</definedName>
    <definedName name="max_CTT">Workings!$K$2</definedName>
    <definedName name="Note_1">Notes!$A$3</definedName>
    <definedName name="Note_2">Notes!$A$6</definedName>
    <definedName name="Note_3">Notes!$A$11</definedName>
    <definedName name="Note_4">Notes!#REF!</definedName>
    <definedName name="Note_5">Notes!$A$17</definedName>
    <definedName name="Note_6">Notes!$A$22</definedName>
    <definedName name="Performance_materiality">'Materiality - Fin. statements'!$B$28</definedName>
    <definedName name="_xlnm.Print_Area" localSheetId="5">'Materiality - Fin. statements'!$A$1:$H$43</definedName>
    <definedName name="Revenue">[1]Workings!$A$3:$A$11</definedName>
    <definedName name="selected_benchmarks">Workings!$E$2:$E$6</definedName>
    <definedName name="selected_BM">'Materiality - Fin. statements'!#REF!</definedName>
    <definedName name="source2">'Materiality - Fin. statements'!$C$20</definedName>
    <definedName name="source3">'Materiality - Fin. statements'!$D$20</definedName>
    <definedName name="yesno">Workings!$I$2:$I$4</definedName>
    <definedName name="Z_2253DBF7_981C_4B16_A4F8_F797CE7BAACF_.wvu.Cols" localSheetId="0" hidden="1">Instructions!$H:$H</definedName>
    <definedName name="Z_2253DBF7_981C_4B16_A4F8_F797CE7BAACF_.wvu.Cols" localSheetId="5" hidden="1">'Materiality - Fin. statements'!#REF!</definedName>
    <definedName name="Z_2253DBF7_981C_4B16_A4F8_F797CE7BAACF_.wvu.PrintArea" localSheetId="5" hidden="1">'Materiality - Fin. statements'!$A$2:$H$16</definedName>
    <definedName name="Z_BD18EF39_8F88_4267_80D6_F790349F210B_.wvu.Cols" localSheetId="0" hidden="1">Instructions!$H:$H</definedName>
    <definedName name="Z_BD18EF39_8F88_4267_80D6_F790349F210B_.wvu.Cols" localSheetId="5" hidden="1">'Materiality - Fin. statements'!#REF!</definedName>
    <definedName name="Z_BD18EF39_8F88_4267_80D6_F790349F210B_.wvu.PrintArea" localSheetId="5" hidden="1">'Materiality - Fin. statements'!$A$2:$H$16</definedName>
    <definedName name="Z_D334E599_A6CA_4CE0_AF01_FF33D6B9879A_.wvu.Cols" localSheetId="5" hidden="1">'Materiality - Fin. statements'!#REF!</definedName>
    <definedName name="Z_DF8478C2_EAAC_4D1F_A2F6_76182AE83642_.wvu.Cols" localSheetId="0" hidden="1">Instructions!$H:$H</definedName>
    <definedName name="Z_DF8478C2_EAAC_4D1F_A2F6_76182AE83642_.wvu.Cols" localSheetId="5" hidden="1">'Materiality - Fin. statements'!#REF!</definedName>
    <definedName name="Z_DF8478C2_EAAC_4D1F_A2F6_76182AE83642_.wvu.PrintArea" localSheetId="5" hidden="1">'Materiality - Fin. statements'!$A$2:$H$16</definedName>
  </definedNames>
  <calcPr calcId="191029"/>
  <customWorkbookViews>
    <customWorkbookView name="Grace Pisano - Personal View" guid="{DF8478C2-EAAC-4D1F-A2F6-76182AE83642}" mergeInterval="0" personalView="1" maximized="1" xWindow="-8" yWindow="-8" windowWidth="1616" windowHeight="876" tabRatio="465" activeSheetId="4" showComments="commIndAndComment"/>
    <customWorkbookView name="Amit Lachhiramka (Open)_x000a_ - Personal View" guid="{BD18EF39-8F88-4267-80D6-F790349F210B}" mergeInterval="0" personalView="1" maximized="1" windowWidth="1362" windowHeight="543" tabRatio="465" activeSheetId="4" showComments="commIndAndComment"/>
    <customWorkbookView name="Danielle Boodro - Personal View" guid="{D334E599-A6CA-4CE0-AF01-FF33D6B9879A}" mergeInterval="0" personalView="1" maximized="1" windowWidth="977" windowHeight="599" tabRatio="627" activeSheetId="2" showComments="commIndAndComment"/>
    <customWorkbookView name="Smith, Lisa T. - Personal View" guid="{2253DBF7-981C-4B16-A4F8-F797CE7BAACF}" mergeInterval="0" personalView="1" maximized="1" xWindow="-8" yWindow="-8" windowWidth="1616" windowHeight="876" tabRatio="465" activeSheetId="4" showComments="commIndAndComment"/>
  </customWorkbookViews>
</workbook>
</file>

<file path=xl/calcChain.xml><?xml version="1.0" encoding="utf-8"?>
<calcChain xmlns="http://schemas.openxmlformats.org/spreadsheetml/2006/main">
  <c r="C26" i="2" l="1"/>
  <c r="C30" i="2"/>
  <c r="B24" i="2" l="1"/>
  <c r="B26" i="2" s="1"/>
  <c r="B32" i="2" l="1"/>
  <c r="B34" i="2" s="1"/>
  <c r="B28" i="2"/>
  <c r="D19" i="3"/>
  <c r="D18" i="3"/>
  <c r="D17" i="3"/>
  <c r="D16" i="3"/>
  <c r="D15" i="3"/>
  <c r="D14" i="3"/>
  <c r="D13" i="3"/>
  <c r="D12" i="3"/>
  <c r="D11" i="3"/>
  <c r="D10" i="3"/>
  <c r="D9" i="3"/>
  <c r="D8" i="3"/>
  <c r="D7" i="3"/>
  <c r="E5" i="9"/>
  <c r="E4" i="9"/>
  <c r="E3" i="9"/>
  <c r="B23" i="2"/>
  <c r="B21" i="2"/>
  <c r="A17" i="2"/>
  <c r="B15" i="2"/>
  <c r="A14" i="2"/>
  <c r="C29" i="2" l="1"/>
  <c r="B7" i="8"/>
  <c r="B5" i="8" l="1"/>
  <c r="B6" i="8" l="1"/>
</calcChain>
</file>

<file path=xl/sharedStrings.xml><?xml version="1.0" encoding="utf-8"?>
<sst xmlns="http://schemas.openxmlformats.org/spreadsheetml/2006/main" count="155" uniqueCount="144">
  <si>
    <t>Benchmark balance:</t>
  </si>
  <si>
    <t>Notes</t>
  </si>
  <si>
    <t>Note 1</t>
  </si>
  <si>
    <t>Determine Materiality</t>
  </si>
  <si>
    <t>Note 2</t>
  </si>
  <si>
    <t>Benchmarks</t>
  </si>
  <si>
    <t>Note 3</t>
  </si>
  <si>
    <t>Note 4</t>
  </si>
  <si>
    <t>Percentage to be used as clearly trivial misstatements</t>
  </si>
  <si>
    <t>General Instructions</t>
  </si>
  <si>
    <t>Materiality for Particular Class of Transactions, Account Balances, or Disclosures</t>
  </si>
  <si>
    <t>Audit Documentation</t>
  </si>
  <si>
    <t>Group Audits</t>
  </si>
  <si>
    <t>Reference to documentation of the amount below which misstatements would be regarded as clearly trivial.</t>
  </si>
  <si>
    <t>Estimated or Preliminary Financial Statement Amounts</t>
  </si>
  <si>
    <t>If financial statements for the audit period are not available, the auditor may establish an initial materiality level based on estimated or preliminary financial statement amounts. In those situations, the auditor should take into account the effects of known or expected changes in the company’s financial statements, including significant transactions or adjustments that are expected to be reflected in the financial statements at the end of the period. 
The auditor should reevaluate the established materiality level or levels and performance materiality when, because of changes in the particular circumstances or additional information that comes to the auditor’s attention, there is a substantial likelihood that misstatements of amounts that differ significantly from the materiality level or levels that were established initially would influence the judgment of a reasonable investor. Situations in which changes in circumstances or additional information that comes to the auditor’s attention would require such reevaluation include:
a. The materiality level or levels and performance materiality were established initially based on estimated or preliminary financial statement amounts that differ significantly from actual amounts.
b. Events or changes in conditions occurring after the materiality level or levels and tolerable misstatement [performance materiality] were established initially are likely to affect investors’ perceptions about the company’s financial position, results of operations, or cash flows.</t>
  </si>
  <si>
    <t xml:space="preserve">Determine Performance Materiality </t>
  </si>
  <si>
    <t>Clearly Trivial threshold</t>
  </si>
  <si>
    <t>This is required to be lower than group materiality.</t>
  </si>
  <si>
    <t>Component performance materiality may be determined by the group engagement team or the component auditor.</t>
  </si>
  <si>
    <t>This is required to be lower than group performance materiality.</t>
  </si>
  <si>
    <t>Reference to documentation of the amounts and factors considered in our determination of performance materiality.</t>
  </si>
  <si>
    <t>Determine materiality for the financial statements as a whole</t>
  </si>
  <si>
    <t xml:space="preserve">NOTE: Our determination of materiality is a matter of professional judgment, and is affected by our perception of the financial information needs of users of the financial statements. </t>
  </si>
  <si>
    <t>Consider how user monitors the business, how they derive value, reason for investment, etc. Document how this understanding has been corroborated.</t>
  </si>
  <si>
    <t xml:space="preserve">User's focus </t>
  </si>
  <si>
    <t>Factors that would influence user's decision making</t>
  </si>
  <si>
    <t>NOTE: While the use of a percentage applied against a benchmark is a common approach to determine materiality (and the template below is provided to facilitate such a starting point) the determination of materiality does not require such a calculation; however documentation should include the amounts and the factors considered in our determination of materiality for the financial statements as a whole. This template or another method (e.g., a memorandum setting out the determination of these amounts) may be used to document our determination of materiality.</t>
  </si>
  <si>
    <t>Description</t>
  </si>
  <si>
    <t>Documentation</t>
  </si>
  <si>
    <t>Guidance</t>
  </si>
  <si>
    <t>Source for the balance:</t>
  </si>
  <si>
    <t>Benchmark:</t>
  </si>
  <si>
    <t>Factor:</t>
  </si>
  <si>
    <t>Determined materiality</t>
  </si>
  <si>
    <t>X-ref</t>
  </si>
  <si>
    <t>Determined threshold for clearly trivial misstatements</t>
  </si>
  <si>
    <t>general</t>
  </si>
  <si>
    <t>Revenue</t>
  </si>
  <si>
    <t>Other</t>
  </si>
  <si>
    <t>Selected Benchmarks</t>
  </si>
  <si>
    <t>Combination</t>
  </si>
  <si>
    <t>Balance</t>
  </si>
  <si>
    <t>% of balance applied</t>
  </si>
  <si>
    <t>NOTE: Additional guidance exists in the Materiality Guide</t>
  </si>
  <si>
    <t>Determine the materiality for components</t>
  </si>
  <si>
    <t>Determined amounts for materiality, performance materiality and clearly trivial misstatements threshold</t>
  </si>
  <si>
    <t>Component A</t>
  </si>
  <si>
    <t>Component B</t>
  </si>
  <si>
    <t>Component C</t>
  </si>
  <si>
    <t>Component D</t>
  </si>
  <si>
    <t>Component E</t>
  </si>
  <si>
    <t>Component PM</t>
  </si>
  <si>
    <t>Component auditor</t>
  </si>
  <si>
    <t>Group materiality:</t>
  </si>
  <si>
    <t>Group performance materiality:</t>
  </si>
  <si>
    <t>Group clearly trivial misstatements threshold:</t>
  </si>
  <si>
    <t>Responses</t>
  </si>
  <si>
    <t>Yes</t>
  </si>
  <si>
    <t>No</t>
  </si>
  <si>
    <t>Determined by:</t>
  </si>
  <si>
    <t>Component F</t>
  </si>
  <si>
    <t>Component G</t>
  </si>
  <si>
    <t>Component H</t>
  </si>
  <si>
    <t>Component I</t>
  </si>
  <si>
    <t>Component J</t>
  </si>
  <si>
    <t xml:space="preserve">Components (copy / paste columns for additional components as necessary) </t>
  </si>
  <si>
    <t>expected range</t>
  </si>
  <si>
    <t>low</t>
  </si>
  <si>
    <t>high</t>
  </si>
  <si>
    <t>Total assets</t>
  </si>
  <si>
    <t>Cash flows from operations</t>
  </si>
  <si>
    <t>Primary user(s) of the financial statements</t>
  </si>
  <si>
    <t>Account balance, class of transactions or disclosure</t>
  </si>
  <si>
    <t>Max CTT</t>
  </si>
  <si>
    <t>This is the amount that should be identified as the threshold for clearly trivial misstatements.</t>
  </si>
  <si>
    <r>
      <t xml:space="preserve">The determination of materiality is not a mechanical exercise without the appropriate consideration of the facts and circumstances surrounding the audit engagement. </t>
    </r>
    <r>
      <rPr>
        <i/>
        <sz val="8"/>
        <rFont val="Arial"/>
        <family val="2"/>
      </rPr>
      <t>[AAM 13100.14]</t>
    </r>
  </si>
  <si>
    <r>
      <t xml:space="preserve">The auditor shall include in the audit documentation the following amounts and the factors considered in their determination:
a. Materiality for the financial statements as a whole;
b. If applicable, the materiality level or levels for particular classes of transactions, account balances or disclosures;
c. Performance materiality; and
d. Any revision of (a)-(c) as the audit progressed.
</t>
    </r>
    <r>
      <rPr>
        <i/>
        <sz val="8"/>
        <rFont val="Arial"/>
        <family val="2"/>
      </rPr>
      <t xml:space="preserve">[AAM 13100.57] </t>
    </r>
    <r>
      <rPr>
        <sz val="8"/>
        <rFont val="Arial"/>
        <family val="2"/>
      </rPr>
      <t xml:space="preserve">
The auditor shall also include in the audit documentation the amount below which misstatements would be regarded as clearly trivial. </t>
    </r>
    <r>
      <rPr>
        <i/>
        <sz val="8"/>
        <rFont val="Arial"/>
        <family val="2"/>
      </rPr>
      <t xml:space="preserve">[AAM 13100.58] </t>
    </r>
    <r>
      <rPr>
        <sz val="8"/>
        <rFont val="Arial"/>
        <family val="2"/>
      </rPr>
      <t xml:space="preserve">
</t>
    </r>
  </si>
  <si>
    <t>If the benchmark(s) selected to determine materiality differs from that used in the prior-year audit, the rationale for the change may be documented.</t>
  </si>
  <si>
    <t>Benchmark for listed entities</t>
  </si>
  <si>
    <t>benchmarks</t>
  </si>
  <si>
    <t>NOTE: If this is not a group audit, this tab is not required and therefore can be deleted</t>
  </si>
  <si>
    <t>Group engagement team</t>
  </si>
  <si>
    <t>Profit before tax from continuing operations</t>
  </si>
  <si>
    <t>EBITDA</t>
  </si>
  <si>
    <t>Expenses</t>
  </si>
  <si>
    <t>N/A</t>
  </si>
  <si>
    <t>Consider key financial statement line items and disclosures, laws/regulations and other matters.</t>
  </si>
  <si>
    <r>
      <t xml:space="preserve">For group audit engagements, this template is also applicable. The Materiality - Components worksheet or another method (e.g., a memorandum setting out the determination of these amounts) may be used to document our determination of component materiality.
The group engagement team shall determine the following:
a. Materiality for the group financial statements as a whole when establishing the overall group audit strategy.
b. If, in the specific circumstances of the group, there are particular classes of transactions, account balances or disclosures in the group financial statements for which misstatements of lesser amounts than materiality for the group financial statements as a whole could reasonably be expected to influence the economic decisions of users taken on the basis of the group financial statements the materiality level or levels to be applied to those particular classes of transactions, account balances or disclosures.
c. Component materiality for those components where component auditors will perform an audit or a review for purposes of the group audit. To reduce to an appropriately low level probability that the aggregate of uncorrected and undetected misstatements in the group financial statements exceeds materiality for the group financial statements as a whole, component materiality shall be lower than materiality for the group financial statements as a whole.
d. The threshold above which misstatements cannot be regarded as clearly trivial to the group financial statements.
</t>
    </r>
    <r>
      <rPr>
        <i/>
        <sz val="8"/>
        <rFont val="Arial"/>
        <family val="2"/>
      </rPr>
      <t>[AAM 13100.41]</t>
    </r>
  </si>
  <si>
    <t>Select number of benchmarks you wish to use in the calculations:</t>
  </si>
  <si>
    <t>Note: changing this number after performing calculations may result in the data being deleted</t>
  </si>
  <si>
    <t>Reference to documentation supporting the factor(s) determined to be appropriate.</t>
  </si>
  <si>
    <t>NOTE: If materiality for certain account balances, classes of transactions or disclosures is not required, this tab can be deleted.</t>
  </si>
  <si>
    <t>* The amount determined as materiality for particular classes of transactions, account balances, or disclosures cannot exceed the materiality amount calculated for the financial statements as a whole.</t>
  </si>
  <si>
    <t>Document the amounts and factors considered in our determination of the materiality and performance materiality for particular account balances, classes of transactions, or disclosures</t>
  </si>
  <si>
    <r>
      <t>If, in the specific circumstances of the entity, there is one or more particular classes of transactions, account balances or disclosures for which misstatements of lesser amounts than materiality for the financial statements as a whole could reasonably be expected to influence the economic decisions of users taken on the basis of the financial statements, the auditor shall also determine the materiality to be applied to those particular classes of transactions, account balances, or disclosures.</t>
    </r>
    <r>
      <rPr>
        <i/>
        <sz val="8"/>
        <rFont val="Arial"/>
        <family val="2"/>
      </rPr>
      <t xml:space="preserve"> [AAM 13100.24]</t>
    </r>
  </si>
  <si>
    <t>Determined current year materiality for the account balance, class of transactions or disclosure*</t>
  </si>
  <si>
    <t>Determined current year performance materiality for the account balance, class of transactions or disclosure</t>
  </si>
  <si>
    <t>Reference to documentation supporting the materiality determined to be appropriate.</t>
  </si>
  <si>
    <t>Total equity / net assets</t>
  </si>
  <si>
    <t>Determined performance materiality</t>
  </si>
  <si>
    <t>Instructions</t>
  </si>
  <si>
    <r>
      <t xml:space="preserve">
</t>
    </r>
    <r>
      <rPr>
        <sz val="8"/>
        <rFont val="Arial"/>
        <family val="2"/>
      </rPr>
      <t xml:space="preserve">When establishing the overall audit strategy, the auditor shall determine materiality for the financial statements as a whole. </t>
    </r>
    <r>
      <rPr>
        <i/>
        <sz val="8"/>
        <rFont val="Arial"/>
        <family val="2"/>
      </rPr>
      <t xml:space="preserve">[AAM 13100.12] </t>
    </r>
    <r>
      <rPr>
        <sz val="8"/>
        <rFont val="Arial"/>
        <family val="2"/>
      </rPr>
      <t>The auditor shall determine performance materiality for purposes of assessing the risks of material misstatement and determining the nature, timing and extent of further audit procedures.</t>
    </r>
    <r>
      <rPr>
        <i/>
        <sz val="8"/>
        <rFont val="Arial"/>
        <family val="2"/>
      </rPr>
      <t xml:space="preserve"> [AAM 13100.27]</t>
    </r>
  </si>
  <si>
    <t>The "Materiality - fin. statements" worksheet is available for documenting our determination of materiality, performance materiality and clearly trivial misstatements threshold for the financial statements as a whole;
The "Materiality - ABCOTD" worksheet is available for documenting where materiality level or levels for particular classes of transactions, account balances or disclosures is necessary . In other cases you can delete this worksheet;
The "Materiality - Components" worksheet is available for documenting, if applicable, the determination of the component materiality in a Group Audit. In other cases you can delete this worksheet.</t>
  </si>
  <si>
    <t>Determine where a lower materiality is to be applied to certain account balances, classes of transactions or disclosures</t>
  </si>
  <si>
    <r>
      <t xml:space="preserve">Factors that may indicate the existence of one or more particular classes of transactions, account balances or disclosures for which misstatements of lesser amounts than materiality for the financial statements as a whole could reasonably be expected to influence the economic decisions of users taken on the basis of the financial statements include the following:
• Whether law, regulation or the applicable financial reporting framework affect users' expectations regarding the measurement or disclosure of certain items (for example, related party transactions, the remuneration of management and those charged with governance, and sensitivity analysis for fair value accounting estimates with high estimation uncertainty).
• The key disclosures in relation to the industry in which the entity operates (for example, research and development costs for a pharmaceutical company).
• Whether attention is focused on a particular aspect of the entity's business that is separately disclosed in the financial statements (for example, disclosures about segments or a significant business combination).
• Whether  analysts’ or industry reports focus on specific aspects of the entity’s business or its operations (for example, restructuring activity and the entity’s ability to execute restructuring plans and achieve cost savings, a litigation accrual when there have been recent legal developments at the entity). </t>
    </r>
    <r>
      <rPr>
        <i/>
        <sz val="8"/>
        <color theme="0"/>
        <rFont val="Arial"/>
        <family val="2"/>
      </rPr>
      <t xml:space="preserve">[AAM 13100.25]
</t>
    </r>
    <r>
      <rPr>
        <sz val="8"/>
        <color theme="0"/>
        <rFont val="Arial"/>
        <family val="2"/>
      </rPr>
      <t xml:space="preserve">The determination of performance materiality is not a simple mechanical calculation and involves the exercise of professional judgment. It is affected by the auditor’s understanding of the entity, updated during the performance of the risk assessment procedures; and the nature and extent of misstatements identified in previous audits and thereby the auditor’s expectations in relation to misstatements in the current period. </t>
    </r>
    <r>
      <rPr>
        <i/>
        <sz val="8"/>
        <color theme="0"/>
        <rFont val="Arial"/>
        <family val="2"/>
      </rPr>
      <t xml:space="preserve">[AAM 13100.29] </t>
    </r>
  </si>
  <si>
    <t>Performance materiality is set at a lower level than materiality. This is the amount that should be entered as 'performance materiality'.</t>
  </si>
  <si>
    <t>Threshold based on percentage entered above</t>
  </si>
  <si>
    <t>Amount based on factor entered above:</t>
  </si>
  <si>
    <t>Workings - benchmark 2</t>
  </si>
  <si>
    <t>Workings - benchmark 3</t>
  </si>
  <si>
    <t>Current year materiality for the account balance, class of transactions or disclosure based on % selected</t>
  </si>
  <si>
    <t>Component materiality:</t>
  </si>
  <si>
    <t>Component performance materiality:</t>
  </si>
  <si>
    <t>Component clearly trivial misstatement:</t>
  </si>
  <si>
    <t>Document the factors considered in our determination of component materiality, component performance materiality, and component clearly trivial misstatement.</t>
  </si>
  <si>
    <t>Reference to our consideration of factors affecting our determination of the chosen benchmark(s).  A separately prepared memo or additional tab in this work paper may be appropriate.</t>
  </si>
  <si>
    <t>Share holder</t>
  </si>
  <si>
    <t>Regulators</t>
  </si>
  <si>
    <t>Creditors</t>
  </si>
  <si>
    <t>Profit before Tax, Net cash generated from operating activities</t>
  </si>
  <si>
    <t>Impact on environmental issues</t>
  </si>
  <si>
    <t>Disclosure</t>
  </si>
  <si>
    <t>Profitability, Liquidity</t>
  </si>
  <si>
    <t>Social interest groups</t>
  </si>
  <si>
    <t>AMOUNT IN USD</t>
  </si>
  <si>
    <t>Compliance with Tax Laws, IFRS.</t>
  </si>
  <si>
    <t>Tax and VAT amount</t>
  </si>
  <si>
    <t>Revenue earnings, Profit before tax earnings of the organization</t>
  </si>
  <si>
    <t>Revenue,  Profit befire tax</t>
  </si>
  <si>
    <t>Working Ref: CIPL-MT</t>
  </si>
  <si>
    <t>CIPL-MT</t>
  </si>
  <si>
    <r>
      <t xml:space="preserve">Ref: </t>
    </r>
    <r>
      <rPr>
        <sz val="8"/>
        <rFont val="Arial"/>
        <family val="2"/>
      </rPr>
      <t>CIPL-Materiality</t>
    </r>
  </si>
  <si>
    <r>
      <t>Determining materiality involves the exercise of professional judgment. A percentage is often applied to a chosen benchmark as a starting point in determining materiality for the financial statements as a whole. Factors that may affect the identification of an appropriate benchmark include the following:
• The elements of the financial statements (for example, assets, liabilities, equity, revenue, expenses);
• Whether there are items on which the attention of the users of the particular entity’s financial statements tends to be focused (for example, for the purpose of evaluating financial performance users may tend to focus on profit, revenue or net assets);
• The nature of the entity, where the entity is in its life cycle, and the industry and economic environment in which the entity operates;
• The entity’s ownership structure and the way it is financed (for example, if an entity is financed solely by debt rather than equity, users may put more emphasis on assets, and claims on them, than on the entity’s earnings); and
• The relative volatility of the benchmark.</t>
    </r>
    <r>
      <rPr>
        <i/>
        <sz val="10"/>
        <rFont val="Calibri"/>
        <family val="2"/>
        <scheme val="minor"/>
      </rPr>
      <t xml:space="preserve"> [AAM 13100.15]</t>
    </r>
    <r>
      <rPr>
        <sz val="10"/>
        <rFont val="Calibri"/>
        <family val="2"/>
        <scheme val="minor"/>
      </rPr>
      <t xml:space="preserve">
Examples of benchmarks that may be appropriate, depending on the circumstances of the entity, include categories of reported income such as profit before tax, total revenue, gross profit and total expenses, total equity or net asset value.  </t>
    </r>
    <r>
      <rPr>
        <i/>
        <sz val="10"/>
        <rFont val="Calibri"/>
        <family val="2"/>
        <scheme val="minor"/>
      </rPr>
      <t>[AAM 13100.16]</t>
    </r>
  </si>
  <si>
    <r>
      <t xml:space="preserve">When normalizing the benchmark it may be appropriate to remove the unusual circumstance from the current period results.  Relevant considerations may also include the perceived needs of the financial statement users, the particular circumstances that caused the unusual results for the current year, the likelihood of their recurrence, and any other matters that, in our judgment, may be relevant in determining a normalized benchmark amount.
</t>
    </r>
    <r>
      <rPr>
        <i/>
        <sz val="10"/>
        <rFont val="Calibri"/>
        <family val="2"/>
        <scheme val="minor"/>
      </rPr>
      <t>[AAM 13100.18]</t>
    </r>
  </si>
  <si>
    <r>
      <t>The objective of the auditor is to apply the concept of materiality appropriately in planning and performing the audit</t>
    </r>
    <r>
      <rPr>
        <i/>
        <sz val="10"/>
        <rFont val="Calibri"/>
        <family val="2"/>
        <scheme val="minor"/>
      </rPr>
      <t>. [AAM 13100.11]</t>
    </r>
    <r>
      <rPr>
        <sz val="10"/>
        <rFont val="Calibri"/>
        <family val="2"/>
        <scheme val="minor"/>
      </rPr>
      <t xml:space="preserve">
When establishing the overall audit strategy, the auditor shall determine materiality for the financial statements as a whole.  </t>
    </r>
    <r>
      <rPr>
        <i/>
        <sz val="10"/>
        <rFont val="Calibri"/>
        <family val="2"/>
        <scheme val="minor"/>
      </rPr>
      <t xml:space="preserve">[AAM 13100.12] </t>
    </r>
    <r>
      <rPr>
        <sz val="10"/>
        <rFont val="Calibri"/>
        <family val="2"/>
        <scheme val="minor"/>
      </rPr>
      <t xml:space="preserve">
</t>
    </r>
  </si>
  <si>
    <r>
      <t xml:space="preserve">The following guidelines are provided to illustrate a reference point to determine the appropriate percentage to be applied to the chosen benchmark(s) to determine materiality: 
• 5 to 10 percent of profit before tax from continuing operations 
• 0.8 to 2 percent of revenue (may extend up to 5 percent in consideration of the size of the entity)
• 1 to 2 percent of total assets
• 1 to 3 percent of total equity or net assets
• 3 to 5 percent of expenses
• 3 to 5 percent of cash flows from operations.
</t>
    </r>
    <r>
      <rPr>
        <i/>
        <sz val="10"/>
        <color theme="1"/>
        <rFont val="Calibri"/>
        <family val="2"/>
        <scheme val="minor"/>
      </rPr>
      <t xml:space="preserve">[AAM 13100.22A]
</t>
    </r>
    <r>
      <rPr>
        <sz val="10"/>
        <color theme="1"/>
        <rFont val="Calibri"/>
        <family val="2"/>
        <scheme val="minor"/>
      </rPr>
      <t xml:space="preserve">
Other percentages may be used based on the professional judgment of the engagement partner.</t>
    </r>
    <r>
      <rPr>
        <i/>
        <sz val="10"/>
        <color theme="1"/>
        <rFont val="Calibri"/>
        <family val="2"/>
        <scheme val="minor"/>
      </rPr>
      <t xml:space="preserve"> [AAM13100.22]</t>
    </r>
  </si>
  <si>
    <r>
      <t xml:space="preserve">For  audits of listed entities, profit before tax from continuing operations is often a benchmark of importance to investors because earnings are used to predict future share price and the ability to pay dividends.  For audits of listed entities, we typically apply a percentage towards the lower end in the  range of 5 to 10 percent of profit before tax from continuing operations to determine materiality.  
Other percentages may be used based on the professional judgment of the engagement partner. </t>
    </r>
    <r>
      <rPr>
        <i/>
        <sz val="10"/>
        <color theme="1"/>
        <rFont val="Calibri"/>
        <family val="2"/>
        <scheme val="minor"/>
      </rPr>
      <t>[AAM 13100.22]</t>
    </r>
    <r>
      <rPr>
        <sz val="10"/>
        <color theme="1"/>
        <rFont val="Calibri"/>
        <family val="2"/>
        <scheme val="minor"/>
      </rPr>
      <t xml:space="preserve"> </t>
    </r>
  </si>
  <si>
    <r>
      <t xml:space="preserve">To make a determination of performance materiality, we may consider factors such as the following:
• Our understanding of the entity and its environment 
• The reliability of the entity’s internal control over financial reporting (e.g., as the reliability of internal control decreases, there may be an increased likelihood of significant misstatements occurring)
• Higher fraud risk or ineffective entity-level controls (e.g., tone at top, ineffective governance controls, competency of accounting personnel, difficulties in obtaining audit evidence)
• Whether there is a disproportionate number of risks of material misstatement at the higher end of the spectrum (i.e., risks of material misstatement assessed as higher or significant)
• The entity’s history of misstatements, both corrected and uncorrected
• The likelihood that misstatements from the prior period will recur in the current period
• Management’s willingness to investigate and correct misstatements
• An expected increase in accounting issues that require significant judgment and/or more judgment in estimation
• High turnover of executive management or key accounting personnel
• The degree of centralization and common controls/processes
• Increased engagement risk (e.g., as a result of the entity’s industry, market pressures, a potential transfer of interest in the entity, an initial audit engagement)
• Any changes in the business that would affect our ability to forecast potential misstatements.
</t>
    </r>
    <r>
      <rPr>
        <i/>
        <sz val="10"/>
        <rFont val="Calibri"/>
        <family val="2"/>
        <scheme val="minor"/>
      </rPr>
      <t xml:space="preserve"> [AAM 13100.29A]</t>
    </r>
  </si>
  <si>
    <r>
      <rPr>
        <b/>
        <sz val="10"/>
        <color theme="1"/>
        <rFont val="Calibri"/>
        <family val="2"/>
        <scheme val="minor"/>
      </rPr>
      <t>Consultation</t>
    </r>
    <r>
      <rPr>
        <sz val="10"/>
        <color theme="1"/>
        <rFont val="Calibri"/>
        <family val="2"/>
        <scheme val="minor"/>
      </rPr>
      <t xml:space="preserve">
For audits of listed entities, if the amount determined as performance materiality is greater than 80 percent of materiality, the engagement partner shall consult with the NPPD or designee on whether performance materiality is appropriate in the circumstances of the engagement.
</t>
    </r>
    <r>
      <rPr>
        <i/>
        <sz val="10"/>
        <color theme="1"/>
        <rFont val="Calibri"/>
        <family val="2"/>
        <scheme val="minor"/>
      </rPr>
      <t>[AAM 13100.29B]</t>
    </r>
  </si>
  <si>
    <r>
      <t xml:space="preserve">Paragraph 5 of Section 29600 requires the auditor to accumulate misstatements identified during the audit other than those that are clearly trivial. "Clearly trivial" is not another expression for "not material." Misstatements that are clearly trivial will be of a wholly different (smaller) order of magnitude, or of a wholly different nature than those that would be determined to be material, and will be misstatements that are clearly inconsequential, whether taken individually or in aggregate and whether judged by any criteria of size, nature or circumstances. When there is any uncertainty about whether one or more items are clearly trivial, the misstatement is considered not to be clearly trivial. </t>
    </r>
    <r>
      <rPr>
        <i/>
        <sz val="10"/>
        <rFont val="Calibri"/>
        <family val="2"/>
        <scheme val="minor"/>
      </rPr>
      <t>[AAM 13100.39]</t>
    </r>
    <r>
      <rPr>
        <sz val="10"/>
        <rFont val="Calibri"/>
        <family val="2"/>
        <scheme val="minor"/>
      </rPr>
      <t xml:space="preserve">
Up to 5 percent of materiality is often considered as clearly trivial. The engagement partner may determine, based on the facts and circumstance of the entity and the audit engagement, that a lower level is appropriate. Factors such as the nature of the entity, history of misstatements, and number of locations may affect the actual threshold of what we consider clearly trivial. </t>
    </r>
    <r>
      <rPr>
        <i/>
        <sz val="10"/>
        <rFont val="Calibri"/>
        <family val="2"/>
        <scheme val="minor"/>
      </rPr>
      <t>[AAM 11300.40]</t>
    </r>
    <r>
      <rPr>
        <sz val="10"/>
        <rFont val="Calibri"/>
        <family val="2"/>
        <scheme val="minor"/>
      </rPr>
      <t xml:space="preserve">
Depending  on the nature of a misstatement related to disclosures, amounts of disclosure misstatements that are quantitatively greater than what has been determined as the threshold considered clearly trivial for classes of transactions or account balances (e.g., 5 percent of materiality) may or may not be considered clearly trivial. As each disclosure in the financial statements has different characteristics, establishing a specific amount below which all disclosure misstatements would be considered clearly trivial is often not practical. Therefore, determining whether a disclosure misstatement is clearly trivial may be performed for each individual disclosure misstatement based on qualitative and quantitative considerations and considering the guidance in paragraph 40.  </t>
    </r>
    <r>
      <rPr>
        <i/>
        <sz val="10"/>
        <rFont val="Calibri"/>
        <family val="2"/>
        <scheme val="minor"/>
      </rPr>
      <t>[AAM 13100.40A]</t>
    </r>
    <r>
      <rPr>
        <sz val="10"/>
        <rFont val="Calibri"/>
        <family val="2"/>
        <scheme val="minor"/>
      </rPr>
      <t xml:space="preserve">
</t>
    </r>
  </si>
  <si>
    <t>Ref: 13110 Materiality- memo-CIPL</t>
  </si>
  <si>
    <t>13110 Materiality memo</t>
  </si>
  <si>
    <t>CIPL June 2021 FS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</si>
</sst>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1" formatCode="_(* #,##0_);_(* \(#,##0\);_(* &quot;-&quot;_);_(@_)"/>
    <numFmt numFmtId="44" formatCode="_(&quot;$&quot;* #,##0.00_);_(&quot;$&quot;* \(#,##0.00\);_(&quot;$&quot;* &quot;-&quot;??_);_(@_)"/>
    <numFmt numFmtId="43" formatCode="_(* #,##0.00_);_(* \(#,##0.00\);_(* &quot;-&quot;??_);_(@_)"/>
    <numFmt numFmtId="164" formatCode="_-* #,##0.00\ _€_-;\-* #,##0.00\ _€_-;_-* &quot;-&quot;??\ _€_-;_-@_-"/>
    <numFmt numFmtId="165" formatCode="_(* #,##0_);_(* \(#,##0\);_(* &quot;-&quot;??_);_(@_)"/>
    <numFmt numFmtId="166" formatCode="_(&quot;$&quot;* #,##0_);_(&quot;$&quot;* \(#,##0\);_(&quot;$&quot;* &quot;-&quot;??_);_(@_)"/>
    <numFmt numFmtId="167" formatCode="0%_);\(0%\)"/>
    <numFmt numFmtId="168" formatCode="0.0%"/>
    <numFmt numFmtId="169" formatCode="_(* #,##0.00_);_(* \(\ #,##0.00\ \);_(* &quot;-&quot;??_);_(\ @_ \)"/>
    <numFmt numFmtId="170" formatCode="&quot; &quot;#,##0.00&quot; &quot;;&quot; (&quot;#,##0.00&quot;)&quot;;&quot; -&quot;00&quot; &quot;;&quot; &quot;@&quot; &quot;"/>
  </numFmts>
  <fonts count="39" x14ac:knownFonts="1">
    <font>
      <sz val="10"/>
      <name val="Arial"/>
    </font>
    <font>
      <sz val="11"/>
      <color theme="1"/>
      <name val="Calibri"/>
      <family val="2"/>
      <scheme val="minor"/>
    </font>
    <font>
      <b/>
      <sz val="10"/>
      <name val="Arial"/>
      <family val="2"/>
    </font>
    <font>
      <sz val="10"/>
      <name val="Arial"/>
      <family val="2"/>
    </font>
    <font>
      <b/>
      <sz val="10"/>
      <color indexed="10"/>
      <name val="Arial"/>
      <family val="2"/>
    </font>
    <font>
      <b/>
      <sz val="10"/>
      <name val="Arial"/>
      <family val="2"/>
    </font>
    <font>
      <b/>
      <sz val="8"/>
      <name val="Arial"/>
      <family val="2"/>
    </font>
    <font>
      <sz val="8"/>
      <name val="Arial"/>
      <family val="2"/>
    </font>
    <font>
      <u/>
      <sz val="10"/>
      <color indexed="12"/>
      <name val="Arial"/>
      <family val="2"/>
    </font>
    <font>
      <u/>
      <sz val="10"/>
      <color theme="10"/>
      <name val="Arial"/>
      <family val="2"/>
    </font>
    <font>
      <b/>
      <sz val="8"/>
      <color theme="10"/>
      <name val="Arial"/>
      <family val="2"/>
    </font>
    <font>
      <sz val="8"/>
      <color theme="0"/>
      <name val="Arial"/>
      <family val="2"/>
    </font>
    <font>
      <b/>
      <sz val="8"/>
      <color rgb="FF86BC25"/>
      <name val="Arial"/>
      <family val="2"/>
    </font>
    <font>
      <sz val="8"/>
      <color rgb="FF86BC25"/>
      <name val="Arial"/>
      <family val="2"/>
    </font>
    <font>
      <b/>
      <sz val="12"/>
      <color theme="0"/>
      <name val="Arial"/>
      <family val="2"/>
    </font>
    <font>
      <i/>
      <sz val="8"/>
      <color theme="0"/>
      <name val="Arial"/>
      <family val="2"/>
    </font>
    <font>
      <i/>
      <sz val="8"/>
      <name val="Arial"/>
      <family val="2"/>
    </font>
    <font>
      <b/>
      <sz val="9"/>
      <name val="Arial"/>
      <family val="2"/>
    </font>
    <font>
      <b/>
      <sz val="8"/>
      <color theme="0"/>
      <name val="Arial"/>
      <family val="2"/>
    </font>
    <font>
      <sz val="12"/>
      <color theme="1"/>
      <name val="Calibri"/>
      <family val="2"/>
      <scheme val="minor"/>
    </font>
    <font>
      <sz val="11"/>
      <name val="Verdana"/>
      <family val="2"/>
    </font>
    <font>
      <sz val="10"/>
      <name val="Tahoma"/>
      <family val="2"/>
    </font>
    <font>
      <sz val="10"/>
      <color rgb="FF000000"/>
      <name val="Tahoma"/>
      <family val="2"/>
    </font>
    <font>
      <sz val="11"/>
      <name val="Times New Roman"/>
      <family val="1"/>
    </font>
    <font>
      <sz val="11"/>
      <color indexed="8"/>
      <name val="Calibri"/>
      <family val="2"/>
    </font>
    <font>
      <sz val="11"/>
      <color rgb="FF000000"/>
      <name val="Calibri"/>
      <family val="2"/>
    </font>
    <font>
      <sz val="9"/>
      <name val="Arial"/>
      <family val="2"/>
    </font>
    <font>
      <sz val="11"/>
      <name val="Arial"/>
      <family val="2"/>
    </font>
    <font>
      <sz val="8"/>
      <color rgb="FFFF0000"/>
      <name val="Arial"/>
      <family val="2"/>
    </font>
    <font>
      <b/>
      <sz val="10"/>
      <color theme="0"/>
      <name val="Calibri"/>
      <family val="2"/>
      <scheme val="minor"/>
    </font>
    <font>
      <sz val="10"/>
      <color theme="0"/>
      <name val="Calibri"/>
      <family val="2"/>
      <scheme val="minor"/>
    </font>
    <font>
      <sz val="10"/>
      <name val="Calibri"/>
      <family val="2"/>
      <scheme val="minor"/>
    </font>
    <font>
      <b/>
      <sz val="10"/>
      <color theme="3"/>
      <name val="Calibri"/>
      <family val="2"/>
      <scheme val="minor"/>
    </font>
    <font>
      <b/>
      <sz val="10"/>
      <name val="Calibri"/>
      <family val="2"/>
      <scheme val="minor"/>
    </font>
    <font>
      <sz val="10"/>
      <color theme="3"/>
      <name val="Calibri"/>
      <family val="2"/>
      <scheme val="minor"/>
    </font>
    <font>
      <i/>
      <sz val="10"/>
      <name val="Calibri"/>
      <family val="2"/>
      <scheme val="minor"/>
    </font>
    <font>
      <sz val="10"/>
      <color theme="1"/>
      <name val="Calibri"/>
      <family val="2"/>
      <scheme val="minor"/>
    </font>
    <font>
      <i/>
      <sz val="10"/>
      <color theme="1"/>
      <name val="Calibri"/>
      <family val="2"/>
      <scheme val="minor"/>
    </font>
    <font>
      <b/>
      <sz val="10"/>
      <color theme="1"/>
      <name val="Calibri"/>
      <family val="2"/>
      <scheme val="minor"/>
    </font>
  </fonts>
  <fills count="9">
    <fill>
      <patternFill patternType="none"/>
    </fill>
    <fill>
      <patternFill patternType="gray125"/>
    </fill>
    <fill>
      <patternFill patternType="solid">
        <fgColor indexed="27"/>
        <bgColor indexed="64"/>
      </patternFill>
    </fill>
    <fill>
      <patternFill patternType="solid">
        <fgColor theme="1"/>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3" tint="0.79998168889431442"/>
        <bgColor indexed="64"/>
      </patternFill>
    </fill>
    <fill>
      <patternFill patternType="solid">
        <fgColor theme="0"/>
        <bgColor indexed="64"/>
      </patternFill>
    </fill>
  </fills>
  <borders count="18">
    <border>
      <left/>
      <right/>
      <top/>
      <bottom/>
      <diagonal/>
    </border>
    <border>
      <left/>
      <right/>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double">
        <color indexed="64"/>
      </bottom>
      <diagonal/>
    </border>
    <border>
      <left style="thin">
        <color indexed="64"/>
      </left>
      <right/>
      <top style="thin">
        <color indexed="64"/>
      </top>
      <bottom/>
      <diagonal/>
    </border>
    <border>
      <left/>
      <right/>
      <top style="thin">
        <color indexed="64"/>
      </top>
      <bottom/>
      <diagonal/>
    </border>
    <border>
      <left/>
      <right/>
      <top style="double">
        <color indexed="64"/>
      </top>
      <bottom/>
      <diagonal/>
    </border>
    <border>
      <left/>
      <right style="thin">
        <color indexed="64"/>
      </right>
      <top style="thin">
        <color indexed="64"/>
      </top>
      <bottom/>
      <diagonal/>
    </border>
    <border>
      <left/>
      <right style="thin">
        <color indexed="64"/>
      </right>
      <top/>
      <bottom/>
      <diagonal/>
    </border>
  </borders>
  <cellStyleXfs count="60">
    <xf numFmtId="0" fontId="0" fillId="0" borderId="0"/>
    <xf numFmtId="43" fontId="3" fillId="0" borderId="0" applyFont="0" applyFill="0" applyBorder="0" applyAlignment="0" applyProtection="0"/>
    <xf numFmtId="44" fontId="3" fillId="0" borderId="0" applyFont="0" applyFill="0" applyBorder="0" applyAlignment="0" applyProtection="0"/>
    <xf numFmtId="14" fontId="5" fillId="2" borderId="1">
      <alignment horizontal="center" vertical="center" wrapText="1"/>
    </xf>
    <xf numFmtId="0" fontId="9" fillId="0" borderId="0" applyNumberFormat="0" applyFill="0" applyBorder="0" applyAlignment="0" applyProtection="0">
      <alignment vertical="top"/>
      <protection locked="0"/>
    </xf>
    <xf numFmtId="0" fontId="8" fillId="0" borderId="0" applyNumberFormat="0" applyFill="0" applyBorder="0" applyAlignment="0" applyProtection="0">
      <alignment vertical="top"/>
      <protection locked="0"/>
    </xf>
    <xf numFmtId="0" fontId="3" fillId="0" borderId="0"/>
    <xf numFmtId="0" fontId="3" fillId="0" borderId="0"/>
    <xf numFmtId="0" fontId="3" fillId="0" borderId="0"/>
    <xf numFmtId="167" fontId="3" fillId="0" borderId="0" applyFont="0" applyFill="0" applyBorder="0" applyAlignment="0" applyProtection="0"/>
    <xf numFmtId="0" fontId="4" fillId="0" borderId="0" applyFill="0" applyBorder="0" applyProtection="0">
      <alignment horizontal="left" vertical="top"/>
    </xf>
    <xf numFmtId="0" fontId="3" fillId="0" borderId="0"/>
    <xf numFmtId="0" fontId="3" fillId="0" borderId="0"/>
    <xf numFmtId="9" fontId="3" fillId="0" borderId="0" applyFont="0" applyFill="0" applyBorder="0" applyAlignment="0" applyProtection="0"/>
    <xf numFmtId="164" fontId="3" fillId="0" borderId="0" applyFont="0" applyFill="0" applyBorder="0" applyAlignment="0" applyProtection="0"/>
    <xf numFmtId="14" fontId="2" fillId="2" borderId="1">
      <alignment horizontal="center" vertical="center" wrapText="1"/>
    </xf>
    <xf numFmtId="0" fontId="19" fillId="0" borderId="0"/>
    <xf numFmtId="0" fontId="1" fillId="0" borderId="0"/>
    <xf numFmtId="43" fontId="1" fillId="0" borderId="0" applyFont="0" applyFill="0" applyBorder="0" applyAlignment="0" applyProtection="0"/>
    <xf numFmtId="41" fontId="1" fillId="0" borderId="0" applyFont="0" applyFill="0" applyBorder="0" applyAlignment="0" applyProtection="0"/>
    <xf numFmtId="0" fontId="3" fillId="0" borderId="0"/>
    <xf numFmtId="169" fontId="21" fillId="0" borderId="0" applyFont="0" applyFill="0" applyBorder="0" applyAlignment="0" applyProtection="0"/>
    <xf numFmtId="9" fontId="21" fillId="0" borderId="0" applyFont="0" applyFill="0" applyBorder="0" applyAlignment="0" applyProtection="0"/>
    <xf numFmtId="0" fontId="1" fillId="0" borderId="0"/>
    <xf numFmtId="43" fontId="24" fillId="0" borderId="0" applyFont="0" applyFill="0" applyBorder="0" applyAlignment="0" applyProtection="0"/>
    <xf numFmtId="0" fontId="3" fillId="0" borderId="0"/>
    <xf numFmtId="43" fontId="3" fillId="0" borderId="0" applyFont="0" applyFill="0" applyBorder="0" applyAlignment="0" applyProtection="0"/>
    <xf numFmtId="43" fontId="3" fillId="0" borderId="0" applyFont="0" applyFill="0" applyBorder="0" applyAlignment="0" applyProtection="0"/>
    <xf numFmtId="0" fontId="1" fillId="0" borderId="0"/>
    <xf numFmtId="0" fontId="1" fillId="0" borderId="0"/>
    <xf numFmtId="43"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0" fontId="3" fillId="0" borderId="0"/>
    <xf numFmtId="170" fontId="25" fillId="0" borderId="0" applyFont="0" applyFill="0" applyBorder="0" applyAlignment="0" applyProtection="0"/>
    <xf numFmtId="43" fontId="1" fillId="0" borderId="0" applyFont="0" applyFill="0" applyBorder="0" applyAlignment="0" applyProtection="0"/>
    <xf numFmtId="0" fontId="3" fillId="0" borderId="0"/>
    <xf numFmtId="0" fontId="3" fillId="0" borderId="0"/>
    <xf numFmtId="0" fontId="1" fillId="0" borderId="0"/>
    <xf numFmtId="0" fontId="3" fillId="0" borderId="0"/>
    <xf numFmtId="0" fontId="3" fillId="0" borderId="0"/>
    <xf numFmtId="0" fontId="3" fillId="0" borderId="0"/>
    <xf numFmtId="0" fontId="21" fillId="0" borderId="0"/>
    <xf numFmtId="0" fontId="22" fillId="0" borderId="0" applyNumberFormat="0" applyBorder="0" applyProtection="0"/>
    <xf numFmtId="0" fontId="21" fillId="0" borderId="0"/>
    <xf numFmtId="0" fontId="22" fillId="0" borderId="0" applyNumberFormat="0" applyBorder="0" applyProtection="0"/>
    <xf numFmtId="0" fontId="3" fillId="0" borderId="0"/>
    <xf numFmtId="0" fontId="1" fillId="0" borderId="0"/>
    <xf numFmtId="0" fontId="3" fillId="0" borderId="0"/>
    <xf numFmtId="43" fontId="1" fillId="0" borderId="0" applyFont="0" applyFill="0" applyBorder="0" applyAlignment="0" applyProtection="0"/>
    <xf numFmtId="0" fontId="1" fillId="0" borderId="0"/>
    <xf numFmtId="0" fontId="2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21" fillId="0" borderId="0"/>
    <xf numFmtId="0" fontId="21" fillId="0" borderId="0"/>
    <xf numFmtId="43" fontId="3" fillId="0" borderId="0" applyFont="0" applyFill="0" applyBorder="0" applyAlignment="0" applyProtection="0"/>
    <xf numFmtId="169" fontId="21" fillId="0" borderId="0" applyFont="0" applyFill="0" applyBorder="0" applyAlignment="0" applyProtection="0"/>
  </cellStyleXfs>
  <cellXfs count="228">
    <xf numFmtId="0" fontId="0" fillId="0" borderId="0" xfId="0"/>
    <xf numFmtId="0" fontId="7" fillId="0" borderId="0" xfId="11" applyFont="1" applyFill="1"/>
    <xf numFmtId="0" fontId="6" fillId="0" borderId="0" xfId="11" applyFont="1" applyFill="1" applyAlignment="1" applyProtection="1">
      <alignment vertical="center" wrapText="1"/>
      <protection locked="0"/>
    </xf>
    <xf numFmtId="0" fontId="7" fillId="0" borderId="0" xfId="11" applyFont="1" applyFill="1" applyProtection="1">
      <protection locked="0"/>
    </xf>
    <xf numFmtId="0" fontId="7" fillId="0" borderId="0" xfId="11" applyFont="1" applyFill="1" applyAlignment="1" applyProtection="1">
      <alignment horizontal="center"/>
      <protection locked="0"/>
    </xf>
    <xf numFmtId="0" fontId="6" fillId="0" borderId="0" xfId="11" applyFont="1" applyFill="1" applyBorder="1" applyAlignment="1" applyProtection="1">
      <alignment vertical="center" wrapText="1"/>
      <protection locked="0"/>
    </xf>
    <xf numFmtId="0" fontId="7" fillId="0" borderId="0" xfId="11" applyFont="1" applyFill="1" applyProtection="1">
      <protection locked="0" hidden="1"/>
    </xf>
    <xf numFmtId="0" fontId="6" fillId="5" borderId="2" xfId="11" applyFont="1" applyFill="1" applyBorder="1" applyAlignment="1" applyProtection="1">
      <alignment wrapText="1"/>
      <protection locked="0"/>
    </xf>
    <xf numFmtId="0" fontId="7" fillId="5" borderId="2" xfId="11" applyFont="1" applyFill="1" applyBorder="1" applyAlignment="1" applyProtection="1">
      <alignment wrapText="1"/>
      <protection locked="0"/>
    </xf>
    <xf numFmtId="0" fontId="6" fillId="0" borderId="6" xfId="11" applyFont="1" applyFill="1" applyBorder="1" applyAlignment="1"/>
    <xf numFmtId="0" fontId="7" fillId="5" borderId="2" xfId="11" applyFont="1" applyFill="1" applyBorder="1" applyAlignment="1" applyProtection="1">
      <alignment vertical="center"/>
      <protection locked="0"/>
    </xf>
    <xf numFmtId="3" fontId="7" fillId="0" borderId="0" xfId="11" applyNumberFormat="1" applyFont="1" applyFill="1" applyBorder="1" applyAlignment="1">
      <alignment horizontal="left"/>
    </xf>
    <xf numFmtId="0" fontId="7" fillId="5" borderId="0" xfId="11" applyFont="1" applyFill="1" applyBorder="1" applyAlignment="1" applyProtection="1">
      <alignment wrapText="1"/>
      <protection locked="0"/>
    </xf>
    <xf numFmtId="0" fontId="7" fillId="5" borderId="0" xfId="11" applyFont="1" applyFill="1" applyBorder="1" applyProtection="1">
      <protection locked="0"/>
    </xf>
    <xf numFmtId="0" fontId="10" fillId="0" borderId="6" xfId="4" applyFont="1" applyFill="1" applyBorder="1" applyAlignment="1" applyProtection="1">
      <alignment horizontal="center" vertical="center"/>
      <protection locked="0"/>
    </xf>
    <xf numFmtId="0" fontId="7" fillId="5" borderId="2" xfId="11" applyFont="1" applyFill="1" applyBorder="1" applyAlignment="1" applyProtection="1">
      <alignment horizontal="left" vertical="top" wrapText="1"/>
      <protection locked="0"/>
    </xf>
    <xf numFmtId="0" fontId="7" fillId="5" borderId="2" xfId="11" applyFont="1" applyFill="1" applyBorder="1" applyAlignment="1" applyProtection="1">
      <alignment horizontal="left" vertical="center" wrapText="1"/>
      <protection locked="0" hidden="1"/>
    </xf>
    <xf numFmtId="0" fontId="7" fillId="5" borderId="4" xfId="11" applyFont="1" applyFill="1" applyBorder="1" applyProtection="1">
      <protection locked="0"/>
    </xf>
    <xf numFmtId="0" fontId="7" fillId="5" borderId="2" xfId="11" applyFont="1" applyFill="1" applyBorder="1" applyProtection="1">
      <protection locked="0"/>
    </xf>
    <xf numFmtId="0" fontId="10" fillId="5" borderId="2" xfId="4" applyFont="1" applyFill="1" applyBorder="1" applyAlignment="1" applyProtection="1">
      <alignment horizontal="center" vertical="center"/>
      <protection locked="0"/>
    </xf>
    <xf numFmtId="0" fontId="6" fillId="5" borderId="5" xfId="11" applyFont="1" applyFill="1" applyBorder="1" applyAlignment="1" applyProtection="1">
      <alignment wrapText="1"/>
      <protection locked="0"/>
    </xf>
    <xf numFmtId="0" fontId="7" fillId="5" borderId="3" xfId="11" applyFont="1" applyFill="1" applyBorder="1" applyProtection="1">
      <protection locked="0"/>
    </xf>
    <xf numFmtId="3" fontId="6" fillId="0" borderId="0" xfId="11" applyNumberFormat="1" applyFont="1" applyFill="1" applyBorder="1" applyAlignment="1">
      <alignment horizontal="center" vertical="top" wrapText="1"/>
    </xf>
    <xf numFmtId="3" fontId="11" fillId="0" borderId="0" xfId="11" applyNumberFormat="1" applyFont="1" applyFill="1" applyBorder="1" applyAlignment="1">
      <alignment horizontal="center" vertical="top" wrapText="1"/>
    </xf>
    <xf numFmtId="165" fontId="7" fillId="4" borderId="11" xfId="1" applyNumberFormat="1" applyFont="1" applyFill="1" applyBorder="1" applyProtection="1">
      <protection locked="0" hidden="1"/>
    </xf>
    <xf numFmtId="0" fontId="6" fillId="5" borderId="6" xfId="11" applyFont="1" applyFill="1" applyBorder="1" applyAlignment="1" applyProtection="1">
      <alignment vertical="center" wrapText="1"/>
      <protection locked="0"/>
    </xf>
    <xf numFmtId="0" fontId="7" fillId="5" borderId="0" xfId="11" applyFont="1" applyFill="1" applyBorder="1" applyProtection="1">
      <protection locked="0" hidden="1"/>
    </xf>
    <xf numFmtId="0" fontId="3" fillId="0" borderId="0" xfId="6"/>
    <xf numFmtId="0" fontId="6" fillId="5" borderId="4" xfId="11" applyFont="1" applyFill="1" applyBorder="1" applyAlignment="1" applyProtection="1">
      <alignment vertical="center" wrapText="1"/>
      <protection locked="0"/>
    </xf>
    <xf numFmtId="165" fontId="7" fillId="5" borderId="15" xfId="1" applyNumberFormat="1" applyFont="1" applyFill="1" applyBorder="1" applyProtection="1">
      <protection locked="0" hidden="1"/>
    </xf>
    <xf numFmtId="165" fontId="7" fillId="5" borderId="0" xfId="1" applyNumberFormat="1" applyFont="1" applyFill="1" applyBorder="1" applyProtection="1">
      <protection locked="0" hidden="1"/>
    </xf>
    <xf numFmtId="166" fontId="7" fillId="5" borderId="0" xfId="2" applyNumberFormat="1" applyFont="1" applyFill="1" applyBorder="1" applyProtection="1">
      <protection locked="0"/>
    </xf>
    <xf numFmtId="165" fontId="7" fillId="5" borderId="9" xfId="1" applyNumberFormat="1" applyFont="1" applyFill="1" applyBorder="1" applyProtection="1">
      <protection locked="0" hidden="1"/>
    </xf>
    <xf numFmtId="166" fontId="7" fillId="5" borderId="9" xfId="2" applyNumberFormat="1" applyFont="1" applyFill="1" applyBorder="1" applyProtection="1">
      <protection locked="0"/>
    </xf>
    <xf numFmtId="3" fontId="6" fillId="5" borderId="10" xfId="11" applyNumberFormat="1" applyFont="1" applyFill="1" applyBorder="1" applyAlignment="1" applyProtection="1">
      <alignment horizontal="center" vertical="center"/>
      <protection locked="0"/>
    </xf>
    <xf numFmtId="0" fontId="7" fillId="5" borderId="2" xfId="11" applyFont="1" applyFill="1" applyBorder="1" applyProtection="1">
      <protection locked="0" hidden="1"/>
    </xf>
    <xf numFmtId="0" fontId="7" fillId="5" borderId="3" xfId="11" applyFont="1" applyFill="1" applyBorder="1" applyProtection="1">
      <protection locked="0" hidden="1"/>
    </xf>
    <xf numFmtId="0" fontId="10" fillId="0" borderId="3" xfId="4" applyFont="1" applyFill="1" applyBorder="1" applyAlignment="1" applyProtection="1">
      <alignment horizontal="center" vertical="center"/>
      <protection locked="0"/>
    </xf>
    <xf numFmtId="0" fontId="7" fillId="0" borderId="0" xfId="8" applyFont="1"/>
    <xf numFmtId="0" fontId="7" fillId="0" borderId="0" xfId="8" applyFont="1" applyFill="1"/>
    <xf numFmtId="0" fontId="7" fillId="0" borderId="0" xfId="8" applyFont="1" applyAlignment="1">
      <alignment vertical="top" wrapText="1"/>
    </xf>
    <xf numFmtId="0" fontId="7" fillId="0" borderId="0" xfId="8" applyFont="1" applyFill="1" applyAlignment="1">
      <alignment vertical="top" wrapText="1"/>
    </xf>
    <xf numFmtId="0" fontId="7" fillId="0" borderId="0" xfId="8" applyFont="1" applyAlignment="1">
      <alignment wrapText="1"/>
    </xf>
    <xf numFmtId="0" fontId="7" fillId="0" borderId="0" xfId="8" applyFont="1" applyFill="1" applyAlignment="1">
      <alignment wrapText="1"/>
    </xf>
    <xf numFmtId="0" fontId="7" fillId="0" borderId="0" xfId="8" applyFont="1" applyAlignment="1">
      <alignment horizontal="left" wrapText="1"/>
    </xf>
    <xf numFmtId="0" fontId="7" fillId="0" borderId="6" xfId="6" quotePrefix="1" applyFont="1" applyBorder="1" applyAlignment="1">
      <alignment horizontal="left" vertical="top" wrapText="1"/>
    </xf>
    <xf numFmtId="0" fontId="7" fillId="0" borderId="6" xfId="6" applyFont="1" applyBorder="1" applyAlignment="1">
      <alignment vertical="top" wrapText="1"/>
    </xf>
    <xf numFmtId="0" fontId="7" fillId="0" borderId="0" xfId="12" applyFont="1"/>
    <xf numFmtId="0" fontId="7" fillId="0" borderId="0" xfId="12" applyFont="1" applyFill="1"/>
    <xf numFmtId="0" fontId="7" fillId="0" borderId="6" xfId="12" applyFont="1" applyBorder="1" applyAlignment="1">
      <alignment vertical="center" wrapText="1"/>
    </xf>
    <xf numFmtId="165" fontId="7" fillId="4" borderId="6" xfId="1" applyNumberFormat="1" applyFont="1" applyFill="1" applyBorder="1"/>
    <xf numFmtId="0" fontId="6" fillId="0" borderId="6" xfId="0" applyFont="1" applyFill="1" applyBorder="1" applyAlignment="1">
      <alignment horizontal="center" vertical="center"/>
    </xf>
    <xf numFmtId="0" fontId="7" fillId="5" borderId="6" xfId="11" applyFont="1" applyFill="1" applyBorder="1" applyAlignment="1" applyProtection="1">
      <alignment vertical="center" wrapText="1"/>
      <protection locked="0"/>
    </xf>
    <xf numFmtId="0" fontId="13" fillId="3" borderId="6" xfId="11" applyFont="1" applyFill="1" applyBorder="1" applyAlignment="1" applyProtection="1">
      <alignment vertical="center" wrapText="1"/>
      <protection locked="0"/>
    </xf>
    <xf numFmtId="0" fontId="7" fillId="0" borderId="6" xfId="12" applyFont="1" applyBorder="1" applyAlignment="1">
      <alignment wrapText="1"/>
    </xf>
    <xf numFmtId="165" fontId="7" fillId="0" borderId="7" xfId="1" applyNumberFormat="1" applyFont="1" applyBorder="1"/>
    <xf numFmtId="0" fontId="6" fillId="0" borderId="0" xfId="11" applyFont="1" applyFill="1" applyBorder="1" applyAlignment="1" applyProtection="1">
      <alignment horizontal="center" vertical="center" wrapText="1"/>
      <protection locked="0"/>
    </xf>
    <xf numFmtId="0" fontId="6" fillId="5" borderId="8" xfId="11" quotePrefix="1" applyFont="1" applyFill="1" applyBorder="1" applyAlignment="1" applyProtection="1">
      <alignment horizontal="left" vertical="center" wrapText="1"/>
      <protection locked="0"/>
    </xf>
    <xf numFmtId="0" fontId="7" fillId="0" borderId="0" xfId="7" applyFont="1"/>
    <xf numFmtId="0" fontId="7" fillId="0" borderId="0" xfId="7" applyFont="1" applyFill="1"/>
    <xf numFmtId="0" fontId="6" fillId="0" borderId="0" xfId="7" applyFont="1" applyAlignment="1">
      <alignment vertical="top" wrapText="1"/>
    </xf>
    <xf numFmtId="0" fontId="6" fillId="0" borderId="0" xfId="7" applyFont="1" applyAlignment="1">
      <alignment vertical="top"/>
    </xf>
    <xf numFmtId="0" fontId="7" fillId="0" borderId="0" xfId="7" applyFont="1" applyAlignment="1">
      <alignment vertical="top"/>
    </xf>
    <xf numFmtId="0" fontId="7" fillId="5" borderId="5" xfId="11" applyFont="1" applyFill="1" applyBorder="1" applyProtection="1">
      <protection locked="0"/>
    </xf>
    <xf numFmtId="0" fontId="6" fillId="0" borderId="0" xfId="7" applyFont="1" applyFill="1" applyAlignment="1">
      <alignment vertical="top"/>
    </xf>
    <xf numFmtId="0" fontId="7" fillId="0" borderId="0" xfId="7" applyFont="1" applyFill="1" applyAlignment="1">
      <alignment vertical="top"/>
    </xf>
    <xf numFmtId="1" fontId="7" fillId="0" borderId="6" xfId="6" applyNumberFormat="1" applyFont="1" applyBorder="1" applyAlignment="1">
      <alignment vertical="top" wrapText="1"/>
    </xf>
    <xf numFmtId="0" fontId="14" fillId="3" borderId="0" xfId="8" applyFont="1" applyFill="1" applyAlignment="1">
      <alignment vertical="center"/>
    </xf>
    <xf numFmtId="0" fontId="12" fillId="3" borderId="0" xfId="8" applyFont="1" applyFill="1" applyAlignment="1">
      <alignment vertical="center"/>
    </xf>
    <xf numFmtId="0" fontId="13" fillId="3" borderId="0" xfId="8" applyFont="1" applyFill="1" applyAlignment="1">
      <alignment vertical="center"/>
    </xf>
    <xf numFmtId="0" fontId="7" fillId="0" borderId="0" xfId="8" applyFont="1" applyAlignment="1">
      <alignment vertical="center"/>
    </xf>
    <xf numFmtId="0" fontId="7" fillId="0" borderId="0" xfId="8" applyFont="1" applyFill="1" applyAlignment="1">
      <alignment vertical="center"/>
    </xf>
    <xf numFmtId="0" fontId="7" fillId="3" borderId="0" xfId="12" applyFont="1" applyFill="1" applyAlignment="1">
      <alignment vertical="center"/>
    </xf>
    <xf numFmtId="0" fontId="7" fillId="0" borderId="0" xfId="12" applyFont="1" applyAlignment="1">
      <alignment vertical="center"/>
    </xf>
    <xf numFmtId="0" fontId="2" fillId="0" borderId="6" xfId="6" applyFont="1" applyBorder="1"/>
    <xf numFmtId="0" fontId="3" fillId="0" borderId="6" xfId="6" applyBorder="1"/>
    <xf numFmtId="9" fontId="3" fillId="0" borderId="6" xfId="6" applyNumberFormat="1" applyBorder="1"/>
    <xf numFmtId="3" fontId="3" fillId="0" borderId="6" xfId="6" applyNumberFormat="1" applyBorder="1"/>
    <xf numFmtId="3" fontId="3" fillId="0" borderId="0" xfId="6" applyNumberFormat="1" applyBorder="1"/>
    <xf numFmtId="0" fontId="2" fillId="7" borderId="6" xfId="6" applyFont="1" applyFill="1" applyBorder="1"/>
    <xf numFmtId="0" fontId="2" fillId="7" borderId="6" xfId="6" applyFont="1" applyFill="1" applyBorder="1" applyAlignment="1">
      <alignment horizontal="center"/>
    </xf>
    <xf numFmtId="10" fontId="7" fillId="5" borderId="10" xfId="11" applyNumberFormat="1" applyFont="1" applyFill="1" applyBorder="1" applyAlignment="1" applyProtection="1">
      <alignment horizontal="center" vertical="center" wrapText="1"/>
      <protection locked="0" hidden="1"/>
    </xf>
    <xf numFmtId="0" fontId="7" fillId="5" borderId="10" xfId="11" applyFont="1" applyFill="1" applyBorder="1" applyAlignment="1" applyProtection="1">
      <alignment horizontal="center" vertical="center" wrapText="1"/>
      <protection locked="0" hidden="1"/>
    </xf>
    <xf numFmtId="0" fontId="2" fillId="7" borderId="8" xfId="6" applyFont="1" applyFill="1" applyBorder="1"/>
    <xf numFmtId="0" fontId="3" fillId="0" borderId="8" xfId="6" applyBorder="1"/>
    <xf numFmtId="10" fontId="3" fillId="0" borderId="6" xfId="6" applyNumberFormat="1" applyBorder="1"/>
    <xf numFmtId="0" fontId="7" fillId="5" borderId="9" xfId="11" applyFont="1" applyFill="1" applyBorder="1" applyProtection="1">
      <protection locked="0"/>
    </xf>
    <xf numFmtId="165" fontId="7" fillId="0" borderId="6" xfId="6" applyNumberFormat="1" applyFont="1" applyBorder="1" applyAlignment="1">
      <alignment vertical="top" wrapText="1"/>
    </xf>
    <xf numFmtId="165" fontId="7" fillId="0" borderId="6" xfId="6" quotePrefix="1" applyNumberFormat="1" applyFont="1" applyBorder="1" applyAlignment="1">
      <alignment horizontal="left" vertical="top" wrapText="1"/>
    </xf>
    <xf numFmtId="168" fontId="3" fillId="0" borderId="6" xfId="6" applyNumberFormat="1" applyBorder="1"/>
    <xf numFmtId="3" fontId="13" fillId="3" borderId="10" xfId="11" applyNumberFormat="1" applyFont="1" applyFill="1" applyBorder="1"/>
    <xf numFmtId="0" fontId="13" fillId="3" borderId="7" xfId="11" applyFont="1" applyFill="1" applyBorder="1" applyAlignment="1">
      <alignment vertical="center"/>
    </xf>
    <xf numFmtId="3" fontId="17" fillId="0" borderId="6" xfId="11" applyNumberFormat="1" applyFont="1" applyFill="1" applyBorder="1" applyAlignment="1">
      <alignment horizontal="center" vertical="center"/>
    </xf>
    <xf numFmtId="0" fontId="7" fillId="3" borderId="0" xfId="12" applyFont="1" applyFill="1"/>
    <xf numFmtId="0" fontId="12" fillId="0" borderId="0" xfId="12" applyFont="1" applyFill="1" applyAlignment="1">
      <alignment vertical="center"/>
    </xf>
    <xf numFmtId="3" fontId="6" fillId="0" borderId="3" xfId="11" applyNumberFormat="1" applyFont="1" applyFill="1" applyBorder="1" applyAlignment="1" applyProtection="1">
      <alignment horizontal="center" vertical="center" wrapText="1"/>
      <protection locked="0"/>
    </xf>
    <xf numFmtId="0" fontId="7" fillId="5" borderId="0" xfId="11" applyFont="1" applyFill="1" applyBorder="1" applyAlignment="1" applyProtection="1">
      <alignment vertical="center" wrapText="1"/>
      <protection locked="0" hidden="1"/>
    </xf>
    <xf numFmtId="0" fontId="6" fillId="3" borderId="0" xfId="7" applyFont="1" applyFill="1" applyAlignment="1">
      <alignment vertical="top" wrapText="1"/>
    </xf>
    <xf numFmtId="165" fontId="7" fillId="4" borderId="6" xfId="6" quotePrefix="1" applyNumberFormat="1" applyFont="1" applyFill="1" applyBorder="1" applyAlignment="1">
      <alignment horizontal="right" vertical="top" wrapText="1"/>
    </xf>
    <xf numFmtId="0" fontId="14" fillId="0" borderId="0" xfId="8" applyFont="1" applyFill="1" applyAlignment="1">
      <alignment vertical="center"/>
    </xf>
    <xf numFmtId="0" fontId="12" fillId="0" borderId="0" xfId="8" applyFont="1" applyFill="1" applyAlignment="1">
      <alignment vertical="center"/>
    </xf>
    <xf numFmtId="0" fontId="13" fillId="0" borderId="0" xfId="8" applyFont="1" applyFill="1" applyAlignment="1">
      <alignment vertical="center"/>
    </xf>
    <xf numFmtId="0" fontId="7" fillId="3" borderId="0" xfId="8" applyFont="1" applyFill="1" applyAlignment="1">
      <alignment vertical="center"/>
    </xf>
    <xf numFmtId="168" fontId="7" fillId="0" borderId="6" xfId="6" quotePrefix="1" applyNumberFormat="1" applyFont="1" applyBorder="1" applyAlignment="1">
      <alignment horizontal="right" vertical="top" wrapText="1"/>
    </xf>
    <xf numFmtId="3" fontId="3" fillId="0" borderId="7" xfId="6" applyNumberFormat="1" applyBorder="1"/>
    <xf numFmtId="3" fontId="11" fillId="3" borderId="10" xfId="11" applyNumberFormat="1" applyFont="1" applyFill="1" applyBorder="1" applyAlignment="1">
      <alignment vertical="center"/>
    </xf>
    <xf numFmtId="0" fontId="18" fillId="3" borderId="8" xfId="11" applyFont="1" applyFill="1" applyBorder="1" applyAlignment="1">
      <alignment vertical="center" wrapText="1"/>
    </xf>
    <xf numFmtId="0" fontId="18" fillId="3" borderId="6" xfId="11" applyFont="1" applyFill="1" applyBorder="1" applyAlignment="1" applyProtection="1">
      <alignment horizontal="left" vertical="center" wrapText="1"/>
      <protection locked="0"/>
    </xf>
    <xf numFmtId="0" fontId="18" fillId="3" borderId="6" xfId="11" applyNumberFormat="1" applyFont="1" applyFill="1" applyBorder="1" applyAlignment="1" applyProtection="1">
      <alignment horizontal="center" vertical="center"/>
      <protection locked="0"/>
    </xf>
    <xf numFmtId="0" fontId="18" fillId="3" borderId="6" xfId="11" applyFont="1" applyFill="1" applyBorder="1" applyAlignment="1" applyProtection="1">
      <alignment vertical="center" wrapText="1"/>
      <protection locked="0"/>
    </xf>
    <xf numFmtId="0" fontId="18" fillId="3" borderId="0" xfId="12" applyFont="1" applyFill="1" applyAlignment="1">
      <alignment vertical="center"/>
    </xf>
    <xf numFmtId="0" fontId="18" fillId="3" borderId="6" xfId="8" applyFont="1" applyFill="1" applyBorder="1" applyAlignment="1">
      <alignment horizontal="center" wrapText="1"/>
    </xf>
    <xf numFmtId="0" fontId="18" fillId="3" borderId="6" xfId="12" applyFont="1" applyFill="1" applyBorder="1" applyAlignment="1">
      <alignment wrapText="1"/>
    </xf>
    <xf numFmtId="0" fontId="18" fillId="3" borderId="5" xfId="11" applyFont="1" applyFill="1" applyBorder="1" applyAlignment="1" applyProtection="1">
      <alignment vertical="center" wrapText="1"/>
      <protection locked="0"/>
    </xf>
    <xf numFmtId="0" fontId="18" fillId="3" borderId="6" xfId="11" applyFont="1" applyFill="1" applyBorder="1" applyAlignment="1" applyProtection="1">
      <alignment horizontal="center" vertical="center" wrapText="1"/>
      <protection locked="0"/>
    </xf>
    <xf numFmtId="0" fontId="11" fillId="3" borderId="6" xfId="11" applyFont="1" applyFill="1" applyBorder="1" applyAlignment="1" applyProtection="1">
      <alignment vertical="center" wrapText="1"/>
      <protection locked="0"/>
    </xf>
    <xf numFmtId="10" fontId="7" fillId="0" borderId="6" xfId="11" applyNumberFormat="1" applyFont="1" applyFill="1" applyBorder="1" applyAlignment="1" applyProtection="1">
      <alignment vertical="center"/>
      <protection locked="0"/>
    </xf>
    <xf numFmtId="165" fontId="7" fillId="5" borderId="4" xfId="1" applyNumberFormat="1" applyFont="1" applyFill="1" applyBorder="1" applyAlignment="1" applyProtection="1">
      <alignment vertical="center" wrapText="1"/>
      <protection locked="0" hidden="1"/>
    </xf>
    <xf numFmtId="165" fontId="7" fillId="4" borderId="12" xfId="1" applyNumberFormat="1" applyFont="1" applyFill="1" applyBorder="1" applyProtection="1">
      <protection locked="0" hidden="1"/>
    </xf>
    <xf numFmtId="165" fontId="7" fillId="4" borderId="0" xfId="1" applyNumberFormat="1" applyFont="1" applyFill="1" applyBorder="1" applyProtection="1">
      <protection locked="0" hidden="1"/>
    </xf>
    <xf numFmtId="0" fontId="7" fillId="5" borderId="0" xfId="11" applyFont="1" applyFill="1" applyBorder="1" applyAlignment="1" applyProtection="1">
      <alignment horizontal="left" vertical="center" wrapText="1"/>
      <protection locked="0"/>
    </xf>
    <xf numFmtId="0" fontId="7" fillId="5" borderId="0" xfId="11" applyFont="1" applyFill="1" applyBorder="1" applyAlignment="1" applyProtection="1">
      <alignment horizontal="left" vertical="top" wrapText="1"/>
      <protection locked="0"/>
    </xf>
    <xf numFmtId="0" fontId="20" fillId="0" borderId="6" xfId="0" applyFont="1" applyBorder="1" applyAlignment="1">
      <alignment horizontal="center" vertical="center"/>
    </xf>
    <xf numFmtId="0" fontId="10" fillId="3" borderId="6" xfId="4" applyFont="1" applyFill="1" applyBorder="1" applyAlignment="1" applyProtection="1">
      <alignment horizontal="left" vertical="center"/>
      <protection locked="0"/>
    </xf>
    <xf numFmtId="0" fontId="7" fillId="0" borderId="0" xfId="11" applyFont="1" applyFill="1" applyAlignment="1" applyProtection="1">
      <alignment horizontal="left" vertical="center"/>
      <protection locked="0"/>
    </xf>
    <xf numFmtId="0" fontId="14" fillId="3" borderId="13" xfId="11" applyFont="1" applyFill="1" applyBorder="1" applyAlignment="1" applyProtection="1">
      <alignment vertical="center"/>
      <protection locked="0"/>
    </xf>
    <xf numFmtId="0" fontId="11" fillId="3" borderId="14" xfId="11" applyFont="1" applyFill="1" applyBorder="1" applyProtection="1">
      <protection locked="0"/>
    </xf>
    <xf numFmtId="0" fontId="11" fillId="3" borderId="16" xfId="11" applyFont="1" applyFill="1" applyBorder="1" applyProtection="1">
      <protection locked="0"/>
    </xf>
    <xf numFmtId="0" fontId="6" fillId="0" borderId="4" xfId="11" applyFont="1" applyFill="1" applyBorder="1" applyAlignment="1">
      <alignment vertical="center"/>
    </xf>
    <xf numFmtId="3" fontId="7" fillId="0" borderId="0" xfId="11" applyNumberFormat="1" applyFont="1" applyFill="1" applyBorder="1"/>
    <xf numFmtId="0" fontId="7" fillId="0" borderId="17" xfId="11" applyFont="1" applyFill="1" applyBorder="1" applyAlignment="1">
      <alignment vertical="center"/>
    </xf>
    <xf numFmtId="0" fontId="6" fillId="0" borderId="17" xfId="11" applyFont="1" applyFill="1" applyBorder="1" applyAlignment="1">
      <alignment horizontal="right"/>
    </xf>
    <xf numFmtId="0" fontId="7" fillId="0" borderId="17" xfId="11" applyFont="1" applyFill="1" applyBorder="1"/>
    <xf numFmtId="0" fontId="6" fillId="5" borderId="2" xfId="11" applyFont="1" applyFill="1" applyBorder="1" applyAlignment="1" applyProtection="1">
      <alignment vertical="center" wrapText="1"/>
      <protection locked="0"/>
    </xf>
    <xf numFmtId="0" fontId="7" fillId="5" borderId="2" xfId="11" applyFont="1" applyFill="1" applyBorder="1" applyAlignment="1" applyProtection="1">
      <alignment vertical="center" wrapText="1"/>
      <protection locked="0"/>
    </xf>
    <xf numFmtId="0" fontId="18" fillId="3" borderId="2" xfId="11" applyFont="1" applyFill="1" applyBorder="1" applyAlignment="1" applyProtection="1">
      <alignment vertical="center" wrapText="1"/>
      <protection locked="0"/>
    </xf>
    <xf numFmtId="0" fontId="6" fillId="5" borderId="0" xfId="11" applyFont="1" applyFill="1" applyBorder="1" applyAlignment="1" applyProtection="1">
      <alignment vertical="top" wrapText="1"/>
      <protection locked="0"/>
    </xf>
    <xf numFmtId="3" fontId="7" fillId="5" borderId="6" xfId="11" applyNumberFormat="1" applyFont="1" applyFill="1" applyBorder="1" applyProtection="1">
      <protection locked="0" hidden="1"/>
    </xf>
    <xf numFmtId="165" fontId="23" fillId="8" borderId="0" xfId="18" applyNumberFormat="1" applyFont="1" applyFill="1" applyAlignment="1">
      <alignment horizontal="center" vertical="center"/>
    </xf>
    <xf numFmtId="165" fontId="3" fillId="0" borderId="6" xfId="1" applyNumberFormat="1" applyFont="1" applyFill="1" applyBorder="1" applyAlignment="1">
      <alignment horizontal="center" vertical="center"/>
    </xf>
    <xf numFmtId="0" fontId="9" fillId="0" borderId="6" xfId="4" applyFill="1" applyBorder="1" applyAlignment="1" applyProtection="1">
      <protection locked="0"/>
    </xf>
    <xf numFmtId="3" fontId="2" fillId="0" borderId="3" xfId="11" applyNumberFormat="1" applyFont="1" applyFill="1" applyBorder="1" applyAlignment="1" applyProtection="1">
      <alignment horizontal="center" vertical="center" wrapText="1"/>
      <protection locked="0"/>
    </xf>
    <xf numFmtId="165" fontId="26" fillId="0" borderId="6" xfId="1" applyNumberFormat="1" applyFont="1" applyFill="1" applyBorder="1" applyAlignment="1" applyProtection="1">
      <alignment horizontal="center" vertical="center" wrapText="1"/>
      <protection locked="0" hidden="1"/>
    </xf>
    <xf numFmtId="168" fontId="3" fillId="0" borderId="6" xfId="11" applyNumberFormat="1" applyFont="1" applyFill="1" applyBorder="1" applyAlignment="1" applyProtection="1">
      <alignment vertical="center"/>
      <protection locked="0"/>
    </xf>
    <xf numFmtId="165" fontId="27" fillId="4" borderId="6" xfId="1" applyNumberFormat="1" applyFont="1" applyFill="1" applyBorder="1" applyProtection="1">
      <protection locked="0" hidden="1"/>
    </xf>
    <xf numFmtId="3" fontId="27" fillId="0" borderId="11" xfId="11" applyNumberFormat="1" applyFont="1" applyFill="1" applyBorder="1" applyProtection="1">
      <protection locked="0" hidden="1"/>
    </xf>
    <xf numFmtId="3" fontId="3" fillId="0" borderId="5" xfId="11" applyNumberFormat="1" applyFont="1" applyFill="1" applyBorder="1" applyProtection="1">
      <protection locked="0" hidden="1"/>
    </xf>
    <xf numFmtId="9" fontId="27" fillId="0" borderId="6" xfId="11" applyNumberFormat="1" applyFont="1" applyFill="1" applyBorder="1" applyProtection="1">
      <protection locked="0"/>
    </xf>
    <xf numFmtId="9" fontId="27" fillId="5" borderId="10" xfId="11" applyNumberFormat="1" applyFont="1" applyFill="1" applyBorder="1" applyProtection="1">
      <protection locked="0"/>
    </xf>
    <xf numFmtId="165" fontId="27" fillId="5" borderId="14" xfId="1" applyNumberFormat="1" applyFont="1" applyFill="1" applyBorder="1" applyProtection="1">
      <protection locked="0" hidden="1"/>
    </xf>
    <xf numFmtId="165" fontId="28" fillId="5" borderId="10" xfId="1" applyNumberFormat="1" applyFont="1" applyFill="1" applyBorder="1" applyAlignment="1" applyProtection="1">
      <alignment horizontal="center"/>
      <protection locked="0" hidden="1"/>
    </xf>
    <xf numFmtId="0" fontId="29" fillId="3" borderId="0" xfId="7" applyFont="1" applyFill="1" applyAlignment="1">
      <alignment vertical="center"/>
    </xf>
    <xf numFmtId="0" fontId="30" fillId="3" borderId="0" xfId="7" applyFont="1" applyFill="1" applyAlignment="1">
      <alignment vertical="center"/>
    </xf>
    <xf numFmtId="0" fontId="31" fillId="0" borderId="0" xfId="7" applyFont="1" applyAlignment="1">
      <alignment vertical="center"/>
    </xf>
    <xf numFmtId="0" fontId="31" fillId="0" borderId="0" xfId="7" applyFont="1" applyFill="1" applyAlignment="1">
      <alignment vertical="center"/>
    </xf>
    <xf numFmtId="0" fontId="32" fillId="0" borderId="0" xfId="7" applyFont="1"/>
    <xf numFmtId="0" fontId="31" fillId="0" borderId="0" xfId="7" applyFont="1"/>
    <xf numFmtId="0" fontId="31" fillId="0" borderId="0" xfId="7" applyFont="1" applyFill="1"/>
    <xf numFmtId="0" fontId="34" fillId="0" borderId="0" xfId="7" applyFont="1"/>
    <xf numFmtId="0" fontId="31" fillId="0" borderId="0" xfId="7" applyFont="1" applyAlignment="1">
      <alignment horizontal="left" vertical="top" wrapText="1"/>
    </xf>
    <xf numFmtId="0" fontId="31" fillId="0" borderId="0" xfId="7" applyFont="1" applyAlignment="1">
      <alignment horizontal="left" vertical="top"/>
    </xf>
    <xf numFmtId="0" fontId="31" fillId="0" borderId="0" xfId="7" applyFont="1" applyFill="1" applyAlignment="1">
      <alignment vertical="center" wrapText="1"/>
    </xf>
    <xf numFmtId="0" fontId="31" fillId="0" borderId="0" xfId="7" applyFont="1" applyFill="1" applyAlignment="1">
      <alignment wrapText="1"/>
    </xf>
    <xf numFmtId="0" fontId="33" fillId="0" borderId="0" xfId="7" applyFont="1" applyAlignment="1">
      <alignment vertical="top" wrapText="1"/>
    </xf>
    <xf numFmtId="0" fontId="33" fillId="0" borderId="0" xfId="7" applyFont="1" applyAlignment="1">
      <alignment vertical="top"/>
    </xf>
    <xf numFmtId="0" fontId="31" fillId="0" borderId="0" xfId="7" applyFont="1" applyAlignment="1">
      <alignment vertical="top" wrapText="1"/>
    </xf>
    <xf numFmtId="0" fontId="31" fillId="0" borderId="0" xfId="7" applyFont="1" applyAlignment="1">
      <alignment vertical="top"/>
    </xf>
    <xf numFmtId="0" fontId="7" fillId="0" borderId="0" xfId="7" applyFont="1" applyAlignment="1">
      <alignment horizontal="left" vertical="top" wrapText="1"/>
    </xf>
    <xf numFmtId="0" fontId="6" fillId="0" borderId="0" xfId="7" applyFont="1" applyAlignment="1">
      <alignment horizontal="left" vertical="top" wrapText="1"/>
    </xf>
    <xf numFmtId="0" fontId="14" fillId="3" borderId="0" xfId="7" applyFont="1" applyFill="1" applyAlignment="1">
      <alignment horizontal="left" vertical="center" wrapText="1"/>
    </xf>
    <xf numFmtId="0" fontId="14" fillId="3" borderId="0" xfId="7" applyFont="1" applyFill="1" applyAlignment="1">
      <alignment horizontal="left" vertical="center"/>
    </xf>
    <xf numFmtId="0" fontId="16" fillId="0" borderId="0" xfId="7" applyFont="1" applyAlignment="1">
      <alignment horizontal="left" vertical="top" wrapText="1"/>
    </xf>
    <xf numFmtId="0" fontId="2" fillId="7" borderId="6" xfId="6" applyFont="1" applyFill="1" applyBorder="1" applyAlignment="1">
      <alignment horizontal="center"/>
    </xf>
    <xf numFmtId="0" fontId="7" fillId="0" borderId="0" xfId="8" quotePrefix="1" applyFont="1" applyAlignment="1">
      <alignment wrapText="1"/>
    </xf>
    <xf numFmtId="0" fontId="12" fillId="3" borderId="0" xfId="8" quotePrefix="1" applyFont="1" applyFill="1" applyAlignment="1">
      <alignment vertical="center" wrapText="1"/>
    </xf>
    <xf numFmtId="0" fontId="11" fillId="6" borderId="0" xfId="8" applyFont="1" applyFill="1" applyAlignment="1">
      <alignment horizontal="left" vertical="top" wrapText="1"/>
    </xf>
    <xf numFmtId="0" fontId="18" fillId="3" borderId="8" xfId="0" applyFont="1" applyFill="1" applyBorder="1" applyAlignment="1">
      <alignment horizontal="left" vertical="center"/>
    </xf>
    <xf numFmtId="0" fontId="18" fillId="3" borderId="10" xfId="0" applyFont="1" applyFill="1" applyBorder="1" applyAlignment="1">
      <alignment horizontal="left" vertical="center"/>
    </xf>
    <xf numFmtId="0" fontId="18" fillId="3" borderId="7" xfId="0" applyFont="1" applyFill="1" applyBorder="1" applyAlignment="1">
      <alignment horizontal="left" vertical="center"/>
    </xf>
    <xf numFmtId="0" fontId="33" fillId="0" borderId="0" xfId="7" applyFont="1" applyAlignment="1">
      <alignment horizontal="left" vertical="top" wrapText="1"/>
    </xf>
    <xf numFmtId="0" fontId="33" fillId="0" borderId="0" xfId="7" applyFont="1" applyAlignment="1">
      <alignment horizontal="left" vertical="top"/>
    </xf>
    <xf numFmtId="0" fontId="31" fillId="0" borderId="0" xfId="7" applyFont="1" applyAlignment="1">
      <alignment horizontal="left" vertical="center" wrapText="1"/>
    </xf>
    <xf numFmtId="0" fontId="31" fillId="0" borderId="0" xfId="7" applyFont="1" applyAlignment="1">
      <alignment horizontal="left" vertical="center"/>
    </xf>
    <xf numFmtId="0" fontId="31" fillId="0" borderId="0" xfId="7" applyFont="1" applyAlignment="1">
      <alignment horizontal="left" vertical="top" wrapText="1"/>
    </xf>
    <xf numFmtId="0" fontId="31" fillId="0" borderId="0" xfId="7" applyFont="1" applyAlignment="1">
      <alignment horizontal="left" vertical="top"/>
    </xf>
    <xf numFmtId="0" fontId="36" fillId="0" borderId="0" xfId="7" applyFont="1" applyAlignment="1">
      <alignment horizontal="left" vertical="top" wrapText="1"/>
    </xf>
    <xf numFmtId="0" fontId="36" fillId="0" borderId="0" xfId="7" applyFont="1" applyAlignment="1">
      <alignment horizontal="left" vertical="top"/>
    </xf>
    <xf numFmtId="0" fontId="7" fillId="0" borderId="8" xfId="11" applyFont="1" applyFill="1" applyBorder="1" applyAlignment="1">
      <alignment horizontal="left"/>
    </xf>
    <xf numFmtId="0" fontId="7" fillId="0" borderId="7" xfId="11" applyFont="1" applyFill="1" applyBorder="1" applyAlignment="1">
      <alignment horizontal="left"/>
    </xf>
    <xf numFmtId="3" fontId="7" fillId="0" borderId="8" xfId="11" applyNumberFormat="1" applyFont="1" applyFill="1" applyBorder="1" applyAlignment="1">
      <alignment horizontal="left"/>
    </xf>
    <xf numFmtId="3" fontId="7" fillId="0" borderId="7" xfId="11" applyNumberFormat="1" applyFont="1" applyFill="1" applyBorder="1" applyAlignment="1">
      <alignment horizontal="left"/>
    </xf>
    <xf numFmtId="0" fontId="7" fillId="0" borderId="8" xfId="11" applyFont="1" applyFill="1" applyBorder="1" applyAlignment="1" applyProtection="1">
      <alignment horizontal="left"/>
    </xf>
    <xf numFmtId="0" fontId="7" fillId="0" borderId="7" xfId="11" applyFont="1" applyFill="1" applyBorder="1" applyAlignment="1" applyProtection="1">
      <alignment horizontal="left"/>
    </xf>
    <xf numFmtId="0" fontId="18" fillId="3" borderId="4" xfId="11" applyFont="1" applyFill="1" applyBorder="1" applyAlignment="1">
      <alignment horizontal="left" vertical="center" wrapText="1"/>
    </xf>
    <xf numFmtId="0" fontId="18" fillId="3" borderId="0" xfId="11" applyFont="1" applyFill="1" applyBorder="1" applyAlignment="1">
      <alignment horizontal="left" vertical="center" wrapText="1"/>
    </xf>
    <xf numFmtId="0" fontId="18" fillId="3" borderId="17" xfId="11" applyFont="1" applyFill="1" applyBorder="1" applyAlignment="1">
      <alignment horizontal="left" vertical="center" wrapText="1"/>
    </xf>
    <xf numFmtId="0" fontId="18" fillId="3" borderId="8" xfId="11" applyFont="1" applyFill="1" applyBorder="1" applyAlignment="1">
      <alignment horizontal="center" vertical="center" wrapText="1"/>
    </xf>
    <xf numFmtId="0" fontId="18" fillId="3" borderId="7" xfId="11" applyFont="1" applyFill="1" applyBorder="1" applyAlignment="1">
      <alignment horizontal="center" vertical="center" wrapText="1"/>
    </xf>
    <xf numFmtId="3" fontId="18" fillId="3" borderId="8" xfId="11" applyNumberFormat="1" applyFont="1" applyFill="1" applyBorder="1" applyAlignment="1">
      <alignment horizontal="center" vertical="center" wrapText="1"/>
    </xf>
    <xf numFmtId="3" fontId="18" fillId="3" borderId="7" xfId="11" applyNumberFormat="1" applyFont="1" applyFill="1" applyBorder="1" applyAlignment="1">
      <alignment horizontal="center" vertical="center" wrapText="1"/>
    </xf>
    <xf numFmtId="0" fontId="18" fillId="3" borderId="5" xfId="11" applyFont="1" applyFill="1" applyBorder="1" applyAlignment="1">
      <alignment horizontal="center" vertical="center" wrapText="1"/>
    </xf>
    <xf numFmtId="0" fontId="18" fillId="3" borderId="3" xfId="11" applyFont="1" applyFill="1" applyBorder="1" applyAlignment="1">
      <alignment horizontal="center" vertical="center" wrapText="1"/>
    </xf>
    <xf numFmtId="0" fontId="11" fillId="3" borderId="8" xfId="11" applyFont="1" applyFill="1" applyBorder="1" applyAlignment="1">
      <alignment horizontal="center" vertical="top" wrapText="1"/>
    </xf>
    <xf numFmtId="0" fontId="11" fillId="3" borderId="7" xfId="11" applyFont="1" applyFill="1" applyBorder="1" applyAlignment="1">
      <alignment horizontal="center" vertical="top" wrapText="1"/>
    </xf>
    <xf numFmtId="3" fontId="11" fillId="3" borderId="8" xfId="11" applyNumberFormat="1" applyFont="1" applyFill="1" applyBorder="1" applyAlignment="1">
      <alignment horizontal="center" vertical="top" wrapText="1"/>
    </xf>
    <xf numFmtId="3" fontId="11" fillId="3" borderId="7" xfId="11" applyNumberFormat="1" applyFont="1" applyFill="1" applyBorder="1" applyAlignment="1">
      <alignment horizontal="center" vertical="top" wrapText="1"/>
    </xf>
    <xf numFmtId="0" fontId="18" fillId="3" borderId="8" xfId="11" applyNumberFormat="1" applyFont="1" applyFill="1" applyBorder="1" applyAlignment="1" applyProtection="1">
      <alignment horizontal="center" vertical="center"/>
      <protection locked="0"/>
    </xf>
    <xf numFmtId="0" fontId="18" fillId="3" borderId="7" xfId="11" applyNumberFormat="1" applyFont="1" applyFill="1" applyBorder="1" applyAlignment="1" applyProtection="1">
      <alignment horizontal="center" vertical="center"/>
      <protection locked="0"/>
    </xf>
    <xf numFmtId="0" fontId="18" fillId="3" borderId="4" xfId="11" applyFont="1" applyFill="1" applyBorder="1" applyAlignment="1">
      <alignment horizontal="left" vertical="top" wrapText="1"/>
    </xf>
    <xf numFmtId="0" fontId="18" fillId="3" borderId="0" xfId="11" applyFont="1" applyFill="1" applyBorder="1" applyAlignment="1">
      <alignment horizontal="left" vertical="top" wrapText="1"/>
    </xf>
    <xf numFmtId="0" fontId="18" fillId="3" borderId="17" xfId="11" applyFont="1" applyFill="1" applyBorder="1" applyAlignment="1">
      <alignment horizontal="left" vertical="top" wrapText="1"/>
    </xf>
    <xf numFmtId="0" fontId="7" fillId="5" borderId="4" xfId="11" applyFont="1" applyFill="1" applyBorder="1" applyAlignment="1" applyProtection="1">
      <alignment horizontal="left" vertical="center" wrapText="1"/>
      <protection locked="0"/>
    </xf>
    <xf numFmtId="0" fontId="7" fillId="5" borderId="0" xfId="11" applyFont="1" applyFill="1" applyBorder="1" applyAlignment="1" applyProtection="1">
      <alignment horizontal="left" vertical="center" wrapText="1"/>
      <protection locked="0"/>
    </xf>
    <xf numFmtId="0" fontId="11" fillId="3" borderId="8" xfId="11" applyFont="1" applyFill="1" applyBorder="1" applyAlignment="1" applyProtection="1">
      <alignment horizontal="left" vertical="center" wrapText="1"/>
      <protection locked="0"/>
    </xf>
    <xf numFmtId="0" fontId="11" fillId="3" borderId="7" xfId="11" applyFont="1" applyFill="1" applyBorder="1" applyAlignment="1" applyProtection="1">
      <alignment horizontal="left" vertical="center" wrapText="1"/>
      <protection locked="0"/>
    </xf>
    <xf numFmtId="0" fontId="11" fillId="3" borderId="8" xfId="11" applyFont="1" applyFill="1" applyBorder="1" applyAlignment="1" applyProtection="1">
      <alignment horizontal="left" vertical="top" wrapText="1"/>
      <protection locked="0"/>
    </xf>
    <xf numFmtId="0" fontId="11" fillId="3" borderId="7" xfId="11" applyFont="1" applyFill="1" applyBorder="1" applyAlignment="1" applyProtection="1">
      <alignment horizontal="left" vertical="top" wrapText="1"/>
      <protection locked="0"/>
    </xf>
    <xf numFmtId="0" fontId="7" fillId="5" borderId="13" xfId="11" applyFont="1" applyFill="1" applyBorder="1" applyAlignment="1" applyProtection="1">
      <alignment horizontal="left" vertical="top" wrapText="1"/>
      <protection locked="0"/>
    </xf>
    <xf numFmtId="0" fontId="7" fillId="5" borderId="14" xfId="11" applyFont="1" applyFill="1" applyBorder="1" applyAlignment="1" applyProtection="1">
      <alignment horizontal="left" vertical="top" wrapText="1"/>
      <protection locked="0"/>
    </xf>
    <xf numFmtId="0" fontId="7" fillId="5" borderId="0" xfId="11" applyFont="1" applyFill="1" applyBorder="1" applyAlignment="1" applyProtection="1">
      <alignment horizontal="left" vertical="top" wrapText="1"/>
      <protection locked="0"/>
    </xf>
    <xf numFmtId="0" fontId="7" fillId="5" borderId="4" xfId="11" applyFont="1" applyFill="1" applyBorder="1" applyAlignment="1" applyProtection="1">
      <alignment horizontal="left" vertical="top" wrapText="1"/>
      <protection locked="0"/>
    </xf>
    <xf numFmtId="3" fontId="11" fillId="3" borderId="8" xfId="11" applyNumberFormat="1" applyFont="1" applyFill="1" applyBorder="1" applyAlignment="1" applyProtection="1">
      <alignment horizontal="left" vertical="center" wrapText="1"/>
      <protection locked="0" hidden="1"/>
    </xf>
    <xf numFmtId="3" fontId="11" fillId="3" borderId="7" xfId="11" applyNumberFormat="1" applyFont="1" applyFill="1" applyBorder="1" applyAlignment="1" applyProtection="1">
      <alignment horizontal="left" vertical="center" wrapText="1"/>
      <protection locked="0" hidden="1"/>
    </xf>
    <xf numFmtId="0" fontId="6" fillId="0" borderId="8" xfId="11" applyFont="1" applyFill="1" applyBorder="1" applyAlignment="1">
      <alignment horizontal="left" vertical="center"/>
    </xf>
    <xf numFmtId="0" fontId="6" fillId="0" borderId="10" xfId="11" applyFont="1" applyFill="1" applyBorder="1" applyAlignment="1">
      <alignment horizontal="left" vertical="center"/>
    </xf>
    <xf numFmtId="0" fontId="6" fillId="0" borderId="7" xfId="11" applyFont="1" applyFill="1" applyBorder="1" applyAlignment="1">
      <alignment horizontal="left" vertical="center"/>
    </xf>
    <xf numFmtId="3" fontId="6" fillId="5" borderId="13" xfId="11" applyNumberFormat="1" applyFont="1" applyFill="1" applyBorder="1" applyAlignment="1" applyProtection="1">
      <alignment horizontal="left" vertical="top" wrapText="1"/>
      <protection locked="0" hidden="1"/>
    </xf>
    <xf numFmtId="3" fontId="6" fillId="5" borderId="14" xfId="11" applyNumberFormat="1" applyFont="1" applyFill="1" applyBorder="1" applyAlignment="1" applyProtection="1">
      <alignment horizontal="left" vertical="top" wrapText="1"/>
      <protection locked="0" hidden="1"/>
    </xf>
  </cellXfs>
  <cellStyles count="60">
    <cellStyle name="Comma" xfId="1" builtinId="3"/>
    <cellStyle name="Comma [0] 2" xfId="19" xr:uid="{00000000-0005-0000-0000-000001000000}"/>
    <cellStyle name="Comma 10" xfId="24" xr:uid="{00000000-0005-0000-0000-000002000000}"/>
    <cellStyle name="Comma 10 11 2" xfId="35" xr:uid="{00000000-0005-0000-0000-000003000000}"/>
    <cellStyle name="Comma 10 11 2 2" xfId="26" xr:uid="{00000000-0005-0000-0000-000004000000}"/>
    <cellStyle name="Comma 100" xfId="36" xr:uid="{00000000-0005-0000-0000-000005000000}"/>
    <cellStyle name="Comma 100 19" xfId="50" xr:uid="{00000000-0005-0000-0000-000006000000}"/>
    <cellStyle name="Comma 100 2" xfId="55" xr:uid="{00000000-0005-0000-0000-000007000000}"/>
    <cellStyle name="Comma 11" xfId="58" xr:uid="{00000000-0005-0000-0000-000008000000}"/>
    <cellStyle name="Comma 13 2 2 2" xfId="54" xr:uid="{00000000-0005-0000-0000-000009000000}"/>
    <cellStyle name="Comma 2" xfId="14" xr:uid="{00000000-0005-0000-0000-00000A000000}"/>
    <cellStyle name="Comma 2 2" xfId="27" xr:uid="{00000000-0005-0000-0000-00000B000000}"/>
    <cellStyle name="Comma 2 2 2 2 2" xfId="21" xr:uid="{00000000-0005-0000-0000-00000C000000}"/>
    <cellStyle name="Comma 3" xfId="18" xr:uid="{00000000-0005-0000-0000-00000D000000}"/>
    <cellStyle name="Comma 3 2" xfId="30" xr:uid="{00000000-0005-0000-0000-00000E000000}"/>
    <cellStyle name="Comma 3 3 2 2" xfId="59" xr:uid="{00000000-0005-0000-0000-00000F000000}"/>
    <cellStyle name="Currency" xfId="2" builtinId="4"/>
    <cellStyle name="Heading" xfId="3" xr:uid="{00000000-0005-0000-0000-000011000000}"/>
    <cellStyle name="Heading 5" xfId="15" xr:uid="{00000000-0005-0000-0000-000012000000}"/>
    <cellStyle name="Hyperlink" xfId="4" builtinId="8"/>
    <cellStyle name="Hyperlink 2" xfId="5" xr:uid="{00000000-0005-0000-0000-000014000000}"/>
    <cellStyle name="Normal" xfId="0" builtinId="0"/>
    <cellStyle name="Normal 10" xfId="20" xr:uid="{00000000-0005-0000-0000-000016000000}"/>
    <cellStyle name="Normal 10 10" xfId="56" xr:uid="{00000000-0005-0000-0000-000017000000}"/>
    <cellStyle name="Normal 10 3" xfId="38" xr:uid="{00000000-0005-0000-0000-000018000000}"/>
    <cellStyle name="Normal 10 6" xfId="25" xr:uid="{00000000-0005-0000-0000-000019000000}"/>
    <cellStyle name="Normal 12" xfId="41" xr:uid="{00000000-0005-0000-0000-00001A000000}"/>
    <cellStyle name="Normal 14" xfId="16" xr:uid="{00000000-0005-0000-0000-00001B000000}"/>
    <cellStyle name="Normal 15" xfId="32" xr:uid="{00000000-0005-0000-0000-00001C000000}"/>
    <cellStyle name="Normal 18" xfId="33" xr:uid="{00000000-0005-0000-0000-00001D000000}"/>
    <cellStyle name="Normal 18 3 2" xfId="49" xr:uid="{00000000-0005-0000-0000-00001E000000}"/>
    <cellStyle name="Normal 19" xfId="37" xr:uid="{00000000-0005-0000-0000-00001F000000}"/>
    <cellStyle name="Normal 2" xfId="6" xr:uid="{00000000-0005-0000-0000-000020000000}"/>
    <cellStyle name="Normal 2 10" xfId="47" xr:uid="{00000000-0005-0000-0000-000021000000}"/>
    <cellStyle name="Normal 2 12 2 3" xfId="52" xr:uid="{00000000-0005-0000-0000-000022000000}"/>
    <cellStyle name="Normal 2 13" xfId="57" xr:uid="{00000000-0005-0000-0000-000023000000}"/>
    <cellStyle name="Normal 2 2" xfId="12" xr:uid="{00000000-0005-0000-0000-000024000000}"/>
    <cellStyle name="Normal 2 2 2" xfId="45" xr:uid="{00000000-0005-0000-0000-000025000000}"/>
    <cellStyle name="Normal 2 2 2 3" xfId="46" xr:uid="{00000000-0005-0000-0000-000026000000}"/>
    <cellStyle name="Normal 23" xfId="42" xr:uid="{00000000-0005-0000-0000-000027000000}"/>
    <cellStyle name="Normal 3" xfId="7" xr:uid="{00000000-0005-0000-0000-000028000000}"/>
    <cellStyle name="Normal 3 3 2" xfId="44" xr:uid="{00000000-0005-0000-0000-000029000000}"/>
    <cellStyle name="Normal 30" xfId="28" xr:uid="{00000000-0005-0000-0000-00002A000000}"/>
    <cellStyle name="Normal 38" xfId="29" xr:uid="{00000000-0005-0000-0000-00002B000000}"/>
    <cellStyle name="Normal 4" xfId="17" xr:uid="{00000000-0005-0000-0000-00002C000000}"/>
    <cellStyle name="Normal 5 2" xfId="43" xr:uid="{00000000-0005-0000-0000-00002D000000}"/>
    <cellStyle name="Normal 51 2 2" xfId="53" xr:uid="{00000000-0005-0000-0000-00002E000000}"/>
    <cellStyle name="Normal 646" xfId="40" xr:uid="{00000000-0005-0000-0000-00002F000000}"/>
    <cellStyle name="Normal 680 2" xfId="48" xr:uid="{00000000-0005-0000-0000-000030000000}"/>
    <cellStyle name="Normal 684" xfId="34" xr:uid="{00000000-0005-0000-0000-000031000000}"/>
    <cellStyle name="Normal 688 2 2" xfId="51" xr:uid="{00000000-0005-0000-0000-000032000000}"/>
    <cellStyle name="Normal 727" xfId="23" xr:uid="{00000000-0005-0000-0000-000033000000}"/>
    <cellStyle name="Normal 729" xfId="39" xr:uid="{00000000-0005-0000-0000-000034000000}"/>
    <cellStyle name="Normal_SHEET 2" xfId="8" xr:uid="{00000000-0005-0000-0000-000035000000}"/>
    <cellStyle name="Normal_Sheet1 2" xfId="11" xr:uid="{00000000-0005-0000-0000-000036000000}"/>
    <cellStyle name="Percent (0)" xfId="9" xr:uid="{00000000-0005-0000-0000-000037000000}"/>
    <cellStyle name="Percent 10" xfId="31" xr:uid="{00000000-0005-0000-0000-000038000000}"/>
    <cellStyle name="Percent 11" xfId="22" xr:uid="{00000000-0005-0000-0000-000039000000}"/>
    <cellStyle name="Percent 2" xfId="13" xr:uid="{00000000-0005-0000-0000-00003A000000}"/>
    <cellStyle name="Tickmark" xfId="10" xr:uid="{00000000-0005-0000-0000-00003B000000}"/>
  </cellStyles>
  <dxfs count="77">
    <dxf>
      <fill>
        <patternFill>
          <bgColor theme="0" tint="-0.24994659260841701"/>
        </patternFill>
      </fill>
      <border>
        <right/>
        <top/>
        <bottom/>
        <vertical/>
        <horizontal/>
      </border>
    </dxf>
    <dxf>
      <fill>
        <patternFill>
          <bgColor theme="0" tint="-0.24994659260841701"/>
        </patternFill>
      </fill>
      <border>
        <right/>
        <top/>
        <bottom/>
        <vertical/>
        <horizontal/>
      </border>
    </dxf>
    <dxf>
      <fill>
        <patternFill>
          <bgColor theme="0" tint="-0.24994659260841701"/>
        </patternFill>
      </fill>
      <border>
        <right/>
        <top/>
        <bottom/>
        <vertical/>
        <horizontal/>
      </border>
    </dxf>
    <dxf>
      <fill>
        <patternFill>
          <bgColor theme="0" tint="-0.24994659260841701"/>
        </patternFill>
      </fill>
      <border>
        <right/>
        <top style="thin">
          <color auto="1"/>
        </top>
        <bottom/>
        <vertical/>
        <horizontal/>
      </border>
    </dxf>
    <dxf>
      <fill>
        <patternFill patternType="none">
          <bgColor auto="1"/>
        </patternFill>
      </fill>
      <border>
        <left style="thin">
          <color auto="1"/>
        </left>
        <right style="thin">
          <color auto="1"/>
        </right>
        <top style="thin">
          <color auto="1"/>
        </top>
        <bottom style="thin">
          <color auto="1"/>
        </bottom>
        <vertical/>
        <horizontal/>
      </border>
    </dxf>
    <dxf>
      <font>
        <color rgb="FF9C0006"/>
      </font>
      <fill>
        <patternFill>
          <bgColor rgb="FFFFC7CE"/>
        </patternFill>
      </fill>
      <border>
        <left style="thin">
          <color auto="1"/>
        </left>
        <right style="thin">
          <color auto="1"/>
        </right>
        <top style="thin">
          <color auto="1"/>
        </top>
        <bottom style="thin">
          <color auto="1"/>
        </bottom>
      </border>
    </dxf>
    <dxf>
      <fill>
        <patternFill patternType="none">
          <bgColor auto="1"/>
        </patternFill>
      </fill>
      <border>
        <left style="thin">
          <color auto="1"/>
        </left>
        <right style="thin">
          <color auto="1"/>
        </right>
        <top style="thin">
          <color auto="1"/>
        </top>
        <bottom style="thin">
          <color auto="1"/>
        </bottom>
        <vertical/>
        <horizontal/>
      </border>
    </dxf>
    <dxf>
      <fill>
        <patternFill>
          <bgColor theme="0" tint="-0.24994659260841701"/>
        </patternFill>
      </fill>
      <border>
        <right/>
        <top/>
        <bottom/>
        <vertical/>
        <horizontal/>
      </border>
    </dxf>
    <dxf>
      <fill>
        <patternFill>
          <bgColor theme="5" tint="0.59996337778862885"/>
        </patternFill>
      </fill>
      <border>
        <left style="thin">
          <color auto="1"/>
        </left>
        <right style="thin">
          <color auto="1"/>
        </right>
        <top style="thin">
          <color auto="1"/>
        </top>
        <bottom style="thin">
          <color auto="1"/>
        </bottom>
      </border>
    </dxf>
    <dxf>
      <fill>
        <patternFill>
          <bgColor theme="0" tint="-0.24994659260841701"/>
        </patternFill>
      </fill>
      <border>
        <right/>
        <top/>
        <bottom/>
        <vertical/>
        <horizontal/>
      </border>
    </dxf>
    <dxf>
      <fill>
        <patternFill>
          <bgColor theme="0" tint="-0.24994659260841701"/>
        </patternFill>
      </fill>
      <border>
        <right/>
        <top/>
        <bottom/>
        <vertical/>
        <horizontal/>
      </border>
    </dxf>
    <dxf>
      <fill>
        <patternFill>
          <bgColor theme="0" tint="-0.24994659260841701"/>
        </patternFill>
      </fill>
      <border>
        <right/>
        <top style="thin">
          <color auto="1"/>
        </top>
        <bottom/>
        <vertical/>
        <horizontal/>
      </border>
    </dxf>
    <dxf>
      <font>
        <color rgb="FF9C0006"/>
      </font>
      <fill>
        <patternFill>
          <fgColor rgb="FFFFC7CE"/>
          <bgColor rgb="FFFFC7CE"/>
        </patternFill>
      </fill>
    </dxf>
    <dxf>
      <fill>
        <patternFill patternType="none">
          <bgColor auto="1"/>
        </patternFill>
      </fill>
      <border>
        <left style="thin">
          <color auto="1"/>
        </left>
        <right style="thin">
          <color auto="1"/>
        </right>
        <top style="thin">
          <color auto="1"/>
        </top>
        <bottom style="thin">
          <color auto="1"/>
        </bottom>
        <vertical/>
        <horizontal/>
      </border>
    </dxf>
    <dxf>
      <font>
        <color rgb="FF9C0006"/>
      </font>
      <fill>
        <patternFill>
          <bgColor rgb="FFFFC7CE"/>
        </patternFill>
      </fill>
      <border>
        <left style="thin">
          <color auto="1"/>
        </left>
        <right style="thin">
          <color auto="1"/>
        </right>
        <top style="thin">
          <color auto="1"/>
        </top>
        <bottom style="thin">
          <color auto="1"/>
        </bottom>
      </border>
    </dxf>
    <dxf>
      <font>
        <color rgb="FF9C0006"/>
      </font>
      <fill>
        <patternFill>
          <bgColor rgb="FFFFC7CE"/>
        </patternFill>
      </fill>
      <border>
        <left style="thin">
          <color auto="1"/>
        </left>
        <right style="thin">
          <color auto="1"/>
        </right>
        <top style="thin">
          <color auto="1"/>
        </top>
        <bottom style="thin">
          <color auto="1"/>
        </bottom>
      </border>
    </dxf>
    <dxf>
      <font>
        <color rgb="FF9C0006"/>
      </font>
      <fill>
        <patternFill>
          <bgColor rgb="FFFFC7CE"/>
        </patternFill>
      </fill>
    </dxf>
    <dxf>
      <font>
        <color rgb="FF9C0006"/>
      </font>
      <fill>
        <patternFill>
          <bgColor rgb="FFFFC7CE"/>
        </patternFill>
      </fill>
    </dxf>
    <dxf>
      <fill>
        <patternFill patternType="none">
          <bgColor auto="1"/>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rgb="FF9C0006"/>
      </font>
      <fill>
        <patternFill>
          <bgColor rgb="FFFFC7CE"/>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86BC25"/>
      <color rgb="FFFFE285"/>
      <color rgb="FF9C0006"/>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17"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Drop" dropLines="6" dropStyle="combo" dx="16" fmlaLink="#REF!" fmlaRange="#REF!" noThreeD="1" sel="0" val="0"/>
</file>

<file path=xl/ctrlProps/ctrlProp2.xml><?xml version="1.0" encoding="utf-8"?>
<formControlPr xmlns="http://schemas.microsoft.com/office/spreadsheetml/2009/9/main" objectType="Drop" dropLines="6" dropStyle="combo" dx="16" fmlaLink="#REF!" fmlaRange="#REF!" noThreeD="1" sel="0" val="0"/>
</file>

<file path=xl/ctrlProps/ctrlProp3.xml><?xml version="1.0" encoding="utf-8"?>
<formControlPr xmlns="http://schemas.microsoft.com/office/spreadsheetml/2009/9/main" objectType="Drop" dropLines="6" dropStyle="combo" dx="16" fmlaLink="#REF!" fmlaRange="#REF!" noThreeD="1" sel="0" val="0"/>
</file>

<file path=xl/ctrlProps/ctrlProp4.xml><?xml version="1.0" encoding="utf-8"?>
<formControlPr xmlns="http://schemas.microsoft.com/office/spreadsheetml/2009/9/main" objectType="Drop" dropLines="6" dropStyle="combo" dx="16" fmlaLink="#REF!" fmlaRange="#REF!" noThreeD="1" sel="0"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717550</xdr:colOff>
          <xdr:row>1</xdr:row>
          <xdr:rowOff>88900</xdr:rowOff>
        </xdr:from>
        <xdr:to>
          <xdr:col>0</xdr:col>
          <xdr:colOff>1212850</xdr:colOff>
          <xdr:row>1</xdr:row>
          <xdr:rowOff>184150</xdr:rowOff>
        </xdr:to>
        <xdr:sp macro="" textlink="">
          <xdr:nvSpPr>
            <xdr:cNvPr id="2099" name="Drop Down 51" hidden="1">
              <a:extLst>
                <a:ext uri="{63B3BB69-23CF-44E3-9099-C40C66FF867C}">
                  <a14:compatExt spid="_x0000_s2099"/>
                </a:ext>
                <a:ext uri="{FF2B5EF4-FFF2-40B4-BE49-F238E27FC236}">
                  <a16:creationId xmlns:a16="http://schemas.microsoft.com/office/drawing/2014/main" id="{00000000-0008-0000-0500-0000330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717550</xdr:colOff>
          <xdr:row>1</xdr:row>
          <xdr:rowOff>88900</xdr:rowOff>
        </xdr:from>
        <xdr:to>
          <xdr:col>0</xdr:col>
          <xdr:colOff>1212850</xdr:colOff>
          <xdr:row>1</xdr:row>
          <xdr:rowOff>184150</xdr:rowOff>
        </xdr:to>
        <xdr:sp macro="" textlink="">
          <xdr:nvSpPr>
            <xdr:cNvPr id="2103" name="Drop Down 55" hidden="1">
              <a:extLst>
                <a:ext uri="{63B3BB69-23CF-44E3-9099-C40C66FF867C}">
                  <a14:compatExt spid="_x0000_s2103"/>
                </a:ext>
                <a:ext uri="{FF2B5EF4-FFF2-40B4-BE49-F238E27FC236}">
                  <a16:creationId xmlns:a16="http://schemas.microsoft.com/office/drawing/2014/main" id="{00000000-0008-0000-0500-0000370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717550</xdr:colOff>
          <xdr:row>14</xdr:row>
          <xdr:rowOff>88900</xdr:rowOff>
        </xdr:from>
        <xdr:to>
          <xdr:col>0</xdr:col>
          <xdr:colOff>1212850</xdr:colOff>
          <xdr:row>14</xdr:row>
          <xdr:rowOff>190500</xdr:rowOff>
        </xdr:to>
        <xdr:sp macro="" textlink="">
          <xdr:nvSpPr>
            <xdr:cNvPr id="2105" name="Drop Down 57" hidden="1">
              <a:extLst>
                <a:ext uri="{63B3BB69-23CF-44E3-9099-C40C66FF867C}">
                  <a14:compatExt spid="_x0000_s2105"/>
                </a:ext>
                <a:ext uri="{FF2B5EF4-FFF2-40B4-BE49-F238E27FC236}">
                  <a16:creationId xmlns:a16="http://schemas.microsoft.com/office/drawing/2014/main" id="{00000000-0008-0000-0500-0000390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717550</xdr:colOff>
          <xdr:row>14</xdr:row>
          <xdr:rowOff>88900</xdr:rowOff>
        </xdr:from>
        <xdr:to>
          <xdr:col>0</xdr:col>
          <xdr:colOff>1212850</xdr:colOff>
          <xdr:row>14</xdr:row>
          <xdr:rowOff>190500</xdr:rowOff>
        </xdr:to>
        <xdr:sp macro="" textlink="">
          <xdr:nvSpPr>
            <xdr:cNvPr id="2106" name="Drop Down 58" hidden="1">
              <a:extLst>
                <a:ext uri="{63B3BB69-23CF-44E3-9099-C40C66FF867C}">
                  <a14:compatExt spid="_x0000_s2106"/>
                </a:ext>
                <a:ext uri="{FF2B5EF4-FFF2-40B4-BE49-F238E27FC236}">
                  <a16:creationId xmlns:a16="http://schemas.microsoft.com/office/drawing/2014/main" id="{00000000-0008-0000-0500-00003A0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twoCellAnchor>
    <xdr:from>
      <xdr:col>0</xdr:col>
      <xdr:colOff>530412</xdr:colOff>
      <xdr:row>37</xdr:row>
      <xdr:rowOff>82176</xdr:rowOff>
    </xdr:from>
    <xdr:to>
      <xdr:col>1</xdr:col>
      <xdr:colOff>2106706</xdr:colOff>
      <xdr:row>39</xdr:row>
      <xdr:rowOff>59765</xdr:rowOff>
    </xdr:to>
    <xdr:cxnSp macro="">
      <xdr:nvCxnSpPr>
        <xdr:cNvPr id="3" name="Elbow Connector 2">
          <a:extLst>
            <a:ext uri="{FF2B5EF4-FFF2-40B4-BE49-F238E27FC236}">
              <a16:creationId xmlns:a16="http://schemas.microsoft.com/office/drawing/2014/main" id="{00000000-0008-0000-0500-000003000000}"/>
            </a:ext>
          </a:extLst>
        </xdr:cNvPr>
        <xdr:cNvCxnSpPr/>
      </xdr:nvCxnSpPr>
      <xdr:spPr bwMode="auto">
        <a:xfrm>
          <a:off x="530412" y="9390529"/>
          <a:ext cx="3414059" cy="231589"/>
        </a:xfrm>
        <a:prstGeom prst="bentConnector3">
          <a:avLst>
            <a:gd name="adj1" fmla="val 109"/>
          </a:avLst>
        </a:prstGeom>
        <a:ln>
          <a:headEnd type="none" w="med" len="med"/>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Mehedi_Data\Client\New%20folder\Deloitte\13100%20Materiality\Annexure%20A%20-%20CIPL%20Materialit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Materiality - Fin. statements"/>
      <sheetName val="Workings"/>
      <sheetName val="Materiality - ABCOTD"/>
      <sheetName val="Materiality - Components"/>
      <sheetName val="Notes"/>
      <sheetName val="Module1"/>
    </sheetNames>
    <sheetDataSet>
      <sheetData sheetId="0"/>
      <sheetData sheetId="1"/>
      <sheetData sheetId="2">
        <row r="3">
          <cell r="A3" t="str">
            <v>Profit before tax from continuing operations</v>
          </cell>
        </row>
        <row r="4">
          <cell r="A4" t="str">
            <v>Revenue</v>
          </cell>
        </row>
        <row r="5">
          <cell r="A5" t="str">
            <v>EBITDA</v>
          </cell>
        </row>
        <row r="6">
          <cell r="A6" t="str">
            <v>Total assets</v>
          </cell>
        </row>
        <row r="7">
          <cell r="A7" t="str">
            <v>Total equity / net assets</v>
          </cell>
        </row>
        <row r="8">
          <cell r="A8" t="str">
            <v>Cash flows from operations</v>
          </cell>
        </row>
        <row r="9">
          <cell r="A9" t="str">
            <v>Expenses</v>
          </cell>
        </row>
        <row r="10">
          <cell r="A10" t="str">
            <v>Other</v>
          </cell>
        </row>
      </sheetData>
      <sheetData sheetId="3"/>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4" Type="http://schemas.openxmlformats.org/officeDocument/2006/relationships/printerSettings" Target="../printerSettings/printerSettings9.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4" Type="http://schemas.openxmlformats.org/officeDocument/2006/relationships/printerSettings" Target="../printerSettings/printerSettings14.bin"/></Relationships>
</file>

<file path=xl/worksheets/_rels/sheet6.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printerSettings" Target="../printerSettings/printerSettings17.bin"/><Relationship Id="rId7" Type="http://schemas.openxmlformats.org/officeDocument/2006/relationships/drawing" Target="../drawings/drawing1.xml"/><Relationship Id="rId12" Type="http://schemas.openxmlformats.org/officeDocument/2006/relationships/ctrlProp" Target="../ctrlProps/ctrlProp4.xml"/><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 Id="rId6" Type="http://schemas.openxmlformats.org/officeDocument/2006/relationships/printerSettings" Target="../printerSettings/printerSettings19.bin"/><Relationship Id="rId11" Type="http://schemas.openxmlformats.org/officeDocument/2006/relationships/ctrlProp" Target="../ctrlProps/ctrlProp3.xml"/><Relationship Id="rId5" Type="http://schemas.openxmlformats.org/officeDocument/2006/relationships/hyperlink" Target="13110%20Materiality-%20memo-CIPL.docx" TargetMode="External"/><Relationship Id="rId10" Type="http://schemas.openxmlformats.org/officeDocument/2006/relationships/ctrlProp" Target="../ctrlProps/ctrlProp2.xml"/><Relationship Id="rId4" Type="http://schemas.openxmlformats.org/officeDocument/2006/relationships/printerSettings" Target="../printerSettings/printerSettings18.bin"/><Relationship Id="rId9"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P14"/>
  <sheetViews>
    <sheetView showGridLines="0" zoomScaleNormal="100" zoomScaleSheetLayoutView="98" workbookViewId="0">
      <selection activeCell="A6" sqref="A6:I6"/>
    </sheetView>
  </sheetViews>
  <sheetFormatPr defaultColWidth="9.1796875" defaultRowHeight="10" x14ac:dyDescent="0.2"/>
  <cols>
    <col min="1" max="9" width="12.81640625" style="58" customWidth="1"/>
    <col min="10" max="13" width="9.1796875" style="58"/>
    <col min="14" max="14" width="11.1796875" style="59" customWidth="1"/>
    <col min="15" max="16384" width="9.1796875" style="58"/>
  </cols>
  <sheetData>
    <row r="1" spans="1:16" ht="20.149999999999999" customHeight="1" x14ac:dyDescent="0.2">
      <c r="A1" s="169" t="s">
        <v>9</v>
      </c>
      <c r="B1" s="170"/>
      <c r="C1" s="170"/>
      <c r="D1" s="170"/>
      <c r="E1" s="170"/>
      <c r="F1" s="170"/>
      <c r="G1" s="170"/>
      <c r="H1" s="170"/>
      <c r="I1" s="97"/>
      <c r="J1" s="61"/>
      <c r="K1" s="61"/>
      <c r="L1" s="61"/>
      <c r="M1" s="61"/>
      <c r="N1" s="64"/>
      <c r="O1" s="61"/>
      <c r="P1" s="61"/>
    </row>
    <row r="2" spans="1:16" ht="57.75" customHeight="1" x14ac:dyDescent="0.2">
      <c r="A2" s="171" t="s">
        <v>102</v>
      </c>
      <c r="B2" s="171"/>
      <c r="C2" s="171"/>
      <c r="D2" s="171"/>
      <c r="E2" s="171"/>
      <c r="F2" s="171"/>
      <c r="G2" s="171"/>
      <c r="H2" s="171"/>
      <c r="I2" s="171"/>
      <c r="J2" s="62"/>
      <c r="K2" s="62"/>
      <c r="L2" s="62"/>
      <c r="M2" s="62"/>
      <c r="N2" s="65"/>
      <c r="O2" s="62"/>
      <c r="P2" s="62"/>
    </row>
    <row r="3" spans="1:16" x14ac:dyDescent="0.2">
      <c r="A3" s="167" t="s">
        <v>76</v>
      </c>
      <c r="B3" s="167"/>
      <c r="C3" s="167"/>
      <c r="D3" s="167"/>
      <c r="E3" s="167"/>
      <c r="F3" s="167"/>
      <c r="G3" s="167"/>
      <c r="H3" s="167"/>
      <c r="I3" s="167"/>
      <c r="J3" s="62"/>
      <c r="K3" s="62"/>
      <c r="L3" s="62"/>
      <c r="M3" s="62"/>
      <c r="N3" s="65"/>
      <c r="O3" s="62"/>
      <c r="P3" s="62"/>
    </row>
    <row r="5" spans="1:16" ht="11.25" customHeight="1" x14ac:dyDescent="0.2">
      <c r="A5" s="168" t="s">
        <v>10</v>
      </c>
      <c r="B5" s="168"/>
      <c r="C5" s="168"/>
      <c r="D5" s="168"/>
      <c r="E5" s="168"/>
      <c r="F5" s="168"/>
      <c r="G5" s="168"/>
      <c r="H5" s="168"/>
      <c r="I5" s="168"/>
      <c r="J5" s="61"/>
      <c r="K5" s="61"/>
      <c r="L5" s="61"/>
      <c r="M5" s="61"/>
      <c r="N5" s="64"/>
      <c r="O5" s="61"/>
      <c r="P5" s="61"/>
    </row>
    <row r="6" spans="1:16" ht="51.75" customHeight="1" x14ac:dyDescent="0.2">
      <c r="A6" s="167" t="s">
        <v>95</v>
      </c>
      <c r="B6" s="167"/>
      <c r="C6" s="167"/>
      <c r="D6" s="167"/>
      <c r="E6" s="167"/>
      <c r="F6" s="167"/>
      <c r="G6" s="167"/>
      <c r="H6" s="167"/>
      <c r="I6" s="167"/>
      <c r="J6" s="62"/>
      <c r="K6" s="62"/>
      <c r="L6" s="62"/>
      <c r="M6" s="62"/>
      <c r="N6" s="65"/>
      <c r="O6" s="62"/>
      <c r="P6" s="62"/>
    </row>
    <row r="8" spans="1:16" ht="11.25" customHeight="1" x14ac:dyDescent="0.2">
      <c r="A8" s="168" t="s">
        <v>11</v>
      </c>
      <c r="B8" s="168"/>
      <c r="C8" s="168"/>
      <c r="D8" s="168"/>
      <c r="E8" s="168"/>
      <c r="F8" s="168"/>
      <c r="G8" s="168"/>
      <c r="H8" s="168"/>
      <c r="I8" s="168"/>
      <c r="J8" s="61"/>
      <c r="K8" s="61"/>
      <c r="L8" s="61"/>
      <c r="M8" s="61"/>
      <c r="N8" s="64"/>
      <c r="O8" s="61"/>
      <c r="P8" s="61"/>
    </row>
    <row r="9" spans="1:16" ht="87" customHeight="1" x14ac:dyDescent="0.2">
      <c r="A9" s="167" t="s">
        <v>77</v>
      </c>
      <c r="B9" s="167"/>
      <c r="C9" s="167"/>
      <c r="D9" s="167"/>
      <c r="E9" s="167"/>
      <c r="F9" s="167"/>
      <c r="G9" s="167"/>
      <c r="H9" s="167"/>
      <c r="I9" s="167"/>
      <c r="J9" s="61"/>
      <c r="K9" s="61"/>
      <c r="L9" s="61"/>
      <c r="M9" s="61"/>
      <c r="N9" s="64"/>
      <c r="O9" s="61"/>
      <c r="P9" s="61"/>
    </row>
    <row r="10" spans="1:16" ht="97.5" customHeight="1" x14ac:dyDescent="0.2">
      <c r="A10" s="167" t="s">
        <v>103</v>
      </c>
      <c r="B10" s="167"/>
      <c r="C10" s="167"/>
      <c r="D10" s="167"/>
      <c r="E10" s="167"/>
      <c r="F10" s="167"/>
      <c r="G10" s="167"/>
      <c r="H10" s="167"/>
      <c r="I10" s="167"/>
      <c r="J10" s="61"/>
      <c r="K10" s="61"/>
      <c r="L10" s="61"/>
      <c r="M10" s="61"/>
      <c r="N10" s="64"/>
      <c r="O10" s="61"/>
      <c r="P10" s="61"/>
    </row>
    <row r="11" spans="1:16" ht="10.5" x14ac:dyDescent="0.2">
      <c r="I11" s="60"/>
      <c r="J11" s="61"/>
      <c r="K11" s="61"/>
      <c r="L11" s="61"/>
      <c r="M11" s="61"/>
      <c r="N11" s="64"/>
      <c r="O11" s="61"/>
      <c r="P11" s="61"/>
    </row>
    <row r="12" spans="1:16" ht="10.5" x14ac:dyDescent="0.2">
      <c r="A12" s="168" t="s">
        <v>12</v>
      </c>
      <c r="B12" s="168"/>
      <c r="C12" s="168"/>
      <c r="D12" s="168"/>
      <c r="E12" s="168"/>
      <c r="F12" s="168"/>
      <c r="G12" s="168"/>
      <c r="H12" s="168"/>
      <c r="I12" s="168"/>
      <c r="J12" s="61"/>
      <c r="K12" s="61"/>
      <c r="L12" s="61"/>
      <c r="M12" s="61"/>
      <c r="N12" s="64"/>
      <c r="O12" s="61"/>
      <c r="P12" s="61"/>
    </row>
    <row r="13" spans="1:16" ht="174" customHeight="1" x14ac:dyDescent="0.2">
      <c r="A13" s="167" t="s">
        <v>88</v>
      </c>
      <c r="B13" s="167"/>
      <c r="C13" s="167"/>
      <c r="D13" s="167"/>
      <c r="E13" s="167"/>
      <c r="F13" s="167"/>
      <c r="G13" s="167"/>
      <c r="H13" s="167"/>
      <c r="I13" s="167"/>
      <c r="J13" s="61"/>
      <c r="K13" s="61"/>
      <c r="L13" s="61"/>
      <c r="M13" s="61"/>
      <c r="N13" s="64"/>
      <c r="O13" s="61"/>
      <c r="P13" s="61"/>
    </row>
    <row r="14" spans="1:16" ht="10.5" x14ac:dyDescent="0.2">
      <c r="I14" s="60"/>
      <c r="J14" s="61"/>
      <c r="K14" s="61"/>
      <c r="L14" s="61"/>
      <c r="M14" s="61"/>
      <c r="N14" s="64"/>
      <c r="O14" s="61"/>
      <c r="P14" s="61"/>
    </row>
  </sheetData>
  <customSheetViews>
    <customSheetView guid="{DF8478C2-EAAC-4D1F-A2F6-76182AE83642}" hiddenColumns="1">
      <selection activeCell="G2" sqref="G2"/>
      <pageMargins left="0.75" right="0.75" top="1" bottom="1" header="0.5" footer="0.5"/>
      <pageSetup orientation="portrait" horizontalDpi="300" verticalDpi="300" r:id="rId1"/>
      <headerFooter alignWithMargins="0"/>
    </customSheetView>
    <customSheetView guid="{BD18EF39-8F88-4267-80D6-F790349F210B}" hiddenColumns="1">
      <selection activeCell="A7" sqref="A7"/>
      <pageMargins left="0.75" right="0.75" top="1" bottom="1" header="0.5" footer="0.5"/>
      <pageSetup orientation="portrait" horizontalDpi="300" verticalDpi="300" r:id="rId2"/>
      <headerFooter alignWithMargins="0"/>
    </customSheetView>
    <customSheetView guid="{2253DBF7-981C-4B16-A4F8-F797CE7BAACF}" hiddenColumns="1">
      <selection activeCell="G2" sqref="G2"/>
      <pageMargins left="0.75" right="0.75" top="1" bottom="1" header="0.5" footer="0.5"/>
      <pageSetup orientation="portrait" horizontalDpi="300" verticalDpi="300" r:id="rId3"/>
      <headerFooter alignWithMargins="0"/>
    </customSheetView>
  </customSheetViews>
  <mergeCells count="10">
    <mergeCell ref="A10:I10"/>
    <mergeCell ref="A12:I12"/>
    <mergeCell ref="A13:I13"/>
    <mergeCell ref="A1:H1"/>
    <mergeCell ref="A2:I2"/>
    <mergeCell ref="A3:I3"/>
    <mergeCell ref="A5:I5"/>
    <mergeCell ref="A6:I6"/>
    <mergeCell ref="A8:I8"/>
    <mergeCell ref="A9:I9"/>
  </mergeCells>
  <pageMargins left="0.75" right="0.75" top="1" bottom="1" header="0.5" footer="0.5"/>
  <pageSetup orientation="portrait" horizontalDpi="300" verticalDpi="300" r:id="rId4"/>
  <headerFooter alignWithMargins="0"/>
  <rowBreaks count="1" manualBreakCount="1">
    <brk id="10" max="16383"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M10"/>
  <sheetViews>
    <sheetView zoomScaleNormal="100" workbookViewId="0">
      <selection activeCell="C5" sqref="C5"/>
    </sheetView>
  </sheetViews>
  <sheetFormatPr defaultColWidth="9.1796875" defaultRowHeight="12.5" x14ac:dyDescent="0.25"/>
  <cols>
    <col min="1" max="1" width="24.1796875" style="27" customWidth="1"/>
    <col min="2" max="2" width="7.1796875" style="27" customWidth="1"/>
    <col min="3" max="3" width="7.81640625" style="27" customWidth="1"/>
    <col min="4" max="4" width="40.81640625" style="27" customWidth="1"/>
    <col min="5" max="5" width="27.453125" style="27" customWidth="1"/>
    <col min="6" max="6" width="2" style="27" customWidth="1"/>
    <col min="7" max="7" width="21.1796875" style="27" customWidth="1"/>
    <col min="8" max="8" width="1.54296875" style="27" customWidth="1"/>
    <col min="9" max="9" width="11.81640625" style="27" customWidth="1"/>
    <col min="10" max="10" width="1.81640625" style="27" customWidth="1"/>
    <col min="11" max="11" width="9.54296875" style="27" customWidth="1"/>
    <col min="12" max="12" width="1.81640625" style="27" customWidth="1"/>
    <col min="13" max="13" width="12" style="27" customWidth="1"/>
    <col min="14" max="16384" width="9.1796875" style="27"/>
  </cols>
  <sheetData>
    <row r="1" spans="1:13" ht="13" x14ac:dyDescent="0.3">
      <c r="A1" s="79" t="s">
        <v>5</v>
      </c>
      <c r="B1" s="172" t="s">
        <v>67</v>
      </c>
      <c r="C1" s="172"/>
      <c r="D1" s="80"/>
      <c r="E1" s="79" t="s">
        <v>40</v>
      </c>
      <c r="F1" s="79"/>
      <c r="G1" s="79" t="s">
        <v>52</v>
      </c>
      <c r="H1" s="79"/>
      <c r="I1" s="83" t="s">
        <v>57</v>
      </c>
      <c r="J1" s="83"/>
      <c r="K1" s="83" t="s">
        <v>74</v>
      </c>
      <c r="L1" s="83"/>
      <c r="M1" s="79" t="s">
        <v>80</v>
      </c>
    </row>
    <row r="2" spans="1:13" ht="13" x14ac:dyDescent="0.3">
      <c r="A2" s="79" t="s">
        <v>37</v>
      </c>
      <c r="B2" s="79" t="s">
        <v>68</v>
      </c>
      <c r="C2" s="79" t="s">
        <v>69</v>
      </c>
      <c r="D2" s="74" t="s">
        <v>1</v>
      </c>
      <c r="E2" s="75" t="s">
        <v>41</v>
      </c>
      <c r="F2" s="75"/>
      <c r="G2" s="75" t="s">
        <v>53</v>
      </c>
      <c r="H2" s="75"/>
      <c r="I2" s="84" t="s">
        <v>58</v>
      </c>
      <c r="J2" s="75"/>
      <c r="K2" s="85">
        <v>0.05</v>
      </c>
      <c r="M2" s="75">
        <v>1</v>
      </c>
    </row>
    <row r="3" spans="1:13" x14ac:dyDescent="0.25">
      <c r="A3" s="75" t="s">
        <v>83</v>
      </c>
      <c r="B3" s="89">
        <v>0.05</v>
      </c>
      <c r="C3" s="89">
        <v>0.1</v>
      </c>
      <c r="D3" s="76"/>
      <c r="E3" s="104" t="str">
        <f>IF(benchmark1="","",benchmark1)</f>
        <v>Revenue</v>
      </c>
      <c r="F3" s="77"/>
      <c r="G3" s="75" t="s">
        <v>82</v>
      </c>
      <c r="H3" s="75"/>
      <c r="I3" s="75" t="s">
        <v>59</v>
      </c>
      <c r="M3" s="75">
        <v>2</v>
      </c>
    </row>
    <row r="4" spans="1:13" x14ac:dyDescent="0.25">
      <c r="A4" s="75" t="s">
        <v>38</v>
      </c>
      <c r="B4" s="89">
        <v>8.0000000000000002E-3</v>
      </c>
      <c r="C4" s="89">
        <v>0.05</v>
      </c>
      <c r="D4" s="76"/>
      <c r="E4" s="104" t="str">
        <f>IF(benchmark2="","",benchmark2)</f>
        <v/>
      </c>
      <c r="F4" s="78"/>
      <c r="I4" s="75" t="s">
        <v>86</v>
      </c>
      <c r="M4" s="75">
        <v>3</v>
      </c>
    </row>
    <row r="5" spans="1:13" x14ac:dyDescent="0.25">
      <c r="A5" s="75" t="s">
        <v>84</v>
      </c>
      <c r="B5" s="89">
        <v>0.03</v>
      </c>
      <c r="C5" s="89">
        <v>0.05</v>
      </c>
      <c r="D5" s="76"/>
      <c r="E5" s="104" t="str">
        <f>IF(benchmark3="","",benchmark3)</f>
        <v/>
      </c>
      <c r="F5" s="78"/>
    </row>
    <row r="6" spans="1:13" x14ac:dyDescent="0.25">
      <c r="A6" s="75" t="s">
        <v>70</v>
      </c>
      <c r="B6" s="89">
        <v>0.01</v>
      </c>
      <c r="C6" s="89">
        <v>0.02</v>
      </c>
      <c r="D6" s="76"/>
    </row>
    <row r="7" spans="1:13" x14ac:dyDescent="0.25">
      <c r="A7" s="75" t="s">
        <v>99</v>
      </c>
      <c r="B7" s="89">
        <v>0.01</v>
      </c>
      <c r="C7" s="89">
        <v>0.03</v>
      </c>
      <c r="D7" s="76"/>
    </row>
    <row r="8" spans="1:13" x14ac:dyDescent="0.25">
      <c r="A8" s="75" t="s">
        <v>71</v>
      </c>
      <c r="B8" s="89">
        <v>0.03</v>
      </c>
      <c r="C8" s="89">
        <v>0.05</v>
      </c>
      <c r="D8" s="76"/>
    </row>
    <row r="9" spans="1:13" x14ac:dyDescent="0.25">
      <c r="A9" s="75" t="s">
        <v>85</v>
      </c>
      <c r="B9" s="89">
        <v>0.03</v>
      </c>
      <c r="C9" s="89">
        <v>0.05</v>
      </c>
      <c r="D9" s="76"/>
    </row>
    <row r="10" spans="1:13" x14ac:dyDescent="0.25">
      <c r="A10" s="75" t="s">
        <v>39</v>
      </c>
      <c r="B10" s="76"/>
      <c r="C10" s="76"/>
      <c r="D10" s="76"/>
    </row>
  </sheetData>
  <mergeCells count="1">
    <mergeCell ref="B1:C1"/>
  </mergeCells>
  <pageMargins left="0.75" right="0.75" top="1" bottom="1" header="0.5" footer="0.5"/>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pageSetUpPr fitToPage="1"/>
  </sheetPr>
  <dimension ref="A1:N23"/>
  <sheetViews>
    <sheetView showGridLines="0" zoomScaleNormal="100" workbookViewId="0">
      <selection activeCell="B10" sqref="B10"/>
    </sheetView>
  </sheetViews>
  <sheetFormatPr defaultColWidth="9.1796875" defaultRowHeight="10" x14ac:dyDescent="0.2"/>
  <cols>
    <col min="1" max="1" width="41.1796875" style="38" customWidth="1"/>
    <col min="2" max="2" width="15.81640625" style="38" customWidth="1"/>
    <col min="3" max="3" width="9.81640625" style="38" customWidth="1"/>
    <col min="4" max="6" width="22.81640625" style="38" customWidth="1"/>
    <col min="7" max="7" width="61.1796875" style="38" customWidth="1"/>
    <col min="8" max="8" width="4" style="38" customWidth="1"/>
    <col min="9" max="12" width="9.1796875" style="38"/>
    <col min="13" max="13" width="9.1796875" style="39"/>
    <col min="14" max="16384" width="9.1796875" style="38"/>
  </cols>
  <sheetData>
    <row r="1" spans="1:14" s="70" customFormat="1" ht="20.149999999999999" customHeight="1" x14ac:dyDescent="0.25">
      <c r="A1" s="67" t="s">
        <v>104</v>
      </c>
      <c r="B1" s="68"/>
      <c r="C1" s="68"/>
      <c r="D1" s="102"/>
      <c r="E1" s="69"/>
      <c r="F1" s="69"/>
      <c r="G1" s="69"/>
      <c r="M1" s="71"/>
    </row>
    <row r="2" spans="1:14" s="70" customFormat="1" ht="29.25" customHeight="1" x14ac:dyDescent="0.25">
      <c r="A2" s="110" t="s">
        <v>92</v>
      </c>
      <c r="B2" s="68"/>
      <c r="C2" s="68"/>
      <c r="D2" s="68"/>
      <c r="E2" s="69"/>
      <c r="F2" s="69"/>
      <c r="G2" s="69"/>
      <c r="M2" s="71"/>
    </row>
    <row r="3" spans="1:14" s="70" customFormat="1" ht="15.75" customHeight="1" x14ac:dyDescent="0.25">
      <c r="A3" s="99"/>
      <c r="B3" s="100"/>
      <c r="C3" s="100"/>
      <c r="D3" s="100"/>
      <c r="E3" s="101"/>
      <c r="F3" s="101"/>
      <c r="G3" s="101"/>
      <c r="M3" s="71"/>
    </row>
    <row r="4" spans="1:14" ht="126" customHeight="1" x14ac:dyDescent="0.2">
      <c r="A4" s="175" t="s">
        <v>105</v>
      </c>
      <c r="B4" s="175"/>
      <c r="C4" s="175"/>
      <c r="D4" s="175"/>
      <c r="E4" s="175"/>
      <c r="F4" s="175"/>
      <c r="G4" s="175"/>
      <c r="H4" s="40"/>
      <c r="I4" s="40"/>
      <c r="J4" s="40"/>
      <c r="K4" s="40"/>
      <c r="L4" s="40"/>
      <c r="M4" s="41"/>
      <c r="N4" s="40"/>
    </row>
    <row r="5" spans="1:14" ht="15" customHeight="1" x14ac:dyDescent="0.2">
      <c r="A5" s="44"/>
      <c r="B5" s="44"/>
      <c r="C5" s="44"/>
      <c r="D5" s="44"/>
      <c r="E5" s="44"/>
      <c r="F5" s="44"/>
      <c r="G5" s="44"/>
      <c r="H5" s="44"/>
      <c r="I5" s="44"/>
      <c r="J5" s="44"/>
      <c r="K5" s="44"/>
      <c r="L5" s="40"/>
      <c r="M5" s="43"/>
      <c r="N5" s="42"/>
    </row>
    <row r="6" spans="1:14" ht="66.75" customHeight="1" x14ac:dyDescent="0.25">
      <c r="A6" s="111" t="s">
        <v>73</v>
      </c>
      <c r="B6" s="111" t="s">
        <v>42</v>
      </c>
      <c r="C6" s="111" t="s">
        <v>43</v>
      </c>
      <c r="D6" s="111" t="s">
        <v>111</v>
      </c>
      <c r="E6" s="111" t="s">
        <v>96</v>
      </c>
      <c r="F6" s="111" t="s">
        <v>97</v>
      </c>
      <c r="G6" s="111" t="s">
        <v>94</v>
      </c>
      <c r="H6" s="42"/>
      <c r="J6" s="42"/>
    </row>
    <row r="7" spans="1:14" ht="15" customHeight="1" x14ac:dyDescent="0.2">
      <c r="A7" s="45"/>
      <c r="B7" s="88"/>
      <c r="C7" s="103"/>
      <c r="D7" s="98">
        <f>B7*C7</f>
        <v>0</v>
      </c>
      <c r="E7" s="87"/>
      <c r="F7" s="66"/>
      <c r="G7" s="46"/>
    </row>
    <row r="8" spans="1:14" ht="15" customHeight="1" x14ac:dyDescent="0.2">
      <c r="A8" s="45"/>
      <c r="B8" s="88"/>
      <c r="C8" s="103"/>
      <c r="D8" s="98">
        <f t="shared" ref="D8:D19" si="0">B8*C8</f>
        <v>0</v>
      </c>
      <c r="E8" s="87"/>
      <c r="F8" s="66"/>
      <c r="G8" s="46"/>
    </row>
    <row r="9" spans="1:14" ht="15" customHeight="1" x14ac:dyDescent="0.2">
      <c r="A9" s="45"/>
      <c r="B9" s="88"/>
      <c r="C9" s="103"/>
      <c r="D9" s="98">
        <f t="shared" si="0"/>
        <v>0</v>
      </c>
      <c r="E9" s="87"/>
      <c r="F9" s="66"/>
      <c r="G9" s="46"/>
    </row>
    <row r="10" spans="1:14" ht="15" customHeight="1" x14ac:dyDescent="0.2">
      <c r="A10" s="45"/>
      <c r="B10" s="88"/>
      <c r="C10" s="103"/>
      <c r="D10" s="98">
        <f t="shared" si="0"/>
        <v>0</v>
      </c>
      <c r="E10" s="87"/>
      <c r="F10" s="66"/>
      <c r="G10" s="46"/>
    </row>
    <row r="11" spans="1:14" ht="15" customHeight="1" x14ac:dyDescent="0.2">
      <c r="A11" s="45"/>
      <c r="B11" s="88"/>
      <c r="C11" s="103"/>
      <c r="D11" s="98">
        <f t="shared" si="0"/>
        <v>0</v>
      </c>
      <c r="E11" s="87"/>
      <c r="F11" s="66"/>
      <c r="G11" s="46"/>
    </row>
    <row r="12" spans="1:14" ht="15" customHeight="1" x14ac:dyDescent="0.2">
      <c r="A12" s="45"/>
      <c r="B12" s="88"/>
      <c r="C12" s="103"/>
      <c r="D12" s="98">
        <f t="shared" si="0"/>
        <v>0</v>
      </c>
      <c r="E12" s="87"/>
      <c r="F12" s="66"/>
      <c r="G12" s="46"/>
    </row>
    <row r="13" spans="1:14" ht="15" customHeight="1" x14ac:dyDescent="0.2">
      <c r="A13" s="45"/>
      <c r="B13" s="88"/>
      <c r="C13" s="103"/>
      <c r="D13" s="98">
        <f t="shared" si="0"/>
        <v>0</v>
      </c>
      <c r="E13" s="87"/>
      <c r="F13" s="66"/>
      <c r="G13" s="46"/>
    </row>
    <row r="14" spans="1:14" ht="15" customHeight="1" x14ac:dyDescent="0.2">
      <c r="A14" s="45"/>
      <c r="B14" s="88"/>
      <c r="C14" s="103"/>
      <c r="D14" s="98">
        <f t="shared" si="0"/>
        <v>0</v>
      </c>
      <c r="E14" s="87"/>
      <c r="F14" s="66"/>
      <c r="G14" s="46"/>
    </row>
    <row r="15" spans="1:14" ht="15" customHeight="1" x14ac:dyDescent="0.2">
      <c r="A15" s="45"/>
      <c r="B15" s="88"/>
      <c r="C15" s="103"/>
      <c r="D15" s="98">
        <f t="shared" si="0"/>
        <v>0</v>
      </c>
      <c r="E15" s="87"/>
      <c r="F15" s="66"/>
      <c r="G15" s="46"/>
    </row>
    <row r="16" spans="1:14" ht="15" customHeight="1" x14ac:dyDescent="0.2">
      <c r="A16" s="45"/>
      <c r="B16" s="88"/>
      <c r="C16" s="103"/>
      <c r="D16" s="98">
        <f t="shared" si="0"/>
        <v>0</v>
      </c>
      <c r="E16" s="87"/>
      <c r="F16" s="66"/>
      <c r="G16" s="46"/>
    </row>
    <row r="17" spans="1:11" ht="15" customHeight="1" x14ac:dyDescent="0.2">
      <c r="A17" s="45"/>
      <c r="B17" s="88"/>
      <c r="C17" s="103"/>
      <c r="D17" s="98">
        <f t="shared" si="0"/>
        <v>0</v>
      </c>
      <c r="E17" s="87"/>
      <c r="F17" s="66"/>
      <c r="G17" s="46"/>
    </row>
    <row r="18" spans="1:11" ht="15" customHeight="1" x14ac:dyDescent="0.2">
      <c r="A18" s="45"/>
      <c r="B18" s="88"/>
      <c r="C18" s="103"/>
      <c r="D18" s="98">
        <f t="shared" si="0"/>
        <v>0</v>
      </c>
      <c r="E18" s="87"/>
      <c r="F18" s="66"/>
      <c r="G18" s="46"/>
    </row>
    <row r="19" spans="1:11" ht="15" customHeight="1" x14ac:dyDescent="0.2">
      <c r="A19" s="45"/>
      <c r="B19" s="88"/>
      <c r="C19" s="103"/>
      <c r="D19" s="98">
        <f t="shared" si="0"/>
        <v>0</v>
      </c>
      <c r="E19" s="87"/>
      <c r="F19" s="66"/>
      <c r="G19" s="46"/>
    </row>
    <row r="21" spans="1:11" ht="16.5" customHeight="1" x14ac:dyDescent="0.2">
      <c r="A21" s="173" t="s">
        <v>93</v>
      </c>
      <c r="B21" s="173"/>
      <c r="C21" s="173"/>
      <c r="D21" s="173"/>
      <c r="E21" s="173"/>
      <c r="F21" s="173"/>
      <c r="G21" s="173"/>
      <c r="H21" s="173"/>
      <c r="I21" s="173"/>
      <c r="J21" s="173"/>
      <c r="K21" s="173"/>
    </row>
    <row r="23" spans="1:11" ht="19.5" customHeight="1" x14ac:dyDescent="0.2">
      <c r="A23" s="174" t="s">
        <v>44</v>
      </c>
      <c r="B23" s="174"/>
      <c r="C23" s="174"/>
      <c r="D23" s="174"/>
      <c r="E23" s="174"/>
      <c r="F23" s="174"/>
      <c r="G23" s="174"/>
    </row>
  </sheetData>
  <customSheetViews>
    <customSheetView guid="{DF8478C2-EAAC-4D1F-A2F6-76182AE83642}" showGridLines="0" fitToPage="1">
      <selection activeCell="A2" sqref="A2:D2"/>
      <pageMargins left="0.7" right="0.7" top="0.75" bottom="0.75" header="0.3" footer="0.3"/>
      <pageSetup scale="81" orientation="landscape" r:id="rId1"/>
    </customSheetView>
    <customSheetView guid="{BD18EF39-8F88-4267-80D6-F790349F210B}" showGridLines="0" fitToPage="1" topLeftCell="A13">
      <selection activeCell="A21" sqref="A21"/>
      <pageMargins left="0.7" right="0.7" top="0.75" bottom="0.75" header="0.3" footer="0.3"/>
      <pageSetup scale="81" orientation="landscape" r:id="rId2"/>
    </customSheetView>
    <customSheetView guid="{2253DBF7-981C-4B16-A4F8-F797CE7BAACF}" showGridLines="0" fitToPage="1">
      <selection activeCell="A2" sqref="A2:D2"/>
      <pageMargins left="0.7" right="0.7" top="0.75" bottom="0.75" header="0.3" footer="0.3"/>
      <pageSetup scale="81" orientation="landscape" r:id="rId3"/>
    </customSheetView>
  </customSheetViews>
  <mergeCells count="4">
    <mergeCell ref="H21:K21"/>
    <mergeCell ref="A21:G21"/>
    <mergeCell ref="A23:G23"/>
    <mergeCell ref="A4:G4"/>
  </mergeCells>
  <conditionalFormatting sqref="E7:E19">
    <cfRule type="cellIs" dxfId="76" priority="1" operator="greaterThan">
      <formula>Materiality</formula>
    </cfRule>
  </conditionalFormatting>
  <pageMargins left="0.7" right="0.7" top="0.75" bottom="0.75" header="0.3" footer="0.3"/>
  <pageSetup scale="55" orientation="landscape"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A1:L16"/>
  <sheetViews>
    <sheetView showGridLines="0" zoomScaleNormal="100" workbookViewId="0">
      <pane xSplit="2" topLeftCell="C1" activePane="topRight" state="frozen"/>
      <selection activeCell="B10" sqref="B10"/>
      <selection pane="topRight" activeCell="B10" sqref="B10"/>
    </sheetView>
  </sheetViews>
  <sheetFormatPr defaultColWidth="9.1796875" defaultRowHeight="10" x14ac:dyDescent="0.2"/>
  <cols>
    <col min="1" max="1" width="30.81640625" style="47" customWidth="1"/>
    <col min="2" max="2" width="40.81640625" style="47" customWidth="1"/>
    <col min="3" max="12" width="25.81640625" style="47" customWidth="1"/>
    <col min="13" max="16384" width="9.1796875" style="47"/>
  </cols>
  <sheetData>
    <row r="1" spans="1:12" s="73" customFormat="1" ht="20.149999999999999" customHeight="1" x14ac:dyDescent="0.25">
      <c r="A1" s="67" t="s">
        <v>45</v>
      </c>
      <c r="B1" s="72"/>
      <c r="C1" s="72"/>
      <c r="D1" s="72"/>
      <c r="E1" s="72"/>
      <c r="F1" s="72"/>
      <c r="G1" s="72"/>
      <c r="H1" s="72"/>
      <c r="I1" s="72"/>
      <c r="J1" s="72"/>
      <c r="K1" s="72"/>
      <c r="L1" s="72"/>
    </row>
    <row r="2" spans="1:12" ht="29.25" customHeight="1" x14ac:dyDescent="0.2">
      <c r="A2" s="110" t="s">
        <v>81</v>
      </c>
      <c r="B2" s="93"/>
      <c r="C2" s="93"/>
      <c r="D2" s="93"/>
      <c r="E2" s="93"/>
      <c r="F2" s="93"/>
      <c r="G2" s="93"/>
      <c r="H2" s="93"/>
      <c r="I2" s="93"/>
      <c r="J2" s="93"/>
      <c r="K2" s="93"/>
      <c r="L2" s="93"/>
    </row>
    <row r="3" spans="1:12" s="48" customFormat="1" ht="11.25" customHeight="1" x14ac:dyDescent="0.2">
      <c r="A3" s="94"/>
    </row>
    <row r="4" spans="1:12" ht="33" customHeight="1" x14ac:dyDescent="0.25">
      <c r="B4" s="112" t="s">
        <v>46</v>
      </c>
    </row>
    <row r="5" spans="1:12" ht="24.75" customHeight="1" x14ac:dyDescent="0.2">
      <c r="A5" s="25" t="s">
        <v>54</v>
      </c>
      <c r="B5" s="50">
        <f>Materiality</f>
        <v>500000</v>
      </c>
    </row>
    <row r="6" spans="1:12" ht="24.75" customHeight="1" x14ac:dyDescent="0.2">
      <c r="A6" s="25" t="s">
        <v>55</v>
      </c>
      <c r="B6" s="50">
        <f>Performance_materiality</f>
        <v>375000</v>
      </c>
    </row>
    <row r="7" spans="1:12" ht="24.75" customHeight="1" x14ac:dyDescent="0.2">
      <c r="A7" s="25" t="s">
        <v>56</v>
      </c>
      <c r="B7" s="50">
        <f>Clearly_trivial_threshold</f>
        <v>25000</v>
      </c>
    </row>
    <row r="9" spans="1:12" ht="18" customHeight="1" x14ac:dyDescent="0.2">
      <c r="A9" s="56"/>
      <c r="C9" s="176" t="s">
        <v>66</v>
      </c>
      <c r="D9" s="177"/>
      <c r="E9" s="177"/>
      <c r="F9" s="177"/>
      <c r="G9" s="177"/>
      <c r="H9" s="177"/>
      <c r="I9" s="177"/>
      <c r="J9" s="177"/>
      <c r="K9" s="177"/>
      <c r="L9" s="178"/>
    </row>
    <row r="10" spans="1:12" ht="24.75" customHeight="1" x14ac:dyDescent="0.2">
      <c r="A10" s="113"/>
      <c r="B10" s="114" t="s">
        <v>101</v>
      </c>
      <c r="C10" s="51" t="s">
        <v>47</v>
      </c>
      <c r="D10" s="51" t="s">
        <v>48</v>
      </c>
      <c r="E10" s="51" t="s">
        <v>49</v>
      </c>
      <c r="F10" s="51" t="s">
        <v>50</v>
      </c>
      <c r="G10" s="51" t="s">
        <v>51</v>
      </c>
      <c r="H10" s="51" t="s">
        <v>61</v>
      </c>
      <c r="I10" s="51" t="s">
        <v>62</v>
      </c>
      <c r="J10" s="51" t="s">
        <v>63</v>
      </c>
      <c r="K10" s="51" t="s">
        <v>64</v>
      </c>
      <c r="L10" s="51" t="s">
        <v>65</v>
      </c>
    </row>
    <row r="11" spans="1:12" ht="21.75" customHeight="1" x14ac:dyDescent="0.2">
      <c r="A11" s="109" t="s">
        <v>112</v>
      </c>
      <c r="B11" s="115" t="s">
        <v>18</v>
      </c>
      <c r="C11" s="55"/>
      <c r="D11" s="55"/>
      <c r="E11" s="55"/>
      <c r="F11" s="55"/>
      <c r="G11" s="55"/>
      <c r="H11" s="55"/>
      <c r="I11" s="55"/>
      <c r="J11" s="55"/>
      <c r="K11" s="55"/>
      <c r="L11" s="55"/>
    </row>
    <row r="12" spans="1:12" ht="21.75" customHeight="1" x14ac:dyDescent="0.2">
      <c r="A12" s="109" t="s">
        <v>113</v>
      </c>
      <c r="B12" s="115" t="s">
        <v>20</v>
      </c>
      <c r="C12" s="55"/>
      <c r="D12" s="55"/>
      <c r="E12" s="55"/>
      <c r="F12" s="55"/>
      <c r="G12" s="55"/>
      <c r="H12" s="55"/>
      <c r="I12" s="55"/>
      <c r="J12" s="55"/>
      <c r="K12" s="55"/>
      <c r="L12" s="55"/>
    </row>
    <row r="13" spans="1:12" ht="20" x14ac:dyDescent="0.2">
      <c r="A13" s="25" t="s">
        <v>60</v>
      </c>
      <c r="B13" s="52" t="s">
        <v>19</v>
      </c>
      <c r="C13" s="54"/>
      <c r="D13" s="54"/>
      <c r="E13" s="54"/>
      <c r="F13" s="54"/>
      <c r="G13" s="54"/>
      <c r="H13" s="54"/>
      <c r="I13" s="54"/>
      <c r="J13" s="54"/>
      <c r="K13" s="54"/>
      <c r="L13" s="54"/>
    </row>
    <row r="14" spans="1:12" ht="17.149999999999999" customHeight="1" x14ac:dyDescent="0.2">
      <c r="A14" s="109" t="s">
        <v>114</v>
      </c>
      <c r="B14" s="53"/>
      <c r="C14" s="55"/>
      <c r="D14" s="55"/>
      <c r="E14" s="55"/>
      <c r="F14" s="55"/>
      <c r="G14" s="55"/>
      <c r="H14" s="55"/>
      <c r="I14" s="55"/>
      <c r="J14" s="55"/>
      <c r="K14" s="55"/>
      <c r="L14" s="55"/>
    </row>
    <row r="15" spans="1:12" ht="100" customHeight="1" x14ac:dyDescent="0.2">
      <c r="A15" s="25"/>
      <c r="B15" s="57" t="s">
        <v>115</v>
      </c>
      <c r="C15" s="49"/>
      <c r="D15" s="49"/>
      <c r="E15" s="49"/>
      <c r="F15" s="49"/>
      <c r="G15" s="49"/>
      <c r="H15" s="49"/>
      <c r="I15" s="49"/>
      <c r="J15" s="49"/>
      <c r="K15" s="49"/>
      <c r="L15" s="49"/>
    </row>
    <row r="16" spans="1:12" ht="10.5" x14ac:dyDescent="0.2">
      <c r="A16" s="5"/>
      <c r="B16" s="5"/>
      <c r="C16" s="48"/>
    </row>
  </sheetData>
  <mergeCells count="1">
    <mergeCell ref="C9:L9"/>
  </mergeCells>
  <conditionalFormatting sqref="C11:C12">
    <cfRule type="cellIs" dxfId="75" priority="57" operator="equal">
      <formula>""</formula>
    </cfRule>
    <cfRule type="cellIs" dxfId="74" priority="91" operator="equal">
      <formula>group_materiality</formula>
    </cfRule>
    <cfRule type="cellIs" dxfId="73" priority="93" operator="greaterThan">
      <formula>group_materiality</formula>
    </cfRule>
  </conditionalFormatting>
  <conditionalFormatting sqref="C14">
    <cfRule type="cellIs" dxfId="72" priority="29" operator="equal">
      <formula>""</formula>
    </cfRule>
    <cfRule type="cellIs" dxfId="71" priority="81" operator="equal">
      <formula>group_performance_materiality</formula>
    </cfRule>
    <cfRule type="cellIs" dxfId="70" priority="82" operator="greaterThan">
      <formula>group_performance_materiality</formula>
    </cfRule>
  </conditionalFormatting>
  <conditionalFormatting sqref="D11:D12">
    <cfRule type="cellIs" dxfId="69" priority="54" operator="equal">
      <formula>""</formula>
    </cfRule>
    <cfRule type="cellIs" dxfId="68" priority="55" operator="equal">
      <formula>group_materiality</formula>
    </cfRule>
    <cfRule type="cellIs" dxfId="67" priority="56" operator="greaterThan">
      <formula>group_materiality</formula>
    </cfRule>
  </conditionalFormatting>
  <conditionalFormatting sqref="E11:E12">
    <cfRule type="cellIs" dxfId="66" priority="51" operator="equal">
      <formula>""</formula>
    </cfRule>
    <cfRule type="cellIs" dxfId="65" priority="52" operator="equal">
      <formula>group_materiality</formula>
    </cfRule>
    <cfRule type="cellIs" dxfId="64" priority="53" operator="greaterThan">
      <formula>group_materiality</formula>
    </cfRule>
  </conditionalFormatting>
  <conditionalFormatting sqref="F11:F12">
    <cfRule type="cellIs" dxfId="63" priority="48" operator="equal">
      <formula>""</formula>
    </cfRule>
    <cfRule type="cellIs" dxfId="62" priority="49" operator="equal">
      <formula>group_materiality</formula>
    </cfRule>
    <cfRule type="cellIs" dxfId="61" priority="50" operator="greaterThan">
      <formula>group_materiality</formula>
    </cfRule>
  </conditionalFormatting>
  <conditionalFormatting sqref="G11:G12">
    <cfRule type="cellIs" dxfId="60" priority="45" operator="equal">
      <formula>""</formula>
    </cfRule>
    <cfRule type="cellIs" dxfId="59" priority="46" operator="equal">
      <formula>group_materiality</formula>
    </cfRule>
    <cfRule type="cellIs" dxfId="58" priority="47" operator="greaterThan">
      <formula>group_materiality</formula>
    </cfRule>
  </conditionalFormatting>
  <conditionalFormatting sqref="H11:H12">
    <cfRule type="cellIs" dxfId="57" priority="42" operator="equal">
      <formula>""</formula>
    </cfRule>
    <cfRule type="cellIs" dxfId="56" priority="43" operator="equal">
      <formula>group_materiality</formula>
    </cfRule>
    <cfRule type="cellIs" dxfId="55" priority="44" operator="greaterThan">
      <formula>group_materiality</formula>
    </cfRule>
  </conditionalFormatting>
  <conditionalFormatting sqref="I11:I12">
    <cfRule type="cellIs" dxfId="54" priority="39" operator="equal">
      <formula>""</formula>
    </cfRule>
    <cfRule type="cellIs" dxfId="53" priority="40" operator="equal">
      <formula>group_materiality</formula>
    </cfRule>
    <cfRule type="cellIs" dxfId="52" priority="41" operator="greaterThan">
      <formula>group_materiality</formula>
    </cfRule>
  </conditionalFormatting>
  <conditionalFormatting sqref="J11:J12">
    <cfRule type="cellIs" dxfId="51" priority="36" operator="equal">
      <formula>""</formula>
    </cfRule>
    <cfRule type="cellIs" dxfId="50" priority="37" operator="equal">
      <formula>group_materiality</formula>
    </cfRule>
    <cfRule type="cellIs" dxfId="49" priority="38" operator="greaterThan">
      <formula>group_materiality</formula>
    </cfRule>
  </conditionalFormatting>
  <conditionalFormatting sqref="K11:K12">
    <cfRule type="cellIs" dxfId="48" priority="33" operator="equal">
      <formula>""</formula>
    </cfRule>
    <cfRule type="cellIs" dxfId="47" priority="34" operator="equal">
      <formula>group_materiality</formula>
    </cfRule>
    <cfRule type="cellIs" dxfId="46" priority="35" operator="greaterThan">
      <formula>group_materiality</formula>
    </cfRule>
  </conditionalFormatting>
  <conditionalFormatting sqref="L11:L12">
    <cfRule type="cellIs" dxfId="45" priority="30" operator="equal">
      <formula>""</formula>
    </cfRule>
    <cfRule type="cellIs" dxfId="44" priority="31" operator="equal">
      <formula>group_materiality</formula>
    </cfRule>
    <cfRule type="cellIs" dxfId="43" priority="32" operator="greaterThan">
      <formula>group_materiality</formula>
    </cfRule>
  </conditionalFormatting>
  <conditionalFormatting sqref="D14">
    <cfRule type="cellIs" dxfId="42" priority="26" operator="equal">
      <formula>""</formula>
    </cfRule>
    <cfRule type="cellIs" dxfId="41" priority="27" operator="equal">
      <formula>group_performance_materiality</formula>
    </cfRule>
    <cfRule type="cellIs" dxfId="40" priority="28" operator="greaterThan">
      <formula>group_performance_materiality</formula>
    </cfRule>
  </conditionalFormatting>
  <conditionalFormatting sqref="E14">
    <cfRule type="cellIs" dxfId="39" priority="23" operator="equal">
      <formula>""</formula>
    </cfRule>
    <cfRule type="cellIs" dxfId="38" priority="24" operator="equal">
      <formula>group_performance_materiality</formula>
    </cfRule>
    <cfRule type="cellIs" dxfId="37" priority="25" operator="greaterThan">
      <formula>group_performance_materiality</formula>
    </cfRule>
  </conditionalFormatting>
  <conditionalFormatting sqref="F14">
    <cfRule type="cellIs" dxfId="36" priority="20" operator="equal">
      <formula>""</formula>
    </cfRule>
    <cfRule type="cellIs" dxfId="35" priority="21" operator="equal">
      <formula>group_performance_materiality</formula>
    </cfRule>
    <cfRule type="cellIs" dxfId="34" priority="22" operator="greaterThan">
      <formula>group_performance_materiality</formula>
    </cfRule>
  </conditionalFormatting>
  <conditionalFormatting sqref="G14">
    <cfRule type="cellIs" dxfId="33" priority="17" operator="equal">
      <formula>""</formula>
    </cfRule>
    <cfRule type="cellIs" dxfId="32" priority="18" operator="equal">
      <formula>group_performance_materiality</formula>
    </cfRule>
    <cfRule type="cellIs" dxfId="31" priority="19" operator="greaterThan">
      <formula>group_performance_materiality</formula>
    </cfRule>
  </conditionalFormatting>
  <conditionalFormatting sqref="H14">
    <cfRule type="cellIs" dxfId="30" priority="14" operator="equal">
      <formula>""</formula>
    </cfRule>
    <cfRule type="cellIs" dxfId="29" priority="15" operator="equal">
      <formula>group_performance_materiality</formula>
    </cfRule>
    <cfRule type="cellIs" dxfId="28" priority="16" operator="greaterThan">
      <formula>group_performance_materiality</formula>
    </cfRule>
  </conditionalFormatting>
  <conditionalFormatting sqref="I14">
    <cfRule type="cellIs" dxfId="27" priority="11" operator="equal">
      <formula>""</formula>
    </cfRule>
    <cfRule type="cellIs" dxfId="26" priority="12" operator="equal">
      <formula>group_performance_materiality</formula>
    </cfRule>
    <cfRule type="cellIs" dxfId="25" priority="13" operator="greaterThan">
      <formula>group_performance_materiality</formula>
    </cfRule>
  </conditionalFormatting>
  <conditionalFormatting sqref="J14">
    <cfRule type="cellIs" dxfId="24" priority="8" operator="equal">
      <formula>""</formula>
    </cfRule>
    <cfRule type="cellIs" dxfId="23" priority="9" operator="equal">
      <formula>group_performance_materiality</formula>
    </cfRule>
    <cfRule type="cellIs" dxfId="22" priority="10" operator="greaterThan">
      <formula>group_performance_materiality</formula>
    </cfRule>
  </conditionalFormatting>
  <conditionalFormatting sqref="K14">
    <cfRule type="cellIs" dxfId="21" priority="5" operator="equal">
      <formula>""</formula>
    </cfRule>
    <cfRule type="cellIs" dxfId="20" priority="6" operator="equal">
      <formula>group_performance_materiality</formula>
    </cfRule>
    <cfRule type="cellIs" dxfId="19" priority="7" operator="greaterThan">
      <formula>group_performance_materiality</formula>
    </cfRule>
  </conditionalFormatting>
  <conditionalFormatting sqref="L14">
    <cfRule type="cellIs" dxfId="18" priority="2" operator="equal">
      <formula>""</formula>
    </cfRule>
    <cfRule type="cellIs" dxfId="17" priority="3" operator="equal">
      <formula>group_performance_materiality</formula>
    </cfRule>
    <cfRule type="cellIs" dxfId="16" priority="4" operator="greaterThan">
      <formula>group_performance_materiality</formula>
    </cfRule>
  </conditionalFormatting>
  <dataValidations count="1">
    <dataValidation type="list" allowBlank="1" showInputMessage="1" showErrorMessage="1" sqref="C13:L13" xr:uid="{00000000-0002-0000-0300-000000000000}">
      <formula1>ComponentPM</formula1>
    </dataValidation>
  </dataValidations>
  <pageMargins left="0.75" right="0.75" top="1" bottom="1" header="0.5" footer="0.5"/>
  <pageSetup paperSize="9" scale="40" orientation="landscape" horizontalDpi="300"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M26"/>
  <sheetViews>
    <sheetView showGridLines="0" topLeftCell="A16" zoomScaleNormal="100" workbookViewId="0">
      <selection activeCell="B4" sqref="B4:I4"/>
    </sheetView>
  </sheetViews>
  <sheetFormatPr defaultColWidth="9.1796875" defaultRowHeight="13" x14ac:dyDescent="0.3"/>
  <cols>
    <col min="1" max="1" width="12.81640625" style="158" customWidth="1"/>
    <col min="2" max="9" width="12.81640625" style="156" customWidth="1"/>
    <col min="10" max="12" width="9.1796875" style="156"/>
    <col min="13" max="13" width="32.81640625" style="157" customWidth="1"/>
    <col min="14" max="16384" width="9.1796875" style="156"/>
  </cols>
  <sheetData>
    <row r="1" spans="1:13" s="153" customFormat="1" ht="20.149999999999999" customHeight="1" x14ac:dyDescent="0.25">
      <c r="A1" s="151" t="s">
        <v>1</v>
      </c>
      <c r="B1" s="152"/>
      <c r="C1" s="152"/>
      <c r="D1" s="152"/>
      <c r="E1" s="152"/>
      <c r="F1" s="152"/>
      <c r="G1" s="152"/>
      <c r="H1" s="152"/>
      <c r="I1" s="152"/>
      <c r="M1" s="154"/>
    </row>
    <row r="3" spans="1:13" ht="12.75" customHeight="1" x14ac:dyDescent="0.3">
      <c r="A3" s="155" t="s">
        <v>2</v>
      </c>
      <c r="B3" s="179" t="s">
        <v>14</v>
      </c>
      <c r="C3" s="180"/>
      <c r="D3" s="180"/>
      <c r="E3" s="180"/>
      <c r="F3" s="180"/>
      <c r="G3" s="180"/>
      <c r="H3" s="180"/>
      <c r="I3" s="180"/>
    </row>
    <row r="4" spans="1:13" ht="167.25" customHeight="1" x14ac:dyDescent="0.3">
      <c r="B4" s="181" t="s">
        <v>15</v>
      </c>
      <c r="C4" s="182"/>
      <c r="D4" s="182"/>
      <c r="E4" s="182"/>
      <c r="F4" s="182"/>
      <c r="G4" s="182"/>
      <c r="H4" s="182"/>
      <c r="I4" s="182"/>
    </row>
    <row r="5" spans="1:13" ht="13.5" customHeight="1" x14ac:dyDescent="0.3">
      <c r="B5" s="159"/>
      <c r="C5" s="160"/>
      <c r="D5" s="160"/>
      <c r="E5" s="160"/>
      <c r="F5" s="160"/>
      <c r="G5" s="160"/>
      <c r="H5" s="160"/>
      <c r="I5" s="160"/>
    </row>
    <row r="6" spans="1:13" ht="12.75" customHeight="1" x14ac:dyDescent="0.3">
      <c r="A6" s="155"/>
      <c r="B6" s="179" t="s">
        <v>5</v>
      </c>
      <c r="C6" s="180"/>
      <c r="D6" s="180"/>
      <c r="E6" s="180"/>
      <c r="F6" s="180"/>
      <c r="G6" s="180"/>
      <c r="H6" s="180"/>
      <c r="I6" s="180"/>
    </row>
    <row r="7" spans="1:13" ht="168" customHeight="1" x14ac:dyDescent="0.3">
      <c r="B7" s="181" t="s">
        <v>133</v>
      </c>
      <c r="C7" s="182"/>
      <c r="D7" s="182"/>
      <c r="E7" s="182"/>
      <c r="F7" s="182"/>
      <c r="G7" s="182"/>
      <c r="H7" s="182"/>
      <c r="I7" s="182"/>
      <c r="M7" s="161"/>
    </row>
    <row r="8" spans="1:13" ht="30.75" customHeight="1" x14ac:dyDescent="0.3">
      <c r="B8" s="183" t="s">
        <v>78</v>
      </c>
      <c r="C8" s="183"/>
      <c r="D8" s="183"/>
      <c r="E8" s="183"/>
      <c r="F8" s="183"/>
      <c r="G8" s="183"/>
      <c r="H8" s="183"/>
      <c r="I8" s="183"/>
      <c r="M8" s="162"/>
    </row>
    <row r="9" spans="1:13" ht="60" customHeight="1" x14ac:dyDescent="0.3">
      <c r="B9" s="183" t="s">
        <v>134</v>
      </c>
      <c r="C9" s="184"/>
      <c r="D9" s="184"/>
      <c r="E9" s="184"/>
      <c r="F9" s="184"/>
      <c r="G9" s="184"/>
      <c r="H9" s="184"/>
      <c r="I9" s="184"/>
    </row>
    <row r="10" spans="1:13" ht="12.75" customHeight="1" x14ac:dyDescent="0.3">
      <c r="B10" s="159"/>
      <c r="C10" s="160"/>
      <c r="D10" s="160"/>
      <c r="E10" s="160"/>
      <c r="F10" s="160"/>
      <c r="G10" s="160"/>
      <c r="H10" s="160"/>
      <c r="I10" s="160"/>
    </row>
    <row r="11" spans="1:13" ht="12.75" customHeight="1" x14ac:dyDescent="0.3">
      <c r="A11" s="155" t="s">
        <v>4</v>
      </c>
      <c r="B11" s="179" t="s">
        <v>3</v>
      </c>
      <c r="C11" s="180"/>
      <c r="D11" s="180"/>
      <c r="E11" s="180"/>
      <c r="F11" s="180"/>
      <c r="G11" s="180"/>
      <c r="H11" s="180"/>
      <c r="I11" s="180"/>
    </row>
    <row r="12" spans="1:13" ht="28.5" customHeight="1" x14ac:dyDescent="0.3">
      <c r="B12" s="183" t="s">
        <v>135</v>
      </c>
      <c r="C12" s="184"/>
      <c r="D12" s="184"/>
      <c r="E12" s="184"/>
      <c r="F12" s="184"/>
      <c r="G12" s="184"/>
      <c r="H12" s="184"/>
      <c r="I12" s="184"/>
    </row>
    <row r="13" spans="1:13" ht="121.5" customHeight="1" x14ac:dyDescent="0.3">
      <c r="B13" s="185" t="s">
        <v>136</v>
      </c>
      <c r="C13" s="186"/>
      <c r="D13" s="186"/>
      <c r="E13" s="186"/>
      <c r="F13" s="186"/>
      <c r="G13" s="186"/>
      <c r="H13" s="186"/>
      <c r="I13" s="186"/>
    </row>
    <row r="14" spans="1:13" ht="12.75" customHeight="1" x14ac:dyDescent="0.3">
      <c r="B14" s="179" t="s">
        <v>79</v>
      </c>
      <c r="C14" s="180"/>
      <c r="D14" s="180"/>
      <c r="E14" s="180"/>
      <c r="F14" s="180"/>
      <c r="G14" s="180"/>
      <c r="H14" s="180"/>
      <c r="I14" s="180"/>
    </row>
    <row r="15" spans="1:13" ht="53.25" customHeight="1" x14ac:dyDescent="0.3">
      <c r="B15" s="185" t="s">
        <v>137</v>
      </c>
      <c r="C15" s="186"/>
      <c r="D15" s="186"/>
      <c r="E15" s="186"/>
      <c r="F15" s="186"/>
      <c r="G15" s="186"/>
      <c r="H15" s="186"/>
      <c r="I15" s="186"/>
    </row>
    <row r="16" spans="1:13" ht="14.25" customHeight="1" x14ac:dyDescent="0.3"/>
    <row r="17" spans="1:9" ht="12.75" customHeight="1" x14ac:dyDescent="0.3">
      <c r="A17" s="155" t="s">
        <v>6</v>
      </c>
      <c r="B17" s="179" t="s">
        <v>16</v>
      </c>
      <c r="C17" s="180"/>
      <c r="D17" s="180"/>
      <c r="E17" s="180"/>
      <c r="F17" s="180"/>
      <c r="G17" s="180"/>
      <c r="H17" s="180"/>
      <c r="I17" s="180"/>
    </row>
    <row r="18" spans="1:9" ht="185.15" customHeight="1" x14ac:dyDescent="0.3">
      <c r="B18" s="183" t="s">
        <v>138</v>
      </c>
      <c r="C18" s="184"/>
      <c r="D18" s="184"/>
      <c r="E18" s="184"/>
      <c r="F18" s="184"/>
      <c r="G18" s="184"/>
      <c r="H18" s="184"/>
      <c r="I18" s="184"/>
    </row>
    <row r="20" spans="1:9" ht="59.25" customHeight="1" x14ac:dyDescent="0.3">
      <c r="B20" s="185" t="s">
        <v>139</v>
      </c>
      <c r="C20" s="185"/>
      <c r="D20" s="185"/>
      <c r="E20" s="185"/>
      <c r="F20" s="185"/>
      <c r="G20" s="185"/>
      <c r="H20" s="185"/>
      <c r="I20" s="185"/>
    </row>
    <row r="22" spans="1:9" ht="12.75" customHeight="1" x14ac:dyDescent="0.3">
      <c r="A22" s="155" t="s">
        <v>7</v>
      </c>
      <c r="B22" s="179" t="s">
        <v>17</v>
      </c>
      <c r="C22" s="180"/>
      <c r="D22" s="180"/>
      <c r="E22" s="180"/>
      <c r="F22" s="180"/>
      <c r="G22" s="180"/>
      <c r="H22" s="180"/>
      <c r="I22" s="180"/>
    </row>
    <row r="23" spans="1:9" ht="239.5" customHeight="1" x14ac:dyDescent="0.3">
      <c r="B23" s="183" t="s">
        <v>140</v>
      </c>
      <c r="C23" s="184"/>
      <c r="D23" s="184"/>
      <c r="E23" s="184"/>
      <c r="F23" s="184"/>
      <c r="G23" s="184"/>
      <c r="H23" s="184"/>
      <c r="I23" s="184"/>
    </row>
    <row r="25" spans="1:9" x14ac:dyDescent="0.3">
      <c r="B25" s="163"/>
      <c r="C25" s="164"/>
      <c r="D25" s="164"/>
      <c r="E25" s="164"/>
      <c r="F25" s="164"/>
      <c r="G25" s="164"/>
      <c r="H25" s="164"/>
      <c r="I25" s="164"/>
    </row>
    <row r="26" spans="1:9" x14ac:dyDescent="0.3">
      <c r="B26" s="165"/>
      <c r="C26" s="166"/>
      <c r="D26" s="166"/>
      <c r="E26" s="166"/>
      <c r="F26" s="166"/>
      <c r="G26" s="166"/>
      <c r="H26" s="166"/>
      <c r="I26" s="166"/>
    </row>
  </sheetData>
  <customSheetViews>
    <customSheetView guid="{DF8478C2-EAAC-4D1F-A2F6-76182AE83642}" scale="90">
      <selection activeCell="B42" sqref="B42:I42"/>
      <rowBreaks count="2" manualBreakCount="2">
        <brk id="11" max="16383" man="1"/>
        <brk id="40" max="16383" man="1"/>
      </rowBreaks>
      <pageMargins left="0.75" right="0.75" top="1" bottom="1" header="0.5" footer="0.5"/>
      <pageSetup scale="84" orientation="portrait" r:id="rId1"/>
      <headerFooter alignWithMargins="0"/>
    </customSheetView>
    <customSheetView guid="{BD18EF39-8F88-4267-80D6-F790349F210B}" scale="90" topLeftCell="A29">
      <selection activeCell="B29" sqref="B29:I29"/>
      <rowBreaks count="2" manualBreakCount="2">
        <brk id="11" max="16383" man="1"/>
        <brk id="40" max="16383" man="1"/>
      </rowBreaks>
      <pageMargins left="0.75" right="0.75" top="1" bottom="1" header="0.5" footer="0.5"/>
      <pageSetup scale="84" orientation="portrait" r:id="rId2"/>
      <headerFooter alignWithMargins="0"/>
    </customSheetView>
    <customSheetView guid="{2253DBF7-981C-4B16-A4F8-F797CE7BAACF}" scale="90">
      <selection activeCell="B42" sqref="B42:I42"/>
      <rowBreaks count="2" manualBreakCount="2">
        <brk id="11" max="16383" man="1"/>
        <brk id="40" max="16383" man="1"/>
      </rowBreaks>
      <pageMargins left="0.75" right="0.75" top="1" bottom="1" header="0.5" footer="0.5"/>
      <pageSetup scale="84" orientation="portrait" r:id="rId3"/>
      <headerFooter alignWithMargins="0"/>
    </customSheetView>
  </customSheetViews>
  <mergeCells count="16">
    <mergeCell ref="B22:I22"/>
    <mergeCell ref="B23:I23"/>
    <mergeCell ref="B15:I15"/>
    <mergeCell ref="B17:I17"/>
    <mergeCell ref="B18:I18"/>
    <mergeCell ref="B20:I20"/>
    <mergeCell ref="B3:I3"/>
    <mergeCell ref="B4:I4"/>
    <mergeCell ref="B11:I11"/>
    <mergeCell ref="B12:I12"/>
    <mergeCell ref="B14:I14"/>
    <mergeCell ref="B8:I8"/>
    <mergeCell ref="B6:I6"/>
    <mergeCell ref="B7:I7"/>
    <mergeCell ref="B9:I9"/>
    <mergeCell ref="B13:I13"/>
  </mergeCells>
  <pageMargins left="0.75" right="0.75" top="1" bottom="1" header="0.5" footer="0.5"/>
  <pageSetup scale="84" orientation="portrait" r:id="rId4"/>
  <headerFooter alignWithMargins="0"/>
  <rowBreaks count="2" manualBreakCount="2">
    <brk id="10" max="16383" man="1"/>
    <brk id="21" max="16383"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A1:H38"/>
  <sheetViews>
    <sheetView showGridLines="0" tabSelected="1" topLeftCell="A7" zoomScaleNormal="100" zoomScaleSheetLayoutView="102" workbookViewId="0">
      <selection activeCell="C20" sqref="C20"/>
    </sheetView>
  </sheetViews>
  <sheetFormatPr defaultColWidth="9.1796875" defaultRowHeight="10.5" x14ac:dyDescent="0.2"/>
  <cols>
    <col min="1" max="1" width="26.81640625" style="2" customWidth="1"/>
    <col min="2" max="2" width="32.7265625" style="3" customWidth="1"/>
    <col min="3" max="5" width="30.81640625" style="3" customWidth="1"/>
    <col min="6" max="6" width="23.1796875" style="3" customWidth="1"/>
    <col min="7" max="7" width="12.54296875" style="3" customWidth="1"/>
    <col min="8" max="8" width="12.81640625" style="3" customWidth="1"/>
    <col min="9" max="16384" width="9.1796875" style="3"/>
  </cols>
  <sheetData>
    <row r="1" spans="1:8" ht="20.149999999999999" customHeight="1" x14ac:dyDescent="0.2">
      <c r="A1" s="125" t="s">
        <v>22</v>
      </c>
      <c r="B1" s="126"/>
      <c r="C1" s="126"/>
      <c r="D1" s="126"/>
      <c r="E1" s="126"/>
      <c r="F1" s="126"/>
      <c r="G1" s="126"/>
      <c r="H1" s="127"/>
    </row>
    <row r="2" spans="1:8" s="1" customFormat="1" ht="29.25" customHeight="1" x14ac:dyDescent="0.2">
      <c r="A2" s="193" t="s">
        <v>23</v>
      </c>
      <c r="B2" s="194"/>
      <c r="C2" s="194"/>
      <c r="D2" s="194"/>
      <c r="E2" s="194"/>
      <c r="F2" s="194"/>
      <c r="G2" s="194"/>
      <c r="H2" s="195"/>
    </row>
    <row r="3" spans="1:8" s="1" customFormat="1" x14ac:dyDescent="0.2">
      <c r="A3" s="128"/>
      <c r="B3" s="129"/>
      <c r="C3" s="129"/>
      <c r="D3" s="129"/>
      <c r="E3" s="129"/>
      <c r="F3" s="129"/>
      <c r="G3" s="129"/>
      <c r="H3" s="130"/>
    </row>
    <row r="4" spans="1:8" s="1" customFormat="1" ht="18" customHeight="1" x14ac:dyDescent="0.25">
      <c r="A4" s="200" t="s">
        <v>72</v>
      </c>
      <c r="B4" s="196" t="s">
        <v>25</v>
      </c>
      <c r="C4" s="197"/>
      <c r="D4" s="198" t="s">
        <v>26</v>
      </c>
      <c r="E4" s="199"/>
      <c r="F4" s="22"/>
      <c r="G4" s="22"/>
      <c r="H4" s="131" t="s">
        <v>132</v>
      </c>
    </row>
    <row r="5" spans="1:8" s="1" customFormat="1" ht="26.25" customHeight="1" x14ac:dyDescent="0.2">
      <c r="A5" s="201"/>
      <c r="B5" s="202" t="s">
        <v>24</v>
      </c>
      <c r="C5" s="203"/>
      <c r="D5" s="204" t="s">
        <v>87</v>
      </c>
      <c r="E5" s="205"/>
      <c r="F5" s="23"/>
      <c r="G5" s="23"/>
      <c r="H5" s="132"/>
    </row>
    <row r="6" spans="1:8" s="1" customFormat="1" x14ac:dyDescent="0.25">
      <c r="A6" s="9" t="s">
        <v>117</v>
      </c>
      <c r="B6" s="187" t="s">
        <v>128</v>
      </c>
      <c r="C6" s="188"/>
      <c r="D6" s="189" t="s">
        <v>129</v>
      </c>
      <c r="E6" s="190"/>
      <c r="F6" s="11"/>
      <c r="G6" s="11"/>
      <c r="H6" s="132"/>
    </row>
    <row r="7" spans="1:8" s="1" customFormat="1" x14ac:dyDescent="0.25">
      <c r="A7" s="9" t="s">
        <v>118</v>
      </c>
      <c r="B7" s="191" t="s">
        <v>126</v>
      </c>
      <c r="C7" s="192"/>
      <c r="D7" s="189" t="s">
        <v>127</v>
      </c>
      <c r="E7" s="190"/>
      <c r="F7" s="11"/>
      <c r="G7" s="11"/>
      <c r="H7" s="132"/>
    </row>
    <row r="8" spans="1:8" s="1" customFormat="1" x14ac:dyDescent="0.25">
      <c r="A8" s="9" t="s">
        <v>119</v>
      </c>
      <c r="B8" s="187" t="s">
        <v>123</v>
      </c>
      <c r="C8" s="188"/>
      <c r="D8" s="189" t="s">
        <v>120</v>
      </c>
      <c r="E8" s="190"/>
      <c r="F8" s="11"/>
      <c r="G8" s="11"/>
      <c r="H8" s="132"/>
    </row>
    <row r="9" spans="1:8" s="1" customFormat="1" x14ac:dyDescent="0.25">
      <c r="A9" s="9" t="s">
        <v>124</v>
      </c>
      <c r="B9" s="189" t="s">
        <v>121</v>
      </c>
      <c r="C9" s="190"/>
      <c r="D9" s="189" t="s">
        <v>122</v>
      </c>
      <c r="E9" s="190"/>
      <c r="F9" s="11"/>
      <c r="G9" s="11"/>
      <c r="H9" s="130"/>
    </row>
    <row r="10" spans="1:8" s="1" customFormat="1" x14ac:dyDescent="0.2">
      <c r="A10" s="128"/>
      <c r="B10" s="129"/>
      <c r="C10" s="129"/>
      <c r="D10" s="129"/>
      <c r="E10" s="129"/>
      <c r="F10" s="129"/>
      <c r="G10" s="129"/>
      <c r="H10" s="130"/>
    </row>
    <row r="11" spans="1:8" s="1" customFormat="1" ht="39.75" customHeight="1" x14ac:dyDescent="0.2">
      <c r="A11" s="208" t="s">
        <v>27</v>
      </c>
      <c r="B11" s="209"/>
      <c r="C11" s="209"/>
      <c r="D11" s="209"/>
      <c r="E11" s="209"/>
      <c r="F11" s="209"/>
      <c r="G11" s="209"/>
      <c r="H11" s="210"/>
    </row>
    <row r="12" spans="1:8" s="1" customFormat="1" x14ac:dyDescent="0.2">
      <c r="A12" s="128"/>
      <c r="B12" s="129"/>
      <c r="C12" s="129"/>
      <c r="D12" s="129"/>
      <c r="E12" s="129"/>
      <c r="F12" s="129"/>
      <c r="G12" s="129"/>
      <c r="H12" s="130"/>
    </row>
    <row r="13" spans="1:8" s="1" customFormat="1" ht="36.75" customHeight="1" x14ac:dyDescent="0.2">
      <c r="A13" s="106" t="s">
        <v>89</v>
      </c>
      <c r="B13" s="92">
        <v>1</v>
      </c>
      <c r="C13" s="105" t="s">
        <v>90</v>
      </c>
      <c r="D13" s="90"/>
      <c r="E13" s="90"/>
      <c r="F13" s="90"/>
      <c r="G13" s="90"/>
      <c r="H13" s="91"/>
    </row>
    <row r="14" spans="1:8" s="1" customFormat="1" ht="25.5" customHeight="1" x14ac:dyDescent="0.2">
      <c r="A14" s="223" t="str">
        <f>IF(AND(OR(BM_number=1,BM_number=""),benchmark1="EBITDA"),"Ordinarily, non-GAAP measures such as EBITDA will be used in combination with another benchmark when determining materiality (see materiality guide for details)","")</f>
        <v/>
      </c>
      <c r="B14" s="224"/>
      <c r="C14" s="224"/>
      <c r="D14" s="224"/>
      <c r="E14" s="224"/>
      <c r="F14" s="224"/>
      <c r="G14" s="224"/>
      <c r="H14" s="225"/>
    </row>
    <row r="15" spans="1:8" s="4" customFormat="1" ht="20.149999999999999" customHeight="1" x14ac:dyDescent="0.2">
      <c r="A15" s="107" t="s">
        <v>28</v>
      </c>
      <c r="B15" s="108" t="str">
        <f>IF(BM_number&lt;&gt;1, "Workings - benchmark 1","Calculations")</f>
        <v>Calculations</v>
      </c>
      <c r="C15" s="108" t="s">
        <v>109</v>
      </c>
      <c r="D15" s="108" t="s">
        <v>110</v>
      </c>
      <c r="E15" s="206" t="s">
        <v>29</v>
      </c>
      <c r="F15" s="207"/>
      <c r="G15" s="108" t="s">
        <v>35</v>
      </c>
      <c r="H15" s="108" t="s">
        <v>30</v>
      </c>
    </row>
    <row r="16" spans="1:8" ht="24.75" customHeight="1" x14ac:dyDescent="0.2">
      <c r="A16" s="133" t="s">
        <v>32</v>
      </c>
      <c r="B16" s="141" t="s">
        <v>38</v>
      </c>
      <c r="C16" s="95"/>
      <c r="D16" s="95"/>
      <c r="E16" s="217" t="s">
        <v>116</v>
      </c>
      <c r="F16" s="218"/>
      <c r="G16" s="122" t="s">
        <v>131</v>
      </c>
      <c r="H16" s="63"/>
    </row>
    <row r="17" spans="1:8" ht="24.75" customHeight="1" x14ac:dyDescent="0.2">
      <c r="A17" s="28" t="str">
        <f>IF(OR(benchmark1="Other",benchmark2="Other",benchmark3="Other"),"Describe benchmark:","")</f>
        <v/>
      </c>
      <c r="B17" s="34" t="s">
        <v>125</v>
      </c>
      <c r="C17" s="34"/>
      <c r="D17" s="34"/>
      <c r="E17" s="219"/>
      <c r="F17" s="219"/>
      <c r="G17" s="15"/>
      <c r="H17" s="19"/>
    </row>
    <row r="18" spans="1:8" ht="24.75" customHeight="1" x14ac:dyDescent="0.2">
      <c r="A18" s="133" t="s">
        <v>0</v>
      </c>
      <c r="B18" s="139">
        <v>63313374.229999989</v>
      </c>
      <c r="C18" s="138"/>
      <c r="D18" s="138"/>
      <c r="E18" s="220"/>
      <c r="F18" s="219"/>
      <c r="G18" s="15"/>
      <c r="H18" s="10"/>
    </row>
    <row r="19" spans="1:8" x14ac:dyDescent="0.2">
      <c r="A19" s="28"/>
      <c r="B19" s="150"/>
      <c r="C19" s="119"/>
      <c r="D19" s="119"/>
      <c r="E19" s="121"/>
      <c r="F19" s="121"/>
      <c r="G19" s="15"/>
      <c r="H19" s="10"/>
    </row>
    <row r="20" spans="1:8" ht="12" thickBot="1" x14ac:dyDescent="0.25">
      <c r="A20" s="133" t="s">
        <v>31</v>
      </c>
      <c r="B20" s="142" t="s">
        <v>143</v>
      </c>
      <c r="C20" s="118"/>
      <c r="D20" s="118"/>
      <c r="E20" s="117"/>
      <c r="F20" s="96"/>
      <c r="G20" s="16"/>
      <c r="H20" s="14" t="s">
        <v>2</v>
      </c>
    </row>
    <row r="21" spans="1:8" ht="48" customHeight="1" thickTop="1" x14ac:dyDescent="0.2">
      <c r="A21" s="28"/>
      <c r="B21" s="82" t="str">
        <f>IF(AND(benchmark1&lt;&gt;"",benchmark1&lt;&gt;"Other"),IF(VLOOKUP(benchmark1,benchmark_ranges,2,FALSE)&lt;&gt;VLOOKUP(benchmark1,benchmark_ranges,3,FALSE),"Expected range of factor: "&amp;(VLOOKUP(benchmark1,benchmark_ranges,2,FALSE)*100)&amp;"-"&amp;(VLOOKUP(benchmark1,benchmark_ranges,3,FALSE)*100),"Expected factor: "&amp;(VLOOKUP(benchmark1,benchmark_ranges,2,FALSE)*100))&amp; "%" &amp; VLOOKUP(benchmark1,benchmark_ranges,4,FALSE) &amp; ". See materiality guide for details","")</f>
        <v>Expected range of factor: 0.8-5%. See materiality guide for details</v>
      </c>
      <c r="C21" s="82"/>
      <c r="D21" s="82"/>
      <c r="E21" s="96"/>
      <c r="F21" s="96"/>
      <c r="G21" s="16"/>
      <c r="H21" s="14" t="s">
        <v>4</v>
      </c>
    </row>
    <row r="22" spans="1:8" ht="24.75" customHeight="1" x14ac:dyDescent="0.2">
      <c r="A22" s="133" t="s">
        <v>33</v>
      </c>
      <c r="B22" s="143">
        <v>8.0000000000000002E-3</v>
      </c>
      <c r="C22" s="116"/>
      <c r="D22" s="116"/>
      <c r="E22" s="220" t="s">
        <v>91</v>
      </c>
      <c r="F22" s="219"/>
      <c r="G22" s="122" t="s">
        <v>131</v>
      </c>
      <c r="H22" s="19"/>
    </row>
    <row r="23" spans="1:8" ht="25" customHeight="1" x14ac:dyDescent="0.2">
      <c r="A23" s="28"/>
      <c r="B23" s="81" t="str">
        <f>IFERROR(IF(benchmark1&lt;&gt;"Other",IF(factor1&lt;&gt;"",IF(factor1&gt;VLOOKUP(benchmark1,benchmark_ranges,3,FALSE),"The factor is outside the expected range, please document your considerations",""),""),""),"")</f>
        <v/>
      </c>
      <c r="C23" s="81"/>
      <c r="D23" s="81"/>
      <c r="E23" s="13"/>
      <c r="F23" s="13"/>
      <c r="G23" s="18"/>
      <c r="H23" s="10"/>
    </row>
    <row r="24" spans="1:8" ht="24.75" customHeight="1" thickBot="1" x14ac:dyDescent="0.35">
      <c r="A24" s="134" t="s">
        <v>108</v>
      </c>
      <c r="B24" s="144">
        <f>benchmark1_bal*factor1</f>
        <v>506506.99383999995</v>
      </c>
      <c r="C24" s="24"/>
      <c r="D24" s="24"/>
      <c r="E24" s="17"/>
      <c r="F24" s="13"/>
      <c r="G24" s="8"/>
      <c r="H24" s="10"/>
    </row>
    <row r="25" spans="1:8" ht="15" customHeight="1" thickTop="1" x14ac:dyDescent="0.2">
      <c r="A25" s="28"/>
      <c r="B25" s="32"/>
      <c r="C25" s="29"/>
      <c r="D25" s="29"/>
      <c r="E25" s="12"/>
      <c r="F25" s="12"/>
      <c r="G25" s="8"/>
      <c r="H25" s="10"/>
    </row>
    <row r="26" spans="1:8" s="124" customFormat="1" ht="24" customHeight="1" thickBot="1" x14ac:dyDescent="0.35">
      <c r="A26" s="107" t="s">
        <v>34</v>
      </c>
      <c r="B26" s="145">
        <f>ROUNDDOWN(B24,-4)</f>
        <v>500000</v>
      </c>
      <c r="C26" s="213" t="str">
        <f>"Determining materiality is not a mechanical exercise, it requires us to apply professional judgment.  "&amp;IF(BM_number&lt;&gt;1," Where multiple benchmarks have been used in the determination, the determined materiality may fall within the range and not determined based on one specific benchmark.","") &amp;" This is the amount that should be entered as 'materiality'."</f>
        <v>Determining materiality is not a mechanical exercise, it requires us to apply professional judgment.   This is the amount that should be entered as 'materiality'.</v>
      </c>
      <c r="D26" s="214"/>
      <c r="E26" s="215" t="s">
        <v>98</v>
      </c>
      <c r="F26" s="216"/>
      <c r="G26" s="122" t="s">
        <v>131</v>
      </c>
      <c r="H26" s="123"/>
    </row>
    <row r="27" spans="1:8" ht="15.75" customHeight="1" thickTop="1" x14ac:dyDescent="0.25">
      <c r="A27" s="28"/>
      <c r="B27" s="33"/>
      <c r="C27" s="31"/>
      <c r="D27" s="31"/>
      <c r="E27" s="136"/>
      <c r="F27" s="136"/>
      <c r="G27" s="20"/>
      <c r="H27" s="10"/>
    </row>
    <row r="28" spans="1:8" ht="24.75" customHeight="1" x14ac:dyDescent="0.25">
      <c r="A28" s="135" t="s">
        <v>100</v>
      </c>
      <c r="B28" s="146">
        <f>ROUND(Materiality*0.75,-3)</f>
        <v>375000</v>
      </c>
      <c r="C28" s="221" t="s">
        <v>106</v>
      </c>
      <c r="D28" s="222"/>
      <c r="E28" s="215" t="s">
        <v>21</v>
      </c>
      <c r="F28" s="216"/>
      <c r="G28" s="122" t="s">
        <v>131</v>
      </c>
      <c r="H28" s="14" t="s">
        <v>6</v>
      </c>
    </row>
    <row r="29" spans="1:8" x14ac:dyDescent="0.25">
      <c r="A29" s="28"/>
      <c r="B29" s="137"/>
      <c r="C29" s="226" t="str">
        <f>IF(Performance_materiality&gt;Materiality*0.8,"For audits of listed entities, if the amount determined as PM is greater than 80% of materiality, the engagement partner shall consult with the NPPD [AAM 13100.29B]","")</f>
        <v/>
      </c>
      <c r="D29" s="227"/>
      <c r="E29" s="121"/>
      <c r="F29" s="121"/>
      <c r="G29" s="7"/>
      <c r="H29" s="19"/>
    </row>
    <row r="30" spans="1:8" s="6" customFormat="1" ht="24.75" customHeight="1" x14ac:dyDescent="0.3">
      <c r="A30" s="133" t="s">
        <v>8</v>
      </c>
      <c r="B30" s="147">
        <v>0.05</v>
      </c>
      <c r="C30" s="211" t="str">
        <f>"Up to "&amp; (max_CTT*100) &amp;"% of materiality."</f>
        <v>Up to 5% of materiality.</v>
      </c>
      <c r="D30" s="212"/>
      <c r="E30" s="26"/>
      <c r="F30" s="26"/>
      <c r="G30" s="7"/>
      <c r="H30" s="35"/>
    </row>
    <row r="31" spans="1:8" s="6" customFormat="1" ht="6.75" customHeight="1" x14ac:dyDescent="0.3">
      <c r="A31" s="28"/>
      <c r="B31" s="148"/>
      <c r="C31" s="120"/>
      <c r="D31" s="120"/>
      <c r="E31" s="26"/>
      <c r="F31" s="26"/>
      <c r="G31" s="7"/>
      <c r="H31" s="35"/>
    </row>
    <row r="32" spans="1:8" ht="24.75" customHeight="1" x14ac:dyDescent="0.3">
      <c r="A32" s="134" t="s">
        <v>107</v>
      </c>
      <c r="B32" s="144">
        <f>ROUNDDOWN(B30*B26,-3)</f>
        <v>25000</v>
      </c>
      <c r="C32" s="17"/>
      <c r="D32" s="30"/>
      <c r="E32" s="26"/>
      <c r="F32" s="26"/>
      <c r="G32" s="35"/>
      <c r="H32" s="18"/>
    </row>
    <row r="33" spans="1:8" ht="8.25" customHeight="1" x14ac:dyDescent="0.3">
      <c r="A33" s="28"/>
      <c r="B33" s="149"/>
      <c r="C33" s="86"/>
      <c r="D33" s="32"/>
      <c r="E33" s="26"/>
      <c r="F33" s="26"/>
      <c r="G33" s="36"/>
      <c r="H33" s="21"/>
    </row>
    <row r="34" spans="1:8" ht="24.75" customHeight="1" thickBot="1" x14ac:dyDescent="0.35">
      <c r="A34" s="109" t="s">
        <v>36</v>
      </c>
      <c r="B34" s="145">
        <f>ROUNDDOWN(B32,-3)</f>
        <v>25000</v>
      </c>
      <c r="C34" s="213" t="s">
        <v>75</v>
      </c>
      <c r="D34" s="214"/>
      <c r="E34" s="215" t="s">
        <v>13</v>
      </c>
      <c r="F34" s="216"/>
      <c r="G34" s="122" t="s">
        <v>131</v>
      </c>
      <c r="H34" s="37" t="s">
        <v>7</v>
      </c>
    </row>
    <row r="35" spans="1:8" ht="11" thickTop="1" x14ac:dyDescent="0.2"/>
    <row r="37" spans="1:8" x14ac:dyDescent="0.2">
      <c r="A37" s="2" t="s">
        <v>142</v>
      </c>
      <c r="B37" s="3" t="s">
        <v>130</v>
      </c>
    </row>
    <row r="38" spans="1:8" ht="12.5" x14ac:dyDescent="0.25">
      <c r="C38" s="140" t="s">
        <v>141</v>
      </c>
    </row>
  </sheetData>
  <sheetProtection formatCells="0" formatColumns="0" formatRows="0" insertColumns="0" insertRows="0" deleteColumns="0" deleteRows="0" sort="0" autoFilter="0"/>
  <protectedRanges>
    <protectedRange password="DF8D" sqref="C27:C29 B15:D15 B20:B29 D26:D29 B16 D16:D17 C20:D21 D22 C23:D25 B18:D19" name="Range1_1"/>
    <protectedRange password="DF8D" sqref="C16" name="Range1_1_1"/>
    <protectedRange password="DF8D" sqref="B17:C17" name="Range1_1_2"/>
    <protectedRange password="DF8D" sqref="C22" name="Range1_1_3"/>
  </protectedRanges>
  <dataConsolidate/>
  <customSheetViews>
    <customSheetView guid="{DF8478C2-EAAC-4D1F-A2F6-76182AE83642}" scale="110" fitToPage="1" hiddenColumns="1">
      <selection activeCell="A7" sqref="A7"/>
      <pageMargins left="1" right="1" top="1.25" bottom="1" header="0.5" footer="0.5"/>
      <pageSetup scale="72" orientation="landscape" horizontalDpi="1200" verticalDpi="1200" r:id="rId1"/>
      <headerFooter alignWithMargins="0"/>
    </customSheetView>
    <customSheetView guid="{BD18EF39-8F88-4267-80D6-F790349F210B}" scale="110" fitToPage="1" hiddenColumns="1">
      <selection activeCell="A7" sqref="A7"/>
      <pageMargins left="1" right="1" top="1.25" bottom="1" header="0.5" footer="0.5"/>
      <pageSetup scale="72" orientation="landscape" horizontalDpi="1200" verticalDpi="1200" r:id="rId2"/>
      <headerFooter alignWithMargins="0"/>
    </customSheetView>
    <customSheetView guid="{D334E599-A6CA-4CE0-AF01-FF33D6B9879A}" fitToPage="1" hiddenColumns="1" showRuler="0" topLeftCell="A14">
      <selection activeCell="A19" sqref="A19:E19"/>
      <pageMargins left="1" right="1" top="1.25" bottom="1" header="0.5" footer="0.5"/>
      <pageSetup scale="61" orientation="portrait" horizontalDpi="4294967292" verticalDpi="4294967292" r:id="rId3"/>
      <headerFooter alignWithMargins="0"/>
    </customSheetView>
    <customSheetView guid="{2253DBF7-981C-4B16-A4F8-F797CE7BAACF}" scale="110" fitToPage="1" hiddenColumns="1">
      <selection activeCell="A7" sqref="A7"/>
      <pageMargins left="1" right="1" top="1.25" bottom="1" header="0.5" footer="0.5"/>
      <pageSetup scale="72" orientation="landscape" horizontalDpi="1200" verticalDpi="1200" r:id="rId4"/>
      <headerFooter alignWithMargins="0"/>
    </customSheetView>
  </customSheetViews>
  <mergeCells count="27">
    <mergeCell ref="E15:F15"/>
    <mergeCell ref="A11:H11"/>
    <mergeCell ref="C30:D30"/>
    <mergeCell ref="C26:D26"/>
    <mergeCell ref="C34:D34"/>
    <mergeCell ref="E34:F34"/>
    <mergeCell ref="E16:F18"/>
    <mergeCell ref="E22:F22"/>
    <mergeCell ref="E26:F26"/>
    <mergeCell ref="C28:D28"/>
    <mergeCell ref="E28:F28"/>
    <mergeCell ref="A14:H14"/>
    <mergeCell ref="C29:D29"/>
    <mergeCell ref="A2:H2"/>
    <mergeCell ref="B4:C4"/>
    <mergeCell ref="D4:E4"/>
    <mergeCell ref="A4:A5"/>
    <mergeCell ref="B5:C5"/>
    <mergeCell ref="D5:E5"/>
    <mergeCell ref="B6:C6"/>
    <mergeCell ref="B9:C9"/>
    <mergeCell ref="D6:E6"/>
    <mergeCell ref="D7:E7"/>
    <mergeCell ref="D8:E8"/>
    <mergeCell ref="D9:E9"/>
    <mergeCell ref="B7:C7"/>
    <mergeCell ref="B8:C8"/>
  </mergeCells>
  <phoneticPr fontId="0" type="noConversion"/>
  <conditionalFormatting sqref="B23">
    <cfRule type="containsText" dxfId="15" priority="42" operator="containsText" text="outside the expected range">
      <formula>NOT(ISERROR(SEARCH("outside the expected range",B23)))</formula>
    </cfRule>
  </conditionalFormatting>
  <conditionalFormatting sqref="D23">
    <cfRule type="containsText" dxfId="14" priority="38" operator="containsText" text="outside the expected range">
      <formula>NOT(ISERROR(SEARCH("outside the expected range",D23)))</formula>
    </cfRule>
  </conditionalFormatting>
  <conditionalFormatting sqref="D17">
    <cfRule type="expression" dxfId="13" priority="36">
      <formula>benchmark3="Other"</formula>
    </cfRule>
  </conditionalFormatting>
  <conditionalFormatting sqref="B30">
    <cfRule type="expression" dxfId="12" priority="31">
      <formula>CTT_percent&gt;max_CTT</formula>
    </cfRule>
  </conditionalFormatting>
  <conditionalFormatting sqref="D16">
    <cfRule type="expression" dxfId="11" priority="25">
      <formula>OR(BM_number=1,BM_number=2)</formula>
    </cfRule>
  </conditionalFormatting>
  <conditionalFormatting sqref="D22">
    <cfRule type="expression" dxfId="10" priority="22">
      <formula>OR(BM_number=1,BM_number=2)</formula>
    </cfRule>
  </conditionalFormatting>
  <conditionalFormatting sqref="D24">
    <cfRule type="expression" dxfId="9" priority="21">
      <formula>OR(BM_number=1,BM_number=2)</formula>
    </cfRule>
  </conditionalFormatting>
  <conditionalFormatting sqref="A14:H14">
    <cfRule type="expression" dxfId="8" priority="18">
      <formula>$A$14&lt;&gt;""</formula>
    </cfRule>
  </conditionalFormatting>
  <conditionalFormatting sqref="D18:D20">
    <cfRule type="expression" dxfId="7" priority="11">
      <formula>OR(BM_number=1,BM_number=2)</formula>
    </cfRule>
  </conditionalFormatting>
  <conditionalFormatting sqref="B17">
    <cfRule type="expression" dxfId="6" priority="9">
      <formula>benchmark1="Other"</formula>
    </cfRule>
  </conditionalFormatting>
  <conditionalFormatting sqref="C23">
    <cfRule type="containsText" dxfId="5" priority="6" operator="containsText" text="outside the expected range">
      <formula>NOT(ISERROR(SEARCH("outside the expected range",C23)))</formula>
    </cfRule>
  </conditionalFormatting>
  <conditionalFormatting sqref="C17">
    <cfRule type="expression" dxfId="4" priority="5">
      <formula>benchmark3="Other"</formula>
    </cfRule>
  </conditionalFormatting>
  <conditionalFormatting sqref="C16">
    <cfRule type="expression" dxfId="3" priority="4">
      <formula>OR(BM_number=1,BM_number=2)</formula>
    </cfRule>
  </conditionalFormatting>
  <conditionalFormatting sqref="C22">
    <cfRule type="expression" dxfId="2" priority="3">
      <formula>OR(BM_number=1,BM_number=2)</formula>
    </cfRule>
  </conditionalFormatting>
  <conditionalFormatting sqref="C24">
    <cfRule type="expression" dxfId="1" priority="2">
      <formula>OR(BM_number=1,BM_number=2)</formula>
    </cfRule>
  </conditionalFormatting>
  <conditionalFormatting sqref="C18:C20">
    <cfRule type="expression" dxfId="0" priority="1">
      <formula>OR(BM_number=1,BM_number=2)</formula>
    </cfRule>
  </conditionalFormatting>
  <dataValidations count="4">
    <dataValidation errorStyle="warning" allowBlank="1" showInputMessage="1" showErrorMessage="1" errorTitle="DO NOT ENTER A FACTOR HERE" promptTitle="If Revenue is selected...do not " sqref="B22:D22" xr:uid="{00000000-0002-0000-0500-000000000000}"/>
    <dataValidation type="list" allowBlank="1" showInputMessage="1" showErrorMessage="1" sqref="B16 D16" xr:uid="{00000000-0002-0000-0500-000001000000}">
      <formula1>Benchmarks</formula1>
    </dataValidation>
    <dataValidation type="list" allowBlank="1" showInputMessage="1" showErrorMessage="1" sqref="B13" xr:uid="{00000000-0002-0000-0500-000002000000}">
      <formula1>benchmark_numbers</formula1>
    </dataValidation>
    <dataValidation type="list" allowBlank="1" showInputMessage="1" showErrorMessage="1" sqref="C16" xr:uid="{00000000-0002-0000-0500-000003000000}">
      <formula1>Revenue</formula1>
    </dataValidation>
  </dataValidations>
  <hyperlinks>
    <hyperlink ref="H34" location="Note_6" display="Note 6" xr:uid="{00000000-0004-0000-0500-000000000000}"/>
    <hyperlink ref="H28" location="Note_5" display="Note 5" xr:uid="{00000000-0004-0000-0500-000001000000}"/>
    <hyperlink ref="H20" location="Note_1" display="Note 1" xr:uid="{00000000-0004-0000-0500-000002000000}"/>
    <hyperlink ref="H21" location="Note_3" display="Note 3" xr:uid="{00000000-0004-0000-0500-000003000000}"/>
    <hyperlink ref="C38" r:id="rId5" xr:uid="{00000000-0004-0000-0500-000004000000}"/>
  </hyperlinks>
  <pageMargins left="1" right="1" top="1.25" bottom="1" header="0.5" footer="0.5"/>
  <pageSetup scale="58" orientation="landscape" horizontalDpi="1200" verticalDpi="1200" r:id="rId6"/>
  <headerFooter alignWithMargins="0"/>
  <ignoredErrors>
    <ignoredError sqref="A17" unlockedFormula="1"/>
  </ignoredErrors>
  <drawing r:id="rId7"/>
  <legacyDrawing r:id="rId8"/>
  <mc:AlternateContent xmlns:mc="http://schemas.openxmlformats.org/markup-compatibility/2006">
    <mc:Choice Requires="x14">
      <controls>
        <mc:AlternateContent xmlns:mc="http://schemas.openxmlformats.org/markup-compatibility/2006">
          <mc:Choice Requires="x14">
            <control shapeId="2099" r:id="rId9" name="Drop Down 51">
              <controlPr defaultSize="0" autoFill="0" autoLine="0" autoPict="0" macro="[0]!DropDownColumn_H_Change">
                <anchor moveWithCells="1">
                  <from>
                    <xdr:col>0</xdr:col>
                    <xdr:colOff>717550</xdr:colOff>
                    <xdr:row>1</xdr:row>
                    <xdr:rowOff>88900</xdr:rowOff>
                  </from>
                  <to>
                    <xdr:col>0</xdr:col>
                    <xdr:colOff>1212850</xdr:colOff>
                    <xdr:row>1</xdr:row>
                    <xdr:rowOff>184150</xdr:rowOff>
                  </to>
                </anchor>
              </controlPr>
            </control>
          </mc:Choice>
        </mc:AlternateContent>
        <mc:AlternateContent xmlns:mc="http://schemas.openxmlformats.org/markup-compatibility/2006">
          <mc:Choice Requires="x14">
            <control shapeId="2103" r:id="rId10" name="Drop Down 55">
              <controlPr defaultSize="0" autoFill="0" autoLine="0" autoPict="0" macro="[0]!DropDownColumn_J_Change">
                <anchor moveWithCells="1">
                  <from>
                    <xdr:col>0</xdr:col>
                    <xdr:colOff>717550</xdr:colOff>
                    <xdr:row>1</xdr:row>
                    <xdr:rowOff>88900</xdr:rowOff>
                  </from>
                  <to>
                    <xdr:col>0</xdr:col>
                    <xdr:colOff>1212850</xdr:colOff>
                    <xdr:row>1</xdr:row>
                    <xdr:rowOff>184150</xdr:rowOff>
                  </to>
                </anchor>
              </controlPr>
            </control>
          </mc:Choice>
        </mc:AlternateContent>
        <mc:AlternateContent xmlns:mc="http://schemas.openxmlformats.org/markup-compatibility/2006">
          <mc:Choice Requires="x14">
            <control shapeId="2105" r:id="rId11" name="Drop Down 57">
              <controlPr defaultSize="0" autoFill="0" autoLine="0" autoPict="0">
                <anchor moveWithCells="1">
                  <from>
                    <xdr:col>0</xdr:col>
                    <xdr:colOff>717550</xdr:colOff>
                    <xdr:row>14</xdr:row>
                    <xdr:rowOff>88900</xdr:rowOff>
                  </from>
                  <to>
                    <xdr:col>0</xdr:col>
                    <xdr:colOff>1212850</xdr:colOff>
                    <xdr:row>14</xdr:row>
                    <xdr:rowOff>190500</xdr:rowOff>
                  </to>
                </anchor>
              </controlPr>
            </control>
          </mc:Choice>
        </mc:AlternateContent>
        <mc:AlternateContent xmlns:mc="http://schemas.openxmlformats.org/markup-compatibility/2006">
          <mc:Choice Requires="x14">
            <control shapeId="2106" r:id="rId12" name="Drop Down 58">
              <controlPr defaultSize="0" autoFill="0" autoLine="0" autoPict="0">
                <anchor moveWithCells="1">
                  <from>
                    <xdr:col>0</xdr:col>
                    <xdr:colOff>717550</xdr:colOff>
                    <xdr:row>14</xdr:row>
                    <xdr:rowOff>88900</xdr:rowOff>
                  </from>
                  <to>
                    <xdr:col>0</xdr:col>
                    <xdr:colOff>1212850</xdr:colOff>
                    <xdr:row>14</xdr:row>
                    <xdr:rowOff>190500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
  <sheetViews>
    <sheetView workbookViewId="0"/>
  </sheetViews>
  <sheetFormatPr defaultRowHeight="12.5" x14ac:dyDescent="0.25"/>
  <sheetData/>
  <customSheetViews>
    <customSheetView guid="{DF8478C2-EAAC-4D1F-A2F6-76182AE83642}" state="veryHidden">
      <pageMargins left="0.7" right="0.7" top="0.75" bottom="0.75" header="0.3" footer="0.3"/>
    </customSheetView>
    <customSheetView guid="{BD18EF39-8F88-4267-80D6-F790349F210B}" state="veryHidden">
      <pageMargins left="0.7" right="0.7" top="0.75" bottom="0.75" header="0.3" footer="0.3"/>
    </customSheetView>
    <customSheetView guid="{2253DBF7-981C-4B16-A4F8-F797CE7BAACF}" state="veryHidden">
      <pageMargins left="0.7" right="0.7" top="0.75" bottom="0.75" header="0.3" footer="0.3"/>
    </customSheetView>
  </customSheetView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DAEMSEngagementItemInfo xmlns="http://schemas.microsoft.com/DAEMSEngagementItemInfoXML">
  <EngagementID>5000011011</EngagementID>
  <LogicalEMSServerID>3807372780062625526</LogicalEMSServerID>
  <WorkingPaperID>2254074862500008950</WorkingPaperID>
</DAEMSEngagementItemInfo>
</file>

<file path=customXml/item2.xml><?xml version="1.0" encoding="utf-8"?>
<ct:contentTypeSchema xmlns:ct="http://schemas.microsoft.com/office/2006/metadata/contentType" xmlns:ma="http://schemas.microsoft.com/office/2006/metadata/properties/metaAttributes" ct:_="" ma:_="" ma:contentTypeName="Document" ma:contentTypeID="0x010100F52FB8054E7BC343824610924DACAD55" ma:contentTypeVersion="8" ma:contentTypeDescription="Create a new document." ma:contentTypeScope="" ma:versionID="34e1fd2a76f7945d18cc3ff5b5a68ad1">
  <xsd:schema xmlns:xsd="http://www.w3.org/2001/XMLSchema" xmlns:xs="http://www.w3.org/2001/XMLSchema" xmlns:p="http://schemas.microsoft.com/office/2006/metadata/properties" xmlns:ns2="08c337d5-e798-4fe7-92a8-e5522ccd74f1" targetNamespace="http://schemas.microsoft.com/office/2006/metadata/properties" ma:root="true" ma:fieldsID="4df481265a4bd63f50581f36648612e8" ns2:_="">
    <xsd:import namespace="08c337d5-e798-4fe7-92a8-e5522ccd74f1"/>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8c337d5-e798-4fe7-92a8-e5522ccd74f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A989186F-645E-4CD5-8380-2A16FD852058}">
  <ds:schemaRefs>
    <ds:schemaRef ds:uri="http://schemas.microsoft.com/DAEMSEngagementItemInfoXML"/>
  </ds:schemaRefs>
</ds:datastoreItem>
</file>

<file path=customXml/itemProps2.xml><?xml version="1.0" encoding="utf-8"?>
<ds:datastoreItem xmlns:ds="http://schemas.openxmlformats.org/officeDocument/2006/customXml" ds:itemID="{46577640-4EEE-4FA1-A584-0DCFA481DEA6}"/>
</file>

<file path=customXml/itemProps3.xml><?xml version="1.0" encoding="utf-8"?>
<ds:datastoreItem xmlns:ds="http://schemas.openxmlformats.org/officeDocument/2006/customXml" ds:itemID="{0F6E01DD-0975-4F4A-8BBF-8DC011E8D25A}"/>
</file>

<file path=customXml/itemProps4.xml><?xml version="1.0" encoding="utf-8"?>
<ds:datastoreItem xmlns:ds="http://schemas.openxmlformats.org/officeDocument/2006/customXml" ds:itemID="{C1CC49E9-8809-4123-9110-4FBD3A345B5D}"/>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37</vt:i4>
      </vt:variant>
    </vt:vector>
  </HeadingPairs>
  <TitlesOfParts>
    <vt:vector size="43" baseType="lpstr">
      <vt:lpstr>Instructions</vt:lpstr>
      <vt:lpstr>Workings</vt:lpstr>
      <vt:lpstr>Materiality - ABCOTD</vt:lpstr>
      <vt:lpstr>Materiality - Components</vt:lpstr>
      <vt:lpstr>Notes</vt:lpstr>
      <vt:lpstr>Materiality - Fin. statements</vt:lpstr>
      <vt:lpstr>Benchmark</vt:lpstr>
      <vt:lpstr>benchmark_numbers</vt:lpstr>
      <vt:lpstr>benchmark_ranges</vt:lpstr>
      <vt:lpstr>benchmark1</vt:lpstr>
      <vt:lpstr>benchmark1_bal</vt:lpstr>
      <vt:lpstr>benchmark2</vt:lpstr>
      <vt:lpstr>benchmark2_bal</vt:lpstr>
      <vt:lpstr>benchmark3</vt:lpstr>
      <vt:lpstr>benchmark3_bal</vt:lpstr>
      <vt:lpstr>Benchmarks</vt:lpstr>
      <vt:lpstr>BM_number</vt:lpstr>
      <vt:lpstr>BM2_heading</vt:lpstr>
      <vt:lpstr>BM3_heading</vt:lpstr>
      <vt:lpstr>calculation2</vt:lpstr>
      <vt:lpstr>calculation3</vt:lpstr>
      <vt:lpstr>Clearly_trivial_threshold</vt:lpstr>
      <vt:lpstr>ComponentPM</vt:lpstr>
      <vt:lpstr>CTT_percent</vt:lpstr>
      <vt:lpstr>factor1</vt:lpstr>
      <vt:lpstr>factor2</vt:lpstr>
      <vt:lpstr>factor3</vt:lpstr>
      <vt:lpstr>group_CTT</vt:lpstr>
      <vt:lpstr>group_materiality</vt:lpstr>
      <vt:lpstr>group_performance_materiality</vt:lpstr>
      <vt:lpstr>Materiality</vt:lpstr>
      <vt:lpstr>max_CTT</vt:lpstr>
      <vt:lpstr>Note_1</vt:lpstr>
      <vt:lpstr>Note_2</vt:lpstr>
      <vt:lpstr>Note_3</vt:lpstr>
      <vt:lpstr>Note_5</vt:lpstr>
      <vt:lpstr>Note_6</vt:lpstr>
      <vt:lpstr>Performance_materiality</vt:lpstr>
      <vt:lpstr>'Materiality - Fin. statements'!Print_Area</vt:lpstr>
      <vt:lpstr>selected_benchmarks</vt:lpstr>
      <vt:lpstr>source2</vt:lpstr>
      <vt:lpstr>source3</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 1710S</dc:title>
  <dc:creator>Fotheringham, Straun (US - Stamford)</dc:creator>
  <dc:description>Issued 1/15/16</dc:description>
  <cp:lastModifiedBy>Mahdi</cp:lastModifiedBy>
  <cp:lastPrinted>2014-06-01T21:38:39Z</cp:lastPrinted>
  <dcterms:created xsi:type="dcterms:W3CDTF">1998-02-10T03:34:49Z</dcterms:created>
  <dcterms:modified xsi:type="dcterms:W3CDTF">2021-07-29T21:00:45Z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MSIP_Label_ea60d57e-af5b-4752-ac57-3e4f28ca11dc_Enabled">
    <vt:lpwstr>true</vt:lpwstr>
  </property>
  <property fmtid="{D5CDD505-2E9C-101B-9397-08002B2CF9AE}" pid="4" name="MSIP_Label_ea60d57e-af5b-4752-ac57-3e4f28ca11dc_SetDate">
    <vt:lpwstr>2021-07-29T08:23:17Z</vt:lpwstr>
  </property>
  <property fmtid="{D5CDD505-2E9C-101B-9397-08002B2CF9AE}" pid="5" name="MSIP_Label_ea60d57e-af5b-4752-ac57-3e4f28ca11dc_Method">
    <vt:lpwstr>Standard</vt:lpwstr>
  </property>
  <property fmtid="{D5CDD505-2E9C-101B-9397-08002B2CF9AE}" pid="6" name="MSIP_Label_ea60d57e-af5b-4752-ac57-3e4f28ca11dc_Name">
    <vt:lpwstr>ea60d57e-af5b-4752-ac57-3e4f28ca11dc</vt:lpwstr>
  </property>
  <property fmtid="{D5CDD505-2E9C-101B-9397-08002B2CF9AE}" pid="7" name="MSIP_Label_ea60d57e-af5b-4752-ac57-3e4f28ca11dc_SiteId">
    <vt:lpwstr>36da45f1-dd2c-4d1f-af13-5abe46b99921</vt:lpwstr>
  </property>
  <property fmtid="{D5CDD505-2E9C-101B-9397-08002B2CF9AE}" pid="8" name="MSIP_Label_ea60d57e-af5b-4752-ac57-3e4f28ca11dc_ActionId">
    <vt:lpwstr>6c773585-691d-4217-96dd-6eec6af292f9</vt:lpwstr>
  </property>
  <property fmtid="{D5CDD505-2E9C-101B-9397-08002B2CF9AE}" pid="9" name="MSIP_Label_ea60d57e-af5b-4752-ac57-3e4f28ca11dc_ContentBits">
    <vt:lpwstr>0</vt:lpwstr>
  </property>
  <property fmtid="{D5CDD505-2E9C-101B-9397-08002B2CF9AE}" pid="10" name="ContentTypeId">
    <vt:lpwstr>0x010100F52FB8054E7BC343824610924DACAD55</vt:lpwstr>
  </property>
</Properties>
</file>