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911dbbdbdc738ed/Desktop/Final Substantative Testing/Substantive Testing/Statement of Profit or Loss/5. Export Incentive/"/>
    </mc:Choice>
  </mc:AlternateContent>
  <xr:revisionPtr revIDLastSave="10" documentId="13_ncr:1_{0AE80C40-49A8-402F-A37E-C41C1F3CB180}" xr6:coauthVersionLast="47" xr6:coauthVersionMax="47" xr10:uidLastSave="{CB0DD4FE-C6FA-4537-BB14-4818DC25F1DC}"/>
  <bookViews>
    <workbookView xWindow="-120" yWindow="-120" windowWidth="20730" windowHeight="11160" xr2:uid="{00000000-000D-0000-FFFF-FFFF00000000}"/>
  </bookViews>
  <sheets>
    <sheet name="Population" sheetId="1" r:id="rId1"/>
    <sheet name="Debit Entries" sheetId="8" r:id="rId2"/>
    <sheet name="Credit Entries" sheetId="9" r:id="rId3"/>
    <sheet name="Reversal Entries" sheetId="7" r:id="rId4"/>
    <sheet name="Positive (2)" sheetId="4" state="hidden" r:id="rId5"/>
  </sheets>
  <definedNames>
    <definedName name="_xlnm._FilterDatabase" localSheetId="2" hidden="1">'Credit Entries'!$A$1:$AD$50</definedName>
    <definedName name="_xlnm._FilterDatabase" localSheetId="0" hidden="1">Population!$A$1:$AE$58</definedName>
    <definedName name="_xlnm._FilterDatabase" localSheetId="4" hidden="1">'Positive (2)'!$A$1:$AE$52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0" i="9" l="1"/>
  <c r="N4" i="9"/>
  <c r="N47" i="9"/>
  <c r="N14" i="9"/>
  <c r="N37" i="9"/>
  <c r="N30" i="9"/>
  <c r="N33" i="9"/>
  <c r="N3" i="9"/>
  <c r="N9" i="9"/>
  <c r="N31" i="9"/>
  <c r="N17" i="9"/>
  <c r="N34" i="9"/>
  <c r="N43" i="9"/>
  <c r="N7" i="9"/>
  <c r="N21" i="9"/>
  <c r="N32" i="9"/>
  <c r="N41" i="9"/>
  <c r="N39" i="9"/>
  <c r="N6" i="9"/>
  <c r="N44" i="9"/>
  <c r="N23" i="9"/>
  <c r="N11" i="9"/>
  <c r="N2" i="9"/>
  <c r="N5" i="9"/>
  <c r="N27" i="9"/>
  <c r="N13" i="9"/>
  <c r="N18" i="9"/>
  <c r="N25" i="9"/>
  <c r="N12" i="9"/>
  <c r="N19" i="9"/>
  <c r="N36" i="9"/>
  <c r="N29" i="9"/>
  <c r="N35" i="9"/>
  <c r="N40" i="9"/>
  <c r="N46" i="9"/>
  <c r="N38" i="9"/>
  <c r="N49" i="9"/>
  <c r="N10" i="9"/>
  <c r="N48" i="9"/>
  <c r="N24" i="9"/>
  <c r="N8" i="9"/>
  <c r="N42" i="9"/>
  <c r="N26" i="9"/>
  <c r="N22" i="9"/>
  <c r="N15" i="9"/>
  <c r="N45" i="9"/>
  <c r="N28" i="9"/>
  <c r="N16" i="9"/>
  <c r="M12" i="8"/>
  <c r="N10" i="8"/>
  <c r="N9" i="8"/>
  <c r="O9" i="8" s="1"/>
  <c r="N8" i="8"/>
  <c r="O8" i="8" s="1"/>
  <c r="N7" i="8"/>
  <c r="O7" i="8" s="1"/>
  <c r="N6" i="8"/>
  <c r="O6" i="8" s="1"/>
  <c r="N5" i="8"/>
  <c r="O5" i="8" s="1"/>
  <c r="N4" i="8"/>
  <c r="O4" i="8" s="1"/>
  <c r="N3" i="8"/>
  <c r="O3" i="8" s="1"/>
  <c r="N2" i="8"/>
  <c r="O2" i="8" s="1"/>
  <c r="M68" i="7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2" i="1"/>
  <c r="M61" i="1"/>
  <c r="N57" i="4"/>
  <c r="N52" i="4"/>
  <c r="N51" i="4"/>
  <c r="N50" i="4"/>
  <c r="N49" i="4"/>
  <c r="N48" i="4"/>
  <c r="N47" i="4"/>
  <c r="N46" i="4"/>
  <c r="N45" i="4"/>
  <c r="N44" i="4"/>
  <c r="N43" i="4"/>
  <c r="N42" i="4"/>
  <c r="N41" i="4"/>
  <c r="N40" i="4"/>
  <c r="N39" i="4"/>
  <c r="N38" i="4"/>
  <c r="N37" i="4"/>
  <c r="N36" i="4"/>
  <c r="N35" i="4"/>
  <c r="N34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N4" i="4"/>
  <c r="N3" i="4"/>
  <c r="N2" i="4"/>
  <c r="O10" i="8" l="1"/>
  <c r="N52" i="9"/>
  <c r="O56" i="1"/>
  <c r="O48" i="1"/>
  <c r="O40" i="1"/>
  <c r="O47" i="1"/>
  <c r="O46" i="1"/>
  <c r="O38" i="1"/>
  <c r="O22" i="1"/>
  <c r="O37" i="1"/>
  <c r="O44" i="1"/>
  <c r="O20" i="1"/>
  <c r="O58" i="1"/>
  <c r="O50" i="1"/>
  <c r="O26" i="1"/>
  <c r="O18" i="1"/>
  <c r="O57" i="1"/>
  <c r="O45" i="1"/>
  <c r="O36" i="1"/>
  <c r="O21" i="1"/>
  <c r="O16" i="1"/>
  <c r="O9" i="1"/>
  <c r="O52" i="1"/>
  <c r="O51" i="1"/>
  <c r="O12" i="1"/>
  <c r="O29" i="1"/>
  <c r="O27" i="1"/>
  <c r="O28" i="1"/>
  <c r="O17" i="1"/>
  <c r="O35" i="1"/>
  <c r="O15" i="1"/>
  <c r="O7" i="1"/>
  <c r="O43" i="1"/>
  <c r="O34" i="1"/>
  <c r="O10" i="1"/>
  <c r="O24" i="1"/>
  <c r="O19" i="1"/>
  <c r="O54" i="1"/>
  <c r="O49" i="1"/>
  <c r="O42" i="1"/>
  <c r="O39" i="1"/>
  <c r="O32" i="1"/>
  <c r="O25" i="1"/>
  <c r="O4" i="1"/>
  <c r="O5" i="1"/>
  <c r="O55" i="1"/>
  <c r="O2" i="1"/>
  <c r="O33" i="1"/>
  <c r="O23" i="1"/>
  <c r="O30" i="1"/>
  <c r="O53" i="1"/>
  <c r="O41" i="1"/>
  <c r="O31" i="1"/>
  <c r="O11" i="1"/>
  <c r="O3" i="1"/>
  <c r="O6" i="1"/>
  <c r="O14" i="1"/>
  <c r="O13" i="1"/>
  <c r="O8" i="1"/>
  <c r="O2" i="4"/>
  <c r="O7" i="4"/>
  <c r="O6" i="4"/>
  <c r="O21" i="4"/>
  <c r="O29" i="4"/>
  <c r="O37" i="4"/>
  <c r="O23" i="4"/>
  <c r="O15" i="4"/>
  <c r="O32" i="4"/>
  <c r="O9" i="4"/>
  <c r="O25" i="4"/>
  <c r="O33" i="4"/>
  <c r="O16" i="4"/>
  <c r="O17" i="4"/>
  <c r="O30" i="4"/>
  <c r="O18" i="4"/>
  <c r="O11" i="4"/>
  <c r="O10" i="4"/>
  <c r="O19" i="4"/>
  <c r="O44" i="4"/>
  <c r="O52" i="4"/>
  <c r="O51" i="4"/>
  <c r="O20" i="4"/>
  <c r="O47" i="4"/>
  <c r="O8" i="4"/>
  <c r="O28" i="4"/>
  <c r="O40" i="4"/>
  <c r="O48" i="4"/>
  <c r="O13" i="4"/>
  <c r="O3" i="4"/>
  <c r="O12" i="4"/>
  <c r="O4" i="4"/>
  <c r="O5" i="4"/>
  <c r="O14" i="4"/>
  <c r="O24" i="4"/>
  <c r="O36" i="4"/>
  <c r="O41" i="4"/>
  <c r="O45" i="4"/>
  <c r="O49" i="4"/>
  <c r="O22" i="4"/>
  <c r="O26" i="4"/>
  <c r="O34" i="4"/>
  <c r="O38" i="4"/>
  <c r="O42" i="4"/>
  <c r="O46" i="4"/>
  <c r="O50" i="4"/>
  <c r="O27" i="4"/>
  <c r="O31" i="4"/>
  <c r="O35" i="4"/>
  <c r="O39" i="4"/>
  <c r="O43" i="4"/>
</calcChain>
</file>

<file path=xl/sharedStrings.xml><?xml version="1.0" encoding="utf-8"?>
<sst xmlns="http://schemas.openxmlformats.org/spreadsheetml/2006/main" count="5137" uniqueCount="385">
  <si>
    <t/>
  </si>
  <si>
    <t>40201007</t>
  </si>
  <si>
    <t>2006000000</t>
  </si>
  <si>
    <t>DA</t>
  </si>
  <si>
    <t>USD</t>
  </si>
  <si>
    <t>83.95000</t>
  </si>
  <si>
    <t>BDT</t>
  </si>
  <si>
    <t>PROV-GOV/FEB'20</t>
  </si>
  <si>
    <t>PROV-GOV/FEB</t>
  </si>
  <si>
    <t>Prov for 1% cash incntives (net TDS-10%)-Feb 20</t>
  </si>
  <si>
    <t>0</t>
  </si>
  <si>
    <t>1%Export Incentive Feb-20</t>
  </si>
  <si>
    <t>DEC-18</t>
  </si>
  <si>
    <t>2006000001</t>
  </si>
  <si>
    <t>PROV-GOV/MAR 20</t>
  </si>
  <si>
    <t>PROV-GOV/MAR-20</t>
  </si>
  <si>
    <t>Prov for 1% cash incntives (net TDS-10%)-Mar 20</t>
  </si>
  <si>
    <t>1%Export Incentive Mar-20</t>
  </si>
  <si>
    <t>2006000002</t>
  </si>
  <si>
    <t>PROV-GOV/APR</t>
  </si>
  <si>
    <t>Prov for 1% cash incntives (net TDS-10%)-Apr20</t>
  </si>
  <si>
    <t>1%Export Incentive Apr-20</t>
  </si>
  <si>
    <t>2006000005</t>
  </si>
  <si>
    <t>Prov for 4% cash incntives (net TDS-10%)-Apr-20</t>
  </si>
  <si>
    <t>4%Export Incentive Apr-20</t>
  </si>
  <si>
    <t>2006000003</t>
  </si>
  <si>
    <t>PROV-GOV/MAY</t>
  </si>
  <si>
    <t>Prov for 1% cash incntives (net TDS-10%)-May20</t>
  </si>
  <si>
    <t>1%Export Incentive May-20</t>
  </si>
  <si>
    <t>2006000006</t>
  </si>
  <si>
    <t>Prov for 4% cash incntives (net TDS-10%)-May-20</t>
  </si>
  <si>
    <t>4%Export Incentive May-20</t>
  </si>
  <si>
    <t>2006000004</t>
  </si>
  <si>
    <t>PROV-GOV/JUN</t>
  </si>
  <si>
    <t>Prov for 1% cash incntives (net TDS-10%)- Jun'20</t>
  </si>
  <si>
    <t>1%Export Incentive Jun-20</t>
  </si>
  <si>
    <t>2006000007</t>
  </si>
  <si>
    <t>Prov for 4% cash incntives (net TDS-10%)- Jun'20</t>
  </si>
  <si>
    <t>4%Export Incentive Jun-20</t>
  </si>
  <si>
    <t>2006000011</t>
  </si>
  <si>
    <t>PROV-GOV/JUN AD</t>
  </si>
  <si>
    <t>PROV-GOV/JUN-Addti</t>
  </si>
  <si>
    <t>Prov for additi cash incntives (netTDS-10%)-Jun'20</t>
  </si>
  <si>
    <t>Add.Export Incenti Jun-20</t>
  </si>
  <si>
    <t>2003000078</t>
  </si>
  <si>
    <t>SA</t>
  </si>
  <si>
    <t>1.00000</t>
  </si>
  <si>
    <t>4% CI APR-JUN'20</t>
  </si>
  <si>
    <t>4 % C.I APR'20</t>
  </si>
  <si>
    <t>4 % GOVT. CASH INCENTIVE RECEIVE APR-2020</t>
  </si>
  <si>
    <t>4 % CA.IN RCVD APR-JUN'20</t>
  </si>
  <si>
    <t>4 % C.I MAY'20</t>
  </si>
  <si>
    <t>4 % GOVT. CASH INCENTIVE RECEIVE MAY-2020</t>
  </si>
  <si>
    <t>4 % C.I JUN'20</t>
  </si>
  <si>
    <t>4 % GOVT. CASH INCENTIVE RECEIVE JUN-2020</t>
  </si>
  <si>
    <t>2003000080</t>
  </si>
  <si>
    <t>1% CI APR-JUN'20</t>
  </si>
  <si>
    <t>1 % CASH IN MAR'20</t>
  </si>
  <si>
    <t>1 % GOVT. CASH INCENTIVE RECEIVE MAR-2020</t>
  </si>
  <si>
    <t>1 % CA.IN RCVD FEB-JUN'20</t>
  </si>
  <si>
    <t>1 % CASH IN APR'20</t>
  </si>
  <si>
    <t>1 % GOVT. CASH INCENTIVE RECEIVE APR-2020</t>
  </si>
  <si>
    <t>1 % CASH IN MAY'20</t>
  </si>
  <si>
    <t>1 % GOVT. CASH INCENTIVE RECEIVE MAY-2020</t>
  </si>
  <si>
    <t>1 % CASH IN JUN'20</t>
  </si>
  <si>
    <t>1 % GOVT. CASH INCENTIVE RECEIVE JUN-2020</t>
  </si>
  <si>
    <t>1 % CASH IN FEB'20</t>
  </si>
  <si>
    <t>1 % GOVT. CASH INCENTIVE RECEIVE FEB-2020</t>
  </si>
  <si>
    <t>2006000008</t>
  </si>
  <si>
    <t>PROV-GOV/JUL-20</t>
  </si>
  <si>
    <t>Prov for 1% cash incntives (net TDS-10%)- Jul'20</t>
  </si>
  <si>
    <t>1%Export Incentive Jul-20</t>
  </si>
  <si>
    <t>2006000009</t>
  </si>
  <si>
    <t>PROV-GOV/JUL</t>
  </si>
  <si>
    <t>Prov for 4% cash incntives (net TDS-10%)- Jul'20</t>
  </si>
  <si>
    <t>4%Export Incentive Jul-20</t>
  </si>
  <si>
    <t>2006000028</t>
  </si>
  <si>
    <t>2006000031</t>
  </si>
  <si>
    <t>2006000012</t>
  </si>
  <si>
    <t>PROV-GOV/AUG</t>
  </si>
  <si>
    <t>PROV-GOV/AUG-20</t>
  </si>
  <si>
    <t>Prov for 4% cash incntives (net TDS-10%)- AUG-20</t>
  </si>
  <si>
    <t>4%Export Incentive AUG-20</t>
  </si>
  <si>
    <t>2006000013</t>
  </si>
  <si>
    <t>2006000014</t>
  </si>
  <si>
    <t>2006000015</t>
  </si>
  <si>
    <t>Prov for 1% cash incntives (net TDS-10%)- AUG'20</t>
  </si>
  <si>
    <t>1%Export Incentive AUG-20</t>
  </si>
  <si>
    <t>2006000029</t>
  </si>
  <si>
    <t>2006000032</t>
  </si>
  <si>
    <t>2006000016</t>
  </si>
  <si>
    <t>PROV-GOV/SEP'20</t>
  </si>
  <si>
    <t>PROV-GOV/Sep20</t>
  </si>
  <si>
    <t>Prov for 4% cash incntives (net TDS-10%)- Sep20</t>
  </si>
  <si>
    <t>Export Incentive Sep20</t>
  </si>
  <si>
    <t>2006000017</t>
  </si>
  <si>
    <t>Prov for 1% cash incntives (net TDS-10%)- Sep20</t>
  </si>
  <si>
    <t>2006000030</t>
  </si>
  <si>
    <t>2006000033</t>
  </si>
  <si>
    <t>2006000034</t>
  </si>
  <si>
    <t>2006000035</t>
  </si>
  <si>
    <t>2006000044</t>
  </si>
  <si>
    <t>2006000046</t>
  </si>
  <si>
    <t>2006000026</t>
  </si>
  <si>
    <t>PROV-GOV/Oct20</t>
  </si>
  <si>
    <t>Prov for 4% cash incntives (net TDS-10%)- Oct20</t>
  </si>
  <si>
    <t>Export Incentive Oct20</t>
  </si>
  <si>
    <t>2006000027</t>
  </si>
  <si>
    <t>PROV-GOV/OCT'20</t>
  </si>
  <si>
    <t>Prov for 1% cash incntives (net TDS-10%)- Oct20</t>
  </si>
  <si>
    <t>2006000047</t>
  </si>
  <si>
    <t>2006000048</t>
  </si>
  <si>
    <t>2003002926</t>
  </si>
  <si>
    <t>4% CI JUL-SEP'20</t>
  </si>
  <si>
    <t>4 % C.I JUL'20</t>
  </si>
  <si>
    <t>4 % GOVT. CASH INCENTIVE RECEIVE JUL2020</t>
  </si>
  <si>
    <t>4 % CA.IN RCVD JUl-SEP'20</t>
  </si>
  <si>
    <t>4 % C.I AUG'20</t>
  </si>
  <si>
    <t>4 % GOVT. CASH INCENTIVE RECEIVE AUG-2020</t>
  </si>
  <si>
    <t>4 % C.I SEP'20</t>
  </si>
  <si>
    <t>4 % GOVT. CASH INCENTIVE RECEIVE SEP-2020-Partial</t>
  </si>
  <si>
    <t>2003002928</t>
  </si>
  <si>
    <t>1% CI JUL-SEP'20</t>
  </si>
  <si>
    <t>4 % C.I -JUL'20</t>
  </si>
  <si>
    <t>4 % GOVT. CASH INCENTIVE RECEIVE JUL-2020</t>
  </si>
  <si>
    <t>1 % CA.IN RCVD-JUN-SEP'20</t>
  </si>
  <si>
    <t>2006000036</t>
  </si>
  <si>
    <t>PROV-GOV/NOV'20</t>
  </si>
  <si>
    <t>PROV-GOV/Nov20</t>
  </si>
  <si>
    <t>Prov for 4% cash incntives (net TDS-10%)- Nov20</t>
  </si>
  <si>
    <t>Export Incentive Nov20</t>
  </si>
  <si>
    <t>2006000037</t>
  </si>
  <si>
    <t>Prov for 1% cash incntives (net TDS-10%)- Nov20</t>
  </si>
  <si>
    <t>2006000045</t>
  </si>
  <si>
    <t>2006000067</t>
  </si>
  <si>
    <t>2003003511</t>
  </si>
  <si>
    <t>4% CI SEP-OCT'20</t>
  </si>
  <si>
    <t>4 % GOVT. CASH INCENTIVE RECEIVE SEP'2020</t>
  </si>
  <si>
    <t>4 % CA.IN RCVD SEP-OCT'20</t>
  </si>
  <si>
    <t>4 % C.I A  OCT'20</t>
  </si>
  <si>
    <t>4 % GOVT. CASH INCENTIVE RECEIVE OCT-2020</t>
  </si>
  <si>
    <t>2003003512</t>
  </si>
  <si>
    <t>1% CI SEP-OCT'20</t>
  </si>
  <si>
    <t>4 % C.I -SEP'20</t>
  </si>
  <si>
    <t>4 % GOVT. CASH INCENTIVE RECEIVE SEP-2020</t>
  </si>
  <si>
    <t>1 % CA.IN RCVD-SEP-OCT'20</t>
  </si>
  <si>
    <t>1 % C.I OCT'20</t>
  </si>
  <si>
    <t>1 % GOVT. CASH INCENTIVE RECEIVE OCT-2020</t>
  </si>
  <si>
    <t>2006000049</t>
  </si>
  <si>
    <t>2006000050</t>
  </si>
  <si>
    <t>2006000051</t>
  </si>
  <si>
    <t>2006000061</t>
  </si>
  <si>
    <t>2006000062</t>
  </si>
  <si>
    <t>2006000064</t>
  </si>
  <si>
    <t>2006000052</t>
  </si>
  <si>
    <t>PROV-GOV/DEC 20</t>
  </si>
  <si>
    <t>PROV-GOV/Dec 20</t>
  </si>
  <si>
    <t>Prov for 4% cash incntives (net TDS-10%)- 15 Dec20</t>
  </si>
  <si>
    <t>Export Incentive 15 Dec</t>
  </si>
  <si>
    <t>2006000053</t>
  </si>
  <si>
    <t>Prov for 4% cash incntives (net TDS-10%)- 31 Dec20</t>
  </si>
  <si>
    <t>Export Incentive 31 Dec</t>
  </si>
  <si>
    <t>2006000054</t>
  </si>
  <si>
    <t>Prov for 1% cash incntives (net TDS-10%)- 15 Dec20</t>
  </si>
  <si>
    <t>2006000055</t>
  </si>
  <si>
    <t>Prov for 1% cash incntives (net TDS-10%)- 31 Dec20</t>
  </si>
  <si>
    <t>2006000078</t>
  </si>
  <si>
    <t>2006000079</t>
  </si>
  <si>
    <t>2006000083</t>
  </si>
  <si>
    <t>2006000084</t>
  </si>
  <si>
    <t>2003004094</t>
  </si>
  <si>
    <t>4% CI OCT-NOV'20</t>
  </si>
  <si>
    <t>4 % C.I OCT'20</t>
  </si>
  <si>
    <t>4 % GOVT. CASH INCENTIVE RECEIVE OCT'2020</t>
  </si>
  <si>
    <t>4 % CA.IN RCVD OCT'-NOV20</t>
  </si>
  <si>
    <t>4 % C.I NOV-'20</t>
  </si>
  <si>
    <t>4 % GOVT. CASH INCENTIVE RECEIVE NOV-2020</t>
  </si>
  <si>
    <t>2003004095</t>
  </si>
  <si>
    <t>1% CI OCT-NOV'20</t>
  </si>
  <si>
    <t>4 % C.I -OCT'20</t>
  </si>
  <si>
    <t>1 % CA.IN RCVD-OCT-NOV'20</t>
  </si>
  <si>
    <t>1 % C.I  NOV'20</t>
  </si>
  <si>
    <t>1 % GOVT. CASH INCENTIVE RECEIVE NOV-2020</t>
  </si>
  <si>
    <t>2006000063</t>
  </si>
  <si>
    <t>2006000065</t>
  </si>
  <si>
    <t>2006000066</t>
  </si>
  <si>
    <t>2006000068</t>
  </si>
  <si>
    <t>2006000077</t>
  </si>
  <si>
    <t>2006000082</t>
  </si>
  <si>
    <t>2006000057</t>
  </si>
  <si>
    <t>PROV-GOV/JAN 21</t>
  </si>
  <si>
    <t>PROV-GOV/Jan 21</t>
  </si>
  <si>
    <t>Prov for 4% cash incntives (net TDS-10%)- 15 Jan21</t>
  </si>
  <si>
    <t>Export Incentive 15 Jan</t>
  </si>
  <si>
    <t>2006000058</t>
  </si>
  <si>
    <t>Prov for 4% cash incntives (net TDS-10%)- 31 Jan21</t>
  </si>
  <si>
    <t>Export Incentive 31 Jan</t>
  </si>
  <si>
    <t>2006000059</t>
  </si>
  <si>
    <t>Prov for 1% cash incntives (net TDS-10%)- 15 Jan21</t>
  </si>
  <si>
    <t>2006000060</t>
  </si>
  <si>
    <t>Prov for 1% cash incntives (net TDS-10%)- 31 Jan21</t>
  </si>
  <si>
    <t>2006000080</t>
  </si>
  <si>
    <t>2006000081</t>
  </si>
  <si>
    <t>2006000085</t>
  </si>
  <si>
    <t>2006000086</t>
  </si>
  <si>
    <t>2006000071</t>
  </si>
  <si>
    <t>PROV-GOV/FEB 21</t>
  </si>
  <si>
    <t>PROV-GOV/Feb 21</t>
  </si>
  <si>
    <t>Prov for 4% cash incntives (net TDS-10%)- 15 Feb21</t>
  </si>
  <si>
    <t>2006000072</t>
  </si>
  <si>
    <t>PROV-GOV/Feb21</t>
  </si>
  <si>
    <t>Prov for 4% cash incntives (net TDS-10%)- 28 Feb21</t>
  </si>
  <si>
    <t>Export Incentive 28 Feb</t>
  </si>
  <si>
    <t>2006000073</t>
  </si>
  <si>
    <t>Prov for 1% cash incntives (net TDS-10%)- 15 Feb21</t>
  </si>
  <si>
    <t>Export Incentive 15 Feb</t>
  </si>
  <si>
    <t>2006000074</t>
  </si>
  <si>
    <t>Prov for 1% cash incntives (net TDS-10%)- 28 Feb21</t>
  </si>
  <si>
    <t>2006000097</t>
  </si>
  <si>
    <t>2006000098</t>
  </si>
  <si>
    <t>2003005689</t>
  </si>
  <si>
    <t>4% CI NOV-JAN'21</t>
  </si>
  <si>
    <t>4 % C.I NOV'20</t>
  </si>
  <si>
    <t>4 % GOVT. CASH INCENTIVE RECEIVE NOV2020</t>
  </si>
  <si>
    <t>4 % CA.IN RCVD NOV-JAN'21</t>
  </si>
  <si>
    <t>4 % C.I DEC'20</t>
  </si>
  <si>
    <t>4 % GOVT. CASH INCENTIVE RECEIVE DEC-2020</t>
  </si>
  <si>
    <t>4 % C.I -JAN-21</t>
  </si>
  <si>
    <t>4 % GOVT. CASH INCENTIVE RECEIVE JAN-2021</t>
  </si>
  <si>
    <t>2003005690</t>
  </si>
  <si>
    <t>1% CI NOV-JAN'21</t>
  </si>
  <si>
    <t>1 % C.I NOV'20</t>
  </si>
  <si>
    <t>1 % GOVT. CASH INCENTIVE RECEIVE NOV2020</t>
  </si>
  <si>
    <t>1 % CA.IN RCVD NOV-JAN'21</t>
  </si>
  <si>
    <t>1 % C.I DEC'20</t>
  </si>
  <si>
    <t>1 % GOVT. CASH INCENTIVE RECEIVE DEC-2020</t>
  </si>
  <si>
    <t>1 % C.I -JAN-21</t>
  </si>
  <si>
    <t>1 % GOVT. CASH INCENTIVE RECEIVE JAN-2021</t>
  </si>
  <si>
    <t>2006000087</t>
  </si>
  <si>
    <t>PROV-GOV/MAR 21</t>
  </si>
  <si>
    <t>PROV-GOV/Mar 21</t>
  </si>
  <si>
    <t>Prov for 4% cash incntives (net TDS-10%)- 15 Mar21</t>
  </si>
  <si>
    <t>Export Incentive 15 Mar</t>
  </si>
  <si>
    <t>2006000088</t>
  </si>
  <si>
    <t>PROV-GOV/MAR21</t>
  </si>
  <si>
    <t>PROV-GOV/Mar21</t>
  </si>
  <si>
    <t>Prov for 4% cash incntives (net TDS-10%)- 31 Mar21</t>
  </si>
  <si>
    <t>Export Incentive 31 Mar</t>
  </si>
  <si>
    <t>2006000089</t>
  </si>
  <si>
    <t>Prov for 1% cash incntives (net TDS-10%)- 15 Mar21</t>
  </si>
  <si>
    <t>Export Incentive 15Mar</t>
  </si>
  <si>
    <t>2006000090</t>
  </si>
  <si>
    <t>Prov for 1% cash incntives (net TDS-10%)- 31 Mar21</t>
  </si>
  <si>
    <t>2003005823</t>
  </si>
  <si>
    <t>4% CI RCV FEB'21</t>
  </si>
  <si>
    <t>4 % C.I- FEB-21</t>
  </si>
  <si>
    <t>4 % GOVT. CASH INCENTIVE RECEIVE FEB-2021</t>
  </si>
  <si>
    <t>4 % CASH.INCE RCVD FEB'21</t>
  </si>
  <si>
    <t>2003005822</t>
  </si>
  <si>
    <t>1% CI RCV FEB'21</t>
  </si>
  <si>
    <t>1 % CASH.INCE RCVD FEB'21</t>
  </si>
  <si>
    <t>2006000093</t>
  </si>
  <si>
    <t>PROV-GOV/APR 21</t>
  </si>
  <si>
    <t>PROV-GOV/Apr 21</t>
  </si>
  <si>
    <t>Prov for 4% cash incntives (net TDS-10%)- 15 Apr21</t>
  </si>
  <si>
    <t>Export Incentive 15 Apr</t>
  </si>
  <si>
    <t>2006000094</t>
  </si>
  <si>
    <t>Export Incentive 30 Apr</t>
  </si>
  <si>
    <t>2006000095</t>
  </si>
  <si>
    <t>Prov for 1% cash incntives (net TDS-10%)- 30 Apr21</t>
  </si>
  <si>
    <t>2006000096</t>
  </si>
  <si>
    <t>Cleared/open items symbol</t>
  </si>
  <si>
    <t>G/L Account</t>
  </si>
  <si>
    <t>Document Number</t>
  </si>
  <si>
    <t>Posting Date</t>
  </si>
  <si>
    <t>Document Date</t>
  </si>
  <si>
    <t>Entry Date</t>
  </si>
  <si>
    <t>Document Type</t>
  </si>
  <si>
    <t>Document currency</t>
  </si>
  <si>
    <t>Amount in doc. curr.</t>
  </si>
  <si>
    <t>Eff.exchange rate</t>
  </si>
  <si>
    <t>Local Currency</t>
  </si>
  <si>
    <t>Amount in local currency</t>
  </si>
  <si>
    <t>Amount in loc.curr.2</t>
  </si>
  <si>
    <t>Reference</t>
  </si>
  <si>
    <t>Assignment</t>
  </si>
  <si>
    <t>Text/CI No</t>
  </si>
  <si>
    <t>Purchasing Document</t>
  </si>
  <si>
    <t>Item</t>
  </si>
  <si>
    <t>Document Header Text</t>
  </si>
  <si>
    <t>File Number</t>
  </si>
  <si>
    <t>Buyer Name</t>
  </si>
  <si>
    <t>LC Number</t>
  </si>
  <si>
    <t>Profit Center</t>
  </si>
  <si>
    <t>Clearing Document</t>
  </si>
  <si>
    <t>Clearing date</t>
  </si>
  <si>
    <t>Billing Document</t>
  </si>
  <si>
    <t>Buyer Description</t>
  </si>
  <si>
    <t>Sales document</t>
  </si>
  <si>
    <t>Withholding tax amnt</t>
  </si>
  <si>
    <t>Formula</t>
  </si>
  <si>
    <t>Formula result</t>
  </si>
  <si>
    <t>2006000099</t>
  </si>
  <si>
    <t>2006000102</t>
  </si>
  <si>
    <t>2006000100</t>
  </si>
  <si>
    <t>2006000101</t>
  </si>
  <si>
    <t>2003006575</t>
  </si>
  <si>
    <t>1% CI-FEB+MAR'21</t>
  </si>
  <si>
    <t>1 % C.I RCVD FEB+MAR'21</t>
  </si>
  <si>
    <t>2010100001</t>
  </si>
  <si>
    <t>1 % C.I- MAR-21</t>
  </si>
  <si>
    <t>1 % GOVT. CASH INCENTIVE RCVD-FEB-part +Mar-21</t>
  </si>
  <si>
    <t>2003006577</t>
  </si>
  <si>
    <t>4% CI-FEB+MAR'21</t>
  </si>
  <si>
    <t>4 % C.I FEB'21</t>
  </si>
  <si>
    <t>4 % GOVT. CASH INCENTIVE RECEIVE FEB-21-2nd Lot</t>
  </si>
  <si>
    <t>4 % C.I RCVD FEB+MAR'21</t>
  </si>
  <si>
    <t>4 % C.I- MAR-21</t>
  </si>
  <si>
    <t>4 % GOVT. CASH INCENTIVE RCVD MAR-21 1st Lot</t>
  </si>
  <si>
    <t>2006000103</t>
  </si>
  <si>
    <t>PROV-GOV/MAY 21</t>
  </si>
  <si>
    <t>4% PROV-GOV/May21</t>
  </si>
  <si>
    <t>Prov for 4% cash incntives (net TDS-10%)- 15 May21</t>
  </si>
  <si>
    <t>1%Export Incentive 15May</t>
  </si>
  <si>
    <t>2006000104</t>
  </si>
  <si>
    <t>Prov for 4% cash incntives (net TDS-10%)- 31 May21</t>
  </si>
  <si>
    <t>4%Export Incentive 30May</t>
  </si>
  <si>
    <t>2006000105</t>
  </si>
  <si>
    <t>1% PROV-GOV/May21</t>
  </si>
  <si>
    <t>Prov for 1% cash incntives (net TDS-10%)- 15 May21</t>
  </si>
  <si>
    <t>2006000106</t>
  </si>
  <si>
    <t>Prov for 1% cash incntives (net TDS-10%)- 31 May21</t>
  </si>
  <si>
    <t>1%Export Incentive 30May</t>
  </si>
  <si>
    <t>2006000109</t>
  </si>
  <si>
    <t>PROV-GOV/JUN 21</t>
  </si>
  <si>
    <t>4 % PROV-GOV/Jun21</t>
  </si>
  <si>
    <t>Prov for 4% cash incntives (net TDS-10%)- 15 Jun21</t>
  </si>
  <si>
    <t>2006000110</t>
  </si>
  <si>
    <t>4% PROV-GOV/Jun21</t>
  </si>
  <si>
    <t>Prov for 4% cash incntives (net TDS-10%)- 30 Jun21</t>
  </si>
  <si>
    <t>4%Export Incentive 30Jun</t>
  </si>
  <si>
    <t>2006000111</t>
  </si>
  <si>
    <t>1% PROV-GOV/Jun21</t>
  </si>
  <si>
    <t>Prov for 1% cash incntives (net TDS-10%)- 15 Jun21</t>
  </si>
  <si>
    <t>1%Export Incentive 15Jun</t>
  </si>
  <si>
    <t>2006000112</t>
  </si>
  <si>
    <t>Prov for 1% cash incntives (net TDS-10%)- 30 Jun21</t>
  </si>
  <si>
    <t>1%Export Incentive 30Jun</t>
  </si>
  <si>
    <t>Reversal Formula</t>
  </si>
  <si>
    <t>Reversal Formula result</t>
  </si>
  <si>
    <t>45627.44_1</t>
  </si>
  <si>
    <t>x</t>
  </si>
  <si>
    <t>158665.61_1</t>
  </si>
  <si>
    <t>75805.71_1</t>
  </si>
  <si>
    <t>68225.14_1</t>
  </si>
  <si>
    <t>21401.19_1</t>
  </si>
  <si>
    <t>89721_1</t>
  </si>
  <si>
    <t>39490_1</t>
  </si>
  <si>
    <t>73055.82_1</t>
  </si>
  <si>
    <t>27253.94_1</t>
  </si>
  <si>
    <t>58812_1</t>
  </si>
  <si>
    <t>29831_1</t>
  </si>
  <si>
    <t>143337_1</t>
  </si>
  <si>
    <t>67247_1</t>
  </si>
  <si>
    <t>14802.15_1</t>
  </si>
  <si>
    <t>18870.46_1</t>
  </si>
  <si>
    <t>143337_2</t>
  </si>
  <si>
    <t>98302_1</t>
  </si>
  <si>
    <t>56329_1</t>
  </si>
  <si>
    <t>33522_1</t>
  </si>
  <si>
    <t>21849_1</t>
  </si>
  <si>
    <t>70798.24_1</t>
  </si>
  <si>
    <t>4885.76_1</t>
  </si>
  <si>
    <t>31924.48_1</t>
  </si>
  <si>
    <t>41048_1</t>
  </si>
  <si>
    <t>54760_1</t>
  </si>
  <si>
    <t>20515_1</t>
  </si>
  <si>
    <t>22090_1</t>
  </si>
  <si>
    <t>42411_1</t>
  </si>
  <si>
    <t>68122_1</t>
  </si>
  <si>
    <t>19313_1</t>
  </si>
  <si>
    <t>18131_1</t>
  </si>
  <si>
    <t>17609_1</t>
  </si>
  <si>
    <t>26540_1</t>
  </si>
  <si>
    <t>Absolute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</si>
</sst>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 indent="2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3" borderId="0" xfId="0" applyFill="1"/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3" borderId="0" xfId="0" applyFill="1" applyAlignment="1">
      <alignment vertical="top"/>
    </xf>
    <xf numFmtId="4" fontId="0" fillId="0" borderId="0" xfId="0" applyNumberFormat="1" applyAlignment="1">
      <alignment vertical="top"/>
    </xf>
    <xf numFmtId="0" fontId="0" fillId="2" borderId="1" xfId="0" applyFill="1" applyBorder="1" applyAlignment="1">
      <alignment horizontal="center" vertical="top"/>
    </xf>
    <xf numFmtId="0" fontId="0" fillId="3" borderId="0" xfId="0" applyFill="1" applyAlignment="1">
      <alignment horizontal="center"/>
    </xf>
    <xf numFmtId="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  <xf numFmtId="164" fontId="2" fillId="2" borderId="1" xfId="1" applyNumberFormat="1" applyFont="1" applyFill="1" applyBorder="1" applyAlignment="1">
      <alignment vertical="top"/>
    </xf>
    <xf numFmtId="164" fontId="0" fillId="3" borderId="0" xfId="1" applyNumberFormat="1" applyFont="1" applyFill="1"/>
    <xf numFmtId="164" fontId="0" fillId="0" borderId="0" xfId="1" applyNumberFormat="1" applyFont="1" applyAlignment="1">
      <alignment vertical="top"/>
    </xf>
    <xf numFmtId="4" fontId="3" fillId="4" borderId="0" xfId="0" applyNumberFormat="1" applyFont="1" applyFill="1" applyAlignment="1">
      <alignment vertical="top"/>
    </xf>
    <xf numFmtId="3" fontId="3" fillId="4" borderId="0" xfId="0" applyNumberFormat="1" applyFont="1" applyFill="1" applyAlignment="1">
      <alignment vertical="top"/>
    </xf>
    <xf numFmtId="0" fontId="0" fillId="0" borderId="0" xfId="0" applyFill="1"/>
    <xf numFmtId="0" fontId="0" fillId="0" borderId="0" xfId="0" applyFill="1" applyAlignment="1">
      <alignment horizontal="center"/>
    </xf>
    <xf numFmtId="164" fontId="3" fillId="4" borderId="0" xfId="1" applyNumberFormat="1" applyFont="1" applyFill="1" applyAlignment="1">
      <alignment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2" name="Picture@01\QPosted@" descr="@01\QPosted@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3" name="Picture@01\QPosted@" descr="@01\QPosted@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4" name="Picture@01\QPosted@" descr="@01\QPosted@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5" name="Picture@01\QPosted@" descr="@01\QPosted@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6" name="Picture@01\QPosted@" descr="@01\QPosted@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7" name="Picture@01\QPosted@" descr="@01\QPosted@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8" name="Picture@01\QPosted@" descr="@01\QPosted@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9" name="Picture@01\QPosted@" descr="@01\QPosted@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0" name="Picture@01\QPosted@" descr="@01\QPosted@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11" name="Picture@01\QPosted@" descr="@01\QPosted@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2" name="Picture@01\QPosted@" descr="@01\QPosted@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3" name="Picture@01\QPosted@" descr="@01\QPosted@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4" name="Picture@01\QPosted@" descr="@01\QPosted@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5" name="Picture@01\QPosted@" descr="@01\QPosted@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6" name="Picture@01\QPosted@" descr="@01\QPosted@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7" name="Picture@01\QPosted@" descr="@01\QPosted@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8" name="Picture@01\QPosted@" descr="@01\QPosted@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41" name="Picture@01\QPosted@" descr="@01\QPosted@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42" name="Picture@01\QPosted@" descr="@01\QPosted@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43" name="Picture@01\QPosted@" descr="@01\QPosted@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44" name="Picture@01\QPosted@" descr="@01\QPosted@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45" name="Picture@01\QPosted@" descr="@01\QPosted@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46" name="Picture@01\QPosted@" descr="@01\QPosted@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51" name="Picture@01\QPosted@" descr="@01\QPosted@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52" name="Picture@01\QPosted@" descr="@01\QPosted@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53" name="Picture@01\QPosted@" descr="@01\QPosted@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54" name="Picture@01\QPosted@" descr="@01\QPosted@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69" name="Picture@01\QPosted@" descr="@01\QPosted@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70" name="Picture@01\QPosted@" descr="@01\QPosted@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71" name="Picture@01\QPosted@" descr="@01\QPosted@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72" name="Picture@01\QPosted@" descr="@01\QPosted@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93" name="Picture@01\QPosted@" descr="@01\QPosted@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94" name="Picture@01\QPosted@" descr="@01\QPosted@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95" name="Picture@01\QPosted@" descr="@01\QPosted@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96" name="Picture@01\QPosted@" descr="@01\QPosted@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97" name="Picture@01\QPosted@" descr="@01\QPosted@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98" name="Picture@01\QPosted@" descr="@01\QPosted@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99" name="Picture@01\QPosted@" descr="@01\QPosted@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100" name="Picture@01\QPosted@" descr="@01\QPosted@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103" name="Picture@01\QPosted@" descr="@01\QPosted@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104" name="Picture@01\QPosted@" descr="@01\QPosted@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105" name="Picture@01\QPosted@" descr="@01\QPosted@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106" name="Picture@01\QPosted@" descr="@01\QPosted@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107" name="Picture@01\QPosted@" descr="@01\QPosted@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108" name="Picture@01\QPosted@" descr="@01\QPosted@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113" name="Picture@01\QPosted@" descr="@01\QPosted@">
          <a:extLst>
            <a:ext uri="{FF2B5EF4-FFF2-40B4-BE49-F238E27FC236}">
              <a16:creationId xmlns:a16="http://schemas.microsoft.com/office/drawing/2014/main" id="{5C988D2C-0B1D-4E26-9DFB-CBF8062478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114" name="Picture@01\QPosted@" descr="@01\QPosted@">
          <a:extLst>
            <a:ext uri="{FF2B5EF4-FFF2-40B4-BE49-F238E27FC236}">
              <a16:creationId xmlns:a16="http://schemas.microsoft.com/office/drawing/2014/main" id="{683B362D-DCC1-494A-8DF7-47021F38AA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2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115" name="Picture@01\QPosted@" descr="@01\QPosted@">
          <a:extLst>
            <a:ext uri="{FF2B5EF4-FFF2-40B4-BE49-F238E27FC236}">
              <a16:creationId xmlns:a16="http://schemas.microsoft.com/office/drawing/2014/main" id="{8C3AC3DA-839F-47F9-B2C7-3F763732E2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0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116" name="Picture@01\QPosted@" descr="@01\QPosted@">
          <a:extLst>
            <a:ext uri="{FF2B5EF4-FFF2-40B4-BE49-F238E27FC236}">
              <a16:creationId xmlns:a16="http://schemas.microsoft.com/office/drawing/2014/main" id="{DED524BF-34EA-411C-99BC-25A4DE90BB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7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117" name="Picture@01\QPosted@" descr="@01\QPosted@">
          <a:extLst>
            <a:ext uri="{FF2B5EF4-FFF2-40B4-BE49-F238E27FC236}">
              <a16:creationId xmlns:a16="http://schemas.microsoft.com/office/drawing/2014/main" id="{0C08552C-B847-4E01-9EBE-7FDDF54195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5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118" name="Picture@01\QPosted@" descr="@01\QPosted@">
          <a:extLst>
            <a:ext uri="{FF2B5EF4-FFF2-40B4-BE49-F238E27FC236}">
              <a16:creationId xmlns:a16="http://schemas.microsoft.com/office/drawing/2014/main" id="{FEDEC4DA-52D6-4967-8693-46316F3AD2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3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119" name="Picture@01\QPosted@" descr="@01\QPosted@">
          <a:extLst>
            <a:ext uri="{FF2B5EF4-FFF2-40B4-BE49-F238E27FC236}">
              <a16:creationId xmlns:a16="http://schemas.microsoft.com/office/drawing/2014/main" id="{43DA0CCB-425A-4840-8E12-EED3810291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1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120" name="Picture@01\QPosted@" descr="@01\QPosted@">
          <a:extLst>
            <a:ext uri="{FF2B5EF4-FFF2-40B4-BE49-F238E27FC236}">
              <a16:creationId xmlns:a16="http://schemas.microsoft.com/office/drawing/2014/main" id="{74D7AE90-F0A2-45F0-B87B-CD53D67339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121" name="Picture@01\QPosted@" descr="@01\QPosted@">
          <a:extLst>
            <a:ext uri="{FF2B5EF4-FFF2-40B4-BE49-F238E27FC236}">
              <a16:creationId xmlns:a16="http://schemas.microsoft.com/office/drawing/2014/main" id="{12451C8A-315C-4134-8D1A-12ADC0BA17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6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122" name="Picture@01\QPosted@" descr="@01\QPosted@">
          <a:extLst>
            <a:ext uri="{FF2B5EF4-FFF2-40B4-BE49-F238E27FC236}">
              <a16:creationId xmlns:a16="http://schemas.microsoft.com/office/drawing/2014/main" id="{B7886841-0A6A-4696-B2F6-60FAA7C1E6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4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123" name="Picture@01\QPosted@" descr="@01\QPosted@">
          <a:extLst>
            <a:ext uri="{FF2B5EF4-FFF2-40B4-BE49-F238E27FC236}">
              <a16:creationId xmlns:a16="http://schemas.microsoft.com/office/drawing/2014/main" id="{8B29467C-D90E-4372-B975-47446F9A85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2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124" name="Picture@01\QPosted@" descr="@01\QPosted@">
          <a:extLst>
            <a:ext uri="{FF2B5EF4-FFF2-40B4-BE49-F238E27FC236}">
              <a16:creationId xmlns:a16="http://schemas.microsoft.com/office/drawing/2014/main" id="{1AE47F53-E4C4-4763-B2D0-D9BA5749F5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0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2" name="Picture@01\QPosted@" descr="@01\QPosted@">
          <a:extLst>
            <a:ext uri="{FF2B5EF4-FFF2-40B4-BE49-F238E27FC236}">
              <a16:creationId xmlns:a16="http://schemas.microsoft.com/office/drawing/2014/main" id="{4EE681FC-8402-4D73-A62A-918301EB67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6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3" name="Picture@01\QPosted@" descr="@01\QPosted@">
          <a:extLst>
            <a:ext uri="{FF2B5EF4-FFF2-40B4-BE49-F238E27FC236}">
              <a16:creationId xmlns:a16="http://schemas.microsoft.com/office/drawing/2014/main" id="{716BA24C-1115-45F0-988C-156A840AC6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54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4" name="Picture@01\QPosted@" descr="@01\QPosted@">
          <a:extLst>
            <a:ext uri="{FF2B5EF4-FFF2-40B4-BE49-F238E27FC236}">
              <a16:creationId xmlns:a16="http://schemas.microsoft.com/office/drawing/2014/main" id="{15439836-0AF2-4DC7-8531-CB83D14A77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31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5" name="Picture@01\QPosted@" descr="@01\QPosted@">
          <a:extLst>
            <a:ext uri="{FF2B5EF4-FFF2-40B4-BE49-F238E27FC236}">
              <a16:creationId xmlns:a16="http://schemas.microsoft.com/office/drawing/2014/main" id="{D2987451-0024-4F16-AF7D-D8C8542F1A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09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6" name="Picture@01\QPosted@" descr="@01\QPosted@">
          <a:extLst>
            <a:ext uri="{FF2B5EF4-FFF2-40B4-BE49-F238E27FC236}">
              <a16:creationId xmlns:a16="http://schemas.microsoft.com/office/drawing/2014/main" id="{7E0CDDFC-4798-4037-BF5C-6159A84667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87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7" name="Picture@01\QPosted@" descr="@01\QPosted@">
          <a:extLst>
            <a:ext uri="{FF2B5EF4-FFF2-40B4-BE49-F238E27FC236}">
              <a16:creationId xmlns:a16="http://schemas.microsoft.com/office/drawing/2014/main" id="{4977501A-18C3-46DF-9BC8-71A65AF847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65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8" name="Picture@01\QPosted@" descr="@01\QPosted@">
          <a:extLst>
            <a:ext uri="{FF2B5EF4-FFF2-40B4-BE49-F238E27FC236}">
              <a16:creationId xmlns:a16="http://schemas.microsoft.com/office/drawing/2014/main" id="{EAB51181-0F05-4FFF-B636-7A7A9E8A43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43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9" name="Picture@01\QPosted@" descr="@01\QPosted@">
          <a:extLst>
            <a:ext uri="{FF2B5EF4-FFF2-40B4-BE49-F238E27FC236}">
              <a16:creationId xmlns:a16="http://schemas.microsoft.com/office/drawing/2014/main" id="{05A59465-DD40-4B1F-995A-6F69F79CE9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20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0" name="Picture@01\QPosted@" descr="@01\QPosted@">
          <a:extLst>
            <a:ext uri="{FF2B5EF4-FFF2-40B4-BE49-F238E27FC236}">
              <a16:creationId xmlns:a16="http://schemas.microsoft.com/office/drawing/2014/main" id="{58E91A06-0ECA-447C-B27B-E0CDFB28A7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98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2" name="Picture@01\QPosted@" descr="@01\QPosted@">
          <a:extLst>
            <a:ext uri="{FF2B5EF4-FFF2-40B4-BE49-F238E27FC236}">
              <a16:creationId xmlns:a16="http://schemas.microsoft.com/office/drawing/2014/main" id="{09B662DD-0667-4963-BCC8-D77BDB0C1B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6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3" name="Picture@01\QPosted@" descr="@01\QPosted@">
          <a:extLst>
            <a:ext uri="{FF2B5EF4-FFF2-40B4-BE49-F238E27FC236}">
              <a16:creationId xmlns:a16="http://schemas.microsoft.com/office/drawing/2014/main" id="{1FE93D2B-A042-42F3-BC45-53719B39EF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54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4" name="Picture@01\QPosted@" descr="@01\QPosted@">
          <a:extLst>
            <a:ext uri="{FF2B5EF4-FFF2-40B4-BE49-F238E27FC236}">
              <a16:creationId xmlns:a16="http://schemas.microsoft.com/office/drawing/2014/main" id="{5613CE9B-336E-45CF-A1D7-1A6172D3EE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31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5" name="Picture@01\QPosted@" descr="@01\QPosted@">
          <a:extLst>
            <a:ext uri="{FF2B5EF4-FFF2-40B4-BE49-F238E27FC236}">
              <a16:creationId xmlns:a16="http://schemas.microsoft.com/office/drawing/2014/main" id="{8836E206-D6C2-463A-B779-DA529851CAF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09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6" name="Picture@01\QPosted@" descr="@01\QPosted@">
          <a:extLst>
            <a:ext uri="{FF2B5EF4-FFF2-40B4-BE49-F238E27FC236}">
              <a16:creationId xmlns:a16="http://schemas.microsoft.com/office/drawing/2014/main" id="{986163CE-B9BA-4262-ABE3-49F97966F9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87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7" name="Picture@01\QPosted@" descr="@01\QPosted@">
          <a:extLst>
            <a:ext uri="{FF2B5EF4-FFF2-40B4-BE49-F238E27FC236}">
              <a16:creationId xmlns:a16="http://schemas.microsoft.com/office/drawing/2014/main" id="{101FD898-788A-4FA8-AF05-413909613D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65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8" name="Picture@01\QPosted@" descr="@01\QPosted@">
          <a:extLst>
            <a:ext uri="{FF2B5EF4-FFF2-40B4-BE49-F238E27FC236}">
              <a16:creationId xmlns:a16="http://schemas.microsoft.com/office/drawing/2014/main" id="{FD8F9604-14EB-40F7-B45C-E1628BDACD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43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9" name="Picture@01\QPosted@" descr="@01\QPosted@">
          <a:extLst>
            <a:ext uri="{FF2B5EF4-FFF2-40B4-BE49-F238E27FC236}">
              <a16:creationId xmlns:a16="http://schemas.microsoft.com/office/drawing/2014/main" id="{BE699029-BDCA-466A-A7CA-DDD2259C83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20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10" name="Picture@01\QPosted@" descr="@01\QPosted@">
          <a:extLst>
            <a:ext uri="{FF2B5EF4-FFF2-40B4-BE49-F238E27FC236}">
              <a16:creationId xmlns:a16="http://schemas.microsoft.com/office/drawing/2014/main" id="{12D94FD4-8081-4C95-8EFD-B69136B7FC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98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11" name="Picture@01\QPosted@" descr="@01\QPosted@">
          <a:extLst>
            <a:ext uri="{FF2B5EF4-FFF2-40B4-BE49-F238E27FC236}">
              <a16:creationId xmlns:a16="http://schemas.microsoft.com/office/drawing/2014/main" id="{2ADF8441-0DBF-4CE9-81EF-B8CD651F6E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76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12" name="Picture@01\QPosted@" descr="@01\QPosted@">
          <a:extLst>
            <a:ext uri="{FF2B5EF4-FFF2-40B4-BE49-F238E27FC236}">
              <a16:creationId xmlns:a16="http://schemas.microsoft.com/office/drawing/2014/main" id="{94F0AD0B-FE25-40CA-8110-D04B31F9C7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54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3" name="Picture@01\QPosted@" descr="@01\QPosted@">
          <a:extLst>
            <a:ext uri="{FF2B5EF4-FFF2-40B4-BE49-F238E27FC236}">
              <a16:creationId xmlns:a16="http://schemas.microsoft.com/office/drawing/2014/main" id="{815ED70B-7EF4-40B9-9279-CBF398DCB0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32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14" name="Picture@01\QPosted@" descr="@01\QPosted@">
          <a:extLst>
            <a:ext uri="{FF2B5EF4-FFF2-40B4-BE49-F238E27FC236}">
              <a16:creationId xmlns:a16="http://schemas.microsoft.com/office/drawing/2014/main" id="{698AFB9C-1151-4EF3-AAC0-6FA3A597BB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609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15" name="Picture@01\QPosted@" descr="@01\QPosted@">
          <a:extLst>
            <a:ext uri="{FF2B5EF4-FFF2-40B4-BE49-F238E27FC236}">
              <a16:creationId xmlns:a16="http://schemas.microsoft.com/office/drawing/2014/main" id="{04D606D3-518A-43F5-ABFB-2D714B3DEB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87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16" name="Picture@01\QPosted@" descr="@01\QPosted@">
          <a:extLst>
            <a:ext uri="{FF2B5EF4-FFF2-40B4-BE49-F238E27FC236}">
              <a16:creationId xmlns:a16="http://schemas.microsoft.com/office/drawing/2014/main" id="{13B02935-2E53-47EB-9329-8F7E1DBC4F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65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17" name="Picture@01\QPosted@" descr="@01\QPosted@">
          <a:extLst>
            <a:ext uri="{FF2B5EF4-FFF2-40B4-BE49-F238E27FC236}">
              <a16:creationId xmlns:a16="http://schemas.microsoft.com/office/drawing/2014/main" id="{F06FDA5C-9862-45D4-8DDB-A779D82AFE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43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18" name="Picture@01\QPosted@" descr="@01\QPosted@">
          <a:extLst>
            <a:ext uri="{FF2B5EF4-FFF2-40B4-BE49-F238E27FC236}">
              <a16:creationId xmlns:a16="http://schemas.microsoft.com/office/drawing/2014/main" id="{9A1B0F2D-9EFF-4ED6-9D10-D048210286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21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19" name="Picture@01\QPosted@" descr="@01\QPosted@">
          <a:extLst>
            <a:ext uri="{FF2B5EF4-FFF2-40B4-BE49-F238E27FC236}">
              <a16:creationId xmlns:a16="http://schemas.microsoft.com/office/drawing/2014/main" id="{7490CA18-0884-4D27-B7D3-C36AA6645C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98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20" name="Picture@01\QPosted@" descr="@01\QPosted@">
          <a:extLst>
            <a:ext uri="{FF2B5EF4-FFF2-40B4-BE49-F238E27FC236}">
              <a16:creationId xmlns:a16="http://schemas.microsoft.com/office/drawing/2014/main" id="{0E318C02-7EF1-47EA-8967-F6255354EC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76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21" name="Picture@01\QPosted@" descr="@01\QPosted@">
          <a:extLst>
            <a:ext uri="{FF2B5EF4-FFF2-40B4-BE49-F238E27FC236}">
              <a16:creationId xmlns:a16="http://schemas.microsoft.com/office/drawing/2014/main" id="{806353F1-512C-4B90-AFE0-F9459CAE3D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54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22" name="Picture@01\QPosted@" descr="@01\QPosted@">
          <a:extLst>
            <a:ext uri="{FF2B5EF4-FFF2-40B4-BE49-F238E27FC236}">
              <a16:creationId xmlns:a16="http://schemas.microsoft.com/office/drawing/2014/main" id="{4D6B7802-D833-4676-BD1F-E4BC14F00C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32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23" name="Picture@01\QPosted@" descr="@01\QPosted@">
          <a:extLst>
            <a:ext uri="{FF2B5EF4-FFF2-40B4-BE49-F238E27FC236}">
              <a16:creationId xmlns:a16="http://schemas.microsoft.com/office/drawing/2014/main" id="{7F8FE5BC-EC36-476B-A316-5C3F172818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210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24" name="Picture@01\QPosted@" descr="@01\QPosted@">
          <a:extLst>
            <a:ext uri="{FF2B5EF4-FFF2-40B4-BE49-F238E27FC236}">
              <a16:creationId xmlns:a16="http://schemas.microsoft.com/office/drawing/2014/main" id="{3162189E-7987-4050-809B-2AA7EA4E3C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87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25" name="Picture@01\QPosted@" descr="@01\QPosted@">
          <a:extLst>
            <a:ext uri="{FF2B5EF4-FFF2-40B4-BE49-F238E27FC236}">
              <a16:creationId xmlns:a16="http://schemas.microsoft.com/office/drawing/2014/main" id="{C6A441A5-E349-4567-8EFC-E1EAA8D717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65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26" name="Picture@01\QPosted@" descr="@01\QPosted@">
          <a:extLst>
            <a:ext uri="{FF2B5EF4-FFF2-40B4-BE49-F238E27FC236}">
              <a16:creationId xmlns:a16="http://schemas.microsoft.com/office/drawing/2014/main" id="{D05D230C-D7E0-4F07-885B-7D287CC6EA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43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27" name="Picture@01\QPosted@" descr="@01\QPosted@">
          <a:extLst>
            <a:ext uri="{FF2B5EF4-FFF2-40B4-BE49-F238E27FC236}">
              <a16:creationId xmlns:a16="http://schemas.microsoft.com/office/drawing/2014/main" id="{CF1131D8-AB74-4F50-8EAA-94C3ACBB84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21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28" name="Picture@01\QPosted@" descr="@01\QPosted@">
          <a:extLst>
            <a:ext uri="{FF2B5EF4-FFF2-40B4-BE49-F238E27FC236}">
              <a16:creationId xmlns:a16="http://schemas.microsoft.com/office/drawing/2014/main" id="{72E3E178-1FB5-4371-B78E-06EF5F6106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99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29" name="Picture@01\QPosted@" descr="@01\QPosted@">
          <a:extLst>
            <a:ext uri="{FF2B5EF4-FFF2-40B4-BE49-F238E27FC236}">
              <a16:creationId xmlns:a16="http://schemas.microsoft.com/office/drawing/2014/main" id="{DCD2F9A2-5CB5-4392-8D3B-B7F49C46FF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76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30" name="Picture@01\QPosted@" descr="@01\QPosted@">
          <a:extLst>
            <a:ext uri="{FF2B5EF4-FFF2-40B4-BE49-F238E27FC236}">
              <a16:creationId xmlns:a16="http://schemas.microsoft.com/office/drawing/2014/main" id="{F565915A-80D7-4C42-AC20-F83974284D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54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31" name="Picture@01\QPosted@" descr="@01\QPosted@">
          <a:extLst>
            <a:ext uri="{FF2B5EF4-FFF2-40B4-BE49-F238E27FC236}">
              <a16:creationId xmlns:a16="http://schemas.microsoft.com/office/drawing/2014/main" id="{C222F4F6-7ED0-4B17-93F9-2B452701ED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632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32" name="Picture@01\QPosted@" descr="@01\QPosted@">
          <a:extLst>
            <a:ext uri="{FF2B5EF4-FFF2-40B4-BE49-F238E27FC236}">
              <a16:creationId xmlns:a16="http://schemas.microsoft.com/office/drawing/2014/main" id="{D7182BCE-208B-4C70-A94E-D56251578F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810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33" name="Picture@01\QPosted@" descr="@01\QPosted@">
          <a:extLst>
            <a:ext uri="{FF2B5EF4-FFF2-40B4-BE49-F238E27FC236}">
              <a16:creationId xmlns:a16="http://schemas.microsoft.com/office/drawing/2014/main" id="{4CB90AAF-E083-4D5F-A0F0-6EF53828F3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88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34" name="Picture@01\QPosted@" descr="@01\QPosted@">
          <a:extLst>
            <a:ext uri="{FF2B5EF4-FFF2-40B4-BE49-F238E27FC236}">
              <a16:creationId xmlns:a16="http://schemas.microsoft.com/office/drawing/2014/main" id="{0BC6A136-84AF-40D2-9679-75705171B3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65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35" name="Picture@01\QPosted@" descr="@01\QPosted@">
          <a:extLst>
            <a:ext uri="{FF2B5EF4-FFF2-40B4-BE49-F238E27FC236}">
              <a16:creationId xmlns:a16="http://schemas.microsoft.com/office/drawing/2014/main" id="{D14D534E-7E50-450B-9CF5-23DCBC2C19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343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36" name="Picture@01\QPosted@" descr="@01\QPosted@">
          <a:extLst>
            <a:ext uri="{FF2B5EF4-FFF2-40B4-BE49-F238E27FC236}">
              <a16:creationId xmlns:a16="http://schemas.microsoft.com/office/drawing/2014/main" id="{86A87743-5174-4FC0-BA7A-BE077C4997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521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37" name="Picture@01\QPosted@" descr="@01\QPosted@">
          <a:extLst>
            <a:ext uri="{FF2B5EF4-FFF2-40B4-BE49-F238E27FC236}">
              <a16:creationId xmlns:a16="http://schemas.microsoft.com/office/drawing/2014/main" id="{7598BA90-35CE-4FE4-82D3-652A77C909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99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38" name="Picture@01\QPosted@" descr="@01\QPosted@">
          <a:extLst>
            <a:ext uri="{FF2B5EF4-FFF2-40B4-BE49-F238E27FC236}">
              <a16:creationId xmlns:a16="http://schemas.microsoft.com/office/drawing/2014/main" id="{6AD633E8-F18A-42FB-882D-65293AAA92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77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39" name="Picture@01\QPosted@" descr="@01\QPosted@">
          <a:extLst>
            <a:ext uri="{FF2B5EF4-FFF2-40B4-BE49-F238E27FC236}">
              <a16:creationId xmlns:a16="http://schemas.microsoft.com/office/drawing/2014/main" id="{9934FECB-3170-4F6D-846B-A71E11B5BA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03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40" name="Picture@01\QPosted@" descr="@01\QPosted@">
          <a:extLst>
            <a:ext uri="{FF2B5EF4-FFF2-40B4-BE49-F238E27FC236}">
              <a16:creationId xmlns:a16="http://schemas.microsoft.com/office/drawing/2014/main" id="{EC2F4D05-11AF-42B4-8D4B-9370AF851C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194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41" name="Picture@01\QPosted@" descr="@01\QPosted@">
          <a:extLst>
            <a:ext uri="{FF2B5EF4-FFF2-40B4-BE49-F238E27FC236}">
              <a16:creationId xmlns:a16="http://schemas.microsoft.com/office/drawing/2014/main" id="{8AFBF815-22C3-4674-885C-FD8874924B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53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42" name="Picture@01\QPosted@" descr="@01\QPosted@">
          <a:extLst>
            <a:ext uri="{FF2B5EF4-FFF2-40B4-BE49-F238E27FC236}">
              <a16:creationId xmlns:a16="http://schemas.microsoft.com/office/drawing/2014/main" id="{4D4F5A03-2698-4924-8BDB-733A725AB5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12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43" name="Picture@01\QPosted@" descr="@01\QPosted@">
          <a:extLst>
            <a:ext uri="{FF2B5EF4-FFF2-40B4-BE49-F238E27FC236}">
              <a16:creationId xmlns:a16="http://schemas.microsoft.com/office/drawing/2014/main" id="{E1E7927A-B4F1-4EDA-B305-ECD7775FCE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67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44" name="Picture@01\QPosted@" descr="@01\QPosted@">
          <a:extLst>
            <a:ext uri="{FF2B5EF4-FFF2-40B4-BE49-F238E27FC236}">
              <a16:creationId xmlns:a16="http://schemas.microsoft.com/office/drawing/2014/main" id="{E2200286-C77A-4198-905F-331C16973B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829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45" name="Picture@01\QPosted@" descr="@01\QPosted@">
          <a:extLst>
            <a:ext uri="{FF2B5EF4-FFF2-40B4-BE49-F238E27FC236}">
              <a16:creationId xmlns:a16="http://schemas.microsoft.com/office/drawing/2014/main" id="{D8B35621-D38C-4B0A-83CC-A82B63DC7E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988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46" name="Picture@01\QPosted@" descr="@01\QPosted@">
          <a:extLst>
            <a:ext uri="{FF2B5EF4-FFF2-40B4-BE49-F238E27FC236}">
              <a16:creationId xmlns:a16="http://schemas.microsoft.com/office/drawing/2014/main" id="{D5073056-122C-4683-A26F-654A3DBCD2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147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47" name="Picture@01\QPosted@" descr="@01\QPosted@">
          <a:extLst>
            <a:ext uri="{FF2B5EF4-FFF2-40B4-BE49-F238E27FC236}">
              <a16:creationId xmlns:a16="http://schemas.microsoft.com/office/drawing/2014/main" id="{5A221F33-2F6C-488F-9D16-D093890CB5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30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48" name="Picture@01\QPosted@" descr="@01\QPosted@">
          <a:extLst>
            <a:ext uri="{FF2B5EF4-FFF2-40B4-BE49-F238E27FC236}">
              <a16:creationId xmlns:a16="http://schemas.microsoft.com/office/drawing/2014/main" id="{63127F81-06C3-48ED-8F56-069A610221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64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49" name="Picture@01\QPosted@" descr="@01\QPosted@">
          <a:extLst>
            <a:ext uri="{FF2B5EF4-FFF2-40B4-BE49-F238E27FC236}">
              <a16:creationId xmlns:a16="http://schemas.microsoft.com/office/drawing/2014/main" id="{408667E0-88B7-402D-8CBE-28A4881F27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623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2" name="Picture@01\QPosted@" descr="@01\QPosted@">
          <a:extLst>
            <a:ext uri="{FF2B5EF4-FFF2-40B4-BE49-F238E27FC236}">
              <a16:creationId xmlns:a16="http://schemas.microsoft.com/office/drawing/2014/main" id="{2DC1FDFB-E0DD-4746-AA02-16836D279B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3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3" name="Picture@01\QPosted@" descr="@01\QPosted@">
          <a:extLst>
            <a:ext uri="{FF2B5EF4-FFF2-40B4-BE49-F238E27FC236}">
              <a16:creationId xmlns:a16="http://schemas.microsoft.com/office/drawing/2014/main" id="{52EE421F-A734-428D-A538-BB4D1E2A91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1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4" name="Picture@01\QPosted@" descr="@01\QPosted@">
          <a:extLst>
            <a:ext uri="{FF2B5EF4-FFF2-40B4-BE49-F238E27FC236}">
              <a16:creationId xmlns:a16="http://schemas.microsoft.com/office/drawing/2014/main" id="{5BFD185F-E94B-41E1-A953-B7E4151151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5" name="Picture@01\QPosted@" descr="@01\QPosted@">
          <a:extLst>
            <a:ext uri="{FF2B5EF4-FFF2-40B4-BE49-F238E27FC236}">
              <a16:creationId xmlns:a16="http://schemas.microsoft.com/office/drawing/2014/main" id="{323338A2-5AAC-436A-8259-4E22E8DFDD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6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6" name="Picture@01\QPosted@" descr="@01\QPosted@">
          <a:extLst>
            <a:ext uri="{FF2B5EF4-FFF2-40B4-BE49-F238E27FC236}">
              <a16:creationId xmlns:a16="http://schemas.microsoft.com/office/drawing/2014/main" id="{107A5489-8DD8-4120-BC80-8755AD8133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7" name="Picture@01\QPosted@" descr="@01\QPosted@">
          <a:extLst>
            <a:ext uri="{FF2B5EF4-FFF2-40B4-BE49-F238E27FC236}">
              <a16:creationId xmlns:a16="http://schemas.microsoft.com/office/drawing/2014/main" id="{98A97A54-3346-494C-8E04-E657069ED9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2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8" name="Picture@01\QPosted@" descr="@01\QPosted@">
          <a:extLst>
            <a:ext uri="{FF2B5EF4-FFF2-40B4-BE49-F238E27FC236}">
              <a16:creationId xmlns:a16="http://schemas.microsoft.com/office/drawing/2014/main" id="{950EF547-BD44-461E-9D08-78D29DCFBD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0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9" name="Picture@01\QPosted@" descr="@01\QPosted@">
          <a:extLst>
            <a:ext uri="{FF2B5EF4-FFF2-40B4-BE49-F238E27FC236}">
              <a16:creationId xmlns:a16="http://schemas.microsoft.com/office/drawing/2014/main" id="{E2BDC5DF-E6BF-4E8A-A198-6614D54DCE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7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0" name="Picture@01\QPosted@" descr="@01\QPosted@">
          <a:extLst>
            <a:ext uri="{FF2B5EF4-FFF2-40B4-BE49-F238E27FC236}">
              <a16:creationId xmlns:a16="http://schemas.microsoft.com/office/drawing/2014/main" id="{9845895E-4BDF-41F3-9082-6BCC7BFC9D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5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11" name="Picture@01\QPosted@" descr="@01\QPosted@">
          <a:extLst>
            <a:ext uri="{FF2B5EF4-FFF2-40B4-BE49-F238E27FC236}">
              <a16:creationId xmlns:a16="http://schemas.microsoft.com/office/drawing/2014/main" id="{0C3964AF-2602-4DB9-809C-B722C5C9B1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3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2" name="Picture@01\QPosted@" descr="@01\QPosted@">
          <a:extLst>
            <a:ext uri="{FF2B5EF4-FFF2-40B4-BE49-F238E27FC236}">
              <a16:creationId xmlns:a16="http://schemas.microsoft.com/office/drawing/2014/main" id="{743CA258-17B2-4331-8461-F903DCB0B2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1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3" name="Picture@01\QPosted@" descr="@01\QPosted@">
          <a:extLst>
            <a:ext uri="{FF2B5EF4-FFF2-40B4-BE49-F238E27FC236}">
              <a16:creationId xmlns:a16="http://schemas.microsoft.com/office/drawing/2014/main" id="{9DDC0952-7D7D-4836-9DA1-11BD52337A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4" name="Picture@01\QPosted@" descr="@01\QPosted@">
          <a:extLst>
            <a:ext uri="{FF2B5EF4-FFF2-40B4-BE49-F238E27FC236}">
              <a16:creationId xmlns:a16="http://schemas.microsoft.com/office/drawing/2014/main" id="{29E57AED-530B-49AB-BE30-7E3B9B955D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6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5" name="Picture@01\QPosted@" descr="@01\QPosted@">
          <a:extLst>
            <a:ext uri="{FF2B5EF4-FFF2-40B4-BE49-F238E27FC236}">
              <a16:creationId xmlns:a16="http://schemas.microsoft.com/office/drawing/2014/main" id="{2689A6F0-3D0C-460D-BC6C-2CAC5A9D1C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4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6" name="Picture@01\QPosted@" descr="@01\QPosted@">
          <a:extLst>
            <a:ext uri="{FF2B5EF4-FFF2-40B4-BE49-F238E27FC236}">
              <a16:creationId xmlns:a16="http://schemas.microsoft.com/office/drawing/2014/main" id="{0B1A5B61-ECC0-461D-B059-EFA6656178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2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7" name="Picture@01\QPosted@" descr="@01\QPosted@">
          <a:extLst>
            <a:ext uri="{FF2B5EF4-FFF2-40B4-BE49-F238E27FC236}">
              <a16:creationId xmlns:a16="http://schemas.microsoft.com/office/drawing/2014/main" id="{E02934CE-B0E6-4200-93C3-520166AEB0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0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8" name="Picture@01\QPosted@" descr="@01\QPosted@">
          <a:extLst>
            <a:ext uri="{FF2B5EF4-FFF2-40B4-BE49-F238E27FC236}">
              <a16:creationId xmlns:a16="http://schemas.microsoft.com/office/drawing/2014/main" id="{D7933E20-E262-45AB-A3DC-10C6D8E9F3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7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19" name="Picture@01\QPosted@" descr="@01\QPosted@">
          <a:extLst>
            <a:ext uri="{FF2B5EF4-FFF2-40B4-BE49-F238E27FC236}">
              <a16:creationId xmlns:a16="http://schemas.microsoft.com/office/drawing/2014/main" id="{C2337BEA-886F-4B68-981E-9DB05A1DA4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5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20" name="Picture@01\QPosted@" descr="@01\QPosted@">
          <a:extLst>
            <a:ext uri="{FF2B5EF4-FFF2-40B4-BE49-F238E27FC236}">
              <a16:creationId xmlns:a16="http://schemas.microsoft.com/office/drawing/2014/main" id="{95BF9138-81A6-4F17-80B2-E4382C991D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3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21" name="Picture@01\QPosted@" descr="@01\QPosted@">
          <a:extLst>
            <a:ext uri="{FF2B5EF4-FFF2-40B4-BE49-F238E27FC236}">
              <a16:creationId xmlns:a16="http://schemas.microsoft.com/office/drawing/2014/main" id="{156B3C53-27FB-478F-B119-8ACE018F7D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1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22" name="Picture@01\QPosted@" descr="@01\QPosted@">
          <a:extLst>
            <a:ext uri="{FF2B5EF4-FFF2-40B4-BE49-F238E27FC236}">
              <a16:creationId xmlns:a16="http://schemas.microsoft.com/office/drawing/2014/main" id="{BC2F7832-FF24-4453-8124-AFFBC352BE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9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23" name="Picture@01\QPosted@" descr="@01\QPosted@">
          <a:extLst>
            <a:ext uri="{FF2B5EF4-FFF2-40B4-BE49-F238E27FC236}">
              <a16:creationId xmlns:a16="http://schemas.microsoft.com/office/drawing/2014/main" id="{2F17BCFC-2F64-4D0E-8A72-7B644A1231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6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24" name="Picture@01\QPosted@" descr="@01\QPosted@">
          <a:extLst>
            <a:ext uri="{FF2B5EF4-FFF2-40B4-BE49-F238E27FC236}">
              <a16:creationId xmlns:a16="http://schemas.microsoft.com/office/drawing/2014/main" id="{8AD095F1-3731-4E7E-85D1-6E7C8554C3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4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25" name="Picture@01\QPosted@" descr="@01\QPosted@">
          <a:extLst>
            <a:ext uri="{FF2B5EF4-FFF2-40B4-BE49-F238E27FC236}">
              <a16:creationId xmlns:a16="http://schemas.microsoft.com/office/drawing/2014/main" id="{A14986B1-A0FB-4B6F-8EF3-60957D5C8B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2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26" name="Picture@01\QPosted@" descr="@01\QPosted@">
          <a:extLst>
            <a:ext uri="{FF2B5EF4-FFF2-40B4-BE49-F238E27FC236}">
              <a16:creationId xmlns:a16="http://schemas.microsoft.com/office/drawing/2014/main" id="{3F6584A6-F300-4D08-A955-8B0347F8C0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0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27" name="Picture@01\QPosted@" descr="@01\QPosted@">
          <a:extLst>
            <a:ext uri="{FF2B5EF4-FFF2-40B4-BE49-F238E27FC236}">
              <a16:creationId xmlns:a16="http://schemas.microsoft.com/office/drawing/2014/main" id="{E27EDF33-BA54-4FF5-A9FA-18C4F58531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8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28" name="Picture@01\QPosted@" descr="@01\QPosted@">
          <a:extLst>
            <a:ext uri="{FF2B5EF4-FFF2-40B4-BE49-F238E27FC236}">
              <a16:creationId xmlns:a16="http://schemas.microsoft.com/office/drawing/2014/main" id="{9671280E-2D59-4774-9108-E9AC8CE8D9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5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29" name="Picture@01\QPosted@" descr="@01\QPosted@">
          <a:extLst>
            <a:ext uri="{FF2B5EF4-FFF2-40B4-BE49-F238E27FC236}">
              <a16:creationId xmlns:a16="http://schemas.microsoft.com/office/drawing/2014/main" id="{CA461083-2967-4420-82CA-3302BCAB1D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3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30" name="Picture@01\QPosted@" descr="@01\QPosted@">
          <a:extLst>
            <a:ext uri="{FF2B5EF4-FFF2-40B4-BE49-F238E27FC236}">
              <a16:creationId xmlns:a16="http://schemas.microsoft.com/office/drawing/2014/main" id="{D9A57FF0-3E21-462D-B28A-9C0D93BF06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61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31" name="Picture@01\QPosted@" descr="@01\QPosted@">
          <a:extLst>
            <a:ext uri="{FF2B5EF4-FFF2-40B4-BE49-F238E27FC236}">
              <a16:creationId xmlns:a16="http://schemas.microsoft.com/office/drawing/2014/main" id="{0B845B5F-1956-4FA2-A59B-065C15796B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9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32" name="Picture@01\QPosted@" descr="@01\QPosted@">
          <a:extLst>
            <a:ext uri="{FF2B5EF4-FFF2-40B4-BE49-F238E27FC236}">
              <a16:creationId xmlns:a16="http://schemas.microsoft.com/office/drawing/2014/main" id="{51D479EB-4C1B-4310-B5BD-E97302966E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6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33" name="Picture@01\QPosted@" descr="@01\QPosted@">
          <a:extLst>
            <a:ext uri="{FF2B5EF4-FFF2-40B4-BE49-F238E27FC236}">
              <a16:creationId xmlns:a16="http://schemas.microsoft.com/office/drawing/2014/main" id="{BD804D61-47ED-4153-AC20-D5B94AC925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4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34" name="Picture@01\QPosted@" descr="@01\QPosted@">
          <a:extLst>
            <a:ext uri="{FF2B5EF4-FFF2-40B4-BE49-F238E27FC236}">
              <a16:creationId xmlns:a16="http://schemas.microsoft.com/office/drawing/2014/main" id="{36EFE70B-7F08-4EA3-832D-4171963A63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32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35" name="Picture@01\QPosted@" descr="@01\QPosted@">
          <a:extLst>
            <a:ext uri="{FF2B5EF4-FFF2-40B4-BE49-F238E27FC236}">
              <a16:creationId xmlns:a16="http://schemas.microsoft.com/office/drawing/2014/main" id="{8B0AA819-9D05-4AA3-80C1-97E794E492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50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36" name="Picture@01\QPosted@" descr="@01\QPosted@">
          <a:extLst>
            <a:ext uri="{FF2B5EF4-FFF2-40B4-BE49-F238E27FC236}">
              <a16:creationId xmlns:a16="http://schemas.microsoft.com/office/drawing/2014/main" id="{759F1BC4-EAE5-40C7-B135-E2AC330066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8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37" name="Picture@01\QPosted@" descr="@01\QPosted@">
          <a:extLst>
            <a:ext uri="{FF2B5EF4-FFF2-40B4-BE49-F238E27FC236}">
              <a16:creationId xmlns:a16="http://schemas.microsoft.com/office/drawing/2014/main" id="{BFB1466F-24A8-43B1-93FE-0453E4A8E0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5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38" name="Picture@01\QPosted@" descr="@01\QPosted@">
          <a:extLst>
            <a:ext uri="{FF2B5EF4-FFF2-40B4-BE49-F238E27FC236}">
              <a16:creationId xmlns:a16="http://schemas.microsoft.com/office/drawing/2014/main" id="{31758AF0-9919-47C2-95AD-E0F15D38EE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03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39" name="Picture@01\QPosted@" descr="@01\QPosted@">
          <a:extLst>
            <a:ext uri="{FF2B5EF4-FFF2-40B4-BE49-F238E27FC236}">
              <a16:creationId xmlns:a16="http://schemas.microsoft.com/office/drawing/2014/main" id="{810233DD-2732-4D57-8836-9E4BC641C1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21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40" name="Picture@01\QPosted@" descr="@01\QPosted@">
          <a:extLst>
            <a:ext uri="{FF2B5EF4-FFF2-40B4-BE49-F238E27FC236}">
              <a16:creationId xmlns:a16="http://schemas.microsoft.com/office/drawing/2014/main" id="{22D020CF-4280-4F3E-9EE0-D23F6E1D7E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9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41" name="Picture@01\QPosted@" descr="@01\QPosted@">
          <a:extLst>
            <a:ext uri="{FF2B5EF4-FFF2-40B4-BE49-F238E27FC236}">
              <a16:creationId xmlns:a16="http://schemas.microsoft.com/office/drawing/2014/main" id="{C0363504-E1D3-4EB7-921E-33D0918F70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6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42" name="Picture@01\QPosted@" descr="@01\QPosted@">
          <a:extLst>
            <a:ext uri="{FF2B5EF4-FFF2-40B4-BE49-F238E27FC236}">
              <a16:creationId xmlns:a16="http://schemas.microsoft.com/office/drawing/2014/main" id="{3A39FB31-B8FD-48C1-9972-7E16DAB672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74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43" name="Picture@01\QPosted@" descr="@01\QPosted@">
          <a:extLst>
            <a:ext uri="{FF2B5EF4-FFF2-40B4-BE49-F238E27FC236}">
              <a16:creationId xmlns:a16="http://schemas.microsoft.com/office/drawing/2014/main" id="{1C45810E-AA28-49E8-A620-01D391C067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92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44" name="Picture@01\QPosted@" descr="@01\QPosted@">
          <a:extLst>
            <a:ext uri="{FF2B5EF4-FFF2-40B4-BE49-F238E27FC236}">
              <a16:creationId xmlns:a16="http://schemas.microsoft.com/office/drawing/2014/main" id="{FEC2F4DB-8765-47A7-9114-49FC4CC0E0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10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45" name="Picture@01\QPosted@" descr="@01\QPosted@">
          <a:extLst>
            <a:ext uri="{FF2B5EF4-FFF2-40B4-BE49-F238E27FC236}">
              <a16:creationId xmlns:a16="http://schemas.microsoft.com/office/drawing/2014/main" id="{6CB07B95-4EE8-4325-8C92-2A097AC72D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8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46" name="Picture@01\QPosted@" descr="@01\QPosted@">
          <a:extLst>
            <a:ext uri="{FF2B5EF4-FFF2-40B4-BE49-F238E27FC236}">
              <a16:creationId xmlns:a16="http://schemas.microsoft.com/office/drawing/2014/main" id="{61DF3B00-6E76-4A72-874B-047717EE53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5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47" name="Picture@01\QPosted@" descr="@01\QPosted@">
          <a:extLst>
            <a:ext uri="{FF2B5EF4-FFF2-40B4-BE49-F238E27FC236}">
              <a16:creationId xmlns:a16="http://schemas.microsoft.com/office/drawing/2014/main" id="{9A30730D-C252-4B6A-8E1D-180E9D1A1C8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63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48" name="Picture@01\QPosted@" descr="@01\QPosted@">
          <a:extLst>
            <a:ext uri="{FF2B5EF4-FFF2-40B4-BE49-F238E27FC236}">
              <a16:creationId xmlns:a16="http://schemas.microsoft.com/office/drawing/2014/main" id="{1B32D2FC-E2DE-4A05-BCE1-7AE1AAA332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81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49" name="Picture@01\QPosted@" descr="@01\QPosted@">
          <a:extLst>
            <a:ext uri="{FF2B5EF4-FFF2-40B4-BE49-F238E27FC236}">
              <a16:creationId xmlns:a16="http://schemas.microsoft.com/office/drawing/2014/main" id="{94AE9397-ECCB-4152-892D-53C7011CBF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9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50" name="Picture@01\QPosted@" descr="@01\QPosted@">
          <a:extLst>
            <a:ext uri="{FF2B5EF4-FFF2-40B4-BE49-F238E27FC236}">
              <a16:creationId xmlns:a16="http://schemas.microsoft.com/office/drawing/2014/main" id="{DE048999-2410-4B86-A778-A191E547EC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16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51" name="Picture@01\QPosted@" descr="@01\QPosted@">
          <a:extLst>
            <a:ext uri="{FF2B5EF4-FFF2-40B4-BE49-F238E27FC236}">
              <a16:creationId xmlns:a16="http://schemas.microsoft.com/office/drawing/2014/main" id="{483995A4-FB5B-404F-979C-9C4D264706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34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52" name="Picture@01\QPosted@" descr="@01\QPosted@">
          <a:extLst>
            <a:ext uri="{FF2B5EF4-FFF2-40B4-BE49-F238E27FC236}">
              <a16:creationId xmlns:a16="http://schemas.microsoft.com/office/drawing/2014/main" id="{6B3FF38E-3AC0-4A61-A11D-80060F801A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52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53" name="Picture@01\QPosted@" descr="@01\QPosted@">
          <a:extLst>
            <a:ext uri="{FF2B5EF4-FFF2-40B4-BE49-F238E27FC236}">
              <a16:creationId xmlns:a16="http://schemas.microsoft.com/office/drawing/2014/main" id="{70AA7515-7AC5-4A03-886D-0A10876616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70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54" name="Picture@01\QPosted@" descr="@01\QPosted@">
          <a:extLst>
            <a:ext uri="{FF2B5EF4-FFF2-40B4-BE49-F238E27FC236}">
              <a16:creationId xmlns:a16="http://schemas.microsoft.com/office/drawing/2014/main" id="{7114DDD4-978C-402B-8F5B-7E5FB96224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88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55" name="Picture@01\QPosted@" descr="@01\QPosted@">
          <a:extLst>
            <a:ext uri="{FF2B5EF4-FFF2-40B4-BE49-F238E27FC236}">
              <a16:creationId xmlns:a16="http://schemas.microsoft.com/office/drawing/2014/main" id="{50D0A8DB-8046-4FB6-B225-14DBEBE54D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05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56" name="Picture@01\QPosted@" descr="@01\QPosted@">
          <a:extLst>
            <a:ext uri="{FF2B5EF4-FFF2-40B4-BE49-F238E27FC236}">
              <a16:creationId xmlns:a16="http://schemas.microsoft.com/office/drawing/2014/main" id="{C9D0041B-3746-4193-BE20-028B93C1E1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23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57" name="Picture@01\QPosted@" descr="@01\QPosted@">
          <a:extLst>
            <a:ext uri="{FF2B5EF4-FFF2-40B4-BE49-F238E27FC236}">
              <a16:creationId xmlns:a16="http://schemas.microsoft.com/office/drawing/2014/main" id="{7590CC99-C333-4F09-8408-F85D91EC59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41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58" name="Picture@01\QPosted@" descr="@01\QPosted@">
          <a:extLst>
            <a:ext uri="{FF2B5EF4-FFF2-40B4-BE49-F238E27FC236}">
              <a16:creationId xmlns:a16="http://schemas.microsoft.com/office/drawing/2014/main" id="{446B3459-DE85-46B1-8E56-CFD7A34292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59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59" name="Picture@01\QPosted@" descr="@01\QPosted@">
          <a:extLst>
            <a:ext uri="{FF2B5EF4-FFF2-40B4-BE49-F238E27FC236}">
              <a16:creationId xmlns:a16="http://schemas.microsoft.com/office/drawing/2014/main" id="{5AD9F9A2-E153-4DF3-9FA8-3744D90DC9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76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60" name="Picture@01\QPosted@" descr="@01\QPosted@">
          <a:extLst>
            <a:ext uri="{FF2B5EF4-FFF2-40B4-BE49-F238E27FC236}">
              <a16:creationId xmlns:a16="http://schemas.microsoft.com/office/drawing/2014/main" id="{AAA8E90B-5351-4BDD-B520-74C09C5FBB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094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61" name="Picture@01\QPosted@" descr="@01\QPosted@">
          <a:extLst>
            <a:ext uri="{FF2B5EF4-FFF2-40B4-BE49-F238E27FC236}">
              <a16:creationId xmlns:a16="http://schemas.microsoft.com/office/drawing/2014/main" id="{D361A063-F698-4D1E-8B2F-FAF66224F0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12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62" name="Picture@01\QPosted@" descr="@01\QPosted@">
          <a:extLst>
            <a:ext uri="{FF2B5EF4-FFF2-40B4-BE49-F238E27FC236}">
              <a16:creationId xmlns:a16="http://schemas.microsoft.com/office/drawing/2014/main" id="{D3BC8922-E1E6-45B7-B7D5-7D50C9B746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30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63" name="Picture@01\QPosted@" descr="@01\QPosted@">
          <a:extLst>
            <a:ext uri="{FF2B5EF4-FFF2-40B4-BE49-F238E27FC236}">
              <a16:creationId xmlns:a16="http://schemas.microsoft.com/office/drawing/2014/main" id="{B6E54ACF-2550-4E61-8330-63B3A847C6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48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64" name="Picture@01\QPosted@" descr="@01\QPosted@">
          <a:extLst>
            <a:ext uri="{FF2B5EF4-FFF2-40B4-BE49-F238E27FC236}">
              <a16:creationId xmlns:a16="http://schemas.microsoft.com/office/drawing/2014/main" id="{9EBC3EF3-47C4-4324-8DAF-A78BA263B4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65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65" name="Picture@01\QPosted@" descr="@01\QPosted@">
          <a:extLst>
            <a:ext uri="{FF2B5EF4-FFF2-40B4-BE49-F238E27FC236}">
              <a16:creationId xmlns:a16="http://schemas.microsoft.com/office/drawing/2014/main" id="{57168ECE-70A9-428A-9165-EB75B30A9F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817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66" name="Picture@01\QPosted@" descr="@01\QPosted@">
          <a:extLst>
            <a:ext uri="{FF2B5EF4-FFF2-40B4-BE49-F238E27FC236}">
              <a16:creationId xmlns:a16="http://schemas.microsoft.com/office/drawing/2014/main" id="{9DCDFD21-1C6C-4D67-8C92-815A63FFAC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976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67" name="Picture@01\QPosted@" descr="@01\QPosted@">
          <a:extLst>
            <a:ext uri="{FF2B5EF4-FFF2-40B4-BE49-F238E27FC236}">
              <a16:creationId xmlns:a16="http://schemas.microsoft.com/office/drawing/2014/main" id="{8F18E80B-05ED-4C78-97C9-A4C108C0E8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2134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2" name="Picture@01\QPosted@" descr="@01\QPosted@">
          <a:extLst>
            <a:ext uri="{FF2B5EF4-FFF2-40B4-BE49-F238E27FC236}">
              <a16:creationId xmlns:a16="http://schemas.microsoft.com/office/drawing/2014/main" id="{316A76B1-A70C-431E-9F81-CC904C48B2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35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3" name="Picture@01\QPosted@" descr="@01\QPosted@">
          <a:extLst>
            <a:ext uri="{FF2B5EF4-FFF2-40B4-BE49-F238E27FC236}">
              <a16:creationId xmlns:a16="http://schemas.microsoft.com/office/drawing/2014/main" id="{1A19B3B0-B53B-4715-A71B-C9528C6DD6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12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4" name="Picture@01\QPosted@" descr="@01\QPosted@">
          <a:extLst>
            <a:ext uri="{FF2B5EF4-FFF2-40B4-BE49-F238E27FC236}">
              <a16:creationId xmlns:a16="http://schemas.microsoft.com/office/drawing/2014/main" id="{1AB0C34F-0B2F-4094-A07A-EAFB123E6D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90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5" name="Picture@01\QPosted@" descr="@01\QPosted@">
          <a:extLst>
            <a:ext uri="{FF2B5EF4-FFF2-40B4-BE49-F238E27FC236}">
              <a16:creationId xmlns:a16="http://schemas.microsoft.com/office/drawing/2014/main" id="{D972286D-6700-493B-96C1-A6BE7A969B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68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6" name="Picture@01\QPosted@" descr="@01\QPosted@">
          <a:extLst>
            <a:ext uri="{FF2B5EF4-FFF2-40B4-BE49-F238E27FC236}">
              <a16:creationId xmlns:a16="http://schemas.microsoft.com/office/drawing/2014/main" id="{4D4D3455-865D-498F-874C-3A95D18383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4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7" name="Picture@01\QPosted@" descr="@01\QPosted@">
          <a:extLst>
            <a:ext uri="{FF2B5EF4-FFF2-40B4-BE49-F238E27FC236}">
              <a16:creationId xmlns:a16="http://schemas.microsoft.com/office/drawing/2014/main" id="{04C8B4F2-6F1B-49A8-A52A-D5B0F33B16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2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8" name="Picture@01\QPosted@" descr="@01\QPosted@">
          <a:extLst>
            <a:ext uri="{FF2B5EF4-FFF2-40B4-BE49-F238E27FC236}">
              <a16:creationId xmlns:a16="http://schemas.microsoft.com/office/drawing/2014/main" id="{13C4B3D2-E1A1-4767-9CF5-56DB0B6516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0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9" name="Picture@01\QPosted@" descr="@01\QPosted@">
          <a:extLst>
            <a:ext uri="{FF2B5EF4-FFF2-40B4-BE49-F238E27FC236}">
              <a16:creationId xmlns:a16="http://schemas.microsoft.com/office/drawing/2014/main" id="{DD527808-89DB-4FFC-935C-4E652E246D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879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0" name="Picture@01\QPosted@" descr="@01\QPosted@">
          <a:extLst>
            <a:ext uri="{FF2B5EF4-FFF2-40B4-BE49-F238E27FC236}">
              <a16:creationId xmlns:a16="http://schemas.microsoft.com/office/drawing/2014/main" id="{667CA820-9CB5-4E07-BD84-BB0E2EF52C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57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11" name="Picture@01\QPosted@" descr="@01\QPosted@">
          <a:extLst>
            <a:ext uri="{FF2B5EF4-FFF2-40B4-BE49-F238E27FC236}">
              <a16:creationId xmlns:a16="http://schemas.microsoft.com/office/drawing/2014/main" id="{CC7AE8A8-333A-4958-95FB-5E42C7C4DF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235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2" name="Picture@01\QPosted@" descr="@01\QPosted@">
          <a:extLst>
            <a:ext uri="{FF2B5EF4-FFF2-40B4-BE49-F238E27FC236}">
              <a16:creationId xmlns:a16="http://schemas.microsoft.com/office/drawing/2014/main" id="{82AD3905-1CC9-4727-AB26-F72E7D653B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413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3" name="Picture@01\QPosted@" descr="@01\QPosted@">
          <a:extLst>
            <a:ext uri="{FF2B5EF4-FFF2-40B4-BE49-F238E27FC236}">
              <a16:creationId xmlns:a16="http://schemas.microsoft.com/office/drawing/2014/main" id="{5453C912-4FBB-448B-9FE8-B12D032D52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9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4" name="Picture@01\QPosted@" descr="@01\QPosted@">
          <a:extLst>
            <a:ext uri="{FF2B5EF4-FFF2-40B4-BE49-F238E27FC236}">
              <a16:creationId xmlns:a16="http://schemas.microsoft.com/office/drawing/2014/main" id="{B1340483-E94B-4025-9353-B966861371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76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5" name="Picture@01\QPosted@" descr="@01\QPosted@">
          <a:extLst>
            <a:ext uri="{FF2B5EF4-FFF2-40B4-BE49-F238E27FC236}">
              <a16:creationId xmlns:a16="http://schemas.microsoft.com/office/drawing/2014/main" id="{415C5ED3-C917-4549-B389-0C25FAA775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4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6" name="Picture@01\QPosted@" descr="@01\QPosted@">
          <a:extLst>
            <a:ext uri="{FF2B5EF4-FFF2-40B4-BE49-F238E27FC236}">
              <a16:creationId xmlns:a16="http://schemas.microsoft.com/office/drawing/2014/main" id="{79AA49D5-4439-4717-B2CC-7A32BA1491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124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7" name="Picture@01\QPosted@" descr="@01\QPosted@">
          <a:extLst>
            <a:ext uri="{FF2B5EF4-FFF2-40B4-BE49-F238E27FC236}">
              <a16:creationId xmlns:a16="http://schemas.microsoft.com/office/drawing/2014/main" id="{AE474A3D-2B78-445F-AB04-B505CDE081C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302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8" name="Picture@01\QPosted@" descr="@01\QPosted@">
          <a:extLst>
            <a:ext uri="{FF2B5EF4-FFF2-40B4-BE49-F238E27FC236}">
              <a16:creationId xmlns:a16="http://schemas.microsoft.com/office/drawing/2014/main" id="{B8EBDA5A-D1BD-4BDD-91DD-9EE17FF091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479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19" name="Picture@01\QPosted@" descr="@01\QPosted@">
          <a:extLst>
            <a:ext uri="{FF2B5EF4-FFF2-40B4-BE49-F238E27FC236}">
              <a16:creationId xmlns:a16="http://schemas.microsoft.com/office/drawing/2014/main" id="{65463730-6038-44F6-A7D9-D690392CE2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657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20" name="Picture@01\QPosted@" descr="@01\QPosted@">
          <a:extLst>
            <a:ext uri="{FF2B5EF4-FFF2-40B4-BE49-F238E27FC236}">
              <a16:creationId xmlns:a16="http://schemas.microsoft.com/office/drawing/2014/main" id="{AB37AD1C-73A5-4894-B418-A06ED32B34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383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21" name="Picture@01\QPosted@" descr="@01\QPosted@">
          <a:extLst>
            <a:ext uri="{FF2B5EF4-FFF2-40B4-BE49-F238E27FC236}">
              <a16:creationId xmlns:a16="http://schemas.microsoft.com/office/drawing/2014/main" id="{550BA878-7A51-4EF9-A4D0-9AA541E682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01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22" name="Picture@01\QPosted@" descr="@01\QPosted@">
          <a:extLst>
            <a:ext uri="{FF2B5EF4-FFF2-40B4-BE49-F238E27FC236}">
              <a16:creationId xmlns:a16="http://schemas.microsoft.com/office/drawing/2014/main" id="{CDDB1D47-F752-4A25-9474-E2822DDE79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19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23" name="Picture@01\QPosted@" descr="@01\QPosted@">
          <a:extLst>
            <a:ext uri="{FF2B5EF4-FFF2-40B4-BE49-F238E27FC236}">
              <a16:creationId xmlns:a16="http://schemas.microsoft.com/office/drawing/2014/main" id="{D5C05A99-2BE0-4E1B-88D5-2E26A289BE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368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24" name="Picture@01\QPosted@" descr="@01\QPosted@">
          <a:extLst>
            <a:ext uri="{FF2B5EF4-FFF2-40B4-BE49-F238E27FC236}">
              <a16:creationId xmlns:a16="http://schemas.microsoft.com/office/drawing/2014/main" id="{E9EF608C-F0BC-4FB8-B7FB-2D271DB1BA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546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25" name="Picture@01\QPosted@" descr="@01\QPosted@">
          <a:extLst>
            <a:ext uri="{FF2B5EF4-FFF2-40B4-BE49-F238E27FC236}">
              <a16:creationId xmlns:a16="http://schemas.microsoft.com/office/drawing/2014/main" id="{5D3D3AF1-8777-4747-B9C1-9F22951A85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724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26" name="Picture@01\QPosted@" descr="@01\QPosted@">
          <a:extLst>
            <a:ext uri="{FF2B5EF4-FFF2-40B4-BE49-F238E27FC236}">
              <a16:creationId xmlns:a16="http://schemas.microsoft.com/office/drawing/2014/main" id="{DC699828-C795-4826-8D83-C02AE7E8D9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4902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27" name="Picture@01\QPosted@" descr="@01\QPosted@">
          <a:extLst>
            <a:ext uri="{FF2B5EF4-FFF2-40B4-BE49-F238E27FC236}">
              <a16:creationId xmlns:a16="http://schemas.microsoft.com/office/drawing/2014/main" id="{43CF6FD7-5969-40F7-8BB1-4B428B9659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080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28" name="Picture@01\QPosted@" descr="@01\QPosted@">
          <a:extLst>
            <a:ext uri="{FF2B5EF4-FFF2-40B4-BE49-F238E27FC236}">
              <a16:creationId xmlns:a16="http://schemas.microsoft.com/office/drawing/2014/main" id="{430E4F98-8145-4A21-88A2-F1E3ECFA4C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25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29" name="Picture@01\QPosted@" descr="@01\QPosted@">
          <a:extLst>
            <a:ext uri="{FF2B5EF4-FFF2-40B4-BE49-F238E27FC236}">
              <a16:creationId xmlns:a16="http://schemas.microsoft.com/office/drawing/2014/main" id="{DEC5A95D-EE0C-4A2E-9FE0-7007261A50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43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30" name="Picture@01\QPosted@" descr="@01\QPosted@">
          <a:extLst>
            <a:ext uri="{FF2B5EF4-FFF2-40B4-BE49-F238E27FC236}">
              <a16:creationId xmlns:a16="http://schemas.microsoft.com/office/drawing/2014/main" id="{3D2FCA33-5042-42DD-AAC6-5C166D1AEE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613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31" name="Picture@01\QPosted@" descr="@01\QPosted@">
          <a:extLst>
            <a:ext uri="{FF2B5EF4-FFF2-40B4-BE49-F238E27FC236}">
              <a16:creationId xmlns:a16="http://schemas.microsoft.com/office/drawing/2014/main" id="{EDF11C96-13C1-462A-AB53-1553390925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791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32" name="Picture@01\QPosted@" descr="@01\QPosted@">
          <a:extLst>
            <a:ext uri="{FF2B5EF4-FFF2-40B4-BE49-F238E27FC236}">
              <a16:creationId xmlns:a16="http://schemas.microsoft.com/office/drawing/2014/main" id="{29BDA611-0C42-4295-AA60-F54A9B4499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69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33" name="Picture@01\QPosted@" descr="@01\QPosted@">
          <a:extLst>
            <a:ext uri="{FF2B5EF4-FFF2-40B4-BE49-F238E27FC236}">
              <a16:creationId xmlns:a16="http://schemas.microsoft.com/office/drawing/2014/main" id="{09ED912A-8B0B-4DE6-9B47-1118465C63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146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34" name="Picture@01\QPosted@" descr="@01\QPosted@">
          <a:extLst>
            <a:ext uri="{FF2B5EF4-FFF2-40B4-BE49-F238E27FC236}">
              <a16:creationId xmlns:a16="http://schemas.microsoft.com/office/drawing/2014/main" id="{0024B74A-5E9E-4AA7-8A25-4BD2502720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324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35" name="Picture@01\QPosted@" descr="@01\QPosted@">
          <a:extLst>
            <a:ext uri="{FF2B5EF4-FFF2-40B4-BE49-F238E27FC236}">
              <a16:creationId xmlns:a16="http://schemas.microsoft.com/office/drawing/2014/main" id="{8AED5288-037A-4AEF-8BDC-31966A207E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50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36" name="Picture@01\QPosted@" descr="@01\QPosted@">
          <a:extLst>
            <a:ext uri="{FF2B5EF4-FFF2-40B4-BE49-F238E27FC236}">
              <a16:creationId xmlns:a16="http://schemas.microsoft.com/office/drawing/2014/main" id="{6E5F719B-5EDC-45F1-98FD-A2969AD623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8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37" name="Picture@01\QPosted@" descr="@01\QPosted@">
          <a:extLst>
            <a:ext uri="{FF2B5EF4-FFF2-40B4-BE49-F238E27FC236}">
              <a16:creationId xmlns:a16="http://schemas.microsoft.com/office/drawing/2014/main" id="{A3D05797-C26D-418F-8922-53947A47CA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858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38" name="Picture@01\QPosted@" descr="@01\QPosted@">
          <a:extLst>
            <a:ext uri="{FF2B5EF4-FFF2-40B4-BE49-F238E27FC236}">
              <a16:creationId xmlns:a16="http://schemas.microsoft.com/office/drawing/2014/main" id="{F7BE1A6E-9715-4621-AECA-4D9359D84A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035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39" name="Picture@01\QPosted@" descr="@01\QPosted@">
          <a:extLst>
            <a:ext uri="{FF2B5EF4-FFF2-40B4-BE49-F238E27FC236}">
              <a16:creationId xmlns:a16="http://schemas.microsoft.com/office/drawing/2014/main" id="{60D0A3E8-62EF-4C92-BD8F-58A6BD6107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213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40" name="Picture@01\QPosted@" descr="@01\QPosted@">
          <a:extLst>
            <a:ext uri="{FF2B5EF4-FFF2-40B4-BE49-F238E27FC236}">
              <a16:creationId xmlns:a16="http://schemas.microsoft.com/office/drawing/2014/main" id="{D78900A9-12BA-486F-89AC-1A124A4281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391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41" name="Picture@01\QPosted@" descr="@01\QPosted@">
          <a:extLst>
            <a:ext uri="{FF2B5EF4-FFF2-40B4-BE49-F238E27FC236}">
              <a16:creationId xmlns:a16="http://schemas.microsoft.com/office/drawing/2014/main" id="{037C3290-24AA-4C23-8C6B-31D7E0E69F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569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42" name="Picture@01\QPosted@" descr="@01\QPosted@">
          <a:extLst>
            <a:ext uri="{FF2B5EF4-FFF2-40B4-BE49-F238E27FC236}">
              <a16:creationId xmlns:a16="http://schemas.microsoft.com/office/drawing/2014/main" id="{9EA91CA2-9CCC-4C43-BE35-0E1D1457EE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74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43" name="Picture@01\QPosted@" descr="@01\QPosted@">
          <a:extLst>
            <a:ext uri="{FF2B5EF4-FFF2-40B4-BE49-F238E27FC236}">
              <a16:creationId xmlns:a16="http://schemas.microsoft.com/office/drawing/2014/main" id="{3FBB0248-FC2A-43E4-B915-E7B0D6B932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792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44" name="Picture@01\QPosted@" descr="@01\QPosted@">
          <a:extLst>
            <a:ext uri="{FF2B5EF4-FFF2-40B4-BE49-F238E27FC236}">
              <a16:creationId xmlns:a16="http://schemas.microsoft.com/office/drawing/2014/main" id="{5402F932-0C31-4894-8946-AD955A09CA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10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45" name="Picture@01\QPosted@" descr="@01\QPosted@">
          <a:extLst>
            <a:ext uri="{FF2B5EF4-FFF2-40B4-BE49-F238E27FC236}">
              <a16:creationId xmlns:a16="http://schemas.microsoft.com/office/drawing/2014/main" id="{AA5506AE-7368-4C9C-BD68-835F2F320E7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280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46" name="Picture@01\QPosted@" descr="@01\QPosted@">
          <a:extLst>
            <a:ext uri="{FF2B5EF4-FFF2-40B4-BE49-F238E27FC236}">
              <a16:creationId xmlns:a16="http://schemas.microsoft.com/office/drawing/2014/main" id="{9FEAD286-D224-46FB-9A3E-BF2613AB3D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58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47" name="Picture@01\QPosted@" descr="@01\QPosted@">
          <a:extLst>
            <a:ext uri="{FF2B5EF4-FFF2-40B4-BE49-F238E27FC236}">
              <a16:creationId xmlns:a16="http://schemas.microsoft.com/office/drawing/2014/main" id="{AA2A7063-9BD0-4D44-B986-96906F5063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636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48" name="Picture@01\QPosted@" descr="@01\QPosted@">
          <a:extLst>
            <a:ext uri="{FF2B5EF4-FFF2-40B4-BE49-F238E27FC236}">
              <a16:creationId xmlns:a16="http://schemas.microsoft.com/office/drawing/2014/main" id="{1DBE1ACA-3D4B-4A39-B05D-4DED411E9B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813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49" name="Picture@01\QPosted@" descr="@01\QPosted@">
          <a:extLst>
            <a:ext uri="{FF2B5EF4-FFF2-40B4-BE49-F238E27FC236}">
              <a16:creationId xmlns:a16="http://schemas.microsoft.com/office/drawing/2014/main" id="{7AB683F2-F209-45C1-B47C-68E4EC84C7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99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50" name="Picture@01\QPosted@" descr="@01\QPosted@">
          <a:extLst>
            <a:ext uri="{FF2B5EF4-FFF2-40B4-BE49-F238E27FC236}">
              <a16:creationId xmlns:a16="http://schemas.microsoft.com/office/drawing/2014/main" id="{7B00B9D9-EA76-4E09-A7AD-DD8DDD2CBD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16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1"/>
  <sheetViews>
    <sheetView tabSelected="1" topLeftCell="A29" zoomScale="70" zoomScaleNormal="70" workbookViewId="0">
      <selection activeCell="H61" sqref="H61"/>
    </sheetView>
  </sheetViews>
  <sheetFormatPr defaultRowHeight="12.75" x14ac:dyDescent="0.2"/>
  <cols>
    <col min="1" max="1" width="16" bestFit="1" customWidth="1"/>
    <col min="2" max="2" width="13" bestFit="1" customWidth="1"/>
    <col min="3" max="3" width="17" bestFit="1" customWidth="1"/>
    <col min="4" max="4" width="14" bestFit="1" customWidth="1"/>
    <col min="5" max="5" width="15" bestFit="1" customWidth="1"/>
    <col min="6" max="6" width="13" bestFit="1" customWidth="1"/>
    <col min="7" max="7" width="10" bestFit="1" customWidth="1"/>
    <col min="8" max="8" width="12" bestFit="1" customWidth="1"/>
    <col min="9" max="9" width="22" bestFit="1" customWidth="1"/>
    <col min="10" max="10" width="19" bestFit="1" customWidth="1"/>
    <col min="11" max="11" width="5" bestFit="1" customWidth="1"/>
    <col min="12" max="12" width="15" bestFit="1" customWidth="1"/>
    <col min="13" max="13" width="22" bestFit="1" customWidth="1"/>
    <col min="14" max="14" width="22" customWidth="1"/>
    <col min="15" max="15" width="22" style="16" customWidth="1"/>
    <col min="16" max="16" width="18" bestFit="1" customWidth="1"/>
    <col min="17" max="17" width="20" bestFit="1" customWidth="1"/>
    <col min="18" max="18" width="52" bestFit="1" customWidth="1"/>
    <col min="19" max="19" width="21" bestFit="1" customWidth="1"/>
    <col min="20" max="20" width="6" bestFit="1" customWidth="1"/>
    <col min="21" max="21" width="27" bestFit="1" customWidth="1"/>
    <col min="22" max="22" width="13" bestFit="1" customWidth="1"/>
    <col min="23" max="23" width="12" bestFit="1" customWidth="1"/>
    <col min="24" max="24" width="11" bestFit="1" customWidth="1"/>
    <col min="25" max="25" width="15" bestFit="1" customWidth="1"/>
    <col min="26" max="26" width="19" bestFit="1" customWidth="1"/>
    <col min="27" max="27" width="15" bestFit="1" customWidth="1"/>
    <col min="28" max="28" width="18" bestFit="1" customWidth="1"/>
    <col min="29" max="29" width="19" bestFit="1" customWidth="1"/>
    <col min="30" max="30" width="16" bestFit="1" customWidth="1"/>
    <col min="31" max="31" width="14" bestFit="1" customWidth="1"/>
  </cols>
  <sheetData>
    <row r="1" spans="1:31" ht="51" x14ac:dyDescent="0.2">
      <c r="A1" s="5" t="s">
        <v>271</v>
      </c>
      <c r="B1" s="1" t="s">
        <v>272</v>
      </c>
      <c r="C1" s="1" t="s">
        <v>273</v>
      </c>
      <c r="D1" s="1" t="s">
        <v>274</v>
      </c>
      <c r="E1" s="1" t="s">
        <v>275</v>
      </c>
      <c r="F1" s="1" t="s">
        <v>276</v>
      </c>
      <c r="G1" s="5" t="s">
        <v>277</v>
      </c>
      <c r="H1" s="5" t="s">
        <v>278</v>
      </c>
      <c r="I1" s="1" t="s">
        <v>279</v>
      </c>
      <c r="J1" s="1" t="s">
        <v>280</v>
      </c>
      <c r="K1" s="5" t="s">
        <v>281</v>
      </c>
      <c r="L1" s="5" t="s">
        <v>282</v>
      </c>
      <c r="M1" s="1" t="s">
        <v>283</v>
      </c>
      <c r="N1" s="1" t="s">
        <v>348</v>
      </c>
      <c r="O1" s="13" t="s">
        <v>349</v>
      </c>
      <c r="P1" s="1" t="s">
        <v>284</v>
      </c>
      <c r="Q1" s="1" t="s">
        <v>285</v>
      </c>
      <c r="R1" s="1" t="s">
        <v>286</v>
      </c>
      <c r="S1" s="1" t="s">
        <v>287</v>
      </c>
      <c r="T1" s="1" t="s">
        <v>288</v>
      </c>
      <c r="U1" s="1" t="s">
        <v>289</v>
      </c>
      <c r="V1" s="1" t="s">
        <v>290</v>
      </c>
      <c r="W1" s="1" t="s">
        <v>291</v>
      </c>
      <c r="X1" s="1" t="s">
        <v>292</v>
      </c>
      <c r="Y1" s="1" t="s">
        <v>293</v>
      </c>
      <c r="Z1" s="1" t="s">
        <v>294</v>
      </c>
      <c r="AA1" s="1" t="s">
        <v>295</v>
      </c>
      <c r="AB1" s="1" t="s">
        <v>296</v>
      </c>
      <c r="AC1" s="1" t="s">
        <v>297</v>
      </c>
      <c r="AD1" s="1" t="s">
        <v>298</v>
      </c>
      <c r="AE1" s="5" t="s">
        <v>299</v>
      </c>
    </row>
    <row r="2" spans="1:31" ht="14.1" customHeight="1" x14ac:dyDescent="0.2">
      <c r="A2" s="2" t="s">
        <v>0</v>
      </c>
      <c r="B2" t="s">
        <v>1</v>
      </c>
      <c r="C2" t="s">
        <v>2</v>
      </c>
      <c r="D2" s="3">
        <v>44040</v>
      </c>
      <c r="E2" s="3">
        <v>43889</v>
      </c>
      <c r="F2" s="3">
        <v>44059</v>
      </c>
      <c r="G2" t="s">
        <v>3</v>
      </c>
      <c r="H2" t="s">
        <v>4</v>
      </c>
      <c r="I2" s="4">
        <v>6257.7</v>
      </c>
      <c r="J2" t="s">
        <v>5</v>
      </c>
      <c r="K2" t="s">
        <v>6</v>
      </c>
      <c r="L2" s="4">
        <v>525333.92000000004</v>
      </c>
      <c r="M2" s="4">
        <v>6257.7</v>
      </c>
      <c r="N2" s="6" t="str">
        <f>IF(M2="","",IF(M2&lt;0,-M2&amp;"_"&amp;COUNTIF(M$2:M2,M2),M2&amp;"_"&amp;COUNTIF(M$2:M2,M2)))</f>
        <v>6257.7_1</v>
      </c>
      <c r="O2" s="14" t="str">
        <f t="shared" ref="O2:O33" si="0">IF(COUNTIF(N:N,N2)=2,"x","")</f>
        <v/>
      </c>
      <c r="P2" t="s">
        <v>7</v>
      </c>
      <c r="Q2" t="s">
        <v>8</v>
      </c>
      <c r="R2" t="s">
        <v>9</v>
      </c>
      <c r="S2" t="s">
        <v>0</v>
      </c>
      <c r="T2" t="s">
        <v>10</v>
      </c>
      <c r="U2" t="s">
        <v>11</v>
      </c>
      <c r="V2" t="s">
        <v>12</v>
      </c>
      <c r="W2" t="s">
        <v>0</v>
      </c>
      <c r="X2" t="s">
        <v>12</v>
      </c>
      <c r="Y2" t="s">
        <v>0</v>
      </c>
      <c r="Z2" t="s">
        <v>0</v>
      </c>
      <c r="AA2" s="3"/>
      <c r="AB2" t="s">
        <v>0</v>
      </c>
      <c r="AC2" t="s">
        <v>0</v>
      </c>
      <c r="AD2" t="s">
        <v>0</v>
      </c>
      <c r="AE2" s="4">
        <v>0</v>
      </c>
    </row>
    <row r="3" spans="1:31" ht="14.1" customHeight="1" x14ac:dyDescent="0.2">
      <c r="A3" s="2" t="s">
        <v>0</v>
      </c>
      <c r="B3" t="s">
        <v>1</v>
      </c>
      <c r="C3" t="s">
        <v>13</v>
      </c>
      <c r="D3" s="3">
        <v>44040</v>
      </c>
      <c r="E3" s="3">
        <v>43921</v>
      </c>
      <c r="F3" s="3">
        <v>44059</v>
      </c>
      <c r="G3" t="s">
        <v>3</v>
      </c>
      <c r="H3" t="s">
        <v>4</v>
      </c>
      <c r="I3" s="4">
        <v>29917.759999999998</v>
      </c>
      <c r="J3" t="s">
        <v>5</v>
      </c>
      <c r="K3" t="s">
        <v>6</v>
      </c>
      <c r="L3" s="4">
        <v>2511595.9500000002</v>
      </c>
      <c r="M3" s="4">
        <v>29917.759999999998</v>
      </c>
      <c r="N3" s="6" t="str">
        <f>IF(M3="","",IF(M3&lt;0,-M3&amp;"_"&amp;COUNTIF(M$2:M3,M3),M3&amp;"_"&amp;COUNTIF(M$2:M3,M3)))</f>
        <v>29917.76_1</v>
      </c>
      <c r="O3" s="14" t="str">
        <f t="shared" si="0"/>
        <v/>
      </c>
      <c r="P3" t="s">
        <v>14</v>
      </c>
      <c r="Q3" t="s">
        <v>15</v>
      </c>
      <c r="R3" t="s">
        <v>16</v>
      </c>
      <c r="S3" t="s">
        <v>0</v>
      </c>
      <c r="T3" t="s">
        <v>10</v>
      </c>
      <c r="U3" t="s">
        <v>17</v>
      </c>
      <c r="V3" t="s">
        <v>12</v>
      </c>
      <c r="W3" t="s">
        <v>0</v>
      </c>
      <c r="X3" t="s">
        <v>12</v>
      </c>
      <c r="Y3" t="s">
        <v>0</v>
      </c>
      <c r="Z3" t="s">
        <v>0</v>
      </c>
      <c r="AA3" s="3"/>
      <c r="AB3" t="s">
        <v>0</v>
      </c>
      <c r="AC3" t="s">
        <v>0</v>
      </c>
      <c r="AD3" t="s">
        <v>0</v>
      </c>
      <c r="AE3" s="4">
        <v>0</v>
      </c>
    </row>
    <row r="4" spans="1:31" ht="14.1" customHeight="1" x14ac:dyDescent="0.2">
      <c r="A4" s="2" t="s">
        <v>0</v>
      </c>
      <c r="B4" t="s">
        <v>1</v>
      </c>
      <c r="C4" t="s">
        <v>18</v>
      </c>
      <c r="D4" s="3">
        <v>44040</v>
      </c>
      <c r="E4" s="3">
        <v>43951</v>
      </c>
      <c r="F4" s="3">
        <v>44059</v>
      </c>
      <c r="G4" t="s">
        <v>3</v>
      </c>
      <c r="H4" t="s">
        <v>4</v>
      </c>
      <c r="I4" s="4">
        <v>25343.52</v>
      </c>
      <c r="J4" t="s">
        <v>5</v>
      </c>
      <c r="K4" t="s">
        <v>6</v>
      </c>
      <c r="L4" s="4">
        <v>2127588.5</v>
      </c>
      <c r="M4" s="4">
        <v>25343.52</v>
      </c>
      <c r="N4" s="6" t="str">
        <f>IF(M4="","",IF(M4&lt;0,-M4&amp;"_"&amp;COUNTIF(M$2:M4,M4),M4&amp;"_"&amp;COUNTIF(M$2:M4,M4)))</f>
        <v>25343.52_1</v>
      </c>
      <c r="O4" s="14" t="str">
        <f t="shared" si="0"/>
        <v/>
      </c>
      <c r="P4" t="s">
        <v>19</v>
      </c>
      <c r="Q4" t="s">
        <v>19</v>
      </c>
      <c r="R4" t="s">
        <v>20</v>
      </c>
      <c r="S4" t="s">
        <v>0</v>
      </c>
      <c r="T4" t="s">
        <v>10</v>
      </c>
      <c r="U4" t="s">
        <v>21</v>
      </c>
      <c r="V4" t="s">
        <v>12</v>
      </c>
      <c r="W4" t="s">
        <v>0</v>
      </c>
      <c r="X4" t="s">
        <v>12</v>
      </c>
      <c r="Y4" t="s">
        <v>0</v>
      </c>
      <c r="Z4" t="s">
        <v>0</v>
      </c>
      <c r="AA4" s="3"/>
      <c r="AB4" t="s">
        <v>0</v>
      </c>
      <c r="AC4" t="s">
        <v>0</v>
      </c>
      <c r="AD4" t="s">
        <v>0</v>
      </c>
      <c r="AE4" s="4">
        <v>0</v>
      </c>
    </row>
    <row r="5" spans="1:31" ht="14.1" customHeight="1" x14ac:dyDescent="0.2">
      <c r="A5" s="2" t="s">
        <v>0</v>
      </c>
      <c r="B5" t="s">
        <v>1</v>
      </c>
      <c r="C5" t="s">
        <v>22</v>
      </c>
      <c r="D5" s="3">
        <v>44040</v>
      </c>
      <c r="E5" s="3">
        <v>43951</v>
      </c>
      <c r="F5" s="3">
        <v>44059</v>
      </c>
      <c r="G5" t="s">
        <v>3</v>
      </c>
      <c r="H5" t="s">
        <v>4</v>
      </c>
      <c r="I5" s="4">
        <v>53537.32</v>
      </c>
      <c r="J5" t="s">
        <v>5</v>
      </c>
      <c r="K5" t="s">
        <v>6</v>
      </c>
      <c r="L5" s="4">
        <v>4494458.01</v>
      </c>
      <c r="M5" s="4">
        <v>53537.32</v>
      </c>
      <c r="N5" s="6" t="str">
        <f>IF(M5="","",IF(M5&lt;0,-M5&amp;"_"&amp;COUNTIF(M$2:M5,M5),M5&amp;"_"&amp;COUNTIF(M$2:M5,M5)))</f>
        <v>53537.32_1</v>
      </c>
      <c r="O5" s="14" t="str">
        <f t="shared" si="0"/>
        <v/>
      </c>
      <c r="P5" t="s">
        <v>19</v>
      </c>
      <c r="Q5" t="s">
        <v>19</v>
      </c>
      <c r="R5" t="s">
        <v>23</v>
      </c>
      <c r="S5" t="s">
        <v>0</v>
      </c>
      <c r="T5" t="s">
        <v>10</v>
      </c>
      <c r="U5" t="s">
        <v>24</v>
      </c>
      <c r="V5" t="s">
        <v>12</v>
      </c>
      <c r="W5" t="s">
        <v>0</v>
      </c>
      <c r="X5" t="s">
        <v>12</v>
      </c>
      <c r="Y5" t="s">
        <v>0</v>
      </c>
      <c r="Z5" t="s">
        <v>0</v>
      </c>
      <c r="AA5" s="3"/>
      <c r="AB5" t="s">
        <v>0</v>
      </c>
      <c r="AC5" t="s">
        <v>0</v>
      </c>
      <c r="AD5" t="s">
        <v>0</v>
      </c>
      <c r="AE5" s="4">
        <v>0</v>
      </c>
    </row>
    <row r="6" spans="1:31" ht="14.1" customHeight="1" x14ac:dyDescent="0.2">
      <c r="A6" s="2" t="s">
        <v>0</v>
      </c>
      <c r="B6" t="s">
        <v>1</v>
      </c>
      <c r="C6" t="s">
        <v>25</v>
      </c>
      <c r="D6" s="3">
        <v>44040</v>
      </c>
      <c r="E6" s="3">
        <v>43982</v>
      </c>
      <c r="F6" s="3">
        <v>44059</v>
      </c>
      <c r="G6" t="s">
        <v>3</v>
      </c>
      <c r="H6" t="s">
        <v>4</v>
      </c>
      <c r="I6" s="4">
        <v>20277.14</v>
      </c>
      <c r="J6" t="s">
        <v>5</v>
      </c>
      <c r="K6" t="s">
        <v>6</v>
      </c>
      <c r="L6" s="4">
        <v>1702265.9</v>
      </c>
      <c r="M6" s="4">
        <v>20277.14</v>
      </c>
      <c r="N6" s="6" t="str">
        <f>IF(M6="","",IF(M6&lt;0,-M6&amp;"_"&amp;COUNTIF(M$2:M6,M6),M6&amp;"_"&amp;COUNTIF(M$2:M6,M6)))</f>
        <v>20277.14_1</v>
      </c>
      <c r="O6" s="14" t="str">
        <f t="shared" si="0"/>
        <v/>
      </c>
      <c r="P6" t="s">
        <v>26</v>
      </c>
      <c r="Q6" t="s">
        <v>26</v>
      </c>
      <c r="R6" t="s">
        <v>27</v>
      </c>
      <c r="S6" t="s">
        <v>0</v>
      </c>
      <c r="T6" t="s">
        <v>10</v>
      </c>
      <c r="U6" t="s">
        <v>28</v>
      </c>
      <c r="V6" t="s">
        <v>12</v>
      </c>
      <c r="W6" t="s">
        <v>0</v>
      </c>
      <c r="X6" t="s">
        <v>12</v>
      </c>
      <c r="Y6" t="s">
        <v>0</v>
      </c>
      <c r="Z6" t="s">
        <v>0</v>
      </c>
      <c r="AA6" s="3"/>
      <c r="AB6" t="s">
        <v>0</v>
      </c>
      <c r="AC6" t="s">
        <v>0</v>
      </c>
      <c r="AD6" t="s">
        <v>0</v>
      </c>
      <c r="AE6" s="4">
        <v>0</v>
      </c>
    </row>
    <row r="7" spans="1:31" ht="14.1" customHeight="1" x14ac:dyDescent="0.2">
      <c r="A7" s="2" t="s">
        <v>0</v>
      </c>
      <c r="B7" t="s">
        <v>1</v>
      </c>
      <c r="C7" t="s">
        <v>29</v>
      </c>
      <c r="D7" s="3">
        <v>44040</v>
      </c>
      <c r="E7" s="3">
        <v>43982</v>
      </c>
      <c r="F7" s="3">
        <v>44059</v>
      </c>
      <c r="G7" t="s">
        <v>3</v>
      </c>
      <c r="H7" t="s">
        <v>4</v>
      </c>
      <c r="I7" s="4">
        <v>43617.98</v>
      </c>
      <c r="J7" t="s">
        <v>5</v>
      </c>
      <c r="K7" t="s">
        <v>6</v>
      </c>
      <c r="L7" s="4">
        <v>3661729.42</v>
      </c>
      <c r="M7" s="4">
        <v>43617.98</v>
      </c>
      <c r="N7" s="6" t="str">
        <f>IF(M7="","",IF(M7&lt;0,-M7&amp;"_"&amp;COUNTIF(M$2:M7,M7),M7&amp;"_"&amp;COUNTIF(M$2:M7,M7)))</f>
        <v>43617.98_1</v>
      </c>
      <c r="O7" s="14" t="str">
        <f t="shared" si="0"/>
        <v/>
      </c>
      <c r="P7" t="s">
        <v>26</v>
      </c>
      <c r="Q7" t="s">
        <v>26</v>
      </c>
      <c r="R7" t="s">
        <v>30</v>
      </c>
      <c r="S7" t="s">
        <v>0</v>
      </c>
      <c r="T7" t="s">
        <v>10</v>
      </c>
      <c r="U7" t="s">
        <v>31</v>
      </c>
      <c r="V7" t="s">
        <v>12</v>
      </c>
      <c r="W7" t="s">
        <v>0</v>
      </c>
      <c r="X7" t="s">
        <v>12</v>
      </c>
      <c r="Y7" t="s">
        <v>0</v>
      </c>
      <c r="Z7" t="s">
        <v>0</v>
      </c>
      <c r="AA7" s="3"/>
      <c r="AB7" t="s">
        <v>0</v>
      </c>
      <c r="AC7" t="s">
        <v>0</v>
      </c>
      <c r="AD7" t="s">
        <v>0</v>
      </c>
      <c r="AE7" s="4">
        <v>0</v>
      </c>
    </row>
    <row r="8" spans="1:31" ht="14.1" customHeight="1" x14ac:dyDescent="0.2">
      <c r="A8" s="2" t="s">
        <v>0</v>
      </c>
      <c r="B8" t="s">
        <v>1</v>
      </c>
      <c r="C8" t="s">
        <v>32</v>
      </c>
      <c r="D8" s="3">
        <v>44040</v>
      </c>
      <c r="E8" s="3">
        <v>44012</v>
      </c>
      <c r="F8" s="3">
        <v>44059</v>
      </c>
      <c r="G8" t="s">
        <v>3</v>
      </c>
      <c r="H8" t="s">
        <v>4</v>
      </c>
      <c r="I8" s="4">
        <v>54056.71</v>
      </c>
      <c r="J8" t="s">
        <v>5</v>
      </c>
      <c r="K8" t="s">
        <v>6</v>
      </c>
      <c r="L8" s="4">
        <v>4538060.7999999998</v>
      </c>
      <c r="M8" s="4">
        <v>54056.71</v>
      </c>
      <c r="N8" s="6" t="str">
        <f>IF(M8="","",IF(M8&lt;0,-M8&amp;"_"&amp;COUNTIF(M$2:M8,M8),M8&amp;"_"&amp;COUNTIF(M$2:M8,M8)))</f>
        <v>54056.71_1</v>
      </c>
      <c r="O8" s="14" t="str">
        <f t="shared" si="0"/>
        <v/>
      </c>
      <c r="P8" t="s">
        <v>33</v>
      </c>
      <c r="Q8" t="s">
        <v>33</v>
      </c>
      <c r="R8" t="s">
        <v>34</v>
      </c>
      <c r="S8" t="s">
        <v>0</v>
      </c>
      <c r="T8" t="s">
        <v>10</v>
      </c>
      <c r="U8" t="s">
        <v>35</v>
      </c>
      <c r="V8" t="s">
        <v>12</v>
      </c>
      <c r="W8" t="s">
        <v>0</v>
      </c>
      <c r="X8" t="s">
        <v>12</v>
      </c>
      <c r="Y8" t="s">
        <v>0</v>
      </c>
      <c r="Z8" t="s">
        <v>0</v>
      </c>
      <c r="AA8" s="3"/>
      <c r="AB8" t="s">
        <v>0</v>
      </c>
      <c r="AC8" t="s">
        <v>0</v>
      </c>
      <c r="AD8" t="s">
        <v>0</v>
      </c>
      <c r="AE8" s="4">
        <v>0</v>
      </c>
    </row>
    <row r="9" spans="1:31" ht="14.1" customHeight="1" x14ac:dyDescent="0.2">
      <c r="A9" s="2" t="s">
        <v>0</v>
      </c>
      <c r="B9" t="s">
        <v>1</v>
      </c>
      <c r="C9" t="s">
        <v>36</v>
      </c>
      <c r="D9" s="3">
        <v>44040</v>
      </c>
      <c r="E9" s="3">
        <v>44012</v>
      </c>
      <c r="F9" s="3">
        <v>44059</v>
      </c>
      <c r="G9" t="s">
        <v>3</v>
      </c>
      <c r="H9" t="s">
        <v>4</v>
      </c>
      <c r="I9" s="4">
        <v>145832.57</v>
      </c>
      <c r="J9" t="s">
        <v>5</v>
      </c>
      <c r="K9" t="s">
        <v>6</v>
      </c>
      <c r="L9" s="4">
        <v>12242644.25</v>
      </c>
      <c r="M9" s="4">
        <v>145832.57</v>
      </c>
      <c r="N9" s="6" t="str">
        <f>IF(M9="","",IF(M9&lt;0,-M9&amp;"_"&amp;COUNTIF(M$2:M9,M9),M9&amp;"_"&amp;COUNTIF(M$2:M9,M9)))</f>
        <v>145832.57_1</v>
      </c>
      <c r="O9" s="14" t="str">
        <f t="shared" si="0"/>
        <v/>
      </c>
      <c r="P9" t="s">
        <v>33</v>
      </c>
      <c r="Q9" t="s">
        <v>33</v>
      </c>
      <c r="R9" t="s">
        <v>37</v>
      </c>
      <c r="S9" t="s">
        <v>0</v>
      </c>
      <c r="T9" t="s">
        <v>10</v>
      </c>
      <c r="U9" t="s">
        <v>38</v>
      </c>
      <c r="V9" t="s">
        <v>12</v>
      </c>
      <c r="W9" t="s">
        <v>0</v>
      </c>
      <c r="X9" t="s">
        <v>12</v>
      </c>
      <c r="Y9" t="s">
        <v>0</v>
      </c>
      <c r="Z9" t="s">
        <v>0</v>
      </c>
      <c r="AA9" s="3"/>
      <c r="AB9" t="s">
        <v>0</v>
      </c>
      <c r="AC9" t="s">
        <v>0</v>
      </c>
      <c r="AD9" t="s">
        <v>0</v>
      </c>
      <c r="AE9" s="4">
        <v>0</v>
      </c>
    </row>
    <row r="10" spans="1:31" ht="14.1" customHeight="1" x14ac:dyDescent="0.2">
      <c r="A10" s="2" t="s">
        <v>0</v>
      </c>
      <c r="B10" t="s">
        <v>1</v>
      </c>
      <c r="C10" t="s">
        <v>39</v>
      </c>
      <c r="D10" s="3">
        <v>44044</v>
      </c>
      <c r="E10" s="3">
        <v>44012</v>
      </c>
      <c r="F10" s="3">
        <v>44080</v>
      </c>
      <c r="G10" t="s">
        <v>3</v>
      </c>
      <c r="H10" t="s">
        <v>4</v>
      </c>
      <c r="I10" s="4">
        <v>11049.16</v>
      </c>
      <c r="J10" t="s">
        <v>5</v>
      </c>
      <c r="K10" t="s">
        <v>6</v>
      </c>
      <c r="L10" s="4">
        <v>927576.98</v>
      </c>
      <c r="M10" s="4">
        <v>11049.16</v>
      </c>
      <c r="N10" s="6" t="str">
        <f>IF(M10="","",IF(M10&lt;0,-M10&amp;"_"&amp;COUNTIF(M$2:M10,M10),M10&amp;"_"&amp;COUNTIF(M$2:M10,M10)))</f>
        <v>11049.16_1</v>
      </c>
      <c r="O10" s="14" t="str">
        <f t="shared" si="0"/>
        <v/>
      </c>
      <c r="P10" t="s">
        <v>40</v>
      </c>
      <c r="Q10" t="s">
        <v>41</v>
      </c>
      <c r="R10" t="s">
        <v>42</v>
      </c>
      <c r="S10" t="s">
        <v>0</v>
      </c>
      <c r="T10" t="s">
        <v>10</v>
      </c>
      <c r="U10" t="s">
        <v>43</v>
      </c>
      <c r="V10" t="s">
        <v>12</v>
      </c>
      <c r="W10" t="s">
        <v>0</v>
      </c>
      <c r="X10" t="s">
        <v>12</v>
      </c>
      <c r="Y10" t="s">
        <v>0</v>
      </c>
      <c r="Z10" t="s">
        <v>0</v>
      </c>
      <c r="AA10" s="3"/>
      <c r="AB10" t="s">
        <v>0</v>
      </c>
      <c r="AC10" t="s">
        <v>0</v>
      </c>
      <c r="AD10" t="s">
        <v>0</v>
      </c>
      <c r="AE10" s="4">
        <v>0</v>
      </c>
    </row>
    <row r="11" spans="1:31" ht="14.1" customHeight="1" x14ac:dyDescent="0.2">
      <c r="A11" s="2" t="s">
        <v>0</v>
      </c>
      <c r="B11" t="s">
        <v>1</v>
      </c>
      <c r="C11" t="s">
        <v>44</v>
      </c>
      <c r="D11" s="3">
        <v>44040</v>
      </c>
      <c r="E11" s="3">
        <v>44040</v>
      </c>
      <c r="F11" s="3">
        <v>44042</v>
      </c>
      <c r="G11" t="s">
        <v>45</v>
      </c>
      <c r="H11" t="s">
        <v>6</v>
      </c>
      <c r="I11" s="4">
        <v>-4973100</v>
      </c>
      <c r="J11" t="s">
        <v>46</v>
      </c>
      <c r="K11" t="s">
        <v>6</v>
      </c>
      <c r="L11" s="4">
        <v>-4973100</v>
      </c>
      <c r="M11" s="4">
        <v>-59485.91</v>
      </c>
      <c r="N11" s="6" t="str">
        <f>IF(M11="","",IF(M11&lt;0,-M11&amp;"_"&amp;COUNTIF(M$2:M11,M11),M11&amp;"_"&amp;COUNTIF(M$2:M11,M11)))</f>
        <v>59485.91_1</v>
      </c>
      <c r="O11" s="14" t="str">
        <f t="shared" si="0"/>
        <v/>
      </c>
      <c r="P11" t="s">
        <v>47</v>
      </c>
      <c r="Q11" t="s">
        <v>48</v>
      </c>
      <c r="R11" t="s">
        <v>49</v>
      </c>
      <c r="S11" t="s">
        <v>0</v>
      </c>
      <c r="T11" t="s">
        <v>10</v>
      </c>
      <c r="U11" t="s">
        <v>50</v>
      </c>
      <c r="V11" t="s">
        <v>0</v>
      </c>
      <c r="W11" t="s">
        <v>0</v>
      </c>
      <c r="X11" t="s">
        <v>0</v>
      </c>
      <c r="Y11" t="s">
        <v>0</v>
      </c>
      <c r="Z11" t="s">
        <v>0</v>
      </c>
      <c r="AA11" s="3"/>
      <c r="AB11" t="s">
        <v>0</v>
      </c>
      <c r="AC11" t="s">
        <v>0</v>
      </c>
      <c r="AD11" t="s">
        <v>0</v>
      </c>
      <c r="AE11" s="4">
        <v>0</v>
      </c>
    </row>
    <row r="12" spans="1:31" ht="14.1" customHeight="1" x14ac:dyDescent="0.2">
      <c r="A12" s="2" t="s">
        <v>0</v>
      </c>
      <c r="B12" t="s">
        <v>1</v>
      </c>
      <c r="C12" t="s">
        <v>44</v>
      </c>
      <c r="D12" s="3">
        <v>44040</v>
      </c>
      <c r="E12" s="3">
        <v>44040</v>
      </c>
      <c r="F12" s="3">
        <v>44042</v>
      </c>
      <c r="G12" t="s">
        <v>45</v>
      </c>
      <c r="H12" t="s">
        <v>6</v>
      </c>
      <c r="I12" s="4">
        <v>-4061700</v>
      </c>
      <c r="J12" t="s">
        <v>46</v>
      </c>
      <c r="K12" t="s">
        <v>6</v>
      </c>
      <c r="L12" s="4">
        <v>-4061700</v>
      </c>
      <c r="M12" s="4">
        <v>-48464.41</v>
      </c>
      <c r="N12" s="6" t="str">
        <f>IF(M12="","",IF(M12&lt;0,-M12&amp;"_"&amp;COUNTIF(M$2:M12,M12),M12&amp;"_"&amp;COUNTIF(M$2:M12,M12)))</f>
        <v>48464.41_1</v>
      </c>
      <c r="O12" s="14" t="str">
        <f t="shared" si="0"/>
        <v/>
      </c>
      <c r="P12" t="s">
        <v>47</v>
      </c>
      <c r="Q12" t="s">
        <v>51</v>
      </c>
      <c r="R12" t="s">
        <v>52</v>
      </c>
      <c r="S12" t="s">
        <v>0</v>
      </c>
      <c r="T12" t="s">
        <v>10</v>
      </c>
      <c r="U12" t="s">
        <v>50</v>
      </c>
      <c r="V12" t="s">
        <v>0</v>
      </c>
      <c r="W12" t="s">
        <v>0</v>
      </c>
      <c r="X12" t="s">
        <v>0</v>
      </c>
      <c r="Y12" t="s">
        <v>0</v>
      </c>
      <c r="Z12" t="s">
        <v>0</v>
      </c>
      <c r="AA12" s="3"/>
      <c r="AB12" t="s">
        <v>0</v>
      </c>
      <c r="AC12" t="s">
        <v>0</v>
      </c>
      <c r="AD12" t="s">
        <v>0</v>
      </c>
      <c r="AE12" s="4">
        <v>0</v>
      </c>
    </row>
    <row r="13" spans="1:31" ht="14.1" customHeight="1" x14ac:dyDescent="0.2">
      <c r="A13" s="2" t="s">
        <v>0</v>
      </c>
      <c r="B13" t="s">
        <v>1</v>
      </c>
      <c r="C13" t="s">
        <v>44</v>
      </c>
      <c r="D13" s="3">
        <v>44040</v>
      </c>
      <c r="E13" s="3">
        <v>44040</v>
      </c>
      <c r="F13" s="3">
        <v>44042</v>
      </c>
      <c r="G13" t="s">
        <v>45</v>
      </c>
      <c r="H13" t="s">
        <v>6</v>
      </c>
      <c r="I13" s="4">
        <v>-14329700</v>
      </c>
      <c r="J13" t="s">
        <v>46</v>
      </c>
      <c r="K13" t="s">
        <v>6</v>
      </c>
      <c r="L13" s="4">
        <v>-14329700</v>
      </c>
      <c r="M13" s="4">
        <v>-171165.85</v>
      </c>
      <c r="N13" s="6" t="str">
        <f>IF(M13="","",IF(M13&lt;0,-M13&amp;"_"&amp;COUNTIF(M$2:M13,M13),M13&amp;"_"&amp;COUNTIF(M$2:M13,M13)))</f>
        <v>171165.85_1</v>
      </c>
      <c r="O13" s="14" t="str">
        <f t="shared" si="0"/>
        <v/>
      </c>
      <c r="P13" t="s">
        <v>47</v>
      </c>
      <c r="Q13" t="s">
        <v>53</v>
      </c>
      <c r="R13" t="s">
        <v>54</v>
      </c>
      <c r="S13" t="s">
        <v>0</v>
      </c>
      <c r="T13" t="s">
        <v>10</v>
      </c>
      <c r="U13" t="s">
        <v>50</v>
      </c>
      <c r="V13" t="s">
        <v>0</v>
      </c>
      <c r="W13" t="s">
        <v>0</v>
      </c>
      <c r="X13" t="s">
        <v>0</v>
      </c>
      <c r="Y13" t="s">
        <v>0</v>
      </c>
      <c r="Z13" t="s">
        <v>0</v>
      </c>
      <c r="AA13" s="3"/>
      <c r="AB13" t="s">
        <v>0</v>
      </c>
      <c r="AC13" t="s">
        <v>0</v>
      </c>
      <c r="AD13" t="s">
        <v>0</v>
      </c>
      <c r="AE13" s="4">
        <v>0</v>
      </c>
    </row>
    <row r="14" spans="1:31" ht="14.1" customHeight="1" x14ac:dyDescent="0.2">
      <c r="A14" s="2" t="s">
        <v>0</v>
      </c>
      <c r="B14" t="s">
        <v>1</v>
      </c>
      <c r="C14" t="s">
        <v>55</v>
      </c>
      <c r="D14" s="3">
        <v>44040</v>
      </c>
      <c r="E14" s="3">
        <v>44040</v>
      </c>
      <c r="F14" s="3">
        <v>44042</v>
      </c>
      <c r="G14" t="s">
        <v>45</v>
      </c>
      <c r="H14" t="s">
        <v>6</v>
      </c>
      <c r="I14" s="4">
        <v>-562900</v>
      </c>
      <c r="J14" t="s">
        <v>46</v>
      </c>
      <c r="K14" t="s">
        <v>6</v>
      </c>
      <c r="L14" s="4">
        <v>-562900</v>
      </c>
      <c r="M14" s="4">
        <v>-6626.26</v>
      </c>
      <c r="N14" s="6" t="str">
        <f>IF(M14="","",IF(M14&lt;0,-M14&amp;"_"&amp;COUNTIF(M$2:M14,M14),M14&amp;"_"&amp;COUNTIF(M$2:M14,M14)))</f>
        <v>6626.26_1</v>
      </c>
      <c r="O14" s="14" t="str">
        <f t="shared" si="0"/>
        <v/>
      </c>
      <c r="P14" t="s">
        <v>56</v>
      </c>
      <c r="Q14" t="s">
        <v>57</v>
      </c>
      <c r="R14" t="s">
        <v>58</v>
      </c>
      <c r="S14" t="s">
        <v>0</v>
      </c>
      <c r="T14" t="s">
        <v>10</v>
      </c>
      <c r="U14" t="s">
        <v>59</v>
      </c>
      <c r="V14" t="s">
        <v>0</v>
      </c>
      <c r="W14" t="s">
        <v>0</v>
      </c>
      <c r="X14" t="s">
        <v>0</v>
      </c>
      <c r="Y14" t="s">
        <v>0</v>
      </c>
      <c r="Z14" t="s">
        <v>0</v>
      </c>
      <c r="AA14" s="3"/>
      <c r="AB14" t="s">
        <v>0</v>
      </c>
      <c r="AC14" t="s">
        <v>0</v>
      </c>
      <c r="AD14" t="s">
        <v>0</v>
      </c>
      <c r="AE14" s="4">
        <v>0</v>
      </c>
    </row>
    <row r="15" spans="1:31" ht="14.1" customHeight="1" x14ac:dyDescent="0.2">
      <c r="A15" s="2" t="s">
        <v>0</v>
      </c>
      <c r="B15" t="s">
        <v>1</v>
      </c>
      <c r="C15" t="s">
        <v>55</v>
      </c>
      <c r="D15" s="3">
        <v>44040</v>
      </c>
      <c r="E15" s="3">
        <v>44040</v>
      </c>
      <c r="F15" s="3">
        <v>44042</v>
      </c>
      <c r="G15" t="s">
        <v>45</v>
      </c>
      <c r="H15" t="s">
        <v>6</v>
      </c>
      <c r="I15" s="4">
        <v>-5286800</v>
      </c>
      <c r="J15" t="s">
        <v>46</v>
      </c>
      <c r="K15" t="s">
        <v>6</v>
      </c>
      <c r="L15" s="4">
        <v>-5286800</v>
      </c>
      <c r="M15" s="4">
        <v>-62234.26</v>
      </c>
      <c r="N15" s="6" t="str">
        <f>IF(M15="","",IF(M15&lt;0,-M15&amp;"_"&amp;COUNTIF(M$2:M15,M15),M15&amp;"_"&amp;COUNTIF(M$2:M15,M15)))</f>
        <v>62234.26_1</v>
      </c>
      <c r="O15" s="14" t="str">
        <f t="shared" si="0"/>
        <v/>
      </c>
      <c r="P15" t="s">
        <v>56</v>
      </c>
      <c r="Q15" t="s">
        <v>60</v>
      </c>
      <c r="R15" t="s">
        <v>61</v>
      </c>
      <c r="S15" t="s">
        <v>0</v>
      </c>
      <c r="T15" t="s">
        <v>10</v>
      </c>
      <c r="U15" t="s">
        <v>59</v>
      </c>
      <c r="V15" t="s">
        <v>0</v>
      </c>
      <c r="W15" t="s">
        <v>0</v>
      </c>
      <c r="X15" t="s">
        <v>0</v>
      </c>
      <c r="Y15" t="s">
        <v>0</v>
      </c>
      <c r="Z15" t="s">
        <v>0</v>
      </c>
      <c r="AA15" s="3"/>
      <c r="AB15" t="s">
        <v>0</v>
      </c>
      <c r="AC15" t="s">
        <v>0</v>
      </c>
      <c r="AD15" t="s">
        <v>0</v>
      </c>
      <c r="AE15" s="4">
        <v>0</v>
      </c>
    </row>
    <row r="16" spans="1:31" ht="14.1" customHeight="1" x14ac:dyDescent="0.2">
      <c r="A16" s="2" t="s">
        <v>0</v>
      </c>
      <c r="B16" t="s">
        <v>1</v>
      </c>
      <c r="C16" t="s">
        <v>55</v>
      </c>
      <c r="D16" s="3">
        <v>44040</v>
      </c>
      <c r="E16" s="3">
        <v>44040</v>
      </c>
      <c r="F16" s="3">
        <v>44042</v>
      </c>
      <c r="G16" t="s">
        <v>45</v>
      </c>
      <c r="H16" t="s">
        <v>6</v>
      </c>
      <c r="I16" s="4">
        <v>-1886000</v>
      </c>
      <c r="J16" t="s">
        <v>46</v>
      </c>
      <c r="K16" t="s">
        <v>6</v>
      </c>
      <c r="L16" s="4">
        <v>-1886000</v>
      </c>
      <c r="M16" s="4">
        <v>-22201.29</v>
      </c>
      <c r="N16" s="6" t="str">
        <f>IF(M16="","",IF(M16&lt;0,-M16&amp;"_"&amp;COUNTIF(M$2:M16,M16),M16&amp;"_"&amp;COUNTIF(M$2:M16,M16)))</f>
        <v>22201.29_1</v>
      </c>
      <c r="O16" s="14" t="str">
        <f t="shared" si="0"/>
        <v/>
      </c>
      <c r="P16" t="s">
        <v>56</v>
      </c>
      <c r="Q16" t="s">
        <v>62</v>
      </c>
      <c r="R16" t="s">
        <v>63</v>
      </c>
      <c r="S16" t="s">
        <v>0</v>
      </c>
      <c r="T16" t="s">
        <v>10</v>
      </c>
      <c r="U16" t="s">
        <v>59</v>
      </c>
      <c r="V16" t="s">
        <v>0</v>
      </c>
      <c r="W16" t="s">
        <v>0</v>
      </c>
      <c r="X16" t="s">
        <v>0</v>
      </c>
      <c r="Y16" t="s">
        <v>0</v>
      </c>
      <c r="Z16" t="s">
        <v>0</v>
      </c>
      <c r="AA16" s="3"/>
      <c r="AB16" t="s">
        <v>0</v>
      </c>
      <c r="AC16" t="s">
        <v>0</v>
      </c>
      <c r="AD16" t="s">
        <v>0</v>
      </c>
      <c r="AE16" s="4">
        <v>0</v>
      </c>
    </row>
    <row r="17" spans="1:31" ht="14.1" customHeight="1" x14ac:dyDescent="0.2">
      <c r="A17" s="2" t="s">
        <v>0</v>
      </c>
      <c r="B17" t="s">
        <v>1</v>
      </c>
      <c r="C17" t="s">
        <v>55</v>
      </c>
      <c r="D17" s="3">
        <v>44040</v>
      </c>
      <c r="E17" s="3">
        <v>44040</v>
      </c>
      <c r="F17" s="3">
        <v>44042</v>
      </c>
      <c r="G17" t="s">
        <v>45</v>
      </c>
      <c r="H17" t="s">
        <v>6</v>
      </c>
      <c r="I17" s="4">
        <v>-2782400</v>
      </c>
      <c r="J17" t="s">
        <v>46</v>
      </c>
      <c r="K17" t="s">
        <v>6</v>
      </c>
      <c r="L17" s="4">
        <v>-2782400</v>
      </c>
      <c r="M17" s="4">
        <v>-32753.38</v>
      </c>
      <c r="N17" s="6" t="str">
        <f>IF(M17="","",IF(M17&lt;0,-M17&amp;"_"&amp;COUNTIF(M$2:M17,M17),M17&amp;"_"&amp;COUNTIF(M$2:M17,M17)))</f>
        <v>32753.38_1</v>
      </c>
      <c r="O17" s="14" t="str">
        <f t="shared" si="0"/>
        <v/>
      </c>
      <c r="P17" t="s">
        <v>56</v>
      </c>
      <c r="Q17" t="s">
        <v>64</v>
      </c>
      <c r="R17" t="s">
        <v>65</v>
      </c>
      <c r="S17" t="s">
        <v>0</v>
      </c>
      <c r="T17" t="s">
        <v>10</v>
      </c>
      <c r="U17" t="s">
        <v>59</v>
      </c>
      <c r="V17" t="s">
        <v>0</v>
      </c>
      <c r="W17" t="s">
        <v>0</v>
      </c>
      <c r="X17" t="s">
        <v>0</v>
      </c>
      <c r="Y17" t="s">
        <v>0</v>
      </c>
      <c r="Z17" t="s">
        <v>0</v>
      </c>
      <c r="AA17" s="3"/>
      <c r="AB17" t="s">
        <v>0</v>
      </c>
      <c r="AC17" t="s">
        <v>0</v>
      </c>
      <c r="AD17" t="s">
        <v>0</v>
      </c>
      <c r="AE17" s="4">
        <v>0</v>
      </c>
    </row>
    <row r="18" spans="1:31" ht="14.1" customHeight="1" x14ac:dyDescent="0.2">
      <c r="A18" s="2" t="s">
        <v>0</v>
      </c>
      <c r="B18" t="s">
        <v>1</v>
      </c>
      <c r="C18" t="s">
        <v>55</v>
      </c>
      <c r="D18" s="3">
        <v>44040</v>
      </c>
      <c r="E18" s="3">
        <v>44040</v>
      </c>
      <c r="F18" s="3">
        <v>44042</v>
      </c>
      <c r="G18" t="s">
        <v>45</v>
      </c>
      <c r="H18" t="s">
        <v>6</v>
      </c>
      <c r="I18" s="4">
        <v>-2354900</v>
      </c>
      <c r="J18" t="s">
        <v>46</v>
      </c>
      <c r="K18" t="s">
        <v>6</v>
      </c>
      <c r="L18" s="4">
        <v>-2354900</v>
      </c>
      <c r="M18" s="4">
        <v>-27721.01</v>
      </c>
      <c r="N18" s="6" t="str">
        <f>IF(M18="","",IF(M18&lt;0,-M18&amp;"_"&amp;COUNTIF(M$2:M18,M18),M18&amp;"_"&amp;COUNTIF(M$2:M18,M18)))</f>
        <v>27721.01_1</v>
      </c>
      <c r="O18" s="14" t="str">
        <f t="shared" si="0"/>
        <v/>
      </c>
      <c r="P18" t="s">
        <v>56</v>
      </c>
      <c r="Q18" t="s">
        <v>66</v>
      </c>
      <c r="R18" t="s">
        <v>67</v>
      </c>
      <c r="S18" t="s">
        <v>0</v>
      </c>
      <c r="T18" t="s">
        <v>10</v>
      </c>
      <c r="U18" t="s">
        <v>59</v>
      </c>
      <c r="V18" t="s">
        <v>0</v>
      </c>
      <c r="W18" t="s">
        <v>0</v>
      </c>
      <c r="X18" t="s">
        <v>0</v>
      </c>
      <c r="Y18" t="s">
        <v>0</v>
      </c>
      <c r="Z18" t="s">
        <v>0</v>
      </c>
      <c r="AA18" s="3"/>
      <c r="AB18" t="s">
        <v>0</v>
      </c>
      <c r="AC18" t="s">
        <v>0</v>
      </c>
      <c r="AD18" t="s">
        <v>0</v>
      </c>
      <c r="AE18" s="4">
        <v>0</v>
      </c>
    </row>
    <row r="19" spans="1:31" ht="14.1" customHeight="1" x14ac:dyDescent="0.2">
      <c r="A19" s="2" t="s">
        <v>0</v>
      </c>
      <c r="B19" t="s">
        <v>1</v>
      </c>
      <c r="C19" t="s">
        <v>112</v>
      </c>
      <c r="D19" s="3">
        <v>44152</v>
      </c>
      <c r="E19" s="3">
        <v>44152</v>
      </c>
      <c r="F19" s="3">
        <v>44159</v>
      </c>
      <c r="G19" t="s">
        <v>45</v>
      </c>
      <c r="H19" t="s">
        <v>6</v>
      </c>
      <c r="I19" s="4">
        <v>-14763700</v>
      </c>
      <c r="J19" t="s">
        <v>46</v>
      </c>
      <c r="K19" t="s">
        <v>6</v>
      </c>
      <c r="L19" s="4">
        <v>-14763700</v>
      </c>
      <c r="M19" s="4">
        <v>-177005.4</v>
      </c>
      <c r="N19" s="6" t="str">
        <f>IF(M19="","",IF(M19&lt;0,-M19&amp;"_"&amp;COUNTIF(M$2:M19,M19),M19&amp;"_"&amp;COUNTIF(M$2:M19,M19)))</f>
        <v>177005.4_1</v>
      </c>
      <c r="O19" s="14" t="str">
        <f t="shared" si="0"/>
        <v/>
      </c>
      <c r="P19" t="s">
        <v>113</v>
      </c>
      <c r="Q19" t="s">
        <v>114</v>
      </c>
      <c r="R19" t="s">
        <v>115</v>
      </c>
      <c r="S19" t="s">
        <v>0</v>
      </c>
      <c r="T19" t="s">
        <v>10</v>
      </c>
      <c r="U19" t="s">
        <v>116</v>
      </c>
      <c r="V19" t="s">
        <v>0</v>
      </c>
      <c r="W19" t="s">
        <v>0</v>
      </c>
      <c r="X19" t="s">
        <v>0</v>
      </c>
      <c r="Y19" t="s">
        <v>0</v>
      </c>
      <c r="Z19" t="s">
        <v>0</v>
      </c>
      <c r="AA19" s="3"/>
      <c r="AB19" t="s">
        <v>0</v>
      </c>
      <c r="AC19" t="s">
        <v>0</v>
      </c>
      <c r="AD19" t="s">
        <v>0</v>
      </c>
      <c r="AE19" s="4">
        <v>0</v>
      </c>
    </row>
    <row r="20" spans="1:31" ht="14.1" customHeight="1" x14ac:dyDescent="0.2">
      <c r="A20" s="2" t="s">
        <v>0</v>
      </c>
      <c r="B20" t="s">
        <v>1</v>
      </c>
      <c r="C20" t="s">
        <v>112</v>
      </c>
      <c r="D20" s="3">
        <v>44152</v>
      </c>
      <c r="E20" s="3">
        <v>44152</v>
      </c>
      <c r="F20" s="3">
        <v>44159</v>
      </c>
      <c r="G20" t="s">
        <v>45</v>
      </c>
      <c r="H20" t="s">
        <v>6</v>
      </c>
      <c r="I20" s="4">
        <v>-6684500</v>
      </c>
      <c r="J20" t="s">
        <v>46</v>
      </c>
      <c r="K20" t="s">
        <v>6</v>
      </c>
      <c r="L20" s="4">
        <v>-6684500</v>
      </c>
      <c r="M20" s="4">
        <v>-79787.67</v>
      </c>
      <c r="N20" s="6" t="str">
        <f>IF(M20="","",IF(M20&lt;0,-M20&amp;"_"&amp;COUNTIF(M$2:M20,M20),M20&amp;"_"&amp;COUNTIF(M$2:M20,M20)))</f>
        <v>79787.67_1</v>
      </c>
      <c r="O20" s="14" t="str">
        <f t="shared" si="0"/>
        <v/>
      </c>
      <c r="P20" t="s">
        <v>113</v>
      </c>
      <c r="Q20" t="s">
        <v>117</v>
      </c>
      <c r="R20" t="s">
        <v>118</v>
      </c>
      <c r="S20" t="s">
        <v>0</v>
      </c>
      <c r="T20" t="s">
        <v>10</v>
      </c>
      <c r="U20" t="s">
        <v>116</v>
      </c>
      <c r="V20" t="s">
        <v>0</v>
      </c>
      <c r="W20" t="s">
        <v>0</v>
      </c>
      <c r="X20" t="s">
        <v>0</v>
      </c>
      <c r="Y20" t="s">
        <v>0</v>
      </c>
      <c r="Z20" t="s">
        <v>0</v>
      </c>
      <c r="AA20" s="3"/>
      <c r="AB20" t="s">
        <v>0</v>
      </c>
      <c r="AC20" t="s">
        <v>0</v>
      </c>
      <c r="AD20" t="s">
        <v>0</v>
      </c>
      <c r="AE20" s="4">
        <v>0</v>
      </c>
    </row>
    <row r="21" spans="1:31" ht="14.1" customHeight="1" x14ac:dyDescent="0.2">
      <c r="A21" s="2" t="s">
        <v>0</v>
      </c>
      <c r="B21" t="s">
        <v>1</v>
      </c>
      <c r="C21" t="s">
        <v>112</v>
      </c>
      <c r="D21" s="3">
        <v>44152</v>
      </c>
      <c r="E21" s="3">
        <v>44152</v>
      </c>
      <c r="F21" s="3">
        <v>44159</v>
      </c>
      <c r="G21" t="s">
        <v>45</v>
      </c>
      <c r="H21" t="s">
        <v>6</v>
      </c>
      <c r="I21" s="4">
        <v>-2680500</v>
      </c>
      <c r="J21" t="s">
        <v>46</v>
      </c>
      <c r="K21" t="s">
        <v>6</v>
      </c>
      <c r="L21" s="4">
        <v>-2680500</v>
      </c>
      <c r="M21" s="4">
        <v>-32353.01</v>
      </c>
      <c r="N21" s="6" t="str">
        <f>IF(M21="","",IF(M21&lt;0,-M21&amp;"_"&amp;COUNTIF(M$2:M21,M21),M21&amp;"_"&amp;COUNTIF(M$2:M21,M21)))</f>
        <v>32353.01_1</v>
      </c>
      <c r="O21" s="14" t="str">
        <f t="shared" si="0"/>
        <v/>
      </c>
      <c r="P21" t="s">
        <v>113</v>
      </c>
      <c r="Q21" t="s">
        <v>119</v>
      </c>
      <c r="R21" t="s">
        <v>120</v>
      </c>
      <c r="S21" t="s">
        <v>0</v>
      </c>
      <c r="T21" t="s">
        <v>10</v>
      </c>
      <c r="U21" t="s">
        <v>116</v>
      </c>
      <c r="V21" t="s">
        <v>0</v>
      </c>
      <c r="W21" t="s">
        <v>0</v>
      </c>
      <c r="X21" t="s">
        <v>0</v>
      </c>
      <c r="Y21" t="s">
        <v>0</v>
      </c>
      <c r="Z21" t="s">
        <v>0</v>
      </c>
      <c r="AA21" s="3"/>
      <c r="AB21" t="s">
        <v>0</v>
      </c>
      <c r="AC21" t="s">
        <v>0</v>
      </c>
      <c r="AD21" t="s">
        <v>0</v>
      </c>
      <c r="AE21" s="4">
        <v>0</v>
      </c>
    </row>
    <row r="22" spans="1:31" ht="14.1" customHeight="1" x14ac:dyDescent="0.2">
      <c r="A22" s="2" t="s">
        <v>0</v>
      </c>
      <c r="B22" t="s">
        <v>1</v>
      </c>
      <c r="C22" t="s">
        <v>121</v>
      </c>
      <c r="D22" s="3">
        <v>44152</v>
      </c>
      <c r="E22" s="3">
        <v>44152</v>
      </c>
      <c r="F22" s="3">
        <v>44160</v>
      </c>
      <c r="G22" t="s">
        <v>45</v>
      </c>
      <c r="H22" t="s">
        <v>6</v>
      </c>
      <c r="I22" s="4">
        <v>-4259000</v>
      </c>
      <c r="J22" t="s">
        <v>46</v>
      </c>
      <c r="K22" t="s">
        <v>6</v>
      </c>
      <c r="L22" s="4">
        <v>-4259000</v>
      </c>
      <c r="M22" s="4">
        <v>-51069.63</v>
      </c>
      <c r="N22" s="6" t="str">
        <f>IF(M22="","",IF(M22&lt;0,-M22&amp;"_"&amp;COUNTIF(M$2:M22,M22),M22&amp;"_"&amp;COUNTIF(M$2:M22,M22)))</f>
        <v>51069.63_1</v>
      </c>
      <c r="O22" s="14" t="str">
        <f t="shared" si="0"/>
        <v/>
      </c>
      <c r="P22" t="s">
        <v>122</v>
      </c>
      <c r="Q22" t="s">
        <v>123</v>
      </c>
      <c r="R22" t="s">
        <v>124</v>
      </c>
      <c r="S22" t="s">
        <v>0</v>
      </c>
      <c r="T22" t="s">
        <v>10</v>
      </c>
      <c r="U22" t="s">
        <v>125</v>
      </c>
      <c r="V22" t="s">
        <v>0</v>
      </c>
      <c r="W22" t="s">
        <v>0</v>
      </c>
      <c r="X22" t="s">
        <v>0</v>
      </c>
      <c r="Y22" t="s">
        <v>0</v>
      </c>
      <c r="Z22" t="s">
        <v>0</v>
      </c>
      <c r="AA22" s="3"/>
      <c r="AB22" t="s">
        <v>0</v>
      </c>
      <c r="AC22" t="s">
        <v>0</v>
      </c>
      <c r="AD22" t="s">
        <v>0</v>
      </c>
      <c r="AE22" s="4">
        <v>0</v>
      </c>
    </row>
    <row r="23" spans="1:31" ht="14.1" customHeight="1" x14ac:dyDescent="0.2">
      <c r="A23" s="2" t="s">
        <v>0</v>
      </c>
      <c r="B23" t="s">
        <v>1</v>
      </c>
      <c r="C23" t="s">
        <v>121</v>
      </c>
      <c r="D23" s="3">
        <v>44152</v>
      </c>
      <c r="E23" s="3">
        <v>44152</v>
      </c>
      <c r="F23" s="3">
        <v>44160</v>
      </c>
      <c r="G23" t="s">
        <v>45</v>
      </c>
      <c r="H23" t="s">
        <v>6</v>
      </c>
      <c r="I23" s="4">
        <v>-2092100</v>
      </c>
      <c r="J23" t="s">
        <v>46</v>
      </c>
      <c r="K23" t="s">
        <v>6</v>
      </c>
      <c r="L23" s="4">
        <v>-2092100</v>
      </c>
      <c r="M23" s="4">
        <v>-25026.68</v>
      </c>
      <c r="N23" s="6" t="str">
        <f>IF(M23="","",IF(M23&lt;0,-M23&amp;"_"&amp;COUNTIF(M$2:M23,M23),M23&amp;"_"&amp;COUNTIF(M$2:M23,M23)))</f>
        <v>25026.68_1</v>
      </c>
      <c r="O23" s="14" t="str">
        <f t="shared" si="0"/>
        <v/>
      </c>
      <c r="P23" t="s">
        <v>122</v>
      </c>
      <c r="Q23" t="s">
        <v>117</v>
      </c>
      <c r="R23" t="s">
        <v>118</v>
      </c>
      <c r="S23" t="s">
        <v>0</v>
      </c>
      <c r="T23" t="s">
        <v>10</v>
      </c>
      <c r="U23" t="s">
        <v>125</v>
      </c>
      <c r="V23" t="s">
        <v>0</v>
      </c>
      <c r="W23" t="s">
        <v>0</v>
      </c>
      <c r="X23" t="s">
        <v>0</v>
      </c>
      <c r="Y23" t="s">
        <v>0</v>
      </c>
      <c r="Z23" t="s">
        <v>0</v>
      </c>
      <c r="AA23" s="3"/>
      <c r="AB23" t="s">
        <v>0</v>
      </c>
      <c r="AC23" t="s">
        <v>0</v>
      </c>
      <c r="AD23" t="s">
        <v>0</v>
      </c>
      <c r="AE23" s="4">
        <v>0</v>
      </c>
    </row>
    <row r="24" spans="1:31" ht="14.1" customHeight="1" x14ac:dyDescent="0.2">
      <c r="A24" s="2" t="s">
        <v>0</v>
      </c>
      <c r="B24" t="s">
        <v>1</v>
      </c>
      <c r="C24" t="s">
        <v>121</v>
      </c>
      <c r="D24" s="3">
        <v>44152</v>
      </c>
      <c r="E24" s="3">
        <v>44152</v>
      </c>
      <c r="F24" s="3">
        <v>44160</v>
      </c>
      <c r="G24" t="s">
        <v>45</v>
      </c>
      <c r="H24" t="s">
        <v>6</v>
      </c>
      <c r="I24" s="4">
        <v>-1471000</v>
      </c>
      <c r="J24" t="s">
        <v>46</v>
      </c>
      <c r="K24" t="s">
        <v>6</v>
      </c>
      <c r="L24" s="4">
        <v>-1471000</v>
      </c>
      <c r="M24" s="4">
        <v>-17694.509999999998</v>
      </c>
      <c r="N24" s="6" t="str">
        <f>IF(M24="","",IF(M24&lt;0,-M24&amp;"_"&amp;COUNTIF(M$2:M24,M24),M24&amp;"_"&amp;COUNTIF(M$2:M24,M24)))</f>
        <v>17694.51_1</v>
      </c>
      <c r="O24" s="14" t="str">
        <f t="shared" si="0"/>
        <v/>
      </c>
      <c r="P24" t="s">
        <v>122</v>
      </c>
      <c r="Q24" t="s">
        <v>119</v>
      </c>
      <c r="R24" t="s">
        <v>120</v>
      </c>
      <c r="S24" t="s">
        <v>0</v>
      </c>
      <c r="T24" t="s">
        <v>10</v>
      </c>
      <c r="U24" t="s">
        <v>125</v>
      </c>
      <c r="V24" t="s">
        <v>0</v>
      </c>
      <c r="W24" t="s">
        <v>0</v>
      </c>
      <c r="X24" t="s">
        <v>0</v>
      </c>
      <c r="Y24" t="s">
        <v>0</v>
      </c>
      <c r="Z24" t="s">
        <v>0</v>
      </c>
      <c r="AA24" s="3"/>
      <c r="AB24" t="s">
        <v>0</v>
      </c>
      <c r="AC24" t="s">
        <v>0</v>
      </c>
      <c r="AD24" t="s">
        <v>0</v>
      </c>
      <c r="AE24" s="4">
        <v>0</v>
      </c>
    </row>
    <row r="25" spans="1:31" ht="14.1" customHeight="1" x14ac:dyDescent="0.2">
      <c r="A25" s="2" t="s">
        <v>0</v>
      </c>
      <c r="B25" t="s">
        <v>1</v>
      </c>
      <c r="C25" t="s">
        <v>135</v>
      </c>
      <c r="D25" s="3">
        <v>44166</v>
      </c>
      <c r="E25" s="3">
        <v>44166</v>
      </c>
      <c r="F25" s="3">
        <v>44186</v>
      </c>
      <c r="G25" t="s">
        <v>45</v>
      </c>
      <c r="H25" t="s">
        <v>6</v>
      </c>
      <c r="I25" s="4">
        <v>-6611200</v>
      </c>
      <c r="J25" t="s">
        <v>46</v>
      </c>
      <c r="K25" t="s">
        <v>6</v>
      </c>
      <c r="L25" s="4">
        <v>-6611200</v>
      </c>
      <c r="M25" s="4">
        <v>-81173.14</v>
      </c>
      <c r="N25" s="6" t="str">
        <f>IF(M25="","",IF(M25&lt;0,-M25&amp;"_"&amp;COUNTIF(M$2:M25,M25),M25&amp;"_"&amp;COUNTIF(M$2:M25,M25)))</f>
        <v>81173.14_1</v>
      </c>
      <c r="O25" s="14" t="str">
        <f t="shared" si="0"/>
        <v/>
      </c>
      <c r="P25" t="s">
        <v>136</v>
      </c>
      <c r="Q25" t="s">
        <v>119</v>
      </c>
      <c r="R25" t="s">
        <v>137</v>
      </c>
      <c r="S25" t="s">
        <v>0</v>
      </c>
      <c r="T25" t="s">
        <v>10</v>
      </c>
      <c r="U25" t="s">
        <v>138</v>
      </c>
      <c r="V25" t="s">
        <v>0</v>
      </c>
      <c r="W25" t="s">
        <v>0</v>
      </c>
      <c r="X25" t="s">
        <v>0</v>
      </c>
      <c r="Y25" t="s">
        <v>0</v>
      </c>
      <c r="Z25" t="s">
        <v>0</v>
      </c>
      <c r="AA25" s="3"/>
      <c r="AB25" t="s">
        <v>0</v>
      </c>
      <c r="AC25" t="s">
        <v>0</v>
      </c>
      <c r="AD25" t="s">
        <v>0</v>
      </c>
      <c r="AE25" s="4">
        <v>0</v>
      </c>
    </row>
    <row r="26" spans="1:31" ht="14.1" customHeight="1" x14ac:dyDescent="0.2">
      <c r="A26" s="2" t="s">
        <v>0</v>
      </c>
      <c r="B26" t="s">
        <v>1</v>
      </c>
      <c r="C26" t="s">
        <v>135</v>
      </c>
      <c r="D26" s="3">
        <v>44166</v>
      </c>
      <c r="E26" s="3">
        <v>44166</v>
      </c>
      <c r="F26" s="3">
        <v>44186</v>
      </c>
      <c r="G26" t="s">
        <v>45</v>
      </c>
      <c r="H26" t="s">
        <v>6</v>
      </c>
      <c r="I26" s="4">
        <v>-3692300</v>
      </c>
      <c r="J26" t="s">
        <v>46</v>
      </c>
      <c r="K26" t="s">
        <v>6</v>
      </c>
      <c r="L26" s="4">
        <v>-3692300</v>
      </c>
      <c r="M26" s="4">
        <v>-46344.5</v>
      </c>
      <c r="N26" s="6" t="str">
        <f>IF(M26="","",IF(M26&lt;0,-M26&amp;"_"&amp;COUNTIF(M$2:M26,M26),M26&amp;"_"&amp;COUNTIF(M$2:M26,M26)))</f>
        <v>46344.5_1</v>
      </c>
      <c r="O26" s="14" t="str">
        <f t="shared" si="0"/>
        <v/>
      </c>
      <c r="P26" t="s">
        <v>136</v>
      </c>
      <c r="Q26" t="s">
        <v>139</v>
      </c>
      <c r="R26" t="s">
        <v>140</v>
      </c>
      <c r="S26" t="s">
        <v>0</v>
      </c>
      <c r="T26" t="s">
        <v>10</v>
      </c>
      <c r="U26" t="s">
        <v>138</v>
      </c>
      <c r="V26" t="s">
        <v>0</v>
      </c>
      <c r="W26" t="s">
        <v>0</v>
      </c>
      <c r="X26" t="s">
        <v>0</v>
      </c>
      <c r="Y26" t="s">
        <v>0</v>
      </c>
      <c r="Z26" t="s">
        <v>0</v>
      </c>
      <c r="AA26" s="3"/>
      <c r="AB26" t="s">
        <v>0</v>
      </c>
      <c r="AC26" t="s">
        <v>0</v>
      </c>
      <c r="AD26" t="s">
        <v>0</v>
      </c>
      <c r="AE26" s="4">
        <v>0</v>
      </c>
    </row>
    <row r="27" spans="1:31" ht="14.1" customHeight="1" x14ac:dyDescent="0.2">
      <c r="A27" s="2" t="s">
        <v>0</v>
      </c>
      <c r="B27" t="s">
        <v>1</v>
      </c>
      <c r="C27" t="s">
        <v>141</v>
      </c>
      <c r="D27" s="3">
        <v>44166</v>
      </c>
      <c r="E27" s="3">
        <v>44166</v>
      </c>
      <c r="F27" s="3">
        <v>44186</v>
      </c>
      <c r="G27" t="s">
        <v>45</v>
      </c>
      <c r="H27" t="s">
        <v>6</v>
      </c>
      <c r="I27" s="4">
        <v>-2489800</v>
      </c>
      <c r="J27" t="s">
        <v>46</v>
      </c>
      <c r="K27" t="s">
        <v>6</v>
      </c>
      <c r="L27" s="4">
        <v>-2489800</v>
      </c>
      <c r="M27" s="4">
        <v>-30282.16</v>
      </c>
      <c r="N27" s="6" t="str">
        <f>IF(M27="","",IF(M27&lt;0,-M27&amp;"_"&amp;COUNTIF(M$2:M27,M27),M27&amp;"_"&amp;COUNTIF(M$2:M27,M27)))</f>
        <v>30282.16_1</v>
      </c>
      <c r="O27" s="14" t="str">
        <f t="shared" si="0"/>
        <v/>
      </c>
      <c r="P27" t="s">
        <v>142</v>
      </c>
      <c r="Q27" t="s">
        <v>143</v>
      </c>
      <c r="R27" t="s">
        <v>144</v>
      </c>
      <c r="S27" t="s">
        <v>0</v>
      </c>
      <c r="T27" t="s">
        <v>10</v>
      </c>
      <c r="U27" t="s">
        <v>145</v>
      </c>
      <c r="V27" t="s">
        <v>0</v>
      </c>
      <c r="W27" t="s">
        <v>0</v>
      </c>
      <c r="X27" t="s">
        <v>0</v>
      </c>
      <c r="Y27" t="s">
        <v>0</v>
      </c>
      <c r="Z27" t="s">
        <v>0</v>
      </c>
      <c r="AA27" s="3"/>
      <c r="AB27" t="s">
        <v>0</v>
      </c>
      <c r="AC27" t="s">
        <v>0</v>
      </c>
      <c r="AD27" t="s">
        <v>0</v>
      </c>
      <c r="AE27" s="4">
        <v>0</v>
      </c>
    </row>
    <row r="28" spans="1:31" ht="14.1" customHeight="1" x14ac:dyDescent="0.2">
      <c r="A28" s="2" t="s">
        <v>0</v>
      </c>
      <c r="B28" t="s">
        <v>1</v>
      </c>
      <c r="C28" t="s">
        <v>141</v>
      </c>
      <c r="D28" s="3">
        <v>44166</v>
      </c>
      <c r="E28" s="3">
        <v>44166</v>
      </c>
      <c r="F28" s="3">
        <v>44186</v>
      </c>
      <c r="G28" t="s">
        <v>45</v>
      </c>
      <c r="H28" t="s">
        <v>6</v>
      </c>
      <c r="I28" s="4">
        <v>-1474500</v>
      </c>
      <c r="J28" t="s">
        <v>46</v>
      </c>
      <c r="K28" t="s">
        <v>6</v>
      </c>
      <c r="L28" s="4">
        <v>-1474500</v>
      </c>
      <c r="M28" s="4">
        <v>-18166.89</v>
      </c>
      <c r="N28" s="6" t="str">
        <f>IF(M28="","",IF(M28&lt;0,-M28&amp;"_"&amp;COUNTIF(M$2:M28,M28),M28&amp;"_"&amp;COUNTIF(M$2:M28,M28)))</f>
        <v>18166.89_1</v>
      </c>
      <c r="O28" s="14" t="str">
        <f t="shared" si="0"/>
        <v/>
      </c>
      <c r="P28" t="s">
        <v>142</v>
      </c>
      <c r="Q28" t="s">
        <v>146</v>
      </c>
      <c r="R28" t="s">
        <v>147</v>
      </c>
      <c r="S28" t="s">
        <v>0</v>
      </c>
      <c r="T28" t="s">
        <v>10</v>
      </c>
      <c r="U28" t="s">
        <v>145</v>
      </c>
      <c r="V28" t="s">
        <v>0</v>
      </c>
      <c r="W28" t="s">
        <v>0</v>
      </c>
      <c r="X28" t="s">
        <v>0</v>
      </c>
      <c r="Y28" t="s">
        <v>0</v>
      </c>
      <c r="Z28" t="s">
        <v>0</v>
      </c>
      <c r="AA28" s="3"/>
      <c r="AB28" t="s">
        <v>0</v>
      </c>
      <c r="AC28" t="s">
        <v>0</v>
      </c>
      <c r="AD28" t="s">
        <v>0</v>
      </c>
      <c r="AE28" s="4">
        <v>0</v>
      </c>
    </row>
    <row r="29" spans="1:31" ht="14.1" customHeight="1" x14ac:dyDescent="0.2">
      <c r="A29" s="2" t="s">
        <v>0</v>
      </c>
      <c r="B29" t="s">
        <v>1</v>
      </c>
      <c r="C29" t="s">
        <v>170</v>
      </c>
      <c r="D29" s="3">
        <v>44199</v>
      </c>
      <c r="E29" s="3">
        <v>44199</v>
      </c>
      <c r="F29" s="3">
        <v>44223</v>
      </c>
      <c r="G29" t="s">
        <v>45</v>
      </c>
      <c r="H29" t="s">
        <v>6</v>
      </c>
      <c r="I29" s="4">
        <v>-1744600</v>
      </c>
      <c r="J29" t="s">
        <v>46</v>
      </c>
      <c r="K29" t="s">
        <v>6</v>
      </c>
      <c r="L29" s="4">
        <v>-1744600</v>
      </c>
      <c r="M29" s="4">
        <v>-20967.18</v>
      </c>
      <c r="N29" s="6" t="str">
        <f>IF(M29="","",IF(M29&lt;0,-M29&amp;"_"&amp;COUNTIF(M$2:M29,M29),M29&amp;"_"&amp;COUNTIF(M$2:M29,M29)))</f>
        <v>20967.18_1</v>
      </c>
      <c r="O29" s="14" t="str">
        <f t="shared" si="0"/>
        <v/>
      </c>
      <c r="P29" t="s">
        <v>171</v>
      </c>
      <c r="Q29" t="s">
        <v>172</v>
      </c>
      <c r="R29" t="s">
        <v>173</v>
      </c>
      <c r="S29" t="s">
        <v>0</v>
      </c>
      <c r="T29" t="s">
        <v>10</v>
      </c>
      <c r="U29" t="s">
        <v>174</v>
      </c>
      <c r="V29" t="s">
        <v>0</v>
      </c>
      <c r="W29" t="s">
        <v>0</v>
      </c>
      <c r="X29" t="s">
        <v>0</v>
      </c>
      <c r="Y29" t="s">
        <v>0</v>
      </c>
      <c r="Z29" t="s">
        <v>0</v>
      </c>
      <c r="AA29" s="3"/>
      <c r="AB29" t="s">
        <v>0</v>
      </c>
      <c r="AC29" t="s">
        <v>0</v>
      </c>
      <c r="AD29" t="s">
        <v>0</v>
      </c>
      <c r="AE29" s="4">
        <v>0</v>
      </c>
    </row>
    <row r="30" spans="1:31" ht="14.1" customHeight="1" x14ac:dyDescent="0.2">
      <c r="A30" s="2" t="s">
        <v>0</v>
      </c>
      <c r="B30" t="s">
        <v>1</v>
      </c>
      <c r="C30" t="s">
        <v>170</v>
      </c>
      <c r="D30" s="3">
        <v>44199</v>
      </c>
      <c r="E30" s="3">
        <v>44199</v>
      </c>
      <c r="F30" s="3">
        <v>44223</v>
      </c>
      <c r="G30" t="s">
        <v>45</v>
      </c>
      <c r="H30" t="s">
        <v>6</v>
      </c>
      <c r="I30" s="4">
        <v>-6816000</v>
      </c>
      <c r="J30" t="s">
        <v>46</v>
      </c>
      <c r="K30" t="s">
        <v>6</v>
      </c>
      <c r="L30" s="4">
        <v>-6816000</v>
      </c>
      <c r="M30" s="4">
        <v>-82473.98</v>
      </c>
      <c r="N30" s="6" t="str">
        <f>IF(M30="","",IF(M30&lt;0,-M30&amp;"_"&amp;COUNTIF(M$2:M30,M30),M30&amp;"_"&amp;COUNTIF(M$2:M30,M30)))</f>
        <v>82473.98_1</v>
      </c>
      <c r="O30" s="14" t="str">
        <f t="shared" si="0"/>
        <v/>
      </c>
      <c r="P30" t="s">
        <v>171</v>
      </c>
      <c r="Q30" t="s">
        <v>175</v>
      </c>
      <c r="R30" t="s">
        <v>176</v>
      </c>
      <c r="S30" t="s">
        <v>0</v>
      </c>
      <c r="T30" t="s">
        <v>10</v>
      </c>
      <c r="U30" t="s">
        <v>174</v>
      </c>
      <c r="V30" t="s">
        <v>0</v>
      </c>
      <c r="W30" t="s">
        <v>0</v>
      </c>
      <c r="X30" t="s">
        <v>0</v>
      </c>
      <c r="Y30" t="s">
        <v>0</v>
      </c>
      <c r="Z30" t="s">
        <v>0</v>
      </c>
      <c r="AA30" s="3"/>
      <c r="AB30" t="s">
        <v>0</v>
      </c>
      <c r="AC30" t="s">
        <v>0</v>
      </c>
      <c r="AD30" t="s">
        <v>0</v>
      </c>
      <c r="AE30" s="4">
        <v>0</v>
      </c>
    </row>
    <row r="31" spans="1:31" ht="14.1" customHeight="1" x14ac:dyDescent="0.2">
      <c r="A31" s="2" t="s">
        <v>0</v>
      </c>
      <c r="B31" t="s">
        <v>1</v>
      </c>
      <c r="C31" t="s">
        <v>177</v>
      </c>
      <c r="D31" s="3">
        <v>44199</v>
      </c>
      <c r="E31" s="3">
        <v>44199</v>
      </c>
      <c r="F31" s="3">
        <v>44223</v>
      </c>
      <c r="G31" t="s">
        <v>45</v>
      </c>
      <c r="H31" t="s">
        <v>6</v>
      </c>
      <c r="I31" s="4">
        <v>-1375100</v>
      </c>
      <c r="J31" t="s">
        <v>46</v>
      </c>
      <c r="K31" t="s">
        <v>6</v>
      </c>
      <c r="L31" s="4">
        <v>-1375100</v>
      </c>
      <c r="M31" s="4">
        <v>-16446.84</v>
      </c>
      <c r="N31" s="6" t="str">
        <f>IF(M31="","",IF(M31&lt;0,-M31&amp;"_"&amp;COUNTIF(M$2:M31,M31),M31&amp;"_"&amp;COUNTIF(M$2:M31,M31)))</f>
        <v>16446.84_1</v>
      </c>
      <c r="O31" s="14" t="str">
        <f t="shared" si="0"/>
        <v/>
      </c>
      <c r="P31" t="s">
        <v>178</v>
      </c>
      <c r="Q31" t="s">
        <v>179</v>
      </c>
      <c r="R31" t="s">
        <v>140</v>
      </c>
      <c r="S31" t="s">
        <v>0</v>
      </c>
      <c r="T31" t="s">
        <v>10</v>
      </c>
      <c r="U31" t="s">
        <v>180</v>
      </c>
      <c r="V31" t="s">
        <v>0</v>
      </c>
      <c r="W31" t="s">
        <v>0</v>
      </c>
      <c r="X31" t="s">
        <v>0</v>
      </c>
      <c r="Y31" t="s">
        <v>0</v>
      </c>
      <c r="Z31" t="s">
        <v>0</v>
      </c>
      <c r="AA31" s="3"/>
      <c r="AB31" t="s">
        <v>0</v>
      </c>
      <c r="AC31" t="s">
        <v>0</v>
      </c>
      <c r="AD31" t="s">
        <v>0</v>
      </c>
      <c r="AE31" s="4">
        <v>0</v>
      </c>
    </row>
    <row r="32" spans="1:31" ht="14.1" customHeight="1" x14ac:dyDescent="0.2">
      <c r="A32" s="2" t="s">
        <v>0</v>
      </c>
      <c r="B32" t="s">
        <v>1</v>
      </c>
      <c r="C32" t="s">
        <v>177</v>
      </c>
      <c r="D32" s="3">
        <v>44199</v>
      </c>
      <c r="E32" s="3">
        <v>44199</v>
      </c>
      <c r="F32" s="3">
        <v>44223</v>
      </c>
      <c r="G32" t="s">
        <v>45</v>
      </c>
      <c r="H32" t="s">
        <v>6</v>
      </c>
      <c r="I32" s="4">
        <v>-3448300</v>
      </c>
      <c r="J32" t="s">
        <v>46</v>
      </c>
      <c r="K32" t="s">
        <v>6</v>
      </c>
      <c r="L32" s="4">
        <v>-3448300</v>
      </c>
      <c r="M32" s="4">
        <v>-41587.480000000003</v>
      </c>
      <c r="N32" s="6" t="str">
        <f>IF(M32="","",IF(M32&lt;0,-M32&amp;"_"&amp;COUNTIF(M$2:M32,M32),M32&amp;"_"&amp;COUNTIF(M$2:M32,M32)))</f>
        <v>41587.48_1</v>
      </c>
      <c r="O32" s="14" t="str">
        <f t="shared" si="0"/>
        <v/>
      </c>
      <c r="P32" t="s">
        <v>178</v>
      </c>
      <c r="Q32" t="s">
        <v>181</v>
      </c>
      <c r="R32" t="s">
        <v>182</v>
      </c>
      <c r="S32" t="s">
        <v>0</v>
      </c>
      <c r="T32" t="s">
        <v>10</v>
      </c>
      <c r="U32" t="s">
        <v>180</v>
      </c>
      <c r="V32" t="s">
        <v>0</v>
      </c>
      <c r="W32" t="s">
        <v>0</v>
      </c>
      <c r="X32" t="s">
        <v>0</v>
      </c>
      <c r="Y32" t="s">
        <v>0</v>
      </c>
      <c r="Z32" t="s">
        <v>0</v>
      </c>
      <c r="AA32" s="3"/>
      <c r="AB32" t="s">
        <v>0</v>
      </c>
      <c r="AC32" t="s">
        <v>0</v>
      </c>
      <c r="AD32" t="s">
        <v>0</v>
      </c>
      <c r="AE32" s="4">
        <v>0</v>
      </c>
    </row>
    <row r="33" spans="1:31" ht="14.1" customHeight="1" x14ac:dyDescent="0.2">
      <c r="A33" s="2" t="s">
        <v>0</v>
      </c>
      <c r="B33" t="s">
        <v>1</v>
      </c>
      <c r="C33" t="s">
        <v>220</v>
      </c>
      <c r="D33" s="3">
        <v>44273</v>
      </c>
      <c r="E33" s="3">
        <v>44273</v>
      </c>
      <c r="F33" s="3">
        <v>44280</v>
      </c>
      <c r="G33" t="s">
        <v>45</v>
      </c>
      <c r="H33" t="s">
        <v>6</v>
      </c>
      <c r="I33" s="4">
        <v>-6249500</v>
      </c>
      <c r="J33" t="s">
        <v>46</v>
      </c>
      <c r="K33" t="s">
        <v>6</v>
      </c>
      <c r="L33" s="4">
        <v>-6249500</v>
      </c>
      <c r="M33" s="4">
        <v>-78664.710000000006</v>
      </c>
      <c r="N33" s="6" t="str">
        <f>IF(M33="","",IF(M33&lt;0,-M33&amp;"_"&amp;COUNTIF(M$2:M33,M33),M33&amp;"_"&amp;COUNTIF(M$2:M33,M33)))</f>
        <v>78664.71_1</v>
      </c>
      <c r="O33" s="14" t="str">
        <f t="shared" si="0"/>
        <v/>
      </c>
      <c r="P33" t="s">
        <v>221</v>
      </c>
      <c r="Q33" t="s">
        <v>222</v>
      </c>
      <c r="R33" t="s">
        <v>223</v>
      </c>
      <c r="S33" t="s">
        <v>0</v>
      </c>
      <c r="T33" t="s">
        <v>10</v>
      </c>
      <c r="U33" t="s">
        <v>224</v>
      </c>
      <c r="V33" t="s">
        <v>0</v>
      </c>
      <c r="W33" t="s">
        <v>0</v>
      </c>
      <c r="X33" t="s">
        <v>0</v>
      </c>
      <c r="Y33" t="s">
        <v>0</v>
      </c>
      <c r="Z33" t="s">
        <v>0</v>
      </c>
      <c r="AA33" s="3"/>
      <c r="AB33" t="s">
        <v>0</v>
      </c>
      <c r="AC33" t="s">
        <v>0</v>
      </c>
      <c r="AD33" t="s">
        <v>0</v>
      </c>
      <c r="AE33" s="4">
        <v>0</v>
      </c>
    </row>
    <row r="34" spans="1:31" ht="14.1" customHeight="1" x14ac:dyDescent="0.2">
      <c r="A34" s="2" t="s">
        <v>0</v>
      </c>
      <c r="B34" t="s">
        <v>1</v>
      </c>
      <c r="C34" t="s">
        <v>220</v>
      </c>
      <c r="D34" s="3">
        <v>44273</v>
      </c>
      <c r="E34" s="3">
        <v>44273</v>
      </c>
      <c r="F34" s="3">
        <v>44280</v>
      </c>
      <c r="G34" t="s">
        <v>45</v>
      </c>
      <c r="H34" t="s">
        <v>6</v>
      </c>
      <c r="I34" s="4">
        <v>-15125400</v>
      </c>
      <c r="J34" t="s">
        <v>46</v>
      </c>
      <c r="K34" t="s">
        <v>6</v>
      </c>
      <c r="L34" s="4">
        <v>-15125400</v>
      </c>
      <c r="M34" s="4">
        <v>-180830.22</v>
      </c>
      <c r="N34" s="6" t="str">
        <f>IF(M34="","",IF(M34&lt;0,-M34&amp;"_"&amp;COUNTIF(M$2:M34,M34),M34&amp;"_"&amp;COUNTIF(M$2:M34,M34)))</f>
        <v>180830.22_1</v>
      </c>
      <c r="O34" s="14" t="str">
        <f t="shared" ref="O34:O58" si="1">IF(COUNTIF(N:N,N34)=2,"x","")</f>
        <v/>
      </c>
      <c r="P34" t="s">
        <v>221</v>
      </c>
      <c r="Q34" t="s">
        <v>225</v>
      </c>
      <c r="R34" t="s">
        <v>226</v>
      </c>
      <c r="S34" t="s">
        <v>0</v>
      </c>
      <c r="T34" t="s">
        <v>10</v>
      </c>
      <c r="U34" t="s">
        <v>224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s="3"/>
      <c r="AB34" t="s">
        <v>0</v>
      </c>
      <c r="AC34" t="s">
        <v>0</v>
      </c>
      <c r="AD34" t="s">
        <v>0</v>
      </c>
      <c r="AE34" s="4">
        <v>0</v>
      </c>
    </row>
    <row r="35" spans="1:31" ht="14.1" customHeight="1" x14ac:dyDescent="0.2">
      <c r="A35" s="2" t="s">
        <v>0</v>
      </c>
      <c r="B35" t="s">
        <v>1</v>
      </c>
      <c r="C35" t="s">
        <v>220</v>
      </c>
      <c r="D35" s="3">
        <v>44273</v>
      </c>
      <c r="E35" s="3">
        <v>44273</v>
      </c>
      <c r="F35" s="3">
        <v>44280</v>
      </c>
      <c r="G35" t="s">
        <v>45</v>
      </c>
      <c r="H35" t="s">
        <v>6</v>
      </c>
      <c r="I35" s="4">
        <v>-9268000</v>
      </c>
      <c r="J35" t="s">
        <v>46</v>
      </c>
      <c r="K35" t="s">
        <v>6</v>
      </c>
      <c r="L35" s="4">
        <v>-9268000</v>
      </c>
      <c r="M35" s="4">
        <v>-112026.56</v>
      </c>
      <c r="N35" s="6" t="str">
        <f>IF(M35="","",IF(M35&lt;0,-M35&amp;"_"&amp;COUNTIF(M$2:M35,M35),M35&amp;"_"&amp;COUNTIF(M$2:M35,M35)))</f>
        <v>112026.56_1</v>
      </c>
      <c r="O35" s="14" t="str">
        <f t="shared" si="1"/>
        <v/>
      </c>
      <c r="P35" t="s">
        <v>221</v>
      </c>
      <c r="Q35" t="s">
        <v>227</v>
      </c>
      <c r="R35" t="s">
        <v>228</v>
      </c>
      <c r="S35" t="s">
        <v>0</v>
      </c>
      <c r="T35" t="s">
        <v>10</v>
      </c>
      <c r="U35" t="s">
        <v>224</v>
      </c>
      <c r="V35" t="s">
        <v>0</v>
      </c>
      <c r="W35" t="s">
        <v>0</v>
      </c>
      <c r="X35" t="s">
        <v>0</v>
      </c>
      <c r="Y35" t="s">
        <v>0</v>
      </c>
      <c r="Z35" t="s">
        <v>0</v>
      </c>
      <c r="AA35" s="3"/>
      <c r="AB35" t="s">
        <v>0</v>
      </c>
      <c r="AC35" t="s">
        <v>0</v>
      </c>
      <c r="AD35" t="s">
        <v>0</v>
      </c>
      <c r="AE35" s="4">
        <v>0</v>
      </c>
    </row>
    <row r="36" spans="1:31" ht="14.1" customHeight="1" x14ac:dyDescent="0.2">
      <c r="A36" s="2" t="s">
        <v>0</v>
      </c>
      <c r="B36" t="s">
        <v>1</v>
      </c>
      <c r="C36" t="s">
        <v>229</v>
      </c>
      <c r="D36" s="3">
        <v>44273</v>
      </c>
      <c r="E36" s="3">
        <v>44273</v>
      </c>
      <c r="F36" s="3">
        <v>44280</v>
      </c>
      <c r="G36" t="s">
        <v>45</v>
      </c>
      <c r="H36" t="s">
        <v>6</v>
      </c>
      <c r="I36" s="4">
        <v>-2886900</v>
      </c>
      <c r="J36" t="s">
        <v>46</v>
      </c>
      <c r="K36" t="s">
        <v>6</v>
      </c>
      <c r="L36" s="4">
        <v>-2886900</v>
      </c>
      <c r="M36" s="4">
        <v>-35471.660000000003</v>
      </c>
      <c r="N36" s="6" t="str">
        <f>IF(M36="","",IF(M36&lt;0,-M36&amp;"_"&amp;COUNTIF(M$2:M36,M36),M36&amp;"_"&amp;COUNTIF(M$2:M36,M36)))</f>
        <v>35471.66_1</v>
      </c>
      <c r="O36" s="14" t="str">
        <f t="shared" si="1"/>
        <v/>
      </c>
      <c r="P36" t="s">
        <v>230</v>
      </c>
      <c r="Q36" t="s">
        <v>231</v>
      </c>
      <c r="R36" t="s">
        <v>232</v>
      </c>
      <c r="S36" t="s">
        <v>0</v>
      </c>
      <c r="T36" t="s">
        <v>10</v>
      </c>
      <c r="U36" t="s">
        <v>233</v>
      </c>
      <c r="V36" t="s">
        <v>0</v>
      </c>
      <c r="W36" t="s">
        <v>0</v>
      </c>
      <c r="X36" t="s">
        <v>0</v>
      </c>
      <c r="Y36" t="s">
        <v>0</v>
      </c>
      <c r="Z36" t="s">
        <v>0</v>
      </c>
      <c r="AA36" s="3"/>
      <c r="AB36" t="s">
        <v>0</v>
      </c>
      <c r="AC36" t="s">
        <v>0</v>
      </c>
      <c r="AD36" t="s">
        <v>0</v>
      </c>
      <c r="AE36" s="4">
        <v>0</v>
      </c>
    </row>
    <row r="37" spans="1:31" ht="14.1" customHeight="1" x14ac:dyDescent="0.2">
      <c r="A37" s="2" t="s">
        <v>0</v>
      </c>
      <c r="B37" t="s">
        <v>1</v>
      </c>
      <c r="C37" t="s">
        <v>229</v>
      </c>
      <c r="D37" s="3">
        <v>44273</v>
      </c>
      <c r="E37" s="3">
        <v>44273</v>
      </c>
      <c r="F37" s="3">
        <v>44280</v>
      </c>
      <c r="G37" t="s">
        <v>45</v>
      </c>
      <c r="H37" t="s">
        <v>6</v>
      </c>
      <c r="I37" s="4">
        <v>-5408800</v>
      </c>
      <c r="J37" t="s">
        <v>46</v>
      </c>
      <c r="K37" t="s">
        <v>6</v>
      </c>
      <c r="L37" s="4">
        <v>-5408800</v>
      </c>
      <c r="M37" s="4">
        <v>-64654.84</v>
      </c>
      <c r="N37" s="6" t="str">
        <f>IF(M37="","",IF(M37&lt;0,-M37&amp;"_"&amp;COUNTIF(M$2:M37,M37),M37&amp;"_"&amp;COUNTIF(M$2:M37,M37)))</f>
        <v>64654.84_1</v>
      </c>
      <c r="O37" s="14" t="str">
        <f t="shared" si="1"/>
        <v/>
      </c>
      <c r="P37" t="s">
        <v>230</v>
      </c>
      <c r="Q37" t="s">
        <v>234</v>
      </c>
      <c r="R37" t="s">
        <v>235</v>
      </c>
      <c r="S37" t="s">
        <v>0</v>
      </c>
      <c r="T37" t="s">
        <v>10</v>
      </c>
      <c r="U37" t="s">
        <v>233</v>
      </c>
      <c r="V37" t="s">
        <v>0</v>
      </c>
      <c r="W37" t="s">
        <v>0</v>
      </c>
      <c r="X37" t="s">
        <v>0</v>
      </c>
      <c r="Y37" t="s">
        <v>0</v>
      </c>
      <c r="Z37" t="s">
        <v>0</v>
      </c>
      <c r="AA37" s="3"/>
      <c r="AB37" t="s">
        <v>0</v>
      </c>
      <c r="AC37" t="s">
        <v>0</v>
      </c>
      <c r="AD37" t="s">
        <v>0</v>
      </c>
      <c r="AE37" s="4">
        <v>0</v>
      </c>
    </row>
    <row r="38" spans="1:31" ht="14.1" customHeight="1" x14ac:dyDescent="0.2">
      <c r="A38" s="2" t="s">
        <v>0</v>
      </c>
      <c r="B38" t="s">
        <v>1</v>
      </c>
      <c r="C38" t="s">
        <v>229</v>
      </c>
      <c r="D38" s="3">
        <v>44273</v>
      </c>
      <c r="E38" s="3">
        <v>44273</v>
      </c>
      <c r="F38" s="3">
        <v>44280</v>
      </c>
      <c r="G38" t="s">
        <v>45</v>
      </c>
      <c r="H38" t="s">
        <v>6</v>
      </c>
      <c r="I38" s="4">
        <v>-4138700</v>
      </c>
      <c r="J38" t="s">
        <v>46</v>
      </c>
      <c r="K38" t="s">
        <v>6</v>
      </c>
      <c r="L38" s="4">
        <v>-4138700</v>
      </c>
      <c r="M38" s="4">
        <v>-49806.86</v>
      </c>
      <c r="N38" s="6" t="str">
        <f>IF(M38="","",IF(M38&lt;0,-M38&amp;"_"&amp;COUNTIF(M$2:M38,M38),M38&amp;"_"&amp;COUNTIF(M$2:M38,M38)))</f>
        <v>49806.86_1</v>
      </c>
      <c r="O38" s="14" t="str">
        <f t="shared" si="1"/>
        <v/>
      </c>
      <c r="P38" t="s">
        <v>230</v>
      </c>
      <c r="Q38" t="s">
        <v>236</v>
      </c>
      <c r="R38" t="s">
        <v>237</v>
      </c>
      <c r="S38" t="s">
        <v>0</v>
      </c>
      <c r="T38" t="s">
        <v>10</v>
      </c>
      <c r="U38" t="s">
        <v>233</v>
      </c>
      <c r="V38" t="s">
        <v>0</v>
      </c>
      <c r="W38" t="s">
        <v>0</v>
      </c>
      <c r="X38" t="s">
        <v>0</v>
      </c>
      <c r="Y38" t="s">
        <v>0</v>
      </c>
      <c r="Z38" t="s">
        <v>0</v>
      </c>
      <c r="AA38" s="3"/>
      <c r="AB38" t="s">
        <v>0</v>
      </c>
      <c r="AC38" t="s">
        <v>0</v>
      </c>
      <c r="AD38" t="s">
        <v>0</v>
      </c>
      <c r="AE38" s="4">
        <v>0</v>
      </c>
    </row>
    <row r="39" spans="1:31" ht="14.1" customHeight="1" x14ac:dyDescent="0.2">
      <c r="A39" s="2" t="s">
        <v>0</v>
      </c>
      <c r="B39" t="s">
        <v>1</v>
      </c>
      <c r="C39" t="s">
        <v>238</v>
      </c>
      <c r="D39" s="3">
        <v>44286</v>
      </c>
      <c r="E39" s="3">
        <v>44286</v>
      </c>
      <c r="F39" s="3">
        <v>44293</v>
      </c>
      <c r="G39" t="s">
        <v>3</v>
      </c>
      <c r="H39" t="s">
        <v>4</v>
      </c>
      <c r="I39" s="4">
        <v>-37458</v>
      </c>
      <c r="J39" t="s">
        <v>5</v>
      </c>
      <c r="K39" t="s">
        <v>6</v>
      </c>
      <c r="L39" s="4">
        <v>-3144599.1</v>
      </c>
      <c r="M39" s="4">
        <v>-37458</v>
      </c>
      <c r="N39" s="6" t="str">
        <f>IF(M39="","",IF(M39&lt;0,-M39&amp;"_"&amp;COUNTIF(M$2:M39,M39),M39&amp;"_"&amp;COUNTIF(M$2:M39,M39)))</f>
        <v>37458_1</v>
      </c>
      <c r="O39" s="14" t="str">
        <f t="shared" si="1"/>
        <v/>
      </c>
      <c r="P39" t="s">
        <v>239</v>
      </c>
      <c r="Q39" t="s">
        <v>240</v>
      </c>
      <c r="R39" t="s">
        <v>241</v>
      </c>
      <c r="S39" t="s">
        <v>0</v>
      </c>
      <c r="T39" t="s">
        <v>10</v>
      </c>
      <c r="U39" t="s">
        <v>242</v>
      </c>
      <c r="V39" t="s">
        <v>12</v>
      </c>
      <c r="W39" t="s">
        <v>0</v>
      </c>
      <c r="X39" t="s">
        <v>12</v>
      </c>
      <c r="Y39" t="s">
        <v>0</v>
      </c>
      <c r="Z39" t="s">
        <v>0</v>
      </c>
      <c r="AA39" s="3"/>
      <c r="AB39" t="s">
        <v>0</v>
      </c>
      <c r="AC39" t="s">
        <v>0</v>
      </c>
      <c r="AD39" t="s">
        <v>0</v>
      </c>
      <c r="AE39" s="4">
        <v>0</v>
      </c>
    </row>
    <row r="40" spans="1:31" ht="14.1" customHeight="1" x14ac:dyDescent="0.2">
      <c r="A40" s="2" t="s">
        <v>0</v>
      </c>
      <c r="B40" t="s">
        <v>1</v>
      </c>
      <c r="C40" t="s">
        <v>243</v>
      </c>
      <c r="D40" s="3">
        <v>44286</v>
      </c>
      <c r="E40" s="3">
        <v>44286</v>
      </c>
      <c r="F40" s="3">
        <v>44293</v>
      </c>
      <c r="G40" t="s">
        <v>3</v>
      </c>
      <c r="H40" t="s">
        <v>4</v>
      </c>
      <c r="I40" s="4">
        <v>-68651</v>
      </c>
      <c r="J40" t="s">
        <v>5</v>
      </c>
      <c r="K40" t="s">
        <v>6</v>
      </c>
      <c r="L40" s="4">
        <v>-5763251.4500000002</v>
      </c>
      <c r="M40" s="4">
        <v>-68651</v>
      </c>
      <c r="N40" s="6" t="str">
        <f>IF(M40="","",IF(M40&lt;0,-M40&amp;"_"&amp;COUNTIF(M$2:M40,M40),M40&amp;"_"&amp;COUNTIF(M$2:M40,M40)))</f>
        <v>68651_1</v>
      </c>
      <c r="O40" s="14" t="str">
        <f t="shared" si="1"/>
        <v/>
      </c>
      <c r="P40" t="s">
        <v>244</v>
      </c>
      <c r="Q40" t="s">
        <v>245</v>
      </c>
      <c r="R40" t="s">
        <v>246</v>
      </c>
      <c r="S40" t="s">
        <v>0</v>
      </c>
      <c r="T40" t="s">
        <v>10</v>
      </c>
      <c r="U40" t="s">
        <v>247</v>
      </c>
      <c r="V40" t="s">
        <v>12</v>
      </c>
      <c r="W40" t="s">
        <v>0</v>
      </c>
      <c r="X40" t="s">
        <v>12</v>
      </c>
      <c r="Y40" t="s">
        <v>0</v>
      </c>
      <c r="Z40" t="s">
        <v>0</v>
      </c>
      <c r="AA40" s="3"/>
      <c r="AB40" t="s">
        <v>0</v>
      </c>
      <c r="AC40" t="s">
        <v>0</v>
      </c>
      <c r="AD40" t="s">
        <v>0</v>
      </c>
      <c r="AE40" s="4">
        <v>0</v>
      </c>
    </row>
    <row r="41" spans="1:31" ht="14.1" customHeight="1" x14ac:dyDescent="0.2">
      <c r="A41" s="2" t="s">
        <v>0</v>
      </c>
      <c r="B41" t="s">
        <v>1</v>
      </c>
      <c r="C41" t="s">
        <v>253</v>
      </c>
      <c r="D41" s="3">
        <v>44290</v>
      </c>
      <c r="E41" s="3">
        <v>44290</v>
      </c>
      <c r="F41" s="3">
        <v>44296</v>
      </c>
      <c r="G41" t="s">
        <v>45</v>
      </c>
      <c r="H41" t="s">
        <v>6</v>
      </c>
      <c r="I41" s="4">
        <v>-4121100</v>
      </c>
      <c r="J41" t="s">
        <v>46</v>
      </c>
      <c r="K41" t="s">
        <v>6</v>
      </c>
      <c r="L41" s="4">
        <v>-4121100</v>
      </c>
      <c r="M41" s="4">
        <v>-49597.49</v>
      </c>
      <c r="N41" s="6" t="str">
        <f>IF(M41="","",IF(M41&lt;0,-M41&amp;"_"&amp;COUNTIF(M$2:M41,M41),M41&amp;"_"&amp;COUNTIF(M$2:M41,M41)))</f>
        <v>49597.49_1</v>
      </c>
      <c r="O41" s="14" t="str">
        <f t="shared" si="1"/>
        <v/>
      </c>
      <c r="P41" t="s">
        <v>254</v>
      </c>
      <c r="Q41" t="s">
        <v>255</v>
      </c>
      <c r="R41" t="s">
        <v>256</v>
      </c>
      <c r="S41" t="s">
        <v>0</v>
      </c>
      <c r="T41" t="s">
        <v>10</v>
      </c>
      <c r="U41" t="s">
        <v>257</v>
      </c>
      <c r="V41" t="s">
        <v>0</v>
      </c>
      <c r="W41" t="s">
        <v>0</v>
      </c>
      <c r="X41" t="s">
        <v>0</v>
      </c>
      <c r="Y41" t="s">
        <v>0</v>
      </c>
      <c r="Z41" t="s">
        <v>0</v>
      </c>
      <c r="AA41" s="3"/>
      <c r="AB41" t="s">
        <v>0</v>
      </c>
      <c r="AC41" t="s">
        <v>0</v>
      </c>
      <c r="AD41" t="s">
        <v>0</v>
      </c>
      <c r="AE41" s="4">
        <v>0</v>
      </c>
    </row>
    <row r="42" spans="1:31" ht="14.1" customHeight="1" x14ac:dyDescent="0.2">
      <c r="A42" s="2" t="s">
        <v>0</v>
      </c>
      <c r="B42" t="s">
        <v>1</v>
      </c>
      <c r="C42" t="s">
        <v>258</v>
      </c>
      <c r="D42" s="3">
        <v>44292</v>
      </c>
      <c r="E42" s="3">
        <v>44292</v>
      </c>
      <c r="F42" s="3">
        <v>44296</v>
      </c>
      <c r="G42" t="s">
        <v>45</v>
      </c>
      <c r="H42" t="s">
        <v>6</v>
      </c>
      <c r="I42" s="4">
        <v>-1884000</v>
      </c>
      <c r="J42" t="s">
        <v>46</v>
      </c>
      <c r="K42" t="s">
        <v>6</v>
      </c>
      <c r="L42" s="4">
        <v>-1884000</v>
      </c>
      <c r="M42" s="4">
        <v>-22586.01</v>
      </c>
      <c r="N42" s="6" t="str">
        <f>IF(M42="","",IF(M42&lt;0,-M42&amp;"_"&amp;COUNTIF(M$2:M42,M42),M42&amp;"_"&amp;COUNTIF(M$2:M42,M42)))</f>
        <v>22586.01_1</v>
      </c>
      <c r="O42" s="14" t="str">
        <f t="shared" si="1"/>
        <v/>
      </c>
      <c r="P42" t="s">
        <v>259</v>
      </c>
      <c r="Q42" t="s">
        <v>231</v>
      </c>
      <c r="R42" t="s">
        <v>67</v>
      </c>
      <c r="S42" t="s">
        <v>0</v>
      </c>
      <c r="T42" t="s">
        <v>10</v>
      </c>
      <c r="U42" t="s">
        <v>260</v>
      </c>
      <c r="V42" t="s">
        <v>0</v>
      </c>
      <c r="W42" t="s">
        <v>0</v>
      </c>
      <c r="X42" t="s">
        <v>0</v>
      </c>
      <c r="Y42" t="s">
        <v>0</v>
      </c>
      <c r="Z42" t="s">
        <v>0</v>
      </c>
      <c r="AA42" s="3"/>
      <c r="AB42" t="s">
        <v>0</v>
      </c>
      <c r="AC42" t="s">
        <v>0</v>
      </c>
      <c r="AD42" t="s">
        <v>0</v>
      </c>
      <c r="AE42" s="4">
        <v>0</v>
      </c>
    </row>
    <row r="43" spans="1:31" ht="14.1" customHeight="1" x14ac:dyDescent="0.2">
      <c r="A43" s="2" t="s">
        <v>0</v>
      </c>
      <c r="B43" t="s">
        <v>1</v>
      </c>
      <c r="C43" t="s">
        <v>261</v>
      </c>
      <c r="D43" s="3">
        <v>44316</v>
      </c>
      <c r="E43" s="3">
        <v>44316</v>
      </c>
      <c r="F43" s="3">
        <v>44322</v>
      </c>
      <c r="G43" t="s">
        <v>3</v>
      </c>
      <c r="H43" t="s">
        <v>4</v>
      </c>
      <c r="I43" s="4">
        <v>-32853</v>
      </c>
      <c r="J43" t="s">
        <v>5</v>
      </c>
      <c r="K43" t="s">
        <v>6</v>
      </c>
      <c r="L43" s="4">
        <v>-2758009.35</v>
      </c>
      <c r="M43" s="4">
        <v>-32853</v>
      </c>
      <c r="N43" s="6" t="str">
        <f>IF(M43="","",IF(M43&lt;0,-M43&amp;"_"&amp;COUNTIF(M$2:M43,M43),M43&amp;"_"&amp;COUNTIF(M$2:M43,M43)))</f>
        <v>32853_1</v>
      </c>
      <c r="O43" s="14" t="str">
        <f t="shared" si="1"/>
        <v/>
      </c>
      <c r="P43" t="s">
        <v>262</v>
      </c>
      <c r="Q43" t="s">
        <v>263</v>
      </c>
      <c r="R43" t="s">
        <v>264</v>
      </c>
      <c r="S43" t="s">
        <v>0</v>
      </c>
      <c r="T43" t="s">
        <v>10</v>
      </c>
      <c r="U43" t="s">
        <v>265</v>
      </c>
      <c r="V43" t="s">
        <v>12</v>
      </c>
      <c r="W43" t="s">
        <v>0</v>
      </c>
      <c r="X43" t="s">
        <v>12</v>
      </c>
      <c r="Y43" t="s">
        <v>0</v>
      </c>
      <c r="Z43" t="s">
        <v>0</v>
      </c>
      <c r="AA43" s="3"/>
      <c r="AB43" t="s">
        <v>0</v>
      </c>
      <c r="AC43" t="s">
        <v>0</v>
      </c>
      <c r="AD43" t="s">
        <v>0</v>
      </c>
      <c r="AE43" s="4">
        <v>0</v>
      </c>
    </row>
    <row r="44" spans="1:31" ht="14.1" customHeight="1" x14ac:dyDescent="0.2">
      <c r="A44" s="2" t="s">
        <v>0</v>
      </c>
      <c r="B44" t="s">
        <v>1</v>
      </c>
      <c r="C44" t="s">
        <v>266</v>
      </c>
      <c r="D44" s="3">
        <v>44316</v>
      </c>
      <c r="E44" s="3">
        <v>44316</v>
      </c>
      <c r="F44" s="3">
        <v>44322</v>
      </c>
      <c r="G44" t="s">
        <v>3</v>
      </c>
      <c r="H44" t="s">
        <v>4</v>
      </c>
      <c r="I44" s="4">
        <v>-23889</v>
      </c>
      <c r="J44" t="s">
        <v>5</v>
      </c>
      <c r="K44" t="s">
        <v>6</v>
      </c>
      <c r="L44" s="4">
        <v>-2005481.55</v>
      </c>
      <c r="M44" s="4">
        <v>-23889</v>
      </c>
      <c r="N44" s="6" t="str">
        <f>IF(M44="","",IF(M44&lt;0,-M44&amp;"_"&amp;COUNTIF(M$2:M44,M44),M44&amp;"_"&amp;COUNTIF(M$2:M44,M44)))</f>
        <v>23889_1</v>
      </c>
      <c r="O44" s="14" t="str">
        <f t="shared" si="1"/>
        <v/>
      </c>
      <c r="P44" t="s">
        <v>262</v>
      </c>
      <c r="Q44" t="s">
        <v>263</v>
      </c>
      <c r="R44" t="s">
        <v>264</v>
      </c>
      <c r="S44" t="s">
        <v>0</v>
      </c>
      <c r="T44" t="s">
        <v>10</v>
      </c>
      <c r="U44" t="s">
        <v>267</v>
      </c>
      <c r="V44" t="s">
        <v>12</v>
      </c>
      <c r="W44" t="s">
        <v>0</v>
      </c>
      <c r="X44" t="s">
        <v>12</v>
      </c>
      <c r="Y44" t="s">
        <v>0</v>
      </c>
      <c r="Z44" t="s">
        <v>0</v>
      </c>
      <c r="AA44" s="3"/>
      <c r="AB44" t="s">
        <v>0</v>
      </c>
      <c r="AC44" t="s">
        <v>0</v>
      </c>
      <c r="AD44" t="s">
        <v>0</v>
      </c>
      <c r="AE44" s="4">
        <v>0</v>
      </c>
    </row>
    <row r="45" spans="1:31" ht="14.1" customHeight="1" x14ac:dyDescent="0.2">
      <c r="A45" s="2" t="s">
        <v>0</v>
      </c>
      <c r="B45" t="s">
        <v>1</v>
      </c>
      <c r="C45" t="s">
        <v>268</v>
      </c>
      <c r="D45" s="3">
        <v>44316</v>
      </c>
      <c r="E45" s="3">
        <v>44316</v>
      </c>
      <c r="F45" s="3">
        <v>44322</v>
      </c>
      <c r="G45" t="s">
        <v>3</v>
      </c>
      <c r="H45" t="s">
        <v>4</v>
      </c>
      <c r="I45" s="4">
        <v>-18290</v>
      </c>
      <c r="J45" t="s">
        <v>5</v>
      </c>
      <c r="K45" t="s">
        <v>6</v>
      </c>
      <c r="L45" s="4">
        <v>-1535445.5</v>
      </c>
      <c r="M45" s="4">
        <v>-18290</v>
      </c>
      <c r="N45" s="6" t="str">
        <f>IF(M45="","",IF(M45&lt;0,-M45&amp;"_"&amp;COUNTIF(M$2:M45,M45),M45&amp;"_"&amp;COUNTIF(M$2:M45,M45)))</f>
        <v>18290_1</v>
      </c>
      <c r="O45" s="14" t="str">
        <f t="shared" si="1"/>
        <v/>
      </c>
      <c r="P45" t="s">
        <v>262</v>
      </c>
      <c r="Q45" t="s">
        <v>263</v>
      </c>
      <c r="R45" t="s">
        <v>269</v>
      </c>
      <c r="S45" t="s">
        <v>0</v>
      </c>
      <c r="T45" t="s">
        <v>10</v>
      </c>
      <c r="U45" t="s">
        <v>265</v>
      </c>
      <c r="V45" t="s">
        <v>12</v>
      </c>
      <c r="W45" t="s">
        <v>0</v>
      </c>
      <c r="X45" t="s">
        <v>12</v>
      </c>
      <c r="Y45" t="s">
        <v>0</v>
      </c>
      <c r="Z45" t="s">
        <v>0</v>
      </c>
      <c r="AA45" s="3"/>
      <c r="AB45" t="s">
        <v>0</v>
      </c>
      <c r="AC45" t="s">
        <v>0</v>
      </c>
      <c r="AD45" t="s">
        <v>0</v>
      </c>
      <c r="AE45" s="4">
        <v>0</v>
      </c>
    </row>
    <row r="46" spans="1:31" ht="14.1" customHeight="1" x14ac:dyDescent="0.2">
      <c r="A46" s="2" t="s">
        <v>0</v>
      </c>
      <c r="B46" t="s">
        <v>1</v>
      </c>
      <c r="C46" t="s">
        <v>270</v>
      </c>
      <c r="D46" s="3">
        <v>44316</v>
      </c>
      <c r="E46" s="3">
        <v>44316</v>
      </c>
      <c r="F46" s="3">
        <v>44322</v>
      </c>
      <c r="G46" t="s">
        <v>3</v>
      </c>
      <c r="H46" t="s">
        <v>4</v>
      </c>
      <c r="I46" s="4">
        <v>-9200</v>
      </c>
      <c r="J46" t="s">
        <v>5</v>
      </c>
      <c r="K46" t="s">
        <v>6</v>
      </c>
      <c r="L46" s="4">
        <v>-772340</v>
      </c>
      <c r="M46" s="4">
        <v>-9200</v>
      </c>
      <c r="N46" s="6" t="str">
        <f>IF(M46="","",IF(M46&lt;0,-M46&amp;"_"&amp;COUNTIF(M$2:M46,M46),M46&amp;"_"&amp;COUNTIF(M$2:M46,M46)))</f>
        <v>9200_1</v>
      </c>
      <c r="O46" s="14" t="str">
        <f t="shared" si="1"/>
        <v/>
      </c>
      <c r="P46" t="s">
        <v>262</v>
      </c>
      <c r="Q46" t="s">
        <v>263</v>
      </c>
      <c r="R46" t="s">
        <v>269</v>
      </c>
      <c r="S46" t="s">
        <v>0</v>
      </c>
      <c r="T46" t="s">
        <v>10</v>
      </c>
      <c r="U46" t="s">
        <v>267</v>
      </c>
      <c r="V46" t="s">
        <v>12</v>
      </c>
      <c r="W46" t="s">
        <v>0</v>
      </c>
      <c r="X46" t="s">
        <v>12</v>
      </c>
      <c r="Y46" t="s">
        <v>0</v>
      </c>
      <c r="Z46" t="s">
        <v>0</v>
      </c>
      <c r="AA46" s="3"/>
      <c r="AB46" t="s">
        <v>0</v>
      </c>
      <c r="AC46" t="s">
        <v>0</v>
      </c>
      <c r="AD46" t="s">
        <v>0</v>
      </c>
      <c r="AE46" s="4">
        <v>0</v>
      </c>
    </row>
    <row r="47" spans="1:31" x14ac:dyDescent="0.2">
      <c r="A47" s="2" t="s">
        <v>0</v>
      </c>
      <c r="B47" t="s">
        <v>1</v>
      </c>
      <c r="C47" t="s">
        <v>306</v>
      </c>
      <c r="D47" s="3">
        <v>44325</v>
      </c>
      <c r="E47" s="3">
        <v>44325</v>
      </c>
      <c r="F47" s="3">
        <v>44338</v>
      </c>
      <c r="G47" t="s">
        <v>45</v>
      </c>
      <c r="H47" t="s">
        <v>6</v>
      </c>
      <c r="I47" s="4">
        <v>-1772400</v>
      </c>
      <c r="J47" t="s">
        <v>46</v>
      </c>
      <c r="K47" t="s">
        <v>6</v>
      </c>
      <c r="L47" s="4">
        <v>-1772400</v>
      </c>
      <c r="M47" s="4">
        <v>-21203.38</v>
      </c>
      <c r="N47" s="6" t="str">
        <f>IF(M47="","",IF(M47&lt;0,-M47&amp;"_"&amp;COUNTIF(M$2:M47,M47),M47&amp;"_"&amp;COUNTIF(M$2:M47,M47)))</f>
        <v>21203.38_1</v>
      </c>
      <c r="O47" s="14" t="str">
        <f t="shared" si="1"/>
        <v/>
      </c>
      <c r="P47" t="s">
        <v>307</v>
      </c>
      <c r="Q47" t="s">
        <v>231</v>
      </c>
      <c r="R47" t="s">
        <v>67</v>
      </c>
      <c r="S47" t="s">
        <v>0</v>
      </c>
      <c r="T47" t="s">
        <v>10</v>
      </c>
      <c r="U47" t="s">
        <v>308</v>
      </c>
      <c r="V47" t="s">
        <v>0</v>
      </c>
      <c r="W47" t="s">
        <v>0</v>
      </c>
      <c r="X47" t="s">
        <v>0</v>
      </c>
      <c r="Y47" t="s">
        <v>309</v>
      </c>
      <c r="Z47" t="s">
        <v>0</v>
      </c>
      <c r="AA47" s="3"/>
      <c r="AB47" t="s">
        <v>0</v>
      </c>
      <c r="AC47" t="s">
        <v>0</v>
      </c>
      <c r="AD47" t="s">
        <v>0</v>
      </c>
      <c r="AE47" s="4">
        <v>0</v>
      </c>
    </row>
    <row r="48" spans="1:31" x14ac:dyDescent="0.2">
      <c r="A48" s="2" t="s">
        <v>0</v>
      </c>
      <c r="B48" t="s">
        <v>1</v>
      </c>
      <c r="C48" t="s">
        <v>306</v>
      </c>
      <c r="D48" s="3">
        <v>44325</v>
      </c>
      <c r="E48" s="3">
        <v>44325</v>
      </c>
      <c r="F48" s="3">
        <v>44338</v>
      </c>
      <c r="G48" t="s">
        <v>45</v>
      </c>
      <c r="H48" t="s">
        <v>6</v>
      </c>
      <c r="I48" s="4">
        <v>-455400</v>
      </c>
      <c r="J48" t="s">
        <v>46</v>
      </c>
      <c r="K48" t="s">
        <v>6</v>
      </c>
      <c r="L48" s="4">
        <v>-455400</v>
      </c>
      <c r="M48" s="4">
        <v>-5446.68</v>
      </c>
      <c r="N48" s="6" t="str">
        <f>IF(M48="","",IF(M48&lt;0,-M48&amp;"_"&amp;COUNTIF(M$2:M48,M48),M48&amp;"_"&amp;COUNTIF(M$2:M48,M48)))</f>
        <v>5446.68_1</v>
      </c>
      <c r="O48" s="14" t="str">
        <f t="shared" si="1"/>
        <v/>
      </c>
      <c r="P48" t="s">
        <v>307</v>
      </c>
      <c r="Q48" t="s">
        <v>310</v>
      </c>
      <c r="R48" t="s">
        <v>311</v>
      </c>
      <c r="S48" t="s">
        <v>0</v>
      </c>
      <c r="T48" t="s">
        <v>10</v>
      </c>
      <c r="U48" t="s">
        <v>308</v>
      </c>
      <c r="V48" t="s">
        <v>0</v>
      </c>
      <c r="W48" t="s">
        <v>0</v>
      </c>
      <c r="X48" t="s">
        <v>0</v>
      </c>
      <c r="Y48" t="s">
        <v>309</v>
      </c>
      <c r="Z48" t="s">
        <v>0</v>
      </c>
      <c r="AA48" s="3"/>
      <c r="AB48" t="s">
        <v>0</v>
      </c>
      <c r="AC48" t="s">
        <v>0</v>
      </c>
      <c r="AD48" t="s">
        <v>0</v>
      </c>
      <c r="AE48" s="4">
        <v>0</v>
      </c>
    </row>
    <row r="49" spans="1:31" x14ac:dyDescent="0.2">
      <c r="A49" s="2" t="s">
        <v>0</v>
      </c>
      <c r="B49" t="s">
        <v>1</v>
      </c>
      <c r="C49" t="s">
        <v>312</v>
      </c>
      <c r="D49" s="3">
        <v>44325</v>
      </c>
      <c r="E49" s="3">
        <v>44325</v>
      </c>
      <c r="F49" s="3">
        <v>44340</v>
      </c>
      <c r="G49" t="s">
        <v>45</v>
      </c>
      <c r="H49" t="s">
        <v>6</v>
      </c>
      <c r="I49" s="4">
        <v>-6668800</v>
      </c>
      <c r="J49" t="s">
        <v>46</v>
      </c>
      <c r="K49" t="s">
        <v>6</v>
      </c>
      <c r="L49" s="4">
        <v>-6668800</v>
      </c>
      <c r="M49" s="4">
        <v>-79669.05</v>
      </c>
      <c r="N49" s="6" t="str">
        <f>IF(M49="","",IF(M49&lt;0,-M49&amp;"_"&amp;COUNTIF(M$2:M49,M49),M49&amp;"_"&amp;COUNTIF(M$2:M49,M49)))</f>
        <v>79669.05_1</v>
      </c>
      <c r="O49" s="14" t="str">
        <f t="shared" si="1"/>
        <v/>
      </c>
      <c r="P49" t="s">
        <v>313</v>
      </c>
      <c r="Q49" t="s">
        <v>314</v>
      </c>
      <c r="R49" t="s">
        <v>315</v>
      </c>
      <c r="S49" t="s">
        <v>0</v>
      </c>
      <c r="T49" t="s">
        <v>10</v>
      </c>
      <c r="U49" t="s">
        <v>316</v>
      </c>
      <c r="V49" t="s">
        <v>0</v>
      </c>
      <c r="W49" t="s">
        <v>0</v>
      </c>
      <c r="X49" t="s">
        <v>0</v>
      </c>
      <c r="Y49" t="s">
        <v>309</v>
      </c>
      <c r="Z49" t="s">
        <v>0</v>
      </c>
      <c r="AA49" s="3"/>
      <c r="AB49" t="s">
        <v>0</v>
      </c>
      <c r="AC49" t="s">
        <v>0</v>
      </c>
      <c r="AD49" t="s">
        <v>0</v>
      </c>
      <c r="AE49" s="4">
        <v>0</v>
      </c>
    </row>
    <row r="50" spans="1:31" x14ac:dyDescent="0.2">
      <c r="A50" s="2" t="s">
        <v>0</v>
      </c>
      <c r="B50" t="s">
        <v>1</v>
      </c>
      <c r="C50" t="s">
        <v>312</v>
      </c>
      <c r="D50" s="3">
        <v>44325</v>
      </c>
      <c r="E50" s="3">
        <v>44325</v>
      </c>
      <c r="F50" s="3">
        <v>44340</v>
      </c>
      <c r="G50" t="s">
        <v>45</v>
      </c>
      <c r="H50" t="s">
        <v>6</v>
      </c>
      <c r="I50" s="4">
        <v>-482900</v>
      </c>
      <c r="J50" t="s">
        <v>46</v>
      </c>
      <c r="K50" t="s">
        <v>6</v>
      </c>
      <c r="L50" s="4">
        <v>-482900</v>
      </c>
      <c r="M50" s="4">
        <v>-5808.33</v>
      </c>
      <c r="N50" s="6" t="str">
        <f>IF(M50="","",IF(M50&lt;0,-M50&amp;"_"&amp;COUNTIF(M$2:M50,M50),M50&amp;"_"&amp;COUNTIF(M$2:M50,M50)))</f>
        <v>5808.33_1</v>
      </c>
      <c r="O50" s="14" t="str">
        <f t="shared" si="1"/>
        <v/>
      </c>
      <c r="P50" t="s">
        <v>313</v>
      </c>
      <c r="Q50" t="s">
        <v>317</v>
      </c>
      <c r="R50" t="s">
        <v>318</v>
      </c>
      <c r="S50" t="s">
        <v>0</v>
      </c>
      <c r="T50" t="s">
        <v>10</v>
      </c>
      <c r="U50" t="s">
        <v>316</v>
      </c>
      <c r="V50" t="s">
        <v>0</v>
      </c>
      <c r="W50" t="s">
        <v>0</v>
      </c>
      <c r="X50" t="s">
        <v>0</v>
      </c>
      <c r="Y50" t="s">
        <v>309</v>
      </c>
      <c r="Z50" t="s">
        <v>0</v>
      </c>
      <c r="AA50" s="3"/>
      <c r="AB50" t="s">
        <v>0</v>
      </c>
      <c r="AC50" t="s">
        <v>0</v>
      </c>
      <c r="AD50" t="s">
        <v>0</v>
      </c>
      <c r="AE50" s="4">
        <v>0</v>
      </c>
    </row>
    <row r="51" spans="1:31" x14ac:dyDescent="0.2">
      <c r="A51" s="2" t="s">
        <v>0</v>
      </c>
      <c r="B51" t="s">
        <v>1</v>
      </c>
      <c r="C51" t="s">
        <v>319</v>
      </c>
      <c r="D51" s="3">
        <v>44347</v>
      </c>
      <c r="E51" s="3">
        <v>44347</v>
      </c>
      <c r="F51" s="3">
        <v>44355</v>
      </c>
      <c r="G51" t="s">
        <v>3</v>
      </c>
      <c r="H51" t="s">
        <v>4</v>
      </c>
      <c r="I51" s="4">
        <v>-38607</v>
      </c>
      <c r="J51" t="s">
        <v>5</v>
      </c>
      <c r="K51" t="s">
        <v>6</v>
      </c>
      <c r="L51" s="4">
        <v>-3241057.65</v>
      </c>
      <c r="M51" s="4">
        <v>-38607</v>
      </c>
      <c r="N51" s="6" t="str">
        <f>IF(M51="","",IF(M51&lt;0,-M51&amp;"_"&amp;COUNTIF(M$2:M51,M51),M51&amp;"_"&amp;COUNTIF(M$2:M51,M51)))</f>
        <v>38607_1</v>
      </c>
      <c r="O51" s="14" t="str">
        <f t="shared" si="1"/>
        <v/>
      </c>
      <c r="P51" t="s">
        <v>320</v>
      </c>
      <c r="Q51" t="s">
        <v>321</v>
      </c>
      <c r="R51" t="s">
        <v>322</v>
      </c>
      <c r="S51" t="s">
        <v>0</v>
      </c>
      <c r="T51" t="s">
        <v>10</v>
      </c>
      <c r="U51" t="s">
        <v>323</v>
      </c>
      <c r="V51" t="s">
        <v>12</v>
      </c>
      <c r="W51" t="s">
        <v>0</v>
      </c>
      <c r="X51" t="s">
        <v>12</v>
      </c>
      <c r="Y51" t="s">
        <v>0</v>
      </c>
      <c r="Z51" t="s">
        <v>0</v>
      </c>
      <c r="AA51" s="3"/>
      <c r="AB51" t="s">
        <v>0</v>
      </c>
      <c r="AC51" t="s">
        <v>0</v>
      </c>
      <c r="AD51" t="s">
        <v>0</v>
      </c>
      <c r="AE51" s="4">
        <v>0</v>
      </c>
    </row>
    <row r="52" spans="1:31" x14ac:dyDescent="0.2">
      <c r="A52" s="2" t="s">
        <v>0</v>
      </c>
      <c r="B52" t="s">
        <v>1</v>
      </c>
      <c r="C52" t="s">
        <v>324</v>
      </c>
      <c r="D52" s="3">
        <v>44347</v>
      </c>
      <c r="E52" s="3">
        <v>44347</v>
      </c>
      <c r="F52" s="3">
        <v>44355</v>
      </c>
      <c r="G52" t="s">
        <v>3</v>
      </c>
      <c r="H52" t="s">
        <v>4</v>
      </c>
      <c r="I52" s="4">
        <v>-81117</v>
      </c>
      <c r="J52" t="s">
        <v>5</v>
      </c>
      <c r="K52" t="s">
        <v>6</v>
      </c>
      <c r="L52" s="4">
        <v>-6809772.1500000004</v>
      </c>
      <c r="M52" s="4">
        <v>-81117</v>
      </c>
      <c r="N52" s="6" t="str">
        <f>IF(M52="","",IF(M52&lt;0,-M52&amp;"_"&amp;COUNTIF(M$2:M52,M52),M52&amp;"_"&amp;COUNTIF(M$2:M52,M52)))</f>
        <v>81117_1</v>
      </c>
      <c r="O52" s="14" t="str">
        <f t="shared" si="1"/>
        <v/>
      </c>
      <c r="P52" t="s">
        <v>320</v>
      </c>
      <c r="Q52" t="s">
        <v>321</v>
      </c>
      <c r="R52" t="s">
        <v>325</v>
      </c>
      <c r="S52" t="s">
        <v>0</v>
      </c>
      <c r="T52" t="s">
        <v>10</v>
      </c>
      <c r="U52" t="s">
        <v>326</v>
      </c>
      <c r="V52" t="s">
        <v>12</v>
      </c>
      <c r="W52" t="s">
        <v>0</v>
      </c>
      <c r="X52" t="s">
        <v>12</v>
      </c>
      <c r="Y52" t="s">
        <v>0</v>
      </c>
      <c r="Z52" t="s">
        <v>0</v>
      </c>
      <c r="AA52" s="3"/>
      <c r="AB52" t="s">
        <v>0</v>
      </c>
      <c r="AC52" t="s">
        <v>0</v>
      </c>
      <c r="AD52" t="s">
        <v>0</v>
      </c>
      <c r="AE52" s="4">
        <v>0</v>
      </c>
    </row>
    <row r="53" spans="1:31" x14ac:dyDescent="0.2">
      <c r="A53" s="2" t="s">
        <v>0</v>
      </c>
      <c r="B53" t="s">
        <v>1</v>
      </c>
      <c r="C53" t="s">
        <v>327</v>
      </c>
      <c r="D53" s="3">
        <v>44347</v>
      </c>
      <c r="E53" s="3">
        <v>44347</v>
      </c>
      <c r="F53" s="3">
        <v>44355</v>
      </c>
      <c r="G53" t="s">
        <v>3</v>
      </c>
      <c r="H53" t="s">
        <v>4</v>
      </c>
      <c r="I53" s="4">
        <v>-17742</v>
      </c>
      <c r="J53" t="s">
        <v>5</v>
      </c>
      <c r="K53" t="s">
        <v>6</v>
      </c>
      <c r="L53" s="4">
        <v>-1489440.9</v>
      </c>
      <c r="M53" s="4">
        <v>-17742</v>
      </c>
      <c r="N53" s="6" t="str">
        <f>IF(M53="","",IF(M53&lt;0,-M53&amp;"_"&amp;COUNTIF(M$2:M53,M53),M53&amp;"_"&amp;COUNTIF(M$2:M53,M53)))</f>
        <v>17742_1</v>
      </c>
      <c r="O53" s="14" t="str">
        <f t="shared" si="1"/>
        <v/>
      </c>
      <c r="P53" t="s">
        <v>320</v>
      </c>
      <c r="Q53" t="s">
        <v>328</v>
      </c>
      <c r="R53" t="s">
        <v>329</v>
      </c>
      <c r="S53" t="s">
        <v>0</v>
      </c>
      <c r="T53" t="s">
        <v>10</v>
      </c>
      <c r="U53" t="s">
        <v>323</v>
      </c>
      <c r="V53" t="s">
        <v>12</v>
      </c>
      <c r="W53" t="s">
        <v>0</v>
      </c>
      <c r="X53" t="s">
        <v>12</v>
      </c>
      <c r="Y53" t="s">
        <v>0</v>
      </c>
      <c r="Z53" t="s">
        <v>0</v>
      </c>
      <c r="AA53" s="3"/>
      <c r="AB53" t="s">
        <v>0</v>
      </c>
      <c r="AC53" t="s">
        <v>0</v>
      </c>
      <c r="AD53" t="s">
        <v>0</v>
      </c>
      <c r="AE53" s="4">
        <v>0</v>
      </c>
    </row>
    <row r="54" spans="1:31" x14ac:dyDescent="0.2">
      <c r="A54" s="2" t="s">
        <v>0</v>
      </c>
      <c r="B54" t="s">
        <v>1</v>
      </c>
      <c r="C54" t="s">
        <v>330</v>
      </c>
      <c r="D54" s="3">
        <v>44347</v>
      </c>
      <c r="E54" s="3">
        <v>44347</v>
      </c>
      <c r="F54" s="3">
        <v>44355</v>
      </c>
      <c r="G54" t="s">
        <v>3</v>
      </c>
      <c r="H54" t="s">
        <v>4</v>
      </c>
      <c r="I54" s="4">
        <v>-37235</v>
      </c>
      <c r="J54" t="s">
        <v>5</v>
      </c>
      <c r="K54" t="s">
        <v>6</v>
      </c>
      <c r="L54" s="4">
        <v>-3125878.25</v>
      </c>
      <c r="M54" s="4">
        <v>-37235</v>
      </c>
      <c r="N54" s="6" t="str">
        <f>IF(M54="","",IF(M54&lt;0,-M54&amp;"_"&amp;COUNTIF(M$2:M54,M54),M54&amp;"_"&amp;COUNTIF(M$2:M54,M54)))</f>
        <v>37235_1</v>
      </c>
      <c r="O54" s="14" t="str">
        <f t="shared" si="1"/>
        <v/>
      </c>
      <c r="P54" t="s">
        <v>320</v>
      </c>
      <c r="Q54" t="s">
        <v>328</v>
      </c>
      <c r="R54" t="s">
        <v>331</v>
      </c>
      <c r="S54" t="s">
        <v>0</v>
      </c>
      <c r="T54" t="s">
        <v>10</v>
      </c>
      <c r="U54" t="s">
        <v>332</v>
      </c>
      <c r="V54" t="s">
        <v>12</v>
      </c>
      <c r="W54" t="s">
        <v>0</v>
      </c>
      <c r="X54" t="s">
        <v>12</v>
      </c>
      <c r="Y54" t="s">
        <v>0</v>
      </c>
      <c r="Z54" t="s">
        <v>0</v>
      </c>
      <c r="AA54" s="3"/>
      <c r="AB54" t="s">
        <v>0</v>
      </c>
      <c r="AC54" t="s">
        <v>0</v>
      </c>
      <c r="AD54" t="s">
        <v>0</v>
      </c>
      <c r="AE54" s="4">
        <v>0</v>
      </c>
    </row>
    <row r="55" spans="1:31" x14ac:dyDescent="0.2">
      <c r="A55" s="2" t="s">
        <v>0</v>
      </c>
      <c r="B55" t="s">
        <v>1</v>
      </c>
      <c r="C55" t="s">
        <v>333</v>
      </c>
      <c r="D55" s="3">
        <v>44377</v>
      </c>
      <c r="E55" s="3">
        <v>44377</v>
      </c>
      <c r="F55" s="3">
        <v>44386</v>
      </c>
      <c r="G55" t="s">
        <v>3</v>
      </c>
      <c r="H55" t="s">
        <v>4</v>
      </c>
      <c r="I55" s="4">
        <v>-44864</v>
      </c>
      <c r="J55" t="s">
        <v>5</v>
      </c>
      <c r="K55" t="s">
        <v>6</v>
      </c>
      <c r="L55" s="4">
        <v>-3766332.8</v>
      </c>
      <c r="M55" s="4">
        <v>-44864</v>
      </c>
      <c r="N55" s="6" t="str">
        <f>IF(M55="","",IF(M55&lt;0,-M55&amp;"_"&amp;COUNTIF(M$2:M55,M55),M55&amp;"_"&amp;COUNTIF(M$2:M55,M55)))</f>
        <v>44864_1</v>
      </c>
      <c r="O55" s="14" t="str">
        <f t="shared" si="1"/>
        <v/>
      </c>
      <c r="P55" t="s">
        <v>334</v>
      </c>
      <c r="Q55" t="s">
        <v>335</v>
      </c>
      <c r="R55" t="s">
        <v>336</v>
      </c>
      <c r="S55" t="s">
        <v>0</v>
      </c>
      <c r="T55" t="s">
        <v>10</v>
      </c>
      <c r="U55" t="s">
        <v>323</v>
      </c>
      <c r="V55" t="s">
        <v>12</v>
      </c>
      <c r="W55" t="s">
        <v>0</v>
      </c>
      <c r="X55" t="s">
        <v>12</v>
      </c>
      <c r="Y55" t="s">
        <v>0</v>
      </c>
      <c r="Z55" t="s">
        <v>0</v>
      </c>
      <c r="AA55" s="3"/>
      <c r="AB55" t="s">
        <v>0</v>
      </c>
      <c r="AC55" t="s">
        <v>0</v>
      </c>
      <c r="AD55" t="s">
        <v>0</v>
      </c>
      <c r="AE55" s="4">
        <v>0</v>
      </c>
    </row>
    <row r="56" spans="1:31" x14ac:dyDescent="0.2">
      <c r="A56" s="2" t="s">
        <v>0</v>
      </c>
      <c r="B56" t="s">
        <v>1</v>
      </c>
      <c r="C56" t="s">
        <v>337</v>
      </c>
      <c r="D56" s="3">
        <v>44377</v>
      </c>
      <c r="E56" s="3">
        <v>44377</v>
      </c>
      <c r="F56" s="3">
        <v>44386</v>
      </c>
      <c r="G56" t="s">
        <v>3</v>
      </c>
      <c r="H56" t="s">
        <v>4</v>
      </c>
      <c r="I56" s="4">
        <v>-60722</v>
      </c>
      <c r="J56" t="s">
        <v>5</v>
      </c>
      <c r="K56" t="s">
        <v>6</v>
      </c>
      <c r="L56" s="4">
        <v>-5097611.9000000004</v>
      </c>
      <c r="M56" s="4">
        <v>-60722</v>
      </c>
      <c r="N56" s="6" t="str">
        <f>IF(M56="","",IF(M56&lt;0,-M56&amp;"_"&amp;COUNTIF(M$2:M56,M56),M56&amp;"_"&amp;COUNTIF(M$2:M56,M56)))</f>
        <v>60722_1</v>
      </c>
      <c r="O56" s="14" t="str">
        <f t="shared" si="1"/>
        <v/>
      </c>
      <c r="P56" t="s">
        <v>334</v>
      </c>
      <c r="Q56" t="s">
        <v>338</v>
      </c>
      <c r="R56" t="s">
        <v>339</v>
      </c>
      <c r="S56" t="s">
        <v>0</v>
      </c>
      <c r="T56" t="s">
        <v>10</v>
      </c>
      <c r="U56" t="s">
        <v>340</v>
      </c>
      <c r="V56" t="s">
        <v>12</v>
      </c>
      <c r="W56" t="s">
        <v>0</v>
      </c>
      <c r="X56" t="s">
        <v>12</v>
      </c>
      <c r="Y56" t="s">
        <v>0</v>
      </c>
      <c r="Z56" t="s">
        <v>0</v>
      </c>
      <c r="AA56" s="3"/>
      <c r="AB56" t="s">
        <v>0</v>
      </c>
      <c r="AC56" t="s">
        <v>0</v>
      </c>
      <c r="AD56" t="s">
        <v>0</v>
      </c>
      <c r="AE56" s="4">
        <v>0</v>
      </c>
    </row>
    <row r="57" spans="1:31" x14ac:dyDescent="0.2">
      <c r="A57" s="2" t="s">
        <v>0</v>
      </c>
      <c r="B57" t="s">
        <v>1</v>
      </c>
      <c r="C57" t="s">
        <v>341</v>
      </c>
      <c r="D57" s="3">
        <v>44377</v>
      </c>
      <c r="E57" s="3">
        <v>44377</v>
      </c>
      <c r="F57" s="3">
        <v>44386</v>
      </c>
      <c r="G57" t="s">
        <v>3</v>
      </c>
      <c r="H57" t="s">
        <v>4</v>
      </c>
      <c r="I57" s="4">
        <v>-16320</v>
      </c>
      <c r="J57" t="s">
        <v>5</v>
      </c>
      <c r="K57" t="s">
        <v>6</v>
      </c>
      <c r="L57" s="4">
        <v>-1370064</v>
      </c>
      <c r="M57" s="4">
        <v>-16320</v>
      </c>
      <c r="N57" s="6" t="str">
        <f>IF(M57="","",IF(M57&lt;0,-M57&amp;"_"&amp;COUNTIF(M$2:M57,M57),M57&amp;"_"&amp;COUNTIF(M$2:M57,M57)))</f>
        <v>16320_1</v>
      </c>
      <c r="O57" s="14" t="str">
        <f t="shared" si="1"/>
        <v/>
      </c>
      <c r="P57" t="s">
        <v>334</v>
      </c>
      <c r="Q57" t="s">
        <v>342</v>
      </c>
      <c r="R57" t="s">
        <v>343</v>
      </c>
      <c r="S57" t="s">
        <v>0</v>
      </c>
      <c r="T57" t="s">
        <v>10</v>
      </c>
      <c r="U57" t="s">
        <v>344</v>
      </c>
      <c r="V57" t="s">
        <v>12</v>
      </c>
      <c r="W57" t="s">
        <v>0</v>
      </c>
      <c r="X57" t="s">
        <v>12</v>
      </c>
      <c r="Y57" t="s">
        <v>0</v>
      </c>
      <c r="Z57" t="s">
        <v>0</v>
      </c>
      <c r="AA57" s="3"/>
      <c r="AB57" t="s">
        <v>0</v>
      </c>
      <c r="AC57" t="s">
        <v>0</v>
      </c>
      <c r="AD57" t="s">
        <v>0</v>
      </c>
      <c r="AE57" s="4">
        <v>0</v>
      </c>
    </row>
    <row r="58" spans="1:31" x14ac:dyDescent="0.2">
      <c r="A58" s="2" t="s">
        <v>0</v>
      </c>
      <c r="B58" t="s">
        <v>1</v>
      </c>
      <c r="C58" t="s">
        <v>345</v>
      </c>
      <c r="D58" s="3">
        <v>44377</v>
      </c>
      <c r="E58" s="3">
        <v>44377</v>
      </c>
      <c r="F58" s="3">
        <v>44386</v>
      </c>
      <c r="G58" t="s">
        <v>3</v>
      </c>
      <c r="H58" t="s">
        <v>4</v>
      </c>
      <c r="I58" s="4">
        <v>-34971</v>
      </c>
      <c r="J58" t="s">
        <v>5</v>
      </c>
      <c r="K58" t="s">
        <v>6</v>
      </c>
      <c r="L58" s="4">
        <v>-2935815.45</v>
      </c>
      <c r="M58" s="4">
        <v>-34971</v>
      </c>
      <c r="N58" s="6" t="str">
        <f>IF(M58="","",IF(M58&lt;0,-M58&amp;"_"&amp;COUNTIF(M$2:M58,M58),M58&amp;"_"&amp;COUNTIF(M$2:M58,M58)))</f>
        <v>34971_1</v>
      </c>
      <c r="O58" s="14" t="str">
        <f t="shared" si="1"/>
        <v/>
      </c>
      <c r="P58" t="s">
        <v>334</v>
      </c>
      <c r="Q58" t="s">
        <v>342</v>
      </c>
      <c r="R58" t="s">
        <v>346</v>
      </c>
      <c r="S58" t="s">
        <v>0</v>
      </c>
      <c r="T58" t="s">
        <v>10</v>
      </c>
      <c r="U58" t="s">
        <v>347</v>
      </c>
      <c r="V58" t="s">
        <v>12</v>
      </c>
      <c r="W58" t="s">
        <v>0</v>
      </c>
      <c r="X58" t="s">
        <v>12</v>
      </c>
      <c r="Y58" t="s">
        <v>0</v>
      </c>
      <c r="Z58" t="s">
        <v>0</v>
      </c>
      <c r="AA58" s="3"/>
      <c r="AB58" t="s">
        <v>0</v>
      </c>
      <c r="AC58" t="s">
        <v>0</v>
      </c>
      <c r="AD58" t="s">
        <v>0</v>
      </c>
      <c r="AE58" s="4">
        <v>0</v>
      </c>
    </row>
    <row r="59" spans="1:31" x14ac:dyDescent="0.2">
      <c r="N59" s="12"/>
      <c r="O59" s="15"/>
    </row>
    <row r="61" spans="1:31" x14ac:dyDescent="0.2">
      <c r="M61" s="20">
        <f>SUM(M2:M58)</f>
        <v>-1988826.37</v>
      </c>
    </row>
  </sheetData>
  <autoFilter ref="A1:AE58" xr:uid="{00000000-0001-0000-0000-000000000000}"/>
  <phoneticPr fontId="0" type="noConversion"/>
  <pageMargins left="0.75" right="0.75" top="1" bottom="1" header="0.5" footer="0.5"/>
  <pageSetup paperSize="14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621CE-B019-46FD-9ADB-34E659B62EEA}">
  <dimension ref="A1:AE12"/>
  <sheetViews>
    <sheetView workbookViewId="0">
      <selection activeCell="L15" sqref="L15"/>
    </sheetView>
  </sheetViews>
  <sheetFormatPr defaultRowHeight="12.75" x14ac:dyDescent="0.2"/>
  <cols>
    <col min="13" max="13" width="16.7109375" bestFit="1" customWidth="1"/>
    <col min="18" max="18" width="42.140625" bestFit="1" customWidth="1"/>
  </cols>
  <sheetData>
    <row r="1" spans="1:31" ht="38.25" x14ac:dyDescent="0.2">
      <c r="A1" s="5" t="s">
        <v>271</v>
      </c>
      <c r="B1" s="1" t="s">
        <v>272</v>
      </c>
      <c r="C1" s="1" t="s">
        <v>273</v>
      </c>
      <c r="D1" s="1" t="s">
        <v>274</v>
      </c>
      <c r="E1" s="1" t="s">
        <v>275</v>
      </c>
      <c r="F1" s="1" t="s">
        <v>276</v>
      </c>
      <c r="G1" s="5" t="s">
        <v>277</v>
      </c>
      <c r="H1" s="5" t="s">
        <v>278</v>
      </c>
      <c r="I1" s="1" t="s">
        <v>279</v>
      </c>
      <c r="J1" s="1" t="s">
        <v>280</v>
      </c>
      <c r="K1" s="5" t="s">
        <v>281</v>
      </c>
      <c r="L1" s="5" t="s">
        <v>282</v>
      </c>
      <c r="M1" s="1" t="s">
        <v>283</v>
      </c>
      <c r="N1" s="1" t="s">
        <v>348</v>
      </c>
      <c r="O1" s="13" t="s">
        <v>349</v>
      </c>
      <c r="P1" s="1" t="s">
        <v>284</v>
      </c>
      <c r="Q1" s="1" t="s">
        <v>285</v>
      </c>
      <c r="R1" s="1" t="s">
        <v>286</v>
      </c>
      <c r="S1" s="1" t="s">
        <v>287</v>
      </c>
      <c r="T1" s="1" t="s">
        <v>288</v>
      </c>
      <c r="U1" s="1" t="s">
        <v>289</v>
      </c>
      <c r="V1" s="1" t="s">
        <v>290</v>
      </c>
      <c r="W1" s="1" t="s">
        <v>291</v>
      </c>
      <c r="X1" s="1" t="s">
        <v>292</v>
      </c>
      <c r="Y1" s="1" t="s">
        <v>293</v>
      </c>
      <c r="Z1" s="1" t="s">
        <v>294</v>
      </c>
      <c r="AA1" s="1" t="s">
        <v>295</v>
      </c>
      <c r="AB1" s="1" t="s">
        <v>296</v>
      </c>
      <c r="AC1" s="1" t="s">
        <v>297</v>
      </c>
      <c r="AD1" s="1" t="s">
        <v>298</v>
      </c>
      <c r="AE1" s="5" t="s">
        <v>299</v>
      </c>
    </row>
    <row r="2" spans="1:31" x14ac:dyDescent="0.2">
      <c r="A2" s="2" t="s">
        <v>0</v>
      </c>
      <c r="B2" t="s">
        <v>1</v>
      </c>
      <c r="C2" t="s">
        <v>2</v>
      </c>
      <c r="D2" s="3">
        <v>44040</v>
      </c>
      <c r="E2" s="3">
        <v>43889</v>
      </c>
      <c r="F2" s="3">
        <v>44059</v>
      </c>
      <c r="G2" t="s">
        <v>3</v>
      </c>
      <c r="H2" t="s">
        <v>4</v>
      </c>
      <c r="I2" s="4">
        <v>6257.7</v>
      </c>
      <c r="J2" t="s">
        <v>5</v>
      </c>
      <c r="K2" t="s">
        <v>6</v>
      </c>
      <c r="L2" s="4">
        <v>525333.92000000004</v>
      </c>
      <c r="M2" s="4">
        <v>6257.7</v>
      </c>
      <c r="N2" s="6" t="str">
        <f>IF(M2="","",IF(M2&lt;0,-M2&amp;"_"&amp;COUNTIF(M$2:M2,M2),M2&amp;"_"&amp;COUNTIF(M$2:M2,M2)))</f>
        <v>6257.7_1</v>
      </c>
      <c r="O2" s="14" t="str">
        <f>IF(COUNTIF(N:N,N2)=2,"x","")</f>
        <v/>
      </c>
      <c r="P2" t="s">
        <v>7</v>
      </c>
      <c r="Q2" t="s">
        <v>8</v>
      </c>
      <c r="R2" t="s">
        <v>9</v>
      </c>
      <c r="S2" t="s">
        <v>0</v>
      </c>
      <c r="T2" t="s">
        <v>10</v>
      </c>
      <c r="U2" t="s">
        <v>11</v>
      </c>
      <c r="V2" t="s">
        <v>12</v>
      </c>
      <c r="W2" t="s">
        <v>0</v>
      </c>
      <c r="X2" t="s">
        <v>12</v>
      </c>
      <c r="Y2" t="s">
        <v>0</v>
      </c>
      <c r="Z2" t="s">
        <v>0</v>
      </c>
      <c r="AA2" s="3"/>
      <c r="AB2" t="s">
        <v>0</v>
      </c>
      <c r="AC2" t="s">
        <v>0</v>
      </c>
      <c r="AD2" t="s">
        <v>0</v>
      </c>
      <c r="AE2" s="4">
        <v>0</v>
      </c>
    </row>
    <row r="3" spans="1:31" x14ac:dyDescent="0.2">
      <c r="A3" s="2" t="s">
        <v>0</v>
      </c>
      <c r="B3" t="s">
        <v>1</v>
      </c>
      <c r="C3" t="s">
        <v>13</v>
      </c>
      <c r="D3" s="3">
        <v>44040</v>
      </c>
      <c r="E3" s="3">
        <v>43921</v>
      </c>
      <c r="F3" s="3">
        <v>44059</v>
      </c>
      <c r="G3" t="s">
        <v>3</v>
      </c>
      <c r="H3" t="s">
        <v>4</v>
      </c>
      <c r="I3" s="4">
        <v>29917.759999999998</v>
      </c>
      <c r="J3" t="s">
        <v>5</v>
      </c>
      <c r="K3" t="s">
        <v>6</v>
      </c>
      <c r="L3" s="4">
        <v>2511595.9500000002</v>
      </c>
      <c r="M3" s="4">
        <v>29917.759999999998</v>
      </c>
      <c r="N3" s="6" t="str">
        <f>IF(M3="","",IF(M3&lt;0,-M3&amp;"_"&amp;COUNTIF(M$2:M3,M3),M3&amp;"_"&amp;COUNTIF(M$2:M3,M3)))</f>
        <v>29917.76_1</v>
      </c>
      <c r="O3" s="14" t="str">
        <f>IF(COUNTIF(N:N,N3)=2,"x","")</f>
        <v/>
      </c>
      <c r="P3" t="s">
        <v>14</v>
      </c>
      <c r="Q3" t="s">
        <v>15</v>
      </c>
      <c r="R3" t="s">
        <v>16</v>
      </c>
      <c r="S3" t="s">
        <v>0</v>
      </c>
      <c r="T3" t="s">
        <v>10</v>
      </c>
      <c r="U3" t="s">
        <v>17</v>
      </c>
      <c r="V3" t="s">
        <v>12</v>
      </c>
      <c r="W3" t="s">
        <v>0</v>
      </c>
      <c r="X3" t="s">
        <v>12</v>
      </c>
      <c r="Y3" t="s">
        <v>0</v>
      </c>
      <c r="Z3" t="s">
        <v>0</v>
      </c>
      <c r="AA3" s="3"/>
      <c r="AB3" t="s">
        <v>0</v>
      </c>
      <c r="AC3" t="s">
        <v>0</v>
      </c>
      <c r="AD3" t="s">
        <v>0</v>
      </c>
      <c r="AE3" s="4">
        <v>0</v>
      </c>
    </row>
    <row r="4" spans="1:31" x14ac:dyDescent="0.2">
      <c r="A4" s="2" t="s">
        <v>0</v>
      </c>
      <c r="B4" t="s">
        <v>1</v>
      </c>
      <c r="C4" t="s">
        <v>18</v>
      </c>
      <c r="D4" s="3">
        <v>44040</v>
      </c>
      <c r="E4" s="3">
        <v>43951</v>
      </c>
      <c r="F4" s="3">
        <v>44059</v>
      </c>
      <c r="G4" t="s">
        <v>3</v>
      </c>
      <c r="H4" t="s">
        <v>4</v>
      </c>
      <c r="I4" s="4">
        <v>25343.52</v>
      </c>
      <c r="J4" t="s">
        <v>5</v>
      </c>
      <c r="K4" t="s">
        <v>6</v>
      </c>
      <c r="L4" s="4">
        <v>2127588.5</v>
      </c>
      <c r="M4" s="4">
        <v>25343.52</v>
      </c>
      <c r="N4" s="6" t="str">
        <f>IF(M4="","",IF(M4&lt;0,-M4&amp;"_"&amp;COUNTIF(M$2:M4,M4),M4&amp;"_"&amp;COUNTIF(M$2:M4,M4)))</f>
        <v>25343.52_1</v>
      </c>
      <c r="O4" s="14" t="str">
        <f>IF(COUNTIF(N:N,N4)=2,"x","")</f>
        <v/>
      </c>
      <c r="P4" t="s">
        <v>19</v>
      </c>
      <c r="Q4" t="s">
        <v>19</v>
      </c>
      <c r="R4" t="s">
        <v>20</v>
      </c>
      <c r="S4" t="s">
        <v>0</v>
      </c>
      <c r="T4" t="s">
        <v>10</v>
      </c>
      <c r="U4" t="s">
        <v>21</v>
      </c>
      <c r="V4" t="s">
        <v>12</v>
      </c>
      <c r="W4" t="s">
        <v>0</v>
      </c>
      <c r="X4" t="s">
        <v>12</v>
      </c>
      <c r="Y4" t="s">
        <v>0</v>
      </c>
      <c r="Z4" t="s">
        <v>0</v>
      </c>
      <c r="AA4" s="3"/>
      <c r="AB4" t="s">
        <v>0</v>
      </c>
      <c r="AC4" t="s">
        <v>0</v>
      </c>
      <c r="AD4" t="s">
        <v>0</v>
      </c>
      <c r="AE4" s="4">
        <v>0</v>
      </c>
    </row>
    <row r="5" spans="1:31" x14ac:dyDescent="0.2">
      <c r="A5" s="2" t="s">
        <v>0</v>
      </c>
      <c r="B5" t="s">
        <v>1</v>
      </c>
      <c r="C5" t="s">
        <v>22</v>
      </c>
      <c r="D5" s="3">
        <v>44040</v>
      </c>
      <c r="E5" s="3">
        <v>43951</v>
      </c>
      <c r="F5" s="3">
        <v>44059</v>
      </c>
      <c r="G5" t="s">
        <v>3</v>
      </c>
      <c r="H5" t="s">
        <v>4</v>
      </c>
      <c r="I5" s="4">
        <v>53537.32</v>
      </c>
      <c r="J5" t="s">
        <v>5</v>
      </c>
      <c r="K5" t="s">
        <v>6</v>
      </c>
      <c r="L5" s="4">
        <v>4494458.01</v>
      </c>
      <c r="M5" s="4">
        <v>53537.32</v>
      </c>
      <c r="N5" s="6" t="str">
        <f>IF(M5="","",IF(M5&lt;0,-M5&amp;"_"&amp;COUNTIF(M$2:M5,M5),M5&amp;"_"&amp;COUNTIF(M$2:M5,M5)))</f>
        <v>53537.32_1</v>
      </c>
      <c r="O5" s="14" t="str">
        <f>IF(COUNTIF(N:N,N5)=2,"x","")</f>
        <v/>
      </c>
      <c r="P5" t="s">
        <v>19</v>
      </c>
      <c r="Q5" t="s">
        <v>19</v>
      </c>
      <c r="R5" t="s">
        <v>23</v>
      </c>
      <c r="S5" t="s">
        <v>0</v>
      </c>
      <c r="T5" t="s">
        <v>10</v>
      </c>
      <c r="U5" t="s">
        <v>24</v>
      </c>
      <c r="V5" t="s">
        <v>12</v>
      </c>
      <c r="W5" t="s">
        <v>0</v>
      </c>
      <c r="X5" t="s">
        <v>12</v>
      </c>
      <c r="Y5" t="s">
        <v>0</v>
      </c>
      <c r="Z5" t="s">
        <v>0</v>
      </c>
      <c r="AA5" s="3"/>
      <c r="AB5" t="s">
        <v>0</v>
      </c>
      <c r="AC5" t="s">
        <v>0</v>
      </c>
      <c r="AD5" t="s">
        <v>0</v>
      </c>
      <c r="AE5" s="4">
        <v>0</v>
      </c>
    </row>
    <row r="6" spans="1:31" x14ac:dyDescent="0.2">
      <c r="A6" s="2" t="s">
        <v>0</v>
      </c>
      <c r="B6" t="s">
        <v>1</v>
      </c>
      <c r="C6" t="s">
        <v>25</v>
      </c>
      <c r="D6" s="3">
        <v>44040</v>
      </c>
      <c r="E6" s="3">
        <v>43982</v>
      </c>
      <c r="F6" s="3">
        <v>44059</v>
      </c>
      <c r="G6" t="s">
        <v>3</v>
      </c>
      <c r="H6" t="s">
        <v>4</v>
      </c>
      <c r="I6" s="4">
        <v>20277.14</v>
      </c>
      <c r="J6" t="s">
        <v>5</v>
      </c>
      <c r="K6" t="s">
        <v>6</v>
      </c>
      <c r="L6" s="4">
        <v>1702265.9</v>
      </c>
      <c r="M6" s="4">
        <v>20277.14</v>
      </c>
      <c r="N6" s="6" t="str">
        <f>IF(M6="","",IF(M6&lt;0,-M6&amp;"_"&amp;COUNTIF(M$2:M6,M6),M6&amp;"_"&amp;COUNTIF(M$2:M6,M6)))</f>
        <v>20277.14_1</v>
      </c>
      <c r="O6" s="14" t="str">
        <f>IF(COUNTIF(N:N,N6)=2,"x","")</f>
        <v/>
      </c>
      <c r="P6" t="s">
        <v>26</v>
      </c>
      <c r="Q6" t="s">
        <v>26</v>
      </c>
      <c r="R6" t="s">
        <v>27</v>
      </c>
      <c r="S6" t="s">
        <v>0</v>
      </c>
      <c r="T6" t="s">
        <v>10</v>
      </c>
      <c r="U6" t="s">
        <v>28</v>
      </c>
      <c r="V6" t="s">
        <v>12</v>
      </c>
      <c r="W6" t="s">
        <v>0</v>
      </c>
      <c r="X6" t="s">
        <v>12</v>
      </c>
      <c r="Y6" t="s">
        <v>0</v>
      </c>
      <c r="Z6" t="s">
        <v>0</v>
      </c>
      <c r="AA6" s="3"/>
      <c r="AB6" t="s">
        <v>0</v>
      </c>
      <c r="AC6" t="s">
        <v>0</v>
      </c>
      <c r="AD6" t="s">
        <v>0</v>
      </c>
      <c r="AE6" s="4">
        <v>0</v>
      </c>
    </row>
    <row r="7" spans="1:31" x14ac:dyDescent="0.2">
      <c r="A7" s="2" t="s">
        <v>0</v>
      </c>
      <c r="B7" t="s">
        <v>1</v>
      </c>
      <c r="C7" t="s">
        <v>29</v>
      </c>
      <c r="D7" s="3">
        <v>44040</v>
      </c>
      <c r="E7" s="3">
        <v>43982</v>
      </c>
      <c r="F7" s="3">
        <v>44059</v>
      </c>
      <c r="G7" t="s">
        <v>3</v>
      </c>
      <c r="H7" t="s">
        <v>4</v>
      </c>
      <c r="I7" s="4">
        <v>43617.98</v>
      </c>
      <c r="J7" t="s">
        <v>5</v>
      </c>
      <c r="K7" t="s">
        <v>6</v>
      </c>
      <c r="L7" s="4">
        <v>3661729.42</v>
      </c>
      <c r="M7" s="4">
        <v>43617.98</v>
      </c>
      <c r="N7" s="6" t="str">
        <f>IF(M7="","",IF(M7&lt;0,-M7&amp;"_"&amp;COUNTIF(M$2:M7,M7),M7&amp;"_"&amp;COUNTIF(M$2:M7,M7)))</f>
        <v>43617.98_1</v>
      </c>
      <c r="O7" s="14" t="str">
        <f>IF(COUNTIF(N:N,N7)=2,"x","")</f>
        <v/>
      </c>
      <c r="P7" t="s">
        <v>26</v>
      </c>
      <c r="Q7" t="s">
        <v>26</v>
      </c>
      <c r="R7" t="s">
        <v>30</v>
      </c>
      <c r="S7" t="s">
        <v>0</v>
      </c>
      <c r="T7" t="s">
        <v>10</v>
      </c>
      <c r="U7" t="s">
        <v>31</v>
      </c>
      <c r="V7" t="s">
        <v>12</v>
      </c>
      <c r="W7" t="s">
        <v>0</v>
      </c>
      <c r="X7" t="s">
        <v>12</v>
      </c>
      <c r="Y7" t="s">
        <v>0</v>
      </c>
      <c r="Z7" t="s">
        <v>0</v>
      </c>
      <c r="AA7" s="3"/>
      <c r="AB7" t="s">
        <v>0</v>
      </c>
      <c r="AC7" t="s">
        <v>0</v>
      </c>
      <c r="AD7" t="s">
        <v>0</v>
      </c>
      <c r="AE7" s="4">
        <v>0</v>
      </c>
    </row>
    <row r="8" spans="1:31" x14ac:dyDescent="0.2">
      <c r="A8" s="2" t="s">
        <v>0</v>
      </c>
      <c r="B8" t="s">
        <v>1</v>
      </c>
      <c r="C8" t="s">
        <v>32</v>
      </c>
      <c r="D8" s="3">
        <v>44040</v>
      </c>
      <c r="E8" s="3">
        <v>44012</v>
      </c>
      <c r="F8" s="3">
        <v>44059</v>
      </c>
      <c r="G8" t="s">
        <v>3</v>
      </c>
      <c r="H8" t="s">
        <v>4</v>
      </c>
      <c r="I8" s="4">
        <v>54056.71</v>
      </c>
      <c r="J8" t="s">
        <v>5</v>
      </c>
      <c r="K8" t="s">
        <v>6</v>
      </c>
      <c r="L8" s="4">
        <v>4538060.7999999998</v>
      </c>
      <c r="M8" s="4">
        <v>54056.71</v>
      </c>
      <c r="N8" s="6" t="str">
        <f>IF(M8="","",IF(M8&lt;0,-M8&amp;"_"&amp;COUNTIF(M$2:M8,M8),M8&amp;"_"&amp;COUNTIF(M$2:M8,M8)))</f>
        <v>54056.71_1</v>
      </c>
      <c r="O8" s="14" t="str">
        <f>IF(COUNTIF(N:N,N8)=2,"x","")</f>
        <v/>
      </c>
      <c r="P8" t="s">
        <v>33</v>
      </c>
      <c r="Q8" t="s">
        <v>33</v>
      </c>
      <c r="R8" t="s">
        <v>34</v>
      </c>
      <c r="S8" t="s">
        <v>0</v>
      </c>
      <c r="T8" t="s">
        <v>10</v>
      </c>
      <c r="U8" t="s">
        <v>35</v>
      </c>
      <c r="V8" t="s">
        <v>12</v>
      </c>
      <c r="W8" t="s">
        <v>0</v>
      </c>
      <c r="X8" t="s">
        <v>12</v>
      </c>
      <c r="Y8" t="s">
        <v>0</v>
      </c>
      <c r="Z8" t="s">
        <v>0</v>
      </c>
      <c r="AA8" s="3"/>
      <c r="AB8" t="s">
        <v>0</v>
      </c>
      <c r="AC8" t="s">
        <v>0</v>
      </c>
      <c r="AD8" t="s">
        <v>0</v>
      </c>
      <c r="AE8" s="4">
        <v>0</v>
      </c>
    </row>
    <row r="9" spans="1:31" x14ac:dyDescent="0.2">
      <c r="A9" s="2" t="s">
        <v>0</v>
      </c>
      <c r="B9" t="s">
        <v>1</v>
      </c>
      <c r="C9" t="s">
        <v>36</v>
      </c>
      <c r="D9" s="3">
        <v>44040</v>
      </c>
      <c r="E9" s="3">
        <v>44012</v>
      </c>
      <c r="F9" s="3">
        <v>44059</v>
      </c>
      <c r="G9" t="s">
        <v>3</v>
      </c>
      <c r="H9" t="s">
        <v>4</v>
      </c>
      <c r="I9" s="4">
        <v>145832.57</v>
      </c>
      <c r="J9" t="s">
        <v>5</v>
      </c>
      <c r="K9" t="s">
        <v>6</v>
      </c>
      <c r="L9" s="4">
        <v>12242644.25</v>
      </c>
      <c r="M9" s="4">
        <v>145832.57</v>
      </c>
      <c r="N9" s="6" t="str">
        <f>IF(M9="","",IF(M9&lt;0,-M9&amp;"_"&amp;COUNTIF(M$2:M9,M9),M9&amp;"_"&amp;COUNTIF(M$2:M9,M9)))</f>
        <v>145832.57_1</v>
      </c>
      <c r="O9" s="14" t="str">
        <f>IF(COUNTIF(N:N,N9)=2,"x","")</f>
        <v/>
      </c>
      <c r="P9" t="s">
        <v>33</v>
      </c>
      <c r="Q9" t="s">
        <v>33</v>
      </c>
      <c r="R9" t="s">
        <v>37</v>
      </c>
      <c r="S9" t="s">
        <v>0</v>
      </c>
      <c r="T9" t="s">
        <v>10</v>
      </c>
      <c r="U9" t="s">
        <v>38</v>
      </c>
      <c r="V9" t="s">
        <v>12</v>
      </c>
      <c r="W9" t="s">
        <v>0</v>
      </c>
      <c r="X9" t="s">
        <v>12</v>
      </c>
      <c r="Y9" t="s">
        <v>0</v>
      </c>
      <c r="Z9" t="s">
        <v>0</v>
      </c>
      <c r="AA9" s="3"/>
      <c r="AB9" t="s">
        <v>0</v>
      </c>
      <c r="AC9" t="s">
        <v>0</v>
      </c>
      <c r="AD9" t="s">
        <v>0</v>
      </c>
      <c r="AE9" s="4">
        <v>0</v>
      </c>
    </row>
    <row r="10" spans="1:31" x14ac:dyDescent="0.2">
      <c r="A10" s="2" t="s">
        <v>0</v>
      </c>
      <c r="B10" t="s">
        <v>1</v>
      </c>
      <c r="C10" t="s">
        <v>39</v>
      </c>
      <c r="D10" s="3">
        <v>44044</v>
      </c>
      <c r="E10" s="3">
        <v>44012</v>
      </c>
      <c r="F10" s="3">
        <v>44080</v>
      </c>
      <c r="G10" t="s">
        <v>3</v>
      </c>
      <c r="H10" t="s">
        <v>4</v>
      </c>
      <c r="I10" s="4">
        <v>11049.16</v>
      </c>
      <c r="J10" t="s">
        <v>5</v>
      </c>
      <c r="K10" t="s">
        <v>6</v>
      </c>
      <c r="L10" s="4">
        <v>927576.98</v>
      </c>
      <c r="M10" s="4">
        <v>11049.16</v>
      </c>
      <c r="N10" s="6" t="str">
        <f>IF(M10="","",IF(M10&lt;0,-M10&amp;"_"&amp;COUNTIF(M$2:M10,M10),M10&amp;"_"&amp;COUNTIF(M$2:M10,M10)))</f>
        <v>11049.16_1</v>
      </c>
      <c r="O10" s="14" t="str">
        <f>IF(COUNTIF(N:N,N10)=2,"x","")</f>
        <v/>
      </c>
      <c r="P10" t="s">
        <v>40</v>
      </c>
      <c r="Q10" t="s">
        <v>41</v>
      </c>
      <c r="R10" t="s">
        <v>42</v>
      </c>
      <c r="S10" t="s">
        <v>0</v>
      </c>
      <c r="T10" t="s">
        <v>10</v>
      </c>
      <c r="U10" t="s">
        <v>43</v>
      </c>
      <c r="V10" t="s">
        <v>12</v>
      </c>
      <c r="W10" t="s">
        <v>0</v>
      </c>
      <c r="X10" t="s">
        <v>12</v>
      </c>
      <c r="Y10" t="s">
        <v>0</v>
      </c>
      <c r="Z10" t="s">
        <v>0</v>
      </c>
      <c r="AA10" s="3"/>
      <c r="AB10" t="s">
        <v>0</v>
      </c>
      <c r="AC10" t="s">
        <v>0</v>
      </c>
      <c r="AD10" t="s">
        <v>0</v>
      </c>
      <c r="AE10" s="4">
        <v>0</v>
      </c>
    </row>
    <row r="11" spans="1:31" x14ac:dyDescent="0.2">
      <c r="A11" s="2"/>
      <c r="D11" s="3"/>
      <c r="E11" s="3"/>
      <c r="F11" s="3"/>
      <c r="I11" s="4"/>
      <c r="L11" s="4"/>
      <c r="M11" s="4"/>
      <c r="N11" s="22"/>
      <c r="O11" s="23"/>
      <c r="AA11" s="3"/>
      <c r="AE11" s="4"/>
    </row>
    <row r="12" spans="1:31" x14ac:dyDescent="0.2">
      <c r="M12" s="21">
        <f>SUM(M2:M10)</f>
        <v>389889.86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F3C12-D324-4034-ACB0-9B532609939A}">
  <dimension ref="A1:AD52"/>
  <sheetViews>
    <sheetView topLeftCell="A12" workbookViewId="0">
      <selection activeCell="L49" sqref="L49"/>
    </sheetView>
  </sheetViews>
  <sheetFormatPr defaultRowHeight="12.75" x14ac:dyDescent="0.2"/>
  <cols>
    <col min="13" max="13" width="16.7109375" bestFit="1" customWidth="1"/>
    <col min="14" max="14" width="12.7109375" style="19" bestFit="1" customWidth="1"/>
  </cols>
  <sheetData>
    <row r="1" spans="1:30" ht="38.25" x14ac:dyDescent="0.2">
      <c r="A1" s="5" t="s">
        <v>271</v>
      </c>
      <c r="B1" s="1" t="s">
        <v>272</v>
      </c>
      <c r="C1" s="1" t="s">
        <v>273</v>
      </c>
      <c r="D1" s="1" t="s">
        <v>274</v>
      </c>
      <c r="E1" s="1" t="s">
        <v>275</v>
      </c>
      <c r="F1" s="1" t="s">
        <v>276</v>
      </c>
      <c r="G1" s="5" t="s">
        <v>277</v>
      </c>
      <c r="H1" s="5" t="s">
        <v>278</v>
      </c>
      <c r="I1" s="1" t="s">
        <v>279</v>
      </c>
      <c r="J1" s="1" t="s">
        <v>280</v>
      </c>
      <c r="K1" s="5" t="s">
        <v>281</v>
      </c>
      <c r="L1" s="5" t="s">
        <v>282</v>
      </c>
      <c r="M1" s="1" t="s">
        <v>283</v>
      </c>
      <c r="N1" s="17" t="s">
        <v>384</v>
      </c>
      <c r="O1" s="1" t="s">
        <v>284</v>
      </c>
      <c r="P1" s="1" t="s">
        <v>285</v>
      </c>
      <c r="Q1" s="1" t="s">
        <v>286</v>
      </c>
      <c r="R1" s="1" t="s">
        <v>287</v>
      </c>
      <c r="S1" s="1" t="s">
        <v>288</v>
      </c>
      <c r="T1" s="1" t="s">
        <v>289</v>
      </c>
      <c r="U1" s="1" t="s">
        <v>290</v>
      </c>
      <c r="V1" s="1" t="s">
        <v>291</v>
      </c>
      <c r="W1" s="1" t="s">
        <v>292</v>
      </c>
      <c r="X1" s="1" t="s">
        <v>293</v>
      </c>
      <c r="Y1" s="1" t="s">
        <v>294</v>
      </c>
      <c r="Z1" s="1" t="s">
        <v>295</v>
      </c>
      <c r="AA1" s="1" t="s">
        <v>296</v>
      </c>
      <c r="AB1" s="1" t="s">
        <v>297</v>
      </c>
      <c r="AC1" s="1" t="s">
        <v>298</v>
      </c>
      <c r="AD1" s="5" t="s">
        <v>299</v>
      </c>
    </row>
    <row r="2" spans="1:30" x14ac:dyDescent="0.2">
      <c r="A2" s="2" t="s">
        <v>0</v>
      </c>
      <c r="B2" t="s">
        <v>1</v>
      </c>
      <c r="C2" t="s">
        <v>220</v>
      </c>
      <c r="D2" s="3">
        <v>44273</v>
      </c>
      <c r="E2" s="3">
        <v>44273</v>
      </c>
      <c r="F2" s="3">
        <v>44280</v>
      </c>
      <c r="G2" t="s">
        <v>45</v>
      </c>
      <c r="H2" t="s">
        <v>6</v>
      </c>
      <c r="I2" s="4">
        <v>-15125400</v>
      </c>
      <c r="J2" t="s">
        <v>46</v>
      </c>
      <c r="K2" t="s">
        <v>6</v>
      </c>
      <c r="L2" s="4">
        <v>-15125400</v>
      </c>
      <c r="M2" s="4">
        <v>-180830.22</v>
      </c>
      <c r="N2" s="18">
        <f t="shared" ref="N2:N49" si="0">ABS(M2)</f>
        <v>180830.22</v>
      </c>
      <c r="O2" t="s">
        <v>221</v>
      </c>
      <c r="P2" t="s">
        <v>225</v>
      </c>
      <c r="Q2" t="s">
        <v>226</v>
      </c>
      <c r="R2" t="s">
        <v>0</v>
      </c>
      <c r="S2" t="s">
        <v>10</v>
      </c>
      <c r="T2" t="s">
        <v>224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s="3"/>
      <c r="AA2" t="s">
        <v>0</v>
      </c>
      <c r="AB2" t="s">
        <v>0</v>
      </c>
      <c r="AC2" t="s">
        <v>0</v>
      </c>
      <c r="AD2" s="4">
        <v>0</v>
      </c>
    </row>
    <row r="3" spans="1:30" x14ac:dyDescent="0.2">
      <c r="A3" s="2" t="s">
        <v>0</v>
      </c>
      <c r="B3" t="s">
        <v>1</v>
      </c>
      <c r="C3" t="s">
        <v>112</v>
      </c>
      <c r="D3" s="3">
        <v>44152</v>
      </c>
      <c r="E3" s="3">
        <v>44152</v>
      </c>
      <c r="F3" s="3">
        <v>44159</v>
      </c>
      <c r="G3" t="s">
        <v>45</v>
      </c>
      <c r="H3" t="s">
        <v>6</v>
      </c>
      <c r="I3" s="4">
        <v>-14763700</v>
      </c>
      <c r="J3" t="s">
        <v>46</v>
      </c>
      <c r="K3" t="s">
        <v>6</v>
      </c>
      <c r="L3" s="4">
        <v>-14763700</v>
      </c>
      <c r="M3" s="4">
        <v>-177005.4</v>
      </c>
      <c r="N3" s="18">
        <f t="shared" si="0"/>
        <v>177005.4</v>
      </c>
      <c r="O3" t="s">
        <v>113</v>
      </c>
      <c r="P3" t="s">
        <v>114</v>
      </c>
      <c r="Q3" t="s">
        <v>115</v>
      </c>
      <c r="R3" t="s">
        <v>0</v>
      </c>
      <c r="S3" t="s">
        <v>10</v>
      </c>
      <c r="T3" t="s">
        <v>116</v>
      </c>
      <c r="U3" t="s">
        <v>0</v>
      </c>
      <c r="V3" t="s">
        <v>0</v>
      </c>
      <c r="W3" t="s">
        <v>0</v>
      </c>
      <c r="X3" t="s">
        <v>0</v>
      </c>
      <c r="Y3" t="s">
        <v>0</v>
      </c>
      <c r="Z3" s="3"/>
      <c r="AA3" t="s">
        <v>0</v>
      </c>
      <c r="AB3" t="s">
        <v>0</v>
      </c>
      <c r="AC3" t="s">
        <v>0</v>
      </c>
      <c r="AD3" s="4">
        <v>0</v>
      </c>
    </row>
    <row r="4" spans="1:30" x14ac:dyDescent="0.2">
      <c r="A4" s="2" t="s">
        <v>0</v>
      </c>
      <c r="B4" t="s">
        <v>1</v>
      </c>
      <c r="C4" t="s">
        <v>44</v>
      </c>
      <c r="D4" s="3">
        <v>44040</v>
      </c>
      <c r="E4" s="3">
        <v>44040</v>
      </c>
      <c r="F4" s="3">
        <v>44042</v>
      </c>
      <c r="G4" t="s">
        <v>45</v>
      </c>
      <c r="H4" t="s">
        <v>6</v>
      </c>
      <c r="I4" s="4">
        <v>-14329700</v>
      </c>
      <c r="J4" t="s">
        <v>46</v>
      </c>
      <c r="K4" t="s">
        <v>6</v>
      </c>
      <c r="L4" s="4">
        <v>-14329700</v>
      </c>
      <c r="M4" s="4">
        <v>-171165.85</v>
      </c>
      <c r="N4" s="18">
        <f t="shared" si="0"/>
        <v>171165.85</v>
      </c>
      <c r="O4" t="s">
        <v>47</v>
      </c>
      <c r="P4" t="s">
        <v>53</v>
      </c>
      <c r="Q4" t="s">
        <v>54</v>
      </c>
      <c r="R4" t="s">
        <v>0</v>
      </c>
      <c r="S4" t="s">
        <v>10</v>
      </c>
      <c r="T4" t="s">
        <v>50</v>
      </c>
      <c r="U4" t="s">
        <v>0</v>
      </c>
      <c r="V4" t="s">
        <v>0</v>
      </c>
      <c r="W4" t="s">
        <v>0</v>
      </c>
      <c r="X4" t="s">
        <v>0</v>
      </c>
      <c r="Y4" t="s">
        <v>0</v>
      </c>
      <c r="Z4" s="3"/>
      <c r="AA4" t="s">
        <v>0</v>
      </c>
      <c r="AB4" t="s">
        <v>0</v>
      </c>
      <c r="AC4" t="s">
        <v>0</v>
      </c>
      <c r="AD4" s="4">
        <v>0</v>
      </c>
    </row>
    <row r="5" spans="1:30" x14ac:dyDescent="0.2">
      <c r="A5" s="2" t="s">
        <v>0</v>
      </c>
      <c r="B5" t="s">
        <v>1</v>
      </c>
      <c r="C5" t="s">
        <v>220</v>
      </c>
      <c r="D5" s="3">
        <v>44273</v>
      </c>
      <c r="E5" s="3">
        <v>44273</v>
      </c>
      <c r="F5" s="3">
        <v>44280</v>
      </c>
      <c r="G5" t="s">
        <v>45</v>
      </c>
      <c r="H5" t="s">
        <v>6</v>
      </c>
      <c r="I5" s="4">
        <v>-9268000</v>
      </c>
      <c r="J5" t="s">
        <v>46</v>
      </c>
      <c r="K5" t="s">
        <v>6</v>
      </c>
      <c r="L5" s="4">
        <v>-9268000</v>
      </c>
      <c r="M5" s="4">
        <v>-112026.56</v>
      </c>
      <c r="N5" s="18">
        <f t="shared" si="0"/>
        <v>112026.56</v>
      </c>
      <c r="O5" t="s">
        <v>221</v>
      </c>
      <c r="P5" t="s">
        <v>227</v>
      </c>
      <c r="Q5" t="s">
        <v>228</v>
      </c>
      <c r="R5" t="s">
        <v>0</v>
      </c>
      <c r="S5" t="s">
        <v>10</v>
      </c>
      <c r="T5" t="s">
        <v>224</v>
      </c>
      <c r="U5" t="s">
        <v>0</v>
      </c>
      <c r="V5" t="s">
        <v>0</v>
      </c>
      <c r="W5" t="s">
        <v>0</v>
      </c>
      <c r="X5" t="s">
        <v>0</v>
      </c>
      <c r="Y5" t="s">
        <v>0</v>
      </c>
      <c r="Z5" s="3"/>
      <c r="AA5" t="s">
        <v>0</v>
      </c>
      <c r="AB5" t="s">
        <v>0</v>
      </c>
      <c r="AC5" t="s">
        <v>0</v>
      </c>
      <c r="AD5" s="4">
        <v>0</v>
      </c>
    </row>
    <row r="6" spans="1:30" x14ac:dyDescent="0.2">
      <c r="A6" s="2" t="s">
        <v>0</v>
      </c>
      <c r="B6" t="s">
        <v>1</v>
      </c>
      <c r="C6" t="s">
        <v>170</v>
      </c>
      <c r="D6" s="3">
        <v>44199</v>
      </c>
      <c r="E6" s="3">
        <v>44199</v>
      </c>
      <c r="F6" s="3">
        <v>44223</v>
      </c>
      <c r="G6" t="s">
        <v>45</v>
      </c>
      <c r="H6" t="s">
        <v>6</v>
      </c>
      <c r="I6" s="4">
        <v>-6816000</v>
      </c>
      <c r="J6" t="s">
        <v>46</v>
      </c>
      <c r="K6" t="s">
        <v>6</v>
      </c>
      <c r="L6" s="4">
        <v>-6816000</v>
      </c>
      <c r="M6" s="4">
        <v>-82473.98</v>
      </c>
      <c r="N6" s="18">
        <f t="shared" si="0"/>
        <v>82473.98</v>
      </c>
      <c r="O6" t="s">
        <v>171</v>
      </c>
      <c r="P6" t="s">
        <v>175</v>
      </c>
      <c r="Q6" t="s">
        <v>176</v>
      </c>
      <c r="R6" t="s">
        <v>0</v>
      </c>
      <c r="S6" t="s">
        <v>10</v>
      </c>
      <c r="T6" t="s">
        <v>174</v>
      </c>
      <c r="U6" t="s">
        <v>0</v>
      </c>
      <c r="V6" t="s">
        <v>0</v>
      </c>
      <c r="W6" t="s">
        <v>0</v>
      </c>
      <c r="X6" t="s">
        <v>0</v>
      </c>
      <c r="Y6" t="s">
        <v>0</v>
      </c>
      <c r="Z6" s="3"/>
      <c r="AA6" t="s">
        <v>0</v>
      </c>
      <c r="AB6" t="s">
        <v>0</v>
      </c>
      <c r="AC6" t="s">
        <v>0</v>
      </c>
      <c r="AD6" s="4">
        <v>0</v>
      </c>
    </row>
    <row r="7" spans="1:30" x14ac:dyDescent="0.2">
      <c r="A7" s="2" t="s">
        <v>0</v>
      </c>
      <c r="B7" t="s">
        <v>1</v>
      </c>
      <c r="C7" t="s">
        <v>135</v>
      </c>
      <c r="D7" s="3">
        <v>44166</v>
      </c>
      <c r="E7" s="3">
        <v>44166</v>
      </c>
      <c r="F7" s="3">
        <v>44186</v>
      </c>
      <c r="G7" t="s">
        <v>45</v>
      </c>
      <c r="H7" t="s">
        <v>6</v>
      </c>
      <c r="I7" s="4">
        <v>-6611200</v>
      </c>
      <c r="J7" t="s">
        <v>46</v>
      </c>
      <c r="K7" t="s">
        <v>6</v>
      </c>
      <c r="L7" s="4">
        <v>-6611200</v>
      </c>
      <c r="M7" s="4">
        <v>-81173.14</v>
      </c>
      <c r="N7" s="18">
        <f t="shared" si="0"/>
        <v>81173.14</v>
      </c>
      <c r="O7" t="s">
        <v>136</v>
      </c>
      <c r="P7" t="s">
        <v>119</v>
      </c>
      <c r="Q7" t="s">
        <v>137</v>
      </c>
      <c r="R7" t="s">
        <v>0</v>
      </c>
      <c r="S7" t="s">
        <v>10</v>
      </c>
      <c r="T7" t="s">
        <v>138</v>
      </c>
      <c r="U7" t="s">
        <v>0</v>
      </c>
      <c r="V7" t="s">
        <v>0</v>
      </c>
      <c r="W7" t="s">
        <v>0</v>
      </c>
      <c r="X7" t="s">
        <v>0</v>
      </c>
      <c r="Y7" t="s">
        <v>0</v>
      </c>
      <c r="Z7" s="3"/>
      <c r="AA7" t="s">
        <v>0</v>
      </c>
      <c r="AB7" t="s">
        <v>0</v>
      </c>
      <c r="AC7" t="s">
        <v>0</v>
      </c>
      <c r="AD7" s="4">
        <v>0</v>
      </c>
    </row>
    <row r="8" spans="1:30" x14ac:dyDescent="0.2">
      <c r="A8" s="2" t="s">
        <v>0</v>
      </c>
      <c r="B8" t="s">
        <v>1</v>
      </c>
      <c r="C8" t="s">
        <v>324</v>
      </c>
      <c r="D8" s="3">
        <v>44347</v>
      </c>
      <c r="E8" s="3">
        <v>44347</v>
      </c>
      <c r="F8" s="3">
        <v>44355</v>
      </c>
      <c r="G8" t="s">
        <v>3</v>
      </c>
      <c r="H8" t="s">
        <v>4</v>
      </c>
      <c r="I8" s="4">
        <v>-81117</v>
      </c>
      <c r="J8" t="s">
        <v>5</v>
      </c>
      <c r="K8" t="s">
        <v>6</v>
      </c>
      <c r="L8" s="4">
        <v>-6809772.1500000004</v>
      </c>
      <c r="M8" s="4">
        <v>-81117</v>
      </c>
      <c r="N8" s="18">
        <f t="shared" si="0"/>
        <v>81117</v>
      </c>
      <c r="O8" t="s">
        <v>320</v>
      </c>
      <c r="P8" t="s">
        <v>321</v>
      </c>
      <c r="Q8" t="s">
        <v>325</v>
      </c>
      <c r="R8" t="s">
        <v>0</v>
      </c>
      <c r="S8" t="s">
        <v>10</v>
      </c>
      <c r="T8" t="s">
        <v>326</v>
      </c>
      <c r="U8" t="s">
        <v>12</v>
      </c>
      <c r="V8" t="s">
        <v>0</v>
      </c>
      <c r="W8" t="s">
        <v>12</v>
      </c>
      <c r="X8" t="s">
        <v>0</v>
      </c>
      <c r="Y8" t="s">
        <v>0</v>
      </c>
      <c r="Z8" s="3"/>
      <c r="AA8" t="s">
        <v>0</v>
      </c>
      <c r="AB8" t="s">
        <v>0</v>
      </c>
      <c r="AC8" t="s">
        <v>0</v>
      </c>
      <c r="AD8" s="4">
        <v>0</v>
      </c>
    </row>
    <row r="9" spans="1:30" x14ac:dyDescent="0.2">
      <c r="A9" s="2" t="s">
        <v>0</v>
      </c>
      <c r="B9" t="s">
        <v>1</v>
      </c>
      <c r="C9" t="s">
        <v>112</v>
      </c>
      <c r="D9" s="3">
        <v>44152</v>
      </c>
      <c r="E9" s="3">
        <v>44152</v>
      </c>
      <c r="F9" s="3">
        <v>44159</v>
      </c>
      <c r="G9" t="s">
        <v>45</v>
      </c>
      <c r="H9" t="s">
        <v>6</v>
      </c>
      <c r="I9" s="4">
        <v>-6684500</v>
      </c>
      <c r="J9" t="s">
        <v>46</v>
      </c>
      <c r="K9" t="s">
        <v>6</v>
      </c>
      <c r="L9" s="4">
        <v>-6684500</v>
      </c>
      <c r="M9" s="4">
        <v>-79787.67</v>
      </c>
      <c r="N9" s="18">
        <f t="shared" si="0"/>
        <v>79787.67</v>
      </c>
      <c r="O9" t="s">
        <v>113</v>
      </c>
      <c r="P9" t="s">
        <v>117</v>
      </c>
      <c r="Q9" t="s">
        <v>118</v>
      </c>
      <c r="R9" t="s">
        <v>0</v>
      </c>
      <c r="S9" t="s">
        <v>10</v>
      </c>
      <c r="T9" t="s">
        <v>116</v>
      </c>
      <c r="U9" t="s">
        <v>0</v>
      </c>
      <c r="V9" t="s">
        <v>0</v>
      </c>
      <c r="W9" t="s">
        <v>0</v>
      </c>
      <c r="X9" t="s">
        <v>0</v>
      </c>
      <c r="Y9" t="s">
        <v>0</v>
      </c>
      <c r="Z9" s="3"/>
      <c r="AA9" t="s">
        <v>0</v>
      </c>
      <c r="AB9" t="s">
        <v>0</v>
      </c>
      <c r="AC9" t="s">
        <v>0</v>
      </c>
      <c r="AD9" s="4">
        <v>0</v>
      </c>
    </row>
    <row r="10" spans="1:30" x14ac:dyDescent="0.2">
      <c r="A10" s="2" t="s">
        <v>0</v>
      </c>
      <c r="B10" t="s">
        <v>1</v>
      </c>
      <c r="C10" t="s">
        <v>312</v>
      </c>
      <c r="D10" s="3">
        <v>44325</v>
      </c>
      <c r="E10" s="3">
        <v>44325</v>
      </c>
      <c r="F10" s="3">
        <v>44340</v>
      </c>
      <c r="G10" t="s">
        <v>45</v>
      </c>
      <c r="H10" t="s">
        <v>6</v>
      </c>
      <c r="I10" s="4">
        <v>-6668800</v>
      </c>
      <c r="J10" t="s">
        <v>46</v>
      </c>
      <c r="K10" t="s">
        <v>6</v>
      </c>
      <c r="L10" s="4">
        <v>-6668800</v>
      </c>
      <c r="M10" s="4">
        <v>-79669.05</v>
      </c>
      <c r="N10" s="18">
        <f t="shared" si="0"/>
        <v>79669.05</v>
      </c>
      <c r="O10" t="s">
        <v>313</v>
      </c>
      <c r="P10" t="s">
        <v>314</v>
      </c>
      <c r="Q10" t="s">
        <v>315</v>
      </c>
      <c r="R10" t="s">
        <v>0</v>
      </c>
      <c r="S10" t="s">
        <v>10</v>
      </c>
      <c r="T10" t="s">
        <v>316</v>
      </c>
      <c r="U10" t="s">
        <v>0</v>
      </c>
      <c r="V10" t="s">
        <v>0</v>
      </c>
      <c r="W10" t="s">
        <v>0</v>
      </c>
      <c r="X10" t="s">
        <v>309</v>
      </c>
      <c r="Y10" t="s">
        <v>0</v>
      </c>
      <c r="Z10" s="3"/>
      <c r="AA10" t="s">
        <v>0</v>
      </c>
      <c r="AB10" t="s">
        <v>0</v>
      </c>
      <c r="AC10" t="s">
        <v>0</v>
      </c>
      <c r="AD10" s="4">
        <v>0</v>
      </c>
    </row>
    <row r="11" spans="1:30" x14ac:dyDescent="0.2">
      <c r="A11" s="2" t="s">
        <v>0</v>
      </c>
      <c r="B11" t="s">
        <v>1</v>
      </c>
      <c r="C11" t="s">
        <v>220</v>
      </c>
      <c r="D11" s="3">
        <v>44273</v>
      </c>
      <c r="E11" s="3">
        <v>44273</v>
      </c>
      <c r="F11" s="3">
        <v>44280</v>
      </c>
      <c r="G11" t="s">
        <v>45</v>
      </c>
      <c r="H11" t="s">
        <v>6</v>
      </c>
      <c r="I11" s="4">
        <v>-6249500</v>
      </c>
      <c r="J11" t="s">
        <v>46</v>
      </c>
      <c r="K11" t="s">
        <v>6</v>
      </c>
      <c r="L11" s="4">
        <v>-6249500</v>
      </c>
      <c r="M11" s="4">
        <v>-78664.710000000006</v>
      </c>
      <c r="N11" s="18">
        <f t="shared" si="0"/>
        <v>78664.710000000006</v>
      </c>
      <c r="O11" t="s">
        <v>221</v>
      </c>
      <c r="P11" t="s">
        <v>222</v>
      </c>
      <c r="Q11" t="s">
        <v>223</v>
      </c>
      <c r="R11" t="s">
        <v>0</v>
      </c>
      <c r="S11" t="s">
        <v>10</v>
      </c>
      <c r="T11" t="s">
        <v>224</v>
      </c>
      <c r="U11" t="s">
        <v>0</v>
      </c>
      <c r="V11" t="s">
        <v>0</v>
      </c>
      <c r="W11" t="s">
        <v>0</v>
      </c>
      <c r="X11" t="s">
        <v>0</v>
      </c>
      <c r="Y11" t="s">
        <v>0</v>
      </c>
      <c r="Z11" s="3"/>
      <c r="AA11" t="s">
        <v>0</v>
      </c>
      <c r="AB11" t="s">
        <v>0</v>
      </c>
      <c r="AC11" t="s">
        <v>0</v>
      </c>
      <c r="AD11" s="4">
        <v>0</v>
      </c>
    </row>
    <row r="12" spans="1:30" x14ac:dyDescent="0.2">
      <c r="A12" s="2" t="s">
        <v>0</v>
      </c>
      <c r="B12" t="s">
        <v>1</v>
      </c>
      <c r="C12" t="s">
        <v>243</v>
      </c>
      <c r="D12" s="3">
        <v>44286</v>
      </c>
      <c r="E12" s="3">
        <v>44286</v>
      </c>
      <c r="F12" s="3">
        <v>44293</v>
      </c>
      <c r="G12" t="s">
        <v>3</v>
      </c>
      <c r="H12" t="s">
        <v>4</v>
      </c>
      <c r="I12" s="4">
        <v>-68651</v>
      </c>
      <c r="J12" t="s">
        <v>5</v>
      </c>
      <c r="K12" t="s">
        <v>6</v>
      </c>
      <c r="L12" s="4">
        <v>-5763251.4500000002</v>
      </c>
      <c r="M12" s="4">
        <v>-68651</v>
      </c>
      <c r="N12" s="18">
        <f t="shared" si="0"/>
        <v>68651</v>
      </c>
      <c r="O12" t="s">
        <v>244</v>
      </c>
      <c r="P12" t="s">
        <v>245</v>
      </c>
      <c r="Q12" t="s">
        <v>246</v>
      </c>
      <c r="R12" t="s">
        <v>0</v>
      </c>
      <c r="S12" t="s">
        <v>10</v>
      </c>
      <c r="T12" t="s">
        <v>247</v>
      </c>
      <c r="U12" t="s">
        <v>12</v>
      </c>
      <c r="V12" t="s">
        <v>0</v>
      </c>
      <c r="W12" t="s">
        <v>12</v>
      </c>
      <c r="X12" t="s">
        <v>0</v>
      </c>
      <c r="Y12" t="s">
        <v>0</v>
      </c>
      <c r="Z12" s="3"/>
      <c r="AA12" t="s">
        <v>0</v>
      </c>
      <c r="AB12" t="s">
        <v>0</v>
      </c>
      <c r="AC12" t="s">
        <v>0</v>
      </c>
      <c r="AD12" s="4">
        <v>0</v>
      </c>
    </row>
    <row r="13" spans="1:30" x14ac:dyDescent="0.2">
      <c r="A13" s="2" t="s">
        <v>0</v>
      </c>
      <c r="B13" t="s">
        <v>1</v>
      </c>
      <c r="C13" t="s">
        <v>229</v>
      </c>
      <c r="D13" s="3">
        <v>44273</v>
      </c>
      <c r="E13" s="3">
        <v>44273</v>
      </c>
      <c r="F13" s="3">
        <v>44280</v>
      </c>
      <c r="G13" t="s">
        <v>45</v>
      </c>
      <c r="H13" t="s">
        <v>6</v>
      </c>
      <c r="I13" s="4">
        <v>-5408800</v>
      </c>
      <c r="J13" t="s">
        <v>46</v>
      </c>
      <c r="K13" t="s">
        <v>6</v>
      </c>
      <c r="L13" s="4">
        <v>-5408800</v>
      </c>
      <c r="M13" s="4">
        <v>-64654.84</v>
      </c>
      <c r="N13" s="18">
        <f t="shared" si="0"/>
        <v>64654.84</v>
      </c>
      <c r="O13" t="s">
        <v>230</v>
      </c>
      <c r="P13" t="s">
        <v>234</v>
      </c>
      <c r="Q13" t="s">
        <v>235</v>
      </c>
      <c r="R13" t="s">
        <v>0</v>
      </c>
      <c r="S13" t="s">
        <v>10</v>
      </c>
      <c r="T13" t="s">
        <v>233</v>
      </c>
      <c r="U13" t="s">
        <v>0</v>
      </c>
      <c r="V13" t="s">
        <v>0</v>
      </c>
      <c r="W13" t="s">
        <v>0</v>
      </c>
      <c r="X13" t="s">
        <v>0</v>
      </c>
      <c r="Y13" t="s">
        <v>0</v>
      </c>
      <c r="Z13" s="3"/>
      <c r="AA13" t="s">
        <v>0</v>
      </c>
      <c r="AB13" t="s">
        <v>0</v>
      </c>
      <c r="AC13" t="s">
        <v>0</v>
      </c>
      <c r="AD13" s="4">
        <v>0</v>
      </c>
    </row>
    <row r="14" spans="1:30" x14ac:dyDescent="0.2">
      <c r="A14" s="2" t="s">
        <v>0</v>
      </c>
      <c r="B14" t="s">
        <v>1</v>
      </c>
      <c r="C14" t="s">
        <v>55</v>
      </c>
      <c r="D14" s="3">
        <v>44040</v>
      </c>
      <c r="E14" s="3">
        <v>44040</v>
      </c>
      <c r="F14" s="3">
        <v>44042</v>
      </c>
      <c r="G14" t="s">
        <v>45</v>
      </c>
      <c r="H14" t="s">
        <v>6</v>
      </c>
      <c r="I14" s="4">
        <v>-5286800</v>
      </c>
      <c r="J14" t="s">
        <v>46</v>
      </c>
      <c r="K14" t="s">
        <v>6</v>
      </c>
      <c r="L14" s="4">
        <v>-5286800</v>
      </c>
      <c r="M14" s="4">
        <v>-62234.26</v>
      </c>
      <c r="N14" s="18">
        <f t="shared" si="0"/>
        <v>62234.26</v>
      </c>
      <c r="O14" t="s">
        <v>56</v>
      </c>
      <c r="P14" t="s">
        <v>60</v>
      </c>
      <c r="Q14" t="s">
        <v>61</v>
      </c>
      <c r="R14" t="s">
        <v>0</v>
      </c>
      <c r="S14" t="s">
        <v>10</v>
      </c>
      <c r="T14" t="s">
        <v>59</v>
      </c>
      <c r="U14" t="s">
        <v>0</v>
      </c>
      <c r="V14" t="s">
        <v>0</v>
      </c>
      <c r="W14" t="s">
        <v>0</v>
      </c>
      <c r="X14" t="s">
        <v>0</v>
      </c>
      <c r="Y14" t="s">
        <v>0</v>
      </c>
      <c r="Z14" s="3"/>
      <c r="AA14" t="s">
        <v>0</v>
      </c>
      <c r="AB14" t="s">
        <v>0</v>
      </c>
      <c r="AC14" t="s">
        <v>0</v>
      </c>
      <c r="AD14" s="4">
        <v>0</v>
      </c>
    </row>
    <row r="15" spans="1:30" x14ac:dyDescent="0.2">
      <c r="A15" s="2" t="s">
        <v>0</v>
      </c>
      <c r="B15" t="s">
        <v>1</v>
      </c>
      <c r="C15" t="s">
        <v>337</v>
      </c>
      <c r="D15" s="3">
        <v>44377</v>
      </c>
      <c r="E15" s="3">
        <v>44377</v>
      </c>
      <c r="F15" s="3">
        <v>44386</v>
      </c>
      <c r="G15" t="s">
        <v>3</v>
      </c>
      <c r="H15" t="s">
        <v>4</v>
      </c>
      <c r="I15" s="4">
        <v>-60722</v>
      </c>
      <c r="J15" t="s">
        <v>5</v>
      </c>
      <c r="K15" t="s">
        <v>6</v>
      </c>
      <c r="L15" s="4">
        <v>-5097611.9000000004</v>
      </c>
      <c r="M15" s="4">
        <v>-60722</v>
      </c>
      <c r="N15" s="18">
        <f t="shared" si="0"/>
        <v>60722</v>
      </c>
      <c r="O15" t="s">
        <v>334</v>
      </c>
      <c r="P15" t="s">
        <v>338</v>
      </c>
      <c r="Q15" t="s">
        <v>339</v>
      </c>
      <c r="R15" t="s">
        <v>0</v>
      </c>
      <c r="S15" t="s">
        <v>10</v>
      </c>
      <c r="T15" t="s">
        <v>340</v>
      </c>
      <c r="U15" t="s">
        <v>12</v>
      </c>
      <c r="V15" t="s">
        <v>0</v>
      </c>
      <c r="W15" t="s">
        <v>12</v>
      </c>
      <c r="X15" t="s">
        <v>0</v>
      </c>
      <c r="Y15" t="s">
        <v>0</v>
      </c>
      <c r="Z15" s="3"/>
      <c r="AA15" t="s">
        <v>0</v>
      </c>
      <c r="AB15" t="s">
        <v>0</v>
      </c>
      <c r="AC15" t="s">
        <v>0</v>
      </c>
      <c r="AD15" s="4">
        <v>0</v>
      </c>
    </row>
    <row r="16" spans="1:30" x14ac:dyDescent="0.2">
      <c r="A16" s="2" t="s">
        <v>0</v>
      </c>
      <c r="B16" t="s">
        <v>1</v>
      </c>
      <c r="C16" t="s">
        <v>44</v>
      </c>
      <c r="D16" s="3">
        <v>44040</v>
      </c>
      <c r="E16" s="3">
        <v>44040</v>
      </c>
      <c r="F16" s="3">
        <v>44042</v>
      </c>
      <c r="G16" t="s">
        <v>45</v>
      </c>
      <c r="H16" t="s">
        <v>6</v>
      </c>
      <c r="I16" s="4">
        <v>-4973100</v>
      </c>
      <c r="J16" t="s">
        <v>46</v>
      </c>
      <c r="K16" t="s">
        <v>6</v>
      </c>
      <c r="L16" s="4">
        <v>-4973100</v>
      </c>
      <c r="M16" s="4">
        <v>-59485.91</v>
      </c>
      <c r="N16" s="18">
        <f t="shared" si="0"/>
        <v>59485.91</v>
      </c>
      <c r="O16" t="s">
        <v>47</v>
      </c>
      <c r="P16" t="s">
        <v>48</v>
      </c>
      <c r="Q16" t="s">
        <v>49</v>
      </c>
      <c r="R16" t="s">
        <v>0</v>
      </c>
      <c r="S16" t="s">
        <v>10</v>
      </c>
      <c r="T16" t="s">
        <v>50</v>
      </c>
      <c r="U16" t="s">
        <v>0</v>
      </c>
      <c r="V16" t="s">
        <v>0</v>
      </c>
      <c r="W16" t="s">
        <v>0</v>
      </c>
      <c r="X16" t="s">
        <v>0</v>
      </c>
      <c r="Y16" t="s">
        <v>0</v>
      </c>
      <c r="Z16" s="3"/>
      <c r="AA16" t="s">
        <v>0</v>
      </c>
      <c r="AB16" t="s">
        <v>0</v>
      </c>
      <c r="AC16" t="s">
        <v>0</v>
      </c>
      <c r="AD16" s="4">
        <v>0</v>
      </c>
    </row>
    <row r="17" spans="1:30" x14ac:dyDescent="0.2">
      <c r="A17" s="2" t="s">
        <v>0</v>
      </c>
      <c r="B17" t="s">
        <v>1</v>
      </c>
      <c r="C17" t="s">
        <v>121</v>
      </c>
      <c r="D17" s="3">
        <v>44152</v>
      </c>
      <c r="E17" s="3">
        <v>44152</v>
      </c>
      <c r="F17" s="3">
        <v>44160</v>
      </c>
      <c r="G17" t="s">
        <v>45</v>
      </c>
      <c r="H17" t="s">
        <v>6</v>
      </c>
      <c r="I17" s="4">
        <v>-4259000</v>
      </c>
      <c r="J17" t="s">
        <v>46</v>
      </c>
      <c r="K17" t="s">
        <v>6</v>
      </c>
      <c r="L17" s="4">
        <v>-4259000</v>
      </c>
      <c r="M17" s="4">
        <v>-51069.63</v>
      </c>
      <c r="N17" s="18">
        <f t="shared" si="0"/>
        <v>51069.63</v>
      </c>
      <c r="O17" t="s">
        <v>122</v>
      </c>
      <c r="P17" t="s">
        <v>123</v>
      </c>
      <c r="Q17" t="s">
        <v>124</v>
      </c>
      <c r="R17" t="s">
        <v>0</v>
      </c>
      <c r="S17" t="s">
        <v>10</v>
      </c>
      <c r="T17" t="s">
        <v>125</v>
      </c>
      <c r="U17" t="s">
        <v>0</v>
      </c>
      <c r="V17" t="s">
        <v>0</v>
      </c>
      <c r="W17" t="s">
        <v>0</v>
      </c>
      <c r="X17" t="s">
        <v>0</v>
      </c>
      <c r="Y17" t="s">
        <v>0</v>
      </c>
      <c r="Z17" s="3"/>
      <c r="AA17" t="s">
        <v>0</v>
      </c>
      <c r="AB17" t="s">
        <v>0</v>
      </c>
      <c r="AC17" t="s">
        <v>0</v>
      </c>
      <c r="AD17" s="4">
        <v>0</v>
      </c>
    </row>
    <row r="18" spans="1:30" x14ac:dyDescent="0.2">
      <c r="A18" s="2" t="s">
        <v>0</v>
      </c>
      <c r="B18" t="s">
        <v>1</v>
      </c>
      <c r="C18" t="s">
        <v>229</v>
      </c>
      <c r="D18" s="3">
        <v>44273</v>
      </c>
      <c r="E18" s="3">
        <v>44273</v>
      </c>
      <c r="F18" s="3">
        <v>44280</v>
      </c>
      <c r="G18" t="s">
        <v>45</v>
      </c>
      <c r="H18" t="s">
        <v>6</v>
      </c>
      <c r="I18" s="4">
        <v>-4138700</v>
      </c>
      <c r="J18" t="s">
        <v>46</v>
      </c>
      <c r="K18" t="s">
        <v>6</v>
      </c>
      <c r="L18" s="4">
        <v>-4138700</v>
      </c>
      <c r="M18" s="4">
        <v>-49806.86</v>
      </c>
      <c r="N18" s="18">
        <f t="shared" si="0"/>
        <v>49806.86</v>
      </c>
      <c r="O18" t="s">
        <v>230</v>
      </c>
      <c r="P18" t="s">
        <v>236</v>
      </c>
      <c r="Q18" t="s">
        <v>237</v>
      </c>
      <c r="R18" t="s">
        <v>0</v>
      </c>
      <c r="S18" t="s">
        <v>10</v>
      </c>
      <c r="T18" t="s">
        <v>233</v>
      </c>
      <c r="U18" t="s">
        <v>0</v>
      </c>
      <c r="V18" t="s">
        <v>0</v>
      </c>
      <c r="W18" t="s">
        <v>0</v>
      </c>
      <c r="X18" t="s">
        <v>0</v>
      </c>
      <c r="Y18" t="s">
        <v>0</v>
      </c>
      <c r="Z18" s="3"/>
      <c r="AA18" t="s">
        <v>0</v>
      </c>
      <c r="AB18" t="s">
        <v>0</v>
      </c>
      <c r="AC18" t="s">
        <v>0</v>
      </c>
      <c r="AD18" s="4">
        <v>0</v>
      </c>
    </row>
    <row r="19" spans="1:30" x14ac:dyDescent="0.2">
      <c r="A19" s="2" t="s">
        <v>0</v>
      </c>
      <c r="B19" t="s">
        <v>1</v>
      </c>
      <c r="C19" t="s">
        <v>253</v>
      </c>
      <c r="D19" s="3">
        <v>44290</v>
      </c>
      <c r="E19" s="3">
        <v>44290</v>
      </c>
      <c r="F19" s="3">
        <v>44296</v>
      </c>
      <c r="G19" t="s">
        <v>45</v>
      </c>
      <c r="H19" t="s">
        <v>6</v>
      </c>
      <c r="I19" s="4">
        <v>-4121100</v>
      </c>
      <c r="J19" t="s">
        <v>46</v>
      </c>
      <c r="K19" t="s">
        <v>6</v>
      </c>
      <c r="L19" s="4">
        <v>-4121100</v>
      </c>
      <c r="M19" s="4">
        <v>-49597.49</v>
      </c>
      <c r="N19" s="18">
        <f t="shared" si="0"/>
        <v>49597.49</v>
      </c>
      <c r="O19" t="s">
        <v>254</v>
      </c>
      <c r="P19" t="s">
        <v>255</v>
      </c>
      <c r="Q19" t="s">
        <v>256</v>
      </c>
      <c r="R19" t="s">
        <v>0</v>
      </c>
      <c r="S19" t="s">
        <v>10</v>
      </c>
      <c r="T19" t="s">
        <v>257</v>
      </c>
      <c r="U19" t="s">
        <v>0</v>
      </c>
      <c r="V19" t="s">
        <v>0</v>
      </c>
      <c r="W19" t="s">
        <v>0</v>
      </c>
      <c r="X19" t="s">
        <v>0</v>
      </c>
      <c r="Y19" t="s">
        <v>0</v>
      </c>
      <c r="Z19" s="3"/>
      <c r="AA19" t="s">
        <v>0</v>
      </c>
      <c r="AB19" t="s">
        <v>0</v>
      </c>
      <c r="AC19" t="s">
        <v>0</v>
      </c>
      <c r="AD19" s="4">
        <v>0</v>
      </c>
    </row>
    <row r="20" spans="1:30" x14ac:dyDescent="0.2">
      <c r="A20" s="2" t="s">
        <v>0</v>
      </c>
      <c r="B20" t="s">
        <v>1</v>
      </c>
      <c r="C20" t="s">
        <v>44</v>
      </c>
      <c r="D20" s="3">
        <v>44040</v>
      </c>
      <c r="E20" s="3">
        <v>44040</v>
      </c>
      <c r="F20" s="3">
        <v>44042</v>
      </c>
      <c r="G20" t="s">
        <v>45</v>
      </c>
      <c r="H20" t="s">
        <v>6</v>
      </c>
      <c r="I20" s="4">
        <v>-4061700</v>
      </c>
      <c r="J20" t="s">
        <v>46</v>
      </c>
      <c r="K20" t="s">
        <v>6</v>
      </c>
      <c r="L20" s="4">
        <v>-4061700</v>
      </c>
      <c r="M20" s="4">
        <v>-48464.41</v>
      </c>
      <c r="N20" s="18">
        <f t="shared" si="0"/>
        <v>48464.41</v>
      </c>
      <c r="O20" t="s">
        <v>47</v>
      </c>
      <c r="P20" t="s">
        <v>51</v>
      </c>
      <c r="Q20" t="s">
        <v>52</v>
      </c>
      <c r="R20" t="s">
        <v>0</v>
      </c>
      <c r="S20" t="s">
        <v>10</v>
      </c>
      <c r="T20" t="s">
        <v>50</v>
      </c>
      <c r="U20" t="s">
        <v>0</v>
      </c>
      <c r="V20" t="s">
        <v>0</v>
      </c>
      <c r="W20" t="s">
        <v>0</v>
      </c>
      <c r="X20" t="s">
        <v>0</v>
      </c>
      <c r="Y20" t="s">
        <v>0</v>
      </c>
      <c r="Z20" s="3"/>
      <c r="AA20" t="s">
        <v>0</v>
      </c>
      <c r="AB20" t="s">
        <v>0</v>
      </c>
      <c r="AC20" t="s">
        <v>0</v>
      </c>
      <c r="AD20" s="4">
        <v>0</v>
      </c>
    </row>
    <row r="21" spans="1:30" x14ac:dyDescent="0.2">
      <c r="A21" s="2" t="s">
        <v>0</v>
      </c>
      <c r="B21" t="s">
        <v>1</v>
      </c>
      <c r="C21" t="s">
        <v>135</v>
      </c>
      <c r="D21" s="3">
        <v>44166</v>
      </c>
      <c r="E21" s="3">
        <v>44166</v>
      </c>
      <c r="F21" s="3">
        <v>44186</v>
      </c>
      <c r="G21" t="s">
        <v>45</v>
      </c>
      <c r="H21" t="s">
        <v>6</v>
      </c>
      <c r="I21" s="4">
        <v>-3692300</v>
      </c>
      <c r="J21" t="s">
        <v>46</v>
      </c>
      <c r="K21" t="s">
        <v>6</v>
      </c>
      <c r="L21" s="4">
        <v>-3692300</v>
      </c>
      <c r="M21" s="4">
        <v>-46344.5</v>
      </c>
      <c r="N21" s="18">
        <f t="shared" si="0"/>
        <v>46344.5</v>
      </c>
      <c r="O21" t="s">
        <v>136</v>
      </c>
      <c r="P21" t="s">
        <v>139</v>
      </c>
      <c r="Q21" t="s">
        <v>140</v>
      </c>
      <c r="R21" t="s">
        <v>0</v>
      </c>
      <c r="S21" t="s">
        <v>10</v>
      </c>
      <c r="T21" t="s">
        <v>138</v>
      </c>
      <c r="U21" t="s">
        <v>0</v>
      </c>
      <c r="V21" t="s">
        <v>0</v>
      </c>
      <c r="W21" t="s">
        <v>0</v>
      </c>
      <c r="X21" t="s">
        <v>0</v>
      </c>
      <c r="Y21" t="s">
        <v>0</v>
      </c>
      <c r="Z21" s="3"/>
      <c r="AA21" t="s">
        <v>0</v>
      </c>
      <c r="AB21" t="s">
        <v>0</v>
      </c>
      <c r="AC21" t="s">
        <v>0</v>
      </c>
      <c r="AD21" s="4">
        <v>0</v>
      </c>
    </row>
    <row r="22" spans="1:30" x14ac:dyDescent="0.2">
      <c r="A22" s="2" t="s">
        <v>0</v>
      </c>
      <c r="B22" t="s">
        <v>1</v>
      </c>
      <c r="C22" t="s">
        <v>333</v>
      </c>
      <c r="D22" s="3">
        <v>44377</v>
      </c>
      <c r="E22" s="3">
        <v>44377</v>
      </c>
      <c r="F22" s="3">
        <v>44386</v>
      </c>
      <c r="G22" t="s">
        <v>3</v>
      </c>
      <c r="H22" t="s">
        <v>4</v>
      </c>
      <c r="I22" s="4">
        <v>-44864</v>
      </c>
      <c r="J22" t="s">
        <v>5</v>
      </c>
      <c r="K22" t="s">
        <v>6</v>
      </c>
      <c r="L22" s="4">
        <v>-3766332.8</v>
      </c>
      <c r="M22" s="4">
        <v>-44864</v>
      </c>
      <c r="N22" s="18">
        <f t="shared" si="0"/>
        <v>44864</v>
      </c>
      <c r="O22" t="s">
        <v>334</v>
      </c>
      <c r="P22" t="s">
        <v>335</v>
      </c>
      <c r="Q22" t="s">
        <v>336</v>
      </c>
      <c r="R22" t="s">
        <v>0</v>
      </c>
      <c r="S22" t="s">
        <v>10</v>
      </c>
      <c r="T22" t="s">
        <v>323</v>
      </c>
      <c r="U22" t="s">
        <v>12</v>
      </c>
      <c r="V22" t="s">
        <v>0</v>
      </c>
      <c r="W22" t="s">
        <v>12</v>
      </c>
      <c r="X22" t="s">
        <v>0</v>
      </c>
      <c r="Y22" t="s">
        <v>0</v>
      </c>
      <c r="Z22" s="3"/>
      <c r="AA22" t="s">
        <v>0</v>
      </c>
      <c r="AB22" t="s">
        <v>0</v>
      </c>
      <c r="AC22" t="s">
        <v>0</v>
      </c>
      <c r="AD22" s="4">
        <v>0</v>
      </c>
    </row>
    <row r="23" spans="1:30" x14ac:dyDescent="0.2">
      <c r="A23" s="2" t="s">
        <v>0</v>
      </c>
      <c r="B23" t="s">
        <v>1</v>
      </c>
      <c r="C23" t="s">
        <v>177</v>
      </c>
      <c r="D23" s="3">
        <v>44199</v>
      </c>
      <c r="E23" s="3">
        <v>44199</v>
      </c>
      <c r="F23" s="3">
        <v>44223</v>
      </c>
      <c r="G23" t="s">
        <v>45</v>
      </c>
      <c r="H23" t="s">
        <v>6</v>
      </c>
      <c r="I23" s="4">
        <v>-3448300</v>
      </c>
      <c r="J23" t="s">
        <v>46</v>
      </c>
      <c r="K23" t="s">
        <v>6</v>
      </c>
      <c r="L23" s="4">
        <v>-3448300</v>
      </c>
      <c r="M23" s="4">
        <v>-41587.480000000003</v>
      </c>
      <c r="N23" s="18">
        <f t="shared" si="0"/>
        <v>41587.480000000003</v>
      </c>
      <c r="O23" t="s">
        <v>178</v>
      </c>
      <c r="P23" t="s">
        <v>181</v>
      </c>
      <c r="Q23" t="s">
        <v>182</v>
      </c>
      <c r="R23" t="s">
        <v>0</v>
      </c>
      <c r="S23" t="s">
        <v>10</v>
      </c>
      <c r="T23" t="s">
        <v>180</v>
      </c>
      <c r="U23" t="s">
        <v>0</v>
      </c>
      <c r="V23" t="s">
        <v>0</v>
      </c>
      <c r="W23" t="s">
        <v>0</v>
      </c>
      <c r="X23" t="s">
        <v>0</v>
      </c>
      <c r="Y23" t="s">
        <v>0</v>
      </c>
      <c r="Z23" s="3"/>
      <c r="AA23" t="s">
        <v>0</v>
      </c>
      <c r="AB23" t="s">
        <v>0</v>
      </c>
      <c r="AC23" t="s">
        <v>0</v>
      </c>
      <c r="AD23" s="4">
        <v>0</v>
      </c>
    </row>
    <row r="24" spans="1:30" x14ac:dyDescent="0.2">
      <c r="A24" s="2" t="s">
        <v>0</v>
      </c>
      <c r="B24" t="s">
        <v>1</v>
      </c>
      <c r="C24" t="s">
        <v>319</v>
      </c>
      <c r="D24" s="3">
        <v>44347</v>
      </c>
      <c r="E24" s="3">
        <v>44347</v>
      </c>
      <c r="F24" s="3">
        <v>44355</v>
      </c>
      <c r="G24" t="s">
        <v>3</v>
      </c>
      <c r="H24" t="s">
        <v>4</v>
      </c>
      <c r="I24" s="4">
        <v>-38607</v>
      </c>
      <c r="J24" t="s">
        <v>5</v>
      </c>
      <c r="K24" t="s">
        <v>6</v>
      </c>
      <c r="L24" s="4">
        <v>-3241057.65</v>
      </c>
      <c r="M24" s="4">
        <v>-38607</v>
      </c>
      <c r="N24" s="18">
        <f t="shared" si="0"/>
        <v>38607</v>
      </c>
      <c r="O24" t="s">
        <v>320</v>
      </c>
      <c r="P24" t="s">
        <v>321</v>
      </c>
      <c r="Q24" t="s">
        <v>322</v>
      </c>
      <c r="R24" t="s">
        <v>0</v>
      </c>
      <c r="S24" t="s">
        <v>10</v>
      </c>
      <c r="T24" t="s">
        <v>323</v>
      </c>
      <c r="U24" t="s">
        <v>12</v>
      </c>
      <c r="V24" t="s">
        <v>0</v>
      </c>
      <c r="W24" t="s">
        <v>12</v>
      </c>
      <c r="X24" t="s">
        <v>0</v>
      </c>
      <c r="Y24" t="s">
        <v>0</v>
      </c>
      <c r="Z24" s="3"/>
      <c r="AA24" t="s">
        <v>0</v>
      </c>
      <c r="AB24" t="s">
        <v>0</v>
      </c>
      <c r="AC24" t="s">
        <v>0</v>
      </c>
      <c r="AD24" s="4">
        <v>0</v>
      </c>
    </row>
    <row r="25" spans="1:30" x14ac:dyDescent="0.2">
      <c r="A25" s="2" t="s">
        <v>0</v>
      </c>
      <c r="B25" t="s">
        <v>1</v>
      </c>
      <c r="C25" t="s">
        <v>238</v>
      </c>
      <c r="D25" s="3">
        <v>44286</v>
      </c>
      <c r="E25" s="3">
        <v>44286</v>
      </c>
      <c r="F25" s="3">
        <v>44293</v>
      </c>
      <c r="G25" t="s">
        <v>3</v>
      </c>
      <c r="H25" t="s">
        <v>4</v>
      </c>
      <c r="I25" s="4">
        <v>-37458</v>
      </c>
      <c r="J25" t="s">
        <v>5</v>
      </c>
      <c r="K25" t="s">
        <v>6</v>
      </c>
      <c r="L25" s="4">
        <v>-3144599.1</v>
      </c>
      <c r="M25" s="4">
        <v>-37458</v>
      </c>
      <c r="N25" s="18">
        <f t="shared" si="0"/>
        <v>37458</v>
      </c>
      <c r="O25" t="s">
        <v>239</v>
      </c>
      <c r="P25" t="s">
        <v>240</v>
      </c>
      <c r="Q25" t="s">
        <v>241</v>
      </c>
      <c r="R25" t="s">
        <v>0</v>
      </c>
      <c r="S25" t="s">
        <v>10</v>
      </c>
      <c r="T25" t="s">
        <v>242</v>
      </c>
      <c r="U25" t="s">
        <v>12</v>
      </c>
      <c r="V25" t="s">
        <v>0</v>
      </c>
      <c r="W25" t="s">
        <v>12</v>
      </c>
      <c r="X25" t="s">
        <v>0</v>
      </c>
      <c r="Y25" t="s">
        <v>0</v>
      </c>
      <c r="Z25" s="3"/>
      <c r="AA25" t="s">
        <v>0</v>
      </c>
      <c r="AB25" t="s">
        <v>0</v>
      </c>
      <c r="AC25" t="s">
        <v>0</v>
      </c>
      <c r="AD25" s="4">
        <v>0</v>
      </c>
    </row>
    <row r="26" spans="1:30" x14ac:dyDescent="0.2">
      <c r="A26" s="2" t="s">
        <v>0</v>
      </c>
      <c r="B26" t="s">
        <v>1</v>
      </c>
      <c r="C26" t="s">
        <v>330</v>
      </c>
      <c r="D26" s="3">
        <v>44347</v>
      </c>
      <c r="E26" s="3">
        <v>44347</v>
      </c>
      <c r="F26" s="3">
        <v>44355</v>
      </c>
      <c r="G26" t="s">
        <v>3</v>
      </c>
      <c r="H26" t="s">
        <v>4</v>
      </c>
      <c r="I26" s="4">
        <v>-37235</v>
      </c>
      <c r="J26" t="s">
        <v>5</v>
      </c>
      <c r="K26" t="s">
        <v>6</v>
      </c>
      <c r="L26" s="4">
        <v>-3125878.25</v>
      </c>
      <c r="M26" s="4">
        <v>-37235</v>
      </c>
      <c r="N26" s="18">
        <f t="shared" si="0"/>
        <v>37235</v>
      </c>
      <c r="O26" t="s">
        <v>320</v>
      </c>
      <c r="P26" t="s">
        <v>328</v>
      </c>
      <c r="Q26" t="s">
        <v>331</v>
      </c>
      <c r="R26" t="s">
        <v>0</v>
      </c>
      <c r="S26" t="s">
        <v>10</v>
      </c>
      <c r="T26" t="s">
        <v>332</v>
      </c>
      <c r="U26" t="s">
        <v>12</v>
      </c>
      <c r="V26" t="s">
        <v>0</v>
      </c>
      <c r="W26" t="s">
        <v>12</v>
      </c>
      <c r="X26" t="s">
        <v>0</v>
      </c>
      <c r="Y26" t="s">
        <v>0</v>
      </c>
      <c r="Z26" s="3"/>
      <c r="AA26" t="s">
        <v>0</v>
      </c>
      <c r="AB26" t="s">
        <v>0</v>
      </c>
      <c r="AC26" t="s">
        <v>0</v>
      </c>
      <c r="AD26" s="4">
        <v>0</v>
      </c>
    </row>
    <row r="27" spans="1:30" x14ac:dyDescent="0.2">
      <c r="A27" s="2" t="s">
        <v>0</v>
      </c>
      <c r="B27" t="s">
        <v>1</v>
      </c>
      <c r="C27" t="s">
        <v>229</v>
      </c>
      <c r="D27" s="3">
        <v>44273</v>
      </c>
      <c r="E27" s="3">
        <v>44273</v>
      </c>
      <c r="F27" s="3">
        <v>44280</v>
      </c>
      <c r="G27" t="s">
        <v>45</v>
      </c>
      <c r="H27" t="s">
        <v>6</v>
      </c>
      <c r="I27" s="4">
        <v>-2886900</v>
      </c>
      <c r="J27" t="s">
        <v>46</v>
      </c>
      <c r="K27" t="s">
        <v>6</v>
      </c>
      <c r="L27" s="4">
        <v>-2886900</v>
      </c>
      <c r="M27" s="4">
        <v>-35471.660000000003</v>
      </c>
      <c r="N27" s="18">
        <f t="shared" si="0"/>
        <v>35471.660000000003</v>
      </c>
      <c r="O27" t="s">
        <v>230</v>
      </c>
      <c r="P27" t="s">
        <v>231</v>
      </c>
      <c r="Q27" t="s">
        <v>232</v>
      </c>
      <c r="R27" t="s">
        <v>0</v>
      </c>
      <c r="S27" t="s">
        <v>10</v>
      </c>
      <c r="T27" t="s">
        <v>233</v>
      </c>
      <c r="U27" t="s">
        <v>0</v>
      </c>
      <c r="V27" t="s">
        <v>0</v>
      </c>
      <c r="W27" t="s">
        <v>0</v>
      </c>
      <c r="X27" t="s">
        <v>0</v>
      </c>
      <c r="Y27" t="s">
        <v>0</v>
      </c>
      <c r="Z27" s="3"/>
      <c r="AA27" t="s">
        <v>0</v>
      </c>
      <c r="AB27" t="s">
        <v>0</v>
      </c>
      <c r="AC27" t="s">
        <v>0</v>
      </c>
      <c r="AD27" s="4">
        <v>0</v>
      </c>
    </row>
    <row r="28" spans="1:30" x14ac:dyDescent="0.2">
      <c r="A28" s="2" t="s">
        <v>0</v>
      </c>
      <c r="B28" t="s">
        <v>1</v>
      </c>
      <c r="C28" t="s">
        <v>345</v>
      </c>
      <c r="D28" s="3">
        <v>44377</v>
      </c>
      <c r="E28" s="3">
        <v>44377</v>
      </c>
      <c r="F28" s="3">
        <v>44386</v>
      </c>
      <c r="G28" t="s">
        <v>3</v>
      </c>
      <c r="H28" t="s">
        <v>4</v>
      </c>
      <c r="I28" s="4">
        <v>-34971</v>
      </c>
      <c r="J28" t="s">
        <v>5</v>
      </c>
      <c r="K28" t="s">
        <v>6</v>
      </c>
      <c r="L28" s="4">
        <v>-2935815.45</v>
      </c>
      <c r="M28" s="4">
        <v>-34971</v>
      </c>
      <c r="N28" s="18">
        <f t="shared" si="0"/>
        <v>34971</v>
      </c>
      <c r="O28" t="s">
        <v>334</v>
      </c>
      <c r="P28" t="s">
        <v>342</v>
      </c>
      <c r="Q28" t="s">
        <v>346</v>
      </c>
      <c r="R28" t="s">
        <v>0</v>
      </c>
      <c r="S28" t="s">
        <v>10</v>
      </c>
      <c r="T28" t="s">
        <v>347</v>
      </c>
      <c r="U28" t="s">
        <v>12</v>
      </c>
      <c r="V28" t="s">
        <v>0</v>
      </c>
      <c r="W28" t="s">
        <v>12</v>
      </c>
      <c r="X28" t="s">
        <v>0</v>
      </c>
      <c r="Y28" t="s">
        <v>0</v>
      </c>
      <c r="Z28" s="3"/>
      <c r="AA28" t="s">
        <v>0</v>
      </c>
      <c r="AB28" t="s">
        <v>0</v>
      </c>
      <c r="AC28" t="s">
        <v>0</v>
      </c>
      <c r="AD28" s="4">
        <v>0</v>
      </c>
    </row>
    <row r="29" spans="1:30" x14ac:dyDescent="0.2">
      <c r="A29" s="2" t="s">
        <v>0</v>
      </c>
      <c r="B29" t="s">
        <v>1</v>
      </c>
      <c r="C29" t="s">
        <v>261</v>
      </c>
      <c r="D29" s="3">
        <v>44316</v>
      </c>
      <c r="E29" s="3">
        <v>44316</v>
      </c>
      <c r="F29" s="3">
        <v>44322</v>
      </c>
      <c r="G29" t="s">
        <v>3</v>
      </c>
      <c r="H29" t="s">
        <v>4</v>
      </c>
      <c r="I29" s="4">
        <v>-32853</v>
      </c>
      <c r="J29" t="s">
        <v>5</v>
      </c>
      <c r="K29" t="s">
        <v>6</v>
      </c>
      <c r="L29" s="4">
        <v>-2758009.35</v>
      </c>
      <c r="M29" s="4">
        <v>-32853</v>
      </c>
      <c r="N29" s="18">
        <f t="shared" si="0"/>
        <v>32853</v>
      </c>
      <c r="O29" t="s">
        <v>262</v>
      </c>
      <c r="P29" t="s">
        <v>263</v>
      </c>
      <c r="Q29" t="s">
        <v>264</v>
      </c>
      <c r="R29" t="s">
        <v>0</v>
      </c>
      <c r="S29" t="s">
        <v>10</v>
      </c>
      <c r="T29" t="s">
        <v>265</v>
      </c>
      <c r="U29" t="s">
        <v>12</v>
      </c>
      <c r="V29" t="s">
        <v>0</v>
      </c>
      <c r="W29" t="s">
        <v>12</v>
      </c>
      <c r="X29" t="s">
        <v>0</v>
      </c>
      <c r="Y29" t="s">
        <v>0</v>
      </c>
      <c r="Z29" s="3"/>
      <c r="AA29" t="s">
        <v>0</v>
      </c>
      <c r="AB29" t="s">
        <v>0</v>
      </c>
      <c r="AC29" t="s">
        <v>0</v>
      </c>
      <c r="AD29" s="4">
        <v>0</v>
      </c>
    </row>
    <row r="30" spans="1:30" x14ac:dyDescent="0.2">
      <c r="A30" s="2" t="s">
        <v>0</v>
      </c>
      <c r="B30" t="s">
        <v>1</v>
      </c>
      <c r="C30" t="s">
        <v>55</v>
      </c>
      <c r="D30" s="3">
        <v>44040</v>
      </c>
      <c r="E30" s="3">
        <v>44040</v>
      </c>
      <c r="F30" s="3">
        <v>44042</v>
      </c>
      <c r="G30" t="s">
        <v>45</v>
      </c>
      <c r="H30" t="s">
        <v>6</v>
      </c>
      <c r="I30" s="4">
        <v>-2782400</v>
      </c>
      <c r="J30" t="s">
        <v>46</v>
      </c>
      <c r="K30" t="s">
        <v>6</v>
      </c>
      <c r="L30" s="4">
        <v>-2782400</v>
      </c>
      <c r="M30" s="4">
        <v>-32753.38</v>
      </c>
      <c r="N30" s="18">
        <f t="shared" si="0"/>
        <v>32753.38</v>
      </c>
      <c r="O30" t="s">
        <v>56</v>
      </c>
      <c r="P30" t="s">
        <v>64</v>
      </c>
      <c r="Q30" t="s">
        <v>65</v>
      </c>
      <c r="R30" t="s">
        <v>0</v>
      </c>
      <c r="S30" t="s">
        <v>10</v>
      </c>
      <c r="T30" t="s">
        <v>59</v>
      </c>
      <c r="U30" t="s">
        <v>0</v>
      </c>
      <c r="V30" t="s">
        <v>0</v>
      </c>
      <c r="W30" t="s">
        <v>0</v>
      </c>
      <c r="X30" t="s">
        <v>0</v>
      </c>
      <c r="Y30" t="s">
        <v>0</v>
      </c>
      <c r="Z30" s="3"/>
      <c r="AA30" t="s">
        <v>0</v>
      </c>
      <c r="AB30" t="s">
        <v>0</v>
      </c>
      <c r="AC30" t="s">
        <v>0</v>
      </c>
      <c r="AD30" s="4">
        <v>0</v>
      </c>
    </row>
    <row r="31" spans="1:30" x14ac:dyDescent="0.2">
      <c r="A31" s="2" t="s">
        <v>0</v>
      </c>
      <c r="B31" t="s">
        <v>1</v>
      </c>
      <c r="C31" t="s">
        <v>112</v>
      </c>
      <c r="D31" s="3">
        <v>44152</v>
      </c>
      <c r="E31" s="3">
        <v>44152</v>
      </c>
      <c r="F31" s="3">
        <v>44159</v>
      </c>
      <c r="G31" t="s">
        <v>45</v>
      </c>
      <c r="H31" t="s">
        <v>6</v>
      </c>
      <c r="I31" s="4">
        <v>-2680500</v>
      </c>
      <c r="J31" t="s">
        <v>46</v>
      </c>
      <c r="K31" t="s">
        <v>6</v>
      </c>
      <c r="L31" s="4">
        <v>-2680500</v>
      </c>
      <c r="M31" s="4">
        <v>-32353.01</v>
      </c>
      <c r="N31" s="18">
        <f t="shared" si="0"/>
        <v>32353.01</v>
      </c>
      <c r="O31" t="s">
        <v>113</v>
      </c>
      <c r="P31" t="s">
        <v>119</v>
      </c>
      <c r="Q31" t="s">
        <v>120</v>
      </c>
      <c r="R31" t="s">
        <v>0</v>
      </c>
      <c r="S31" t="s">
        <v>10</v>
      </c>
      <c r="T31" t="s">
        <v>116</v>
      </c>
      <c r="U31" t="s">
        <v>0</v>
      </c>
      <c r="V31" t="s">
        <v>0</v>
      </c>
      <c r="W31" t="s">
        <v>0</v>
      </c>
      <c r="X31" t="s">
        <v>0</v>
      </c>
      <c r="Y31" t="s">
        <v>0</v>
      </c>
      <c r="Z31" s="3"/>
      <c r="AA31" t="s">
        <v>0</v>
      </c>
      <c r="AB31" t="s">
        <v>0</v>
      </c>
      <c r="AC31" t="s">
        <v>0</v>
      </c>
      <c r="AD31" s="4">
        <v>0</v>
      </c>
    </row>
    <row r="32" spans="1:30" x14ac:dyDescent="0.2">
      <c r="A32" s="2" t="s">
        <v>0</v>
      </c>
      <c r="B32" t="s">
        <v>1</v>
      </c>
      <c r="C32" t="s">
        <v>141</v>
      </c>
      <c r="D32" s="3">
        <v>44166</v>
      </c>
      <c r="E32" s="3">
        <v>44166</v>
      </c>
      <c r="F32" s="3">
        <v>44186</v>
      </c>
      <c r="G32" t="s">
        <v>45</v>
      </c>
      <c r="H32" t="s">
        <v>6</v>
      </c>
      <c r="I32" s="4">
        <v>-2489800</v>
      </c>
      <c r="J32" t="s">
        <v>46</v>
      </c>
      <c r="K32" t="s">
        <v>6</v>
      </c>
      <c r="L32" s="4">
        <v>-2489800</v>
      </c>
      <c r="M32" s="4">
        <v>-30282.16</v>
      </c>
      <c r="N32" s="18">
        <f t="shared" si="0"/>
        <v>30282.16</v>
      </c>
      <c r="O32" t="s">
        <v>142</v>
      </c>
      <c r="P32" t="s">
        <v>143</v>
      </c>
      <c r="Q32" t="s">
        <v>144</v>
      </c>
      <c r="R32" t="s">
        <v>0</v>
      </c>
      <c r="S32" t="s">
        <v>10</v>
      </c>
      <c r="T32" t="s">
        <v>145</v>
      </c>
      <c r="U32" t="s">
        <v>0</v>
      </c>
      <c r="V32" t="s">
        <v>0</v>
      </c>
      <c r="W32" t="s">
        <v>0</v>
      </c>
      <c r="X32" t="s">
        <v>0</v>
      </c>
      <c r="Y32" t="s">
        <v>0</v>
      </c>
      <c r="Z32" s="3"/>
      <c r="AA32" t="s">
        <v>0</v>
      </c>
      <c r="AB32" t="s">
        <v>0</v>
      </c>
      <c r="AC32" t="s">
        <v>0</v>
      </c>
      <c r="AD32" s="4">
        <v>0</v>
      </c>
    </row>
    <row r="33" spans="1:30" x14ac:dyDescent="0.2">
      <c r="A33" s="2" t="s">
        <v>0</v>
      </c>
      <c r="B33" t="s">
        <v>1</v>
      </c>
      <c r="C33" t="s">
        <v>55</v>
      </c>
      <c r="D33" s="3">
        <v>44040</v>
      </c>
      <c r="E33" s="3">
        <v>44040</v>
      </c>
      <c r="F33" s="3">
        <v>44042</v>
      </c>
      <c r="G33" t="s">
        <v>45</v>
      </c>
      <c r="H33" t="s">
        <v>6</v>
      </c>
      <c r="I33" s="4">
        <v>-2354900</v>
      </c>
      <c r="J33" t="s">
        <v>46</v>
      </c>
      <c r="K33" t="s">
        <v>6</v>
      </c>
      <c r="L33" s="4">
        <v>-2354900</v>
      </c>
      <c r="M33" s="4">
        <v>-27721.01</v>
      </c>
      <c r="N33" s="18">
        <f t="shared" si="0"/>
        <v>27721.01</v>
      </c>
      <c r="O33" t="s">
        <v>56</v>
      </c>
      <c r="P33" t="s">
        <v>66</v>
      </c>
      <c r="Q33" t="s">
        <v>67</v>
      </c>
      <c r="R33" t="s">
        <v>0</v>
      </c>
      <c r="S33" t="s">
        <v>10</v>
      </c>
      <c r="T33" t="s">
        <v>59</v>
      </c>
      <c r="U33" t="s">
        <v>0</v>
      </c>
      <c r="V33" t="s">
        <v>0</v>
      </c>
      <c r="W33" t="s">
        <v>0</v>
      </c>
      <c r="X33" t="s">
        <v>0</v>
      </c>
      <c r="Y33" t="s">
        <v>0</v>
      </c>
      <c r="Z33" s="3"/>
      <c r="AA33" t="s">
        <v>0</v>
      </c>
      <c r="AB33" t="s">
        <v>0</v>
      </c>
      <c r="AC33" t="s">
        <v>0</v>
      </c>
      <c r="AD33" s="4">
        <v>0</v>
      </c>
    </row>
    <row r="34" spans="1:30" x14ac:dyDescent="0.2">
      <c r="A34" s="2" t="s">
        <v>0</v>
      </c>
      <c r="B34" t="s">
        <v>1</v>
      </c>
      <c r="C34" t="s">
        <v>121</v>
      </c>
      <c r="D34" s="3">
        <v>44152</v>
      </c>
      <c r="E34" s="3">
        <v>44152</v>
      </c>
      <c r="F34" s="3">
        <v>44160</v>
      </c>
      <c r="G34" t="s">
        <v>45</v>
      </c>
      <c r="H34" t="s">
        <v>6</v>
      </c>
      <c r="I34" s="4">
        <v>-2092100</v>
      </c>
      <c r="J34" t="s">
        <v>46</v>
      </c>
      <c r="K34" t="s">
        <v>6</v>
      </c>
      <c r="L34" s="4">
        <v>-2092100</v>
      </c>
      <c r="M34" s="4">
        <v>-25026.68</v>
      </c>
      <c r="N34" s="18">
        <f t="shared" si="0"/>
        <v>25026.68</v>
      </c>
      <c r="O34" t="s">
        <v>122</v>
      </c>
      <c r="P34" t="s">
        <v>117</v>
      </c>
      <c r="Q34" t="s">
        <v>118</v>
      </c>
      <c r="R34" t="s">
        <v>0</v>
      </c>
      <c r="S34" t="s">
        <v>10</v>
      </c>
      <c r="T34" t="s">
        <v>125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s="3"/>
      <c r="AA34" t="s">
        <v>0</v>
      </c>
      <c r="AB34" t="s">
        <v>0</v>
      </c>
      <c r="AC34" t="s">
        <v>0</v>
      </c>
      <c r="AD34" s="4">
        <v>0</v>
      </c>
    </row>
    <row r="35" spans="1:30" x14ac:dyDescent="0.2">
      <c r="A35" s="2" t="s">
        <v>0</v>
      </c>
      <c r="B35" t="s">
        <v>1</v>
      </c>
      <c r="C35" t="s">
        <v>266</v>
      </c>
      <c r="D35" s="3">
        <v>44316</v>
      </c>
      <c r="E35" s="3">
        <v>44316</v>
      </c>
      <c r="F35" s="3">
        <v>44322</v>
      </c>
      <c r="G35" t="s">
        <v>3</v>
      </c>
      <c r="H35" t="s">
        <v>4</v>
      </c>
      <c r="I35" s="4">
        <v>-23889</v>
      </c>
      <c r="J35" t="s">
        <v>5</v>
      </c>
      <c r="K35" t="s">
        <v>6</v>
      </c>
      <c r="L35" s="4">
        <v>-2005481.55</v>
      </c>
      <c r="M35" s="4">
        <v>-23889</v>
      </c>
      <c r="N35" s="18">
        <f t="shared" si="0"/>
        <v>23889</v>
      </c>
      <c r="O35" t="s">
        <v>262</v>
      </c>
      <c r="P35" t="s">
        <v>263</v>
      </c>
      <c r="Q35" t="s">
        <v>264</v>
      </c>
      <c r="R35" t="s">
        <v>0</v>
      </c>
      <c r="S35" t="s">
        <v>10</v>
      </c>
      <c r="T35" t="s">
        <v>267</v>
      </c>
      <c r="U35" t="s">
        <v>12</v>
      </c>
      <c r="V35" t="s">
        <v>0</v>
      </c>
      <c r="W35" t="s">
        <v>12</v>
      </c>
      <c r="X35" t="s">
        <v>0</v>
      </c>
      <c r="Y35" t="s">
        <v>0</v>
      </c>
      <c r="Z35" s="3"/>
      <c r="AA35" t="s">
        <v>0</v>
      </c>
      <c r="AB35" t="s">
        <v>0</v>
      </c>
      <c r="AC35" t="s">
        <v>0</v>
      </c>
      <c r="AD35" s="4">
        <v>0</v>
      </c>
    </row>
    <row r="36" spans="1:30" x14ac:dyDescent="0.2">
      <c r="A36" s="2" t="s">
        <v>0</v>
      </c>
      <c r="B36" t="s">
        <v>1</v>
      </c>
      <c r="C36" t="s">
        <v>258</v>
      </c>
      <c r="D36" s="3">
        <v>44292</v>
      </c>
      <c r="E36" s="3">
        <v>44292</v>
      </c>
      <c r="F36" s="3">
        <v>44296</v>
      </c>
      <c r="G36" t="s">
        <v>45</v>
      </c>
      <c r="H36" t="s">
        <v>6</v>
      </c>
      <c r="I36" s="4">
        <v>-1884000</v>
      </c>
      <c r="J36" t="s">
        <v>46</v>
      </c>
      <c r="K36" t="s">
        <v>6</v>
      </c>
      <c r="L36" s="4">
        <v>-1884000</v>
      </c>
      <c r="M36" s="4">
        <v>-22586.01</v>
      </c>
      <c r="N36" s="18">
        <f t="shared" si="0"/>
        <v>22586.01</v>
      </c>
      <c r="O36" t="s">
        <v>259</v>
      </c>
      <c r="P36" t="s">
        <v>231</v>
      </c>
      <c r="Q36" t="s">
        <v>67</v>
      </c>
      <c r="R36" t="s">
        <v>0</v>
      </c>
      <c r="S36" t="s">
        <v>10</v>
      </c>
      <c r="T36" t="s">
        <v>260</v>
      </c>
      <c r="U36" t="s">
        <v>0</v>
      </c>
      <c r="V36" t="s">
        <v>0</v>
      </c>
      <c r="W36" t="s">
        <v>0</v>
      </c>
      <c r="X36" t="s">
        <v>0</v>
      </c>
      <c r="Y36" t="s">
        <v>0</v>
      </c>
      <c r="Z36" s="3"/>
      <c r="AA36" t="s">
        <v>0</v>
      </c>
      <c r="AB36" t="s">
        <v>0</v>
      </c>
      <c r="AC36" t="s">
        <v>0</v>
      </c>
      <c r="AD36" s="4">
        <v>0</v>
      </c>
    </row>
    <row r="37" spans="1:30" x14ac:dyDescent="0.2">
      <c r="A37" s="2" t="s">
        <v>0</v>
      </c>
      <c r="B37" t="s">
        <v>1</v>
      </c>
      <c r="C37" t="s">
        <v>55</v>
      </c>
      <c r="D37" s="3">
        <v>44040</v>
      </c>
      <c r="E37" s="3">
        <v>44040</v>
      </c>
      <c r="F37" s="3">
        <v>44042</v>
      </c>
      <c r="G37" t="s">
        <v>45</v>
      </c>
      <c r="H37" t="s">
        <v>6</v>
      </c>
      <c r="I37" s="4">
        <v>-1886000</v>
      </c>
      <c r="J37" t="s">
        <v>46</v>
      </c>
      <c r="K37" t="s">
        <v>6</v>
      </c>
      <c r="L37" s="4">
        <v>-1886000</v>
      </c>
      <c r="M37" s="4">
        <v>-22201.29</v>
      </c>
      <c r="N37" s="18">
        <f t="shared" si="0"/>
        <v>22201.29</v>
      </c>
      <c r="O37" t="s">
        <v>56</v>
      </c>
      <c r="P37" t="s">
        <v>62</v>
      </c>
      <c r="Q37" t="s">
        <v>63</v>
      </c>
      <c r="R37" t="s">
        <v>0</v>
      </c>
      <c r="S37" t="s">
        <v>10</v>
      </c>
      <c r="T37" t="s">
        <v>59</v>
      </c>
      <c r="U37" t="s">
        <v>0</v>
      </c>
      <c r="V37" t="s">
        <v>0</v>
      </c>
      <c r="W37" t="s">
        <v>0</v>
      </c>
      <c r="X37" t="s">
        <v>0</v>
      </c>
      <c r="Y37" t="s">
        <v>0</v>
      </c>
      <c r="Z37" s="3"/>
      <c r="AA37" t="s">
        <v>0</v>
      </c>
      <c r="AB37" t="s">
        <v>0</v>
      </c>
      <c r="AC37" t="s">
        <v>0</v>
      </c>
      <c r="AD37" s="4">
        <v>0</v>
      </c>
    </row>
    <row r="38" spans="1:30" x14ac:dyDescent="0.2">
      <c r="A38" s="2" t="s">
        <v>0</v>
      </c>
      <c r="B38" t="s">
        <v>1</v>
      </c>
      <c r="C38" t="s">
        <v>306</v>
      </c>
      <c r="D38" s="3">
        <v>44325</v>
      </c>
      <c r="E38" s="3">
        <v>44325</v>
      </c>
      <c r="F38" s="3">
        <v>44338</v>
      </c>
      <c r="G38" t="s">
        <v>45</v>
      </c>
      <c r="H38" t="s">
        <v>6</v>
      </c>
      <c r="I38" s="4">
        <v>-1772400</v>
      </c>
      <c r="J38" t="s">
        <v>46</v>
      </c>
      <c r="K38" t="s">
        <v>6</v>
      </c>
      <c r="L38" s="4">
        <v>-1772400</v>
      </c>
      <c r="M38" s="4">
        <v>-21203.38</v>
      </c>
      <c r="N38" s="18">
        <f t="shared" si="0"/>
        <v>21203.38</v>
      </c>
      <c r="O38" t="s">
        <v>307</v>
      </c>
      <c r="P38" t="s">
        <v>231</v>
      </c>
      <c r="Q38" t="s">
        <v>67</v>
      </c>
      <c r="R38" t="s">
        <v>0</v>
      </c>
      <c r="S38" t="s">
        <v>10</v>
      </c>
      <c r="T38" t="s">
        <v>308</v>
      </c>
      <c r="U38" t="s">
        <v>0</v>
      </c>
      <c r="V38" t="s">
        <v>0</v>
      </c>
      <c r="W38" t="s">
        <v>0</v>
      </c>
      <c r="X38" t="s">
        <v>309</v>
      </c>
      <c r="Y38" t="s">
        <v>0</v>
      </c>
      <c r="Z38" s="3"/>
      <c r="AA38" t="s">
        <v>0</v>
      </c>
      <c r="AB38" t="s">
        <v>0</v>
      </c>
      <c r="AC38" t="s">
        <v>0</v>
      </c>
      <c r="AD38" s="4">
        <v>0</v>
      </c>
    </row>
    <row r="39" spans="1:30" x14ac:dyDescent="0.2">
      <c r="A39" s="2" t="s">
        <v>0</v>
      </c>
      <c r="B39" t="s">
        <v>1</v>
      </c>
      <c r="C39" t="s">
        <v>170</v>
      </c>
      <c r="D39" s="3">
        <v>44199</v>
      </c>
      <c r="E39" s="3">
        <v>44199</v>
      </c>
      <c r="F39" s="3">
        <v>44223</v>
      </c>
      <c r="G39" t="s">
        <v>45</v>
      </c>
      <c r="H39" t="s">
        <v>6</v>
      </c>
      <c r="I39" s="4">
        <v>-1744600</v>
      </c>
      <c r="J39" t="s">
        <v>46</v>
      </c>
      <c r="K39" t="s">
        <v>6</v>
      </c>
      <c r="L39" s="4">
        <v>-1744600</v>
      </c>
      <c r="M39" s="4">
        <v>-20967.18</v>
      </c>
      <c r="N39" s="18">
        <f t="shared" si="0"/>
        <v>20967.18</v>
      </c>
      <c r="O39" t="s">
        <v>171</v>
      </c>
      <c r="P39" t="s">
        <v>172</v>
      </c>
      <c r="Q39" t="s">
        <v>173</v>
      </c>
      <c r="R39" t="s">
        <v>0</v>
      </c>
      <c r="S39" t="s">
        <v>10</v>
      </c>
      <c r="T39" t="s">
        <v>174</v>
      </c>
      <c r="U39" t="s">
        <v>0</v>
      </c>
      <c r="V39" t="s">
        <v>0</v>
      </c>
      <c r="W39" t="s">
        <v>0</v>
      </c>
      <c r="X39" t="s">
        <v>0</v>
      </c>
      <c r="Y39" t="s">
        <v>0</v>
      </c>
      <c r="Z39" s="3"/>
      <c r="AA39" t="s">
        <v>0</v>
      </c>
      <c r="AB39" t="s">
        <v>0</v>
      </c>
      <c r="AC39" t="s">
        <v>0</v>
      </c>
      <c r="AD39" s="4">
        <v>0</v>
      </c>
    </row>
    <row r="40" spans="1:30" x14ac:dyDescent="0.2">
      <c r="A40" s="2" t="s">
        <v>0</v>
      </c>
      <c r="B40" t="s">
        <v>1</v>
      </c>
      <c r="C40" t="s">
        <v>268</v>
      </c>
      <c r="D40" s="3">
        <v>44316</v>
      </c>
      <c r="E40" s="3">
        <v>44316</v>
      </c>
      <c r="F40" s="3">
        <v>44322</v>
      </c>
      <c r="G40" t="s">
        <v>3</v>
      </c>
      <c r="H40" t="s">
        <v>4</v>
      </c>
      <c r="I40" s="4">
        <v>-18290</v>
      </c>
      <c r="J40" t="s">
        <v>5</v>
      </c>
      <c r="K40" t="s">
        <v>6</v>
      </c>
      <c r="L40" s="4">
        <v>-1535445.5</v>
      </c>
      <c r="M40" s="4">
        <v>-18290</v>
      </c>
      <c r="N40" s="18">
        <f t="shared" si="0"/>
        <v>18290</v>
      </c>
      <c r="O40" t="s">
        <v>262</v>
      </c>
      <c r="P40" t="s">
        <v>263</v>
      </c>
      <c r="Q40" t="s">
        <v>269</v>
      </c>
      <c r="R40" t="s">
        <v>0</v>
      </c>
      <c r="S40" t="s">
        <v>10</v>
      </c>
      <c r="T40" t="s">
        <v>265</v>
      </c>
      <c r="U40" t="s">
        <v>12</v>
      </c>
      <c r="V40" t="s">
        <v>0</v>
      </c>
      <c r="W40" t="s">
        <v>12</v>
      </c>
      <c r="X40" t="s">
        <v>0</v>
      </c>
      <c r="Y40" t="s">
        <v>0</v>
      </c>
      <c r="Z40" s="3"/>
      <c r="AA40" t="s">
        <v>0</v>
      </c>
      <c r="AB40" t="s">
        <v>0</v>
      </c>
      <c r="AC40" t="s">
        <v>0</v>
      </c>
      <c r="AD40" s="4">
        <v>0</v>
      </c>
    </row>
    <row r="41" spans="1:30" x14ac:dyDescent="0.2">
      <c r="A41" s="2" t="s">
        <v>0</v>
      </c>
      <c r="B41" t="s">
        <v>1</v>
      </c>
      <c r="C41" t="s">
        <v>141</v>
      </c>
      <c r="D41" s="3">
        <v>44166</v>
      </c>
      <c r="E41" s="3">
        <v>44166</v>
      </c>
      <c r="F41" s="3">
        <v>44186</v>
      </c>
      <c r="G41" t="s">
        <v>45</v>
      </c>
      <c r="H41" t="s">
        <v>6</v>
      </c>
      <c r="I41" s="4">
        <v>-1474500</v>
      </c>
      <c r="J41" t="s">
        <v>46</v>
      </c>
      <c r="K41" t="s">
        <v>6</v>
      </c>
      <c r="L41" s="4">
        <v>-1474500</v>
      </c>
      <c r="M41" s="4">
        <v>-18166.89</v>
      </c>
      <c r="N41" s="18">
        <f t="shared" si="0"/>
        <v>18166.89</v>
      </c>
      <c r="O41" t="s">
        <v>142</v>
      </c>
      <c r="P41" t="s">
        <v>146</v>
      </c>
      <c r="Q41" t="s">
        <v>147</v>
      </c>
      <c r="R41" t="s">
        <v>0</v>
      </c>
      <c r="S41" t="s">
        <v>10</v>
      </c>
      <c r="T41" t="s">
        <v>145</v>
      </c>
      <c r="U41" t="s">
        <v>0</v>
      </c>
      <c r="V41" t="s">
        <v>0</v>
      </c>
      <c r="W41" t="s">
        <v>0</v>
      </c>
      <c r="X41" t="s">
        <v>0</v>
      </c>
      <c r="Y41" t="s">
        <v>0</v>
      </c>
      <c r="Z41" s="3"/>
      <c r="AA41" t="s">
        <v>0</v>
      </c>
      <c r="AB41" t="s">
        <v>0</v>
      </c>
      <c r="AC41" t="s">
        <v>0</v>
      </c>
      <c r="AD41" s="4">
        <v>0</v>
      </c>
    </row>
    <row r="42" spans="1:30" x14ac:dyDescent="0.2">
      <c r="A42" s="2" t="s">
        <v>0</v>
      </c>
      <c r="B42" t="s">
        <v>1</v>
      </c>
      <c r="C42" t="s">
        <v>327</v>
      </c>
      <c r="D42" s="3">
        <v>44347</v>
      </c>
      <c r="E42" s="3">
        <v>44347</v>
      </c>
      <c r="F42" s="3">
        <v>44355</v>
      </c>
      <c r="G42" t="s">
        <v>3</v>
      </c>
      <c r="H42" t="s">
        <v>4</v>
      </c>
      <c r="I42" s="4">
        <v>-17742</v>
      </c>
      <c r="J42" t="s">
        <v>5</v>
      </c>
      <c r="K42" t="s">
        <v>6</v>
      </c>
      <c r="L42" s="4">
        <v>-1489440.9</v>
      </c>
      <c r="M42" s="4">
        <v>-17742</v>
      </c>
      <c r="N42" s="18">
        <f t="shared" si="0"/>
        <v>17742</v>
      </c>
      <c r="O42" t="s">
        <v>320</v>
      </c>
      <c r="P42" t="s">
        <v>328</v>
      </c>
      <c r="Q42" t="s">
        <v>329</v>
      </c>
      <c r="R42" t="s">
        <v>0</v>
      </c>
      <c r="S42" t="s">
        <v>10</v>
      </c>
      <c r="T42" t="s">
        <v>323</v>
      </c>
      <c r="U42" t="s">
        <v>12</v>
      </c>
      <c r="V42" t="s">
        <v>0</v>
      </c>
      <c r="W42" t="s">
        <v>12</v>
      </c>
      <c r="X42" t="s">
        <v>0</v>
      </c>
      <c r="Y42" t="s">
        <v>0</v>
      </c>
      <c r="Z42" s="3"/>
      <c r="AA42" t="s">
        <v>0</v>
      </c>
      <c r="AB42" t="s">
        <v>0</v>
      </c>
      <c r="AC42" t="s">
        <v>0</v>
      </c>
      <c r="AD42" s="4">
        <v>0</v>
      </c>
    </row>
    <row r="43" spans="1:30" x14ac:dyDescent="0.2">
      <c r="A43" s="2" t="s">
        <v>0</v>
      </c>
      <c r="B43" t="s">
        <v>1</v>
      </c>
      <c r="C43" t="s">
        <v>121</v>
      </c>
      <c r="D43" s="3">
        <v>44152</v>
      </c>
      <c r="E43" s="3">
        <v>44152</v>
      </c>
      <c r="F43" s="3">
        <v>44160</v>
      </c>
      <c r="G43" t="s">
        <v>45</v>
      </c>
      <c r="H43" t="s">
        <v>6</v>
      </c>
      <c r="I43" s="4">
        <v>-1471000</v>
      </c>
      <c r="J43" t="s">
        <v>46</v>
      </c>
      <c r="K43" t="s">
        <v>6</v>
      </c>
      <c r="L43" s="4">
        <v>-1471000</v>
      </c>
      <c r="M43" s="4">
        <v>-17694.509999999998</v>
      </c>
      <c r="N43" s="18">
        <f t="shared" si="0"/>
        <v>17694.509999999998</v>
      </c>
      <c r="O43" t="s">
        <v>122</v>
      </c>
      <c r="P43" t="s">
        <v>119</v>
      </c>
      <c r="Q43" t="s">
        <v>120</v>
      </c>
      <c r="R43" t="s">
        <v>0</v>
      </c>
      <c r="S43" t="s">
        <v>10</v>
      </c>
      <c r="T43" t="s">
        <v>125</v>
      </c>
      <c r="U43" t="s">
        <v>0</v>
      </c>
      <c r="V43" t="s">
        <v>0</v>
      </c>
      <c r="W43" t="s">
        <v>0</v>
      </c>
      <c r="X43" t="s">
        <v>0</v>
      </c>
      <c r="Y43" t="s">
        <v>0</v>
      </c>
      <c r="Z43" s="3"/>
      <c r="AA43" t="s">
        <v>0</v>
      </c>
      <c r="AB43" t="s">
        <v>0</v>
      </c>
      <c r="AC43" t="s">
        <v>0</v>
      </c>
      <c r="AD43" s="4">
        <v>0</v>
      </c>
    </row>
    <row r="44" spans="1:30" x14ac:dyDescent="0.2">
      <c r="A44" s="2" t="s">
        <v>0</v>
      </c>
      <c r="B44" t="s">
        <v>1</v>
      </c>
      <c r="C44" t="s">
        <v>177</v>
      </c>
      <c r="D44" s="3">
        <v>44199</v>
      </c>
      <c r="E44" s="3">
        <v>44199</v>
      </c>
      <c r="F44" s="3">
        <v>44223</v>
      </c>
      <c r="G44" t="s">
        <v>45</v>
      </c>
      <c r="H44" t="s">
        <v>6</v>
      </c>
      <c r="I44" s="4">
        <v>-1375100</v>
      </c>
      <c r="J44" t="s">
        <v>46</v>
      </c>
      <c r="K44" t="s">
        <v>6</v>
      </c>
      <c r="L44" s="4">
        <v>-1375100</v>
      </c>
      <c r="M44" s="4">
        <v>-16446.84</v>
      </c>
      <c r="N44" s="18">
        <f t="shared" si="0"/>
        <v>16446.84</v>
      </c>
      <c r="O44" t="s">
        <v>178</v>
      </c>
      <c r="P44" t="s">
        <v>179</v>
      </c>
      <c r="Q44" t="s">
        <v>140</v>
      </c>
      <c r="R44" t="s">
        <v>0</v>
      </c>
      <c r="S44" t="s">
        <v>10</v>
      </c>
      <c r="T44" t="s">
        <v>180</v>
      </c>
      <c r="U44" t="s">
        <v>0</v>
      </c>
      <c r="V44" t="s">
        <v>0</v>
      </c>
      <c r="W44" t="s">
        <v>0</v>
      </c>
      <c r="X44" t="s">
        <v>0</v>
      </c>
      <c r="Y44" t="s">
        <v>0</v>
      </c>
      <c r="Z44" s="3"/>
      <c r="AA44" t="s">
        <v>0</v>
      </c>
      <c r="AB44" t="s">
        <v>0</v>
      </c>
      <c r="AC44" t="s">
        <v>0</v>
      </c>
      <c r="AD44" s="4">
        <v>0</v>
      </c>
    </row>
    <row r="45" spans="1:30" x14ac:dyDescent="0.2">
      <c r="A45" s="2" t="s">
        <v>0</v>
      </c>
      <c r="B45" t="s">
        <v>1</v>
      </c>
      <c r="C45" t="s">
        <v>341</v>
      </c>
      <c r="D45" s="3">
        <v>44377</v>
      </c>
      <c r="E45" s="3">
        <v>44377</v>
      </c>
      <c r="F45" s="3">
        <v>44386</v>
      </c>
      <c r="G45" t="s">
        <v>3</v>
      </c>
      <c r="H45" t="s">
        <v>4</v>
      </c>
      <c r="I45" s="4">
        <v>-16320</v>
      </c>
      <c r="J45" t="s">
        <v>5</v>
      </c>
      <c r="K45" t="s">
        <v>6</v>
      </c>
      <c r="L45" s="4">
        <v>-1370064</v>
      </c>
      <c r="M45" s="4">
        <v>-16320</v>
      </c>
      <c r="N45" s="18">
        <f t="shared" si="0"/>
        <v>16320</v>
      </c>
      <c r="O45" t="s">
        <v>334</v>
      </c>
      <c r="P45" t="s">
        <v>342</v>
      </c>
      <c r="Q45" t="s">
        <v>343</v>
      </c>
      <c r="R45" t="s">
        <v>0</v>
      </c>
      <c r="S45" t="s">
        <v>10</v>
      </c>
      <c r="T45" t="s">
        <v>344</v>
      </c>
      <c r="U45" t="s">
        <v>12</v>
      </c>
      <c r="V45" t="s">
        <v>0</v>
      </c>
      <c r="W45" t="s">
        <v>12</v>
      </c>
      <c r="X45" t="s">
        <v>0</v>
      </c>
      <c r="Y45" t="s">
        <v>0</v>
      </c>
      <c r="Z45" s="3"/>
      <c r="AA45" t="s">
        <v>0</v>
      </c>
      <c r="AB45" t="s">
        <v>0</v>
      </c>
      <c r="AC45" t="s">
        <v>0</v>
      </c>
      <c r="AD45" s="4">
        <v>0</v>
      </c>
    </row>
    <row r="46" spans="1:30" x14ac:dyDescent="0.2">
      <c r="A46" s="2" t="s">
        <v>0</v>
      </c>
      <c r="B46" t="s">
        <v>1</v>
      </c>
      <c r="C46" t="s">
        <v>270</v>
      </c>
      <c r="D46" s="3">
        <v>44316</v>
      </c>
      <c r="E46" s="3">
        <v>44316</v>
      </c>
      <c r="F46" s="3">
        <v>44322</v>
      </c>
      <c r="G46" t="s">
        <v>3</v>
      </c>
      <c r="H46" t="s">
        <v>4</v>
      </c>
      <c r="I46" s="4">
        <v>-9200</v>
      </c>
      <c r="J46" t="s">
        <v>5</v>
      </c>
      <c r="K46" t="s">
        <v>6</v>
      </c>
      <c r="L46" s="4">
        <v>-772340</v>
      </c>
      <c r="M46" s="4">
        <v>-9200</v>
      </c>
      <c r="N46" s="18">
        <f t="shared" si="0"/>
        <v>9200</v>
      </c>
      <c r="O46" t="s">
        <v>262</v>
      </c>
      <c r="P46" t="s">
        <v>263</v>
      </c>
      <c r="Q46" t="s">
        <v>269</v>
      </c>
      <c r="R46" t="s">
        <v>0</v>
      </c>
      <c r="S46" t="s">
        <v>10</v>
      </c>
      <c r="T46" t="s">
        <v>267</v>
      </c>
      <c r="U46" t="s">
        <v>12</v>
      </c>
      <c r="V46" t="s">
        <v>0</v>
      </c>
      <c r="W46" t="s">
        <v>12</v>
      </c>
      <c r="X46" t="s">
        <v>0</v>
      </c>
      <c r="Y46" t="s">
        <v>0</v>
      </c>
      <c r="Z46" s="3"/>
      <c r="AA46" t="s">
        <v>0</v>
      </c>
      <c r="AB46" t="s">
        <v>0</v>
      </c>
      <c r="AC46" t="s">
        <v>0</v>
      </c>
      <c r="AD46" s="4">
        <v>0</v>
      </c>
    </row>
    <row r="47" spans="1:30" x14ac:dyDescent="0.2">
      <c r="A47" s="2" t="s">
        <v>0</v>
      </c>
      <c r="B47" t="s">
        <v>1</v>
      </c>
      <c r="C47" t="s">
        <v>55</v>
      </c>
      <c r="D47" s="3">
        <v>44040</v>
      </c>
      <c r="E47" s="3">
        <v>44040</v>
      </c>
      <c r="F47" s="3">
        <v>44042</v>
      </c>
      <c r="G47" t="s">
        <v>45</v>
      </c>
      <c r="H47" t="s">
        <v>6</v>
      </c>
      <c r="I47" s="4">
        <v>-562900</v>
      </c>
      <c r="J47" t="s">
        <v>46</v>
      </c>
      <c r="K47" t="s">
        <v>6</v>
      </c>
      <c r="L47" s="4">
        <v>-562900</v>
      </c>
      <c r="M47" s="4">
        <v>-6626.26</v>
      </c>
      <c r="N47" s="18">
        <f t="shared" si="0"/>
        <v>6626.26</v>
      </c>
      <c r="O47" t="s">
        <v>56</v>
      </c>
      <c r="P47" t="s">
        <v>57</v>
      </c>
      <c r="Q47" t="s">
        <v>58</v>
      </c>
      <c r="R47" t="s">
        <v>0</v>
      </c>
      <c r="S47" t="s">
        <v>10</v>
      </c>
      <c r="T47" t="s">
        <v>59</v>
      </c>
      <c r="U47" t="s">
        <v>0</v>
      </c>
      <c r="V47" t="s">
        <v>0</v>
      </c>
      <c r="W47" t="s">
        <v>0</v>
      </c>
      <c r="X47" t="s">
        <v>0</v>
      </c>
      <c r="Y47" t="s">
        <v>0</v>
      </c>
      <c r="Z47" s="3"/>
      <c r="AA47" t="s">
        <v>0</v>
      </c>
      <c r="AB47" t="s">
        <v>0</v>
      </c>
      <c r="AC47" t="s">
        <v>0</v>
      </c>
      <c r="AD47" s="4">
        <v>0</v>
      </c>
    </row>
    <row r="48" spans="1:30" x14ac:dyDescent="0.2">
      <c r="A48" s="2" t="s">
        <v>0</v>
      </c>
      <c r="B48" t="s">
        <v>1</v>
      </c>
      <c r="C48" t="s">
        <v>312</v>
      </c>
      <c r="D48" s="3">
        <v>44325</v>
      </c>
      <c r="E48" s="3">
        <v>44325</v>
      </c>
      <c r="F48" s="3">
        <v>44340</v>
      </c>
      <c r="G48" t="s">
        <v>45</v>
      </c>
      <c r="H48" t="s">
        <v>6</v>
      </c>
      <c r="I48" s="4">
        <v>-482900</v>
      </c>
      <c r="J48" t="s">
        <v>46</v>
      </c>
      <c r="K48" t="s">
        <v>6</v>
      </c>
      <c r="L48" s="4">
        <v>-482900</v>
      </c>
      <c r="M48" s="4">
        <v>-5808.33</v>
      </c>
      <c r="N48" s="18">
        <f t="shared" si="0"/>
        <v>5808.33</v>
      </c>
      <c r="O48" t="s">
        <v>313</v>
      </c>
      <c r="P48" t="s">
        <v>317</v>
      </c>
      <c r="Q48" t="s">
        <v>318</v>
      </c>
      <c r="R48" t="s">
        <v>0</v>
      </c>
      <c r="S48" t="s">
        <v>10</v>
      </c>
      <c r="T48" t="s">
        <v>316</v>
      </c>
      <c r="U48" t="s">
        <v>0</v>
      </c>
      <c r="V48" t="s">
        <v>0</v>
      </c>
      <c r="W48" t="s">
        <v>0</v>
      </c>
      <c r="X48" t="s">
        <v>309</v>
      </c>
      <c r="Y48" t="s">
        <v>0</v>
      </c>
      <c r="Z48" s="3"/>
      <c r="AA48" t="s">
        <v>0</v>
      </c>
      <c r="AB48" t="s">
        <v>0</v>
      </c>
      <c r="AC48" t="s">
        <v>0</v>
      </c>
      <c r="AD48" s="4">
        <v>0</v>
      </c>
    </row>
    <row r="49" spans="1:30" x14ac:dyDescent="0.2">
      <c r="A49" s="2" t="s">
        <v>0</v>
      </c>
      <c r="B49" t="s">
        <v>1</v>
      </c>
      <c r="C49" t="s">
        <v>306</v>
      </c>
      <c r="D49" s="3">
        <v>44325</v>
      </c>
      <c r="E49" s="3">
        <v>44325</v>
      </c>
      <c r="F49" s="3">
        <v>44338</v>
      </c>
      <c r="G49" t="s">
        <v>45</v>
      </c>
      <c r="H49" t="s">
        <v>6</v>
      </c>
      <c r="I49" s="4">
        <v>-455400</v>
      </c>
      <c r="J49" t="s">
        <v>46</v>
      </c>
      <c r="K49" t="s">
        <v>6</v>
      </c>
      <c r="L49" s="4">
        <v>-455400</v>
      </c>
      <c r="M49" s="4">
        <v>-5446.68</v>
      </c>
      <c r="N49" s="18">
        <f t="shared" si="0"/>
        <v>5446.68</v>
      </c>
      <c r="O49" t="s">
        <v>307</v>
      </c>
      <c r="P49" t="s">
        <v>310</v>
      </c>
      <c r="Q49" t="s">
        <v>311</v>
      </c>
      <c r="R49" t="s">
        <v>0</v>
      </c>
      <c r="S49" t="s">
        <v>10</v>
      </c>
      <c r="T49" t="s">
        <v>308</v>
      </c>
      <c r="U49" t="s">
        <v>0</v>
      </c>
      <c r="V49" t="s">
        <v>0</v>
      </c>
      <c r="W49" t="s">
        <v>0</v>
      </c>
      <c r="X49" t="s">
        <v>309</v>
      </c>
      <c r="Y49" t="s">
        <v>0</v>
      </c>
      <c r="Z49" s="3"/>
      <c r="AA49" t="s">
        <v>0</v>
      </c>
      <c r="AB49" t="s">
        <v>0</v>
      </c>
      <c r="AC49" t="s">
        <v>0</v>
      </c>
      <c r="AD49" s="4">
        <v>0</v>
      </c>
    </row>
    <row r="52" spans="1:30" x14ac:dyDescent="0.2">
      <c r="N52" s="24">
        <f>SUM(N2:N49)</f>
        <v>2378716.2299999995</v>
      </c>
    </row>
  </sheetData>
  <autoFilter ref="A1:AD50" xr:uid="{CC0F3C12-D324-4034-ACB0-9B532609939A}">
    <sortState xmlns:xlrd2="http://schemas.microsoft.com/office/spreadsheetml/2017/richdata2" ref="A2:AD50">
      <sortCondition descending="1" ref="N1:N50"/>
    </sortState>
  </autoFilter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E3091-BAB8-4469-BED3-C5E622D0C2FC}">
  <dimension ref="A1:AE68"/>
  <sheetViews>
    <sheetView workbookViewId="0">
      <selection sqref="A1:XFD1"/>
    </sheetView>
  </sheetViews>
  <sheetFormatPr defaultRowHeight="12.75" x14ac:dyDescent="0.2"/>
  <sheetData>
    <row r="1" spans="1:31" ht="38.25" x14ac:dyDescent="0.2">
      <c r="A1" s="5" t="s">
        <v>271</v>
      </c>
      <c r="B1" s="1" t="s">
        <v>272</v>
      </c>
      <c r="C1" s="1" t="s">
        <v>273</v>
      </c>
      <c r="D1" s="1" t="s">
        <v>274</v>
      </c>
      <c r="E1" s="1" t="s">
        <v>275</v>
      </c>
      <c r="F1" s="1" t="s">
        <v>276</v>
      </c>
      <c r="G1" s="5" t="s">
        <v>277</v>
      </c>
      <c r="H1" s="5" t="s">
        <v>278</v>
      </c>
      <c r="I1" s="1" t="s">
        <v>279</v>
      </c>
      <c r="J1" s="1" t="s">
        <v>280</v>
      </c>
      <c r="K1" s="5" t="s">
        <v>281</v>
      </c>
      <c r="L1" s="5" t="s">
        <v>282</v>
      </c>
      <c r="M1" s="1" t="s">
        <v>283</v>
      </c>
      <c r="N1" s="1" t="s">
        <v>348</v>
      </c>
      <c r="O1" s="13" t="s">
        <v>349</v>
      </c>
      <c r="P1" s="1" t="s">
        <v>284</v>
      </c>
      <c r="Q1" s="1" t="s">
        <v>285</v>
      </c>
      <c r="R1" s="1" t="s">
        <v>286</v>
      </c>
      <c r="S1" s="1" t="s">
        <v>287</v>
      </c>
      <c r="T1" s="1" t="s">
        <v>288</v>
      </c>
      <c r="U1" s="1" t="s">
        <v>289</v>
      </c>
      <c r="V1" s="1" t="s">
        <v>290</v>
      </c>
      <c r="W1" s="1" t="s">
        <v>291</v>
      </c>
      <c r="X1" s="1" t="s">
        <v>292</v>
      </c>
      <c r="Y1" s="1" t="s">
        <v>293</v>
      </c>
      <c r="Z1" s="1" t="s">
        <v>294</v>
      </c>
      <c r="AA1" s="1" t="s">
        <v>295</v>
      </c>
      <c r="AB1" s="1" t="s">
        <v>296</v>
      </c>
      <c r="AC1" s="1" t="s">
        <v>297</v>
      </c>
      <c r="AD1" s="1" t="s">
        <v>298</v>
      </c>
      <c r="AE1" s="5" t="s">
        <v>299</v>
      </c>
    </row>
    <row r="2" spans="1:31" x14ac:dyDescent="0.2">
      <c r="A2" s="2" t="s">
        <v>0</v>
      </c>
      <c r="B2" t="s">
        <v>1</v>
      </c>
      <c r="C2" t="s">
        <v>68</v>
      </c>
      <c r="D2" s="3">
        <v>44043</v>
      </c>
      <c r="E2" s="3">
        <v>44043</v>
      </c>
      <c r="F2" s="3">
        <v>44061</v>
      </c>
      <c r="G2" t="s">
        <v>3</v>
      </c>
      <c r="H2" t="s">
        <v>4</v>
      </c>
      <c r="I2" s="4">
        <v>-45627.44</v>
      </c>
      <c r="J2" t="s">
        <v>5</v>
      </c>
      <c r="K2" t="s">
        <v>6</v>
      </c>
      <c r="L2" s="4">
        <v>-3830423.59</v>
      </c>
      <c r="M2" s="4">
        <v>-45627.44</v>
      </c>
      <c r="N2" s="6" t="s">
        <v>350</v>
      </c>
      <c r="O2" s="14" t="s">
        <v>351</v>
      </c>
      <c r="P2" t="s">
        <v>33</v>
      </c>
      <c r="Q2" t="s">
        <v>69</v>
      </c>
      <c r="R2" t="s">
        <v>70</v>
      </c>
      <c r="S2" t="s">
        <v>0</v>
      </c>
      <c r="T2" t="s">
        <v>10</v>
      </c>
      <c r="U2" t="s">
        <v>71</v>
      </c>
      <c r="V2" t="s">
        <v>12</v>
      </c>
      <c r="W2" t="s">
        <v>0</v>
      </c>
      <c r="X2" t="s">
        <v>12</v>
      </c>
      <c r="Y2" t="s">
        <v>0</v>
      </c>
      <c r="Z2" t="s">
        <v>0</v>
      </c>
      <c r="AA2" s="3"/>
      <c r="AB2" t="s">
        <v>0</v>
      </c>
      <c r="AC2" t="s">
        <v>0</v>
      </c>
      <c r="AD2" t="s">
        <v>0</v>
      </c>
      <c r="AE2" s="4">
        <v>0</v>
      </c>
    </row>
    <row r="3" spans="1:31" x14ac:dyDescent="0.2">
      <c r="A3" s="2" t="s">
        <v>0</v>
      </c>
      <c r="B3" t="s">
        <v>1</v>
      </c>
      <c r="C3" t="s">
        <v>72</v>
      </c>
      <c r="D3" s="3">
        <v>44043</v>
      </c>
      <c r="E3" s="3">
        <v>44043</v>
      </c>
      <c r="F3" s="3">
        <v>44061</v>
      </c>
      <c r="G3" t="s">
        <v>3</v>
      </c>
      <c r="H3" t="s">
        <v>4</v>
      </c>
      <c r="I3" s="4">
        <v>-158665.60999999999</v>
      </c>
      <c r="J3" t="s">
        <v>5</v>
      </c>
      <c r="K3" t="s">
        <v>6</v>
      </c>
      <c r="L3" s="4">
        <v>-13319977.960000001</v>
      </c>
      <c r="M3" s="4">
        <v>-158665.60999999999</v>
      </c>
      <c r="N3" s="6" t="s">
        <v>352</v>
      </c>
      <c r="O3" s="14" t="s">
        <v>351</v>
      </c>
      <c r="P3" t="s">
        <v>73</v>
      </c>
      <c r="Q3" t="s">
        <v>69</v>
      </c>
      <c r="R3" t="s">
        <v>74</v>
      </c>
      <c r="S3" t="s">
        <v>0</v>
      </c>
      <c r="T3" t="s">
        <v>10</v>
      </c>
      <c r="U3" t="s">
        <v>75</v>
      </c>
      <c r="V3" t="s">
        <v>12</v>
      </c>
      <c r="W3" t="s">
        <v>0</v>
      </c>
      <c r="X3" t="s">
        <v>12</v>
      </c>
      <c r="Y3" t="s">
        <v>0</v>
      </c>
      <c r="Z3" t="s">
        <v>0</v>
      </c>
      <c r="AA3" s="3"/>
      <c r="AB3" t="s">
        <v>0</v>
      </c>
      <c r="AC3" t="s">
        <v>0</v>
      </c>
      <c r="AD3" t="s">
        <v>0</v>
      </c>
      <c r="AE3" s="4">
        <v>0</v>
      </c>
    </row>
    <row r="4" spans="1:31" x14ac:dyDescent="0.2">
      <c r="A4" s="2" t="s">
        <v>0</v>
      </c>
      <c r="B4" t="s">
        <v>1</v>
      </c>
      <c r="C4" t="s">
        <v>76</v>
      </c>
      <c r="D4" s="3">
        <v>44151</v>
      </c>
      <c r="E4" s="3">
        <v>44043</v>
      </c>
      <c r="F4" s="3">
        <v>44160</v>
      </c>
      <c r="G4" t="s">
        <v>3</v>
      </c>
      <c r="H4" t="s">
        <v>4</v>
      </c>
      <c r="I4" s="4">
        <v>158665.60999999999</v>
      </c>
      <c r="J4" t="s">
        <v>5</v>
      </c>
      <c r="K4" t="s">
        <v>6</v>
      </c>
      <c r="L4" s="4">
        <v>13319977.960000001</v>
      </c>
      <c r="M4" s="4">
        <v>158665.60999999999</v>
      </c>
      <c r="N4" s="6" t="s">
        <v>352</v>
      </c>
      <c r="O4" s="14" t="s">
        <v>351</v>
      </c>
      <c r="P4" t="s">
        <v>73</v>
      </c>
      <c r="Q4" t="s">
        <v>69</v>
      </c>
      <c r="R4" t="s">
        <v>74</v>
      </c>
      <c r="S4" t="s">
        <v>0</v>
      </c>
      <c r="T4" t="s">
        <v>10</v>
      </c>
      <c r="U4" t="s">
        <v>75</v>
      </c>
      <c r="V4" t="s">
        <v>12</v>
      </c>
      <c r="W4" t="s">
        <v>0</v>
      </c>
      <c r="X4" t="s">
        <v>12</v>
      </c>
      <c r="Y4" t="s">
        <v>0</v>
      </c>
      <c r="Z4" t="s">
        <v>0</v>
      </c>
      <c r="AA4" s="3"/>
      <c r="AB4" t="s">
        <v>0</v>
      </c>
      <c r="AC4" t="s">
        <v>0</v>
      </c>
      <c r="AD4" t="s">
        <v>0</v>
      </c>
      <c r="AE4" s="4">
        <v>0</v>
      </c>
    </row>
    <row r="5" spans="1:31" x14ac:dyDescent="0.2">
      <c r="A5" s="2" t="s">
        <v>0</v>
      </c>
      <c r="B5" t="s">
        <v>1</v>
      </c>
      <c r="C5" t="s">
        <v>77</v>
      </c>
      <c r="D5" s="3">
        <v>44151</v>
      </c>
      <c r="E5" s="3">
        <v>44043</v>
      </c>
      <c r="F5" s="3">
        <v>44160</v>
      </c>
      <c r="G5" t="s">
        <v>3</v>
      </c>
      <c r="H5" t="s">
        <v>4</v>
      </c>
      <c r="I5" s="4">
        <v>45627.44</v>
      </c>
      <c r="J5" t="s">
        <v>5</v>
      </c>
      <c r="K5" t="s">
        <v>6</v>
      </c>
      <c r="L5" s="4">
        <v>3830423.59</v>
      </c>
      <c r="M5" s="4">
        <v>45627.44</v>
      </c>
      <c r="N5" s="6" t="s">
        <v>350</v>
      </c>
      <c r="O5" s="14" t="s">
        <v>351</v>
      </c>
      <c r="P5" t="s">
        <v>33</v>
      </c>
      <c r="Q5" t="s">
        <v>69</v>
      </c>
      <c r="R5" t="s">
        <v>70</v>
      </c>
      <c r="S5" t="s">
        <v>0</v>
      </c>
      <c r="T5" t="s">
        <v>10</v>
      </c>
      <c r="U5" t="s">
        <v>71</v>
      </c>
      <c r="V5" t="s">
        <v>12</v>
      </c>
      <c r="W5" t="s">
        <v>0</v>
      </c>
      <c r="X5" t="s">
        <v>12</v>
      </c>
      <c r="Y5" t="s">
        <v>0</v>
      </c>
      <c r="Z5" t="s">
        <v>0</v>
      </c>
      <c r="AA5" s="3"/>
      <c r="AB5" t="s">
        <v>0</v>
      </c>
      <c r="AC5" t="s">
        <v>0</v>
      </c>
      <c r="AD5" t="s">
        <v>0</v>
      </c>
      <c r="AE5" s="4">
        <v>0</v>
      </c>
    </row>
    <row r="6" spans="1:31" x14ac:dyDescent="0.2">
      <c r="A6" s="2" t="s">
        <v>0</v>
      </c>
      <c r="B6" t="s">
        <v>1</v>
      </c>
      <c r="C6" t="s">
        <v>78</v>
      </c>
      <c r="D6" s="3">
        <v>44074</v>
      </c>
      <c r="E6" s="3">
        <v>44074</v>
      </c>
      <c r="F6" s="3">
        <v>44083</v>
      </c>
      <c r="G6" t="s">
        <v>3</v>
      </c>
      <c r="H6" t="s">
        <v>4</v>
      </c>
      <c r="I6" s="4">
        <v>-75805.710000000006</v>
      </c>
      <c r="J6" t="s">
        <v>5</v>
      </c>
      <c r="K6" t="s">
        <v>6</v>
      </c>
      <c r="L6" s="4">
        <v>-6363889.3499999996</v>
      </c>
      <c r="M6" s="4">
        <v>-75805.710000000006</v>
      </c>
      <c r="N6" s="6" t="s">
        <v>353</v>
      </c>
      <c r="O6" s="14" t="s">
        <v>351</v>
      </c>
      <c r="P6" t="s">
        <v>79</v>
      </c>
      <c r="Q6" t="s">
        <v>80</v>
      </c>
      <c r="R6" t="s">
        <v>81</v>
      </c>
      <c r="S6" t="s">
        <v>0</v>
      </c>
      <c r="T6" t="s">
        <v>10</v>
      </c>
      <c r="U6" t="s">
        <v>82</v>
      </c>
      <c r="V6" t="s">
        <v>12</v>
      </c>
      <c r="W6" t="s">
        <v>0</v>
      </c>
      <c r="X6" t="s">
        <v>12</v>
      </c>
      <c r="Y6" t="s">
        <v>0</v>
      </c>
      <c r="Z6" t="s">
        <v>0</v>
      </c>
      <c r="AA6" s="3"/>
      <c r="AB6" t="s">
        <v>0</v>
      </c>
      <c r="AC6" t="s">
        <v>0</v>
      </c>
      <c r="AD6" t="s">
        <v>0</v>
      </c>
      <c r="AE6" s="4">
        <v>0</v>
      </c>
    </row>
    <row r="7" spans="1:31" x14ac:dyDescent="0.2">
      <c r="A7" s="2" t="s">
        <v>0</v>
      </c>
      <c r="B7" t="s">
        <v>1</v>
      </c>
      <c r="C7" t="s">
        <v>83</v>
      </c>
      <c r="D7" s="3">
        <v>44074</v>
      </c>
      <c r="E7" s="3">
        <v>44074</v>
      </c>
      <c r="F7" s="3">
        <v>44083</v>
      </c>
      <c r="G7" t="s">
        <v>3</v>
      </c>
      <c r="H7" t="s">
        <v>4</v>
      </c>
      <c r="I7" s="4">
        <v>75805.710000000006</v>
      </c>
      <c r="J7" t="s">
        <v>5</v>
      </c>
      <c r="K7" t="s">
        <v>6</v>
      </c>
      <c r="L7" s="4">
        <v>6363889.3499999996</v>
      </c>
      <c r="M7" s="4">
        <v>75805.710000000006</v>
      </c>
      <c r="N7" s="6" t="s">
        <v>353</v>
      </c>
      <c r="O7" s="14" t="s">
        <v>351</v>
      </c>
      <c r="P7" t="s">
        <v>79</v>
      </c>
      <c r="Q7" t="s">
        <v>80</v>
      </c>
      <c r="R7" t="s">
        <v>81</v>
      </c>
      <c r="S7" t="s">
        <v>0</v>
      </c>
      <c r="T7" t="s">
        <v>10</v>
      </c>
      <c r="U7" t="s">
        <v>82</v>
      </c>
      <c r="V7" t="s">
        <v>12</v>
      </c>
      <c r="W7" t="s">
        <v>0</v>
      </c>
      <c r="X7" t="s">
        <v>12</v>
      </c>
      <c r="Y7" t="s">
        <v>0</v>
      </c>
      <c r="Z7" t="s">
        <v>0</v>
      </c>
      <c r="AA7" s="3"/>
      <c r="AB7" t="s">
        <v>0</v>
      </c>
      <c r="AC7" t="s">
        <v>0</v>
      </c>
      <c r="AD7" t="s">
        <v>0</v>
      </c>
      <c r="AE7" s="4">
        <v>0</v>
      </c>
    </row>
    <row r="8" spans="1:31" x14ac:dyDescent="0.2">
      <c r="A8" s="2" t="s">
        <v>0</v>
      </c>
      <c r="B8" t="s">
        <v>1</v>
      </c>
      <c r="C8" t="s">
        <v>84</v>
      </c>
      <c r="D8" s="3">
        <v>44074</v>
      </c>
      <c r="E8" s="3">
        <v>44074</v>
      </c>
      <c r="F8" s="3">
        <v>44083</v>
      </c>
      <c r="G8" t="s">
        <v>3</v>
      </c>
      <c r="H8" t="s">
        <v>4</v>
      </c>
      <c r="I8" s="4">
        <v>-68225.14</v>
      </c>
      <c r="J8" t="s">
        <v>5</v>
      </c>
      <c r="K8" t="s">
        <v>6</v>
      </c>
      <c r="L8" s="4">
        <v>-5727500.5</v>
      </c>
      <c r="M8" s="4">
        <v>-68225.14</v>
      </c>
      <c r="N8" s="6" t="s">
        <v>354</v>
      </c>
      <c r="O8" s="14" t="s">
        <v>351</v>
      </c>
      <c r="P8" t="s">
        <v>79</v>
      </c>
      <c r="Q8" t="s">
        <v>80</v>
      </c>
      <c r="R8" t="s">
        <v>81</v>
      </c>
      <c r="S8" t="s">
        <v>0</v>
      </c>
      <c r="T8" t="s">
        <v>10</v>
      </c>
      <c r="U8" t="s">
        <v>82</v>
      </c>
      <c r="V8" t="s">
        <v>12</v>
      </c>
      <c r="W8" t="s">
        <v>0</v>
      </c>
      <c r="X8" t="s">
        <v>12</v>
      </c>
      <c r="Y8" t="s">
        <v>0</v>
      </c>
      <c r="Z8" t="s">
        <v>0</v>
      </c>
      <c r="AA8" s="3"/>
      <c r="AB8" t="s">
        <v>0</v>
      </c>
      <c r="AC8" t="s">
        <v>0</v>
      </c>
      <c r="AD8" t="s">
        <v>0</v>
      </c>
      <c r="AE8" s="4">
        <v>0</v>
      </c>
    </row>
    <row r="9" spans="1:31" x14ac:dyDescent="0.2">
      <c r="A9" s="2" t="s">
        <v>0</v>
      </c>
      <c r="B9" t="s">
        <v>1</v>
      </c>
      <c r="C9" t="s">
        <v>85</v>
      </c>
      <c r="D9" s="3">
        <v>44074</v>
      </c>
      <c r="E9" s="3">
        <v>44074</v>
      </c>
      <c r="F9" s="3">
        <v>44083</v>
      </c>
      <c r="G9" t="s">
        <v>3</v>
      </c>
      <c r="H9" t="s">
        <v>4</v>
      </c>
      <c r="I9" s="4">
        <v>-21401.19</v>
      </c>
      <c r="J9" t="s">
        <v>5</v>
      </c>
      <c r="K9" t="s">
        <v>6</v>
      </c>
      <c r="L9" s="4">
        <v>-1796629.9</v>
      </c>
      <c r="M9" s="4">
        <v>-21401.19</v>
      </c>
      <c r="N9" s="6" t="s">
        <v>355</v>
      </c>
      <c r="O9" s="14" t="s">
        <v>351</v>
      </c>
      <c r="P9" t="s">
        <v>79</v>
      </c>
      <c r="Q9" t="s">
        <v>80</v>
      </c>
      <c r="R9" t="s">
        <v>86</v>
      </c>
      <c r="S9" t="s">
        <v>0</v>
      </c>
      <c r="T9" t="s">
        <v>10</v>
      </c>
      <c r="U9" t="s">
        <v>87</v>
      </c>
      <c r="V9" t="s">
        <v>12</v>
      </c>
      <c r="W9" t="s">
        <v>0</v>
      </c>
      <c r="X9" t="s">
        <v>12</v>
      </c>
      <c r="Y9" t="s">
        <v>0</v>
      </c>
      <c r="Z9" t="s">
        <v>0</v>
      </c>
      <c r="AA9" s="3"/>
      <c r="AB9" t="s">
        <v>0</v>
      </c>
      <c r="AC9" t="s">
        <v>0</v>
      </c>
      <c r="AD9" t="s">
        <v>0</v>
      </c>
      <c r="AE9" s="4">
        <v>0</v>
      </c>
    </row>
    <row r="10" spans="1:31" x14ac:dyDescent="0.2">
      <c r="A10" s="2" t="s">
        <v>0</v>
      </c>
      <c r="B10" t="s">
        <v>1</v>
      </c>
      <c r="C10" t="s">
        <v>88</v>
      </c>
      <c r="D10" s="3">
        <v>44151</v>
      </c>
      <c r="E10" s="3">
        <v>44074</v>
      </c>
      <c r="F10" s="3">
        <v>44160</v>
      </c>
      <c r="G10" t="s">
        <v>3</v>
      </c>
      <c r="H10" t="s">
        <v>4</v>
      </c>
      <c r="I10" s="4">
        <v>68225.14</v>
      </c>
      <c r="J10" t="s">
        <v>5</v>
      </c>
      <c r="K10" t="s">
        <v>6</v>
      </c>
      <c r="L10" s="4">
        <v>5727500.5</v>
      </c>
      <c r="M10" s="4">
        <v>68225.14</v>
      </c>
      <c r="N10" s="6" t="s">
        <v>354</v>
      </c>
      <c r="O10" s="14" t="s">
        <v>351</v>
      </c>
      <c r="P10" t="s">
        <v>79</v>
      </c>
      <c r="Q10" t="s">
        <v>80</v>
      </c>
      <c r="R10" t="s">
        <v>81</v>
      </c>
      <c r="S10" t="s">
        <v>0</v>
      </c>
      <c r="T10" t="s">
        <v>10</v>
      </c>
      <c r="U10" t="s">
        <v>82</v>
      </c>
      <c r="V10" t="s">
        <v>12</v>
      </c>
      <c r="W10" t="s">
        <v>0</v>
      </c>
      <c r="X10" t="s">
        <v>12</v>
      </c>
      <c r="Y10" t="s">
        <v>0</v>
      </c>
      <c r="Z10" t="s">
        <v>0</v>
      </c>
      <c r="AA10" s="3"/>
      <c r="AB10" t="s">
        <v>0</v>
      </c>
      <c r="AC10" t="s">
        <v>0</v>
      </c>
      <c r="AD10" t="s">
        <v>0</v>
      </c>
      <c r="AE10" s="4">
        <v>0</v>
      </c>
    </row>
    <row r="11" spans="1:31" x14ac:dyDescent="0.2">
      <c r="A11" s="2" t="s">
        <v>0</v>
      </c>
      <c r="B11" t="s">
        <v>1</v>
      </c>
      <c r="C11" t="s">
        <v>89</v>
      </c>
      <c r="D11" s="3">
        <v>44151</v>
      </c>
      <c r="E11" s="3">
        <v>44074</v>
      </c>
      <c r="F11" s="3">
        <v>44160</v>
      </c>
      <c r="G11" t="s">
        <v>3</v>
      </c>
      <c r="H11" t="s">
        <v>4</v>
      </c>
      <c r="I11" s="4">
        <v>21401.19</v>
      </c>
      <c r="J11" t="s">
        <v>5</v>
      </c>
      <c r="K11" t="s">
        <v>6</v>
      </c>
      <c r="L11" s="4">
        <v>1796629.9</v>
      </c>
      <c r="M11" s="4">
        <v>21401.19</v>
      </c>
      <c r="N11" s="6" t="s">
        <v>355</v>
      </c>
      <c r="O11" s="14" t="s">
        <v>351</v>
      </c>
      <c r="P11" t="s">
        <v>79</v>
      </c>
      <c r="Q11" t="s">
        <v>80</v>
      </c>
      <c r="R11" t="s">
        <v>86</v>
      </c>
      <c r="S11" t="s">
        <v>0</v>
      </c>
      <c r="T11" t="s">
        <v>10</v>
      </c>
      <c r="U11" t="s">
        <v>87</v>
      </c>
      <c r="V11" t="s">
        <v>12</v>
      </c>
      <c r="W11" t="s">
        <v>0</v>
      </c>
      <c r="X11" t="s">
        <v>12</v>
      </c>
      <c r="Y11" t="s">
        <v>0</v>
      </c>
      <c r="Z11" t="s">
        <v>0</v>
      </c>
      <c r="AA11" s="3"/>
      <c r="AB11" t="s">
        <v>0</v>
      </c>
      <c r="AC11" t="s">
        <v>0</v>
      </c>
      <c r="AD11" t="s">
        <v>0</v>
      </c>
      <c r="AE11" s="4">
        <v>0</v>
      </c>
    </row>
    <row r="12" spans="1:31" x14ac:dyDescent="0.2">
      <c r="A12" s="2" t="s">
        <v>0</v>
      </c>
      <c r="B12" t="s">
        <v>1</v>
      </c>
      <c r="C12" t="s">
        <v>90</v>
      </c>
      <c r="D12" s="3">
        <v>44104</v>
      </c>
      <c r="E12" s="3">
        <v>44104</v>
      </c>
      <c r="F12" s="3">
        <v>44111</v>
      </c>
      <c r="G12" t="s">
        <v>3</v>
      </c>
      <c r="H12" t="s">
        <v>4</v>
      </c>
      <c r="I12" s="4">
        <v>-89721</v>
      </c>
      <c r="J12" t="s">
        <v>5</v>
      </c>
      <c r="K12" t="s">
        <v>6</v>
      </c>
      <c r="L12" s="4">
        <v>-7532077.9500000002</v>
      </c>
      <c r="M12" s="4">
        <v>-89721</v>
      </c>
      <c r="N12" s="6" t="s">
        <v>356</v>
      </c>
      <c r="O12" s="14" t="s">
        <v>351</v>
      </c>
      <c r="P12" t="s">
        <v>91</v>
      </c>
      <c r="Q12" t="s">
        <v>92</v>
      </c>
      <c r="R12" t="s">
        <v>93</v>
      </c>
      <c r="S12" t="s">
        <v>0</v>
      </c>
      <c r="T12" t="s">
        <v>10</v>
      </c>
      <c r="U12" t="s">
        <v>94</v>
      </c>
      <c r="V12" t="s">
        <v>12</v>
      </c>
      <c r="W12" t="s">
        <v>0</v>
      </c>
      <c r="X12" t="s">
        <v>12</v>
      </c>
      <c r="Y12" t="s">
        <v>0</v>
      </c>
      <c r="Z12" t="s">
        <v>0</v>
      </c>
      <c r="AA12" s="3"/>
      <c r="AB12" t="s">
        <v>0</v>
      </c>
      <c r="AC12" t="s">
        <v>0</v>
      </c>
      <c r="AD12" t="s">
        <v>0</v>
      </c>
      <c r="AE12" s="4">
        <v>0</v>
      </c>
    </row>
    <row r="13" spans="1:31" x14ac:dyDescent="0.2">
      <c r="A13" s="2" t="s">
        <v>0</v>
      </c>
      <c r="B13" t="s">
        <v>1</v>
      </c>
      <c r="C13" t="s">
        <v>95</v>
      </c>
      <c r="D13" s="3">
        <v>44104</v>
      </c>
      <c r="E13" s="3">
        <v>44104</v>
      </c>
      <c r="F13" s="3">
        <v>44111</v>
      </c>
      <c r="G13" t="s">
        <v>3</v>
      </c>
      <c r="H13" t="s">
        <v>4</v>
      </c>
      <c r="I13" s="4">
        <v>-39490</v>
      </c>
      <c r="J13" t="s">
        <v>5</v>
      </c>
      <c r="K13" t="s">
        <v>6</v>
      </c>
      <c r="L13" s="4">
        <v>-3315185.5</v>
      </c>
      <c r="M13" s="4">
        <v>-39490</v>
      </c>
      <c r="N13" s="6" t="s">
        <v>357</v>
      </c>
      <c r="O13" s="14" t="s">
        <v>351</v>
      </c>
      <c r="P13" t="s">
        <v>91</v>
      </c>
      <c r="Q13" t="s">
        <v>92</v>
      </c>
      <c r="R13" t="s">
        <v>96</v>
      </c>
      <c r="S13" t="s">
        <v>0</v>
      </c>
      <c r="T13" t="s">
        <v>10</v>
      </c>
      <c r="U13" t="s">
        <v>94</v>
      </c>
      <c r="V13" t="s">
        <v>12</v>
      </c>
      <c r="W13" t="s">
        <v>0</v>
      </c>
      <c r="X13" t="s">
        <v>12</v>
      </c>
      <c r="Y13" t="s">
        <v>0</v>
      </c>
      <c r="Z13" t="s">
        <v>0</v>
      </c>
      <c r="AA13" s="3"/>
      <c r="AB13" t="s">
        <v>0</v>
      </c>
      <c r="AC13" t="s">
        <v>0</v>
      </c>
      <c r="AD13" t="s">
        <v>0</v>
      </c>
      <c r="AE13" s="4">
        <v>0</v>
      </c>
    </row>
    <row r="14" spans="1:31" x14ac:dyDescent="0.2">
      <c r="A14" s="2" t="s">
        <v>0</v>
      </c>
      <c r="B14" t="s">
        <v>1</v>
      </c>
      <c r="C14" t="s">
        <v>97</v>
      </c>
      <c r="D14" s="3">
        <v>44151</v>
      </c>
      <c r="E14" s="3">
        <v>44104</v>
      </c>
      <c r="F14" s="3">
        <v>44160</v>
      </c>
      <c r="G14" t="s">
        <v>3</v>
      </c>
      <c r="H14" t="s">
        <v>4</v>
      </c>
      <c r="I14" s="4">
        <v>89721</v>
      </c>
      <c r="J14" t="s">
        <v>5</v>
      </c>
      <c r="K14" t="s">
        <v>6</v>
      </c>
      <c r="L14" s="4">
        <v>7532077.9500000002</v>
      </c>
      <c r="M14" s="4">
        <v>89721</v>
      </c>
      <c r="N14" s="6" t="s">
        <v>356</v>
      </c>
      <c r="O14" s="14" t="s">
        <v>351</v>
      </c>
      <c r="P14" t="s">
        <v>91</v>
      </c>
      <c r="Q14" t="s">
        <v>92</v>
      </c>
      <c r="R14" t="s">
        <v>93</v>
      </c>
      <c r="S14" t="s">
        <v>0</v>
      </c>
      <c r="T14" t="s">
        <v>10</v>
      </c>
      <c r="U14" t="s">
        <v>94</v>
      </c>
      <c r="V14" t="s">
        <v>12</v>
      </c>
      <c r="W14" t="s">
        <v>0</v>
      </c>
      <c r="X14" t="s">
        <v>12</v>
      </c>
      <c r="Y14" t="s">
        <v>0</v>
      </c>
      <c r="Z14" t="s">
        <v>0</v>
      </c>
      <c r="AA14" s="3"/>
      <c r="AB14" t="s">
        <v>0</v>
      </c>
      <c r="AC14" t="s">
        <v>0</v>
      </c>
      <c r="AD14" t="s">
        <v>0</v>
      </c>
      <c r="AE14" s="4">
        <v>0</v>
      </c>
    </row>
    <row r="15" spans="1:31" x14ac:dyDescent="0.2">
      <c r="A15" s="2" t="s">
        <v>0</v>
      </c>
      <c r="B15" t="s">
        <v>1</v>
      </c>
      <c r="C15" t="s">
        <v>98</v>
      </c>
      <c r="D15" s="3">
        <v>44151</v>
      </c>
      <c r="E15" s="3">
        <v>44104</v>
      </c>
      <c r="F15" s="3">
        <v>44160</v>
      </c>
      <c r="G15" t="s">
        <v>3</v>
      </c>
      <c r="H15" t="s">
        <v>4</v>
      </c>
      <c r="I15" s="4">
        <v>39490</v>
      </c>
      <c r="J15" t="s">
        <v>5</v>
      </c>
      <c r="K15" t="s">
        <v>6</v>
      </c>
      <c r="L15" s="4">
        <v>3315185.5</v>
      </c>
      <c r="M15" s="4">
        <v>39490</v>
      </c>
      <c r="N15" s="6" t="s">
        <v>357</v>
      </c>
      <c r="O15" s="14" t="s">
        <v>351</v>
      </c>
      <c r="P15" t="s">
        <v>91</v>
      </c>
      <c r="Q15" t="s">
        <v>92</v>
      </c>
      <c r="R15" t="s">
        <v>96</v>
      </c>
      <c r="S15" t="s">
        <v>0</v>
      </c>
      <c r="T15" t="s">
        <v>10</v>
      </c>
      <c r="U15" t="s">
        <v>94</v>
      </c>
      <c r="V15" t="s">
        <v>12</v>
      </c>
      <c r="W15" t="s">
        <v>0</v>
      </c>
      <c r="X15" t="s">
        <v>12</v>
      </c>
      <c r="Y15" t="s">
        <v>0</v>
      </c>
      <c r="Z15" t="s">
        <v>0</v>
      </c>
      <c r="AA15" s="3"/>
      <c r="AB15" t="s">
        <v>0</v>
      </c>
      <c r="AC15" t="s">
        <v>0</v>
      </c>
      <c r="AD15" t="s">
        <v>0</v>
      </c>
      <c r="AE15" s="4">
        <v>0</v>
      </c>
    </row>
    <row r="16" spans="1:31" x14ac:dyDescent="0.2">
      <c r="A16" s="2" t="s">
        <v>0</v>
      </c>
      <c r="B16" t="s">
        <v>1</v>
      </c>
      <c r="C16" t="s">
        <v>99</v>
      </c>
      <c r="D16" s="3">
        <v>44165</v>
      </c>
      <c r="E16" s="3">
        <v>44104</v>
      </c>
      <c r="F16" s="3">
        <v>44168</v>
      </c>
      <c r="G16" t="s">
        <v>3</v>
      </c>
      <c r="H16" t="s">
        <v>4</v>
      </c>
      <c r="I16" s="4">
        <v>-73055.820000000007</v>
      </c>
      <c r="J16" t="s">
        <v>5</v>
      </c>
      <c r="K16" t="s">
        <v>6</v>
      </c>
      <c r="L16" s="4">
        <v>-6133036.0899999999</v>
      </c>
      <c r="M16" s="4">
        <v>-73055.820000000007</v>
      </c>
      <c r="N16" s="6" t="s">
        <v>358</v>
      </c>
      <c r="O16" s="14" t="s">
        <v>351</v>
      </c>
      <c r="P16" t="s">
        <v>91</v>
      </c>
      <c r="Q16" t="s">
        <v>92</v>
      </c>
      <c r="R16" t="s">
        <v>93</v>
      </c>
      <c r="S16" t="s">
        <v>0</v>
      </c>
      <c r="T16" t="s">
        <v>10</v>
      </c>
      <c r="U16" t="s">
        <v>94</v>
      </c>
      <c r="V16" t="s">
        <v>12</v>
      </c>
      <c r="W16" t="s">
        <v>0</v>
      </c>
      <c r="X16" t="s">
        <v>12</v>
      </c>
      <c r="Y16" t="s">
        <v>0</v>
      </c>
      <c r="Z16" t="s">
        <v>0</v>
      </c>
      <c r="AA16" s="3"/>
      <c r="AB16" t="s">
        <v>0</v>
      </c>
      <c r="AC16" t="s">
        <v>0</v>
      </c>
      <c r="AD16" t="s">
        <v>0</v>
      </c>
      <c r="AE16" s="4">
        <v>0</v>
      </c>
    </row>
    <row r="17" spans="1:31" x14ac:dyDescent="0.2">
      <c r="A17" s="2" t="s">
        <v>0</v>
      </c>
      <c r="B17" t="s">
        <v>1</v>
      </c>
      <c r="C17" t="s">
        <v>100</v>
      </c>
      <c r="D17" s="3">
        <v>44165</v>
      </c>
      <c r="E17" s="3">
        <v>44104</v>
      </c>
      <c r="F17" s="3">
        <v>44168</v>
      </c>
      <c r="G17" t="s">
        <v>3</v>
      </c>
      <c r="H17" t="s">
        <v>4</v>
      </c>
      <c r="I17" s="4">
        <v>-27253.94</v>
      </c>
      <c r="J17" t="s">
        <v>5</v>
      </c>
      <c r="K17" t="s">
        <v>6</v>
      </c>
      <c r="L17" s="4">
        <v>-2287968.2599999998</v>
      </c>
      <c r="M17" s="4">
        <v>-27253.94</v>
      </c>
      <c r="N17" s="6" t="s">
        <v>359</v>
      </c>
      <c r="O17" s="14" t="s">
        <v>351</v>
      </c>
      <c r="P17" t="s">
        <v>91</v>
      </c>
      <c r="Q17" t="s">
        <v>92</v>
      </c>
      <c r="R17" t="s">
        <v>96</v>
      </c>
      <c r="S17" t="s">
        <v>0</v>
      </c>
      <c r="T17" t="s">
        <v>10</v>
      </c>
      <c r="U17" t="s">
        <v>94</v>
      </c>
      <c r="V17" t="s">
        <v>12</v>
      </c>
      <c r="W17" t="s">
        <v>0</v>
      </c>
      <c r="X17" t="s">
        <v>12</v>
      </c>
      <c r="Y17" t="s">
        <v>0</v>
      </c>
      <c r="Z17" t="s">
        <v>0</v>
      </c>
      <c r="AA17" s="3"/>
      <c r="AB17" t="s">
        <v>0</v>
      </c>
      <c r="AC17" t="s">
        <v>0</v>
      </c>
      <c r="AD17" t="s">
        <v>0</v>
      </c>
      <c r="AE17" s="4">
        <v>0</v>
      </c>
    </row>
    <row r="18" spans="1:31" x14ac:dyDescent="0.2">
      <c r="A18" s="2" t="s">
        <v>0</v>
      </c>
      <c r="B18" t="s">
        <v>1</v>
      </c>
      <c r="C18" t="s">
        <v>101</v>
      </c>
      <c r="D18" s="3">
        <v>44166</v>
      </c>
      <c r="E18" s="3">
        <v>44104</v>
      </c>
      <c r="F18" s="3">
        <v>44203</v>
      </c>
      <c r="G18" t="s">
        <v>3</v>
      </c>
      <c r="H18" t="s">
        <v>4</v>
      </c>
      <c r="I18" s="4">
        <v>27253.94</v>
      </c>
      <c r="J18" t="s">
        <v>5</v>
      </c>
      <c r="K18" t="s">
        <v>6</v>
      </c>
      <c r="L18" s="4">
        <v>2287968.2599999998</v>
      </c>
      <c r="M18" s="4">
        <v>27253.94</v>
      </c>
      <c r="N18" s="6" t="s">
        <v>359</v>
      </c>
      <c r="O18" s="14" t="s">
        <v>351</v>
      </c>
      <c r="P18" t="s">
        <v>91</v>
      </c>
      <c r="Q18" t="s">
        <v>92</v>
      </c>
      <c r="R18" t="s">
        <v>96</v>
      </c>
      <c r="S18" t="s">
        <v>0</v>
      </c>
      <c r="T18" t="s">
        <v>10</v>
      </c>
      <c r="U18" t="s">
        <v>94</v>
      </c>
      <c r="V18" t="s">
        <v>12</v>
      </c>
      <c r="W18" t="s">
        <v>0</v>
      </c>
      <c r="X18" t="s">
        <v>12</v>
      </c>
      <c r="Y18" t="s">
        <v>0</v>
      </c>
      <c r="Z18" t="s">
        <v>0</v>
      </c>
      <c r="AA18" s="3"/>
      <c r="AB18" t="s">
        <v>0</v>
      </c>
      <c r="AC18" t="s">
        <v>0</v>
      </c>
      <c r="AD18" t="s">
        <v>0</v>
      </c>
      <c r="AE18" s="4">
        <v>0</v>
      </c>
    </row>
    <row r="19" spans="1:31" x14ac:dyDescent="0.2">
      <c r="A19" s="2" t="s">
        <v>0</v>
      </c>
      <c r="B19" t="s">
        <v>1</v>
      </c>
      <c r="C19" t="s">
        <v>102</v>
      </c>
      <c r="D19" s="3">
        <v>44166</v>
      </c>
      <c r="E19" s="3">
        <v>44104</v>
      </c>
      <c r="F19" s="3">
        <v>44203</v>
      </c>
      <c r="G19" t="s">
        <v>3</v>
      </c>
      <c r="H19" t="s">
        <v>4</v>
      </c>
      <c r="I19" s="4">
        <v>73055.820000000007</v>
      </c>
      <c r="J19" t="s">
        <v>5</v>
      </c>
      <c r="K19" t="s">
        <v>6</v>
      </c>
      <c r="L19" s="4">
        <v>6133036.0899999999</v>
      </c>
      <c r="M19" s="4">
        <v>73055.820000000007</v>
      </c>
      <c r="N19" s="6" t="s">
        <v>358</v>
      </c>
      <c r="O19" s="14" t="s">
        <v>351</v>
      </c>
      <c r="P19" t="s">
        <v>91</v>
      </c>
      <c r="Q19" t="s">
        <v>92</v>
      </c>
      <c r="R19" t="s">
        <v>93</v>
      </c>
      <c r="S19" t="s">
        <v>0</v>
      </c>
      <c r="T19" t="s">
        <v>10</v>
      </c>
      <c r="U19" t="s">
        <v>94</v>
      </c>
      <c r="V19" t="s">
        <v>12</v>
      </c>
      <c r="W19" t="s">
        <v>0</v>
      </c>
      <c r="X19" t="s">
        <v>12</v>
      </c>
      <c r="Y19" t="s">
        <v>0</v>
      </c>
      <c r="Z19" t="s">
        <v>0</v>
      </c>
      <c r="AA19" s="3"/>
      <c r="AB19" t="s">
        <v>0</v>
      </c>
      <c r="AC19" t="s">
        <v>0</v>
      </c>
      <c r="AD19" t="s">
        <v>0</v>
      </c>
      <c r="AE19" s="4">
        <v>0</v>
      </c>
    </row>
    <row r="20" spans="1:31" x14ac:dyDescent="0.2">
      <c r="A20" s="2" t="s">
        <v>0</v>
      </c>
      <c r="B20" t="s">
        <v>1</v>
      </c>
      <c r="C20" t="s">
        <v>103</v>
      </c>
      <c r="D20" s="3">
        <v>44135</v>
      </c>
      <c r="E20" s="3">
        <v>44135</v>
      </c>
      <c r="F20" s="3">
        <v>44143</v>
      </c>
      <c r="G20" t="s">
        <v>3</v>
      </c>
      <c r="H20" t="s">
        <v>4</v>
      </c>
      <c r="I20" s="4">
        <v>-58812</v>
      </c>
      <c r="J20" t="s">
        <v>5</v>
      </c>
      <c r="K20" t="s">
        <v>6</v>
      </c>
      <c r="L20" s="4">
        <v>-4937267.4000000004</v>
      </c>
      <c r="M20" s="4">
        <v>-58812</v>
      </c>
      <c r="N20" s="6" t="s">
        <v>360</v>
      </c>
      <c r="O20" s="14" t="s">
        <v>351</v>
      </c>
      <c r="P20" t="s">
        <v>91</v>
      </c>
      <c r="Q20" t="s">
        <v>104</v>
      </c>
      <c r="R20" t="s">
        <v>105</v>
      </c>
      <c r="S20" t="s">
        <v>0</v>
      </c>
      <c r="T20" t="s">
        <v>10</v>
      </c>
      <c r="U20" t="s">
        <v>106</v>
      </c>
      <c r="V20" t="s">
        <v>12</v>
      </c>
      <c r="W20" t="s">
        <v>0</v>
      </c>
      <c r="X20" t="s">
        <v>12</v>
      </c>
      <c r="Y20" t="s">
        <v>0</v>
      </c>
      <c r="Z20" t="s">
        <v>0</v>
      </c>
      <c r="AA20" s="3"/>
      <c r="AB20" t="s">
        <v>0</v>
      </c>
      <c r="AC20" t="s">
        <v>0</v>
      </c>
      <c r="AD20" t="s">
        <v>0</v>
      </c>
      <c r="AE20" s="4">
        <v>0</v>
      </c>
    </row>
    <row r="21" spans="1:31" x14ac:dyDescent="0.2">
      <c r="A21" s="2" t="s">
        <v>0</v>
      </c>
      <c r="B21" t="s">
        <v>1</v>
      </c>
      <c r="C21" t="s">
        <v>107</v>
      </c>
      <c r="D21" s="3">
        <v>44135</v>
      </c>
      <c r="E21" s="3">
        <v>44135</v>
      </c>
      <c r="F21" s="3">
        <v>44143</v>
      </c>
      <c r="G21" t="s">
        <v>3</v>
      </c>
      <c r="H21" t="s">
        <v>4</v>
      </c>
      <c r="I21" s="4">
        <v>-29831</v>
      </c>
      <c r="J21" t="s">
        <v>5</v>
      </c>
      <c r="K21" t="s">
        <v>6</v>
      </c>
      <c r="L21" s="4">
        <v>-2504312.4500000002</v>
      </c>
      <c r="M21" s="4">
        <v>-29831</v>
      </c>
      <c r="N21" s="6" t="s">
        <v>361</v>
      </c>
      <c r="O21" s="14" t="s">
        <v>351</v>
      </c>
      <c r="P21" t="s">
        <v>108</v>
      </c>
      <c r="Q21" t="s">
        <v>104</v>
      </c>
      <c r="R21" t="s">
        <v>109</v>
      </c>
      <c r="S21" t="s">
        <v>0</v>
      </c>
      <c r="T21" t="s">
        <v>10</v>
      </c>
      <c r="U21" t="s">
        <v>106</v>
      </c>
      <c r="V21" t="s">
        <v>12</v>
      </c>
      <c r="W21" t="s">
        <v>0</v>
      </c>
      <c r="X21" t="s">
        <v>12</v>
      </c>
      <c r="Y21" t="s">
        <v>0</v>
      </c>
      <c r="Z21" t="s">
        <v>0</v>
      </c>
      <c r="AA21" s="3"/>
      <c r="AB21" t="s">
        <v>0</v>
      </c>
      <c r="AC21" t="s">
        <v>0</v>
      </c>
      <c r="AD21" t="s">
        <v>0</v>
      </c>
      <c r="AE21" s="4">
        <v>0</v>
      </c>
    </row>
    <row r="22" spans="1:31" x14ac:dyDescent="0.2">
      <c r="A22" s="2" t="s">
        <v>0</v>
      </c>
      <c r="B22" t="s">
        <v>1</v>
      </c>
      <c r="C22" t="s">
        <v>110</v>
      </c>
      <c r="D22" s="3">
        <v>44166</v>
      </c>
      <c r="E22" s="3">
        <v>44135</v>
      </c>
      <c r="F22" s="3">
        <v>44203</v>
      </c>
      <c r="G22" t="s">
        <v>3</v>
      </c>
      <c r="H22" t="s">
        <v>4</v>
      </c>
      <c r="I22" s="4">
        <v>58812</v>
      </c>
      <c r="J22" t="s">
        <v>5</v>
      </c>
      <c r="K22" t="s">
        <v>6</v>
      </c>
      <c r="L22" s="4">
        <v>4937267.4000000004</v>
      </c>
      <c r="M22" s="4">
        <v>58812</v>
      </c>
      <c r="N22" s="6" t="s">
        <v>360</v>
      </c>
      <c r="O22" s="14" t="s">
        <v>351</v>
      </c>
      <c r="P22" t="s">
        <v>91</v>
      </c>
      <c r="Q22" t="s">
        <v>104</v>
      </c>
      <c r="R22" t="s">
        <v>105</v>
      </c>
      <c r="S22" t="s">
        <v>0</v>
      </c>
      <c r="T22" t="s">
        <v>10</v>
      </c>
      <c r="U22" t="s">
        <v>106</v>
      </c>
      <c r="V22" t="s">
        <v>12</v>
      </c>
      <c r="W22" t="s">
        <v>0</v>
      </c>
      <c r="X22" t="s">
        <v>12</v>
      </c>
      <c r="Y22" t="s">
        <v>0</v>
      </c>
      <c r="Z22" t="s">
        <v>0</v>
      </c>
      <c r="AA22" s="3"/>
      <c r="AB22" t="s">
        <v>0</v>
      </c>
      <c r="AC22" t="s">
        <v>0</v>
      </c>
      <c r="AD22" t="s">
        <v>0</v>
      </c>
      <c r="AE22" s="4">
        <v>0</v>
      </c>
    </row>
    <row r="23" spans="1:31" x14ac:dyDescent="0.2">
      <c r="A23" s="2" t="s">
        <v>0</v>
      </c>
      <c r="B23" t="s">
        <v>1</v>
      </c>
      <c r="C23" t="s">
        <v>111</v>
      </c>
      <c r="D23" s="3">
        <v>44166</v>
      </c>
      <c r="E23" s="3">
        <v>44135</v>
      </c>
      <c r="F23" s="3">
        <v>44203</v>
      </c>
      <c r="G23" t="s">
        <v>3</v>
      </c>
      <c r="H23" t="s">
        <v>4</v>
      </c>
      <c r="I23" s="4">
        <v>29831</v>
      </c>
      <c r="J23" t="s">
        <v>5</v>
      </c>
      <c r="K23" t="s">
        <v>6</v>
      </c>
      <c r="L23" s="4">
        <v>2504312.4500000002</v>
      </c>
      <c r="M23" s="4">
        <v>29831</v>
      </c>
      <c r="N23" s="6" t="s">
        <v>361</v>
      </c>
      <c r="O23" s="14" t="s">
        <v>351</v>
      </c>
      <c r="P23" t="s">
        <v>108</v>
      </c>
      <c r="Q23" t="s">
        <v>104</v>
      </c>
      <c r="R23" t="s">
        <v>109</v>
      </c>
      <c r="S23" t="s">
        <v>0</v>
      </c>
      <c r="T23" t="s">
        <v>10</v>
      </c>
      <c r="U23" t="s">
        <v>106</v>
      </c>
      <c r="V23" t="s">
        <v>12</v>
      </c>
      <c r="W23" t="s">
        <v>0</v>
      </c>
      <c r="X23" t="s">
        <v>12</v>
      </c>
      <c r="Y23" t="s">
        <v>0</v>
      </c>
      <c r="Z23" t="s">
        <v>0</v>
      </c>
      <c r="AA23" s="3"/>
      <c r="AB23" t="s">
        <v>0</v>
      </c>
      <c r="AC23" t="s">
        <v>0</v>
      </c>
      <c r="AD23" t="s">
        <v>0</v>
      </c>
      <c r="AE23" s="4">
        <v>0</v>
      </c>
    </row>
    <row r="24" spans="1:31" x14ac:dyDescent="0.2">
      <c r="A24" s="2" t="s">
        <v>0</v>
      </c>
      <c r="B24" t="s">
        <v>1</v>
      </c>
      <c r="C24" t="s">
        <v>126</v>
      </c>
      <c r="D24" s="3">
        <v>44165</v>
      </c>
      <c r="E24" s="3">
        <v>44165</v>
      </c>
      <c r="F24" s="3">
        <v>44170</v>
      </c>
      <c r="G24" t="s">
        <v>3</v>
      </c>
      <c r="H24" t="s">
        <v>4</v>
      </c>
      <c r="I24" s="4">
        <v>-143337</v>
      </c>
      <c r="J24" t="s">
        <v>5</v>
      </c>
      <c r="K24" t="s">
        <v>6</v>
      </c>
      <c r="L24" s="4">
        <v>-12033141.15</v>
      </c>
      <c r="M24" s="4">
        <v>-143337</v>
      </c>
      <c r="N24" s="6" t="s">
        <v>362</v>
      </c>
      <c r="O24" s="14" t="s">
        <v>351</v>
      </c>
      <c r="P24" t="s">
        <v>127</v>
      </c>
      <c r="Q24" t="s">
        <v>128</v>
      </c>
      <c r="R24" t="s">
        <v>129</v>
      </c>
      <c r="S24" t="s">
        <v>0</v>
      </c>
      <c r="T24" t="s">
        <v>10</v>
      </c>
      <c r="U24" t="s">
        <v>130</v>
      </c>
      <c r="V24" t="s">
        <v>12</v>
      </c>
      <c r="W24" t="s">
        <v>0</v>
      </c>
      <c r="X24" t="s">
        <v>12</v>
      </c>
      <c r="Y24" t="s">
        <v>0</v>
      </c>
      <c r="Z24" t="s">
        <v>0</v>
      </c>
      <c r="AA24" s="3"/>
      <c r="AB24" t="s">
        <v>0</v>
      </c>
      <c r="AC24" t="s">
        <v>0</v>
      </c>
      <c r="AD24" t="s">
        <v>0</v>
      </c>
      <c r="AE24" s="4">
        <v>0</v>
      </c>
    </row>
    <row r="25" spans="1:31" x14ac:dyDescent="0.2">
      <c r="A25" s="2" t="s">
        <v>0</v>
      </c>
      <c r="B25" t="s">
        <v>1</v>
      </c>
      <c r="C25" t="s">
        <v>131</v>
      </c>
      <c r="D25" s="3">
        <v>44165</v>
      </c>
      <c r="E25" s="3">
        <v>44165</v>
      </c>
      <c r="F25" s="3">
        <v>44170</v>
      </c>
      <c r="G25" t="s">
        <v>3</v>
      </c>
      <c r="H25" t="s">
        <v>4</v>
      </c>
      <c r="I25" s="4">
        <v>-67247</v>
      </c>
      <c r="J25" t="s">
        <v>5</v>
      </c>
      <c r="K25" t="s">
        <v>6</v>
      </c>
      <c r="L25" s="4">
        <v>-5645385.6500000004</v>
      </c>
      <c r="M25" s="4">
        <v>-67247</v>
      </c>
      <c r="N25" s="6" t="s">
        <v>363</v>
      </c>
      <c r="O25" s="14" t="s">
        <v>351</v>
      </c>
      <c r="P25" t="s">
        <v>127</v>
      </c>
      <c r="Q25" t="s">
        <v>128</v>
      </c>
      <c r="R25" t="s">
        <v>132</v>
      </c>
      <c r="S25" t="s">
        <v>0</v>
      </c>
      <c r="T25" t="s">
        <v>10</v>
      </c>
      <c r="U25" t="s">
        <v>130</v>
      </c>
      <c r="V25" t="s">
        <v>12</v>
      </c>
      <c r="W25" t="s">
        <v>0</v>
      </c>
      <c r="X25" t="s">
        <v>12</v>
      </c>
      <c r="Y25" t="s">
        <v>0</v>
      </c>
      <c r="Z25" t="s">
        <v>0</v>
      </c>
      <c r="AA25" s="3"/>
      <c r="AB25" t="s">
        <v>0</v>
      </c>
      <c r="AC25" t="s">
        <v>0</v>
      </c>
      <c r="AD25" t="s">
        <v>0</v>
      </c>
      <c r="AE25" s="4">
        <v>0</v>
      </c>
    </row>
    <row r="26" spans="1:31" x14ac:dyDescent="0.2">
      <c r="A26" s="2" t="s">
        <v>0</v>
      </c>
      <c r="B26" t="s">
        <v>1</v>
      </c>
      <c r="C26" t="s">
        <v>133</v>
      </c>
      <c r="D26" s="3">
        <v>44166</v>
      </c>
      <c r="E26" s="3">
        <v>44165</v>
      </c>
      <c r="F26" s="3">
        <v>44203</v>
      </c>
      <c r="G26" t="s">
        <v>3</v>
      </c>
      <c r="H26" t="s">
        <v>4</v>
      </c>
      <c r="I26" s="4">
        <v>143337</v>
      </c>
      <c r="J26" t="s">
        <v>5</v>
      </c>
      <c r="K26" t="s">
        <v>6</v>
      </c>
      <c r="L26" s="4">
        <v>12033141.15</v>
      </c>
      <c r="M26" s="4">
        <v>143337</v>
      </c>
      <c r="N26" s="6" t="s">
        <v>362</v>
      </c>
      <c r="O26" s="14" t="s">
        <v>351</v>
      </c>
      <c r="P26" t="s">
        <v>127</v>
      </c>
      <c r="Q26" t="s">
        <v>128</v>
      </c>
      <c r="R26" t="s">
        <v>129</v>
      </c>
      <c r="S26" t="s">
        <v>0</v>
      </c>
      <c r="T26" t="s">
        <v>10</v>
      </c>
      <c r="U26" t="s">
        <v>130</v>
      </c>
      <c r="V26" t="s">
        <v>12</v>
      </c>
      <c r="W26" t="s">
        <v>0</v>
      </c>
      <c r="X26" t="s">
        <v>12</v>
      </c>
      <c r="Y26" t="s">
        <v>0</v>
      </c>
      <c r="Z26" t="s">
        <v>0</v>
      </c>
      <c r="AA26" s="3"/>
      <c r="AB26" t="s">
        <v>0</v>
      </c>
      <c r="AC26" t="s">
        <v>0</v>
      </c>
      <c r="AD26" t="s">
        <v>0</v>
      </c>
      <c r="AE26" s="4">
        <v>0</v>
      </c>
    </row>
    <row r="27" spans="1:31" x14ac:dyDescent="0.2">
      <c r="A27" s="2" t="s">
        <v>0</v>
      </c>
      <c r="B27" t="s">
        <v>1</v>
      </c>
      <c r="C27" t="s">
        <v>134</v>
      </c>
      <c r="D27" s="3">
        <v>44199</v>
      </c>
      <c r="E27" s="3">
        <v>44165</v>
      </c>
      <c r="F27" s="3">
        <v>44234</v>
      </c>
      <c r="G27" t="s">
        <v>3</v>
      </c>
      <c r="H27" t="s">
        <v>4</v>
      </c>
      <c r="I27" s="4">
        <v>67247</v>
      </c>
      <c r="J27" t="s">
        <v>5</v>
      </c>
      <c r="K27" t="s">
        <v>6</v>
      </c>
      <c r="L27" s="4">
        <v>5645385.6500000004</v>
      </c>
      <c r="M27" s="4">
        <v>67247</v>
      </c>
      <c r="N27" s="6" t="s">
        <v>363</v>
      </c>
      <c r="O27" s="14" t="s">
        <v>351</v>
      </c>
      <c r="P27" t="s">
        <v>127</v>
      </c>
      <c r="Q27" t="s">
        <v>128</v>
      </c>
      <c r="R27" t="s">
        <v>132</v>
      </c>
      <c r="S27" t="s">
        <v>0</v>
      </c>
      <c r="T27" t="s">
        <v>10</v>
      </c>
      <c r="U27" t="s">
        <v>130</v>
      </c>
      <c r="V27" t="s">
        <v>12</v>
      </c>
      <c r="W27" t="s">
        <v>0</v>
      </c>
      <c r="X27" t="s">
        <v>12</v>
      </c>
      <c r="Y27" t="s">
        <v>0</v>
      </c>
      <c r="Z27" t="s">
        <v>0</v>
      </c>
      <c r="AA27" s="3"/>
      <c r="AB27" t="s">
        <v>0</v>
      </c>
      <c r="AC27" t="s">
        <v>0</v>
      </c>
      <c r="AD27" t="s">
        <v>0</v>
      </c>
      <c r="AE27" s="4">
        <v>0</v>
      </c>
    </row>
    <row r="28" spans="1:31" x14ac:dyDescent="0.2">
      <c r="A28" s="2" t="s">
        <v>0</v>
      </c>
      <c r="B28" t="s">
        <v>1</v>
      </c>
      <c r="C28" t="s">
        <v>148</v>
      </c>
      <c r="D28" s="3">
        <v>44166</v>
      </c>
      <c r="E28" s="3">
        <v>44166</v>
      </c>
      <c r="F28" s="3">
        <v>44203</v>
      </c>
      <c r="G28" t="s">
        <v>3</v>
      </c>
      <c r="H28" t="s">
        <v>4</v>
      </c>
      <c r="I28" s="4">
        <v>-14802.15</v>
      </c>
      <c r="J28" t="s">
        <v>5</v>
      </c>
      <c r="K28" t="s">
        <v>6</v>
      </c>
      <c r="L28" s="4">
        <v>-1242640.49</v>
      </c>
      <c r="M28" s="4">
        <v>-14802.15</v>
      </c>
      <c r="N28" s="6" t="s">
        <v>364</v>
      </c>
      <c r="O28" s="14" t="s">
        <v>351</v>
      </c>
      <c r="P28" t="s">
        <v>108</v>
      </c>
      <c r="Q28" t="s">
        <v>104</v>
      </c>
      <c r="R28" t="s">
        <v>109</v>
      </c>
      <c r="S28" t="s">
        <v>0</v>
      </c>
      <c r="T28" t="s">
        <v>10</v>
      </c>
      <c r="U28" t="s">
        <v>106</v>
      </c>
      <c r="V28" t="s">
        <v>12</v>
      </c>
      <c r="W28" t="s">
        <v>0</v>
      </c>
      <c r="X28" t="s">
        <v>12</v>
      </c>
      <c r="Y28" t="s">
        <v>0</v>
      </c>
      <c r="Z28" t="s">
        <v>0</v>
      </c>
      <c r="AA28" s="3"/>
      <c r="AB28" t="s">
        <v>0</v>
      </c>
      <c r="AC28" t="s">
        <v>0</v>
      </c>
      <c r="AD28" t="s">
        <v>0</v>
      </c>
      <c r="AE28" s="4">
        <v>0</v>
      </c>
    </row>
    <row r="29" spans="1:31" x14ac:dyDescent="0.2">
      <c r="A29" s="2" t="s">
        <v>0</v>
      </c>
      <c r="B29" t="s">
        <v>1</v>
      </c>
      <c r="C29" t="s">
        <v>149</v>
      </c>
      <c r="D29" s="3">
        <v>44166</v>
      </c>
      <c r="E29" s="3">
        <v>44166</v>
      </c>
      <c r="F29" s="3">
        <v>44203</v>
      </c>
      <c r="G29" t="s">
        <v>3</v>
      </c>
      <c r="H29" t="s">
        <v>4</v>
      </c>
      <c r="I29" s="4">
        <v>-18870.46</v>
      </c>
      <c r="J29" t="s">
        <v>5</v>
      </c>
      <c r="K29" t="s">
        <v>6</v>
      </c>
      <c r="L29" s="4">
        <v>-1584175.12</v>
      </c>
      <c r="M29" s="4">
        <v>-18870.46</v>
      </c>
      <c r="N29" s="6" t="s">
        <v>365</v>
      </c>
      <c r="O29" s="14" t="s">
        <v>351</v>
      </c>
      <c r="P29" t="s">
        <v>108</v>
      </c>
      <c r="Q29" t="s">
        <v>104</v>
      </c>
      <c r="R29" t="s">
        <v>105</v>
      </c>
      <c r="S29" t="s">
        <v>0</v>
      </c>
      <c r="T29" t="s">
        <v>10</v>
      </c>
      <c r="U29" t="s">
        <v>106</v>
      </c>
      <c r="V29" t="s">
        <v>12</v>
      </c>
      <c r="W29" t="s">
        <v>0</v>
      </c>
      <c r="X29" t="s">
        <v>12</v>
      </c>
      <c r="Y29" t="s">
        <v>0</v>
      </c>
      <c r="Z29" t="s">
        <v>0</v>
      </c>
      <c r="AA29" s="3"/>
      <c r="AB29" t="s">
        <v>0</v>
      </c>
      <c r="AC29" t="s">
        <v>0</v>
      </c>
      <c r="AD29" t="s">
        <v>0</v>
      </c>
      <c r="AE29" s="4">
        <v>0</v>
      </c>
    </row>
    <row r="30" spans="1:31" x14ac:dyDescent="0.2">
      <c r="A30" s="2" t="s">
        <v>0</v>
      </c>
      <c r="B30" t="s">
        <v>1</v>
      </c>
      <c r="C30" t="s">
        <v>150</v>
      </c>
      <c r="D30" s="3">
        <v>44166</v>
      </c>
      <c r="E30" s="3">
        <v>44166</v>
      </c>
      <c r="F30" s="3">
        <v>44203</v>
      </c>
      <c r="G30" t="s">
        <v>3</v>
      </c>
      <c r="H30" t="s">
        <v>4</v>
      </c>
      <c r="I30" s="4">
        <v>-143337</v>
      </c>
      <c r="J30" t="s">
        <v>5</v>
      </c>
      <c r="K30" t="s">
        <v>6</v>
      </c>
      <c r="L30" s="4">
        <v>-12033141.15</v>
      </c>
      <c r="M30" s="4">
        <v>-143337</v>
      </c>
      <c r="N30" s="6" t="s">
        <v>366</v>
      </c>
      <c r="O30" s="14" t="s">
        <v>351</v>
      </c>
      <c r="P30" t="s">
        <v>127</v>
      </c>
      <c r="Q30" t="s">
        <v>128</v>
      </c>
      <c r="R30" t="s">
        <v>129</v>
      </c>
      <c r="S30" t="s">
        <v>0</v>
      </c>
      <c r="T30" t="s">
        <v>10</v>
      </c>
      <c r="U30" t="s">
        <v>130</v>
      </c>
      <c r="V30" t="s">
        <v>12</v>
      </c>
      <c r="W30" t="s">
        <v>0</v>
      </c>
      <c r="X30" t="s">
        <v>12</v>
      </c>
      <c r="Y30" t="s">
        <v>0</v>
      </c>
      <c r="Z30" t="s">
        <v>0</v>
      </c>
      <c r="AA30" s="3"/>
      <c r="AB30" t="s">
        <v>0</v>
      </c>
      <c r="AC30" t="s">
        <v>0</v>
      </c>
      <c r="AD30" t="s">
        <v>0</v>
      </c>
      <c r="AE30" s="4">
        <v>0</v>
      </c>
    </row>
    <row r="31" spans="1:31" x14ac:dyDescent="0.2">
      <c r="A31" s="2" t="s">
        <v>0</v>
      </c>
      <c r="B31" t="s">
        <v>1</v>
      </c>
      <c r="C31" t="s">
        <v>151</v>
      </c>
      <c r="D31" s="3">
        <v>44199</v>
      </c>
      <c r="E31" s="3">
        <v>44166</v>
      </c>
      <c r="F31" s="3">
        <v>44234</v>
      </c>
      <c r="G31" t="s">
        <v>3</v>
      </c>
      <c r="H31" t="s">
        <v>4</v>
      </c>
      <c r="I31" s="4">
        <v>18870.46</v>
      </c>
      <c r="J31" t="s">
        <v>5</v>
      </c>
      <c r="K31" t="s">
        <v>6</v>
      </c>
      <c r="L31" s="4">
        <v>1584175.12</v>
      </c>
      <c r="M31" s="4">
        <v>18870.46</v>
      </c>
      <c r="N31" s="6" t="s">
        <v>365</v>
      </c>
      <c r="O31" s="14" t="s">
        <v>351</v>
      </c>
      <c r="P31" t="s">
        <v>108</v>
      </c>
      <c r="Q31" t="s">
        <v>104</v>
      </c>
      <c r="R31" t="s">
        <v>105</v>
      </c>
      <c r="S31" t="s">
        <v>0</v>
      </c>
      <c r="T31" t="s">
        <v>10</v>
      </c>
      <c r="U31" t="s">
        <v>106</v>
      </c>
      <c r="V31" t="s">
        <v>12</v>
      </c>
      <c r="W31" t="s">
        <v>0</v>
      </c>
      <c r="X31" t="s">
        <v>12</v>
      </c>
      <c r="Y31" t="s">
        <v>0</v>
      </c>
      <c r="Z31" t="s">
        <v>0</v>
      </c>
      <c r="AA31" s="3"/>
      <c r="AB31" t="s">
        <v>0</v>
      </c>
      <c r="AC31" t="s">
        <v>0</v>
      </c>
      <c r="AD31" t="s">
        <v>0</v>
      </c>
      <c r="AE31" s="4">
        <v>0</v>
      </c>
    </row>
    <row r="32" spans="1:31" x14ac:dyDescent="0.2">
      <c r="A32" s="2" t="s">
        <v>0</v>
      </c>
      <c r="B32" t="s">
        <v>1</v>
      </c>
      <c r="C32" t="s">
        <v>152</v>
      </c>
      <c r="D32" s="3">
        <v>44199</v>
      </c>
      <c r="E32" s="3">
        <v>44166</v>
      </c>
      <c r="F32" s="3">
        <v>44234</v>
      </c>
      <c r="G32" t="s">
        <v>3</v>
      </c>
      <c r="H32" t="s">
        <v>4</v>
      </c>
      <c r="I32" s="4">
        <v>143337</v>
      </c>
      <c r="J32" t="s">
        <v>5</v>
      </c>
      <c r="K32" t="s">
        <v>6</v>
      </c>
      <c r="L32" s="4">
        <v>12033141.15</v>
      </c>
      <c r="M32" s="4">
        <v>143337</v>
      </c>
      <c r="N32" s="6" t="s">
        <v>366</v>
      </c>
      <c r="O32" s="14" t="s">
        <v>351</v>
      </c>
      <c r="P32" t="s">
        <v>127</v>
      </c>
      <c r="Q32" t="s">
        <v>128</v>
      </c>
      <c r="R32" t="s">
        <v>129</v>
      </c>
      <c r="S32" t="s">
        <v>0</v>
      </c>
      <c r="T32" t="s">
        <v>10</v>
      </c>
      <c r="U32" t="s">
        <v>130</v>
      </c>
      <c r="V32" t="s">
        <v>12</v>
      </c>
      <c r="W32" t="s">
        <v>0</v>
      </c>
      <c r="X32" t="s">
        <v>12</v>
      </c>
      <c r="Y32" t="s">
        <v>0</v>
      </c>
      <c r="Z32" t="s">
        <v>0</v>
      </c>
      <c r="AA32" s="3"/>
      <c r="AB32" t="s">
        <v>0</v>
      </c>
      <c r="AC32" t="s">
        <v>0</v>
      </c>
      <c r="AD32" t="s">
        <v>0</v>
      </c>
      <c r="AE32" s="4">
        <v>0</v>
      </c>
    </row>
    <row r="33" spans="1:31" x14ac:dyDescent="0.2">
      <c r="A33" s="2" t="s">
        <v>0</v>
      </c>
      <c r="B33" t="s">
        <v>1</v>
      </c>
      <c r="C33" t="s">
        <v>153</v>
      </c>
      <c r="D33" s="3">
        <v>44199</v>
      </c>
      <c r="E33" s="3">
        <v>44166</v>
      </c>
      <c r="F33" s="3">
        <v>44234</v>
      </c>
      <c r="G33" t="s">
        <v>3</v>
      </c>
      <c r="H33" t="s">
        <v>4</v>
      </c>
      <c r="I33" s="4">
        <v>14802.15</v>
      </c>
      <c r="J33" t="s">
        <v>5</v>
      </c>
      <c r="K33" t="s">
        <v>6</v>
      </c>
      <c r="L33" s="4">
        <v>1242640.49</v>
      </c>
      <c r="M33" s="4">
        <v>14802.15</v>
      </c>
      <c r="N33" s="6" t="s">
        <v>364</v>
      </c>
      <c r="O33" s="14" t="s">
        <v>351</v>
      </c>
      <c r="P33" t="s">
        <v>108</v>
      </c>
      <c r="Q33" t="s">
        <v>104</v>
      </c>
      <c r="R33" t="s">
        <v>109</v>
      </c>
      <c r="S33" t="s">
        <v>0</v>
      </c>
      <c r="T33" t="s">
        <v>10</v>
      </c>
      <c r="U33" t="s">
        <v>106</v>
      </c>
      <c r="V33" t="s">
        <v>12</v>
      </c>
      <c r="W33" t="s">
        <v>0</v>
      </c>
      <c r="X33" t="s">
        <v>12</v>
      </c>
      <c r="Y33" t="s">
        <v>0</v>
      </c>
      <c r="Z33" t="s">
        <v>0</v>
      </c>
      <c r="AA33" s="3"/>
      <c r="AB33" t="s">
        <v>0</v>
      </c>
      <c r="AC33" t="s">
        <v>0</v>
      </c>
      <c r="AD33" t="s">
        <v>0</v>
      </c>
      <c r="AE33" s="4">
        <v>0</v>
      </c>
    </row>
    <row r="34" spans="1:31" x14ac:dyDescent="0.2">
      <c r="A34" s="2" t="s">
        <v>0</v>
      </c>
      <c r="B34" t="s">
        <v>1</v>
      </c>
      <c r="C34" t="s">
        <v>154</v>
      </c>
      <c r="D34" s="3">
        <v>44196</v>
      </c>
      <c r="E34" s="3">
        <v>44196</v>
      </c>
      <c r="F34" s="3">
        <v>44205</v>
      </c>
      <c r="G34" t="s">
        <v>3</v>
      </c>
      <c r="H34" t="s">
        <v>4</v>
      </c>
      <c r="I34" s="4">
        <v>-98302</v>
      </c>
      <c r="J34" t="s">
        <v>5</v>
      </c>
      <c r="K34" t="s">
        <v>6</v>
      </c>
      <c r="L34" s="4">
        <v>-8252452.9000000004</v>
      </c>
      <c r="M34" s="4">
        <v>-98302</v>
      </c>
      <c r="N34" s="6" t="s">
        <v>367</v>
      </c>
      <c r="O34" s="14" t="s">
        <v>351</v>
      </c>
      <c r="P34" t="s">
        <v>155</v>
      </c>
      <c r="Q34" t="s">
        <v>156</v>
      </c>
      <c r="R34" t="s">
        <v>157</v>
      </c>
      <c r="S34" t="s">
        <v>0</v>
      </c>
      <c r="T34" t="s">
        <v>10</v>
      </c>
      <c r="U34" t="s">
        <v>158</v>
      </c>
      <c r="V34" t="s">
        <v>12</v>
      </c>
      <c r="W34" t="s">
        <v>0</v>
      </c>
      <c r="X34" t="s">
        <v>12</v>
      </c>
      <c r="Y34" t="s">
        <v>0</v>
      </c>
      <c r="Z34" t="s">
        <v>0</v>
      </c>
      <c r="AA34" s="3"/>
      <c r="AB34" t="s">
        <v>0</v>
      </c>
      <c r="AC34" t="s">
        <v>0</v>
      </c>
      <c r="AD34" t="s">
        <v>0</v>
      </c>
      <c r="AE34" s="4">
        <v>0</v>
      </c>
    </row>
    <row r="35" spans="1:31" x14ac:dyDescent="0.2">
      <c r="A35" s="2" t="s">
        <v>0</v>
      </c>
      <c r="B35" t="s">
        <v>1</v>
      </c>
      <c r="C35" t="s">
        <v>159</v>
      </c>
      <c r="D35" s="3">
        <v>44196</v>
      </c>
      <c r="E35" s="3">
        <v>44196</v>
      </c>
      <c r="F35" s="3">
        <v>44205</v>
      </c>
      <c r="G35" t="s">
        <v>3</v>
      </c>
      <c r="H35" t="s">
        <v>4</v>
      </c>
      <c r="I35" s="4">
        <v>-56329</v>
      </c>
      <c r="J35" t="s">
        <v>5</v>
      </c>
      <c r="K35" t="s">
        <v>6</v>
      </c>
      <c r="L35" s="4">
        <v>-4728819.55</v>
      </c>
      <c r="M35" s="4">
        <v>-56329</v>
      </c>
      <c r="N35" s="6" t="s">
        <v>368</v>
      </c>
      <c r="O35" s="14" t="s">
        <v>351</v>
      </c>
      <c r="P35" t="s">
        <v>155</v>
      </c>
      <c r="Q35" t="s">
        <v>156</v>
      </c>
      <c r="R35" t="s">
        <v>160</v>
      </c>
      <c r="S35" t="s">
        <v>0</v>
      </c>
      <c r="T35" t="s">
        <v>10</v>
      </c>
      <c r="U35" t="s">
        <v>161</v>
      </c>
      <c r="V35" t="s">
        <v>12</v>
      </c>
      <c r="W35" t="s">
        <v>0</v>
      </c>
      <c r="X35" t="s">
        <v>12</v>
      </c>
      <c r="Y35" t="s">
        <v>0</v>
      </c>
      <c r="Z35" t="s">
        <v>0</v>
      </c>
      <c r="AA35" s="3"/>
      <c r="AB35" t="s">
        <v>0</v>
      </c>
      <c r="AC35" t="s">
        <v>0</v>
      </c>
      <c r="AD35" t="s">
        <v>0</v>
      </c>
      <c r="AE35" s="4">
        <v>0</v>
      </c>
    </row>
    <row r="36" spans="1:31" x14ac:dyDescent="0.2">
      <c r="A36" s="2" t="s">
        <v>0</v>
      </c>
      <c r="B36" t="s">
        <v>1</v>
      </c>
      <c r="C36" t="s">
        <v>162</v>
      </c>
      <c r="D36" s="3">
        <v>44196</v>
      </c>
      <c r="E36" s="3">
        <v>44196</v>
      </c>
      <c r="F36" s="3">
        <v>44205</v>
      </c>
      <c r="G36" t="s">
        <v>3</v>
      </c>
      <c r="H36" t="s">
        <v>4</v>
      </c>
      <c r="I36" s="4">
        <v>-33522</v>
      </c>
      <c r="J36" t="s">
        <v>5</v>
      </c>
      <c r="K36" t="s">
        <v>6</v>
      </c>
      <c r="L36" s="4">
        <v>-2814171.9</v>
      </c>
      <c r="M36" s="4">
        <v>-33522</v>
      </c>
      <c r="N36" s="6" t="s">
        <v>369</v>
      </c>
      <c r="O36" s="14" t="s">
        <v>351</v>
      </c>
      <c r="P36" t="s">
        <v>155</v>
      </c>
      <c r="Q36" t="s">
        <v>156</v>
      </c>
      <c r="R36" t="s">
        <v>163</v>
      </c>
      <c r="S36" t="s">
        <v>0</v>
      </c>
      <c r="T36" t="s">
        <v>10</v>
      </c>
      <c r="U36" t="s">
        <v>158</v>
      </c>
      <c r="V36" t="s">
        <v>12</v>
      </c>
      <c r="W36" t="s">
        <v>0</v>
      </c>
      <c r="X36" t="s">
        <v>12</v>
      </c>
      <c r="Y36" t="s">
        <v>0</v>
      </c>
      <c r="Z36" t="s">
        <v>0</v>
      </c>
      <c r="AA36" s="3"/>
      <c r="AB36" t="s">
        <v>0</v>
      </c>
      <c r="AC36" t="s">
        <v>0</v>
      </c>
      <c r="AD36" t="s">
        <v>0</v>
      </c>
      <c r="AE36" s="4">
        <v>0</v>
      </c>
    </row>
    <row r="37" spans="1:31" x14ac:dyDescent="0.2">
      <c r="A37" s="2" t="s">
        <v>0</v>
      </c>
      <c r="B37" t="s">
        <v>1</v>
      </c>
      <c r="C37" t="s">
        <v>164</v>
      </c>
      <c r="D37" s="3">
        <v>44196</v>
      </c>
      <c r="E37" s="3">
        <v>44196</v>
      </c>
      <c r="F37" s="3">
        <v>44205</v>
      </c>
      <c r="G37" t="s">
        <v>3</v>
      </c>
      <c r="H37" t="s">
        <v>4</v>
      </c>
      <c r="I37" s="4">
        <v>-21849</v>
      </c>
      <c r="J37" t="s">
        <v>5</v>
      </c>
      <c r="K37" t="s">
        <v>6</v>
      </c>
      <c r="L37" s="4">
        <v>-1834223.55</v>
      </c>
      <c r="M37" s="4">
        <v>-21849</v>
      </c>
      <c r="N37" s="6" t="s">
        <v>370</v>
      </c>
      <c r="O37" s="14" t="s">
        <v>351</v>
      </c>
      <c r="P37" t="s">
        <v>155</v>
      </c>
      <c r="Q37" t="s">
        <v>156</v>
      </c>
      <c r="R37" t="s">
        <v>165</v>
      </c>
      <c r="S37" t="s">
        <v>0</v>
      </c>
      <c r="T37" t="s">
        <v>10</v>
      </c>
      <c r="U37" t="s">
        <v>161</v>
      </c>
      <c r="V37" t="s">
        <v>12</v>
      </c>
      <c r="W37" t="s">
        <v>0</v>
      </c>
      <c r="X37" t="s">
        <v>12</v>
      </c>
      <c r="Y37" t="s">
        <v>0</v>
      </c>
      <c r="Z37" t="s">
        <v>0</v>
      </c>
      <c r="AA37" s="3"/>
      <c r="AB37" t="s">
        <v>0</v>
      </c>
      <c r="AC37" t="s">
        <v>0</v>
      </c>
      <c r="AD37" t="s">
        <v>0</v>
      </c>
      <c r="AE37" s="4">
        <v>0</v>
      </c>
    </row>
    <row r="38" spans="1:31" x14ac:dyDescent="0.2">
      <c r="A38" s="2" t="s">
        <v>0</v>
      </c>
      <c r="B38" t="s">
        <v>1</v>
      </c>
      <c r="C38" t="s">
        <v>166</v>
      </c>
      <c r="D38" s="3">
        <v>44273</v>
      </c>
      <c r="E38" s="3">
        <v>44196</v>
      </c>
      <c r="F38" s="3">
        <v>44280</v>
      </c>
      <c r="G38" t="s">
        <v>3</v>
      </c>
      <c r="H38" t="s">
        <v>4</v>
      </c>
      <c r="I38" s="4">
        <v>33522</v>
      </c>
      <c r="J38" t="s">
        <v>5</v>
      </c>
      <c r="K38" t="s">
        <v>6</v>
      </c>
      <c r="L38" s="4">
        <v>2814171.9</v>
      </c>
      <c r="M38" s="4">
        <v>33522</v>
      </c>
      <c r="N38" s="6" t="s">
        <v>369</v>
      </c>
      <c r="O38" s="14" t="s">
        <v>351</v>
      </c>
      <c r="P38" t="s">
        <v>155</v>
      </c>
      <c r="Q38" t="s">
        <v>156</v>
      </c>
      <c r="R38" t="s">
        <v>163</v>
      </c>
      <c r="S38" t="s">
        <v>0</v>
      </c>
      <c r="T38" t="s">
        <v>10</v>
      </c>
      <c r="U38" t="s">
        <v>158</v>
      </c>
      <c r="V38" t="s">
        <v>12</v>
      </c>
      <c r="W38" t="s">
        <v>0</v>
      </c>
      <c r="X38" t="s">
        <v>12</v>
      </c>
      <c r="Y38" t="s">
        <v>0</v>
      </c>
      <c r="Z38" t="s">
        <v>0</v>
      </c>
      <c r="AA38" s="3"/>
      <c r="AB38" t="s">
        <v>0</v>
      </c>
      <c r="AC38" t="s">
        <v>0</v>
      </c>
      <c r="AD38" t="s">
        <v>0</v>
      </c>
      <c r="AE38" s="4">
        <v>0</v>
      </c>
    </row>
    <row r="39" spans="1:31" x14ac:dyDescent="0.2">
      <c r="A39" s="2" t="s">
        <v>0</v>
      </c>
      <c r="B39" t="s">
        <v>1</v>
      </c>
      <c r="C39" t="s">
        <v>167</v>
      </c>
      <c r="D39" s="3">
        <v>44273</v>
      </c>
      <c r="E39" s="3">
        <v>44196</v>
      </c>
      <c r="F39" s="3">
        <v>44280</v>
      </c>
      <c r="G39" t="s">
        <v>3</v>
      </c>
      <c r="H39" t="s">
        <v>4</v>
      </c>
      <c r="I39" s="4">
        <v>21849</v>
      </c>
      <c r="J39" t="s">
        <v>5</v>
      </c>
      <c r="K39" t="s">
        <v>6</v>
      </c>
      <c r="L39" s="4">
        <v>1834223.55</v>
      </c>
      <c r="M39" s="4">
        <v>21849</v>
      </c>
      <c r="N39" s="6" t="s">
        <v>370</v>
      </c>
      <c r="O39" s="14" t="s">
        <v>351</v>
      </c>
      <c r="P39" t="s">
        <v>155</v>
      </c>
      <c r="Q39" t="s">
        <v>156</v>
      </c>
      <c r="R39" t="s">
        <v>165</v>
      </c>
      <c r="S39" t="s">
        <v>0</v>
      </c>
      <c r="T39" t="s">
        <v>10</v>
      </c>
      <c r="U39" t="s">
        <v>161</v>
      </c>
      <c r="V39" t="s">
        <v>12</v>
      </c>
      <c r="W39" t="s">
        <v>0</v>
      </c>
      <c r="X39" t="s">
        <v>12</v>
      </c>
      <c r="Y39" t="s">
        <v>0</v>
      </c>
      <c r="Z39" t="s">
        <v>0</v>
      </c>
      <c r="AA39" s="3"/>
      <c r="AB39" t="s">
        <v>0</v>
      </c>
      <c r="AC39" t="s">
        <v>0</v>
      </c>
      <c r="AD39" t="s">
        <v>0</v>
      </c>
      <c r="AE39" s="4">
        <v>0</v>
      </c>
    </row>
    <row r="40" spans="1:31" x14ac:dyDescent="0.2">
      <c r="A40" s="2" t="s">
        <v>0</v>
      </c>
      <c r="B40" t="s">
        <v>1</v>
      </c>
      <c r="C40" t="s">
        <v>168</v>
      </c>
      <c r="D40" s="3">
        <v>44273</v>
      </c>
      <c r="E40" s="3">
        <v>44196</v>
      </c>
      <c r="F40" s="3">
        <v>44280</v>
      </c>
      <c r="G40" t="s">
        <v>3</v>
      </c>
      <c r="H40" t="s">
        <v>4</v>
      </c>
      <c r="I40" s="4">
        <v>98302</v>
      </c>
      <c r="J40" t="s">
        <v>5</v>
      </c>
      <c r="K40" t="s">
        <v>6</v>
      </c>
      <c r="L40" s="4">
        <v>8252452.9000000004</v>
      </c>
      <c r="M40" s="4">
        <v>98302</v>
      </c>
      <c r="N40" s="6" t="s">
        <v>367</v>
      </c>
      <c r="O40" s="14" t="s">
        <v>351</v>
      </c>
      <c r="P40" t="s">
        <v>155</v>
      </c>
      <c r="Q40" t="s">
        <v>156</v>
      </c>
      <c r="R40" t="s">
        <v>157</v>
      </c>
      <c r="S40" t="s">
        <v>0</v>
      </c>
      <c r="T40" t="s">
        <v>10</v>
      </c>
      <c r="U40" t="s">
        <v>158</v>
      </c>
      <c r="V40" t="s">
        <v>12</v>
      </c>
      <c r="W40" t="s">
        <v>0</v>
      </c>
      <c r="X40" t="s">
        <v>12</v>
      </c>
      <c r="Y40" t="s">
        <v>0</v>
      </c>
      <c r="Z40" t="s">
        <v>0</v>
      </c>
      <c r="AA40" s="3"/>
      <c r="AB40" t="s">
        <v>0</v>
      </c>
      <c r="AC40" t="s">
        <v>0</v>
      </c>
      <c r="AD40" t="s">
        <v>0</v>
      </c>
      <c r="AE40" s="4">
        <v>0</v>
      </c>
    </row>
    <row r="41" spans="1:31" x14ac:dyDescent="0.2">
      <c r="A41" s="2" t="s">
        <v>0</v>
      </c>
      <c r="B41" t="s">
        <v>1</v>
      </c>
      <c r="C41" t="s">
        <v>169</v>
      </c>
      <c r="D41" s="3">
        <v>44273</v>
      </c>
      <c r="E41" s="3">
        <v>44196</v>
      </c>
      <c r="F41" s="3">
        <v>44280</v>
      </c>
      <c r="G41" t="s">
        <v>3</v>
      </c>
      <c r="H41" t="s">
        <v>4</v>
      </c>
      <c r="I41" s="4">
        <v>56329</v>
      </c>
      <c r="J41" t="s">
        <v>5</v>
      </c>
      <c r="K41" t="s">
        <v>6</v>
      </c>
      <c r="L41" s="4">
        <v>4728819.55</v>
      </c>
      <c r="M41" s="4">
        <v>56329</v>
      </c>
      <c r="N41" s="6" t="s">
        <v>368</v>
      </c>
      <c r="O41" s="14" t="s">
        <v>351</v>
      </c>
      <c r="P41" t="s">
        <v>155</v>
      </c>
      <c r="Q41" t="s">
        <v>156</v>
      </c>
      <c r="R41" t="s">
        <v>160</v>
      </c>
      <c r="S41" t="s">
        <v>0</v>
      </c>
      <c r="T41" t="s">
        <v>10</v>
      </c>
      <c r="U41" t="s">
        <v>161</v>
      </c>
      <c r="V41" t="s">
        <v>12</v>
      </c>
      <c r="W41" t="s">
        <v>0</v>
      </c>
      <c r="X41" t="s">
        <v>12</v>
      </c>
      <c r="Y41" t="s">
        <v>0</v>
      </c>
      <c r="Z41" t="s">
        <v>0</v>
      </c>
      <c r="AA41" s="3"/>
      <c r="AB41" t="s">
        <v>0</v>
      </c>
      <c r="AC41" t="s">
        <v>0</v>
      </c>
      <c r="AD41" t="s">
        <v>0</v>
      </c>
      <c r="AE41" s="4">
        <v>0</v>
      </c>
    </row>
    <row r="42" spans="1:31" x14ac:dyDescent="0.2">
      <c r="A42" s="2" t="s">
        <v>0</v>
      </c>
      <c r="B42" t="s">
        <v>1</v>
      </c>
      <c r="C42" t="s">
        <v>183</v>
      </c>
      <c r="D42" s="3">
        <v>44199</v>
      </c>
      <c r="E42" s="3">
        <v>44199</v>
      </c>
      <c r="F42" s="3">
        <v>44234</v>
      </c>
      <c r="G42" t="s">
        <v>3</v>
      </c>
      <c r="H42" t="s">
        <v>4</v>
      </c>
      <c r="I42" s="4">
        <v>-70798.240000000005</v>
      </c>
      <c r="J42" t="s">
        <v>5</v>
      </c>
      <c r="K42" t="s">
        <v>6</v>
      </c>
      <c r="L42" s="4">
        <v>-5943512.25</v>
      </c>
      <c r="M42" s="4">
        <v>-70798.240000000005</v>
      </c>
      <c r="N42" s="6" t="s">
        <v>371</v>
      </c>
      <c r="O42" s="14" t="s">
        <v>351</v>
      </c>
      <c r="P42" t="s">
        <v>127</v>
      </c>
      <c r="Q42" t="s">
        <v>128</v>
      </c>
      <c r="R42" t="s">
        <v>129</v>
      </c>
      <c r="S42" t="s">
        <v>0</v>
      </c>
      <c r="T42" t="s">
        <v>10</v>
      </c>
      <c r="U42" t="s">
        <v>130</v>
      </c>
      <c r="V42" t="s">
        <v>12</v>
      </c>
      <c r="W42" t="s">
        <v>0</v>
      </c>
      <c r="X42" t="s">
        <v>12</v>
      </c>
      <c r="Y42" t="s">
        <v>0</v>
      </c>
      <c r="Z42" t="s">
        <v>0</v>
      </c>
      <c r="AA42" s="3"/>
      <c r="AB42" t="s">
        <v>0</v>
      </c>
      <c r="AC42" t="s">
        <v>0</v>
      </c>
      <c r="AD42" t="s">
        <v>0</v>
      </c>
      <c r="AE42" s="4">
        <v>0</v>
      </c>
    </row>
    <row r="43" spans="1:31" x14ac:dyDescent="0.2">
      <c r="A43" s="2" t="s">
        <v>0</v>
      </c>
      <c r="B43" t="s">
        <v>1</v>
      </c>
      <c r="C43" t="s">
        <v>184</v>
      </c>
      <c r="D43" s="3">
        <v>44199</v>
      </c>
      <c r="E43" s="3">
        <v>44199</v>
      </c>
      <c r="F43" s="3">
        <v>44234</v>
      </c>
      <c r="G43" t="s">
        <v>3</v>
      </c>
      <c r="H43" t="s">
        <v>4</v>
      </c>
      <c r="I43" s="4">
        <v>-4885.76</v>
      </c>
      <c r="J43" t="s">
        <v>5</v>
      </c>
      <c r="K43" t="s">
        <v>6</v>
      </c>
      <c r="L43" s="4">
        <v>-410159.55</v>
      </c>
      <c r="M43" s="4">
        <v>-4885.76</v>
      </c>
      <c r="N43" s="6" t="s">
        <v>372</v>
      </c>
      <c r="O43" s="14" t="s">
        <v>351</v>
      </c>
      <c r="P43" t="s">
        <v>108</v>
      </c>
      <c r="Q43" t="s">
        <v>104</v>
      </c>
      <c r="R43" t="s">
        <v>109</v>
      </c>
      <c r="S43" t="s">
        <v>0</v>
      </c>
      <c r="T43" t="s">
        <v>10</v>
      </c>
      <c r="U43" t="s">
        <v>106</v>
      </c>
      <c r="V43" t="s">
        <v>12</v>
      </c>
      <c r="W43" t="s">
        <v>0</v>
      </c>
      <c r="X43" t="s">
        <v>12</v>
      </c>
      <c r="Y43" t="s">
        <v>0</v>
      </c>
      <c r="Z43" t="s">
        <v>0</v>
      </c>
      <c r="AA43" s="3"/>
      <c r="AB43" t="s">
        <v>0</v>
      </c>
      <c r="AC43" t="s">
        <v>0</v>
      </c>
      <c r="AD43" t="s">
        <v>0</v>
      </c>
      <c r="AE43" s="4">
        <v>0</v>
      </c>
    </row>
    <row r="44" spans="1:31" x14ac:dyDescent="0.2">
      <c r="A44" s="2" t="s">
        <v>0</v>
      </c>
      <c r="B44" t="s">
        <v>1</v>
      </c>
      <c r="C44" t="s">
        <v>185</v>
      </c>
      <c r="D44" s="3">
        <v>44199</v>
      </c>
      <c r="E44" s="3">
        <v>44199</v>
      </c>
      <c r="F44" s="3">
        <v>44234</v>
      </c>
      <c r="G44" t="s">
        <v>3</v>
      </c>
      <c r="H44" t="s">
        <v>4</v>
      </c>
      <c r="I44" s="4">
        <v>4885.76</v>
      </c>
      <c r="J44" t="s">
        <v>5</v>
      </c>
      <c r="K44" t="s">
        <v>6</v>
      </c>
      <c r="L44" s="4">
        <v>410159.55</v>
      </c>
      <c r="M44" s="4">
        <v>4885.76</v>
      </c>
      <c r="N44" s="6" t="s">
        <v>372</v>
      </c>
      <c r="O44" s="14" t="s">
        <v>351</v>
      </c>
      <c r="P44" t="s">
        <v>108</v>
      </c>
      <c r="Q44" t="s">
        <v>104</v>
      </c>
      <c r="R44" t="s">
        <v>109</v>
      </c>
      <c r="S44" t="s">
        <v>0</v>
      </c>
      <c r="T44" t="s">
        <v>10</v>
      </c>
      <c r="U44" t="s">
        <v>106</v>
      </c>
      <c r="V44" t="s">
        <v>12</v>
      </c>
      <c r="W44" t="s">
        <v>0</v>
      </c>
      <c r="X44" t="s">
        <v>12</v>
      </c>
      <c r="Y44" t="s">
        <v>0</v>
      </c>
      <c r="Z44" t="s">
        <v>0</v>
      </c>
      <c r="AA44" s="3"/>
      <c r="AB44" t="s">
        <v>0</v>
      </c>
      <c r="AC44" t="s">
        <v>0</v>
      </c>
      <c r="AD44" t="s">
        <v>0</v>
      </c>
      <c r="AE44" s="4">
        <v>0</v>
      </c>
    </row>
    <row r="45" spans="1:31" x14ac:dyDescent="0.2">
      <c r="A45" s="2" t="s">
        <v>0</v>
      </c>
      <c r="B45" t="s">
        <v>1</v>
      </c>
      <c r="C45" t="s">
        <v>186</v>
      </c>
      <c r="D45" s="3">
        <v>44199</v>
      </c>
      <c r="E45" s="3">
        <v>44199</v>
      </c>
      <c r="F45" s="3">
        <v>44234</v>
      </c>
      <c r="G45" t="s">
        <v>3</v>
      </c>
      <c r="H45" t="s">
        <v>4</v>
      </c>
      <c r="I45" s="4">
        <v>-31924.48</v>
      </c>
      <c r="J45" t="s">
        <v>5</v>
      </c>
      <c r="K45" t="s">
        <v>6</v>
      </c>
      <c r="L45" s="4">
        <v>-2680060.1</v>
      </c>
      <c r="M45" s="4">
        <v>-31924.48</v>
      </c>
      <c r="N45" s="6" t="s">
        <v>373</v>
      </c>
      <c r="O45" s="14" t="s">
        <v>351</v>
      </c>
      <c r="P45" t="s">
        <v>127</v>
      </c>
      <c r="Q45" t="s">
        <v>128</v>
      </c>
      <c r="R45" t="s">
        <v>132</v>
      </c>
      <c r="S45" t="s">
        <v>0</v>
      </c>
      <c r="T45" t="s">
        <v>10</v>
      </c>
      <c r="U45" t="s">
        <v>130</v>
      </c>
      <c r="V45" t="s">
        <v>12</v>
      </c>
      <c r="W45" t="s">
        <v>0</v>
      </c>
      <c r="X45" t="s">
        <v>12</v>
      </c>
      <c r="Y45" t="s">
        <v>0</v>
      </c>
      <c r="Z45" t="s">
        <v>0</v>
      </c>
      <c r="AA45" s="3"/>
      <c r="AB45" t="s">
        <v>0</v>
      </c>
      <c r="AC45" t="s">
        <v>0</v>
      </c>
      <c r="AD45" t="s">
        <v>0</v>
      </c>
      <c r="AE45" s="4">
        <v>0</v>
      </c>
    </row>
    <row r="46" spans="1:31" x14ac:dyDescent="0.2">
      <c r="A46" s="2" t="s">
        <v>0</v>
      </c>
      <c r="B46" t="s">
        <v>1</v>
      </c>
      <c r="C46" t="s">
        <v>187</v>
      </c>
      <c r="D46" s="3">
        <v>44273</v>
      </c>
      <c r="E46" s="3">
        <v>44199</v>
      </c>
      <c r="F46" s="3">
        <v>44280</v>
      </c>
      <c r="G46" t="s">
        <v>3</v>
      </c>
      <c r="H46" t="s">
        <v>4</v>
      </c>
      <c r="I46" s="4">
        <v>31924.48</v>
      </c>
      <c r="J46" t="s">
        <v>5</v>
      </c>
      <c r="K46" t="s">
        <v>6</v>
      </c>
      <c r="L46" s="4">
        <v>2680060.1</v>
      </c>
      <c r="M46" s="4">
        <v>31924.48</v>
      </c>
      <c r="N46" s="6" t="s">
        <v>373</v>
      </c>
      <c r="O46" s="14" t="s">
        <v>351</v>
      </c>
      <c r="P46" t="s">
        <v>127</v>
      </c>
      <c r="Q46" t="s">
        <v>128</v>
      </c>
      <c r="R46" t="s">
        <v>132</v>
      </c>
      <c r="S46" t="s">
        <v>0</v>
      </c>
      <c r="T46" t="s">
        <v>10</v>
      </c>
      <c r="U46" t="s">
        <v>130</v>
      </c>
      <c r="V46" t="s">
        <v>12</v>
      </c>
      <c r="W46" t="s">
        <v>0</v>
      </c>
      <c r="X46" t="s">
        <v>12</v>
      </c>
      <c r="Y46" t="s">
        <v>0</v>
      </c>
      <c r="Z46" t="s">
        <v>0</v>
      </c>
      <c r="AA46" s="3"/>
      <c r="AB46" t="s">
        <v>0</v>
      </c>
      <c r="AC46" t="s">
        <v>0</v>
      </c>
      <c r="AD46" t="s">
        <v>0</v>
      </c>
      <c r="AE46" s="4">
        <v>0</v>
      </c>
    </row>
    <row r="47" spans="1:31" x14ac:dyDescent="0.2">
      <c r="A47" s="2" t="s">
        <v>0</v>
      </c>
      <c r="B47" t="s">
        <v>1</v>
      </c>
      <c r="C47" t="s">
        <v>188</v>
      </c>
      <c r="D47" s="3">
        <v>44273</v>
      </c>
      <c r="E47" s="3">
        <v>44199</v>
      </c>
      <c r="F47" s="3">
        <v>44280</v>
      </c>
      <c r="G47" t="s">
        <v>3</v>
      </c>
      <c r="H47" t="s">
        <v>4</v>
      </c>
      <c r="I47" s="4">
        <v>70798.240000000005</v>
      </c>
      <c r="J47" t="s">
        <v>5</v>
      </c>
      <c r="K47" t="s">
        <v>6</v>
      </c>
      <c r="L47" s="4">
        <v>5943512.25</v>
      </c>
      <c r="M47" s="4">
        <v>70798.240000000005</v>
      </c>
      <c r="N47" s="6" t="s">
        <v>371</v>
      </c>
      <c r="O47" s="14" t="s">
        <v>351</v>
      </c>
      <c r="P47" t="s">
        <v>127</v>
      </c>
      <c r="Q47" t="s">
        <v>128</v>
      </c>
      <c r="R47" t="s">
        <v>129</v>
      </c>
      <c r="S47" t="s">
        <v>0</v>
      </c>
      <c r="T47" t="s">
        <v>10</v>
      </c>
      <c r="U47" t="s">
        <v>130</v>
      </c>
      <c r="V47" t="s">
        <v>12</v>
      </c>
      <c r="W47" t="s">
        <v>0</v>
      </c>
      <c r="X47" t="s">
        <v>12</v>
      </c>
      <c r="Y47" t="s">
        <v>0</v>
      </c>
      <c r="Z47" t="s">
        <v>0</v>
      </c>
      <c r="AA47" s="3"/>
      <c r="AB47" t="s">
        <v>0</v>
      </c>
      <c r="AC47" t="s">
        <v>0</v>
      </c>
      <c r="AD47" t="s">
        <v>0</v>
      </c>
      <c r="AE47" s="4">
        <v>0</v>
      </c>
    </row>
    <row r="48" spans="1:31" x14ac:dyDescent="0.2">
      <c r="A48" s="2" t="s">
        <v>0</v>
      </c>
      <c r="B48" t="s">
        <v>1</v>
      </c>
      <c r="C48" t="s">
        <v>189</v>
      </c>
      <c r="D48" s="3">
        <v>44227</v>
      </c>
      <c r="E48" s="3">
        <v>44227</v>
      </c>
      <c r="F48" s="3">
        <v>44233</v>
      </c>
      <c r="G48" t="s">
        <v>3</v>
      </c>
      <c r="H48" t="s">
        <v>4</v>
      </c>
      <c r="I48" s="4">
        <v>-41048</v>
      </c>
      <c r="J48" t="s">
        <v>5</v>
      </c>
      <c r="K48" t="s">
        <v>6</v>
      </c>
      <c r="L48" s="4">
        <v>-3445979.6</v>
      </c>
      <c r="M48" s="4">
        <v>-41048</v>
      </c>
      <c r="N48" s="6" t="s">
        <v>374</v>
      </c>
      <c r="O48" s="14" t="s">
        <v>351</v>
      </c>
      <c r="P48" t="s">
        <v>190</v>
      </c>
      <c r="Q48" t="s">
        <v>191</v>
      </c>
      <c r="R48" t="s">
        <v>192</v>
      </c>
      <c r="S48" t="s">
        <v>0</v>
      </c>
      <c r="T48" t="s">
        <v>10</v>
      </c>
      <c r="U48" t="s">
        <v>193</v>
      </c>
      <c r="V48" t="s">
        <v>12</v>
      </c>
      <c r="W48" t="s">
        <v>0</v>
      </c>
      <c r="X48" t="s">
        <v>12</v>
      </c>
      <c r="Y48" t="s">
        <v>0</v>
      </c>
      <c r="Z48" t="s">
        <v>0</v>
      </c>
      <c r="AA48" s="3"/>
      <c r="AB48" t="s">
        <v>0</v>
      </c>
      <c r="AC48" t="s">
        <v>0</v>
      </c>
      <c r="AD48" t="s">
        <v>0</v>
      </c>
      <c r="AE48" s="4">
        <v>0</v>
      </c>
    </row>
    <row r="49" spans="1:31" x14ac:dyDescent="0.2">
      <c r="A49" s="2" t="s">
        <v>0</v>
      </c>
      <c r="B49" t="s">
        <v>1</v>
      </c>
      <c r="C49" t="s">
        <v>194</v>
      </c>
      <c r="D49" s="3">
        <v>44227</v>
      </c>
      <c r="E49" s="3">
        <v>44227</v>
      </c>
      <c r="F49" s="3">
        <v>44233</v>
      </c>
      <c r="G49" t="s">
        <v>3</v>
      </c>
      <c r="H49" t="s">
        <v>4</v>
      </c>
      <c r="I49" s="4">
        <v>-54760</v>
      </c>
      <c r="J49" t="s">
        <v>5</v>
      </c>
      <c r="K49" t="s">
        <v>6</v>
      </c>
      <c r="L49" s="4">
        <v>-4597102</v>
      </c>
      <c r="M49" s="4">
        <v>-54760</v>
      </c>
      <c r="N49" s="6" t="s">
        <v>375</v>
      </c>
      <c r="O49" s="14" t="s">
        <v>351</v>
      </c>
      <c r="P49" t="s">
        <v>190</v>
      </c>
      <c r="Q49" t="s">
        <v>191</v>
      </c>
      <c r="R49" t="s">
        <v>195</v>
      </c>
      <c r="S49" t="s">
        <v>0</v>
      </c>
      <c r="T49" t="s">
        <v>10</v>
      </c>
      <c r="U49" t="s">
        <v>196</v>
      </c>
      <c r="V49" t="s">
        <v>12</v>
      </c>
      <c r="W49" t="s">
        <v>0</v>
      </c>
      <c r="X49" t="s">
        <v>12</v>
      </c>
      <c r="Y49" t="s">
        <v>0</v>
      </c>
      <c r="Z49" t="s">
        <v>0</v>
      </c>
      <c r="AA49" s="3"/>
      <c r="AB49" t="s">
        <v>0</v>
      </c>
      <c r="AC49" t="s">
        <v>0</v>
      </c>
      <c r="AD49" t="s">
        <v>0</v>
      </c>
      <c r="AE49" s="4">
        <v>0</v>
      </c>
    </row>
    <row r="50" spans="1:31" x14ac:dyDescent="0.2">
      <c r="A50" s="2" t="s">
        <v>0</v>
      </c>
      <c r="B50" t="s">
        <v>1</v>
      </c>
      <c r="C50" t="s">
        <v>197</v>
      </c>
      <c r="D50" s="3">
        <v>44227</v>
      </c>
      <c r="E50" s="3">
        <v>44227</v>
      </c>
      <c r="F50" s="3">
        <v>44233</v>
      </c>
      <c r="G50" t="s">
        <v>3</v>
      </c>
      <c r="H50" t="s">
        <v>4</v>
      </c>
      <c r="I50" s="4">
        <v>-20515</v>
      </c>
      <c r="J50" t="s">
        <v>5</v>
      </c>
      <c r="K50" t="s">
        <v>6</v>
      </c>
      <c r="L50" s="4">
        <v>-1722234.25</v>
      </c>
      <c r="M50" s="4">
        <v>-20515</v>
      </c>
      <c r="N50" s="6" t="s">
        <v>376</v>
      </c>
      <c r="O50" s="14" t="s">
        <v>351</v>
      </c>
      <c r="P50" t="s">
        <v>190</v>
      </c>
      <c r="Q50" t="s">
        <v>191</v>
      </c>
      <c r="R50" t="s">
        <v>198</v>
      </c>
      <c r="S50" t="s">
        <v>0</v>
      </c>
      <c r="T50" t="s">
        <v>10</v>
      </c>
      <c r="U50" t="s">
        <v>193</v>
      </c>
      <c r="V50" t="s">
        <v>12</v>
      </c>
      <c r="W50" t="s">
        <v>0</v>
      </c>
      <c r="X50" t="s">
        <v>12</v>
      </c>
      <c r="Y50" t="s">
        <v>0</v>
      </c>
      <c r="Z50" t="s">
        <v>0</v>
      </c>
      <c r="AA50" s="3"/>
      <c r="AB50" t="s">
        <v>0</v>
      </c>
      <c r="AC50" t="s">
        <v>0</v>
      </c>
      <c r="AD50" t="s">
        <v>0</v>
      </c>
      <c r="AE50" s="4">
        <v>0</v>
      </c>
    </row>
    <row r="51" spans="1:31" x14ac:dyDescent="0.2">
      <c r="A51" s="2" t="s">
        <v>0</v>
      </c>
      <c r="B51" t="s">
        <v>1</v>
      </c>
      <c r="C51" t="s">
        <v>199</v>
      </c>
      <c r="D51" s="3">
        <v>44227</v>
      </c>
      <c r="E51" s="3">
        <v>44227</v>
      </c>
      <c r="F51" s="3">
        <v>44233</v>
      </c>
      <c r="G51" t="s">
        <v>3</v>
      </c>
      <c r="H51" t="s">
        <v>4</v>
      </c>
      <c r="I51" s="4">
        <v>-22090</v>
      </c>
      <c r="J51" t="s">
        <v>5</v>
      </c>
      <c r="K51" t="s">
        <v>6</v>
      </c>
      <c r="L51" s="4">
        <v>-1854455.5</v>
      </c>
      <c r="M51" s="4">
        <v>-22090</v>
      </c>
      <c r="N51" s="6" t="s">
        <v>377</v>
      </c>
      <c r="O51" s="14" t="s">
        <v>351</v>
      </c>
      <c r="P51" t="s">
        <v>190</v>
      </c>
      <c r="Q51" t="s">
        <v>191</v>
      </c>
      <c r="R51" t="s">
        <v>200</v>
      </c>
      <c r="S51" t="s">
        <v>0</v>
      </c>
      <c r="T51" t="s">
        <v>10</v>
      </c>
      <c r="U51" t="s">
        <v>196</v>
      </c>
      <c r="V51" t="s">
        <v>12</v>
      </c>
      <c r="W51" t="s">
        <v>0</v>
      </c>
      <c r="X51" t="s">
        <v>12</v>
      </c>
      <c r="Y51" t="s">
        <v>0</v>
      </c>
      <c r="Z51" t="s">
        <v>0</v>
      </c>
      <c r="AA51" s="3"/>
      <c r="AB51" t="s">
        <v>0</v>
      </c>
      <c r="AC51" t="s">
        <v>0</v>
      </c>
      <c r="AD51" t="s">
        <v>0</v>
      </c>
      <c r="AE51" s="4">
        <v>0</v>
      </c>
    </row>
    <row r="52" spans="1:31" x14ac:dyDescent="0.2">
      <c r="A52" s="2" t="s">
        <v>0</v>
      </c>
      <c r="B52" t="s">
        <v>1</v>
      </c>
      <c r="C52" t="s">
        <v>201</v>
      </c>
      <c r="D52" s="3">
        <v>44273</v>
      </c>
      <c r="E52" s="3">
        <v>44227</v>
      </c>
      <c r="F52" s="3">
        <v>44280</v>
      </c>
      <c r="G52" t="s">
        <v>3</v>
      </c>
      <c r="H52" t="s">
        <v>4</v>
      </c>
      <c r="I52" s="4">
        <v>20515</v>
      </c>
      <c r="J52" t="s">
        <v>5</v>
      </c>
      <c r="K52" t="s">
        <v>6</v>
      </c>
      <c r="L52" s="4">
        <v>1722234.25</v>
      </c>
      <c r="M52" s="4">
        <v>20515</v>
      </c>
      <c r="N52" s="6" t="s">
        <v>376</v>
      </c>
      <c r="O52" s="14" t="s">
        <v>351</v>
      </c>
      <c r="P52" t="s">
        <v>190</v>
      </c>
      <c r="Q52" t="s">
        <v>191</v>
      </c>
      <c r="R52" t="s">
        <v>198</v>
      </c>
      <c r="S52" t="s">
        <v>0</v>
      </c>
      <c r="T52" t="s">
        <v>10</v>
      </c>
      <c r="U52" t="s">
        <v>193</v>
      </c>
      <c r="V52" t="s">
        <v>12</v>
      </c>
      <c r="W52" t="s">
        <v>0</v>
      </c>
      <c r="X52" t="s">
        <v>12</v>
      </c>
      <c r="Y52" t="s">
        <v>0</v>
      </c>
      <c r="Z52" t="s">
        <v>0</v>
      </c>
      <c r="AA52" s="3"/>
      <c r="AB52" t="s">
        <v>0</v>
      </c>
      <c r="AC52" t="s">
        <v>0</v>
      </c>
      <c r="AD52" t="s">
        <v>0</v>
      </c>
      <c r="AE52" s="4">
        <v>0</v>
      </c>
    </row>
    <row r="53" spans="1:31" x14ac:dyDescent="0.2">
      <c r="A53" s="2" t="s">
        <v>0</v>
      </c>
      <c r="B53" t="s">
        <v>1</v>
      </c>
      <c r="C53" t="s">
        <v>202</v>
      </c>
      <c r="D53" s="3">
        <v>44273</v>
      </c>
      <c r="E53" s="3">
        <v>44227</v>
      </c>
      <c r="F53" s="3">
        <v>44280</v>
      </c>
      <c r="G53" t="s">
        <v>3</v>
      </c>
      <c r="H53" t="s">
        <v>4</v>
      </c>
      <c r="I53" s="4">
        <v>22090</v>
      </c>
      <c r="J53" t="s">
        <v>5</v>
      </c>
      <c r="K53" t="s">
        <v>6</v>
      </c>
      <c r="L53" s="4">
        <v>1854455.5</v>
      </c>
      <c r="M53" s="4">
        <v>22090</v>
      </c>
      <c r="N53" s="6" t="s">
        <v>377</v>
      </c>
      <c r="O53" s="14" t="s">
        <v>351</v>
      </c>
      <c r="P53" t="s">
        <v>190</v>
      </c>
      <c r="Q53" t="s">
        <v>191</v>
      </c>
      <c r="R53" t="s">
        <v>200</v>
      </c>
      <c r="S53" t="s">
        <v>0</v>
      </c>
      <c r="T53" t="s">
        <v>10</v>
      </c>
      <c r="U53" t="s">
        <v>196</v>
      </c>
      <c r="V53" t="s">
        <v>12</v>
      </c>
      <c r="W53" t="s">
        <v>0</v>
      </c>
      <c r="X53" t="s">
        <v>12</v>
      </c>
      <c r="Y53" t="s">
        <v>0</v>
      </c>
      <c r="Z53" t="s">
        <v>0</v>
      </c>
      <c r="AA53" s="3"/>
      <c r="AB53" t="s">
        <v>0</v>
      </c>
      <c r="AC53" t="s">
        <v>0</v>
      </c>
      <c r="AD53" t="s">
        <v>0</v>
      </c>
      <c r="AE53" s="4">
        <v>0</v>
      </c>
    </row>
    <row r="54" spans="1:31" x14ac:dyDescent="0.2">
      <c r="A54" s="2" t="s">
        <v>0</v>
      </c>
      <c r="B54" t="s">
        <v>1</v>
      </c>
      <c r="C54" t="s">
        <v>203</v>
      </c>
      <c r="D54" s="3">
        <v>44273</v>
      </c>
      <c r="E54" s="3">
        <v>44227</v>
      </c>
      <c r="F54" s="3">
        <v>44280</v>
      </c>
      <c r="G54" t="s">
        <v>3</v>
      </c>
      <c r="H54" t="s">
        <v>4</v>
      </c>
      <c r="I54" s="4">
        <v>41048</v>
      </c>
      <c r="J54" t="s">
        <v>5</v>
      </c>
      <c r="K54" t="s">
        <v>6</v>
      </c>
      <c r="L54" s="4">
        <v>3445979.6</v>
      </c>
      <c r="M54" s="4">
        <v>41048</v>
      </c>
      <c r="N54" s="6" t="s">
        <v>374</v>
      </c>
      <c r="O54" s="14" t="s">
        <v>351</v>
      </c>
      <c r="P54" t="s">
        <v>190</v>
      </c>
      <c r="Q54" t="s">
        <v>191</v>
      </c>
      <c r="R54" t="s">
        <v>192</v>
      </c>
      <c r="S54" t="s">
        <v>0</v>
      </c>
      <c r="T54" t="s">
        <v>10</v>
      </c>
      <c r="U54" t="s">
        <v>193</v>
      </c>
      <c r="V54" t="s">
        <v>12</v>
      </c>
      <c r="W54" t="s">
        <v>0</v>
      </c>
      <c r="X54" t="s">
        <v>12</v>
      </c>
      <c r="Y54" t="s">
        <v>0</v>
      </c>
      <c r="Z54" t="s">
        <v>0</v>
      </c>
      <c r="AA54" s="3"/>
      <c r="AB54" t="s">
        <v>0</v>
      </c>
      <c r="AC54" t="s">
        <v>0</v>
      </c>
      <c r="AD54" t="s">
        <v>0</v>
      </c>
      <c r="AE54" s="4">
        <v>0</v>
      </c>
    </row>
    <row r="55" spans="1:31" x14ac:dyDescent="0.2">
      <c r="A55" s="2" t="s">
        <v>0</v>
      </c>
      <c r="B55" t="s">
        <v>1</v>
      </c>
      <c r="C55" t="s">
        <v>204</v>
      </c>
      <c r="D55" s="3">
        <v>44273</v>
      </c>
      <c r="E55" s="3">
        <v>44227</v>
      </c>
      <c r="F55" s="3">
        <v>44280</v>
      </c>
      <c r="G55" t="s">
        <v>3</v>
      </c>
      <c r="H55" t="s">
        <v>4</v>
      </c>
      <c r="I55" s="4">
        <v>54760</v>
      </c>
      <c r="J55" t="s">
        <v>5</v>
      </c>
      <c r="K55" t="s">
        <v>6</v>
      </c>
      <c r="L55" s="4">
        <v>4597102</v>
      </c>
      <c r="M55" s="4">
        <v>54760</v>
      </c>
      <c r="N55" s="6" t="s">
        <v>375</v>
      </c>
      <c r="O55" s="14" t="s">
        <v>351</v>
      </c>
      <c r="P55" t="s">
        <v>190</v>
      </c>
      <c r="Q55" t="s">
        <v>191</v>
      </c>
      <c r="R55" t="s">
        <v>195</v>
      </c>
      <c r="S55" t="s">
        <v>0</v>
      </c>
      <c r="T55" t="s">
        <v>10</v>
      </c>
      <c r="U55" t="s">
        <v>196</v>
      </c>
      <c r="V55" t="s">
        <v>12</v>
      </c>
      <c r="W55" t="s">
        <v>0</v>
      </c>
      <c r="X55" t="s">
        <v>12</v>
      </c>
      <c r="Y55" t="s">
        <v>0</v>
      </c>
      <c r="Z55" t="s">
        <v>0</v>
      </c>
      <c r="AA55" s="3"/>
      <c r="AB55" t="s">
        <v>0</v>
      </c>
      <c r="AC55" t="s">
        <v>0</v>
      </c>
      <c r="AD55" t="s">
        <v>0</v>
      </c>
      <c r="AE55" s="4">
        <v>0</v>
      </c>
    </row>
    <row r="56" spans="1:31" x14ac:dyDescent="0.2">
      <c r="A56" s="2" t="s">
        <v>0</v>
      </c>
      <c r="B56" t="s">
        <v>1</v>
      </c>
      <c r="C56" t="s">
        <v>205</v>
      </c>
      <c r="D56" s="3">
        <v>44255</v>
      </c>
      <c r="E56" s="3">
        <v>44255</v>
      </c>
      <c r="F56" s="3">
        <v>44261</v>
      </c>
      <c r="G56" t="s">
        <v>3</v>
      </c>
      <c r="H56" t="s">
        <v>4</v>
      </c>
      <c r="I56" s="4">
        <v>-42411</v>
      </c>
      <c r="J56" t="s">
        <v>5</v>
      </c>
      <c r="K56" t="s">
        <v>6</v>
      </c>
      <c r="L56" s="4">
        <v>-3560403.45</v>
      </c>
      <c r="M56" s="4">
        <v>-42411</v>
      </c>
      <c r="N56" s="6" t="s">
        <v>378</v>
      </c>
      <c r="O56" s="14" t="s">
        <v>351</v>
      </c>
      <c r="P56" t="s">
        <v>206</v>
      </c>
      <c r="Q56" t="s">
        <v>207</v>
      </c>
      <c r="R56" t="s">
        <v>208</v>
      </c>
      <c r="S56" t="s">
        <v>0</v>
      </c>
      <c r="T56" t="s">
        <v>10</v>
      </c>
      <c r="U56" t="s">
        <v>193</v>
      </c>
      <c r="V56" t="s">
        <v>12</v>
      </c>
      <c r="W56" t="s">
        <v>0</v>
      </c>
      <c r="X56" t="s">
        <v>12</v>
      </c>
      <c r="Y56" t="s">
        <v>0</v>
      </c>
      <c r="Z56" t="s">
        <v>0</v>
      </c>
      <c r="AA56" s="3"/>
      <c r="AB56" t="s">
        <v>0</v>
      </c>
      <c r="AC56" t="s">
        <v>0</v>
      </c>
      <c r="AD56" t="s">
        <v>0</v>
      </c>
      <c r="AE56" s="4">
        <v>0</v>
      </c>
    </row>
    <row r="57" spans="1:31" x14ac:dyDescent="0.2">
      <c r="A57" s="2" t="s">
        <v>0</v>
      </c>
      <c r="B57" t="s">
        <v>1</v>
      </c>
      <c r="C57" t="s">
        <v>209</v>
      </c>
      <c r="D57" s="3">
        <v>44255</v>
      </c>
      <c r="E57" s="3">
        <v>44255</v>
      </c>
      <c r="F57" s="3">
        <v>44261</v>
      </c>
      <c r="G57" t="s">
        <v>3</v>
      </c>
      <c r="H57" t="s">
        <v>4</v>
      </c>
      <c r="I57" s="4">
        <v>-68122</v>
      </c>
      <c r="J57" t="s">
        <v>5</v>
      </c>
      <c r="K57" t="s">
        <v>6</v>
      </c>
      <c r="L57" s="4">
        <v>-5718841.9000000004</v>
      </c>
      <c r="M57" s="4">
        <v>-68122</v>
      </c>
      <c r="N57" s="6" t="s">
        <v>379</v>
      </c>
      <c r="O57" s="14" t="s">
        <v>351</v>
      </c>
      <c r="P57" t="s">
        <v>206</v>
      </c>
      <c r="Q57" t="s">
        <v>210</v>
      </c>
      <c r="R57" t="s">
        <v>211</v>
      </c>
      <c r="S57" t="s">
        <v>0</v>
      </c>
      <c r="T57" t="s">
        <v>10</v>
      </c>
      <c r="U57" t="s">
        <v>212</v>
      </c>
      <c r="V57" t="s">
        <v>12</v>
      </c>
      <c r="W57" t="s">
        <v>0</v>
      </c>
      <c r="X57" t="s">
        <v>12</v>
      </c>
      <c r="Y57" t="s">
        <v>0</v>
      </c>
      <c r="Z57" t="s">
        <v>0</v>
      </c>
      <c r="AA57" s="3"/>
      <c r="AB57" t="s">
        <v>0</v>
      </c>
      <c r="AC57" t="s">
        <v>0</v>
      </c>
      <c r="AD57" t="s">
        <v>0</v>
      </c>
      <c r="AE57" s="4">
        <v>0</v>
      </c>
    </row>
    <row r="58" spans="1:31" x14ac:dyDescent="0.2">
      <c r="A58" s="2" t="s">
        <v>0</v>
      </c>
      <c r="B58" t="s">
        <v>1</v>
      </c>
      <c r="C58" t="s">
        <v>213</v>
      </c>
      <c r="D58" s="3">
        <v>44255</v>
      </c>
      <c r="E58" s="3">
        <v>44255</v>
      </c>
      <c r="F58" s="3">
        <v>44261</v>
      </c>
      <c r="G58" t="s">
        <v>3</v>
      </c>
      <c r="H58" t="s">
        <v>4</v>
      </c>
      <c r="I58" s="4">
        <v>-19313</v>
      </c>
      <c r="J58" t="s">
        <v>5</v>
      </c>
      <c r="K58" t="s">
        <v>6</v>
      </c>
      <c r="L58" s="4">
        <v>-1621326.35</v>
      </c>
      <c r="M58" s="4">
        <v>-19313</v>
      </c>
      <c r="N58" s="6" t="s">
        <v>380</v>
      </c>
      <c r="O58" s="14" t="s">
        <v>351</v>
      </c>
      <c r="P58" t="s">
        <v>206</v>
      </c>
      <c r="Q58" t="s">
        <v>210</v>
      </c>
      <c r="R58" t="s">
        <v>214</v>
      </c>
      <c r="S58" t="s">
        <v>0</v>
      </c>
      <c r="T58" t="s">
        <v>10</v>
      </c>
      <c r="U58" t="s">
        <v>215</v>
      </c>
      <c r="V58" t="s">
        <v>12</v>
      </c>
      <c r="W58" t="s">
        <v>0</v>
      </c>
      <c r="X58" t="s">
        <v>12</v>
      </c>
      <c r="Y58" t="s">
        <v>0</v>
      </c>
      <c r="Z58" t="s">
        <v>0</v>
      </c>
      <c r="AA58" s="3"/>
      <c r="AB58" t="s">
        <v>0</v>
      </c>
      <c r="AC58" t="s">
        <v>0</v>
      </c>
      <c r="AD58" t="s">
        <v>0</v>
      </c>
      <c r="AE58" s="4">
        <v>0</v>
      </c>
    </row>
    <row r="59" spans="1:31" x14ac:dyDescent="0.2">
      <c r="A59" s="2" t="s">
        <v>0</v>
      </c>
      <c r="B59" t="s">
        <v>1</v>
      </c>
      <c r="C59" t="s">
        <v>216</v>
      </c>
      <c r="D59" s="3">
        <v>44255</v>
      </c>
      <c r="E59" s="3">
        <v>44255</v>
      </c>
      <c r="F59" s="3">
        <v>44261</v>
      </c>
      <c r="G59" t="s">
        <v>3</v>
      </c>
      <c r="H59" t="s">
        <v>4</v>
      </c>
      <c r="I59" s="4">
        <v>-18131</v>
      </c>
      <c r="J59" t="s">
        <v>5</v>
      </c>
      <c r="K59" t="s">
        <v>6</v>
      </c>
      <c r="L59" s="4">
        <v>-1522097.45</v>
      </c>
      <c r="M59" s="4">
        <v>-18131</v>
      </c>
      <c r="N59" s="6" t="s">
        <v>381</v>
      </c>
      <c r="O59" s="14" t="s">
        <v>351</v>
      </c>
      <c r="P59" t="s">
        <v>206</v>
      </c>
      <c r="Q59" t="s">
        <v>210</v>
      </c>
      <c r="R59" t="s">
        <v>217</v>
      </c>
      <c r="S59" t="s">
        <v>0</v>
      </c>
      <c r="T59" t="s">
        <v>10</v>
      </c>
      <c r="U59" t="s">
        <v>212</v>
      </c>
      <c r="V59" t="s">
        <v>12</v>
      </c>
      <c r="W59" t="s">
        <v>0</v>
      </c>
      <c r="X59" t="s">
        <v>12</v>
      </c>
      <c r="Y59" t="s">
        <v>0</v>
      </c>
      <c r="Z59" t="s">
        <v>0</v>
      </c>
      <c r="AA59" s="3"/>
      <c r="AB59" t="s">
        <v>0</v>
      </c>
      <c r="AC59" t="s">
        <v>0</v>
      </c>
      <c r="AD59" t="s">
        <v>0</v>
      </c>
      <c r="AE59" s="4">
        <v>0</v>
      </c>
    </row>
    <row r="60" spans="1:31" x14ac:dyDescent="0.2">
      <c r="A60" s="2" t="s">
        <v>0</v>
      </c>
      <c r="B60" t="s">
        <v>1</v>
      </c>
      <c r="C60" t="s">
        <v>218</v>
      </c>
      <c r="D60" s="3">
        <v>44290</v>
      </c>
      <c r="E60" s="3">
        <v>44255</v>
      </c>
      <c r="F60" s="3">
        <v>44326</v>
      </c>
      <c r="G60" t="s">
        <v>3</v>
      </c>
      <c r="H60" t="s">
        <v>4</v>
      </c>
      <c r="I60" s="4">
        <v>42411</v>
      </c>
      <c r="J60" t="s">
        <v>5</v>
      </c>
      <c r="K60" t="s">
        <v>6</v>
      </c>
      <c r="L60" s="4">
        <v>3560403.45</v>
      </c>
      <c r="M60" s="4">
        <v>42411</v>
      </c>
      <c r="N60" s="6" t="s">
        <v>378</v>
      </c>
      <c r="O60" s="14" t="s">
        <v>351</v>
      </c>
      <c r="P60" t="s">
        <v>206</v>
      </c>
      <c r="Q60" t="s">
        <v>207</v>
      </c>
      <c r="R60" t="s">
        <v>208</v>
      </c>
      <c r="S60" t="s">
        <v>0</v>
      </c>
      <c r="T60" t="s">
        <v>10</v>
      </c>
      <c r="U60" t="s">
        <v>193</v>
      </c>
      <c r="V60" t="s">
        <v>12</v>
      </c>
      <c r="W60" t="s">
        <v>0</v>
      </c>
      <c r="X60" t="s">
        <v>12</v>
      </c>
      <c r="Y60" t="s">
        <v>0</v>
      </c>
      <c r="Z60" t="s">
        <v>0</v>
      </c>
      <c r="AA60" s="3"/>
      <c r="AB60" t="s">
        <v>0</v>
      </c>
      <c r="AC60" t="s">
        <v>0</v>
      </c>
      <c r="AD60" t="s">
        <v>0</v>
      </c>
      <c r="AE60" s="4">
        <v>0</v>
      </c>
    </row>
    <row r="61" spans="1:31" x14ac:dyDescent="0.2">
      <c r="A61" s="2" t="s">
        <v>0</v>
      </c>
      <c r="B61" t="s">
        <v>1</v>
      </c>
      <c r="C61" t="s">
        <v>219</v>
      </c>
      <c r="D61" s="3">
        <v>44290</v>
      </c>
      <c r="E61" s="3">
        <v>44255</v>
      </c>
      <c r="F61" s="3">
        <v>44326</v>
      </c>
      <c r="G61" t="s">
        <v>3</v>
      </c>
      <c r="H61" t="s">
        <v>4</v>
      </c>
      <c r="I61" s="4">
        <v>19313</v>
      </c>
      <c r="J61" t="s">
        <v>5</v>
      </c>
      <c r="K61" t="s">
        <v>6</v>
      </c>
      <c r="L61" s="4">
        <v>1621326.35</v>
      </c>
      <c r="M61" s="4">
        <v>19313</v>
      </c>
      <c r="N61" s="6" t="s">
        <v>380</v>
      </c>
      <c r="O61" s="14" t="s">
        <v>351</v>
      </c>
      <c r="P61" t="s">
        <v>206</v>
      </c>
      <c r="Q61" t="s">
        <v>210</v>
      </c>
      <c r="R61" t="s">
        <v>214</v>
      </c>
      <c r="S61" t="s">
        <v>0</v>
      </c>
      <c r="T61" t="s">
        <v>10</v>
      </c>
      <c r="U61" t="s">
        <v>215</v>
      </c>
      <c r="V61" t="s">
        <v>12</v>
      </c>
      <c r="W61" t="s">
        <v>0</v>
      </c>
      <c r="X61" t="s">
        <v>12</v>
      </c>
      <c r="Y61" t="s">
        <v>0</v>
      </c>
      <c r="Z61" t="s">
        <v>0</v>
      </c>
      <c r="AA61" s="3"/>
      <c r="AB61" t="s">
        <v>0</v>
      </c>
      <c r="AC61" t="s">
        <v>0</v>
      </c>
      <c r="AD61" t="s">
        <v>0</v>
      </c>
      <c r="AE61" s="4">
        <v>0</v>
      </c>
    </row>
    <row r="62" spans="1:31" x14ac:dyDescent="0.2">
      <c r="A62" s="2" t="s">
        <v>0</v>
      </c>
      <c r="B62" t="s">
        <v>1</v>
      </c>
      <c r="C62" t="s">
        <v>248</v>
      </c>
      <c r="D62" s="3">
        <v>44286</v>
      </c>
      <c r="E62" s="3">
        <v>44286</v>
      </c>
      <c r="F62" s="3">
        <v>44293</v>
      </c>
      <c r="G62" t="s">
        <v>3</v>
      </c>
      <c r="H62" t="s">
        <v>4</v>
      </c>
      <c r="I62" s="4">
        <v>-17609</v>
      </c>
      <c r="J62" t="s">
        <v>5</v>
      </c>
      <c r="K62" t="s">
        <v>6</v>
      </c>
      <c r="L62" s="4">
        <v>-1478275.55</v>
      </c>
      <c r="M62" s="4">
        <v>-17609</v>
      </c>
      <c r="N62" s="6" t="s">
        <v>382</v>
      </c>
      <c r="O62" s="14" t="s">
        <v>351</v>
      </c>
      <c r="P62" t="s">
        <v>239</v>
      </c>
      <c r="Q62" t="s">
        <v>245</v>
      </c>
      <c r="R62" t="s">
        <v>249</v>
      </c>
      <c r="S62" t="s">
        <v>0</v>
      </c>
      <c r="T62" t="s">
        <v>10</v>
      </c>
      <c r="U62" t="s">
        <v>250</v>
      </c>
      <c r="V62" t="s">
        <v>12</v>
      </c>
      <c r="W62" t="s">
        <v>0</v>
      </c>
      <c r="X62" t="s">
        <v>12</v>
      </c>
      <c r="Y62" t="s">
        <v>0</v>
      </c>
      <c r="Z62" t="s">
        <v>0</v>
      </c>
      <c r="AA62" s="3"/>
      <c r="AB62" t="s">
        <v>0</v>
      </c>
      <c r="AC62" t="s">
        <v>0</v>
      </c>
      <c r="AD62" t="s">
        <v>0</v>
      </c>
      <c r="AE62" s="4">
        <v>0</v>
      </c>
    </row>
    <row r="63" spans="1:31" x14ac:dyDescent="0.2">
      <c r="A63" s="2" t="s">
        <v>0</v>
      </c>
      <c r="B63" t="s">
        <v>1</v>
      </c>
      <c r="C63" t="s">
        <v>251</v>
      </c>
      <c r="D63" s="3">
        <v>44286</v>
      </c>
      <c r="E63" s="3">
        <v>44286</v>
      </c>
      <c r="F63" s="3">
        <v>44293</v>
      </c>
      <c r="G63" t="s">
        <v>3</v>
      </c>
      <c r="H63" t="s">
        <v>4</v>
      </c>
      <c r="I63" s="4">
        <v>-26540</v>
      </c>
      <c r="J63" t="s">
        <v>5</v>
      </c>
      <c r="K63" t="s">
        <v>6</v>
      </c>
      <c r="L63" s="4">
        <v>-2228033</v>
      </c>
      <c r="M63" s="4">
        <v>-26540</v>
      </c>
      <c r="N63" s="6" t="s">
        <v>383</v>
      </c>
      <c r="O63" s="14" t="s">
        <v>351</v>
      </c>
      <c r="P63" t="s">
        <v>244</v>
      </c>
      <c r="Q63" t="s">
        <v>245</v>
      </c>
      <c r="R63" t="s">
        <v>252</v>
      </c>
      <c r="S63" t="s">
        <v>0</v>
      </c>
      <c r="T63" t="s">
        <v>10</v>
      </c>
      <c r="U63" t="s">
        <v>247</v>
      </c>
      <c r="V63" t="s">
        <v>12</v>
      </c>
      <c r="W63" t="s">
        <v>0</v>
      </c>
      <c r="X63" t="s">
        <v>12</v>
      </c>
      <c r="Y63" t="s">
        <v>0</v>
      </c>
      <c r="Z63" t="s">
        <v>0</v>
      </c>
      <c r="AA63" s="3"/>
      <c r="AB63" t="s">
        <v>0</v>
      </c>
      <c r="AC63" t="s">
        <v>0</v>
      </c>
      <c r="AD63" t="s">
        <v>0</v>
      </c>
      <c r="AE63" s="4">
        <v>0</v>
      </c>
    </row>
    <row r="64" spans="1:31" x14ac:dyDescent="0.2">
      <c r="A64" s="2" t="s">
        <v>0</v>
      </c>
      <c r="B64" t="s">
        <v>1</v>
      </c>
      <c r="C64" t="s">
        <v>302</v>
      </c>
      <c r="D64" s="3">
        <v>44325</v>
      </c>
      <c r="E64" s="3">
        <v>44255</v>
      </c>
      <c r="F64" s="3">
        <v>44341</v>
      </c>
      <c r="G64" t="s">
        <v>3</v>
      </c>
      <c r="H64" t="s">
        <v>4</v>
      </c>
      <c r="I64" s="4">
        <v>18131</v>
      </c>
      <c r="J64" t="s">
        <v>5</v>
      </c>
      <c r="K64" t="s">
        <v>6</v>
      </c>
      <c r="L64" s="4">
        <v>1522097.45</v>
      </c>
      <c r="M64" s="4">
        <v>18131</v>
      </c>
      <c r="N64" s="6" t="s">
        <v>381</v>
      </c>
      <c r="O64" s="14" t="s">
        <v>351</v>
      </c>
      <c r="P64" t="s">
        <v>206</v>
      </c>
      <c r="Q64" t="s">
        <v>210</v>
      </c>
      <c r="R64" t="s">
        <v>217</v>
      </c>
      <c r="S64" t="s">
        <v>0</v>
      </c>
      <c r="T64" t="s">
        <v>10</v>
      </c>
      <c r="U64" t="s">
        <v>212</v>
      </c>
      <c r="V64" t="s">
        <v>12</v>
      </c>
      <c r="W64" t="s">
        <v>0</v>
      </c>
      <c r="X64" t="s">
        <v>12</v>
      </c>
      <c r="Y64" t="s">
        <v>0</v>
      </c>
      <c r="Z64" t="s">
        <v>0</v>
      </c>
      <c r="AA64" s="3"/>
      <c r="AB64" t="s">
        <v>0</v>
      </c>
      <c r="AC64" t="s">
        <v>0</v>
      </c>
      <c r="AD64" t="s">
        <v>0</v>
      </c>
      <c r="AE64" s="4">
        <v>0</v>
      </c>
    </row>
    <row r="65" spans="1:31" x14ac:dyDescent="0.2">
      <c r="A65" s="2" t="s">
        <v>0</v>
      </c>
      <c r="B65" t="s">
        <v>1</v>
      </c>
      <c r="C65" t="s">
        <v>303</v>
      </c>
      <c r="D65" s="3">
        <v>44325</v>
      </c>
      <c r="E65" s="3">
        <v>44255</v>
      </c>
      <c r="F65" s="3">
        <v>44341</v>
      </c>
      <c r="G65" t="s">
        <v>3</v>
      </c>
      <c r="H65" t="s">
        <v>4</v>
      </c>
      <c r="I65" s="4">
        <v>68122</v>
      </c>
      <c r="J65" t="s">
        <v>5</v>
      </c>
      <c r="K65" t="s">
        <v>6</v>
      </c>
      <c r="L65" s="4">
        <v>5718841.9000000004</v>
      </c>
      <c r="M65" s="4">
        <v>68122</v>
      </c>
      <c r="N65" s="6" t="s">
        <v>379</v>
      </c>
      <c r="O65" s="14" t="s">
        <v>351</v>
      </c>
      <c r="P65" t="s">
        <v>206</v>
      </c>
      <c r="Q65" t="s">
        <v>210</v>
      </c>
      <c r="R65" t="s">
        <v>211</v>
      </c>
      <c r="S65" t="s">
        <v>0</v>
      </c>
      <c r="T65" t="s">
        <v>10</v>
      </c>
      <c r="U65" t="s">
        <v>212</v>
      </c>
      <c r="V65" t="s">
        <v>12</v>
      </c>
      <c r="W65" t="s">
        <v>0</v>
      </c>
      <c r="X65" t="s">
        <v>12</v>
      </c>
      <c r="Y65" t="s">
        <v>0</v>
      </c>
      <c r="Z65" t="s">
        <v>0</v>
      </c>
      <c r="AA65" s="3"/>
      <c r="AB65" t="s">
        <v>0</v>
      </c>
      <c r="AC65" t="s">
        <v>0</v>
      </c>
      <c r="AD65" t="s">
        <v>0</v>
      </c>
      <c r="AE65" s="4">
        <v>0</v>
      </c>
    </row>
    <row r="66" spans="1:31" x14ac:dyDescent="0.2">
      <c r="A66" s="2" t="s">
        <v>0</v>
      </c>
      <c r="B66" t="s">
        <v>1</v>
      </c>
      <c r="C66" t="s">
        <v>304</v>
      </c>
      <c r="D66" s="3">
        <v>44325</v>
      </c>
      <c r="E66" s="3">
        <v>44286</v>
      </c>
      <c r="F66" s="3">
        <v>44341</v>
      </c>
      <c r="G66" t="s">
        <v>3</v>
      </c>
      <c r="H66" t="s">
        <v>4</v>
      </c>
      <c r="I66" s="4">
        <v>17609</v>
      </c>
      <c r="J66" t="s">
        <v>5</v>
      </c>
      <c r="K66" t="s">
        <v>6</v>
      </c>
      <c r="L66" s="4">
        <v>1478275.55</v>
      </c>
      <c r="M66" s="4">
        <v>17609</v>
      </c>
      <c r="N66" s="6" t="s">
        <v>382</v>
      </c>
      <c r="O66" s="14" t="s">
        <v>351</v>
      </c>
      <c r="P66" t="s">
        <v>239</v>
      </c>
      <c r="Q66" t="s">
        <v>245</v>
      </c>
      <c r="R66" t="s">
        <v>249</v>
      </c>
      <c r="S66" t="s">
        <v>0</v>
      </c>
      <c r="T66" t="s">
        <v>10</v>
      </c>
      <c r="U66" t="s">
        <v>250</v>
      </c>
      <c r="V66" t="s">
        <v>12</v>
      </c>
      <c r="W66" t="s">
        <v>0</v>
      </c>
      <c r="X66" t="s">
        <v>12</v>
      </c>
      <c r="Y66" t="s">
        <v>0</v>
      </c>
      <c r="Z66" t="s">
        <v>0</v>
      </c>
      <c r="AA66" s="3"/>
      <c r="AB66" t="s">
        <v>0</v>
      </c>
      <c r="AC66" t="s">
        <v>0</v>
      </c>
      <c r="AD66" t="s">
        <v>0</v>
      </c>
      <c r="AE66" s="4">
        <v>0</v>
      </c>
    </row>
    <row r="67" spans="1:31" x14ac:dyDescent="0.2">
      <c r="A67" s="2" t="s">
        <v>0</v>
      </c>
      <c r="B67" t="s">
        <v>1</v>
      </c>
      <c r="C67" t="s">
        <v>305</v>
      </c>
      <c r="D67" s="3">
        <v>44325</v>
      </c>
      <c r="E67" s="3">
        <v>44286</v>
      </c>
      <c r="F67" s="3">
        <v>44341</v>
      </c>
      <c r="G67" t="s">
        <v>3</v>
      </c>
      <c r="H67" t="s">
        <v>4</v>
      </c>
      <c r="I67" s="4">
        <v>26540</v>
      </c>
      <c r="J67" t="s">
        <v>5</v>
      </c>
      <c r="K67" t="s">
        <v>6</v>
      </c>
      <c r="L67" s="4">
        <v>2228033</v>
      </c>
      <c r="M67" s="4">
        <v>26540</v>
      </c>
      <c r="N67" s="6" t="s">
        <v>383</v>
      </c>
      <c r="O67" s="14" t="s">
        <v>351</v>
      </c>
      <c r="P67" t="s">
        <v>244</v>
      </c>
      <c r="Q67" t="s">
        <v>245</v>
      </c>
      <c r="R67" t="s">
        <v>252</v>
      </c>
      <c r="S67" t="s">
        <v>0</v>
      </c>
      <c r="T67" t="s">
        <v>10</v>
      </c>
      <c r="U67" t="s">
        <v>247</v>
      </c>
      <c r="V67" t="s">
        <v>12</v>
      </c>
      <c r="W67" t="s">
        <v>0</v>
      </c>
      <c r="X67" t="s">
        <v>12</v>
      </c>
      <c r="Y67" t="s">
        <v>0</v>
      </c>
      <c r="Z67" t="s">
        <v>0</v>
      </c>
      <c r="AA67" s="3"/>
      <c r="AB67" t="s">
        <v>0</v>
      </c>
      <c r="AC67" t="s">
        <v>0</v>
      </c>
      <c r="AD67" t="s">
        <v>0</v>
      </c>
      <c r="AE67" s="4">
        <v>0</v>
      </c>
    </row>
    <row r="68" spans="1:31" x14ac:dyDescent="0.2">
      <c r="M68" s="12">
        <f>SUM(M2:M67)</f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1FB1C-8ABF-40EB-A6A5-5947B4360A0A}">
  <dimension ref="A1:AE57"/>
  <sheetViews>
    <sheetView topLeftCell="I1" workbookViewId="0">
      <selection activeCell="M2" sqref="M2:M50"/>
    </sheetView>
  </sheetViews>
  <sheetFormatPr defaultRowHeight="12.75" x14ac:dyDescent="0.2"/>
  <cols>
    <col min="1" max="1" width="16" bestFit="1" customWidth="1"/>
    <col min="2" max="2" width="13" bestFit="1" customWidth="1"/>
    <col min="3" max="3" width="17" bestFit="1" customWidth="1"/>
    <col min="4" max="4" width="14" bestFit="1" customWidth="1"/>
    <col min="5" max="5" width="15" bestFit="1" customWidth="1"/>
    <col min="6" max="6" width="13" bestFit="1" customWidth="1"/>
    <col min="7" max="7" width="10" bestFit="1" customWidth="1"/>
    <col min="8" max="8" width="12" bestFit="1" customWidth="1"/>
    <col min="9" max="9" width="22" bestFit="1" customWidth="1"/>
    <col min="10" max="10" width="19" bestFit="1" customWidth="1"/>
    <col min="11" max="11" width="5" bestFit="1" customWidth="1"/>
    <col min="12" max="12" width="15" bestFit="1" customWidth="1"/>
    <col min="13" max="13" width="22" bestFit="1" customWidth="1"/>
    <col min="14" max="15" width="22" customWidth="1"/>
    <col min="16" max="16" width="18" bestFit="1" customWidth="1"/>
    <col min="17" max="17" width="20" bestFit="1" customWidth="1"/>
    <col min="18" max="18" width="52" bestFit="1" customWidth="1"/>
    <col min="19" max="19" width="21" bestFit="1" customWidth="1"/>
    <col min="20" max="20" width="6" bestFit="1" customWidth="1"/>
    <col min="21" max="21" width="27" bestFit="1" customWidth="1"/>
    <col min="22" max="22" width="13" bestFit="1" customWidth="1"/>
    <col min="23" max="23" width="12" bestFit="1" customWidth="1"/>
    <col min="24" max="24" width="11" bestFit="1" customWidth="1"/>
    <col min="25" max="25" width="15" bestFit="1" customWidth="1"/>
    <col min="26" max="26" width="19" bestFit="1" customWidth="1"/>
    <col min="27" max="27" width="15" bestFit="1" customWidth="1"/>
    <col min="28" max="28" width="18" bestFit="1" customWidth="1"/>
    <col min="29" max="29" width="19" bestFit="1" customWidth="1"/>
    <col min="30" max="30" width="16" bestFit="1" customWidth="1"/>
    <col min="31" max="31" width="14" bestFit="1" customWidth="1"/>
  </cols>
  <sheetData>
    <row r="1" spans="1:31" ht="51" x14ac:dyDescent="0.2">
      <c r="A1" s="5" t="s">
        <v>271</v>
      </c>
      <c r="B1" s="1" t="s">
        <v>272</v>
      </c>
      <c r="C1" s="1" t="s">
        <v>273</v>
      </c>
      <c r="D1" s="1" t="s">
        <v>274</v>
      </c>
      <c r="E1" s="1" t="s">
        <v>275</v>
      </c>
      <c r="F1" s="1" t="s">
        <v>276</v>
      </c>
      <c r="G1" s="5" t="s">
        <v>277</v>
      </c>
      <c r="H1" s="5" t="s">
        <v>278</v>
      </c>
      <c r="I1" s="1" t="s">
        <v>279</v>
      </c>
      <c r="J1" s="1" t="s">
        <v>280</v>
      </c>
      <c r="K1" s="5" t="s">
        <v>281</v>
      </c>
      <c r="L1" s="5" t="s">
        <v>282</v>
      </c>
      <c r="M1" s="1" t="s">
        <v>283</v>
      </c>
      <c r="N1" s="1" t="s">
        <v>300</v>
      </c>
      <c r="O1" s="1" t="s">
        <v>301</v>
      </c>
      <c r="P1" s="1" t="s">
        <v>284</v>
      </c>
      <c r="Q1" s="1" t="s">
        <v>285</v>
      </c>
      <c r="R1" s="1" t="s">
        <v>286</v>
      </c>
      <c r="S1" s="1" t="s">
        <v>287</v>
      </c>
      <c r="T1" s="1" t="s">
        <v>288</v>
      </c>
      <c r="U1" s="1" t="s">
        <v>289</v>
      </c>
      <c r="V1" s="1" t="s">
        <v>290</v>
      </c>
      <c r="W1" s="1" t="s">
        <v>291</v>
      </c>
      <c r="X1" s="1" t="s">
        <v>292</v>
      </c>
      <c r="Y1" s="1" t="s">
        <v>293</v>
      </c>
      <c r="Z1" s="1" t="s">
        <v>294</v>
      </c>
      <c r="AA1" s="1" t="s">
        <v>295</v>
      </c>
      <c r="AB1" s="1" t="s">
        <v>296</v>
      </c>
      <c r="AC1" s="1" t="s">
        <v>297</v>
      </c>
      <c r="AD1" s="1" t="s">
        <v>298</v>
      </c>
      <c r="AE1" s="5" t="s">
        <v>299</v>
      </c>
    </row>
    <row r="2" spans="1:31" ht="14.1" customHeight="1" x14ac:dyDescent="0.2">
      <c r="A2" s="2" t="s">
        <v>0</v>
      </c>
      <c r="B2" t="s">
        <v>1</v>
      </c>
      <c r="C2" t="s">
        <v>2</v>
      </c>
      <c r="D2" s="3">
        <v>44040</v>
      </c>
      <c r="E2" s="3">
        <v>43889</v>
      </c>
      <c r="F2" s="3">
        <v>44059</v>
      </c>
      <c r="G2" t="s">
        <v>3</v>
      </c>
      <c r="H2" t="s">
        <v>4</v>
      </c>
      <c r="I2" s="4">
        <v>6257.7</v>
      </c>
      <c r="J2" t="s">
        <v>5</v>
      </c>
      <c r="K2" t="s">
        <v>6</v>
      </c>
      <c r="L2" s="4">
        <v>525333.92000000004</v>
      </c>
      <c r="M2" s="4">
        <v>6257.7</v>
      </c>
      <c r="N2" s="6" t="str">
        <f>IF(M2="","",IF(M2&lt;0,-M2&amp;"_"&amp;COUNTIF(M$2:M2,M2),M2&amp;"_"&amp;COUNTIF(M$2:M2,M2)))</f>
        <v>6257.7_1</v>
      </c>
      <c r="O2" s="6" t="str">
        <f t="shared" ref="O2:O33" si="0">IF(COUNTIF(N:N,N2)=2,"x","")</f>
        <v/>
      </c>
      <c r="P2" t="s">
        <v>7</v>
      </c>
      <c r="Q2" t="s">
        <v>8</v>
      </c>
      <c r="R2" t="s">
        <v>9</v>
      </c>
      <c r="S2" t="s">
        <v>0</v>
      </c>
      <c r="T2" t="s">
        <v>10</v>
      </c>
      <c r="U2" t="s">
        <v>11</v>
      </c>
      <c r="V2" t="s">
        <v>12</v>
      </c>
      <c r="W2" t="s">
        <v>0</v>
      </c>
      <c r="X2" t="s">
        <v>12</v>
      </c>
      <c r="Y2" t="s">
        <v>0</v>
      </c>
      <c r="Z2" t="s">
        <v>0</v>
      </c>
      <c r="AA2" s="3"/>
      <c r="AB2" t="s">
        <v>0</v>
      </c>
      <c r="AC2" t="s">
        <v>0</v>
      </c>
      <c r="AD2" t="s">
        <v>0</v>
      </c>
      <c r="AE2" s="4">
        <v>0</v>
      </c>
    </row>
    <row r="3" spans="1:31" ht="14.1" customHeight="1" x14ac:dyDescent="0.2">
      <c r="A3" s="2" t="s">
        <v>0</v>
      </c>
      <c r="B3" t="s">
        <v>1</v>
      </c>
      <c r="C3" t="s">
        <v>13</v>
      </c>
      <c r="D3" s="3">
        <v>44040</v>
      </c>
      <c r="E3" s="3">
        <v>43921</v>
      </c>
      <c r="F3" s="3">
        <v>44059</v>
      </c>
      <c r="G3" t="s">
        <v>3</v>
      </c>
      <c r="H3" t="s">
        <v>4</v>
      </c>
      <c r="I3" s="4">
        <v>29917.759999999998</v>
      </c>
      <c r="J3" t="s">
        <v>5</v>
      </c>
      <c r="K3" t="s">
        <v>6</v>
      </c>
      <c r="L3" s="4">
        <v>2511595.9500000002</v>
      </c>
      <c r="M3" s="4">
        <v>29917.759999999998</v>
      </c>
      <c r="N3" s="6" t="str">
        <f>IF(M3="","",IF(M3&lt;0,-M3&amp;"_"&amp;COUNTIF(M$2:M3,M3),M3&amp;"_"&amp;COUNTIF(M$2:M3,M3)))</f>
        <v>29917.76_1</v>
      </c>
      <c r="O3" s="6" t="str">
        <f t="shared" si="0"/>
        <v/>
      </c>
      <c r="P3" t="s">
        <v>14</v>
      </c>
      <c r="Q3" t="s">
        <v>15</v>
      </c>
      <c r="R3" t="s">
        <v>16</v>
      </c>
      <c r="S3" t="s">
        <v>0</v>
      </c>
      <c r="T3" t="s">
        <v>10</v>
      </c>
      <c r="U3" t="s">
        <v>17</v>
      </c>
      <c r="V3" t="s">
        <v>12</v>
      </c>
      <c r="W3" t="s">
        <v>0</v>
      </c>
      <c r="X3" t="s">
        <v>12</v>
      </c>
      <c r="Y3" t="s">
        <v>0</v>
      </c>
      <c r="Z3" t="s">
        <v>0</v>
      </c>
      <c r="AA3" s="3"/>
      <c r="AB3" t="s">
        <v>0</v>
      </c>
      <c r="AC3" t="s">
        <v>0</v>
      </c>
      <c r="AD3" t="s">
        <v>0</v>
      </c>
      <c r="AE3" s="4">
        <v>0</v>
      </c>
    </row>
    <row r="4" spans="1:31" ht="14.1" customHeight="1" x14ac:dyDescent="0.2">
      <c r="A4" s="2" t="s">
        <v>0</v>
      </c>
      <c r="B4" t="s">
        <v>1</v>
      </c>
      <c r="C4" t="s">
        <v>18</v>
      </c>
      <c r="D4" s="3">
        <v>44040</v>
      </c>
      <c r="E4" s="3">
        <v>43951</v>
      </c>
      <c r="F4" s="3">
        <v>44059</v>
      </c>
      <c r="G4" t="s">
        <v>3</v>
      </c>
      <c r="H4" t="s">
        <v>4</v>
      </c>
      <c r="I4" s="4">
        <v>25343.52</v>
      </c>
      <c r="J4" t="s">
        <v>5</v>
      </c>
      <c r="K4" t="s">
        <v>6</v>
      </c>
      <c r="L4" s="4">
        <v>2127588.5</v>
      </c>
      <c r="M4" s="4">
        <v>25343.52</v>
      </c>
      <c r="N4" s="6" t="str">
        <f>IF(M4="","",IF(M4&lt;0,-M4&amp;"_"&amp;COUNTIF(M$2:M4,M4),M4&amp;"_"&amp;COUNTIF(M$2:M4,M4)))</f>
        <v>25343.52_1</v>
      </c>
      <c r="O4" s="6" t="str">
        <f t="shared" si="0"/>
        <v/>
      </c>
      <c r="P4" t="s">
        <v>19</v>
      </c>
      <c r="Q4" t="s">
        <v>19</v>
      </c>
      <c r="R4" t="s">
        <v>20</v>
      </c>
      <c r="S4" t="s">
        <v>0</v>
      </c>
      <c r="T4" t="s">
        <v>10</v>
      </c>
      <c r="U4" t="s">
        <v>21</v>
      </c>
      <c r="V4" t="s">
        <v>12</v>
      </c>
      <c r="W4" t="s">
        <v>0</v>
      </c>
      <c r="X4" t="s">
        <v>12</v>
      </c>
      <c r="Y4" t="s">
        <v>0</v>
      </c>
      <c r="Z4" t="s">
        <v>0</v>
      </c>
      <c r="AA4" s="3"/>
      <c r="AB4" t="s">
        <v>0</v>
      </c>
      <c r="AC4" t="s">
        <v>0</v>
      </c>
      <c r="AD4" t="s">
        <v>0</v>
      </c>
      <c r="AE4" s="4">
        <v>0</v>
      </c>
    </row>
    <row r="5" spans="1:31" ht="14.1" customHeight="1" x14ac:dyDescent="0.2">
      <c r="A5" s="2" t="s">
        <v>0</v>
      </c>
      <c r="B5" t="s">
        <v>1</v>
      </c>
      <c r="C5" t="s">
        <v>22</v>
      </c>
      <c r="D5" s="3">
        <v>44040</v>
      </c>
      <c r="E5" s="3">
        <v>43951</v>
      </c>
      <c r="F5" s="3">
        <v>44059</v>
      </c>
      <c r="G5" t="s">
        <v>3</v>
      </c>
      <c r="H5" t="s">
        <v>4</v>
      </c>
      <c r="I5" s="4">
        <v>53537.32</v>
      </c>
      <c r="J5" t="s">
        <v>5</v>
      </c>
      <c r="K5" t="s">
        <v>6</v>
      </c>
      <c r="L5" s="4">
        <v>4494458.01</v>
      </c>
      <c r="M5" s="4">
        <v>53537.32</v>
      </c>
      <c r="N5" s="6" t="str">
        <f>IF(M5="","",IF(M5&lt;0,-M5&amp;"_"&amp;COUNTIF(M$2:M5,M5),M5&amp;"_"&amp;COUNTIF(M$2:M5,M5)))</f>
        <v>53537.32_1</v>
      </c>
      <c r="O5" s="6" t="str">
        <f t="shared" si="0"/>
        <v/>
      </c>
      <c r="P5" t="s">
        <v>19</v>
      </c>
      <c r="Q5" t="s">
        <v>19</v>
      </c>
      <c r="R5" t="s">
        <v>23</v>
      </c>
      <c r="S5" t="s">
        <v>0</v>
      </c>
      <c r="T5" t="s">
        <v>10</v>
      </c>
      <c r="U5" t="s">
        <v>24</v>
      </c>
      <c r="V5" t="s">
        <v>12</v>
      </c>
      <c r="W5" t="s">
        <v>0</v>
      </c>
      <c r="X5" t="s">
        <v>12</v>
      </c>
      <c r="Y5" t="s">
        <v>0</v>
      </c>
      <c r="Z5" t="s">
        <v>0</v>
      </c>
      <c r="AA5" s="3"/>
      <c r="AB5" t="s">
        <v>0</v>
      </c>
      <c r="AC5" t="s">
        <v>0</v>
      </c>
      <c r="AD5" t="s">
        <v>0</v>
      </c>
      <c r="AE5" s="4">
        <v>0</v>
      </c>
    </row>
    <row r="6" spans="1:31" ht="14.1" customHeight="1" x14ac:dyDescent="0.2">
      <c r="A6" s="2" t="s">
        <v>0</v>
      </c>
      <c r="B6" t="s">
        <v>1</v>
      </c>
      <c r="C6" t="s">
        <v>25</v>
      </c>
      <c r="D6" s="3">
        <v>44040</v>
      </c>
      <c r="E6" s="3">
        <v>43982</v>
      </c>
      <c r="F6" s="3">
        <v>44059</v>
      </c>
      <c r="G6" t="s">
        <v>3</v>
      </c>
      <c r="H6" t="s">
        <v>4</v>
      </c>
      <c r="I6" s="4">
        <v>20277.14</v>
      </c>
      <c r="J6" t="s">
        <v>5</v>
      </c>
      <c r="K6" t="s">
        <v>6</v>
      </c>
      <c r="L6" s="4">
        <v>1702265.9</v>
      </c>
      <c r="M6" s="4">
        <v>20277.14</v>
      </c>
      <c r="N6" s="6" t="str">
        <f>IF(M6="","",IF(M6&lt;0,-M6&amp;"_"&amp;COUNTIF(M$2:M6,M6),M6&amp;"_"&amp;COUNTIF(M$2:M6,M6)))</f>
        <v>20277.14_1</v>
      </c>
      <c r="O6" s="6" t="str">
        <f t="shared" si="0"/>
        <v/>
      </c>
      <c r="P6" t="s">
        <v>26</v>
      </c>
      <c r="Q6" t="s">
        <v>26</v>
      </c>
      <c r="R6" t="s">
        <v>27</v>
      </c>
      <c r="S6" t="s">
        <v>0</v>
      </c>
      <c r="T6" t="s">
        <v>10</v>
      </c>
      <c r="U6" t="s">
        <v>28</v>
      </c>
      <c r="V6" t="s">
        <v>12</v>
      </c>
      <c r="W6" t="s">
        <v>0</v>
      </c>
      <c r="X6" t="s">
        <v>12</v>
      </c>
      <c r="Y6" t="s">
        <v>0</v>
      </c>
      <c r="Z6" t="s">
        <v>0</v>
      </c>
      <c r="AA6" s="3"/>
      <c r="AB6" t="s">
        <v>0</v>
      </c>
      <c r="AC6" t="s">
        <v>0</v>
      </c>
      <c r="AD6" t="s">
        <v>0</v>
      </c>
      <c r="AE6" s="4">
        <v>0</v>
      </c>
    </row>
    <row r="7" spans="1:31" ht="14.1" customHeight="1" x14ac:dyDescent="0.2">
      <c r="A7" s="2" t="s">
        <v>0</v>
      </c>
      <c r="B7" t="s">
        <v>1</v>
      </c>
      <c r="C7" t="s">
        <v>29</v>
      </c>
      <c r="D7" s="3">
        <v>44040</v>
      </c>
      <c r="E7" s="3">
        <v>43982</v>
      </c>
      <c r="F7" s="3">
        <v>44059</v>
      </c>
      <c r="G7" t="s">
        <v>3</v>
      </c>
      <c r="H7" t="s">
        <v>4</v>
      </c>
      <c r="I7" s="4">
        <v>43617.98</v>
      </c>
      <c r="J7" t="s">
        <v>5</v>
      </c>
      <c r="K7" t="s">
        <v>6</v>
      </c>
      <c r="L7" s="4">
        <v>3661729.42</v>
      </c>
      <c r="M7" s="4">
        <v>43617.98</v>
      </c>
      <c r="N7" s="6" t="str">
        <f>IF(M7="","",IF(M7&lt;0,-M7&amp;"_"&amp;COUNTIF(M$2:M7,M7),M7&amp;"_"&amp;COUNTIF(M$2:M7,M7)))</f>
        <v>43617.98_1</v>
      </c>
      <c r="O7" s="6" t="str">
        <f t="shared" si="0"/>
        <v/>
      </c>
      <c r="P7" t="s">
        <v>26</v>
      </c>
      <c r="Q7" t="s">
        <v>26</v>
      </c>
      <c r="R7" t="s">
        <v>30</v>
      </c>
      <c r="S7" t="s">
        <v>0</v>
      </c>
      <c r="T7" t="s">
        <v>10</v>
      </c>
      <c r="U7" t="s">
        <v>31</v>
      </c>
      <c r="V7" t="s">
        <v>12</v>
      </c>
      <c r="W7" t="s">
        <v>0</v>
      </c>
      <c r="X7" t="s">
        <v>12</v>
      </c>
      <c r="Y7" t="s">
        <v>0</v>
      </c>
      <c r="Z7" t="s">
        <v>0</v>
      </c>
      <c r="AA7" s="3"/>
      <c r="AB7" t="s">
        <v>0</v>
      </c>
      <c r="AC7" t="s">
        <v>0</v>
      </c>
      <c r="AD7" t="s">
        <v>0</v>
      </c>
      <c r="AE7" s="4">
        <v>0</v>
      </c>
    </row>
    <row r="8" spans="1:31" ht="14.1" customHeight="1" x14ac:dyDescent="0.2">
      <c r="A8" s="2" t="s">
        <v>0</v>
      </c>
      <c r="B8" t="s">
        <v>1</v>
      </c>
      <c r="C8" t="s">
        <v>32</v>
      </c>
      <c r="D8" s="3">
        <v>44040</v>
      </c>
      <c r="E8" s="3">
        <v>44012</v>
      </c>
      <c r="F8" s="3">
        <v>44059</v>
      </c>
      <c r="G8" t="s">
        <v>3</v>
      </c>
      <c r="H8" t="s">
        <v>4</v>
      </c>
      <c r="I8" s="4">
        <v>54056.71</v>
      </c>
      <c r="J8" t="s">
        <v>5</v>
      </c>
      <c r="K8" t="s">
        <v>6</v>
      </c>
      <c r="L8" s="4">
        <v>4538060.7999999998</v>
      </c>
      <c r="M8" s="4">
        <v>54056.71</v>
      </c>
      <c r="N8" s="6" t="str">
        <f>IF(M8="","",IF(M8&lt;0,-M8&amp;"_"&amp;COUNTIF(M$2:M8,M8),M8&amp;"_"&amp;COUNTIF(M$2:M8,M8)))</f>
        <v>54056.71_1</v>
      </c>
      <c r="O8" s="6" t="str">
        <f t="shared" si="0"/>
        <v/>
      </c>
      <c r="P8" t="s">
        <v>33</v>
      </c>
      <c r="Q8" t="s">
        <v>33</v>
      </c>
      <c r="R8" t="s">
        <v>34</v>
      </c>
      <c r="S8" t="s">
        <v>0</v>
      </c>
      <c r="T8" t="s">
        <v>10</v>
      </c>
      <c r="U8" t="s">
        <v>35</v>
      </c>
      <c r="V8" t="s">
        <v>12</v>
      </c>
      <c r="W8" t="s">
        <v>0</v>
      </c>
      <c r="X8" t="s">
        <v>12</v>
      </c>
      <c r="Y8" t="s">
        <v>0</v>
      </c>
      <c r="Z8" t="s">
        <v>0</v>
      </c>
      <c r="AA8" s="3"/>
      <c r="AB8" t="s">
        <v>0</v>
      </c>
      <c r="AC8" t="s">
        <v>0</v>
      </c>
      <c r="AD8" t="s">
        <v>0</v>
      </c>
      <c r="AE8" s="4">
        <v>0</v>
      </c>
    </row>
    <row r="9" spans="1:31" ht="14.1" customHeight="1" x14ac:dyDescent="0.2">
      <c r="A9" s="2" t="s">
        <v>0</v>
      </c>
      <c r="B9" t="s">
        <v>1</v>
      </c>
      <c r="C9" t="s">
        <v>36</v>
      </c>
      <c r="D9" s="3">
        <v>44040</v>
      </c>
      <c r="E9" s="3">
        <v>44012</v>
      </c>
      <c r="F9" s="3">
        <v>44059</v>
      </c>
      <c r="G9" t="s">
        <v>3</v>
      </c>
      <c r="H9" t="s">
        <v>4</v>
      </c>
      <c r="I9" s="4">
        <v>145832.57</v>
      </c>
      <c r="J9" t="s">
        <v>5</v>
      </c>
      <c r="K9" t="s">
        <v>6</v>
      </c>
      <c r="L9" s="4">
        <v>12242644.25</v>
      </c>
      <c r="M9" s="4">
        <v>145832.57</v>
      </c>
      <c r="N9" s="6" t="str">
        <f>IF(M9="","",IF(M9&lt;0,-M9&amp;"_"&amp;COUNTIF(M$2:M9,M9),M9&amp;"_"&amp;COUNTIF(M$2:M9,M9)))</f>
        <v>145832.57_1</v>
      </c>
      <c r="O9" s="6" t="str">
        <f t="shared" si="0"/>
        <v/>
      </c>
      <c r="P9" t="s">
        <v>33</v>
      </c>
      <c r="Q9" t="s">
        <v>33</v>
      </c>
      <c r="R9" t="s">
        <v>37</v>
      </c>
      <c r="S9" t="s">
        <v>0</v>
      </c>
      <c r="T9" t="s">
        <v>10</v>
      </c>
      <c r="U9" t="s">
        <v>38</v>
      </c>
      <c r="V9" t="s">
        <v>12</v>
      </c>
      <c r="W9" t="s">
        <v>0</v>
      </c>
      <c r="X9" t="s">
        <v>12</v>
      </c>
      <c r="Y9" t="s">
        <v>0</v>
      </c>
      <c r="Z9" t="s">
        <v>0</v>
      </c>
      <c r="AA9" s="3"/>
      <c r="AB9" t="s">
        <v>0</v>
      </c>
      <c r="AC9" t="s">
        <v>0</v>
      </c>
      <c r="AD9" t="s">
        <v>0</v>
      </c>
      <c r="AE9" s="4">
        <v>0</v>
      </c>
    </row>
    <row r="10" spans="1:31" ht="14.1" customHeight="1" x14ac:dyDescent="0.2">
      <c r="A10" s="2" t="s">
        <v>0</v>
      </c>
      <c r="B10" t="s">
        <v>1</v>
      </c>
      <c r="C10" t="s">
        <v>39</v>
      </c>
      <c r="D10" s="3">
        <v>44044</v>
      </c>
      <c r="E10" s="3">
        <v>44012</v>
      </c>
      <c r="F10" s="3">
        <v>44080</v>
      </c>
      <c r="G10" t="s">
        <v>3</v>
      </c>
      <c r="H10" t="s">
        <v>4</v>
      </c>
      <c r="I10" s="4">
        <v>11049.16</v>
      </c>
      <c r="J10" t="s">
        <v>5</v>
      </c>
      <c r="K10" t="s">
        <v>6</v>
      </c>
      <c r="L10" s="4">
        <v>927576.98</v>
      </c>
      <c r="M10" s="4">
        <v>11049.16</v>
      </c>
      <c r="N10" s="6" t="str">
        <f>IF(M10="","",IF(M10&lt;0,-M10&amp;"_"&amp;COUNTIF(M$2:M10,M10),M10&amp;"_"&amp;COUNTIF(M$2:M10,M10)))</f>
        <v>11049.16_1</v>
      </c>
      <c r="O10" s="6" t="str">
        <f t="shared" si="0"/>
        <v/>
      </c>
      <c r="P10" t="s">
        <v>40</v>
      </c>
      <c r="Q10" t="s">
        <v>41</v>
      </c>
      <c r="R10" t="s">
        <v>42</v>
      </c>
      <c r="S10" t="s">
        <v>0</v>
      </c>
      <c r="T10" t="s">
        <v>10</v>
      </c>
      <c r="U10" t="s">
        <v>43</v>
      </c>
      <c r="V10" t="s">
        <v>12</v>
      </c>
      <c r="W10" t="s">
        <v>0</v>
      </c>
      <c r="X10" t="s">
        <v>12</v>
      </c>
      <c r="Y10" t="s">
        <v>0</v>
      </c>
      <c r="Z10" t="s">
        <v>0</v>
      </c>
      <c r="AA10" s="3"/>
      <c r="AB10" t="s">
        <v>0</v>
      </c>
      <c r="AC10" t="s">
        <v>0</v>
      </c>
      <c r="AD10" t="s">
        <v>0</v>
      </c>
      <c r="AE10" s="4">
        <v>0</v>
      </c>
    </row>
    <row r="11" spans="1:31" ht="14.1" customHeight="1" x14ac:dyDescent="0.2">
      <c r="A11" s="2" t="s">
        <v>0</v>
      </c>
      <c r="B11" t="s">
        <v>1</v>
      </c>
      <c r="C11" t="s">
        <v>44</v>
      </c>
      <c r="D11" s="3">
        <v>44040</v>
      </c>
      <c r="E11" s="3">
        <v>44040</v>
      </c>
      <c r="F11" s="3">
        <v>44042</v>
      </c>
      <c r="G11" t="s">
        <v>45</v>
      </c>
      <c r="H11" t="s">
        <v>6</v>
      </c>
      <c r="I11" s="4">
        <v>-4973100</v>
      </c>
      <c r="J11" t="s">
        <v>46</v>
      </c>
      <c r="K11" t="s">
        <v>6</v>
      </c>
      <c r="L11" s="4">
        <v>-4973100</v>
      </c>
      <c r="M11" s="4">
        <v>-59485.91</v>
      </c>
      <c r="N11" s="6" t="str">
        <f>IF(M11="","",IF(M11&lt;0,-M11&amp;"_"&amp;COUNTIF(M$2:M11,M11),M11&amp;"_"&amp;COUNTIF(M$2:M11,M11)))</f>
        <v>59485.91_1</v>
      </c>
      <c r="O11" s="6" t="str">
        <f t="shared" si="0"/>
        <v/>
      </c>
      <c r="P11" t="s">
        <v>47</v>
      </c>
      <c r="Q11" t="s">
        <v>48</v>
      </c>
      <c r="R11" t="s">
        <v>49</v>
      </c>
      <c r="S11" t="s">
        <v>0</v>
      </c>
      <c r="T11" t="s">
        <v>10</v>
      </c>
      <c r="U11" t="s">
        <v>50</v>
      </c>
      <c r="V11" t="s">
        <v>0</v>
      </c>
      <c r="W11" t="s">
        <v>0</v>
      </c>
      <c r="X11" t="s">
        <v>0</v>
      </c>
      <c r="Y11" t="s">
        <v>0</v>
      </c>
      <c r="Z11" t="s">
        <v>0</v>
      </c>
      <c r="AA11" s="3"/>
      <c r="AB11" t="s">
        <v>0</v>
      </c>
      <c r="AC11" t="s">
        <v>0</v>
      </c>
      <c r="AD11" t="s">
        <v>0</v>
      </c>
      <c r="AE11" s="4">
        <v>0</v>
      </c>
    </row>
    <row r="12" spans="1:31" ht="14.1" customHeight="1" x14ac:dyDescent="0.2">
      <c r="A12" s="2" t="s">
        <v>0</v>
      </c>
      <c r="B12" t="s">
        <v>1</v>
      </c>
      <c r="C12" t="s">
        <v>44</v>
      </c>
      <c r="D12" s="3">
        <v>44040</v>
      </c>
      <c r="E12" s="3">
        <v>44040</v>
      </c>
      <c r="F12" s="3">
        <v>44042</v>
      </c>
      <c r="G12" t="s">
        <v>45</v>
      </c>
      <c r="H12" t="s">
        <v>6</v>
      </c>
      <c r="I12" s="4">
        <v>-4061700</v>
      </c>
      <c r="J12" t="s">
        <v>46</v>
      </c>
      <c r="K12" t="s">
        <v>6</v>
      </c>
      <c r="L12" s="4">
        <v>-4061700</v>
      </c>
      <c r="M12" s="4">
        <v>-48464.41</v>
      </c>
      <c r="N12" s="6" t="str">
        <f>IF(M12="","",IF(M12&lt;0,-M12&amp;"_"&amp;COUNTIF(M$2:M12,M12),M12&amp;"_"&amp;COUNTIF(M$2:M12,M12)))</f>
        <v>48464.41_1</v>
      </c>
      <c r="O12" s="6" t="str">
        <f t="shared" si="0"/>
        <v/>
      </c>
      <c r="P12" t="s">
        <v>47</v>
      </c>
      <c r="Q12" t="s">
        <v>51</v>
      </c>
      <c r="R12" t="s">
        <v>52</v>
      </c>
      <c r="S12" t="s">
        <v>0</v>
      </c>
      <c r="T12" t="s">
        <v>10</v>
      </c>
      <c r="U12" t="s">
        <v>50</v>
      </c>
      <c r="V12" t="s">
        <v>0</v>
      </c>
      <c r="W12" t="s">
        <v>0</v>
      </c>
      <c r="X12" t="s">
        <v>0</v>
      </c>
      <c r="Y12" t="s">
        <v>0</v>
      </c>
      <c r="Z12" t="s">
        <v>0</v>
      </c>
      <c r="AA12" s="3"/>
      <c r="AB12" t="s">
        <v>0</v>
      </c>
      <c r="AC12" t="s">
        <v>0</v>
      </c>
      <c r="AD12" t="s">
        <v>0</v>
      </c>
      <c r="AE12" s="4">
        <v>0</v>
      </c>
    </row>
    <row r="13" spans="1:31" ht="14.1" customHeight="1" x14ac:dyDescent="0.2">
      <c r="A13" s="2" t="s">
        <v>0</v>
      </c>
      <c r="B13" t="s">
        <v>1</v>
      </c>
      <c r="C13" t="s">
        <v>44</v>
      </c>
      <c r="D13" s="3">
        <v>44040</v>
      </c>
      <c r="E13" s="3">
        <v>44040</v>
      </c>
      <c r="F13" s="3">
        <v>44042</v>
      </c>
      <c r="G13" t="s">
        <v>45</v>
      </c>
      <c r="H13" t="s">
        <v>6</v>
      </c>
      <c r="I13" s="4">
        <v>-14329700</v>
      </c>
      <c r="J13" t="s">
        <v>46</v>
      </c>
      <c r="K13" t="s">
        <v>6</v>
      </c>
      <c r="L13" s="4">
        <v>-14329700</v>
      </c>
      <c r="M13" s="4">
        <v>-171165.85</v>
      </c>
      <c r="N13" s="6" t="str">
        <f>IF(M13="","",IF(M13&lt;0,-M13&amp;"_"&amp;COUNTIF(M$2:M13,M13),M13&amp;"_"&amp;COUNTIF(M$2:M13,M13)))</f>
        <v>171165.85_1</v>
      </c>
      <c r="O13" s="6" t="str">
        <f t="shared" si="0"/>
        <v/>
      </c>
      <c r="P13" t="s">
        <v>47</v>
      </c>
      <c r="Q13" t="s">
        <v>53</v>
      </c>
      <c r="R13" t="s">
        <v>54</v>
      </c>
      <c r="S13" t="s">
        <v>0</v>
      </c>
      <c r="T13" t="s">
        <v>10</v>
      </c>
      <c r="U13" t="s">
        <v>50</v>
      </c>
      <c r="V13" t="s">
        <v>0</v>
      </c>
      <c r="W13" t="s">
        <v>0</v>
      </c>
      <c r="X13" t="s">
        <v>0</v>
      </c>
      <c r="Y13" t="s">
        <v>0</v>
      </c>
      <c r="Z13" t="s">
        <v>0</v>
      </c>
      <c r="AA13" s="3"/>
      <c r="AB13" t="s">
        <v>0</v>
      </c>
      <c r="AC13" t="s">
        <v>0</v>
      </c>
      <c r="AD13" t="s">
        <v>0</v>
      </c>
      <c r="AE13" s="4">
        <v>0</v>
      </c>
    </row>
    <row r="14" spans="1:31" ht="14.1" customHeight="1" x14ac:dyDescent="0.2">
      <c r="A14" s="2" t="s">
        <v>0</v>
      </c>
      <c r="B14" t="s">
        <v>1</v>
      </c>
      <c r="C14" t="s">
        <v>55</v>
      </c>
      <c r="D14" s="3">
        <v>44040</v>
      </c>
      <c r="E14" s="3">
        <v>44040</v>
      </c>
      <c r="F14" s="3">
        <v>44042</v>
      </c>
      <c r="G14" t="s">
        <v>45</v>
      </c>
      <c r="H14" t="s">
        <v>6</v>
      </c>
      <c r="I14" s="4">
        <v>-562900</v>
      </c>
      <c r="J14" t="s">
        <v>46</v>
      </c>
      <c r="K14" t="s">
        <v>6</v>
      </c>
      <c r="L14" s="4">
        <v>-562900</v>
      </c>
      <c r="M14" s="4">
        <v>-6626.26</v>
      </c>
      <c r="N14" s="6" t="str">
        <f>IF(M14="","",IF(M14&lt;0,-M14&amp;"_"&amp;COUNTIF(M$2:M14,M14),M14&amp;"_"&amp;COUNTIF(M$2:M14,M14)))</f>
        <v>6626.26_1</v>
      </c>
      <c r="O14" s="6" t="str">
        <f t="shared" si="0"/>
        <v/>
      </c>
      <c r="P14" t="s">
        <v>56</v>
      </c>
      <c r="Q14" t="s">
        <v>57</v>
      </c>
      <c r="R14" t="s">
        <v>58</v>
      </c>
      <c r="S14" t="s">
        <v>0</v>
      </c>
      <c r="T14" t="s">
        <v>10</v>
      </c>
      <c r="U14" t="s">
        <v>59</v>
      </c>
      <c r="V14" t="s">
        <v>0</v>
      </c>
      <c r="W14" t="s">
        <v>0</v>
      </c>
      <c r="X14" t="s">
        <v>0</v>
      </c>
      <c r="Y14" t="s">
        <v>0</v>
      </c>
      <c r="Z14" t="s">
        <v>0</v>
      </c>
      <c r="AA14" s="3"/>
      <c r="AB14" t="s">
        <v>0</v>
      </c>
      <c r="AC14" t="s">
        <v>0</v>
      </c>
      <c r="AD14" t="s">
        <v>0</v>
      </c>
      <c r="AE14" s="4">
        <v>0</v>
      </c>
    </row>
    <row r="15" spans="1:31" ht="14.1" customHeight="1" x14ac:dyDescent="0.2">
      <c r="A15" s="2" t="s">
        <v>0</v>
      </c>
      <c r="B15" t="s">
        <v>1</v>
      </c>
      <c r="C15" t="s">
        <v>55</v>
      </c>
      <c r="D15" s="3">
        <v>44040</v>
      </c>
      <c r="E15" s="3">
        <v>44040</v>
      </c>
      <c r="F15" s="3">
        <v>44042</v>
      </c>
      <c r="G15" t="s">
        <v>45</v>
      </c>
      <c r="H15" t="s">
        <v>6</v>
      </c>
      <c r="I15" s="4">
        <v>-5286800</v>
      </c>
      <c r="J15" t="s">
        <v>46</v>
      </c>
      <c r="K15" t="s">
        <v>6</v>
      </c>
      <c r="L15" s="4">
        <v>-5286800</v>
      </c>
      <c r="M15" s="4">
        <v>-62234.26</v>
      </c>
      <c r="N15" s="6" t="str">
        <f>IF(M15="","",IF(M15&lt;0,-M15&amp;"_"&amp;COUNTIF(M$2:M15,M15),M15&amp;"_"&amp;COUNTIF(M$2:M15,M15)))</f>
        <v>62234.26_1</v>
      </c>
      <c r="O15" s="6" t="str">
        <f t="shared" si="0"/>
        <v/>
      </c>
      <c r="P15" t="s">
        <v>56</v>
      </c>
      <c r="Q15" t="s">
        <v>60</v>
      </c>
      <c r="R15" t="s">
        <v>61</v>
      </c>
      <c r="S15" t="s">
        <v>0</v>
      </c>
      <c r="T15" t="s">
        <v>10</v>
      </c>
      <c r="U15" t="s">
        <v>59</v>
      </c>
      <c r="V15" t="s">
        <v>0</v>
      </c>
      <c r="W15" t="s">
        <v>0</v>
      </c>
      <c r="X15" t="s">
        <v>0</v>
      </c>
      <c r="Y15" t="s">
        <v>0</v>
      </c>
      <c r="Z15" t="s">
        <v>0</v>
      </c>
      <c r="AA15" s="3"/>
      <c r="AB15" t="s">
        <v>0</v>
      </c>
      <c r="AC15" t="s">
        <v>0</v>
      </c>
      <c r="AD15" t="s">
        <v>0</v>
      </c>
      <c r="AE15" s="4">
        <v>0</v>
      </c>
    </row>
    <row r="16" spans="1:31" ht="14.1" customHeight="1" x14ac:dyDescent="0.2">
      <c r="A16" s="2" t="s">
        <v>0</v>
      </c>
      <c r="B16" t="s">
        <v>1</v>
      </c>
      <c r="C16" t="s">
        <v>55</v>
      </c>
      <c r="D16" s="3">
        <v>44040</v>
      </c>
      <c r="E16" s="3">
        <v>44040</v>
      </c>
      <c r="F16" s="3">
        <v>44042</v>
      </c>
      <c r="G16" t="s">
        <v>45</v>
      </c>
      <c r="H16" t="s">
        <v>6</v>
      </c>
      <c r="I16" s="4">
        <v>-1886000</v>
      </c>
      <c r="J16" t="s">
        <v>46</v>
      </c>
      <c r="K16" t="s">
        <v>6</v>
      </c>
      <c r="L16" s="4">
        <v>-1886000</v>
      </c>
      <c r="M16" s="4">
        <v>-22201.29</v>
      </c>
      <c r="N16" s="6" t="str">
        <f>IF(M16="","",IF(M16&lt;0,-M16&amp;"_"&amp;COUNTIF(M$2:M16,M16),M16&amp;"_"&amp;COUNTIF(M$2:M16,M16)))</f>
        <v>22201.29_1</v>
      </c>
      <c r="O16" s="6" t="str">
        <f t="shared" si="0"/>
        <v/>
      </c>
      <c r="P16" t="s">
        <v>56</v>
      </c>
      <c r="Q16" t="s">
        <v>62</v>
      </c>
      <c r="R16" t="s">
        <v>63</v>
      </c>
      <c r="S16" t="s">
        <v>0</v>
      </c>
      <c r="T16" t="s">
        <v>10</v>
      </c>
      <c r="U16" t="s">
        <v>59</v>
      </c>
      <c r="V16" t="s">
        <v>0</v>
      </c>
      <c r="W16" t="s">
        <v>0</v>
      </c>
      <c r="X16" t="s">
        <v>0</v>
      </c>
      <c r="Y16" t="s">
        <v>0</v>
      </c>
      <c r="Z16" t="s">
        <v>0</v>
      </c>
      <c r="AA16" s="3"/>
      <c r="AB16" t="s">
        <v>0</v>
      </c>
      <c r="AC16" t="s">
        <v>0</v>
      </c>
      <c r="AD16" t="s">
        <v>0</v>
      </c>
      <c r="AE16" s="4">
        <v>0</v>
      </c>
    </row>
    <row r="17" spans="1:31" ht="14.1" customHeight="1" x14ac:dyDescent="0.2">
      <c r="A17" s="2" t="s">
        <v>0</v>
      </c>
      <c r="B17" t="s">
        <v>1</v>
      </c>
      <c r="C17" t="s">
        <v>55</v>
      </c>
      <c r="D17" s="3">
        <v>44040</v>
      </c>
      <c r="E17" s="3">
        <v>44040</v>
      </c>
      <c r="F17" s="3">
        <v>44042</v>
      </c>
      <c r="G17" t="s">
        <v>45</v>
      </c>
      <c r="H17" t="s">
        <v>6</v>
      </c>
      <c r="I17" s="4">
        <v>-2782400</v>
      </c>
      <c r="J17" t="s">
        <v>46</v>
      </c>
      <c r="K17" t="s">
        <v>6</v>
      </c>
      <c r="L17" s="4">
        <v>-2782400</v>
      </c>
      <c r="M17" s="4">
        <v>-32753.38</v>
      </c>
      <c r="N17" s="6" t="str">
        <f>IF(M17="","",IF(M17&lt;0,-M17&amp;"_"&amp;COUNTIF(M$2:M17,M17),M17&amp;"_"&amp;COUNTIF(M$2:M17,M17)))</f>
        <v>32753.38_1</v>
      </c>
      <c r="O17" s="6" t="str">
        <f t="shared" si="0"/>
        <v/>
      </c>
      <c r="P17" t="s">
        <v>56</v>
      </c>
      <c r="Q17" t="s">
        <v>64</v>
      </c>
      <c r="R17" t="s">
        <v>65</v>
      </c>
      <c r="S17" t="s">
        <v>0</v>
      </c>
      <c r="T17" t="s">
        <v>10</v>
      </c>
      <c r="U17" t="s">
        <v>59</v>
      </c>
      <c r="V17" t="s">
        <v>0</v>
      </c>
      <c r="W17" t="s">
        <v>0</v>
      </c>
      <c r="X17" t="s">
        <v>0</v>
      </c>
      <c r="Y17" t="s">
        <v>0</v>
      </c>
      <c r="Z17" t="s">
        <v>0</v>
      </c>
      <c r="AA17" s="3"/>
      <c r="AB17" t="s">
        <v>0</v>
      </c>
      <c r="AC17" t="s">
        <v>0</v>
      </c>
      <c r="AD17" t="s">
        <v>0</v>
      </c>
      <c r="AE17" s="4">
        <v>0</v>
      </c>
    </row>
    <row r="18" spans="1:31" ht="14.1" customHeight="1" x14ac:dyDescent="0.2">
      <c r="A18" s="2" t="s">
        <v>0</v>
      </c>
      <c r="B18" t="s">
        <v>1</v>
      </c>
      <c r="C18" t="s">
        <v>55</v>
      </c>
      <c r="D18" s="3">
        <v>44040</v>
      </c>
      <c r="E18" s="3">
        <v>44040</v>
      </c>
      <c r="F18" s="3">
        <v>44042</v>
      </c>
      <c r="G18" t="s">
        <v>45</v>
      </c>
      <c r="H18" t="s">
        <v>6</v>
      </c>
      <c r="I18" s="4">
        <v>-2354900</v>
      </c>
      <c r="J18" t="s">
        <v>46</v>
      </c>
      <c r="K18" t="s">
        <v>6</v>
      </c>
      <c r="L18" s="4">
        <v>-2354900</v>
      </c>
      <c r="M18" s="4">
        <v>-27721.01</v>
      </c>
      <c r="N18" s="6" t="str">
        <f>IF(M18="","",IF(M18&lt;0,-M18&amp;"_"&amp;COUNTIF(M$2:M18,M18),M18&amp;"_"&amp;COUNTIF(M$2:M18,M18)))</f>
        <v>27721.01_1</v>
      </c>
      <c r="O18" s="6" t="str">
        <f t="shared" si="0"/>
        <v/>
      </c>
      <c r="P18" t="s">
        <v>56</v>
      </c>
      <c r="Q18" t="s">
        <v>66</v>
      </c>
      <c r="R18" t="s">
        <v>67</v>
      </c>
      <c r="S18" t="s">
        <v>0</v>
      </c>
      <c r="T18" t="s">
        <v>10</v>
      </c>
      <c r="U18" t="s">
        <v>59</v>
      </c>
      <c r="V18" t="s">
        <v>0</v>
      </c>
      <c r="W18" t="s">
        <v>0</v>
      </c>
      <c r="X18" t="s">
        <v>0</v>
      </c>
      <c r="Y18" t="s">
        <v>0</v>
      </c>
      <c r="Z18" t="s">
        <v>0</v>
      </c>
      <c r="AA18" s="3"/>
      <c r="AB18" t="s">
        <v>0</v>
      </c>
      <c r="AC18" t="s">
        <v>0</v>
      </c>
      <c r="AD18" t="s">
        <v>0</v>
      </c>
      <c r="AE18" s="4">
        <v>0</v>
      </c>
    </row>
    <row r="19" spans="1:31" ht="14.1" customHeight="1" x14ac:dyDescent="0.2">
      <c r="A19" s="2" t="s">
        <v>0</v>
      </c>
      <c r="B19" t="s">
        <v>1</v>
      </c>
      <c r="C19" t="s">
        <v>112</v>
      </c>
      <c r="D19" s="3">
        <v>44152</v>
      </c>
      <c r="E19" s="3">
        <v>44152</v>
      </c>
      <c r="F19" s="3">
        <v>44159</v>
      </c>
      <c r="G19" t="s">
        <v>45</v>
      </c>
      <c r="H19" t="s">
        <v>6</v>
      </c>
      <c r="I19" s="4">
        <v>-14763700</v>
      </c>
      <c r="J19" t="s">
        <v>46</v>
      </c>
      <c r="K19" t="s">
        <v>6</v>
      </c>
      <c r="L19" s="4">
        <v>-14763700</v>
      </c>
      <c r="M19" s="4">
        <v>-177005.4</v>
      </c>
      <c r="N19" s="6" t="str">
        <f>IF(M19="","",IF(M19&lt;0,-M19&amp;"_"&amp;COUNTIF(M$2:M19,M19),M19&amp;"_"&amp;COUNTIF(M$2:M19,M19)))</f>
        <v>177005.4_1</v>
      </c>
      <c r="O19" s="6" t="str">
        <f t="shared" si="0"/>
        <v/>
      </c>
      <c r="P19" t="s">
        <v>113</v>
      </c>
      <c r="Q19" t="s">
        <v>114</v>
      </c>
      <c r="R19" t="s">
        <v>115</v>
      </c>
      <c r="S19" t="s">
        <v>0</v>
      </c>
      <c r="T19" t="s">
        <v>10</v>
      </c>
      <c r="U19" t="s">
        <v>116</v>
      </c>
      <c r="V19" t="s">
        <v>0</v>
      </c>
      <c r="W19" t="s">
        <v>0</v>
      </c>
      <c r="X19" t="s">
        <v>0</v>
      </c>
      <c r="Y19" t="s">
        <v>0</v>
      </c>
      <c r="Z19" t="s">
        <v>0</v>
      </c>
      <c r="AA19" s="3"/>
      <c r="AB19" t="s">
        <v>0</v>
      </c>
      <c r="AC19" t="s">
        <v>0</v>
      </c>
      <c r="AD19" t="s">
        <v>0</v>
      </c>
      <c r="AE19" s="4">
        <v>0</v>
      </c>
    </row>
    <row r="20" spans="1:31" ht="14.1" customHeight="1" x14ac:dyDescent="0.2">
      <c r="A20" s="2" t="s">
        <v>0</v>
      </c>
      <c r="B20" t="s">
        <v>1</v>
      </c>
      <c r="C20" t="s">
        <v>112</v>
      </c>
      <c r="D20" s="3">
        <v>44152</v>
      </c>
      <c r="E20" s="3">
        <v>44152</v>
      </c>
      <c r="F20" s="3">
        <v>44159</v>
      </c>
      <c r="G20" t="s">
        <v>45</v>
      </c>
      <c r="H20" t="s">
        <v>6</v>
      </c>
      <c r="I20" s="4">
        <v>-6684500</v>
      </c>
      <c r="J20" t="s">
        <v>46</v>
      </c>
      <c r="K20" t="s">
        <v>6</v>
      </c>
      <c r="L20" s="4">
        <v>-6684500</v>
      </c>
      <c r="M20" s="4">
        <v>-79787.67</v>
      </c>
      <c r="N20" s="6" t="str">
        <f>IF(M20="","",IF(M20&lt;0,-M20&amp;"_"&amp;COUNTIF(M$2:M20,M20),M20&amp;"_"&amp;COUNTIF(M$2:M20,M20)))</f>
        <v>79787.67_1</v>
      </c>
      <c r="O20" s="6" t="str">
        <f t="shared" si="0"/>
        <v/>
      </c>
      <c r="P20" t="s">
        <v>113</v>
      </c>
      <c r="Q20" t="s">
        <v>117</v>
      </c>
      <c r="R20" t="s">
        <v>118</v>
      </c>
      <c r="S20" t="s">
        <v>0</v>
      </c>
      <c r="T20" t="s">
        <v>10</v>
      </c>
      <c r="U20" t="s">
        <v>116</v>
      </c>
      <c r="V20" t="s">
        <v>0</v>
      </c>
      <c r="W20" t="s">
        <v>0</v>
      </c>
      <c r="X20" t="s">
        <v>0</v>
      </c>
      <c r="Y20" t="s">
        <v>0</v>
      </c>
      <c r="Z20" t="s">
        <v>0</v>
      </c>
      <c r="AA20" s="3"/>
      <c r="AB20" t="s">
        <v>0</v>
      </c>
      <c r="AC20" t="s">
        <v>0</v>
      </c>
      <c r="AD20" t="s">
        <v>0</v>
      </c>
      <c r="AE20" s="4">
        <v>0</v>
      </c>
    </row>
    <row r="21" spans="1:31" ht="14.1" customHeight="1" x14ac:dyDescent="0.2">
      <c r="A21" s="2" t="s">
        <v>0</v>
      </c>
      <c r="B21" t="s">
        <v>1</v>
      </c>
      <c r="C21" t="s">
        <v>112</v>
      </c>
      <c r="D21" s="3">
        <v>44152</v>
      </c>
      <c r="E21" s="3">
        <v>44152</v>
      </c>
      <c r="F21" s="3">
        <v>44159</v>
      </c>
      <c r="G21" t="s">
        <v>45</v>
      </c>
      <c r="H21" t="s">
        <v>6</v>
      </c>
      <c r="I21" s="4">
        <v>-2680500</v>
      </c>
      <c r="J21" t="s">
        <v>46</v>
      </c>
      <c r="K21" t="s">
        <v>6</v>
      </c>
      <c r="L21" s="4">
        <v>-2680500</v>
      </c>
      <c r="M21" s="4">
        <v>-32353.01</v>
      </c>
      <c r="N21" s="6" t="str">
        <f>IF(M21="","",IF(M21&lt;0,-M21&amp;"_"&amp;COUNTIF(M$2:M21,M21),M21&amp;"_"&amp;COUNTIF(M$2:M21,M21)))</f>
        <v>32353.01_1</v>
      </c>
      <c r="O21" s="6" t="str">
        <f t="shared" si="0"/>
        <v/>
      </c>
      <c r="P21" t="s">
        <v>113</v>
      </c>
      <c r="Q21" t="s">
        <v>119</v>
      </c>
      <c r="R21" t="s">
        <v>120</v>
      </c>
      <c r="S21" t="s">
        <v>0</v>
      </c>
      <c r="T21" t="s">
        <v>10</v>
      </c>
      <c r="U21" t="s">
        <v>116</v>
      </c>
      <c r="V21" t="s">
        <v>0</v>
      </c>
      <c r="W21" t="s">
        <v>0</v>
      </c>
      <c r="X21" t="s">
        <v>0</v>
      </c>
      <c r="Y21" t="s">
        <v>0</v>
      </c>
      <c r="Z21" t="s">
        <v>0</v>
      </c>
      <c r="AA21" s="3"/>
      <c r="AB21" t="s">
        <v>0</v>
      </c>
      <c r="AC21" t="s">
        <v>0</v>
      </c>
      <c r="AD21" t="s">
        <v>0</v>
      </c>
      <c r="AE21" s="4">
        <v>0</v>
      </c>
    </row>
    <row r="22" spans="1:31" ht="14.1" customHeight="1" x14ac:dyDescent="0.2">
      <c r="A22" s="2" t="s">
        <v>0</v>
      </c>
      <c r="B22" t="s">
        <v>1</v>
      </c>
      <c r="C22" t="s">
        <v>121</v>
      </c>
      <c r="D22" s="3">
        <v>44152</v>
      </c>
      <c r="E22" s="3">
        <v>44152</v>
      </c>
      <c r="F22" s="3">
        <v>44160</v>
      </c>
      <c r="G22" t="s">
        <v>45</v>
      </c>
      <c r="H22" t="s">
        <v>6</v>
      </c>
      <c r="I22" s="4">
        <v>-4259000</v>
      </c>
      <c r="J22" t="s">
        <v>46</v>
      </c>
      <c r="K22" t="s">
        <v>6</v>
      </c>
      <c r="L22" s="4">
        <v>-4259000</v>
      </c>
      <c r="M22" s="4">
        <v>-51069.63</v>
      </c>
      <c r="N22" s="6" t="str">
        <f>IF(M22="","",IF(M22&lt;0,-M22&amp;"_"&amp;COUNTIF(M$2:M22,M22),M22&amp;"_"&amp;COUNTIF(M$2:M22,M22)))</f>
        <v>51069.63_1</v>
      </c>
      <c r="O22" s="6" t="str">
        <f t="shared" si="0"/>
        <v/>
      </c>
      <c r="P22" t="s">
        <v>122</v>
      </c>
      <c r="Q22" t="s">
        <v>123</v>
      </c>
      <c r="R22" t="s">
        <v>124</v>
      </c>
      <c r="S22" t="s">
        <v>0</v>
      </c>
      <c r="T22" t="s">
        <v>10</v>
      </c>
      <c r="U22" t="s">
        <v>125</v>
      </c>
      <c r="V22" t="s">
        <v>0</v>
      </c>
      <c r="W22" t="s">
        <v>0</v>
      </c>
      <c r="X22" t="s">
        <v>0</v>
      </c>
      <c r="Y22" t="s">
        <v>0</v>
      </c>
      <c r="Z22" t="s">
        <v>0</v>
      </c>
      <c r="AA22" s="3"/>
      <c r="AB22" t="s">
        <v>0</v>
      </c>
      <c r="AC22" t="s">
        <v>0</v>
      </c>
      <c r="AD22" t="s">
        <v>0</v>
      </c>
      <c r="AE22" s="4">
        <v>0</v>
      </c>
    </row>
    <row r="23" spans="1:31" ht="14.1" customHeight="1" x14ac:dyDescent="0.2">
      <c r="A23" s="2" t="s">
        <v>0</v>
      </c>
      <c r="B23" t="s">
        <v>1</v>
      </c>
      <c r="C23" t="s">
        <v>121</v>
      </c>
      <c r="D23" s="3">
        <v>44152</v>
      </c>
      <c r="E23" s="3">
        <v>44152</v>
      </c>
      <c r="F23" s="3">
        <v>44160</v>
      </c>
      <c r="G23" t="s">
        <v>45</v>
      </c>
      <c r="H23" t="s">
        <v>6</v>
      </c>
      <c r="I23" s="4">
        <v>-2092100</v>
      </c>
      <c r="J23" t="s">
        <v>46</v>
      </c>
      <c r="K23" t="s">
        <v>6</v>
      </c>
      <c r="L23" s="4">
        <v>-2092100</v>
      </c>
      <c r="M23" s="4">
        <v>-25026.68</v>
      </c>
      <c r="N23" s="6" t="str">
        <f>IF(M23="","",IF(M23&lt;0,-M23&amp;"_"&amp;COUNTIF(M$2:M23,M23),M23&amp;"_"&amp;COUNTIF(M$2:M23,M23)))</f>
        <v>25026.68_1</v>
      </c>
      <c r="O23" s="6" t="str">
        <f t="shared" si="0"/>
        <v/>
      </c>
      <c r="P23" t="s">
        <v>122</v>
      </c>
      <c r="Q23" t="s">
        <v>117</v>
      </c>
      <c r="R23" t="s">
        <v>118</v>
      </c>
      <c r="S23" t="s">
        <v>0</v>
      </c>
      <c r="T23" t="s">
        <v>10</v>
      </c>
      <c r="U23" t="s">
        <v>125</v>
      </c>
      <c r="V23" t="s">
        <v>0</v>
      </c>
      <c r="W23" t="s">
        <v>0</v>
      </c>
      <c r="X23" t="s">
        <v>0</v>
      </c>
      <c r="Y23" t="s">
        <v>0</v>
      </c>
      <c r="Z23" t="s">
        <v>0</v>
      </c>
      <c r="AA23" s="3"/>
      <c r="AB23" t="s">
        <v>0</v>
      </c>
      <c r="AC23" t="s">
        <v>0</v>
      </c>
      <c r="AD23" t="s">
        <v>0</v>
      </c>
      <c r="AE23" s="4">
        <v>0</v>
      </c>
    </row>
    <row r="24" spans="1:31" ht="14.1" customHeight="1" x14ac:dyDescent="0.2">
      <c r="A24" s="2" t="s">
        <v>0</v>
      </c>
      <c r="B24" t="s">
        <v>1</v>
      </c>
      <c r="C24" t="s">
        <v>121</v>
      </c>
      <c r="D24" s="3">
        <v>44152</v>
      </c>
      <c r="E24" s="3">
        <v>44152</v>
      </c>
      <c r="F24" s="3">
        <v>44160</v>
      </c>
      <c r="G24" t="s">
        <v>45</v>
      </c>
      <c r="H24" t="s">
        <v>6</v>
      </c>
      <c r="I24" s="4">
        <v>-1471000</v>
      </c>
      <c r="J24" t="s">
        <v>46</v>
      </c>
      <c r="K24" t="s">
        <v>6</v>
      </c>
      <c r="L24" s="4">
        <v>-1471000</v>
      </c>
      <c r="M24" s="4">
        <v>-17694.509999999998</v>
      </c>
      <c r="N24" s="6" t="str">
        <f>IF(M24="","",IF(M24&lt;0,-M24&amp;"_"&amp;COUNTIF(M$2:M24,M24),M24&amp;"_"&amp;COUNTIF(M$2:M24,M24)))</f>
        <v>17694.51_1</v>
      </c>
      <c r="O24" s="6" t="str">
        <f t="shared" si="0"/>
        <v/>
      </c>
      <c r="P24" t="s">
        <v>122</v>
      </c>
      <c r="Q24" t="s">
        <v>119</v>
      </c>
      <c r="R24" t="s">
        <v>120</v>
      </c>
      <c r="S24" t="s">
        <v>0</v>
      </c>
      <c r="T24" t="s">
        <v>10</v>
      </c>
      <c r="U24" t="s">
        <v>125</v>
      </c>
      <c r="V24" t="s">
        <v>0</v>
      </c>
      <c r="W24" t="s">
        <v>0</v>
      </c>
      <c r="X24" t="s">
        <v>0</v>
      </c>
      <c r="Y24" t="s">
        <v>0</v>
      </c>
      <c r="Z24" t="s">
        <v>0</v>
      </c>
      <c r="AA24" s="3"/>
      <c r="AB24" t="s">
        <v>0</v>
      </c>
      <c r="AC24" t="s">
        <v>0</v>
      </c>
      <c r="AD24" t="s">
        <v>0</v>
      </c>
      <c r="AE24" s="4">
        <v>0</v>
      </c>
    </row>
    <row r="25" spans="1:31" ht="14.1" customHeight="1" x14ac:dyDescent="0.2">
      <c r="A25" s="2" t="s">
        <v>0</v>
      </c>
      <c r="B25" t="s">
        <v>1</v>
      </c>
      <c r="C25" t="s">
        <v>135</v>
      </c>
      <c r="D25" s="3">
        <v>44166</v>
      </c>
      <c r="E25" s="3">
        <v>44166</v>
      </c>
      <c r="F25" s="3">
        <v>44186</v>
      </c>
      <c r="G25" t="s">
        <v>45</v>
      </c>
      <c r="H25" t="s">
        <v>6</v>
      </c>
      <c r="I25" s="4">
        <v>-6611200</v>
      </c>
      <c r="J25" t="s">
        <v>46</v>
      </c>
      <c r="K25" t="s">
        <v>6</v>
      </c>
      <c r="L25" s="4">
        <v>-6611200</v>
      </c>
      <c r="M25" s="4">
        <v>-81173.14</v>
      </c>
      <c r="N25" s="6" t="str">
        <f>IF(M25="","",IF(M25&lt;0,-M25&amp;"_"&amp;COUNTIF(M$2:M25,M25),M25&amp;"_"&amp;COUNTIF(M$2:M25,M25)))</f>
        <v>81173.14_1</v>
      </c>
      <c r="O25" s="6" t="str">
        <f t="shared" si="0"/>
        <v/>
      </c>
      <c r="P25" t="s">
        <v>136</v>
      </c>
      <c r="Q25" t="s">
        <v>119</v>
      </c>
      <c r="R25" t="s">
        <v>137</v>
      </c>
      <c r="S25" t="s">
        <v>0</v>
      </c>
      <c r="T25" t="s">
        <v>10</v>
      </c>
      <c r="U25" t="s">
        <v>138</v>
      </c>
      <c r="V25" t="s">
        <v>0</v>
      </c>
      <c r="W25" t="s">
        <v>0</v>
      </c>
      <c r="X25" t="s">
        <v>0</v>
      </c>
      <c r="Y25" t="s">
        <v>0</v>
      </c>
      <c r="Z25" t="s">
        <v>0</v>
      </c>
      <c r="AA25" s="3"/>
      <c r="AB25" t="s">
        <v>0</v>
      </c>
      <c r="AC25" t="s">
        <v>0</v>
      </c>
      <c r="AD25" t="s">
        <v>0</v>
      </c>
      <c r="AE25" s="4">
        <v>0</v>
      </c>
    </row>
    <row r="26" spans="1:31" ht="14.1" customHeight="1" x14ac:dyDescent="0.2">
      <c r="A26" s="2" t="s">
        <v>0</v>
      </c>
      <c r="B26" t="s">
        <v>1</v>
      </c>
      <c r="C26" t="s">
        <v>135</v>
      </c>
      <c r="D26" s="3">
        <v>44166</v>
      </c>
      <c r="E26" s="3">
        <v>44166</v>
      </c>
      <c r="F26" s="3">
        <v>44186</v>
      </c>
      <c r="G26" t="s">
        <v>45</v>
      </c>
      <c r="H26" t="s">
        <v>6</v>
      </c>
      <c r="I26" s="4">
        <v>-3692300</v>
      </c>
      <c r="J26" t="s">
        <v>46</v>
      </c>
      <c r="K26" t="s">
        <v>6</v>
      </c>
      <c r="L26" s="4">
        <v>-3692300</v>
      </c>
      <c r="M26" s="4">
        <v>-46344.5</v>
      </c>
      <c r="N26" s="6" t="str">
        <f>IF(M26="","",IF(M26&lt;0,-M26&amp;"_"&amp;COUNTIF(M$2:M26,M26),M26&amp;"_"&amp;COUNTIF(M$2:M26,M26)))</f>
        <v>46344.5_1</v>
      </c>
      <c r="O26" s="6" t="str">
        <f t="shared" si="0"/>
        <v/>
      </c>
      <c r="P26" t="s">
        <v>136</v>
      </c>
      <c r="Q26" t="s">
        <v>139</v>
      </c>
      <c r="R26" t="s">
        <v>140</v>
      </c>
      <c r="S26" t="s">
        <v>0</v>
      </c>
      <c r="T26" t="s">
        <v>10</v>
      </c>
      <c r="U26" t="s">
        <v>138</v>
      </c>
      <c r="V26" t="s">
        <v>0</v>
      </c>
      <c r="W26" t="s">
        <v>0</v>
      </c>
      <c r="X26" t="s">
        <v>0</v>
      </c>
      <c r="Y26" t="s">
        <v>0</v>
      </c>
      <c r="Z26" t="s">
        <v>0</v>
      </c>
      <c r="AA26" s="3"/>
      <c r="AB26" t="s">
        <v>0</v>
      </c>
      <c r="AC26" t="s">
        <v>0</v>
      </c>
      <c r="AD26" t="s">
        <v>0</v>
      </c>
      <c r="AE26" s="4">
        <v>0</v>
      </c>
    </row>
    <row r="27" spans="1:31" ht="14.1" customHeight="1" x14ac:dyDescent="0.2">
      <c r="A27" s="2" t="s">
        <v>0</v>
      </c>
      <c r="B27" t="s">
        <v>1</v>
      </c>
      <c r="C27" t="s">
        <v>141</v>
      </c>
      <c r="D27" s="3">
        <v>44166</v>
      </c>
      <c r="E27" s="3">
        <v>44166</v>
      </c>
      <c r="F27" s="3">
        <v>44186</v>
      </c>
      <c r="G27" t="s">
        <v>45</v>
      </c>
      <c r="H27" t="s">
        <v>6</v>
      </c>
      <c r="I27" s="4">
        <v>-2489800</v>
      </c>
      <c r="J27" t="s">
        <v>46</v>
      </c>
      <c r="K27" t="s">
        <v>6</v>
      </c>
      <c r="L27" s="4">
        <v>-2489800</v>
      </c>
      <c r="M27" s="4">
        <v>-30282.16</v>
      </c>
      <c r="N27" s="6" t="str">
        <f>IF(M27="","",IF(M27&lt;0,-M27&amp;"_"&amp;COUNTIF(M$2:M27,M27),M27&amp;"_"&amp;COUNTIF(M$2:M27,M27)))</f>
        <v>30282.16_1</v>
      </c>
      <c r="O27" s="6" t="str">
        <f t="shared" si="0"/>
        <v/>
      </c>
      <c r="P27" t="s">
        <v>142</v>
      </c>
      <c r="Q27" t="s">
        <v>143</v>
      </c>
      <c r="R27" t="s">
        <v>144</v>
      </c>
      <c r="S27" t="s">
        <v>0</v>
      </c>
      <c r="T27" t="s">
        <v>10</v>
      </c>
      <c r="U27" t="s">
        <v>145</v>
      </c>
      <c r="V27" t="s">
        <v>0</v>
      </c>
      <c r="W27" t="s">
        <v>0</v>
      </c>
      <c r="X27" t="s">
        <v>0</v>
      </c>
      <c r="Y27" t="s">
        <v>0</v>
      </c>
      <c r="Z27" t="s">
        <v>0</v>
      </c>
      <c r="AA27" s="3"/>
      <c r="AB27" t="s">
        <v>0</v>
      </c>
      <c r="AC27" t="s">
        <v>0</v>
      </c>
      <c r="AD27" t="s">
        <v>0</v>
      </c>
      <c r="AE27" s="4">
        <v>0</v>
      </c>
    </row>
    <row r="28" spans="1:31" ht="14.1" customHeight="1" x14ac:dyDescent="0.2">
      <c r="A28" s="2" t="s">
        <v>0</v>
      </c>
      <c r="B28" t="s">
        <v>1</v>
      </c>
      <c r="C28" t="s">
        <v>141</v>
      </c>
      <c r="D28" s="3">
        <v>44166</v>
      </c>
      <c r="E28" s="3">
        <v>44166</v>
      </c>
      <c r="F28" s="3">
        <v>44186</v>
      </c>
      <c r="G28" t="s">
        <v>45</v>
      </c>
      <c r="H28" t="s">
        <v>6</v>
      </c>
      <c r="I28" s="4">
        <v>-1474500</v>
      </c>
      <c r="J28" t="s">
        <v>46</v>
      </c>
      <c r="K28" t="s">
        <v>6</v>
      </c>
      <c r="L28" s="4">
        <v>-1474500</v>
      </c>
      <c r="M28" s="4">
        <v>-18166.89</v>
      </c>
      <c r="N28" s="6" t="str">
        <f>IF(M28="","",IF(M28&lt;0,-M28&amp;"_"&amp;COUNTIF(M$2:M28,M28),M28&amp;"_"&amp;COUNTIF(M$2:M28,M28)))</f>
        <v>18166.89_1</v>
      </c>
      <c r="O28" s="6" t="str">
        <f t="shared" si="0"/>
        <v/>
      </c>
      <c r="P28" t="s">
        <v>142</v>
      </c>
      <c r="Q28" t="s">
        <v>146</v>
      </c>
      <c r="R28" t="s">
        <v>147</v>
      </c>
      <c r="S28" t="s">
        <v>0</v>
      </c>
      <c r="T28" t="s">
        <v>10</v>
      </c>
      <c r="U28" t="s">
        <v>145</v>
      </c>
      <c r="V28" t="s">
        <v>0</v>
      </c>
      <c r="W28" t="s">
        <v>0</v>
      </c>
      <c r="X28" t="s">
        <v>0</v>
      </c>
      <c r="Y28" t="s">
        <v>0</v>
      </c>
      <c r="Z28" t="s">
        <v>0</v>
      </c>
      <c r="AA28" s="3"/>
      <c r="AB28" t="s">
        <v>0</v>
      </c>
      <c r="AC28" t="s">
        <v>0</v>
      </c>
      <c r="AD28" t="s">
        <v>0</v>
      </c>
      <c r="AE28" s="4">
        <v>0</v>
      </c>
    </row>
    <row r="29" spans="1:31" ht="14.1" customHeight="1" x14ac:dyDescent="0.2">
      <c r="A29" s="2" t="s">
        <v>0</v>
      </c>
      <c r="B29" t="s">
        <v>1</v>
      </c>
      <c r="C29" t="s">
        <v>170</v>
      </c>
      <c r="D29" s="3">
        <v>44199</v>
      </c>
      <c r="E29" s="3">
        <v>44199</v>
      </c>
      <c r="F29" s="3">
        <v>44223</v>
      </c>
      <c r="G29" t="s">
        <v>45</v>
      </c>
      <c r="H29" t="s">
        <v>6</v>
      </c>
      <c r="I29" s="4">
        <v>-1744600</v>
      </c>
      <c r="J29" t="s">
        <v>46</v>
      </c>
      <c r="K29" t="s">
        <v>6</v>
      </c>
      <c r="L29" s="4">
        <v>-1744600</v>
      </c>
      <c r="M29" s="4">
        <v>-20967.18</v>
      </c>
      <c r="N29" s="6" t="str">
        <f>IF(M29="","",IF(M29&lt;0,-M29&amp;"_"&amp;COUNTIF(M$2:M29,M29),M29&amp;"_"&amp;COUNTIF(M$2:M29,M29)))</f>
        <v>20967.18_1</v>
      </c>
      <c r="O29" s="6" t="str">
        <f t="shared" si="0"/>
        <v/>
      </c>
      <c r="P29" t="s">
        <v>171</v>
      </c>
      <c r="Q29" t="s">
        <v>172</v>
      </c>
      <c r="R29" t="s">
        <v>173</v>
      </c>
      <c r="S29" t="s">
        <v>0</v>
      </c>
      <c r="T29" t="s">
        <v>10</v>
      </c>
      <c r="U29" t="s">
        <v>174</v>
      </c>
      <c r="V29" t="s">
        <v>0</v>
      </c>
      <c r="W29" t="s">
        <v>0</v>
      </c>
      <c r="X29" t="s">
        <v>0</v>
      </c>
      <c r="Y29" t="s">
        <v>0</v>
      </c>
      <c r="Z29" t="s">
        <v>0</v>
      </c>
      <c r="AA29" s="3"/>
      <c r="AB29" t="s">
        <v>0</v>
      </c>
      <c r="AC29" t="s">
        <v>0</v>
      </c>
      <c r="AD29" t="s">
        <v>0</v>
      </c>
      <c r="AE29" s="4">
        <v>0</v>
      </c>
    </row>
    <row r="30" spans="1:31" ht="14.1" customHeight="1" x14ac:dyDescent="0.2">
      <c r="A30" s="2" t="s">
        <v>0</v>
      </c>
      <c r="B30" t="s">
        <v>1</v>
      </c>
      <c r="C30" t="s">
        <v>170</v>
      </c>
      <c r="D30" s="3">
        <v>44199</v>
      </c>
      <c r="E30" s="3">
        <v>44199</v>
      </c>
      <c r="F30" s="3">
        <v>44223</v>
      </c>
      <c r="G30" t="s">
        <v>45</v>
      </c>
      <c r="H30" t="s">
        <v>6</v>
      </c>
      <c r="I30" s="4">
        <v>-6816000</v>
      </c>
      <c r="J30" t="s">
        <v>46</v>
      </c>
      <c r="K30" t="s">
        <v>6</v>
      </c>
      <c r="L30" s="4">
        <v>-6816000</v>
      </c>
      <c r="M30" s="4">
        <v>-82473.98</v>
      </c>
      <c r="N30" s="6" t="str">
        <f>IF(M30="","",IF(M30&lt;0,-M30&amp;"_"&amp;COUNTIF(M$2:M30,M30),M30&amp;"_"&amp;COUNTIF(M$2:M30,M30)))</f>
        <v>82473.98_1</v>
      </c>
      <c r="O30" s="6" t="str">
        <f t="shared" si="0"/>
        <v/>
      </c>
      <c r="P30" t="s">
        <v>171</v>
      </c>
      <c r="Q30" t="s">
        <v>175</v>
      </c>
      <c r="R30" t="s">
        <v>176</v>
      </c>
      <c r="S30" t="s">
        <v>0</v>
      </c>
      <c r="T30" t="s">
        <v>10</v>
      </c>
      <c r="U30" t="s">
        <v>174</v>
      </c>
      <c r="V30" t="s">
        <v>0</v>
      </c>
      <c r="W30" t="s">
        <v>0</v>
      </c>
      <c r="X30" t="s">
        <v>0</v>
      </c>
      <c r="Y30" t="s">
        <v>0</v>
      </c>
      <c r="Z30" t="s">
        <v>0</v>
      </c>
      <c r="AA30" s="3"/>
      <c r="AB30" t="s">
        <v>0</v>
      </c>
      <c r="AC30" t="s">
        <v>0</v>
      </c>
      <c r="AD30" t="s">
        <v>0</v>
      </c>
      <c r="AE30" s="4">
        <v>0</v>
      </c>
    </row>
    <row r="31" spans="1:31" ht="14.1" customHeight="1" x14ac:dyDescent="0.2">
      <c r="A31" s="2" t="s">
        <v>0</v>
      </c>
      <c r="B31" t="s">
        <v>1</v>
      </c>
      <c r="C31" t="s">
        <v>177</v>
      </c>
      <c r="D31" s="3">
        <v>44199</v>
      </c>
      <c r="E31" s="3">
        <v>44199</v>
      </c>
      <c r="F31" s="3">
        <v>44223</v>
      </c>
      <c r="G31" t="s">
        <v>45</v>
      </c>
      <c r="H31" t="s">
        <v>6</v>
      </c>
      <c r="I31" s="4">
        <v>-1375100</v>
      </c>
      <c r="J31" t="s">
        <v>46</v>
      </c>
      <c r="K31" t="s">
        <v>6</v>
      </c>
      <c r="L31" s="4">
        <v>-1375100</v>
      </c>
      <c r="M31" s="4">
        <v>-16446.84</v>
      </c>
      <c r="N31" s="6" t="str">
        <f>IF(M31="","",IF(M31&lt;0,-M31&amp;"_"&amp;COUNTIF(M$2:M31,M31),M31&amp;"_"&amp;COUNTIF(M$2:M31,M31)))</f>
        <v>16446.84_1</v>
      </c>
      <c r="O31" s="6" t="str">
        <f t="shared" si="0"/>
        <v/>
      </c>
      <c r="P31" t="s">
        <v>178</v>
      </c>
      <c r="Q31" t="s">
        <v>179</v>
      </c>
      <c r="R31" t="s">
        <v>140</v>
      </c>
      <c r="S31" t="s">
        <v>0</v>
      </c>
      <c r="T31" t="s">
        <v>10</v>
      </c>
      <c r="U31" t="s">
        <v>180</v>
      </c>
      <c r="V31" t="s">
        <v>0</v>
      </c>
      <c r="W31" t="s">
        <v>0</v>
      </c>
      <c r="X31" t="s">
        <v>0</v>
      </c>
      <c r="Y31" t="s">
        <v>0</v>
      </c>
      <c r="Z31" t="s">
        <v>0</v>
      </c>
      <c r="AA31" s="3"/>
      <c r="AB31" t="s">
        <v>0</v>
      </c>
      <c r="AC31" t="s">
        <v>0</v>
      </c>
      <c r="AD31" t="s">
        <v>0</v>
      </c>
      <c r="AE31" s="4">
        <v>0</v>
      </c>
    </row>
    <row r="32" spans="1:31" ht="14.1" customHeight="1" x14ac:dyDescent="0.2">
      <c r="A32" s="2" t="s">
        <v>0</v>
      </c>
      <c r="B32" t="s">
        <v>1</v>
      </c>
      <c r="C32" t="s">
        <v>177</v>
      </c>
      <c r="D32" s="3">
        <v>44199</v>
      </c>
      <c r="E32" s="3">
        <v>44199</v>
      </c>
      <c r="F32" s="3">
        <v>44223</v>
      </c>
      <c r="G32" t="s">
        <v>45</v>
      </c>
      <c r="H32" t="s">
        <v>6</v>
      </c>
      <c r="I32" s="4">
        <v>-3448300</v>
      </c>
      <c r="J32" t="s">
        <v>46</v>
      </c>
      <c r="K32" t="s">
        <v>6</v>
      </c>
      <c r="L32" s="4">
        <v>-3448300</v>
      </c>
      <c r="M32" s="4">
        <v>-41587.480000000003</v>
      </c>
      <c r="N32" s="6" t="str">
        <f>IF(M32="","",IF(M32&lt;0,-M32&amp;"_"&amp;COUNTIF(M$2:M32,M32),M32&amp;"_"&amp;COUNTIF(M$2:M32,M32)))</f>
        <v>41587.48_1</v>
      </c>
      <c r="O32" s="6" t="str">
        <f t="shared" si="0"/>
        <v/>
      </c>
      <c r="P32" t="s">
        <v>178</v>
      </c>
      <c r="Q32" t="s">
        <v>181</v>
      </c>
      <c r="R32" t="s">
        <v>182</v>
      </c>
      <c r="S32" t="s">
        <v>0</v>
      </c>
      <c r="T32" t="s">
        <v>10</v>
      </c>
      <c r="U32" t="s">
        <v>180</v>
      </c>
      <c r="V32" t="s">
        <v>0</v>
      </c>
      <c r="W32" t="s">
        <v>0</v>
      </c>
      <c r="X32" t="s">
        <v>0</v>
      </c>
      <c r="Y32" t="s">
        <v>0</v>
      </c>
      <c r="Z32" t="s">
        <v>0</v>
      </c>
      <c r="AA32" s="3"/>
      <c r="AB32" t="s">
        <v>0</v>
      </c>
      <c r="AC32" t="s">
        <v>0</v>
      </c>
      <c r="AD32" t="s">
        <v>0</v>
      </c>
      <c r="AE32" s="4">
        <v>0</v>
      </c>
    </row>
    <row r="33" spans="1:31" ht="14.1" customHeight="1" x14ac:dyDescent="0.2">
      <c r="A33" s="2" t="s">
        <v>0</v>
      </c>
      <c r="B33" t="s">
        <v>1</v>
      </c>
      <c r="C33" t="s">
        <v>209</v>
      </c>
      <c r="D33" s="3">
        <v>44255</v>
      </c>
      <c r="E33" s="3">
        <v>44255</v>
      </c>
      <c r="F33" s="3">
        <v>44261</v>
      </c>
      <c r="G33" t="s">
        <v>3</v>
      </c>
      <c r="H33" t="s">
        <v>4</v>
      </c>
      <c r="I33" s="4">
        <v>-68122</v>
      </c>
      <c r="J33" t="s">
        <v>5</v>
      </c>
      <c r="K33" t="s">
        <v>6</v>
      </c>
      <c r="L33" s="4">
        <v>-5718841.9000000004</v>
      </c>
      <c r="M33" s="4">
        <v>-68122</v>
      </c>
      <c r="N33" s="6" t="str">
        <f>IF(M33="","",IF(M33&lt;0,-M33&amp;"_"&amp;COUNTIF(M$2:M33,M33),M33&amp;"_"&amp;COUNTIF(M$2:M33,M33)))</f>
        <v>68122_1</v>
      </c>
      <c r="O33" s="6" t="str">
        <f t="shared" si="0"/>
        <v/>
      </c>
      <c r="P33" t="s">
        <v>206</v>
      </c>
      <c r="Q33" t="s">
        <v>210</v>
      </c>
      <c r="R33" t="s">
        <v>211</v>
      </c>
      <c r="S33" t="s">
        <v>0</v>
      </c>
      <c r="T33" t="s">
        <v>10</v>
      </c>
      <c r="U33" t="s">
        <v>212</v>
      </c>
      <c r="V33" t="s">
        <v>12</v>
      </c>
      <c r="W33" t="s">
        <v>0</v>
      </c>
      <c r="X33" t="s">
        <v>12</v>
      </c>
      <c r="Y33" t="s">
        <v>0</v>
      </c>
      <c r="Z33" t="s">
        <v>0</v>
      </c>
      <c r="AA33" s="3"/>
      <c r="AB33" t="s">
        <v>0</v>
      </c>
      <c r="AC33" t="s">
        <v>0</v>
      </c>
      <c r="AD33" t="s">
        <v>0</v>
      </c>
      <c r="AE33" s="4">
        <v>0</v>
      </c>
    </row>
    <row r="34" spans="1:31" ht="14.1" customHeight="1" x14ac:dyDescent="0.2">
      <c r="A34" s="2" t="s">
        <v>0</v>
      </c>
      <c r="B34" t="s">
        <v>1</v>
      </c>
      <c r="C34" t="s">
        <v>216</v>
      </c>
      <c r="D34" s="3">
        <v>44255</v>
      </c>
      <c r="E34" s="3">
        <v>44255</v>
      </c>
      <c r="F34" s="3">
        <v>44261</v>
      </c>
      <c r="G34" t="s">
        <v>3</v>
      </c>
      <c r="H34" t="s">
        <v>4</v>
      </c>
      <c r="I34" s="4">
        <v>-18131</v>
      </c>
      <c r="J34" t="s">
        <v>5</v>
      </c>
      <c r="K34" t="s">
        <v>6</v>
      </c>
      <c r="L34" s="4">
        <v>-1522097.45</v>
      </c>
      <c r="M34" s="4">
        <v>-18131</v>
      </c>
      <c r="N34" s="6" t="str">
        <f>IF(M34="","",IF(M34&lt;0,-M34&amp;"_"&amp;COUNTIF(M$2:M34,M34),M34&amp;"_"&amp;COUNTIF(M$2:M34,M34)))</f>
        <v>18131_1</v>
      </c>
      <c r="O34" s="6" t="str">
        <f t="shared" ref="O34:O52" si="1">IF(COUNTIF(N:N,N34)=2,"x","")</f>
        <v/>
      </c>
      <c r="P34" t="s">
        <v>206</v>
      </c>
      <c r="Q34" t="s">
        <v>210</v>
      </c>
      <c r="R34" t="s">
        <v>217</v>
      </c>
      <c r="S34" t="s">
        <v>0</v>
      </c>
      <c r="T34" t="s">
        <v>10</v>
      </c>
      <c r="U34" t="s">
        <v>212</v>
      </c>
      <c r="V34" t="s">
        <v>12</v>
      </c>
      <c r="W34" t="s">
        <v>0</v>
      </c>
      <c r="X34" t="s">
        <v>12</v>
      </c>
      <c r="Y34" t="s">
        <v>0</v>
      </c>
      <c r="Z34" t="s">
        <v>0</v>
      </c>
      <c r="AA34" s="3"/>
      <c r="AB34" t="s">
        <v>0</v>
      </c>
      <c r="AC34" t="s">
        <v>0</v>
      </c>
      <c r="AD34" t="s">
        <v>0</v>
      </c>
      <c r="AE34" s="4">
        <v>0</v>
      </c>
    </row>
    <row r="35" spans="1:31" ht="14.1" customHeight="1" x14ac:dyDescent="0.2">
      <c r="A35" s="2" t="s">
        <v>0</v>
      </c>
      <c r="B35" t="s">
        <v>1</v>
      </c>
      <c r="C35" t="s">
        <v>220</v>
      </c>
      <c r="D35" s="3">
        <v>44273</v>
      </c>
      <c r="E35" s="3">
        <v>44273</v>
      </c>
      <c r="F35" s="3">
        <v>44280</v>
      </c>
      <c r="G35" t="s">
        <v>45</v>
      </c>
      <c r="H35" t="s">
        <v>6</v>
      </c>
      <c r="I35" s="4">
        <v>-6249500</v>
      </c>
      <c r="J35" t="s">
        <v>46</v>
      </c>
      <c r="K35" t="s">
        <v>6</v>
      </c>
      <c r="L35" s="4">
        <v>-6249500</v>
      </c>
      <c r="M35" s="4">
        <v>-78664.710000000006</v>
      </c>
      <c r="N35" s="6" t="str">
        <f>IF(M35="","",IF(M35&lt;0,-M35&amp;"_"&amp;COUNTIF(M$2:M35,M35),M35&amp;"_"&amp;COUNTIF(M$2:M35,M35)))</f>
        <v>78664.71_1</v>
      </c>
      <c r="O35" s="6" t="str">
        <f t="shared" si="1"/>
        <v/>
      </c>
      <c r="P35" t="s">
        <v>221</v>
      </c>
      <c r="Q35" t="s">
        <v>222</v>
      </c>
      <c r="R35" t="s">
        <v>223</v>
      </c>
      <c r="S35" t="s">
        <v>0</v>
      </c>
      <c r="T35" t="s">
        <v>10</v>
      </c>
      <c r="U35" t="s">
        <v>224</v>
      </c>
      <c r="V35" t="s">
        <v>0</v>
      </c>
      <c r="W35" t="s">
        <v>0</v>
      </c>
      <c r="X35" t="s">
        <v>0</v>
      </c>
      <c r="Y35" t="s">
        <v>0</v>
      </c>
      <c r="Z35" t="s">
        <v>0</v>
      </c>
      <c r="AA35" s="3"/>
      <c r="AB35" t="s">
        <v>0</v>
      </c>
      <c r="AC35" t="s">
        <v>0</v>
      </c>
      <c r="AD35" t="s">
        <v>0</v>
      </c>
      <c r="AE35" s="4">
        <v>0</v>
      </c>
    </row>
    <row r="36" spans="1:31" ht="14.1" customHeight="1" x14ac:dyDescent="0.2">
      <c r="A36" s="2" t="s">
        <v>0</v>
      </c>
      <c r="B36" t="s">
        <v>1</v>
      </c>
      <c r="C36" t="s">
        <v>220</v>
      </c>
      <c r="D36" s="3">
        <v>44273</v>
      </c>
      <c r="E36" s="3">
        <v>44273</v>
      </c>
      <c r="F36" s="3">
        <v>44280</v>
      </c>
      <c r="G36" t="s">
        <v>45</v>
      </c>
      <c r="H36" t="s">
        <v>6</v>
      </c>
      <c r="I36" s="4">
        <v>-15125400</v>
      </c>
      <c r="J36" t="s">
        <v>46</v>
      </c>
      <c r="K36" t="s">
        <v>6</v>
      </c>
      <c r="L36" s="4">
        <v>-15125400</v>
      </c>
      <c r="M36" s="4">
        <v>-180830.22</v>
      </c>
      <c r="N36" s="6" t="str">
        <f>IF(M36="","",IF(M36&lt;0,-M36&amp;"_"&amp;COUNTIF(M$2:M36,M36),M36&amp;"_"&amp;COUNTIF(M$2:M36,M36)))</f>
        <v>180830.22_1</v>
      </c>
      <c r="O36" s="6" t="str">
        <f t="shared" si="1"/>
        <v/>
      </c>
      <c r="P36" t="s">
        <v>221</v>
      </c>
      <c r="Q36" t="s">
        <v>225</v>
      </c>
      <c r="R36" t="s">
        <v>226</v>
      </c>
      <c r="S36" t="s">
        <v>0</v>
      </c>
      <c r="T36" t="s">
        <v>10</v>
      </c>
      <c r="U36" t="s">
        <v>224</v>
      </c>
      <c r="V36" t="s">
        <v>0</v>
      </c>
      <c r="W36" t="s">
        <v>0</v>
      </c>
      <c r="X36" t="s">
        <v>0</v>
      </c>
      <c r="Y36" t="s">
        <v>0</v>
      </c>
      <c r="Z36" t="s">
        <v>0</v>
      </c>
      <c r="AA36" s="3"/>
      <c r="AB36" t="s">
        <v>0</v>
      </c>
      <c r="AC36" t="s">
        <v>0</v>
      </c>
      <c r="AD36" t="s">
        <v>0</v>
      </c>
      <c r="AE36" s="4">
        <v>0</v>
      </c>
    </row>
    <row r="37" spans="1:31" ht="14.1" customHeight="1" x14ac:dyDescent="0.2">
      <c r="A37" s="2" t="s">
        <v>0</v>
      </c>
      <c r="B37" t="s">
        <v>1</v>
      </c>
      <c r="C37" t="s">
        <v>220</v>
      </c>
      <c r="D37" s="3">
        <v>44273</v>
      </c>
      <c r="E37" s="3">
        <v>44273</v>
      </c>
      <c r="F37" s="3">
        <v>44280</v>
      </c>
      <c r="G37" t="s">
        <v>45</v>
      </c>
      <c r="H37" t="s">
        <v>6</v>
      </c>
      <c r="I37" s="4">
        <v>-9268000</v>
      </c>
      <c r="J37" t="s">
        <v>46</v>
      </c>
      <c r="K37" t="s">
        <v>6</v>
      </c>
      <c r="L37" s="4">
        <v>-9268000</v>
      </c>
      <c r="M37" s="4">
        <v>-112026.56</v>
      </c>
      <c r="N37" s="6" t="str">
        <f>IF(M37="","",IF(M37&lt;0,-M37&amp;"_"&amp;COUNTIF(M$2:M37,M37),M37&amp;"_"&amp;COUNTIF(M$2:M37,M37)))</f>
        <v>112026.56_1</v>
      </c>
      <c r="O37" s="6" t="str">
        <f t="shared" si="1"/>
        <v/>
      </c>
      <c r="P37" t="s">
        <v>221</v>
      </c>
      <c r="Q37" t="s">
        <v>227</v>
      </c>
      <c r="R37" t="s">
        <v>228</v>
      </c>
      <c r="S37" t="s">
        <v>0</v>
      </c>
      <c r="T37" t="s">
        <v>10</v>
      </c>
      <c r="U37" t="s">
        <v>224</v>
      </c>
      <c r="V37" t="s">
        <v>0</v>
      </c>
      <c r="W37" t="s">
        <v>0</v>
      </c>
      <c r="X37" t="s">
        <v>0</v>
      </c>
      <c r="Y37" t="s">
        <v>0</v>
      </c>
      <c r="Z37" t="s">
        <v>0</v>
      </c>
      <c r="AA37" s="3"/>
      <c r="AB37" t="s">
        <v>0</v>
      </c>
      <c r="AC37" t="s">
        <v>0</v>
      </c>
      <c r="AD37" t="s">
        <v>0</v>
      </c>
      <c r="AE37" s="4">
        <v>0</v>
      </c>
    </row>
    <row r="38" spans="1:31" ht="14.1" customHeight="1" x14ac:dyDescent="0.2">
      <c r="A38" s="2" t="s">
        <v>0</v>
      </c>
      <c r="B38" t="s">
        <v>1</v>
      </c>
      <c r="C38" t="s">
        <v>229</v>
      </c>
      <c r="D38" s="3">
        <v>44273</v>
      </c>
      <c r="E38" s="3">
        <v>44273</v>
      </c>
      <c r="F38" s="3">
        <v>44280</v>
      </c>
      <c r="G38" t="s">
        <v>45</v>
      </c>
      <c r="H38" t="s">
        <v>6</v>
      </c>
      <c r="I38" s="4">
        <v>-2886900</v>
      </c>
      <c r="J38" t="s">
        <v>46</v>
      </c>
      <c r="K38" t="s">
        <v>6</v>
      </c>
      <c r="L38" s="4">
        <v>-2886900</v>
      </c>
      <c r="M38" s="4">
        <v>-35471.660000000003</v>
      </c>
      <c r="N38" s="6" t="str">
        <f>IF(M38="","",IF(M38&lt;0,-M38&amp;"_"&amp;COUNTIF(M$2:M38,M38),M38&amp;"_"&amp;COUNTIF(M$2:M38,M38)))</f>
        <v>35471.66_1</v>
      </c>
      <c r="O38" s="6" t="str">
        <f t="shared" si="1"/>
        <v/>
      </c>
      <c r="P38" t="s">
        <v>230</v>
      </c>
      <c r="Q38" t="s">
        <v>231</v>
      </c>
      <c r="R38" t="s">
        <v>232</v>
      </c>
      <c r="S38" t="s">
        <v>0</v>
      </c>
      <c r="T38" t="s">
        <v>10</v>
      </c>
      <c r="U38" t="s">
        <v>233</v>
      </c>
      <c r="V38" t="s">
        <v>0</v>
      </c>
      <c r="W38" t="s">
        <v>0</v>
      </c>
      <c r="X38" t="s">
        <v>0</v>
      </c>
      <c r="Y38" t="s">
        <v>0</v>
      </c>
      <c r="Z38" t="s">
        <v>0</v>
      </c>
      <c r="AA38" s="3"/>
      <c r="AB38" t="s">
        <v>0</v>
      </c>
      <c r="AC38" t="s">
        <v>0</v>
      </c>
      <c r="AD38" t="s">
        <v>0</v>
      </c>
      <c r="AE38" s="4">
        <v>0</v>
      </c>
    </row>
    <row r="39" spans="1:31" ht="14.1" customHeight="1" x14ac:dyDescent="0.2">
      <c r="A39" s="2" t="s">
        <v>0</v>
      </c>
      <c r="B39" t="s">
        <v>1</v>
      </c>
      <c r="C39" t="s">
        <v>229</v>
      </c>
      <c r="D39" s="3">
        <v>44273</v>
      </c>
      <c r="E39" s="3">
        <v>44273</v>
      </c>
      <c r="F39" s="3">
        <v>44280</v>
      </c>
      <c r="G39" t="s">
        <v>45</v>
      </c>
      <c r="H39" t="s">
        <v>6</v>
      </c>
      <c r="I39" s="4">
        <v>-5408800</v>
      </c>
      <c r="J39" t="s">
        <v>46</v>
      </c>
      <c r="K39" t="s">
        <v>6</v>
      </c>
      <c r="L39" s="4">
        <v>-5408800</v>
      </c>
      <c r="M39" s="4">
        <v>-64654.84</v>
      </c>
      <c r="N39" s="6" t="str">
        <f>IF(M39="","",IF(M39&lt;0,-M39&amp;"_"&amp;COUNTIF(M$2:M39,M39),M39&amp;"_"&amp;COUNTIF(M$2:M39,M39)))</f>
        <v>64654.84_1</v>
      </c>
      <c r="O39" s="6" t="str">
        <f t="shared" si="1"/>
        <v/>
      </c>
      <c r="P39" t="s">
        <v>230</v>
      </c>
      <c r="Q39" t="s">
        <v>234</v>
      </c>
      <c r="R39" t="s">
        <v>235</v>
      </c>
      <c r="S39" t="s">
        <v>0</v>
      </c>
      <c r="T39" t="s">
        <v>10</v>
      </c>
      <c r="U39" t="s">
        <v>233</v>
      </c>
      <c r="V39" t="s">
        <v>0</v>
      </c>
      <c r="W39" t="s">
        <v>0</v>
      </c>
      <c r="X39" t="s">
        <v>0</v>
      </c>
      <c r="Y39" t="s">
        <v>0</v>
      </c>
      <c r="Z39" t="s">
        <v>0</v>
      </c>
      <c r="AA39" s="3"/>
      <c r="AB39" t="s">
        <v>0</v>
      </c>
      <c r="AC39" t="s">
        <v>0</v>
      </c>
      <c r="AD39" t="s">
        <v>0</v>
      </c>
      <c r="AE39" s="4">
        <v>0</v>
      </c>
    </row>
    <row r="40" spans="1:31" ht="14.1" customHeight="1" x14ac:dyDescent="0.2">
      <c r="A40" s="2" t="s">
        <v>0</v>
      </c>
      <c r="B40" t="s">
        <v>1</v>
      </c>
      <c r="C40" t="s">
        <v>229</v>
      </c>
      <c r="D40" s="3">
        <v>44273</v>
      </c>
      <c r="E40" s="3">
        <v>44273</v>
      </c>
      <c r="F40" s="3">
        <v>44280</v>
      </c>
      <c r="G40" t="s">
        <v>45</v>
      </c>
      <c r="H40" t="s">
        <v>6</v>
      </c>
      <c r="I40" s="4">
        <v>-4138700</v>
      </c>
      <c r="J40" t="s">
        <v>46</v>
      </c>
      <c r="K40" t="s">
        <v>6</v>
      </c>
      <c r="L40" s="4">
        <v>-4138700</v>
      </c>
      <c r="M40" s="4">
        <v>-49806.86</v>
      </c>
      <c r="N40" s="6" t="str">
        <f>IF(M40="","",IF(M40&lt;0,-M40&amp;"_"&amp;COUNTIF(M$2:M40,M40),M40&amp;"_"&amp;COUNTIF(M$2:M40,M40)))</f>
        <v>49806.86_1</v>
      </c>
      <c r="O40" s="6" t="str">
        <f t="shared" si="1"/>
        <v/>
      </c>
      <c r="P40" t="s">
        <v>230</v>
      </c>
      <c r="Q40" t="s">
        <v>236</v>
      </c>
      <c r="R40" t="s">
        <v>237</v>
      </c>
      <c r="S40" t="s">
        <v>0</v>
      </c>
      <c r="T40" t="s">
        <v>10</v>
      </c>
      <c r="U40" t="s">
        <v>233</v>
      </c>
      <c r="V40" t="s">
        <v>0</v>
      </c>
      <c r="W40" t="s">
        <v>0</v>
      </c>
      <c r="X40" t="s">
        <v>0</v>
      </c>
      <c r="Y40" t="s">
        <v>0</v>
      </c>
      <c r="Z40" t="s">
        <v>0</v>
      </c>
      <c r="AA40" s="3"/>
      <c r="AB40" t="s">
        <v>0</v>
      </c>
      <c r="AC40" t="s">
        <v>0</v>
      </c>
      <c r="AD40" t="s">
        <v>0</v>
      </c>
      <c r="AE40" s="4">
        <v>0</v>
      </c>
    </row>
    <row r="41" spans="1:31" ht="14.1" customHeight="1" x14ac:dyDescent="0.2">
      <c r="A41" s="2" t="s">
        <v>0</v>
      </c>
      <c r="B41" t="s">
        <v>1</v>
      </c>
      <c r="C41" t="s">
        <v>238</v>
      </c>
      <c r="D41" s="3">
        <v>44286</v>
      </c>
      <c r="E41" s="3">
        <v>44286</v>
      </c>
      <c r="F41" s="3">
        <v>44293</v>
      </c>
      <c r="G41" t="s">
        <v>3</v>
      </c>
      <c r="H41" t="s">
        <v>4</v>
      </c>
      <c r="I41" s="4">
        <v>-37458</v>
      </c>
      <c r="J41" t="s">
        <v>5</v>
      </c>
      <c r="K41" t="s">
        <v>6</v>
      </c>
      <c r="L41" s="4">
        <v>-3144599.1</v>
      </c>
      <c r="M41" s="4">
        <v>-37458</v>
      </c>
      <c r="N41" s="6" t="str">
        <f>IF(M41="","",IF(M41&lt;0,-M41&amp;"_"&amp;COUNTIF(M$2:M41,M41),M41&amp;"_"&amp;COUNTIF(M$2:M41,M41)))</f>
        <v>37458_1</v>
      </c>
      <c r="O41" s="6" t="str">
        <f t="shared" si="1"/>
        <v/>
      </c>
      <c r="P41" t="s">
        <v>239</v>
      </c>
      <c r="Q41" t="s">
        <v>240</v>
      </c>
      <c r="R41" t="s">
        <v>241</v>
      </c>
      <c r="S41" t="s">
        <v>0</v>
      </c>
      <c r="T41" t="s">
        <v>10</v>
      </c>
      <c r="U41" t="s">
        <v>242</v>
      </c>
      <c r="V41" t="s">
        <v>12</v>
      </c>
      <c r="W41" t="s">
        <v>0</v>
      </c>
      <c r="X41" t="s">
        <v>12</v>
      </c>
      <c r="Y41" t="s">
        <v>0</v>
      </c>
      <c r="Z41" t="s">
        <v>0</v>
      </c>
      <c r="AA41" s="3"/>
      <c r="AB41" t="s">
        <v>0</v>
      </c>
      <c r="AC41" t="s">
        <v>0</v>
      </c>
      <c r="AD41" t="s">
        <v>0</v>
      </c>
      <c r="AE41" s="4">
        <v>0</v>
      </c>
    </row>
    <row r="42" spans="1:31" ht="14.1" customHeight="1" x14ac:dyDescent="0.2">
      <c r="A42" s="2" t="s">
        <v>0</v>
      </c>
      <c r="B42" t="s">
        <v>1</v>
      </c>
      <c r="C42" t="s">
        <v>243</v>
      </c>
      <c r="D42" s="3">
        <v>44286</v>
      </c>
      <c r="E42" s="3">
        <v>44286</v>
      </c>
      <c r="F42" s="3">
        <v>44293</v>
      </c>
      <c r="G42" t="s">
        <v>3</v>
      </c>
      <c r="H42" t="s">
        <v>4</v>
      </c>
      <c r="I42" s="4">
        <v>-68651</v>
      </c>
      <c r="J42" t="s">
        <v>5</v>
      </c>
      <c r="K42" t="s">
        <v>6</v>
      </c>
      <c r="L42" s="4">
        <v>-5763251.4500000002</v>
      </c>
      <c r="M42" s="4">
        <v>-68651</v>
      </c>
      <c r="N42" s="6" t="str">
        <f>IF(M42="","",IF(M42&lt;0,-M42&amp;"_"&amp;COUNTIF(M$2:M42,M42),M42&amp;"_"&amp;COUNTIF(M$2:M42,M42)))</f>
        <v>68651_1</v>
      </c>
      <c r="O42" s="6" t="str">
        <f t="shared" si="1"/>
        <v/>
      </c>
      <c r="P42" t="s">
        <v>244</v>
      </c>
      <c r="Q42" t="s">
        <v>245</v>
      </c>
      <c r="R42" t="s">
        <v>246</v>
      </c>
      <c r="S42" t="s">
        <v>0</v>
      </c>
      <c r="T42" t="s">
        <v>10</v>
      </c>
      <c r="U42" t="s">
        <v>247</v>
      </c>
      <c r="V42" t="s">
        <v>12</v>
      </c>
      <c r="W42" t="s">
        <v>0</v>
      </c>
      <c r="X42" t="s">
        <v>12</v>
      </c>
      <c r="Y42" t="s">
        <v>0</v>
      </c>
      <c r="Z42" t="s">
        <v>0</v>
      </c>
      <c r="AA42" s="3"/>
      <c r="AB42" t="s">
        <v>0</v>
      </c>
      <c r="AC42" t="s">
        <v>0</v>
      </c>
      <c r="AD42" t="s">
        <v>0</v>
      </c>
      <c r="AE42" s="4">
        <v>0</v>
      </c>
    </row>
    <row r="43" spans="1:31" ht="14.1" customHeight="1" x14ac:dyDescent="0.2">
      <c r="A43" s="2" t="s">
        <v>0</v>
      </c>
      <c r="B43" t="s">
        <v>1</v>
      </c>
      <c r="C43" t="s">
        <v>248</v>
      </c>
      <c r="D43" s="3">
        <v>44286</v>
      </c>
      <c r="E43" s="3">
        <v>44286</v>
      </c>
      <c r="F43" s="3">
        <v>44293</v>
      </c>
      <c r="G43" t="s">
        <v>3</v>
      </c>
      <c r="H43" t="s">
        <v>4</v>
      </c>
      <c r="I43" s="4">
        <v>-17609</v>
      </c>
      <c r="J43" t="s">
        <v>5</v>
      </c>
      <c r="K43" t="s">
        <v>6</v>
      </c>
      <c r="L43" s="4">
        <v>-1478275.55</v>
      </c>
      <c r="M43" s="4">
        <v>-17609</v>
      </c>
      <c r="N43" s="6" t="str">
        <f>IF(M43="","",IF(M43&lt;0,-M43&amp;"_"&amp;COUNTIF(M$2:M43,M43),M43&amp;"_"&amp;COUNTIF(M$2:M43,M43)))</f>
        <v>17609_1</v>
      </c>
      <c r="O43" s="6" t="str">
        <f t="shared" si="1"/>
        <v/>
      </c>
      <c r="P43" t="s">
        <v>239</v>
      </c>
      <c r="Q43" t="s">
        <v>245</v>
      </c>
      <c r="R43" t="s">
        <v>249</v>
      </c>
      <c r="S43" t="s">
        <v>0</v>
      </c>
      <c r="T43" t="s">
        <v>10</v>
      </c>
      <c r="U43" t="s">
        <v>250</v>
      </c>
      <c r="V43" t="s">
        <v>12</v>
      </c>
      <c r="W43" t="s">
        <v>0</v>
      </c>
      <c r="X43" t="s">
        <v>12</v>
      </c>
      <c r="Y43" t="s">
        <v>0</v>
      </c>
      <c r="Z43" t="s">
        <v>0</v>
      </c>
      <c r="AA43" s="3"/>
      <c r="AB43" t="s">
        <v>0</v>
      </c>
      <c r="AC43" t="s">
        <v>0</v>
      </c>
      <c r="AD43" t="s">
        <v>0</v>
      </c>
      <c r="AE43" s="4">
        <v>0</v>
      </c>
    </row>
    <row r="44" spans="1:31" ht="14.1" customHeight="1" x14ac:dyDescent="0.2">
      <c r="A44" s="2" t="s">
        <v>0</v>
      </c>
      <c r="B44" t="s">
        <v>1</v>
      </c>
      <c r="C44" t="s">
        <v>251</v>
      </c>
      <c r="D44" s="3">
        <v>44286</v>
      </c>
      <c r="E44" s="3">
        <v>44286</v>
      </c>
      <c r="F44" s="3">
        <v>44293</v>
      </c>
      <c r="G44" t="s">
        <v>3</v>
      </c>
      <c r="H44" t="s">
        <v>4</v>
      </c>
      <c r="I44" s="4">
        <v>-26540</v>
      </c>
      <c r="J44" t="s">
        <v>5</v>
      </c>
      <c r="K44" t="s">
        <v>6</v>
      </c>
      <c r="L44" s="4">
        <v>-2228033</v>
      </c>
      <c r="M44" s="4">
        <v>-26540</v>
      </c>
      <c r="N44" s="6" t="str">
        <f>IF(M44="","",IF(M44&lt;0,-M44&amp;"_"&amp;COUNTIF(M$2:M44,M44),M44&amp;"_"&amp;COUNTIF(M$2:M44,M44)))</f>
        <v>26540_1</v>
      </c>
      <c r="O44" s="6" t="str">
        <f t="shared" si="1"/>
        <v/>
      </c>
      <c r="P44" t="s">
        <v>244</v>
      </c>
      <c r="Q44" t="s">
        <v>245</v>
      </c>
      <c r="R44" t="s">
        <v>252</v>
      </c>
      <c r="S44" t="s">
        <v>0</v>
      </c>
      <c r="T44" t="s">
        <v>10</v>
      </c>
      <c r="U44" t="s">
        <v>247</v>
      </c>
      <c r="V44" t="s">
        <v>12</v>
      </c>
      <c r="W44" t="s">
        <v>0</v>
      </c>
      <c r="X44" t="s">
        <v>12</v>
      </c>
      <c r="Y44" t="s">
        <v>0</v>
      </c>
      <c r="Z44" t="s">
        <v>0</v>
      </c>
      <c r="AA44" s="3"/>
      <c r="AB44" t="s">
        <v>0</v>
      </c>
      <c r="AC44" t="s">
        <v>0</v>
      </c>
      <c r="AD44" t="s">
        <v>0</v>
      </c>
      <c r="AE44" s="4">
        <v>0</v>
      </c>
    </row>
    <row r="45" spans="1:31" ht="14.1" customHeight="1" x14ac:dyDescent="0.2">
      <c r="A45" s="2" t="s">
        <v>0</v>
      </c>
      <c r="B45" t="s">
        <v>1</v>
      </c>
      <c r="C45" t="s">
        <v>253</v>
      </c>
      <c r="D45" s="3">
        <v>44290</v>
      </c>
      <c r="E45" s="3">
        <v>44290</v>
      </c>
      <c r="F45" s="3">
        <v>44296</v>
      </c>
      <c r="G45" t="s">
        <v>45</v>
      </c>
      <c r="H45" t="s">
        <v>6</v>
      </c>
      <c r="I45" s="4">
        <v>-4121100</v>
      </c>
      <c r="J45" t="s">
        <v>46</v>
      </c>
      <c r="K45" t="s">
        <v>6</v>
      </c>
      <c r="L45" s="4">
        <v>-4121100</v>
      </c>
      <c r="M45" s="4">
        <v>-49597.49</v>
      </c>
      <c r="N45" s="6" t="str">
        <f>IF(M45="","",IF(M45&lt;0,-M45&amp;"_"&amp;COUNTIF(M$2:M45,M45),M45&amp;"_"&amp;COUNTIF(M$2:M45,M45)))</f>
        <v>49597.49_1</v>
      </c>
      <c r="O45" s="6" t="str">
        <f t="shared" si="1"/>
        <v/>
      </c>
      <c r="P45" t="s">
        <v>254</v>
      </c>
      <c r="Q45" t="s">
        <v>255</v>
      </c>
      <c r="R45" t="s">
        <v>256</v>
      </c>
      <c r="S45" t="s">
        <v>0</v>
      </c>
      <c r="T45" t="s">
        <v>10</v>
      </c>
      <c r="U45" t="s">
        <v>257</v>
      </c>
      <c r="V45" t="s">
        <v>0</v>
      </c>
      <c r="W45" t="s">
        <v>0</v>
      </c>
      <c r="X45" t="s">
        <v>0</v>
      </c>
      <c r="Y45" t="s">
        <v>0</v>
      </c>
      <c r="Z45" t="s">
        <v>0</v>
      </c>
      <c r="AA45" s="3"/>
      <c r="AB45" t="s">
        <v>0</v>
      </c>
      <c r="AC45" t="s">
        <v>0</v>
      </c>
      <c r="AD45" t="s">
        <v>0</v>
      </c>
      <c r="AE45" s="4">
        <v>0</v>
      </c>
    </row>
    <row r="46" spans="1:31" ht="14.1" customHeight="1" x14ac:dyDescent="0.2">
      <c r="A46" s="2" t="s">
        <v>0</v>
      </c>
      <c r="B46" t="s">
        <v>1</v>
      </c>
      <c r="C46" t="s">
        <v>258</v>
      </c>
      <c r="D46" s="3">
        <v>44292</v>
      </c>
      <c r="E46" s="3">
        <v>44292</v>
      </c>
      <c r="F46" s="3">
        <v>44296</v>
      </c>
      <c r="G46" t="s">
        <v>45</v>
      </c>
      <c r="H46" t="s">
        <v>6</v>
      </c>
      <c r="I46" s="4">
        <v>-1884000</v>
      </c>
      <c r="J46" t="s">
        <v>46</v>
      </c>
      <c r="K46" t="s">
        <v>6</v>
      </c>
      <c r="L46" s="4">
        <v>-1884000</v>
      </c>
      <c r="M46" s="4">
        <v>-22586.01</v>
      </c>
      <c r="N46" s="6" t="str">
        <f>IF(M46="","",IF(M46&lt;0,-M46&amp;"_"&amp;COUNTIF(M$2:M46,M46),M46&amp;"_"&amp;COUNTIF(M$2:M46,M46)))</f>
        <v>22586.01_1</v>
      </c>
      <c r="O46" s="6" t="str">
        <f t="shared" si="1"/>
        <v/>
      </c>
      <c r="P46" t="s">
        <v>259</v>
      </c>
      <c r="Q46" t="s">
        <v>231</v>
      </c>
      <c r="R46" t="s">
        <v>67</v>
      </c>
      <c r="S46" t="s">
        <v>0</v>
      </c>
      <c r="T46" t="s">
        <v>10</v>
      </c>
      <c r="U46" t="s">
        <v>260</v>
      </c>
      <c r="V46" t="s">
        <v>0</v>
      </c>
      <c r="W46" t="s">
        <v>0</v>
      </c>
      <c r="X46" t="s">
        <v>0</v>
      </c>
      <c r="Y46" t="s">
        <v>0</v>
      </c>
      <c r="Z46" t="s">
        <v>0</v>
      </c>
      <c r="AA46" s="3"/>
      <c r="AB46" t="s">
        <v>0</v>
      </c>
      <c r="AC46" t="s">
        <v>0</v>
      </c>
      <c r="AD46" t="s">
        <v>0</v>
      </c>
      <c r="AE46" s="4">
        <v>0</v>
      </c>
    </row>
    <row r="47" spans="1:31" ht="14.1" customHeight="1" x14ac:dyDescent="0.2">
      <c r="A47" s="2" t="s">
        <v>0</v>
      </c>
      <c r="B47" t="s">
        <v>1</v>
      </c>
      <c r="C47" t="s">
        <v>261</v>
      </c>
      <c r="D47" s="3">
        <v>44316</v>
      </c>
      <c r="E47" s="3">
        <v>44316</v>
      </c>
      <c r="F47" s="3">
        <v>44322</v>
      </c>
      <c r="G47" t="s">
        <v>3</v>
      </c>
      <c r="H47" t="s">
        <v>4</v>
      </c>
      <c r="I47" s="4">
        <v>-32853</v>
      </c>
      <c r="J47" t="s">
        <v>5</v>
      </c>
      <c r="K47" t="s">
        <v>6</v>
      </c>
      <c r="L47" s="4">
        <v>-2758009.35</v>
      </c>
      <c r="M47" s="4">
        <v>-32853</v>
      </c>
      <c r="N47" s="6" t="str">
        <f>IF(M47="","",IF(M47&lt;0,-M47&amp;"_"&amp;COUNTIF(M$2:M47,M47),M47&amp;"_"&amp;COUNTIF(M$2:M47,M47)))</f>
        <v>32853_1</v>
      </c>
      <c r="O47" s="6" t="str">
        <f t="shared" si="1"/>
        <v/>
      </c>
      <c r="P47" t="s">
        <v>262</v>
      </c>
      <c r="Q47" t="s">
        <v>263</v>
      </c>
      <c r="R47" t="s">
        <v>264</v>
      </c>
      <c r="S47" t="s">
        <v>0</v>
      </c>
      <c r="T47" t="s">
        <v>10</v>
      </c>
      <c r="U47" t="s">
        <v>265</v>
      </c>
      <c r="V47" t="s">
        <v>12</v>
      </c>
      <c r="W47" t="s">
        <v>0</v>
      </c>
      <c r="X47" t="s">
        <v>12</v>
      </c>
      <c r="Y47" t="s">
        <v>0</v>
      </c>
      <c r="Z47" t="s">
        <v>0</v>
      </c>
      <c r="AA47" s="3"/>
      <c r="AB47" t="s">
        <v>0</v>
      </c>
      <c r="AC47" t="s">
        <v>0</v>
      </c>
      <c r="AD47" t="s">
        <v>0</v>
      </c>
      <c r="AE47" s="4">
        <v>0</v>
      </c>
    </row>
    <row r="48" spans="1:31" ht="14.1" customHeight="1" x14ac:dyDescent="0.2">
      <c r="A48" s="2" t="s">
        <v>0</v>
      </c>
      <c r="B48" t="s">
        <v>1</v>
      </c>
      <c r="C48" t="s">
        <v>266</v>
      </c>
      <c r="D48" s="3">
        <v>44316</v>
      </c>
      <c r="E48" s="3">
        <v>44316</v>
      </c>
      <c r="F48" s="3">
        <v>44322</v>
      </c>
      <c r="G48" t="s">
        <v>3</v>
      </c>
      <c r="H48" t="s">
        <v>4</v>
      </c>
      <c r="I48" s="4">
        <v>-23889</v>
      </c>
      <c r="J48" t="s">
        <v>5</v>
      </c>
      <c r="K48" t="s">
        <v>6</v>
      </c>
      <c r="L48" s="4">
        <v>-2005481.55</v>
      </c>
      <c r="M48" s="4">
        <v>-23889</v>
      </c>
      <c r="N48" s="6" t="str">
        <f>IF(M48="","",IF(M48&lt;0,-M48&amp;"_"&amp;COUNTIF(M$2:M48,M48),M48&amp;"_"&amp;COUNTIF(M$2:M48,M48)))</f>
        <v>23889_1</v>
      </c>
      <c r="O48" s="6" t="str">
        <f t="shared" si="1"/>
        <v/>
      </c>
      <c r="P48" t="s">
        <v>262</v>
      </c>
      <c r="Q48" t="s">
        <v>263</v>
      </c>
      <c r="R48" t="s">
        <v>264</v>
      </c>
      <c r="S48" t="s">
        <v>0</v>
      </c>
      <c r="T48" t="s">
        <v>10</v>
      </c>
      <c r="U48" t="s">
        <v>267</v>
      </c>
      <c r="V48" t="s">
        <v>12</v>
      </c>
      <c r="W48" t="s">
        <v>0</v>
      </c>
      <c r="X48" t="s">
        <v>12</v>
      </c>
      <c r="Y48" t="s">
        <v>0</v>
      </c>
      <c r="Z48" t="s">
        <v>0</v>
      </c>
      <c r="AA48" s="3"/>
      <c r="AB48" t="s">
        <v>0</v>
      </c>
      <c r="AC48" t="s">
        <v>0</v>
      </c>
      <c r="AD48" t="s">
        <v>0</v>
      </c>
      <c r="AE48" s="4">
        <v>0</v>
      </c>
    </row>
    <row r="49" spans="1:31" ht="14.1" customHeight="1" x14ac:dyDescent="0.2">
      <c r="A49" s="2" t="s">
        <v>0</v>
      </c>
      <c r="B49" t="s">
        <v>1</v>
      </c>
      <c r="C49" t="s">
        <v>268</v>
      </c>
      <c r="D49" s="3">
        <v>44316</v>
      </c>
      <c r="E49" s="3">
        <v>44316</v>
      </c>
      <c r="F49" s="3">
        <v>44322</v>
      </c>
      <c r="G49" t="s">
        <v>3</v>
      </c>
      <c r="H49" t="s">
        <v>4</v>
      </c>
      <c r="I49" s="4">
        <v>-18290</v>
      </c>
      <c r="J49" t="s">
        <v>5</v>
      </c>
      <c r="K49" t="s">
        <v>6</v>
      </c>
      <c r="L49" s="4">
        <v>-1535445.5</v>
      </c>
      <c r="M49" s="4">
        <v>-18290</v>
      </c>
      <c r="N49" s="6" t="str">
        <f>IF(M49="","",IF(M49&lt;0,-M49&amp;"_"&amp;COUNTIF(M$2:M49,M49),M49&amp;"_"&amp;COUNTIF(M$2:M49,M49)))</f>
        <v>18290_1</v>
      </c>
      <c r="O49" s="6" t="str">
        <f t="shared" si="1"/>
        <v/>
      </c>
      <c r="P49" t="s">
        <v>262</v>
      </c>
      <c r="Q49" t="s">
        <v>263</v>
      </c>
      <c r="R49" t="s">
        <v>269</v>
      </c>
      <c r="S49" t="s">
        <v>0</v>
      </c>
      <c r="T49" t="s">
        <v>10</v>
      </c>
      <c r="U49" t="s">
        <v>265</v>
      </c>
      <c r="V49" t="s">
        <v>12</v>
      </c>
      <c r="W49" t="s">
        <v>0</v>
      </c>
      <c r="X49" t="s">
        <v>12</v>
      </c>
      <c r="Y49" t="s">
        <v>0</v>
      </c>
      <c r="Z49" t="s">
        <v>0</v>
      </c>
      <c r="AA49" s="3"/>
      <c r="AB49" t="s">
        <v>0</v>
      </c>
      <c r="AC49" t="s">
        <v>0</v>
      </c>
      <c r="AD49" t="s">
        <v>0</v>
      </c>
      <c r="AE49" s="4">
        <v>0</v>
      </c>
    </row>
    <row r="50" spans="1:31" ht="14.1" customHeight="1" x14ac:dyDescent="0.2">
      <c r="A50" s="2" t="s">
        <v>0</v>
      </c>
      <c r="B50" t="s">
        <v>1</v>
      </c>
      <c r="C50" t="s">
        <v>270</v>
      </c>
      <c r="D50" s="3">
        <v>44316</v>
      </c>
      <c r="E50" s="3">
        <v>44316</v>
      </c>
      <c r="F50" s="3">
        <v>44322</v>
      </c>
      <c r="G50" t="s">
        <v>3</v>
      </c>
      <c r="H50" t="s">
        <v>4</v>
      </c>
      <c r="I50" s="4">
        <v>-9200</v>
      </c>
      <c r="J50" t="s">
        <v>5</v>
      </c>
      <c r="K50" t="s">
        <v>6</v>
      </c>
      <c r="L50" s="4">
        <v>-772340</v>
      </c>
      <c r="M50" s="4">
        <v>-9200</v>
      </c>
      <c r="N50" s="6" t="str">
        <f>IF(M50="","",IF(M50&lt;0,-M50&amp;"_"&amp;COUNTIF(M$2:M50,M50),M50&amp;"_"&amp;COUNTIF(M$2:M50,M50)))</f>
        <v>9200_1</v>
      </c>
      <c r="O50" s="6" t="str">
        <f t="shared" si="1"/>
        <v/>
      </c>
      <c r="P50" t="s">
        <v>262</v>
      </c>
      <c r="Q50" t="s">
        <v>263</v>
      </c>
      <c r="R50" t="s">
        <v>269</v>
      </c>
      <c r="S50" t="s">
        <v>0</v>
      </c>
      <c r="T50" t="s">
        <v>10</v>
      </c>
      <c r="U50" t="s">
        <v>267</v>
      </c>
      <c r="V50" t="s">
        <v>12</v>
      </c>
      <c r="W50" t="s">
        <v>0</v>
      </c>
      <c r="X50" t="s">
        <v>12</v>
      </c>
      <c r="Y50" t="s">
        <v>0</v>
      </c>
      <c r="Z50" t="s">
        <v>0</v>
      </c>
      <c r="AA50" s="3"/>
      <c r="AB50" t="s">
        <v>0</v>
      </c>
      <c r="AC50" t="s">
        <v>0</v>
      </c>
      <c r="AD50" t="s">
        <v>0</v>
      </c>
      <c r="AE50" s="4">
        <v>0</v>
      </c>
    </row>
    <row r="51" spans="1:31" s="11" customFormat="1" x14ac:dyDescent="0.2">
      <c r="A51" s="7" t="s">
        <v>0</v>
      </c>
      <c r="B51" s="7" t="s">
        <v>0</v>
      </c>
      <c r="C51" s="7" t="s">
        <v>0</v>
      </c>
      <c r="D51" s="8"/>
      <c r="E51" s="8"/>
      <c r="F51" s="8"/>
      <c r="G51" s="7" t="s">
        <v>0</v>
      </c>
      <c r="H51" s="7" t="s">
        <v>6</v>
      </c>
      <c r="I51" s="9">
        <v>-144922500</v>
      </c>
      <c r="J51" s="7" t="s">
        <v>0</v>
      </c>
      <c r="K51" s="7" t="s">
        <v>6</v>
      </c>
      <c r="L51" s="9">
        <v>-139117621.12</v>
      </c>
      <c r="M51" s="9">
        <v>-1675522.93</v>
      </c>
      <c r="N51" s="6" t="str">
        <f>IF(M51="","",IF(M51&lt;0,-M51&amp;"_"&amp;COUNTIF(M$2:M51,M51),M51&amp;"_"&amp;COUNTIF(M$2:M51,M51)))</f>
        <v>1675522.93_1</v>
      </c>
      <c r="O51" s="6" t="str">
        <f t="shared" si="1"/>
        <v/>
      </c>
      <c r="P51" s="7" t="s">
        <v>0</v>
      </c>
      <c r="Q51" s="7" t="s">
        <v>0</v>
      </c>
      <c r="R51" s="7" t="s">
        <v>0</v>
      </c>
      <c r="S51" s="7" t="s">
        <v>0</v>
      </c>
      <c r="T51" s="7" t="s">
        <v>0</v>
      </c>
      <c r="U51" s="7" t="s">
        <v>0</v>
      </c>
      <c r="V51" s="7" t="s">
        <v>0</v>
      </c>
      <c r="W51" s="7" t="s">
        <v>0</v>
      </c>
      <c r="X51" s="7" t="s">
        <v>0</v>
      </c>
      <c r="Y51" s="7" t="s">
        <v>0</v>
      </c>
      <c r="Z51" s="7" t="s">
        <v>0</v>
      </c>
      <c r="AA51" s="8"/>
      <c r="AB51" s="7" t="s">
        <v>0</v>
      </c>
      <c r="AC51" s="7" t="s">
        <v>0</v>
      </c>
      <c r="AD51" s="7" t="s">
        <v>0</v>
      </c>
      <c r="AE51" s="10"/>
    </row>
    <row r="52" spans="1:31" s="11" customFormat="1" x14ac:dyDescent="0.2">
      <c r="A52" s="7" t="s">
        <v>0</v>
      </c>
      <c r="B52" s="7" t="s">
        <v>0</v>
      </c>
      <c r="C52" s="7" t="s">
        <v>0</v>
      </c>
      <c r="D52" s="8"/>
      <c r="E52" s="8"/>
      <c r="F52" s="8"/>
      <c r="G52" s="7" t="s">
        <v>0</v>
      </c>
      <c r="H52" s="7" t="s">
        <v>4</v>
      </c>
      <c r="I52" s="9">
        <v>69146.86</v>
      </c>
      <c r="J52" s="7" t="s">
        <v>0</v>
      </c>
      <c r="K52" s="7" t="s">
        <v>0</v>
      </c>
      <c r="L52" s="10"/>
      <c r="M52" s="10"/>
      <c r="N52" s="6" t="str">
        <f>IF(M52="","",IF(M52&lt;0,-M52&amp;"_"&amp;COUNTIF(M$2:M52,M52),M52&amp;"_"&amp;COUNTIF(M$2:M52,M52)))</f>
        <v/>
      </c>
      <c r="O52" s="6" t="str">
        <f t="shared" si="1"/>
        <v/>
      </c>
      <c r="P52" s="7" t="s">
        <v>0</v>
      </c>
      <c r="Q52" s="7" t="s">
        <v>0</v>
      </c>
      <c r="R52" s="7" t="s">
        <v>0</v>
      </c>
      <c r="S52" s="7" t="s">
        <v>0</v>
      </c>
      <c r="T52" s="7" t="s">
        <v>0</v>
      </c>
      <c r="U52" s="7" t="s">
        <v>0</v>
      </c>
      <c r="V52" s="7" t="s">
        <v>0</v>
      </c>
      <c r="W52" s="7" t="s">
        <v>0</v>
      </c>
      <c r="X52" s="7" t="s">
        <v>0</v>
      </c>
      <c r="Y52" s="7" t="s">
        <v>0</v>
      </c>
      <c r="Z52" s="7" t="s">
        <v>0</v>
      </c>
      <c r="AA52" s="8"/>
      <c r="AB52" s="7" t="s">
        <v>0</v>
      </c>
      <c r="AC52" s="7" t="s">
        <v>0</v>
      </c>
      <c r="AD52" s="7" t="s">
        <v>0</v>
      </c>
      <c r="AE52" s="10"/>
    </row>
    <row r="57" spans="1:31" x14ac:dyDescent="0.2">
      <c r="N57">
        <f>2065412-389889</f>
        <v>1675523</v>
      </c>
    </row>
  </sheetData>
  <pageMargins left="0.75" right="0.75" top="1" bottom="1" header="0.5" footer="0.5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2FB8054E7BC343824610924DACAD55" ma:contentTypeVersion="8" ma:contentTypeDescription="Create a new document." ma:contentTypeScope="" ma:versionID="34e1fd2a76f7945d18cc3ff5b5a68ad1">
  <xsd:schema xmlns:xsd="http://www.w3.org/2001/XMLSchema" xmlns:xs="http://www.w3.org/2001/XMLSchema" xmlns:p="http://schemas.microsoft.com/office/2006/metadata/properties" xmlns:ns2="08c337d5-e798-4fe7-92a8-e5522ccd74f1" targetNamespace="http://schemas.microsoft.com/office/2006/metadata/properties" ma:root="true" ma:fieldsID="4df481265a4bd63f50581f36648612e8" ns2:_="">
    <xsd:import namespace="08c337d5-e798-4fe7-92a8-e5522ccd74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c337d5-e798-4fe7-92a8-e5522ccd74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BA7C48C-01EF-4C4E-9E4E-B12CFD27FFF5}"/>
</file>

<file path=customXml/itemProps2.xml><?xml version="1.0" encoding="utf-8"?>
<ds:datastoreItem xmlns:ds="http://schemas.openxmlformats.org/officeDocument/2006/customXml" ds:itemID="{0DB2DA33-70F6-44AA-8456-179D058F45D0}"/>
</file>

<file path=customXml/itemProps3.xml><?xml version="1.0" encoding="utf-8"?>
<ds:datastoreItem xmlns:ds="http://schemas.openxmlformats.org/officeDocument/2006/customXml" ds:itemID="{D3CD3E91-7833-49A4-81C4-92789D1B2B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Population</vt:lpstr>
      <vt:lpstr>Debit Entries</vt:lpstr>
      <vt:lpstr>Credit Entries</vt:lpstr>
      <vt:lpstr>Reversal Entries</vt:lpstr>
      <vt:lpstr>Positive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Nahid Hasan</cp:lastModifiedBy>
  <cp:revision>1</cp:revision>
  <dcterms:modified xsi:type="dcterms:W3CDTF">2021-09-05T12:59:46Z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0x010100F52FB8054E7BC343824610924DACAD55</vt:lpwstr>
  </property>
</Properties>
</file>