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loitte\EPIC Group\CIPL_21\04 Substantive Testing\02 Other than Significant\14 Advance from Buyer\"/>
    </mc:Choice>
  </mc:AlternateContent>
  <xr:revisionPtr revIDLastSave="0" documentId="13_ncr:1_{25174DB0-7D63-4C1E-9CC2-5C504B1F218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otal Population" sheetId="1" r:id="rId1"/>
    <sheet name="Debit Item" sheetId="4" r:id="rId2"/>
    <sheet name="Credit Items" sheetId="3" r:id="rId3"/>
  </sheets>
  <definedNames>
    <definedName name="_xlnm._FilterDatabase" localSheetId="1" hidden="1">'Debit Item'!$A$1:$AE$47</definedName>
    <definedName name="_xlnm._FilterDatabase" localSheetId="0" hidden="1">'Total Population'!$A$1:$AE$54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4" l="1"/>
  <c r="P3" i="3"/>
  <c r="P4" i="3"/>
  <c r="P5" i="3"/>
  <c r="P6" i="3"/>
  <c r="P7" i="3"/>
  <c r="P2" i="3"/>
  <c r="P10" i="3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2" i="1"/>
  <c r="O53" i="1" l="1"/>
  <c r="O46" i="1"/>
  <c r="O2" i="1"/>
  <c r="O43" i="1"/>
  <c r="O42" i="1"/>
  <c r="O41" i="1"/>
  <c r="O38" i="1"/>
  <c r="O36" i="1"/>
  <c r="O33" i="1"/>
  <c r="O31" i="1"/>
  <c r="O28" i="1"/>
  <c r="O26" i="1"/>
  <c r="O24" i="1"/>
  <c r="O22" i="1"/>
  <c r="O19" i="1"/>
  <c r="O17" i="1"/>
  <c r="O16" i="1"/>
  <c r="O14" i="1"/>
  <c r="O12" i="1"/>
  <c r="O10" i="1"/>
  <c r="O8" i="1"/>
  <c r="O6" i="1"/>
  <c r="O4" i="1"/>
  <c r="O3" i="1"/>
  <c r="O44" i="1"/>
  <c r="O54" i="1"/>
  <c r="O52" i="1"/>
  <c r="O51" i="1"/>
  <c r="O50" i="1"/>
  <c r="O49" i="1"/>
  <c r="O40" i="1"/>
  <c r="O37" i="1"/>
  <c r="O35" i="1"/>
  <c r="O32" i="1"/>
  <c r="O30" i="1"/>
  <c r="O27" i="1"/>
  <c r="O25" i="1"/>
  <c r="O23" i="1"/>
  <c r="O21" i="1"/>
  <c r="O18" i="1"/>
  <c r="O13" i="1"/>
  <c r="O11" i="1"/>
  <c r="O9" i="1"/>
  <c r="O7" i="1"/>
  <c r="O48" i="1"/>
  <c r="O47" i="1"/>
  <c r="O45" i="1"/>
  <c r="O39" i="1"/>
  <c r="O34" i="1"/>
  <c r="O29" i="1"/>
  <c r="O20" i="1"/>
  <c r="O15" i="1"/>
  <c r="O5" i="1"/>
</calcChain>
</file>

<file path=xl/sharedStrings.xml><?xml version="1.0" encoding="utf-8"?>
<sst xmlns="http://schemas.openxmlformats.org/spreadsheetml/2006/main" count="2403" uniqueCount="203">
  <si>
    <t/>
  </si>
  <si>
    <t>20121001</t>
  </si>
  <si>
    <t>2009000320</t>
  </si>
  <si>
    <t>DZ</t>
  </si>
  <si>
    <t>USD</t>
  </si>
  <si>
    <t>84.78994</t>
  </si>
  <si>
    <t>BDT</t>
  </si>
  <si>
    <t>CM ADVANCE-EDL</t>
  </si>
  <si>
    <t>0000001010</t>
  </si>
  <si>
    <t>CM advance receive, ref-OBCDAK133886ARV</t>
  </si>
  <si>
    <t>0</t>
  </si>
  <si>
    <t>OBCDAK133886ARV</t>
  </si>
  <si>
    <t>2009000340</t>
  </si>
  <si>
    <t>CM ADVANCE -EDL</t>
  </si>
  <si>
    <t>CM advance receive, ref-OBCDAK135786ARV</t>
  </si>
  <si>
    <t>OBCDAK135786ARV</t>
  </si>
  <si>
    <t>2009000393</t>
  </si>
  <si>
    <t>84.66432</t>
  </si>
  <si>
    <t>CM advance rcvd, ref-OBCDAK137799ARV</t>
  </si>
  <si>
    <t>OBCDAK137799ARV</t>
  </si>
  <si>
    <t>2009000396</t>
  </si>
  <si>
    <t>LEV-475+479+491</t>
  </si>
  <si>
    <t>CM advance adjusted, ref-OBCDAK137799ARV</t>
  </si>
  <si>
    <t>OBCDAK138015FTT</t>
  </si>
  <si>
    <t>2009000399</t>
  </si>
  <si>
    <t>84.66433</t>
  </si>
  <si>
    <t>LEV-473+492+519</t>
  </si>
  <si>
    <t>OBCDAK138167FTT</t>
  </si>
  <si>
    <t>2009000401</t>
  </si>
  <si>
    <t>UNIQ-565+499+500</t>
  </si>
  <si>
    <t>OBCDAK138447FTT</t>
  </si>
  <si>
    <t>2009000402</t>
  </si>
  <si>
    <t>UNIQ-509+507+520</t>
  </si>
  <si>
    <t>OBCDAK138471FTT</t>
  </si>
  <si>
    <t>2009000404</t>
  </si>
  <si>
    <t>84.78979</t>
  </si>
  <si>
    <t>CM advance rcvd, ref-OBCDAK138797ARV</t>
  </si>
  <si>
    <t>OBCDAK138797ARV</t>
  </si>
  <si>
    <t>2009000409</t>
  </si>
  <si>
    <t>84.78993</t>
  </si>
  <si>
    <t>LEV-563+502+600</t>
  </si>
  <si>
    <t>CM Advance adjusted, ref-OBCDAK133886ARV</t>
  </si>
  <si>
    <t>OBCDAK138847FTT</t>
  </si>
  <si>
    <t>2009000407</t>
  </si>
  <si>
    <t>UNIQ-540+542+539</t>
  </si>
  <si>
    <t>CM Advance adjusted, ref-OBCDAK138797ARV</t>
  </si>
  <si>
    <t>OBCDAK138974FTT</t>
  </si>
  <si>
    <t>2009000411</t>
  </si>
  <si>
    <t>LEV-0617+0547-21</t>
  </si>
  <si>
    <t>OBCDAK139161FTT</t>
  </si>
  <si>
    <t>2009000412</t>
  </si>
  <si>
    <t>LEV-601+602+603</t>
  </si>
  <si>
    <t>OBCDAK139449FTT</t>
  </si>
  <si>
    <t>2009000413</t>
  </si>
  <si>
    <t>LEV-624+604+614</t>
  </si>
  <si>
    <t>OBCDAK139579FTT</t>
  </si>
  <si>
    <t>2009000416</t>
  </si>
  <si>
    <t>LEV-564+605+616</t>
  </si>
  <si>
    <t>OBCDAK139700FTT</t>
  </si>
  <si>
    <t>CM Advance adjusted, ref-OBCDAK137799ARV</t>
  </si>
  <si>
    <t>2009000423</t>
  </si>
  <si>
    <t>UNIQ-648+652+686</t>
  </si>
  <si>
    <t>CM advance adjusted, ref-OBCDAK133886ARV</t>
  </si>
  <si>
    <t>OBCDAK140282FTT</t>
  </si>
  <si>
    <t>CM advance adjusted, ref-OBCDAK138797ARV</t>
  </si>
  <si>
    <t>84.66431</t>
  </si>
  <si>
    <t>2009000424</t>
  </si>
  <si>
    <t>LEV-708+709+607</t>
  </si>
  <si>
    <t>OBCDAK140322FTT</t>
  </si>
  <si>
    <t>2009000431</t>
  </si>
  <si>
    <t>C3284LVMY0710-21</t>
  </si>
  <si>
    <t>OBCDAK140497FTT</t>
  </si>
  <si>
    <t>2009000437</t>
  </si>
  <si>
    <t>LEV-0498-21</t>
  </si>
  <si>
    <t>2009000434</t>
  </si>
  <si>
    <t>UNIQ-557+674+720</t>
  </si>
  <si>
    <t>OBCDAK140560FTT</t>
  </si>
  <si>
    <t>2009000435</t>
  </si>
  <si>
    <t>LEV-622+623-21</t>
  </si>
  <si>
    <t>OBCDAK140586FTT</t>
  </si>
  <si>
    <t>2009000436</t>
  </si>
  <si>
    <t>84.66409</t>
  </si>
  <si>
    <t>CM advance receive, ref-OBCDAK140734ARV</t>
  </si>
  <si>
    <t>OBCDAK140734ARV</t>
  </si>
  <si>
    <t>2009000439</t>
  </si>
  <si>
    <t>84.78995</t>
  </si>
  <si>
    <t>LEV-035+0373+743</t>
  </si>
  <si>
    <t>OBCDAK140914FTT</t>
  </si>
  <si>
    <t>CM advance adjusted, ref-OBCDAK140734ARV</t>
  </si>
  <si>
    <t>2009000440</t>
  </si>
  <si>
    <t>UNIQ-506+446+574</t>
  </si>
  <si>
    <t>OBCDAK140947FTT</t>
  </si>
  <si>
    <t>2009000442</t>
  </si>
  <si>
    <t>LEV-701+700+702</t>
  </si>
  <si>
    <t>OBCDAK140999FTT</t>
  </si>
  <si>
    <t>2009000444</t>
  </si>
  <si>
    <t>LEV-737+744</t>
  </si>
  <si>
    <t>OBCDAK141327FTT</t>
  </si>
  <si>
    <t>CM Advance adjusted, ref-OBCDAK135786ARV</t>
  </si>
  <si>
    <t>CM Advance adjusted, ref-OBCDAK140734ARV</t>
  </si>
  <si>
    <t>2009000446</t>
  </si>
  <si>
    <t>84.78989</t>
  </si>
  <si>
    <t>CM advance rcvd, ref-OBCDAK141494ARV</t>
  </si>
  <si>
    <t>OBCDAK141494ARV</t>
  </si>
  <si>
    <t>2009000447</t>
  </si>
  <si>
    <t>LEV-777+760+786</t>
  </si>
  <si>
    <t>OBCDAK141564FTT</t>
  </si>
  <si>
    <t>2009000448</t>
  </si>
  <si>
    <t>LEV-736+792+839+</t>
  </si>
  <si>
    <t>OBCDAK141732FTT</t>
  </si>
  <si>
    <t>CM advance adjusted, ref-OBCDAK135786ARV</t>
  </si>
  <si>
    <t>CM advance adjusted, ref-OBCDAK141494ARV</t>
  </si>
  <si>
    <t>2009000449</t>
  </si>
  <si>
    <t>LEV-842+834+743</t>
  </si>
  <si>
    <t>OBCDAK141830FTT</t>
  </si>
  <si>
    <t>2009000457</t>
  </si>
  <si>
    <t>83.95000</t>
  </si>
  <si>
    <t>CM ADV ADJUST</t>
  </si>
  <si>
    <t>CM ADV ADJUST-EDL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</si>
  <si>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</si>
  <si>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</si>
  <si>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</si>
  <si>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</si>
  <si>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</si>
  <si>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</si>
  <si>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</si>
  <si>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</si>
  <si>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</si>
  <si>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</si>
  <si>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</si>
  <si>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</si>
  <si>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</si>
  <si>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</si>
  <si>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</si>
  <si>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</si>
  <si>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</si>
  <si>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</si>
  <si>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</si>
  <si>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</si>
  <si>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</si>
  <si>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</si>
  <si>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</si>
  <si>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</si>
  <si>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</si>
  <si>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</si>
  <si>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</si>
  <si>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</si>
  <si>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</si>
  <si>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Reversal Formula</t>
  </si>
  <si>
    <t>Reversal Formula Result</t>
  </si>
  <si>
    <t>24999_1</t>
  </si>
  <si>
    <t>293_1</t>
  </si>
  <si>
    <t>50371_1</t>
  </si>
  <si>
    <t>1261_1</t>
  </si>
  <si>
    <t>146_1</t>
  </si>
  <si>
    <t>29763_1</t>
  </si>
  <si>
    <t>34012_1</t>
  </si>
  <si>
    <t>667_1</t>
  </si>
  <si>
    <t>18689_1</t>
  </si>
  <si>
    <t>43370_1</t>
  </si>
  <si>
    <t>2280_1</t>
  </si>
  <si>
    <t>176730_1</t>
  </si>
  <si>
    <t>10074_1</t>
  </si>
  <si>
    <t>29877_1</t>
  </si>
  <si>
    <t>34371_1</t>
  </si>
  <si>
    <t>6584_1</t>
  </si>
  <si>
    <t>29552_1</t>
  </si>
  <si>
    <t>9563_1</t>
  </si>
  <si>
    <t>605_1</t>
  </si>
  <si>
    <t>36158_1</t>
  </si>
  <si>
    <t>170_1</t>
  </si>
  <si>
    <t>144_1</t>
  </si>
  <si>
    <t>22241_1</t>
  </si>
  <si>
    <t>2512_1</t>
  </si>
  <si>
    <t>2652_1</t>
  </si>
  <si>
    <t>975_1</t>
  </si>
  <si>
    <t>6507_1</t>
  </si>
  <si>
    <t>55359_1</t>
  </si>
  <si>
    <t>4092_1</t>
  </si>
  <si>
    <t>17526_1</t>
  </si>
  <si>
    <t>103497_1</t>
  </si>
  <si>
    <t>114818_1</t>
  </si>
  <si>
    <t>86663_1</t>
  </si>
  <si>
    <t>809_1</t>
  </si>
  <si>
    <t>74944_1</t>
  </si>
  <si>
    <t>520_1</t>
  </si>
  <si>
    <t>17538_1</t>
  </si>
  <si>
    <t>25340_1</t>
  </si>
  <si>
    <t>23552_1</t>
  </si>
  <si>
    <t>8342_1</t>
  </si>
  <si>
    <t>6117_1</t>
  </si>
  <si>
    <t>7004_1</t>
  </si>
  <si>
    <t>7669_1</t>
  </si>
  <si>
    <t>7225_1</t>
  </si>
  <si>
    <t>31545_1</t>
  </si>
  <si>
    <t>1_1</t>
  </si>
  <si>
    <t>600000_1</t>
  </si>
  <si>
    <t>600000_2</t>
  </si>
  <si>
    <t>116560_1</t>
  </si>
  <si>
    <t>161085_1</t>
  </si>
  <si>
    <t>299814_1</t>
  </si>
  <si>
    <t>296745_1</t>
  </si>
  <si>
    <t>Absolute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</si>
</sst>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4" borderId="0" xfId="0" applyFill="1"/>
    <xf numFmtId="0" fontId="0" fillId="4" borderId="0" xfId="0" applyFill="1" applyAlignment="1">
      <alignment horizontal="center"/>
    </xf>
    <xf numFmtId="164" fontId="2" fillId="5" borderId="0" xfId="1" applyNumberFormat="1" applyFont="1" applyFill="1" applyAlignment="1">
      <alignment vertical="top"/>
    </xf>
    <xf numFmtId="0" fontId="1" fillId="2" borderId="1" xfId="2" applyFill="1" applyBorder="1" applyAlignment="1">
      <alignment vertical="top" wrapText="1"/>
    </xf>
    <xf numFmtId="0" fontId="1" fillId="2" borderId="1" xfId="2" applyFill="1" applyBorder="1" applyAlignment="1">
      <alignment vertical="top"/>
    </xf>
    <xf numFmtId="0" fontId="1" fillId="0" borderId="0" xfId="2" applyAlignment="1">
      <alignment vertical="top"/>
    </xf>
    <xf numFmtId="0" fontId="1" fillId="0" borderId="0" xfId="2" applyAlignment="1">
      <alignment vertical="top" indent="2"/>
    </xf>
    <xf numFmtId="14" fontId="1" fillId="0" borderId="0" xfId="2" applyNumberFormat="1" applyAlignment="1">
      <alignment horizontal="right" vertical="top"/>
    </xf>
    <xf numFmtId="4" fontId="1" fillId="0" borderId="0" xfId="2" applyNumberFormat="1" applyAlignment="1">
      <alignment horizontal="right" vertical="top"/>
    </xf>
    <xf numFmtId="0" fontId="1" fillId="4" borderId="0" xfId="2" applyFill="1"/>
    <xf numFmtId="0" fontId="1" fillId="4" borderId="0" xfId="2" applyFill="1" applyAlignment="1">
      <alignment horizontal="center"/>
    </xf>
    <xf numFmtId="4" fontId="2" fillId="5" borderId="0" xfId="2" applyNumberFormat="1" applyFont="1" applyFill="1" applyAlignment="1">
      <alignment vertical="top"/>
    </xf>
    <xf numFmtId="4" fontId="1" fillId="0" borderId="0" xfId="2" applyNumberFormat="1" applyAlignment="1">
      <alignment vertical="top"/>
    </xf>
  </cellXfs>
  <cellStyles count="3">
    <cellStyle name="Comma" xfId="1" builtinId="3"/>
    <cellStyle name="Normal" xfId="0" builtinId="0"/>
    <cellStyle name="Normal 2 10" xfId="2" xr:uid="{A85AD8E7-F8D1-4F12-B9FF-722B8F8CA4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5C\Qopen@" descr="@5C\Qope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5C\Qopen@" descr="@5C\Qope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C\Qopen@" descr="@5C\Qope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75425CF2-EF55-498F-83C2-6D0C0DDC29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6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7ECA9E98-76DB-4F02-AA61-58C7A35B1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2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86D4FFAE-3108-478D-89D0-ECD4D79C9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65FEB20-C50B-4C89-8727-50263FA34D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5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8CA4F378-66B5-4E05-A5A2-29595CFFA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4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1B27924D-0CDA-4302-952B-7BBD42024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B1CA3827-6891-45BB-803A-A61C88573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5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1697E34D-0A9C-494D-8990-AAB4F7231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38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891003EA-A60C-4A13-BD2E-80A68965C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FC0399BC-0005-4C73-8DF2-C86D7AA54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CA1B7876-D68A-4B49-B089-3CDE5D935C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91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6247DED-C598-4534-B948-3BB7EC7A7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5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4F495027-FF15-4168-9596-A4D27B035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8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3B064E5B-80DA-4190-BE3A-239A71302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8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52A68850-E981-466C-AB16-4D4E946C2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10FE7702-1023-420A-8F90-41E01B6AC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19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FA89DE52-2D02-4F27-951F-7B04A0FF4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2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463448E4-C2F8-4BAD-B4C5-BA3E02123B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DEF9A4DC-6EC0-4902-9F93-15974B0D99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FE3EDB88-2866-4B3C-BE7B-E89C833C02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1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FCBCEE39-56F5-4899-B652-155C33F36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86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6AA2F802-BDEF-4FFB-BA7E-E17A7B5439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10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94BA4D53-0533-451A-9060-787DBFAEE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0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A3EE712A-6F26-40D8-8D16-E23F587D23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2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3F09D84B-CFEE-4AAF-8C6A-9D62073920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67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180ABC20-0945-4875-8F3C-413891F345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15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D342F71B-6D22-4605-9711-5F721748A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6920B910-4222-4964-9E24-5CFDFD4D7D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2D3533F8-C9B7-4EF1-9E4C-DCDF13C90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0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05118C9A-7C44-42C4-AE6D-4DC99C288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63B24539-72A4-43D8-B1AD-CE50B9AFBA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9C4992FE-08A4-4CC6-BAE0-A24040A66F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E8BA764-20DC-4BDB-9492-BE8AE6584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622B107E-0C6B-4B26-8BBF-B37CD16FF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2C064482-EBB2-4AE4-90D6-B9D38713D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3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B054A7C4-F628-4139-8287-FE32F67A5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62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6B6307D2-DB46-4BAE-8343-4C8771C3F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4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BCCAA706-3684-465A-9DED-34792F6A8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988DA69B-0816-48C6-8FF3-757DFAF267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A823B1AD-A7D0-488C-B01E-E2C03B9567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1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AFE5F1A2-FD54-4CCA-AC57-36A0363C8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43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E742296E-625C-49B9-8EE4-6082F2D8B4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5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A945BFE1-382E-4673-9792-630C88B259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B0919C8C-4C6E-4E62-9436-BEAC341E46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95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355A6174-7F28-450C-B78A-14F2EEF9F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E38A7A91-39BF-4919-82A0-0A67040B33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4"/>
  <sheetViews>
    <sheetView topLeftCell="E40" workbookViewId="0">
      <selection activeCell="M54" sqref="M54"/>
    </sheetView>
  </sheetViews>
  <sheetFormatPr defaultRowHeight="12.75" x14ac:dyDescent="0.2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9" width="12" bestFit="1" customWidth="1"/>
    <col min="10" max="10" width="19" bestFit="1" customWidth="1"/>
    <col min="11" max="11" width="5" bestFit="1" customWidth="1"/>
    <col min="12" max="12" width="14" bestFit="1" customWidth="1"/>
    <col min="13" max="13" width="12" bestFit="1" customWidth="1"/>
    <col min="14" max="15" width="12" customWidth="1"/>
    <col min="16" max="16" width="18" bestFit="1" customWidth="1"/>
    <col min="17" max="17" width="12" bestFit="1" customWidth="1"/>
    <col min="18" max="18" width="42" bestFit="1" customWidth="1"/>
    <col min="19" max="19" width="21" bestFit="1" customWidth="1"/>
    <col min="20" max="20" width="6" bestFit="1" customWidth="1"/>
    <col min="21" max="21" width="22" bestFit="1" customWidth="1"/>
    <col min="22" max="22" width="13" bestFit="1" customWidth="1"/>
    <col min="23" max="23" width="12" bestFit="1" customWidth="1"/>
    <col min="24" max="24" width="11" bestFit="1" customWidth="1"/>
    <col min="25" max="25" width="15" bestFit="1" customWidth="1"/>
    <col min="26" max="26" width="19" bestFit="1" customWidth="1"/>
    <col min="27" max="27" width="15" bestFit="1" customWidth="1"/>
    <col min="28" max="28" width="18" bestFit="1" customWidth="1"/>
    <col min="29" max="29" width="19" bestFit="1" customWidth="1"/>
    <col min="30" max="30" width="16" bestFit="1" customWidth="1"/>
    <col min="31" max="31" width="14" bestFit="1" customWidth="1"/>
  </cols>
  <sheetData>
    <row r="1" spans="1:31" ht="51" x14ac:dyDescent="0.2">
      <c r="A1" s="9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9" t="s">
        <v>125</v>
      </c>
      <c r="H1" s="9" t="s">
        <v>126</v>
      </c>
      <c r="I1" s="9" t="s">
        <v>127</v>
      </c>
      <c r="J1" s="1" t="s">
        <v>128</v>
      </c>
      <c r="K1" s="9" t="s">
        <v>129</v>
      </c>
      <c r="L1" s="9" t="s">
        <v>130</v>
      </c>
      <c r="M1" s="9" t="s">
        <v>131</v>
      </c>
      <c r="N1" s="9" t="s">
        <v>148</v>
      </c>
      <c r="O1" s="9" t="s">
        <v>149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9" t="s">
        <v>147</v>
      </c>
    </row>
    <row r="2" spans="1:31" ht="14.1" customHeight="1" x14ac:dyDescent="0.2">
      <c r="A2" s="2" t="s">
        <v>0</v>
      </c>
      <c r="B2" t="s">
        <v>1</v>
      </c>
      <c r="C2" t="s">
        <v>2</v>
      </c>
      <c r="D2" s="3">
        <v>44259</v>
      </c>
      <c r="E2" s="3">
        <v>44259</v>
      </c>
      <c r="F2" s="3">
        <v>44271</v>
      </c>
      <c r="G2" t="s">
        <v>3</v>
      </c>
      <c r="H2" t="s">
        <v>4</v>
      </c>
      <c r="I2" s="4">
        <v>-600000</v>
      </c>
      <c r="J2" t="s">
        <v>5</v>
      </c>
      <c r="K2" t="s">
        <v>6</v>
      </c>
      <c r="L2" s="4">
        <v>-50873966.530000001</v>
      </c>
      <c r="M2" s="4">
        <v>-600000</v>
      </c>
      <c r="N2" s="10" t="str">
        <f>IF(M2="","",IF(M2&lt;0,-M2&amp;"_"&amp;COUNTIF(M$2:M2,M2),M2&amp;"_"&amp;COUNTIF(M$2:M2,M2)))</f>
        <v>600000_1</v>
      </c>
      <c r="O2" s="11" t="str">
        <f t="shared" ref="O2" si="0">IF(COUNTIF(N:N,N2)=2,"x","")</f>
        <v/>
      </c>
      <c r="P2" t="s">
        <v>7</v>
      </c>
      <c r="Q2" t="s">
        <v>8</v>
      </c>
      <c r="R2" t="s">
        <v>9</v>
      </c>
      <c r="S2" t="s">
        <v>0</v>
      </c>
      <c r="T2" t="s">
        <v>10</v>
      </c>
      <c r="U2" t="s">
        <v>11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ht="14.1" customHeight="1" x14ac:dyDescent="0.2">
      <c r="A3" s="2" t="s">
        <v>0</v>
      </c>
      <c r="B3" t="s">
        <v>1</v>
      </c>
      <c r="C3" t="s">
        <v>12</v>
      </c>
      <c r="D3" s="3">
        <v>44286</v>
      </c>
      <c r="E3" s="3">
        <v>44286</v>
      </c>
      <c r="F3" s="3">
        <v>44290</v>
      </c>
      <c r="G3" t="s">
        <v>3</v>
      </c>
      <c r="H3" t="s">
        <v>4</v>
      </c>
      <c r="I3" s="4">
        <v>-600000</v>
      </c>
      <c r="J3" t="s">
        <v>5</v>
      </c>
      <c r="K3" t="s">
        <v>6</v>
      </c>
      <c r="L3" s="4">
        <v>-50873966.549999997</v>
      </c>
      <c r="M3" s="4">
        <v>-600000</v>
      </c>
      <c r="N3" s="10" t="str">
        <f>IF(M3="","",IF(M3&lt;0,-M3&amp;"_"&amp;COUNTIF(M$2:M3,M3),M3&amp;"_"&amp;COUNTIF(M$2:M3,M3)))</f>
        <v>600000_2</v>
      </c>
      <c r="O3" s="11" t="str">
        <f t="shared" ref="O3:O54" si="1">IF(COUNTIF(N:N,N3)=2,"x","")</f>
        <v/>
      </c>
      <c r="P3" t="s">
        <v>13</v>
      </c>
      <c r="Q3" t="s">
        <v>8</v>
      </c>
      <c r="R3" t="s">
        <v>14</v>
      </c>
      <c r="S3" t="s">
        <v>0</v>
      </c>
      <c r="T3" t="s">
        <v>10</v>
      </c>
      <c r="U3" t="s">
        <v>15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ht="14.1" customHeight="1" x14ac:dyDescent="0.2">
      <c r="A4" s="2" t="s">
        <v>0</v>
      </c>
      <c r="B4" t="s">
        <v>1</v>
      </c>
      <c r="C4" t="s">
        <v>16</v>
      </c>
      <c r="D4" s="3">
        <v>44318</v>
      </c>
      <c r="E4" s="3">
        <v>44318</v>
      </c>
      <c r="F4" s="3">
        <v>44335</v>
      </c>
      <c r="G4" t="s">
        <v>3</v>
      </c>
      <c r="H4" t="s">
        <v>4</v>
      </c>
      <c r="I4" s="4">
        <v>-116560</v>
      </c>
      <c r="J4" t="s">
        <v>17</v>
      </c>
      <c r="K4" t="s">
        <v>6</v>
      </c>
      <c r="L4" s="4">
        <v>-9868472.9399999995</v>
      </c>
      <c r="M4" s="4">
        <v>-116560</v>
      </c>
      <c r="N4" s="10" t="str">
        <f>IF(M4="","",IF(M4&lt;0,-M4&amp;"_"&amp;COUNTIF(M$2:M4,M4),M4&amp;"_"&amp;COUNTIF(M$2:M4,M4)))</f>
        <v>116560_1</v>
      </c>
      <c r="O4" s="11" t="str">
        <f t="shared" si="1"/>
        <v/>
      </c>
      <c r="P4" t="s">
        <v>7</v>
      </c>
      <c r="Q4" t="s">
        <v>8</v>
      </c>
      <c r="R4" t="s">
        <v>18</v>
      </c>
      <c r="S4" t="s">
        <v>0</v>
      </c>
      <c r="T4" t="s">
        <v>10</v>
      </c>
      <c r="U4" t="s">
        <v>19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ht="14.1" customHeight="1" x14ac:dyDescent="0.2">
      <c r="A5" s="2" t="s">
        <v>0</v>
      </c>
      <c r="B5" t="s">
        <v>1</v>
      </c>
      <c r="C5" t="s">
        <v>20</v>
      </c>
      <c r="D5" s="3">
        <v>44321</v>
      </c>
      <c r="E5" s="3">
        <v>44321</v>
      </c>
      <c r="F5" s="3">
        <v>44338</v>
      </c>
      <c r="G5" t="s">
        <v>3</v>
      </c>
      <c r="H5" t="s">
        <v>4</v>
      </c>
      <c r="I5" s="4">
        <v>24999</v>
      </c>
      <c r="J5" t="s">
        <v>17</v>
      </c>
      <c r="K5" t="s">
        <v>6</v>
      </c>
      <c r="L5" s="4">
        <v>2116523.29</v>
      </c>
      <c r="M5" s="4">
        <v>24999</v>
      </c>
      <c r="N5" s="10" t="str">
        <f>IF(M5="","",IF(M5&lt;0,-M5&amp;"_"&amp;COUNTIF(M$2:M5,M5),M5&amp;"_"&amp;COUNTIF(M$2:M5,M5)))</f>
        <v>24999_1</v>
      </c>
      <c r="O5" s="11" t="str">
        <f t="shared" si="1"/>
        <v/>
      </c>
      <c r="P5" t="s">
        <v>21</v>
      </c>
      <c r="Q5" t="s">
        <v>8</v>
      </c>
      <c r="R5" t="s">
        <v>22</v>
      </c>
      <c r="S5" t="s">
        <v>0</v>
      </c>
      <c r="T5" t="s">
        <v>10</v>
      </c>
      <c r="U5" t="s">
        <v>23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ht="14.1" customHeight="1" x14ac:dyDescent="0.2">
      <c r="A6" s="2" t="s">
        <v>0</v>
      </c>
      <c r="B6" t="s">
        <v>1</v>
      </c>
      <c r="C6" t="s">
        <v>24</v>
      </c>
      <c r="D6" s="3">
        <v>44322</v>
      </c>
      <c r="E6" s="3">
        <v>44322</v>
      </c>
      <c r="F6" s="3">
        <v>44339</v>
      </c>
      <c r="G6" t="s">
        <v>3</v>
      </c>
      <c r="H6" t="s">
        <v>4</v>
      </c>
      <c r="I6" s="4">
        <v>293</v>
      </c>
      <c r="J6" t="s">
        <v>25</v>
      </c>
      <c r="K6" t="s">
        <v>6</v>
      </c>
      <c r="L6" s="4">
        <v>24806.65</v>
      </c>
      <c r="M6" s="4">
        <v>293</v>
      </c>
      <c r="N6" s="10" t="str">
        <f>IF(M6="","",IF(M6&lt;0,-M6&amp;"_"&amp;COUNTIF(M$2:M6,M6),M6&amp;"_"&amp;COUNTIF(M$2:M6,M6)))</f>
        <v>293_1</v>
      </c>
      <c r="O6" s="11" t="str">
        <f t="shared" si="1"/>
        <v/>
      </c>
      <c r="P6" t="s">
        <v>26</v>
      </c>
      <c r="Q6" t="s">
        <v>8</v>
      </c>
      <c r="R6" t="s">
        <v>22</v>
      </c>
      <c r="S6" t="s">
        <v>0</v>
      </c>
      <c r="T6" t="s">
        <v>10</v>
      </c>
      <c r="U6" t="s">
        <v>27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ht="14.1" customHeight="1" x14ac:dyDescent="0.2">
      <c r="A7" s="2" t="s">
        <v>0</v>
      </c>
      <c r="B7" t="s">
        <v>1</v>
      </c>
      <c r="C7" t="s">
        <v>28</v>
      </c>
      <c r="D7" s="3">
        <v>44327</v>
      </c>
      <c r="E7" s="3">
        <v>44327</v>
      </c>
      <c r="F7" s="3">
        <v>44339</v>
      </c>
      <c r="G7" t="s">
        <v>3</v>
      </c>
      <c r="H7" t="s">
        <v>4</v>
      </c>
      <c r="I7" s="4">
        <v>50371</v>
      </c>
      <c r="J7" t="s">
        <v>17</v>
      </c>
      <c r="K7" t="s">
        <v>6</v>
      </c>
      <c r="L7" s="4">
        <v>4264626.38</v>
      </c>
      <c r="M7" s="4">
        <v>50371</v>
      </c>
      <c r="N7" s="10" t="str">
        <f>IF(M7="","",IF(M7&lt;0,-M7&amp;"_"&amp;COUNTIF(M$2:M7,M7),M7&amp;"_"&amp;COUNTIF(M$2:M7,M7)))</f>
        <v>50371_1</v>
      </c>
      <c r="O7" s="11" t="str">
        <f t="shared" si="1"/>
        <v/>
      </c>
      <c r="P7" t="s">
        <v>29</v>
      </c>
      <c r="Q7" t="s">
        <v>8</v>
      </c>
      <c r="R7" t="s">
        <v>22</v>
      </c>
      <c r="S7" t="s">
        <v>0</v>
      </c>
      <c r="T7" t="s">
        <v>10</v>
      </c>
      <c r="U7" t="s">
        <v>30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ht="14.1" customHeight="1" x14ac:dyDescent="0.2">
      <c r="A8" s="2" t="s">
        <v>0</v>
      </c>
      <c r="B8" t="s">
        <v>1</v>
      </c>
      <c r="C8" t="s">
        <v>31</v>
      </c>
      <c r="D8" s="3">
        <v>44327</v>
      </c>
      <c r="E8" s="3">
        <v>44327</v>
      </c>
      <c r="F8" s="3">
        <v>44339</v>
      </c>
      <c r="G8" t="s">
        <v>3</v>
      </c>
      <c r="H8" t="s">
        <v>4</v>
      </c>
      <c r="I8" s="4">
        <v>1261</v>
      </c>
      <c r="J8" t="s">
        <v>17</v>
      </c>
      <c r="K8" t="s">
        <v>6</v>
      </c>
      <c r="L8" s="4">
        <v>106761.71</v>
      </c>
      <c r="M8" s="4">
        <v>1261</v>
      </c>
      <c r="N8" s="10" t="str">
        <f>IF(M8="","",IF(M8&lt;0,-M8&amp;"_"&amp;COUNTIF(M$2:M8,M8),M8&amp;"_"&amp;COUNTIF(M$2:M8,M8)))</f>
        <v>1261_1</v>
      </c>
      <c r="O8" s="11" t="str">
        <f t="shared" si="1"/>
        <v/>
      </c>
      <c r="P8" t="s">
        <v>32</v>
      </c>
      <c r="Q8" t="s">
        <v>8</v>
      </c>
      <c r="R8" t="s">
        <v>22</v>
      </c>
      <c r="S8" t="s">
        <v>0</v>
      </c>
      <c r="T8" t="s">
        <v>10</v>
      </c>
      <c r="U8" t="s">
        <v>33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ht="14.1" customHeight="1" x14ac:dyDescent="0.2">
      <c r="A9" s="2" t="s">
        <v>0</v>
      </c>
      <c r="B9" t="s">
        <v>1</v>
      </c>
      <c r="C9" t="s">
        <v>34</v>
      </c>
      <c r="D9" s="3">
        <v>44334</v>
      </c>
      <c r="E9" s="3">
        <v>44334</v>
      </c>
      <c r="F9" s="3">
        <v>44339</v>
      </c>
      <c r="G9" t="s">
        <v>3</v>
      </c>
      <c r="H9" t="s">
        <v>4</v>
      </c>
      <c r="I9" s="4">
        <v>-161085</v>
      </c>
      <c r="J9" t="s">
        <v>35</v>
      </c>
      <c r="K9" t="s">
        <v>6</v>
      </c>
      <c r="L9" s="4">
        <v>-13658363.689999999</v>
      </c>
      <c r="M9" s="4">
        <v>-161085</v>
      </c>
      <c r="N9" s="10" t="str">
        <f>IF(M9="","",IF(M9&lt;0,-M9&amp;"_"&amp;COUNTIF(M$2:M9,M9),M9&amp;"_"&amp;COUNTIF(M$2:M9,M9)))</f>
        <v>161085_1</v>
      </c>
      <c r="O9" s="11" t="str">
        <f t="shared" si="1"/>
        <v/>
      </c>
      <c r="P9" t="s">
        <v>7</v>
      </c>
      <c r="Q9" t="s">
        <v>8</v>
      </c>
      <c r="R9" t="s">
        <v>36</v>
      </c>
      <c r="S9" t="s">
        <v>0</v>
      </c>
      <c r="T9" t="s">
        <v>10</v>
      </c>
      <c r="U9" t="s">
        <v>37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ht="14.1" customHeight="1" x14ac:dyDescent="0.2">
      <c r="A10" s="2" t="s">
        <v>0</v>
      </c>
      <c r="B10" t="s">
        <v>1</v>
      </c>
      <c r="C10" t="s">
        <v>38</v>
      </c>
      <c r="D10" s="3">
        <v>44334</v>
      </c>
      <c r="E10" s="3">
        <v>44334</v>
      </c>
      <c r="F10" s="3">
        <v>44340</v>
      </c>
      <c r="G10" t="s">
        <v>3</v>
      </c>
      <c r="H10" t="s">
        <v>4</v>
      </c>
      <c r="I10" s="4">
        <v>146</v>
      </c>
      <c r="J10" t="s">
        <v>39</v>
      </c>
      <c r="K10" t="s">
        <v>6</v>
      </c>
      <c r="L10" s="4">
        <v>12379.33</v>
      </c>
      <c r="M10" s="4">
        <v>146</v>
      </c>
      <c r="N10" s="10" t="str">
        <f>IF(M10="","",IF(M10&lt;0,-M10&amp;"_"&amp;COUNTIF(M$2:M10,M10),M10&amp;"_"&amp;COUNTIF(M$2:M10,M10)))</f>
        <v>146_1</v>
      </c>
      <c r="O10" s="11" t="str">
        <f t="shared" si="1"/>
        <v/>
      </c>
      <c r="P10" t="s">
        <v>40</v>
      </c>
      <c r="Q10" t="s">
        <v>8</v>
      </c>
      <c r="R10" t="s">
        <v>41</v>
      </c>
      <c r="S10" t="s">
        <v>0</v>
      </c>
      <c r="T10" t="s">
        <v>10</v>
      </c>
      <c r="U10" t="s">
        <v>42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ht="14.1" customHeight="1" x14ac:dyDescent="0.2">
      <c r="A11" s="2" t="s">
        <v>0</v>
      </c>
      <c r="B11" t="s">
        <v>1</v>
      </c>
      <c r="C11" t="s">
        <v>38</v>
      </c>
      <c r="D11" s="3">
        <v>44334</v>
      </c>
      <c r="E11" s="3">
        <v>44334</v>
      </c>
      <c r="F11" s="3">
        <v>44340</v>
      </c>
      <c r="G11" t="s">
        <v>3</v>
      </c>
      <c r="H11" t="s">
        <v>4</v>
      </c>
      <c r="I11" s="4">
        <v>29763</v>
      </c>
      <c r="J11" t="s">
        <v>17</v>
      </c>
      <c r="K11" t="s">
        <v>6</v>
      </c>
      <c r="L11" s="4">
        <v>2519864.11</v>
      </c>
      <c r="M11" s="4">
        <v>29763</v>
      </c>
      <c r="N11" s="10" t="str">
        <f>IF(M11="","",IF(M11&lt;0,-M11&amp;"_"&amp;COUNTIF(M$2:M11,M11),M11&amp;"_"&amp;COUNTIF(M$2:M11,M11)))</f>
        <v>29763_1</v>
      </c>
      <c r="O11" s="11" t="str">
        <f t="shared" si="1"/>
        <v/>
      </c>
      <c r="P11" t="s">
        <v>40</v>
      </c>
      <c r="Q11" t="s">
        <v>8</v>
      </c>
      <c r="R11" t="s">
        <v>22</v>
      </c>
      <c r="S11" t="s">
        <v>0</v>
      </c>
      <c r="T11" t="s">
        <v>10</v>
      </c>
      <c r="U11" t="s">
        <v>42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s="3"/>
      <c r="AB11" t="s">
        <v>0</v>
      </c>
      <c r="AC11" t="s">
        <v>0</v>
      </c>
      <c r="AD11" t="s">
        <v>0</v>
      </c>
      <c r="AE11" s="4">
        <v>0</v>
      </c>
    </row>
    <row r="12" spans="1:31" ht="14.1" customHeight="1" x14ac:dyDescent="0.2">
      <c r="A12" s="2" t="s">
        <v>0</v>
      </c>
      <c r="B12" t="s">
        <v>1</v>
      </c>
      <c r="C12" t="s">
        <v>43</v>
      </c>
      <c r="D12" s="3">
        <v>44336</v>
      </c>
      <c r="E12" s="3">
        <v>44336</v>
      </c>
      <c r="F12" s="3">
        <v>44340</v>
      </c>
      <c r="G12" t="s">
        <v>3</v>
      </c>
      <c r="H12" t="s">
        <v>4</v>
      </c>
      <c r="I12" s="4">
        <v>34012</v>
      </c>
      <c r="J12" t="s">
        <v>35</v>
      </c>
      <c r="K12" t="s">
        <v>6</v>
      </c>
      <c r="L12" s="4">
        <v>2883870.42</v>
      </c>
      <c r="M12" s="4">
        <v>34012</v>
      </c>
      <c r="N12" s="10" t="str">
        <f>IF(M12="","",IF(M12&lt;0,-M12&amp;"_"&amp;COUNTIF(M$2:M12,M12),M12&amp;"_"&amp;COUNTIF(M$2:M12,M12)))</f>
        <v>34012_1</v>
      </c>
      <c r="O12" s="11" t="str">
        <f t="shared" si="1"/>
        <v/>
      </c>
      <c r="P12" t="s">
        <v>44</v>
      </c>
      <c r="Q12" t="s">
        <v>8</v>
      </c>
      <c r="R12" t="s">
        <v>45</v>
      </c>
      <c r="S12" t="s">
        <v>0</v>
      </c>
      <c r="T12" t="s">
        <v>10</v>
      </c>
      <c r="U12" t="s">
        <v>46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s="3"/>
      <c r="AB12" t="s">
        <v>0</v>
      </c>
      <c r="AC12" t="s">
        <v>0</v>
      </c>
      <c r="AD12" t="s">
        <v>0</v>
      </c>
      <c r="AE12" s="4">
        <v>0</v>
      </c>
    </row>
    <row r="13" spans="1:31" ht="14.1" customHeight="1" x14ac:dyDescent="0.2">
      <c r="A13" s="2" t="s">
        <v>0</v>
      </c>
      <c r="B13" t="s">
        <v>1</v>
      </c>
      <c r="C13" t="s">
        <v>47</v>
      </c>
      <c r="D13" s="3">
        <v>44340</v>
      </c>
      <c r="E13" s="3">
        <v>44340</v>
      </c>
      <c r="F13" s="3">
        <v>44342</v>
      </c>
      <c r="G13" t="s">
        <v>3</v>
      </c>
      <c r="H13" t="s">
        <v>4</v>
      </c>
      <c r="I13" s="4">
        <v>667</v>
      </c>
      <c r="J13" t="s">
        <v>5</v>
      </c>
      <c r="K13" t="s">
        <v>6</v>
      </c>
      <c r="L13" s="4">
        <v>56554.89</v>
      </c>
      <c r="M13" s="4">
        <v>667</v>
      </c>
      <c r="N13" s="10" t="str">
        <f>IF(M13="","",IF(M13&lt;0,-M13&amp;"_"&amp;COUNTIF(M$2:M13,M13),M13&amp;"_"&amp;COUNTIF(M$2:M13,M13)))</f>
        <v>667_1</v>
      </c>
      <c r="O13" s="11" t="str">
        <f t="shared" si="1"/>
        <v/>
      </c>
      <c r="P13" t="s">
        <v>48</v>
      </c>
      <c r="Q13" t="s">
        <v>8</v>
      </c>
      <c r="R13" t="s">
        <v>41</v>
      </c>
      <c r="S13" t="s">
        <v>0</v>
      </c>
      <c r="T13" t="s">
        <v>10</v>
      </c>
      <c r="U13" t="s">
        <v>49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ht="14.1" customHeight="1" x14ac:dyDescent="0.2">
      <c r="A14" s="2" t="s">
        <v>0</v>
      </c>
      <c r="B14" t="s">
        <v>1</v>
      </c>
      <c r="C14" t="s">
        <v>50</v>
      </c>
      <c r="D14" s="3">
        <v>44343</v>
      </c>
      <c r="E14" s="3">
        <v>44343</v>
      </c>
      <c r="F14" s="3">
        <v>44345</v>
      </c>
      <c r="G14" t="s">
        <v>3</v>
      </c>
      <c r="H14" t="s">
        <v>4</v>
      </c>
      <c r="I14" s="4">
        <v>18689</v>
      </c>
      <c r="J14" t="s">
        <v>5</v>
      </c>
      <c r="K14" t="s">
        <v>6</v>
      </c>
      <c r="L14" s="4">
        <v>1584639.27</v>
      </c>
      <c r="M14" s="4">
        <v>18689</v>
      </c>
      <c r="N14" s="10" t="str">
        <f>IF(M14="","",IF(M14&lt;0,-M14&amp;"_"&amp;COUNTIF(M$2:M14,M14),M14&amp;"_"&amp;COUNTIF(M$2:M14,M14)))</f>
        <v>18689_1</v>
      </c>
      <c r="O14" s="11" t="str">
        <f t="shared" si="1"/>
        <v/>
      </c>
      <c r="P14" t="s">
        <v>51</v>
      </c>
      <c r="Q14" t="s">
        <v>8</v>
      </c>
      <c r="R14" t="s">
        <v>41</v>
      </c>
      <c r="S14" t="s">
        <v>0</v>
      </c>
      <c r="T14" t="s">
        <v>10</v>
      </c>
      <c r="U14" t="s">
        <v>52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ht="14.1" customHeight="1" x14ac:dyDescent="0.2">
      <c r="A15" s="2" t="s">
        <v>0</v>
      </c>
      <c r="B15" t="s">
        <v>1</v>
      </c>
      <c r="C15" t="s">
        <v>50</v>
      </c>
      <c r="D15" s="3">
        <v>44343</v>
      </c>
      <c r="E15" s="3">
        <v>44343</v>
      </c>
      <c r="F15" s="3">
        <v>44345</v>
      </c>
      <c r="G15" t="s">
        <v>3</v>
      </c>
      <c r="H15" t="s">
        <v>4</v>
      </c>
      <c r="I15" s="4">
        <v>43370</v>
      </c>
      <c r="J15" t="s">
        <v>35</v>
      </c>
      <c r="K15" t="s">
        <v>6</v>
      </c>
      <c r="L15" s="4">
        <v>3677333.29</v>
      </c>
      <c r="M15" s="4">
        <v>43370</v>
      </c>
      <c r="N15" s="10" t="str">
        <f>IF(M15="","",IF(M15&lt;0,-M15&amp;"_"&amp;COUNTIF(M$2:M15,M15),M15&amp;"_"&amp;COUNTIF(M$2:M15,M15)))</f>
        <v>43370_1</v>
      </c>
      <c r="O15" s="11" t="str">
        <f t="shared" si="1"/>
        <v/>
      </c>
      <c r="P15" t="s">
        <v>51</v>
      </c>
      <c r="Q15" t="s">
        <v>8</v>
      </c>
      <c r="R15" t="s">
        <v>45</v>
      </c>
      <c r="S15" t="s">
        <v>0</v>
      </c>
      <c r="T15" t="s">
        <v>10</v>
      </c>
      <c r="U15" t="s">
        <v>52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ht="14.1" customHeight="1" x14ac:dyDescent="0.2">
      <c r="A16" s="2" t="s">
        <v>0</v>
      </c>
      <c r="B16" t="s">
        <v>1</v>
      </c>
      <c r="C16" t="s">
        <v>50</v>
      </c>
      <c r="D16" s="3">
        <v>44343</v>
      </c>
      <c r="E16" s="3">
        <v>44343</v>
      </c>
      <c r="F16" s="3">
        <v>44345</v>
      </c>
      <c r="G16" t="s">
        <v>3</v>
      </c>
      <c r="H16" t="s">
        <v>4</v>
      </c>
      <c r="I16" s="4">
        <v>2280</v>
      </c>
      <c r="J16" t="s">
        <v>17</v>
      </c>
      <c r="K16" t="s">
        <v>6</v>
      </c>
      <c r="L16" s="4">
        <v>193034.65</v>
      </c>
      <c r="M16" s="4">
        <v>2280</v>
      </c>
      <c r="N16" s="10" t="str">
        <f>IF(M16="","",IF(M16&lt;0,-M16&amp;"_"&amp;COUNTIF(M$2:M16,M16),M16&amp;"_"&amp;COUNTIF(M$2:M16,M16)))</f>
        <v>2280_1</v>
      </c>
      <c r="O16" s="11" t="str">
        <f t="shared" si="1"/>
        <v/>
      </c>
      <c r="P16" t="s">
        <v>51</v>
      </c>
      <c r="Q16" t="s">
        <v>8</v>
      </c>
      <c r="R16" t="s">
        <v>22</v>
      </c>
      <c r="S16" t="s">
        <v>0</v>
      </c>
      <c r="T16" t="s">
        <v>10</v>
      </c>
      <c r="U16" t="s">
        <v>52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s="3"/>
      <c r="AB16" t="s">
        <v>0</v>
      </c>
      <c r="AC16" t="s">
        <v>0</v>
      </c>
      <c r="AD16" t="s">
        <v>0</v>
      </c>
      <c r="AE16" s="4">
        <v>0</v>
      </c>
    </row>
    <row r="17" spans="1:31" ht="14.1" customHeight="1" x14ac:dyDescent="0.2">
      <c r="A17" s="2" t="s">
        <v>0</v>
      </c>
      <c r="B17" t="s">
        <v>1</v>
      </c>
      <c r="C17" t="s">
        <v>53</v>
      </c>
      <c r="D17" s="3">
        <v>44346</v>
      </c>
      <c r="E17" s="3">
        <v>44346</v>
      </c>
      <c r="F17" s="3">
        <v>44347</v>
      </c>
      <c r="G17" t="s">
        <v>3</v>
      </c>
      <c r="H17" t="s">
        <v>4</v>
      </c>
      <c r="I17" s="4">
        <v>176730</v>
      </c>
      <c r="J17" t="s">
        <v>5</v>
      </c>
      <c r="K17" t="s">
        <v>6</v>
      </c>
      <c r="L17" s="4">
        <v>14984926.84</v>
      </c>
      <c r="M17" s="4">
        <v>176730</v>
      </c>
      <c r="N17" s="10" t="str">
        <f>IF(M17="","",IF(M17&lt;0,-M17&amp;"_"&amp;COUNTIF(M$2:M17,M17),M17&amp;"_"&amp;COUNTIF(M$2:M17,M17)))</f>
        <v>176730_1</v>
      </c>
      <c r="O17" s="11" t="str">
        <f t="shared" si="1"/>
        <v/>
      </c>
      <c r="P17" t="s">
        <v>54</v>
      </c>
      <c r="Q17" t="s">
        <v>8</v>
      </c>
      <c r="R17" t="s">
        <v>41</v>
      </c>
      <c r="S17" t="s">
        <v>0</v>
      </c>
      <c r="T17" t="s">
        <v>10</v>
      </c>
      <c r="U17" t="s">
        <v>55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s="3"/>
      <c r="AB17" t="s">
        <v>0</v>
      </c>
      <c r="AC17" t="s">
        <v>0</v>
      </c>
      <c r="AD17" t="s">
        <v>0</v>
      </c>
      <c r="AE17" s="4">
        <v>0</v>
      </c>
    </row>
    <row r="18" spans="1:31" ht="14.1" customHeight="1" x14ac:dyDescent="0.2">
      <c r="A18" s="2" t="s">
        <v>0</v>
      </c>
      <c r="B18" t="s">
        <v>1</v>
      </c>
      <c r="C18" t="s">
        <v>53</v>
      </c>
      <c r="D18" s="3">
        <v>44346</v>
      </c>
      <c r="E18" s="3">
        <v>44346</v>
      </c>
      <c r="F18" s="3">
        <v>44347</v>
      </c>
      <c r="G18" t="s">
        <v>3</v>
      </c>
      <c r="H18" t="s">
        <v>4</v>
      </c>
      <c r="I18" s="4">
        <v>10074</v>
      </c>
      <c r="J18" t="s">
        <v>35</v>
      </c>
      <c r="K18" t="s">
        <v>6</v>
      </c>
      <c r="L18" s="4">
        <v>854172.37</v>
      </c>
      <c r="M18" s="4">
        <v>10074</v>
      </c>
      <c r="N18" s="10" t="str">
        <f>IF(M18="","",IF(M18&lt;0,-M18&amp;"_"&amp;COUNTIF(M$2:M18,M18),M18&amp;"_"&amp;COUNTIF(M$2:M18,M18)))</f>
        <v>10074_1</v>
      </c>
      <c r="O18" s="11" t="str">
        <f t="shared" si="1"/>
        <v/>
      </c>
      <c r="P18" t="s">
        <v>54</v>
      </c>
      <c r="Q18" t="s">
        <v>8</v>
      </c>
      <c r="R18" t="s">
        <v>45</v>
      </c>
      <c r="S18" t="s">
        <v>0</v>
      </c>
      <c r="T18" t="s">
        <v>10</v>
      </c>
      <c r="U18" t="s">
        <v>55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s="3"/>
      <c r="AB18" t="s">
        <v>0</v>
      </c>
      <c r="AC18" t="s">
        <v>0</v>
      </c>
      <c r="AD18" t="s">
        <v>0</v>
      </c>
      <c r="AE18" s="4">
        <v>0</v>
      </c>
    </row>
    <row r="19" spans="1:31" ht="14.1" customHeight="1" x14ac:dyDescent="0.2">
      <c r="A19" s="2" t="s">
        <v>0</v>
      </c>
      <c r="B19" t="s">
        <v>1</v>
      </c>
      <c r="C19" t="s">
        <v>56</v>
      </c>
      <c r="D19" s="3">
        <v>44347</v>
      </c>
      <c r="E19" s="3">
        <v>44347</v>
      </c>
      <c r="F19" s="3">
        <v>44348</v>
      </c>
      <c r="G19" t="s">
        <v>3</v>
      </c>
      <c r="H19" t="s">
        <v>4</v>
      </c>
      <c r="I19" s="4">
        <v>29877</v>
      </c>
      <c r="J19" t="s">
        <v>5</v>
      </c>
      <c r="K19" t="s">
        <v>6</v>
      </c>
      <c r="L19" s="4">
        <v>2533269.16</v>
      </c>
      <c r="M19" s="4">
        <v>29877</v>
      </c>
      <c r="N19" s="10" t="str">
        <f>IF(M19="","",IF(M19&lt;0,-M19&amp;"_"&amp;COUNTIF(M$2:M19,M19),M19&amp;"_"&amp;COUNTIF(M$2:M19,M19)))</f>
        <v>29877_1</v>
      </c>
      <c r="O19" s="11" t="str">
        <f t="shared" si="1"/>
        <v/>
      </c>
      <c r="P19" t="s">
        <v>57</v>
      </c>
      <c r="Q19" t="s">
        <v>8</v>
      </c>
      <c r="R19" t="s">
        <v>41</v>
      </c>
      <c r="S19" t="s">
        <v>0</v>
      </c>
      <c r="T19" t="s">
        <v>10</v>
      </c>
      <c r="U19" t="s">
        <v>58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s="3"/>
      <c r="AB19" t="s">
        <v>0</v>
      </c>
      <c r="AC19" t="s">
        <v>0</v>
      </c>
      <c r="AD19" t="s">
        <v>0</v>
      </c>
      <c r="AE19" s="4">
        <v>0</v>
      </c>
    </row>
    <row r="20" spans="1:31" ht="14.1" customHeight="1" x14ac:dyDescent="0.2">
      <c r="A20" s="2" t="s">
        <v>0</v>
      </c>
      <c r="B20" t="s">
        <v>1</v>
      </c>
      <c r="C20" t="s">
        <v>56</v>
      </c>
      <c r="D20" s="3">
        <v>44347</v>
      </c>
      <c r="E20" s="3">
        <v>44347</v>
      </c>
      <c r="F20" s="3">
        <v>44348</v>
      </c>
      <c r="G20" t="s">
        <v>3</v>
      </c>
      <c r="H20" t="s">
        <v>4</v>
      </c>
      <c r="I20" s="4">
        <v>34371</v>
      </c>
      <c r="J20" t="s">
        <v>35</v>
      </c>
      <c r="K20" t="s">
        <v>6</v>
      </c>
      <c r="L20" s="4">
        <v>2914309.95</v>
      </c>
      <c r="M20" s="4">
        <v>34371</v>
      </c>
      <c r="N20" s="10" t="str">
        <f>IF(M20="","",IF(M20&lt;0,-M20&amp;"_"&amp;COUNTIF(M$2:M20,M20),M20&amp;"_"&amp;COUNTIF(M$2:M20,M20)))</f>
        <v>34371_1</v>
      </c>
      <c r="O20" s="11" t="str">
        <f t="shared" si="1"/>
        <v/>
      </c>
      <c r="P20" t="s">
        <v>57</v>
      </c>
      <c r="Q20" t="s">
        <v>8</v>
      </c>
      <c r="R20" t="s">
        <v>45</v>
      </c>
      <c r="S20" t="s">
        <v>0</v>
      </c>
      <c r="T20" t="s">
        <v>10</v>
      </c>
      <c r="U20" t="s">
        <v>58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s="3"/>
      <c r="AB20" t="s">
        <v>0</v>
      </c>
      <c r="AC20" t="s">
        <v>0</v>
      </c>
      <c r="AD20" t="s">
        <v>0</v>
      </c>
      <c r="AE20" s="4">
        <v>0</v>
      </c>
    </row>
    <row r="21" spans="1:31" ht="14.1" customHeight="1" x14ac:dyDescent="0.2">
      <c r="A21" s="2" t="s">
        <v>0</v>
      </c>
      <c r="B21" t="s">
        <v>1</v>
      </c>
      <c r="C21" t="s">
        <v>56</v>
      </c>
      <c r="D21" s="3">
        <v>44347</v>
      </c>
      <c r="E21" s="3">
        <v>44347</v>
      </c>
      <c r="F21" s="3">
        <v>44348</v>
      </c>
      <c r="G21" t="s">
        <v>3</v>
      </c>
      <c r="H21" t="s">
        <v>4</v>
      </c>
      <c r="I21" s="4">
        <v>6584</v>
      </c>
      <c r="J21" t="s">
        <v>17</v>
      </c>
      <c r="K21" t="s">
        <v>6</v>
      </c>
      <c r="L21" s="4">
        <v>557429.87</v>
      </c>
      <c r="M21" s="4">
        <v>6584</v>
      </c>
      <c r="N21" s="10" t="str">
        <f>IF(M21="","",IF(M21&lt;0,-M21&amp;"_"&amp;COUNTIF(M$2:M21,M21),M21&amp;"_"&amp;COUNTIF(M$2:M21,M21)))</f>
        <v>6584_1</v>
      </c>
      <c r="O21" s="11" t="str">
        <f t="shared" si="1"/>
        <v/>
      </c>
      <c r="P21" t="s">
        <v>57</v>
      </c>
      <c r="Q21" t="s">
        <v>8</v>
      </c>
      <c r="R21" t="s">
        <v>59</v>
      </c>
      <c r="S21" t="s">
        <v>0</v>
      </c>
      <c r="T21" t="s">
        <v>10</v>
      </c>
      <c r="U21" t="s">
        <v>58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s="3"/>
      <c r="AB21" t="s">
        <v>0</v>
      </c>
      <c r="AC21" t="s">
        <v>0</v>
      </c>
      <c r="AD21" t="s">
        <v>0</v>
      </c>
      <c r="AE21" s="4">
        <v>0</v>
      </c>
    </row>
    <row r="22" spans="1:31" ht="14.1" customHeight="1" x14ac:dyDescent="0.2">
      <c r="A22" s="2" t="s">
        <v>0</v>
      </c>
      <c r="B22" t="s">
        <v>1</v>
      </c>
      <c r="C22" t="s">
        <v>60</v>
      </c>
      <c r="D22" s="3">
        <v>44355</v>
      </c>
      <c r="E22" s="3">
        <v>44355</v>
      </c>
      <c r="F22" s="3">
        <v>44356</v>
      </c>
      <c r="G22" t="s">
        <v>3</v>
      </c>
      <c r="H22" t="s">
        <v>4</v>
      </c>
      <c r="I22" s="4">
        <v>29552</v>
      </c>
      <c r="J22" t="s">
        <v>5</v>
      </c>
      <c r="K22" t="s">
        <v>6</v>
      </c>
      <c r="L22" s="4">
        <v>2505712.4300000002</v>
      </c>
      <c r="M22" s="4">
        <v>29552</v>
      </c>
      <c r="N22" s="10" t="str">
        <f>IF(M22="","",IF(M22&lt;0,-M22&amp;"_"&amp;COUNTIF(M$2:M22,M22),M22&amp;"_"&amp;COUNTIF(M$2:M22,M22)))</f>
        <v>29552_1</v>
      </c>
      <c r="O22" s="11" t="str">
        <f t="shared" si="1"/>
        <v/>
      </c>
      <c r="P22" t="s">
        <v>61</v>
      </c>
      <c r="Q22" t="s">
        <v>8</v>
      </c>
      <c r="R22" t="s">
        <v>62</v>
      </c>
      <c r="S22" t="s">
        <v>0</v>
      </c>
      <c r="T22" t="s">
        <v>10</v>
      </c>
      <c r="U22" t="s">
        <v>63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s="3"/>
      <c r="AB22" t="s">
        <v>0</v>
      </c>
      <c r="AC22" t="s">
        <v>0</v>
      </c>
      <c r="AD22" t="s">
        <v>0</v>
      </c>
      <c r="AE22" s="4">
        <v>0</v>
      </c>
    </row>
    <row r="23" spans="1:31" ht="14.1" customHeight="1" x14ac:dyDescent="0.2">
      <c r="A23" s="2" t="s">
        <v>0</v>
      </c>
      <c r="B23" t="s">
        <v>1</v>
      </c>
      <c r="C23" t="s">
        <v>60</v>
      </c>
      <c r="D23" s="3">
        <v>44355</v>
      </c>
      <c r="E23" s="3">
        <v>44355</v>
      </c>
      <c r="F23" s="3">
        <v>44356</v>
      </c>
      <c r="G23" t="s">
        <v>3</v>
      </c>
      <c r="H23" t="s">
        <v>4</v>
      </c>
      <c r="I23" s="4">
        <v>9563</v>
      </c>
      <c r="J23" t="s">
        <v>35</v>
      </c>
      <c r="K23" t="s">
        <v>6</v>
      </c>
      <c r="L23" s="4">
        <v>810844.78</v>
      </c>
      <c r="M23" s="4">
        <v>9563</v>
      </c>
      <c r="N23" s="10" t="str">
        <f>IF(M23="","",IF(M23&lt;0,-M23&amp;"_"&amp;COUNTIF(M$2:M23,M23),M23&amp;"_"&amp;COUNTIF(M$2:M23,M23)))</f>
        <v>9563_1</v>
      </c>
      <c r="O23" s="11" t="str">
        <f t="shared" si="1"/>
        <v/>
      </c>
      <c r="P23" t="s">
        <v>61</v>
      </c>
      <c r="Q23" t="s">
        <v>8</v>
      </c>
      <c r="R23" t="s">
        <v>64</v>
      </c>
      <c r="S23" t="s">
        <v>0</v>
      </c>
      <c r="T23" t="s">
        <v>10</v>
      </c>
      <c r="U23" t="s">
        <v>63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s="3"/>
      <c r="AB23" t="s">
        <v>0</v>
      </c>
      <c r="AC23" t="s">
        <v>0</v>
      </c>
      <c r="AD23" t="s">
        <v>0</v>
      </c>
      <c r="AE23" s="4">
        <v>0</v>
      </c>
    </row>
    <row r="24" spans="1:31" ht="14.1" customHeight="1" x14ac:dyDescent="0.2">
      <c r="A24" s="2" t="s">
        <v>0</v>
      </c>
      <c r="B24" t="s">
        <v>1</v>
      </c>
      <c r="C24" t="s">
        <v>60</v>
      </c>
      <c r="D24" s="3">
        <v>44355</v>
      </c>
      <c r="E24" s="3">
        <v>44355</v>
      </c>
      <c r="F24" s="3">
        <v>44356</v>
      </c>
      <c r="G24" t="s">
        <v>3</v>
      </c>
      <c r="H24" t="s">
        <v>4</v>
      </c>
      <c r="I24" s="4">
        <v>605</v>
      </c>
      <c r="J24" t="s">
        <v>65</v>
      </c>
      <c r="K24" t="s">
        <v>6</v>
      </c>
      <c r="L24" s="4">
        <v>51221.91</v>
      </c>
      <c r="M24" s="4">
        <v>605</v>
      </c>
      <c r="N24" s="10" t="str">
        <f>IF(M24="","",IF(M24&lt;0,-M24&amp;"_"&amp;COUNTIF(M$2:M24,M24),M24&amp;"_"&amp;COUNTIF(M$2:M24,M24)))</f>
        <v>605_1</v>
      </c>
      <c r="O24" s="11" t="str">
        <f t="shared" si="1"/>
        <v/>
      </c>
      <c r="P24" t="s">
        <v>61</v>
      </c>
      <c r="Q24" t="s">
        <v>8</v>
      </c>
      <c r="R24" t="s">
        <v>22</v>
      </c>
      <c r="S24" t="s">
        <v>0</v>
      </c>
      <c r="T24" t="s">
        <v>10</v>
      </c>
      <c r="U24" t="s">
        <v>63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s="3"/>
      <c r="AB24" t="s">
        <v>0</v>
      </c>
      <c r="AC24" t="s">
        <v>0</v>
      </c>
      <c r="AD24" t="s">
        <v>0</v>
      </c>
      <c r="AE24" s="4">
        <v>0</v>
      </c>
    </row>
    <row r="25" spans="1:31" ht="14.1" customHeight="1" x14ac:dyDescent="0.2">
      <c r="A25" s="2" t="s">
        <v>0</v>
      </c>
      <c r="B25" t="s">
        <v>1</v>
      </c>
      <c r="C25" t="s">
        <v>66</v>
      </c>
      <c r="D25" s="3">
        <v>44355</v>
      </c>
      <c r="E25" s="3">
        <v>44355</v>
      </c>
      <c r="F25" s="3">
        <v>44356</v>
      </c>
      <c r="G25" t="s">
        <v>3</v>
      </c>
      <c r="H25" t="s">
        <v>4</v>
      </c>
      <c r="I25" s="4">
        <v>36158</v>
      </c>
      <c r="J25" t="s">
        <v>5</v>
      </c>
      <c r="K25" t="s">
        <v>6</v>
      </c>
      <c r="L25" s="4">
        <v>3065834.8</v>
      </c>
      <c r="M25" s="4">
        <v>36158</v>
      </c>
      <c r="N25" s="10" t="str">
        <f>IF(M25="","",IF(M25&lt;0,-M25&amp;"_"&amp;COUNTIF(M$2:M25,M25),M25&amp;"_"&amp;COUNTIF(M$2:M25,M25)))</f>
        <v>36158_1</v>
      </c>
      <c r="O25" s="11" t="str">
        <f t="shared" si="1"/>
        <v/>
      </c>
      <c r="P25" t="s">
        <v>67</v>
      </c>
      <c r="Q25" t="s">
        <v>8</v>
      </c>
      <c r="R25" t="s">
        <v>41</v>
      </c>
      <c r="S25" t="s">
        <v>0</v>
      </c>
      <c r="T25" t="s">
        <v>10</v>
      </c>
      <c r="U25" t="s">
        <v>68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s="3"/>
      <c r="AB25" t="s">
        <v>0</v>
      </c>
      <c r="AC25" t="s">
        <v>0</v>
      </c>
      <c r="AD25" t="s">
        <v>0</v>
      </c>
      <c r="AE25" s="4">
        <v>0</v>
      </c>
    </row>
    <row r="26" spans="1:31" ht="14.1" customHeight="1" x14ac:dyDescent="0.2">
      <c r="A26" s="2" t="s">
        <v>0</v>
      </c>
      <c r="B26" t="s">
        <v>1</v>
      </c>
      <c r="C26" t="s">
        <v>69</v>
      </c>
      <c r="D26" s="3">
        <v>44357</v>
      </c>
      <c r="E26" s="3">
        <v>44357</v>
      </c>
      <c r="F26" s="3">
        <v>44360</v>
      </c>
      <c r="G26" t="s">
        <v>3</v>
      </c>
      <c r="H26" t="s">
        <v>4</v>
      </c>
      <c r="I26" s="4">
        <v>170</v>
      </c>
      <c r="J26" t="s">
        <v>5</v>
      </c>
      <c r="K26" t="s">
        <v>6</v>
      </c>
      <c r="L26" s="4">
        <v>14414.29</v>
      </c>
      <c r="M26" s="4">
        <v>170</v>
      </c>
      <c r="N26" s="10" t="str">
        <f>IF(M26="","",IF(M26&lt;0,-M26&amp;"_"&amp;COUNTIF(M$2:M26,M26),M26&amp;"_"&amp;COUNTIF(M$2:M26,M26)))</f>
        <v>170_1</v>
      </c>
      <c r="O26" s="11" t="str">
        <f t="shared" si="1"/>
        <v/>
      </c>
      <c r="P26" t="s">
        <v>70</v>
      </c>
      <c r="Q26" t="s">
        <v>8</v>
      </c>
      <c r="R26" t="s">
        <v>62</v>
      </c>
      <c r="S26" t="s">
        <v>0</v>
      </c>
      <c r="T26" t="s">
        <v>10</v>
      </c>
      <c r="U26" t="s">
        <v>71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s="3"/>
      <c r="AB26" t="s">
        <v>0</v>
      </c>
      <c r="AC26" t="s">
        <v>0</v>
      </c>
      <c r="AD26" t="s">
        <v>0</v>
      </c>
      <c r="AE26" s="4">
        <v>0</v>
      </c>
    </row>
    <row r="27" spans="1:31" ht="14.1" customHeight="1" x14ac:dyDescent="0.2">
      <c r="A27" s="2" t="s">
        <v>0</v>
      </c>
      <c r="B27" t="s">
        <v>1</v>
      </c>
      <c r="C27" t="s">
        <v>72</v>
      </c>
      <c r="D27" s="3">
        <v>44357</v>
      </c>
      <c r="E27" s="3">
        <v>44357</v>
      </c>
      <c r="F27" s="3">
        <v>44368</v>
      </c>
      <c r="G27" t="s">
        <v>3</v>
      </c>
      <c r="H27" t="s">
        <v>4</v>
      </c>
      <c r="I27" s="4">
        <v>144</v>
      </c>
      <c r="J27" t="s">
        <v>39</v>
      </c>
      <c r="K27" t="s">
        <v>6</v>
      </c>
      <c r="L27" s="4">
        <v>12209.75</v>
      </c>
      <c r="M27" s="4">
        <v>144</v>
      </c>
      <c r="N27" s="10" t="str">
        <f>IF(M27="","",IF(M27&lt;0,-M27&amp;"_"&amp;COUNTIF(M$2:M27,M27),M27&amp;"_"&amp;COUNTIF(M$2:M27,M27)))</f>
        <v>144_1</v>
      </c>
      <c r="O27" s="11" t="str">
        <f t="shared" si="1"/>
        <v/>
      </c>
      <c r="P27" t="s">
        <v>73</v>
      </c>
      <c r="Q27" t="s">
        <v>8</v>
      </c>
      <c r="R27" t="s">
        <v>62</v>
      </c>
      <c r="S27" t="s">
        <v>0</v>
      </c>
      <c r="T27" t="s">
        <v>10</v>
      </c>
      <c r="U27" t="s">
        <v>71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s="3"/>
      <c r="AB27" t="s">
        <v>0</v>
      </c>
      <c r="AC27" t="s">
        <v>0</v>
      </c>
      <c r="AD27" t="s">
        <v>0</v>
      </c>
      <c r="AE27" s="4">
        <v>0</v>
      </c>
    </row>
    <row r="28" spans="1:31" ht="14.1" customHeight="1" x14ac:dyDescent="0.2">
      <c r="A28" s="2" t="s">
        <v>0</v>
      </c>
      <c r="B28" t="s">
        <v>1</v>
      </c>
      <c r="C28" t="s">
        <v>74</v>
      </c>
      <c r="D28" s="3">
        <v>44361</v>
      </c>
      <c r="E28" s="3">
        <v>44361</v>
      </c>
      <c r="F28" s="3">
        <v>44367</v>
      </c>
      <c r="G28" t="s">
        <v>3</v>
      </c>
      <c r="H28" t="s">
        <v>4</v>
      </c>
      <c r="I28" s="4">
        <v>22241</v>
      </c>
      <c r="J28" t="s">
        <v>5</v>
      </c>
      <c r="K28" t="s">
        <v>6</v>
      </c>
      <c r="L28" s="4">
        <v>1885813.15</v>
      </c>
      <c r="M28" s="4">
        <v>22241</v>
      </c>
      <c r="N28" s="10" t="str">
        <f>IF(M28="","",IF(M28&lt;0,-M28&amp;"_"&amp;COUNTIF(M$2:M28,M28),M28&amp;"_"&amp;COUNTIF(M$2:M28,M28)))</f>
        <v>22241_1</v>
      </c>
      <c r="O28" s="11" t="str">
        <f t="shared" si="1"/>
        <v/>
      </c>
      <c r="P28" t="s">
        <v>75</v>
      </c>
      <c r="Q28" t="s">
        <v>8</v>
      </c>
      <c r="R28" t="s">
        <v>62</v>
      </c>
      <c r="S28" t="s">
        <v>0</v>
      </c>
      <c r="T28" t="s">
        <v>10</v>
      </c>
      <c r="U28" t="s">
        <v>76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s="3"/>
      <c r="AB28" t="s">
        <v>0</v>
      </c>
      <c r="AC28" t="s">
        <v>0</v>
      </c>
      <c r="AD28" t="s">
        <v>0</v>
      </c>
      <c r="AE28" s="4">
        <v>0</v>
      </c>
    </row>
    <row r="29" spans="1:31" ht="14.1" customHeight="1" x14ac:dyDescent="0.2">
      <c r="A29" s="2" t="s">
        <v>0</v>
      </c>
      <c r="B29" t="s">
        <v>1</v>
      </c>
      <c r="C29" t="s">
        <v>77</v>
      </c>
      <c r="D29" s="3">
        <v>44361</v>
      </c>
      <c r="E29" s="3">
        <v>44361</v>
      </c>
      <c r="F29" s="3">
        <v>44367</v>
      </c>
      <c r="G29" t="s">
        <v>3</v>
      </c>
      <c r="H29" t="s">
        <v>4</v>
      </c>
      <c r="I29" s="4">
        <v>2512</v>
      </c>
      <c r="J29" t="s">
        <v>5</v>
      </c>
      <c r="K29" t="s">
        <v>6</v>
      </c>
      <c r="L29" s="4">
        <v>212992.34</v>
      </c>
      <c r="M29" s="4">
        <v>2512</v>
      </c>
      <c r="N29" s="10" t="str">
        <f>IF(M29="","",IF(M29&lt;0,-M29&amp;"_"&amp;COUNTIF(M$2:M29,M29),M29&amp;"_"&amp;COUNTIF(M$2:M29,M29)))</f>
        <v>2512_1</v>
      </c>
      <c r="O29" s="11" t="str">
        <f t="shared" si="1"/>
        <v/>
      </c>
      <c r="P29" t="s">
        <v>78</v>
      </c>
      <c r="Q29" t="s">
        <v>8</v>
      </c>
      <c r="R29" t="s">
        <v>62</v>
      </c>
      <c r="S29" t="s">
        <v>0</v>
      </c>
      <c r="T29" t="s">
        <v>10</v>
      </c>
      <c r="U29" t="s">
        <v>79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s="3"/>
      <c r="AB29" t="s">
        <v>0</v>
      </c>
      <c r="AC29" t="s">
        <v>0</v>
      </c>
      <c r="AD29" t="s">
        <v>0</v>
      </c>
      <c r="AE29" s="4">
        <v>0</v>
      </c>
    </row>
    <row r="30" spans="1:31" ht="14.1" customHeight="1" x14ac:dyDescent="0.2">
      <c r="A30" s="2" t="s">
        <v>0</v>
      </c>
      <c r="B30" t="s">
        <v>1</v>
      </c>
      <c r="C30" t="s">
        <v>77</v>
      </c>
      <c r="D30" s="3">
        <v>44361</v>
      </c>
      <c r="E30" s="3">
        <v>44361</v>
      </c>
      <c r="F30" s="3">
        <v>44367</v>
      </c>
      <c r="G30" t="s">
        <v>3</v>
      </c>
      <c r="H30" t="s">
        <v>4</v>
      </c>
      <c r="I30" s="4">
        <v>2652</v>
      </c>
      <c r="J30" t="s">
        <v>35</v>
      </c>
      <c r="K30" t="s">
        <v>6</v>
      </c>
      <c r="L30" s="4">
        <v>224862.53</v>
      </c>
      <c r="M30" s="4">
        <v>2652</v>
      </c>
      <c r="N30" s="10" t="str">
        <f>IF(M30="","",IF(M30&lt;0,-M30&amp;"_"&amp;COUNTIF(M$2:M30,M30),M30&amp;"_"&amp;COUNTIF(M$2:M30,M30)))</f>
        <v>2652_1</v>
      </c>
      <c r="O30" s="11" t="str">
        <f t="shared" si="1"/>
        <v/>
      </c>
      <c r="P30" t="s">
        <v>78</v>
      </c>
      <c r="Q30" t="s">
        <v>8</v>
      </c>
      <c r="R30" t="s">
        <v>64</v>
      </c>
      <c r="S30" t="s">
        <v>0</v>
      </c>
      <c r="T30" t="s">
        <v>10</v>
      </c>
      <c r="U30" t="s">
        <v>79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s="3"/>
      <c r="AB30" t="s">
        <v>0</v>
      </c>
      <c r="AC30" t="s">
        <v>0</v>
      </c>
      <c r="AD30" t="s">
        <v>0</v>
      </c>
      <c r="AE30" s="4">
        <v>0</v>
      </c>
    </row>
    <row r="31" spans="1:31" ht="14.1" customHeight="1" x14ac:dyDescent="0.2">
      <c r="A31" s="2" t="s">
        <v>0</v>
      </c>
      <c r="B31" t="s">
        <v>1</v>
      </c>
      <c r="C31" t="s">
        <v>80</v>
      </c>
      <c r="D31" s="3">
        <v>44363</v>
      </c>
      <c r="E31" s="3">
        <v>44363</v>
      </c>
      <c r="F31" s="3">
        <v>44367</v>
      </c>
      <c r="G31" t="s">
        <v>3</v>
      </c>
      <c r="H31" t="s">
        <v>4</v>
      </c>
      <c r="I31" s="4">
        <v>-299814</v>
      </c>
      <c r="J31" t="s">
        <v>81</v>
      </c>
      <c r="K31" t="s">
        <v>6</v>
      </c>
      <c r="L31" s="4">
        <v>-25383479.59</v>
      </c>
      <c r="M31" s="4">
        <v>-299814</v>
      </c>
      <c r="N31" s="10" t="str">
        <f>IF(M31="","",IF(M31&lt;0,-M31&amp;"_"&amp;COUNTIF(M$2:M31,M31),M31&amp;"_"&amp;COUNTIF(M$2:M31,M31)))</f>
        <v>299814_1</v>
      </c>
      <c r="O31" s="11" t="str">
        <f t="shared" si="1"/>
        <v/>
      </c>
      <c r="P31" t="s">
        <v>7</v>
      </c>
      <c r="Q31" t="s">
        <v>8</v>
      </c>
      <c r="R31" t="s">
        <v>82</v>
      </c>
      <c r="S31" t="s">
        <v>0</v>
      </c>
      <c r="T31" t="s">
        <v>10</v>
      </c>
      <c r="U31" t="s">
        <v>83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s="3"/>
      <c r="AB31" t="s">
        <v>0</v>
      </c>
      <c r="AC31" t="s">
        <v>0</v>
      </c>
      <c r="AD31" t="s">
        <v>0</v>
      </c>
      <c r="AE31" s="4">
        <v>0</v>
      </c>
    </row>
    <row r="32" spans="1:31" ht="14.1" customHeight="1" x14ac:dyDescent="0.2">
      <c r="A32" s="2" t="s">
        <v>0</v>
      </c>
      <c r="B32" t="s">
        <v>1</v>
      </c>
      <c r="C32" t="s">
        <v>84</v>
      </c>
      <c r="D32" s="3">
        <v>44367</v>
      </c>
      <c r="E32" s="3">
        <v>44367</v>
      </c>
      <c r="F32" s="3">
        <v>44369</v>
      </c>
      <c r="G32" t="s">
        <v>3</v>
      </c>
      <c r="H32" t="s">
        <v>4</v>
      </c>
      <c r="I32" s="4">
        <v>975</v>
      </c>
      <c r="J32" t="s">
        <v>85</v>
      </c>
      <c r="K32" t="s">
        <v>6</v>
      </c>
      <c r="L32" s="4">
        <v>82670.2</v>
      </c>
      <c r="M32" s="4">
        <v>975</v>
      </c>
      <c r="N32" s="10" t="str">
        <f>IF(M32="","",IF(M32&lt;0,-M32&amp;"_"&amp;COUNTIF(M$2:M32,M32),M32&amp;"_"&amp;COUNTIF(M$2:M32,M32)))</f>
        <v>975_1</v>
      </c>
      <c r="O32" s="11" t="str">
        <f t="shared" si="1"/>
        <v/>
      </c>
      <c r="P32" t="s">
        <v>86</v>
      </c>
      <c r="Q32" t="s">
        <v>8</v>
      </c>
      <c r="R32" t="s">
        <v>62</v>
      </c>
      <c r="S32" t="s">
        <v>0</v>
      </c>
      <c r="T32" t="s">
        <v>10</v>
      </c>
      <c r="U32" t="s">
        <v>87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s="3"/>
      <c r="AB32" t="s">
        <v>0</v>
      </c>
      <c r="AC32" t="s">
        <v>0</v>
      </c>
      <c r="AD32" t="s">
        <v>0</v>
      </c>
      <c r="AE32" s="4">
        <v>0</v>
      </c>
    </row>
    <row r="33" spans="1:31" ht="14.1" customHeight="1" x14ac:dyDescent="0.2">
      <c r="A33" s="2" t="s">
        <v>0</v>
      </c>
      <c r="B33" t="s">
        <v>1</v>
      </c>
      <c r="C33" t="s">
        <v>84</v>
      </c>
      <c r="D33" s="3">
        <v>44367</v>
      </c>
      <c r="E33" s="3">
        <v>44367</v>
      </c>
      <c r="F33" s="3">
        <v>44369</v>
      </c>
      <c r="G33" t="s">
        <v>3</v>
      </c>
      <c r="H33" t="s">
        <v>4</v>
      </c>
      <c r="I33" s="4">
        <v>6507</v>
      </c>
      <c r="J33" t="s">
        <v>81</v>
      </c>
      <c r="K33" t="s">
        <v>6</v>
      </c>
      <c r="L33" s="4">
        <v>550909.24</v>
      </c>
      <c r="M33" s="4">
        <v>6507</v>
      </c>
      <c r="N33" s="10" t="str">
        <f>IF(M33="","",IF(M33&lt;0,-M33&amp;"_"&amp;COUNTIF(M$2:M33,M33),M33&amp;"_"&amp;COUNTIF(M$2:M33,M33)))</f>
        <v>6507_1</v>
      </c>
      <c r="O33" s="11" t="str">
        <f t="shared" si="1"/>
        <v/>
      </c>
      <c r="P33" t="s">
        <v>86</v>
      </c>
      <c r="Q33" t="s">
        <v>8</v>
      </c>
      <c r="R33" t="s">
        <v>88</v>
      </c>
      <c r="S33" t="s">
        <v>0</v>
      </c>
      <c r="T33" t="s">
        <v>10</v>
      </c>
      <c r="U33" t="s">
        <v>87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s="3"/>
      <c r="AB33" t="s">
        <v>0</v>
      </c>
      <c r="AC33" t="s">
        <v>0</v>
      </c>
      <c r="AD33" t="s">
        <v>0</v>
      </c>
      <c r="AE33" s="4">
        <v>0</v>
      </c>
    </row>
    <row r="34" spans="1:31" ht="14.1" customHeight="1" x14ac:dyDescent="0.2">
      <c r="A34" s="2" t="s">
        <v>0</v>
      </c>
      <c r="B34" t="s">
        <v>1</v>
      </c>
      <c r="C34" t="s">
        <v>89</v>
      </c>
      <c r="D34" s="3">
        <v>44367</v>
      </c>
      <c r="E34" s="3">
        <v>44367</v>
      </c>
      <c r="F34" s="3">
        <v>44369</v>
      </c>
      <c r="G34" t="s">
        <v>3</v>
      </c>
      <c r="H34" t="s">
        <v>4</v>
      </c>
      <c r="I34" s="4">
        <v>55359</v>
      </c>
      <c r="J34" t="s">
        <v>5</v>
      </c>
      <c r="K34" t="s">
        <v>6</v>
      </c>
      <c r="L34" s="4">
        <v>4693886.5199999996</v>
      </c>
      <c r="M34" s="4">
        <v>55359</v>
      </c>
      <c r="N34" s="10" t="str">
        <f>IF(M34="","",IF(M34&lt;0,-M34&amp;"_"&amp;COUNTIF(M$2:M34,M34),M34&amp;"_"&amp;COUNTIF(M$2:M34,M34)))</f>
        <v>55359_1</v>
      </c>
      <c r="O34" s="11" t="str">
        <f t="shared" si="1"/>
        <v/>
      </c>
      <c r="P34" t="s">
        <v>90</v>
      </c>
      <c r="Q34" t="s">
        <v>8</v>
      </c>
      <c r="R34" t="s">
        <v>62</v>
      </c>
      <c r="S34" t="s">
        <v>0</v>
      </c>
      <c r="T34" t="s">
        <v>10</v>
      </c>
      <c r="U34" t="s">
        <v>91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s="3"/>
      <c r="AB34" t="s">
        <v>0</v>
      </c>
      <c r="AC34" t="s">
        <v>0</v>
      </c>
      <c r="AD34" t="s">
        <v>0</v>
      </c>
      <c r="AE34" s="4">
        <v>0</v>
      </c>
    </row>
    <row r="35" spans="1:31" ht="14.1" customHeight="1" x14ac:dyDescent="0.2">
      <c r="A35" s="2" t="s">
        <v>0</v>
      </c>
      <c r="B35" t="s">
        <v>1</v>
      </c>
      <c r="C35" t="s">
        <v>89</v>
      </c>
      <c r="D35" s="3">
        <v>44367</v>
      </c>
      <c r="E35" s="3">
        <v>44367</v>
      </c>
      <c r="F35" s="3">
        <v>44369</v>
      </c>
      <c r="G35" t="s">
        <v>3</v>
      </c>
      <c r="H35" t="s">
        <v>4</v>
      </c>
      <c r="I35" s="4">
        <v>4092</v>
      </c>
      <c r="J35" t="s">
        <v>81</v>
      </c>
      <c r="K35" t="s">
        <v>6</v>
      </c>
      <c r="L35" s="4">
        <v>346445.46</v>
      </c>
      <c r="M35" s="4">
        <v>4092</v>
      </c>
      <c r="N35" s="10" t="str">
        <f>IF(M35="","",IF(M35&lt;0,-M35&amp;"_"&amp;COUNTIF(M$2:M35,M35),M35&amp;"_"&amp;COUNTIF(M$2:M35,M35)))</f>
        <v>4092_1</v>
      </c>
      <c r="O35" s="11" t="str">
        <f t="shared" si="1"/>
        <v/>
      </c>
      <c r="P35" t="s">
        <v>90</v>
      </c>
      <c r="Q35" t="s">
        <v>8</v>
      </c>
      <c r="R35" t="s">
        <v>88</v>
      </c>
      <c r="S35" t="s">
        <v>0</v>
      </c>
      <c r="T35" t="s">
        <v>10</v>
      </c>
      <c r="U35" t="s">
        <v>91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s="3"/>
      <c r="AB35" t="s">
        <v>0</v>
      </c>
      <c r="AC35" t="s">
        <v>0</v>
      </c>
      <c r="AD35" t="s">
        <v>0</v>
      </c>
      <c r="AE35" s="4">
        <v>0</v>
      </c>
    </row>
    <row r="36" spans="1:31" ht="14.1" customHeight="1" x14ac:dyDescent="0.2">
      <c r="A36" s="2" t="s">
        <v>0</v>
      </c>
      <c r="B36" t="s">
        <v>1</v>
      </c>
      <c r="C36" t="s">
        <v>89</v>
      </c>
      <c r="D36" s="3">
        <v>44367</v>
      </c>
      <c r="E36" s="3">
        <v>44367</v>
      </c>
      <c r="F36" s="3">
        <v>44369</v>
      </c>
      <c r="G36" t="s">
        <v>3</v>
      </c>
      <c r="H36" t="s">
        <v>4</v>
      </c>
      <c r="I36" s="4">
        <v>17526</v>
      </c>
      <c r="J36" t="s">
        <v>35</v>
      </c>
      <c r="K36" t="s">
        <v>6</v>
      </c>
      <c r="L36" s="4">
        <v>1486025.9</v>
      </c>
      <c r="M36" s="4">
        <v>17526</v>
      </c>
      <c r="N36" s="10" t="str">
        <f>IF(M36="","",IF(M36&lt;0,-M36&amp;"_"&amp;COUNTIF(M$2:M36,M36),M36&amp;"_"&amp;COUNTIF(M$2:M36,M36)))</f>
        <v>17526_1</v>
      </c>
      <c r="O36" s="11" t="str">
        <f t="shared" si="1"/>
        <v/>
      </c>
      <c r="P36" t="s">
        <v>90</v>
      </c>
      <c r="Q36" t="s">
        <v>8</v>
      </c>
      <c r="R36" t="s">
        <v>64</v>
      </c>
      <c r="S36" t="s">
        <v>0</v>
      </c>
      <c r="T36" t="s">
        <v>10</v>
      </c>
      <c r="U36" t="s">
        <v>91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s="3"/>
      <c r="AB36" t="s">
        <v>0</v>
      </c>
      <c r="AC36" t="s">
        <v>0</v>
      </c>
      <c r="AD36" t="s">
        <v>0</v>
      </c>
      <c r="AE36" s="4">
        <v>0</v>
      </c>
    </row>
    <row r="37" spans="1:31" ht="14.1" customHeight="1" x14ac:dyDescent="0.2">
      <c r="A37" s="2" t="s">
        <v>0</v>
      </c>
      <c r="B37" t="s">
        <v>1</v>
      </c>
      <c r="C37" t="s">
        <v>92</v>
      </c>
      <c r="D37" s="3">
        <v>44368</v>
      </c>
      <c r="E37" s="3">
        <v>44368</v>
      </c>
      <c r="F37" s="3">
        <v>44370</v>
      </c>
      <c r="G37" t="s">
        <v>3</v>
      </c>
      <c r="H37" t="s">
        <v>4</v>
      </c>
      <c r="I37" s="4">
        <v>103497</v>
      </c>
      <c r="J37" t="s">
        <v>5</v>
      </c>
      <c r="K37" t="s">
        <v>6</v>
      </c>
      <c r="L37" s="4">
        <v>8775504.8599999994</v>
      </c>
      <c r="M37" s="4">
        <v>103497</v>
      </c>
      <c r="N37" s="10" t="str">
        <f>IF(M37="","",IF(M37&lt;0,-M37&amp;"_"&amp;COUNTIF(M$2:M37,M37),M37&amp;"_"&amp;COUNTIF(M$2:M37,M37)))</f>
        <v>103497_1</v>
      </c>
      <c r="O37" s="11" t="str">
        <f t="shared" si="1"/>
        <v/>
      </c>
      <c r="P37" t="s">
        <v>93</v>
      </c>
      <c r="Q37" t="s">
        <v>8</v>
      </c>
      <c r="R37" t="s">
        <v>62</v>
      </c>
      <c r="S37" t="s">
        <v>0</v>
      </c>
      <c r="T37" t="s">
        <v>10</v>
      </c>
      <c r="U37" t="s">
        <v>94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s="3"/>
      <c r="AB37" t="s">
        <v>0</v>
      </c>
      <c r="AC37" t="s">
        <v>0</v>
      </c>
      <c r="AD37" t="s">
        <v>0</v>
      </c>
      <c r="AE37" s="4">
        <v>0</v>
      </c>
    </row>
    <row r="38" spans="1:31" ht="14.1" customHeight="1" x14ac:dyDescent="0.2">
      <c r="A38" s="2" t="s">
        <v>0</v>
      </c>
      <c r="B38" t="s">
        <v>1</v>
      </c>
      <c r="C38" t="s">
        <v>92</v>
      </c>
      <c r="D38" s="3">
        <v>44368</v>
      </c>
      <c r="E38" s="3">
        <v>44368</v>
      </c>
      <c r="F38" s="3">
        <v>44370</v>
      </c>
      <c r="G38" t="s">
        <v>3</v>
      </c>
      <c r="H38" t="s">
        <v>4</v>
      </c>
      <c r="I38" s="4">
        <v>114818</v>
      </c>
      <c r="J38" t="s">
        <v>81</v>
      </c>
      <c r="K38" t="s">
        <v>6</v>
      </c>
      <c r="L38" s="4">
        <v>9720961.5299999993</v>
      </c>
      <c r="M38" s="4">
        <v>114818</v>
      </c>
      <c r="N38" s="10" t="str">
        <f>IF(M38="","",IF(M38&lt;0,-M38&amp;"_"&amp;COUNTIF(M$2:M38,M38),M38&amp;"_"&amp;COUNTIF(M$2:M38,M38)))</f>
        <v>114818_1</v>
      </c>
      <c r="O38" s="11" t="str">
        <f t="shared" si="1"/>
        <v/>
      </c>
      <c r="P38" t="s">
        <v>93</v>
      </c>
      <c r="Q38" t="s">
        <v>8</v>
      </c>
      <c r="R38" t="s">
        <v>88</v>
      </c>
      <c r="S38" t="s">
        <v>0</v>
      </c>
      <c r="T38" t="s">
        <v>10</v>
      </c>
      <c r="U38" t="s">
        <v>94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s="3"/>
      <c r="AB38" t="s">
        <v>0</v>
      </c>
      <c r="AC38" t="s">
        <v>0</v>
      </c>
      <c r="AD38" t="s">
        <v>0</v>
      </c>
      <c r="AE38" s="4">
        <v>0</v>
      </c>
    </row>
    <row r="39" spans="1:31" ht="14.1" customHeight="1" x14ac:dyDescent="0.2">
      <c r="A39" s="2" t="s">
        <v>0</v>
      </c>
      <c r="B39" t="s">
        <v>1</v>
      </c>
      <c r="C39" t="s">
        <v>95</v>
      </c>
      <c r="D39" s="3">
        <v>44371</v>
      </c>
      <c r="E39" s="3">
        <v>44371</v>
      </c>
      <c r="F39" s="3">
        <v>44374</v>
      </c>
      <c r="G39" t="s">
        <v>3</v>
      </c>
      <c r="H39" t="s">
        <v>4</v>
      </c>
      <c r="I39" s="4">
        <v>86663</v>
      </c>
      <c r="J39" t="s">
        <v>5</v>
      </c>
      <c r="K39" t="s">
        <v>6</v>
      </c>
      <c r="L39" s="4">
        <v>7348150.9400000004</v>
      </c>
      <c r="M39" s="4">
        <v>86663</v>
      </c>
      <c r="N39" s="10" t="str">
        <f>IF(M39="","",IF(M39&lt;0,-M39&amp;"_"&amp;COUNTIF(M$2:M39,M39),M39&amp;"_"&amp;COUNTIF(M$2:M39,M39)))</f>
        <v>86663_1</v>
      </c>
      <c r="O39" s="11" t="str">
        <f t="shared" si="1"/>
        <v/>
      </c>
      <c r="P39" t="s">
        <v>96</v>
      </c>
      <c r="Q39" t="s">
        <v>8</v>
      </c>
      <c r="R39" t="s">
        <v>41</v>
      </c>
      <c r="S39" t="s">
        <v>0</v>
      </c>
      <c r="T39" t="s">
        <v>10</v>
      </c>
      <c r="U39" t="s">
        <v>97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s="3"/>
      <c r="AB39" t="s">
        <v>0</v>
      </c>
      <c r="AC39" t="s">
        <v>0</v>
      </c>
      <c r="AD39" t="s">
        <v>0</v>
      </c>
      <c r="AE39" s="4">
        <v>0</v>
      </c>
    </row>
    <row r="40" spans="1:31" ht="14.1" customHeight="1" x14ac:dyDescent="0.2">
      <c r="A40" s="2" t="s">
        <v>0</v>
      </c>
      <c r="B40" t="s">
        <v>1</v>
      </c>
      <c r="C40" t="s">
        <v>95</v>
      </c>
      <c r="D40" s="3">
        <v>44371</v>
      </c>
      <c r="E40" s="3">
        <v>44371</v>
      </c>
      <c r="F40" s="3">
        <v>44374</v>
      </c>
      <c r="G40" t="s">
        <v>3</v>
      </c>
      <c r="H40" t="s">
        <v>4</v>
      </c>
      <c r="I40" s="4">
        <v>809</v>
      </c>
      <c r="J40" t="s">
        <v>5</v>
      </c>
      <c r="K40" t="s">
        <v>6</v>
      </c>
      <c r="L40" s="4">
        <v>68595.06</v>
      </c>
      <c r="M40" s="4">
        <v>809</v>
      </c>
      <c r="N40" s="10" t="str">
        <f>IF(M40="","",IF(M40&lt;0,-M40&amp;"_"&amp;COUNTIF(M$2:M40,M40),M40&amp;"_"&amp;COUNTIF(M$2:M40,M40)))</f>
        <v>809_1</v>
      </c>
      <c r="O40" s="11" t="str">
        <f t="shared" si="1"/>
        <v/>
      </c>
      <c r="P40" t="s">
        <v>96</v>
      </c>
      <c r="Q40" t="s">
        <v>8</v>
      </c>
      <c r="R40" t="s">
        <v>98</v>
      </c>
      <c r="S40" t="s">
        <v>0</v>
      </c>
      <c r="T40" t="s">
        <v>10</v>
      </c>
      <c r="U40" t="s">
        <v>97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s="3"/>
      <c r="AB40" t="s">
        <v>0</v>
      </c>
      <c r="AC40" t="s">
        <v>0</v>
      </c>
      <c r="AD40" t="s">
        <v>0</v>
      </c>
      <c r="AE40" s="4">
        <v>0</v>
      </c>
    </row>
    <row r="41" spans="1:31" ht="14.1" customHeight="1" x14ac:dyDescent="0.2">
      <c r="A41" s="2" t="s">
        <v>0</v>
      </c>
      <c r="B41" t="s">
        <v>1</v>
      </c>
      <c r="C41" t="s">
        <v>95</v>
      </c>
      <c r="D41" s="3">
        <v>44371</v>
      </c>
      <c r="E41" s="3">
        <v>44371</v>
      </c>
      <c r="F41" s="3">
        <v>44374</v>
      </c>
      <c r="G41" t="s">
        <v>3</v>
      </c>
      <c r="H41" t="s">
        <v>4</v>
      </c>
      <c r="I41" s="4">
        <v>74944</v>
      </c>
      <c r="J41" t="s">
        <v>81</v>
      </c>
      <c r="K41" t="s">
        <v>6</v>
      </c>
      <c r="L41" s="4">
        <v>6345065.5899999999</v>
      </c>
      <c r="M41" s="4">
        <v>74944</v>
      </c>
      <c r="N41" s="10" t="str">
        <f>IF(M41="","",IF(M41&lt;0,-M41&amp;"_"&amp;COUNTIF(M$2:M41,M41),M41&amp;"_"&amp;COUNTIF(M$2:M41,M41)))</f>
        <v>74944_1</v>
      </c>
      <c r="O41" s="11" t="str">
        <f t="shared" si="1"/>
        <v/>
      </c>
      <c r="P41" t="s">
        <v>96</v>
      </c>
      <c r="Q41" t="s">
        <v>8</v>
      </c>
      <c r="R41" t="s">
        <v>99</v>
      </c>
      <c r="S41" t="s">
        <v>0</v>
      </c>
      <c r="T41" t="s">
        <v>10</v>
      </c>
      <c r="U41" t="s">
        <v>97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s="3"/>
      <c r="AB41" t="s">
        <v>0</v>
      </c>
      <c r="AC41" t="s">
        <v>0</v>
      </c>
      <c r="AD41" t="s">
        <v>0</v>
      </c>
      <c r="AE41" s="4">
        <v>0</v>
      </c>
    </row>
    <row r="42" spans="1:31" ht="14.1" customHeight="1" x14ac:dyDescent="0.2">
      <c r="A42" s="2" t="s">
        <v>0</v>
      </c>
      <c r="B42" t="s">
        <v>1</v>
      </c>
      <c r="C42" t="s">
        <v>95</v>
      </c>
      <c r="D42" s="3">
        <v>44371</v>
      </c>
      <c r="E42" s="3">
        <v>44371</v>
      </c>
      <c r="F42" s="3">
        <v>44374</v>
      </c>
      <c r="G42" t="s">
        <v>3</v>
      </c>
      <c r="H42" t="s">
        <v>4</v>
      </c>
      <c r="I42" s="4">
        <v>520</v>
      </c>
      <c r="J42" t="s">
        <v>35</v>
      </c>
      <c r="K42" t="s">
        <v>6</v>
      </c>
      <c r="L42" s="4">
        <v>44090.69</v>
      </c>
      <c r="M42" s="4">
        <v>520</v>
      </c>
      <c r="N42" s="10" t="str">
        <f>IF(M42="","",IF(M42&lt;0,-M42&amp;"_"&amp;COUNTIF(M$2:M42,M42),M42&amp;"_"&amp;COUNTIF(M$2:M42,M42)))</f>
        <v>520_1</v>
      </c>
      <c r="O42" s="11" t="str">
        <f t="shared" si="1"/>
        <v/>
      </c>
      <c r="P42" t="s">
        <v>96</v>
      </c>
      <c r="Q42" t="s">
        <v>8</v>
      </c>
      <c r="R42" t="s">
        <v>45</v>
      </c>
      <c r="S42" t="s">
        <v>0</v>
      </c>
      <c r="T42" t="s">
        <v>10</v>
      </c>
      <c r="U42" t="s">
        <v>97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s="3"/>
      <c r="AB42" t="s">
        <v>0</v>
      </c>
      <c r="AC42" t="s">
        <v>0</v>
      </c>
      <c r="AD42" t="s">
        <v>0</v>
      </c>
      <c r="AE42" s="4">
        <v>0</v>
      </c>
    </row>
    <row r="43" spans="1:31" ht="14.1" customHeight="1" x14ac:dyDescent="0.2">
      <c r="A43" s="2" t="s">
        <v>0</v>
      </c>
      <c r="B43" t="s">
        <v>1</v>
      </c>
      <c r="C43" t="s">
        <v>100</v>
      </c>
      <c r="D43" s="3">
        <v>44375</v>
      </c>
      <c r="E43" s="3">
        <v>44375</v>
      </c>
      <c r="F43" s="3">
        <v>44380</v>
      </c>
      <c r="G43" t="s">
        <v>3</v>
      </c>
      <c r="H43" t="s">
        <v>4</v>
      </c>
      <c r="I43" s="4">
        <v>-296745</v>
      </c>
      <c r="J43" t="s">
        <v>101</v>
      </c>
      <c r="K43" t="s">
        <v>6</v>
      </c>
      <c r="L43" s="4">
        <v>-25160975.079999998</v>
      </c>
      <c r="M43" s="4">
        <v>-296745</v>
      </c>
      <c r="N43" s="10" t="str">
        <f>IF(M43="","",IF(M43&lt;0,-M43&amp;"_"&amp;COUNTIF(M$2:M43,M43),M43&amp;"_"&amp;COUNTIF(M$2:M43,M43)))</f>
        <v>296745_1</v>
      </c>
      <c r="O43" s="11" t="str">
        <f t="shared" si="1"/>
        <v/>
      </c>
      <c r="P43" t="s">
        <v>7</v>
      </c>
      <c r="Q43" t="s">
        <v>8</v>
      </c>
      <c r="R43" t="s">
        <v>102</v>
      </c>
      <c r="S43" t="s">
        <v>0</v>
      </c>
      <c r="T43" t="s">
        <v>10</v>
      </c>
      <c r="U43" t="s">
        <v>103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s="3"/>
      <c r="AB43" t="s">
        <v>0</v>
      </c>
      <c r="AC43" t="s">
        <v>0</v>
      </c>
      <c r="AD43" t="s">
        <v>0</v>
      </c>
      <c r="AE43" s="4">
        <v>0</v>
      </c>
    </row>
    <row r="44" spans="1:31" ht="14.1" customHeight="1" x14ac:dyDescent="0.2">
      <c r="A44" s="2" t="s">
        <v>0</v>
      </c>
      <c r="B44" t="s">
        <v>1</v>
      </c>
      <c r="C44" t="s">
        <v>104</v>
      </c>
      <c r="D44" s="3">
        <v>44376</v>
      </c>
      <c r="E44" s="3">
        <v>44376</v>
      </c>
      <c r="F44" s="3">
        <v>44380</v>
      </c>
      <c r="G44" t="s">
        <v>3</v>
      </c>
      <c r="H44" t="s">
        <v>4</v>
      </c>
      <c r="I44" s="4">
        <v>17538</v>
      </c>
      <c r="J44" t="s">
        <v>5</v>
      </c>
      <c r="K44" t="s">
        <v>6</v>
      </c>
      <c r="L44" s="4">
        <v>1487046.04</v>
      </c>
      <c r="M44" s="4">
        <v>17538</v>
      </c>
      <c r="N44" s="10" t="str">
        <f>IF(M44="","",IF(M44&lt;0,-M44&amp;"_"&amp;COUNTIF(M$2:M44,M44),M44&amp;"_"&amp;COUNTIF(M$2:M44,M44)))</f>
        <v>17538_1</v>
      </c>
      <c r="O44" s="11" t="str">
        <f t="shared" si="1"/>
        <v/>
      </c>
      <c r="P44" t="s">
        <v>105</v>
      </c>
      <c r="Q44" t="s">
        <v>8</v>
      </c>
      <c r="R44" t="s">
        <v>41</v>
      </c>
      <c r="S44" t="s">
        <v>0</v>
      </c>
      <c r="T44" t="s">
        <v>10</v>
      </c>
      <c r="U44" t="s">
        <v>106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s="3"/>
      <c r="AB44" t="s">
        <v>0</v>
      </c>
      <c r="AC44" t="s">
        <v>0</v>
      </c>
      <c r="AD44" t="s">
        <v>0</v>
      </c>
      <c r="AE44" s="4">
        <v>0</v>
      </c>
    </row>
    <row r="45" spans="1:31" ht="14.1" customHeight="1" x14ac:dyDescent="0.2">
      <c r="A45" s="2" t="s">
        <v>0</v>
      </c>
      <c r="B45" t="s">
        <v>1</v>
      </c>
      <c r="C45" t="s">
        <v>104</v>
      </c>
      <c r="D45" s="3">
        <v>44376</v>
      </c>
      <c r="E45" s="3">
        <v>44376</v>
      </c>
      <c r="F45" s="3">
        <v>44380</v>
      </c>
      <c r="G45" t="s">
        <v>3</v>
      </c>
      <c r="H45" t="s">
        <v>4</v>
      </c>
      <c r="I45" s="4">
        <v>25340</v>
      </c>
      <c r="J45" t="s">
        <v>5</v>
      </c>
      <c r="K45" t="s">
        <v>6</v>
      </c>
      <c r="L45" s="4">
        <v>2148577.19</v>
      </c>
      <c r="M45" s="4">
        <v>25340</v>
      </c>
      <c r="N45" s="10" t="str">
        <f>IF(M45="","",IF(M45&lt;0,-M45&amp;"_"&amp;COUNTIF(M$2:M45,M45),M45&amp;"_"&amp;COUNTIF(M$2:M45,M45)))</f>
        <v>25340_1</v>
      </c>
      <c r="O45" s="11" t="str">
        <f t="shared" si="1"/>
        <v/>
      </c>
      <c r="P45" t="s">
        <v>105</v>
      </c>
      <c r="Q45" t="s">
        <v>8</v>
      </c>
      <c r="R45" t="s">
        <v>98</v>
      </c>
      <c r="S45" t="s">
        <v>0</v>
      </c>
      <c r="T45" t="s">
        <v>10</v>
      </c>
      <c r="U45" t="s">
        <v>106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s="3"/>
      <c r="AB45" t="s">
        <v>0</v>
      </c>
      <c r="AC45" t="s">
        <v>0</v>
      </c>
      <c r="AD45" t="s">
        <v>0</v>
      </c>
      <c r="AE45" s="4">
        <v>0</v>
      </c>
    </row>
    <row r="46" spans="1:31" ht="14.1" customHeight="1" x14ac:dyDescent="0.2">
      <c r="A46" s="2" t="s">
        <v>0</v>
      </c>
      <c r="B46" t="s">
        <v>1</v>
      </c>
      <c r="C46" t="s">
        <v>104</v>
      </c>
      <c r="D46" s="3">
        <v>44376</v>
      </c>
      <c r="E46" s="3">
        <v>44376</v>
      </c>
      <c r="F46" s="3">
        <v>44380</v>
      </c>
      <c r="G46" t="s">
        <v>3</v>
      </c>
      <c r="H46" t="s">
        <v>4</v>
      </c>
      <c r="I46" s="4">
        <v>23552</v>
      </c>
      <c r="J46" t="s">
        <v>81</v>
      </c>
      <c r="K46" t="s">
        <v>6</v>
      </c>
      <c r="L46" s="4">
        <v>1994008.66</v>
      </c>
      <c r="M46" s="4">
        <v>23552</v>
      </c>
      <c r="N46" s="10" t="str">
        <f>IF(M46="","",IF(M46&lt;0,-M46&amp;"_"&amp;COUNTIF(M$2:M46,M46),M46&amp;"_"&amp;COUNTIF(M$2:M46,M46)))</f>
        <v>23552_1</v>
      </c>
      <c r="O46" s="11" t="str">
        <f t="shared" si="1"/>
        <v/>
      </c>
      <c r="P46" t="s">
        <v>105</v>
      </c>
      <c r="Q46" t="s">
        <v>8</v>
      </c>
      <c r="R46" t="s">
        <v>99</v>
      </c>
      <c r="S46" t="s">
        <v>0</v>
      </c>
      <c r="T46" t="s">
        <v>10</v>
      </c>
      <c r="U46" t="s">
        <v>106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s="3"/>
      <c r="AB46" t="s">
        <v>0</v>
      </c>
      <c r="AC46" t="s">
        <v>0</v>
      </c>
      <c r="AD46" t="s">
        <v>0</v>
      </c>
      <c r="AE46" s="4">
        <v>0</v>
      </c>
    </row>
    <row r="47" spans="1:31" ht="14.1" customHeight="1" x14ac:dyDescent="0.2">
      <c r="A47" s="2" t="s">
        <v>0</v>
      </c>
      <c r="B47" t="s">
        <v>1</v>
      </c>
      <c r="C47" t="s">
        <v>107</v>
      </c>
      <c r="D47" s="3">
        <v>44377</v>
      </c>
      <c r="E47" s="3">
        <v>44377</v>
      </c>
      <c r="F47" s="3">
        <v>44380</v>
      </c>
      <c r="G47" t="s">
        <v>3</v>
      </c>
      <c r="H47" t="s">
        <v>4</v>
      </c>
      <c r="I47" s="4">
        <v>8342</v>
      </c>
      <c r="J47" t="s">
        <v>5</v>
      </c>
      <c r="K47" t="s">
        <v>6</v>
      </c>
      <c r="L47" s="4">
        <v>707317.71</v>
      </c>
      <c r="M47" s="4">
        <v>8342</v>
      </c>
      <c r="N47" s="10" t="str">
        <f>IF(M47="","",IF(M47&lt;0,-M47&amp;"_"&amp;COUNTIF(M$2:M47,M47),M47&amp;"_"&amp;COUNTIF(M$2:M47,M47)))</f>
        <v>8342_1</v>
      </c>
      <c r="O47" s="11" t="str">
        <f t="shared" si="1"/>
        <v/>
      </c>
      <c r="P47" t="s">
        <v>108</v>
      </c>
      <c r="Q47" t="s">
        <v>8</v>
      </c>
      <c r="R47" t="s">
        <v>62</v>
      </c>
      <c r="S47" t="s">
        <v>0</v>
      </c>
      <c r="T47" t="s">
        <v>10</v>
      </c>
      <c r="U47" t="s">
        <v>109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s="3"/>
      <c r="AB47" t="s">
        <v>0</v>
      </c>
      <c r="AC47" t="s">
        <v>0</v>
      </c>
      <c r="AD47" t="s">
        <v>0</v>
      </c>
      <c r="AE47" s="4">
        <v>0</v>
      </c>
    </row>
    <row r="48" spans="1:31" ht="14.1" customHeight="1" x14ac:dyDescent="0.2">
      <c r="A48" s="2" t="s">
        <v>0</v>
      </c>
      <c r="B48" t="s">
        <v>1</v>
      </c>
      <c r="C48" t="s">
        <v>107</v>
      </c>
      <c r="D48" s="3">
        <v>44377</v>
      </c>
      <c r="E48" s="3">
        <v>44377</v>
      </c>
      <c r="F48" s="3">
        <v>44380</v>
      </c>
      <c r="G48" t="s">
        <v>3</v>
      </c>
      <c r="H48" t="s">
        <v>4</v>
      </c>
      <c r="I48" s="4">
        <v>6117</v>
      </c>
      <c r="J48" t="s">
        <v>5</v>
      </c>
      <c r="K48" t="s">
        <v>6</v>
      </c>
      <c r="L48" s="4">
        <v>518660.09</v>
      </c>
      <c r="M48" s="4">
        <v>6117</v>
      </c>
      <c r="N48" s="10" t="str">
        <f>IF(M48="","",IF(M48&lt;0,-M48&amp;"_"&amp;COUNTIF(M$2:M48,M48),M48&amp;"_"&amp;COUNTIF(M$2:M48,M48)))</f>
        <v>6117_1</v>
      </c>
      <c r="O48" s="11" t="str">
        <f t="shared" si="1"/>
        <v/>
      </c>
      <c r="P48" t="s">
        <v>108</v>
      </c>
      <c r="Q48" t="s">
        <v>8</v>
      </c>
      <c r="R48" t="s">
        <v>110</v>
      </c>
      <c r="S48" t="s">
        <v>0</v>
      </c>
      <c r="T48" t="s">
        <v>10</v>
      </c>
      <c r="U48" t="s">
        <v>109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s="3"/>
      <c r="AB48" t="s">
        <v>0</v>
      </c>
      <c r="AC48" t="s">
        <v>0</v>
      </c>
      <c r="AD48" t="s">
        <v>0</v>
      </c>
      <c r="AE48" s="4">
        <v>0</v>
      </c>
    </row>
    <row r="49" spans="1:31" ht="14.1" customHeight="1" x14ac:dyDescent="0.2">
      <c r="A49" s="2" t="s">
        <v>0</v>
      </c>
      <c r="B49" t="s">
        <v>1</v>
      </c>
      <c r="C49" t="s">
        <v>107</v>
      </c>
      <c r="D49" s="3">
        <v>44377</v>
      </c>
      <c r="E49" s="3">
        <v>44377</v>
      </c>
      <c r="F49" s="3">
        <v>44380</v>
      </c>
      <c r="G49" t="s">
        <v>3</v>
      </c>
      <c r="H49" t="s">
        <v>4</v>
      </c>
      <c r="I49" s="4">
        <v>7004</v>
      </c>
      <c r="J49" t="s">
        <v>81</v>
      </c>
      <c r="K49" t="s">
        <v>6</v>
      </c>
      <c r="L49" s="4">
        <v>592987.29</v>
      </c>
      <c r="M49" s="4">
        <v>7004</v>
      </c>
      <c r="N49" s="10" t="str">
        <f>IF(M49="","",IF(M49&lt;0,-M49&amp;"_"&amp;COUNTIF(M$2:M49,M49),M49&amp;"_"&amp;COUNTIF(M$2:M49,M49)))</f>
        <v>7004_1</v>
      </c>
      <c r="O49" s="11" t="str">
        <f t="shared" si="1"/>
        <v/>
      </c>
      <c r="P49" t="s">
        <v>108</v>
      </c>
      <c r="Q49" t="s">
        <v>8</v>
      </c>
      <c r="R49" t="s">
        <v>88</v>
      </c>
      <c r="S49" t="s">
        <v>0</v>
      </c>
      <c r="T49" t="s">
        <v>10</v>
      </c>
      <c r="U49" t="s">
        <v>109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s="3"/>
      <c r="AB49" t="s">
        <v>0</v>
      </c>
      <c r="AC49" t="s">
        <v>0</v>
      </c>
      <c r="AD49" t="s">
        <v>0</v>
      </c>
      <c r="AE49" s="4">
        <v>0</v>
      </c>
    </row>
    <row r="50" spans="1:31" ht="14.1" customHeight="1" x14ac:dyDescent="0.2">
      <c r="A50" s="2" t="s">
        <v>0</v>
      </c>
      <c r="B50" t="s">
        <v>1</v>
      </c>
      <c r="C50" t="s">
        <v>107</v>
      </c>
      <c r="D50" s="3">
        <v>44377</v>
      </c>
      <c r="E50" s="3">
        <v>44377</v>
      </c>
      <c r="F50" s="3">
        <v>44380</v>
      </c>
      <c r="G50" t="s">
        <v>3</v>
      </c>
      <c r="H50" t="s">
        <v>4</v>
      </c>
      <c r="I50" s="4">
        <v>7669</v>
      </c>
      <c r="J50" t="s">
        <v>101</v>
      </c>
      <c r="K50" t="s">
        <v>6</v>
      </c>
      <c r="L50" s="4">
        <v>650253.65</v>
      </c>
      <c r="M50" s="4">
        <v>7669</v>
      </c>
      <c r="N50" s="10" t="str">
        <f>IF(M50="","",IF(M50&lt;0,-M50&amp;"_"&amp;COUNTIF(M$2:M50,M50),M50&amp;"_"&amp;COUNTIF(M$2:M50,M50)))</f>
        <v>7669_1</v>
      </c>
      <c r="O50" s="11" t="str">
        <f t="shared" si="1"/>
        <v/>
      </c>
      <c r="P50" t="s">
        <v>108</v>
      </c>
      <c r="Q50" t="s">
        <v>8</v>
      </c>
      <c r="R50" t="s">
        <v>111</v>
      </c>
      <c r="S50" t="s">
        <v>0</v>
      </c>
      <c r="T50" t="s">
        <v>10</v>
      </c>
      <c r="U50" t="s">
        <v>109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s="3"/>
      <c r="AB50" t="s">
        <v>0</v>
      </c>
      <c r="AC50" t="s">
        <v>0</v>
      </c>
      <c r="AD50" t="s">
        <v>0</v>
      </c>
      <c r="AE50" s="4">
        <v>0</v>
      </c>
    </row>
    <row r="51" spans="1:31" ht="14.1" customHeight="1" x14ac:dyDescent="0.2">
      <c r="A51" s="2" t="s">
        <v>0</v>
      </c>
      <c r="B51" t="s">
        <v>1</v>
      </c>
      <c r="C51" t="s">
        <v>112</v>
      </c>
      <c r="D51" s="3">
        <v>44377</v>
      </c>
      <c r="E51" s="3">
        <v>44377</v>
      </c>
      <c r="F51" s="3">
        <v>44380</v>
      </c>
      <c r="G51" t="s">
        <v>3</v>
      </c>
      <c r="H51" t="s">
        <v>4</v>
      </c>
      <c r="I51" s="4">
        <v>7225</v>
      </c>
      <c r="J51" t="s">
        <v>5</v>
      </c>
      <c r="K51" t="s">
        <v>6</v>
      </c>
      <c r="L51" s="4">
        <v>612607.35</v>
      </c>
      <c r="M51" s="4">
        <v>7225</v>
      </c>
      <c r="N51" s="10" t="str">
        <f>IF(M51="","",IF(M51&lt;0,-M51&amp;"_"&amp;COUNTIF(M$2:M51,M51),M51&amp;"_"&amp;COUNTIF(M$2:M51,M51)))</f>
        <v>7225_1</v>
      </c>
      <c r="O51" s="11" t="str">
        <f t="shared" si="1"/>
        <v/>
      </c>
      <c r="P51" t="s">
        <v>113</v>
      </c>
      <c r="Q51" t="s">
        <v>8</v>
      </c>
      <c r="R51" t="s">
        <v>110</v>
      </c>
      <c r="S51" t="s">
        <v>0</v>
      </c>
      <c r="T51" t="s">
        <v>10</v>
      </c>
      <c r="U51" t="s">
        <v>114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s="3"/>
      <c r="AB51" t="s">
        <v>0</v>
      </c>
      <c r="AC51" t="s">
        <v>0</v>
      </c>
      <c r="AD51" t="s">
        <v>0</v>
      </c>
      <c r="AE51" s="4">
        <v>0</v>
      </c>
    </row>
    <row r="52" spans="1:31" ht="14.1" customHeight="1" x14ac:dyDescent="0.2">
      <c r="A52" s="2" t="s">
        <v>0</v>
      </c>
      <c r="B52" t="s">
        <v>1</v>
      </c>
      <c r="C52" t="s">
        <v>112</v>
      </c>
      <c r="D52" s="3">
        <v>44377</v>
      </c>
      <c r="E52" s="3">
        <v>44377</v>
      </c>
      <c r="F52" s="3">
        <v>44380</v>
      </c>
      <c r="G52" t="s">
        <v>3</v>
      </c>
      <c r="H52" t="s">
        <v>4</v>
      </c>
      <c r="I52" s="4">
        <v>31545</v>
      </c>
      <c r="J52" t="s">
        <v>101</v>
      </c>
      <c r="K52" t="s">
        <v>6</v>
      </c>
      <c r="L52" s="4">
        <v>2674696.9900000002</v>
      </c>
      <c r="M52" s="4">
        <v>31545</v>
      </c>
      <c r="N52" s="10" t="str">
        <f>IF(M52="","",IF(M52&lt;0,-M52&amp;"_"&amp;COUNTIF(M$2:M52,M52),M52&amp;"_"&amp;COUNTIF(M$2:M52,M52)))</f>
        <v>31545_1</v>
      </c>
      <c r="O52" s="11" t="str">
        <f t="shared" si="1"/>
        <v/>
      </c>
      <c r="P52" t="s">
        <v>113</v>
      </c>
      <c r="Q52" t="s">
        <v>8</v>
      </c>
      <c r="R52" t="s">
        <v>111</v>
      </c>
      <c r="S52" t="s">
        <v>0</v>
      </c>
      <c r="T52" t="s">
        <v>10</v>
      </c>
      <c r="U52" t="s">
        <v>114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s="3"/>
      <c r="AB52" t="s">
        <v>0</v>
      </c>
      <c r="AC52" t="s">
        <v>0</v>
      </c>
      <c r="AD52" t="s">
        <v>0</v>
      </c>
      <c r="AE52" s="4">
        <v>0</v>
      </c>
    </row>
    <row r="53" spans="1:31" ht="14.1" customHeight="1" x14ac:dyDescent="0.2">
      <c r="A53" s="2" t="s">
        <v>0</v>
      </c>
      <c r="B53" t="s">
        <v>1</v>
      </c>
      <c r="C53" t="s">
        <v>115</v>
      </c>
      <c r="D53" s="3">
        <v>44377</v>
      </c>
      <c r="E53" s="3">
        <v>44377</v>
      </c>
      <c r="F53" s="3">
        <v>44387</v>
      </c>
      <c r="G53" t="s">
        <v>3</v>
      </c>
      <c r="H53" t="s">
        <v>4</v>
      </c>
      <c r="I53" s="4">
        <v>1</v>
      </c>
      <c r="J53" t="s">
        <v>116</v>
      </c>
      <c r="K53" t="s">
        <v>6</v>
      </c>
      <c r="L53" s="4">
        <v>83.95</v>
      </c>
      <c r="M53" s="4">
        <v>1</v>
      </c>
      <c r="N53" s="10" t="str">
        <f>IF(M53="","",IF(M53&lt;0,-M53&amp;"_"&amp;COUNTIF(M$2:M53,M53),M53&amp;"_"&amp;COUNTIF(M$2:M53,M53)))</f>
        <v>1_1</v>
      </c>
      <c r="O53" s="11" t="str">
        <f t="shared" si="1"/>
        <v/>
      </c>
      <c r="P53" t="s">
        <v>117</v>
      </c>
      <c r="Q53" t="s">
        <v>8</v>
      </c>
      <c r="R53" t="s">
        <v>22</v>
      </c>
      <c r="S53" t="s">
        <v>0</v>
      </c>
      <c r="T53" t="s">
        <v>10</v>
      </c>
      <c r="U53" t="s">
        <v>118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s="3"/>
      <c r="AB53" t="s">
        <v>0</v>
      </c>
      <c r="AC53" t="s">
        <v>0</v>
      </c>
      <c r="AD53" t="s">
        <v>0</v>
      </c>
      <c r="AE53" s="4">
        <v>0</v>
      </c>
    </row>
    <row r="54" spans="1:31" x14ac:dyDescent="0.2">
      <c r="A54" s="5" t="s">
        <v>0</v>
      </c>
      <c r="B54" s="5" t="s">
        <v>0</v>
      </c>
      <c r="C54" s="5" t="s">
        <v>0</v>
      </c>
      <c r="D54" s="6"/>
      <c r="E54" s="6"/>
      <c r="F54" s="6"/>
      <c r="G54" s="5" t="s">
        <v>0</v>
      </c>
      <c r="H54" s="5" t="s">
        <v>4</v>
      </c>
      <c r="I54" s="7">
        <v>-907077</v>
      </c>
      <c r="J54" s="5" t="s">
        <v>0</v>
      </c>
      <c r="K54" s="5" t="s">
        <v>6</v>
      </c>
      <c r="L54" s="7">
        <v>-76902271.310000002</v>
      </c>
      <c r="M54" s="7">
        <v>-907077</v>
      </c>
      <c r="N54" s="10" t="str">
        <f>IF(M54="","",IF(M54&lt;0,-M54&amp;"_"&amp;COUNTIF(M$2:M54,M54),M54&amp;"_"&amp;COUNTIF(M$2:M54,M54)))</f>
        <v>907077_1</v>
      </c>
      <c r="O54" s="11" t="str">
        <f t="shared" si="1"/>
        <v/>
      </c>
      <c r="P54" s="5" t="s">
        <v>0</v>
      </c>
      <c r="Q54" s="5" t="s">
        <v>0</v>
      </c>
      <c r="R54" s="5" t="s">
        <v>0</v>
      </c>
      <c r="S54" s="5" t="s">
        <v>0</v>
      </c>
      <c r="T54" s="5" t="s">
        <v>0</v>
      </c>
      <c r="U54" s="5" t="s">
        <v>0</v>
      </c>
      <c r="V54" s="5" t="s">
        <v>0</v>
      </c>
      <c r="W54" s="5" t="s">
        <v>0</v>
      </c>
      <c r="X54" s="5" t="s">
        <v>0</v>
      </c>
      <c r="Y54" s="5" t="s">
        <v>0</v>
      </c>
      <c r="Z54" s="5" t="s">
        <v>0</v>
      </c>
      <c r="AA54" s="6"/>
      <c r="AB54" s="5" t="s">
        <v>0</v>
      </c>
      <c r="AC54" s="5" t="s">
        <v>0</v>
      </c>
      <c r="AD54" s="5" t="s">
        <v>0</v>
      </c>
      <c r="AE54" s="8"/>
    </row>
  </sheetData>
  <autoFilter ref="A1:AE54" xr:uid="{00000000-0001-0000-0000-000000000000}"/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ADC0-9B3F-4BF4-94B9-ACFA495A53AA}">
  <dimension ref="A1:AE52"/>
  <sheetViews>
    <sheetView tabSelected="1" workbookViewId="0">
      <selection activeCell="M49" sqref="M49"/>
    </sheetView>
  </sheetViews>
  <sheetFormatPr defaultRowHeight="12.75" x14ac:dyDescent="0.2"/>
  <cols>
    <col min="1" max="2" width="9.140625" style="15"/>
    <col min="3" max="3" width="17.85546875" style="15" bestFit="1" customWidth="1"/>
    <col min="4" max="12" width="9.140625" style="15"/>
    <col min="13" max="13" width="11.7109375" style="15" bestFit="1" customWidth="1"/>
    <col min="14" max="14" width="9.140625" style="15"/>
    <col min="15" max="15" width="10.7109375" style="15" bestFit="1" customWidth="1"/>
    <col min="16" max="16384" width="9.140625" style="15"/>
  </cols>
  <sheetData>
    <row r="1" spans="1:31" ht="38.25" x14ac:dyDescent="0.2">
      <c r="A1" s="13" t="s">
        <v>119</v>
      </c>
      <c r="B1" s="14" t="s">
        <v>120</v>
      </c>
      <c r="C1" s="14" t="s">
        <v>121</v>
      </c>
      <c r="D1" s="14" t="s">
        <v>122</v>
      </c>
      <c r="E1" s="14" t="s">
        <v>123</v>
      </c>
      <c r="F1" s="14" t="s">
        <v>124</v>
      </c>
      <c r="G1" s="13" t="s">
        <v>125</v>
      </c>
      <c r="H1" s="13" t="s">
        <v>126</v>
      </c>
      <c r="I1" s="13" t="s">
        <v>127</v>
      </c>
      <c r="J1" s="14" t="s">
        <v>128</v>
      </c>
      <c r="K1" s="13" t="s">
        <v>129</v>
      </c>
      <c r="L1" s="13" t="s">
        <v>130</v>
      </c>
      <c r="M1" s="13" t="s">
        <v>131</v>
      </c>
      <c r="N1" s="13" t="s">
        <v>148</v>
      </c>
      <c r="O1" s="13" t="s">
        <v>149</v>
      </c>
      <c r="P1" s="14" t="s">
        <v>132</v>
      </c>
      <c r="Q1" s="14" t="s">
        <v>133</v>
      </c>
      <c r="R1" s="14" t="s">
        <v>134</v>
      </c>
      <c r="S1" s="14" t="s">
        <v>135</v>
      </c>
      <c r="T1" s="14" t="s">
        <v>136</v>
      </c>
      <c r="U1" s="14" t="s">
        <v>137</v>
      </c>
      <c r="V1" s="14" t="s">
        <v>138</v>
      </c>
      <c r="W1" s="14" t="s">
        <v>139</v>
      </c>
      <c r="X1" s="14" t="s">
        <v>140</v>
      </c>
      <c r="Y1" s="14" t="s">
        <v>141</v>
      </c>
      <c r="Z1" s="14" t="s">
        <v>142</v>
      </c>
      <c r="AA1" s="14" t="s">
        <v>143</v>
      </c>
      <c r="AB1" s="14" t="s">
        <v>144</v>
      </c>
      <c r="AC1" s="14" t="s">
        <v>145</v>
      </c>
      <c r="AD1" s="14" t="s">
        <v>146</v>
      </c>
      <c r="AE1" s="13" t="s">
        <v>147</v>
      </c>
    </row>
    <row r="2" spans="1:31" x14ac:dyDescent="0.2">
      <c r="A2" s="16" t="s">
        <v>0</v>
      </c>
      <c r="B2" s="15" t="s">
        <v>1</v>
      </c>
      <c r="C2" s="15" t="s">
        <v>53</v>
      </c>
      <c r="D2" s="17">
        <v>44346</v>
      </c>
      <c r="E2" s="17">
        <v>44346</v>
      </c>
      <c r="F2" s="17">
        <v>44347</v>
      </c>
      <c r="G2" s="15" t="s">
        <v>3</v>
      </c>
      <c r="H2" s="15" t="s">
        <v>4</v>
      </c>
      <c r="I2" s="18">
        <v>176730</v>
      </c>
      <c r="J2" s="15" t="s">
        <v>5</v>
      </c>
      <c r="K2" s="15" t="s">
        <v>6</v>
      </c>
      <c r="L2" s="18">
        <v>14984926.84</v>
      </c>
      <c r="M2" s="18">
        <v>176730</v>
      </c>
      <c r="N2" s="19" t="s">
        <v>161</v>
      </c>
      <c r="O2" s="20" t="s">
        <v>0</v>
      </c>
      <c r="P2" s="15" t="s">
        <v>54</v>
      </c>
      <c r="Q2" s="15" t="s">
        <v>8</v>
      </c>
      <c r="R2" s="15" t="s">
        <v>41</v>
      </c>
      <c r="S2" s="15" t="s">
        <v>0</v>
      </c>
      <c r="T2" s="15" t="s">
        <v>10</v>
      </c>
      <c r="U2" s="15" t="s">
        <v>55</v>
      </c>
      <c r="V2" s="15" t="s">
        <v>0</v>
      </c>
      <c r="W2" s="15" t="s">
        <v>0</v>
      </c>
      <c r="X2" s="15" t="s">
        <v>0</v>
      </c>
      <c r="Y2" s="15" t="s">
        <v>0</v>
      </c>
      <c r="Z2" s="15" t="s">
        <v>0</v>
      </c>
      <c r="AA2" s="17"/>
      <c r="AB2" s="15" t="s">
        <v>0</v>
      </c>
      <c r="AC2" s="15" t="s">
        <v>0</v>
      </c>
      <c r="AD2" s="15" t="s">
        <v>0</v>
      </c>
      <c r="AE2" s="18">
        <v>0</v>
      </c>
    </row>
    <row r="3" spans="1:31" x14ac:dyDescent="0.2">
      <c r="A3" s="16" t="s">
        <v>0</v>
      </c>
      <c r="B3" s="15" t="s">
        <v>1</v>
      </c>
      <c r="C3" s="15" t="s">
        <v>92</v>
      </c>
      <c r="D3" s="17">
        <v>44368</v>
      </c>
      <c r="E3" s="17">
        <v>44368</v>
      </c>
      <c r="F3" s="17">
        <v>44370</v>
      </c>
      <c r="G3" s="15" t="s">
        <v>3</v>
      </c>
      <c r="H3" s="15" t="s">
        <v>4</v>
      </c>
      <c r="I3" s="18">
        <v>114818</v>
      </c>
      <c r="J3" s="15" t="s">
        <v>81</v>
      </c>
      <c r="K3" s="15" t="s">
        <v>6</v>
      </c>
      <c r="L3" s="18">
        <v>9720961.5299999993</v>
      </c>
      <c r="M3" s="18">
        <v>114818</v>
      </c>
      <c r="N3" s="19" t="s">
        <v>181</v>
      </c>
      <c r="O3" s="20" t="s">
        <v>0</v>
      </c>
      <c r="P3" s="15" t="s">
        <v>93</v>
      </c>
      <c r="Q3" s="15" t="s">
        <v>8</v>
      </c>
      <c r="R3" s="15" t="s">
        <v>88</v>
      </c>
      <c r="S3" s="15" t="s">
        <v>0</v>
      </c>
      <c r="T3" s="15" t="s">
        <v>10</v>
      </c>
      <c r="U3" s="15" t="s">
        <v>94</v>
      </c>
      <c r="V3" s="15" t="s">
        <v>0</v>
      </c>
      <c r="W3" s="15" t="s">
        <v>0</v>
      </c>
      <c r="X3" s="15" t="s">
        <v>0</v>
      </c>
      <c r="Y3" s="15" t="s">
        <v>0</v>
      </c>
      <c r="Z3" s="15" t="s">
        <v>0</v>
      </c>
      <c r="AA3" s="17"/>
      <c r="AB3" s="15" t="s">
        <v>0</v>
      </c>
      <c r="AC3" s="15" t="s">
        <v>0</v>
      </c>
      <c r="AD3" s="15" t="s">
        <v>0</v>
      </c>
      <c r="AE3" s="18">
        <v>0</v>
      </c>
    </row>
    <row r="4" spans="1:31" x14ac:dyDescent="0.2">
      <c r="A4" s="16" t="s">
        <v>0</v>
      </c>
      <c r="B4" s="15" t="s">
        <v>1</v>
      </c>
      <c r="C4" s="15" t="s">
        <v>92</v>
      </c>
      <c r="D4" s="17">
        <v>44368</v>
      </c>
      <c r="E4" s="17">
        <v>44368</v>
      </c>
      <c r="F4" s="17">
        <v>44370</v>
      </c>
      <c r="G4" s="15" t="s">
        <v>3</v>
      </c>
      <c r="H4" s="15" t="s">
        <v>4</v>
      </c>
      <c r="I4" s="18">
        <v>103497</v>
      </c>
      <c r="J4" s="15" t="s">
        <v>5</v>
      </c>
      <c r="K4" s="15" t="s">
        <v>6</v>
      </c>
      <c r="L4" s="18">
        <v>8775504.8599999994</v>
      </c>
      <c r="M4" s="18">
        <v>103497</v>
      </c>
      <c r="N4" s="19" t="s">
        <v>180</v>
      </c>
      <c r="O4" s="20" t="s">
        <v>0</v>
      </c>
      <c r="P4" s="15" t="s">
        <v>93</v>
      </c>
      <c r="Q4" s="15" t="s">
        <v>8</v>
      </c>
      <c r="R4" s="15" t="s">
        <v>62</v>
      </c>
      <c r="S4" s="15" t="s">
        <v>0</v>
      </c>
      <c r="T4" s="15" t="s">
        <v>10</v>
      </c>
      <c r="U4" s="15" t="s">
        <v>94</v>
      </c>
      <c r="V4" s="15" t="s">
        <v>0</v>
      </c>
      <c r="W4" s="15" t="s">
        <v>0</v>
      </c>
      <c r="X4" s="15" t="s">
        <v>0</v>
      </c>
      <c r="Y4" s="15" t="s">
        <v>0</v>
      </c>
      <c r="Z4" s="15" t="s">
        <v>0</v>
      </c>
      <c r="AA4" s="17"/>
      <c r="AB4" s="15" t="s">
        <v>0</v>
      </c>
      <c r="AC4" s="15" t="s">
        <v>0</v>
      </c>
      <c r="AD4" s="15" t="s">
        <v>0</v>
      </c>
      <c r="AE4" s="18">
        <v>0</v>
      </c>
    </row>
    <row r="5" spans="1:31" x14ac:dyDescent="0.2">
      <c r="A5" s="16" t="s">
        <v>0</v>
      </c>
      <c r="B5" s="15" t="s">
        <v>1</v>
      </c>
      <c r="C5" s="15" t="s">
        <v>95</v>
      </c>
      <c r="D5" s="17">
        <v>44371</v>
      </c>
      <c r="E5" s="17">
        <v>44371</v>
      </c>
      <c r="F5" s="17">
        <v>44374</v>
      </c>
      <c r="G5" s="15" t="s">
        <v>3</v>
      </c>
      <c r="H5" s="15" t="s">
        <v>4</v>
      </c>
      <c r="I5" s="18">
        <v>86663</v>
      </c>
      <c r="J5" s="15" t="s">
        <v>5</v>
      </c>
      <c r="K5" s="15" t="s">
        <v>6</v>
      </c>
      <c r="L5" s="18">
        <v>7348150.9400000004</v>
      </c>
      <c r="M5" s="18">
        <v>86663</v>
      </c>
      <c r="N5" s="19" t="s">
        <v>182</v>
      </c>
      <c r="O5" s="20" t="s">
        <v>0</v>
      </c>
      <c r="P5" s="15" t="s">
        <v>96</v>
      </c>
      <c r="Q5" s="15" t="s">
        <v>8</v>
      </c>
      <c r="R5" s="15" t="s">
        <v>41</v>
      </c>
      <c r="S5" s="15" t="s">
        <v>0</v>
      </c>
      <c r="T5" s="15" t="s">
        <v>10</v>
      </c>
      <c r="U5" s="15" t="s">
        <v>97</v>
      </c>
      <c r="V5" s="15" t="s">
        <v>0</v>
      </c>
      <c r="W5" s="15" t="s">
        <v>0</v>
      </c>
      <c r="X5" s="15" t="s">
        <v>0</v>
      </c>
      <c r="Y5" s="15" t="s">
        <v>0</v>
      </c>
      <c r="Z5" s="15" t="s">
        <v>0</v>
      </c>
      <c r="AA5" s="17"/>
      <c r="AB5" s="15" t="s">
        <v>0</v>
      </c>
      <c r="AC5" s="15" t="s">
        <v>0</v>
      </c>
      <c r="AD5" s="15" t="s">
        <v>0</v>
      </c>
      <c r="AE5" s="18">
        <v>0</v>
      </c>
    </row>
    <row r="6" spans="1:31" x14ac:dyDescent="0.2">
      <c r="A6" s="16" t="s">
        <v>0</v>
      </c>
      <c r="B6" s="15" t="s">
        <v>1</v>
      </c>
      <c r="C6" s="15" t="s">
        <v>95</v>
      </c>
      <c r="D6" s="17">
        <v>44371</v>
      </c>
      <c r="E6" s="17">
        <v>44371</v>
      </c>
      <c r="F6" s="17">
        <v>44374</v>
      </c>
      <c r="G6" s="15" t="s">
        <v>3</v>
      </c>
      <c r="H6" s="15" t="s">
        <v>4</v>
      </c>
      <c r="I6" s="18">
        <v>74944</v>
      </c>
      <c r="J6" s="15" t="s">
        <v>81</v>
      </c>
      <c r="K6" s="15" t="s">
        <v>6</v>
      </c>
      <c r="L6" s="18">
        <v>6345065.5899999999</v>
      </c>
      <c r="M6" s="18">
        <v>74944</v>
      </c>
      <c r="N6" s="19" t="s">
        <v>184</v>
      </c>
      <c r="O6" s="20" t="s">
        <v>0</v>
      </c>
      <c r="P6" s="15" t="s">
        <v>96</v>
      </c>
      <c r="Q6" s="15" t="s">
        <v>8</v>
      </c>
      <c r="R6" s="15" t="s">
        <v>99</v>
      </c>
      <c r="S6" s="15" t="s">
        <v>0</v>
      </c>
      <c r="T6" s="15" t="s">
        <v>10</v>
      </c>
      <c r="U6" s="15" t="s">
        <v>97</v>
      </c>
      <c r="V6" s="15" t="s">
        <v>0</v>
      </c>
      <c r="W6" s="15" t="s">
        <v>0</v>
      </c>
      <c r="X6" s="15" t="s">
        <v>0</v>
      </c>
      <c r="Y6" s="15" t="s">
        <v>0</v>
      </c>
      <c r="Z6" s="15" t="s">
        <v>0</v>
      </c>
      <c r="AA6" s="17"/>
      <c r="AB6" s="15" t="s">
        <v>0</v>
      </c>
      <c r="AC6" s="15" t="s">
        <v>0</v>
      </c>
      <c r="AD6" s="15" t="s">
        <v>0</v>
      </c>
      <c r="AE6" s="18">
        <v>0</v>
      </c>
    </row>
    <row r="7" spans="1:31" x14ac:dyDescent="0.2">
      <c r="A7" s="16" t="s">
        <v>0</v>
      </c>
      <c r="B7" s="15" t="s">
        <v>1</v>
      </c>
      <c r="C7" s="15" t="s">
        <v>89</v>
      </c>
      <c r="D7" s="17">
        <v>44367</v>
      </c>
      <c r="E7" s="17">
        <v>44367</v>
      </c>
      <c r="F7" s="17">
        <v>44369</v>
      </c>
      <c r="G7" s="15" t="s">
        <v>3</v>
      </c>
      <c r="H7" s="15" t="s">
        <v>4</v>
      </c>
      <c r="I7" s="18">
        <v>55359</v>
      </c>
      <c r="J7" s="15" t="s">
        <v>5</v>
      </c>
      <c r="K7" s="15" t="s">
        <v>6</v>
      </c>
      <c r="L7" s="18">
        <v>4693886.5199999996</v>
      </c>
      <c r="M7" s="18">
        <v>55359</v>
      </c>
      <c r="N7" s="19" t="s">
        <v>177</v>
      </c>
      <c r="O7" s="20" t="s">
        <v>0</v>
      </c>
      <c r="P7" s="15" t="s">
        <v>90</v>
      </c>
      <c r="Q7" s="15" t="s">
        <v>8</v>
      </c>
      <c r="R7" s="15" t="s">
        <v>62</v>
      </c>
      <c r="S7" s="15" t="s">
        <v>0</v>
      </c>
      <c r="T7" s="15" t="s">
        <v>10</v>
      </c>
      <c r="U7" s="15" t="s">
        <v>91</v>
      </c>
      <c r="V7" s="15" t="s">
        <v>0</v>
      </c>
      <c r="W7" s="15" t="s">
        <v>0</v>
      </c>
      <c r="X7" s="15" t="s">
        <v>0</v>
      </c>
      <c r="Y7" s="15" t="s">
        <v>0</v>
      </c>
      <c r="Z7" s="15" t="s">
        <v>0</v>
      </c>
      <c r="AA7" s="17"/>
      <c r="AB7" s="15" t="s">
        <v>0</v>
      </c>
      <c r="AC7" s="15" t="s">
        <v>0</v>
      </c>
      <c r="AD7" s="15" t="s">
        <v>0</v>
      </c>
      <c r="AE7" s="18">
        <v>0</v>
      </c>
    </row>
    <row r="8" spans="1:31" x14ac:dyDescent="0.2">
      <c r="A8" s="16" t="s">
        <v>0</v>
      </c>
      <c r="B8" s="15" t="s">
        <v>1</v>
      </c>
      <c r="C8" s="15" t="s">
        <v>28</v>
      </c>
      <c r="D8" s="17">
        <v>44327</v>
      </c>
      <c r="E8" s="17">
        <v>44327</v>
      </c>
      <c r="F8" s="17">
        <v>44339</v>
      </c>
      <c r="G8" s="15" t="s">
        <v>3</v>
      </c>
      <c r="H8" s="15" t="s">
        <v>4</v>
      </c>
      <c r="I8" s="18">
        <v>50371</v>
      </c>
      <c r="J8" s="15" t="s">
        <v>17</v>
      </c>
      <c r="K8" s="15" t="s">
        <v>6</v>
      </c>
      <c r="L8" s="18">
        <v>4264626.38</v>
      </c>
      <c r="M8" s="18">
        <v>50371</v>
      </c>
      <c r="N8" s="19" t="s">
        <v>152</v>
      </c>
      <c r="O8" s="20" t="s">
        <v>0</v>
      </c>
      <c r="P8" s="15" t="s">
        <v>29</v>
      </c>
      <c r="Q8" s="15" t="s">
        <v>8</v>
      </c>
      <c r="R8" s="15" t="s">
        <v>22</v>
      </c>
      <c r="S8" s="15" t="s">
        <v>0</v>
      </c>
      <c r="T8" s="15" t="s">
        <v>10</v>
      </c>
      <c r="U8" s="15" t="s">
        <v>30</v>
      </c>
      <c r="V8" s="15" t="s">
        <v>0</v>
      </c>
      <c r="W8" s="15" t="s">
        <v>0</v>
      </c>
      <c r="X8" s="15" t="s">
        <v>0</v>
      </c>
      <c r="Y8" s="15" t="s">
        <v>0</v>
      </c>
      <c r="Z8" s="15" t="s">
        <v>0</v>
      </c>
      <c r="AA8" s="17"/>
      <c r="AB8" s="15" t="s">
        <v>0</v>
      </c>
      <c r="AC8" s="15" t="s">
        <v>0</v>
      </c>
      <c r="AD8" s="15" t="s">
        <v>0</v>
      </c>
      <c r="AE8" s="18">
        <v>0</v>
      </c>
    </row>
    <row r="9" spans="1:31" x14ac:dyDescent="0.2">
      <c r="A9" s="16" t="s">
        <v>0</v>
      </c>
      <c r="B9" s="15" t="s">
        <v>1</v>
      </c>
      <c r="C9" s="15" t="s">
        <v>50</v>
      </c>
      <c r="D9" s="17">
        <v>44343</v>
      </c>
      <c r="E9" s="17">
        <v>44343</v>
      </c>
      <c r="F9" s="17">
        <v>44345</v>
      </c>
      <c r="G9" s="15" t="s">
        <v>3</v>
      </c>
      <c r="H9" s="15" t="s">
        <v>4</v>
      </c>
      <c r="I9" s="18">
        <v>43370</v>
      </c>
      <c r="J9" s="15" t="s">
        <v>35</v>
      </c>
      <c r="K9" s="15" t="s">
        <v>6</v>
      </c>
      <c r="L9" s="18">
        <v>3677333.29</v>
      </c>
      <c r="M9" s="18">
        <v>43370</v>
      </c>
      <c r="N9" s="19" t="s">
        <v>159</v>
      </c>
      <c r="O9" s="20" t="s">
        <v>0</v>
      </c>
      <c r="P9" s="15" t="s">
        <v>51</v>
      </c>
      <c r="Q9" s="15" t="s">
        <v>8</v>
      </c>
      <c r="R9" s="15" t="s">
        <v>45</v>
      </c>
      <c r="S9" s="15" t="s">
        <v>0</v>
      </c>
      <c r="T9" s="15" t="s">
        <v>10</v>
      </c>
      <c r="U9" s="15" t="s">
        <v>52</v>
      </c>
      <c r="V9" s="15" t="s">
        <v>0</v>
      </c>
      <c r="W9" s="15" t="s">
        <v>0</v>
      </c>
      <c r="X9" s="15" t="s">
        <v>0</v>
      </c>
      <c r="Y9" s="15" t="s">
        <v>0</v>
      </c>
      <c r="Z9" s="15" t="s">
        <v>0</v>
      </c>
      <c r="AA9" s="17"/>
      <c r="AB9" s="15" t="s">
        <v>0</v>
      </c>
      <c r="AC9" s="15" t="s">
        <v>0</v>
      </c>
      <c r="AD9" s="15" t="s">
        <v>0</v>
      </c>
      <c r="AE9" s="18">
        <v>0</v>
      </c>
    </row>
    <row r="10" spans="1:31" x14ac:dyDescent="0.2">
      <c r="A10" s="16" t="s">
        <v>0</v>
      </c>
      <c r="B10" s="15" t="s">
        <v>1</v>
      </c>
      <c r="C10" s="15" t="s">
        <v>66</v>
      </c>
      <c r="D10" s="17">
        <v>44355</v>
      </c>
      <c r="E10" s="17">
        <v>44355</v>
      </c>
      <c r="F10" s="17">
        <v>44356</v>
      </c>
      <c r="G10" s="15" t="s">
        <v>3</v>
      </c>
      <c r="H10" s="15" t="s">
        <v>4</v>
      </c>
      <c r="I10" s="18">
        <v>36158</v>
      </c>
      <c r="J10" s="15" t="s">
        <v>5</v>
      </c>
      <c r="K10" s="15" t="s">
        <v>6</v>
      </c>
      <c r="L10" s="18">
        <v>3065834.8</v>
      </c>
      <c r="M10" s="18">
        <v>36158</v>
      </c>
      <c r="N10" s="19" t="s">
        <v>169</v>
      </c>
      <c r="O10" s="20" t="s">
        <v>0</v>
      </c>
      <c r="P10" s="15" t="s">
        <v>67</v>
      </c>
      <c r="Q10" s="15" t="s">
        <v>8</v>
      </c>
      <c r="R10" s="15" t="s">
        <v>41</v>
      </c>
      <c r="S10" s="15" t="s">
        <v>0</v>
      </c>
      <c r="T10" s="15" t="s">
        <v>10</v>
      </c>
      <c r="U10" s="15" t="s">
        <v>68</v>
      </c>
      <c r="V10" s="15" t="s">
        <v>0</v>
      </c>
      <c r="W10" s="15" t="s">
        <v>0</v>
      </c>
      <c r="X10" s="15" t="s">
        <v>0</v>
      </c>
      <c r="Y10" s="15" t="s">
        <v>0</v>
      </c>
      <c r="Z10" s="15" t="s">
        <v>0</v>
      </c>
      <c r="AA10" s="17"/>
      <c r="AB10" s="15" t="s">
        <v>0</v>
      </c>
      <c r="AC10" s="15" t="s">
        <v>0</v>
      </c>
      <c r="AD10" s="15" t="s">
        <v>0</v>
      </c>
      <c r="AE10" s="18">
        <v>0</v>
      </c>
    </row>
    <row r="11" spans="1:31" x14ac:dyDescent="0.2">
      <c r="A11" s="16" t="s">
        <v>0</v>
      </c>
      <c r="B11" s="15" t="s">
        <v>1</v>
      </c>
      <c r="C11" s="15" t="s">
        <v>56</v>
      </c>
      <c r="D11" s="17">
        <v>44347</v>
      </c>
      <c r="E11" s="17">
        <v>44347</v>
      </c>
      <c r="F11" s="17">
        <v>44348</v>
      </c>
      <c r="G11" s="15" t="s">
        <v>3</v>
      </c>
      <c r="H11" s="15" t="s">
        <v>4</v>
      </c>
      <c r="I11" s="18">
        <v>34371</v>
      </c>
      <c r="J11" s="15" t="s">
        <v>35</v>
      </c>
      <c r="K11" s="15" t="s">
        <v>6</v>
      </c>
      <c r="L11" s="18">
        <v>2914309.95</v>
      </c>
      <c r="M11" s="18">
        <v>34371</v>
      </c>
      <c r="N11" s="19" t="s">
        <v>164</v>
      </c>
      <c r="O11" s="20" t="s">
        <v>0</v>
      </c>
      <c r="P11" s="15" t="s">
        <v>57</v>
      </c>
      <c r="Q11" s="15" t="s">
        <v>8</v>
      </c>
      <c r="R11" s="15" t="s">
        <v>45</v>
      </c>
      <c r="S11" s="15" t="s">
        <v>0</v>
      </c>
      <c r="T11" s="15" t="s">
        <v>10</v>
      </c>
      <c r="U11" s="15" t="s">
        <v>58</v>
      </c>
      <c r="V11" s="15" t="s">
        <v>0</v>
      </c>
      <c r="W11" s="15" t="s">
        <v>0</v>
      </c>
      <c r="X11" s="15" t="s">
        <v>0</v>
      </c>
      <c r="Y11" s="15" t="s">
        <v>0</v>
      </c>
      <c r="Z11" s="15" t="s">
        <v>0</v>
      </c>
      <c r="AA11" s="17"/>
      <c r="AB11" s="15" t="s">
        <v>0</v>
      </c>
      <c r="AC11" s="15" t="s">
        <v>0</v>
      </c>
      <c r="AD11" s="15" t="s">
        <v>0</v>
      </c>
      <c r="AE11" s="18">
        <v>0</v>
      </c>
    </row>
    <row r="12" spans="1:31" x14ac:dyDescent="0.2">
      <c r="A12" s="16" t="s">
        <v>0</v>
      </c>
      <c r="B12" s="15" t="s">
        <v>1</v>
      </c>
      <c r="C12" s="15" t="s">
        <v>43</v>
      </c>
      <c r="D12" s="17">
        <v>44336</v>
      </c>
      <c r="E12" s="17">
        <v>44336</v>
      </c>
      <c r="F12" s="17">
        <v>44340</v>
      </c>
      <c r="G12" s="15" t="s">
        <v>3</v>
      </c>
      <c r="H12" s="15" t="s">
        <v>4</v>
      </c>
      <c r="I12" s="18">
        <v>34012</v>
      </c>
      <c r="J12" s="15" t="s">
        <v>35</v>
      </c>
      <c r="K12" s="15" t="s">
        <v>6</v>
      </c>
      <c r="L12" s="18">
        <v>2883870.42</v>
      </c>
      <c r="M12" s="18">
        <v>34012</v>
      </c>
      <c r="N12" s="19" t="s">
        <v>156</v>
      </c>
      <c r="O12" s="20" t="s">
        <v>0</v>
      </c>
      <c r="P12" s="15" t="s">
        <v>44</v>
      </c>
      <c r="Q12" s="15" t="s">
        <v>8</v>
      </c>
      <c r="R12" s="15" t="s">
        <v>45</v>
      </c>
      <c r="S12" s="15" t="s">
        <v>0</v>
      </c>
      <c r="T12" s="15" t="s">
        <v>10</v>
      </c>
      <c r="U12" s="15" t="s">
        <v>46</v>
      </c>
      <c r="V12" s="15" t="s">
        <v>0</v>
      </c>
      <c r="W12" s="15" t="s">
        <v>0</v>
      </c>
      <c r="X12" s="15" t="s">
        <v>0</v>
      </c>
      <c r="Y12" s="15" t="s">
        <v>0</v>
      </c>
      <c r="Z12" s="15" t="s">
        <v>0</v>
      </c>
      <c r="AA12" s="17"/>
      <c r="AB12" s="15" t="s">
        <v>0</v>
      </c>
      <c r="AC12" s="15" t="s">
        <v>0</v>
      </c>
      <c r="AD12" s="15" t="s">
        <v>0</v>
      </c>
      <c r="AE12" s="18">
        <v>0</v>
      </c>
    </row>
    <row r="13" spans="1:31" x14ac:dyDescent="0.2">
      <c r="A13" s="16" t="s">
        <v>0</v>
      </c>
      <c r="B13" s="15" t="s">
        <v>1</v>
      </c>
      <c r="C13" s="15" t="s">
        <v>112</v>
      </c>
      <c r="D13" s="17">
        <v>44377</v>
      </c>
      <c r="E13" s="17">
        <v>44377</v>
      </c>
      <c r="F13" s="17">
        <v>44380</v>
      </c>
      <c r="G13" s="15" t="s">
        <v>3</v>
      </c>
      <c r="H13" s="15" t="s">
        <v>4</v>
      </c>
      <c r="I13" s="18">
        <v>31545</v>
      </c>
      <c r="J13" s="15" t="s">
        <v>101</v>
      </c>
      <c r="K13" s="15" t="s">
        <v>6</v>
      </c>
      <c r="L13" s="18">
        <v>2674696.9900000002</v>
      </c>
      <c r="M13" s="18">
        <v>31545</v>
      </c>
      <c r="N13" s="19" t="s">
        <v>194</v>
      </c>
      <c r="O13" s="20" t="s">
        <v>0</v>
      </c>
      <c r="P13" s="15" t="s">
        <v>113</v>
      </c>
      <c r="Q13" s="15" t="s">
        <v>8</v>
      </c>
      <c r="R13" s="15" t="s">
        <v>111</v>
      </c>
      <c r="S13" s="15" t="s">
        <v>0</v>
      </c>
      <c r="T13" s="15" t="s">
        <v>10</v>
      </c>
      <c r="U13" s="15" t="s">
        <v>114</v>
      </c>
      <c r="V13" s="15" t="s">
        <v>0</v>
      </c>
      <c r="W13" s="15" t="s">
        <v>0</v>
      </c>
      <c r="X13" s="15" t="s">
        <v>0</v>
      </c>
      <c r="Y13" s="15" t="s">
        <v>0</v>
      </c>
      <c r="Z13" s="15" t="s">
        <v>0</v>
      </c>
      <c r="AA13" s="17"/>
      <c r="AB13" s="15" t="s">
        <v>0</v>
      </c>
      <c r="AC13" s="15" t="s">
        <v>0</v>
      </c>
      <c r="AD13" s="15" t="s">
        <v>0</v>
      </c>
      <c r="AE13" s="18">
        <v>0</v>
      </c>
    </row>
    <row r="14" spans="1:31" x14ac:dyDescent="0.2">
      <c r="A14" s="16" t="s">
        <v>0</v>
      </c>
      <c r="B14" s="15" t="s">
        <v>1</v>
      </c>
      <c r="C14" s="15" t="s">
        <v>56</v>
      </c>
      <c r="D14" s="17">
        <v>44347</v>
      </c>
      <c r="E14" s="17">
        <v>44347</v>
      </c>
      <c r="F14" s="17">
        <v>44348</v>
      </c>
      <c r="G14" s="15" t="s">
        <v>3</v>
      </c>
      <c r="H14" s="15" t="s">
        <v>4</v>
      </c>
      <c r="I14" s="18">
        <v>29877</v>
      </c>
      <c r="J14" s="15" t="s">
        <v>5</v>
      </c>
      <c r="K14" s="15" t="s">
        <v>6</v>
      </c>
      <c r="L14" s="18">
        <v>2533269.16</v>
      </c>
      <c r="M14" s="18">
        <v>29877</v>
      </c>
      <c r="N14" s="19" t="s">
        <v>163</v>
      </c>
      <c r="O14" s="20" t="s">
        <v>0</v>
      </c>
      <c r="P14" s="15" t="s">
        <v>57</v>
      </c>
      <c r="Q14" s="15" t="s">
        <v>8</v>
      </c>
      <c r="R14" s="15" t="s">
        <v>41</v>
      </c>
      <c r="S14" s="15" t="s">
        <v>0</v>
      </c>
      <c r="T14" s="15" t="s">
        <v>10</v>
      </c>
      <c r="U14" s="15" t="s">
        <v>58</v>
      </c>
      <c r="V14" s="15" t="s">
        <v>0</v>
      </c>
      <c r="W14" s="15" t="s">
        <v>0</v>
      </c>
      <c r="X14" s="15" t="s">
        <v>0</v>
      </c>
      <c r="Y14" s="15" t="s">
        <v>0</v>
      </c>
      <c r="Z14" s="15" t="s">
        <v>0</v>
      </c>
      <c r="AA14" s="17"/>
      <c r="AB14" s="15" t="s">
        <v>0</v>
      </c>
      <c r="AC14" s="15" t="s">
        <v>0</v>
      </c>
      <c r="AD14" s="15" t="s">
        <v>0</v>
      </c>
      <c r="AE14" s="18">
        <v>0</v>
      </c>
    </row>
    <row r="15" spans="1:31" x14ac:dyDescent="0.2">
      <c r="A15" s="16" t="s">
        <v>0</v>
      </c>
      <c r="B15" s="15" t="s">
        <v>1</v>
      </c>
      <c r="C15" s="15" t="s">
        <v>38</v>
      </c>
      <c r="D15" s="17">
        <v>44334</v>
      </c>
      <c r="E15" s="17">
        <v>44334</v>
      </c>
      <c r="F15" s="17">
        <v>44340</v>
      </c>
      <c r="G15" s="15" t="s">
        <v>3</v>
      </c>
      <c r="H15" s="15" t="s">
        <v>4</v>
      </c>
      <c r="I15" s="18">
        <v>29763</v>
      </c>
      <c r="J15" s="15" t="s">
        <v>17</v>
      </c>
      <c r="K15" s="15" t="s">
        <v>6</v>
      </c>
      <c r="L15" s="18">
        <v>2519864.11</v>
      </c>
      <c r="M15" s="18">
        <v>29763</v>
      </c>
      <c r="N15" s="19" t="s">
        <v>155</v>
      </c>
      <c r="O15" s="20" t="s">
        <v>0</v>
      </c>
      <c r="P15" s="15" t="s">
        <v>40</v>
      </c>
      <c r="Q15" s="15" t="s">
        <v>8</v>
      </c>
      <c r="R15" s="15" t="s">
        <v>22</v>
      </c>
      <c r="S15" s="15" t="s">
        <v>0</v>
      </c>
      <c r="T15" s="15" t="s">
        <v>10</v>
      </c>
      <c r="U15" s="15" t="s">
        <v>42</v>
      </c>
      <c r="V15" s="15" t="s">
        <v>0</v>
      </c>
      <c r="W15" s="15" t="s">
        <v>0</v>
      </c>
      <c r="X15" s="15" t="s">
        <v>0</v>
      </c>
      <c r="Y15" s="15" t="s">
        <v>0</v>
      </c>
      <c r="Z15" s="15" t="s">
        <v>0</v>
      </c>
      <c r="AA15" s="17"/>
      <c r="AB15" s="15" t="s">
        <v>0</v>
      </c>
      <c r="AC15" s="15" t="s">
        <v>0</v>
      </c>
      <c r="AD15" s="15" t="s">
        <v>0</v>
      </c>
      <c r="AE15" s="18">
        <v>0</v>
      </c>
    </row>
    <row r="16" spans="1:31" x14ac:dyDescent="0.2">
      <c r="A16" s="16" t="s">
        <v>0</v>
      </c>
      <c r="B16" s="15" t="s">
        <v>1</v>
      </c>
      <c r="C16" s="15" t="s">
        <v>60</v>
      </c>
      <c r="D16" s="17">
        <v>44355</v>
      </c>
      <c r="E16" s="17">
        <v>44355</v>
      </c>
      <c r="F16" s="17">
        <v>44356</v>
      </c>
      <c r="G16" s="15" t="s">
        <v>3</v>
      </c>
      <c r="H16" s="15" t="s">
        <v>4</v>
      </c>
      <c r="I16" s="18">
        <v>29552</v>
      </c>
      <c r="J16" s="15" t="s">
        <v>5</v>
      </c>
      <c r="K16" s="15" t="s">
        <v>6</v>
      </c>
      <c r="L16" s="18">
        <v>2505712.4300000002</v>
      </c>
      <c r="M16" s="18">
        <v>29552</v>
      </c>
      <c r="N16" s="19" t="s">
        <v>166</v>
      </c>
      <c r="O16" s="20" t="s">
        <v>0</v>
      </c>
      <c r="P16" s="15" t="s">
        <v>61</v>
      </c>
      <c r="Q16" s="15" t="s">
        <v>8</v>
      </c>
      <c r="R16" s="15" t="s">
        <v>62</v>
      </c>
      <c r="S16" s="15" t="s">
        <v>0</v>
      </c>
      <c r="T16" s="15" t="s">
        <v>10</v>
      </c>
      <c r="U16" s="15" t="s">
        <v>63</v>
      </c>
      <c r="V16" s="15" t="s">
        <v>0</v>
      </c>
      <c r="W16" s="15" t="s">
        <v>0</v>
      </c>
      <c r="X16" s="15" t="s">
        <v>0</v>
      </c>
      <c r="Y16" s="15" t="s">
        <v>0</v>
      </c>
      <c r="Z16" s="15" t="s">
        <v>0</v>
      </c>
      <c r="AA16" s="17"/>
      <c r="AB16" s="15" t="s">
        <v>0</v>
      </c>
      <c r="AC16" s="15" t="s">
        <v>0</v>
      </c>
      <c r="AD16" s="15" t="s">
        <v>0</v>
      </c>
      <c r="AE16" s="18">
        <v>0</v>
      </c>
    </row>
    <row r="17" spans="1:31" x14ac:dyDescent="0.2">
      <c r="A17" s="16" t="s">
        <v>0</v>
      </c>
      <c r="B17" s="15" t="s">
        <v>1</v>
      </c>
      <c r="C17" s="15" t="s">
        <v>104</v>
      </c>
      <c r="D17" s="17">
        <v>44376</v>
      </c>
      <c r="E17" s="17">
        <v>44376</v>
      </c>
      <c r="F17" s="17">
        <v>44380</v>
      </c>
      <c r="G17" s="15" t="s">
        <v>3</v>
      </c>
      <c r="H17" s="15" t="s">
        <v>4</v>
      </c>
      <c r="I17" s="18">
        <v>25340</v>
      </c>
      <c r="J17" s="15" t="s">
        <v>5</v>
      </c>
      <c r="K17" s="15" t="s">
        <v>6</v>
      </c>
      <c r="L17" s="18">
        <v>2148577.19</v>
      </c>
      <c r="M17" s="18">
        <v>25340</v>
      </c>
      <c r="N17" s="19" t="s">
        <v>187</v>
      </c>
      <c r="O17" s="20" t="s">
        <v>0</v>
      </c>
      <c r="P17" s="15" t="s">
        <v>105</v>
      </c>
      <c r="Q17" s="15" t="s">
        <v>8</v>
      </c>
      <c r="R17" s="15" t="s">
        <v>98</v>
      </c>
      <c r="S17" s="15" t="s">
        <v>0</v>
      </c>
      <c r="T17" s="15" t="s">
        <v>10</v>
      </c>
      <c r="U17" s="15" t="s">
        <v>106</v>
      </c>
      <c r="V17" s="15" t="s">
        <v>0</v>
      </c>
      <c r="W17" s="15" t="s">
        <v>0</v>
      </c>
      <c r="X17" s="15" t="s">
        <v>0</v>
      </c>
      <c r="Y17" s="15" t="s">
        <v>0</v>
      </c>
      <c r="Z17" s="15" t="s">
        <v>0</v>
      </c>
      <c r="AA17" s="17"/>
      <c r="AB17" s="15" t="s">
        <v>0</v>
      </c>
      <c r="AC17" s="15" t="s">
        <v>0</v>
      </c>
      <c r="AD17" s="15" t="s">
        <v>0</v>
      </c>
      <c r="AE17" s="18">
        <v>0</v>
      </c>
    </row>
    <row r="18" spans="1:31" x14ac:dyDescent="0.2">
      <c r="A18" s="16" t="s">
        <v>0</v>
      </c>
      <c r="B18" s="15" t="s">
        <v>1</v>
      </c>
      <c r="C18" s="15" t="s">
        <v>20</v>
      </c>
      <c r="D18" s="17">
        <v>44321</v>
      </c>
      <c r="E18" s="17">
        <v>44321</v>
      </c>
      <c r="F18" s="17">
        <v>44338</v>
      </c>
      <c r="G18" s="15" t="s">
        <v>3</v>
      </c>
      <c r="H18" s="15" t="s">
        <v>4</v>
      </c>
      <c r="I18" s="18">
        <v>24999</v>
      </c>
      <c r="J18" s="15" t="s">
        <v>17</v>
      </c>
      <c r="K18" s="15" t="s">
        <v>6</v>
      </c>
      <c r="L18" s="18">
        <v>2116523.29</v>
      </c>
      <c r="M18" s="18">
        <v>24999</v>
      </c>
      <c r="N18" s="19" t="s">
        <v>150</v>
      </c>
      <c r="O18" s="20" t="s">
        <v>0</v>
      </c>
      <c r="P18" s="15" t="s">
        <v>21</v>
      </c>
      <c r="Q18" s="15" t="s">
        <v>8</v>
      </c>
      <c r="R18" s="15" t="s">
        <v>22</v>
      </c>
      <c r="S18" s="15" t="s">
        <v>0</v>
      </c>
      <c r="T18" s="15" t="s">
        <v>10</v>
      </c>
      <c r="U18" s="15" t="s">
        <v>23</v>
      </c>
      <c r="V18" s="15" t="s">
        <v>0</v>
      </c>
      <c r="W18" s="15" t="s">
        <v>0</v>
      </c>
      <c r="X18" s="15" t="s">
        <v>0</v>
      </c>
      <c r="Y18" s="15" t="s">
        <v>0</v>
      </c>
      <c r="Z18" s="15" t="s">
        <v>0</v>
      </c>
      <c r="AA18" s="17"/>
      <c r="AB18" s="15" t="s">
        <v>0</v>
      </c>
      <c r="AC18" s="15" t="s">
        <v>0</v>
      </c>
      <c r="AD18" s="15" t="s">
        <v>0</v>
      </c>
      <c r="AE18" s="18">
        <v>0</v>
      </c>
    </row>
    <row r="19" spans="1:31" x14ac:dyDescent="0.2">
      <c r="A19" s="16" t="s">
        <v>0</v>
      </c>
      <c r="B19" s="15" t="s">
        <v>1</v>
      </c>
      <c r="C19" s="15" t="s">
        <v>104</v>
      </c>
      <c r="D19" s="17">
        <v>44376</v>
      </c>
      <c r="E19" s="17">
        <v>44376</v>
      </c>
      <c r="F19" s="17">
        <v>44380</v>
      </c>
      <c r="G19" s="15" t="s">
        <v>3</v>
      </c>
      <c r="H19" s="15" t="s">
        <v>4</v>
      </c>
      <c r="I19" s="18">
        <v>23552</v>
      </c>
      <c r="J19" s="15" t="s">
        <v>81</v>
      </c>
      <c r="K19" s="15" t="s">
        <v>6</v>
      </c>
      <c r="L19" s="18">
        <v>1994008.66</v>
      </c>
      <c r="M19" s="18">
        <v>23552</v>
      </c>
      <c r="N19" s="19" t="s">
        <v>188</v>
      </c>
      <c r="O19" s="20" t="s">
        <v>0</v>
      </c>
      <c r="P19" s="15" t="s">
        <v>105</v>
      </c>
      <c r="Q19" s="15" t="s">
        <v>8</v>
      </c>
      <c r="R19" s="15" t="s">
        <v>99</v>
      </c>
      <c r="S19" s="15" t="s">
        <v>0</v>
      </c>
      <c r="T19" s="15" t="s">
        <v>10</v>
      </c>
      <c r="U19" s="15" t="s">
        <v>106</v>
      </c>
      <c r="V19" s="15" t="s">
        <v>0</v>
      </c>
      <c r="W19" s="15" t="s">
        <v>0</v>
      </c>
      <c r="X19" s="15" t="s">
        <v>0</v>
      </c>
      <c r="Y19" s="15" t="s">
        <v>0</v>
      </c>
      <c r="Z19" s="15" t="s">
        <v>0</v>
      </c>
      <c r="AA19" s="17"/>
      <c r="AB19" s="15" t="s">
        <v>0</v>
      </c>
      <c r="AC19" s="15" t="s">
        <v>0</v>
      </c>
      <c r="AD19" s="15" t="s">
        <v>0</v>
      </c>
      <c r="AE19" s="18">
        <v>0</v>
      </c>
    </row>
    <row r="20" spans="1:31" x14ac:dyDescent="0.2">
      <c r="A20" s="16" t="s">
        <v>0</v>
      </c>
      <c r="B20" s="15" t="s">
        <v>1</v>
      </c>
      <c r="C20" s="15" t="s">
        <v>74</v>
      </c>
      <c r="D20" s="17">
        <v>44361</v>
      </c>
      <c r="E20" s="17">
        <v>44361</v>
      </c>
      <c r="F20" s="17">
        <v>44367</v>
      </c>
      <c r="G20" s="15" t="s">
        <v>3</v>
      </c>
      <c r="H20" s="15" t="s">
        <v>4</v>
      </c>
      <c r="I20" s="18">
        <v>22241</v>
      </c>
      <c r="J20" s="15" t="s">
        <v>5</v>
      </c>
      <c r="K20" s="15" t="s">
        <v>6</v>
      </c>
      <c r="L20" s="18">
        <v>1885813.15</v>
      </c>
      <c r="M20" s="18">
        <v>22241</v>
      </c>
      <c r="N20" s="19" t="s">
        <v>172</v>
      </c>
      <c r="O20" s="20" t="s">
        <v>0</v>
      </c>
      <c r="P20" s="15" t="s">
        <v>75</v>
      </c>
      <c r="Q20" s="15" t="s">
        <v>8</v>
      </c>
      <c r="R20" s="15" t="s">
        <v>62</v>
      </c>
      <c r="S20" s="15" t="s">
        <v>0</v>
      </c>
      <c r="T20" s="15" t="s">
        <v>10</v>
      </c>
      <c r="U20" s="15" t="s">
        <v>76</v>
      </c>
      <c r="V20" s="15" t="s">
        <v>0</v>
      </c>
      <c r="W20" s="15" t="s">
        <v>0</v>
      </c>
      <c r="X20" s="15" t="s">
        <v>0</v>
      </c>
      <c r="Y20" s="15" t="s">
        <v>0</v>
      </c>
      <c r="Z20" s="15" t="s">
        <v>0</v>
      </c>
      <c r="AA20" s="17"/>
      <c r="AB20" s="15" t="s">
        <v>0</v>
      </c>
      <c r="AC20" s="15" t="s">
        <v>0</v>
      </c>
      <c r="AD20" s="15" t="s">
        <v>0</v>
      </c>
      <c r="AE20" s="18">
        <v>0</v>
      </c>
    </row>
    <row r="21" spans="1:31" x14ac:dyDescent="0.2">
      <c r="A21" s="16" t="s">
        <v>0</v>
      </c>
      <c r="B21" s="15" t="s">
        <v>1</v>
      </c>
      <c r="C21" s="15" t="s">
        <v>50</v>
      </c>
      <c r="D21" s="17">
        <v>44343</v>
      </c>
      <c r="E21" s="17">
        <v>44343</v>
      </c>
      <c r="F21" s="17">
        <v>44345</v>
      </c>
      <c r="G21" s="15" t="s">
        <v>3</v>
      </c>
      <c r="H21" s="15" t="s">
        <v>4</v>
      </c>
      <c r="I21" s="18">
        <v>18689</v>
      </c>
      <c r="J21" s="15" t="s">
        <v>5</v>
      </c>
      <c r="K21" s="15" t="s">
        <v>6</v>
      </c>
      <c r="L21" s="18">
        <v>1584639.27</v>
      </c>
      <c r="M21" s="18">
        <v>18689</v>
      </c>
      <c r="N21" s="19" t="s">
        <v>158</v>
      </c>
      <c r="O21" s="20" t="s">
        <v>0</v>
      </c>
      <c r="P21" s="15" t="s">
        <v>51</v>
      </c>
      <c r="Q21" s="15" t="s">
        <v>8</v>
      </c>
      <c r="R21" s="15" t="s">
        <v>41</v>
      </c>
      <c r="S21" s="15" t="s">
        <v>0</v>
      </c>
      <c r="T21" s="15" t="s">
        <v>10</v>
      </c>
      <c r="U21" s="15" t="s">
        <v>52</v>
      </c>
      <c r="V21" s="15" t="s">
        <v>0</v>
      </c>
      <c r="W21" s="15" t="s">
        <v>0</v>
      </c>
      <c r="X21" s="15" t="s">
        <v>0</v>
      </c>
      <c r="Y21" s="15" t="s">
        <v>0</v>
      </c>
      <c r="Z21" s="15" t="s">
        <v>0</v>
      </c>
      <c r="AA21" s="17"/>
      <c r="AB21" s="15" t="s">
        <v>0</v>
      </c>
      <c r="AC21" s="15" t="s">
        <v>0</v>
      </c>
      <c r="AD21" s="15" t="s">
        <v>0</v>
      </c>
      <c r="AE21" s="18">
        <v>0</v>
      </c>
    </row>
    <row r="22" spans="1:31" x14ac:dyDescent="0.2">
      <c r="A22" s="16" t="s">
        <v>0</v>
      </c>
      <c r="B22" s="15" t="s">
        <v>1</v>
      </c>
      <c r="C22" s="15" t="s">
        <v>104</v>
      </c>
      <c r="D22" s="17">
        <v>44376</v>
      </c>
      <c r="E22" s="17">
        <v>44376</v>
      </c>
      <c r="F22" s="17">
        <v>44380</v>
      </c>
      <c r="G22" s="15" t="s">
        <v>3</v>
      </c>
      <c r="H22" s="15" t="s">
        <v>4</v>
      </c>
      <c r="I22" s="18">
        <v>17538</v>
      </c>
      <c r="J22" s="15" t="s">
        <v>5</v>
      </c>
      <c r="K22" s="15" t="s">
        <v>6</v>
      </c>
      <c r="L22" s="18">
        <v>1487046.04</v>
      </c>
      <c r="M22" s="18">
        <v>17538</v>
      </c>
      <c r="N22" s="19" t="s">
        <v>186</v>
      </c>
      <c r="O22" s="20" t="s">
        <v>0</v>
      </c>
      <c r="P22" s="15" t="s">
        <v>105</v>
      </c>
      <c r="Q22" s="15" t="s">
        <v>8</v>
      </c>
      <c r="R22" s="15" t="s">
        <v>41</v>
      </c>
      <c r="S22" s="15" t="s">
        <v>0</v>
      </c>
      <c r="T22" s="15" t="s">
        <v>10</v>
      </c>
      <c r="U22" s="15" t="s">
        <v>106</v>
      </c>
      <c r="V22" s="15" t="s">
        <v>0</v>
      </c>
      <c r="W22" s="15" t="s">
        <v>0</v>
      </c>
      <c r="X22" s="15" t="s">
        <v>0</v>
      </c>
      <c r="Y22" s="15" t="s">
        <v>0</v>
      </c>
      <c r="Z22" s="15" t="s">
        <v>0</v>
      </c>
      <c r="AA22" s="17"/>
      <c r="AB22" s="15" t="s">
        <v>0</v>
      </c>
      <c r="AC22" s="15" t="s">
        <v>0</v>
      </c>
      <c r="AD22" s="15" t="s">
        <v>0</v>
      </c>
      <c r="AE22" s="18">
        <v>0</v>
      </c>
    </row>
    <row r="23" spans="1:31" x14ac:dyDescent="0.2">
      <c r="A23" s="16" t="s">
        <v>0</v>
      </c>
      <c r="B23" s="15" t="s">
        <v>1</v>
      </c>
      <c r="C23" s="15" t="s">
        <v>89</v>
      </c>
      <c r="D23" s="17">
        <v>44367</v>
      </c>
      <c r="E23" s="17">
        <v>44367</v>
      </c>
      <c r="F23" s="17">
        <v>44369</v>
      </c>
      <c r="G23" s="15" t="s">
        <v>3</v>
      </c>
      <c r="H23" s="15" t="s">
        <v>4</v>
      </c>
      <c r="I23" s="18">
        <v>17526</v>
      </c>
      <c r="J23" s="15" t="s">
        <v>35</v>
      </c>
      <c r="K23" s="15" t="s">
        <v>6</v>
      </c>
      <c r="L23" s="18">
        <v>1486025.9</v>
      </c>
      <c r="M23" s="18">
        <v>17526</v>
      </c>
      <c r="N23" s="19" t="s">
        <v>179</v>
      </c>
      <c r="O23" s="20" t="s">
        <v>0</v>
      </c>
      <c r="P23" s="15" t="s">
        <v>90</v>
      </c>
      <c r="Q23" s="15" t="s">
        <v>8</v>
      </c>
      <c r="R23" s="15" t="s">
        <v>64</v>
      </c>
      <c r="S23" s="15" t="s">
        <v>0</v>
      </c>
      <c r="T23" s="15" t="s">
        <v>10</v>
      </c>
      <c r="U23" s="15" t="s">
        <v>91</v>
      </c>
      <c r="V23" s="15" t="s">
        <v>0</v>
      </c>
      <c r="W23" s="15" t="s">
        <v>0</v>
      </c>
      <c r="X23" s="15" t="s">
        <v>0</v>
      </c>
      <c r="Y23" s="15" t="s">
        <v>0</v>
      </c>
      <c r="Z23" s="15" t="s">
        <v>0</v>
      </c>
      <c r="AA23" s="17"/>
      <c r="AB23" s="15" t="s">
        <v>0</v>
      </c>
      <c r="AC23" s="15" t="s">
        <v>0</v>
      </c>
      <c r="AD23" s="15" t="s">
        <v>0</v>
      </c>
      <c r="AE23" s="18">
        <v>0</v>
      </c>
    </row>
    <row r="24" spans="1:31" x14ac:dyDescent="0.2">
      <c r="A24" s="16" t="s">
        <v>0</v>
      </c>
      <c r="B24" s="15" t="s">
        <v>1</v>
      </c>
      <c r="C24" s="15" t="s">
        <v>53</v>
      </c>
      <c r="D24" s="17">
        <v>44346</v>
      </c>
      <c r="E24" s="17">
        <v>44346</v>
      </c>
      <c r="F24" s="17">
        <v>44347</v>
      </c>
      <c r="G24" s="15" t="s">
        <v>3</v>
      </c>
      <c r="H24" s="15" t="s">
        <v>4</v>
      </c>
      <c r="I24" s="18">
        <v>10074</v>
      </c>
      <c r="J24" s="15" t="s">
        <v>35</v>
      </c>
      <c r="K24" s="15" t="s">
        <v>6</v>
      </c>
      <c r="L24" s="18">
        <v>854172.37</v>
      </c>
      <c r="M24" s="18">
        <v>10074</v>
      </c>
      <c r="N24" s="19" t="s">
        <v>162</v>
      </c>
      <c r="O24" s="20" t="s">
        <v>0</v>
      </c>
      <c r="P24" s="15" t="s">
        <v>54</v>
      </c>
      <c r="Q24" s="15" t="s">
        <v>8</v>
      </c>
      <c r="R24" s="15" t="s">
        <v>45</v>
      </c>
      <c r="S24" s="15" t="s">
        <v>0</v>
      </c>
      <c r="T24" s="15" t="s">
        <v>10</v>
      </c>
      <c r="U24" s="15" t="s">
        <v>55</v>
      </c>
      <c r="V24" s="15" t="s">
        <v>0</v>
      </c>
      <c r="W24" s="15" t="s">
        <v>0</v>
      </c>
      <c r="X24" s="15" t="s">
        <v>0</v>
      </c>
      <c r="Y24" s="15" t="s">
        <v>0</v>
      </c>
      <c r="Z24" s="15" t="s">
        <v>0</v>
      </c>
      <c r="AA24" s="17"/>
      <c r="AB24" s="15" t="s">
        <v>0</v>
      </c>
      <c r="AC24" s="15" t="s">
        <v>0</v>
      </c>
      <c r="AD24" s="15" t="s">
        <v>0</v>
      </c>
      <c r="AE24" s="18">
        <v>0</v>
      </c>
    </row>
    <row r="25" spans="1:31" x14ac:dyDescent="0.2">
      <c r="A25" s="16" t="s">
        <v>0</v>
      </c>
      <c r="B25" s="15" t="s">
        <v>1</v>
      </c>
      <c r="C25" s="15" t="s">
        <v>60</v>
      </c>
      <c r="D25" s="17">
        <v>44355</v>
      </c>
      <c r="E25" s="17">
        <v>44355</v>
      </c>
      <c r="F25" s="17">
        <v>44356</v>
      </c>
      <c r="G25" s="15" t="s">
        <v>3</v>
      </c>
      <c r="H25" s="15" t="s">
        <v>4</v>
      </c>
      <c r="I25" s="18">
        <v>9563</v>
      </c>
      <c r="J25" s="15" t="s">
        <v>35</v>
      </c>
      <c r="K25" s="15" t="s">
        <v>6</v>
      </c>
      <c r="L25" s="18">
        <v>810844.78</v>
      </c>
      <c r="M25" s="18">
        <v>9563</v>
      </c>
      <c r="N25" s="19" t="s">
        <v>167</v>
      </c>
      <c r="O25" s="20" t="s">
        <v>0</v>
      </c>
      <c r="P25" s="15" t="s">
        <v>61</v>
      </c>
      <c r="Q25" s="15" t="s">
        <v>8</v>
      </c>
      <c r="R25" s="15" t="s">
        <v>64</v>
      </c>
      <c r="S25" s="15" t="s">
        <v>0</v>
      </c>
      <c r="T25" s="15" t="s">
        <v>10</v>
      </c>
      <c r="U25" s="15" t="s">
        <v>63</v>
      </c>
      <c r="V25" s="15" t="s">
        <v>0</v>
      </c>
      <c r="W25" s="15" t="s">
        <v>0</v>
      </c>
      <c r="X25" s="15" t="s">
        <v>0</v>
      </c>
      <c r="Y25" s="15" t="s">
        <v>0</v>
      </c>
      <c r="Z25" s="15" t="s">
        <v>0</v>
      </c>
      <c r="AA25" s="17"/>
      <c r="AB25" s="15" t="s">
        <v>0</v>
      </c>
      <c r="AC25" s="15" t="s">
        <v>0</v>
      </c>
      <c r="AD25" s="15" t="s">
        <v>0</v>
      </c>
      <c r="AE25" s="18">
        <v>0</v>
      </c>
    </row>
    <row r="26" spans="1:31" x14ac:dyDescent="0.2">
      <c r="A26" s="16" t="s">
        <v>0</v>
      </c>
      <c r="B26" s="15" t="s">
        <v>1</v>
      </c>
      <c r="C26" s="15" t="s">
        <v>107</v>
      </c>
      <c r="D26" s="17">
        <v>44377</v>
      </c>
      <c r="E26" s="17">
        <v>44377</v>
      </c>
      <c r="F26" s="17">
        <v>44380</v>
      </c>
      <c r="G26" s="15" t="s">
        <v>3</v>
      </c>
      <c r="H26" s="15" t="s">
        <v>4</v>
      </c>
      <c r="I26" s="18">
        <v>8342</v>
      </c>
      <c r="J26" s="15" t="s">
        <v>5</v>
      </c>
      <c r="K26" s="15" t="s">
        <v>6</v>
      </c>
      <c r="L26" s="18">
        <v>707317.71</v>
      </c>
      <c r="M26" s="18">
        <v>8342</v>
      </c>
      <c r="N26" s="19" t="s">
        <v>189</v>
      </c>
      <c r="O26" s="20" t="s">
        <v>0</v>
      </c>
      <c r="P26" s="15" t="s">
        <v>108</v>
      </c>
      <c r="Q26" s="15" t="s">
        <v>8</v>
      </c>
      <c r="R26" s="15" t="s">
        <v>62</v>
      </c>
      <c r="S26" s="15" t="s">
        <v>0</v>
      </c>
      <c r="T26" s="15" t="s">
        <v>10</v>
      </c>
      <c r="U26" s="15" t="s">
        <v>109</v>
      </c>
      <c r="V26" s="15" t="s">
        <v>0</v>
      </c>
      <c r="W26" s="15" t="s">
        <v>0</v>
      </c>
      <c r="X26" s="15" t="s">
        <v>0</v>
      </c>
      <c r="Y26" s="15" t="s">
        <v>0</v>
      </c>
      <c r="Z26" s="15" t="s">
        <v>0</v>
      </c>
      <c r="AA26" s="17"/>
      <c r="AB26" s="15" t="s">
        <v>0</v>
      </c>
      <c r="AC26" s="15" t="s">
        <v>0</v>
      </c>
      <c r="AD26" s="15" t="s">
        <v>0</v>
      </c>
      <c r="AE26" s="18">
        <v>0</v>
      </c>
    </row>
    <row r="27" spans="1:31" x14ac:dyDescent="0.2">
      <c r="A27" s="16" t="s">
        <v>0</v>
      </c>
      <c r="B27" s="15" t="s">
        <v>1</v>
      </c>
      <c r="C27" s="15" t="s">
        <v>107</v>
      </c>
      <c r="D27" s="17">
        <v>44377</v>
      </c>
      <c r="E27" s="17">
        <v>44377</v>
      </c>
      <c r="F27" s="17">
        <v>44380</v>
      </c>
      <c r="G27" s="15" t="s">
        <v>3</v>
      </c>
      <c r="H27" s="15" t="s">
        <v>4</v>
      </c>
      <c r="I27" s="18">
        <v>7669</v>
      </c>
      <c r="J27" s="15" t="s">
        <v>101</v>
      </c>
      <c r="K27" s="15" t="s">
        <v>6</v>
      </c>
      <c r="L27" s="18">
        <v>650253.65</v>
      </c>
      <c r="M27" s="18">
        <v>7669</v>
      </c>
      <c r="N27" s="19" t="s">
        <v>192</v>
      </c>
      <c r="O27" s="20" t="s">
        <v>0</v>
      </c>
      <c r="P27" s="15" t="s">
        <v>108</v>
      </c>
      <c r="Q27" s="15" t="s">
        <v>8</v>
      </c>
      <c r="R27" s="15" t="s">
        <v>111</v>
      </c>
      <c r="S27" s="15" t="s">
        <v>0</v>
      </c>
      <c r="T27" s="15" t="s">
        <v>10</v>
      </c>
      <c r="U27" s="15" t="s">
        <v>109</v>
      </c>
      <c r="V27" s="15" t="s">
        <v>0</v>
      </c>
      <c r="W27" s="15" t="s">
        <v>0</v>
      </c>
      <c r="X27" s="15" t="s">
        <v>0</v>
      </c>
      <c r="Y27" s="15" t="s">
        <v>0</v>
      </c>
      <c r="Z27" s="15" t="s">
        <v>0</v>
      </c>
      <c r="AA27" s="17"/>
      <c r="AB27" s="15" t="s">
        <v>0</v>
      </c>
      <c r="AC27" s="15" t="s">
        <v>0</v>
      </c>
      <c r="AD27" s="15" t="s">
        <v>0</v>
      </c>
      <c r="AE27" s="18">
        <v>0</v>
      </c>
    </row>
    <row r="28" spans="1:31" x14ac:dyDescent="0.2">
      <c r="A28" s="16" t="s">
        <v>0</v>
      </c>
      <c r="B28" s="15" t="s">
        <v>1</v>
      </c>
      <c r="C28" s="15" t="s">
        <v>112</v>
      </c>
      <c r="D28" s="17">
        <v>44377</v>
      </c>
      <c r="E28" s="17">
        <v>44377</v>
      </c>
      <c r="F28" s="17">
        <v>44380</v>
      </c>
      <c r="G28" s="15" t="s">
        <v>3</v>
      </c>
      <c r="H28" s="15" t="s">
        <v>4</v>
      </c>
      <c r="I28" s="18">
        <v>7225</v>
      </c>
      <c r="J28" s="15" t="s">
        <v>5</v>
      </c>
      <c r="K28" s="15" t="s">
        <v>6</v>
      </c>
      <c r="L28" s="18">
        <v>612607.35</v>
      </c>
      <c r="M28" s="18">
        <v>7225</v>
      </c>
      <c r="N28" s="19" t="s">
        <v>193</v>
      </c>
      <c r="O28" s="20" t="s">
        <v>0</v>
      </c>
      <c r="P28" s="15" t="s">
        <v>113</v>
      </c>
      <c r="Q28" s="15" t="s">
        <v>8</v>
      </c>
      <c r="R28" s="15" t="s">
        <v>110</v>
      </c>
      <c r="S28" s="15" t="s">
        <v>0</v>
      </c>
      <c r="T28" s="15" t="s">
        <v>10</v>
      </c>
      <c r="U28" s="15" t="s">
        <v>114</v>
      </c>
      <c r="V28" s="15" t="s">
        <v>0</v>
      </c>
      <c r="W28" s="15" t="s">
        <v>0</v>
      </c>
      <c r="X28" s="15" t="s">
        <v>0</v>
      </c>
      <c r="Y28" s="15" t="s">
        <v>0</v>
      </c>
      <c r="Z28" s="15" t="s">
        <v>0</v>
      </c>
      <c r="AA28" s="17"/>
      <c r="AB28" s="15" t="s">
        <v>0</v>
      </c>
      <c r="AC28" s="15" t="s">
        <v>0</v>
      </c>
      <c r="AD28" s="15" t="s">
        <v>0</v>
      </c>
      <c r="AE28" s="18">
        <v>0</v>
      </c>
    </row>
    <row r="29" spans="1:31" x14ac:dyDescent="0.2">
      <c r="A29" s="16" t="s">
        <v>0</v>
      </c>
      <c r="B29" s="15" t="s">
        <v>1</v>
      </c>
      <c r="C29" s="15" t="s">
        <v>107</v>
      </c>
      <c r="D29" s="17">
        <v>44377</v>
      </c>
      <c r="E29" s="17">
        <v>44377</v>
      </c>
      <c r="F29" s="17">
        <v>44380</v>
      </c>
      <c r="G29" s="15" t="s">
        <v>3</v>
      </c>
      <c r="H29" s="15" t="s">
        <v>4</v>
      </c>
      <c r="I29" s="18">
        <v>7004</v>
      </c>
      <c r="J29" s="15" t="s">
        <v>81</v>
      </c>
      <c r="K29" s="15" t="s">
        <v>6</v>
      </c>
      <c r="L29" s="18">
        <v>592987.29</v>
      </c>
      <c r="M29" s="18">
        <v>7004</v>
      </c>
      <c r="N29" s="19" t="s">
        <v>191</v>
      </c>
      <c r="O29" s="20" t="s">
        <v>0</v>
      </c>
      <c r="P29" s="15" t="s">
        <v>108</v>
      </c>
      <c r="Q29" s="15" t="s">
        <v>8</v>
      </c>
      <c r="R29" s="15" t="s">
        <v>88</v>
      </c>
      <c r="S29" s="15" t="s">
        <v>0</v>
      </c>
      <c r="T29" s="15" t="s">
        <v>10</v>
      </c>
      <c r="U29" s="15" t="s">
        <v>109</v>
      </c>
      <c r="V29" s="15" t="s">
        <v>0</v>
      </c>
      <c r="W29" s="15" t="s">
        <v>0</v>
      </c>
      <c r="X29" s="15" t="s">
        <v>0</v>
      </c>
      <c r="Y29" s="15" t="s">
        <v>0</v>
      </c>
      <c r="Z29" s="15" t="s">
        <v>0</v>
      </c>
      <c r="AA29" s="17"/>
      <c r="AB29" s="15" t="s">
        <v>0</v>
      </c>
      <c r="AC29" s="15" t="s">
        <v>0</v>
      </c>
      <c r="AD29" s="15" t="s">
        <v>0</v>
      </c>
      <c r="AE29" s="18">
        <v>0</v>
      </c>
    </row>
    <row r="30" spans="1:31" x14ac:dyDescent="0.2">
      <c r="A30" s="16" t="s">
        <v>0</v>
      </c>
      <c r="B30" s="15" t="s">
        <v>1</v>
      </c>
      <c r="C30" s="15" t="s">
        <v>56</v>
      </c>
      <c r="D30" s="17">
        <v>44347</v>
      </c>
      <c r="E30" s="17">
        <v>44347</v>
      </c>
      <c r="F30" s="17">
        <v>44348</v>
      </c>
      <c r="G30" s="15" t="s">
        <v>3</v>
      </c>
      <c r="H30" s="15" t="s">
        <v>4</v>
      </c>
      <c r="I30" s="18">
        <v>6584</v>
      </c>
      <c r="J30" s="15" t="s">
        <v>17</v>
      </c>
      <c r="K30" s="15" t="s">
        <v>6</v>
      </c>
      <c r="L30" s="18">
        <v>557429.87</v>
      </c>
      <c r="M30" s="18">
        <v>6584</v>
      </c>
      <c r="N30" s="19" t="s">
        <v>165</v>
      </c>
      <c r="O30" s="20" t="s">
        <v>0</v>
      </c>
      <c r="P30" s="15" t="s">
        <v>57</v>
      </c>
      <c r="Q30" s="15" t="s">
        <v>8</v>
      </c>
      <c r="R30" s="15" t="s">
        <v>59</v>
      </c>
      <c r="S30" s="15" t="s">
        <v>0</v>
      </c>
      <c r="T30" s="15" t="s">
        <v>10</v>
      </c>
      <c r="U30" s="15" t="s">
        <v>58</v>
      </c>
      <c r="V30" s="15" t="s">
        <v>0</v>
      </c>
      <c r="W30" s="15" t="s">
        <v>0</v>
      </c>
      <c r="X30" s="15" t="s">
        <v>0</v>
      </c>
      <c r="Y30" s="15" t="s">
        <v>0</v>
      </c>
      <c r="Z30" s="15" t="s">
        <v>0</v>
      </c>
      <c r="AA30" s="17"/>
      <c r="AB30" s="15" t="s">
        <v>0</v>
      </c>
      <c r="AC30" s="15" t="s">
        <v>0</v>
      </c>
      <c r="AD30" s="15" t="s">
        <v>0</v>
      </c>
      <c r="AE30" s="18">
        <v>0</v>
      </c>
    </row>
    <row r="31" spans="1:31" x14ac:dyDescent="0.2">
      <c r="A31" s="16" t="s">
        <v>0</v>
      </c>
      <c r="B31" s="15" t="s">
        <v>1</v>
      </c>
      <c r="C31" s="15" t="s">
        <v>84</v>
      </c>
      <c r="D31" s="17">
        <v>44367</v>
      </c>
      <c r="E31" s="17">
        <v>44367</v>
      </c>
      <c r="F31" s="17">
        <v>44369</v>
      </c>
      <c r="G31" s="15" t="s">
        <v>3</v>
      </c>
      <c r="H31" s="15" t="s">
        <v>4</v>
      </c>
      <c r="I31" s="18">
        <v>6507</v>
      </c>
      <c r="J31" s="15" t="s">
        <v>81</v>
      </c>
      <c r="K31" s="15" t="s">
        <v>6</v>
      </c>
      <c r="L31" s="18">
        <v>550909.24</v>
      </c>
      <c r="M31" s="18">
        <v>6507</v>
      </c>
      <c r="N31" s="19" t="s">
        <v>176</v>
      </c>
      <c r="O31" s="20" t="s">
        <v>0</v>
      </c>
      <c r="P31" s="15" t="s">
        <v>86</v>
      </c>
      <c r="Q31" s="15" t="s">
        <v>8</v>
      </c>
      <c r="R31" s="15" t="s">
        <v>88</v>
      </c>
      <c r="S31" s="15" t="s">
        <v>0</v>
      </c>
      <c r="T31" s="15" t="s">
        <v>10</v>
      </c>
      <c r="U31" s="15" t="s">
        <v>87</v>
      </c>
      <c r="V31" s="15" t="s">
        <v>0</v>
      </c>
      <c r="W31" s="15" t="s">
        <v>0</v>
      </c>
      <c r="X31" s="15" t="s">
        <v>0</v>
      </c>
      <c r="Y31" s="15" t="s">
        <v>0</v>
      </c>
      <c r="Z31" s="15" t="s">
        <v>0</v>
      </c>
      <c r="AA31" s="17"/>
      <c r="AB31" s="15" t="s">
        <v>0</v>
      </c>
      <c r="AC31" s="15" t="s">
        <v>0</v>
      </c>
      <c r="AD31" s="15" t="s">
        <v>0</v>
      </c>
      <c r="AE31" s="18">
        <v>0</v>
      </c>
    </row>
    <row r="32" spans="1:31" x14ac:dyDescent="0.2">
      <c r="A32" s="16" t="s">
        <v>0</v>
      </c>
      <c r="B32" s="15" t="s">
        <v>1</v>
      </c>
      <c r="C32" s="15" t="s">
        <v>107</v>
      </c>
      <c r="D32" s="17">
        <v>44377</v>
      </c>
      <c r="E32" s="17">
        <v>44377</v>
      </c>
      <c r="F32" s="17">
        <v>44380</v>
      </c>
      <c r="G32" s="15" t="s">
        <v>3</v>
      </c>
      <c r="H32" s="15" t="s">
        <v>4</v>
      </c>
      <c r="I32" s="18">
        <v>6117</v>
      </c>
      <c r="J32" s="15" t="s">
        <v>5</v>
      </c>
      <c r="K32" s="15" t="s">
        <v>6</v>
      </c>
      <c r="L32" s="18">
        <v>518660.09</v>
      </c>
      <c r="M32" s="18">
        <v>6117</v>
      </c>
      <c r="N32" s="19" t="s">
        <v>190</v>
      </c>
      <c r="O32" s="20" t="s">
        <v>0</v>
      </c>
      <c r="P32" s="15" t="s">
        <v>108</v>
      </c>
      <c r="Q32" s="15" t="s">
        <v>8</v>
      </c>
      <c r="R32" s="15" t="s">
        <v>110</v>
      </c>
      <c r="S32" s="15" t="s">
        <v>0</v>
      </c>
      <c r="T32" s="15" t="s">
        <v>10</v>
      </c>
      <c r="U32" s="15" t="s">
        <v>109</v>
      </c>
      <c r="V32" s="15" t="s">
        <v>0</v>
      </c>
      <c r="W32" s="15" t="s">
        <v>0</v>
      </c>
      <c r="X32" s="15" t="s">
        <v>0</v>
      </c>
      <c r="Y32" s="15" t="s">
        <v>0</v>
      </c>
      <c r="Z32" s="15" t="s">
        <v>0</v>
      </c>
      <c r="AA32" s="17"/>
      <c r="AB32" s="15" t="s">
        <v>0</v>
      </c>
      <c r="AC32" s="15" t="s">
        <v>0</v>
      </c>
      <c r="AD32" s="15" t="s">
        <v>0</v>
      </c>
      <c r="AE32" s="18">
        <v>0</v>
      </c>
    </row>
    <row r="33" spans="1:31" x14ac:dyDescent="0.2">
      <c r="A33" s="16" t="s">
        <v>0</v>
      </c>
      <c r="B33" s="15" t="s">
        <v>1</v>
      </c>
      <c r="C33" s="15" t="s">
        <v>89</v>
      </c>
      <c r="D33" s="17">
        <v>44367</v>
      </c>
      <c r="E33" s="17">
        <v>44367</v>
      </c>
      <c r="F33" s="17">
        <v>44369</v>
      </c>
      <c r="G33" s="15" t="s">
        <v>3</v>
      </c>
      <c r="H33" s="15" t="s">
        <v>4</v>
      </c>
      <c r="I33" s="18">
        <v>4092</v>
      </c>
      <c r="J33" s="15" t="s">
        <v>81</v>
      </c>
      <c r="K33" s="15" t="s">
        <v>6</v>
      </c>
      <c r="L33" s="18">
        <v>346445.46</v>
      </c>
      <c r="M33" s="18">
        <v>4092</v>
      </c>
      <c r="N33" s="19" t="s">
        <v>178</v>
      </c>
      <c r="O33" s="20" t="s">
        <v>0</v>
      </c>
      <c r="P33" s="15" t="s">
        <v>90</v>
      </c>
      <c r="Q33" s="15" t="s">
        <v>8</v>
      </c>
      <c r="R33" s="15" t="s">
        <v>88</v>
      </c>
      <c r="S33" s="15" t="s">
        <v>0</v>
      </c>
      <c r="T33" s="15" t="s">
        <v>10</v>
      </c>
      <c r="U33" s="15" t="s">
        <v>91</v>
      </c>
      <c r="V33" s="15" t="s">
        <v>0</v>
      </c>
      <c r="W33" s="15" t="s">
        <v>0</v>
      </c>
      <c r="X33" s="15" t="s">
        <v>0</v>
      </c>
      <c r="Y33" s="15" t="s">
        <v>0</v>
      </c>
      <c r="Z33" s="15" t="s">
        <v>0</v>
      </c>
      <c r="AA33" s="17"/>
      <c r="AB33" s="15" t="s">
        <v>0</v>
      </c>
      <c r="AC33" s="15" t="s">
        <v>0</v>
      </c>
      <c r="AD33" s="15" t="s">
        <v>0</v>
      </c>
      <c r="AE33" s="18">
        <v>0</v>
      </c>
    </row>
    <row r="34" spans="1:31" x14ac:dyDescent="0.2">
      <c r="A34" s="16" t="s">
        <v>0</v>
      </c>
      <c r="B34" s="15" t="s">
        <v>1</v>
      </c>
      <c r="C34" s="15" t="s">
        <v>77</v>
      </c>
      <c r="D34" s="17">
        <v>44361</v>
      </c>
      <c r="E34" s="17">
        <v>44361</v>
      </c>
      <c r="F34" s="17">
        <v>44367</v>
      </c>
      <c r="G34" s="15" t="s">
        <v>3</v>
      </c>
      <c r="H34" s="15" t="s">
        <v>4</v>
      </c>
      <c r="I34" s="18">
        <v>2652</v>
      </c>
      <c r="J34" s="15" t="s">
        <v>35</v>
      </c>
      <c r="K34" s="15" t="s">
        <v>6</v>
      </c>
      <c r="L34" s="18">
        <v>224862.53</v>
      </c>
      <c r="M34" s="18">
        <v>2652</v>
      </c>
      <c r="N34" s="19" t="s">
        <v>174</v>
      </c>
      <c r="O34" s="20" t="s">
        <v>0</v>
      </c>
      <c r="P34" s="15" t="s">
        <v>78</v>
      </c>
      <c r="Q34" s="15" t="s">
        <v>8</v>
      </c>
      <c r="R34" s="15" t="s">
        <v>64</v>
      </c>
      <c r="S34" s="15" t="s">
        <v>0</v>
      </c>
      <c r="T34" s="15" t="s">
        <v>10</v>
      </c>
      <c r="U34" s="15" t="s">
        <v>79</v>
      </c>
      <c r="V34" s="15" t="s">
        <v>0</v>
      </c>
      <c r="W34" s="15" t="s">
        <v>0</v>
      </c>
      <c r="X34" s="15" t="s">
        <v>0</v>
      </c>
      <c r="Y34" s="15" t="s">
        <v>0</v>
      </c>
      <c r="Z34" s="15" t="s">
        <v>0</v>
      </c>
      <c r="AA34" s="17"/>
      <c r="AB34" s="15" t="s">
        <v>0</v>
      </c>
      <c r="AC34" s="15" t="s">
        <v>0</v>
      </c>
      <c r="AD34" s="15" t="s">
        <v>0</v>
      </c>
      <c r="AE34" s="18">
        <v>0</v>
      </c>
    </row>
    <row r="35" spans="1:31" x14ac:dyDescent="0.2">
      <c r="A35" s="16" t="s">
        <v>0</v>
      </c>
      <c r="B35" s="15" t="s">
        <v>1</v>
      </c>
      <c r="C35" s="15" t="s">
        <v>77</v>
      </c>
      <c r="D35" s="17">
        <v>44361</v>
      </c>
      <c r="E35" s="17">
        <v>44361</v>
      </c>
      <c r="F35" s="17">
        <v>44367</v>
      </c>
      <c r="G35" s="15" t="s">
        <v>3</v>
      </c>
      <c r="H35" s="15" t="s">
        <v>4</v>
      </c>
      <c r="I35" s="18">
        <v>2512</v>
      </c>
      <c r="J35" s="15" t="s">
        <v>5</v>
      </c>
      <c r="K35" s="15" t="s">
        <v>6</v>
      </c>
      <c r="L35" s="18">
        <v>212992.34</v>
      </c>
      <c r="M35" s="18">
        <v>2512</v>
      </c>
      <c r="N35" s="19" t="s">
        <v>173</v>
      </c>
      <c r="O35" s="20" t="s">
        <v>0</v>
      </c>
      <c r="P35" s="15" t="s">
        <v>78</v>
      </c>
      <c r="Q35" s="15" t="s">
        <v>8</v>
      </c>
      <c r="R35" s="15" t="s">
        <v>62</v>
      </c>
      <c r="S35" s="15" t="s">
        <v>0</v>
      </c>
      <c r="T35" s="15" t="s">
        <v>10</v>
      </c>
      <c r="U35" s="15" t="s">
        <v>79</v>
      </c>
      <c r="V35" s="15" t="s">
        <v>0</v>
      </c>
      <c r="W35" s="15" t="s">
        <v>0</v>
      </c>
      <c r="X35" s="15" t="s">
        <v>0</v>
      </c>
      <c r="Y35" s="15" t="s">
        <v>0</v>
      </c>
      <c r="Z35" s="15" t="s">
        <v>0</v>
      </c>
      <c r="AA35" s="17"/>
      <c r="AB35" s="15" t="s">
        <v>0</v>
      </c>
      <c r="AC35" s="15" t="s">
        <v>0</v>
      </c>
      <c r="AD35" s="15" t="s">
        <v>0</v>
      </c>
      <c r="AE35" s="18">
        <v>0</v>
      </c>
    </row>
    <row r="36" spans="1:31" x14ac:dyDescent="0.2">
      <c r="A36" s="16" t="s">
        <v>0</v>
      </c>
      <c r="B36" s="15" t="s">
        <v>1</v>
      </c>
      <c r="C36" s="15" t="s">
        <v>50</v>
      </c>
      <c r="D36" s="17">
        <v>44343</v>
      </c>
      <c r="E36" s="17">
        <v>44343</v>
      </c>
      <c r="F36" s="17">
        <v>44345</v>
      </c>
      <c r="G36" s="15" t="s">
        <v>3</v>
      </c>
      <c r="H36" s="15" t="s">
        <v>4</v>
      </c>
      <c r="I36" s="18">
        <v>2280</v>
      </c>
      <c r="J36" s="15" t="s">
        <v>17</v>
      </c>
      <c r="K36" s="15" t="s">
        <v>6</v>
      </c>
      <c r="L36" s="18">
        <v>193034.65</v>
      </c>
      <c r="M36" s="18">
        <v>2280</v>
      </c>
      <c r="N36" s="19" t="s">
        <v>160</v>
      </c>
      <c r="O36" s="20" t="s">
        <v>0</v>
      </c>
      <c r="P36" s="15" t="s">
        <v>51</v>
      </c>
      <c r="Q36" s="15" t="s">
        <v>8</v>
      </c>
      <c r="R36" s="15" t="s">
        <v>22</v>
      </c>
      <c r="S36" s="15" t="s">
        <v>0</v>
      </c>
      <c r="T36" s="15" t="s">
        <v>10</v>
      </c>
      <c r="U36" s="15" t="s">
        <v>52</v>
      </c>
      <c r="V36" s="15" t="s">
        <v>0</v>
      </c>
      <c r="W36" s="15" t="s">
        <v>0</v>
      </c>
      <c r="X36" s="15" t="s">
        <v>0</v>
      </c>
      <c r="Y36" s="15" t="s">
        <v>0</v>
      </c>
      <c r="Z36" s="15" t="s">
        <v>0</v>
      </c>
      <c r="AA36" s="17"/>
      <c r="AB36" s="15" t="s">
        <v>0</v>
      </c>
      <c r="AC36" s="15" t="s">
        <v>0</v>
      </c>
      <c r="AD36" s="15" t="s">
        <v>0</v>
      </c>
      <c r="AE36" s="18">
        <v>0</v>
      </c>
    </row>
    <row r="37" spans="1:31" x14ac:dyDescent="0.2">
      <c r="A37" s="16" t="s">
        <v>0</v>
      </c>
      <c r="B37" s="15" t="s">
        <v>1</v>
      </c>
      <c r="C37" s="15" t="s">
        <v>31</v>
      </c>
      <c r="D37" s="17">
        <v>44327</v>
      </c>
      <c r="E37" s="17">
        <v>44327</v>
      </c>
      <c r="F37" s="17">
        <v>44339</v>
      </c>
      <c r="G37" s="15" t="s">
        <v>3</v>
      </c>
      <c r="H37" s="15" t="s">
        <v>4</v>
      </c>
      <c r="I37" s="18">
        <v>1261</v>
      </c>
      <c r="J37" s="15" t="s">
        <v>17</v>
      </c>
      <c r="K37" s="15" t="s">
        <v>6</v>
      </c>
      <c r="L37" s="18">
        <v>106761.71</v>
      </c>
      <c r="M37" s="18">
        <v>1261</v>
      </c>
      <c r="N37" s="19" t="s">
        <v>153</v>
      </c>
      <c r="O37" s="20" t="s">
        <v>0</v>
      </c>
      <c r="P37" s="15" t="s">
        <v>32</v>
      </c>
      <c r="Q37" s="15" t="s">
        <v>8</v>
      </c>
      <c r="R37" s="15" t="s">
        <v>22</v>
      </c>
      <c r="S37" s="15" t="s">
        <v>0</v>
      </c>
      <c r="T37" s="15" t="s">
        <v>10</v>
      </c>
      <c r="U37" s="15" t="s">
        <v>33</v>
      </c>
      <c r="V37" s="15" t="s">
        <v>0</v>
      </c>
      <c r="W37" s="15" t="s">
        <v>0</v>
      </c>
      <c r="X37" s="15" t="s">
        <v>0</v>
      </c>
      <c r="Y37" s="15" t="s">
        <v>0</v>
      </c>
      <c r="Z37" s="15" t="s">
        <v>0</v>
      </c>
      <c r="AA37" s="17"/>
      <c r="AB37" s="15" t="s">
        <v>0</v>
      </c>
      <c r="AC37" s="15" t="s">
        <v>0</v>
      </c>
      <c r="AD37" s="15" t="s">
        <v>0</v>
      </c>
      <c r="AE37" s="18">
        <v>0</v>
      </c>
    </row>
    <row r="38" spans="1:31" x14ac:dyDescent="0.2">
      <c r="A38" s="16" t="s">
        <v>0</v>
      </c>
      <c r="B38" s="15" t="s">
        <v>1</v>
      </c>
      <c r="C38" s="15" t="s">
        <v>84</v>
      </c>
      <c r="D38" s="17">
        <v>44367</v>
      </c>
      <c r="E38" s="17">
        <v>44367</v>
      </c>
      <c r="F38" s="17">
        <v>44369</v>
      </c>
      <c r="G38" s="15" t="s">
        <v>3</v>
      </c>
      <c r="H38" s="15" t="s">
        <v>4</v>
      </c>
      <c r="I38" s="18">
        <v>975</v>
      </c>
      <c r="J38" s="15" t="s">
        <v>85</v>
      </c>
      <c r="K38" s="15" t="s">
        <v>6</v>
      </c>
      <c r="L38" s="18">
        <v>82670.2</v>
      </c>
      <c r="M38" s="18">
        <v>975</v>
      </c>
      <c r="N38" s="19" t="s">
        <v>175</v>
      </c>
      <c r="O38" s="20" t="s">
        <v>0</v>
      </c>
      <c r="P38" s="15" t="s">
        <v>86</v>
      </c>
      <c r="Q38" s="15" t="s">
        <v>8</v>
      </c>
      <c r="R38" s="15" t="s">
        <v>62</v>
      </c>
      <c r="S38" s="15" t="s">
        <v>0</v>
      </c>
      <c r="T38" s="15" t="s">
        <v>10</v>
      </c>
      <c r="U38" s="15" t="s">
        <v>87</v>
      </c>
      <c r="V38" s="15" t="s">
        <v>0</v>
      </c>
      <c r="W38" s="15" t="s">
        <v>0</v>
      </c>
      <c r="X38" s="15" t="s">
        <v>0</v>
      </c>
      <c r="Y38" s="15" t="s">
        <v>0</v>
      </c>
      <c r="Z38" s="15" t="s">
        <v>0</v>
      </c>
      <c r="AA38" s="17"/>
      <c r="AB38" s="15" t="s">
        <v>0</v>
      </c>
      <c r="AC38" s="15" t="s">
        <v>0</v>
      </c>
      <c r="AD38" s="15" t="s">
        <v>0</v>
      </c>
      <c r="AE38" s="18">
        <v>0</v>
      </c>
    </row>
    <row r="39" spans="1:31" x14ac:dyDescent="0.2">
      <c r="A39" s="16" t="s">
        <v>0</v>
      </c>
      <c r="B39" s="15" t="s">
        <v>1</v>
      </c>
      <c r="C39" s="15" t="s">
        <v>95</v>
      </c>
      <c r="D39" s="17">
        <v>44371</v>
      </c>
      <c r="E39" s="17">
        <v>44371</v>
      </c>
      <c r="F39" s="17">
        <v>44374</v>
      </c>
      <c r="G39" s="15" t="s">
        <v>3</v>
      </c>
      <c r="H39" s="15" t="s">
        <v>4</v>
      </c>
      <c r="I39" s="18">
        <v>809</v>
      </c>
      <c r="J39" s="15" t="s">
        <v>5</v>
      </c>
      <c r="K39" s="15" t="s">
        <v>6</v>
      </c>
      <c r="L39" s="18">
        <v>68595.06</v>
      </c>
      <c r="M39" s="18">
        <v>809</v>
      </c>
      <c r="N39" s="19" t="s">
        <v>183</v>
      </c>
      <c r="O39" s="20" t="s">
        <v>0</v>
      </c>
      <c r="P39" s="15" t="s">
        <v>96</v>
      </c>
      <c r="Q39" s="15" t="s">
        <v>8</v>
      </c>
      <c r="R39" s="15" t="s">
        <v>98</v>
      </c>
      <c r="S39" s="15" t="s">
        <v>0</v>
      </c>
      <c r="T39" s="15" t="s">
        <v>10</v>
      </c>
      <c r="U39" s="15" t="s">
        <v>97</v>
      </c>
      <c r="V39" s="15" t="s">
        <v>0</v>
      </c>
      <c r="W39" s="15" t="s">
        <v>0</v>
      </c>
      <c r="X39" s="15" t="s">
        <v>0</v>
      </c>
      <c r="Y39" s="15" t="s">
        <v>0</v>
      </c>
      <c r="Z39" s="15" t="s">
        <v>0</v>
      </c>
      <c r="AA39" s="17"/>
      <c r="AB39" s="15" t="s">
        <v>0</v>
      </c>
      <c r="AC39" s="15" t="s">
        <v>0</v>
      </c>
      <c r="AD39" s="15" t="s">
        <v>0</v>
      </c>
      <c r="AE39" s="18">
        <v>0</v>
      </c>
    </row>
    <row r="40" spans="1:31" x14ac:dyDescent="0.2">
      <c r="A40" s="16" t="s">
        <v>0</v>
      </c>
      <c r="B40" s="15" t="s">
        <v>1</v>
      </c>
      <c r="C40" s="15" t="s">
        <v>47</v>
      </c>
      <c r="D40" s="17">
        <v>44340</v>
      </c>
      <c r="E40" s="17">
        <v>44340</v>
      </c>
      <c r="F40" s="17">
        <v>44342</v>
      </c>
      <c r="G40" s="15" t="s">
        <v>3</v>
      </c>
      <c r="H40" s="15" t="s">
        <v>4</v>
      </c>
      <c r="I40" s="18">
        <v>667</v>
      </c>
      <c r="J40" s="15" t="s">
        <v>5</v>
      </c>
      <c r="K40" s="15" t="s">
        <v>6</v>
      </c>
      <c r="L40" s="18">
        <v>56554.89</v>
      </c>
      <c r="M40" s="18">
        <v>667</v>
      </c>
      <c r="N40" s="19" t="s">
        <v>157</v>
      </c>
      <c r="O40" s="20" t="s">
        <v>0</v>
      </c>
      <c r="P40" s="15" t="s">
        <v>48</v>
      </c>
      <c r="Q40" s="15" t="s">
        <v>8</v>
      </c>
      <c r="R40" s="15" t="s">
        <v>41</v>
      </c>
      <c r="S40" s="15" t="s">
        <v>0</v>
      </c>
      <c r="T40" s="15" t="s">
        <v>10</v>
      </c>
      <c r="U40" s="15" t="s">
        <v>49</v>
      </c>
      <c r="V40" s="15" t="s">
        <v>0</v>
      </c>
      <c r="W40" s="15" t="s">
        <v>0</v>
      </c>
      <c r="X40" s="15" t="s">
        <v>0</v>
      </c>
      <c r="Y40" s="15" t="s">
        <v>0</v>
      </c>
      <c r="Z40" s="15" t="s">
        <v>0</v>
      </c>
      <c r="AA40" s="17"/>
      <c r="AB40" s="15" t="s">
        <v>0</v>
      </c>
      <c r="AC40" s="15" t="s">
        <v>0</v>
      </c>
      <c r="AD40" s="15" t="s">
        <v>0</v>
      </c>
      <c r="AE40" s="18">
        <v>0</v>
      </c>
    </row>
    <row r="41" spans="1:31" x14ac:dyDescent="0.2">
      <c r="A41" s="16" t="s">
        <v>0</v>
      </c>
      <c r="B41" s="15" t="s">
        <v>1</v>
      </c>
      <c r="C41" s="15" t="s">
        <v>60</v>
      </c>
      <c r="D41" s="17">
        <v>44355</v>
      </c>
      <c r="E41" s="17">
        <v>44355</v>
      </c>
      <c r="F41" s="17">
        <v>44356</v>
      </c>
      <c r="G41" s="15" t="s">
        <v>3</v>
      </c>
      <c r="H41" s="15" t="s">
        <v>4</v>
      </c>
      <c r="I41" s="18">
        <v>605</v>
      </c>
      <c r="J41" s="15" t="s">
        <v>65</v>
      </c>
      <c r="K41" s="15" t="s">
        <v>6</v>
      </c>
      <c r="L41" s="18">
        <v>51221.91</v>
      </c>
      <c r="M41" s="18">
        <v>605</v>
      </c>
      <c r="N41" s="19" t="s">
        <v>168</v>
      </c>
      <c r="O41" s="20" t="s">
        <v>0</v>
      </c>
      <c r="P41" s="15" t="s">
        <v>61</v>
      </c>
      <c r="Q41" s="15" t="s">
        <v>8</v>
      </c>
      <c r="R41" s="15" t="s">
        <v>22</v>
      </c>
      <c r="S41" s="15" t="s">
        <v>0</v>
      </c>
      <c r="T41" s="15" t="s">
        <v>10</v>
      </c>
      <c r="U41" s="15" t="s">
        <v>63</v>
      </c>
      <c r="V41" s="15" t="s">
        <v>0</v>
      </c>
      <c r="W41" s="15" t="s">
        <v>0</v>
      </c>
      <c r="X41" s="15" t="s">
        <v>0</v>
      </c>
      <c r="Y41" s="15" t="s">
        <v>0</v>
      </c>
      <c r="Z41" s="15" t="s">
        <v>0</v>
      </c>
      <c r="AA41" s="17"/>
      <c r="AB41" s="15" t="s">
        <v>0</v>
      </c>
      <c r="AC41" s="15" t="s">
        <v>0</v>
      </c>
      <c r="AD41" s="15" t="s">
        <v>0</v>
      </c>
      <c r="AE41" s="18">
        <v>0</v>
      </c>
    </row>
    <row r="42" spans="1:31" x14ac:dyDescent="0.2">
      <c r="A42" s="16" t="s">
        <v>0</v>
      </c>
      <c r="B42" s="15" t="s">
        <v>1</v>
      </c>
      <c r="C42" s="15" t="s">
        <v>95</v>
      </c>
      <c r="D42" s="17">
        <v>44371</v>
      </c>
      <c r="E42" s="17">
        <v>44371</v>
      </c>
      <c r="F42" s="17">
        <v>44374</v>
      </c>
      <c r="G42" s="15" t="s">
        <v>3</v>
      </c>
      <c r="H42" s="15" t="s">
        <v>4</v>
      </c>
      <c r="I42" s="18">
        <v>520</v>
      </c>
      <c r="J42" s="15" t="s">
        <v>35</v>
      </c>
      <c r="K42" s="15" t="s">
        <v>6</v>
      </c>
      <c r="L42" s="18">
        <v>44090.69</v>
      </c>
      <c r="M42" s="18">
        <v>520</v>
      </c>
      <c r="N42" s="19" t="s">
        <v>185</v>
      </c>
      <c r="O42" s="20" t="s">
        <v>0</v>
      </c>
      <c r="P42" s="15" t="s">
        <v>96</v>
      </c>
      <c r="Q42" s="15" t="s">
        <v>8</v>
      </c>
      <c r="R42" s="15" t="s">
        <v>45</v>
      </c>
      <c r="S42" s="15" t="s">
        <v>0</v>
      </c>
      <c r="T42" s="15" t="s">
        <v>10</v>
      </c>
      <c r="U42" s="15" t="s">
        <v>97</v>
      </c>
      <c r="V42" s="15" t="s">
        <v>0</v>
      </c>
      <c r="W42" s="15" t="s">
        <v>0</v>
      </c>
      <c r="X42" s="15" t="s">
        <v>0</v>
      </c>
      <c r="Y42" s="15" t="s">
        <v>0</v>
      </c>
      <c r="Z42" s="15" t="s">
        <v>0</v>
      </c>
      <c r="AA42" s="17"/>
      <c r="AB42" s="15" t="s">
        <v>0</v>
      </c>
      <c r="AC42" s="15" t="s">
        <v>0</v>
      </c>
      <c r="AD42" s="15" t="s">
        <v>0</v>
      </c>
      <c r="AE42" s="18">
        <v>0</v>
      </c>
    </row>
    <row r="43" spans="1:31" x14ac:dyDescent="0.2">
      <c r="A43" s="16" t="s">
        <v>0</v>
      </c>
      <c r="B43" s="15" t="s">
        <v>1</v>
      </c>
      <c r="C43" s="15" t="s">
        <v>24</v>
      </c>
      <c r="D43" s="17">
        <v>44322</v>
      </c>
      <c r="E43" s="17">
        <v>44322</v>
      </c>
      <c r="F43" s="17">
        <v>44339</v>
      </c>
      <c r="G43" s="15" t="s">
        <v>3</v>
      </c>
      <c r="H43" s="15" t="s">
        <v>4</v>
      </c>
      <c r="I43" s="18">
        <v>293</v>
      </c>
      <c r="J43" s="15" t="s">
        <v>25</v>
      </c>
      <c r="K43" s="15" t="s">
        <v>6</v>
      </c>
      <c r="L43" s="18">
        <v>24806.65</v>
      </c>
      <c r="M43" s="18">
        <v>293</v>
      </c>
      <c r="N43" s="19" t="s">
        <v>151</v>
      </c>
      <c r="O43" s="20" t="s">
        <v>0</v>
      </c>
      <c r="P43" s="15" t="s">
        <v>26</v>
      </c>
      <c r="Q43" s="15" t="s">
        <v>8</v>
      </c>
      <c r="R43" s="15" t="s">
        <v>22</v>
      </c>
      <c r="S43" s="15" t="s">
        <v>0</v>
      </c>
      <c r="T43" s="15" t="s">
        <v>10</v>
      </c>
      <c r="U43" s="15" t="s">
        <v>27</v>
      </c>
      <c r="V43" s="15" t="s">
        <v>0</v>
      </c>
      <c r="W43" s="15" t="s">
        <v>0</v>
      </c>
      <c r="X43" s="15" t="s">
        <v>0</v>
      </c>
      <c r="Y43" s="15" t="s">
        <v>0</v>
      </c>
      <c r="Z43" s="15" t="s">
        <v>0</v>
      </c>
      <c r="AA43" s="17"/>
      <c r="AB43" s="15" t="s">
        <v>0</v>
      </c>
      <c r="AC43" s="15" t="s">
        <v>0</v>
      </c>
      <c r="AD43" s="15" t="s">
        <v>0</v>
      </c>
      <c r="AE43" s="18">
        <v>0</v>
      </c>
    </row>
    <row r="44" spans="1:31" x14ac:dyDescent="0.2">
      <c r="A44" s="16" t="s">
        <v>0</v>
      </c>
      <c r="B44" s="15" t="s">
        <v>1</v>
      </c>
      <c r="C44" s="15" t="s">
        <v>69</v>
      </c>
      <c r="D44" s="17">
        <v>44357</v>
      </c>
      <c r="E44" s="17">
        <v>44357</v>
      </c>
      <c r="F44" s="17">
        <v>44360</v>
      </c>
      <c r="G44" s="15" t="s">
        <v>3</v>
      </c>
      <c r="H44" s="15" t="s">
        <v>4</v>
      </c>
      <c r="I44" s="18">
        <v>170</v>
      </c>
      <c r="J44" s="15" t="s">
        <v>5</v>
      </c>
      <c r="K44" s="15" t="s">
        <v>6</v>
      </c>
      <c r="L44" s="18">
        <v>14414.29</v>
      </c>
      <c r="M44" s="18">
        <v>170</v>
      </c>
      <c r="N44" s="19" t="s">
        <v>170</v>
      </c>
      <c r="O44" s="20" t="s">
        <v>0</v>
      </c>
      <c r="P44" s="15" t="s">
        <v>70</v>
      </c>
      <c r="Q44" s="15" t="s">
        <v>8</v>
      </c>
      <c r="R44" s="15" t="s">
        <v>62</v>
      </c>
      <c r="S44" s="15" t="s">
        <v>0</v>
      </c>
      <c r="T44" s="15" t="s">
        <v>10</v>
      </c>
      <c r="U44" s="15" t="s">
        <v>71</v>
      </c>
      <c r="V44" s="15" t="s">
        <v>0</v>
      </c>
      <c r="W44" s="15" t="s">
        <v>0</v>
      </c>
      <c r="X44" s="15" t="s">
        <v>0</v>
      </c>
      <c r="Y44" s="15" t="s">
        <v>0</v>
      </c>
      <c r="Z44" s="15" t="s">
        <v>0</v>
      </c>
      <c r="AA44" s="17"/>
      <c r="AB44" s="15" t="s">
        <v>0</v>
      </c>
      <c r="AC44" s="15" t="s">
        <v>0</v>
      </c>
      <c r="AD44" s="15" t="s">
        <v>0</v>
      </c>
      <c r="AE44" s="18">
        <v>0</v>
      </c>
    </row>
    <row r="45" spans="1:31" x14ac:dyDescent="0.2">
      <c r="A45" s="16" t="s">
        <v>0</v>
      </c>
      <c r="B45" s="15" t="s">
        <v>1</v>
      </c>
      <c r="C45" s="15" t="s">
        <v>38</v>
      </c>
      <c r="D45" s="17">
        <v>44334</v>
      </c>
      <c r="E45" s="17">
        <v>44334</v>
      </c>
      <c r="F45" s="17">
        <v>44340</v>
      </c>
      <c r="G45" s="15" t="s">
        <v>3</v>
      </c>
      <c r="H45" s="15" t="s">
        <v>4</v>
      </c>
      <c r="I45" s="18">
        <v>146</v>
      </c>
      <c r="J45" s="15" t="s">
        <v>39</v>
      </c>
      <c r="K45" s="15" t="s">
        <v>6</v>
      </c>
      <c r="L45" s="18">
        <v>12379.33</v>
      </c>
      <c r="M45" s="18">
        <v>146</v>
      </c>
      <c r="N45" s="19" t="s">
        <v>154</v>
      </c>
      <c r="O45" s="20" t="s">
        <v>0</v>
      </c>
      <c r="P45" s="15" t="s">
        <v>40</v>
      </c>
      <c r="Q45" s="15" t="s">
        <v>8</v>
      </c>
      <c r="R45" s="15" t="s">
        <v>41</v>
      </c>
      <c r="S45" s="15" t="s">
        <v>0</v>
      </c>
      <c r="T45" s="15" t="s">
        <v>10</v>
      </c>
      <c r="U45" s="15" t="s">
        <v>42</v>
      </c>
      <c r="V45" s="15" t="s">
        <v>0</v>
      </c>
      <c r="W45" s="15" t="s">
        <v>0</v>
      </c>
      <c r="X45" s="15" t="s">
        <v>0</v>
      </c>
      <c r="Y45" s="15" t="s">
        <v>0</v>
      </c>
      <c r="Z45" s="15" t="s">
        <v>0</v>
      </c>
      <c r="AA45" s="17"/>
      <c r="AB45" s="15" t="s">
        <v>0</v>
      </c>
      <c r="AC45" s="15" t="s">
        <v>0</v>
      </c>
      <c r="AD45" s="15" t="s">
        <v>0</v>
      </c>
      <c r="AE45" s="18">
        <v>0</v>
      </c>
    </row>
    <row r="46" spans="1:31" x14ac:dyDescent="0.2">
      <c r="A46" s="16" t="s">
        <v>0</v>
      </c>
      <c r="B46" s="15" t="s">
        <v>1</v>
      </c>
      <c r="C46" s="15" t="s">
        <v>72</v>
      </c>
      <c r="D46" s="17">
        <v>44357</v>
      </c>
      <c r="E46" s="17">
        <v>44357</v>
      </c>
      <c r="F46" s="17">
        <v>44368</v>
      </c>
      <c r="G46" s="15" t="s">
        <v>3</v>
      </c>
      <c r="H46" s="15" t="s">
        <v>4</v>
      </c>
      <c r="I46" s="18">
        <v>144</v>
      </c>
      <c r="J46" s="15" t="s">
        <v>39</v>
      </c>
      <c r="K46" s="15" t="s">
        <v>6</v>
      </c>
      <c r="L46" s="18">
        <v>12209.75</v>
      </c>
      <c r="M46" s="18">
        <v>144</v>
      </c>
      <c r="N46" s="19" t="s">
        <v>171</v>
      </c>
      <c r="O46" s="20" t="s">
        <v>0</v>
      </c>
      <c r="P46" s="15" t="s">
        <v>73</v>
      </c>
      <c r="Q46" s="15" t="s">
        <v>8</v>
      </c>
      <c r="R46" s="15" t="s">
        <v>62</v>
      </c>
      <c r="S46" s="15" t="s">
        <v>0</v>
      </c>
      <c r="T46" s="15" t="s">
        <v>10</v>
      </c>
      <c r="U46" s="15" t="s">
        <v>71</v>
      </c>
      <c r="V46" s="15" t="s">
        <v>0</v>
      </c>
      <c r="W46" s="15" t="s">
        <v>0</v>
      </c>
      <c r="X46" s="15" t="s">
        <v>0</v>
      </c>
      <c r="Y46" s="15" t="s">
        <v>0</v>
      </c>
      <c r="Z46" s="15" t="s">
        <v>0</v>
      </c>
      <c r="AA46" s="17"/>
      <c r="AB46" s="15" t="s">
        <v>0</v>
      </c>
      <c r="AC46" s="15" t="s">
        <v>0</v>
      </c>
      <c r="AD46" s="15" t="s">
        <v>0</v>
      </c>
      <c r="AE46" s="18">
        <v>0</v>
      </c>
    </row>
    <row r="47" spans="1:31" x14ac:dyDescent="0.2">
      <c r="A47" s="16" t="s">
        <v>0</v>
      </c>
      <c r="B47" s="15" t="s">
        <v>1</v>
      </c>
      <c r="C47" s="15" t="s">
        <v>115</v>
      </c>
      <c r="D47" s="17">
        <v>44377</v>
      </c>
      <c r="E47" s="17">
        <v>44377</v>
      </c>
      <c r="F47" s="17">
        <v>44387</v>
      </c>
      <c r="G47" s="15" t="s">
        <v>3</v>
      </c>
      <c r="H47" s="15" t="s">
        <v>4</v>
      </c>
      <c r="I47" s="18">
        <v>1</v>
      </c>
      <c r="J47" s="15" t="s">
        <v>116</v>
      </c>
      <c r="K47" s="15" t="s">
        <v>6</v>
      </c>
      <c r="L47" s="18">
        <v>83.95</v>
      </c>
      <c r="M47" s="18">
        <v>1</v>
      </c>
      <c r="N47" s="19" t="s">
        <v>195</v>
      </c>
      <c r="O47" s="20" t="s">
        <v>0</v>
      </c>
      <c r="P47" s="15" t="s">
        <v>117</v>
      </c>
      <c r="Q47" s="15" t="s">
        <v>8</v>
      </c>
      <c r="R47" s="15" t="s">
        <v>22</v>
      </c>
      <c r="S47" s="15" t="s">
        <v>0</v>
      </c>
      <c r="T47" s="15" t="s">
        <v>10</v>
      </c>
      <c r="U47" s="15" t="s">
        <v>118</v>
      </c>
      <c r="V47" s="15" t="s">
        <v>0</v>
      </c>
      <c r="W47" s="15" t="s">
        <v>0</v>
      </c>
      <c r="X47" s="15" t="s">
        <v>0</v>
      </c>
      <c r="Y47" s="15" t="s">
        <v>0</v>
      </c>
      <c r="Z47" s="15" t="s">
        <v>0</v>
      </c>
      <c r="AA47" s="17"/>
      <c r="AB47" s="15" t="s">
        <v>0</v>
      </c>
      <c r="AC47" s="15" t="s">
        <v>0</v>
      </c>
      <c r="AD47" s="15" t="s">
        <v>0</v>
      </c>
      <c r="AE47" s="18">
        <v>0</v>
      </c>
    </row>
    <row r="49" spans="13:15" x14ac:dyDescent="0.2">
      <c r="M49" s="21">
        <f>SUM(M2:M47)</f>
        <v>1167127</v>
      </c>
    </row>
    <row r="52" spans="13:15" x14ac:dyDescent="0.2">
      <c r="O52" s="22"/>
    </row>
  </sheetData>
  <autoFilter ref="A1:AE47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"/>
  <sheetViews>
    <sheetView workbookViewId="0">
      <selection activeCell="P10" sqref="P10"/>
    </sheetView>
  </sheetViews>
  <sheetFormatPr defaultRowHeight="12.75" x14ac:dyDescent="0.2"/>
  <cols>
    <col min="13" max="13" width="10.7109375" bestFit="1" customWidth="1"/>
    <col min="16" max="16" width="12.85546875" bestFit="1" customWidth="1"/>
  </cols>
  <sheetData>
    <row r="1" spans="1:32" ht="38.25" x14ac:dyDescent="0.2">
      <c r="A1" s="9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9" t="s">
        <v>125</v>
      </c>
      <c r="H1" s="9" t="s">
        <v>126</v>
      </c>
      <c r="I1" s="9" t="s">
        <v>127</v>
      </c>
      <c r="J1" s="1" t="s">
        <v>128</v>
      </c>
      <c r="K1" s="9" t="s">
        <v>129</v>
      </c>
      <c r="L1" s="9" t="s">
        <v>130</v>
      </c>
      <c r="M1" s="9" t="s">
        <v>131</v>
      </c>
      <c r="N1" s="9" t="s">
        <v>148</v>
      </c>
      <c r="O1" s="9" t="s">
        <v>149</v>
      </c>
      <c r="P1" s="9" t="s">
        <v>202</v>
      </c>
      <c r="Q1" s="1" t="s">
        <v>132</v>
      </c>
      <c r="R1" s="1" t="s">
        <v>133</v>
      </c>
      <c r="S1" s="1" t="s">
        <v>134</v>
      </c>
      <c r="T1" s="1" t="s">
        <v>135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146</v>
      </c>
      <c r="AF1" s="9" t="s">
        <v>147</v>
      </c>
    </row>
    <row r="2" spans="1:32" x14ac:dyDescent="0.2">
      <c r="A2" s="2" t="s">
        <v>0</v>
      </c>
      <c r="B2" t="s">
        <v>1</v>
      </c>
      <c r="C2" t="s">
        <v>2</v>
      </c>
      <c r="D2" s="3">
        <v>44259</v>
      </c>
      <c r="E2" s="3">
        <v>44259</v>
      </c>
      <c r="F2" s="3">
        <v>44271</v>
      </c>
      <c r="G2" t="s">
        <v>3</v>
      </c>
      <c r="H2" t="s">
        <v>4</v>
      </c>
      <c r="I2" s="4">
        <v>-600000</v>
      </c>
      <c r="J2" t="s">
        <v>5</v>
      </c>
      <c r="K2" t="s">
        <v>6</v>
      </c>
      <c r="L2" s="4">
        <v>-50873966.530000001</v>
      </c>
      <c r="M2" s="4">
        <v>-600000</v>
      </c>
      <c r="N2" s="10" t="s">
        <v>196</v>
      </c>
      <c r="O2" s="11" t="s">
        <v>0</v>
      </c>
      <c r="P2" s="11">
        <f>ABS(M2)</f>
        <v>600000</v>
      </c>
      <c r="Q2" t="s">
        <v>7</v>
      </c>
      <c r="R2" t="s">
        <v>8</v>
      </c>
      <c r="S2" t="s">
        <v>9</v>
      </c>
      <c r="T2" t="s">
        <v>0</v>
      </c>
      <c r="U2" t="s">
        <v>10</v>
      </c>
      <c r="V2" t="s">
        <v>11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s="3"/>
      <c r="AC2" t="s">
        <v>0</v>
      </c>
      <c r="AD2" t="s">
        <v>0</v>
      </c>
      <c r="AE2" t="s">
        <v>0</v>
      </c>
      <c r="AF2" s="4">
        <v>0</v>
      </c>
    </row>
    <row r="3" spans="1:32" x14ac:dyDescent="0.2">
      <c r="A3" s="2" t="s">
        <v>0</v>
      </c>
      <c r="B3" t="s">
        <v>1</v>
      </c>
      <c r="C3" t="s">
        <v>12</v>
      </c>
      <c r="D3" s="3">
        <v>44286</v>
      </c>
      <c r="E3" s="3">
        <v>44286</v>
      </c>
      <c r="F3" s="3">
        <v>44290</v>
      </c>
      <c r="G3" t="s">
        <v>3</v>
      </c>
      <c r="H3" t="s">
        <v>4</v>
      </c>
      <c r="I3" s="4">
        <v>-600000</v>
      </c>
      <c r="J3" t="s">
        <v>5</v>
      </c>
      <c r="K3" t="s">
        <v>6</v>
      </c>
      <c r="L3" s="4">
        <v>-50873966.549999997</v>
      </c>
      <c r="M3" s="4">
        <v>-600000</v>
      </c>
      <c r="N3" s="10" t="s">
        <v>197</v>
      </c>
      <c r="O3" s="11" t="s">
        <v>0</v>
      </c>
      <c r="P3" s="11">
        <f t="shared" ref="P3:P7" si="0">ABS(M3)</f>
        <v>600000</v>
      </c>
      <c r="Q3" t="s">
        <v>13</v>
      </c>
      <c r="R3" t="s">
        <v>8</v>
      </c>
      <c r="S3" t="s">
        <v>14</v>
      </c>
      <c r="T3" t="s">
        <v>0</v>
      </c>
      <c r="U3" t="s">
        <v>10</v>
      </c>
      <c r="V3" t="s">
        <v>15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s="3"/>
      <c r="AC3" t="s">
        <v>0</v>
      </c>
      <c r="AD3" t="s">
        <v>0</v>
      </c>
      <c r="AE3" t="s">
        <v>0</v>
      </c>
      <c r="AF3" s="4">
        <v>0</v>
      </c>
    </row>
    <row r="4" spans="1:32" x14ac:dyDescent="0.2">
      <c r="A4" s="2" t="s">
        <v>0</v>
      </c>
      <c r="B4" t="s">
        <v>1</v>
      </c>
      <c r="C4" t="s">
        <v>16</v>
      </c>
      <c r="D4" s="3">
        <v>44318</v>
      </c>
      <c r="E4" s="3">
        <v>44318</v>
      </c>
      <c r="F4" s="3">
        <v>44335</v>
      </c>
      <c r="G4" t="s">
        <v>3</v>
      </c>
      <c r="H4" t="s">
        <v>4</v>
      </c>
      <c r="I4" s="4">
        <v>-116560</v>
      </c>
      <c r="J4" t="s">
        <v>17</v>
      </c>
      <c r="K4" t="s">
        <v>6</v>
      </c>
      <c r="L4" s="4">
        <v>-9868472.9399999995</v>
      </c>
      <c r="M4" s="4">
        <v>-116560</v>
      </c>
      <c r="N4" s="10" t="s">
        <v>198</v>
      </c>
      <c r="O4" s="11" t="s">
        <v>0</v>
      </c>
      <c r="P4" s="11">
        <f t="shared" si="0"/>
        <v>116560</v>
      </c>
      <c r="Q4" t="s">
        <v>7</v>
      </c>
      <c r="R4" t="s">
        <v>8</v>
      </c>
      <c r="S4" t="s">
        <v>18</v>
      </c>
      <c r="T4" t="s">
        <v>0</v>
      </c>
      <c r="U4" t="s">
        <v>10</v>
      </c>
      <c r="V4" t="s">
        <v>19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s="3"/>
      <c r="AC4" t="s">
        <v>0</v>
      </c>
      <c r="AD4" t="s">
        <v>0</v>
      </c>
      <c r="AE4" t="s">
        <v>0</v>
      </c>
      <c r="AF4" s="4">
        <v>0</v>
      </c>
    </row>
    <row r="5" spans="1:32" x14ac:dyDescent="0.2">
      <c r="A5" s="2" t="s">
        <v>0</v>
      </c>
      <c r="B5" t="s">
        <v>1</v>
      </c>
      <c r="C5" t="s">
        <v>34</v>
      </c>
      <c r="D5" s="3">
        <v>44334</v>
      </c>
      <c r="E5" s="3">
        <v>44334</v>
      </c>
      <c r="F5" s="3">
        <v>44339</v>
      </c>
      <c r="G5" t="s">
        <v>3</v>
      </c>
      <c r="H5" t="s">
        <v>4</v>
      </c>
      <c r="I5" s="4">
        <v>-161085</v>
      </c>
      <c r="J5" t="s">
        <v>35</v>
      </c>
      <c r="K5" t="s">
        <v>6</v>
      </c>
      <c r="L5" s="4">
        <v>-13658363.689999999</v>
      </c>
      <c r="M5" s="4">
        <v>-161085</v>
      </c>
      <c r="N5" s="10" t="s">
        <v>199</v>
      </c>
      <c r="O5" s="11" t="s">
        <v>0</v>
      </c>
      <c r="P5" s="11">
        <f t="shared" si="0"/>
        <v>161085</v>
      </c>
      <c r="Q5" t="s">
        <v>7</v>
      </c>
      <c r="R5" t="s">
        <v>8</v>
      </c>
      <c r="S5" t="s">
        <v>36</v>
      </c>
      <c r="T5" t="s">
        <v>0</v>
      </c>
      <c r="U5" t="s">
        <v>10</v>
      </c>
      <c r="V5" t="s">
        <v>37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s="3"/>
      <c r="AC5" t="s">
        <v>0</v>
      </c>
      <c r="AD5" t="s">
        <v>0</v>
      </c>
      <c r="AE5" t="s">
        <v>0</v>
      </c>
      <c r="AF5" s="4">
        <v>0</v>
      </c>
    </row>
    <row r="6" spans="1:32" x14ac:dyDescent="0.2">
      <c r="A6" s="2" t="s">
        <v>0</v>
      </c>
      <c r="B6" t="s">
        <v>1</v>
      </c>
      <c r="C6" t="s">
        <v>80</v>
      </c>
      <c r="D6" s="3">
        <v>44363</v>
      </c>
      <c r="E6" s="3">
        <v>44363</v>
      </c>
      <c r="F6" s="3">
        <v>44367</v>
      </c>
      <c r="G6" t="s">
        <v>3</v>
      </c>
      <c r="H6" t="s">
        <v>4</v>
      </c>
      <c r="I6" s="4">
        <v>-299814</v>
      </c>
      <c r="J6" t="s">
        <v>81</v>
      </c>
      <c r="K6" t="s">
        <v>6</v>
      </c>
      <c r="L6" s="4">
        <v>-25383479.59</v>
      </c>
      <c r="M6" s="4">
        <v>-299814</v>
      </c>
      <c r="N6" s="10" t="s">
        <v>200</v>
      </c>
      <c r="O6" s="11" t="s">
        <v>0</v>
      </c>
      <c r="P6" s="11">
        <f t="shared" si="0"/>
        <v>299814</v>
      </c>
      <c r="Q6" t="s">
        <v>7</v>
      </c>
      <c r="R6" t="s">
        <v>8</v>
      </c>
      <c r="S6" t="s">
        <v>82</v>
      </c>
      <c r="T6" t="s">
        <v>0</v>
      </c>
      <c r="U6" t="s">
        <v>10</v>
      </c>
      <c r="V6" t="s">
        <v>83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s="3"/>
      <c r="AC6" t="s">
        <v>0</v>
      </c>
      <c r="AD6" t="s">
        <v>0</v>
      </c>
      <c r="AE6" t="s">
        <v>0</v>
      </c>
      <c r="AF6" s="4">
        <v>0</v>
      </c>
    </row>
    <row r="7" spans="1:32" x14ac:dyDescent="0.2">
      <c r="A7" s="2" t="s">
        <v>0</v>
      </c>
      <c r="B7" t="s">
        <v>1</v>
      </c>
      <c r="C7" t="s">
        <v>100</v>
      </c>
      <c r="D7" s="3">
        <v>44375</v>
      </c>
      <c r="E7" s="3">
        <v>44375</v>
      </c>
      <c r="F7" s="3">
        <v>44380</v>
      </c>
      <c r="G7" t="s">
        <v>3</v>
      </c>
      <c r="H7" t="s">
        <v>4</v>
      </c>
      <c r="I7" s="4">
        <v>-296745</v>
      </c>
      <c r="J7" t="s">
        <v>101</v>
      </c>
      <c r="K7" t="s">
        <v>6</v>
      </c>
      <c r="L7" s="4">
        <v>-25160975.079999998</v>
      </c>
      <c r="M7" s="4">
        <v>-296745</v>
      </c>
      <c r="N7" s="10" t="s">
        <v>201</v>
      </c>
      <c r="O7" s="11" t="s">
        <v>0</v>
      </c>
      <c r="P7" s="11">
        <f t="shared" si="0"/>
        <v>296745</v>
      </c>
      <c r="Q7" t="s">
        <v>7</v>
      </c>
      <c r="R7" t="s">
        <v>8</v>
      </c>
      <c r="S7" t="s">
        <v>102</v>
      </c>
      <c r="T7" t="s">
        <v>0</v>
      </c>
      <c r="U7" t="s">
        <v>10</v>
      </c>
      <c r="V7" t="s">
        <v>103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s="3"/>
      <c r="AC7" t="s">
        <v>0</v>
      </c>
      <c r="AD7" t="s">
        <v>0</v>
      </c>
      <c r="AE7" t="s">
        <v>0</v>
      </c>
      <c r="AF7" s="4">
        <v>0</v>
      </c>
    </row>
    <row r="10" spans="1:32" x14ac:dyDescent="0.2">
      <c r="P10" s="12">
        <f>SUM(P2:P7)</f>
        <v>2074204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ED2711-0DF7-4FB7-BC33-CADB2EF50535}"/>
</file>

<file path=customXml/itemProps2.xml><?xml version="1.0" encoding="utf-8"?>
<ds:datastoreItem xmlns:ds="http://schemas.openxmlformats.org/officeDocument/2006/customXml" ds:itemID="{1DBDEF77-E5F8-490D-B5E2-336815486324}"/>
</file>

<file path=customXml/itemProps3.xml><?xml version="1.0" encoding="utf-8"?>
<ds:datastoreItem xmlns:ds="http://schemas.openxmlformats.org/officeDocument/2006/customXml" ds:itemID="{D6E12F09-E8D5-4180-B0D7-25B99FF6CC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Population</vt:lpstr>
      <vt:lpstr>Debit Item</vt:lpstr>
      <vt:lpstr>Credit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acer</cp:lastModifiedBy>
  <cp:revision>1</cp:revision>
  <dcterms:modified xsi:type="dcterms:W3CDTF">2021-09-15T11:53:25Z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